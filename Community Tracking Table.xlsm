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EA94F885-3EF0-4AAA-9E30-BEE8983E464B}" xr6:coauthVersionLast="47" xr6:coauthVersionMax="47" xr10:uidLastSave="{00000000-0000-0000-0000-000000000000}"/>
  <bookViews>
    <workbookView xWindow="0" yWindow="1380" windowWidth="25600" windowHeight="1462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Table!$A$1:$CG$13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18" i="1" l="1"/>
  <c r="CH18" i="1"/>
  <c r="CF18" i="1"/>
  <c r="CC18" i="1"/>
  <c r="CE18" i="1" s="1"/>
  <c r="BZ18" i="1"/>
  <c r="CB18" i="1" s="1"/>
  <c r="BH18" i="1"/>
  <c r="BG18" i="1"/>
  <c r="BF18" i="1"/>
  <c r="BE18" i="1"/>
  <c r="BD18" i="1"/>
  <c r="BC18" i="1"/>
  <c r="BB18" i="1"/>
  <c r="BA18" i="1"/>
  <c r="AY18" i="1"/>
  <c r="AL18" i="1"/>
  <c r="AK18" i="1" s="1"/>
  <c r="AC18" i="1"/>
  <c r="AA18" i="1"/>
  <c r="CI88" i="1"/>
  <c r="CI87" i="1"/>
  <c r="CI86" i="1"/>
  <c r="CI85" i="1"/>
  <c r="CI84" i="1"/>
  <c r="CI83" i="1"/>
  <c r="CI82" i="1"/>
  <c r="CI81" i="1"/>
  <c r="CI80" i="1"/>
  <c r="CI79" i="1"/>
  <c r="CI78" i="1"/>
  <c r="CI77" i="1"/>
  <c r="CI76" i="1"/>
  <c r="CI75" i="1"/>
  <c r="CI74" i="1"/>
  <c r="CI73" i="1"/>
  <c r="CI72" i="1"/>
  <c r="CI71" i="1"/>
  <c r="CI70" i="1"/>
  <c r="CI69" i="1"/>
  <c r="CI68" i="1"/>
  <c r="CI67" i="1"/>
  <c r="CI66" i="1"/>
  <c r="CI65" i="1"/>
  <c r="CI64" i="1"/>
  <c r="CI63" i="1"/>
  <c r="CI62" i="1"/>
  <c r="CI61" i="1"/>
  <c r="CI60" i="1"/>
  <c r="CI59" i="1"/>
  <c r="CI58" i="1"/>
  <c r="CI57" i="1"/>
  <c r="CI56" i="1"/>
  <c r="CI55" i="1"/>
  <c r="CI54" i="1"/>
  <c r="CI53" i="1"/>
  <c r="CI52" i="1"/>
  <c r="CI51" i="1"/>
  <c r="CI50" i="1"/>
  <c r="CI49" i="1"/>
  <c r="CI48" i="1"/>
  <c r="CI47" i="1"/>
  <c r="CI46" i="1"/>
  <c r="CI45" i="1"/>
  <c r="CI44" i="1"/>
  <c r="CI43" i="1"/>
  <c r="CI42" i="1"/>
  <c r="CI41" i="1"/>
  <c r="CI40" i="1"/>
  <c r="CI39" i="1"/>
  <c r="CI38" i="1"/>
  <c r="CI37" i="1"/>
  <c r="CI36" i="1"/>
  <c r="CI35" i="1"/>
  <c r="CI34" i="1"/>
  <c r="CI33" i="1"/>
  <c r="CI32" i="1"/>
  <c r="CI31" i="1"/>
  <c r="CI30" i="1"/>
  <c r="CI29" i="1"/>
  <c r="CI28" i="1"/>
  <c r="CI27" i="1"/>
  <c r="CI26" i="1"/>
  <c r="CI25" i="1"/>
  <c r="CI24" i="1"/>
  <c r="CI23" i="1"/>
  <c r="CI22" i="1"/>
  <c r="CI21" i="1"/>
  <c r="CI20" i="1"/>
  <c r="CI19" i="1"/>
  <c r="CI17" i="1"/>
  <c r="CI16" i="1"/>
  <c r="CI15" i="1"/>
  <c r="CI14" i="1"/>
  <c r="CI13" i="1"/>
  <c r="CI12" i="1"/>
  <c r="CI11" i="1"/>
  <c r="CI10" i="1"/>
  <c r="CI9" i="1"/>
  <c r="CI8" i="1"/>
  <c r="CI7" i="1"/>
  <c r="CI6" i="1"/>
  <c r="CI5" i="1"/>
  <c r="CI4" i="1"/>
  <c r="CI3" i="1"/>
  <c r="CI2" i="1"/>
  <c r="CI92" i="1"/>
  <c r="CI91" i="1"/>
  <c r="CI90" i="1"/>
  <c r="CI89" i="1"/>
  <c r="AN18" i="1" l="1"/>
  <c r="CD18" i="1" s="1" a="1"/>
  <c r="CD18" i="1" s="1"/>
  <c r="CJ18" i="1" s="1"/>
  <c r="BJ18" i="1"/>
  <c r="BL18" i="1" s="1"/>
  <c r="BI18" i="1"/>
  <c r="BK18" i="1" s="1"/>
  <c r="CH92" i="1" l="1"/>
  <c r="CH91" i="1"/>
  <c r="CH90" i="1"/>
  <c r="CH89" i="1"/>
  <c r="CH88" i="1"/>
  <c r="CH87" i="1"/>
  <c r="CH86" i="1"/>
  <c r="CH85" i="1"/>
  <c r="CH84" i="1"/>
  <c r="CH83" i="1"/>
  <c r="CH82" i="1"/>
  <c r="CH81" i="1"/>
  <c r="CH80" i="1"/>
  <c r="CH79" i="1"/>
  <c r="CH78" i="1"/>
  <c r="CH77" i="1"/>
  <c r="CH76" i="1"/>
  <c r="CH75" i="1"/>
  <c r="CH74" i="1"/>
  <c r="CH73" i="1"/>
  <c r="CH72" i="1"/>
  <c r="CH71" i="1"/>
  <c r="CH70" i="1"/>
  <c r="CH69" i="1"/>
  <c r="CH68" i="1"/>
  <c r="CH67" i="1"/>
  <c r="CH66" i="1"/>
  <c r="CH65" i="1"/>
  <c r="CH64" i="1"/>
  <c r="CH63" i="1"/>
  <c r="CH62" i="1"/>
  <c r="CH61" i="1"/>
  <c r="CH60" i="1"/>
  <c r="CH59" i="1"/>
  <c r="CH58" i="1"/>
  <c r="CH57" i="1"/>
  <c r="CH56" i="1"/>
  <c r="CH55" i="1"/>
  <c r="CH54" i="1"/>
  <c r="CH53" i="1"/>
  <c r="CH52" i="1"/>
  <c r="CH51" i="1"/>
  <c r="CH50" i="1"/>
  <c r="CH49" i="1"/>
  <c r="CH48" i="1"/>
  <c r="CH47" i="1"/>
  <c r="CH46" i="1"/>
  <c r="CH45" i="1"/>
  <c r="CH44" i="1"/>
  <c r="CH43" i="1"/>
  <c r="CH42" i="1"/>
  <c r="CH41" i="1"/>
  <c r="CH40" i="1"/>
  <c r="CH39" i="1"/>
  <c r="CH38" i="1"/>
  <c r="CH37" i="1"/>
  <c r="CH36" i="1"/>
  <c r="CH35" i="1"/>
  <c r="CH34" i="1"/>
  <c r="CH33" i="1"/>
  <c r="CH32" i="1"/>
  <c r="CH31" i="1"/>
  <c r="CH30" i="1"/>
  <c r="CH29" i="1"/>
  <c r="CH28" i="1"/>
  <c r="CH27" i="1"/>
  <c r="CH26" i="1"/>
  <c r="CH25" i="1"/>
  <c r="CH24" i="1"/>
  <c r="CH23" i="1"/>
  <c r="CH22" i="1"/>
  <c r="CH21" i="1"/>
  <c r="CH20" i="1"/>
  <c r="CH19" i="1"/>
  <c r="CH17" i="1"/>
  <c r="CH16" i="1"/>
  <c r="CH15" i="1"/>
  <c r="CH14" i="1"/>
  <c r="CH13" i="1"/>
  <c r="CH12" i="1"/>
  <c r="CH11" i="1"/>
  <c r="CH10" i="1"/>
  <c r="CH9" i="1"/>
  <c r="CH8" i="1"/>
  <c r="CH7" i="1"/>
  <c r="CH6" i="1"/>
  <c r="CH5" i="1"/>
  <c r="CH4" i="1"/>
  <c r="CH3" i="1"/>
  <c r="CH2" i="1"/>
  <c r="CF17" i="1"/>
  <c r="CC17" i="1"/>
  <c r="CE17" i="1" s="1"/>
  <c r="BZ17" i="1"/>
  <c r="CB17" i="1" s="1"/>
  <c r="BH17" i="1"/>
  <c r="BG17" i="1"/>
  <c r="BF17" i="1"/>
  <c r="BE17" i="1"/>
  <c r="BD17" i="1"/>
  <c r="BC17" i="1"/>
  <c r="BB17" i="1"/>
  <c r="BA17" i="1"/>
  <c r="AY17" i="1"/>
  <c r="AL17" i="1"/>
  <c r="AN17" i="1" s="1"/>
  <c r="CD17" i="1" s="1" a="1"/>
  <c r="CD17" i="1" s="1"/>
  <c r="AC17" i="1"/>
  <c r="AA17" i="1"/>
  <c r="CF15" i="1"/>
  <c r="CC15" i="1"/>
  <c r="CE15" i="1" s="1"/>
  <c r="BZ15" i="1"/>
  <c r="CB15" i="1" s="1"/>
  <c r="BH15" i="1"/>
  <c r="BG15" i="1"/>
  <c r="BF15" i="1"/>
  <c r="BE15" i="1"/>
  <c r="BD15" i="1"/>
  <c r="BC15" i="1"/>
  <c r="BB15" i="1"/>
  <c r="AY15" i="1"/>
  <c r="AL15" i="1"/>
  <c r="AN15" i="1" s="1"/>
  <c r="CD15" i="1" s="1" a="1"/>
  <c r="CD15" i="1" s="1"/>
  <c r="AC15" i="1"/>
  <c r="AA15" i="1"/>
  <c r="CF16" i="1"/>
  <c r="CC16" i="1"/>
  <c r="CE16" i="1" s="1"/>
  <c r="BZ16" i="1"/>
  <c r="CB16" i="1" s="1"/>
  <c r="BH16" i="1"/>
  <c r="BG16" i="1"/>
  <c r="BF16" i="1"/>
  <c r="BE16" i="1"/>
  <c r="BD16" i="1"/>
  <c r="BC16" i="1"/>
  <c r="BB16" i="1"/>
  <c r="AY16" i="1"/>
  <c r="AL16" i="1"/>
  <c r="AN16" i="1" s="1"/>
  <c r="CD16" i="1" s="1" a="1"/>
  <c r="CD16" i="1" s="1"/>
  <c r="AC16" i="1"/>
  <c r="AA16" i="1"/>
  <c r="AN35" i="1"/>
  <c r="CJ17" i="1" l="1"/>
  <c r="CJ16" i="1"/>
  <c r="CJ15" i="1"/>
  <c r="BJ17" i="1"/>
  <c r="BL17" i="1" s="1"/>
  <c r="AK17" i="1"/>
  <c r="BI17" i="1"/>
  <c r="BK17" i="1" s="1"/>
  <c r="AK15" i="1"/>
  <c r="BJ15" i="1"/>
  <c r="BL15" i="1" s="1"/>
  <c r="BI15" i="1"/>
  <c r="BK15" i="1" s="1"/>
  <c r="BJ16" i="1"/>
  <c r="BL16" i="1" s="1"/>
  <c r="AK16" i="1"/>
  <c r="BI16" i="1"/>
  <c r="BK16" i="1" s="1"/>
  <c r="BH56" i="1" l="1"/>
  <c r="BG56" i="1"/>
  <c r="BF56" i="1"/>
  <c r="BE56" i="1"/>
  <c r="BD56" i="1"/>
  <c r="BC56" i="1"/>
  <c r="BB56" i="1"/>
  <c r="BH11" i="1"/>
  <c r="BG11" i="1"/>
  <c r="BF11" i="1"/>
  <c r="BE11" i="1"/>
  <c r="BD11" i="1"/>
  <c r="BC11" i="1"/>
  <c r="BB11" i="1"/>
  <c r="CD35" i="1" a="1"/>
  <c r="CD35" i="1" s="1"/>
  <c r="CC35" i="1"/>
  <c r="CB35" i="1"/>
  <c r="BH36" i="1"/>
  <c r="BG36" i="1"/>
  <c r="BF36" i="1"/>
  <c r="BE36" i="1"/>
  <c r="BD36" i="1"/>
  <c r="BC36" i="1"/>
  <c r="BB36" i="1"/>
  <c r="CF11" i="1"/>
  <c r="CF12" i="1"/>
  <c r="CC11" i="1"/>
  <c r="BZ11" i="1"/>
  <c r="CB11" i="1" s="1"/>
  <c r="AL11" i="1"/>
  <c r="AN11" i="1" s="1"/>
  <c r="AY11" i="1"/>
  <c r="AA11" i="1"/>
  <c r="BJ11" i="1" l="1"/>
  <c r="BL11" i="1" s="1"/>
  <c r="BJ56" i="1"/>
  <c r="BI56" i="1"/>
  <c r="BI11" i="1"/>
  <c r="BK11" i="1" s="1"/>
  <c r="CD11" i="1" a="1"/>
  <c r="CD11" i="1" s="1"/>
  <c r="BJ36" i="1"/>
  <c r="BL36" i="1" s="1"/>
  <c r="BI36" i="1"/>
  <c r="BK36" i="1" s="1"/>
  <c r="AC36" i="1"/>
  <c r="AA36" i="1"/>
  <c r="T36" i="1"/>
  <c r="V36" i="1" s="1"/>
  <c r="CF36" i="1"/>
  <c r="CB36" i="1"/>
  <c r="AY36" i="1"/>
  <c r="AL36" i="1"/>
  <c r="AN36" i="1" s="1"/>
  <c r="AL43" i="1"/>
  <c r="T43" i="1"/>
  <c r="V43" i="1" s="1"/>
  <c r="CF29" i="1"/>
  <c r="CC29" i="1"/>
  <c r="CB29" i="1"/>
  <c r="BH29" i="1"/>
  <c r="BG29" i="1"/>
  <c r="BF29" i="1"/>
  <c r="BE29" i="1"/>
  <c r="BD29" i="1"/>
  <c r="BC29" i="1"/>
  <c r="BB29" i="1"/>
  <c r="AY29" i="1"/>
  <c r="AL29" i="1"/>
  <c r="AC29" i="1"/>
  <c r="AA29" i="1"/>
  <c r="T29" i="1"/>
  <c r="V29" i="1" s="1"/>
  <c r="AL26" i="1"/>
  <c r="BH26" i="1"/>
  <c r="BG26" i="1"/>
  <c r="BF26" i="1"/>
  <c r="BE26" i="1"/>
  <c r="BD26" i="1"/>
  <c r="BC26" i="1"/>
  <c r="BB26" i="1"/>
  <c r="CF26" i="1"/>
  <c r="CC26" i="1"/>
  <c r="CB26" i="1"/>
  <c r="CF4" i="1"/>
  <c r="CC4" i="1"/>
  <c r="BZ4" i="1"/>
  <c r="CB4" i="1" s="1"/>
  <c r="BH4" i="1"/>
  <c r="BG4" i="1"/>
  <c r="BF4" i="1"/>
  <c r="BE4" i="1"/>
  <c r="BD4" i="1"/>
  <c r="BC4" i="1"/>
  <c r="BB4" i="1"/>
  <c r="AY4" i="1"/>
  <c r="AL4" i="1"/>
  <c r="AA4" i="1"/>
  <c r="AC26" i="1"/>
  <c r="AA26" i="1"/>
  <c r="T26" i="1"/>
  <c r="V26" i="1" s="1"/>
  <c r="AY26" i="1"/>
  <c r="AN4" i="1" l="1"/>
  <c r="CD4" i="1" s="1" a="1"/>
  <c r="CD4" i="1" s="1"/>
  <c r="BJ4" i="1"/>
  <c r="BL4" i="1" s="1"/>
  <c r="CD36" i="1" a="1"/>
  <c r="CD36" i="1" s="1"/>
  <c r="BJ29" i="1"/>
  <c r="BL29" i="1" s="1"/>
  <c r="BI29" i="1"/>
  <c r="BK29" i="1" s="1"/>
  <c r="BJ26" i="1"/>
  <c r="BL26" i="1" s="1"/>
  <c r="BI26" i="1"/>
  <c r="BK26" i="1" s="1"/>
  <c r="BI4" i="1"/>
  <c r="BK4" i="1" s="1"/>
  <c r="BF35" i="1"/>
  <c r="CC36" i="1"/>
  <c r="AL19" i="1"/>
  <c r="AY56" i="1"/>
  <c r="CF49" i="1"/>
  <c r="CC49" i="1"/>
  <c r="BZ49" i="1"/>
  <c r="CB49" i="1" s="1"/>
  <c r="BH49" i="1"/>
  <c r="BG49" i="1"/>
  <c r="BF49" i="1"/>
  <c r="BE49" i="1"/>
  <c r="BD49" i="1"/>
  <c r="BC49" i="1"/>
  <c r="BB49" i="1"/>
  <c r="AY49" i="1"/>
  <c r="AL49" i="1"/>
  <c r="AC49" i="1"/>
  <c r="AA49" i="1"/>
  <c r="AL56" i="1"/>
  <c r="AC56" i="1"/>
  <c r="AA56" i="1"/>
  <c r="CF56" i="1"/>
  <c r="CC56" i="1"/>
  <c r="BZ56" i="1"/>
  <c r="CB56" i="1" s="1"/>
  <c r="AN26" i="1" l="1"/>
  <c r="CD26" i="1" s="1" a="1"/>
  <c r="CD26" i="1" s="1"/>
  <c r="AK19" i="1"/>
  <c r="AN19" i="1"/>
  <c r="CD19" i="1" s="1" a="1"/>
  <c r="CD19" i="1" s="1"/>
  <c r="AN49" i="1"/>
  <c r="CD49" i="1" s="1" a="1"/>
  <c r="CD49" i="1" s="1"/>
  <c r="AN56" i="1"/>
  <c r="CD56" i="1" s="1" a="1"/>
  <c r="CD56" i="1" s="1"/>
  <c r="BK56" i="1"/>
  <c r="BL56" i="1"/>
  <c r="AK49" i="1"/>
  <c r="AK56" i="1"/>
  <c r="BJ49" i="1"/>
  <c r="BL49" i="1" s="1"/>
  <c r="BI49" i="1"/>
  <c r="BK49" i="1" s="1"/>
  <c r="CF19" i="1" l="1"/>
  <c r="CC19" i="1"/>
  <c r="BZ19" i="1"/>
  <c r="CB19" i="1" s="1"/>
  <c r="BH19" i="1"/>
  <c r="BG19" i="1"/>
  <c r="BF19" i="1"/>
  <c r="BE19" i="1"/>
  <c r="BD19" i="1"/>
  <c r="BC19" i="1"/>
  <c r="BB19" i="1"/>
  <c r="AY19" i="1"/>
  <c r="AC19" i="1"/>
  <c r="AA19" i="1"/>
  <c r="CF86" i="1"/>
  <c r="CC86" i="1"/>
  <c r="BZ86" i="1"/>
  <c r="CB86" i="1" s="1"/>
  <c r="BH86" i="1"/>
  <c r="BG86" i="1"/>
  <c r="BF86" i="1"/>
  <c r="BE86" i="1"/>
  <c r="BD86" i="1"/>
  <c r="BC86" i="1"/>
  <c r="BB86" i="1"/>
  <c r="AY86" i="1"/>
  <c r="AL86" i="1"/>
  <c r="AC86" i="1"/>
  <c r="AA86" i="1"/>
  <c r="CF92" i="1"/>
  <c r="CF91" i="1"/>
  <c r="CF90" i="1"/>
  <c r="CF89" i="1"/>
  <c r="CF88" i="1"/>
  <c r="CF87" i="1"/>
  <c r="CF85" i="1"/>
  <c r="CF84" i="1"/>
  <c r="CF83" i="1"/>
  <c r="CF82" i="1"/>
  <c r="CF81" i="1"/>
  <c r="CF80" i="1"/>
  <c r="CF79" i="1"/>
  <c r="CF78" i="1"/>
  <c r="CF77" i="1"/>
  <c r="CF76" i="1"/>
  <c r="CF75" i="1"/>
  <c r="CF74" i="1"/>
  <c r="CF73" i="1"/>
  <c r="CF72" i="1"/>
  <c r="CF71" i="1"/>
  <c r="CF70" i="1"/>
  <c r="CF69" i="1"/>
  <c r="CF68" i="1"/>
  <c r="CF67" i="1"/>
  <c r="CF66" i="1"/>
  <c r="CF65" i="1"/>
  <c r="CF64" i="1"/>
  <c r="CF63" i="1"/>
  <c r="CF62" i="1"/>
  <c r="CF61" i="1"/>
  <c r="CF60" i="1"/>
  <c r="CF59" i="1"/>
  <c r="CF58" i="1"/>
  <c r="CF57" i="1"/>
  <c r="CF55" i="1"/>
  <c r="CF54" i="1"/>
  <c r="CF53" i="1"/>
  <c r="CF52" i="1"/>
  <c r="CF51" i="1"/>
  <c r="CF50" i="1"/>
  <c r="CF48" i="1"/>
  <c r="CF47" i="1"/>
  <c r="CF46" i="1"/>
  <c r="CF45" i="1"/>
  <c r="CF44" i="1"/>
  <c r="CF43" i="1"/>
  <c r="CF42" i="1"/>
  <c r="CF41" i="1"/>
  <c r="CF39" i="1"/>
  <c r="CF38" i="1"/>
  <c r="CF37" i="1"/>
  <c r="CF34" i="1"/>
  <c r="CF33" i="1"/>
  <c r="CF32" i="1"/>
  <c r="CF31" i="1"/>
  <c r="CF30" i="1"/>
  <c r="CF28" i="1"/>
  <c r="CF27" i="1"/>
  <c r="CF25" i="1"/>
  <c r="CF24" i="1"/>
  <c r="CF23" i="1"/>
  <c r="CF22" i="1"/>
  <c r="CF21" i="1"/>
  <c r="CF20" i="1"/>
  <c r="CF14" i="1"/>
  <c r="CF13" i="1"/>
  <c r="CF10" i="1"/>
  <c r="CF9" i="1"/>
  <c r="CF8" i="1"/>
  <c r="CF7" i="1"/>
  <c r="CF6" i="1"/>
  <c r="CF5" i="1"/>
  <c r="CF3" i="1"/>
  <c r="CF2" i="1"/>
  <c r="CF40" i="1"/>
  <c r="CC40" i="1"/>
  <c r="BZ40" i="1"/>
  <c r="CB40" i="1" s="1"/>
  <c r="BH40" i="1"/>
  <c r="BG40" i="1"/>
  <c r="BF40" i="1"/>
  <c r="BE40" i="1"/>
  <c r="BD40" i="1"/>
  <c r="BC40" i="1"/>
  <c r="BB40" i="1"/>
  <c r="AY40" i="1"/>
  <c r="AL40" i="1"/>
  <c r="AC40" i="1"/>
  <c r="AA40" i="1"/>
  <c r="T40" i="1"/>
  <c r="V40" i="1" s="1"/>
  <c r="CC39" i="1"/>
  <c r="BZ39" i="1"/>
  <c r="CB39" i="1" s="1"/>
  <c r="BH39" i="1"/>
  <c r="BG39" i="1"/>
  <c r="BF39" i="1"/>
  <c r="BE39" i="1"/>
  <c r="BD39" i="1"/>
  <c r="BC39" i="1"/>
  <c r="BB39" i="1"/>
  <c r="AY39" i="1"/>
  <c r="AL39" i="1"/>
  <c r="AC39" i="1"/>
  <c r="AA39" i="1"/>
  <c r="T39" i="1"/>
  <c r="V39" i="1" s="1"/>
  <c r="CC5" i="1"/>
  <c r="BZ5" i="1"/>
  <c r="CB5" i="1" s="1"/>
  <c r="BH5" i="1"/>
  <c r="BG5" i="1"/>
  <c r="BF5" i="1"/>
  <c r="BE5" i="1"/>
  <c r="BD5" i="1"/>
  <c r="BC5" i="1"/>
  <c r="BB5" i="1"/>
  <c r="AY5" i="1"/>
  <c r="AL5" i="1"/>
  <c r="AA5" i="1"/>
  <c r="CC64" i="1"/>
  <c r="BZ64" i="1"/>
  <c r="CB64" i="1" s="1"/>
  <c r="BH64" i="1"/>
  <c r="BG64" i="1"/>
  <c r="BF64" i="1"/>
  <c r="BE64" i="1"/>
  <c r="BD64" i="1"/>
  <c r="BC64" i="1"/>
  <c r="BB64" i="1"/>
  <c r="AY64" i="1"/>
  <c r="AL64" i="1"/>
  <c r="AC64" i="1"/>
  <c r="AA64" i="1"/>
  <c r="T64" i="1"/>
  <c r="V64" i="1" s="1"/>
  <c r="CC2" i="1"/>
  <c r="BZ2" i="1"/>
  <c r="CB2" i="1" s="1"/>
  <c r="BH2" i="1"/>
  <c r="BG2" i="1"/>
  <c r="BF2" i="1"/>
  <c r="BE2" i="1"/>
  <c r="BD2" i="1"/>
  <c r="BC2" i="1"/>
  <c r="BB2" i="1"/>
  <c r="AY2" i="1"/>
  <c r="AL2" i="1"/>
  <c r="AA2" i="1"/>
  <c r="AN86" i="1" l="1"/>
  <c r="CD86" i="1" s="1" a="1"/>
  <c r="CD86" i="1" s="1"/>
  <c r="AN5" i="1"/>
  <c r="CD5" i="1" s="1" a="1"/>
  <c r="CD5" i="1" s="1"/>
  <c r="AN40" i="1"/>
  <c r="CD40" i="1" s="1" a="1"/>
  <c r="CD40" i="1" s="1"/>
  <c r="AN2" i="1"/>
  <c r="CD2" i="1" s="1" a="1"/>
  <c r="CD2" i="1" s="1"/>
  <c r="BJ19" i="1"/>
  <c r="BL19" i="1" s="1"/>
  <c r="BI19" i="1"/>
  <c r="BK19" i="1" s="1"/>
  <c r="BJ86" i="1"/>
  <c r="BL86" i="1" s="1"/>
  <c r="BI86" i="1"/>
  <c r="BK86" i="1" s="1"/>
  <c r="BI40" i="1"/>
  <c r="BK40" i="1" s="1"/>
  <c r="BJ40" i="1"/>
  <c r="BL40" i="1" s="1"/>
  <c r="BJ39" i="1"/>
  <c r="BL39" i="1" s="1"/>
  <c r="BI39" i="1"/>
  <c r="BK39" i="1" s="1"/>
  <c r="BJ5" i="1"/>
  <c r="BL5" i="1" s="1"/>
  <c r="BI5" i="1"/>
  <c r="BK5" i="1" s="1"/>
  <c r="BJ64" i="1"/>
  <c r="BL64" i="1" s="1"/>
  <c r="BI64" i="1"/>
  <c r="BK64" i="1" s="1"/>
  <c r="BJ2" i="1"/>
  <c r="BL2" i="1" s="1"/>
  <c r="BI2" i="1"/>
  <c r="BK2" i="1" s="1"/>
  <c r="AC62" i="1"/>
  <c r="AC63" i="1"/>
  <c r="AC65" i="1"/>
  <c r="AC66" i="1"/>
  <c r="AC67" i="1"/>
  <c r="AC68" i="1"/>
  <c r="AC69" i="1"/>
  <c r="AC70" i="1"/>
  <c r="AC71" i="1"/>
  <c r="AC72" i="1"/>
  <c r="AC73" i="1"/>
  <c r="AC74" i="1"/>
  <c r="AC75" i="1"/>
  <c r="AC76" i="1"/>
  <c r="AC77" i="1"/>
  <c r="AC78" i="1"/>
  <c r="AC79" i="1"/>
  <c r="AC80" i="1"/>
  <c r="CC92" i="1"/>
  <c r="BZ92" i="1"/>
  <c r="CB92" i="1" s="1"/>
  <c r="BH92" i="1"/>
  <c r="BG92" i="1"/>
  <c r="BF92" i="1"/>
  <c r="BE92" i="1"/>
  <c r="BD92" i="1"/>
  <c r="BC92" i="1"/>
  <c r="BB92" i="1"/>
  <c r="AY92" i="1"/>
  <c r="AL92" i="1"/>
  <c r="AC92" i="1"/>
  <c r="AA92" i="1"/>
  <c r="AN64" i="1" l="1"/>
  <c r="CD64" i="1" s="1" a="1"/>
  <c r="CD64" i="1" s="1"/>
  <c r="AN92" i="1"/>
  <c r="CD92" i="1" s="1" a="1"/>
  <c r="CD92" i="1" s="1"/>
  <c r="BI92" i="1"/>
  <c r="BK92" i="1" s="1"/>
  <c r="BJ92" i="1"/>
  <c r="BL92" i="1" s="1"/>
  <c r="CC23" i="1"/>
  <c r="BZ23" i="1"/>
  <c r="CB23" i="1" s="1"/>
  <c r="BH23" i="1"/>
  <c r="BG23" i="1"/>
  <c r="BF23" i="1"/>
  <c r="BE23" i="1"/>
  <c r="BD23" i="1"/>
  <c r="BC23" i="1"/>
  <c r="BB23" i="1"/>
  <c r="AL24" i="1"/>
  <c r="AL23" i="1"/>
  <c r="AN23" i="1" s="1"/>
  <c r="AY23" i="1"/>
  <c r="AC23" i="1"/>
  <c r="AA23" i="1"/>
  <c r="T23" i="1"/>
  <c r="V23" i="1" s="1"/>
  <c r="AC61" i="1"/>
  <c r="AC60" i="1"/>
  <c r="AC59" i="1"/>
  <c r="AC58" i="1"/>
  <c r="AC57" i="1"/>
  <c r="AC55" i="1"/>
  <c r="AC48" i="1"/>
  <c r="AC54" i="1"/>
  <c r="AC53" i="1"/>
  <c r="AC50" i="1"/>
  <c r="AC47" i="1"/>
  <c r="AC46" i="1"/>
  <c r="AC52" i="1"/>
  <c r="AC45" i="1"/>
  <c r="AC51" i="1"/>
  <c r="AC44" i="1"/>
  <c r="AC43" i="1"/>
  <c r="AC42" i="1"/>
  <c r="AC41" i="1"/>
  <c r="AC38" i="1"/>
  <c r="AC37" i="1"/>
  <c r="AC34" i="1"/>
  <c r="AC33" i="1"/>
  <c r="AC32" i="1"/>
  <c r="AC31" i="1"/>
  <c r="AC30" i="1"/>
  <c r="AC28" i="1"/>
  <c r="AC27" i="1"/>
  <c r="AC25" i="1"/>
  <c r="AC24" i="1"/>
  <c r="AC22" i="1"/>
  <c r="AC21" i="1"/>
  <c r="AC20" i="1"/>
  <c r="AC14" i="1"/>
  <c r="AC13" i="1"/>
  <c r="AC12" i="1"/>
  <c r="AC91" i="1"/>
  <c r="AC90" i="1"/>
  <c r="AC89" i="1"/>
  <c r="AC88" i="1"/>
  <c r="AC87" i="1"/>
  <c r="AC85" i="1"/>
  <c r="AC84" i="1"/>
  <c r="AC83" i="1"/>
  <c r="AC82" i="1"/>
  <c r="AC81" i="1"/>
  <c r="BA12" i="1"/>
  <c r="BA13" i="1"/>
  <c r="BH51" i="1"/>
  <c r="BG51" i="1"/>
  <c r="BF51" i="1"/>
  <c r="BE51" i="1"/>
  <c r="BD51" i="1"/>
  <c r="BC51" i="1"/>
  <c r="BB51" i="1"/>
  <c r="AL51" i="1"/>
  <c r="AN51" i="1" s="1"/>
  <c r="AL45" i="1"/>
  <c r="AN45" i="1" s="1"/>
  <c r="CB45" i="1"/>
  <c r="BH45" i="1"/>
  <c r="BG45" i="1"/>
  <c r="BF45" i="1"/>
  <c r="BE45" i="1"/>
  <c r="BD45" i="1"/>
  <c r="BC45" i="1"/>
  <c r="BB45" i="1"/>
  <c r="AA45" i="1"/>
  <c r="AY45" i="1"/>
  <c r="CC45" i="1"/>
  <c r="CC7" i="1"/>
  <c r="CB7" i="1"/>
  <c r="BL7" i="1"/>
  <c r="BK7" i="1"/>
  <c r="BF7" i="1"/>
  <c r="BE7" i="1"/>
  <c r="BD7" i="1"/>
  <c r="BC7" i="1"/>
  <c r="BB7" i="1"/>
  <c r="AY7" i="1"/>
  <c r="AL7" i="1"/>
  <c r="AN7" i="1" s="1"/>
  <c r="AA7" i="1"/>
  <c r="BB24" i="1"/>
  <c r="BC24" i="1"/>
  <c r="BD24" i="1"/>
  <c r="BE24" i="1"/>
  <c r="BF24" i="1"/>
  <c r="BG24" i="1"/>
  <c r="BH24" i="1"/>
  <c r="BB25" i="1"/>
  <c r="BC25" i="1"/>
  <c r="BD25" i="1"/>
  <c r="BE25" i="1"/>
  <c r="BF25" i="1"/>
  <c r="BG25" i="1"/>
  <c r="BH25" i="1"/>
  <c r="BB27" i="1"/>
  <c r="BC27" i="1"/>
  <c r="BD27" i="1"/>
  <c r="BE27" i="1"/>
  <c r="BF27" i="1"/>
  <c r="BG27" i="1"/>
  <c r="BH27" i="1"/>
  <c r="BB28" i="1"/>
  <c r="BC28" i="1"/>
  <c r="BD28" i="1"/>
  <c r="BE28" i="1"/>
  <c r="BF28" i="1"/>
  <c r="BG28" i="1"/>
  <c r="BH28" i="1"/>
  <c r="BB30" i="1"/>
  <c r="BC30" i="1"/>
  <c r="BD30" i="1"/>
  <c r="BE30" i="1"/>
  <c r="BF30" i="1"/>
  <c r="BG30" i="1"/>
  <c r="BH30" i="1"/>
  <c r="BB31" i="1"/>
  <c r="BC31" i="1"/>
  <c r="BD31" i="1"/>
  <c r="BE31" i="1"/>
  <c r="BF31" i="1"/>
  <c r="BG31" i="1"/>
  <c r="BH31" i="1"/>
  <c r="BB32" i="1"/>
  <c r="BC32" i="1"/>
  <c r="BD32" i="1"/>
  <c r="BE32" i="1"/>
  <c r="BF32" i="1"/>
  <c r="BG32" i="1"/>
  <c r="BH32" i="1"/>
  <c r="BB33" i="1"/>
  <c r="BC33" i="1"/>
  <c r="BD33" i="1"/>
  <c r="BE33" i="1"/>
  <c r="BF33" i="1"/>
  <c r="BG33" i="1"/>
  <c r="BH33" i="1"/>
  <c r="BB34" i="1"/>
  <c r="BC34" i="1"/>
  <c r="BD34" i="1"/>
  <c r="BE34" i="1"/>
  <c r="BF34" i="1"/>
  <c r="BG34" i="1"/>
  <c r="BH34" i="1"/>
  <c r="BB37" i="1"/>
  <c r="BC37" i="1"/>
  <c r="BD37" i="1"/>
  <c r="BE37" i="1"/>
  <c r="BF37" i="1"/>
  <c r="BG37" i="1"/>
  <c r="BH37" i="1"/>
  <c r="AL25" i="1"/>
  <c r="T25" i="1"/>
  <c r="V25" i="1" s="1"/>
  <c r="AN25" i="1" l="1"/>
  <c r="BJ45" i="1"/>
  <c r="BL45" i="1" s="1"/>
  <c r="CD45" i="1" a="1"/>
  <c r="CD45" i="1" s="1"/>
  <c r="CD23" i="1" a="1"/>
  <c r="CD23" i="1" s="1"/>
  <c r="CD7" i="1" a="1"/>
  <c r="CD7" i="1" s="1"/>
  <c r="CD51" i="1" a="1"/>
  <c r="CD51" i="1" s="1"/>
  <c r="BI23" i="1"/>
  <c r="BK23" i="1" s="1"/>
  <c r="BJ23" i="1"/>
  <c r="BL23" i="1" s="1"/>
  <c r="BJ51" i="1"/>
  <c r="BL51" i="1" s="1"/>
  <c r="BI30" i="1"/>
  <c r="BK30" i="1" s="1"/>
  <c r="BJ34" i="1"/>
  <c r="BL34" i="1" s="1"/>
  <c r="BI27" i="1"/>
  <c r="BK27" i="1" s="1"/>
  <c r="BI34" i="1"/>
  <c r="BK34" i="1" s="1"/>
  <c r="BI51" i="1"/>
  <c r="BK51" i="1" s="1"/>
  <c r="BI45" i="1"/>
  <c r="BK45" i="1" s="1"/>
  <c r="BI31" i="1"/>
  <c r="BK31" i="1" s="1"/>
  <c r="BJ25" i="1"/>
  <c r="BL25" i="1" s="1"/>
  <c r="BJ27" i="1"/>
  <c r="BL27" i="1" s="1"/>
  <c r="BI37" i="1"/>
  <c r="BK37" i="1" s="1"/>
  <c r="BJ32" i="1"/>
  <c r="BL32" i="1" s="1"/>
  <c r="BJ31" i="1"/>
  <c r="BL31" i="1" s="1"/>
  <c r="BJ30" i="1"/>
  <c r="BL30" i="1" s="1"/>
  <c r="BI24" i="1"/>
  <c r="BK24" i="1" s="1"/>
  <c r="BI33" i="1"/>
  <c r="BK33" i="1" s="1"/>
  <c r="BI28" i="1"/>
  <c r="BK28" i="1" s="1"/>
  <c r="BI25" i="1"/>
  <c r="BK25" i="1" s="1"/>
  <c r="BJ37" i="1"/>
  <c r="BL37" i="1" s="1"/>
  <c r="BI32" i="1"/>
  <c r="BK32" i="1" s="1"/>
  <c r="BJ28" i="1"/>
  <c r="BL28" i="1" s="1"/>
  <c r="BJ24" i="1"/>
  <c r="BL24" i="1" s="1"/>
  <c r="BJ33" i="1"/>
  <c r="BL33" i="1" s="1"/>
  <c r="CD25" i="1" l="1" a="1"/>
  <c r="CD25" i="1" s="1"/>
  <c r="AL6" i="1"/>
  <c r="CC6" i="1"/>
  <c r="CB6" i="1"/>
  <c r="BF6" i="1"/>
  <c r="BE6" i="1"/>
  <c r="BD6" i="1"/>
  <c r="BC6" i="1"/>
  <c r="BB6" i="1"/>
  <c r="AY6" i="1"/>
  <c r="AA6" i="1"/>
  <c r="T24" i="1"/>
  <c r="V24" i="1" s="1"/>
  <c r="AN6" i="1" l="1"/>
  <c r="AN24" i="1" s="1"/>
  <c r="CD24" i="1" s="1" a="1"/>
  <c r="CD24" i="1" s="1"/>
  <c r="BL6" i="1"/>
  <c r="BK6" i="1"/>
  <c r="CD6" i="1" l="1" a="1"/>
  <c r="CD6" i="1" s="1"/>
  <c r="CC60" i="1"/>
  <c r="CB60" i="1"/>
  <c r="BF60" i="1"/>
  <c r="BE60" i="1"/>
  <c r="BD60" i="1"/>
  <c r="BC60" i="1"/>
  <c r="BB60" i="1"/>
  <c r="AY60" i="1"/>
  <c r="AL60" i="1"/>
  <c r="AA60" i="1"/>
  <c r="CC61" i="1"/>
  <c r="CB61" i="1"/>
  <c r="BF61" i="1"/>
  <c r="BE61" i="1"/>
  <c r="BD61" i="1"/>
  <c r="BC61" i="1"/>
  <c r="BB61" i="1"/>
  <c r="AY61" i="1"/>
  <c r="AL61" i="1"/>
  <c r="AA61" i="1"/>
  <c r="CC58" i="1"/>
  <c r="CB58" i="1"/>
  <c r="BF58" i="1"/>
  <c r="BE58" i="1"/>
  <c r="BD58" i="1"/>
  <c r="BC58" i="1"/>
  <c r="BB58" i="1"/>
  <c r="AY58" i="1"/>
  <c r="AL58" i="1"/>
  <c r="AA58" i="1"/>
  <c r="CC57" i="1"/>
  <c r="CB57" i="1"/>
  <c r="BF57" i="1"/>
  <c r="BE57" i="1"/>
  <c r="BD57" i="1"/>
  <c r="BC57" i="1"/>
  <c r="BB57" i="1"/>
  <c r="AY57" i="1"/>
  <c r="AL57" i="1"/>
  <c r="AA57" i="1"/>
  <c r="CC59" i="1"/>
  <c r="CE59" i="1" s="1"/>
  <c r="CJ59" i="1" s="1"/>
  <c r="CB59" i="1"/>
  <c r="BE59" i="1"/>
  <c r="BD59" i="1"/>
  <c r="BC59" i="1"/>
  <c r="BB59" i="1"/>
  <c r="AY59" i="1"/>
  <c r="AL59" i="1"/>
  <c r="AJ59" i="1"/>
  <c r="BF59" i="1" s="1"/>
  <c r="AA59" i="1"/>
  <c r="CC51" i="1"/>
  <c r="CB51" i="1"/>
  <c r="W51" i="1"/>
  <c r="AA51" i="1" s="1"/>
  <c r="CC43" i="1"/>
  <c r="CB43" i="1"/>
  <c r="BF43" i="1"/>
  <c r="BE43" i="1"/>
  <c r="BD43" i="1"/>
  <c r="BC43" i="1"/>
  <c r="BB43" i="1"/>
  <c r="AY43" i="1"/>
  <c r="AA43" i="1"/>
  <c r="CC42" i="1"/>
  <c r="CB42" i="1"/>
  <c r="BF42" i="1"/>
  <c r="BE42" i="1"/>
  <c r="BD42" i="1"/>
  <c r="BC42" i="1"/>
  <c r="BB42" i="1"/>
  <c r="AY42" i="1"/>
  <c r="AL42" i="1"/>
  <c r="AA42" i="1"/>
  <c r="CC33" i="1"/>
  <c r="CB33" i="1"/>
  <c r="AY33" i="1"/>
  <c r="AL33" i="1"/>
  <c r="AA33" i="1"/>
  <c r="CC31" i="1"/>
  <c r="CB31" i="1"/>
  <c r="AY31" i="1"/>
  <c r="AL31" i="1"/>
  <c r="AA31" i="1"/>
  <c r="CC25" i="1"/>
  <c r="CB25" i="1"/>
  <c r="AY25" i="1"/>
  <c r="AA25" i="1"/>
  <c r="CC24" i="1"/>
  <c r="CB24" i="1"/>
  <c r="AY24" i="1"/>
  <c r="AA24" i="1"/>
  <c r="AN61" i="1" l="1"/>
  <c r="CD61" i="1" s="1" a="1"/>
  <c r="CD61" i="1" s="1"/>
  <c r="AN59" i="1"/>
  <c r="CD59" i="1" s="1" a="1"/>
  <c r="CD59" i="1" s="1"/>
  <c r="AN58" i="1"/>
  <c r="CD58" i="1" s="1" a="1"/>
  <c r="CD58" i="1" s="1"/>
  <c r="AN31" i="1"/>
  <c r="CD31" i="1" s="1" a="1"/>
  <c r="CD31" i="1" s="1"/>
  <c r="AN60" i="1"/>
  <c r="CD60" i="1" s="1" a="1"/>
  <c r="CD60" i="1" s="1"/>
  <c r="AN42" i="1"/>
  <c r="CD42" i="1" s="1" a="1"/>
  <c r="CD42" i="1" s="1"/>
  <c r="AN57" i="1"/>
  <c r="CD57" i="1" s="1" a="1"/>
  <c r="CD57" i="1" s="1"/>
  <c r="AN33" i="1"/>
  <c r="CD33" i="1" s="1" a="1"/>
  <c r="CD33" i="1" s="1"/>
  <c r="BJ43" i="1"/>
  <c r="BL43" i="1" s="1"/>
  <c r="BI43" i="1"/>
  <c r="BK43" i="1" s="1"/>
  <c r="BI42" i="1"/>
  <c r="BK42" i="1" s="1"/>
  <c r="BJ42" i="1"/>
  <c r="BL42" i="1" s="1"/>
  <c r="BL60" i="1"/>
  <c r="BL61" i="1"/>
  <c r="BL58" i="1"/>
  <c r="BK60" i="1"/>
  <c r="BK57" i="1"/>
  <c r="BK61" i="1"/>
  <c r="BK58" i="1"/>
  <c r="BL57" i="1"/>
  <c r="BL59" i="1"/>
  <c r="BK59" i="1"/>
  <c r="N31" i="2" l="1"/>
  <c r="CC74" i="1"/>
  <c r="BZ74" i="1"/>
  <c r="CB74" i="1" s="1"/>
  <c r="BH74" i="1"/>
  <c r="BG74" i="1"/>
  <c r="BF74" i="1"/>
  <c r="BE74" i="1"/>
  <c r="BD74" i="1"/>
  <c r="BC74" i="1"/>
  <c r="BB74" i="1"/>
  <c r="AY74" i="1"/>
  <c r="AL74" i="1"/>
  <c r="AA74" i="1"/>
  <c r="T74" i="1"/>
  <c r="V74" i="1" s="1"/>
  <c r="CC75" i="1"/>
  <c r="CE75" i="1" s="1"/>
  <c r="BZ75" i="1"/>
  <c r="CB75" i="1" s="1"/>
  <c r="BH75" i="1"/>
  <c r="BG75" i="1"/>
  <c r="BF75" i="1"/>
  <c r="BE75" i="1"/>
  <c r="BD75" i="1"/>
  <c r="BC75" i="1"/>
  <c r="BB75" i="1"/>
  <c r="AY75" i="1"/>
  <c r="AL75" i="1"/>
  <c r="AA75" i="1"/>
  <c r="T75" i="1"/>
  <c r="V75" i="1" s="1"/>
  <c r="CC8" i="1"/>
  <c r="BZ8" i="1"/>
  <c r="CB8" i="1" s="1"/>
  <c r="BH8" i="1"/>
  <c r="BG8" i="1"/>
  <c r="BF8" i="1"/>
  <c r="BE8" i="1"/>
  <c r="BD8" i="1"/>
  <c r="BC8" i="1"/>
  <c r="BB8" i="1"/>
  <c r="AY8" i="1"/>
  <c r="AL8" i="1"/>
  <c r="AA8" i="1"/>
  <c r="CC27" i="1"/>
  <c r="BZ27" i="1"/>
  <c r="CB27" i="1" s="1"/>
  <c r="AY27" i="1"/>
  <c r="AL27" i="1"/>
  <c r="AA27" i="1"/>
  <c r="T27" i="1"/>
  <c r="V27" i="1" s="1"/>
  <c r="BH44" i="1"/>
  <c r="BG44" i="1"/>
  <c r="BF44" i="1"/>
  <c r="BE44" i="1"/>
  <c r="BD44" i="1"/>
  <c r="BC44" i="1"/>
  <c r="BB44" i="1"/>
  <c r="N30" i="2"/>
  <c r="AN75" i="1" l="1"/>
  <c r="CD75" i="1" s="1" a="1"/>
  <c r="CD75" i="1" s="1"/>
  <c r="CJ75" i="1" s="1"/>
  <c r="AN74" i="1"/>
  <c r="CD74" i="1" s="1" a="1"/>
  <c r="CD74" i="1" s="1"/>
  <c r="AN8" i="1"/>
  <c r="CD8" i="1" s="1" a="1"/>
  <c r="CD8" i="1" s="1"/>
  <c r="BJ74" i="1"/>
  <c r="BL74" i="1" s="1"/>
  <c r="BI74" i="1"/>
  <c r="BK74" i="1" s="1"/>
  <c r="BJ75" i="1"/>
  <c r="BL75" i="1" s="1"/>
  <c r="BI75" i="1"/>
  <c r="BK75" i="1" s="1"/>
  <c r="BJ8" i="1"/>
  <c r="BL8" i="1" s="1"/>
  <c r="BI8" i="1"/>
  <c r="BK8" i="1" s="1"/>
  <c r="BJ44" i="1"/>
  <c r="BL44" i="1" s="1"/>
  <c r="BI44" i="1"/>
  <c r="BK44" i="1" s="1"/>
  <c r="CC44" i="1"/>
  <c r="CE44" i="1" s="1"/>
  <c r="BZ44" i="1"/>
  <c r="CB44" i="1" s="1"/>
  <c r="AY44" i="1"/>
  <c r="AL44" i="1"/>
  <c r="AA44" i="1"/>
  <c r="AN44" i="1" l="1"/>
  <c r="CD44" i="1" s="1" a="1"/>
  <c r="CD44" i="1" s="1"/>
  <c r="CJ44" i="1" s="1"/>
  <c r="AN27" i="1"/>
  <c r="CD27" i="1" s="1" a="1"/>
  <c r="CD27" i="1" s="1"/>
  <c r="CC55" i="1"/>
  <c r="BZ55" i="1"/>
  <c r="CB55" i="1" s="1"/>
  <c r="BH55" i="1"/>
  <c r="BG55" i="1"/>
  <c r="BF55" i="1"/>
  <c r="BE55" i="1"/>
  <c r="BD55" i="1"/>
  <c r="BB55" i="1"/>
  <c r="AY55" i="1"/>
  <c r="AL55" i="1"/>
  <c r="N55" i="1"/>
  <c r="BC55" i="1" s="1"/>
  <c r="AA55" i="1"/>
  <c r="AN55" i="1" l="1"/>
  <c r="CD55" i="1" s="1" a="1"/>
  <c r="CD55" i="1" s="1"/>
  <c r="BJ55" i="1"/>
  <c r="BL55" i="1" s="1"/>
  <c r="BI55" i="1"/>
  <c r="BK55" i="1" s="1"/>
  <c r="AY9" i="1" l="1"/>
  <c r="AY10" i="1"/>
  <c r="AY62" i="1"/>
  <c r="AY63" i="1"/>
  <c r="AY65" i="1"/>
  <c r="AY66" i="1"/>
  <c r="AY67" i="1"/>
  <c r="AY68" i="1"/>
  <c r="AY69" i="1"/>
  <c r="AY70" i="1"/>
  <c r="AY71" i="1"/>
  <c r="AY72" i="1"/>
  <c r="AY73" i="1"/>
  <c r="AY76" i="1"/>
  <c r="AY77" i="1"/>
  <c r="AY78" i="1"/>
  <c r="AY79" i="1"/>
  <c r="AY80" i="1"/>
  <c r="AY81" i="1"/>
  <c r="AY82" i="1"/>
  <c r="AY83" i="1"/>
  <c r="AY84" i="1"/>
  <c r="AY85" i="1"/>
  <c r="AY87" i="1"/>
  <c r="AY88" i="1"/>
  <c r="AY89" i="1"/>
  <c r="AY90" i="1"/>
  <c r="AY91" i="1"/>
  <c r="AY12" i="1"/>
  <c r="AY13" i="1"/>
  <c r="AY14" i="1"/>
  <c r="AY20" i="1"/>
  <c r="AY21" i="1"/>
  <c r="AY22" i="1"/>
  <c r="AY28" i="1"/>
  <c r="AY30" i="1"/>
  <c r="AY32" i="1"/>
  <c r="AY34" i="1"/>
  <c r="AY37" i="1"/>
  <c r="AY38" i="1"/>
  <c r="AY41" i="1"/>
  <c r="AY52" i="1"/>
  <c r="AY46" i="1"/>
  <c r="AY47" i="1"/>
  <c r="AY50" i="1"/>
  <c r="AY53" i="1"/>
  <c r="AY54" i="1"/>
  <c r="AY48" i="1"/>
  <c r="AY3" i="1"/>
  <c r="AA38" i="1"/>
  <c r="CC41" i="1"/>
  <c r="BZ41" i="1"/>
  <c r="CB41" i="1" s="1"/>
  <c r="BH41" i="1"/>
  <c r="BG41" i="1"/>
  <c r="BF41" i="1"/>
  <c r="BE41" i="1"/>
  <c r="BD41" i="1"/>
  <c r="BC41" i="1"/>
  <c r="BB41" i="1"/>
  <c r="AL41" i="1"/>
  <c r="AN41" i="1" s="1"/>
  <c r="AA41" i="1"/>
  <c r="T41" i="1"/>
  <c r="V41" i="1" s="1"/>
  <c r="CC10" i="1"/>
  <c r="BZ10" i="1"/>
  <c r="CB10" i="1" s="1"/>
  <c r="BH10" i="1"/>
  <c r="BG10" i="1"/>
  <c r="BF10" i="1"/>
  <c r="BE10" i="1"/>
  <c r="BD10" i="1"/>
  <c r="BC10" i="1"/>
  <c r="BB10" i="1"/>
  <c r="AL10" i="1"/>
  <c r="AA10" i="1"/>
  <c r="CC38" i="1"/>
  <c r="BZ38" i="1"/>
  <c r="CB38" i="1" s="1"/>
  <c r="BH38" i="1"/>
  <c r="BG38" i="1"/>
  <c r="BF38" i="1"/>
  <c r="BE38" i="1"/>
  <c r="BD38" i="1"/>
  <c r="BC38" i="1"/>
  <c r="BB38" i="1"/>
  <c r="AL38" i="1"/>
  <c r="T38" i="1"/>
  <c r="V38" i="1" s="1"/>
  <c r="CC9" i="1"/>
  <c r="BZ9" i="1"/>
  <c r="CB9" i="1" s="1"/>
  <c r="BH9" i="1"/>
  <c r="BG9" i="1"/>
  <c r="BF9" i="1"/>
  <c r="BE9" i="1"/>
  <c r="BD9" i="1"/>
  <c r="BC9" i="1"/>
  <c r="BB9" i="1"/>
  <c r="AL9" i="1"/>
  <c r="AA9" i="1"/>
  <c r="CC37" i="1"/>
  <c r="BZ37" i="1"/>
  <c r="CB37" i="1" s="1"/>
  <c r="AL37" i="1"/>
  <c r="AA37" i="1"/>
  <c r="T37" i="1"/>
  <c r="V37" i="1" s="1"/>
  <c r="CC34" i="1"/>
  <c r="BZ34" i="1"/>
  <c r="CB34" i="1" s="1"/>
  <c r="AL34" i="1"/>
  <c r="AA34" i="1"/>
  <c r="T34" i="1"/>
  <c r="V34" i="1" s="1"/>
  <c r="CB50" i="1"/>
  <c r="BZ54" i="1"/>
  <c r="CB54" i="1" s="1"/>
  <c r="BZ48" i="1"/>
  <c r="BH54" i="1"/>
  <c r="BG54" i="1"/>
  <c r="BF54" i="1"/>
  <c r="CC54" i="1"/>
  <c r="BE54" i="1"/>
  <c r="BD54" i="1"/>
  <c r="BC54" i="1"/>
  <c r="BB54" i="1"/>
  <c r="AL54" i="1"/>
  <c r="AA54" i="1"/>
  <c r="AN10" i="1" l="1"/>
  <c r="AN34" i="1"/>
  <c r="CD34" i="1" s="1" a="1"/>
  <c r="CD34" i="1" s="1"/>
  <c r="AN9" i="1"/>
  <c r="AN29" i="1" s="1"/>
  <c r="CD29" i="1" s="1" a="1"/>
  <c r="CD29" i="1" s="1"/>
  <c r="AN54" i="1"/>
  <c r="CD54" i="1" s="1" a="1"/>
  <c r="CD54" i="1" s="1"/>
  <c r="CD41" i="1" a="1"/>
  <c r="CD41" i="1" s="1"/>
  <c r="BJ41" i="1"/>
  <c r="BL41" i="1" s="1"/>
  <c r="BJ10" i="1"/>
  <c r="BL10" i="1" s="1"/>
  <c r="BI41" i="1"/>
  <c r="BK41" i="1" s="1"/>
  <c r="BI10" i="1"/>
  <c r="BK10" i="1" s="1"/>
  <c r="BI9" i="1"/>
  <c r="BK9" i="1" s="1"/>
  <c r="BJ38" i="1"/>
  <c r="BL38" i="1" s="1"/>
  <c r="BJ9" i="1"/>
  <c r="BL9" i="1" s="1"/>
  <c r="BI38" i="1"/>
  <c r="BK38" i="1" s="1"/>
  <c r="BI54" i="1"/>
  <c r="BK54" i="1" s="1"/>
  <c r="BJ54" i="1"/>
  <c r="BL54" i="1" s="1"/>
  <c r="AN37" i="1" l="1"/>
  <c r="CD37" i="1" s="1" a="1"/>
  <c r="CD37" i="1" s="1"/>
  <c r="CD9" i="1" a="1"/>
  <c r="CD9" i="1" s="1"/>
  <c r="AN43" i="1"/>
  <c r="CD43" i="1" s="1" a="1"/>
  <c r="CD43" i="1" s="1"/>
  <c r="AN39" i="1"/>
  <c r="CD39" i="1" s="1" a="1"/>
  <c r="CD39" i="1" s="1"/>
  <c r="CD10" i="1" a="1"/>
  <c r="CD10" i="1" s="1"/>
  <c r="AN38" i="1"/>
  <c r="CD38" i="1" s="1" a="1"/>
  <c r="CD38" i="1" s="1"/>
  <c r="CC22" i="1"/>
  <c r="BZ22" i="1"/>
  <c r="CB22" i="1" s="1"/>
  <c r="BH22" i="1"/>
  <c r="BG22" i="1"/>
  <c r="BF22" i="1"/>
  <c r="BE22" i="1"/>
  <c r="BD22" i="1"/>
  <c r="BC22" i="1"/>
  <c r="BA21" i="1"/>
  <c r="AL22" i="1" l="1"/>
  <c r="BB22" i="1"/>
  <c r="BI22" i="1" s="1"/>
  <c r="BK22" i="1" s="1"/>
  <c r="AN22" i="1" l="1"/>
  <c r="CD22" i="1" s="1" a="1"/>
  <c r="CD22" i="1" s="1"/>
  <c r="AK22" i="1"/>
  <c r="BJ22" i="1"/>
  <c r="BL22" i="1" s="1"/>
  <c r="AA22" i="1"/>
  <c r="CC30" i="1"/>
  <c r="BZ30" i="1"/>
  <c r="CB30" i="1" s="1"/>
  <c r="AL30" i="1"/>
  <c r="AA30" i="1"/>
  <c r="T30" i="1"/>
  <c r="V30" i="1" s="1"/>
  <c r="CC3" i="1"/>
  <c r="BZ3" i="1"/>
  <c r="CB3" i="1" s="1"/>
  <c r="BH3" i="1"/>
  <c r="BG3" i="1"/>
  <c r="BF3" i="1"/>
  <c r="BE3" i="1"/>
  <c r="AL3" i="1"/>
  <c r="BD3" i="1"/>
  <c r="BC3" i="1"/>
  <c r="BB3" i="1"/>
  <c r="AA3" i="1"/>
  <c r="AN3" i="1" l="1"/>
  <c r="AN30" i="1" s="1"/>
  <c r="CD30" i="1" s="1" a="1"/>
  <c r="CD30" i="1" s="1"/>
  <c r="BJ3" i="1"/>
  <c r="BL3" i="1" s="1"/>
  <c r="BI3" i="1"/>
  <c r="BK3" i="1" s="1"/>
  <c r="CC28" i="1"/>
  <c r="BZ28" i="1"/>
  <c r="CB28" i="1" s="1"/>
  <c r="AL28" i="1"/>
  <c r="AA28" i="1"/>
  <c r="T28" i="1"/>
  <c r="V28" i="1" s="1"/>
  <c r="O29" i="2"/>
  <c r="N29" i="2" s="1"/>
  <c r="CE49" i="1" s="1"/>
  <c r="CJ49" i="1" s="1"/>
  <c r="CB48" i="1"/>
  <c r="BH48" i="1"/>
  <c r="BH53" i="1"/>
  <c r="BH50" i="1"/>
  <c r="BH47" i="1"/>
  <c r="BH46" i="1"/>
  <c r="BH52" i="1"/>
  <c r="BG48" i="1"/>
  <c r="BG53" i="1"/>
  <c r="BG50" i="1"/>
  <c r="BG47" i="1"/>
  <c r="BG46" i="1"/>
  <c r="BG52" i="1"/>
  <c r="CC48" i="1"/>
  <c r="BF48" i="1"/>
  <c r="BE48" i="1"/>
  <c r="BD48" i="1"/>
  <c r="BC48" i="1"/>
  <c r="BB48" i="1"/>
  <c r="AL48" i="1"/>
  <c r="AA48" i="1"/>
  <c r="BA14" i="1"/>
  <c r="AN28" i="1" l="1"/>
  <c r="CD28" i="1" s="1" a="1"/>
  <c r="CD28" i="1" s="1"/>
  <c r="AN48" i="1"/>
  <c r="CD48" i="1" s="1" a="1"/>
  <c r="CD48" i="1" s="1"/>
  <c r="CD3" i="1" a="1"/>
  <c r="CD3" i="1" s="1"/>
  <c r="CE48" i="1"/>
  <c r="BJ48" i="1"/>
  <c r="BL48" i="1" s="1"/>
  <c r="BI48" i="1"/>
  <c r="BK48" i="1" s="1"/>
  <c r="CJ48" i="1" l="1"/>
  <c r="CC14" i="1"/>
  <c r="BZ14" i="1"/>
  <c r="CB14" i="1" s="1"/>
  <c r="BH14" i="1"/>
  <c r="BG14" i="1"/>
  <c r="BF14" i="1"/>
  <c r="BE14" i="1"/>
  <c r="BD14" i="1"/>
  <c r="BC14" i="1"/>
  <c r="BB14" i="1"/>
  <c r="AL14" i="1"/>
  <c r="AA14" i="1"/>
  <c r="BF53" i="1"/>
  <c r="AA50" i="1"/>
  <c r="AA53" i="1"/>
  <c r="CC46" i="1"/>
  <c r="BZ46" i="1"/>
  <c r="CB46" i="1" s="1"/>
  <c r="BF46" i="1"/>
  <c r="BE46" i="1"/>
  <c r="BD46" i="1"/>
  <c r="BC46" i="1"/>
  <c r="BB46" i="1"/>
  <c r="AL46" i="1"/>
  <c r="AA46" i="1"/>
  <c r="AL47" i="1"/>
  <c r="BB47" i="1"/>
  <c r="BC47" i="1"/>
  <c r="BD47" i="1"/>
  <c r="BE47" i="1"/>
  <c r="BF47" i="1"/>
  <c r="BZ47" i="1"/>
  <c r="CB47" i="1" s="1"/>
  <c r="CC47" i="1"/>
  <c r="AL50" i="1"/>
  <c r="BB50" i="1"/>
  <c r="BC50" i="1"/>
  <c r="BD50" i="1"/>
  <c r="BE50" i="1"/>
  <c r="BF50" i="1"/>
  <c r="CC50" i="1"/>
  <c r="AL53" i="1"/>
  <c r="BB53" i="1"/>
  <c r="BC53" i="1"/>
  <c r="BD53" i="1"/>
  <c r="BE53" i="1"/>
  <c r="BZ53" i="1"/>
  <c r="CB53" i="1" s="1"/>
  <c r="CC53" i="1"/>
  <c r="AA47" i="1"/>
  <c r="CC21" i="1"/>
  <c r="CC20" i="1"/>
  <c r="BZ20" i="1"/>
  <c r="CB20" i="1" s="1"/>
  <c r="BZ21" i="1"/>
  <c r="CB21" i="1" s="1"/>
  <c r="BH21" i="1"/>
  <c r="BG21" i="1"/>
  <c r="BF21" i="1"/>
  <c r="BE21" i="1"/>
  <c r="BH20" i="1"/>
  <c r="BG20" i="1"/>
  <c r="BF20" i="1"/>
  <c r="BE20" i="1"/>
  <c r="BD21" i="1"/>
  <c r="BC21" i="1"/>
  <c r="BB21" i="1"/>
  <c r="AL21" i="1"/>
  <c r="AA21" i="1"/>
  <c r="BD20" i="1"/>
  <c r="BC20" i="1"/>
  <c r="BB20" i="1"/>
  <c r="AL20" i="1"/>
  <c r="AA20" i="1"/>
  <c r="AN14" i="1" l="1"/>
  <c r="CD14" i="1" s="1" a="1"/>
  <c r="CD14" i="1" s="1"/>
  <c r="AN53" i="1"/>
  <c r="CD53" i="1" s="1" a="1"/>
  <c r="CD53" i="1" s="1"/>
  <c r="AN46" i="1"/>
  <c r="CD46" i="1" s="1" a="1"/>
  <c r="CD46" i="1" s="1"/>
  <c r="AN47" i="1"/>
  <c r="CD47" i="1" s="1" a="1"/>
  <c r="CD47" i="1" s="1"/>
  <c r="AN20" i="1"/>
  <c r="CD20" i="1" s="1" a="1"/>
  <c r="CD20" i="1" s="1"/>
  <c r="AN21" i="1"/>
  <c r="CD21" i="1" s="1" a="1"/>
  <c r="CD21" i="1" s="1"/>
  <c r="AN50" i="1"/>
  <c r="CD50" i="1" s="1" a="1"/>
  <c r="CD50" i="1" s="1"/>
  <c r="BI21" i="1"/>
  <c r="BK21" i="1" s="1"/>
  <c r="BJ14" i="1"/>
  <c r="BL14" i="1" s="1"/>
  <c r="BI50" i="1"/>
  <c r="BK50" i="1" s="1"/>
  <c r="BI14" i="1"/>
  <c r="BK14" i="1" s="1"/>
  <c r="BI20" i="1"/>
  <c r="BK20" i="1" s="1"/>
  <c r="BI53" i="1"/>
  <c r="BK53" i="1" s="1"/>
  <c r="BI47" i="1"/>
  <c r="BK47" i="1" s="1"/>
  <c r="BJ46" i="1"/>
  <c r="BL46" i="1" s="1"/>
  <c r="BJ21" i="1"/>
  <c r="BL21" i="1" s="1"/>
  <c r="BJ20" i="1"/>
  <c r="BL20" i="1" s="1"/>
  <c r="BJ47" i="1"/>
  <c r="BL47" i="1" s="1"/>
  <c r="BI46" i="1"/>
  <c r="BK46" i="1" s="1"/>
  <c r="BJ50" i="1"/>
  <c r="BL50" i="1" s="1"/>
  <c r="BJ53" i="1"/>
  <c r="BL53" i="1" s="1"/>
  <c r="CC67" i="1" l="1"/>
  <c r="BZ67" i="1"/>
  <c r="CB67" i="1" s="1"/>
  <c r="BH67" i="1"/>
  <c r="BG67" i="1"/>
  <c r="BF67" i="1"/>
  <c r="BE67" i="1"/>
  <c r="BD67" i="1"/>
  <c r="BC67" i="1"/>
  <c r="BB67" i="1"/>
  <c r="AL67" i="1"/>
  <c r="AA67" i="1"/>
  <c r="T67" i="1"/>
  <c r="V67" i="1" s="1"/>
  <c r="AN67" i="1" l="1"/>
  <c r="CD67" i="1" s="1" a="1"/>
  <c r="CD67" i="1" s="1"/>
  <c r="BJ67" i="1"/>
  <c r="BL67" i="1" s="1"/>
  <c r="BI67" i="1"/>
  <c r="BK67" i="1" s="1"/>
  <c r="CC63" i="1"/>
  <c r="BZ63" i="1"/>
  <c r="CB63" i="1" s="1"/>
  <c r="BH63" i="1"/>
  <c r="BG63" i="1"/>
  <c r="BF63" i="1"/>
  <c r="BE63" i="1"/>
  <c r="BD63" i="1"/>
  <c r="BC63" i="1"/>
  <c r="BB63" i="1"/>
  <c r="AL63" i="1"/>
  <c r="AA63" i="1"/>
  <c r="T63" i="1"/>
  <c r="V63" i="1" s="1"/>
  <c r="AN63" i="1" l="1"/>
  <c r="CD63" i="1" s="1" a="1"/>
  <c r="CD63" i="1" s="1"/>
  <c r="BJ63" i="1"/>
  <c r="BL63" i="1" s="1"/>
  <c r="BI63" i="1"/>
  <c r="BK63" i="1" s="1"/>
  <c r="N28" i="2"/>
  <c r="CE74" i="1" s="1"/>
  <c r="CJ74" i="1" s="1"/>
  <c r="CC69" i="1"/>
  <c r="BZ69" i="1"/>
  <c r="CB69" i="1" s="1"/>
  <c r="BH69" i="1"/>
  <c r="BG69" i="1"/>
  <c r="BF69" i="1"/>
  <c r="BE69" i="1"/>
  <c r="BD69" i="1"/>
  <c r="BC69" i="1"/>
  <c r="BB69" i="1"/>
  <c r="AL69" i="1"/>
  <c r="AA69" i="1"/>
  <c r="T69" i="1"/>
  <c r="V69" i="1" s="1"/>
  <c r="CC71" i="1"/>
  <c r="BZ71" i="1"/>
  <c r="CB71" i="1" s="1"/>
  <c r="BH71" i="1"/>
  <c r="BG71" i="1"/>
  <c r="BF71" i="1"/>
  <c r="BE71" i="1"/>
  <c r="BD71" i="1"/>
  <c r="BC71" i="1"/>
  <c r="BB71" i="1"/>
  <c r="AL71" i="1"/>
  <c r="AA71" i="1"/>
  <c r="T71" i="1"/>
  <c r="V71" i="1" s="1"/>
  <c r="CC68" i="1"/>
  <c r="BZ68" i="1"/>
  <c r="CB68" i="1" s="1"/>
  <c r="BH68" i="1"/>
  <c r="BG68" i="1"/>
  <c r="BF68" i="1"/>
  <c r="BE68" i="1"/>
  <c r="BD68" i="1"/>
  <c r="BC68" i="1"/>
  <c r="BB68" i="1"/>
  <c r="AL68" i="1"/>
  <c r="AA68" i="1"/>
  <c r="T68" i="1"/>
  <c r="V68" i="1" s="1"/>
  <c r="CC76" i="1"/>
  <c r="BZ76" i="1"/>
  <c r="CB76" i="1" s="1"/>
  <c r="BH76" i="1"/>
  <c r="BG76" i="1"/>
  <c r="BF76" i="1"/>
  <c r="BE76" i="1"/>
  <c r="BD76" i="1"/>
  <c r="BC76" i="1"/>
  <c r="BB76" i="1"/>
  <c r="AL76" i="1"/>
  <c r="AA76" i="1"/>
  <c r="T76" i="1"/>
  <c r="V76" i="1" s="1"/>
  <c r="CC73" i="1"/>
  <c r="CE73" i="1" s="1"/>
  <c r="BZ73" i="1"/>
  <c r="CB73" i="1" s="1"/>
  <c r="BH73" i="1"/>
  <c r="BG73" i="1"/>
  <c r="BF73" i="1"/>
  <c r="BE73" i="1"/>
  <c r="BD73" i="1"/>
  <c r="BC73" i="1"/>
  <c r="BB73" i="1"/>
  <c r="AL73" i="1"/>
  <c r="AA73" i="1"/>
  <c r="T73" i="1"/>
  <c r="V73" i="1" s="1"/>
  <c r="CC72" i="1"/>
  <c r="CE72" i="1" s="1"/>
  <c r="BZ72" i="1"/>
  <c r="CB72" i="1" s="1"/>
  <c r="BH72" i="1"/>
  <c r="BG72" i="1"/>
  <c r="BF72" i="1"/>
  <c r="BE72" i="1"/>
  <c r="BD72" i="1"/>
  <c r="BC72" i="1"/>
  <c r="BB72" i="1"/>
  <c r="AL72" i="1"/>
  <c r="AA72" i="1"/>
  <c r="T72" i="1"/>
  <c r="V72" i="1" s="1"/>
  <c r="CC70" i="1"/>
  <c r="BZ70" i="1"/>
  <c r="CB70" i="1" s="1"/>
  <c r="BH70" i="1"/>
  <c r="BG70" i="1"/>
  <c r="BF70" i="1"/>
  <c r="BE70" i="1"/>
  <c r="BD70" i="1"/>
  <c r="BC70" i="1"/>
  <c r="BB70" i="1"/>
  <c r="AL70" i="1"/>
  <c r="AA70" i="1"/>
  <c r="T70" i="1"/>
  <c r="V70" i="1" s="1"/>
  <c r="CC66" i="1"/>
  <c r="BZ66" i="1"/>
  <c r="CB66" i="1" s="1"/>
  <c r="BH66" i="1"/>
  <c r="BG66" i="1"/>
  <c r="BF66" i="1"/>
  <c r="BE66" i="1"/>
  <c r="BD66" i="1"/>
  <c r="BC66" i="1"/>
  <c r="BB66" i="1"/>
  <c r="AL66" i="1"/>
  <c r="AA66" i="1"/>
  <c r="T66" i="1"/>
  <c r="V66" i="1" s="1"/>
  <c r="AN73" i="1" l="1"/>
  <c r="CD73" i="1" s="1" a="1"/>
  <c r="CD73" i="1" s="1"/>
  <c r="CJ73" i="1" s="1"/>
  <c r="AN71" i="1"/>
  <c r="CD71" i="1" s="1" a="1"/>
  <c r="CD71" i="1" s="1"/>
  <c r="AN69" i="1"/>
  <c r="CD69" i="1" s="1" a="1"/>
  <c r="CD69" i="1" s="1"/>
  <c r="AN66" i="1"/>
  <c r="CD66" i="1" s="1" a="1"/>
  <c r="CD66" i="1" s="1"/>
  <c r="AN76" i="1"/>
  <c r="CD76" i="1" s="1" a="1"/>
  <c r="CD76" i="1" s="1"/>
  <c r="AN70" i="1"/>
  <c r="CD70" i="1" s="1" a="1"/>
  <c r="CD70" i="1" s="1"/>
  <c r="AN72" i="1"/>
  <c r="CD72" i="1" s="1" a="1"/>
  <c r="CD72" i="1" s="1"/>
  <c r="CJ72" i="1" s="1"/>
  <c r="AN68" i="1"/>
  <c r="CD68" i="1" s="1" a="1"/>
  <c r="CD68" i="1" s="1"/>
  <c r="CE76" i="1"/>
  <c r="BI69" i="1"/>
  <c r="BK69" i="1" s="1"/>
  <c r="BJ69" i="1"/>
  <c r="BL69" i="1" s="1"/>
  <c r="BI71" i="1"/>
  <c r="BK71" i="1" s="1"/>
  <c r="BJ68" i="1"/>
  <c r="BL68" i="1" s="1"/>
  <c r="BJ71" i="1"/>
  <c r="BL71" i="1" s="1"/>
  <c r="BI68" i="1"/>
  <c r="BK68" i="1" s="1"/>
  <c r="BJ73" i="1"/>
  <c r="BL73" i="1" s="1"/>
  <c r="BJ76" i="1"/>
  <c r="BL76" i="1" s="1"/>
  <c r="BI76" i="1"/>
  <c r="BK76" i="1" s="1"/>
  <c r="BJ72" i="1"/>
  <c r="BL72" i="1" s="1"/>
  <c r="BI73" i="1"/>
  <c r="BK73" i="1" s="1"/>
  <c r="BI72" i="1"/>
  <c r="BK72" i="1" s="1"/>
  <c r="BJ70" i="1"/>
  <c r="BL70" i="1" s="1"/>
  <c r="BI70" i="1"/>
  <c r="BK70" i="1" s="1"/>
  <c r="BJ66" i="1"/>
  <c r="BL66" i="1" s="1"/>
  <c r="BI66" i="1"/>
  <c r="BK66" i="1" s="1"/>
  <c r="BZ65" i="1"/>
  <c r="BZ77" i="1"/>
  <c r="CB77" i="1" s="1"/>
  <c r="BZ78" i="1"/>
  <c r="CB78" i="1" s="1"/>
  <c r="BZ79" i="1"/>
  <c r="CB79" i="1" s="1"/>
  <c r="BZ80" i="1"/>
  <c r="CB80" i="1" s="1"/>
  <c r="BZ81" i="1"/>
  <c r="CB81" i="1" s="1"/>
  <c r="BZ82" i="1"/>
  <c r="BZ83" i="1"/>
  <c r="CB83" i="1" s="1"/>
  <c r="BZ84" i="1"/>
  <c r="CB84" i="1" s="1"/>
  <c r="BZ85" i="1"/>
  <c r="CB85" i="1" s="1"/>
  <c r="BZ87" i="1"/>
  <c r="CB87" i="1" s="1"/>
  <c r="BZ88" i="1"/>
  <c r="CB88" i="1" s="1"/>
  <c r="BZ89" i="1"/>
  <c r="CB89" i="1" s="1"/>
  <c r="BZ90" i="1"/>
  <c r="CB90" i="1" s="1"/>
  <c r="BZ91" i="1"/>
  <c r="CB91" i="1" s="1"/>
  <c r="BZ12" i="1"/>
  <c r="BZ13" i="1"/>
  <c r="BZ32" i="1"/>
  <c r="BZ52" i="1"/>
  <c r="BZ62" i="1"/>
  <c r="AL32" i="1"/>
  <c r="AL52" i="1"/>
  <c r="AL65" i="1"/>
  <c r="AL77" i="1"/>
  <c r="AL78" i="1"/>
  <c r="AL79" i="1"/>
  <c r="AL80" i="1"/>
  <c r="AL81" i="1"/>
  <c r="AL82" i="1"/>
  <c r="AL83" i="1"/>
  <c r="AL84" i="1"/>
  <c r="AL85" i="1"/>
  <c r="AL87" i="1"/>
  <c r="AL88" i="1"/>
  <c r="AL89" i="1"/>
  <c r="AL90" i="1"/>
  <c r="AL91" i="1"/>
  <c r="AL12" i="1"/>
  <c r="AL13" i="1"/>
  <c r="CC77" i="1"/>
  <c r="BH77" i="1"/>
  <c r="BG77" i="1"/>
  <c r="BF77" i="1"/>
  <c r="BE77" i="1"/>
  <c r="BD77" i="1"/>
  <c r="BC77" i="1"/>
  <c r="BB77" i="1"/>
  <c r="AA77" i="1"/>
  <c r="CC91" i="1"/>
  <c r="BH91" i="1"/>
  <c r="BG91" i="1"/>
  <c r="BF91" i="1"/>
  <c r="BE91" i="1"/>
  <c r="BD91" i="1"/>
  <c r="BC91" i="1"/>
  <c r="BB91" i="1"/>
  <c r="AA91" i="1"/>
  <c r="CC90" i="1"/>
  <c r="BH90" i="1"/>
  <c r="BG90" i="1"/>
  <c r="BF90" i="1"/>
  <c r="BE90" i="1"/>
  <c r="BD90" i="1"/>
  <c r="BC90" i="1"/>
  <c r="BB90" i="1"/>
  <c r="AA90" i="1"/>
  <c r="CC89" i="1"/>
  <c r="BH89" i="1"/>
  <c r="BG89" i="1"/>
  <c r="BF89" i="1"/>
  <c r="BE89" i="1"/>
  <c r="BD89" i="1"/>
  <c r="BC89" i="1"/>
  <c r="BB89" i="1"/>
  <c r="AA89" i="1"/>
  <c r="CC88" i="1"/>
  <c r="BH88" i="1"/>
  <c r="BG88" i="1"/>
  <c r="BF88" i="1"/>
  <c r="BE88" i="1"/>
  <c r="BD88" i="1"/>
  <c r="BC88" i="1"/>
  <c r="BB88" i="1"/>
  <c r="AA88" i="1"/>
  <c r="CC87" i="1"/>
  <c r="BH87" i="1"/>
  <c r="BG87" i="1"/>
  <c r="BF87" i="1"/>
  <c r="BE87" i="1"/>
  <c r="BD87" i="1"/>
  <c r="BC87" i="1"/>
  <c r="BB87" i="1"/>
  <c r="AA87" i="1"/>
  <c r="CC85" i="1"/>
  <c r="BH85" i="1"/>
  <c r="BG85" i="1"/>
  <c r="BF85" i="1"/>
  <c r="BE85" i="1"/>
  <c r="BD85" i="1"/>
  <c r="BC85" i="1"/>
  <c r="BB85" i="1"/>
  <c r="AA85" i="1"/>
  <c r="CC84" i="1"/>
  <c r="BH84" i="1"/>
  <c r="BG84" i="1"/>
  <c r="BF84" i="1"/>
  <c r="BE84" i="1"/>
  <c r="BD84" i="1"/>
  <c r="BC84" i="1"/>
  <c r="BB84" i="1"/>
  <c r="AA84" i="1"/>
  <c r="CC83" i="1"/>
  <c r="BH83" i="1"/>
  <c r="BG83" i="1"/>
  <c r="BF83" i="1"/>
  <c r="BE83" i="1"/>
  <c r="BD83" i="1"/>
  <c r="BC83" i="1"/>
  <c r="BB83" i="1"/>
  <c r="AA83" i="1"/>
  <c r="CC81" i="1"/>
  <c r="BH81" i="1"/>
  <c r="BG81" i="1"/>
  <c r="BF81" i="1"/>
  <c r="BE81" i="1"/>
  <c r="BD81" i="1"/>
  <c r="BC81" i="1"/>
  <c r="BB81" i="1"/>
  <c r="AA81" i="1"/>
  <c r="CC80" i="1"/>
  <c r="BH80" i="1"/>
  <c r="BG80" i="1"/>
  <c r="BF80" i="1"/>
  <c r="BE80" i="1"/>
  <c r="BD80" i="1"/>
  <c r="BC80" i="1"/>
  <c r="BB80" i="1"/>
  <c r="AA80" i="1"/>
  <c r="CC79" i="1"/>
  <c r="BH79" i="1"/>
  <c r="BG79" i="1"/>
  <c r="BF79" i="1"/>
  <c r="BE79" i="1"/>
  <c r="BD79" i="1"/>
  <c r="BC79" i="1"/>
  <c r="BB79" i="1"/>
  <c r="AA79" i="1"/>
  <c r="CC78" i="1"/>
  <c r="BH78" i="1"/>
  <c r="BG78" i="1"/>
  <c r="BF78" i="1"/>
  <c r="BE78" i="1"/>
  <c r="BD78" i="1"/>
  <c r="BC78" i="1"/>
  <c r="BB78" i="1"/>
  <c r="AA78" i="1"/>
  <c r="CJ76" i="1" l="1"/>
  <c r="AN84" i="1"/>
  <c r="CD84" i="1" s="1" a="1"/>
  <c r="CD84" i="1" s="1"/>
  <c r="AN82" i="1"/>
  <c r="CD82" i="1" s="1" a="1"/>
  <c r="CD82" i="1" s="1"/>
  <c r="AN77" i="1"/>
  <c r="CD77" i="1" s="1" a="1"/>
  <c r="CD77" i="1" s="1"/>
  <c r="AN83" i="1"/>
  <c r="CD83" i="1" s="1" a="1"/>
  <c r="CD83" i="1" s="1"/>
  <c r="AN32" i="1"/>
  <c r="CD32" i="1" s="1" a="1"/>
  <c r="CD32" i="1" s="1"/>
  <c r="AN80" i="1"/>
  <c r="CD80" i="1" s="1" a="1"/>
  <c r="CD80" i="1" s="1"/>
  <c r="AN52" i="1"/>
  <c r="CD52" i="1" s="1" a="1"/>
  <c r="CD52" i="1" s="1"/>
  <c r="AN91" i="1"/>
  <c r="CD91" i="1" s="1" a="1"/>
  <c r="CD91" i="1" s="1"/>
  <c r="AN65" i="1"/>
  <c r="CD65" i="1" s="1" a="1"/>
  <c r="CD65" i="1" s="1"/>
  <c r="AN81" i="1"/>
  <c r="CD81" i="1" s="1" a="1"/>
  <c r="CD81" i="1" s="1"/>
  <c r="AN78" i="1"/>
  <c r="CD78" i="1" s="1" a="1"/>
  <c r="CD78" i="1" s="1"/>
  <c r="AN13" i="1"/>
  <c r="CD13" i="1" s="1" a="1"/>
  <c r="CD13" i="1" s="1"/>
  <c r="AN12" i="1"/>
  <c r="CD12" i="1" s="1" a="1"/>
  <c r="CD12" i="1" s="1"/>
  <c r="AN90" i="1"/>
  <c r="CD90" i="1" s="1" a="1"/>
  <c r="CD90" i="1" s="1"/>
  <c r="AN88" i="1"/>
  <c r="CD88" i="1" s="1" a="1"/>
  <c r="CD88" i="1" s="1"/>
  <c r="AN87" i="1"/>
  <c r="CD87" i="1" s="1" a="1"/>
  <c r="CD87" i="1" s="1"/>
  <c r="AN79" i="1"/>
  <c r="CD79" i="1" s="1" a="1"/>
  <c r="CD79" i="1" s="1"/>
  <c r="AN89" i="1"/>
  <c r="CD89" i="1" s="1" a="1"/>
  <c r="CD89" i="1" s="1"/>
  <c r="AN85" i="1"/>
  <c r="CD85" i="1" s="1" a="1"/>
  <c r="CD85" i="1" s="1"/>
  <c r="BJ87" i="1"/>
  <c r="BL87" i="1" s="1"/>
  <c r="BJ91" i="1"/>
  <c r="BL91" i="1" s="1"/>
  <c r="BJ84" i="1"/>
  <c r="BL84" i="1" s="1"/>
  <c r="BJ89" i="1"/>
  <c r="BL89" i="1" s="1"/>
  <c r="BI77" i="1"/>
  <c r="BK77" i="1" s="1"/>
  <c r="BJ77" i="1"/>
  <c r="BL77" i="1" s="1"/>
  <c r="BJ80" i="1"/>
  <c r="BL80" i="1" s="1"/>
  <c r="BJ81" i="1"/>
  <c r="BL81" i="1" s="1"/>
  <c r="BI79" i="1"/>
  <c r="BK79" i="1" s="1"/>
  <c r="BJ90" i="1"/>
  <c r="BL90" i="1" s="1"/>
  <c r="BJ88" i="1"/>
  <c r="BL88" i="1" s="1"/>
  <c r="BJ85" i="1"/>
  <c r="BL85" i="1" s="1"/>
  <c r="BJ83" i="1"/>
  <c r="BL83" i="1" s="1"/>
  <c r="BI90" i="1"/>
  <c r="BK90" i="1" s="1"/>
  <c r="BI87" i="1"/>
  <c r="BK87" i="1" s="1"/>
  <c r="BI84" i="1"/>
  <c r="BK84" i="1" s="1"/>
  <c r="BI83" i="1"/>
  <c r="BK83" i="1" s="1"/>
  <c r="BI81" i="1"/>
  <c r="BK81" i="1" s="1"/>
  <c r="BJ79" i="1"/>
  <c r="BL79" i="1" s="1"/>
  <c r="BI91" i="1"/>
  <c r="BK91" i="1" s="1"/>
  <c r="BI89" i="1"/>
  <c r="BK89" i="1" s="1"/>
  <c r="BI88" i="1"/>
  <c r="BK88" i="1" s="1"/>
  <c r="BI85" i="1"/>
  <c r="BK85" i="1" s="1"/>
  <c r="BI80" i="1"/>
  <c r="BK80" i="1" s="1"/>
  <c r="BJ78" i="1"/>
  <c r="BL78" i="1" s="1"/>
  <c r="BI78" i="1"/>
  <c r="BK78" i="1" s="1"/>
  <c r="N27" i="2" l="1"/>
  <c r="CC65" i="1"/>
  <c r="CB65" i="1"/>
  <c r="BH65" i="1"/>
  <c r="BG65" i="1"/>
  <c r="BF65" i="1"/>
  <c r="BE65" i="1"/>
  <c r="BD65" i="1"/>
  <c r="BC65" i="1"/>
  <c r="BB65" i="1"/>
  <c r="AA65" i="1"/>
  <c r="T65" i="1"/>
  <c r="BH82" i="1"/>
  <c r="BG82" i="1"/>
  <c r="CC82" i="1"/>
  <c r="CE82" i="1" s="1"/>
  <c r="CJ82" i="1" s="1"/>
  <c r="CB82" i="1"/>
  <c r="BF82" i="1"/>
  <c r="BE82" i="1"/>
  <c r="BD82" i="1"/>
  <c r="BC82" i="1"/>
  <c r="BB82" i="1"/>
  <c r="AA82" i="1"/>
  <c r="N26" i="2"/>
  <c r="BH62" i="1"/>
  <c r="BG62" i="1"/>
  <c r="BF62" i="1"/>
  <c r="BE62" i="1"/>
  <c r="BD62" i="1"/>
  <c r="BC62" i="1"/>
  <c r="CC62" i="1"/>
  <c r="CB62" i="1"/>
  <c r="BB62" i="1"/>
  <c r="AL62" i="1"/>
  <c r="AA62" i="1"/>
  <c r="AN62" i="1" l="1"/>
  <c r="CD62" i="1" s="1" a="1"/>
  <c r="CD62" i="1" s="1"/>
  <c r="CE62" i="1"/>
  <c r="CE86" i="1"/>
  <c r="CJ86" i="1" s="1"/>
  <c r="CE92" i="1"/>
  <c r="CJ92" i="1" s="1"/>
  <c r="CE84" i="1"/>
  <c r="CJ84" i="1" s="1"/>
  <c r="CE77" i="1"/>
  <c r="CJ77" i="1" s="1"/>
  <c r="CE91" i="1"/>
  <c r="CJ91" i="1" s="1"/>
  <c r="CE78" i="1"/>
  <c r="CJ78" i="1" s="1"/>
  <c r="CE87" i="1"/>
  <c r="CJ87" i="1" s="1"/>
  <c r="CE81" i="1"/>
  <c r="CJ81" i="1" s="1"/>
  <c r="CE79" i="1"/>
  <c r="CJ79" i="1" s="1"/>
  <c r="CE89" i="1"/>
  <c r="CJ89" i="1" s="1"/>
  <c r="CE85" i="1"/>
  <c r="CJ85" i="1" s="1"/>
  <c r="CE90" i="1"/>
  <c r="CJ90" i="1" s="1"/>
  <c r="CE88" i="1"/>
  <c r="CJ88" i="1" s="1"/>
  <c r="CE83" i="1"/>
  <c r="CJ83" i="1" s="1"/>
  <c r="CE80" i="1"/>
  <c r="CJ80" i="1" s="1"/>
  <c r="BJ65" i="1"/>
  <c r="BL65" i="1" s="1"/>
  <c r="BJ82" i="1"/>
  <c r="BL82" i="1" s="1"/>
  <c r="BI65" i="1"/>
  <c r="BK65" i="1" s="1"/>
  <c r="V65" i="1"/>
  <c r="BI82" i="1"/>
  <c r="BK82" i="1" s="1"/>
  <c r="BJ62" i="1"/>
  <c r="BL62" i="1" s="1"/>
  <c r="BI62" i="1"/>
  <c r="BK62" i="1" s="1"/>
  <c r="CJ62" i="1" l="1"/>
  <c r="CB32" i="1"/>
  <c r="CC32" i="1"/>
  <c r="AA32" i="1"/>
  <c r="T32" i="1"/>
  <c r="V32" i="1" s="1"/>
  <c r="W52" i="1"/>
  <c r="AA52" i="1" s="1"/>
  <c r="CC52" i="1"/>
  <c r="CB52" i="1"/>
  <c r="BF52" i="1"/>
  <c r="BE52" i="1"/>
  <c r="BD52" i="1"/>
  <c r="BC52" i="1"/>
  <c r="BB52" i="1"/>
  <c r="BI52" i="1" l="1"/>
  <c r="BK52" i="1" s="1"/>
  <c r="BJ52" i="1"/>
  <c r="BL52" i="1" s="1"/>
  <c r="AA12" i="1" l="1"/>
  <c r="BB12" i="1"/>
  <c r="BC12" i="1"/>
  <c r="BD12" i="1"/>
  <c r="BE12" i="1"/>
  <c r="BF12" i="1"/>
  <c r="BG12" i="1"/>
  <c r="BH12" i="1"/>
  <c r="CB12" i="1"/>
  <c r="CC12" i="1"/>
  <c r="BJ12" i="1" l="1"/>
  <c r="BL12" i="1" s="1"/>
  <c r="BI12" i="1"/>
  <c r="BK12" i="1" s="1"/>
  <c r="N25" i="2" l="1"/>
  <c r="N24" i="2" l="1"/>
  <c r="N23" i="2" l="1"/>
  <c r="N22" i="2" l="1"/>
  <c r="N21" i="2"/>
  <c r="N20" i="2"/>
  <c r="N19" i="2" l="1"/>
  <c r="N18" i="2" l="1"/>
  <c r="BE13" i="1" l="1"/>
  <c r="B50" i="6" l="1"/>
  <c r="B49" i="6"/>
  <c r="F46" i="6"/>
  <c r="F47" i="6" s="1"/>
  <c r="E46" i="6"/>
  <c r="E47" i="6" s="1"/>
  <c r="D46" i="6"/>
  <c r="D47" i="6" s="1"/>
  <c r="C46" i="6"/>
  <c r="C47" i="6" s="1"/>
  <c r="B46" i="6"/>
  <c r="B52" i="6" l="1"/>
  <c r="B47" i="6"/>
  <c r="B51" i="6" s="1"/>
  <c r="N17" i="2"/>
  <c r="C34" i="6" l="1"/>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40" i="6" l="1"/>
  <c r="B39" i="6"/>
  <c r="N13" i="2" l="1"/>
  <c r="N14" i="2"/>
  <c r="N15" i="2"/>
  <c r="CE35" i="1" s="1"/>
  <c r="CJ35" i="1" s="1"/>
  <c r="N16" i="2"/>
  <c r="N3" i="2"/>
  <c r="N4" i="2"/>
  <c r="N5" i="2"/>
  <c r="CE53" i="1" s="1"/>
  <c r="CJ53" i="1" s="1"/>
  <c r="N6" i="2"/>
  <c r="N7" i="2"/>
  <c r="N8" i="2"/>
  <c r="N9" i="2"/>
  <c r="N10" i="2"/>
  <c r="N11" i="2"/>
  <c r="N12" i="2"/>
  <c r="N2" i="2"/>
  <c r="CC13" i="1"/>
  <c r="CE13" i="1" s="1"/>
  <c r="CJ13" i="1" s="1"/>
  <c r="CE56" i="1" l="1"/>
  <c r="CJ56" i="1" s="1"/>
  <c r="CE61" i="1"/>
  <c r="CJ61" i="1" s="1"/>
  <c r="CE11" i="1"/>
  <c r="CJ11" i="1" s="1"/>
  <c r="CE4" i="1"/>
  <c r="CJ4" i="1" s="1"/>
  <c r="CE5" i="1"/>
  <c r="CJ5" i="1" s="1"/>
  <c r="CE2" i="1"/>
  <c r="CJ2" i="1" s="1"/>
  <c r="CE7" i="1"/>
  <c r="CJ7" i="1" s="1"/>
  <c r="CE6" i="1"/>
  <c r="CJ6" i="1" s="1"/>
  <c r="CE8" i="1"/>
  <c r="CJ8" i="1" s="1"/>
  <c r="CE10" i="1"/>
  <c r="CJ10" i="1" s="1"/>
  <c r="CE9" i="1"/>
  <c r="CJ9" i="1" s="1"/>
  <c r="CE3" i="1"/>
  <c r="CJ3" i="1" s="1"/>
  <c r="CE45" i="1"/>
  <c r="CJ45" i="1" s="1"/>
  <c r="CE51" i="1"/>
  <c r="CJ51" i="1" s="1"/>
  <c r="CE55" i="1"/>
  <c r="CJ55" i="1" s="1"/>
  <c r="CE54" i="1"/>
  <c r="CJ54" i="1" s="1"/>
  <c r="CE46" i="1"/>
  <c r="CJ46" i="1" s="1"/>
  <c r="CE47" i="1"/>
  <c r="CJ47" i="1" s="1"/>
  <c r="CE52" i="1"/>
  <c r="CJ52" i="1" s="1"/>
  <c r="CE64" i="1"/>
  <c r="CJ64" i="1" s="1"/>
  <c r="CE67" i="1"/>
  <c r="CJ67" i="1" s="1"/>
  <c r="CE63" i="1"/>
  <c r="CJ63" i="1" s="1"/>
  <c r="CE71" i="1"/>
  <c r="CJ71" i="1" s="1"/>
  <c r="CE68" i="1"/>
  <c r="CJ68" i="1" s="1"/>
  <c r="CE70" i="1"/>
  <c r="CJ70" i="1" s="1"/>
  <c r="CE66" i="1"/>
  <c r="CJ66" i="1" s="1"/>
  <c r="CE69" i="1"/>
  <c r="CJ69" i="1" s="1"/>
  <c r="CE65" i="1"/>
  <c r="CJ65" i="1" s="1"/>
  <c r="CE22" i="1"/>
  <c r="CJ22" i="1" s="1"/>
  <c r="CE50" i="1"/>
  <c r="CJ50" i="1" s="1"/>
  <c r="CE19" i="1"/>
  <c r="CJ19" i="1" s="1"/>
  <c r="CE20" i="1"/>
  <c r="CJ20" i="1" s="1"/>
  <c r="CE21" i="1"/>
  <c r="CJ21" i="1" s="1"/>
  <c r="CE14" i="1"/>
  <c r="CJ14" i="1" s="1"/>
  <c r="CE12" i="1"/>
  <c r="CJ12" i="1" s="1"/>
  <c r="CE26" i="1"/>
  <c r="CJ26" i="1" s="1"/>
  <c r="CE29" i="1"/>
  <c r="CJ29" i="1" s="1"/>
  <c r="CE36" i="1"/>
  <c r="CJ36" i="1" s="1"/>
  <c r="CE40" i="1"/>
  <c r="CJ40" i="1" s="1"/>
  <c r="CE39" i="1"/>
  <c r="CJ39" i="1" s="1"/>
  <c r="CE23" i="1"/>
  <c r="CJ23" i="1" s="1"/>
  <c r="CE43" i="1"/>
  <c r="CJ43" i="1" s="1"/>
  <c r="CE31" i="1"/>
  <c r="CJ31" i="1" s="1"/>
  <c r="CE33" i="1"/>
  <c r="CJ33" i="1" s="1"/>
  <c r="CE24" i="1"/>
  <c r="CJ24" i="1" s="1"/>
  <c r="CE42" i="1"/>
  <c r="CJ42" i="1" s="1"/>
  <c r="CE25" i="1"/>
  <c r="CJ25" i="1" s="1"/>
  <c r="CE27" i="1"/>
  <c r="CJ27" i="1" s="1"/>
  <c r="CE37" i="1"/>
  <c r="CJ37" i="1" s="1"/>
  <c r="CE41" i="1"/>
  <c r="CJ41" i="1" s="1"/>
  <c r="CE38" i="1"/>
  <c r="CJ38" i="1" s="1"/>
  <c r="CE34" i="1"/>
  <c r="CJ34" i="1" s="1"/>
  <c r="CE30" i="1"/>
  <c r="CJ30" i="1" s="1"/>
  <c r="CE28" i="1"/>
  <c r="CJ28" i="1" s="1"/>
  <c r="CE32" i="1"/>
  <c r="CJ32" i="1" s="1"/>
  <c r="CE57" i="1"/>
  <c r="CJ57" i="1" s="1"/>
  <c r="CE58" i="1"/>
  <c r="CJ58" i="1" s="1"/>
  <c r="CE60" i="1"/>
  <c r="CJ60" i="1" s="1"/>
  <c r="BH13" i="1"/>
  <c r="BF13" i="1"/>
  <c r="BB13" i="1"/>
  <c r="BC13" i="1"/>
  <c r="BD13" i="1"/>
  <c r="BG13" i="1"/>
  <c r="BI13" i="1" l="1"/>
  <c r="BK13" i="1" s="1"/>
  <c r="BJ13" i="1"/>
  <c r="BL13" i="1" s="1"/>
  <c r="G23" i="6" l="1"/>
  <c r="B26" i="6"/>
  <c r="B25" i="6"/>
  <c r="I23" i="6"/>
  <c r="H23" i="6"/>
  <c r="F23" i="6"/>
  <c r="E23" i="6"/>
  <c r="D23" i="6"/>
  <c r="C23" i="6"/>
  <c r="B22" i="6"/>
  <c r="B23" i="6" l="1"/>
  <c r="B28" i="6"/>
  <c r="B27" i="6"/>
  <c r="B14" i="6"/>
  <c r="B13" i="6"/>
  <c r="E11" i="6"/>
  <c r="F11" i="6"/>
  <c r="G11" i="6"/>
  <c r="H11" i="6"/>
  <c r="I11" i="6"/>
  <c r="J11" i="6"/>
  <c r="K11" i="6"/>
  <c r="L11" i="6"/>
  <c r="M11" i="6"/>
  <c r="N11" i="6"/>
  <c r="O11" i="6"/>
  <c r="P11" i="6"/>
  <c r="Q11" i="6"/>
  <c r="R11" i="6"/>
  <c r="S11" i="6"/>
  <c r="T11" i="6"/>
  <c r="U11" i="6"/>
  <c r="C11" i="6"/>
  <c r="D11" i="6"/>
  <c r="B10" i="6"/>
  <c r="B11" i="6" l="1"/>
  <c r="B16" i="6"/>
  <c r="B15" i="6"/>
  <c r="AA13" i="1" l="1"/>
  <c r="B4" i="4" l="1"/>
  <c r="B5" i="4"/>
  <c r="B6" i="4"/>
  <c r="B7" i="4"/>
  <c r="B8" i="4"/>
  <c r="B9" i="4"/>
  <c r="B10" i="4"/>
  <c r="B11" i="4"/>
  <c r="B3" i="4"/>
  <c r="CB13"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AK20" i="1" s="1"/>
  <c r="B12" i="3"/>
  <c r="B13" i="3"/>
  <c r="B14" i="3"/>
  <c r="C4" i="3"/>
  <c r="B4" i="3" s="1"/>
  <c r="C5" i="3"/>
  <c r="B5" i="3" s="1"/>
  <c r="C6" i="3"/>
  <c r="B6" i="3" s="1"/>
  <c r="C7" i="3"/>
  <c r="C8" i="3"/>
  <c r="C9" i="3"/>
  <c r="C10" i="3"/>
  <c r="C11" i="3"/>
  <c r="C12" i="3"/>
  <c r="C13" i="3"/>
  <c r="C14" i="3"/>
  <c r="C15" i="3"/>
  <c r="C16" i="3"/>
  <c r="B16" i="3" s="1"/>
  <c r="C17" i="3"/>
  <c r="B17" i="3" s="1"/>
  <c r="C18" i="3"/>
  <c r="B18" i="3" s="1"/>
  <c r="C3" i="3"/>
  <c r="B3" i="3" s="1"/>
  <c r="AK44" i="1" l="1"/>
  <c r="AK53" i="1"/>
  <c r="AK52" i="1"/>
  <c r="AK36" i="1"/>
  <c r="AK43" i="1"/>
  <c r="AK39" i="1"/>
  <c r="AK40" i="1"/>
  <c r="AK37" i="1"/>
  <c r="AK34" i="1"/>
  <c r="AK38" i="1"/>
  <c r="AK30" i="1"/>
  <c r="AK28" i="1"/>
  <c r="AK67" i="1"/>
  <c r="AK81" i="1"/>
  <c r="AK79" i="1"/>
  <c r="AK32" i="1"/>
  <c r="AK26" i="1"/>
  <c r="AK29" i="1"/>
  <c r="AK86" i="1"/>
  <c r="AK45" i="1"/>
  <c r="AK27" i="1"/>
  <c r="AK41" i="1"/>
  <c r="AK5" i="1"/>
  <c r="AK2" i="1"/>
  <c r="AK55" i="1"/>
  <c r="AK54" i="1"/>
  <c r="AK48" i="1"/>
  <c r="AK46" i="1"/>
  <c r="AK14" i="1"/>
  <c r="AK21" i="1"/>
  <c r="AK47" i="1"/>
  <c r="AK13" i="1"/>
  <c r="AK11" i="1"/>
  <c r="AK4" i="1"/>
  <c r="AK24" i="1"/>
  <c r="AK25" i="1"/>
  <c r="AK23" i="1"/>
  <c r="AK8" i="1"/>
  <c r="AK10" i="1"/>
  <c r="AK9" i="1"/>
  <c r="AK3" i="1"/>
  <c r="AK63" i="1"/>
  <c r="AK71" i="1"/>
  <c r="AK85" i="1"/>
  <c r="AK78" i="1"/>
  <c r="AK80" i="1"/>
  <c r="AK83" i="1"/>
  <c r="AK64" i="1"/>
  <c r="AK92" i="1"/>
  <c r="AK7" i="1"/>
  <c r="AK6" i="1"/>
  <c r="AK74" i="1"/>
  <c r="AK75" i="1"/>
  <c r="AK76" i="1"/>
  <c r="AK73" i="1"/>
  <c r="AK66" i="1"/>
  <c r="AK70" i="1"/>
  <c r="AK68" i="1"/>
  <c r="AK82" i="1"/>
  <c r="AK91" i="1"/>
  <c r="AK90" i="1"/>
  <c r="AK84" i="1"/>
  <c r="AK89" i="1"/>
  <c r="AK77" i="1"/>
  <c r="AK65" i="1"/>
  <c r="AK87" i="1"/>
  <c r="AK88" i="1"/>
  <c r="AK62" i="1"/>
  <c r="AK51" i="1"/>
  <c r="AK12" i="1"/>
  <c r="AK50" i="1"/>
  <c r="AK72" i="1"/>
  <c r="AK6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<sst xmlns="http://schemas.openxmlformats.org/spreadsheetml/2006/main" count="1146" uniqueCount="542">
  <si>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</si>
  <si>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</si>
  <si>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</si>
  <si>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</si>
  <si>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</si>
  <si>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</si>
  <si>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</si>
  <si>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</si>
  <si>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</si>
  <si>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</si>
  <si>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</si>
  <si>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</si>
  <si>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</si>
  <si>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</si>
  <si>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</si>
  <si>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</si>
  <si>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</si>
  <si>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</si>
  <si>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</si>
  <si>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</si>
  <si>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</si>
  <si>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</si>
  <si>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</si>
  <si>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</si>
  <si>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</si>
  <si>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</si>
  <si>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</si>
  <si>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</si>
  <si>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</si>
  <si>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</si>
  <si>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</si>
  <si>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</si>
  <si>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</si>
  <si>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</si>
  <si>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</si>
  <si>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</si>
  <si>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</si>
  <si>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</si>
  <si>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</si>
  <si>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</si>
  <si>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</si>
  <si>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</si>
  <si>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</si>
  <si>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</si>
  <si>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</si>
  <si>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</si>
  <si>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</si>
  <si>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</si>
  <si>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</si>
  <si>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</si>
  <si>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</si>
  <si>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</si>
  <si>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</si>
  <si>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</si>
  <si>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</si>
  <si>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</si>
  <si>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</si>
  <si>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</si>
  <si>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</si>
  <si>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</si>
  <si>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</si>
  <si>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</si>
  <si>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</si>
  <si>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</si>
  <si>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</si>
  <si>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</si>
  <si>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</si>
  <si>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</si>
  <si>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</si>
  <si>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</si>
  <si>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</si>
  <si>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</si>
  <si>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</si>
  <si>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</si>
  <si>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</si>
  <si>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</si>
  <si>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</si>
  <si>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</si>
  <si>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</si>
  <si>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</si>
  <si>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</si>
  <si>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</si>
  <si>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</si>
  <si>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</si>
  <si>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</si>
  <si>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</si>
  <si>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</si>
  <si>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</si>
  <si>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</si>
  <si>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</si>
  <si>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</si>
  <si>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</si>
  <si>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</si>
  <si>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</si>
  <si>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</si>
  <si>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</si>
  <si>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</si>
  <si>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</si>
  <si>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</si>
  <si>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</si>
  <si>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</si>
  <si>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</si>
  <si>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</si>
  <si>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</si>
  <si>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</si>
  <si>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</si>
  <si>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</si>
  <si>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</si>
  <si>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</si>
  <si>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</si>
  <si>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</si>
  <si>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</si>
  <si>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</si>
  <si>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</si>
  <si>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</si>
  <si>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</si>
  <si>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</si>
  <si>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</si>
  <si>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</si>
  <si>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</si>
  <si>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</si>
  <si>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</si>
  <si>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</si>
  <si>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</si>
  <si>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</si>
  <si>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</si>
  <si>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</si>
  <si>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</si>
  <si>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</si>
  <si>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</si>
  <si>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</si>
  <si>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</si>
  <si>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</si>
  <si>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</si>
  <si>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</si>
  <si>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</si>
  <si>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</si>
  <si>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</si>
  <si>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</si>
  <si>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</si>
  <si>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</si>
  <si>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</si>
  <si>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</si>
  <si>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</si>
  <si>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</si>
  <si>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</si>
  <si>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</si>
  <si>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</si>
  <si>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</si>
  <si>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</si>
  <si>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</si>
  <si>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</si>
  <si>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</si>
  <si>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</si>
  <si>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</si>
  <si>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</si>
  <si>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</si>
  <si>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</si>
  <si>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</si>
  <si>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</si>
  <si>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</si>
  <si>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</si>
  <si>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</si>
  <si>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</si>
  <si>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</si>
  <si>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</si>
  <si>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</si>
  <si>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</si>
  <si>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</si>
  <si>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</si>
  <si>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</si>
  <si>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</si>
  <si>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</si>
  <si>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</si>
  <si>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</si>
  <si>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</si>
  <si>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</si>
  <si>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</si>
  <si>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</si>
  <si>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</si>
  <si>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</si>
  <si>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</si>
  <si>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</si>
  <si>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</si>
  <si>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</si>
  <si>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</si>
  <si>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</si>
  <si>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</si>
  <si>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</si>
  <si>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</si>
  <si>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</si>
  <si>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</si>
  <si>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</si>
  <si>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</si>
  <si>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</si>
  <si>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</si>
  <si>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</si>
  <si>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</si>
  <si>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</si>
  <si>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</si>
  <si>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</si>
  <si>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</si>
  <si>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</si>
  <si>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</si>
  <si>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</si>
  <si>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</si>
  <si>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</si>
  <si>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</si>
  <si>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</si>
  <si>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</si>
  <si>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</si>
  <si>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</si>
  <si>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</si>
  <si>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</si>
  <si>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</si>
  <si>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</si>
  <si>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</si>
  <si>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</si>
  <si>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</si>
  <si>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</si>
  <si>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</si>
  <si>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</si>
  <si>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</si>
  <si>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</si>
  <si>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</si>
  <si>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</si>
  <si>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</si>
  <si>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</si>
  <si>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</si>
  <si>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</si>
  <si>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</si>
  <si>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</si>
  <si>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</si>
  <si>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</si>
  <si>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</si>
  <si>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</si>
  <si>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</si>
  <si>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</si>
  <si>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</si>
  <si>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</si>
  <si>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</si>
  <si>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</si>
  <si>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</si>
  <si>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</si>
  <si>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</si>
  <si>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</si>
  <si>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</si>
  <si>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</si>
  <si>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</si>
  <si>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</si>
  <si>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</si>
  <si>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</si>
  <si>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</si>
  <si>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</si>
  <si>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</si>
  <si>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</si>
  <si>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</si>
  <si>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</si>
  <si>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</si>
  <si>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</si>
  <si>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</si>
  <si>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</si>
  <si>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</si>
  <si>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</si>
  <si>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</si>
  <si>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</si>
  <si>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</si>
  <si>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</si>
  <si>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</si>
  <si>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</si>
  <si>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</si>
  <si>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</si>
  <si>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</si>
  <si>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</si>
  <si>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</si>
  <si>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</si>
  <si>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</si>
  <si>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</si>
  <si>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</si>
  <si>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</si>
  <si>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</si>
  <si>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</si>
  <si>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</si>
  <si>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</si>
  <si>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</si>
  <si>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</si>
  <si>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</si>
  <si>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</si>
  <si>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</si>
  <si>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</si>
  <si>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</si>
  <si>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</si>
  <si>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</si>
  <si>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</si>
  <si>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</si>
  <si>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</si>
  <si>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</si>
  <si>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</si>
  <si>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</si>
  <si>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</si>
  <si>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</si>
  <si>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</si>
  <si>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</si>
  <si>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</si>
  <si>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</si>
  <si>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</si>
  <si>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</si>
  <si>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</si>
  <si>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</si>
  <si>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</si>
  <si>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</si>
  <si>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</si>
  <si>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</si>
  <si>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</si>
  <si>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</si>
  <si>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</si>
  <si>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</si>
  <si>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</si>
  <si>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</si>
  <si>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</si>
  <si>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</si>
  <si>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</si>
  <si>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</si>
  <si>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</si>
  <si>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</si>
  <si>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</si>
  <si>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</si>
  <si>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</si>
  <si>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</si>
  <si>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</si>
  <si>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</si>
  <si>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</si>
  <si>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</si>
  <si>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</si>
  <si>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</si>
  <si>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</si>
  <si>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</si>
  <si>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</si>
  <si>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</si>
  <si>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</si>
  <si>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</si>
  <si>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</si>
  <si>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</si>
  <si>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</si>
  <si>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</si>
  <si>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</si>
  <si>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</si>
  <si>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</si>
  <si>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</si>
  <si>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</si>
  <si>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</si>
  <si>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</si>
  <si>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</si>
  <si>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</si>
  <si>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</si>
  <si>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</si>
  <si>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</si>
  <si>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</si>
  <si>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</si>
  <si>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</si>
  <si>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</si>
  <si>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</si>
  <si>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</si>
  <si>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</si>
  <si>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</si>
  <si>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</si>
  <si>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</si>
  <si>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</si>
  <si>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</si>
  <si>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</si>
  <si>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</si>
  <si>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</si>
  <si>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</si>
  <si>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</si>
  <si>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</si>
  <si>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</si>
  <si>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</si>
  <si>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</si>
  <si>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</si>
  <si>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</si>
  <si>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</si>
  <si>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</si>
  <si>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</si>
  <si>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</si>
  <si>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</si>
  <si>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</si>
  <si>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</si>
  <si>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</si>
  <si>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</si>
  <si>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</si>
  <si>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</si>
  <si>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</si>
  <si>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</si>
  <si>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</si>
  <si>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</si>
  <si>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</si>
  <si>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</si>
  <si>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</si>
  <si>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</si>
  <si>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</si>
  <si>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</si>
  <si>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</si>
  <si>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</si>
  <si>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</si>
  <si>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</si>
  <si>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</si>
  <si>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</si>
  <si>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</si>
  <si>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</si>
  <si>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</si>
  <si>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</si>
  <si>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</si>
  <si>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</si>
  <si>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</si>
  <si>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</si>
  <si>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</si>
  <si>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</si>
  <si>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</si>
  <si>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</si>
  <si>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</si>
  <si>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</si>
  <si>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</si>
  <si>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</si>
  <si>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</si>
  <si>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</si>
  <si>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</si>
  <si>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</si>
  <si>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</si>
  <si>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</si>
  <si>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</si>
  <si>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</si>
  <si>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</si>
  <si>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</si>
  <si>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</si>
  <si>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</si>
  <si>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</si>
  <si>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</si>
  <si>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</si>
  <si>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</si>
  <si>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</si>
  <si>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</si>
  <si>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</si>
  <si>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</si>
  <si>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</si>
  <si>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</si>
  <si>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</si>
  <si>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</si>
  <si>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</si>
  <si>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</si>
  <si>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</si>
  <si>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</si>
  <si>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</si>
  <si>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</si>
  <si>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</si>
  <si>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</si>
  <si>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</si>
  <si>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</si>
  <si>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</si>
  <si>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</si>
  <si>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</si>
  <si>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</si>
  <si>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</si>
  <si>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</si>
  <si>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</si>
  <si>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</si>
  <si>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</si>
  <si>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</si>
  <si>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</si>
  <si>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</si>
  <si>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</si>
  <si>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</si>
  <si>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</si>
  <si>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</si>
  <si>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</si>
  <si>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</si>
  <si>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</si>
  <si>
    <t>LMS Beyer Garratt</t>
  </si>
  <si>
    <t>lms_beyer_garratt</t>
  </si>
  <si>
    <t>lms_beyer_garratt,lms_beyer_garratt_mid,lms_beyer_garratt_rear</t>
  </si>
  <si>
    <t>The LMS Beyer Garratt was the most-produced Garratt type locomotive, designed for hauling heavy freight. While they suffered from poor fuel efficiency and high maintenance requirements, they survived in service to the late 1950s.</t>
  </si>
  <si>
    <t>use_mu_engine_logic</t>
  </si>
  <si>
    <t>1,0,1</t>
  </si>
  <si>
    <t>purchase_length</t>
  </si>
  <si>
    <t>LNER U1</t>
  </si>
  <si>
    <t>lner_u1</t>
  </si>
  <si>
    <t>lner_u1,lner_u1_mid,lner_u1_rear</t>
  </si>
  <si>
    <t>FEAT_TRAINS</t>
  </si>
  <si>
    <t>23,26</t>
  </si>
  <si>
    <t>21,22</t>
  </si>
  <si>
    <t>The largest British steam locomotive ever built, the one-off U1 was designed by Sir Nigel Gresley as a banking engine for the Woodhead line. Although powerful it struggled to find a use after the Woodhead line was electrified, being scrapped in 1955.</t>
  </si>
  <si>
    <t>Hunslet 0-4-0ST "Alice"</t>
  </si>
  <si>
    <t>These small Hunslet tank engines were used as quarry locomotives. "Alice" worked at Dinorwic, being used as a source of spare parts afterward, before being restored in the late '80s and early '90s and now running on the Bala Lake Railway.</t>
  </si>
  <si>
    <t>Long Bolster</t>
  </si>
  <si>
    <t>long_bolster_ng</t>
  </si>
  <si>
    <t>Narrow gauge railways tend to use smaller vehicles capable of traversing tight turns, but the occasional larger wagon can be found on straighter routes.</t>
  </si>
  <si>
    <t>has_aged_variant</t>
  </si>
  <si>
    <t>CAF Mk5A carriage</t>
  </si>
  <si>
    <t>passenger_coach_mk5a</t>
  </si>
  <si>
    <t>The Mark 5A was built for loco-hauled services on the TransPennine Express, but was withdrawn barely four years after introduction.</t>
  </si>
  <si>
    <t>class_730_aventra</t>
  </si>
  <si>
    <t>class_730_aventra,class_730_aventra_mid_1,class_730_aventra_mid_2,class_730_aventra_power,class_730_aventra_rear</t>
  </si>
  <si>
    <t>1,1,1,1,1</t>
  </si>
  <si>
    <t>Bombardier Class 730/2 "Aventra"</t>
  </si>
  <si>
    <t>The 730/2 is the longer and faster variant of the Class 730 units built for West Midlands Trains, serving on their London Northwestern Railway routes over the West Coast Main Line.</t>
  </si>
  <si>
    <t>CAF Mk5A DVT</t>
  </si>
  <si>
    <t>passenger_coach_mk5a_dvt</t>
  </si>
  <si>
    <t>Mark 5A carriage sets include a driving van trailer, enabling loco-hauled trains to be driven from both ends.</t>
  </si>
  <si>
    <t>GWR "Great Bear"</t>
  </si>
  <si>
    <t>gwr_great_bear</t>
  </si>
  <si>
    <t>GWR 3700 "City" Class</t>
  </si>
  <si>
    <t>gwr_3700_class</t>
  </si>
  <si>
    <t>LNWR Precedent Class</t>
  </si>
  <si>
    <t>lnwr_precedent</t>
  </si>
  <si>
    <t>LNWR Improved Precedent Class</t>
  </si>
  <si>
    <t>lnwr_improved_precedent</t>
  </si>
  <si>
    <t>lnwr_early_tender</t>
  </si>
  <si>
    <t>LNWR Early Tender</t>
  </si>
  <si>
    <t>F.W. Webb's Precedent class was an express passenger locomotive. A large part of the class was given numbers and names of previously withdrawn locomotives, giving it a fragmented numbering scheme.</t>
  </si>
  <si>
    <t>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</si>
  <si>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LNER's B2 was a mixed traffic locomotive, the early examples of which were named after breeds of antelope, with 61018 "Gnu" having the record for shortest name given to a British locomotive. </t>
  </si>
  <si>
    <t>The Great Bear was a single locomotive, the first 4-6-2 "Pacific" type built in the UK, which served as the GWR's flagship until 1922 despite disappointing performance and low route availability.</t>
  </si>
  <si>
    <t>GWR Tender</t>
  </si>
  <si>
    <t>length_text</t>
  </si>
  <si>
    <t>variant_group</t>
  </si>
  <si>
    <t>pax_special</t>
  </si>
  <si>
    <t>gameplay_text</t>
  </si>
  <si>
    <t>BR Mk2F carriage (TSO)</t>
  </si>
  <si>
    <t>BR Mk2F carriage (FO)</t>
  </si>
  <si>
    <t>BR Mk2F carriage (RFB)</t>
  </si>
  <si>
    <t>BR Mk2F carriage (BG)</t>
  </si>
  <si>
    <t>passenger_coach_mk2f_fo</t>
  </si>
  <si>
    <t>passenger_coach_mk2f_rfb</t>
  </si>
  <si>
    <t>passenger_coach_mk2f_bg</t>
  </si>
  <si>
    <t>!param_no_gameplay_units</t>
  </si>
  <si>
    <t>By the point of the Mk2F, BR had abandoned corridor carriage layouts, using only open saloons even for first class.</t>
  </si>
  <si>
    <t>BR built many suburban Mk1 carriages with no gangways, although typically only one or two would be used per train across most of the country.</t>
  </si>
  <si>
    <t>After the Mark 1's bewildering array of restaurant car types, BR built very few Mark 2 dining cars, all during the final Mk2f iteration. The RFB (Restaurant First Class Buffet) is a variant with first-class seating.</t>
  </si>
  <si>
    <t>buffet</t>
  </si>
  <si>
    <t>By the 1970s BR had ceased to build carriages with the intention of adding parcel vans to passenger services, but that hasn't stopped railfans and modellers wondering what could have been.</t>
  </si>
  <si>
    <t>BR Mk2F carriage</t>
  </si>
  <si>
    <t>passenger_coach_mk2f_import</t>
  </si>
  <si>
    <t>0 ==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</si>
</sst>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rgb="FFFFFF00"/>
        <bgColor indexed="64"/>
      </patternFill>
    </fill>
    <fill>
      <patternFill patternType="solid">
        <fgColor theme="0" tint="-0.14999847407452621"/>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xf numFmtId="0" fontId="0" fillId="10" borderId="0" xfId="0" applyFill="1"/>
    <xf numFmtId="0" fontId="0" fillId="11" borderId="0" xfId="0" applyFill="1"/>
  </cellXfs>
  <cellStyles count="1">
    <cellStyle name="Normal" xfId="0" builtinId="0"/>
  </cellStyles>
  <dxfs count="3">
    <dxf>
      <font>
        <color rgb="FF9C0006"/>
      </font>
      <fill>
        <patternFill patternType="none">
          <bgColor auto="1"/>
        </patternFill>
      </fill>
    </dxf>
    <dxf>
      <font>
        <color rgb="FF9C0006"/>
      </font>
      <fill>
        <patternFill patternType="none">
          <bgColor auto="1"/>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K92"/>
  <sheetViews>
    <sheetView tabSelected="1" workbookViewId="0">
      <pane xSplit="1" ySplit="1" topLeftCell="AY2" activePane="bottomRight" state="frozenSplit"/>
      <selection pane="topRight" activeCell="B1" sqref="B1"/>
      <selection pane="bottomLeft" activeCell="A2" sqref="A2"/>
      <selection pane="bottomRight" activeCell="BT18" sqref="BT18"/>
    </sheetView>
  </sheetViews>
  <sheetFormatPr defaultRowHeight="14.5" x14ac:dyDescent="0.35"/>
  <cols>
    <col min="1" max="1" width="37.1796875" bestFit="1" customWidth="1"/>
    <col min="2" max="2" width="28.26953125" bestFit="1" customWidth="1"/>
    <col min="3" max="3" width="13.26953125" bestFit="1" customWidth="1"/>
    <col min="4" max="6" width="13.26953125" customWidth="1"/>
    <col min="7" max="7" width="13.26953125" bestFit="1" customWidth="1"/>
    <col min="8" max="8" width="14.7265625" bestFit="1" customWidth="1"/>
    <col min="9" max="9" width="19.1796875" customWidth="1"/>
    <col min="14" max="14" width="10.81640625" bestFit="1" customWidth="1"/>
    <col min="15" max="15" width="10.81640625" style="7" customWidth="1"/>
    <col min="16" max="16" width="5.1796875" style="5" bestFit="1" customWidth="1"/>
    <col min="17" max="17" width="7.26953125" style="5" bestFit="1" customWidth="1"/>
    <col min="18" max="18" width="5.54296875" style="5" bestFit="1" customWidth="1"/>
    <col min="19" max="19" width="10" style="5" bestFit="1" customWidth="1"/>
    <col min="20" max="20" width="7.7265625" style="5" bestFit="1" customWidth="1"/>
    <col min="21" max="21" width="11" style="5" bestFit="1" customWidth="1"/>
    <col min="22" max="22" width="7.7265625" style="5" customWidth="1"/>
    <col min="23" max="23" width="10" bestFit="1" customWidth="1"/>
    <col min="24" max="24" width="16.54296875" style="7" bestFit="1" customWidth="1"/>
    <col min="25" max="25" width="13.26953125" customWidth="1"/>
    <col min="26" max="26" width="18" bestFit="1" customWidth="1"/>
    <col min="27" max="27" width="8.453125" style="3" bestFit="1" customWidth="1"/>
    <col min="28" max="28" width="12.453125" bestFit="1" customWidth="1"/>
    <col min="29" max="31" width="12.453125" customWidth="1"/>
    <col min="32" max="32" width="10.54296875" bestFit="1" customWidth="1"/>
    <col min="33" max="33" width="9.26953125" bestFit="1" customWidth="1"/>
    <col min="34" max="34" width="10.54296875" customWidth="1"/>
    <col min="35" max="35" width="10.453125" bestFit="1" customWidth="1"/>
    <col min="36" max="36" width="9.1796875" style="9"/>
    <col min="37" max="37" width="10.26953125" style="14" bestFit="1" customWidth="1"/>
    <col min="38" max="38" width="10.26953125" style="14" customWidth="1"/>
    <col min="39" max="39" width="26.81640625" customWidth="1"/>
    <col min="40" max="40" width="18.453125" style="14" bestFit="1" customWidth="1"/>
    <col min="41" max="41" width="18.453125" customWidth="1"/>
    <col min="42" max="43" width="18.453125" style="11" customWidth="1"/>
    <col min="44" max="44" width="31.1796875" customWidth="1"/>
    <col min="45" max="45" width="17" customWidth="1"/>
    <col min="46" max="46" width="11.81640625" bestFit="1" customWidth="1"/>
    <col min="47" max="47" width="13.1796875" bestFit="1" customWidth="1"/>
    <col min="48" max="48" width="9.453125" bestFit="1" customWidth="1"/>
    <col min="49" max="49" width="9.453125" customWidth="1"/>
    <col min="50" max="50" width="12.453125" customWidth="1"/>
    <col min="51" max="51" width="9.453125" style="14" customWidth="1"/>
    <col min="52" max="52" width="18.7265625" bestFit="1" customWidth="1"/>
    <col min="53" max="53" width="19.1796875" bestFit="1" customWidth="1"/>
    <col min="54" max="54" width="15" style="16" hidden="1" customWidth="1"/>
    <col min="55" max="55" width="10" style="16" hidden="1" customWidth="1"/>
    <col min="56" max="56" width="9.1796875" style="16" hidden="1" customWidth="1"/>
    <col min="57" max="57" width="9.7265625" style="16" hidden="1" customWidth="1"/>
    <col min="58" max="58" width="12.453125" style="16" hidden="1" customWidth="1"/>
    <col min="59" max="60" width="16" style="16" hidden="1" customWidth="1"/>
    <col min="61" max="61" width="8.81640625" style="16" customWidth="1"/>
    <col min="62" max="62" width="11" style="16" customWidth="1"/>
    <col min="63" max="64" width="11" style="20" customWidth="1"/>
    <col min="72" max="72" width="31.1796875" customWidth="1"/>
    <col min="74" max="74" width="19.1796875" bestFit="1" customWidth="1"/>
    <col min="75" max="75" width="12.7265625" bestFit="1" customWidth="1"/>
    <col min="76" max="76" width="16.81640625" bestFit="1" customWidth="1"/>
    <col min="77" max="77" width="15.54296875" bestFit="1" customWidth="1"/>
    <col min="78" max="78" width="9.1796875" style="22"/>
    <col min="79" max="79" width="15.7265625" bestFit="1" customWidth="1"/>
    <col min="80" max="80" width="21.7265625" style="22" bestFit="1" customWidth="1"/>
    <col min="81" max="81" width="26.26953125" style="22" bestFit="1" customWidth="1"/>
    <col min="82" max="82" width="26.26953125" style="22" customWidth="1"/>
    <col min="83" max="83" width="29" style="22" customWidth="1"/>
    <col min="84" max="84" width="38.453125" style="22" customWidth="1"/>
    <col min="85" max="85" width="255.7265625" bestFit="1" customWidth="1"/>
    <col min="86" max="86" width="13.26953125" bestFit="1" customWidth="1"/>
    <col min="87" max="87" width="16.7265625" customWidth="1"/>
    <col min="88" max="88" width="8.7265625" customWidth="1"/>
  </cols>
  <sheetData>
    <row r="1" spans="1:89" s="1" customFormat="1" x14ac:dyDescent="0.35">
      <c r="A1" s="1" t="s">
        <v>1</v>
      </c>
      <c r="B1" s="1" t="s">
        <v>2</v>
      </c>
      <c r="C1" s="1" t="s">
        <v>141</v>
      </c>
      <c r="D1" s="1" t="s">
        <v>523</v>
      </c>
      <c r="E1" s="1" t="s">
        <v>474</v>
      </c>
      <c r="F1" s="1" t="s">
        <v>475</v>
      </c>
      <c r="G1" s="1" t="s">
        <v>0</v>
      </c>
      <c r="H1" s="1" t="s">
        <v>24</v>
      </c>
      <c r="I1" s="1" t="s">
        <v>27</v>
      </c>
      <c r="J1" s="1" t="s">
        <v>4</v>
      </c>
      <c r="K1" s="1" t="s">
        <v>5</v>
      </c>
      <c r="L1" s="1" t="s">
        <v>6</v>
      </c>
      <c r="M1" s="1" t="s">
        <v>7</v>
      </c>
      <c r="N1" s="1" t="s">
        <v>8</v>
      </c>
      <c r="O1" s="6" t="s">
        <v>101</v>
      </c>
      <c r="P1" s="4" t="s">
        <v>88</v>
      </c>
      <c r="Q1" s="4" t="s">
        <v>85</v>
      </c>
      <c r="R1" s="4" t="s">
        <v>86</v>
      </c>
      <c r="S1" s="4" t="s">
        <v>83</v>
      </c>
      <c r="T1" s="4" t="s">
        <v>84</v>
      </c>
      <c r="U1" s="4" t="s">
        <v>89</v>
      </c>
      <c r="V1" s="4" t="s">
        <v>87</v>
      </c>
      <c r="W1" s="1" t="s">
        <v>9</v>
      </c>
      <c r="X1" s="6" t="s">
        <v>10</v>
      </c>
      <c r="Y1" s="1" t="s">
        <v>29</v>
      </c>
      <c r="Z1" s="1" t="s">
        <v>11</v>
      </c>
      <c r="AA1" s="2" t="s">
        <v>21</v>
      </c>
      <c r="AB1" s="1" t="s">
        <v>12</v>
      </c>
      <c r="AC1" s="1" t="s">
        <v>457</v>
      </c>
      <c r="AD1" s="1" t="s">
        <v>458</v>
      </c>
      <c r="AE1" s="1" t="s">
        <v>91</v>
      </c>
      <c r="AF1" s="1" t="s">
        <v>13</v>
      </c>
      <c r="AG1" s="1" t="s">
        <v>35</v>
      </c>
      <c r="AH1" s="1" t="s">
        <v>16</v>
      </c>
      <c r="AI1" s="1" t="s">
        <v>14</v>
      </c>
      <c r="AJ1" s="8" t="s">
        <v>20</v>
      </c>
      <c r="AK1" s="13" t="s">
        <v>3</v>
      </c>
      <c r="AL1" s="13" t="s">
        <v>22</v>
      </c>
      <c r="AM1" s="1" t="s">
        <v>36</v>
      </c>
      <c r="AN1" s="13" t="s">
        <v>17</v>
      </c>
      <c r="AO1" s="1" t="s">
        <v>211</v>
      </c>
      <c r="AP1" s="10" t="s">
        <v>118</v>
      </c>
      <c r="AQ1" s="10" t="s">
        <v>202</v>
      </c>
      <c r="AR1" s="1" t="s">
        <v>95</v>
      </c>
      <c r="AS1" s="1" t="s">
        <v>103</v>
      </c>
      <c r="AT1" s="1" t="s">
        <v>96</v>
      </c>
      <c r="AU1" s="1" t="s">
        <v>98</v>
      </c>
      <c r="AV1" s="1" t="s">
        <v>23</v>
      </c>
      <c r="AW1" s="1" t="s">
        <v>173</v>
      </c>
      <c r="AX1" s="1" t="s">
        <v>145</v>
      </c>
      <c r="AY1" s="13" t="s">
        <v>165</v>
      </c>
      <c r="AZ1" s="1" t="s">
        <v>146</v>
      </c>
      <c r="BA1" s="1" t="s">
        <v>163</v>
      </c>
      <c r="BB1" s="15" t="s">
        <v>147</v>
      </c>
      <c r="BC1" s="15" t="s">
        <v>148</v>
      </c>
      <c r="BD1" s="15" t="s">
        <v>149</v>
      </c>
      <c r="BE1" s="15" t="s">
        <v>152</v>
      </c>
      <c r="BF1" s="15" t="s">
        <v>158</v>
      </c>
      <c r="BG1" s="15" t="s">
        <v>153</v>
      </c>
      <c r="BH1" s="15" t="s">
        <v>157</v>
      </c>
      <c r="BI1" s="15" t="s">
        <v>30</v>
      </c>
      <c r="BJ1" s="15" t="s">
        <v>31</v>
      </c>
      <c r="BK1" s="18" t="s">
        <v>174</v>
      </c>
      <c r="BL1" s="18" t="s">
        <v>175</v>
      </c>
      <c r="BM1" s="1" t="s">
        <v>44</v>
      </c>
      <c r="BN1" s="1" t="s">
        <v>104</v>
      </c>
      <c r="BO1" s="1" t="s">
        <v>480</v>
      </c>
      <c r="BP1" s="1" t="s">
        <v>110</v>
      </c>
      <c r="BQ1" s="1" t="s">
        <v>164</v>
      </c>
      <c r="BR1" s="1" t="s">
        <v>167</v>
      </c>
      <c r="BS1" s="1" t="s">
        <v>482</v>
      </c>
      <c r="BT1" s="1" t="s">
        <v>168</v>
      </c>
      <c r="BU1" s="1" t="s">
        <v>171</v>
      </c>
      <c r="BV1" s="1" t="s">
        <v>172</v>
      </c>
      <c r="BW1" s="1" t="s">
        <v>524</v>
      </c>
      <c r="BX1" s="1" t="s">
        <v>144</v>
      </c>
      <c r="BY1" s="1" t="s">
        <v>33</v>
      </c>
      <c r="BZ1" s="21" t="s">
        <v>58</v>
      </c>
      <c r="CA1" s="1" t="s">
        <v>79</v>
      </c>
      <c r="CB1" s="21" t="s">
        <v>81</v>
      </c>
      <c r="CC1" s="21" t="s">
        <v>182</v>
      </c>
      <c r="CD1" s="21" t="s">
        <v>522</v>
      </c>
      <c r="CE1" s="21" t="s">
        <v>176</v>
      </c>
      <c r="CF1" s="21" t="s">
        <v>169</v>
      </c>
      <c r="CG1" s="1" t="s">
        <v>166</v>
      </c>
      <c r="CH1" s="1" t="s">
        <v>525</v>
      </c>
      <c r="CI1" s="1" t="s">
        <v>170</v>
      </c>
      <c r="CJ1" s="1" t="s">
        <v>82</v>
      </c>
      <c r="CK1" s="1" t="s">
        <v>495</v>
      </c>
    </row>
    <row r="2" spans="1:89" ht="13.9" customHeight="1" x14ac:dyDescent="0.35">
      <c r="A2" t="s">
        <v>467</v>
      </c>
      <c r="B2" t="s">
        <v>468</v>
      </c>
      <c r="C2">
        <v>-1</v>
      </c>
      <c r="E2">
        <v>-1</v>
      </c>
      <c r="G2" t="s">
        <v>36</v>
      </c>
      <c r="H2" t="s">
        <v>36</v>
      </c>
      <c r="I2" t="s">
        <v>28</v>
      </c>
      <c r="J2">
        <v>1804</v>
      </c>
      <c r="W2">
        <v>2</v>
      </c>
      <c r="AA2" s="3" t="str">
        <f t="shared" ref="AA2" si="0">IF(AND(W2&gt;0,Z2&gt;0),(Z2/((W2+X2)*10)),"")</f>
        <v/>
      </c>
      <c r="AF2">
        <v>7.5</v>
      </c>
      <c r="AG2">
        <v>5</v>
      </c>
      <c r="AJ2" s="9">
        <v>0</v>
      </c>
      <c r="AK2" s="14" t="str">
        <f>CONCATENATE(VLOOKUP(AL2, 'Voxel Sizes'!$A$2:$B$18,2,FALSE),"x",INT(AH2*15), "x", INT(AI2*15))</f>
        <v>51x0x0</v>
      </c>
      <c r="AL2" s="14">
        <f t="shared" ref="AL2" si="1">ROUND(15*((AG2*10)/256),0)</f>
        <v>3</v>
      </c>
      <c r="AN2" s="14" t="str">
        <f>CONCATENATE(VLOOKUP(AL2,Constants!$A$2:$C$16,IF(AM2&lt;&gt;"", 3, 2), FALSE),IF(AM2&lt;&gt;"",CONCATENATE(",",VLOOKUP(AM2,$B:$AN,39,FALSE)),""))</f>
        <v>1,1,1</v>
      </c>
      <c r="AX2">
        <v>30</v>
      </c>
      <c r="AY2" s="14" t="str">
        <f t="shared" ref="AY2" si="2">IF(L2&lt;&gt;"",MAX(16,(L2-J2)+8),"")</f>
        <v/>
      </c>
      <c r="BB2" s="16">
        <f t="shared" ref="BB2" si="3">MIN(AB2/150, 1)*30</f>
        <v>0</v>
      </c>
      <c r="BC2" s="16">
        <f t="shared" ref="BC2" si="4">MIN(N2/4000, 1)*20</f>
        <v>0</v>
      </c>
      <c r="BD2" s="16">
        <f t="shared" ref="BD2" si="5">MIN(Z2/400,1)*20</f>
        <v>0</v>
      </c>
      <c r="BE2" s="17">
        <f t="shared" ref="BE2" si="6">1-(MAX(J2-1900, 0)/750)</f>
        <v>1</v>
      </c>
      <c r="BF2" s="16">
        <f t="shared" ref="BF2" si="7">((MAX($M2,1)*MIN($AJ2/300,1)))*IF(G2="Wagon",50,10)</f>
        <v>0</v>
      </c>
      <c r="BG2" s="16">
        <f>VLOOKUP($H2,Constants!$I:$K, 2, FALSE)</f>
        <v>0</v>
      </c>
      <c r="BH2" s="16">
        <f>VLOOKUP($H2,Constants!$I:$K, 3, FALSE)*IF(AND(G2="multiple_unit",AB2&lt;110),0.75,1)</f>
        <v>0</v>
      </c>
      <c r="BI2" s="16">
        <f>INT(POWER(((Constants!$G$2+$BB2+$BC2+$BD2+$BF2)*$BE2)*$BH2, 1.05))+$BA2</f>
        <v>0</v>
      </c>
      <c r="BJ2" s="16">
        <f>INT(POWER((((Constants!$G$1+$BB2+$BC2+$BD2+$BF2)*($BE2))*$BG2),IF($G2="wagon",1,1.2)))+$AZ2</f>
        <v>0</v>
      </c>
      <c r="BK2" s="19">
        <f t="shared" ref="BK2" si="8">BI2*IF($G2="wagon",62.5,781.25)</f>
        <v>0</v>
      </c>
      <c r="BL2" s="19">
        <f t="shared" ref="BL2" si="9">BJ2*IF($G2="wagon",2.73,81.25)</f>
        <v>0</v>
      </c>
      <c r="BZ2" s="22" t="str">
        <f>VLOOKUP(J2,Eras!$A$2:$C$10, 2, TRUE)</f>
        <v>early</v>
      </c>
      <c r="CA2" t="s">
        <v>62</v>
      </c>
      <c r="CB2" s="22" t="str">
        <f t="shared" ref="CB2" si="10">CONCATENATE(BZ2,"_",CA2)</f>
        <v>early_Mixed Traffic</v>
      </c>
      <c r="CC2" s="22" t="str">
        <f t="shared" ref="CC2" si="11">_xlfn.CONCAT(H2, "_",I2)</f>
        <v>tender_RAIL</v>
      </c>
      <c r="CD2" s="25" t="str" cm="1">
        <f t="array" ref="CD2">IF(AN2&lt;&gt;"na", _xlfn.CONCAT("{BLACK}Length: {GOLD}", TEXT(ROUNDUP(IF(AQ2&lt;&gt;"",SUM(VALUE(_xlfn.TEXTSPLIT(AQ2, ","))), SUM(VALUE(_xlfn.TEXTSPLIT(AN2, ",")))*IF(M2, M2, 1))/16, 1),"#,##0.0"), " tiles{}"), "")</f>
        <v>{BLACK}Length: {GOLD}0.2 tiles{}</v>
      </c>
      <c r="CE2" s="22" t="str">
        <f>VLOOKUP($CC2, Constants!$M:$N, 2, FALSE)</f>
        <v/>
      </c>
      <c r="CF2" s="22" t="str">
        <f t="shared" ref="CF2:CF39" si="12">IF(AND(M2&gt;1,BO2&lt;&gt;1),_xlfn.CONCAT("{BLACK}Cars: {GOLD}", M2),"")</f>
        <v/>
      </c>
      <c r="CH2" t="str">
        <f>IF($BT2="!param_no_gameplay_units","{GREEN}Included for gameplay purposes","")</f>
        <v/>
      </c>
      <c r="CI2" t="str">
        <f t="shared" ref="CI2:CI66" si="13">IF(BW2="buffet","{YELLOW}25% long distance bonus for consist{}",IF(BX2="DANDY","{YELLOW}Faster downhill speeds for horse-drawn trains (1 required per 2 horses){}",IF(BX2="BRAKE","{YELLOW}Speed bonus for slow wagons{}",IF(BX2="NGPassengers","{YELLOW}Preserved railway bonus: passengers pay more when hauled by old locomotives{}",IF(AND(BV2&gt;190,NOT(AND(I2="NARROW_GAUGE",BX2&lt;&gt;"PASS"))),CONCATENATE("{YELLOW}",INT((BV2-185)/1.85),"% bonus for long distance travel{}"),IF(AND(BV2&lt;180,BV2&lt;&gt;0),CONCATENATE("{YELLOW}",INT((185-BV2)/1.85),"% penalty for long distance travel{}"),""))))))</f>
        <v/>
      </c>
      <c r="CJ2" t="str">
        <f>_xlfn.CONCAT(CE2,IF(CE2&lt;&gt;""," ",""),CF2,IF(OR(CF2&lt;&gt;"",CE2&lt;&gt;""),"{}",""),CD2,CI2,"{SILVER}",CG2,IF(CH2&lt;&gt;"","{}{}",""),CH2)</f>
        <v>{BLACK}Length: {GOLD}0.2 tiles{}{SILVER}</v>
      </c>
    </row>
    <row r="3" spans="1:89" ht="13.9" customHeight="1" x14ac:dyDescent="0.35">
      <c r="A3" t="s">
        <v>360</v>
      </c>
      <c r="B3" t="s">
        <v>361</v>
      </c>
      <c r="C3">
        <v>-1</v>
      </c>
      <c r="E3">
        <v>-1</v>
      </c>
      <c r="G3" t="s">
        <v>36</v>
      </c>
      <c r="H3" t="s">
        <v>36</v>
      </c>
      <c r="I3" t="s">
        <v>28</v>
      </c>
      <c r="J3">
        <v>1870</v>
      </c>
      <c r="W3">
        <v>20</v>
      </c>
      <c r="AA3" s="3" t="str">
        <f t="shared" ref="AA3:AA13" si="14">IF(AND(W3&gt;0,Z3&gt;0),(Z3/((W3+X3)*10)),"")</f>
        <v/>
      </c>
      <c r="AF3">
        <v>7.5</v>
      </c>
      <c r="AG3">
        <v>8</v>
      </c>
      <c r="AJ3" s="9">
        <v>0</v>
      </c>
      <c r="AK3" s="14" t="str">
        <f>CONCATENATE(VLOOKUP(AL3, 'Voxel Sizes'!$A$2:$B$18,2,FALSE),"x",INT(AH3*15), "x", INT(AI3*15))</f>
        <v>82x0x0</v>
      </c>
      <c r="AL3" s="14">
        <f t="shared" ref="AL3:AL13" si="15">ROUND(15*((AG3*10)/256),0)</f>
        <v>5</v>
      </c>
      <c r="AN3" s="14" t="str">
        <f>CONCATENATE(VLOOKUP(AL3,Constants!$A$2:$C$16,IF(AM3&lt;&gt;"", 3, 2), FALSE),IF(AM3&lt;&gt;"",CONCATENATE(",",VLOOKUP(AM3,$B:$AN,39,FALSE)),""))</f>
        <v>2,1,2</v>
      </c>
      <c r="AX3">
        <v>30</v>
      </c>
      <c r="AY3" s="14" t="str">
        <f t="shared" ref="AY3:AY13" si="16">IF(L3&lt;&gt;"",MAX(16,(L3-J3)+8),"")</f>
        <v/>
      </c>
      <c r="BB3" s="16">
        <f t="shared" ref="BB3:BB13" si="17">MIN(AB3/150, 1)*30</f>
        <v>0</v>
      </c>
      <c r="BC3" s="16">
        <f t="shared" ref="BC3:BC13" si="18">MIN(N3/4000, 1)*20</f>
        <v>0</v>
      </c>
      <c r="BD3" s="16">
        <f t="shared" ref="BD3:BD13" si="19">MIN(Z3/400,1)*20</f>
        <v>0</v>
      </c>
      <c r="BE3" s="17">
        <f t="shared" ref="BE3:BE13" si="20">1-(MAX(J3-1900, 0)/750)</f>
        <v>1</v>
      </c>
      <c r="BF3" s="16">
        <f t="shared" ref="BF3:BF13" si="21">((MAX($M3,1)*MIN($AJ3/300,1)))*IF(G3="Wagon",50,10)</f>
        <v>0</v>
      </c>
      <c r="BG3" s="16">
        <f>VLOOKUP($H3,Constants!$I:$K, 2, FALSE)</f>
        <v>0</v>
      </c>
      <c r="BH3" s="16">
        <f>VLOOKUP($H3,Constants!$I:$K, 3, FALSE)*IF(AND(G3="multiple_unit",AB3&lt;110),0.75,1)</f>
        <v>0</v>
      </c>
      <c r="BI3" s="16">
        <f>INT(POWER(((Constants!$G$2+$BB3+$BC3+$BD3+$BF3)*$BE3)*$BH3, 1.05))+$BA3</f>
        <v>0</v>
      </c>
      <c r="BJ3" s="16">
        <f>INT(POWER((((Constants!$G$1+$BB3+$BC3+$BD3+$BF3)*($BE3))*$BG3),IF($G3="wagon",1,1.2)))+$AZ3</f>
        <v>0</v>
      </c>
      <c r="BK3" s="19">
        <f t="shared" ref="BK3:BK13" si="22">BI3*IF($G3="wagon",62.5,781.25)</f>
        <v>0</v>
      </c>
      <c r="BL3" s="19">
        <f t="shared" ref="BL3:BL13" si="23">BJ3*IF($G3="wagon",2.73,81.25)</f>
        <v>0</v>
      </c>
      <c r="BZ3" s="22" t="str">
        <f>VLOOKUP(J3,Eras!$A$2:$C$10, 2, TRUE)</f>
        <v>vct</v>
      </c>
      <c r="CA3" t="s">
        <v>62</v>
      </c>
      <c r="CB3" s="22" t="str">
        <f t="shared" ref="CB3:CB13" si="24">CONCATENATE(BZ3,"_",CA3)</f>
        <v>vct_Mixed Traffic</v>
      </c>
      <c r="CC3" s="22" t="str">
        <f t="shared" ref="CC3:CC13" si="25">_xlfn.CONCAT(H3, "_",I3)</f>
        <v>tender_RAIL</v>
      </c>
      <c r="CD3" s="25" t="str" cm="1">
        <f t="array" ref="CD3">IF(AN3&lt;&gt;"na", _xlfn.CONCAT("{BLACK}Length: {GOLD}", TEXT(ROUNDUP(IF(AQ3&lt;&gt;"",SUM(VALUE(_xlfn.TEXTSPLIT(AQ3, ","))), SUM(VALUE(_xlfn.TEXTSPLIT(AN3, ",")))*IF(M3, M3, 1))/16, 1),"#,##0.0"), " tiles{}"), "")</f>
        <v>{BLACK}Length: {GOLD}0.4 tiles{}</v>
      </c>
      <c r="CE3" s="22" t="str">
        <f>VLOOKUP($CC3, Constants!$M:$N, 2, FALSE)</f>
        <v/>
      </c>
      <c r="CF3" s="22" t="str">
        <f t="shared" si="12"/>
        <v/>
      </c>
      <c r="CH3" t="str">
        <f t="shared" ref="CH3:CH67" si="26">IF($BT3="!param_no_gameplay_units","{GREEN}Included for gameplay purposes","")</f>
        <v/>
      </c>
      <c r="CI3" t="str">
        <f t="shared" si="13"/>
        <v/>
      </c>
      <c r="CJ3" t="str">
        <f t="shared" ref="CJ3:CJ67" si="27">_xlfn.CONCAT(CE3,IF(CE3&lt;&gt;""," ",""),CF3,IF(OR(CF3&lt;&gt;"",CE3&lt;&gt;""),"{}",""),CD3,CI3,"{SILVER}",CG3,IF(CH3&lt;&gt;"","{}{}",""),CH3)</f>
        <v>{BLACK}Length: {GOLD}0.4 tiles{}{SILVER}</v>
      </c>
    </row>
    <row r="4" spans="1:89" ht="13.9" customHeight="1" x14ac:dyDescent="0.35">
      <c r="A4" t="s">
        <v>516</v>
      </c>
      <c r="B4" t="s">
        <v>515</v>
      </c>
      <c r="C4">
        <v>-1</v>
      </c>
      <c r="E4">
        <v>-1</v>
      </c>
      <c r="G4" t="s">
        <v>36</v>
      </c>
      <c r="H4" t="s">
        <v>36</v>
      </c>
      <c r="I4" t="s">
        <v>28</v>
      </c>
      <c r="J4">
        <v>1874</v>
      </c>
      <c r="W4">
        <v>20</v>
      </c>
      <c r="AA4" s="3" t="str">
        <f t="shared" ref="AA4" si="28">IF(AND(W4&gt;0,Z4&gt;0),(Z4/((W4+X4)*10)),"")</f>
        <v/>
      </c>
      <c r="AF4">
        <v>7.5</v>
      </c>
      <c r="AG4">
        <v>8</v>
      </c>
      <c r="AJ4" s="9">
        <v>0</v>
      </c>
      <c r="AK4" s="14" t="str">
        <f>CONCATENATE(VLOOKUP(AL4, 'Voxel Sizes'!$A$2:$B$18,2,FALSE),"x",INT(AH4*15), "x", INT(AI4*15))</f>
        <v>82x0x0</v>
      </c>
      <c r="AL4" s="14">
        <f t="shared" ref="AL4" si="29">ROUND(15*((AG4*10)/256),0)</f>
        <v>5</v>
      </c>
      <c r="AN4" s="14" t="str">
        <f>CONCATENATE(VLOOKUP(AL4,Constants!$A$2:$C$16,IF(AM4&lt;&gt;"", 3, 2), FALSE),IF(AM4&lt;&gt;"",CONCATENATE(",",VLOOKUP(AM4,$B:$AN,39,FALSE)),""))</f>
        <v>2,1,2</v>
      </c>
      <c r="AX4">
        <v>30</v>
      </c>
      <c r="AY4" s="14" t="str">
        <f t="shared" ref="AY4" si="30">IF(L4&lt;&gt;"",MAX(16,(L4-J4)+8),"")</f>
        <v/>
      </c>
      <c r="BB4" s="16">
        <f t="shared" ref="BB4" si="31">MIN(AB4/150, 1)*30</f>
        <v>0</v>
      </c>
      <c r="BC4" s="16">
        <f t="shared" ref="BC4" si="32">MIN(N4/4000, 1)*20</f>
        <v>0</v>
      </c>
      <c r="BD4" s="16">
        <f t="shared" ref="BD4" si="33">MIN(Z4/400,1)*20</f>
        <v>0</v>
      </c>
      <c r="BE4" s="17">
        <f t="shared" ref="BE4" si="34">1-(MAX(J4-1900, 0)/750)</f>
        <v>1</v>
      </c>
      <c r="BF4" s="16">
        <f t="shared" ref="BF4" si="35">((MAX($M4,1)*MIN($AJ4/300,1)))*IF(G4="Wagon",50,10)</f>
        <v>0</v>
      </c>
      <c r="BG4" s="16">
        <f>VLOOKUP($H4,Constants!$I:$K, 2, FALSE)</f>
        <v>0</v>
      </c>
      <c r="BH4" s="16">
        <f>VLOOKUP($H4,Constants!$I:$K, 3, FALSE)*IF(AND(G4="multiple_unit",AB4&lt;110),0.75,1)</f>
        <v>0</v>
      </c>
      <c r="BI4" s="16">
        <f>INT(POWER(((Constants!$G$2+$BB4+$BC4+$BD4+$BF4)*$BE4)*$BH4, 1.05))+$BA4</f>
        <v>0</v>
      </c>
      <c r="BJ4" s="16">
        <f>INT(POWER((((Constants!$G$1+$BB4+$BC4+$BD4+$BF4)*($BE4))*$BG4),IF($G4="wagon",1,1.2)))+$AZ4</f>
        <v>0</v>
      </c>
      <c r="BK4" s="19">
        <f t="shared" ref="BK4" si="36">BI4*IF($G4="wagon",62.5,781.25)</f>
        <v>0</v>
      </c>
      <c r="BL4" s="19">
        <f t="shared" ref="BL4" si="37">BJ4*IF($G4="wagon",2.73,81.25)</f>
        <v>0</v>
      </c>
      <c r="BZ4" s="22" t="str">
        <f>VLOOKUP(J4,Eras!$A$2:$C$10, 2, TRUE)</f>
        <v>vct</v>
      </c>
      <c r="CA4" t="s">
        <v>62</v>
      </c>
      <c r="CB4" s="22" t="str">
        <f t="shared" ref="CB4" si="38">CONCATENATE(BZ4,"_",CA4)</f>
        <v>vct_Mixed Traffic</v>
      </c>
      <c r="CC4" s="22" t="str">
        <f t="shared" ref="CC4" si="39">_xlfn.CONCAT(H4, "_",I4)</f>
        <v>tender_RAIL</v>
      </c>
      <c r="CD4" s="25" t="str" cm="1">
        <f t="array" ref="CD4">IF(AN4&lt;&gt;"na", _xlfn.CONCAT("{BLACK}Length: {GOLD}", TEXT(ROUNDUP(IF(AQ4&lt;&gt;"",SUM(VALUE(_xlfn.TEXTSPLIT(AQ4, ","))), SUM(VALUE(_xlfn.TEXTSPLIT(AN4, ",")))*IF(M4, M4, 1))/16, 1),"#,##0.0"), " tiles{}"), "")</f>
        <v>{BLACK}Length: {GOLD}0.4 tiles{}</v>
      </c>
      <c r="CE4" s="22" t="str">
        <f>VLOOKUP($CC4, Constants!$M:$N, 2, FALSE)</f>
        <v/>
      </c>
      <c r="CF4" s="22" t="str">
        <f t="shared" ref="CF4" si="40">IF(AND(M4&gt;1,BO4&lt;&gt;1),_xlfn.CONCAT("{BLACK}Cars: {GOLD}", M4),"")</f>
        <v/>
      </c>
      <c r="CH4" t="str">
        <f t="shared" si="26"/>
        <v/>
      </c>
      <c r="CI4" t="str">
        <f t="shared" si="13"/>
        <v/>
      </c>
      <c r="CJ4" t="str">
        <f t="shared" si="27"/>
        <v>{BLACK}Length: {GOLD}0.4 tiles{}{SILVER}</v>
      </c>
    </row>
    <row r="5" spans="1:89" ht="13.9" customHeight="1" x14ac:dyDescent="0.35">
      <c r="A5" t="s">
        <v>472</v>
      </c>
      <c r="B5" t="s">
        <v>471</v>
      </c>
      <c r="C5">
        <v>-1</v>
      </c>
      <c r="E5">
        <v>-1</v>
      </c>
      <c r="G5" t="s">
        <v>36</v>
      </c>
      <c r="H5" t="s">
        <v>36</v>
      </c>
      <c r="I5" t="s">
        <v>28</v>
      </c>
      <c r="J5">
        <v>1863</v>
      </c>
      <c r="W5">
        <v>4</v>
      </c>
      <c r="AA5" s="3" t="str">
        <f t="shared" si="14"/>
        <v/>
      </c>
      <c r="AF5">
        <v>7.5</v>
      </c>
      <c r="AG5">
        <v>5</v>
      </c>
      <c r="AJ5" s="9">
        <v>0</v>
      </c>
      <c r="AK5" s="14" t="str">
        <f>CONCATENATE(VLOOKUP(AL5, 'Voxel Sizes'!$A$2:$B$18,2,FALSE),"x",INT(AH5*15), "x", INT(AI5*15))</f>
        <v>51x0x0</v>
      </c>
      <c r="AL5" s="14">
        <f t="shared" si="15"/>
        <v>3</v>
      </c>
      <c r="AN5" s="14" t="str">
        <f>CONCATENATE(VLOOKUP(AL5,Constants!$A$2:$C$16,IF(AM5&lt;&gt;"", 3, 2), FALSE),IF(AM5&lt;&gt;"",CONCATENATE(",",VLOOKUP(AM5,$B:$AN,39,FALSE)),""))</f>
        <v>1,1,1</v>
      </c>
      <c r="AX5">
        <v>30</v>
      </c>
      <c r="AY5" s="14" t="str">
        <f t="shared" si="16"/>
        <v/>
      </c>
      <c r="BB5" s="16">
        <f t="shared" si="17"/>
        <v>0</v>
      </c>
      <c r="BC5" s="16">
        <f t="shared" si="18"/>
        <v>0</v>
      </c>
      <c r="BD5" s="16">
        <f t="shared" si="19"/>
        <v>0</v>
      </c>
      <c r="BE5" s="17">
        <f t="shared" si="20"/>
        <v>1</v>
      </c>
      <c r="BF5" s="16">
        <f t="shared" si="21"/>
        <v>0</v>
      </c>
      <c r="BG5" s="16">
        <f>VLOOKUP($H5,Constants!$I:$K, 2, FALSE)</f>
        <v>0</v>
      </c>
      <c r="BH5" s="16">
        <f>VLOOKUP($H5,Constants!$I:$K, 3, FALSE)*IF(AND(G5="multiple_unit",AB5&lt;110),0.75,1)</f>
        <v>0</v>
      </c>
      <c r="BI5" s="16">
        <f>INT(POWER(((Constants!$G$2+$BB5+$BC5+$BD5+$BF5)*$BE5)*$BH5, 1.05))+$BA5</f>
        <v>0</v>
      </c>
      <c r="BJ5" s="16">
        <f>INT(POWER((((Constants!$G$1+$BB5+$BC5+$BD5+$BF5)*($BE5))*$BG5),IF($G5="wagon",1,1.2)))+$AZ5</f>
        <v>0</v>
      </c>
      <c r="BK5" s="19">
        <f t="shared" si="22"/>
        <v>0</v>
      </c>
      <c r="BL5" s="19">
        <f t="shared" si="23"/>
        <v>0</v>
      </c>
      <c r="BZ5" s="22" t="str">
        <f>VLOOKUP(J5,Eras!$A$2:$C$10, 2, TRUE)</f>
        <v>vct</v>
      </c>
      <c r="CA5" t="s">
        <v>62</v>
      </c>
      <c r="CB5" s="22" t="str">
        <f t="shared" si="24"/>
        <v>vct_Mixed Traffic</v>
      </c>
      <c r="CC5" s="22" t="str">
        <f t="shared" si="25"/>
        <v>tender_RAIL</v>
      </c>
      <c r="CD5" s="25" t="str" cm="1">
        <f t="array" ref="CD5">IF(AN5&lt;&gt;"na", _xlfn.CONCAT("{BLACK}Length: {GOLD}", TEXT(ROUNDUP(IF(AQ5&lt;&gt;"",SUM(VALUE(_xlfn.TEXTSPLIT(AQ5, ","))), SUM(VALUE(_xlfn.TEXTSPLIT(AN5, ",")))*IF(M5, M5, 1))/16, 1),"#,##0.0"), " tiles{}"), "")</f>
        <v>{BLACK}Length: {GOLD}0.2 tiles{}</v>
      </c>
      <c r="CE5" s="22" t="str">
        <f>VLOOKUP($CC5, Constants!$M:$N, 2, FALSE)</f>
        <v/>
      </c>
      <c r="CF5" s="22" t="str">
        <f t="shared" si="12"/>
        <v/>
      </c>
      <c r="CH5" t="str">
        <f t="shared" si="26"/>
        <v/>
      </c>
      <c r="CI5" t="str">
        <f t="shared" si="13"/>
        <v/>
      </c>
      <c r="CJ5" t="str">
        <f t="shared" si="27"/>
        <v>{BLACK}Length: {GOLD}0.2 tiles{}{SILVER}</v>
      </c>
    </row>
    <row r="6" spans="1:89" x14ac:dyDescent="0.35">
      <c r="A6" t="s">
        <v>442</v>
      </c>
      <c r="B6" t="s">
        <v>443</v>
      </c>
      <c r="C6">
        <v>-1</v>
      </c>
      <c r="E6">
        <v>-1</v>
      </c>
      <c r="G6" t="s">
        <v>36</v>
      </c>
      <c r="H6" t="s">
        <v>36</v>
      </c>
      <c r="I6" t="s">
        <v>28</v>
      </c>
      <c r="J6">
        <v>1840</v>
      </c>
      <c r="W6">
        <v>5</v>
      </c>
      <c r="AA6" s="3" t="str">
        <f t="shared" si="14"/>
        <v/>
      </c>
      <c r="AF6">
        <v>7.5</v>
      </c>
      <c r="AG6">
        <v>6</v>
      </c>
      <c r="AJ6" s="9">
        <v>0</v>
      </c>
      <c r="AK6" s="14" t="str">
        <f>CONCATENATE(VLOOKUP(AL6, 'Voxel Sizes'!$A$2:$B$18,2,FALSE),"x",INT(AH6*15), "x", INT(AI6*15))</f>
        <v>66x0x0</v>
      </c>
      <c r="AL6" s="14">
        <f t="shared" ref="AL6" si="41">ROUND(15*((AG6*10)/256),0)</f>
        <v>4</v>
      </c>
      <c r="AN6" s="14" t="str">
        <f>CONCATENATE(VLOOKUP(AL6,Constants!$A$2:$C$16,IF(AM6&lt;&gt;"", 3, 2), FALSE),IF(AM6&lt;&gt;"",CONCATENATE(",",VLOOKUP(AM6,$B:$AN,39,FALSE)),""))</f>
        <v>1,2,1</v>
      </c>
      <c r="AX6">
        <v>30</v>
      </c>
      <c r="AY6" s="14" t="str">
        <f t="shared" si="16"/>
        <v/>
      </c>
      <c r="BB6">
        <f t="shared" si="17"/>
        <v>0</v>
      </c>
      <c r="BC6">
        <f t="shared" si="18"/>
        <v>0</v>
      </c>
      <c r="BD6">
        <f t="shared" si="19"/>
        <v>0</v>
      </c>
      <c r="BE6" s="3">
        <f t="shared" si="20"/>
        <v>1</v>
      </c>
      <c r="BF6">
        <f t="shared" si="21"/>
        <v>0</v>
      </c>
      <c r="BG6">
        <v>0</v>
      </c>
      <c r="BH6">
        <v>0</v>
      </c>
      <c r="BI6">
        <v>0</v>
      </c>
      <c r="BJ6">
        <v>0</v>
      </c>
      <c r="BK6" s="23">
        <f t="shared" si="22"/>
        <v>0</v>
      </c>
      <c r="BL6" s="23">
        <f t="shared" si="23"/>
        <v>0</v>
      </c>
      <c r="BZ6" t="s">
        <v>52</v>
      </c>
      <c r="CB6" t="str">
        <f t="shared" si="24"/>
        <v>early_</v>
      </c>
      <c r="CC6" t="str">
        <f t="shared" si="25"/>
        <v>tender_RAIL</v>
      </c>
      <c r="CD6" s="25" t="str" cm="1">
        <f t="array" ref="CD6">IF(AN6&lt;&gt;"na", _xlfn.CONCAT("{BLACK}Length: {GOLD}", TEXT(ROUNDUP(IF(AQ6&lt;&gt;"",SUM(VALUE(_xlfn.TEXTSPLIT(AQ6, ","))), SUM(VALUE(_xlfn.TEXTSPLIT(AN6, ",")))*IF(M6, M6, 1))/16, 1),"#,##0.0"), " tiles{}"), "")</f>
        <v>{BLACK}Length: {GOLD}0.3 tiles{}</v>
      </c>
      <c r="CE6" s="22" t="str">
        <f>VLOOKUP($CC6, Constants!$M:$N, 2, FALSE)</f>
        <v/>
      </c>
      <c r="CF6" s="22" t="str">
        <f t="shared" si="12"/>
        <v/>
      </c>
      <c r="CH6" t="str">
        <f t="shared" si="26"/>
        <v/>
      </c>
      <c r="CI6" t="str">
        <f t="shared" si="13"/>
        <v/>
      </c>
      <c r="CJ6" t="str">
        <f t="shared" si="27"/>
        <v>{BLACK}Length: {GOLD}0.3 tiles{}{SILVER}</v>
      </c>
    </row>
    <row r="7" spans="1:89" x14ac:dyDescent="0.35">
      <c r="A7" t="s">
        <v>448</v>
      </c>
      <c r="B7" t="s">
        <v>449</v>
      </c>
      <c r="C7">
        <v>-1</v>
      </c>
      <c r="E7">
        <v>-1</v>
      </c>
      <c r="G7" t="s">
        <v>36</v>
      </c>
      <c r="H7" t="s">
        <v>36</v>
      </c>
      <c r="I7" t="s">
        <v>28</v>
      </c>
      <c r="J7">
        <v>1848</v>
      </c>
      <c r="W7">
        <v>20</v>
      </c>
      <c r="AA7" s="3" t="str">
        <f t="shared" ref="AA7" si="42">IF(AND(W7&gt;0,Z7&gt;0),(Z7/((W7+X7)*10)),"")</f>
        <v/>
      </c>
      <c r="AF7">
        <v>7.5</v>
      </c>
      <c r="AG7">
        <v>6</v>
      </c>
      <c r="AJ7" s="9">
        <v>0</v>
      </c>
      <c r="AK7" s="14" t="str">
        <f>CONCATENATE(VLOOKUP(AL7, 'Voxel Sizes'!$A$2:$B$18,2,FALSE),"x",INT(AH7*15), "x", INT(AI7*15))</f>
        <v>66x0x0</v>
      </c>
      <c r="AL7" s="14">
        <f t="shared" ref="AL7" si="43">ROUND(15*((AG7*10)/256),0)</f>
        <v>4</v>
      </c>
      <c r="AN7" s="14" t="str">
        <f>CONCATENATE(VLOOKUP(AL7,Constants!$A$2:$C$16,IF(AM7&lt;&gt;"", 3, 2), FALSE),IF(AM7&lt;&gt;"",CONCATENATE(",",VLOOKUP(AM7,$B:$AN,39,FALSE)),""))</f>
        <v>1,2,1</v>
      </c>
      <c r="AX7">
        <v>30</v>
      </c>
      <c r="AY7" s="14" t="str">
        <f t="shared" ref="AY7" si="44">IF(L7&lt;&gt;"",MAX(16,(L7-J7)+8),"")</f>
        <v/>
      </c>
      <c r="BB7">
        <f t="shared" ref="BB7" si="45">MIN(AB7/150, 1)*30</f>
        <v>0</v>
      </c>
      <c r="BC7">
        <f t="shared" ref="BC7" si="46">MIN(N7/4000, 1)*20</f>
        <v>0</v>
      </c>
      <c r="BD7">
        <f t="shared" ref="BD7" si="47">MIN(Z7/400,1)*20</f>
        <v>0</v>
      </c>
      <c r="BE7" s="3">
        <f t="shared" ref="BE7" si="48">1-(MAX(J7-1900, 0)/750)</f>
        <v>1</v>
      </c>
      <c r="BF7">
        <f t="shared" ref="BF7" si="49">((MAX($M7,1)*MIN($AJ7/300,1)))*IF(G7="Wagon",50,10)</f>
        <v>0</v>
      </c>
      <c r="BG7">
        <v>0</v>
      </c>
      <c r="BH7">
        <v>0</v>
      </c>
      <c r="BI7">
        <v>0</v>
      </c>
      <c r="BJ7">
        <v>0</v>
      </c>
      <c r="BK7" s="23">
        <f t="shared" ref="BK7" si="50">BI7*IF($G7="wagon",62.5,781.25)</f>
        <v>0</v>
      </c>
      <c r="BL7" s="23">
        <f t="shared" ref="BL7" si="51">BJ7*IF($G7="wagon",2.73,81.25)</f>
        <v>0</v>
      </c>
      <c r="BZ7" t="s">
        <v>52</v>
      </c>
      <c r="CB7" t="str">
        <f t="shared" ref="CB7" si="52">CONCATENATE(BZ7,"_",CA7)</f>
        <v>early_</v>
      </c>
      <c r="CC7" t="str">
        <f t="shared" ref="CC7" si="53">_xlfn.CONCAT(H7, "_",I7)</f>
        <v>tender_RAIL</v>
      </c>
      <c r="CD7" s="25" t="str" cm="1">
        <f t="array" ref="CD7">IF(AN7&lt;&gt;"na", _xlfn.CONCAT("{BLACK}Length: {GOLD}", TEXT(ROUNDUP(IF(AQ7&lt;&gt;"",SUM(VALUE(_xlfn.TEXTSPLIT(AQ7, ","))), SUM(VALUE(_xlfn.TEXTSPLIT(AN7, ",")))*IF(M7, M7, 1))/16, 1),"#,##0.0"), " tiles{}"), "")</f>
        <v>{BLACK}Length: {GOLD}0.3 tiles{}</v>
      </c>
      <c r="CE7" s="22" t="str">
        <f>VLOOKUP($CC7, Constants!$M:$N, 2, FALSE)</f>
        <v/>
      </c>
      <c r="CF7" s="22" t="str">
        <f t="shared" si="12"/>
        <v/>
      </c>
      <c r="CH7" t="str">
        <f t="shared" si="26"/>
        <v/>
      </c>
      <c r="CI7" t="str">
        <f t="shared" si="13"/>
        <v/>
      </c>
      <c r="CJ7" t="str">
        <f t="shared" si="27"/>
        <v>{BLACK}Length: {GOLD}0.3 tiles{}{SILVER}</v>
      </c>
    </row>
    <row r="8" spans="1:89" x14ac:dyDescent="0.35">
      <c r="A8" t="s">
        <v>402</v>
      </c>
      <c r="B8" t="s">
        <v>403</v>
      </c>
      <c r="C8">
        <v>-1</v>
      </c>
      <c r="E8">
        <v>-1</v>
      </c>
      <c r="G8" t="s">
        <v>36</v>
      </c>
      <c r="H8" t="s">
        <v>36</v>
      </c>
      <c r="I8" t="s">
        <v>28</v>
      </c>
      <c r="J8">
        <v>1870</v>
      </c>
      <c r="W8">
        <v>42</v>
      </c>
      <c r="AA8" s="3" t="str">
        <f t="shared" si="14"/>
        <v/>
      </c>
      <c r="AF8">
        <v>7.5</v>
      </c>
      <c r="AG8">
        <v>8</v>
      </c>
      <c r="AJ8" s="9">
        <v>0</v>
      </c>
      <c r="AK8" s="14" t="str">
        <f>CONCATENATE(VLOOKUP(AL8, 'Voxel Sizes'!$A$2:$B$18,2,FALSE),"x",INT(AH8*15), "x", INT(AI8*15))</f>
        <v>82x0x0</v>
      </c>
      <c r="AL8" s="14">
        <f t="shared" si="15"/>
        <v>5</v>
      </c>
      <c r="AN8" s="14" t="str">
        <f>CONCATENATE(VLOOKUP(AL8,Constants!$A$2:$C$16,IF(AM8&lt;&gt;"", 3, 2), FALSE),IF(AM8&lt;&gt;"",CONCATENATE(",",VLOOKUP(AM8,$B:$AN,39,FALSE)),""))</f>
        <v>2,1,2</v>
      </c>
      <c r="AX8">
        <v>30</v>
      </c>
      <c r="AY8" s="14" t="str">
        <f t="shared" si="16"/>
        <v/>
      </c>
      <c r="BB8" s="16">
        <f t="shared" si="17"/>
        <v>0</v>
      </c>
      <c r="BC8" s="16">
        <f t="shared" si="18"/>
        <v>0</v>
      </c>
      <c r="BD8" s="16">
        <f t="shared" si="19"/>
        <v>0</v>
      </c>
      <c r="BE8" s="17">
        <f t="shared" si="20"/>
        <v>1</v>
      </c>
      <c r="BF8" s="16">
        <f t="shared" si="21"/>
        <v>0</v>
      </c>
      <c r="BG8" s="16">
        <f>VLOOKUP($H8,Constants!$I:$K, 2, FALSE)</f>
        <v>0</v>
      </c>
      <c r="BH8" s="16">
        <f>VLOOKUP($H8,Constants!$I:$K, 3, FALSE)*IF(AND(G8="multiple_unit",AB8&lt;110),0.75,1)</f>
        <v>0</v>
      </c>
      <c r="BI8" s="16">
        <f>INT(POWER(((Constants!$G$2+$BB8+$BC8+$BD8+$BF8)*$BE8)*$BH8, 1.05))+$BA8</f>
        <v>0</v>
      </c>
      <c r="BJ8" s="16">
        <f>INT(POWER((((Constants!$G$1+$BB8+$BC8+$BD8+$BF8)*($BE8))*$BG8),IF($G8="wagon",1,1.2)))+$AZ8</f>
        <v>0</v>
      </c>
      <c r="BK8" s="19">
        <f t="shared" si="22"/>
        <v>0</v>
      </c>
      <c r="BL8" s="19">
        <f t="shared" si="23"/>
        <v>0</v>
      </c>
      <c r="BZ8" s="22" t="str">
        <f>VLOOKUP(J8,Eras!$A$2:$C$10, 2, TRUE)</f>
        <v>vct</v>
      </c>
      <c r="CA8" t="s">
        <v>62</v>
      </c>
      <c r="CB8" s="22" t="str">
        <f t="shared" si="24"/>
        <v>vct_Mixed Traffic</v>
      </c>
      <c r="CC8" s="22" t="str">
        <f t="shared" si="25"/>
        <v>tender_RAIL</v>
      </c>
      <c r="CD8" s="25" t="str" cm="1">
        <f t="array" ref="CD8">IF(AN8&lt;&gt;"na", _xlfn.CONCAT("{BLACK}Length: {GOLD}", TEXT(ROUNDUP(IF(AQ8&lt;&gt;"",SUM(VALUE(_xlfn.TEXTSPLIT(AQ8, ","))), SUM(VALUE(_xlfn.TEXTSPLIT(AN8, ",")))*IF(M8, M8, 1))/16, 1),"#,##0.0"), " tiles{}"), "")</f>
        <v>{BLACK}Length: {GOLD}0.4 tiles{}</v>
      </c>
      <c r="CE8" s="22" t="str">
        <f>VLOOKUP($CC8, Constants!$M:$N, 2, FALSE)</f>
        <v/>
      </c>
      <c r="CF8" s="22" t="str">
        <f t="shared" si="12"/>
        <v/>
      </c>
      <c r="CH8" t="str">
        <f t="shared" si="26"/>
        <v/>
      </c>
      <c r="CI8" t="str">
        <f t="shared" si="13"/>
        <v/>
      </c>
      <c r="CJ8" t="str">
        <f t="shared" si="27"/>
        <v>{BLACK}Length: {GOLD}0.4 tiles{}{SILVER}</v>
      </c>
    </row>
    <row r="9" spans="1:89" x14ac:dyDescent="0.35">
      <c r="A9" t="s">
        <v>379</v>
      </c>
      <c r="B9" t="s">
        <v>380</v>
      </c>
      <c r="C9">
        <v>-1</v>
      </c>
      <c r="E9">
        <v>-1</v>
      </c>
      <c r="G9" t="s">
        <v>36</v>
      </c>
      <c r="H9" t="s">
        <v>36</v>
      </c>
      <c r="I9" t="s">
        <v>28</v>
      </c>
      <c r="J9">
        <v>1870</v>
      </c>
      <c r="W9">
        <v>42</v>
      </c>
      <c r="AA9" s="3" t="str">
        <f t="shared" si="14"/>
        <v/>
      </c>
      <c r="AF9">
        <v>7.5</v>
      </c>
      <c r="AG9">
        <v>8</v>
      </c>
      <c r="AJ9" s="9">
        <v>0</v>
      </c>
      <c r="AK9" s="14" t="str">
        <f>CONCATENATE(VLOOKUP(AL9, 'Voxel Sizes'!$A$2:$B$18,2,FALSE),"x",INT(AH9*15), "x", INT(AI9*15))</f>
        <v>82x0x0</v>
      </c>
      <c r="AL9" s="14">
        <f t="shared" si="15"/>
        <v>5</v>
      </c>
      <c r="AN9" s="14" t="str">
        <f>CONCATENATE(VLOOKUP(AL9,Constants!$A$2:$C$16,IF(AM9&lt;&gt;"", 3, 2), FALSE),IF(AM9&lt;&gt;"",CONCATENATE(",",VLOOKUP(AM9,$B:$AN,39,FALSE)),""))</f>
        <v>2,1,2</v>
      </c>
      <c r="AX9">
        <v>30</v>
      </c>
      <c r="AY9" s="14" t="str">
        <f t="shared" si="16"/>
        <v/>
      </c>
      <c r="BB9" s="16">
        <f t="shared" si="17"/>
        <v>0</v>
      </c>
      <c r="BC9" s="16">
        <f t="shared" si="18"/>
        <v>0</v>
      </c>
      <c r="BD9" s="16">
        <f t="shared" si="19"/>
        <v>0</v>
      </c>
      <c r="BE9" s="17">
        <f t="shared" si="20"/>
        <v>1</v>
      </c>
      <c r="BF9" s="16">
        <f t="shared" si="21"/>
        <v>0</v>
      </c>
      <c r="BG9" s="16">
        <f>VLOOKUP($H9,Constants!$I:$K, 2, FALSE)</f>
        <v>0</v>
      </c>
      <c r="BH9" s="16">
        <f>VLOOKUP($H9,Constants!$I:$K, 3, FALSE)*IF(AND(G9="multiple_unit",AB9&lt;110),0.75,1)</f>
        <v>0</v>
      </c>
      <c r="BI9" s="16">
        <f>INT(POWER(((Constants!$G$2+$BB9+$BC9+$BD9+$BF9)*$BE9)*$BH9, 1.05))+$BA9</f>
        <v>0</v>
      </c>
      <c r="BJ9" s="16">
        <f>INT(POWER((((Constants!$G$1+$BB9+$BC9+$BD9+$BF9)*($BE9))*$BG9),IF($G9="wagon",1,1.2)))+$AZ9</f>
        <v>0</v>
      </c>
      <c r="BK9" s="19">
        <f t="shared" si="22"/>
        <v>0</v>
      </c>
      <c r="BL9" s="19">
        <f t="shared" si="23"/>
        <v>0</v>
      </c>
      <c r="BZ9" s="22" t="str">
        <f>VLOOKUP(J9,Eras!$A$2:$C$10, 2, TRUE)</f>
        <v>vct</v>
      </c>
      <c r="CA9" t="s">
        <v>62</v>
      </c>
      <c r="CB9" s="22" t="str">
        <f t="shared" si="24"/>
        <v>vct_Mixed Traffic</v>
      </c>
      <c r="CC9" s="22" t="str">
        <f t="shared" si="25"/>
        <v>tender_RAIL</v>
      </c>
      <c r="CD9" s="25" t="str" cm="1">
        <f t="array" ref="CD9">IF(AN9&lt;&gt;"na", _xlfn.CONCAT("{BLACK}Length: {GOLD}", TEXT(ROUNDUP(IF(AQ9&lt;&gt;"",SUM(VALUE(_xlfn.TEXTSPLIT(AQ9, ","))), SUM(VALUE(_xlfn.TEXTSPLIT(AN9, ",")))*IF(M9, M9, 1))/16, 1),"#,##0.0"), " tiles{}"), "")</f>
        <v>{BLACK}Length: {GOLD}0.4 tiles{}</v>
      </c>
      <c r="CE9" s="22" t="str">
        <f>VLOOKUP($CC9, Constants!$M:$N, 2, FALSE)</f>
        <v/>
      </c>
      <c r="CF9" s="22" t="str">
        <f t="shared" si="12"/>
        <v/>
      </c>
      <c r="CH9" t="str">
        <f t="shared" si="26"/>
        <v/>
      </c>
      <c r="CI9" t="str">
        <f t="shared" si="13"/>
        <v/>
      </c>
      <c r="CJ9" t="str">
        <f t="shared" si="27"/>
        <v>{BLACK}Length: {GOLD}0.4 tiles{}{SILVER}</v>
      </c>
    </row>
    <row r="10" spans="1:89" x14ac:dyDescent="0.35">
      <c r="A10" t="s">
        <v>384</v>
      </c>
      <c r="B10" t="s">
        <v>383</v>
      </c>
      <c r="C10">
        <v>-1</v>
      </c>
      <c r="E10">
        <v>-1</v>
      </c>
      <c r="G10" t="s">
        <v>36</v>
      </c>
      <c r="H10" t="s">
        <v>36</v>
      </c>
      <c r="I10" t="s">
        <v>28</v>
      </c>
      <c r="J10">
        <v>1870</v>
      </c>
      <c r="W10">
        <v>42</v>
      </c>
      <c r="AA10" s="3" t="str">
        <f t="shared" si="14"/>
        <v/>
      </c>
      <c r="AF10">
        <v>7.5</v>
      </c>
      <c r="AG10">
        <v>8</v>
      </c>
      <c r="AJ10" s="9">
        <v>0</v>
      </c>
      <c r="AK10" s="14" t="str">
        <f>CONCATENATE(VLOOKUP(AL10, 'Voxel Sizes'!$A$2:$B$18,2,FALSE),"x",INT(AH10*15), "x", INT(AI10*15))</f>
        <v>82x0x0</v>
      </c>
      <c r="AL10" s="14">
        <f t="shared" si="15"/>
        <v>5</v>
      </c>
      <c r="AN10" s="14" t="str">
        <f>CONCATENATE(VLOOKUP(AL10,Constants!$A$2:$C$16,IF(AM10&lt;&gt;"", 3, 2), FALSE),IF(AM10&lt;&gt;"",CONCATENATE(",",VLOOKUP(AM10,$B:$AN,39,FALSE)),""))</f>
        <v>2,1,2</v>
      </c>
      <c r="AX10">
        <v>30</v>
      </c>
      <c r="AY10" s="14" t="str">
        <f t="shared" si="16"/>
        <v/>
      </c>
      <c r="BB10" s="16">
        <f t="shared" si="17"/>
        <v>0</v>
      </c>
      <c r="BC10" s="16">
        <f t="shared" si="18"/>
        <v>0</v>
      </c>
      <c r="BD10" s="16">
        <f t="shared" si="19"/>
        <v>0</v>
      </c>
      <c r="BE10" s="17">
        <f t="shared" si="20"/>
        <v>1</v>
      </c>
      <c r="BF10" s="16">
        <f t="shared" si="21"/>
        <v>0</v>
      </c>
      <c r="BG10" s="16">
        <f>VLOOKUP($H10,Constants!$I:$K, 2, FALSE)</f>
        <v>0</v>
      </c>
      <c r="BH10" s="16">
        <f>VLOOKUP($H10,Constants!$I:$K, 3, FALSE)*IF(AND(G10="multiple_unit",AB10&lt;110),0.75,1)</f>
        <v>0</v>
      </c>
      <c r="BI10" s="16">
        <f>INT(POWER(((Constants!$G$2+$BB10+$BC10+$BD10+$BF10)*$BE10)*$BH10, 1.05))+$BA10</f>
        <v>0</v>
      </c>
      <c r="BJ10" s="16">
        <f>INT(POWER((((Constants!$G$1+$BB10+$BC10+$BD10+$BF10)*($BE10))*$BG10),IF($G10="wagon",1,1.2)))+$AZ10</f>
        <v>0</v>
      </c>
      <c r="BK10" s="19">
        <f t="shared" si="22"/>
        <v>0</v>
      </c>
      <c r="BL10" s="19">
        <f t="shared" si="23"/>
        <v>0</v>
      </c>
      <c r="BZ10" s="22" t="str">
        <f>VLOOKUP(J10,Eras!$A$2:$C$10, 2, TRUE)</f>
        <v>vct</v>
      </c>
      <c r="CA10" t="s">
        <v>62</v>
      </c>
      <c r="CB10" s="22" t="str">
        <f t="shared" si="24"/>
        <v>vct_Mixed Traffic</v>
      </c>
      <c r="CC10" s="22" t="str">
        <f t="shared" si="25"/>
        <v>tender_RAIL</v>
      </c>
      <c r="CD10" s="25" t="str" cm="1">
        <f t="array" ref="CD10">IF(AN10&lt;&gt;"na", _xlfn.CONCAT("{BLACK}Length: {GOLD}", TEXT(ROUNDUP(IF(AQ10&lt;&gt;"",SUM(VALUE(_xlfn.TEXTSPLIT(AQ10, ","))), SUM(VALUE(_xlfn.TEXTSPLIT(AN10, ",")))*IF(M10, M10, 1))/16, 1),"#,##0.0"), " tiles{}"), "")</f>
        <v>{BLACK}Length: {GOLD}0.4 tiles{}</v>
      </c>
      <c r="CE10" s="22" t="str">
        <f>VLOOKUP($CC10, Constants!$M:$N, 2, FALSE)</f>
        <v/>
      </c>
      <c r="CF10" s="22" t="str">
        <f t="shared" si="12"/>
        <v/>
      </c>
      <c r="CH10" t="str">
        <f t="shared" si="26"/>
        <v/>
      </c>
      <c r="CI10" t="str">
        <f t="shared" si="13"/>
        <v/>
      </c>
      <c r="CJ10" t="str">
        <f t="shared" si="27"/>
        <v>{BLACK}Length: {GOLD}0.4 tiles{}{SILVER}</v>
      </c>
    </row>
    <row r="11" spans="1:89" x14ac:dyDescent="0.35">
      <c r="A11" t="s">
        <v>521</v>
      </c>
      <c r="B11" t="s">
        <v>417</v>
      </c>
      <c r="C11">
        <v>-1</v>
      </c>
      <c r="E11">
        <v>-1</v>
      </c>
      <c r="G11" t="s">
        <v>36</v>
      </c>
      <c r="H11" t="s">
        <v>36</v>
      </c>
      <c r="I11" t="s">
        <v>28</v>
      </c>
      <c r="J11">
        <v>1900</v>
      </c>
      <c r="W11">
        <v>42</v>
      </c>
      <c r="AA11" s="3" t="str">
        <f t="shared" si="14"/>
        <v/>
      </c>
      <c r="AF11">
        <v>7.5</v>
      </c>
      <c r="AG11">
        <v>8</v>
      </c>
      <c r="AJ11" s="9">
        <v>0</v>
      </c>
      <c r="AK11" s="14" t="str">
        <f>CONCATENATE(VLOOKUP(AL11, 'Voxel Sizes'!$A$2:$B$18,2,FALSE),"x",INT(AH11*15), "x", INT(AI11*15))</f>
        <v>82x0x0</v>
      </c>
      <c r="AL11" s="14">
        <f t="shared" ref="AL11" si="54">ROUND(15*((AG11*10)/256),0)</f>
        <v>5</v>
      </c>
      <c r="AN11" s="14" t="str">
        <f>CONCATENATE(VLOOKUP(AL11,Constants!$A$2:$C$16,IF(AM11&lt;&gt;"", 3, 2), FALSE),IF(AM11&lt;&gt;"",CONCATENATE(",",VLOOKUP(AM11,$B:$AN,39,FALSE)),""))</f>
        <v>2,1,2</v>
      </c>
      <c r="AX11">
        <v>30</v>
      </c>
      <c r="AY11" s="14" t="str">
        <f t="shared" si="16"/>
        <v/>
      </c>
      <c r="BB11" s="16">
        <f t="shared" ref="BB11" si="55">MIN(AB11/150, 1)*30</f>
        <v>0</v>
      </c>
      <c r="BC11" s="16">
        <f t="shared" ref="BC11" si="56">MIN(N11/4000, 1)*20</f>
        <v>0</v>
      </c>
      <c r="BD11" s="16">
        <f t="shared" ref="BD11" si="57">MIN(Z11/400,1)*20</f>
        <v>0</v>
      </c>
      <c r="BE11" s="17">
        <f t="shared" ref="BE11" si="58">1-(MAX(J11-1900, 0)/750)</f>
        <v>1</v>
      </c>
      <c r="BF11" s="16">
        <f t="shared" ref="BF11" si="59">((MAX($M11,1)*MIN($AJ11/300,1)))*IF(G11="Wagon",50,10)</f>
        <v>0</v>
      </c>
      <c r="BG11" s="16">
        <f>VLOOKUP($H11,Constants!$I:$K, 2, FALSE)</f>
        <v>0</v>
      </c>
      <c r="BH11" s="16">
        <f>VLOOKUP($H11,Constants!$I:$K, 3, FALSE)*IF(AND(G11="multiple_unit",AB11&lt;110),0.75,1)</f>
        <v>0</v>
      </c>
      <c r="BI11" s="16">
        <f>INT(POWER(((Constants!$G$2+$BB11+$BC11+$BD11+$BF11)*$BE11)*$BH11, 1.05))+$BA11</f>
        <v>0</v>
      </c>
      <c r="BJ11" s="16">
        <f>INT(POWER((((Constants!$G$1+$BB11+$BC11+$BD11+$BF11)*($BE11))*$BG11),IF($G11="wagon",1,1.2)))+$AZ11</f>
        <v>0</v>
      </c>
      <c r="BK11" s="19">
        <f t="shared" ref="BK11" si="60">BI11*IF($G11="wagon",62.5,781.25)</f>
        <v>0</v>
      </c>
      <c r="BL11" s="19">
        <f t="shared" ref="BL11" si="61">BJ11*IF($G11="wagon",2.73,81.25)</f>
        <v>0</v>
      </c>
      <c r="BZ11" s="22" t="str">
        <f>VLOOKUP(J11,Eras!$A$2:$C$10, 2, TRUE)</f>
        <v>edw</v>
      </c>
      <c r="CA11" t="s">
        <v>62</v>
      </c>
      <c r="CB11" s="22" t="str">
        <f t="shared" ref="CB11" si="62">CONCATENATE(BZ11,"_",CA11)</f>
        <v>edw_Mixed Traffic</v>
      </c>
      <c r="CC11" s="22" t="str">
        <f t="shared" ref="CC11" si="63">_xlfn.CONCAT(H11, "_",I11)</f>
        <v>tender_RAIL</v>
      </c>
      <c r="CD11" s="25" t="str" cm="1">
        <f t="array" ref="CD11">IF(AN11&lt;&gt;"na", _xlfn.CONCAT("{BLACK}Length: {GOLD}", TEXT(ROUNDUP(IF(AQ11&lt;&gt;"",SUM(VALUE(_xlfn.TEXTSPLIT(AQ11, ","))), SUM(VALUE(_xlfn.TEXTSPLIT(AN11, ",")))*IF(M11, M11, 1))/16, 1),"#,##0.0"), " tiles{}"), "")</f>
        <v>{BLACK}Length: {GOLD}0.4 tiles{}</v>
      </c>
      <c r="CE11" s="22" t="str">
        <f>VLOOKUP($CC11, Constants!$M:$N, 2, FALSE)</f>
        <v/>
      </c>
      <c r="CF11" s="22" t="str">
        <f t="shared" si="12"/>
        <v/>
      </c>
      <c r="CH11" t="str">
        <f t="shared" si="26"/>
        <v/>
      </c>
      <c r="CI11" t="str">
        <f t="shared" si="13"/>
        <v/>
      </c>
      <c r="CJ11" t="str">
        <f t="shared" si="27"/>
        <v>{BLACK}Length: {GOLD}0.4 tiles{}{SILVER}</v>
      </c>
    </row>
    <row r="12" spans="1:89" x14ac:dyDescent="0.35">
      <c r="A12" t="s">
        <v>229</v>
      </c>
      <c r="B12" t="s">
        <v>225</v>
      </c>
      <c r="C12">
        <v>1061</v>
      </c>
      <c r="E12">
        <v>1000</v>
      </c>
      <c r="F12" t="s">
        <v>486</v>
      </c>
      <c r="G12" t="s">
        <v>32</v>
      </c>
      <c r="H12" t="s">
        <v>159</v>
      </c>
      <c r="I12" t="s">
        <v>28</v>
      </c>
      <c r="J12">
        <v>1906</v>
      </c>
      <c r="L12">
        <v>1955</v>
      </c>
      <c r="W12">
        <v>31</v>
      </c>
      <c r="Y12">
        <v>6</v>
      </c>
      <c r="AA12" s="3" t="str">
        <f t="shared" si="14"/>
        <v/>
      </c>
      <c r="AB12">
        <v>100</v>
      </c>
      <c r="AC12">
        <f t="shared" ref="AC12:AC61" si="64">ROUND(AB12*1.6, 0)</f>
        <v>160</v>
      </c>
      <c r="AF12">
        <v>17.7</v>
      </c>
      <c r="AG12">
        <v>17.7</v>
      </c>
      <c r="AH12">
        <v>2.83</v>
      </c>
      <c r="AI12">
        <v>3.79</v>
      </c>
      <c r="AJ12" s="9">
        <v>57</v>
      </c>
      <c r="AK12" s="14" t="str">
        <f>CONCATENATE(VLOOKUP(AL12, 'Voxel Sizes'!$A$2:$B$18,2,FALSE),"x",INT(AH12*15), "x", INT(AI12*15))</f>
        <v>164x42x56</v>
      </c>
      <c r="AL12" s="14">
        <f t="shared" si="15"/>
        <v>10</v>
      </c>
      <c r="AN12" s="14" t="str">
        <f>CONCATENATE(VLOOKUP(AL12,Constants!$A$2:$C$16,IF(AM12&lt;&gt;"", 3, 2), FALSE),IF(AM12&lt;&gt;"",CONCATENATE(",",VLOOKUP(AM12,$B:$AN,39,FALSE)),""))</f>
        <v>4,2,4</v>
      </c>
      <c r="AX12">
        <v>30</v>
      </c>
      <c r="AY12" s="14">
        <f t="shared" si="16"/>
        <v>57</v>
      </c>
      <c r="AZ12">
        <v>72</v>
      </c>
      <c r="BA12">
        <f>20*3</f>
        <v>60</v>
      </c>
      <c r="BB12" s="16">
        <f t="shared" si="17"/>
        <v>20</v>
      </c>
      <c r="BC12" s="16">
        <f t="shared" si="18"/>
        <v>0</v>
      </c>
      <c r="BD12" s="16">
        <f t="shared" si="19"/>
        <v>0</v>
      </c>
      <c r="BE12" s="17">
        <f t="shared" si="20"/>
        <v>0.99199999999999999</v>
      </c>
      <c r="BF12" s="16">
        <f t="shared" si="21"/>
        <v>9.5</v>
      </c>
      <c r="BG12" s="16">
        <f>VLOOKUP($H12,Constants!$I:$K, 2, FALSE)</f>
        <v>1.2</v>
      </c>
      <c r="BH12" s="16">
        <f>VLOOKUP($H12,Constants!$I:$K, 3, FALSE)*IF(AND(G12="multiple_unit",AB12&lt;110),0.75,1)</f>
        <v>0.6</v>
      </c>
      <c r="BI12" s="16">
        <f>INT(POWER(((Constants!$G$2+$BB12+$BC12+$BD12+$BF12)*$BE12)*$BH12, 1.05))+$BA12</f>
        <v>83</v>
      </c>
      <c r="BJ12" s="16">
        <f>INT(POWER((((Constants!$G$1+$BB12+$BC12+$BD12+$BF12)*($BE12))*$BG12),IF($G12="wagon",1,1.2)))+$AZ12</f>
        <v>124</v>
      </c>
      <c r="BK12" s="19">
        <f t="shared" si="22"/>
        <v>5187.5</v>
      </c>
      <c r="BL12" s="19">
        <f t="shared" si="23"/>
        <v>338.52</v>
      </c>
      <c r="BU12">
        <v>1</v>
      </c>
      <c r="BV12">
        <v>165</v>
      </c>
      <c r="BX12" t="s">
        <v>142</v>
      </c>
      <c r="BY12" t="s">
        <v>34</v>
      </c>
      <c r="BZ12" s="22" t="str">
        <f>VLOOKUP(J12,Eras!$A$2:$C$10, 2, TRUE)</f>
        <v>edw</v>
      </c>
      <c r="CA12" t="s">
        <v>70</v>
      </c>
      <c r="CB12" s="22" t="str">
        <f t="shared" si="24"/>
        <v>edw_Carriage</v>
      </c>
      <c r="CC12" s="22" t="str">
        <f t="shared" si="25"/>
        <v>carriage_RAIL</v>
      </c>
      <c r="CD12" s="25" t="str" cm="1">
        <f t="array" ref="CD12">IF(AN12&lt;&gt;"na", _xlfn.CONCAT("{BLACK}Length: {GOLD}", TEXT(ROUNDUP(IF(AQ12&lt;&gt;"",SUM(VALUE(_xlfn.TEXTSPLIT(AQ12, ","))), SUM(VALUE(_xlfn.TEXTSPLIT(AN12, ",")))*IF(M12, M12, 1))/16, 1),"#,##0.0"), " tiles{}"), "")</f>
        <v>{BLACK}Length: {GOLD}0.7 tiles{}</v>
      </c>
      <c r="CE12" s="22" t="str">
        <f>VLOOKUP($CC12, Constants!$M:$N, 2, FALSE)</f>
        <v/>
      </c>
      <c r="CF12" s="22" t="str">
        <f t="shared" si="12"/>
        <v/>
      </c>
      <c r="CG12" t="s">
        <v>228</v>
      </c>
      <c r="CH12" t="str">
        <f t="shared" si="26"/>
        <v/>
      </c>
      <c r="CI12" t="str">
        <f t="shared" si="13"/>
        <v>{YELLOW}10% penalty for long distance travel{}</v>
      </c>
      <c r="CJ12" t="str">
        <f t="shared" si="27"/>
        <v>{BLACK}Length: {GOLD}0.7 tiles{}{YELLOW}10% penalty for long distance travel{}{SILVER}Non-corridor carriages allow greater seating density, at the cost of passenger comfort.</v>
      </c>
    </row>
    <row r="13" spans="1:89" x14ac:dyDescent="0.35">
      <c r="A13" t="s">
        <v>226</v>
      </c>
      <c r="B13" t="s">
        <v>227</v>
      </c>
      <c r="C13">
        <v>1521</v>
      </c>
      <c r="E13">
        <v>1001</v>
      </c>
      <c r="F13" t="s">
        <v>486</v>
      </c>
      <c r="G13" t="s">
        <v>32</v>
      </c>
      <c r="H13" t="s">
        <v>159</v>
      </c>
      <c r="I13" t="s">
        <v>28</v>
      </c>
      <c r="J13">
        <v>1952</v>
      </c>
      <c r="K13">
        <v>1963</v>
      </c>
      <c r="L13">
        <v>1977</v>
      </c>
      <c r="W13">
        <v>30</v>
      </c>
      <c r="Y13">
        <v>6</v>
      </c>
      <c r="AA13" s="3" t="str">
        <f t="shared" si="14"/>
        <v/>
      </c>
      <c r="AB13">
        <v>100</v>
      </c>
      <c r="AC13">
        <f t="shared" si="64"/>
        <v>160</v>
      </c>
      <c r="AF13">
        <v>19.3</v>
      </c>
      <c r="AG13">
        <v>20</v>
      </c>
      <c r="AJ13" s="9">
        <v>66</v>
      </c>
      <c r="AK13" s="14" t="str">
        <f>CONCATENATE(VLOOKUP(AL13, 'Voxel Sizes'!$A$2:$B$18,2,FALSE),"x",INT(AH13*15), "x", INT(AI13*15))</f>
        <v>198x0x0</v>
      </c>
      <c r="AL13" s="14">
        <f t="shared" si="15"/>
        <v>12</v>
      </c>
      <c r="AN13" s="14" t="str">
        <f>CONCATENATE(VLOOKUP(AL13,Constants!$A$2:$C$16,IF(AM13&lt;&gt;"", 3, 2), FALSE),IF(AM13&lt;&gt;"",CONCATENATE(",",VLOOKUP(AM13,$B:$AN,39,FALSE)),""))</f>
        <v>4,4,4</v>
      </c>
      <c r="AX13">
        <v>30</v>
      </c>
      <c r="AY13" s="14">
        <f t="shared" si="16"/>
        <v>33</v>
      </c>
      <c r="AZ13">
        <v>76</v>
      </c>
      <c r="BA13">
        <f>23*3</f>
        <v>69</v>
      </c>
      <c r="BB13" s="16">
        <f t="shared" si="17"/>
        <v>20</v>
      </c>
      <c r="BC13" s="16">
        <f t="shared" si="18"/>
        <v>0</v>
      </c>
      <c r="BD13" s="16">
        <f t="shared" si="19"/>
        <v>0</v>
      </c>
      <c r="BE13" s="17">
        <f t="shared" si="20"/>
        <v>0.93066666666666664</v>
      </c>
      <c r="BF13" s="16">
        <f t="shared" si="21"/>
        <v>11</v>
      </c>
      <c r="BG13" s="16">
        <f>VLOOKUP($H13,Constants!$I:$K, 2, FALSE)</f>
        <v>1.2</v>
      </c>
      <c r="BH13" s="16">
        <f>VLOOKUP($H13,Constants!$I:$K, 3, FALSE)*IF(AND(G13="multiple_unit",AB13&lt;110),0.75,1)</f>
        <v>0.6</v>
      </c>
      <c r="BI13" s="16">
        <f>INT(POWER(((Constants!$G$2+$BB13+$BC13+$BD13+$BF13)*$BE13)*$BH13, 1.05))+$BA13</f>
        <v>92</v>
      </c>
      <c r="BJ13" s="16">
        <f>INT(POWER((((Constants!$G$1+$BB13+$BC13+$BD13+$BF13)*($BE13))*$BG13),IF($G13="wagon",1,1.2)))+$AZ13</f>
        <v>127</v>
      </c>
      <c r="BK13" s="19">
        <f t="shared" si="22"/>
        <v>5750</v>
      </c>
      <c r="BL13" s="19">
        <f t="shared" si="23"/>
        <v>346.71</v>
      </c>
      <c r="BU13">
        <v>1</v>
      </c>
      <c r="BV13">
        <v>165</v>
      </c>
      <c r="BX13" t="s">
        <v>142</v>
      </c>
      <c r="BY13" t="s">
        <v>34</v>
      </c>
      <c r="BZ13" s="22" t="str">
        <f>VLOOKUP(J13,Eras!$A$2:$C$10, 2, TRUE)</f>
        <v>ebr</v>
      </c>
      <c r="CA13" t="s">
        <v>70</v>
      </c>
      <c r="CB13" s="22" t="str">
        <f t="shared" si="24"/>
        <v>ebr_Carriage</v>
      </c>
      <c r="CC13" s="22" t="str">
        <f t="shared" si="25"/>
        <v>carriage_RAIL</v>
      </c>
      <c r="CD13" s="25" t="str" cm="1">
        <f t="array" ref="CD13">IF(AN13&lt;&gt;"na", _xlfn.CONCAT("{BLACK}Length: {GOLD}", TEXT(ROUNDUP(IF(AQ13&lt;&gt;"",SUM(VALUE(_xlfn.TEXTSPLIT(AQ13, ","))), SUM(VALUE(_xlfn.TEXTSPLIT(AN13, ",")))*IF(M13, M13, 1))/16, 1),"#,##0.0"), " tiles{}"), "")</f>
        <v>{BLACK}Length: {GOLD}0.8 tiles{}</v>
      </c>
      <c r="CE13" s="22" t="str">
        <f>VLOOKUP($CC13, Constants!$M:$N, 2, FALSE)</f>
        <v/>
      </c>
      <c r="CF13" s="22" t="str">
        <f t="shared" si="12"/>
        <v/>
      </c>
      <c r="CG13" t="s">
        <v>535</v>
      </c>
      <c r="CH13" t="str">
        <f t="shared" si="26"/>
        <v/>
      </c>
      <c r="CI13" t="str">
        <f t="shared" si="13"/>
        <v>{YELLOW}10% penalty for long distance travel{}</v>
      </c>
      <c r="CJ13" t="str">
        <f t="shared" si="27"/>
        <v>{BLACK}Length: {GOLD}0.8 tiles{}{YELLOW}10% penalty for long distance travel{}{SILVER}BR built many suburban Mk1 carriages with no gangways, although typically only one or two would be used per train across most of the country.</v>
      </c>
    </row>
    <row r="14" spans="1:89" x14ac:dyDescent="0.35">
      <c r="A14" t="s">
        <v>526</v>
      </c>
      <c r="B14" t="s">
        <v>350</v>
      </c>
      <c r="C14">
        <v>1732</v>
      </c>
      <c r="E14">
        <v>1002</v>
      </c>
      <c r="F14" t="s">
        <v>486</v>
      </c>
      <c r="G14" t="s">
        <v>32</v>
      </c>
      <c r="H14" t="s">
        <v>159</v>
      </c>
      <c r="I14" t="s">
        <v>28</v>
      </c>
      <c r="J14">
        <v>1973</v>
      </c>
      <c r="W14">
        <v>40</v>
      </c>
      <c r="Y14">
        <v>5</v>
      </c>
      <c r="AA14" s="3" t="str">
        <f t="shared" ref="AA14:AA56" si="65">IF(AND(W14&gt;0,Z14&gt;0),(Z14/((W14+X14)*10)),"")</f>
        <v/>
      </c>
      <c r="AB14">
        <v>110</v>
      </c>
      <c r="AC14">
        <f t="shared" si="64"/>
        <v>176</v>
      </c>
      <c r="AF14">
        <v>19.66</v>
      </c>
      <c r="AG14">
        <v>19.66</v>
      </c>
      <c r="AJ14" s="9">
        <v>63</v>
      </c>
      <c r="AK14" s="14" t="str">
        <f>CONCATENATE(VLOOKUP(AL14, 'Voxel Sizes'!$A$2:$B$18,2,FALSE),"x",INT(AH14*15), "x", INT(AI14*15))</f>
        <v>198x0x0</v>
      </c>
      <c r="AL14" s="14">
        <f t="shared" ref="AL14:AL55" si="66">ROUND(15*((AG14*10)/256),0)</f>
        <v>12</v>
      </c>
      <c r="AN14" s="14" t="str">
        <f>CONCATENATE(VLOOKUP(AL14,Constants!$A$2:$C$16,IF(AM14&lt;&gt;"", 3, 2), FALSE),IF(AM14&lt;&gt;"",CONCATENATE(",",VLOOKUP(AM14,$B:$AN,39,FALSE)),""))</f>
        <v>4,4,4</v>
      </c>
      <c r="AX14">
        <v>30</v>
      </c>
      <c r="AY14" s="14" t="str">
        <f t="shared" ref="AY14:AY56" si="67">IF(L14&lt;&gt;"",MAX(16,(L14-J14)+8),"")</f>
        <v/>
      </c>
      <c r="AZ14">
        <v>79</v>
      </c>
      <c r="BA14">
        <f>25*3</f>
        <v>75</v>
      </c>
      <c r="BB14" s="16">
        <f t="shared" ref="BB14:BB55" si="68">MIN(AB14/150, 1)*30</f>
        <v>22</v>
      </c>
      <c r="BC14" s="16">
        <f t="shared" ref="BC14:BC55" si="69">MIN(N14/4000, 1)*20</f>
        <v>0</v>
      </c>
      <c r="BD14" s="16">
        <f t="shared" ref="BD14:BD55" si="70">MIN(Z14/400,1)*20</f>
        <v>0</v>
      </c>
      <c r="BE14" s="17">
        <f t="shared" ref="BE14:BE55" si="71">1-(MAX(J14-1900, 0)/750)</f>
        <v>0.90266666666666673</v>
      </c>
      <c r="BF14" s="16">
        <f t="shared" ref="BF14:BF55" si="72">((MAX($M14,1)*MIN($AJ14/300,1)))*IF(G14="Wagon",50,10)</f>
        <v>10.5</v>
      </c>
      <c r="BG14" s="16">
        <f>VLOOKUP($H14,Constants!$I:$K, 2, FALSE)</f>
        <v>1.2</v>
      </c>
      <c r="BH14" s="16">
        <f>VLOOKUP($H14,Constants!$I:$K, 3, FALSE)*IF(AND(G14="multiple_unit",AB14&lt;110),0.75,1)</f>
        <v>0.6</v>
      </c>
      <c r="BI14" s="16">
        <f>INT(POWER(((Constants!$G$2+$BB14+$BC14+$BD14+$BF14)*$BE14)*$BH14, 1.05))+$BA14</f>
        <v>98</v>
      </c>
      <c r="BJ14" s="16">
        <f>INT(POWER((((Constants!$G$1+$BB14+$BC14+$BD14+$BF14)*($BE14))*$BG14),IF($G14="wagon",1,1.2)))+$AZ14</f>
        <v>130</v>
      </c>
      <c r="BK14" s="19">
        <f t="shared" ref="BK14:BK55" si="73">BI14*IF($G14="wagon",62.5,781.25)</f>
        <v>6125</v>
      </c>
      <c r="BL14" s="19">
        <f t="shared" ref="BL14:BL55" si="74">BJ14*IF($G14="wagon",2.73,81.25)</f>
        <v>354.9</v>
      </c>
      <c r="BU14">
        <v>1</v>
      </c>
      <c r="BX14" t="s">
        <v>142</v>
      </c>
      <c r="BY14" t="s">
        <v>34</v>
      </c>
      <c r="BZ14" s="22" t="str">
        <f>VLOOKUP(J14,Eras!$A$2:$C$10, 2, TRUE)</f>
        <v>lbr</v>
      </c>
      <c r="CA14" t="s">
        <v>70</v>
      </c>
      <c r="CB14" s="22" t="str">
        <f t="shared" ref="CB14:CB55" si="75">CONCATENATE(BZ14,"_",CA14)</f>
        <v>lbr_Carriage</v>
      </c>
      <c r="CC14" s="22" t="str">
        <f t="shared" ref="CC14:CC55" si="76">_xlfn.CONCAT(H14, "_",I14)</f>
        <v>carriage_RAIL</v>
      </c>
      <c r="CD14" s="25" t="str" cm="1">
        <f t="array" ref="CD14">IF(AN14&lt;&gt;"na", _xlfn.CONCAT("{BLACK}Length: {GOLD}", TEXT(ROUNDUP(IF(AQ14&lt;&gt;"",SUM(VALUE(_xlfn.TEXTSPLIT(AQ14, ","))), SUM(VALUE(_xlfn.TEXTSPLIT(AN14, ",")))*IF(M14, M14, 1))/16, 1),"#,##0.0"), " tiles{}"), "")</f>
        <v>{BLACK}Length: {GOLD}0.8 tiles{}</v>
      </c>
      <c r="CE14" s="22" t="str">
        <f>VLOOKUP($CC14, Constants!$M:$N, 2, FALSE)</f>
        <v/>
      </c>
      <c r="CF14" s="22" t="str">
        <f t="shared" si="12"/>
        <v/>
      </c>
      <c r="CG14" t="s">
        <v>351</v>
      </c>
      <c r="CH14" t="str">
        <f t="shared" si="26"/>
        <v/>
      </c>
      <c r="CI14" t="str">
        <f t="shared" si="13"/>
        <v/>
      </c>
      <c r="CJ14" t="str">
        <f t="shared" si="27"/>
        <v>{BLACK}Length: {GOLD}0.8 tiles{}{SILVER}The Mark 2F was the final development of the Mark 2 carriage, introducing many features which would be used on the Mark 3 Intercity carriages.</v>
      </c>
    </row>
    <row r="15" spans="1:89" x14ac:dyDescent="0.35">
      <c r="A15" t="s">
        <v>527</v>
      </c>
      <c r="B15" t="s">
        <v>530</v>
      </c>
      <c r="C15">
        <v>1733</v>
      </c>
      <c r="D15">
        <v>1732</v>
      </c>
      <c r="E15">
        <v>1003</v>
      </c>
      <c r="F15" t="s">
        <v>486</v>
      </c>
      <c r="G15" t="s">
        <v>32</v>
      </c>
      <c r="H15" t="s">
        <v>159</v>
      </c>
      <c r="I15" t="s">
        <v>28</v>
      </c>
      <c r="J15">
        <v>1973</v>
      </c>
      <c r="W15">
        <v>40</v>
      </c>
      <c r="Y15">
        <v>5</v>
      </c>
      <c r="AA15" s="3" t="str">
        <f t="shared" ref="AA15" si="77">IF(AND(W15&gt;0,Z15&gt;0),(Z15/((W15+X15)*10)),"")</f>
        <v/>
      </c>
      <c r="AB15">
        <v>110</v>
      </c>
      <c r="AC15">
        <f t="shared" ref="AC15" si="78">ROUND(AB15*1.6, 0)</f>
        <v>176</v>
      </c>
      <c r="AF15">
        <v>19.66</v>
      </c>
      <c r="AG15">
        <v>19.66</v>
      </c>
      <c r="AJ15" s="9">
        <v>42</v>
      </c>
      <c r="AK15" s="14" t="str">
        <f>CONCATENATE(VLOOKUP(AL15, 'Voxel Sizes'!$A$2:$B$18,2,FALSE),"x",INT(AH15*15), "x", INT(AI15*15))</f>
        <v>198x0x0</v>
      </c>
      <c r="AL15" s="14">
        <f t="shared" ref="AL15" si="79">ROUND(15*((AG15*10)/256),0)</f>
        <v>12</v>
      </c>
      <c r="AN15" s="14" t="str">
        <f>CONCATENATE(VLOOKUP(AL15,Constants!$A$2:$C$16,IF(AM15&lt;&gt;"", 3, 2), FALSE),IF(AM15&lt;&gt;"",CONCATENATE(",",VLOOKUP(AM15,$B:$AN,39,FALSE)),""))</f>
        <v>4,4,4</v>
      </c>
      <c r="AX15">
        <v>30</v>
      </c>
      <c r="AY15" s="14" t="str">
        <f t="shared" ref="AY15" si="80">IF(L15&lt;&gt;"",MAX(16,(L15-J15)+8),"")</f>
        <v/>
      </c>
      <c r="AZ15">
        <v>135</v>
      </c>
      <c r="BA15">
        <v>105</v>
      </c>
      <c r="BB15" s="16">
        <f t="shared" ref="BB15" si="81">MIN(AB15/150, 1)*30</f>
        <v>22</v>
      </c>
      <c r="BC15" s="16">
        <f t="shared" ref="BC15" si="82">MIN(N15/4000, 1)*20</f>
        <v>0</v>
      </c>
      <c r="BD15" s="16">
        <f t="shared" ref="BD15" si="83">MIN(Z15/400,1)*20</f>
        <v>0</v>
      </c>
      <c r="BE15" s="17">
        <f t="shared" ref="BE15" si="84">1-(MAX(J15-1900, 0)/750)</f>
        <v>0.90266666666666673</v>
      </c>
      <c r="BF15" s="16">
        <f t="shared" ref="BF15" si="85">((MAX($M15,1)*MIN($AJ15/300,1)))*IF(G15="Wagon",50,10)</f>
        <v>7.0000000000000009</v>
      </c>
      <c r="BG15" s="16">
        <f>VLOOKUP($H15,Constants!$I:$K, 2, FALSE)</f>
        <v>1.2</v>
      </c>
      <c r="BH15" s="16">
        <f>VLOOKUP($H15,Constants!$I:$K, 3, FALSE)*IF(AND(G15="multiple_unit",AB15&lt;110),0.75,1)</f>
        <v>0.6</v>
      </c>
      <c r="BI15" s="16">
        <f>INT(POWER(((Constants!$G$2+$BB15+$BC15+$BD15+$BF15)*$BE15)*$BH15, 1.05))+$BA15</f>
        <v>126</v>
      </c>
      <c r="BJ15" s="16">
        <f>INT(POWER((((Constants!$G$1+$BB15+$BC15+$BD15+$BF15)*($BE15))*$BG15),IF($G15="wagon",1,1.2)))+$AZ15</f>
        <v>182</v>
      </c>
      <c r="BK15" s="19">
        <f t="shared" ref="BK15" si="86">BI15*IF($G15="wagon",62.5,781.25)</f>
        <v>7875</v>
      </c>
      <c r="BL15" s="19">
        <f t="shared" ref="BL15" si="87">BJ15*IF($G15="wagon",2.73,81.25)</f>
        <v>496.86</v>
      </c>
      <c r="BU15">
        <v>1</v>
      </c>
      <c r="BV15">
        <v>222</v>
      </c>
      <c r="BX15" t="s">
        <v>142</v>
      </c>
      <c r="BY15" t="s">
        <v>34</v>
      </c>
      <c r="BZ15" s="22" t="str">
        <f>VLOOKUP(J15,Eras!$A$2:$C$10, 2, TRUE)</f>
        <v>lbr</v>
      </c>
      <c r="CA15" t="s">
        <v>70</v>
      </c>
      <c r="CB15" s="22" t="str">
        <f t="shared" ref="CB15" si="88">CONCATENATE(BZ15,"_",CA15)</f>
        <v>lbr_Carriage</v>
      </c>
      <c r="CC15" s="22" t="str">
        <f t="shared" ref="CC15" si="89">_xlfn.CONCAT(H15, "_",I15)</f>
        <v>carriage_RAIL</v>
      </c>
      <c r="CD15" s="25" t="str" cm="1">
        <f t="array" ref="CD15">IF(AN15&lt;&gt;"na", _xlfn.CONCAT("{BLACK}Length: {GOLD}", TEXT(ROUNDUP(IF(AQ15&lt;&gt;"",SUM(VALUE(_xlfn.TEXTSPLIT(AQ15, ","))), SUM(VALUE(_xlfn.TEXTSPLIT(AN15, ",")))*IF(M15, M15, 1))/16, 1),"#,##0.0"), " tiles{}"), "")</f>
        <v>{BLACK}Length: {GOLD}0.8 tiles{}</v>
      </c>
      <c r="CE15" s="22" t="str">
        <f>VLOOKUP($CC15, Constants!$M:$N, 2, FALSE)</f>
        <v/>
      </c>
      <c r="CF15" s="22" t="str">
        <f t="shared" ref="CF15" si="90">IF(AND(M15&gt;1,BO15&lt;&gt;1),_xlfn.CONCAT("{BLACK}Cars: {GOLD}", M15),"")</f>
        <v/>
      </c>
      <c r="CG15" t="s">
        <v>534</v>
      </c>
      <c r="CH15" t="str">
        <f t="shared" si="26"/>
        <v/>
      </c>
      <c r="CI15" t="str">
        <f t="shared" si="13"/>
        <v>{YELLOW}20% bonus for long distance travel{}</v>
      </c>
      <c r="CJ15" t="str">
        <f t="shared" si="27"/>
        <v>{BLACK}Length: {GOLD}0.8 tiles{}{YELLOW}20% bonus for long distance travel{}{SILVER}By the point of the Mk2F, BR had abandoned corridor carriage layouts, using only open saloons even for first class.</v>
      </c>
    </row>
    <row r="16" spans="1:89" x14ac:dyDescent="0.35">
      <c r="A16" t="s">
        <v>528</v>
      </c>
      <c r="B16" t="s">
        <v>531</v>
      </c>
      <c r="C16">
        <v>1734</v>
      </c>
      <c r="D16">
        <v>1732</v>
      </c>
      <c r="E16">
        <v>1004</v>
      </c>
      <c r="F16" t="s">
        <v>486</v>
      </c>
      <c r="G16" t="s">
        <v>32</v>
      </c>
      <c r="H16" t="s">
        <v>159</v>
      </c>
      <c r="I16" t="s">
        <v>28</v>
      </c>
      <c r="J16">
        <v>1973</v>
      </c>
      <c r="W16">
        <v>44</v>
      </c>
      <c r="Y16">
        <v>5</v>
      </c>
      <c r="AA16" s="3" t="str">
        <f t="shared" ref="AA16:AA17" si="91">IF(AND(W16&gt;0,Z16&gt;0),(Z16/((W16+X16)*10)),"")</f>
        <v/>
      </c>
      <c r="AB16">
        <v>110</v>
      </c>
      <c r="AC16">
        <f t="shared" ref="AC16:AC17" si="92">ROUND(AB16*1.6, 0)</f>
        <v>176</v>
      </c>
      <c r="AF16">
        <v>19.66</v>
      </c>
      <c r="AG16">
        <v>19.66</v>
      </c>
      <c r="AJ16" s="9">
        <v>24</v>
      </c>
      <c r="AK16" s="14" t="str">
        <f>CONCATENATE(VLOOKUP(AL16, 'Voxel Sizes'!$A$2:$B$18,2,FALSE),"x",INT(AH16*15), "x", INT(AI16*15))</f>
        <v>198x0x0</v>
      </c>
      <c r="AL16" s="14">
        <f t="shared" ref="AL16:AL17" si="93">ROUND(15*((AG16*10)/256),0)</f>
        <v>12</v>
      </c>
      <c r="AN16" s="14" t="str">
        <f>CONCATENATE(VLOOKUP(AL16,Constants!$A$2:$C$16,IF(AM16&lt;&gt;"", 3, 2), FALSE),IF(AM16&lt;&gt;"",CONCATENATE(",",VLOOKUP(AM16,$B:$AN,39,FALSE)),""))</f>
        <v>4,4,4</v>
      </c>
      <c r="AX16">
        <v>30</v>
      </c>
      <c r="AY16" s="14" t="str">
        <f t="shared" ref="AY16:AY17" si="94">IF(L16&lt;&gt;"",MAX(16,(L16-J16)+8),"")</f>
        <v/>
      </c>
      <c r="AZ16">
        <v>1150</v>
      </c>
      <c r="BA16">
        <v>150</v>
      </c>
      <c r="BB16" s="16">
        <f t="shared" ref="BB16:BB17" si="95">MIN(AB16/150, 1)*30</f>
        <v>22</v>
      </c>
      <c r="BC16" s="16">
        <f t="shared" ref="BC16:BC17" si="96">MIN(N16/4000, 1)*20</f>
        <v>0</v>
      </c>
      <c r="BD16" s="16">
        <f t="shared" ref="BD16:BD17" si="97">MIN(Z16/400,1)*20</f>
        <v>0</v>
      </c>
      <c r="BE16" s="17">
        <f t="shared" ref="BE16:BE17" si="98">1-(MAX(J16-1900, 0)/750)</f>
        <v>0.90266666666666673</v>
      </c>
      <c r="BF16" s="16">
        <f t="shared" ref="BF16:BF17" si="99">((MAX($M16,1)*MIN($AJ16/300,1)))*IF(G16="Wagon",50,10)</f>
        <v>4</v>
      </c>
      <c r="BG16" s="16">
        <f>VLOOKUP($H16,Constants!$I:$K, 2, FALSE)</f>
        <v>1.2</v>
      </c>
      <c r="BH16" s="16">
        <f>VLOOKUP($H16,Constants!$I:$K, 3, FALSE)*IF(AND(G16="multiple_unit",AB16&lt;110),0.75,1)</f>
        <v>0.6</v>
      </c>
      <c r="BI16" s="16">
        <f>INT(POWER(((Constants!$G$2+$BB16+$BC16+$BD16+$BF16)*$BE16)*$BH16, 1.05))+$BA16</f>
        <v>169</v>
      </c>
      <c r="BJ16" s="16">
        <f>INT(POWER((((Constants!$G$1+$BB16+$BC16+$BD16+$BF16)*($BE16))*$BG16),IF($G16="wagon",1,1.2)))+$AZ16</f>
        <v>1194</v>
      </c>
      <c r="BK16" s="19">
        <f t="shared" ref="BK16:BK17" si="100">BI16*IF($G16="wagon",62.5,781.25)</f>
        <v>10562.5</v>
      </c>
      <c r="BL16" s="19">
        <f t="shared" ref="BL16:BL17" si="101">BJ16*IF($G16="wagon",2.73,81.25)</f>
        <v>3259.62</v>
      </c>
      <c r="BU16">
        <v>1</v>
      </c>
      <c r="BV16">
        <v>222</v>
      </c>
      <c r="BW16" t="s">
        <v>537</v>
      </c>
      <c r="BX16" t="s">
        <v>142</v>
      </c>
      <c r="BY16" t="s">
        <v>34</v>
      </c>
      <c r="BZ16" s="22" t="str">
        <f>VLOOKUP(J16,Eras!$A$2:$C$10, 2, TRUE)</f>
        <v>lbr</v>
      </c>
      <c r="CA16" t="s">
        <v>70</v>
      </c>
      <c r="CB16" s="22" t="str">
        <f t="shared" ref="CB16:CB17" si="102">CONCATENATE(BZ16,"_",CA16)</f>
        <v>lbr_Carriage</v>
      </c>
      <c r="CC16" s="22" t="str">
        <f t="shared" ref="CC16:CC17" si="103">_xlfn.CONCAT(H16, "_",I16)</f>
        <v>carriage_RAIL</v>
      </c>
      <c r="CD16" s="25" t="str" cm="1">
        <f t="array" ref="CD16">IF(AN16&lt;&gt;"na", _xlfn.CONCAT("{BLACK}Length: {GOLD}", TEXT(ROUNDUP(IF(AQ16&lt;&gt;"",SUM(VALUE(_xlfn.TEXTSPLIT(AQ16, ","))), SUM(VALUE(_xlfn.TEXTSPLIT(AN16, ",")))*IF(M16, M16, 1))/16, 1),"#,##0.0"), " tiles{}"), "")</f>
        <v>{BLACK}Length: {GOLD}0.8 tiles{}</v>
      </c>
      <c r="CE16" s="22" t="str">
        <f>VLOOKUP($CC16, Constants!$M:$N, 2, FALSE)</f>
        <v/>
      </c>
      <c r="CF16" s="22" t="str">
        <f t="shared" ref="CF16:CF17" si="104">IF(AND(M16&gt;1,BO16&lt;&gt;1),_xlfn.CONCAT("{BLACK}Cars: {GOLD}", M16),"")</f>
        <v/>
      </c>
      <c r="CG16" t="s">
        <v>536</v>
      </c>
      <c r="CH16" t="str">
        <f t="shared" si="26"/>
        <v/>
      </c>
      <c r="CI16" t="str">
        <f t="shared" si="13"/>
        <v>{YELLOW}25% long distance bonus for consist{}</v>
      </c>
      <c r="CJ16" t="str">
        <f t="shared" si="27"/>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17" spans="1:88" x14ac:dyDescent="0.35">
      <c r="A17" t="s">
        <v>529</v>
      </c>
      <c r="B17" t="s">
        <v>532</v>
      </c>
      <c r="C17">
        <v>1735</v>
      </c>
      <c r="D17">
        <v>1732</v>
      </c>
      <c r="E17">
        <v>1005</v>
      </c>
      <c r="F17" t="s">
        <v>486</v>
      </c>
      <c r="G17" t="s">
        <v>32</v>
      </c>
      <c r="H17" t="s">
        <v>159</v>
      </c>
      <c r="I17" t="s">
        <v>28</v>
      </c>
      <c r="J17">
        <v>1973</v>
      </c>
      <c r="W17">
        <v>40</v>
      </c>
      <c r="Y17">
        <v>5</v>
      </c>
      <c r="AA17" s="3" t="str">
        <f t="shared" si="91"/>
        <v/>
      </c>
      <c r="AB17">
        <v>110</v>
      </c>
      <c r="AC17">
        <f t="shared" si="92"/>
        <v>176</v>
      </c>
      <c r="AF17">
        <v>19.66</v>
      </c>
      <c r="AG17">
        <v>19.66</v>
      </c>
      <c r="AJ17" s="9">
        <v>69</v>
      </c>
      <c r="AK17" s="14" t="str">
        <f>CONCATENATE(VLOOKUP(AL17, 'Voxel Sizes'!$A$2:$B$18,2,FALSE),"x",INT(AH17*15), "x", INT(AI17*15))</f>
        <v>198x0x0</v>
      </c>
      <c r="AL17" s="14">
        <f t="shared" si="93"/>
        <v>12</v>
      </c>
      <c r="AN17" s="14" t="str">
        <f>CONCATENATE(VLOOKUP(AL17,Constants!$A$2:$C$16,IF(AM17&lt;&gt;"", 3, 2), FALSE),IF(AM17&lt;&gt;"",CONCATENATE(",",VLOOKUP(AM17,$B:$AN,39,FALSE)),""))</f>
        <v>4,4,4</v>
      </c>
      <c r="AX17">
        <v>30</v>
      </c>
      <c r="AY17" s="14" t="str">
        <f t="shared" si="94"/>
        <v/>
      </c>
      <c r="AZ17">
        <v>79</v>
      </c>
      <c r="BA17">
        <f>25*3</f>
        <v>75</v>
      </c>
      <c r="BB17" s="16">
        <f t="shared" si="95"/>
        <v>22</v>
      </c>
      <c r="BC17" s="16">
        <f t="shared" si="96"/>
        <v>0</v>
      </c>
      <c r="BD17" s="16">
        <f t="shared" si="97"/>
        <v>0</v>
      </c>
      <c r="BE17" s="17">
        <f t="shared" si="98"/>
        <v>0.90266666666666673</v>
      </c>
      <c r="BF17" s="16">
        <f t="shared" si="99"/>
        <v>11.5</v>
      </c>
      <c r="BG17" s="16">
        <f>VLOOKUP($H17,Constants!$I:$K, 2, FALSE)</f>
        <v>1.2</v>
      </c>
      <c r="BH17" s="16">
        <f>VLOOKUP($H17,Constants!$I:$K, 3, FALSE)*IF(AND(G17="multiple_unit",AB17&lt;110),0.75,1)</f>
        <v>0.6</v>
      </c>
      <c r="BI17" s="16">
        <f>INT(POWER(((Constants!$G$2+$BB17+$BC17+$BD17+$BF17)*$BE17)*$BH17, 1.05))+$BA17</f>
        <v>99</v>
      </c>
      <c r="BJ17" s="16">
        <f>INT(POWER((((Constants!$G$1+$BB17+$BC17+$BD17+$BF17)*($BE17))*$BG17),IF($G17="wagon",1,1.2)))+$AZ17</f>
        <v>131</v>
      </c>
      <c r="BK17" s="19">
        <f t="shared" si="100"/>
        <v>6187.5</v>
      </c>
      <c r="BL17" s="19">
        <f t="shared" si="101"/>
        <v>357.63</v>
      </c>
      <c r="BT17" t="s">
        <v>533</v>
      </c>
      <c r="BU17">
        <v>1</v>
      </c>
      <c r="BX17" t="s">
        <v>275</v>
      </c>
      <c r="BY17" t="s">
        <v>279</v>
      </c>
      <c r="BZ17" s="22" t="str">
        <f>VLOOKUP(J17,Eras!$A$2:$C$10, 2, TRUE)</f>
        <v>lbr</v>
      </c>
      <c r="CA17" t="s">
        <v>70</v>
      </c>
      <c r="CB17" s="22" t="str">
        <f t="shared" si="102"/>
        <v>lbr_Carriage</v>
      </c>
      <c r="CC17" s="22" t="str">
        <f t="shared" si="103"/>
        <v>carriage_RAIL</v>
      </c>
      <c r="CD17" s="25" t="str" cm="1">
        <f t="array" ref="CD17">IF(AN17&lt;&gt;"na", _xlfn.CONCAT("{BLACK}Length: {GOLD}", TEXT(ROUNDUP(IF(AQ17&lt;&gt;"",SUM(VALUE(_xlfn.TEXTSPLIT(AQ17, ","))), SUM(VALUE(_xlfn.TEXTSPLIT(AN17, ",")))*IF(M17, M17, 1))/16, 1),"#,##0.0"), " tiles{}"), "")</f>
        <v>{BLACK}Length: {GOLD}0.8 tiles{}</v>
      </c>
      <c r="CE17" s="22" t="str">
        <f>VLOOKUP($CC17, Constants!$M:$N, 2, FALSE)</f>
        <v/>
      </c>
      <c r="CF17" s="22" t="str">
        <f t="shared" si="104"/>
        <v/>
      </c>
      <c r="CG17" t="s">
        <v>538</v>
      </c>
      <c r="CH17" t="str">
        <f t="shared" si="26"/>
        <v>{GREEN}Included for gameplay purposes</v>
      </c>
      <c r="CI17" t="str">
        <f t="shared" si="13"/>
        <v/>
      </c>
      <c r="CJ17" t="str">
        <f t="shared" si="27"/>
        <v>{BLACK}Length: {GOLD}0.8 tiles{}{SILVER}By the 1970s BR had ceased to build carriages with the intention of adding parcel vans to passenger services, but that hasn't stopped railfans and modellers wondering what could have been.{}{}{GREEN}Included for gameplay purposes</v>
      </c>
    </row>
    <row r="18" spans="1:88" x14ac:dyDescent="0.35">
      <c r="A18" t="s">
        <v>539</v>
      </c>
      <c r="B18" t="s">
        <v>540</v>
      </c>
      <c r="C18">
        <v>1731</v>
      </c>
      <c r="D18">
        <v>1732</v>
      </c>
      <c r="E18">
        <v>1006</v>
      </c>
      <c r="F18" t="s">
        <v>486</v>
      </c>
      <c r="G18" t="s">
        <v>32</v>
      </c>
      <c r="H18" t="s">
        <v>159</v>
      </c>
      <c r="I18" t="s">
        <v>28</v>
      </c>
      <c r="J18">
        <v>1973</v>
      </c>
      <c r="W18">
        <v>40</v>
      </c>
      <c r="Y18">
        <v>5</v>
      </c>
      <c r="AA18" s="3" t="str">
        <f>IF(AND(W18&gt;0,Z18&gt;0),(Z18/((W18+X18)*10)),"")</f>
        <v/>
      </c>
      <c r="AB18">
        <v>110</v>
      </c>
      <c r="AC18">
        <f t="shared" ref="AC18" si="105">ROUND(AB18*1.6, 0)</f>
        <v>176</v>
      </c>
      <c r="AF18">
        <v>19.66</v>
      </c>
      <c r="AG18">
        <v>19.66</v>
      </c>
      <c r="AJ18" s="9">
        <v>60</v>
      </c>
      <c r="AK18" s="14" t="str">
        <f>CONCATENATE(VLOOKUP(AL18, 'Voxel Sizes'!$A$2:$B$18,2,FALSE),"x",INT(AH18*15), "x", INT(AI18*15))</f>
        <v>198x0x0</v>
      </c>
      <c r="AL18" s="14">
        <f>ROUND(15*((AG18*10)/256),0)</f>
        <v>12</v>
      </c>
      <c r="AN18" s="14" t="str">
        <f>CONCATENATE(VLOOKUP(AL18,Constants!$A$2:$C$16,IF(AM18&lt;&gt;"", 3, 2), FALSE),IF(AM18&lt;&gt;"",CONCATENATE(",",VLOOKUP(AM18,$B:$AN,39,FALSE)),""))</f>
        <v>4,4,4</v>
      </c>
      <c r="AU18" t="s">
        <v>350</v>
      </c>
      <c r="AX18">
        <v>30</v>
      </c>
      <c r="AY18" s="14" t="str">
        <f>IF(L18&lt;&gt;"",MAX(16,(L18-J18)+8),"")</f>
        <v/>
      </c>
      <c r="AZ18">
        <v>79</v>
      </c>
      <c r="BA18">
        <f>25*3</f>
        <v>75</v>
      </c>
      <c r="BB18" s="16">
        <f>MIN(AB18/150, 1)*30</f>
        <v>22</v>
      </c>
      <c r="BC18" s="16">
        <f>MIN(N18/4000, 1)*20</f>
        <v>0</v>
      </c>
      <c r="BD18" s="16">
        <f>MIN(Z18/400,1)*20</f>
        <v>0</v>
      </c>
      <c r="BE18" s="17">
        <f>1-(MAX(J18-1900, 0)/750)</f>
        <v>0.90266666666666673</v>
      </c>
      <c r="BF18" s="16">
        <f>((MAX($M18,1)*MIN($AJ18/300,1)))*IF(G18="Wagon",50,10)</f>
        <v>10</v>
      </c>
      <c r="BG18" s="16">
        <f>VLOOKUP($H18,Constants!$I:$K, 2, FALSE)</f>
        <v>1.2</v>
      </c>
      <c r="BH18" s="16">
        <f>VLOOKUP($H18,Constants!$I:$K, 3, FALSE)*IF(AND(G18="multiple_unit",AB18&lt;110),0.75,1)</f>
        <v>0.6</v>
      </c>
      <c r="BI18" s="16">
        <f>INT(POWER(((Constants!$G$2+$BB18+$BC18+$BD18+$BF18)*$BE18)*$BH18, 1.05))+$BA18</f>
        <v>98</v>
      </c>
      <c r="BJ18" s="16">
        <f>INT(POWER((((Constants!$G$1+$BB18+$BC18+$BD18+$BF18)*($BE18))*$BG18),IF($G18="wagon",1,1.2)))+$AZ18</f>
        <v>129</v>
      </c>
      <c r="BK18" s="19">
        <f>BI18*IF($G18="wagon",62.5,781.25)</f>
        <v>6125</v>
      </c>
      <c r="BL18" s="19">
        <f>BJ18*IF($G18="wagon",2.73,81.25)</f>
        <v>352.17</v>
      </c>
      <c r="BT18" t="s">
        <v>541</v>
      </c>
      <c r="BU18">
        <v>1</v>
      </c>
      <c r="BX18" t="s">
        <v>142</v>
      </c>
      <c r="BY18" t="s">
        <v>34</v>
      </c>
      <c r="BZ18" s="22" t="str">
        <f>VLOOKUP(J18,Eras!$A$2:$C$10, 2, TRUE)</f>
        <v>lbr</v>
      </c>
      <c r="CA18" t="s">
        <v>70</v>
      </c>
      <c r="CB18" s="22" t="str">
        <f>CONCATENATE(BZ18,"_",CA18)</f>
        <v>lbr_Carriage</v>
      </c>
      <c r="CC18" s="22" t="str">
        <f>_xlfn.CONCAT(H18, "_",I18)</f>
        <v>carriage_RAIL</v>
      </c>
      <c r="CD18" s="25" t="str" cm="1">
        <f t="array" ref="CD18">IF(AN18&lt;&gt;"na", _xlfn.CONCAT("{BLACK}Length: {GOLD}", TEXT(ROUNDUP(IF(AQ18&lt;&gt;"",SUM(VALUE(_xlfn.TEXTSPLIT(AQ18, ","))), SUM(VALUE(_xlfn.TEXTSPLIT(AN18, ",")))*IF(M18, M18, 1))/16, 1),"#,##0.0"), " tiles{}"), "")</f>
        <v>{BLACK}Length: {GOLD}0.8 tiles{}</v>
      </c>
      <c r="CE18" s="22" t="str">
        <f>VLOOKUP($CC18, Constants!$M:$N, 2, FALSE)</f>
        <v/>
      </c>
      <c r="CF18" s="22" t="str">
        <f t="shared" ref="CF18" si="106">IF(AND(M18&gt;1,BO18&lt;&gt;1),_xlfn.CONCAT("{BLACK}Cars: {GOLD}", M18),"")</f>
        <v/>
      </c>
      <c r="CG18" t="s">
        <v>351</v>
      </c>
      <c r="CH18" t="str">
        <f>IF($BT18="!param_no_gameplay_units","{GREEN}Included for gameplay purposes","")</f>
        <v/>
      </c>
      <c r="CI18" t="str">
        <f t="shared" ref="CI18" si="107">IF(BW18="buffet","{YELLOW}25% long distance bonus for consist{}",IF(BX18="DANDY","{YELLOW}Faster downhill speeds for horse-drawn trains (1 required per 2 horses){}",IF(BX18="BRAKE","{YELLOW}Speed bonus for slow wagons{}",IF(BX18="NGPassengers","{YELLOW}Preserved railway bonus: passengers pay more when hauled by old locomotives{}",IF(AND(BV18&gt;190,NOT(AND(I18="NARROW_GAUGE",BX18&lt;&gt;"PASS"))),CONCATENATE("{YELLOW}",INT((BV18-185)/1.85),"% bonus for long distance travel{}"),IF(AND(BV18&lt;180,BV18&lt;&gt;0),CONCATENATE("{YELLOW}",INT((185-BV18)/1.85),"% penalty for long distance travel{}"),""))))))</f>
        <v/>
      </c>
      <c r="CJ18" t="str">
        <f t="shared" ref="CJ18" si="108">_xlfn.CONCAT(CE18,IF(CE18&lt;&gt;""," ",""),CF18,IF(OR(CF18&lt;&gt;"",CE18&lt;&gt;""),"{}",""),CD18,CI18,"{SILVER}",CG18,IF(CH18&lt;&gt;"","{}{}",""),CH18)</f>
        <v>{BLACK}Length: {GOLD}0.8 tiles{}{SILVER}The Mark 2F was the final development of the Mark 2 carriage, introducing many features which would be used on the Mark 3 Intercity carriages.</v>
      </c>
    </row>
    <row r="19" spans="1:88" x14ac:dyDescent="0.35">
      <c r="A19" t="s">
        <v>496</v>
      </c>
      <c r="B19" t="s">
        <v>497</v>
      </c>
      <c r="C19">
        <v>1172</v>
      </c>
      <c r="E19">
        <v>1007</v>
      </c>
      <c r="F19" t="s">
        <v>486</v>
      </c>
      <c r="G19" t="s">
        <v>32</v>
      </c>
      <c r="H19" t="s">
        <v>159</v>
      </c>
      <c r="I19" t="s">
        <v>28</v>
      </c>
      <c r="J19">
        <v>2017</v>
      </c>
      <c r="W19">
        <v>40</v>
      </c>
      <c r="Y19">
        <v>5</v>
      </c>
      <c r="AA19" s="3" t="str">
        <f t="shared" ref="AA19" si="109">IF(AND(W19&gt;0,Z19&gt;0),(Z19/((W19+X19)*10)),"")</f>
        <v/>
      </c>
      <c r="AB19">
        <v>125</v>
      </c>
      <c r="AC19">
        <f t="shared" ref="AC19" si="110">ROUND(AB19*1.6, 0)</f>
        <v>200</v>
      </c>
      <c r="AF19">
        <v>23</v>
      </c>
      <c r="AG19">
        <v>23</v>
      </c>
      <c r="AJ19" s="9">
        <v>57</v>
      </c>
      <c r="AK19" s="14" t="str">
        <f>CONCATENATE(VLOOKUP(AL19, 'Voxel Sizes'!$A$2:$B$18,2,FALSE),"x",INT(AH19*15), "x", INT(AI19*15))</f>
        <v>214x0x0</v>
      </c>
      <c r="AL19" s="14">
        <f t="shared" ref="AL19" si="111">ROUND(15*((AG19*10)/256),0)</f>
        <v>13</v>
      </c>
      <c r="AN19" s="14" t="str">
        <f>CONCATENATE(VLOOKUP(AL19,Constants!$A$2:$C$16,IF(AM19&lt;&gt;"", 3, 2), FALSE),IF(AM19&lt;&gt;"",CONCATENATE(",",VLOOKUP(AM19,$B:$AN,39,FALSE)),""))</f>
        <v>4,5,4</v>
      </c>
      <c r="AX19">
        <v>30</v>
      </c>
      <c r="AY19" s="14" t="str">
        <f t="shared" ref="AY19" si="112">IF(L19&lt;&gt;"",MAX(16,(L19-J19)+8),"")</f>
        <v/>
      </c>
      <c r="AZ19">
        <v>85</v>
      </c>
      <c r="BA19">
        <v>85</v>
      </c>
      <c r="BB19" s="16">
        <f t="shared" ref="BB19" si="113">MIN(AB19/150, 1)*30</f>
        <v>25</v>
      </c>
      <c r="BC19" s="16">
        <f t="shared" ref="BC19" si="114">MIN(N19/4000, 1)*20</f>
        <v>0</v>
      </c>
      <c r="BD19" s="16">
        <f t="shared" ref="BD19" si="115">MIN(Z19/400,1)*20</f>
        <v>0</v>
      </c>
      <c r="BE19" s="17">
        <f t="shared" ref="BE19" si="116">1-(MAX(J19-1900, 0)/750)</f>
        <v>0.84399999999999997</v>
      </c>
      <c r="BF19" s="16">
        <f t="shared" ref="BF19" si="117">((MAX($M19,1)*MIN($AJ19/300,1)))*IF(G19="Wagon",50,10)</f>
        <v>9.5</v>
      </c>
      <c r="BG19" s="16">
        <f>VLOOKUP($H19,Constants!$I:$K, 2, FALSE)</f>
        <v>1.2</v>
      </c>
      <c r="BH19" s="16">
        <f>VLOOKUP($H19,Constants!$I:$K, 3, FALSE)*IF(AND(G19="multiple_unit",AB19&lt;110),0.75,1)</f>
        <v>0.6</v>
      </c>
      <c r="BI19" s="16">
        <f>INT(POWER(((Constants!$G$2+$BB19+$BC19+$BD19+$BF19)*$BE19)*$BH19, 1.05))+$BA19</f>
        <v>108</v>
      </c>
      <c r="BJ19" s="16">
        <f>INT(POWER((((Constants!$G$1+$BB19+$BC19+$BD19+$BF19)*($BE19))*$BG19),IF($G19="wagon",1,1.2)))+$AZ19</f>
        <v>135</v>
      </c>
      <c r="BK19" s="19">
        <f t="shared" ref="BK19" si="118">BI19*IF($G19="wagon",62.5,781.25)</f>
        <v>6750</v>
      </c>
      <c r="BL19" s="19">
        <f t="shared" ref="BL19" si="119">BJ19*IF($G19="wagon",2.73,81.25)</f>
        <v>368.55</v>
      </c>
      <c r="BU19">
        <v>1</v>
      </c>
      <c r="BV19">
        <v>222</v>
      </c>
      <c r="BX19" t="s">
        <v>142</v>
      </c>
      <c r="BY19" t="s">
        <v>34</v>
      </c>
      <c r="BZ19" s="22" t="str">
        <f>VLOOKUP(J19,Eras!$A$2:$C$10, 2, TRUE)</f>
        <v>mod</v>
      </c>
      <c r="CA19" t="s">
        <v>70</v>
      </c>
      <c r="CB19" s="22" t="str">
        <f t="shared" ref="CB19" si="120">CONCATENATE(BZ19,"_",CA19)</f>
        <v>mod_Carriage</v>
      </c>
      <c r="CC19" s="22" t="str">
        <f t="shared" ref="CC19" si="121">_xlfn.CONCAT(H19, "_",I19)</f>
        <v>carriage_RAIL</v>
      </c>
      <c r="CD19" s="25" t="str" cm="1">
        <f t="array" ref="CD19">IF(AN19&lt;&gt;"na", _xlfn.CONCAT("{BLACK}Length: {GOLD}", TEXT(ROUNDUP(IF(AQ19&lt;&gt;"",SUM(VALUE(_xlfn.TEXTSPLIT(AQ19, ","))), SUM(VALUE(_xlfn.TEXTSPLIT(AN19, ",")))*IF(M19, M19, 1))/16, 1),"#,##0.0"), " tiles{}"), "")</f>
        <v>{BLACK}Length: {GOLD}0.9 tiles{}</v>
      </c>
      <c r="CE19" s="22" t="str">
        <f>VLOOKUP($CC19, Constants!$M:$N, 2, FALSE)</f>
        <v/>
      </c>
      <c r="CF19" s="22" t="str">
        <f t="shared" ref="CF19" si="122">IF(AND(M19&gt;1,BO19&lt;&gt;1),_xlfn.CONCAT("{BLACK}Cars: {GOLD}", M19),"")</f>
        <v/>
      </c>
      <c r="CG19" t="s">
        <v>498</v>
      </c>
      <c r="CH19" t="str">
        <f t="shared" si="26"/>
        <v/>
      </c>
      <c r="CI19" t="str">
        <f t="shared" si="13"/>
        <v>{YELLOW}20% bonus for long distance travel{}</v>
      </c>
      <c r="CJ19" t="str">
        <f t="shared" si="27"/>
        <v>{BLACK}Length: {GOLD}0.9 tiles{}{YELLOW}20% bonus for long distance travel{}{SILVER}The Mark 5A was built for loco-hauled services on the TransPennine Express, but was withdrawn barely four years after introduction.</v>
      </c>
    </row>
    <row r="20" spans="1:88" x14ac:dyDescent="0.35">
      <c r="A20" t="s">
        <v>330</v>
      </c>
      <c r="B20" t="s">
        <v>335</v>
      </c>
      <c r="C20">
        <v>1601</v>
      </c>
      <c r="E20">
        <v>1008</v>
      </c>
      <c r="F20" t="s">
        <v>486</v>
      </c>
      <c r="G20" t="s">
        <v>32</v>
      </c>
      <c r="H20" t="s">
        <v>159</v>
      </c>
      <c r="I20" t="s">
        <v>28</v>
      </c>
      <c r="J20">
        <v>1960</v>
      </c>
      <c r="W20">
        <v>28</v>
      </c>
      <c r="Y20">
        <v>4</v>
      </c>
      <c r="AA20" s="3" t="str">
        <f t="shared" si="65"/>
        <v/>
      </c>
      <c r="AB20">
        <v>25</v>
      </c>
      <c r="AC20">
        <f t="shared" si="64"/>
        <v>40</v>
      </c>
      <c r="AF20">
        <v>16.2</v>
      </c>
      <c r="AG20">
        <v>16.2</v>
      </c>
      <c r="AH20">
        <v>2.8</v>
      </c>
      <c r="AJ20" s="9">
        <v>42</v>
      </c>
      <c r="AK20" s="14" t="str">
        <f>CONCATENATE(VLOOKUP(AL20, 'Voxel Sizes'!$A$2:$B$18,2,FALSE),"x",INT(AH20*15), "x", INT(AI20*15))</f>
        <v>152x42x0</v>
      </c>
      <c r="AL20" s="14">
        <f t="shared" si="66"/>
        <v>9</v>
      </c>
      <c r="AN20" s="14" t="str">
        <f>CONCATENATE(VLOOKUP(AL20,Constants!$A$2:$C$16,IF(AM20&lt;&gt;"", 3, 2), FALSE),IF(AM20&lt;&gt;"",CONCATENATE(",",VLOOKUP(AM20,$B:$AN,39,FALSE)),""))</f>
        <v>2,5,2</v>
      </c>
      <c r="AX20">
        <v>30</v>
      </c>
      <c r="AY20" s="14" t="str">
        <f t="shared" si="67"/>
        <v/>
      </c>
      <c r="AZ20">
        <v>69</v>
      </c>
      <c r="BA20">
        <v>57</v>
      </c>
      <c r="BB20" s="16">
        <f t="shared" si="68"/>
        <v>5</v>
      </c>
      <c r="BC20" s="16">
        <f t="shared" si="69"/>
        <v>0</v>
      </c>
      <c r="BD20" s="16">
        <f t="shared" si="70"/>
        <v>0</v>
      </c>
      <c r="BE20" s="17">
        <f t="shared" si="71"/>
        <v>0.92</v>
      </c>
      <c r="BF20" s="16">
        <f t="shared" si="72"/>
        <v>7.0000000000000009</v>
      </c>
      <c r="BG20" s="16">
        <f>VLOOKUP($H20,Constants!$I:$K, 2, FALSE)</f>
        <v>1.2</v>
      </c>
      <c r="BH20" s="16">
        <f>VLOOKUP($H20,Constants!$I:$K, 3, FALSE)*IF(AND(G20="multiple_unit",AB20&lt;110),0.75,1)</f>
        <v>0.6</v>
      </c>
      <c r="BI20" s="16">
        <f>INT(POWER(((Constants!$G$2+$BB20+$BC20+$BD20+$BF20)*$BE20)*$BH20, 1.05))+$BA20</f>
        <v>67</v>
      </c>
      <c r="BJ20" s="16">
        <f>INT(POWER((((Constants!$G$1+$BB20+$BC20+$BD20+$BF20)*($BE20))*$BG20),IF($G20="wagon",1,1.2)))+$AZ20</f>
        <v>98</v>
      </c>
      <c r="BK20" s="19">
        <f t="shared" si="73"/>
        <v>4187.5</v>
      </c>
      <c r="BL20" s="19">
        <f t="shared" si="74"/>
        <v>267.54000000000002</v>
      </c>
      <c r="BU20">
        <v>1</v>
      </c>
      <c r="BV20">
        <v>74</v>
      </c>
      <c r="BX20" t="s">
        <v>274</v>
      </c>
      <c r="BY20" t="s">
        <v>34</v>
      </c>
      <c r="BZ20" s="22" t="str">
        <f>VLOOKUP(J20,Eras!$A$2:$C$10, 2, TRUE)</f>
        <v>dsl</v>
      </c>
      <c r="CA20" t="s">
        <v>70</v>
      </c>
      <c r="CB20" s="22" t="str">
        <f t="shared" si="75"/>
        <v>dsl_Carriage</v>
      </c>
      <c r="CC20" s="22" t="str">
        <f t="shared" si="76"/>
        <v>carriage_RAIL</v>
      </c>
      <c r="CD20" s="25" t="str" cm="1">
        <f t="array" ref="CD20">IF(AN20&lt;&gt;"na", _xlfn.CONCAT("{BLACK}Length: {GOLD}", TEXT(ROUNDUP(IF(AQ20&lt;&gt;"",SUM(VALUE(_xlfn.TEXTSPLIT(AQ20, ","))), SUM(VALUE(_xlfn.TEXTSPLIT(AN20, ",")))*IF(M20, M20, 1))/16, 1),"#,##0.0"), " tiles{}"), "")</f>
        <v>{BLACK}Length: {GOLD}0.6 tiles{}</v>
      </c>
      <c r="CE20" s="22" t="str">
        <f>VLOOKUP($CC20, Constants!$M:$N, 2, FALSE)</f>
        <v/>
      </c>
      <c r="CF20" s="22" t="str">
        <f t="shared" si="12"/>
        <v/>
      </c>
      <c r="CG20" t="s">
        <v>333</v>
      </c>
      <c r="CH20" t="str">
        <f t="shared" si="26"/>
        <v/>
      </c>
      <c r="CI20" t="str">
        <f t="shared" si="13"/>
        <v>{YELLOW}Preserved railway bonus: passengers pay more when hauled by old locomotives{}</v>
      </c>
      <c r="CJ20" t="str">
        <f t="shared" si="27"/>
        <v>{BLACK}Length: {GOLD}0.6 tiles{}{YELLOW}Preserved railway bonus: passengers pay more when hauled by old locomotives{}{SILVER}The first standard gauge preservation railway in the UK was the Bluebell Railway, opened in 1960. Preservation lines are limited to 25mph.</v>
      </c>
    </row>
    <row r="21" spans="1:88" x14ac:dyDescent="0.35">
      <c r="A21" t="s">
        <v>331</v>
      </c>
      <c r="B21" t="s">
        <v>332</v>
      </c>
      <c r="C21">
        <v>1751</v>
      </c>
      <c r="E21">
        <v>1009</v>
      </c>
      <c r="F21" t="s">
        <v>486</v>
      </c>
      <c r="G21" t="s">
        <v>32</v>
      </c>
      <c r="H21" t="s">
        <v>159</v>
      </c>
      <c r="I21" t="s">
        <v>28</v>
      </c>
      <c r="J21">
        <v>1979</v>
      </c>
      <c r="W21">
        <v>32.5</v>
      </c>
      <c r="Y21">
        <v>5</v>
      </c>
      <c r="AA21" s="3" t="str">
        <f t="shared" si="65"/>
        <v/>
      </c>
      <c r="AB21">
        <v>25</v>
      </c>
      <c r="AC21">
        <f t="shared" si="64"/>
        <v>40</v>
      </c>
      <c r="AF21">
        <v>19.3</v>
      </c>
      <c r="AG21">
        <v>20</v>
      </c>
      <c r="AJ21" s="9">
        <v>54</v>
      </c>
      <c r="AK21" s="14" t="str">
        <f>CONCATENATE(VLOOKUP(AL21, 'Voxel Sizes'!$A$2:$B$18,2,FALSE),"x",INT(AH21*15), "x", INT(AI21*15))</f>
        <v>198x0x0</v>
      </c>
      <c r="AL21" s="14">
        <f t="shared" si="66"/>
        <v>12</v>
      </c>
      <c r="AN21" s="14" t="str">
        <f>CONCATENATE(VLOOKUP(AL21,Constants!$A$2:$C$16,IF(AM21&lt;&gt;"", 3, 2), FALSE),IF(AM21&lt;&gt;"",CONCATENATE(",",VLOOKUP(AM21,$B:$AN,39,FALSE)),""))</f>
        <v>4,4,4</v>
      </c>
      <c r="AX21">
        <v>30</v>
      </c>
      <c r="AY21" s="14" t="str">
        <f t="shared" si="67"/>
        <v/>
      </c>
      <c r="AZ21">
        <v>76</v>
      </c>
      <c r="BA21">
        <f>23*3</f>
        <v>69</v>
      </c>
      <c r="BB21" s="16">
        <f t="shared" si="68"/>
        <v>5</v>
      </c>
      <c r="BC21" s="16">
        <f t="shared" si="69"/>
        <v>0</v>
      </c>
      <c r="BD21" s="16">
        <f t="shared" si="70"/>
        <v>0</v>
      </c>
      <c r="BE21" s="17">
        <f t="shared" si="71"/>
        <v>0.89466666666666672</v>
      </c>
      <c r="BF21" s="16">
        <f t="shared" si="72"/>
        <v>9</v>
      </c>
      <c r="BG21" s="16">
        <f>VLOOKUP($H21,Constants!$I:$K, 2, FALSE)</f>
        <v>1.2</v>
      </c>
      <c r="BH21" s="16">
        <f>VLOOKUP($H21,Constants!$I:$K, 3, FALSE)*IF(AND(G21="multiple_unit",AB21&lt;110),0.75,1)</f>
        <v>0.6</v>
      </c>
      <c r="BI21" s="16">
        <f>INT(POWER(((Constants!$G$2+$BB21+$BC21+$BD21+$BF21)*$BE21)*$BH21, 1.05))+$BA21</f>
        <v>80</v>
      </c>
      <c r="BJ21" s="16">
        <f>INT(POWER((((Constants!$G$1+$BB21+$BC21+$BD21+$BF21)*($BE21))*$BG21),IF($G21="wagon",1,1.2)))+$AZ21</f>
        <v>107</v>
      </c>
      <c r="BK21" s="19">
        <f t="shared" si="73"/>
        <v>5000</v>
      </c>
      <c r="BL21" s="19">
        <f t="shared" si="74"/>
        <v>292.11</v>
      </c>
      <c r="BU21">
        <v>1</v>
      </c>
      <c r="BV21">
        <v>74</v>
      </c>
      <c r="BX21" t="s">
        <v>274</v>
      </c>
      <c r="BY21" t="s">
        <v>34</v>
      </c>
      <c r="BZ21" s="22" t="str">
        <f>VLOOKUP(J21,Eras!$A$2:$C$10, 2, TRUE)</f>
        <v>lbr</v>
      </c>
      <c r="CA21" t="s">
        <v>70</v>
      </c>
      <c r="CB21" s="22" t="str">
        <f t="shared" si="75"/>
        <v>lbr_Carriage</v>
      </c>
      <c r="CC21" s="22" t="str">
        <f t="shared" si="76"/>
        <v>carriage_RAIL</v>
      </c>
      <c r="CD21" s="25" t="str" cm="1">
        <f t="array" ref="CD21">IF(AN21&lt;&gt;"na", _xlfn.CONCAT("{BLACK}Length: {GOLD}", TEXT(ROUNDUP(IF(AQ21&lt;&gt;"",SUM(VALUE(_xlfn.TEXTSPLIT(AQ21, ","))), SUM(VALUE(_xlfn.TEXTSPLIT(AN21, ",")))*IF(M21, M21, 1))/16, 1),"#,##0.0"), " tiles{}"), "")</f>
        <v>{BLACK}Length: {GOLD}0.8 tiles{}</v>
      </c>
      <c r="CE21" s="22" t="str">
        <f>VLOOKUP($CC21, Constants!$M:$N, 2, FALSE)</f>
        <v/>
      </c>
      <c r="CF21" s="22" t="str">
        <f t="shared" si="12"/>
        <v/>
      </c>
      <c r="CG21" t="s">
        <v>334</v>
      </c>
      <c r="CH21" t="str">
        <f t="shared" si="26"/>
        <v/>
      </c>
      <c r="CI21" t="str">
        <f t="shared" si="13"/>
        <v>{YELLOW}Preserved railway bonus: passengers pay more when hauled by old locomotives{}</v>
      </c>
      <c r="CJ21" t="str">
        <f t="shared" si="27"/>
        <v>{BLACK}Length: {GOLD}0.8 tiles{}{YELLOW}Preserved railway bonus: passengers pay more when hauled by old locomotives{}{SILVER}The ubiquity of the BR Mk1 carriage has made it a mainstay of preserved railways across the UK.</v>
      </c>
    </row>
    <row r="22" spans="1:88" x14ac:dyDescent="0.35">
      <c r="A22" t="s">
        <v>366</v>
      </c>
      <c r="B22" t="s">
        <v>367</v>
      </c>
      <c r="C22">
        <v>1691</v>
      </c>
      <c r="E22">
        <v>1010</v>
      </c>
      <c r="F22" t="s">
        <v>486</v>
      </c>
      <c r="G22" t="s">
        <v>32</v>
      </c>
      <c r="H22" t="s">
        <v>32</v>
      </c>
      <c r="I22" t="s">
        <v>28</v>
      </c>
      <c r="J22">
        <v>1969</v>
      </c>
      <c r="W22">
        <v>160</v>
      </c>
      <c r="Y22">
        <v>5</v>
      </c>
      <c r="AA22" s="3" t="str">
        <f>IF(AND(W22&gt;0,Z22&gt;0),(Z22/((W22+X22)*10)),"")</f>
        <v/>
      </c>
      <c r="AB22">
        <v>65</v>
      </c>
      <c r="AC22">
        <f t="shared" si="64"/>
        <v>104</v>
      </c>
      <c r="AF22">
        <v>25</v>
      </c>
      <c r="AG22">
        <v>22</v>
      </c>
      <c r="AJ22" s="9">
        <v>81</v>
      </c>
      <c r="AK22" s="14" t="str">
        <f>CONCATENATE(VLOOKUP(AL22, 'Voxel Sizes'!$A$2:$B$18,2,FALSE),"x",INT(AH22*15), "x", INT(AI22*15))</f>
        <v>214x0x0</v>
      </c>
      <c r="AL22" s="14">
        <f t="shared" si="66"/>
        <v>13</v>
      </c>
      <c r="AN22" s="14" t="str">
        <f>CONCATENATE(VLOOKUP(AL22,Constants!$A$2:$C$16,IF(AM22&lt;&gt;"", 3, 2), FALSE),IF(AM22&lt;&gt;"",CONCATENATE(",",VLOOKUP(AM22,$B:$AN,39,FALSE)),""))</f>
        <v>4,5,4</v>
      </c>
      <c r="AX22">
        <v>30</v>
      </c>
      <c r="AY22" s="14" t="str">
        <f t="shared" si="67"/>
        <v/>
      </c>
      <c r="BB22" s="16">
        <f t="shared" si="68"/>
        <v>13</v>
      </c>
      <c r="BC22" s="16">
        <f t="shared" si="69"/>
        <v>0</v>
      </c>
      <c r="BD22" s="16">
        <f>MIN(Z22/400,1)*20</f>
        <v>0</v>
      </c>
      <c r="BE22" s="17">
        <f t="shared" si="71"/>
        <v>0.90800000000000003</v>
      </c>
      <c r="BF22" s="16">
        <f t="shared" si="72"/>
        <v>13.5</v>
      </c>
      <c r="BG22" s="16">
        <f>VLOOKUP($H22,Constants!$I:$K, 2, FALSE)</f>
        <v>1</v>
      </c>
      <c r="BH22" s="16">
        <f>VLOOKUP($H22,Constants!$I:$K, 3, FALSE)*IF(AND(G22="multiple_unit",AB22&lt;110),0.75,1)</f>
        <v>0.45</v>
      </c>
      <c r="BI22" s="16">
        <f>INT(POWER(((Constants!$G$2+$BB22+$BC22+$BD22+$BF22)*$BE22)*$BH22, 1.05))+$BA22</f>
        <v>14</v>
      </c>
      <c r="BJ22" s="16">
        <f>INT(POWER((((Constants!$G$1+$BB22+$BC22+$BD22+$BF22)*($BE22))*$BG22),IF($G22="wagon",1,1.2)))+$AZ22</f>
        <v>37</v>
      </c>
      <c r="BK22" s="19">
        <f t="shared" si="73"/>
        <v>875</v>
      </c>
      <c r="BL22" s="19">
        <f t="shared" si="74"/>
        <v>101.01</v>
      </c>
      <c r="BU22">
        <v>1</v>
      </c>
      <c r="BV22">
        <v>205</v>
      </c>
      <c r="BX22" t="s">
        <v>369</v>
      </c>
      <c r="BY22" t="s">
        <v>34</v>
      </c>
      <c r="BZ22" s="22" t="str">
        <f>VLOOKUP(J22,Eras!$A$2:$C$10, 2, TRUE)</f>
        <v>dsl</v>
      </c>
      <c r="CA22" t="s">
        <v>130</v>
      </c>
      <c r="CB22" s="22" t="str">
        <f t="shared" si="75"/>
        <v>dsl_Extra</v>
      </c>
      <c r="CC22" s="22" t="str">
        <f t="shared" si="76"/>
        <v>wagon_RAIL</v>
      </c>
      <c r="CD22" s="25" t="str" cm="1">
        <f t="array" ref="CD22">IF(AN22&lt;&gt;"na", _xlfn.CONCAT("{BLACK}Length: {GOLD}", TEXT(ROUNDUP(IF(AQ22&lt;&gt;"",SUM(VALUE(_xlfn.TEXTSPLIT(AQ22, ","))), SUM(VALUE(_xlfn.TEXTSPLIT(AN22, ",")))*IF(M22, M22, 1))/16, 1),"#,##0.0"), " tiles{}"), "")</f>
        <v>{BLACK}Length: {GOLD}0.9 tiles{}</v>
      </c>
      <c r="CE22" s="22" t="str">
        <f>VLOOKUP($CC22, Constants!$M:$N, 2, FALSE)</f>
        <v/>
      </c>
      <c r="CF22" s="22" t="str">
        <f t="shared" si="12"/>
        <v/>
      </c>
      <c r="CG22" t="s">
        <v>368</v>
      </c>
      <c r="CH22" t="str">
        <f t="shared" si="26"/>
        <v/>
      </c>
      <c r="CI22" t="str">
        <f t="shared" si="13"/>
        <v>{YELLOW}10% bonus for long distance travel{}</v>
      </c>
      <c r="CJ22" t="str">
        <f t="shared" si="27"/>
        <v>{BLACK}Length: {GOLD}0.9 tiles{}{YELLOW}10% bonus for long distance travel{}{SILVER}Torpedo cars haul molten metal directly from furnaces, meaning it does not have to be processed to an intermediate form and melted again.</v>
      </c>
    </row>
    <row r="23" spans="1:88" x14ac:dyDescent="0.35">
      <c r="A23" t="s">
        <v>459</v>
      </c>
      <c r="B23" t="s">
        <v>460</v>
      </c>
      <c r="C23">
        <v>341</v>
      </c>
      <c r="E23">
        <v>1</v>
      </c>
      <c r="F23" t="s">
        <v>486</v>
      </c>
      <c r="G23" t="s">
        <v>235</v>
      </c>
      <c r="H23" t="s">
        <v>25</v>
      </c>
      <c r="I23" t="s">
        <v>28</v>
      </c>
      <c r="J23">
        <v>1834</v>
      </c>
      <c r="L23">
        <v>1860</v>
      </c>
      <c r="N23">
        <v>85</v>
      </c>
      <c r="P23" s="5">
        <v>11</v>
      </c>
      <c r="Q23" s="5">
        <v>16</v>
      </c>
      <c r="R23" s="5">
        <v>2</v>
      </c>
      <c r="S23" s="5">
        <v>50</v>
      </c>
      <c r="T23" s="12">
        <f t="shared" ref="T23" si="123">((($AB23/2)/60)*5280)/($U23*3.2*PI())</f>
        <v>106.75026670797857</v>
      </c>
      <c r="U23" s="5">
        <v>1.4350000000000001</v>
      </c>
      <c r="V23" s="5">
        <f t="shared" ref="V23" si="124">((($P23*$P23/4)*PI())*($Q23/12)*$R23*$S23*$T23)/(33000*1.1)</f>
        <v>37.262872628726278</v>
      </c>
      <c r="W23">
        <v>6</v>
      </c>
      <c r="X23" s="7">
        <v>4</v>
      </c>
      <c r="Z23">
        <v>15</v>
      </c>
      <c r="AA23" s="3">
        <f t="shared" ref="AA23" si="125">IF(AND(W23&gt;0,Z23&gt;0),(Z23/((W23+X23)*10)),"")</f>
        <v>0.15</v>
      </c>
      <c r="AB23">
        <v>35</v>
      </c>
      <c r="AC23">
        <f t="shared" si="64"/>
        <v>56</v>
      </c>
      <c r="AG23">
        <v>8</v>
      </c>
      <c r="AJ23" s="9">
        <v>0</v>
      </c>
      <c r="AK23" s="14" t="str">
        <f>CONCATENATE(VLOOKUP(AL23, 'Voxel Sizes'!$A$2:$B$18,2,FALSE),"x",INT(AH23*15), "x", INT(AI23*15))</f>
        <v>82x0x0</v>
      </c>
      <c r="AL23" s="14">
        <f t="shared" ref="AL23:AL24" si="126">ROUND(15*((AG23*10)/256),0)</f>
        <v>5</v>
      </c>
      <c r="AN23" s="14" t="str">
        <f>CONCATENATE(VLOOKUP(AL23,Constants!$A$2:$C$16,IF(AM23&lt;&gt;"", 3, 2), FALSE),IF(AM23&lt;&gt;"",CONCATENATE(",",VLOOKUP(AM23,$B:$AN,39,FALSE)),""))</f>
        <v>2,1,2</v>
      </c>
      <c r="AV23">
        <v>1</v>
      </c>
      <c r="AX23">
        <v>29</v>
      </c>
      <c r="AY23" s="14">
        <f t="shared" si="67"/>
        <v>34</v>
      </c>
      <c r="AZ23">
        <v>-16</v>
      </c>
      <c r="BA23">
        <v>-8</v>
      </c>
      <c r="BB23" s="16">
        <f t="shared" ref="BB23" si="127">MIN(AB23/150, 1)*30</f>
        <v>7</v>
      </c>
      <c r="BC23" s="16">
        <f t="shared" ref="BC23" si="128">MIN(N23/4000, 1)*20</f>
        <v>0.42500000000000004</v>
      </c>
      <c r="BD23" s="16">
        <f>MIN(Z23/400,1)*20</f>
        <v>0.75</v>
      </c>
      <c r="BE23" s="17">
        <f t="shared" ref="BE23" si="129">1-(MAX(J23-1900, 0)/750)</f>
        <v>1</v>
      </c>
      <c r="BF23" s="16">
        <f t="shared" ref="BF23" si="130">((MAX($M23,1)*MIN($AJ23/300,1)))*IF(G23="Wagon",50,10)</f>
        <v>0</v>
      </c>
      <c r="BG23" s="16">
        <f>VLOOKUP($H23,Constants!$I:$K, 2, FALSE)</f>
        <v>1.1499999999999999</v>
      </c>
      <c r="BH23" s="16">
        <f>VLOOKUP($H23,Constants!$I:$K, 3, FALSE)*IF(AND(G23="multiple_unit",AB23&lt;110),0.75,1)</f>
        <v>1.7</v>
      </c>
      <c r="BI23" s="16">
        <f>INT(POWER(((Constants!$G$2+$BB23+$BC23+$BD23+$BF23)*$BE23)*$BH23, 1.05))+$BA23</f>
        <v>18</v>
      </c>
      <c r="BJ23" s="16">
        <f>INT(POWER((((Constants!$G$1+$BB23+$BC23+$BD23+$BF23)*($BE23))*$BG23),IF($G23="wagon",1,1.2)))+$AZ23</f>
        <v>35</v>
      </c>
      <c r="BK23" s="19">
        <f t="shared" ref="BK23" si="131">BI23*IF($G23="wagon",62.5,781.25)</f>
        <v>14062.5</v>
      </c>
      <c r="BL23" s="19">
        <f t="shared" ref="BL23" si="132">BJ23*IF($G23="wagon",2.73,81.25)</f>
        <v>2843.75</v>
      </c>
      <c r="BU23">
        <v>5</v>
      </c>
      <c r="BZ23" s="22" t="str">
        <f>VLOOKUP(J23,Eras!$A$2:$C$10, 2, TRUE)</f>
        <v>early</v>
      </c>
      <c r="CA23" t="s">
        <v>130</v>
      </c>
      <c r="CB23" s="22" t="str">
        <f t="shared" ref="CB23" si="133">CONCATENATE(BZ23,"_",CA23)</f>
        <v>early_Extra</v>
      </c>
      <c r="CC23" s="22" t="str">
        <f t="shared" ref="CC23" si="134">_xlfn.CONCAT(H23, "_",I23)</f>
        <v>steam_RAIL</v>
      </c>
      <c r="CD23" s="25" t="str" cm="1">
        <f t="array" ref="CD23">IF(AN23&lt;&gt;"na", _xlfn.CONCAT("{BLACK}Length: {GOLD}", TEXT(ROUNDUP(IF(AQ23&lt;&gt;"",SUM(VALUE(_xlfn.TEXTSPLIT(AQ23, ","))), SUM(VALUE(_xlfn.TEXTSPLIT(AN23, ",")))*IF(M23, M23, 1))/16, 1),"#,##0.0"), " tiles{}"), "")</f>
        <v>{BLACK}Length: {GOLD}0.4 tiles{}</v>
      </c>
      <c r="CE23" s="22" t="str">
        <f>VLOOKUP($CC23, Constants!$M:$N, 2, FALSE)</f>
        <v>{BLACK}Powered by: {GOLD}Steam</v>
      </c>
      <c r="CF23" s="22" t="str">
        <f t="shared" si="12"/>
        <v/>
      </c>
      <c r="CG23" t="s">
        <v>461</v>
      </c>
      <c r="CH23" t="str">
        <f t="shared" si="26"/>
        <v/>
      </c>
      <c r="CI23" t="str">
        <f t="shared" si="13"/>
        <v/>
      </c>
      <c r="CJ23" t="str">
        <f t="shared" si="27"/>
        <v>{BLACK}Powered by: {GOLD}Steam {}{BLACK}Length: {GOLD}0.4 tiles{}{SILVER}George Forrester and Company built the first passenger tank locomotive to enter service. They were supplied to multiple railways in both tank and tender forms.</v>
      </c>
    </row>
    <row r="24" spans="1:88" x14ac:dyDescent="0.35">
      <c r="A24" t="s">
        <v>413</v>
      </c>
      <c r="B24" t="s">
        <v>441</v>
      </c>
      <c r="C24">
        <v>381</v>
      </c>
      <c r="E24">
        <v>2</v>
      </c>
      <c r="F24" t="s">
        <v>486</v>
      </c>
      <c r="G24" t="s">
        <v>235</v>
      </c>
      <c r="H24" t="s">
        <v>25</v>
      </c>
      <c r="I24" t="s">
        <v>28</v>
      </c>
      <c r="J24">
        <v>1841</v>
      </c>
      <c r="L24">
        <v>1871</v>
      </c>
      <c r="N24">
        <v>220</v>
      </c>
      <c r="P24" s="5">
        <v>16</v>
      </c>
      <c r="Q24" s="5">
        <v>16</v>
      </c>
      <c r="R24" s="5">
        <v>2</v>
      </c>
      <c r="S24" s="5">
        <v>140</v>
      </c>
      <c r="T24" s="12">
        <f t="shared" ref="T24:T43" si="135">((($AB24/2)/60)*5280)/($U24*3.2*PI())</f>
        <v>104.20859369112195</v>
      </c>
      <c r="U24" s="5">
        <v>2.1</v>
      </c>
      <c r="V24" s="5">
        <f t="shared" ref="V24:V43" si="136">((($P24*$P24/4)*PI())*($Q24/12)*$R24*$S24*$T24)/(33000*1.1)</f>
        <v>215.48821548821545</v>
      </c>
      <c r="W24">
        <v>11</v>
      </c>
      <c r="Z24">
        <v>16</v>
      </c>
      <c r="AA24" s="3">
        <f>IF(AND(W24&gt;0,Z24&gt;0),(Z24/((W24+X24)*10)),"")</f>
        <v>0.14545454545454545</v>
      </c>
      <c r="AB24">
        <v>50</v>
      </c>
      <c r="AC24">
        <f t="shared" si="64"/>
        <v>80</v>
      </c>
      <c r="AF24">
        <v>8</v>
      </c>
      <c r="AG24">
        <v>8</v>
      </c>
      <c r="AJ24" s="9">
        <v>0</v>
      </c>
      <c r="AK24" s="14" t="str">
        <f>CONCATENATE(VLOOKUP(AL24, 'Voxel Sizes'!$A$2:$B$18,2,FALSE),"x",INT(AH24*15), "x", INT(AI24*15))</f>
        <v>82x0x0</v>
      </c>
      <c r="AL24" s="14">
        <f t="shared" si="126"/>
        <v>5</v>
      </c>
      <c r="AM24" t="s">
        <v>443</v>
      </c>
      <c r="AN24" s="14" t="str">
        <f>CONCATENATE(VLOOKUP(AL24,Constants!$A$2:$C$16,IF(AM24&lt;&gt;"", 3, 2), FALSE),IF(AM24&lt;&gt;"",CONCATENATE(",",VLOOKUP(AM24,$B:$AN,39,FALSE)),""))</f>
        <v>2,1,2,1,2,1</v>
      </c>
      <c r="AX24">
        <v>30</v>
      </c>
      <c r="AY24" s="14">
        <f>IF(L24&lt;&gt;"",MAX(16,(L24-J24)+8),"")</f>
        <v>38</v>
      </c>
      <c r="BB24" s="16">
        <f t="shared" ref="BB24:BB37" si="137">MIN(AB24/150, 1)*30</f>
        <v>10</v>
      </c>
      <c r="BC24" s="16">
        <f t="shared" ref="BC24:BC37" si="138">MIN(N24/4000, 1)*20</f>
        <v>1.1000000000000001</v>
      </c>
      <c r="BD24" s="16">
        <f t="shared" ref="BD24:BD37" si="139">MIN(Z24/400,1)*20</f>
        <v>0.8</v>
      </c>
      <c r="BE24" s="17">
        <f t="shared" ref="BE24:BE37" si="140">1-(MAX(J24-1900, 0)/750)</f>
        <v>1</v>
      </c>
      <c r="BF24" s="16">
        <f t="shared" ref="BF24:BF37" si="141">((MAX($M24,1)*MIN($AJ24/300,1)))*IF(G24="Wagon",50,10)</f>
        <v>0</v>
      </c>
      <c r="BG24" s="16">
        <f>VLOOKUP($H24,Constants!$I:$K, 2, FALSE)</f>
        <v>1.1499999999999999</v>
      </c>
      <c r="BH24" s="16">
        <f>VLOOKUP($H24,Constants!$I:$K, 3, FALSE)*IF(AND(G24="multiple_unit",AB24&lt;110),0.75,1)</f>
        <v>1.7</v>
      </c>
      <c r="BI24" s="16">
        <f>INT(POWER(((Constants!$G$2+$BB24+$BC24+$BD24+$BF24)*$BE24)*$BH24, 1.05))+$BA24</f>
        <v>33</v>
      </c>
      <c r="BJ24" s="16">
        <f>INT(POWER((((Constants!$G$1+$BB24+$BC24+$BD24+$BF24)*($BE24))*$BG24),IF($G24="wagon",1,1.2)))+$AZ24</f>
        <v>61</v>
      </c>
      <c r="BK24" s="19">
        <f t="shared" ref="BK24:BK37" si="142">BI24*IF($G24="wagon",62.5,781.25)</f>
        <v>25781.25</v>
      </c>
      <c r="BL24" s="19">
        <f t="shared" ref="BL24:BL37" si="143">BJ24*IF($G24="wagon",2.73,81.25)</f>
        <v>4956.25</v>
      </c>
      <c r="BU24">
        <v>3</v>
      </c>
      <c r="BZ24" t="s">
        <v>52</v>
      </c>
      <c r="CA24" t="s">
        <v>63</v>
      </c>
      <c r="CB24" t="str">
        <f>CONCATENATE(BZ24,"_",CA24)</f>
        <v>early_Express</v>
      </c>
      <c r="CC24" t="str">
        <f>_xlfn.CONCAT(H24, "_",I24)</f>
        <v>steam_RAIL</v>
      </c>
      <c r="CD24" s="25" t="str" cm="1">
        <f t="array" ref="CD24">IF(AN24&lt;&gt;"na", _xlfn.CONCAT("{BLACK}Length: {GOLD}", TEXT(ROUNDUP(IF(AQ24&lt;&gt;"",SUM(VALUE(_xlfn.TEXTSPLIT(AQ24, ","))), SUM(VALUE(_xlfn.TEXTSPLIT(AN24, ",")))*IF(M24, M24, 1))/16, 1),"#,##0.0"), " tiles{}"), "")</f>
        <v>{BLACK}Length: {GOLD}0.6 tiles{}</v>
      </c>
      <c r="CE24" s="22" t="str">
        <f>VLOOKUP($CC24, Constants!$M:$N, 2, FALSE)</f>
        <v>{BLACK}Powered by: {GOLD}Steam</v>
      </c>
      <c r="CF24" s="22" t="str">
        <f t="shared" si="12"/>
        <v/>
      </c>
      <c r="CG24" t="s">
        <v>440</v>
      </c>
      <c r="CH24" t="str">
        <f t="shared" si="26"/>
        <v/>
      </c>
      <c r="CI24" t="str">
        <f t="shared" si="13"/>
        <v/>
      </c>
      <c r="CJ24" t="str">
        <f t="shared" si="27"/>
        <v>{BLACK}Powered by: {GOLD}Steam {}{BLACK}Length: {GOLD}0.6 tiles{}{SILVER}The first GWR Star class was typical of a 2-2-2 "single" passenger locomotive. They were given common names of stars, such as "Dog Star" and "Shooting Star"</v>
      </c>
    </row>
    <row r="25" spans="1:88" ht="13.9" customHeight="1" x14ac:dyDescent="0.35">
      <c r="A25" t="s">
        <v>450</v>
      </c>
      <c r="B25" t="s">
        <v>414</v>
      </c>
      <c r="C25">
        <v>461</v>
      </c>
      <c r="E25">
        <v>3</v>
      </c>
      <c r="F25" t="s">
        <v>486</v>
      </c>
      <c r="G25" t="s">
        <v>235</v>
      </c>
      <c r="H25" t="s">
        <v>25</v>
      </c>
      <c r="I25" t="s">
        <v>28</v>
      </c>
      <c r="J25">
        <v>1847</v>
      </c>
      <c r="L25">
        <v>1884</v>
      </c>
      <c r="N25">
        <v>400</v>
      </c>
      <c r="P25" s="5">
        <v>21</v>
      </c>
      <c r="Q25" s="5">
        <v>26</v>
      </c>
      <c r="R25" s="5">
        <v>2</v>
      </c>
      <c r="S25" s="5">
        <v>115</v>
      </c>
      <c r="T25" s="12">
        <f t="shared" si="135"/>
        <v>140.48862260580884</v>
      </c>
      <c r="U25" s="5">
        <v>2.4300000000000002</v>
      </c>
      <c r="V25" s="5">
        <f t="shared" si="136"/>
        <v>668.009960718294</v>
      </c>
      <c r="W25">
        <v>42</v>
      </c>
      <c r="Z25">
        <v>35</v>
      </c>
      <c r="AA25" s="3">
        <f>IF(AND(W25&gt;0,Z25&gt;0),(Z25/((W25+X25)*10)),"")</f>
        <v>8.3333333333333329E-2</v>
      </c>
      <c r="AB25">
        <v>78</v>
      </c>
      <c r="AC25">
        <f t="shared" si="64"/>
        <v>125</v>
      </c>
      <c r="AF25">
        <v>9</v>
      </c>
      <c r="AG25">
        <v>9</v>
      </c>
      <c r="AJ25" s="9">
        <v>0</v>
      </c>
      <c r="AK25" s="14" t="str">
        <f>CONCATENATE(VLOOKUP(AL25, 'Voxel Sizes'!$A$2:$B$18,2,FALSE),"x",INT(AH25*15), "x", INT(AI25*15))</f>
        <v>82x0x0</v>
      </c>
      <c r="AL25" s="14">
        <f t="shared" ref="AL25:AL26" si="144">ROUND(15*((AG25*10)/256),0)</f>
        <v>5</v>
      </c>
      <c r="AM25" t="s">
        <v>449</v>
      </c>
      <c r="AN25" s="14" t="str">
        <f>CONCATENATE(VLOOKUP(AL25,Constants!$A$2:$C$16,IF(AM25&lt;&gt;"", 3, 2), FALSE),IF(AM25&lt;&gt;"",CONCATENATE(",",VLOOKUP(AM25,$B:$AN,39,FALSE)),""))</f>
        <v>2,1,2,1,2,1</v>
      </c>
      <c r="AX25">
        <v>31</v>
      </c>
      <c r="AY25" s="14">
        <f>IF(L25&lt;&gt;"",MAX(16,(L25-J25)+8),"")</f>
        <v>45</v>
      </c>
      <c r="AZ25">
        <v>15</v>
      </c>
      <c r="BA25">
        <v>20</v>
      </c>
      <c r="BB25" s="16">
        <f t="shared" si="137"/>
        <v>15.600000000000001</v>
      </c>
      <c r="BC25" s="16">
        <f t="shared" si="138"/>
        <v>2</v>
      </c>
      <c r="BD25" s="16">
        <f t="shared" si="139"/>
        <v>1.75</v>
      </c>
      <c r="BE25" s="17">
        <f t="shared" si="140"/>
        <v>1</v>
      </c>
      <c r="BF25" s="16">
        <f t="shared" si="141"/>
        <v>0</v>
      </c>
      <c r="BG25" s="16">
        <f>VLOOKUP($H25,Constants!$I:$K, 2, FALSE)</f>
        <v>1.1499999999999999</v>
      </c>
      <c r="BH25" s="16">
        <f>VLOOKUP($H25,Constants!$I:$K, 3, FALSE)*IF(AND(G25="multiple_unit",AB25&lt;110),0.75,1)</f>
        <v>1.7</v>
      </c>
      <c r="BI25" s="16">
        <f>INT(POWER(((Constants!$G$2+$BB25+$BC25+$BD25+$BF25)*$BE25)*$BH25, 1.05))+$BA25</f>
        <v>69</v>
      </c>
      <c r="BJ25" s="16">
        <f>INT(POWER((((Constants!$G$1+$BB25+$BC25+$BD25+$BF25)*($BE25))*$BG25),IF($G25="wagon",1,1.2)))+$AZ25</f>
        <v>97</v>
      </c>
      <c r="BK25" s="19">
        <f t="shared" si="142"/>
        <v>53906.25</v>
      </c>
      <c r="BL25" s="19">
        <f t="shared" si="143"/>
        <v>7881.25</v>
      </c>
      <c r="BU25">
        <v>7</v>
      </c>
      <c r="BZ25" t="s">
        <v>52</v>
      </c>
      <c r="CA25" t="s">
        <v>63</v>
      </c>
      <c r="CB25" t="str">
        <f>CONCATENATE(BZ25,"_",CA25)</f>
        <v>early_Express</v>
      </c>
      <c r="CC25" t="str">
        <f>_xlfn.CONCAT(H25, "_",I25)</f>
        <v>steam_RAIL</v>
      </c>
      <c r="CD25" s="25" t="str" cm="1">
        <f t="array" ref="CD25">IF(AN25&lt;&gt;"na", _xlfn.CONCAT("{BLACK}Length: {GOLD}", TEXT(ROUNDUP(IF(AQ25&lt;&gt;"",SUM(VALUE(_xlfn.TEXTSPLIT(AQ25, ","))), SUM(VALUE(_xlfn.TEXTSPLIT(AN25, ",")))*IF(M25, M25, 1))/16, 1),"#,##0.0"), " tiles{}"), "")</f>
        <v>{BLACK}Length: {GOLD}0.6 tiles{}</v>
      </c>
      <c r="CE25" s="22" t="str">
        <f>VLOOKUP($CC25, Constants!$M:$N, 2, FALSE)</f>
        <v>{BLACK}Powered by: {GOLD}Steam</v>
      </c>
      <c r="CF25" s="22" t="str">
        <f t="shared" si="12"/>
        <v/>
      </c>
      <c r="CG25" t="s">
        <v>447</v>
      </c>
      <c r="CH25" t="str">
        <f t="shared" si="26"/>
        <v/>
      </c>
      <c r="CI25" t="str">
        <f t="shared" si="13"/>
        <v/>
      </c>
      <c r="CJ25" t="str">
        <f t="shared" si="27"/>
        <v>{BLACK}Powered by: {GOLD}Steam {}{BLACK}Length: {GOLD}0.6 tiles{}{SILVER}The Iron Duke class was powerful and very fast for its time. Although both leading axles were rigidly mounted, the wide curves and broad gauge of the GWR's track made this less of a problem.</v>
      </c>
    </row>
    <row r="26" spans="1:88" ht="13.9" customHeight="1" x14ac:dyDescent="0.35">
      <c r="A26" t="s">
        <v>511</v>
      </c>
      <c r="B26" t="s">
        <v>512</v>
      </c>
      <c r="C26">
        <v>741</v>
      </c>
      <c r="E26">
        <v>4</v>
      </c>
      <c r="F26" t="s">
        <v>486</v>
      </c>
      <c r="G26" t="s">
        <v>235</v>
      </c>
      <c r="H26" t="s">
        <v>25</v>
      </c>
      <c r="I26" t="s">
        <v>28</v>
      </c>
      <c r="J26">
        <v>1874</v>
      </c>
      <c r="L26">
        <v>1923</v>
      </c>
      <c r="N26">
        <v>550</v>
      </c>
      <c r="P26" s="5">
        <v>17</v>
      </c>
      <c r="Q26" s="5">
        <v>24</v>
      </c>
      <c r="R26" s="5">
        <v>2</v>
      </c>
      <c r="S26" s="5">
        <v>140</v>
      </c>
      <c r="T26" s="12">
        <f t="shared" si="135"/>
        <v>154.65586342852018</v>
      </c>
      <c r="U26" s="5">
        <v>1.9810000000000001</v>
      </c>
      <c r="V26" s="5">
        <f t="shared" si="136"/>
        <v>541.54620409037364</v>
      </c>
      <c r="W26">
        <v>34</v>
      </c>
      <c r="X26" s="7">
        <v>30</v>
      </c>
      <c r="Z26">
        <v>49</v>
      </c>
      <c r="AA26" s="3">
        <f>IF(AND(W26&gt;0,Z26&gt;0),(Z26/((W26+X26)*10)),"")</f>
        <v>7.6562500000000006E-2</v>
      </c>
      <c r="AB26">
        <v>70</v>
      </c>
      <c r="AC26">
        <f t="shared" si="64"/>
        <v>112</v>
      </c>
      <c r="AF26">
        <v>10</v>
      </c>
      <c r="AG26">
        <v>10</v>
      </c>
      <c r="AK26" s="14" t="str">
        <f>CONCATENATE(VLOOKUP(AL26, 'Voxel Sizes'!$A$2:$B$18,2,FALSE),"x",INT(AH26*15), "x", INT(AI26*15))</f>
        <v>102x0x0</v>
      </c>
      <c r="AL26" s="14">
        <f t="shared" si="144"/>
        <v>6</v>
      </c>
      <c r="AM26" t="s">
        <v>515</v>
      </c>
      <c r="AN26" s="14" t="str">
        <f>CONCATENATE(VLOOKUP(AL26,Constants!$A$2:$C$16,IF(AM26&lt;&gt;"", 3, 2), FALSE),IF(AM26&lt;&gt;"",CONCATENATE(",",VLOOKUP(AM26,$B:$AN,39,FALSE)),""))</f>
        <v>2,2,2,2,1,2</v>
      </c>
      <c r="AV26">
        <v>1</v>
      </c>
      <c r="AX26">
        <v>32</v>
      </c>
      <c r="AY26" s="14">
        <f>IF(L26&lt;&gt;"",MAX(16,(L26-J26)+8),"")</f>
        <v>57</v>
      </c>
      <c r="BB26" s="16">
        <f t="shared" ref="BB26" si="145">MIN(AB26/150, 1)*30</f>
        <v>14</v>
      </c>
      <c r="BC26" s="16">
        <f t="shared" ref="BC26" si="146">MIN(N26/4000, 1)*20</f>
        <v>2.75</v>
      </c>
      <c r="BD26" s="16">
        <f t="shared" ref="BD26" si="147">MIN(Z26/400,1)*20</f>
        <v>2.4500000000000002</v>
      </c>
      <c r="BE26" s="17">
        <f t="shared" ref="BE26" si="148">1-(MAX(J26-1900, 0)/750)</f>
        <v>1</v>
      </c>
      <c r="BF26" s="16">
        <f t="shared" ref="BF26" si="149">((MAX($M26,1)*MIN($AJ26/300,1)))*IF(G26="Wagon",50,10)</f>
        <v>0</v>
      </c>
      <c r="BG26" s="16">
        <f>VLOOKUP($H26,Constants!$I:$K, 2, FALSE)</f>
        <v>1.1499999999999999</v>
      </c>
      <c r="BH26" s="16">
        <f>VLOOKUP($H26,Constants!$I:$K, 3, FALSE)*IF(AND(G26="multiple_unit",AB26&lt;110),0.75,1)</f>
        <v>1.7</v>
      </c>
      <c r="BI26" s="16">
        <f>INT(POWER(((Constants!$G$2+$BB26+$BC26+$BD26+$BF26)*$BE26)*$BH26, 1.05))+$BA26</f>
        <v>49</v>
      </c>
      <c r="BJ26" s="16">
        <f>INT(POWER((((Constants!$G$1+$BB26+$BC26+$BD26+$BF26)*($BE26))*$BG26),IF($G26="wagon",1,1.2)))+$AZ26</f>
        <v>81</v>
      </c>
      <c r="BK26" s="19">
        <f t="shared" ref="BK26" si="150">BI26*IF($G26="wagon",62.5,781.25)</f>
        <v>38281.25</v>
      </c>
      <c r="BL26" s="19">
        <f t="shared" ref="BL26" si="151">BJ26*IF($G26="wagon",2.73,81.25)</f>
        <v>6581.25</v>
      </c>
      <c r="BU26">
        <v>7</v>
      </c>
      <c r="BZ26" t="s">
        <v>52</v>
      </c>
      <c r="CA26" t="s">
        <v>63</v>
      </c>
      <c r="CB26" t="str">
        <f>CONCATENATE(BZ26,"_",CA26)</f>
        <v>early_Express</v>
      </c>
      <c r="CC26" t="str">
        <f>_xlfn.CONCAT(H26, "_",I26)</f>
        <v>steam_RAIL</v>
      </c>
      <c r="CD26" s="25" t="str" cm="1">
        <f t="array" ref="CD26">IF(AN26&lt;&gt;"na", _xlfn.CONCAT("{BLACK}Length: {GOLD}", TEXT(ROUNDUP(IF(AQ26&lt;&gt;"",SUM(VALUE(_xlfn.TEXTSPLIT(AQ26, ","))), SUM(VALUE(_xlfn.TEXTSPLIT(AN26, ",")))*IF(M26, M26, 1))/16, 1),"#,##0.0"), " tiles{}"), "")</f>
        <v>{BLACK}Length: {GOLD}0.7 tiles{}</v>
      </c>
      <c r="CE26" s="22" t="str">
        <f>VLOOKUP($CC26, Constants!$M:$N, 2, FALSE)</f>
        <v>{BLACK}Powered by: {GOLD}Steam</v>
      </c>
      <c r="CF26" s="22" t="str">
        <f t="shared" ref="CF26" si="152">IF(AND(M26&gt;1,BO26&lt;&gt;1),_xlfn.CONCAT("{BLACK}Cars: {GOLD}", M26),"")</f>
        <v/>
      </c>
      <c r="CG26" t="s">
        <v>517</v>
      </c>
      <c r="CH26" t="str">
        <f t="shared" si="26"/>
        <v/>
      </c>
      <c r="CI26" t="str">
        <f t="shared" si="13"/>
        <v/>
      </c>
      <c r="CJ26" t="str">
        <f t="shared" si="27"/>
        <v>{BLACK}Powered by: {GOLD}Steam {}{BLACK}Length: {GOLD}0.7 tiles{}{SILVER}F.W. Webb's Precedent class was an express passenger locomotive. A large part of the class was given numbers and names of previously withdrawn locomotives, giving it a fragmented numbering scheme.</v>
      </c>
    </row>
    <row r="27" spans="1:88" x14ac:dyDescent="0.35">
      <c r="A27" t="s">
        <v>399</v>
      </c>
      <c r="B27" t="s">
        <v>401</v>
      </c>
      <c r="C27">
        <v>661</v>
      </c>
      <c r="E27">
        <v>5</v>
      </c>
      <c r="F27" t="s">
        <v>486</v>
      </c>
      <c r="G27" t="s">
        <v>235</v>
      </c>
      <c r="H27" t="s">
        <v>25</v>
      </c>
      <c r="I27" t="s">
        <v>28</v>
      </c>
      <c r="J27">
        <v>1866</v>
      </c>
      <c r="L27">
        <v>1947</v>
      </c>
      <c r="N27">
        <v>500</v>
      </c>
      <c r="P27" s="5">
        <v>17</v>
      </c>
      <c r="Q27" s="5">
        <v>24</v>
      </c>
      <c r="R27" s="5">
        <v>2</v>
      </c>
      <c r="S27" s="5">
        <v>140</v>
      </c>
      <c r="T27" s="12">
        <f t="shared" si="135"/>
        <v>150.36440844437786</v>
      </c>
      <c r="U27" s="5">
        <v>1.8919999999999999</v>
      </c>
      <c r="V27" s="5">
        <f t="shared" si="136"/>
        <v>526.51915561535009</v>
      </c>
      <c r="W27">
        <v>38</v>
      </c>
      <c r="X27" s="7">
        <v>30</v>
      </c>
      <c r="Y27">
        <v>5</v>
      </c>
      <c r="Z27">
        <v>50</v>
      </c>
      <c r="AA27" s="3">
        <f t="shared" si="65"/>
        <v>7.3529411764705885E-2</v>
      </c>
      <c r="AB27">
        <v>65</v>
      </c>
      <c r="AC27">
        <f t="shared" si="64"/>
        <v>104</v>
      </c>
      <c r="AF27">
        <v>10</v>
      </c>
      <c r="AG27">
        <v>10</v>
      </c>
      <c r="AK27" s="14" t="str">
        <f>CONCATENATE(VLOOKUP(AL27, 'Voxel Sizes'!$A$2:$B$18,2,FALSE),"x",INT(AH27*15), "x", INT(AI27*15))</f>
        <v>102x0x0</v>
      </c>
      <c r="AL27" s="14">
        <f t="shared" si="66"/>
        <v>6</v>
      </c>
      <c r="AM27" t="s">
        <v>403</v>
      </c>
      <c r="AN27" s="14" t="str">
        <f>CONCATENATE(VLOOKUP(AL27,Constants!$A$2:$C$16,IF(AM27&lt;&gt;"", 3, 2), FALSE),IF(AM27&lt;&gt;"",CONCATENATE(",",VLOOKUP(AM27,$B:$AN,39,FALSE)),""))</f>
        <v>2,2,2,2,1,2</v>
      </c>
      <c r="AV27">
        <v>1</v>
      </c>
      <c r="AX27">
        <v>34</v>
      </c>
      <c r="AY27" s="14">
        <f t="shared" si="67"/>
        <v>89</v>
      </c>
      <c r="BB27" s="16">
        <f t="shared" si="137"/>
        <v>13</v>
      </c>
      <c r="BC27" s="16">
        <f t="shared" si="138"/>
        <v>2.5</v>
      </c>
      <c r="BD27" s="16">
        <f t="shared" si="139"/>
        <v>2.5</v>
      </c>
      <c r="BE27" s="17">
        <f t="shared" si="140"/>
        <v>1</v>
      </c>
      <c r="BF27" s="16">
        <f t="shared" si="141"/>
        <v>0</v>
      </c>
      <c r="BG27" s="16">
        <f>VLOOKUP($H27,Constants!$I:$K, 2, FALSE)</f>
        <v>1.1499999999999999</v>
      </c>
      <c r="BH27" s="16">
        <f>VLOOKUP($H27,Constants!$I:$K, 3, FALSE)*IF(AND(G27="multiple_unit",AB27&lt;110),0.75,1)</f>
        <v>1.7</v>
      </c>
      <c r="BI27" s="16">
        <f>INT(POWER(((Constants!$G$2+$BB27+$BC27+$BD27+$BF27)*$BE27)*$BH27, 1.05))+$BA27</f>
        <v>46</v>
      </c>
      <c r="BJ27" s="16">
        <f>INT(POWER((((Constants!$G$1+$BB27+$BC27+$BD27+$BF27)*($BE27))*$BG27),IF($G27="wagon",1,1.2)))+$AZ27</f>
        <v>78</v>
      </c>
      <c r="BK27" s="19">
        <f t="shared" si="142"/>
        <v>35937.5</v>
      </c>
      <c r="BL27" s="19">
        <f t="shared" si="143"/>
        <v>6337.5</v>
      </c>
      <c r="BU27">
        <v>9</v>
      </c>
      <c r="BZ27" s="22" t="str">
        <f>VLOOKUP(J27,Eras!$A$2:$C$10, 2, TRUE)</f>
        <v>vct</v>
      </c>
      <c r="CA27" t="s">
        <v>63</v>
      </c>
      <c r="CB27" s="22" t="str">
        <f t="shared" si="75"/>
        <v>vct_Express</v>
      </c>
      <c r="CC27" s="22" t="str">
        <f t="shared" si="76"/>
        <v>steam_RAIL</v>
      </c>
      <c r="CD27" s="25" t="str" cm="1">
        <f t="array" ref="CD27">IF(AN27&lt;&gt;"na", _xlfn.CONCAT("{BLACK}Length: {GOLD}", TEXT(ROUNDUP(IF(AQ27&lt;&gt;"",SUM(VALUE(_xlfn.TEXTSPLIT(AQ27, ","))), SUM(VALUE(_xlfn.TEXTSPLIT(AN27, ",")))*IF(M27, M27, 1))/16, 1),"#,##0.0"), " tiles{}"), "")</f>
        <v>{BLACK}Length: {GOLD}0.7 tiles{}</v>
      </c>
      <c r="CE27" s="22" t="str">
        <f>VLOOKUP($CC27, Constants!$M:$N, 2, FALSE)</f>
        <v>{BLACK}Powered by: {GOLD}Steam</v>
      </c>
      <c r="CF27" s="22" t="str">
        <f t="shared" si="12"/>
        <v/>
      </c>
      <c r="CG27" t="s">
        <v>400</v>
      </c>
      <c r="CH27" t="str">
        <f t="shared" si="26"/>
        <v/>
      </c>
      <c r="CI27" t="str">
        <f t="shared" si="13"/>
        <v/>
      </c>
      <c r="CJ27" t="str">
        <f t="shared" si="27"/>
        <v>{BLACK}Powered by: {GOLD}Steam {}{BLACK}Length: {GOLD}0.7 tiles{}{SILVER}The Midland 156 class had a long career. It started as an express engine but as power outputs and speeds on the mainline increased it was relegated to increasingly minor duties, ending up being used on small branch lines.</v>
      </c>
    </row>
    <row r="28" spans="1:88" x14ac:dyDescent="0.35">
      <c r="A28" t="s">
        <v>358</v>
      </c>
      <c r="B28" t="s">
        <v>359</v>
      </c>
      <c r="C28">
        <v>871</v>
      </c>
      <c r="E28">
        <v>6</v>
      </c>
      <c r="F28" t="s">
        <v>486</v>
      </c>
      <c r="G28" t="s">
        <v>235</v>
      </c>
      <c r="H28" t="s">
        <v>25</v>
      </c>
      <c r="I28" t="s">
        <v>28</v>
      </c>
      <c r="J28">
        <v>1870</v>
      </c>
      <c r="L28">
        <v>1916</v>
      </c>
      <c r="N28">
        <v>650</v>
      </c>
      <c r="P28" s="5">
        <v>18</v>
      </c>
      <c r="Q28" s="5">
        <v>28</v>
      </c>
      <c r="R28" s="5">
        <v>2</v>
      </c>
      <c r="S28" s="5">
        <v>140</v>
      </c>
      <c r="T28" s="12">
        <f t="shared" si="135"/>
        <v>151.22954450296965</v>
      </c>
      <c r="U28" s="5">
        <v>2.46</v>
      </c>
      <c r="V28" s="5">
        <f t="shared" si="136"/>
        <v>692.62749445676275</v>
      </c>
      <c r="W28">
        <v>40</v>
      </c>
      <c r="X28" s="7">
        <v>30</v>
      </c>
      <c r="Y28">
        <v>5</v>
      </c>
      <c r="Z28">
        <v>50</v>
      </c>
      <c r="AA28" s="3">
        <f t="shared" si="65"/>
        <v>7.1428571428571425E-2</v>
      </c>
      <c r="AB28">
        <v>85</v>
      </c>
      <c r="AC28">
        <f t="shared" si="64"/>
        <v>136</v>
      </c>
      <c r="AF28">
        <v>15.4</v>
      </c>
      <c r="AG28">
        <v>12</v>
      </c>
      <c r="AK28" s="14" t="str">
        <f>CONCATENATE(VLOOKUP(AL28, 'Voxel Sizes'!$A$2:$B$18,2,FALSE),"x",INT(AH28*15), "x", INT(AI28*15))</f>
        <v>120x0x0</v>
      </c>
      <c r="AL28" s="14">
        <f t="shared" si="66"/>
        <v>7</v>
      </c>
      <c r="AM28" t="s">
        <v>361</v>
      </c>
      <c r="AN28" s="14" t="str">
        <f>CONCATENATE(VLOOKUP(AL28,Constants!$A$2:$C$16,IF(AM28&lt;&gt;"", 3, 2), FALSE),IF(AM28&lt;&gt;"",CONCATENATE(",",VLOOKUP(AM28,$B:$AN,39,FALSE)),""))</f>
        <v>2,3,2,2,1,2</v>
      </c>
      <c r="AV28">
        <v>1</v>
      </c>
      <c r="AX28">
        <v>31</v>
      </c>
      <c r="AY28" s="14">
        <f t="shared" si="67"/>
        <v>54</v>
      </c>
      <c r="BB28" s="16">
        <f t="shared" si="137"/>
        <v>17</v>
      </c>
      <c r="BC28" s="16">
        <f t="shared" si="138"/>
        <v>3.25</v>
      </c>
      <c r="BD28" s="16">
        <f t="shared" si="139"/>
        <v>2.5</v>
      </c>
      <c r="BE28" s="17">
        <f t="shared" si="140"/>
        <v>1</v>
      </c>
      <c r="BF28" s="16">
        <f t="shared" si="141"/>
        <v>0</v>
      </c>
      <c r="BG28" s="16">
        <f>VLOOKUP($H28,Constants!$I:$K, 2, FALSE)</f>
        <v>1.1499999999999999</v>
      </c>
      <c r="BH28" s="16">
        <f>VLOOKUP($H28,Constants!$I:$K, 3, FALSE)*IF(AND(G28="multiple_unit",AB28&lt;110),0.75,1)</f>
        <v>1.7</v>
      </c>
      <c r="BI28" s="16">
        <f>INT(POWER(((Constants!$G$2+$BB28+$BC28+$BD28+$BF28)*$BE28)*$BH28, 1.05))+$BA28</f>
        <v>57</v>
      </c>
      <c r="BJ28" s="16">
        <f>INT(POWER((((Constants!$G$1+$BB28+$BC28+$BD28+$BF28)*($BE28))*$BG28),IF($G28="wagon",1,1.2)))+$AZ28</f>
        <v>92</v>
      </c>
      <c r="BK28" s="19">
        <f t="shared" si="142"/>
        <v>44531.25</v>
      </c>
      <c r="BL28" s="19">
        <f t="shared" si="143"/>
        <v>7475</v>
      </c>
      <c r="BU28">
        <v>4</v>
      </c>
      <c r="BZ28" s="22" t="str">
        <f>VLOOKUP(J28,Eras!$A$2:$C$10, 2, TRUE)</f>
        <v>vct</v>
      </c>
      <c r="CA28" t="s">
        <v>63</v>
      </c>
      <c r="CB28" s="22" t="str">
        <f t="shared" si="75"/>
        <v>vct_Express</v>
      </c>
      <c r="CC28" s="22" t="str">
        <f t="shared" si="76"/>
        <v>steam_RAIL</v>
      </c>
      <c r="CD28" s="25" t="str" cm="1">
        <f t="array" ref="CD28">IF(AN28&lt;&gt;"na", _xlfn.CONCAT("{BLACK}Length: {GOLD}", TEXT(ROUNDUP(IF(AQ28&lt;&gt;"",SUM(VALUE(_xlfn.TEXTSPLIT(AQ28, ","))), SUM(VALUE(_xlfn.TEXTSPLIT(AN28, ",")))*IF(M28, M28, 1))/16, 1),"#,##0.0"), " tiles{}"), "")</f>
        <v>{BLACK}Length: {GOLD}0.8 tiles{}</v>
      </c>
      <c r="CE28" s="22" t="str">
        <f>VLOOKUP($CC28, Constants!$M:$N, 2, FALSE)</f>
        <v>{BLACK}Powered by: {GOLD}Steam</v>
      </c>
      <c r="CF28" s="22" t="str">
        <f t="shared" si="12"/>
        <v/>
      </c>
      <c r="CG28" t="s">
        <v>362</v>
      </c>
      <c r="CH28" t="str">
        <f t="shared" si="26"/>
        <v/>
      </c>
      <c r="CI28" t="str">
        <f t="shared" si="13"/>
        <v/>
      </c>
      <c r="CJ28" t="str">
        <f t="shared" si="27"/>
        <v>{BLACK}Powered by: {GOLD}Steam {}{BLACK}Length: {GOLD}0.8 tiles{}{SILVER}Patrick Stirling's "singles" (also known as "eight footers" due to the large driving wheels) were designed to haul heavy express trains.</v>
      </c>
    </row>
    <row r="29" spans="1:88" ht="13.9" customHeight="1" x14ac:dyDescent="0.35">
      <c r="A29" t="s">
        <v>513</v>
      </c>
      <c r="B29" t="s">
        <v>514</v>
      </c>
      <c r="C29">
        <v>872</v>
      </c>
      <c r="E29">
        <v>7</v>
      </c>
      <c r="F29" t="s">
        <v>486</v>
      </c>
      <c r="G29" t="s">
        <v>235</v>
      </c>
      <c r="H29" t="s">
        <v>25</v>
      </c>
      <c r="I29" t="s">
        <v>28</v>
      </c>
      <c r="J29">
        <v>1887</v>
      </c>
      <c r="L29">
        <v>1934</v>
      </c>
      <c r="N29">
        <v>620</v>
      </c>
      <c r="P29" s="5">
        <v>17</v>
      </c>
      <c r="Q29" s="5">
        <v>24</v>
      </c>
      <c r="R29" s="5">
        <v>2</v>
      </c>
      <c r="S29" s="5">
        <v>150</v>
      </c>
      <c r="T29" s="12">
        <f t="shared" si="135"/>
        <v>165.7027108162716</v>
      </c>
      <c r="U29" s="5">
        <v>1.9810000000000001</v>
      </c>
      <c r="V29" s="5">
        <f t="shared" si="136"/>
        <v>621.67293836905128</v>
      </c>
      <c r="W29">
        <v>34</v>
      </c>
      <c r="X29" s="7">
        <v>30</v>
      </c>
      <c r="Z29">
        <v>49</v>
      </c>
      <c r="AA29" s="3">
        <f>IF(AND(W29&gt;0,Z29&gt;0),(Z29/((W29+X29)*10)),"")</f>
        <v>7.6562500000000006E-2</v>
      </c>
      <c r="AB29">
        <v>75</v>
      </c>
      <c r="AC29">
        <f t="shared" ref="AC29" si="153">ROUND(AB29*1.6, 0)</f>
        <v>120</v>
      </c>
      <c r="AF29">
        <v>10</v>
      </c>
      <c r="AG29">
        <v>10</v>
      </c>
      <c r="AK29" s="14" t="str">
        <f>CONCATENATE(VLOOKUP(AL29, 'Voxel Sizes'!$A$2:$B$18,2,FALSE),"x",INT(AH29*15), "x", INT(AI29*15))</f>
        <v>102x0x0</v>
      </c>
      <c r="AL29" s="14">
        <f t="shared" si="66"/>
        <v>6</v>
      </c>
      <c r="AM29" t="s">
        <v>380</v>
      </c>
      <c r="AN29" s="14" t="str">
        <f>CONCATENATE(VLOOKUP(AL29,Constants!$A$2:$C$16,IF(AM29&lt;&gt;"", 3, 2), FALSE),IF(AM29&lt;&gt;"",CONCATENATE(",",VLOOKUP(AM29,$B:$AN,39,FALSE)),""))</f>
        <v>2,2,2,2,1,2</v>
      </c>
      <c r="AV29">
        <v>1</v>
      </c>
      <c r="AX29">
        <v>32</v>
      </c>
      <c r="AY29" s="14">
        <f>IF(L29&lt;&gt;"",MAX(16,(L29-J29)+8),"")</f>
        <v>55</v>
      </c>
      <c r="BB29" s="16">
        <f t="shared" si="137"/>
        <v>15</v>
      </c>
      <c r="BC29" s="16">
        <f t="shared" si="138"/>
        <v>3.1</v>
      </c>
      <c r="BD29" s="16">
        <f t="shared" si="139"/>
        <v>2.4500000000000002</v>
      </c>
      <c r="BE29" s="17">
        <f t="shared" si="140"/>
        <v>1</v>
      </c>
      <c r="BF29" s="16">
        <f t="shared" si="141"/>
        <v>0</v>
      </c>
      <c r="BG29" s="16">
        <f>VLOOKUP($H29,Constants!$I:$K, 2, FALSE)</f>
        <v>1.1499999999999999</v>
      </c>
      <c r="BH29" s="16">
        <f>VLOOKUP($H29,Constants!$I:$K, 3, FALSE)*IF(AND(G29="multiple_unit",AB29&lt;110),0.75,1)</f>
        <v>1.7</v>
      </c>
      <c r="BI29" s="16">
        <f>INT(POWER(((Constants!$G$2+$BB29+$BC29+$BD29+$BF29)*$BE29)*$BH29, 1.05))+$BA29</f>
        <v>52</v>
      </c>
      <c r="BJ29" s="16">
        <f>INT(POWER((((Constants!$G$1+$BB29+$BC29+$BD29+$BF29)*($BE29))*$BG29),IF($G29="wagon",1,1.2)))+$AZ29</f>
        <v>85</v>
      </c>
      <c r="BK29" s="19">
        <f t="shared" si="142"/>
        <v>40625</v>
      </c>
      <c r="BL29" s="19">
        <f t="shared" si="143"/>
        <v>6906.25</v>
      </c>
      <c r="BU29">
        <v>7</v>
      </c>
      <c r="BZ29" t="s">
        <v>52</v>
      </c>
      <c r="CA29" t="s">
        <v>63</v>
      </c>
      <c r="CB29" t="str">
        <f>CONCATENATE(BZ29,"_",CA29)</f>
        <v>early_Express</v>
      </c>
      <c r="CC29" t="str">
        <f>_xlfn.CONCAT(H29, "_",I29)</f>
        <v>steam_RAIL</v>
      </c>
      <c r="CD29" s="25" t="str" cm="1">
        <f t="array" ref="CD29">IF(AN29&lt;&gt;"na", _xlfn.CONCAT("{BLACK}Length: {GOLD}", TEXT(ROUNDUP(IF(AQ29&lt;&gt;"",SUM(VALUE(_xlfn.TEXTSPLIT(AQ29, ","))), SUM(VALUE(_xlfn.TEXTSPLIT(AN29, ",")))*IF(M29, M29, 1))/16, 1),"#,##0.0"), " tiles{}"), "")</f>
        <v>{BLACK}Length: {GOLD}0.7 tiles{}</v>
      </c>
      <c r="CE29" s="22" t="str">
        <f>VLOOKUP($CC29, Constants!$M:$N, 2, FALSE)</f>
        <v>{BLACK}Powered by: {GOLD}Steam</v>
      </c>
      <c r="CF29" s="22" t="str">
        <f t="shared" si="12"/>
        <v/>
      </c>
      <c r="CG29" t="s">
        <v>518</v>
      </c>
      <c r="CH29" t="str">
        <f t="shared" si="26"/>
        <v/>
      </c>
      <c r="CI29" t="str">
        <f t="shared" si="13"/>
        <v/>
      </c>
      <c r="CJ29" t="str">
        <f t="shared" si="27"/>
        <v>{BLACK}Powered by: {GOLD}Steam {}{BLACK}Length: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30" spans="1:88" x14ac:dyDescent="0.35">
      <c r="A30" t="s">
        <v>364</v>
      </c>
      <c r="B30" t="s">
        <v>363</v>
      </c>
      <c r="C30">
        <v>981</v>
      </c>
      <c r="E30">
        <v>8</v>
      </c>
      <c r="F30" t="s">
        <v>486</v>
      </c>
      <c r="G30" t="s">
        <v>235</v>
      </c>
      <c r="H30" t="s">
        <v>25</v>
      </c>
      <c r="I30" t="s">
        <v>28</v>
      </c>
      <c r="J30">
        <v>1898</v>
      </c>
      <c r="L30">
        <v>1946</v>
      </c>
      <c r="N30">
        <v>950</v>
      </c>
      <c r="P30" s="5">
        <v>18.75</v>
      </c>
      <c r="Q30" s="5">
        <v>24</v>
      </c>
      <c r="R30" s="5">
        <v>2</v>
      </c>
      <c r="S30" s="5">
        <v>170</v>
      </c>
      <c r="T30" s="12">
        <f t="shared" si="135"/>
        <v>196.95424207622048</v>
      </c>
      <c r="U30" s="5">
        <v>2</v>
      </c>
      <c r="V30" s="5">
        <f t="shared" si="136"/>
        <v>1018.732244318182</v>
      </c>
      <c r="W30">
        <v>60</v>
      </c>
      <c r="X30" s="7">
        <v>30</v>
      </c>
      <c r="Y30">
        <v>5</v>
      </c>
      <c r="Z30">
        <v>68</v>
      </c>
      <c r="AA30" s="3">
        <f t="shared" si="65"/>
        <v>7.5555555555555556E-2</v>
      </c>
      <c r="AB30">
        <v>90</v>
      </c>
      <c r="AC30">
        <f t="shared" si="64"/>
        <v>144</v>
      </c>
      <c r="AF30">
        <v>15.4</v>
      </c>
      <c r="AG30">
        <v>12</v>
      </c>
      <c r="AK30" s="14" t="str">
        <f>CONCATENATE(VLOOKUP(AL30, 'Voxel Sizes'!$A$2:$B$18,2,FALSE),"x",INT(AH30*15), "x", INT(AI30*15))</f>
        <v>120x0x0</v>
      </c>
      <c r="AL30" s="14">
        <f t="shared" si="66"/>
        <v>7</v>
      </c>
      <c r="AM30" t="s">
        <v>361</v>
      </c>
      <c r="AN30" s="14" t="str">
        <f>CONCATENATE(VLOOKUP(AL30,Constants!$A$2:$C$16,IF(AM30&lt;&gt;"", 3, 2), FALSE),IF(AM30&lt;&gt;"",CONCATENATE(",",VLOOKUP(AM30,$B:$AN,39,FALSE)),""))</f>
        <v>2,3,2,2,1,2</v>
      </c>
      <c r="AV30">
        <v>1</v>
      </c>
      <c r="AX30">
        <v>29</v>
      </c>
      <c r="AY30" s="14">
        <f t="shared" si="67"/>
        <v>56</v>
      </c>
      <c r="BB30" s="16">
        <f t="shared" si="137"/>
        <v>18</v>
      </c>
      <c r="BC30" s="16">
        <f t="shared" si="138"/>
        <v>4.75</v>
      </c>
      <c r="BD30" s="16">
        <f t="shared" si="139"/>
        <v>3.4000000000000004</v>
      </c>
      <c r="BE30" s="17">
        <f t="shared" si="140"/>
        <v>1</v>
      </c>
      <c r="BF30" s="16">
        <f t="shared" si="141"/>
        <v>0</v>
      </c>
      <c r="BG30" s="16">
        <f>VLOOKUP($H30,Constants!$I:$K, 2, FALSE)</f>
        <v>1.1499999999999999</v>
      </c>
      <c r="BH30" s="16">
        <f>VLOOKUP($H30,Constants!$I:$K, 3, FALSE)*IF(AND(G30="multiple_unit",AB30&lt;110),0.75,1)</f>
        <v>1.7</v>
      </c>
      <c r="BI30" s="16">
        <f>INT(POWER(((Constants!$G$2+$BB30+$BC30+$BD30+$BF30)*$BE30)*$BH30, 1.05))+$BA30</f>
        <v>64</v>
      </c>
      <c r="BJ30" s="16">
        <f>INT(POWER((((Constants!$G$1+$BB30+$BC30+$BD30+$BF30)*($BE30))*$BG30),IF($G30="wagon",1,1.2)))+$AZ30</f>
        <v>102</v>
      </c>
      <c r="BK30" s="19">
        <f t="shared" si="142"/>
        <v>50000</v>
      </c>
      <c r="BL30" s="19">
        <f t="shared" si="143"/>
        <v>8287.5</v>
      </c>
      <c r="BU30">
        <v>3</v>
      </c>
      <c r="BZ30" s="22" t="str">
        <f>VLOOKUP(J30,Eras!$A$2:$C$10, 2, TRUE)</f>
        <v>vct</v>
      </c>
      <c r="CA30" t="s">
        <v>63</v>
      </c>
      <c r="CB30" s="22" t="str">
        <f t="shared" si="75"/>
        <v>vct_Express</v>
      </c>
      <c r="CC30" s="22" t="str">
        <f t="shared" si="76"/>
        <v>steam_RAIL</v>
      </c>
      <c r="CD30" s="25" t="str" cm="1">
        <f t="array" ref="CD30">IF(AN30&lt;&gt;"na", _xlfn.CONCAT("{BLACK}Length: {GOLD}", TEXT(ROUNDUP(IF(AQ30&lt;&gt;"",SUM(VALUE(_xlfn.TEXTSPLIT(AQ30, ","))), SUM(VALUE(_xlfn.TEXTSPLIT(AN30, ",")))*IF(M30, M30, 1))/16, 1),"#,##0.0"), " tiles{}"), "")</f>
        <v>{BLACK}Length: {GOLD}0.8 tiles{}</v>
      </c>
      <c r="CE30" s="22" t="str">
        <f>VLOOKUP($CC30, Constants!$M:$N, 2, FALSE)</f>
        <v>{BLACK}Powered by: {GOLD}Steam</v>
      </c>
      <c r="CF30" s="22" t="str">
        <f t="shared" si="12"/>
        <v/>
      </c>
      <c r="CG30" t="s">
        <v>365</v>
      </c>
      <c r="CH30" t="str">
        <f t="shared" si="26"/>
        <v/>
      </c>
      <c r="CI30" t="str">
        <f t="shared" si="13"/>
        <v/>
      </c>
      <c r="CJ30" t="str">
        <f t="shared" si="27"/>
        <v>{BLACK}Powered by: {GOLD}Steam {}{BLACK}Length: {GOLD}0.8 tiles{}{SILVER}Henry Ivatt introduced the 4-4-2 Atlantic type to the UK with this design, nicknamed "Klondyke" after the peak of the Klondike Gold Rush of the previous year.</v>
      </c>
    </row>
    <row r="31" spans="1:88" x14ac:dyDescent="0.35">
      <c r="A31" t="s">
        <v>415</v>
      </c>
      <c r="B31" t="s">
        <v>416</v>
      </c>
      <c r="C31">
        <v>180</v>
      </c>
      <c r="E31">
        <v>9</v>
      </c>
      <c r="G31" t="s">
        <v>15</v>
      </c>
      <c r="H31" t="s">
        <v>25</v>
      </c>
      <c r="I31" t="s">
        <v>28</v>
      </c>
      <c r="J31">
        <v>1891</v>
      </c>
      <c r="L31">
        <v>1915</v>
      </c>
      <c r="N31">
        <v>800</v>
      </c>
      <c r="T31" s="12"/>
      <c r="W31">
        <v>46</v>
      </c>
      <c r="X31" s="7">
        <v>41</v>
      </c>
      <c r="Z31">
        <v>75</v>
      </c>
      <c r="AA31" s="3">
        <f>IF(AND(W31&gt;0,Z31&gt;0),(Z31/((W31+X31)*10)),"")</f>
        <v>8.6206896551724144E-2</v>
      </c>
      <c r="AB31">
        <v>80</v>
      </c>
      <c r="AC31">
        <f t="shared" si="64"/>
        <v>128</v>
      </c>
      <c r="AF31">
        <v>11</v>
      </c>
      <c r="AG31">
        <v>11</v>
      </c>
      <c r="AJ31" s="9">
        <v>0</v>
      </c>
      <c r="AK31" t="s">
        <v>444</v>
      </c>
      <c r="AL31">
        <f>ROUND(15*((AG31*10)/256),0)</f>
        <v>6</v>
      </c>
      <c r="AM31" t="s">
        <v>417</v>
      </c>
      <c r="AN31" s="14" t="str">
        <f>CONCATENATE(VLOOKUP(AL31,Constants!$A$2:$C$16,IF(AM31&lt;&gt;"", 3, 2), FALSE),IF(AM31&lt;&gt;"",CONCATENATE(",",VLOOKUP(AM31,$B:$AN,39,FALSE)),""))</f>
        <v>2,2,2,2,1,2</v>
      </c>
      <c r="AX31">
        <v>24</v>
      </c>
      <c r="AY31" s="14">
        <f>IF(L31&lt;&gt;"",MAX(16,(L31-J31)+8),"")</f>
        <v>32</v>
      </c>
      <c r="BB31" s="16">
        <f t="shared" si="137"/>
        <v>16</v>
      </c>
      <c r="BC31" s="16">
        <f t="shared" si="138"/>
        <v>4</v>
      </c>
      <c r="BD31" s="16">
        <f t="shared" si="139"/>
        <v>3.75</v>
      </c>
      <c r="BE31" s="17">
        <f t="shared" si="140"/>
        <v>1</v>
      </c>
      <c r="BF31" s="16">
        <f t="shared" si="141"/>
        <v>0</v>
      </c>
      <c r="BG31" s="16">
        <f>VLOOKUP($H31,Constants!$I:$K, 2, FALSE)</f>
        <v>1.1499999999999999</v>
      </c>
      <c r="BH31" s="16">
        <f>VLOOKUP($H31,Constants!$I:$K, 3, FALSE)*IF(AND(G31="multiple_unit",AB31&lt;110),0.75,1)</f>
        <v>1.7</v>
      </c>
      <c r="BI31" s="16">
        <f>INT(POWER(((Constants!$G$2+$BB31+$BC31+$BD31+$BF31)*$BE31)*$BH31, 1.05))+$BA31</f>
        <v>59</v>
      </c>
      <c r="BJ31" s="16">
        <f>INT(POWER((((Constants!$G$1+$BB31+$BC31+$BD31+$BF31)*($BE31))*$BG31),IF($G31="wagon",1,1.2)))+$AZ31</f>
        <v>95</v>
      </c>
      <c r="BK31" s="19">
        <f t="shared" si="142"/>
        <v>46093.75</v>
      </c>
      <c r="BL31" s="19">
        <f t="shared" si="143"/>
        <v>7718.75</v>
      </c>
      <c r="BU31">
        <v>5</v>
      </c>
      <c r="BZ31" t="s">
        <v>94</v>
      </c>
      <c r="CA31" t="s">
        <v>63</v>
      </c>
      <c r="CB31" t="str">
        <f>CONCATENATE(BZ31,"_",CA31)</f>
        <v>vct_Express</v>
      </c>
      <c r="CC31" t="str">
        <f>_xlfn.CONCAT(H31, "_",I31)</f>
        <v>steam_RAIL</v>
      </c>
      <c r="CD31" s="25" t="str" cm="1">
        <f t="array" ref="CD31">IF(AN31&lt;&gt;"na", _xlfn.CONCAT("{BLACK}Length: {GOLD}", TEXT(ROUNDUP(IF(AQ31&lt;&gt;"",SUM(VALUE(_xlfn.TEXTSPLIT(AQ31, ","))), SUM(VALUE(_xlfn.TEXTSPLIT(AN31, ",")))*IF(M31, M31, 1))/16, 1),"#,##0.0"), " tiles{}"), "")</f>
        <v>{BLACK}Length: {GOLD}0.7 tiles{}</v>
      </c>
      <c r="CE31" s="22" t="str">
        <f>VLOOKUP($CC31, Constants!$M:$N, 2, FALSE)</f>
        <v>{BLACK}Powered by: {GOLD}Steam</v>
      </c>
      <c r="CF31" s="22" t="str">
        <f t="shared" si="12"/>
        <v/>
      </c>
      <c r="CG31" t="s">
        <v>418</v>
      </c>
      <c r="CH31" t="str">
        <f t="shared" si="26"/>
        <v/>
      </c>
      <c r="CI31" t="str">
        <f t="shared" si="13"/>
        <v/>
      </c>
      <c r="CJ31" t="str">
        <f t="shared" si="27"/>
        <v>{BLACK}Powered by: {GOLD}Steam {}{BLACK}Length: {GOLD}0.7 tiles{}{SILVER}William Dean's 3001 class was the last of the GWR's 2-2-2 singles. They were rebuilt early on with a 4-2-2 layout to prevent derailments caused by the heavy front axle load.</v>
      </c>
    </row>
    <row r="32" spans="1:88" x14ac:dyDescent="0.35">
      <c r="A32" t="s">
        <v>236</v>
      </c>
      <c r="B32" t="s">
        <v>237</v>
      </c>
      <c r="C32">
        <v>991</v>
      </c>
      <c r="E32">
        <v>10</v>
      </c>
      <c r="F32" t="s">
        <v>486</v>
      </c>
      <c r="G32" t="s">
        <v>235</v>
      </c>
      <c r="H32" t="s">
        <v>25</v>
      </c>
      <c r="I32" t="s">
        <v>28</v>
      </c>
      <c r="J32">
        <v>1899</v>
      </c>
      <c r="L32">
        <v>1933</v>
      </c>
      <c r="N32">
        <v>180</v>
      </c>
      <c r="P32" s="5">
        <v>11.5</v>
      </c>
      <c r="Q32" s="5">
        <v>18</v>
      </c>
      <c r="R32" s="5">
        <v>2</v>
      </c>
      <c r="S32" s="5">
        <v>175</v>
      </c>
      <c r="T32" s="12">
        <f t="shared" si="135"/>
        <v>128.72826279491534</v>
      </c>
      <c r="U32" s="5">
        <v>1.7</v>
      </c>
      <c r="V32" s="5">
        <f t="shared" si="136"/>
        <v>193.38026403743311</v>
      </c>
      <c r="W32">
        <v>38</v>
      </c>
      <c r="Y32">
        <v>5</v>
      </c>
      <c r="Z32">
        <v>24</v>
      </c>
      <c r="AA32" s="3">
        <f t="shared" si="65"/>
        <v>6.3157894736842107E-2</v>
      </c>
      <c r="AB32">
        <v>50</v>
      </c>
      <c r="AC32">
        <f t="shared" si="64"/>
        <v>80</v>
      </c>
      <c r="AF32">
        <v>10.9</v>
      </c>
      <c r="AG32">
        <v>12</v>
      </c>
      <c r="AJ32" s="9">
        <v>12</v>
      </c>
      <c r="AK32" s="14" t="str">
        <f>CONCATENATE(VLOOKUP(AL32, 'Voxel Sizes'!$A$2:$B$18,2,FALSE),"x",INT(AH32*15), "x", INT(AI32*15))</f>
        <v>120x0x0</v>
      </c>
      <c r="AL32" s="14">
        <f t="shared" si="66"/>
        <v>7</v>
      </c>
      <c r="AN32" s="14" t="str">
        <f>CONCATENATE(VLOOKUP(AL32,Constants!$A$2:$C$16,IF(AM32&lt;&gt;"", 3, 2), FALSE),IF(AM32&lt;&gt;"",CONCATENATE(",",VLOOKUP(AM32,$B:$AN,39,FALSE)),""))</f>
        <v>2,3,2</v>
      </c>
      <c r="AV32">
        <v>1</v>
      </c>
      <c r="AX32">
        <v>26</v>
      </c>
      <c r="AY32" s="14">
        <f t="shared" si="67"/>
        <v>42</v>
      </c>
      <c r="AZ32">
        <v>-14</v>
      </c>
      <c r="BA32">
        <v>-4</v>
      </c>
      <c r="BB32" s="16">
        <f t="shared" si="137"/>
        <v>10</v>
      </c>
      <c r="BC32" s="16">
        <f t="shared" si="138"/>
        <v>0.89999999999999991</v>
      </c>
      <c r="BD32" s="16">
        <f t="shared" si="139"/>
        <v>1.2</v>
      </c>
      <c r="BE32" s="17">
        <f t="shared" si="140"/>
        <v>1</v>
      </c>
      <c r="BF32" s="16">
        <f t="shared" si="141"/>
        <v>0.4</v>
      </c>
      <c r="BG32" s="16">
        <f>VLOOKUP($H32,Constants!$I:$K, 2, FALSE)</f>
        <v>1.1499999999999999</v>
      </c>
      <c r="BH32" s="16">
        <f>VLOOKUP($H32,Constants!$I:$K, 3, FALSE)*IF(AND(G32="multiple_unit",AB32&lt;110),0.75,1)</f>
        <v>1.7</v>
      </c>
      <c r="BI32" s="16">
        <f>INT(POWER(((Constants!$G$2+$BB32+$BC32+$BD32+$BF32)*$BE32)*$BH32, 1.05))+$BA32</f>
        <v>31</v>
      </c>
      <c r="BJ32" s="16">
        <f>INT(POWER((((Constants!$G$1+$BB32+$BC32+$BD32+$BF32)*($BE32))*$BG32),IF($G32="wagon",1,1.2)))+$AZ32</f>
        <v>49</v>
      </c>
      <c r="BK32" s="19">
        <f t="shared" si="142"/>
        <v>24218.75</v>
      </c>
      <c r="BL32" s="19">
        <f t="shared" si="143"/>
        <v>3981.25</v>
      </c>
      <c r="BU32">
        <v>4</v>
      </c>
      <c r="BX32" t="s">
        <v>142</v>
      </c>
      <c r="BY32" t="s">
        <v>34</v>
      </c>
      <c r="BZ32" s="22" t="str">
        <f>VLOOKUP(J32,Eras!$A$2:$C$10, 2, TRUE)</f>
        <v>vct</v>
      </c>
      <c r="CA32" t="s">
        <v>61</v>
      </c>
      <c r="CB32" s="22" t="str">
        <f t="shared" si="75"/>
        <v>vct_Cheap</v>
      </c>
      <c r="CC32" s="22" t="str">
        <f t="shared" si="76"/>
        <v>steam_RAIL</v>
      </c>
      <c r="CD32" s="25" t="str" cm="1">
        <f t="array" ref="CD32">IF(AN32&lt;&gt;"na", _xlfn.CONCAT("{BLACK}Length: {GOLD}", TEXT(ROUNDUP(IF(AQ32&lt;&gt;"",SUM(VALUE(_xlfn.TEXTSPLIT(AQ32, ","))), SUM(VALUE(_xlfn.TEXTSPLIT(AN32, ",")))*IF(M32, M32, 1))/16, 1),"#,##0.0"), " tiles{}"), "")</f>
        <v>{BLACK}Length: {GOLD}0.5 tiles{}</v>
      </c>
      <c r="CE32" s="22" t="str">
        <f>VLOOKUP($CC32, Constants!$M:$N, 2, FALSE)</f>
        <v>{BLACK}Powered by: {GOLD}Steam</v>
      </c>
      <c r="CF32" s="22" t="str">
        <f t="shared" si="12"/>
        <v/>
      </c>
      <c r="CG32" t="s">
        <v>238</v>
      </c>
      <c r="CH32" t="str">
        <f t="shared" si="26"/>
        <v/>
      </c>
      <c r="CI32" t="str">
        <f t="shared" si="13"/>
        <v/>
      </c>
      <c r="CJ32" t="str">
        <f t="shared" si="27"/>
        <v>{BLACK}Powered by: {GOLD}Steam {}{BLACK}Length: {GOLD}0.5 tiles{}{SILVER}The F9 was Dugald Drummond's personal locomotive, allowing him to travel across the LSWR for inspections. After Drummond it only saw occasional use at Southampton Docks.</v>
      </c>
    </row>
    <row r="33" spans="1:88" x14ac:dyDescent="0.35">
      <c r="A33" t="s">
        <v>419</v>
      </c>
      <c r="B33" t="s">
        <v>420</v>
      </c>
      <c r="C33">
        <v>992</v>
      </c>
      <c r="E33">
        <v>11</v>
      </c>
      <c r="G33" t="s">
        <v>15</v>
      </c>
      <c r="H33" t="s">
        <v>25</v>
      </c>
      <c r="I33" t="s">
        <v>28</v>
      </c>
      <c r="J33">
        <v>1899</v>
      </c>
      <c r="AA33" s="3" t="str">
        <f>IF(AND(W33&gt;0,Z33&gt;0),(Z33/((W33+X33)*10)),"")</f>
        <v/>
      </c>
      <c r="AC33">
        <f t="shared" si="64"/>
        <v>0</v>
      </c>
      <c r="AJ33" s="9">
        <v>0</v>
      </c>
      <c r="AK33" t="s">
        <v>445</v>
      </c>
      <c r="AL33">
        <f>ROUND(15*((AG33*10)/256),0)</f>
        <v>0</v>
      </c>
      <c r="AN33" s="14" t="str">
        <f>CONCATENATE(VLOOKUP(AL33,Constants!$A$2:$C$16,IF(AM33&lt;&gt;"", 3, 2), FALSE),IF(AM33&lt;&gt;"",CONCATENATE(",",VLOOKUP(AM33,$B:$AN,39,FALSE)),""))</f>
        <v>na</v>
      </c>
      <c r="AX33">
        <v>30</v>
      </c>
      <c r="AY33" s="14" t="str">
        <f>IF(L33&lt;&gt;"",MAX(16,(L33-J33)+8),"")</f>
        <v/>
      </c>
      <c r="BB33" s="16">
        <f t="shared" si="137"/>
        <v>0</v>
      </c>
      <c r="BC33" s="16">
        <f t="shared" si="138"/>
        <v>0</v>
      </c>
      <c r="BD33" s="16">
        <f t="shared" si="139"/>
        <v>0</v>
      </c>
      <c r="BE33" s="17">
        <f t="shared" si="140"/>
        <v>1</v>
      </c>
      <c r="BF33" s="16">
        <f t="shared" si="141"/>
        <v>0</v>
      </c>
      <c r="BG33" s="16">
        <f>VLOOKUP($H33,Constants!$I:$K, 2, FALSE)</f>
        <v>1.1499999999999999</v>
      </c>
      <c r="BH33" s="16">
        <f>VLOOKUP($H33,Constants!$I:$K, 3, FALSE)*IF(AND(G33="multiple_unit",AB33&lt;110),0.75,1)</f>
        <v>1.7</v>
      </c>
      <c r="BI33" s="16">
        <f>INT(POWER(((Constants!$G$2+$BB33+$BC33+$BD33+$BF33)*$BE33)*$BH33, 1.05))+$BA33</f>
        <v>9</v>
      </c>
      <c r="BJ33" s="16">
        <f>INT(POWER((((Constants!$G$1+$BB33+$BC33+$BD33+$BF33)*($BE33))*$BG33),IF($G33="wagon",1,1.2)))+$AZ33</f>
        <v>30</v>
      </c>
      <c r="BK33" s="19">
        <f t="shared" si="142"/>
        <v>7031.25</v>
      </c>
      <c r="BL33" s="19">
        <f t="shared" si="143"/>
        <v>2437.5</v>
      </c>
      <c r="BU33">
        <v>8</v>
      </c>
      <c r="BZ33" t="s">
        <v>94</v>
      </c>
      <c r="CB33" t="str">
        <f>CONCATENATE(BZ33,"_",CA33)</f>
        <v>vct_</v>
      </c>
      <c r="CC33" t="str">
        <f>_xlfn.CONCAT(H33, "_",I33)</f>
        <v>steam_RAIL</v>
      </c>
      <c r="CD33" s="25" t="str" cm="1">
        <f t="array" ref="CD33">IF(AN33&lt;&gt;"na", _xlfn.CONCAT("{BLACK}Length: {GOLD}", TEXT(ROUNDUP(IF(AQ33&lt;&gt;"",SUM(VALUE(_xlfn.TEXTSPLIT(AQ33, ","))), SUM(VALUE(_xlfn.TEXTSPLIT(AN33, ",")))*IF(M33, M33, 1))/16, 1),"#,##0.0"), " tiles{}"), "")</f>
        <v/>
      </c>
      <c r="CE33" s="22" t="str">
        <f>VLOOKUP($CC33, Constants!$M:$N, 2, FALSE)</f>
        <v>{BLACK}Powered by: {GOLD}Steam</v>
      </c>
      <c r="CF33" s="22" t="str">
        <f t="shared" si="12"/>
        <v/>
      </c>
      <c r="CH33" t="str">
        <f t="shared" si="26"/>
        <v/>
      </c>
      <c r="CI33" t="str">
        <f t="shared" si="13"/>
        <v/>
      </c>
      <c r="CJ33" t="str">
        <f t="shared" si="27"/>
        <v>{BLACK}Powered by: {GOLD}Steam {}{SILVER}</v>
      </c>
    </row>
    <row r="34" spans="1:88" x14ac:dyDescent="0.35">
      <c r="A34" t="s">
        <v>373</v>
      </c>
      <c r="B34" t="s">
        <v>374</v>
      </c>
      <c r="C34">
        <v>1021</v>
      </c>
      <c r="E34">
        <v>12</v>
      </c>
      <c r="F34" t="s">
        <v>486</v>
      </c>
      <c r="G34" t="s">
        <v>235</v>
      </c>
      <c r="H34" t="s">
        <v>25</v>
      </c>
      <c r="I34" t="s">
        <v>28</v>
      </c>
      <c r="J34">
        <v>1902</v>
      </c>
      <c r="L34">
        <v>1924</v>
      </c>
      <c r="N34">
        <v>1000</v>
      </c>
      <c r="P34" s="5">
        <v>18.5</v>
      </c>
      <c r="Q34" s="5">
        <v>24</v>
      </c>
      <c r="R34" s="5">
        <v>3</v>
      </c>
      <c r="S34" s="5">
        <v>200</v>
      </c>
      <c r="T34" s="12">
        <f t="shared" si="135"/>
        <v>111.81506038390457</v>
      </c>
      <c r="U34" s="5">
        <v>1.37</v>
      </c>
      <c r="V34" s="5">
        <f t="shared" si="136"/>
        <v>993.59240212342422</v>
      </c>
      <c r="W34">
        <v>81</v>
      </c>
      <c r="Y34">
        <v>5</v>
      </c>
      <c r="Z34">
        <v>173</v>
      </c>
      <c r="AA34" s="3">
        <f t="shared" si="65"/>
        <v>0.21358024691358024</v>
      </c>
      <c r="AB34">
        <v>35</v>
      </c>
      <c r="AC34">
        <f t="shared" si="64"/>
        <v>56</v>
      </c>
      <c r="AF34">
        <v>12</v>
      </c>
      <c r="AG34">
        <v>12</v>
      </c>
      <c r="AK34" s="14" t="str">
        <f>CONCATENATE(VLOOKUP(AL34, 'Voxel Sizes'!$A$2:$B$18,2,FALSE),"x",INT(AH34*15), "x", INT(AI34*15))</f>
        <v>120x0x0</v>
      </c>
      <c r="AL34" s="14">
        <f t="shared" si="66"/>
        <v>7</v>
      </c>
      <c r="AN34" s="14" t="str">
        <f>CONCATENATE(VLOOKUP(AL34,Constants!$A$2:$C$16,IF(AM34&lt;&gt;"", 3, 2), FALSE),IF(AM34&lt;&gt;"",CONCATENATE(",",VLOOKUP(AM34,$B:$AN,39,FALSE)),""))</f>
        <v>2,3,2</v>
      </c>
      <c r="AV34">
        <v>1</v>
      </c>
      <c r="AX34">
        <v>18</v>
      </c>
      <c r="AY34" s="14">
        <f t="shared" si="67"/>
        <v>30</v>
      </c>
      <c r="AZ34">
        <v>4</v>
      </c>
      <c r="BB34" s="16">
        <f t="shared" si="137"/>
        <v>7</v>
      </c>
      <c r="BC34" s="16">
        <f t="shared" si="138"/>
        <v>5</v>
      </c>
      <c r="BD34" s="16">
        <f t="shared" si="139"/>
        <v>8.65</v>
      </c>
      <c r="BE34" s="17">
        <f t="shared" si="140"/>
        <v>0.99733333333333329</v>
      </c>
      <c r="BF34" s="16">
        <f t="shared" si="141"/>
        <v>0</v>
      </c>
      <c r="BG34" s="16">
        <f>VLOOKUP($H34,Constants!$I:$K, 2, FALSE)</f>
        <v>1.1499999999999999</v>
      </c>
      <c r="BH34" s="16">
        <f>VLOOKUP($H34,Constants!$I:$K, 3, FALSE)*IF(AND(G34="multiple_unit",AB34&lt;110),0.75,1)</f>
        <v>1.7</v>
      </c>
      <c r="BI34" s="16">
        <f>INT(POWER(((Constants!$G$2+$BB34+$BC34+$BD34+$BF34)*$BE34)*$BH34, 1.05))+$BA34</f>
        <v>52</v>
      </c>
      <c r="BJ34" s="16">
        <f>INT(POWER((((Constants!$G$1+$BB34+$BC34+$BD34+$BF34)*($BE34))*$BG34),IF($G34="wagon",1,1.2)))+$AZ34</f>
        <v>89</v>
      </c>
      <c r="BK34" s="19">
        <f t="shared" si="142"/>
        <v>40625</v>
      </c>
      <c r="BL34" s="19">
        <f t="shared" si="143"/>
        <v>7231.25</v>
      </c>
      <c r="BU34">
        <v>3</v>
      </c>
      <c r="BZ34" s="22" t="str">
        <f>VLOOKUP(J34,Eras!$A$2:$C$10, 2, TRUE)</f>
        <v>edw</v>
      </c>
      <c r="CA34" t="s">
        <v>63</v>
      </c>
      <c r="CB34" s="22" t="str">
        <f t="shared" si="75"/>
        <v>edw_Express</v>
      </c>
      <c r="CC34" s="22" t="str">
        <f t="shared" si="76"/>
        <v>steam_RAIL</v>
      </c>
      <c r="CD34" s="25" t="str" cm="1">
        <f t="array" ref="CD34">IF(AN34&lt;&gt;"na", _xlfn.CONCAT("{BLACK}Length: {GOLD}", TEXT(ROUNDUP(IF(AQ34&lt;&gt;"",SUM(VALUE(_xlfn.TEXTSPLIT(AQ34, ","))), SUM(VALUE(_xlfn.TEXTSPLIT(AN34, ",")))*IF(M34, M34, 1))/16, 1),"#,##0.0"), " tiles{}"), "")</f>
        <v>{BLACK}Length: {GOLD}0.5 tiles{}</v>
      </c>
      <c r="CE34" s="22" t="str">
        <f>VLOOKUP($CC34, Constants!$M:$N, 2, FALSE)</f>
        <v>{BLACK}Powered by: {GOLD}Steam</v>
      </c>
      <c r="CF34" s="22" t="str">
        <f t="shared" si="12"/>
        <v/>
      </c>
      <c r="CG34" t="s">
        <v>375</v>
      </c>
      <c r="CH34" t="str">
        <f t="shared" si="26"/>
        <v/>
      </c>
      <c r="CI34" t="str">
        <f t="shared" si="13"/>
        <v/>
      </c>
      <c r="CJ34" t="str">
        <f t="shared" si="27"/>
        <v>{BLACK}Powered by: {GOLD}Steam {}{BLACK}Length: {GOLD}0.5 tiles{}{SILVER}GER's prototype Decapod was built to outperform low speed acceleration of electric locomotives, to prevent a rival electric railway being approved by Parliament.</v>
      </c>
    </row>
    <row r="35" spans="1:88" x14ac:dyDescent="0.35">
      <c r="A35" s="24" t="s">
        <v>509</v>
      </c>
      <c r="B35" s="24" t="s">
        <v>510</v>
      </c>
      <c r="E35">
        <v>-1</v>
      </c>
      <c r="F35" t="s">
        <v>486</v>
      </c>
      <c r="G35" t="s">
        <v>15</v>
      </c>
      <c r="T35" s="12"/>
      <c r="AN35" s="14" t="str">
        <f>CONCATENATE(VLOOKUP(AL35,Constants!$A$2:$C$16,IF(AM35&lt;&gt;"", 3, 2), FALSE),IF(AM35&lt;&gt;"",CONCATENATE(",",VLOOKUP(AM35,$B:$AN,39,FALSE)),""))</f>
        <v>na</v>
      </c>
      <c r="BE35" s="17"/>
      <c r="BF35" s="16">
        <f t="shared" si="141"/>
        <v>0</v>
      </c>
      <c r="BK35" s="19"/>
      <c r="BL35" s="19"/>
      <c r="BZ35" s="22" t="s">
        <v>53</v>
      </c>
      <c r="CA35" t="s">
        <v>63</v>
      </c>
      <c r="CB35" s="22" t="str">
        <f t="shared" si="75"/>
        <v>edw_Express</v>
      </c>
      <c r="CC35" s="22" t="str">
        <f t="shared" si="76"/>
        <v>_</v>
      </c>
      <c r="CD35" s="25" t="str" cm="1">
        <f t="array" ref="CD35">IF(AN35&lt;&gt;"na", _xlfn.CONCAT("{BLACK}Length: {GOLD}", TEXT(ROUNDUP(IF(AQ35&lt;&gt;"",SUM(VALUE(_xlfn.TEXTSPLIT(AQ35, ","))), SUM(VALUE(_xlfn.TEXTSPLIT(AN35, ",")))*IF(M35, M35, 1))/16, 1),"#,##0.0"), " tiles{}"), "")</f>
        <v/>
      </c>
      <c r="CE35" s="22" t="str">
        <f>VLOOKUP($CC35, Constants!$M:$N, 2, FALSE)</f>
        <v/>
      </c>
      <c r="CH35" t="str">
        <f t="shared" si="26"/>
        <v/>
      </c>
      <c r="CI35" t="str">
        <f t="shared" si="13"/>
        <v/>
      </c>
      <c r="CJ35" t="str">
        <f t="shared" si="27"/>
        <v>{SILVER}</v>
      </c>
    </row>
    <row r="36" spans="1:88" x14ac:dyDescent="0.35">
      <c r="A36" t="s">
        <v>507</v>
      </c>
      <c r="B36" t="s">
        <v>508</v>
      </c>
      <c r="C36">
        <v>1081</v>
      </c>
      <c r="E36">
        <v>14</v>
      </c>
      <c r="F36" t="s">
        <v>486</v>
      </c>
      <c r="G36" t="s">
        <v>235</v>
      </c>
      <c r="H36" t="s">
        <v>25</v>
      </c>
      <c r="I36" t="s">
        <v>28</v>
      </c>
      <c r="J36">
        <v>1908</v>
      </c>
      <c r="L36">
        <v>1953</v>
      </c>
      <c r="N36">
        <v>1975</v>
      </c>
      <c r="P36" s="5">
        <v>15</v>
      </c>
      <c r="Q36" s="5">
        <v>26</v>
      </c>
      <c r="R36" s="5">
        <v>4</v>
      </c>
      <c r="S36" s="5">
        <v>225</v>
      </c>
      <c r="T36" s="12">
        <f t="shared" si="135"/>
        <v>207.65654071296561</v>
      </c>
      <c r="U36" s="5">
        <v>1.37</v>
      </c>
      <c r="V36" s="5">
        <f t="shared" si="136"/>
        <v>1971.2694923689444</v>
      </c>
      <c r="W36">
        <v>99</v>
      </c>
      <c r="X36" s="7">
        <v>46</v>
      </c>
      <c r="Z36">
        <v>124</v>
      </c>
      <c r="AA36" s="3">
        <f t="shared" si="65"/>
        <v>8.5517241379310341E-2</v>
      </c>
      <c r="AB36">
        <v>65</v>
      </c>
      <c r="AC36">
        <f t="shared" si="64"/>
        <v>104</v>
      </c>
      <c r="AF36">
        <v>23</v>
      </c>
      <c r="AG36">
        <v>14</v>
      </c>
      <c r="AK36" s="14" t="str">
        <f>CONCATENATE(VLOOKUP(AL36, 'Voxel Sizes'!$A$2:$B$18,2,FALSE),"x",INT(AH36*15), "x", INT(AI36*15))</f>
        <v>136x0x0</v>
      </c>
      <c r="AL36" s="14">
        <f t="shared" ref="AL36" si="154">ROUND(15*((AG36*10)/256),0)</f>
        <v>8</v>
      </c>
      <c r="AM36" t="s">
        <v>417</v>
      </c>
      <c r="AN36" s="14" t="str">
        <f>CONCATENATE(VLOOKUP(AL36,Constants!$A$2:$C$16,IF(AM36&lt;&gt;"", 3, 2), FALSE),IF(AM36&lt;&gt;"",CONCATENATE(",",VLOOKUP(AM36,$B:$AN,39,FALSE)),""))</f>
        <v>2,4,2,2,1,2</v>
      </c>
      <c r="AV36">
        <v>1</v>
      </c>
      <c r="AX36">
        <v>26</v>
      </c>
      <c r="AY36" s="14">
        <f t="shared" si="67"/>
        <v>53</v>
      </c>
      <c r="AZ36">
        <v>10</v>
      </c>
      <c r="BA36">
        <v>10</v>
      </c>
      <c r="BB36" s="16">
        <f t="shared" ref="BB36" si="155">MIN(AB36/150, 1)*30</f>
        <v>13</v>
      </c>
      <c r="BC36" s="16">
        <f t="shared" ref="BC36" si="156">MIN(N36/4000, 1)*20</f>
        <v>9.875</v>
      </c>
      <c r="BD36" s="16">
        <f t="shared" ref="BD36" si="157">MIN(Z36/400,1)*20</f>
        <v>6.2</v>
      </c>
      <c r="BE36" s="17">
        <f t="shared" ref="BE36" si="158">1-(MAX(J36-1900, 0)/750)</f>
        <v>0.98933333333333329</v>
      </c>
      <c r="BF36" s="16">
        <f t="shared" ref="BF36" si="159">((MAX($M36,1)*MIN($AJ36/300,1)))*IF(G36="Wagon",50,10)</f>
        <v>0</v>
      </c>
      <c r="BG36" s="16">
        <f>VLOOKUP($H36,Constants!$I:$K, 2, FALSE)</f>
        <v>1.1499999999999999</v>
      </c>
      <c r="BH36" s="16">
        <f>VLOOKUP($H36,Constants!$I:$K, 3, FALSE)*IF(AND(G36="multiple_unit",AB36&lt;110),0.75,1)</f>
        <v>1.7</v>
      </c>
      <c r="BI36" s="16">
        <f>INT(POWER(((Constants!$G$2+$BB36+$BC36+$BD36+$BF36)*$BE36)*$BH36, 1.05))+$BA36</f>
        <v>80</v>
      </c>
      <c r="BJ36" s="16">
        <f>INT(POWER((((Constants!$G$1+$BB36+$BC36+$BD36+$BF36)*($BE36))*$BG36),IF($G36="wagon",1,1.2)))+$AZ36</f>
        <v>119</v>
      </c>
      <c r="BK36" s="19">
        <f t="shared" ref="BK36" si="160">BI36*IF($G36="wagon",62.5,781.25)</f>
        <v>62500</v>
      </c>
      <c r="BL36" s="19">
        <f t="shared" ref="BL36" si="161">BJ36*IF($G36="wagon",2.73,81.25)</f>
        <v>9668.75</v>
      </c>
      <c r="BU36">
        <v>2</v>
      </c>
      <c r="BZ36" s="22" t="s">
        <v>53</v>
      </c>
      <c r="CA36" t="s">
        <v>63</v>
      </c>
      <c r="CB36" s="22" t="str">
        <f t="shared" si="75"/>
        <v>edw_Express</v>
      </c>
      <c r="CC36" s="22" t="str">
        <f t="shared" si="76"/>
        <v>steam_RAIL</v>
      </c>
      <c r="CD36" s="25" t="str" cm="1">
        <f t="array" ref="CD36">IF(AN36&lt;&gt;"na", _xlfn.CONCAT("{BLACK}Length: {GOLD}", TEXT(ROUNDUP(IF(AQ36&lt;&gt;"",SUM(VALUE(_xlfn.TEXTSPLIT(AQ36, ","))), SUM(VALUE(_xlfn.TEXTSPLIT(AN36, ",")))*IF(M36, M36, 1))/16, 1),"#,##0.0"), " tiles{}"), "")</f>
        <v>{BLACK}Length: {GOLD}0.9 tiles{}</v>
      </c>
      <c r="CE36" s="22" t="str">
        <f>VLOOKUP($CC36, Constants!$M:$N, 2, FALSE)</f>
        <v>{BLACK}Powered by: {GOLD}Steam</v>
      </c>
      <c r="CF36" s="22" t="str">
        <f t="shared" si="12"/>
        <v/>
      </c>
      <c r="CG36" t="s">
        <v>520</v>
      </c>
      <c r="CH36" t="str">
        <f t="shared" si="26"/>
        <v/>
      </c>
      <c r="CI36" t="str">
        <f t="shared" si="13"/>
        <v/>
      </c>
      <c r="CJ36" t="str">
        <f t="shared" si="27"/>
        <v>{BLACK}Powered by: {GOLD}Steam {}{BLACK}Length: {GOLD}0.9 tiles{}{SILVER}The Great Bear was a single locomotive, the first 4-6-2 "Pacific" type built in the UK, which served as the GWR's flagship until 1922 despite disappointing performance and low route availability.</v>
      </c>
    </row>
    <row r="37" spans="1:88" x14ac:dyDescent="0.35">
      <c r="A37" t="s">
        <v>376</v>
      </c>
      <c r="B37" t="s">
        <v>377</v>
      </c>
      <c r="C37">
        <v>1131</v>
      </c>
      <c r="E37">
        <v>15</v>
      </c>
      <c r="F37" t="s">
        <v>486</v>
      </c>
      <c r="G37" t="s">
        <v>235</v>
      </c>
      <c r="H37" t="s">
        <v>25</v>
      </c>
      <c r="I37" t="s">
        <v>28</v>
      </c>
      <c r="J37">
        <v>1913</v>
      </c>
      <c r="L37">
        <v>1949</v>
      </c>
      <c r="N37">
        <v>1600</v>
      </c>
      <c r="P37" s="5">
        <v>15.75</v>
      </c>
      <c r="Q37" s="5">
        <v>26</v>
      </c>
      <c r="R37" s="5">
        <v>4</v>
      </c>
      <c r="S37" s="5">
        <v>175</v>
      </c>
      <c r="T37" s="12">
        <f t="shared" si="135"/>
        <v>177.20544273524447</v>
      </c>
      <c r="U37" s="5">
        <v>2.0499999999999998</v>
      </c>
      <c r="V37" s="5">
        <f t="shared" si="136"/>
        <v>1442.4858820676277</v>
      </c>
      <c r="W37">
        <v>79</v>
      </c>
      <c r="X37" s="7">
        <v>35</v>
      </c>
      <c r="Y37">
        <v>5</v>
      </c>
      <c r="Z37">
        <v>120</v>
      </c>
      <c r="AA37" s="3">
        <f t="shared" si="65"/>
        <v>0.10526315789473684</v>
      </c>
      <c r="AB37">
        <v>83</v>
      </c>
      <c r="AC37">
        <f t="shared" si="64"/>
        <v>133</v>
      </c>
      <c r="AF37">
        <v>12</v>
      </c>
      <c r="AG37">
        <v>12</v>
      </c>
      <c r="AK37" s="14" t="str">
        <f>CONCATENATE(VLOOKUP(AL37, 'Voxel Sizes'!$A$2:$B$18,2,FALSE),"x",INT(AH37*15), "x", INT(AI37*15))</f>
        <v>120x0x0</v>
      </c>
      <c r="AL37" s="14">
        <f t="shared" si="66"/>
        <v>7</v>
      </c>
      <c r="AM37" t="s">
        <v>380</v>
      </c>
      <c r="AN37" s="14" t="str">
        <f>CONCATENATE(VLOOKUP(AL37,Constants!$A$2:$C$16,IF(AM37&lt;&gt;"", 3, 2), FALSE),IF(AM37&lt;&gt;"",CONCATENATE(",",VLOOKUP(AM37,$B:$AN,39,FALSE)),""))</f>
        <v>2,3,2,2,1,2</v>
      </c>
      <c r="AV37">
        <v>1</v>
      </c>
      <c r="AX37">
        <v>26</v>
      </c>
      <c r="AY37" s="14">
        <f t="shared" si="67"/>
        <v>44</v>
      </c>
      <c r="AZ37">
        <v>3</v>
      </c>
      <c r="BB37" s="16">
        <f t="shared" si="137"/>
        <v>16.600000000000001</v>
      </c>
      <c r="BC37" s="16">
        <f t="shared" si="138"/>
        <v>8</v>
      </c>
      <c r="BD37" s="16">
        <f t="shared" si="139"/>
        <v>6</v>
      </c>
      <c r="BE37" s="17">
        <f t="shared" si="140"/>
        <v>0.98266666666666669</v>
      </c>
      <c r="BF37" s="16">
        <f t="shared" si="141"/>
        <v>0</v>
      </c>
      <c r="BG37" s="16">
        <f>VLOOKUP($H37,Constants!$I:$K, 2, FALSE)</f>
        <v>1.1499999999999999</v>
      </c>
      <c r="BH37" s="16">
        <f>VLOOKUP($H37,Constants!$I:$K, 3, FALSE)*IF(AND(G37="multiple_unit",AB37&lt;110),0.75,1)</f>
        <v>1.7</v>
      </c>
      <c r="BI37" s="16">
        <f>INT(POWER(((Constants!$G$2+$BB37+$BC37+$BD37+$BF37)*$BE37)*$BH37, 1.05))+$BA37</f>
        <v>72</v>
      </c>
      <c r="BJ37" s="16">
        <f>INT(POWER((((Constants!$G$1+$BB37+$BC37+$BD37+$BF37)*($BE37))*$BG37),IF($G37="wagon",1,1.2)))+$AZ37</f>
        <v>116</v>
      </c>
      <c r="BK37" s="19">
        <f t="shared" si="142"/>
        <v>56250</v>
      </c>
      <c r="BL37" s="19">
        <f t="shared" si="143"/>
        <v>9425</v>
      </c>
      <c r="BU37">
        <v>3</v>
      </c>
      <c r="BZ37" s="22" t="str">
        <f>VLOOKUP(J37,Eras!$A$2:$C$10, 2, TRUE)</f>
        <v>edw</v>
      </c>
      <c r="CA37" t="s">
        <v>63</v>
      </c>
      <c r="CB37" s="22" t="str">
        <f t="shared" si="75"/>
        <v>edw_Express</v>
      </c>
      <c r="CC37" s="22" t="str">
        <f t="shared" si="76"/>
        <v>steam_RAIL</v>
      </c>
      <c r="CD37" s="25" t="str" cm="1">
        <f t="array" ref="CD37">IF(AN37&lt;&gt;"na", _xlfn.CONCAT("{BLACK}Length: {GOLD}", TEXT(ROUNDUP(IF(AQ37&lt;&gt;"",SUM(VALUE(_xlfn.TEXTSPLIT(AQ37, ","))), SUM(VALUE(_xlfn.TEXTSPLIT(AN37, ",")))*IF(M37, M37, 1))/16, 1),"#,##0.0"), " tiles{}"), "")</f>
        <v>{BLACK}Length: {GOLD}0.8 tiles{}</v>
      </c>
      <c r="CE37" s="22" t="str">
        <f>VLOOKUP($CC37, Constants!$M:$N, 2, FALSE)</f>
        <v>{BLACK}Powered by: {GOLD}Steam</v>
      </c>
      <c r="CF37" s="22" t="str">
        <f t="shared" si="12"/>
        <v/>
      </c>
      <c r="CG37" t="s">
        <v>378</v>
      </c>
      <c r="CH37" t="str">
        <f t="shared" si="26"/>
        <v/>
      </c>
      <c r="CI37" t="str">
        <f t="shared" si="13"/>
        <v/>
      </c>
      <c r="CJ37" t="str">
        <f t="shared" si="27"/>
        <v>{BLACK}Powered by: {GOLD}Steam {}{BLACK}Length: {GOLD}0.8 tiles{}{SILVER}The Claughton Class, named after the LNWR's chairman at the time, was unfortunately compromised by the Crewe works being unable to build a large boiler.</v>
      </c>
    </row>
    <row r="38" spans="1:88" x14ac:dyDescent="0.35">
      <c r="A38" t="s">
        <v>381</v>
      </c>
      <c r="B38" t="s">
        <v>382</v>
      </c>
      <c r="C38">
        <v>1171</v>
      </c>
      <c r="E38">
        <v>16</v>
      </c>
      <c r="F38" t="s">
        <v>486</v>
      </c>
      <c r="G38" t="s">
        <v>235</v>
      </c>
      <c r="H38" t="s">
        <v>25</v>
      </c>
      <c r="I38" t="s">
        <v>28</v>
      </c>
      <c r="J38">
        <v>1917</v>
      </c>
      <c r="L38">
        <v>1949</v>
      </c>
      <c r="N38">
        <v>1650</v>
      </c>
      <c r="P38" s="5">
        <v>16</v>
      </c>
      <c r="Q38" s="5">
        <v>26</v>
      </c>
      <c r="R38" s="5">
        <v>4</v>
      </c>
      <c r="S38" s="5">
        <v>180</v>
      </c>
      <c r="T38" s="12">
        <f t="shared" si="135"/>
        <v>191.2177107536121</v>
      </c>
      <c r="U38" s="5">
        <v>2.06</v>
      </c>
      <c r="V38" s="5">
        <f t="shared" si="136"/>
        <v>1652.2506619593996</v>
      </c>
      <c r="W38">
        <v>86</v>
      </c>
      <c r="X38" s="7">
        <v>35</v>
      </c>
      <c r="Y38">
        <v>5</v>
      </c>
      <c r="Z38">
        <v>112</v>
      </c>
      <c r="AA38" s="3">
        <f t="shared" si="65"/>
        <v>9.2561983471074374E-2</v>
      </c>
      <c r="AB38">
        <v>90</v>
      </c>
      <c r="AC38">
        <f t="shared" si="64"/>
        <v>144</v>
      </c>
      <c r="AF38">
        <v>12</v>
      </c>
      <c r="AG38">
        <v>12</v>
      </c>
      <c r="AK38" s="14" t="str">
        <f>CONCATENATE(VLOOKUP(AL38, 'Voxel Sizes'!$A$2:$B$18,2,FALSE),"x",INT(AH38*15), "x", INT(AI38*15))</f>
        <v>120x0x0</v>
      </c>
      <c r="AL38" s="14">
        <f t="shared" si="66"/>
        <v>7</v>
      </c>
      <c r="AM38" t="s">
        <v>383</v>
      </c>
      <c r="AN38" s="14" t="str">
        <f>CONCATENATE(VLOOKUP(AL38,Constants!$A$2:$C$16,IF(AM38&lt;&gt;"", 3, 2), FALSE),IF(AM38&lt;&gt;"",CONCATENATE(",",VLOOKUP(AM38,$B:$AN,39,FALSE)),""))</f>
        <v>2,3,2,2,1,2</v>
      </c>
      <c r="AV38">
        <v>1</v>
      </c>
      <c r="AX38">
        <v>27</v>
      </c>
      <c r="AY38" s="14">
        <f t="shared" si="67"/>
        <v>40</v>
      </c>
      <c r="AZ38">
        <v>7</v>
      </c>
      <c r="BA38">
        <v>4</v>
      </c>
      <c r="BB38" s="16">
        <f t="shared" si="68"/>
        <v>18</v>
      </c>
      <c r="BC38" s="16">
        <f t="shared" si="69"/>
        <v>8.25</v>
      </c>
      <c r="BD38" s="16">
        <f t="shared" si="70"/>
        <v>5.6000000000000005</v>
      </c>
      <c r="BE38" s="17">
        <f t="shared" si="71"/>
        <v>0.97733333333333339</v>
      </c>
      <c r="BF38" s="16">
        <f t="shared" si="72"/>
        <v>0</v>
      </c>
      <c r="BG38" s="16">
        <f>VLOOKUP($H38,Constants!$I:$K, 2, FALSE)</f>
        <v>1.1499999999999999</v>
      </c>
      <c r="BH38" s="16">
        <f>VLOOKUP($H38,Constants!$I:$K, 3, FALSE)*IF(AND(G38="multiple_unit",AB38&lt;110),0.75,1)</f>
        <v>1.7</v>
      </c>
      <c r="BI38" s="16">
        <f>INT(POWER(((Constants!$G$2+$BB38+$BC38+$BD38+$BF38)*$BE38)*$BH38, 1.05))+$BA38</f>
        <v>79</v>
      </c>
      <c r="BJ38" s="16">
        <f>INT(POWER((((Constants!$G$1+$BB38+$BC38+$BD38+$BF38)*($BE38))*$BG38),IF($G38="wagon",1,1.2)))+$AZ38</f>
        <v>123</v>
      </c>
      <c r="BK38" s="19">
        <f t="shared" si="73"/>
        <v>61718.75</v>
      </c>
      <c r="BL38" s="19">
        <f t="shared" si="74"/>
        <v>9993.75</v>
      </c>
      <c r="BU38">
        <v>3</v>
      </c>
      <c r="BZ38" s="22" t="str">
        <f>VLOOKUP(J38,Eras!$A$2:$C$10, 2, TRUE)</f>
        <v>edw</v>
      </c>
      <c r="CA38" t="s">
        <v>63</v>
      </c>
      <c r="CB38" s="22" t="str">
        <f t="shared" si="75"/>
        <v>edw_Express</v>
      </c>
      <c r="CC38" s="22" t="str">
        <f t="shared" si="76"/>
        <v>steam_RAIL</v>
      </c>
      <c r="CD38" s="25" t="str" cm="1">
        <f t="array" ref="CD38">IF(AN38&lt;&gt;"na", _xlfn.CONCAT("{BLACK}Length: {GOLD}", TEXT(ROUNDUP(IF(AQ38&lt;&gt;"",SUM(VALUE(_xlfn.TEXTSPLIT(AQ38, ","))), SUM(VALUE(_xlfn.TEXTSPLIT(AN38, ",")))*IF(M38, M38, 1))/16, 1),"#,##0.0"), " tiles{}"), "")</f>
        <v>{BLACK}Length: {GOLD}0.8 tiles{}</v>
      </c>
      <c r="CE38" s="22" t="str">
        <f>VLOOKUP($CC38, Constants!$M:$N, 2, FALSE)</f>
        <v>{BLACK}Powered by: {GOLD}Steam</v>
      </c>
      <c r="CF38" s="22" t="str">
        <f t="shared" si="12"/>
        <v/>
      </c>
      <c r="CG38" t="s">
        <v>385</v>
      </c>
      <c r="CH38" t="str">
        <f t="shared" si="26"/>
        <v/>
      </c>
      <c r="CI38" t="str">
        <f t="shared" si="13"/>
        <v/>
      </c>
      <c r="CJ38" t="str">
        <f t="shared" si="27"/>
        <v>{BLACK}Powered by: {GOLD}Steam {}{BLACK}Length: {GOLD}0.8 tiles{}{SILVER}Robinson's 9P was a four-cylinder express locotive introduced toward the end of his time at the GCR. Early versions suffered from high coal consumption due to narrow steam passages.</v>
      </c>
    </row>
    <row r="39" spans="1:88" x14ac:dyDescent="0.35">
      <c r="A39" t="s">
        <v>386</v>
      </c>
      <c r="B39" t="s">
        <v>387</v>
      </c>
      <c r="C39">
        <v>1211</v>
      </c>
      <c r="E39">
        <v>17</v>
      </c>
      <c r="F39" t="s">
        <v>486</v>
      </c>
      <c r="G39" t="s">
        <v>235</v>
      </c>
      <c r="H39" t="s">
        <v>25</v>
      </c>
      <c r="I39" t="s">
        <v>28</v>
      </c>
      <c r="J39">
        <v>1921</v>
      </c>
      <c r="L39">
        <v>1950</v>
      </c>
      <c r="N39">
        <v>1650</v>
      </c>
      <c r="P39" s="5">
        <v>16</v>
      </c>
      <c r="Q39" s="5">
        <v>26</v>
      </c>
      <c r="R39" s="5">
        <v>4</v>
      </c>
      <c r="S39" s="5">
        <v>180</v>
      </c>
      <c r="T39" s="12">
        <f t="shared" si="135"/>
        <v>165.40084928881564</v>
      </c>
      <c r="U39" s="5">
        <v>1.72</v>
      </c>
      <c r="V39" s="5">
        <f t="shared" si="136"/>
        <v>1429.1754756871035</v>
      </c>
      <c r="W39">
        <v>94</v>
      </c>
      <c r="X39" s="7">
        <v>35</v>
      </c>
      <c r="Y39">
        <v>5</v>
      </c>
      <c r="Z39">
        <v>133</v>
      </c>
      <c r="AA39" s="3">
        <f t="shared" ref="AA39:AA40" si="162">IF(AND(W39&gt;0,Z39&gt;0),(Z39/((W39+X39)*10)),"")</f>
        <v>0.10310077519379846</v>
      </c>
      <c r="AB39">
        <v>65</v>
      </c>
      <c r="AC39">
        <f t="shared" ref="AC39:AC40" si="163">ROUND(AB39*1.6, 0)</f>
        <v>104</v>
      </c>
      <c r="AF39">
        <v>12</v>
      </c>
      <c r="AG39">
        <v>12</v>
      </c>
      <c r="AK39" s="14" t="str">
        <f>CONCATENATE(VLOOKUP(AL39, 'Voxel Sizes'!$A$2:$B$18,2,FALSE),"x",INT(AH39*15), "x", INT(AI39*15))</f>
        <v>120x0x0</v>
      </c>
      <c r="AL39" s="14">
        <f t="shared" ref="AL39:AL40" si="164">ROUND(15*((AG39*10)/256),0)</f>
        <v>7</v>
      </c>
      <c r="AM39" t="s">
        <v>383</v>
      </c>
      <c r="AN39" s="14" t="str">
        <f>CONCATENATE(VLOOKUP(AL39,Constants!$A$2:$C$16,IF(AM39&lt;&gt;"", 3, 2), FALSE),IF(AM39&lt;&gt;"",CONCATENATE(",",VLOOKUP(AM39,$B:$AN,39,FALSE)),""))</f>
        <v>2,3,2,2,1,2</v>
      </c>
      <c r="AV39">
        <v>1</v>
      </c>
      <c r="AX39">
        <v>26</v>
      </c>
      <c r="AY39" s="14">
        <f t="shared" ref="AY39:AY40" si="165">IF(L39&lt;&gt;"",MAX(16,(L39-J39)+8),"")</f>
        <v>37</v>
      </c>
      <c r="AZ39">
        <v>14</v>
      </c>
      <c r="BA39">
        <v>11</v>
      </c>
      <c r="BB39" s="16">
        <f t="shared" ref="BB39:BB40" si="166">MIN(AB39/150, 1)*30</f>
        <v>13</v>
      </c>
      <c r="BC39" s="16">
        <f t="shared" ref="BC39:BC40" si="167">MIN(N39/4000, 1)*20</f>
        <v>8.25</v>
      </c>
      <c r="BD39" s="16">
        <f t="shared" ref="BD39:BD40" si="168">MIN(Z39/400,1)*20</f>
        <v>6.65</v>
      </c>
      <c r="BE39" s="17">
        <f t="shared" ref="BE39:BE40" si="169">1-(MAX(J39-1900, 0)/750)</f>
        <v>0.97199999999999998</v>
      </c>
      <c r="BF39" s="16">
        <f t="shared" ref="BF39:BF40" si="170">((MAX($M39,1)*MIN($AJ39/300,1)))*IF(G39="Wagon",50,10)</f>
        <v>0</v>
      </c>
      <c r="BG39" s="16">
        <f>VLOOKUP($H39,Constants!$I:$K, 2, FALSE)</f>
        <v>1.1499999999999999</v>
      </c>
      <c r="BH39" s="16">
        <f>VLOOKUP($H39,Constants!$I:$K, 3, FALSE)*IF(AND(G39="multiple_unit",AB39&lt;110),0.75,1)</f>
        <v>1.7</v>
      </c>
      <c r="BI39" s="16">
        <f>INT(POWER(((Constants!$G$2+$BB39+$BC39+$BD39+$BF39)*$BE39)*$BH39, 1.05))+$BA39</f>
        <v>77</v>
      </c>
      <c r="BJ39" s="16">
        <f>INT(POWER((((Constants!$G$1+$BB39+$BC39+$BD39+$BF39)*($BE39))*$BG39),IF($G39="wagon",1,1.2)))+$AZ39</f>
        <v>117</v>
      </c>
      <c r="BK39" s="19">
        <f t="shared" ref="BK39:BK40" si="171">BI39*IF($G39="wagon",62.5,781.25)</f>
        <v>60156.25</v>
      </c>
      <c r="BL39" s="19">
        <f t="shared" ref="BL39:BL40" si="172">BJ39*IF($G39="wagon",2.73,81.25)</f>
        <v>9506.25</v>
      </c>
      <c r="BU39">
        <v>3</v>
      </c>
      <c r="BZ39" s="22" t="str">
        <f>VLOOKUP(J39,Eras!$A$2:$C$10, 2, TRUE)</f>
        <v>edw</v>
      </c>
      <c r="CA39" t="s">
        <v>63</v>
      </c>
      <c r="CB39" s="22" t="str">
        <f t="shared" ref="CB39:CB40" si="173">CONCATENATE(BZ39,"_",CA39)</f>
        <v>edw_Express</v>
      </c>
      <c r="CC39" s="22" t="str">
        <f t="shared" ref="CC39:CC40" si="174">_xlfn.CONCAT(H39, "_",I39)</f>
        <v>steam_RAIL</v>
      </c>
      <c r="CD39" s="25" t="str" cm="1">
        <f t="array" ref="CD39">IF(AN39&lt;&gt;"na", _xlfn.CONCAT("{BLACK}Length: {GOLD}", TEXT(ROUNDUP(IF(AQ39&lt;&gt;"",SUM(VALUE(_xlfn.TEXTSPLIT(AQ39, ","))), SUM(VALUE(_xlfn.TEXTSPLIT(AN39, ",")))*IF(M39, M39, 1))/16, 1),"#,##0.0"), " tiles{}"), "")</f>
        <v>{BLACK}Length: {GOLD}0.8 tiles{}</v>
      </c>
      <c r="CE39" s="22" t="str">
        <f>VLOOKUP($CC39, Constants!$M:$N, 2, FALSE)</f>
        <v>{BLACK}Powered by: {GOLD}Steam</v>
      </c>
      <c r="CF39" s="22" t="str">
        <f t="shared" si="12"/>
        <v/>
      </c>
      <c r="CG39" t="s">
        <v>388</v>
      </c>
      <c r="CH39" t="str">
        <f t="shared" si="26"/>
        <v/>
      </c>
      <c r="CI39" t="str">
        <f t="shared" si="13"/>
        <v/>
      </c>
      <c r="CJ39" t="str">
        <f t="shared" si="27"/>
        <v>{BLACK}Powered by: {GOLD}Steam {}{BLACK}Length: {GOLD}0.8 tiles{}{SILVER}The 9Q is a freight adaptation of the 9P, which had an exceptional turn of speed for a high tractive effort engine. It earnt the name "Black Pig" for its heavy coal consumption.</v>
      </c>
    </row>
    <row r="40" spans="1:88" x14ac:dyDescent="0.35">
      <c r="A40" t="s">
        <v>483</v>
      </c>
      <c r="B40" t="s">
        <v>484</v>
      </c>
      <c r="C40">
        <v>1213</v>
      </c>
      <c r="E40">
        <v>18</v>
      </c>
      <c r="F40" t="s">
        <v>486</v>
      </c>
      <c r="G40" t="s">
        <v>230</v>
      </c>
      <c r="H40" t="s">
        <v>25</v>
      </c>
      <c r="I40" t="s">
        <v>28</v>
      </c>
      <c r="J40">
        <v>1925</v>
      </c>
      <c r="L40">
        <v>1955</v>
      </c>
      <c r="M40">
        <v>3</v>
      </c>
      <c r="N40">
        <v>2500</v>
      </c>
      <c r="P40" s="5">
        <v>18.5</v>
      </c>
      <c r="Q40" s="5">
        <v>26</v>
      </c>
      <c r="R40" s="5">
        <v>6</v>
      </c>
      <c r="S40" s="5">
        <v>190</v>
      </c>
      <c r="T40" s="12">
        <f t="shared" si="135"/>
        <v>138.50509288060513</v>
      </c>
      <c r="U40" s="5">
        <v>1.4219999999999999</v>
      </c>
      <c r="V40" s="5">
        <f t="shared" si="136"/>
        <v>2533.3162519179132</v>
      </c>
      <c r="W40">
        <v>181</v>
      </c>
      <c r="Y40">
        <v>5</v>
      </c>
      <c r="Z40">
        <v>324</v>
      </c>
      <c r="AA40" s="3">
        <f t="shared" si="162"/>
        <v>0.17900552486187846</v>
      </c>
      <c r="AB40">
        <v>45</v>
      </c>
      <c r="AC40">
        <f t="shared" si="163"/>
        <v>72</v>
      </c>
      <c r="AF40">
        <v>12</v>
      </c>
      <c r="AG40">
        <v>12</v>
      </c>
      <c r="AK40" s="14" t="str">
        <f>CONCATENATE(VLOOKUP(AL40, 'Voxel Sizes'!$A$2:$B$18,2,FALSE),"x",INT(AH40*15), "x", INT(AI40*15))</f>
        <v>120x0x0</v>
      </c>
      <c r="AL40" s="14">
        <f t="shared" si="164"/>
        <v>7</v>
      </c>
      <c r="AN40" s="14" t="str">
        <f>CONCATENATE(VLOOKUP(AL40,Constants!$A$2:$C$16,IF(AM40&lt;&gt;"", 3, 2), FALSE),IF(AM40&lt;&gt;"",CONCATENATE(",",VLOOKUP(AM40,$B:$AN,39,FALSE)),""))</f>
        <v>2,3,2</v>
      </c>
      <c r="AR40" t="s">
        <v>485</v>
      </c>
      <c r="AT40" t="s">
        <v>37</v>
      </c>
      <c r="AV40" t="s">
        <v>481</v>
      </c>
      <c r="AX40">
        <v>24</v>
      </c>
      <c r="AY40" s="14">
        <f t="shared" si="165"/>
        <v>38</v>
      </c>
      <c r="BB40" s="16">
        <f t="shared" si="166"/>
        <v>9</v>
      </c>
      <c r="BC40" s="16">
        <f t="shared" si="167"/>
        <v>12.5</v>
      </c>
      <c r="BD40" s="16">
        <f t="shared" si="168"/>
        <v>16.200000000000003</v>
      </c>
      <c r="BE40" s="17">
        <f t="shared" si="169"/>
        <v>0.96666666666666667</v>
      </c>
      <c r="BF40" s="16">
        <f t="shared" si="170"/>
        <v>0</v>
      </c>
      <c r="BG40" s="16">
        <f>VLOOKUP($H40,Constants!$I:$K, 2, FALSE)</f>
        <v>1.1499999999999999</v>
      </c>
      <c r="BH40" s="16">
        <f>VLOOKUP($H40,Constants!$I:$K, 3, FALSE)*IF(AND(G40="multiple_unit",AB40&lt;110),0.75,1)</f>
        <v>1.2749999999999999</v>
      </c>
      <c r="BI40" s="16">
        <f>INT(POWER(((Constants!$G$2+$BB40+$BC40+$BD40+$BF40)*$BE40)*$BH40, 1.05))+$BA40</f>
        <v>64</v>
      </c>
      <c r="BJ40" s="16">
        <f>INT(POWER((((Constants!$G$1+$BB40+$BC40+$BD40+$BF40)*($BE40))*$BG40),IF($G40="wagon",1,1.2)))+$AZ40</f>
        <v>132</v>
      </c>
      <c r="BK40" s="19">
        <f t="shared" si="171"/>
        <v>50000</v>
      </c>
      <c r="BL40" s="19">
        <f t="shared" si="172"/>
        <v>10725</v>
      </c>
      <c r="BO40">
        <v>1</v>
      </c>
      <c r="BS40" t="s">
        <v>487</v>
      </c>
      <c r="BU40">
        <v>5</v>
      </c>
      <c r="BZ40" s="22" t="str">
        <f>VLOOKUP(J40,Eras!$A$2:$C$10, 2, TRUE)</f>
        <v>big4</v>
      </c>
      <c r="CA40" t="s">
        <v>64</v>
      </c>
      <c r="CB40" s="22" t="str">
        <f t="shared" si="173"/>
        <v>big4_Freight</v>
      </c>
      <c r="CC40" s="22" t="str">
        <f t="shared" si="174"/>
        <v>steam_RAIL</v>
      </c>
      <c r="CD40" s="25" t="str" cm="1">
        <f t="array" ref="CD40">IF(AN40&lt;&gt;"na", _xlfn.CONCAT("{BLACK}Length: {GOLD}", TEXT(ROUNDUP(IF(AQ40&lt;&gt;"",SUM(VALUE(_xlfn.TEXTSPLIT(AQ40, ","))), SUM(VALUE(_xlfn.TEXTSPLIT(AN40, ",")))*IF(M40, M40, 1))/16, 1),"#,##0.0"), " tiles{}"), "")</f>
        <v>{BLACK}Length: {GOLD}1.4 tiles{}</v>
      </c>
      <c r="CE40" s="22" t="str">
        <f>VLOOKUP($CC40, Constants!$M:$N, 2, FALSE)</f>
        <v>{BLACK}Powered by: {GOLD}Steam</v>
      </c>
      <c r="CF40" s="22" t="str">
        <f>IF(AND(M40&gt;1,BO40&lt;&gt;1),_xlfn.CONCAT("{BLACK}Cars: {GOLD}", M40),"")</f>
        <v/>
      </c>
      <c r="CG40" t="s">
        <v>489</v>
      </c>
      <c r="CH40" t="str">
        <f t="shared" si="26"/>
        <v/>
      </c>
      <c r="CI40" t="str">
        <f t="shared" si="13"/>
        <v/>
      </c>
      <c r="CJ40" t="str">
        <f t="shared" si="27"/>
        <v>{BLACK}Powered by: {GOLD}Steam {}{BLACK}Length: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41" spans="1:88" x14ac:dyDescent="0.35">
      <c r="A41" t="s">
        <v>476</v>
      </c>
      <c r="B41" t="s">
        <v>477</v>
      </c>
      <c r="C41">
        <v>1212</v>
      </c>
      <c r="E41">
        <v>19</v>
      </c>
      <c r="F41" t="s">
        <v>486</v>
      </c>
      <c r="G41" t="s">
        <v>230</v>
      </c>
      <c r="H41" t="s">
        <v>25</v>
      </c>
      <c r="I41" t="s">
        <v>28</v>
      </c>
      <c r="J41">
        <v>1927</v>
      </c>
      <c r="L41">
        <v>1958</v>
      </c>
      <c r="M41">
        <v>3</v>
      </c>
      <c r="N41">
        <v>2000</v>
      </c>
      <c r="P41" s="5">
        <v>18.5</v>
      </c>
      <c r="Q41" s="5">
        <v>26</v>
      </c>
      <c r="R41" s="5">
        <v>4</v>
      </c>
      <c r="S41" s="5">
        <v>190</v>
      </c>
      <c r="T41" s="12">
        <f t="shared" si="135"/>
        <v>127.23142252985819</v>
      </c>
      <c r="U41" s="5">
        <v>1.72</v>
      </c>
      <c r="V41" s="5">
        <f t="shared" si="136"/>
        <v>1551.4107279187222</v>
      </c>
      <c r="W41">
        <v>148</v>
      </c>
      <c r="Y41">
        <v>5</v>
      </c>
      <c r="Z41">
        <v>203</v>
      </c>
      <c r="AA41" s="3">
        <f t="shared" si="65"/>
        <v>0.13716216216216215</v>
      </c>
      <c r="AB41">
        <v>50</v>
      </c>
      <c r="AC41">
        <f t="shared" si="64"/>
        <v>80</v>
      </c>
      <c r="AF41">
        <v>10</v>
      </c>
      <c r="AG41">
        <v>10</v>
      </c>
      <c r="AK41" s="14" t="str">
        <f>CONCATENATE(VLOOKUP(AL41, 'Voxel Sizes'!$A$2:$B$18,2,FALSE),"x",INT(AH41*15), "x", INT(AI41*15))</f>
        <v>102x0x0</v>
      </c>
      <c r="AL41" s="14">
        <f t="shared" si="66"/>
        <v>6</v>
      </c>
      <c r="AN41" s="14" t="str">
        <f>CONCATENATE(VLOOKUP(AL41,Constants!$A$2:$C$16,IF(AM41&lt;&gt;"", 3, 2), FALSE),IF(AM41&lt;&gt;"",CONCATENATE(",",VLOOKUP(AM41,$B:$AN,39,FALSE)),""))</f>
        <v>2,2,2</v>
      </c>
      <c r="AR41" t="s">
        <v>478</v>
      </c>
      <c r="AT41" t="s">
        <v>37</v>
      </c>
      <c r="AV41" t="s">
        <v>481</v>
      </c>
      <c r="AX41">
        <v>26</v>
      </c>
      <c r="AY41" s="14">
        <f t="shared" si="67"/>
        <v>39</v>
      </c>
      <c r="BB41" s="16">
        <f t="shared" si="68"/>
        <v>10</v>
      </c>
      <c r="BC41" s="16">
        <f t="shared" si="69"/>
        <v>10</v>
      </c>
      <c r="BD41" s="16">
        <f t="shared" si="70"/>
        <v>10.149999999999999</v>
      </c>
      <c r="BE41" s="17">
        <f t="shared" si="71"/>
        <v>0.96399999999999997</v>
      </c>
      <c r="BF41" s="16">
        <f t="shared" si="72"/>
        <v>0</v>
      </c>
      <c r="BG41" s="16">
        <f>VLOOKUP($H41,Constants!$I:$K, 2, FALSE)</f>
        <v>1.1499999999999999</v>
      </c>
      <c r="BH41" s="16">
        <f>VLOOKUP($H41,Constants!$I:$K, 3, FALSE)*IF(AND(G41="multiple_unit",AB41&lt;110),0.75,1)</f>
        <v>1.2749999999999999</v>
      </c>
      <c r="BI41" s="16">
        <f>INT(POWER(((Constants!$G$2+$BB41+$BC41+$BD41+$BF41)*$BE41)*$BH41, 1.05))+$BA41</f>
        <v>52</v>
      </c>
      <c r="BJ41" s="16">
        <f>INT(POWER((((Constants!$G$1+$BB41+$BC41+$BD41+$BF41)*($BE41))*$BG41),IF($G41="wagon",1,1.2)))+$AZ41</f>
        <v>109</v>
      </c>
      <c r="BK41" s="19">
        <f t="shared" si="73"/>
        <v>40625</v>
      </c>
      <c r="BL41" s="19">
        <f t="shared" si="74"/>
        <v>8856.25</v>
      </c>
      <c r="BO41">
        <v>1</v>
      </c>
      <c r="BS41" t="s">
        <v>488</v>
      </c>
      <c r="BU41">
        <v>5</v>
      </c>
      <c r="BZ41" s="22" t="str">
        <f>VLOOKUP(J41,Eras!$A$2:$C$10, 2, TRUE)</f>
        <v>big4</v>
      </c>
      <c r="CA41" t="s">
        <v>64</v>
      </c>
      <c r="CB41" s="22" t="str">
        <f t="shared" si="75"/>
        <v>big4_Freight</v>
      </c>
      <c r="CC41" s="22" t="str">
        <f t="shared" si="76"/>
        <v>steam_RAIL</v>
      </c>
      <c r="CD41" s="25" t="str" cm="1">
        <f t="array" ref="CD41">IF(AN41&lt;&gt;"na", _xlfn.CONCAT("{BLACK}Length: {GOLD}", TEXT(ROUNDUP(IF(AQ41&lt;&gt;"",SUM(VALUE(_xlfn.TEXTSPLIT(AQ41, ","))), SUM(VALUE(_xlfn.TEXTSPLIT(AN41, ",")))*IF(M41, M41, 1))/16, 1),"#,##0.0"), " tiles{}"), "")</f>
        <v>{BLACK}Length: {GOLD}1.2 tiles{}</v>
      </c>
      <c r="CE41" s="22" t="str">
        <f>VLOOKUP($CC41, Constants!$M:$N, 2, FALSE)</f>
        <v>{BLACK}Powered by: {GOLD}Steam</v>
      </c>
      <c r="CF41" s="22" t="str">
        <f t="shared" ref="CF41:CF92" si="175">IF(AND(M41&gt;1,BO41&lt;&gt;1),_xlfn.CONCAT("{BLACK}Cars: {GOLD}", M41),"")</f>
        <v/>
      </c>
      <c r="CG41" t="s">
        <v>479</v>
      </c>
      <c r="CH41" t="str">
        <f t="shared" si="26"/>
        <v/>
      </c>
      <c r="CI41" t="str">
        <f t="shared" si="13"/>
        <v/>
      </c>
      <c r="CJ41" t="str">
        <f t="shared" si="27"/>
        <v>{BLACK}Powered by: {GOLD}Steam {}{BLACK}Length: {GOLD}1.2 tiles{}{SILVER}The LMS Beyer Garratt was the most-produced Garratt type locomotive, designed for hauling heavy freight. While they suffered from poor fuel efficiency and high maintenance requirements, they survived in service to the late 1950s.</v>
      </c>
    </row>
    <row r="42" spans="1:88" x14ac:dyDescent="0.35">
      <c r="A42" s="24" t="s">
        <v>421</v>
      </c>
      <c r="B42" t="s">
        <v>422</v>
      </c>
      <c r="C42">
        <v>1221</v>
      </c>
      <c r="E42">
        <v>-1</v>
      </c>
      <c r="G42" t="s">
        <v>15</v>
      </c>
      <c r="H42" t="s">
        <v>25</v>
      </c>
      <c r="I42" t="s">
        <v>28</v>
      </c>
      <c r="J42">
        <v>1922</v>
      </c>
      <c r="K42">
        <v>1924</v>
      </c>
      <c r="Z42">
        <v>119</v>
      </c>
      <c r="AA42" s="3" t="str">
        <f>IF(AND(W42&gt;0,Z42&gt;0),(Z42/((W42+X42)*10)),"")</f>
        <v/>
      </c>
      <c r="AC42">
        <f t="shared" si="64"/>
        <v>0</v>
      </c>
      <c r="AK42" t="s">
        <v>445</v>
      </c>
      <c r="AL42">
        <f>ROUND(15*((AG42*10)/256),0)</f>
        <v>0</v>
      </c>
      <c r="AN42" s="14" t="str">
        <f>CONCATENATE(VLOOKUP(AL42,Constants!$A$2:$C$16,IF(AM42&lt;&gt;"", 3, 2), FALSE),IF(AM42&lt;&gt;"",CONCATENATE(",",VLOOKUP(AM42,$B:$AN,39,FALSE)),""))</f>
        <v>na</v>
      </c>
      <c r="AV42">
        <v>1</v>
      </c>
      <c r="AX42">
        <v>30</v>
      </c>
      <c r="AY42" s="14" t="str">
        <f>IF(L42&lt;&gt;"",MAX(16,(L42-J42)+8),"")</f>
        <v/>
      </c>
      <c r="BB42">
        <f>MIN(AB42/150, 1)*30</f>
        <v>0</v>
      </c>
      <c r="BC42">
        <f>MIN(N42/4000, 1)*20</f>
        <v>0</v>
      </c>
      <c r="BD42">
        <f>MIN(Z42/400,1)*20</f>
        <v>5.9499999999999993</v>
      </c>
      <c r="BE42" s="3">
        <f>1-(MAX(J42-1900, 0)/750)</f>
        <v>0.97066666666666668</v>
      </c>
      <c r="BF42">
        <f>((MAX($M42,1)*MIN($AJ42/300,1)))*IF(G42="Wagon",50,10)</f>
        <v>0</v>
      </c>
      <c r="BG42">
        <v>1.1499999999999999</v>
      </c>
      <c r="BH42">
        <v>1.7</v>
      </c>
      <c r="BI42" s="16">
        <f>INT(POWER(((Constants!$G$2+$BB42+$BC42+$BD42+$BF42)*$BE42)*$BH42, 1.05))+$BA42</f>
        <v>20</v>
      </c>
      <c r="BJ42" s="16">
        <f>INT(POWER((((Constants!$G$1+$BB42+$BC42+$BD42+$BF42)*($BE42))*$BG42),IF($G42="wagon",1,1.2)))+$AZ42</f>
        <v>43</v>
      </c>
      <c r="BK42" s="19">
        <f t="shared" ref="BK42:BK43" si="176">BI42*IF($G42="wagon",62.5,781.25)</f>
        <v>15625</v>
      </c>
      <c r="BL42" s="19">
        <f t="shared" ref="BL42:BL43" si="177">BJ42*IF($G42="wagon",2.73,81.25)</f>
        <v>3493.75</v>
      </c>
      <c r="BU42">
        <v>8</v>
      </c>
      <c r="BZ42" t="s">
        <v>53</v>
      </c>
      <c r="CB42" t="str">
        <f>CONCATENATE(BZ42,"_",CA42)</f>
        <v>edw_</v>
      </c>
      <c r="CC42" t="str">
        <f>_xlfn.CONCAT(H42, "_",I42)</f>
        <v>steam_RAIL</v>
      </c>
      <c r="CD42" s="25" t="str" cm="1">
        <f t="array" ref="CD42">IF(AN42&lt;&gt;"na", _xlfn.CONCAT("{BLACK}Length: {GOLD}", TEXT(ROUNDUP(IF(AQ42&lt;&gt;"",SUM(VALUE(_xlfn.TEXTSPLIT(AQ42, ","))), SUM(VALUE(_xlfn.TEXTSPLIT(AN42, ",")))*IF(M42, M42, 1))/16, 1),"#,##0.0"), " tiles{}"), "")</f>
        <v/>
      </c>
      <c r="CE42" s="22" t="str">
        <f>VLOOKUP($CC42, Constants!$M:$N, 2, FALSE)</f>
        <v>{BLACK}Powered by: {GOLD}Steam</v>
      </c>
      <c r="CF42" s="22" t="str">
        <f t="shared" si="175"/>
        <v/>
      </c>
      <c r="CH42" t="str">
        <f t="shared" si="26"/>
        <v/>
      </c>
      <c r="CI42" t="str">
        <f t="shared" si="13"/>
        <v/>
      </c>
      <c r="CJ42" t="str">
        <f t="shared" si="27"/>
        <v>{BLACK}Powered by: {GOLD}Steam {}{SILVER}</v>
      </c>
    </row>
    <row r="43" spans="1:88" x14ac:dyDescent="0.35">
      <c r="A43" t="s">
        <v>423</v>
      </c>
      <c r="B43" t="s">
        <v>424</v>
      </c>
      <c r="C43">
        <v>1421</v>
      </c>
      <c r="E43">
        <v>20</v>
      </c>
      <c r="F43" t="s">
        <v>486</v>
      </c>
      <c r="G43" t="s">
        <v>235</v>
      </c>
      <c r="H43" t="s">
        <v>25</v>
      </c>
      <c r="I43" t="s">
        <v>28</v>
      </c>
      <c r="J43">
        <v>1942</v>
      </c>
      <c r="L43">
        <v>1967</v>
      </c>
      <c r="N43">
        <v>1700</v>
      </c>
      <c r="P43" s="5">
        <v>20</v>
      </c>
      <c r="Q43" s="5">
        <v>26</v>
      </c>
      <c r="R43" s="5">
        <v>2</v>
      </c>
      <c r="S43" s="5">
        <v>225</v>
      </c>
      <c r="T43" s="12">
        <f t="shared" si="135"/>
        <v>197.8854678070773</v>
      </c>
      <c r="U43" s="5">
        <v>1.88</v>
      </c>
      <c r="V43" s="5">
        <f t="shared" si="136"/>
        <v>1669.7896518375242</v>
      </c>
      <c r="W43">
        <v>72</v>
      </c>
      <c r="Z43">
        <v>119</v>
      </c>
      <c r="AA43" s="3">
        <f>IF(AND(W43&gt;0,Z43&gt;0),(Z43/((W43+X43)*10)),"")</f>
        <v>0.16527777777777777</v>
      </c>
      <c r="AB43">
        <v>85</v>
      </c>
      <c r="AC43">
        <f t="shared" si="64"/>
        <v>136</v>
      </c>
      <c r="AF43">
        <v>18.7</v>
      </c>
      <c r="AG43">
        <v>14</v>
      </c>
      <c r="AK43" s="14" t="str">
        <f>CONCATENATE(VLOOKUP(AL43, 'Voxel Sizes'!$A$2:$B$18,2,FALSE),"x",INT(AH43*15), "x", INT(AI43*15))</f>
        <v>136x0x0</v>
      </c>
      <c r="AL43" s="14">
        <f t="shared" si="66"/>
        <v>8</v>
      </c>
      <c r="AM43" t="s">
        <v>383</v>
      </c>
      <c r="AN43" s="14" t="str">
        <f>CONCATENATE(VLOOKUP(AL43,Constants!$A$2:$C$16,IF(AM43&lt;&gt;"", 3, 2), FALSE),IF(AM43&lt;&gt;"",CONCATENATE(",",VLOOKUP(AM43,$B:$AN,39,FALSE)),""))</f>
        <v>2,4,2,2,1,2</v>
      </c>
      <c r="AV43">
        <v>1</v>
      </c>
      <c r="AX43">
        <v>31</v>
      </c>
      <c r="AY43" s="14">
        <f>IF(L43&lt;&gt;"",MAX(16,(L43-J43)+8),"")</f>
        <v>33</v>
      </c>
      <c r="BB43">
        <f>MIN(AB43/150, 1)*30</f>
        <v>17</v>
      </c>
      <c r="BC43">
        <f>MIN(N43/4000, 1)*20</f>
        <v>8.5</v>
      </c>
      <c r="BD43">
        <f>MIN(Z43/400,1)*20</f>
        <v>5.9499999999999993</v>
      </c>
      <c r="BE43" s="3">
        <f>1-(MAX(J43-1900, 0)/750)</f>
        <v>0.94399999999999995</v>
      </c>
      <c r="BF43">
        <f>((MAX($M43,1)*MIN($AJ43/300,1)))*IF(G43="Wagon",50,10)</f>
        <v>0</v>
      </c>
      <c r="BG43">
        <v>1.1499999999999999</v>
      </c>
      <c r="BH43">
        <v>1.7</v>
      </c>
      <c r="BI43" s="16">
        <f>INT(POWER(((Constants!$G$2+$BB43+$BC43+$BD43+$BF43)*$BE43)*$BH43, 1.05))+$BA43</f>
        <v>71</v>
      </c>
      <c r="BJ43" s="16">
        <f>INT(POWER((((Constants!$G$1+$BB43+$BC43+$BD43+$BF43)*($BE43))*$BG43),IF($G43="wagon",1,1.2)))+$AZ43</f>
        <v>110</v>
      </c>
      <c r="BK43" s="19">
        <f t="shared" si="176"/>
        <v>55468.75</v>
      </c>
      <c r="BL43" s="19">
        <f t="shared" si="177"/>
        <v>8937.5</v>
      </c>
      <c r="BU43">
        <v>7</v>
      </c>
      <c r="BZ43" t="s">
        <v>54</v>
      </c>
      <c r="CA43" t="s">
        <v>62</v>
      </c>
      <c r="CB43" t="str">
        <f>CONCATENATE(BZ43,"_",CA43)</f>
        <v>big4_Mixed Traffic</v>
      </c>
      <c r="CC43" t="str">
        <f>_xlfn.CONCAT(H43, "_",I43)</f>
        <v>steam_RAIL</v>
      </c>
      <c r="CD43" s="25" t="str" cm="1">
        <f t="array" ref="CD43">IF(AN43&lt;&gt;"na", _xlfn.CONCAT("{BLACK}Length: {GOLD}", TEXT(ROUNDUP(IF(AQ43&lt;&gt;"",SUM(VALUE(_xlfn.TEXTSPLIT(AQ43, ","))), SUM(VALUE(_xlfn.TEXTSPLIT(AN43, ",")))*IF(M43, M43, 1))/16, 1),"#,##0.0"), " tiles{}"), "")</f>
        <v>{BLACK}Length: {GOLD}0.9 tiles{}</v>
      </c>
      <c r="CE43" s="22" t="str">
        <f>VLOOKUP($CC43, Constants!$M:$N, 2, FALSE)</f>
        <v>{BLACK}Powered by: {GOLD}Steam</v>
      </c>
      <c r="CF43" s="22" t="str">
        <f t="shared" si="175"/>
        <v/>
      </c>
      <c r="CG43" t="s">
        <v>519</v>
      </c>
      <c r="CH43" t="str">
        <f t="shared" si="26"/>
        <v/>
      </c>
      <c r="CI43" t="str">
        <f t="shared" si="13"/>
        <v/>
      </c>
      <c r="CJ43" t="str">
        <f t="shared" si="27"/>
        <v xml:space="preserve">{BLACK}Powered by: {GOLD}Steam {}{BLACK}Length: {GOLD}0.9 tiles{}{SILVER}LNER's B2 was a mixed traffic locomotive, the early examples of which were named after breeds of antelope, with 61018 "Gnu" having the record for shortest name given to a British locomotive. </v>
      </c>
    </row>
    <row r="44" spans="1:88" x14ac:dyDescent="0.35">
      <c r="A44" t="s">
        <v>393</v>
      </c>
      <c r="B44" t="s">
        <v>394</v>
      </c>
      <c r="C44">
        <v>1491</v>
      </c>
      <c r="E44">
        <v>21</v>
      </c>
      <c r="F44" t="s">
        <v>486</v>
      </c>
      <c r="G44" t="s">
        <v>235</v>
      </c>
      <c r="H44" t="s">
        <v>397</v>
      </c>
      <c r="I44" t="s">
        <v>28</v>
      </c>
      <c r="J44">
        <v>1949</v>
      </c>
      <c r="L44">
        <v>1964</v>
      </c>
      <c r="N44">
        <v>2500</v>
      </c>
      <c r="W44">
        <v>117</v>
      </c>
      <c r="Z44">
        <v>140</v>
      </c>
      <c r="AA44" s="3">
        <f t="shared" si="65"/>
        <v>0.11965811965811966</v>
      </c>
      <c r="AB44">
        <v>90</v>
      </c>
      <c r="AC44">
        <f t="shared" si="64"/>
        <v>144</v>
      </c>
      <c r="AG44">
        <v>18</v>
      </c>
      <c r="AK44" s="14" t="str">
        <f>CONCATENATE(VLOOKUP(AL44, 'Voxel Sizes'!$A$2:$B$18,2,FALSE),"x",INT(AH44*15), "x", INT(AI44*15))</f>
        <v>186x0x0</v>
      </c>
      <c r="AL44" s="14">
        <f t="shared" si="66"/>
        <v>11</v>
      </c>
      <c r="AN44" s="14" t="str">
        <f>CONCATENATE(VLOOKUP(AL44,Constants!$A$2:$C$16,IF(AM44&lt;&gt;"", 3, 2), FALSE),IF(AM44&lt;&gt;"",CONCATENATE(",",VLOOKUP(AM44,$B:$AN,39,FALSE)),""))</f>
        <v>4,3,4</v>
      </c>
      <c r="AX44">
        <v>22</v>
      </c>
      <c r="AY44" s="14">
        <f t="shared" si="67"/>
        <v>23</v>
      </c>
      <c r="AZ44">
        <v>9</v>
      </c>
      <c r="BA44">
        <v>2</v>
      </c>
      <c r="BB44" s="16">
        <f t="shared" si="68"/>
        <v>18</v>
      </c>
      <c r="BC44" s="16">
        <f t="shared" si="69"/>
        <v>12.5</v>
      </c>
      <c r="BD44" s="16">
        <f t="shared" si="70"/>
        <v>7</v>
      </c>
      <c r="BE44" s="17">
        <f t="shared" si="71"/>
        <v>0.93466666666666665</v>
      </c>
      <c r="BF44" s="16">
        <f t="shared" si="72"/>
        <v>0</v>
      </c>
      <c r="BG44" s="16">
        <f>VLOOKUP($H44,Constants!$I:$K, 2, FALSE)</f>
        <v>1</v>
      </c>
      <c r="BH44" s="16">
        <f>VLOOKUP($H44,Constants!$I:$K, 3, FALSE)*IF(AND(G44="multiple_unit",AB44&lt;110),0.75,1)</f>
        <v>2</v>
      </c>
      <c r="BI44" s="16">
        <f>INT(POWER(((Constants!$G$2+$BB44+$BC44+$BD44+$BF44)*$BE44)*$BH44, 1.05))+$BA44</f>
        <v>100</v>
      </c>
      <c r="BJ44" s="16">
        <f>INT(POWER((((Constants!$G$1+$BB44+$BC44+$BD44+$BF44)*($BE44))*$BG44),IF($G44="wagon",1,1.2)))+$AZ44</f>
        <v>115</v>
      </c>
      <c r="BK44" s="19">
        <f t="shared" si="73"/>
        <v>78125</v>
      </c>
      <c r="BL44" s="19">
        <f t="shared" si="74"/>
        <v>9343.75</v>
      </c>
      <c r="BU44">
        <v>6</v>
      </c>
      <c r="BZ44" s="22" t="str">
        <f>VLOOKUP(J44,Eras!$A$2:$C$10, 2, TRUE)</f>
        <v>ebr</v>
      </c>
      <c r="CA44" t="s">
        <v>64</v>
      </c>
      <c r="CB44" s="22" t="str">
        <f t="shared" si="75"/>
        <v>ebr_Freight</v>
      </c>
      <c r="CC44" s="22" t="str">
        <f t="shared" si="76"/>
        <v>gas_turbine_RAIL</v>
      </c>
      <c r="CD44" s="25" t="str" cm="1">
        <f t="array" ref="CD44">IF(AN44&lt;&gt;"na", _xlfn.CONCAT("{BLACK}Length: {GOLD}", TEXT(ROUNDUP(IF(AQ44&lt;&gt;"",SUM(VALUE(_xlfn.TEXTSPLIT(AQ44, ","))), SUM(VALUE(_xlfn.TEXTSPLIT(AN44, ",")))*IF(M44, M44, 1))/16, 1),"#,##0.0"), " tiles{}"), "")</f>
        <v>{BLACK}Length: {GOLD}0.7 tiles{}</v>
      </c>
      <c r="CE44" s="22" t="str">
        <f>VLOOKUP($CC44, Constants!$M:$N, 2, FALSE)</f>
        <v>{BLACK}Powered by: {GOLD}Gas Turbine</v>
      </c>
      <c r="CF44" s="22" t="str">
        <f t="shared" si="175"/>
        <v/>
      </c>
      <c r="CG44" t="s">
        <v>398</v>
      </c>
      <c r="CH44" t="str">
        <f t="shared" si="26"/>
        <v/>
      </c>
      <c r="CI44" t="str">
        <f t="shared" si="13"/>
        <v/>
      </c>
      <c r="CJ44" t="str">
        <f t="shared" si="27"/>
        <v>{BLACK}Powered by: {GOLD}Gas Turbine {}{BLACK}Length: {GOLD}0.7 tiles{}{SILVER}Originally ordered by the GWR, the 18000 used a gas turbine to match the power output of the King Class. This resulted in it being unreliable and expensive to run.</v>
      </c>
    </row>
    <row r="45" spans="1:88" x14ac:dyDescent="0.35">
      <c r="A45" t="s">
        <v>451</v>
      </c>
      <c r="B45" t="s">
        <v>452</v>
      </c>
      <c r="C45">
        <v>1571</v>
      </c>
      <c r="E45">
        <v>22</v>
      </c>
      <c r="F45" t="s">
        <v>486</v>
      </c>
      <c r="G45" t="s">
        <v>235</v>
      </c>
      <c r="H45" t="s">
        <v>26</v>
      </c>
      <c r="I45" t="s">
        <v>28</v>
      </c>
      <c r="J45">
        <v>1957</v>
      </c>
      <c r="K45">
        <v>1961</v>
      </c>
      <c r="L45">
        <v>1993</v>
      </c>
      <c r="N45">
        <v>200</v>
      </c>
      <c r="W45">
        <v>30</v>
      </c>
      <c r="Z45">
        <v>70</v>
      </c>
      <c r="AA45" s="3">
        <f t="shared" si="65"/>
        <v>0.23333333333333334</v>
      </c>
      <c r="AB45">
        <v>28</v>
      </c>
      <c r="AC45">
        <f t="shared" si="64"/>
        <v>45</v>
      </c>
      <c r="AF45">
        <v>8</v>
      </c>
      <c r="AG45">
        <v>9.5</v>
      </c>
      <c r="AK45" s="14" t="str">
        <f>CONCATENATE(VLOOKUP(AL45, 'Voxel Sizes'!$A$2:$B$18,2,FALSE),"x",INT(AH45*15), "x", INT(AI45*15))</f>
        <v>102x0x0</v>
      </c>
      <c r="AL45" s="14">
        <f t="shared" si="66"/>
        <v>6</v>
      </c>
      <c r="AN45" s="14" t="str">
        <f>CONCATENATE(VLOOKUP(AL45,Constants!$A$2:$C$16,IF(AM45&lt;&gt;"", 3, 2), FALSE),IF(AM45&lt;&gt;"",CONCATENATE(",",VLOOKUP(AM45,$B:$AN,39,FALSE)),""))</f>
        <v>2,2,2</v>
      </c>
      <c r="AV45">
        <v>1</v>
      </c>
      <c r="AX45">
        <v>40</v>
      </c>
      <c r="AY45" s="14">
        <f>IF(L45&lt;&gt;"",MAX(16,(L45-J45)+8),"")</f>
        <v>44</v>
      </c>
      <c r="BB45" s="16">
        <f t="shared" ref="BB45" si="178">MIN(AB45/150, 1)*30</f>
        <v>5.6000000000000005</v>
      </c>
      <c r="BC45" s="16">
        <f t="shared" ref="BC45" si="179">MIN(N45/4000, 1)*20</f>
        <v>1</v>
      </c>
      <c r="BD45" s="16">
        <f t="shared" ref="BD45" si="180">MIN(Z45/400,1)*20</f>
        <v>3.5</v>
      </c>
      <c r="BE45" s="17">
        <f t="shared" ref="BE45" si="181">1-(MAX(J45-1900, 0)/750)</f>
        <v>0.92400000000000004</v>
      </c>
      <c r="BF45" s="16">
        <f t="shared" ref="BF45" si="182">((MAX($M45,1)*MIN($AJ45/300,1)))*IF(G45="Wagon",50,10)</f>
        <v>0</v>
      </c>
      <c r="BG45" s="16">
        <f>VLOOKUP($H45,Constants!$I:$K, 2, FALSE)</f>
        <v>1</v>
      </c>
      <c r="BH45" s="16">
        <f>VLOOKUP($H45,Constants!$I:$K, 3, FALSE)*IF(AND(G45="multiple_unit",AB45&lt;110),0.75,1)</f>
        <v>2</v>
      </c>
      <c r="BI45" s="16">
        <f>INT(POWER(((Constants!$G$2+$BB45+$BC45+$BD45+$BF45)*$BE45)*$BH45, 1.05))+$BA45</f>
        <v>32</v>
      </c>
      <c r="BJ45" s="16">
        <f>INT(POWER((((Constants!$G$1+$BB45+$BC45+$BD45+$BF45)*($BE45))*$BG45),IF($G45="wagon",1,1.2)))+$AZ45</f>
        <v>43</v>
      </c>
      <c r="BK45" s="19">
        <f t="shared" ref="BK45" si="183">BI45*IF($G45="wagon",62.5,781.25)</f>
        <v>25000</v>
      </c>
      <c r="BL45" s="19">
        <f t="shared" ref="BL45" si="184">BJ45*IF($G45="wagon",2.73,81.25)</f>
        <v>3493.75</v>
      </c>
      <c r="BU45">
        <v>8</v>
      </c>
      <c r="BZ45" t="s">
        <v>55</v>
      </c>
      <c r="CA45" t="s">
        <v>61</v>
      </c>
      <c r="CB45" t="str">
        <f>CONCATENATE(BZ45,"_",CA45)</f>
        <v>dsl_Cheap</v>
      </c>
      <c r="CC45" t="str">
        <f>_xlfn.CONCAT(H45, "_",I45)</f>
        <v>diesel_RAIL</v>
      </c>
      <c r="CD45" s="25" t="str" cm="1">
        <f t="array" ref="CD45">IF(AN45&lt;&gt;"na", _xlfn.CONCAT("{BLACK}Length: {GOLD}", TEXT(ROUNDUP(IF(AQ45&lt;&gt;"",SUM(VALUE(_xlfn.TEXTSPLIT(AQ45, ","))), SUM(VALUE(_xlfn.TEXTSPLIT(AN45, ",")))*IF(M45, M45, 1))/16, 1),"#,##0.0"), " tiles{}"), "")</f>
        <v>{BLACK}Length: {GOLD}0.4 tiles{}</v>
      </c>
      <c r="CE45" s="22" t="str">
        <f>VLOOKUP($CC45, Constants!$M:$N, 2, FALSE)</f>
        <v>{BLACK}Powered by: {GOLD}Diesel</v>
      </c>
      <c r="CF45" s="22" t="str">
        <f t="shared" si="175"/>
        <v/>
      </c>
      <c r="CG45" t="s">
        <v>453</v>
      </c>
      <c r="CH45" t="str">
        <f t="shared" si="26"/>
        <v/>
      </c>
      <c r="CI45" t="str">
        <f t="shared" si="13"/>
        <v/>
      </c>
      <c r="CJ45" t="str">
        <f t="shared" si="27"/>
        <v>{BLACK}Powered by: {GOLD}Diesel {}{BLACK}Length: {GOLD}0.4 tiles{}{SILVER}The Class 03 is a diesel-mechanical shunter, with a five speed manual gearbox driven through a fluid coupling. They were most useful in areas where the Class 08 was too large and heavy to operate.</v>
      </c>
    </row>
    <row r="46" spans="1:88" x14ac:dyDescent="0.35">
      <c r="A46" t="s">
        <v>342</v>
      </c>
      <c r="B46" t="s">
        <v>344</v>
      </c>
      <c r="C46">
        <v>2611</v>
      </c>
      <c r="E46">
        <v>23</v>
      </c>
      <c r="F46" t="s">
        <v>486</v>
      </c>
      <c r="G46" t="s">
        <v>235</v>
      </c>
      <c r="H46" t="s">
        <v>26</v>
      </c>
      <c r="I46" t="s">
        <v>28</v>
      </c>
      <c r="J46">
        <v>1961</v>
      </c>
      <c r="L46">
        <v>1978</v>
      </c>
      <c r="N46">
        <v>2880</v>
      </c>
      <c r="W46">
        <v>117</v>
      </c>
      <c r="Z46">
        <v>266</v>
      </c>
      <c r="AA46" s="3">
        <f t="shared" si="65"/>
        <v>0.22735042735042735</v>
      </c>
      <c r="AB46">
        <v>100</v>
      </c>
      <c r="AC46">
        <f t="shared" si="64"/>
        <v>160</v>
      </c>
      <c r="AF46">
        <v>20.98</v>
      </c>
      <c r="AG46">
        <v>20.98</v>
      </c>
      <c r="AH46">
        <v>2.69</v>
      </c>
      <c r="AI46">
        <v>3.91</v>
      </c>
      <c r="AK46" s="14" t="str">
        <f>CONCATENATE(VLOOKUP(AL46, 'Voxel Sizes'!$A$2:$B$18,2,FALSE),"x",INT(AH46*15), "x", INT(AI46*15))</f>
        <v>198x40x58</v>
      </c>
      <c r="AL46" s="14">
        <f t="shared" si="66"/>
        <v>12</v>
      </c>
      <c r="AN46" s="14" t="str">
        <f>CONCATENATE(VLOOKUP(AL46,Constants!$A$2:$C$16,IF(AM46&lt;&gt;"", 3, 2), FALSE),IF(AM46&lt;&gt;"",CONCATENATE(",",VLOOKUP(AM46,$B:$AN,39,FALSE)),""))</f>
        <v>4,4,4</v>
      </c>
      <c r="AX46">
        <v>22</v>
      </c>
      <c r="AY46" s="14">
        <f t="shared" si="67"/>
        <v>25</v>
      </c>
      <c r="AZ46">
        <v>2</v>
      </c>
      <c r="BA46">
        <v>3</v>
      </c>
      <c r="BB46" s="16">
        <f t="shared" si="68"/>
        <v>20</v>
      </c>
      <c r="BC46" s="16">
        <f t="shared" si="69"/>
        <v>14.399999999999999</v>
      </c>
      <c r="BD46" s="16">
        <f t="shared" si="70"/>
        <v>13.3</v>
      </c>
      <c r="BE46" s="17">
        <f t="shared" si="71"/>
        <v>0.91866666666666663</v>
      </c>
      <c r="BF46" s="16">
        <f t="shared" si="72"/>
        <v>0</v>
      </c>
      <c r="BG46" s="16">
        <f>VLOOKUP($H46,Constants!$I:$K, 2, FALSE)</f>
        <v>1</v>
      </c>
      <c r="BH46" s="16">
        <f>VLOOKUP($H46,Constants!$I:$K, 3, FALSE)*IF(AND(G46="multiple_unit",AB46&lt;110),0.75,1)</f>
        <v>2</v>
      </c>
      <c r="BI46" s="16">
        <f>INT(POWER(((Constants!$G$2+$BB46+$BC46+$BD46+$BF46)*$BE46)*$BH46, 1.05))+$BA46</f>
        <v>124</v>
      </c>
      <c r="BJ46" s="16">
        <f>INT(POWER((((Constants!$G$1+$BB46+$BC46+$BD46+$BF46)*($BE46))*$BG46),IF($G46="wagon",1,1.2)))+$AZ46</f>
        <v>131</v>
      </c>
      <c r="BK46" s="19">
        <f t="shared" si="73"/>
        <v>96875</v>
      </c>
      <c r="BL46" s="19">
        <f t="shared" si="74"/>
        <v>10643.75</v>
      </c>
      <c r="BU46">
        <v>6</v>
      </c>
      <c r="BZ46" s="22" t="str">
        <f>VLOOKUP(J46,Eras!$A$2:$C$10, 2, TRUE)</f>
        <v>dsl</v>
      </c>
      <c r="CA46" t="s">
        <v>64</v>
      </c>
      <c r="CB46" s="22" t="str">
        <f t="shared" si="75"/>
        <v>dsl_Freight</v>
      </c>
      <c r="CC46" s="22" t="str">
        <f t="shared" si="76"/>
        <v>diesel_RAIL</v>
      </c>
      <c r="CD46" s="25" t="str" cm="1">
        <f t="array" ref="CD46">IF(AN46&lt;&gt;"na", _xlfn.CONCAT("{BLACK}Length: {GOLD}", TEXT(ROUNDUP(IF(AQ46&lt;&gt;"",SUM(VALUE(_xlfn.TEXTSPLIT(AQ46, ","))), SUM(VALUE(_xlfn.TEXTSPLIT(AN46, ",")))*IF(M46, M46, 1))/16, 1),"#,##0.0"), " tiles{}"), "")</f>
        <v>{BLACK}Length: {GOLD}0.8 tiles{}</v>
      </c>
      <c r="CE46" s="22" t="str">
        <f>VLOOKUP($CC46, Constants!$M:$N, 2, FALSE)</f>
        <v>{BLACK}Powered by: {GOLD}Diesel</v>
      </c>
      <c r="CF46" s="22" t="str">
        <f t="shared" si="175"/>
        <v/>
      </c>
      <c r="CG46" t="s">
        <v>343</v>
      </c>
      <c r="CH46" t="str">
        <f t="shared" si="26"/>
        <v/>
      </c>
      <c r="CI46" t="str">
        <f t="shared" si="13"/>
        <v/>
      </c>
      <c r="CJ46" t="str">
        <f t="shared" si="27"/>
        <v>{BLACK}Powered by: {GOLD}Diesel {}{BLACK}Length: {GOLD}0.8 tiles{}{SILVER}Brush's "Falcon" was a prototype for a new generation of Type 4 locomotives, but advances in single-engined diesel made the Falcon with its two Maybach diesels obsolete at the point of introduction.</v>
      </c>
    </row>
    <row r="47" spans="1:88" x14ac:dyDescent="0.35">
      <c r="A47" t="s">
        <v>337</v>
      </c>
      <c r="B47" t="s">
        <v>311</v>
      </c>
      <c r="C47">
        <v>2671</v>
      </c>
      <c r="E47">
        <v>24</v>
      </c>
      <c r="F47" t="s">
        <v>486</v>
      </c>
      <c r="G47" t="s">
        <v>235</v>
      </c>
      <c r="H47" t="s">
        <v>26</v>
      </c>
      <c r="I47" t="s">
        <v>28</v>
      </c>
      <c r="J47">
        <v>1967</v>
      </c>
      <c r="L47">
        <v>1982</v>
      </c>
      <c r="N47">
        <v>4000</v>
      </c>
      <c r="W47">
        <v>126</v>
      </c>
      <c r="Z47">
        <v>270</v>
      </c>
      <c r="AA47" s="3">
        <f t="shared" si="65"/>
        <v>0.21428571428571427</v>
      </c>
      <c r="AB47">
        <v>110</v>
      </c>
      <c r="AC47">
        <f t="shared" si="64"/>
        <v>176</v>
      </c>
      <c r="AF47">
        <v>20.27</v>
      </c>
      <c r="AG47">
        <v>20.27</v>
      </c>
      <c r="AH47">
        <v>2.69</v>
      </c>
      <c r="AI47">
        <v>3.91</v>
      </c>
      <c r="AK47" s="14" t="str">
        <f>CONCATENATE(VLOOKUP(AL47, 'Voxel Sizes'!$A$2:$B$18,2,FALSE),"x",INT(AH47*15), "x", INT(AI47*15))</f>
        <v>198x40x58</v>
      </c>
      <c r="AL47" s="14">
        <f t="shared" si="66"/>
        <v>12</v>
      </c>
      <c r="AN47" s="14" t="str">
        <f>CONCATENATE(VLOOKUP(AL47,Constants!$A$2:$C$16,IF(AM47&lt;&gt;"", 3, 2), FALSE),IF(AM47&lt;&gt;"",CONCATENATE(",",VLOOKUP(AM47,$B:$AN,39,FALSE)),""))</f>
        <v>4,4,4</v>
      </c>
      <c r="AX47">
        <v>21</v>
      </c>
      <c r="AY47" s="14">
        <f t="shared" si="67"/>
        <v>23</v>
      </c>
      <c r="BA47">
        <v>2</v>
      </c>
      <c r="BB47" s="16">
        <f t="shared" si="68"/>
        <v>22</v>
      </c>
      <c r="BC47" s="16">
        <f t="shared" si="69"/>
        <v>20</v>
      </c>
      <c r="BD47" s="16">
        <f t="shared" si="70"/>
        <v>13.5</v>
      </c>
      <c r="BE47" s="17">
        <f t="shared" si="71"/>
        <v>0.91066666666666662</v>
      </c>
      <c r="BF47" s="16">
        <f t="shared" si="72"/>
        <v>0</v>
      </c>
      <c r="BG47" s="16">
        <f>VLOOKUP($H47,Constants!$I:$K, 2, FALSE)</f>
        <v>1</v>
      </c>
      <c r="BH47" s="16">
        <f>VLOOKUP($H47,Constants!$I:$K, 3, FALSE)*IF(AND(G47="multiple_unit",AB47&lt;110),0.75,1)</f>
        <v>2</v>
      </c>
      <c r="BI47" s="16">
        <f>INT(POWER(((Constants!$G$2+$BB47+$BC47+$BD47+$BF47)*$BE47)*$BH47, 1.05))+$BA47</f>
        <v>141</v>
      </c>
      <c r="BJ47" s="16">
        <f>INT(POWER((((Constants!$G$1+$BB47+$BC47+$BD47+$BF47)*($BE47))*$BG47),IF($G47="wagon",1,1.2)))+$AZ47</f>
        <v>147</v>
      </c>
      <c r="BK47" s="19">
        <f t="shared" si="73"/>
        <v>110156.25</v>
      </c>
      <c r="BL47" s="19">
        <f t="shared" si="74"/>
        <v>11943.75</v>
      </c>
      <c r="BU47">
        <v>6</v>
      </c>
      <c r="BZ47" s="22" t="str">
        <f>VLOOKUP(J47,Eras!$A$2:$C$10, 2, TRUE)</f>
        <v>dsl</v>
      </c>
      <c r="CA47" t="s">
        <v>64</v>
      </c>
      <c r="CB47" s="22" t="str">
        <f t="shared" si="75"/>
        <v>dsl_Freight</v>
      </c>
      <c r="CC47" s="22" t="str">
        <f t="shared" si="76"/>
        <v>diesel_RAIL</v>
      </c>
      <c r="CD47" s="25" t="str" cm="1">
        <f t="array" ref="CD47">IF(AN47&lt;&gt;"na", _xlfn.CONCAT("{BLACK}Length: {GOLD}", TEXT(ROUNDUP(IF(AQ47&lt;&gt;"",SUM(VALUE(_xlfn.TEXTSPLIT(AQ47, ","))), SUM(VALUE(_xlfn.TEXTSPLIT(AN47, ",")))*IF(M47, M47, 1))/16, 1),"#,##0.0"), " tiles{}"), "")</f>
        <v>{BLACK}Length: {GOLD}0.8 tiles{}</v>
      </c>
      <c r="CE47" s="22" t="str">
        <f>VLOOKUP($CC47, Constants!$M:$N, 2, FALSE)</f>
        <v>{BLACK}Powered by: {GOLD}Diesel</v>
      </c>
      <c r="CF47" s="22" t="str">
        <f t="shared" si="175"/>
        <v/>
      </c>
      <c r="CG47" t="s">
        <v>341</v>
      </c>
      <c r="CH47" t="str">
        <f t="shared" si="26"/>
        <v/>
      </c>
      <c r="CI47" t="str">
        <f t="shared" si="13"/>
        <v/>
      </c>
      <c r="CJ47" t="str">
        <f t="shared" si="27"/>
        <v>{BLACK}Powered by: {GOLD}Diesel {}{BLACK}Length: {GOLD}0.8 tiles{}{SILVER}The Brush "Kestrel" was a prototype high speed diesel locomotive. After a brief period of service in the UK it was sold to the Soviet Union, where it was re-gauged and used for testing.</v>
      </c>
    </row>
    <row r="48" spans="1:88" x14ac:dyDescent="0.35">
      <c r="A48" t="s">
        <v>354</v>
      </c>
      <c r="B48" t="s">
        <v>353</v>
      </c>
      <c r="C48">
        <v>2791</v>
      </c>
      <c r="E48">
        <v>500</v>
      </c>
      <c r="F48" t="s">
        <v>486</v>
      </c>
      <c r="G48" t="s">
        <v>235</v>
      </c>
      <c r="H48" t="s">
        <v>352</v>
      </c>
      <c r="I48" t="s">
        <v>28</v>
      </c>
      <c r="J48">
        <v>1979</v>
      </c>
      <c r="N48">
        <v>50</v>
      </c>
      <c r="W48">
        <v>33</v>
      </c>
      <c r="Y48">
        <v>5</v>
      </c>
      <c r="Z48">
        <v>5</v>
      </c>
      <c r="AA48" s="3">
        <f>IF(AND(W48&gt;0,Z48&gt;0),(Z48/((W48+X48)*10)),"")</f>
        <v>1.5151515151515152E-2</v>
      </c>
      <c r="AB48">
        <v>100</v>
      </c>
      <c r="AC48">
        <f>ROUND(AB48*1.6, 0)</f>
        <v>160</v>
      </c>
      <c r="AF48">
        <v>20.12</v>
      </c>
      <c r="AG48">
        <v>20.12</v>
      </c>
      <c r="AJ48" s="9">
        <v>36</v>
      </c>
      <c r="AK48" s="14" t="str">
        <f>CONCATENATE(VLOOKUP(AL48, 'Voxel Sizes'!$A$2:$B$18,2,FALSE),"x",INT(AH48*15), "x", INT(AI48*15))</f>
        <v>198x0x0</v>
      </c>
      <c r="AL48" s="14">
        <f>ROUND(15*((AG48*10)/256),0)</f>
        <v>12</v>
      </c>
      <c r="AN48" s="14" t="str">
        <f>CONCATENATE(VLOOKUP(AL48,Constants!$A$2:$C$16,IF(AM48&lt;&gt;"", 3, 2), FALSE),IF(AM48&lt;&gt;"",CONCATENATE(",",VLOOKUP(AM48,$B:$AN,39,FALSE)),""))</f>
        <v>4,4,4</v>
      </c>
      <c r="AX48">
        <v>33</v>
      </c>
      <c r="AY48" s="14" t="str">
        <f>IF(L48&lt;&gt;"",MAX(16,(L48-J48)+8),"")</f>
        <v/>
      </c>
      <c r="AZ48">
        <v>-35</v>
      </c>
      <c r="BA48">
        <v>-52</v>
      </c>
      <c r="BB48" s="16">
        <f>MIN(AB48/150, 1)*30</f>
        <v>20</v>
      </c>
      <c r="BC48" s="16">
        <f>MIN(N48/4000, 1)*20</f>
        <v>0.25</v>
      </c>
      <c r="BD48" s="16">
        <f>MIN(Z48/400,1)*20</f>
        <v>0.25</v>
      </c>
      <c r="BE48" s="17">
        <f>1-(MAX(J48-1900, 0)/750)</f>
        <v>0.89466666666666672</v>
      </c>
      <c r="BF48" s="16">
        <f>((MAX($M48,1)*MIN($AJ48/300,1)))*IF(G48="Wagon",50,10)</f>
        <v>1.2</v>
      </c>
      <c r="BG48" s="16">
        <f>VLOOKUP($H48,Constants!$I:$K, 2, FALSE)</f>
        <v>0.85</v>
      </c>
      <c r="BH48" s="16">
        <f>VLOOKUP($H48,Constants!$I:$K, 3, FALSE)*IF(AND(G48="multiple_unit",AB48&lt;110),0.75,1)</f>
        <v>2.2999999999999998</v>
      </c>
      <c r="BI48" s="16">
        <f>INT(POWER(((Constants!$G$2+$BB48+$BC48+$BD48+$BF48)*$BE48)*$BH48, 1.05))+$BA48</f>
        <v>15</v>
      </c>
      <c r="BJ48" s="16">
        <f>INT(POWER((((Constants!$G$1+$BB48+$BC48+$BD48+$BF48)*($BE48))*$BG48),IF($G48="wagon",1,1.2)))+$AZ48</f>
        <v>19</v>
      </c>
      <c r="BK48" s="19">
        <f>BI48*IF($G48="wagon",62.5,781.25)</f>
        <v>11718.75</v>
      </c>
      <c r="BL48" s="19">
        <f>BJ48*IF($G48="wagon",2.73,81.25)</f>
        <v>1543.75</v>
      </c>
      <c r="BM48">
        <v>1</v>
      </c>
      <c r="BN48">
        <v>1</v>
      </c>
      <c r="BU48">
        <v>7</v>
      </c>
      <c r="BX48" t="s">
        <v>142</v>
      </c>
      <c r="BY48" t="s">
        <v>34</v>
      </c>
      <c r="BZ48" s="22" t="str">
        <f>VLOOKUP(J48,Eras!$A$2:$C$10, 2, TRUE)</f>
        <v>lbr</v>
      </c>
      <c r="CA48" t="s">
        <v>73</v>
      </c>
      <c r="CB48" s="22" t="str">
        <f>CONCATENATE(BZ48,"_",CA48)</f>
        <v>lbr_Express (Electric)</v>
      </c>
      <c r="CC48" s="22" t="str">
        <f>_xlfn.CONCAT(H48, "_",I48)</f>
        <v>none_RAIL</v>
      </c>
      <c r="CD48" s="25" t="str" cm="1">
        <f t="array" ref="CD48">IF(AN48&lt;&gt;"na", _xlfn.CONCAT("{BLACK}Length: {GOLD}", TEXT(ROUNDUP(IF(AQ48&lt;&gt;"",SUM(VALUE(_xlfn.TEXTSPLIT(AQ48, ","))), SUM(VALUE(_xlfn.TEXTSPLIT(AN48, ",")))*IF(M48, M48, 1))/16, 1),"#,##0.0"), " tiles{}"), "")</f>
        <v>{BLACK}Length: {GOLD}0.8 tiles{}</v>
      </c>
      <c r="CE48" s="22" t="str">
        <f>VLOOKUP($CC48, Constants!$M:$N, 2, FALSE)</f>
        <v/>
      </c>
      <c r="CF48" s="22" t="str">
        <f t="shared" si="175"/>
        <v/>
      </c>
      <c r="CG48" t="s">
        <v>355</v>
      </c>
      <c r="CH48" t="str">
        <f t="shared" si="26"/>
        <v/>
      </c>
      <c r="CI48" t="str">
        <f t="shared" si="13"/>
        <v/>
      </c>
      <c r="CJ48" t="str">
        <f t="shared" si="27"/>
        <v>{BLACK}Length: {GOLD}0.8 tiles{}{SILVER}The DBSO is a driving trailer built from a converted Mk2F carriage. They were first used with Class 47 locomotives for a push-pull service that could be driven from either end.</v>
      </c>
    </row>
    <row r="49" spans="1:88" x14ac:dyDescent="0.35">
      <c r="A49" t="s">
        <v>504</v>
      </c>
      <c r="B49" t="s">
        <v>505</v>
      </c>
      <c r="C49">
        <v>2171</v>
      </c>
      <c r="E49">
        <v>501</v>
      </c>
      <c r="F49" t="s">
        <v>486</v>
      </c>
      <c r="G49" t="s">
        <v>235</v>
      </c>
      <c r="H49" t="s">
        <v>352</v>
      </c>
      <c r="I49" t="s">
        <v>28</v>
      </c>
      <c r="J49">
        <v>2017</v>
      </c>
      <c r="N49">
        <v>50</v>
      </c>
      <c r="W49">
        <v>40</v>
      </c>
      <c r="Y49">
        <v>5</v>
      </c>
      <c r="Z49">
        <v>5</v>
      </c>
      <c r="AA49" s="3">
        <f t="shared" ref="AA49" si="185">IF(AND(W49&gt;0,Z49&gt;0),(Z49/((W49+X49)*10)),"")</f>
        <v>1.2500000000000001E-2</v>
      </c>
      <c r="AB49">
        <v>125</v>
      </c>
      <c r="AC49">
        <f t="shared" ref="AC49" si="186">ROUND(AB49*1.6, 0)</f>
        <v>200</v>
      </c>
      <c r="AF49">
        <v>23</v>
      </c>
      <c r="AG49">
        <v>23</v>
      </c>
      <c r="AJ49" s="9">
        <v>57</v>
      </c>
      <c r="AK49" s="14" t="str">
        <f>CONCATENATE(VLOOKUP(AL49, 'Voxel Sizes'!$A$2:$B$18,2,FALSE),"x",INT(AH49*15), "x", INT(AI49*15))</f>
        <v>214x0x0</v>
      </c>
      <c r="AL49" s="14">
        <f t="shared" ref="AL49" si="187">ROUND(15*((AG49*10)/256),0)</f>
        <v>13</v>
      </c>
      <c r="AN49" s="14" t="str">
        <f>CONCATENATE(VLOOKUP(AL49,Constants!$A$2:$C$16,IF(AM49&lt;&gt;"", 3, 2), FALSE),IF(AM49&lt;&gt;"",CONCATENATE(",",VLOOKUP(AM49,$B:$AN,39,FALSE)),""))</f>
        <v>4,5,4</v>
      </c>
      <c r="AX49">
        <v>30</v>
      </c>
      <c r="AY49" s="14" t="str">
        <f t="shared" ref="AY49" si="188">IF(L49&lt;&gt;"",MAX(16,(L49-J49)+8),"")</f>
        <v/>
      </c>
      <c r="AZ49">
        <v>-35</v>
      </c>
      <c r="BA49">
        <v>-57</v>
      </c>
      <c r="BB49" s="16">
        <f t="shared" ref="BB49" si="189">MIN(AB49/150, 1)*30</f>
        <v>25</v>
      </c>
      <c r="BC49" s="16">
        <f t="shared" ref="BC49" si="190">MIN(N49/4000, 1)*20</f>
        <v>0.25</v>
      </c>
      <c r="BD49" s="16">
        <f t="shared" ref="BD49" si="191">MIN(Z49/400,1)*20</f>
        <v>0.25</v>
      </c>
      <c r="BE49" s="17">
        <f t="shared" ref="BE49" si="192">1-(MAX(J49-1900, 0)/750)</f>
        <v>0.84399999999999997</v>
      </c>
      <c r="BF49" s="16">
        <f t="shared" ref="BF49" si="193">((MAX($M49,1)*MIN($AJ49/300,1)))*IF(G49="Wagon",50,10)</f>
        <v>1.9</v>
      </c>
      <c r="BG49" s="16">
        <f>VLOOKUP($H49,Constants!$I:$K, 2, FALSE)</f>
        <v>0.85</v>
      </c>
      <c r="BH49" s="16">
        <f>VLOOKUP($H49,Constants!$I:$K, 3, FALSE)*IF(AND(G49="multiple_unit",AB49&lt;110),0.75,1)</f>
        <v>2.2999999999999998</v>
      </c>
      <c r="BI49" s="16">
        <f>INT(POWER(((Constants!$G$2+$BB49+$BC49+$BD49+$BF49)*$BE49)*$BH49, 1.05))+$BA49</f>
        <v>20</v>
      </c>
      <c r="BJ49" s="16">
        <f>INT(POWER((((Constants!$G$1+$BB49+$BC49+$BD49+$BF49)*($BE49))*$BG49),IF($G49="wagon",1,1.2)))+$AZ49</f>
        <v>25</v>
      </c>
      <c r="BK49" s="19">
        <f t="shared" ref="BK49" si="194">BI49*IF($G49="wagon",62.5,781.25)</f>
        <v>15625</v>
      </c>
      <c r="BL49" s="19">
        <f t="shared" ref="BL49" si="195">BJ49*IF($G49="wagon",2.73,81.25)</f>
        <v>2031.25</v>
      </c>
      <c r="BM49">
        <v>1</v>
      </c>
      <c r="BN49">
        <v>1</v>
      </c>
      <c r="BU49">
        <v>1</v>
      </c>
      <c r="BV49">
        <v>222</v>
      </c>
      <c r="BX49" t="s">
        <v>142</v>
      </c>
      <c r="BY49" t="s">
        <v>34</v>
      </c>
      <c r="BZ49" s="22" t="str">
        <f>VLOOKUP(J49,Eras!$A$2:$C$10, 2, TRUE)</f>
        <v>mod</v>
      </c>
      <c r="CA49" t="s">
        <v>73</v>
      </c>
      <c r="CB49" s="22" t="str">
        <f t="shared" ref="CB49" si="196">CONCATENATE(BZ49,"_",CA49)</f>
        <v>mod_Express (Electric)</v>
      </c>
      <c r="CC49" s="22" t="str">
        <f t="shared" ref="CC49" si="197">_xlfn.CONCAT(H49, "_",I49)</f>
        <v>none_RAIL</v>
      </c>
      <c r="CD49" s="25" t="str" cm="1">
        <f t="array" ref="CD49">IF(AN49&lt;&gt;"na", _xlfn.CONCAT("{BLACK}Length: {GOLD}", TEXT(ROUNDUP(IF(AQ49&lt;&gt;"",SUM(VALUE(_xlfn.TEXTSPLIT(AQ49, ","))), SUM(VALUE(_xlfn.TEXTSPLIT(AN49, ",")))*IF(M49, M49, 1))/16, 1),"#,##0.0"), " tiles{}"), "")</f>
        <v>{BLACK}Length: {GOLD}0.9 tiles{}</v>
      </c>
      <c r="CE49" s="22" t="str">
        <f>VLOOKUP($CC49, Constants!$M:$N, 2, FALSE)</f>
        <v/>
      </c>
      <c r="CF49" s="22" t="str">
        <f t="shared" si="175"/>
        <v/>
      </c>
      <c r="CG49" t="s">
        <v>506</v>
      </c>
      <c r="CH49" t="str">
        <f t="shared" si="26"/>
        <v/>
      </c>
      <c r="CI49" t="str">
        <f t="shared" si="13"/>
        <v>{YELLOW}20% bonus for long distance travel{}</v>
      </c>
      <c r="CJ49" t="str">
        <f t="shared" si="27"/>
        <v>{BLACK}Length: {GOLD}0.9 tiles{}{YELLOW}20% bonus for long distance travel{}{SILVER}Mark 5A carriage sets include a driving van trailer, enabling loco-hauled trains to be driven from both ends.</v>
      </c>
    </row>
    <row r="50" spans="1:88" x14ac:dyDescent="0.35">
      <c r="A50" t="s">
        <v>312</v>
      </c>
      <c r="B50" t="s">
        <v>313</v>
      </c>
      <c r="E50">
        <v>-1</v>
      </c>
      <c r="G50" t="s">
        <v>15</v>
      </c>
      <c r="H50" t="s">
        <v>32</v>
      </c>
      <c r="I50" t="s">
        <v>28</v>
      </c>
      <c r="AA50" s="3" t="str">
        <f t="shared" si="65"/>
        <v/>
      </c>
      <c r="AC50">
        <f t="shared" si="64"/>
        <v>0</v>
      </c>
      <c r="AK50" s="14" t="str">
        <f>CONCATENATE(VLOOKUP(AL50, 'Voxel Sizes'!$A$2:$B$18,2,FALSE),"x",INT(AH50*15), "x", INT(AI50*15))</f>
        <v>0x0x0</v>
      </c>
      <c r="AL50" s="14">
        <f t="shared" si="66"/>
        <v>0</v>
      </c>
      <c r="AN50" s="14" t="str">
        <f>CONCATENATE(VLOOKUP(AL50,Constants!$A$2:$C$16,IF(AM50&lt;&gt;"", 3, 2), FALSE),IF(AM50&lt;&gt;"",CONCATENATE(",",VLOOKUP(AM50,$B:$AN,39,FALSE)),""))</f>
        <v>na</v>
      </c>
      <c r="AY50" s="14" t="str">
        <f t="shared" si="67"/>
        <v/>
      </c>
      <c r="BB50" s="16">
        <f t="shared" si="68"/>
        <v>0</v>
      </c>
      <c r="BC50" s="16">
        <f t="shared" si="69"/>
        <v>0</v>
      </c>
      <c r="BD50" s="16">
        <f t="shared" si="70"/>
        <v>0</v>
      </c>
      <c r="BE50" s="17">
        <f t="shared" si="71"/>
        <v>1</v>
      </c>
      <c r="BF50" s="16">
        <f t="shared" si="72"/>
        <v>0</v>
      </c>
      <c r="BG50" s="16">
        <f>VLOOKUP($H50,Constants!$I:$K, 2, FALSE)</f>
        <v>1</v>
      </c>
      <c r="BH50" s="16">
        <f>VLOOKUP($H50,Constants!$I:$K, 3, FALSE)*IF(AND(G50="multiple_unit",AB50&lt;110),0.75,1)</f>
        <v>0.45</v>
      </c>
      <c r="BI50" s="16">
        <f>INT(POWER(((Constants!$G$2+$BB50+$BC50+$BD50+$BF50)*$BE50)*$BH50, 1.05))+$BA50</f>
        <v>2</v>
      </c>
      <c r="BJ50" s="16">
        <f>INT(POWER((((Constants!$G$1+$BB50+$BC50+$BD50+$BF50)*($BE50))*$BG50),IF($G50="wagon",1,1.2)))+$AZ50</f>
        <v>25</v>
      </c>
      <c r="BK50" s="19">
        <f t="shared" si="73"/>
        <v>1562.5</v>
      </c>
      <c r="BL50" s="19">
        <f t="shared" si="74"/>
        <v>2031.25</v>
      </c>
      <c r="BU50">
        <v>7</v>
      </c>
      <c r="BZ50" s="22" t="s">
        <v>55</v>
      </c>
      <c r="CA50" t="s">
        <v>66</v>
      </c>
      <c r="CB50" s="22" t="str">
        <f t="shared" si="75"/>
        <v>dsl_DMU</v>
      </c>
      <c r="CC50" s="22" t="str">
        <f t="shared" si="76"/>
        <v>wagon_RAIL</v>
      </c>
      <c r="CD50" s="25" t="str" cm="1">
        <f t="array" ref="CD50">IF(AN50&lt;&gt;"na", _xlfn.CONCAT("{BLACK}Length: {GOLD}", TEXT(ROUNDUP(IF(AQ50&lt;&gt;"",SUM(VALUE(_xlfn.TEXTSPLIT(AQ50, ","))), SUM(VALUE(_xlfn.TEXTSPLIT(AN50, ",")))*IF(M50, M50, 1))/16, 1),"#,##0.0"), " tiles{}"), "")</f>
        <v/>
      </c>
      <c r="CE50" s="22" t="str">
        <f>VLOOKUP($CC50, Constants!$M:$N, 2, FALSE)</f>
        <v/>
      </c>
      <c r="CF50" s="22" t="str">
        <f t="shared" si="175"/>
        <v/>
      </c>
      <c r="CH50" t="str">
        <f t="shared" si="26"/>
        <v/>
      </c>
      <c r="CI50" t="str">
        <f t="shared" si="13"/>
        <v/>
      </c>
      <c r="CJ50" t="str">
        <f t="shared" si="27"/>
        <v>{SILVER}</v>
      </c>
    </row>
    <row r="51" spans="1:88" x14ac:dyDescent="0.35">
      <c r="A51" t="s">
        <v>425</v>
      </c>
      <c r="B51" t="s">
        <v>456</v>
      </c>
      <c r="C51">
        <v>3562</v>
      </c>
      <c r="E51">
        <v>25</v>
      </c>
      <c r="F51" t="s">
        <v>486</v>
      </c>
      <c r="G51" t="s">
        <v>230</v>
      </c>
      <c r="H51" t="s">
        <v>26</v>
      </c>
      <c r="I51" t="s">
        <v>28</v>
      </c>
      <c r="J51">
        <v>1956</v>
      </c>
      <c r="K51">
        <v>1959</v>
      </c>
      <c r="L51">
        <v>1988</v>
      </c>
      <c r="M51">
        <v>2</v>
      </c>
      <c r="N51">
        <v>300</v>
      </c>
      <c r="W51">
        <f>30.5*2</f>
        <v>61</v>
      </c>
      <c r="Y51">
        <v>5</v>
      </c>
      <c r="Z51">
        <v>65</v>
      </c>
      <c r="AA51" s="3">
        <f>IF(AND(W51&gt;0,Z51&gt;0),(Z51/((W51+X51)*10)),"")</f>
        <v>0.10655737704918032</v>
      </c>
      <c r="AB51">
        <v>70</v>
      </c>
      <c r="AC51">
        <f>ROUND(AB51*1.6, 0)</f>
        <v>112</v>
      </c>
      <c r="AF51">
        <v>17.53</v>
      </c>
      <c r="AG51">
        <v>17.53</v>
      </c>
      <c r="AI51">
        <v>3.84</v>
      </c>
      <c r="AJ51" s="9">
        <v>54</v>
      </c>
      <c r="AK51" s="14" t="str">
        <f>CONCATENATE(VLOOKUP(AL51, 'Voxel Sizes'!$A$2:$B$18,2,FALSE),"x",INT(AH51*15), "x", INT(AI51*15))</f>
        <v>164x0x57</v>
      </c>
      <c r="AL51" s="14">
        <f t="shared" ref="AL51" si="198">ROUND(15*((AG51*10)/256),0)</f>
        <v>10</v>
      </c>
      <c r="AN51" s="14" t="str">
        <f>CONCATENATE(VLOOKUP(AL51,Constants!$A$2:$C$16,IF(AM51&lt;&gt;"", 3, 2), FALSE),IF(AM51&lt;&gt;"",CONCATENATE(",",VLOOKUP(AM51,$B:$AN,39,FALSE)),""))</f>
        <v>4,2,4</v>
      </c>
      <c r="AR51" t="s">
        <v>455</v>
      </c>
      <c r="AT51" t="s">
        <v>429</v>
      </c>
      <c r="AX51">
        <v>45</v>
      </c>
      <c r="AY51" s="14">
        <v>45</v>
      </c>
      <c r="AZ51">
        <v>-13</v>
      </c>
      <c r="BA51">
        <v>-22</v>
      </c>
      <c r="BB51" s="16">
        <f>MIN(AB51/150, 1)*30</f>
        <v>14</v>
      </c>
      <c r="BC51" s="16">
        <f>MIN(N51/4000, 1)*20</f>
        <v>1.5</v>
      </c>
      <c r="BD51" s="16">
        <f>MIN(Z51/400,1)*20</f>
        <v>3.25</v>
      </c>
      <c r="BE51" s="17">
        <f>1-(MAX(J51-1900, 0)/750)</f>
        <v>0.92533333333333334</v>
      </c>
      <c r="BF51" s="16">
        <f>((MAX($M51,1)*MIN($AJ51/300,1)))*IF(G51="Wagon",50,10)</f>
        <v>3.5999999999999996</v>
      </c>
      <c r="BG51" s="16">
        <f>VLOOKUP($H51,Constants!$I:$K, 2, FALSE)</f>
        <v>1</v>
      </c>
      <c r="BH51" s="16">
        <f>VLOOKUP($H51,Constants!$I:$K, 3, FALSE)*IF(AND(G51="multiple_unit",AB51&lt;110),0.75,1)</f>
        <v>1.5</v>
      </c>
      <c r="BI51" s="16">
        <f>INT(POWER(((Constants!$G$2+$BB51+$BC51+$BD51+$BF51)*$BE51)*$BH51, 1.05))+$BA51</f>
        <v>23</v>
      </c>
      <c r="BJ51" s="16">
        <f>INT(POWER((((Constants!$G$1+$BB51+$BC51+$BD51+$BF51)*($BE51))*$BG51),IF($G51="wagon",1,1.2)))+$AZ51</f>
        <v>57</v>
      </c>
      <c r="BK51" s="19">
        <f>BI51*IF($G51="wagon",62.5,781.25)</f>
        <v>17968.75</v>
      </c>
      <c r="BL51" s="19">
        <f>BJ51*IF($G51="wagon",2.73,81.25)</f>
        <v>4631.25</v>
      </c>
      <c r="BU51">
        <v>11</v>
      </c>
      <c r="BV51">
        <v>185</v>
      </c>
      <c r="BX51" t="s">
        <v>142</v>
      </c>
      <c r="BY51" t="s">
        <v>34</v>
      </c>
      <c r="BZ51" t="s">
        <v>55</v>
      </c>
      <c r="CA51" t="s">
        <v>66</v>
      </c>
      <c r="CB51" t="str">
        <f>CONCATENATE(BZ51,"_",CA51)</f>
        <v>dsl_DMU</v>
      </c>
      <c r="CC51" t="str">
        <f>_xlfn.CONCAT(H51, "_",I51)</f>
        <v>diesel_RAIL</v>
      </c>
      <c r="CD51" s="25" t="str" cm="1">
        <f t="array" ref="CD51">IF(AN51&lt;&gt;"na", _xlfn.CONCAT("{BLACK}Length: {GOLD}", TEXT(ROUNDUP(IF(AQ51&lt;&gt;"",SUM(VALUE(_xlfn.TEXTSPLIT(AQ51, ","))), SUM(VALUE(_xlfn.TEXTSPLIT(AN51, ",")))*IF(M51, M51, 1))/16, 1),"#,##0.0"), " tiles{}"), "")</f>
        <v>{BLACK}Length: {GOLD}1.3 tiles{}</v>
      </c>
      <c r="CE51" s="22" t="str">
        <f>VLOOKUP($CC51, Constants!$M:$N, 2, FALSE)</f>
        <v>{BLACK}Powered by: {GOLD}Diesel</v>
      </c>
      <c r="CF51" s="22" t="str">
        <f t="shared" si="175"/>
        <v>{BLACK}Cars: {GOLD}2</v>
      </c>
      <c r="CG51" t="s">
        <v>454</v>
      </c>
      <c r="CH51" t="str">
        <f t="shared" si="26"/>
        <v/>
      </c>
      <c r="CI51" t="str">
        <f t="shared" si="13"/>
        <v/>
      </c>
      <c r="CJ51" t="str">
        <f t="shared" si="27"/>
        <v>{BLACK}Powered by: {GOLD}Diesel {BLACK}Cars: {GOLD}2{}{BLACK}Length: {GOLD}1.3 tiles{}{SILVER}The Class 105 had a long and hard life on British Railways, mostly around the Eastern Region. Sadly this meant few survived in a viable condition for preservation.</v>
      </c>
    </row>
    <row r="52" spans="1:88" x14ac:dyDescent="0.35">
      <c r="A52" t="s">
        <v>231</v>
      </c>
      <c r="B52" t="s">
        <v>232</v>
      </c>
      <c r="C52">
        <v>3592</v>
      </c>
      <c r="E52">
        <v>26</v>
      </c>
      <c r="F52" t="s">
        <v>486</v>
      </c>
      <c r="G52" t="s">
        <v>230</v>
      </c>
      <c r="H52" t="s">
        <v>26</v>
      </c>
      <c r="I52" t="s">
        <v>28</v>
      </c>
      <c r="J52">
        <v>1959</v>
      </c>
      <c r="K52">
        <v>1961</v>
      </c>
      <c r="L52">
        <v>1999</v>
      </c>
      <c r="M52">
        <v>3</v>
      </c>
      <c r="N52">
        <v>600</v>
      </c>
      <c r="W52">
        <f>36.6+36.6+30.5</f>
        <v>103.7</v>
      </c>
      <c r="Y52">
        <v>6</v>
      </c>
      <c r="Z52">
        <v>83</v>
      </c>
      <c r="AA52" s="3">
        <f>IF(AND(W52&gt;0,Z52&gt;0),(Z52/((W52+X52)*10)),"")</f>
        <v>8.0038572806171646E-2</v>
      </c>
      <c r="AB52">
        <v>70</v>
      </c>
      <c r="AC52">
        <f>ROUND(AB52*1.6, 0)</f>
        <v>112</v>
      </c>
      <c r="AF52">
        <v>19.5</v>
      </c>
      <c r="AG52">
        <v>19.5</v>
      </c>
      <c r="AI52">
        <v>3.77</v>
      </c>
      <c r="AJ52" s="9">
        <v>60</v>
      </c>
      <c r="AK52" s="14" t="str">
        <f>CONCATENATE(VLOOKUP(AL52, 'Voxel Sizes'!$A$2:$B$18,2,FALSE),"x",INT(AH52*15), "x", INT(AI52*15))</f>
        <v>186x0x56</v>
      </c>
      <c r="AL52" s="14">
        <f>ROUND(15*((AG52*10)/256),0)</f>
        <v>11</v>
      </c>
      <c r="AN52" s="14" t="str">
        <f>CONCATENATE(VLOOKUP(AL52,Constants!$A$2:$C$16,IF(AM52&lt;&gt;"", 3, 2), FALSE),IF(AM52&lt;&gt;"",CONCATENATE(",",VLOOKUP(AM52,$B:$AN,39,FALSE)),""))</f>
        <v>4,3,4</v>
      </c>
      <c r="AR52" t="s">
        <v>233</v>
      </c>
      <c r="AT52" t="s">
        <v>37</v>
      </c>
      <c r="AX52">
        <v>42</v>
      </c>
      <c r="AY52" s="14">
        <f>IF(L52&lt;&gt;"",MAX(16,(L52-J52)+8),"")</f>
        <v>48</v>
      </c>
      <c r="AZ52">
        <v>-10</v>
      </c>
      <c r="BA52">
        <v>-15</v>
      </c>
      <c r="BB52" s="16">
        <f>MIN(AB52/150, 1)*30</f>
        <v>14</v>
      </c>
      <c r="BC52" s="16">
        <f>MIN(N52/4000, 1)*20</f>
        <v>3</v>
      </c>
      <c r="BD52" s="16">
        <f>MIN(Z52/400,1)*20</f>
        <v>4.1499999999999995</v>
      </c>
      <c r="BE52" s="17">
        <f>1-(MAX(J52-1900, 0)/750)</f>
        <v>0.92133333333333334</v>
      </c>
      <c r="BF52" s="16">
        <f>((MAX($M52,1)*MIN($AJ52/300,1)))*IF(G52="Wagon",50,10)</f>
        <v>6.0000000000000009</v>
      </c>
      <c r="BG52" s="16">
        <f>VLOOKUP($H52,Constants!$I:$K, 2, FALSE)</f>
        <v>1</v>
      </c>
      <c r="BH52" s="16">
        <f>VLOOKUP($H52,Constants!$I:$K, 3, FALSE)*IF(AND(G52="multiple_unit",AB52&lt;110),0.75,1)</f>
        <v>1.5</v>
      </c>
      <c r="BI52" s="16">
        <f>INT(POWER(((Constants!$G$2+$BB52+$BC52+$BD52+$BF52)*$BE52)*$BH52, 1.05))+$BA52</f>
        <v>38</v>
      </c>
      <c r="BJ52" s="16">
        <f>INT(POWER((((Constants!$G$1+$BB52+$BC52+$BD52+$BF52)*($BE52))*$BG52),IF($G52="wagon",1,1.2)))+$AZ52</f>
        <v>70</v>
      </c>
      <c r="BK52" s="19">
        <f>BI52*IF($G52="wagon",62.5,781.25)</f>
        <v>29687.5</v>
      </c>
      <c r="BL52" s="19">
        <f>BJ52*IF($G52="wagon",2.73,81.25)</f>
        <v>5687.5</v>
      </c>
      <c r="BU52">
        <v>5</v>
      </c>
      <c r="BX52" t="s">
        <v>142</v>
      </c>
      <c r="BY52" t="s">
        <v>34</v>
      </c>
      <c r="BZ52" s="22" t="str">
        <f>VLOOKUP(J52,Eras!$A$2:$C$10, 2, TRUE)</f>
        <v>dsl</v>
      </c>
      <c r="CA52" t="s">
        <v>66</v>
      </c>
      <c r="CB52" s="22" t="str">
        <f>CONCATENATE(BZ52,"_",CA52)</f>
        <v>dsl_DMU</v>
      </c>
      <c r="CC52" s="22" t="str">
        <f>_xlfn.CONCAT(H52, "_",I52)</f>
        <v>diesel_RAIL</v>
      </c>
      <c r="CD52" s="25" t="str" cm="1">
        <f t="array" ref="CD52">IF(AN52&lt;&gt;"na", _xlfn.CONCAT("{BLACK}Length: {GOLD}", TEXT(ROUNDUP(IF(AQ52&lt;&gt;"",SUM(VALUE(_xlfn.TEXTSPLIT(AQ52, ","))), SUM(VALUE(_xlfn.TEXTSPLIT(AN52, ",")))*IF(M52, M52, 1))/16, 1),"#,##0.0"), " tiles{}"), "")</f>
        <v>{BLACK}Length: {GOLD}2.1 tiles{}</v>
      </c>
      <c r="CE52" s="22" t="str">
        <f>VLOOKUP($CC52, Constants!$M:$N, 2, FALSE)</f>
        <v>{BLACK}Powered by: {GOLD}Diesel</v>
      </c>
      <c r="CF52" s="22" t="str">
        <f t="shared" si="175"/>
        <v>{BLACK}Cars: {GOLD}3</v>
      </c>
      <c r="CG52" t="s">
        <v>234</v>
      </c>
      <c r="CH52" t="str">
        <f t="shared" si="26"/>
        <v/>
      </c>
      <c r="CI52" t="str">
        <f t="shared" si="13"/>
        <v/>
      </c>
      <c r="CJ52" t="str">
        <f t="shared" si="27"/>
        <v>{BLACK}Powered by: {GOLD}Diesel {BLACK}Cars: {GOLD}3{}{BLACK}Length: {GOLD}2.1 tiles{}{SILVER}The Class 117 was built under licence by Pressed Steel, being a variant of the Class 116 built by BRCW Derby.</v>
      </c>
    </row>
    <row r="53" spans="1:88" ht="13.15" customHeight="1" x14ac:dyDescent="0.35">
      <c r="A53" t="s">
        <v>345</v>
      </c>
      <c r="B53" t="s">
        <v>346</v>
      </c>
      <c r="C53">
        <v>3491</v>
      </c>
      <c r="E53">
        <v>27</v>
      </c>
      <c r="F53" t="s">
        <v>486</v>
      </c>
      <c r="G53" t="s">
        <v>230</v>
      </c>
      <c r="H53" t="s">
        <v>38</v>
      </c>
      <c r="I53" t="s">
        <v>314</v>
      </c>
      <c r="J53">
        <v>1949</v>
      </c>
      <c r="L53">
        <v>1971</v>
      </c>
      <c r="M53">
        <v>4</v>
      </c>
      <c r="N53">
        <v>900</v>
      </c>
      <c r="W53">
        <v>135</v>
      </c>
      <c r="Y53">
        <v>3</v>
      </c>
      <c r="Z53">
        <v>120</v>
      </c>
      <c r="AA53" s="3">
        <f t="shared" si="65"/>
        <v>8.8888888888888892E-2</v>
      </c>
      <c r="AB53">
        <v>75</v>
      </c>
      <c r="AC53">
        <f t="shared" si="64"/>
        <v>120</v>
      </c>
      <c r="AF53">
        <v>19.600000000000001</v>
      </c>
      <c r="AG53">
        <v>19.600000000000001</v>
      </c>
      <c r="AH53">
        <v>2.82</v>
      </c>
      <c r="AJ53" s="9">
        <v>69</v>
      </c>
      <c r="AK53" s="14" t="str">
        <f>CONCATENATE(VLOOKUP(AL53, 'Voxel Sizes'!$A$2:$B$18,2,FALSE),"x",INT(AH53*15), "x", INT(AI53*15))</f>
        <v>186x42x0</v>
      </c>
      <c r="AL53" s="14">
        <f t="shared" si="66"/>
        <v>11</v>
      </c>
      <c r="AN53" s="14" t="str">
        <f>CONCATENATE(VLOOKUP(AL53,Constants!$A$2:$C$16,IF(AM53&lt;&gt;"", 3, 2), FALSE),IF(AM53&lt;&gt;"",CONCATENATE(",",VLOOKUP(AM53,$B:$AN,39,FALSE)),""))</f>
        <v>4,3,4</v>
      </c>
      <c r="AR53" t="s">
        <v>347</v>
      </c>
      <c r="AT53" t="s">
        <v>348</v>
      </c>
      <c r="AX53">
        <v>23</v>
      </c>
      <c r="AY53" s="14">
        <f t="shared" si="67"/>
        <v>30</v>
      </c>
      <c r="AZ53">
        <v>-10</v>
      </c>
      <c r="BA53">
        <v>-15</v>
      </c>
      <c r="BB53" s="16">
        <f t="shared" si="68"/>
        <v>15</v>
      </c>
      <c r="BC53" s="16">
        <f t="shared" si="69"/>
        <v>4.5</v>
      </c>
      <c r="BD53" s="16">
        <f t="shared" si="70"/>
        <v>6</v>
      </c>
      <c r="BE53" s="17">
        <f t="shared" si="71"/>
        <v>0.93466666666666665</v>
      </c>
      <c r="BF53" s="16">
        <f t="shared" si="72"/>
        <v>9.2000000000000011</v>
      </c>
      <c r="BG53" s="16">
        <f>VLOOKUP($H53,Constants!$I:$K, 2, FALSE)</f>
        <v>0.85</v>
      </c>
      <c r="BH53" s="16">
        <f>VLOOKUP($H53,Constants!$I:$K, 3, FALSE)*IF(AND(G53="multiple_unit",AB53&lt;110),0.75,1)</f>
        <v>1.7249999999999999</v>
      </c>
      <c r="BI53" s="16">
        <f>INT(POWER(((Constants!$G$2+$BB53+$BC53+$BD53+$BF53)*$BE53)*$BH53, 1.05))+$BA53</f>
        <v>63</v>
      </c>
      <c r="BJ53" s="16">
        <f>INT(POWER((((Constants!$G$1+$BB53+$BC53+$BD53+$BF53)*($BE53))*$BG53),IF($G53="wagon",1,1.2)))+$AZ53</f>
        <v>72</v>
      </c>
      <c r="BK53" s="19">
        <f t="shared" si="73"/>
        <v>49218.75</v>
      </c>
      <c r="BL53" s="19">
        <f t="shared" si="74"/>
        <v>5850</v>
      </c>
      <c r="BU53">
        <v>8</v>
      </c>
      <c r="BV53">
        <v>165</v>
      </c>
      <c r="BX53" t="s">
        <v>142</v>
      </c>
      <c r="BY53" t="s">
        <v>34</v>
      </c>
      <c r="BZ53" s="22" t="str">
        <f>VLOOKUP(J53,Eras!$A$2:$C$10, 2, TRUE)</f>
        <v>ebr</v>
      </c>
      <c r="CA53" t="s">
        <v>66</v>
      </c>
      <c r="CB53" s="22" t="str">
        <f t="shared" si="75"/>
        <v>ebr_DMU</v>
      </c>
      <c r="CC53" s="22" t="str">
        <f t="shared" si="76"/>
        <v>electric_THIRD_RAIL</v>
      </c>
      <c r="CD53" s="25" t="str" cm="1">
        <f t="array" ref="CD53">IF(AN53&lt;&gt;"na", _xlfn.CONCAT("{BLACK}Length: {GOLD}", TEXT(ROUNDUP(IF(AQ53&lt;&gt;"",SUM(VALUE(_xlfn.TEXTSPLIT(AQ53, ","))), SUM(VALUE(_xlfn.TEXTSPLIT(AN53, ",")))*IF(M53, M53, 1))/16, 1),"#,##0.0"), " tiles{}"), "")</f>
        <v>{BLACK}Length: {GOLD}2.8 tiles{}</v>
      </c>
      <c r="CE53" s="22" t="str">
        <f>VLOOKUP($CC53, Constants!$M:$N, 2, FALSE)</f>
        <v>{BLACK}Powered by: {GOLD}750V DC</v>
      </c>
      <c r="CF53" s="22" t="str">
        <f t="shared" si="175"/>
        <v>{BLACK}Cars: {GOLD}4</v>
      </c>
      <c r="CG53" t="s">
        <v>349</v>
      </c>
      <c r="CH53" t="str">
        <f t="shared" si="26"/>
        <v/>
      </c>
      <c r="CI53" t="str">
        <f t="shared" si="13"/>
        <v>{YELLOW}10% penalty for long distance travel{}</v>
      </c>
      <c r="CJ53" t="str">
        <f t="shared" si="27"/>
        <v>{BLACK}Powered by: {GOLD}750V DC {BLACK}Cars: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54" spans="1:88" x14ac:dyDescent="0.35">
      <c r="A54" t="s">
        <v>372</v>
      </c>
      <c r="B54" t="s">
        <v>370</v>
      </c>
      <c r="C54">
        <v>3591</v>
      </c>
      <c r="E54">
        <v>28</v>
      </c>
      <c r="F54" t="s">
        <v>486</v>
      </c>
      <c r="G54" t="s">
        <v>230</v>
      </c>
      <c r="H54" t="s">
        <v>26</v>
      </c>
      <c r="I54" t="s">
        <v>28</v>
      </c>
      <c r="J54">
        <v>1959</v>
      </c>
      <c r="L54">
        <v>1991</v>
      </c>
      <c r="M54">
        <v>1</v>
      </c>
      <c r="N54">
        <v>460</v>
      </c>
      <c r="W54">
        <v>41</v>
      </c>
      <c r="Y54">
        <v>6</v>
      </c>
      <c r="Z54">
        <v>65</v>
      </c>
      <c r="AA54" s="3">
        <f t="shared" si="65"/>
        <v>0.15853658536585366</v>
      </c>
      <c r="AB54">
        <v>70</v>
      </c>
      <c r="AC54">
        <f t="shared" si="64"/>
        <v>112</v>
      </c>
      <c r="AE54">
        <v>1</v>
      </c>
      <c r="AF54">
        <v>19.66</v>
      </c>
      <c r="AG54">
        <v>19.66</v>
      </c>
      <c r="AI54">
        <v>3.77</v>
      </c>
      <c r="AJ54" s="9">
        <v>72</v>
      </c>
      <c r="AK54" s="14" t="str">
        <f>CONCATENATE(VLOOKUP(AL54, 'Voxel Sizes'!$A$2:$B$18,2,FALSE),"x",INT(AH54*15), "x", INT(AI54*15))</f>
        <v>198x0x56</v>
      </c>
      <c r="AL54" s="14">
        <f t="shared" si="66"/>
        <v>12</v>
      </c>
      <c r="AN54" s="14" t="str">
        <f>CONCATENATE(VLOOKUP(AL54,Constants!$A$2:$C$16,IF(AM54&lt;&gt;"", 3, 2), FALSE),IF(AM54&lt;&gt;"",CONCATENATE(",",VLOOKUP(AM54,$B:$AN,39,FALSE)),""))</f>
        <v>4,4,4</v>
      </c>
      <c r="AR54" t="s">
        <v>370</v>
      </c>
      <c r="AT54">
        <v>1</v>
      </c>
      <c r="AX54">
        <v>45</v>
      </c>
      <c r="AY54" s="14">
        <f t="shared" si="67"/>
        <v>40</v>
      </c>
      <c r="AZ54">
        <v>-10</v>
      </c>
      <c r="BA54">
        <v>-15</v>
      </c>
      <c r="BB54" s="16">
        <f t="shared" si="68"/>
        <v>14</v>
      </c>
      <c r="BC54" s="16">
        <f t="shared" si="69"/>
        <v>2.3000000000000003</v>
      </c>
      <c r="BD54" s="16">
        <f t="shared" si="70"/>
        <v>3.25</v>
      </c>
      <c r="BE54" s="17">
        <f t="shared" si="71"/>
        <v>0.92133333333333334</v>
      </c>
      <c r="BF54" s="16">
        <f t="shared" si="72"/>
        <v>2.4</v>
      </c>
      <c r="BG54" s="16">
        <f>VLOOKUP($H54,Constants!$I:$K, 2, FALSE)</f>
        <v>1</v>
      </c>
      <c r="BH54" s="16">
        <f>VLOOKUP($H54,Constants!$I:$K, 3, FALSE)*IF(AND(G54="multiple_unit",AB54&lt;110),0.75,1)</f>
        <v>1.5</v>
      </c>
      <c r="BI54" s="16">
        <f>INT(POWER(((Constants!$G$2+$BB54+$BC54+$BD54+$BF54)*$BE54)*$BH54, 1.05))+$BA54</f>
        <v>29</v>
      </c>
      <c r="BJ54" s="16">
        <f>INT(POWER((((Constants!$G$1+$BB54+$BC54+$BD54+$BF54)*($BE54))*$BG54),IF($G54="wagon",1,1.2)))+$AZ54</f>
        <v>58</v>
      </c>
      <c r="BK54" s="19">
        <f t="shared" si="73"/>
        <v>22656.25</v>
      </c>
      <c r="BL54" s="19">
        <f t="shared" si="74"/>
        <v>4712.5</v>
      </c>
      <c r="BU54">
        <v>4</v>
      </c>
      <c r="BV54">
        <v>185</v>
      </c>
      <c r="BY54" t="s">
        <v>279</v>
      </c>
      <c r="BZ54" s="22" t="str">
        <f>VLOOKUP(J54,Eras!$A$2:$C$10, 2, TRUE)</f>
        <v>dsl</v>
      </c>
      <c r="CA54" t="s">
        <v>66</v>
      </c>
      <c r="CB54" s="22" t="str">
        <f t="shared" si="75"/>
        <v>dsl_DMU</v>
      </c>
      <c r="CC54" s="22" t="str">
        <f t="shared" si="76"/>
        <v>diesel_RAIL</v>
      </c>
      <c r="CD54" s="25" t="str" cm="1">
        <f t="array" ref="CD54">IF(AN54&lt;&gt;"na", _xlfn.CONCAT("{BLACK}Length: {GOLD}", TEXT(ROUNDUP(IF(AQ54&lt;&gt;"",SUM(VALUE(_xlfn.TEXTSPLIT(AQ54, ","))), SUM(VALUE(_xlfn.TEXTSPLIT(AN54, ",")))*IF(M54, M54, 1))/16, 1),"#,##0.0"), " tiles{}"), "")</f>
        <v>{BLACK}Length: {GOLD}0.8 tiles{}</v>
      </c>
      <c r="CE54" s="22" t="str">
        <f>VLOOKUP($CC54, Constants!$M:$N, 2, FALSE)</f>
        <v>{BLACK}Powered by: {GOLD}Diesel</v>
      </c>
      <c r="CF54" s="22" t="str">
        <f t="shared" si="175"/>
        <v/>
      </c>
      <c r="CG54" t="s">
        <v>371</v>
      </c>
      <c r="CH54" t="str">
        <f t="shared" si="26"/>
        <v/>
      </c>
      <c r="CI54" t="str">
        <f t="shared" si="13"/>
        <v/>
      </c>
      <c r="CJ54" t="str">
        <f t="shared" si="27"/>
        <v>{BLACK}Powered by: {GOLD}Diesel {}{BLACK}Length: {GOLD}0.8 tiles{}{SILVER}The Class 128 was built specifically for carrying parcels by the Gloucester Railway Carriage and Wagon Company.</v>
      </c>
    </row>
    <row r="55" spans="1:88" x14ac:dyDescent="0.35">
      <c r="A55" t="s">
        <v>390</v>
      </c>
      <c r="B55" t="s">
        <v>391</v>
      </c>
      <c r="C55">
        <v>4051</v>
      </c>
      <c r="E55">
        <v>29</v>
      </c>
      <c r="F55" t="s">
        <v>486</v>
      </c>
      <c r="G55" t="s">
        <v>230</v>
      </c>
      <c r="H55" t="s">
        <v>26</v>
      </c>
      <c r="I55" t="s">
        <v>28</v>
      </c>
      <c r="J55">
        <v>2005</v>
      </c>
      <c r="K55">
        <v>2006</v>
      </c>
      <c r="M55">
        <v>3</v>
      </c>
      <c r="N55">
        <f>750*3</f>
        <v>2250</v>
      </c>
      <c r="W55">
        <v>169</v>
      </c>
      <c r="Y55">
        <v>5</v>
      </c>
      <c r="Z55">
        <v>185</v>
      </c>
      <c r="AA55" s="3">
        <f t="shared" si="65"/>
        <v>0.10946745562130178</v>
      </c>
      <c r="AB55">
        <v>100</v>
      </c>
      <c r="AC55">
        <f t="shared" si="64"/>
        <v>160</v>
      </c>
      <c r="AF55">
        <v>20.399999999999999</v>
      </c>
      <c r="AG55">
        <v>20.399999999999999</v>
      </c>
      <c r="AH55">
        <v>2.8</v>
      </c>
      <c r="AJ55" s="9">
        <v>60</v>
      </c>
      <c r="AK55" s="14" t="str">
        <f>CONCATENATE(VLOOKUP(AL55, 'Voxel Sizes'!$A$2:$B$18,2,FALSE),"x",INT(AH55*15), "x", INT(AI55*15))</f>
        <v>198x42x0</v>
      </c>
      <c r="AL55" s="14">
        <f t="shared" si="66"/>
        <v>12</v>
      </c>
      <c r="AN55" s="14" t="str">
        <f>CONCATENATE(VLOOKUP(AL55,Constants!$A$2:$C$16,IF(AM55&lt;&gt;"", 3, 2), FALSE),IF(AM55&lt;&gt;"",CONCATENATE(",",VLOOKUP(AM55,$B:$AN,39,FALSE)),""))</f>
        <v>4,4,4</v>
      </c>
      <c r="AO55">
        <v>4</v>
      </c>
      <c r="AR55" t="s">
        <v>389</v>
      </c>
      <c r="AT55" t="s">
        <v>37</v>
      </c>
      <c r="AX55">
        <v>28</v>
      </c>
      <c r="AY55" s="14" t="str">
        <f t="shared" si="67"/>
        <v/>
      </c>
      <c r="AZ55">
        <v>-12</v>
      </c>
      <c r="BA55">
        <v>-30</v>
      </c>
      <c r="BB55" s="16">
        <f t="shared" si="68"/>
        <v>20</v>
      </c>
      <c r="BC55" s="16">
        <f t="shared" si="69"/>
        <v>11.25</v>
      </c>
      <c r="BD55" s="16">
        <f t="shared" si="70"/>
        <v>9.25</v>
      </c>
      <c r="BE55" s="17">
        <f t="shared" si="71"/>
        <v>0.86</v>
      </c>
      <c r="BF55" s="16">
        <f t="shared" si="72"/>
        <v>6.0000000000000009</v>
      </c>
      <c r="BG55" s="16">
        <f>VLOOKUP($H55,Constants!$I:$K, 2, FALSE)</f>
        <v>1</v>
      </c>
      <c r="BH55" s="16">
        <f>VLOOKUP($H55,Constants!$I:$K, 3, FALSE)*IF(AND(G55="multiple_unit",AB55&lt;110),0.75,1)</f>
        <v>1.5</v>
      </c>
      <c r="BI55" s="16">
        <f>INT(POWER(((Constants!$G$2+$BB55+$BC55+$BD55+$BF55)*$BE55)*$BH55, 1.05))+$BA55</f>
        <v>51</v>
      </c>
      <c r="BJ55" s="16">
        <f>INT(POWER((((Constants!$G$1+$BB55+$BC55+$BD55+$BF55)*($BE55))*$BG55),IF($G55="wagon",1,1.2)))+$AZ55</f>
        <v>104</v>
      </c>
      <c r="BK55" s="19">
        <f t="shared" si="73"/>
        <v>39843.75</v>
      </c>
      <c r="BL55" s="19">
        <f t="shared" si="74"/>
        <v>8450</v>
      </c>
      <c r="BU55">
        <v>3</v>
      </c>
      <c r="BV55">
        <v>185</v>
      </c>
      <c r="BX55" t="s">
        <v>142</v>
      </c>
      <c r="BY55" t="s">
        <v>34</v>
      </c>
      <c r="BZ55" s="22" t="str">
        <f>VLOOKUP(J55,Eras!$A$2:$C$10, 2, TRUE)</f>
        <v>mod</v>
      </c>
      <c r="CA55" t="s">
        <v>68</v>
      </c>
      <c r="CB55" s="22" t="str">
        <f t="shared" si="75"/>
        <v>mod_EMU</v>
      </c>
      <c r="CC55" s="22" t="str">
        <f t="shared" si="76"/>
        <v>diesel_RAIL</v>
      </c>
      <c r="CD55" s="25" t="str" cm="1">
        <f t="array" ref="CD55">IF(AN55&lt;&gt;"na", _xlfn.CONCAT("{BLACK}Length: {GOLD}", TEXT(ROUNDUP(IF(AQ55&lt;&gt;"",SUM(VALUE(_xlfn.TEXTSPLIT(AQ55, ","))), SUM(VALUE(_xlfn.TEXTSPLIT(AN55, ",")))*IF(M55, M55, 1))/16, 1),"#,##0.0"), " tiles{}"), "")</f>
        <v>{BLACK}Length: {GOLD}2.3 tiles{}</v>
      </c>
      <c r="CE55" s="22" t="str">
        <f>VLOOKUP($CC55, Constants!$M:$N, 2, FALSE)</f>
        <v>{BLACK}Powered by: {GOLD}Diesel</v>
      </c>
      <c r="CF55" s="22" t="str">
        <f t="shared" si="175"/>
        <v>{BLACK}Cars: {GOLD}3</v>
      </c>
      <c r="CG55" t="s">
        <v>392</v>
      </c>
      <c r="CH55" t="str">
        <f t="shared" si="26"/>
        <v/>
      </c>
      <c r="CI55" t="str">
        <f t="shared" si="13"/>
        <v/>
      </c>
      <c r="CJ55" t="str">
        <f t="shared" si="27"/>
        <v>{BLACK}Powered by: {GOLD}Diesel {BLACK}Cars: {GOLD}3{}{BLACK}Length: {GOLD}2.3 tiles{}{SILVER}The Class 185 is a diesel version of the Siemens Desiro family. Each car has its own 6 cylinder engine, giving the unit high acceleration.</v>
      </c>
    </row>
    <row r="56" spans="1:88" x14ac:dyDescent="0.35">
      <c r="A56" t="s">
        <v>502</v>
      </c>
      <c r="B56" t="s">
        <v>499</v>
      </c>
      <c r="C56">
        <v>4231</v>
      </c>
      <c r="E56">
        <v>30</v>
      </c>
      <c r="F56" t="s">
        <v>486</v>
      </c>
      <c r="G56" t="s">
        <v>230</v>
      </c>
      <c r="H56" t="s">
        <v>38</v>
      </c>
      <c r="I56" t="s">
        <v>437</v>
      </c>
      <c r="J56">
        <v>2023</v>
      </c>
      <c r="M56">
        <v>5</v>
      </c>
      <c r="N56">
        <v>1800</v>
      </c>
      <c r="W56">
        <v>250</v>
      </c>
      <c r="Y56">
        <v>5</v>
      </c>
      <c r="Z56">
        <v>190</v>
      </c>
      <c r="AA56" s="3">
        <f t="shared" si="65"/>
        <v>7.5999999999999998E-2</v>
      </c>
      <c r="AB56">
        <v>110</v>
      </c>
      <c r="AC56">
        <f t="shared" si="64"/>
        <v>176</v>
      </c>
      <c r="AF56">
        <v>22.7</v>
      </c>
      <c r="AG56">
        <v>22.7</v>
      </c>
      <c r="AJ56" s="9">
        <v>81</v>
      </c>
      <c r="AK56" s="14" t="str">
        <f>CONCATENATE(VLOOKUP(AL56, 'Voxel Sizes'!$A$2:$B$18,2,FALSE),"x",INT(AH56*15), "x", INT(AI56*15))</f>
        <v>214x0x0</v>
      </c>
      <c r="AL56" s="14">
        <f t="shared" ref="AL56" si="199">ROUND(15*((AG56*10)/256),0)</f>
        <v>13</v>
      </c>
      <c r="AN56" s="14" t="str">
        <f>CONCATENATE(VLOOKUP(AL56,Constants!$A$2:$C$16,IF(AM56&lt;&gt;"", 3, 2), FALSE),IF(AM56&lt;&gt;"",CONCATENATE(",",VLOOKUP(AM56,$B:$AN,39,FALSE)),""))</f>
        <v>4,5,4</v>
      </c>
      <c r="AO56">
        <v>4</v>
      </c>
      <c r="AR56" t="s">
        <v>500</v>
      </c>
      <c r="AT56" t="s">
        <v>501</v>
      </c>
      <c r="AX56">
        <v>31</v>
      </c>
      <c r="AY56" s="14" t="str">
        <f t="shared" si="67"/>
        <v/>
      </c>
      <c r="AZ56">
        <v>-12</v>
      </c>
      <c r="BA56">
        <v>-30</v>
      </c>
      <c r="BB56" s="16">
        <f t="shared" ref="BB56" si="200">MIN(AB56/150, 1)*30</f>
        <v>22</v>
      </c>
      <c r="BC56" s="16">
        <f t="shared" ref="BC56" si="201">MIN(N56/4000, 1)*20</f>
        <v>9</v>
      </c>
      <c r="BD56" s="16">
        <f t="shared" ref="BD56" si="202">MIN(Z56/400,1)*20</f>
        <v>9.5</v>
      </c>
      <c r="BE56" s="17">
        <f t="shared" ref="BE56" si="203">1-(MAX(J56-1900, 0)/750)</f>
        <v>0.83599999999999997</v>
      </c>
      <c r="BF56" s="16">
        <f t="shared" ref="BF56" si="204">((MAX($M56,1)*MIN($AJ56/300,1)))*IF(G56="Wagon",50,10)</f>
        <v>13.5</v>
      </c>
      <c r="BG56" s="16">
        <f>VLOOKUP($H56,Constants!$I:$K, 2, FALSE)</f>
        <v>0.85</v>
      </c>
      <c r="BH56" s="16">
        <f>VLOOKUP($H56,Constants!$I:$K, 3, FALSE)*IF(AND(G56="multiple_unit",AB56&lt;110),0.75,1)</f>
        <v>2.2999999999999998</v>
      </c>
      <c r="BI56" s="16">
        <f>INT(POWER(((Constants!$G$2+$BB56+$BC56+$BD56+$BF56)*$BE56)*$BH56, 1.05))+$BA56</f>
        <v>113</v>
      </c>
      <c r="BJ56" s="16">
        <f>INT(POWER((((Constants!$G$1+$BB56+$BC56+$BD56+$BF56)*($BE56))*$BG56),IF($G56="wagon",1,1.2)))+$AZ56</f>
        <v>94</v>
      </c>
      <c r="BK56" s="19">
        <f t="shared" ref="BK56" si="205">BI56*IF($G56="wagon",62.5,781.25)</f>
        <v>88281.25</v>
      </c>
      <c r="BL56" s="19">
        <f t="shared" ref="BL56" si="206">BJ56*IF($G56="wagon",2.73,81.25)</f>
        <v>7637.5</v>
      </c>
      <c r="BU56">
        <v>11</v>
      </c>
      <c r="BV56">
        <v>185</v>
      </c>
      <c r="BX56" t="s">
        <v>142</v>
      </c>
      <c r="BY56" t="s">
        <v>34</v>
      </c>
      <c r="BZ56" s="22" t="str">
        <f>VLOOKUP(J56,Eras!$A$2:$C$10, 2, TRUE)</f>
        <v>mod</v>
      </c>
      <c r="CA56" t="s">
        <v>68</v>
      </c>
      <c r="CB56" s="22" t="str">
        <f t="shared" ref="CB56" si="207">CONCATENATE(BZ56,"_",CA56)</f>
        <v>mod_EMU</v>
      </c>
      <c r="CC56" s="22" t="str">
        <f t="shared" ref="CC56" si="208">_xlfn.CONCAT(H56, "_",I56)</f>
        <v>electric_ELRL</v>
      </c>
      <c r="CD56" s="25" t="str" cm="1">
        <f t="array" ref="CD56">IF(AN56&lt;&gt;"na", _xlfn.CONCAT("{BLACK}Length: {GOLD}", TEXT(ROUNDUP(IF(AQ56&lt;&gt;"",SUM(VALUE(_xlfn.TEXTSPLIT(AQ56, ","))), SUM(VALUE(_xlfn.TEXTSPLIT(AN56, ",")))*IF(M56, M56, 1))/16, 1),"#,##0.0"), " tiles{}"), "")</f>
        <v>{BLACK}Length: {GOLD}4.1 tiles{}</v>
      </c>
      <c r="CE56" s="22" t="str">
        <f>VLOOKUP($CC56, Constants!$M:$N, 2, FALSE)</f>
        <v>{BLACK}Powered by: {GOLD}25kV AC</v>
      </c>
      <c r="CF56" s="22" t="str">
        <f t="shared" ref="CF56" si="209">IF(AND(M56&gt;1,BO56&lt;&gt;1),_xlfn.CONCAT("{BLACK}Cars: {GOLD}", M56),"")</f>
        <v>{BLACK}Cars: {GOLD}5</v>
      </c>
      <c r="CG56" t="s">
        <v>503</v>
      </c>
      <c r="CH56" t="str">
        <f t="shared" si="26"/>
        <v/>
      </c>
      <c r="CI56" t="str">
        <f t="shared" si="13"/>
        <v/>
      </c>
      <c r="CJ56" t="str">
        <f t="shared" si="27"/>
        <v>{BLACK}Powered by: {GOLD}25kV AC {BLACK}Cars: {GOLD}5{}{BLACK}Length: {GOLD}4.1 tiles{}{SILVER}The 730/2 is the longer and faster variant of the Class 730 units built for West Midlands Trains, serving on their London Northwestern Railway routes over the West Coast Main Line.</v>
      </c>
    </row>
    <row r="57" spans="1:88" x14ac:dyDescent="0.35">
      <c r="A57" t="s">
        <v>431</v>
      </c>
      <c r="B57" t="s">
        <v>432</v>
      </c>
      <c r="C57">
        <v>706</v>
      </c>
      <c r="E57">
        <v>-1</v>
      </c>
      <c r="G57" t="s">
        <v>15</v>
      </c>
      <c r="H57" t="s">
        <v>162</v>
      </c>
      <c r="I57" t="s">
        <v>28</v>
      </c>
      <c r="AA57" s="3" t="str">
        <f t="shared" ref="AA57:AA63" si="210">IF(AND(W57&gt;0,Z57&gt;0),(Z57/((W57+X57)*10)),"")</f>
        <v/>
      </c>
      <c r="AC57">
        <f t="shared" si="64"/>
        <v>0</v>
      </c>
      <c r="AK57" t="s">
        <v>445</v>
      </c>
      <c r="AL57">
        <f t="shared" ref="AL57:AL63" si="211">ROUND(15*((AG57*10)/256),0)</f>
        <v>0</v>
      </c>
      <c r="AN57" s="14" t="str">
        <f>CONCATENATE(VLOOKUP(AL57,Constants!$A$2:$C$16,IF(AM57&lt;&gt;"", 3, 2), FALSE),IF(AM57&lt;&gt;"",CONCATENATE(",",VLOOKUP(AM57,$B:$AN,39,FALSE)),""))</f>
        <v>na</v>
      </c>
      <c r="AX57">
        <v>30</v>
      </c>
      <c r="AY57" s="14" t="str">
        <f t="shared" ref="AY57:AY63" si="212">IF(L57&lt;&gt;"",MAX(16,(L57-J57)+8),"")</f>
        <v/>
      </c>
      <c r="BB57">
        <f t="shared" ref="BB57:BB63" si="213">MIN(AB57/150, 1)*30</f>
        <v>0</v>
      </c>
      <c r="BC57">
        <f t="shared" ref="BC57:BC63" si="214">MIN(N57/4000, 1)*20</f>
        <v>0</v>
      </c>
      <c r="BD57">
        <f t="shared" ref="BD57:BD63" si="215">MIN(Z57/400,1)*20</f>
        <v>0</v>
      </c>
      <c r="BE57" s="3">
        <f t="shared" ref="BE57:BE63" si="216">1-(MAX(J57-1900, 0)/750)</f>
        <v>1</v>
      </c>
      <c r="BF57">
        <f t="shared" ref="BF57:BF92" si="217">((MAX($M57,1)*MIN($AJ57/300,1)))*IF(G57="Wagon",50,10)</f>
        <v>0</v>
      </c>
      <c r="BG57">
        <v>0.9</v>
      </c>
      <c r="BH57">
        <v>1.6</v>
      </c>
      <c r="BI57">
        <v>8</v>
      </c>
      <c r="BJ57">
        <v>22</v>
      </c>
      <c r="BK57" s="23">
        <f t="shared" ref="BK57:BK92" si="218">BI57*IF($G57="wagon",62.5,781.25)</f>
        <v>6250</v>
      </c>
      <c r="BL57" s="23">
        <f t="shared" ref="BL57:BL92" si="219">BJ57*IF($G57="wagon",2.73,81.25)</f>
        <v>1787.5</v>
      </c>
      <c r="BU57">
        <v>4</v>
      </c>
      <c r="BZ57" t="s">
        <v>55</v>
      </c>
      <c r="CB57" t="str">
        <f t="shared" ref="CB57:CB63" si="220">CONCATENATE(BZ57,"_",CA57)</f>
        <v>dsl_</v>
      </c>
      <c r="CC57" t="str">
        <f t="shared" ref="CC57:CC63" si="221">_xlfn.CONCAT(H57, "_",I57)</f>
        <v>tube_RAIL</v>
      </c>
      <c r="CD57" s="25" t="str" cm="1">
        <f t="array" ref="CD57">IF(AN57&lt;&gt;"na", _xlfn.CONCAT("{BLACK}Length: {GOLD}", TEXT(ROUNDUP(IF(AQ57&lt;&gt;"",SUM(VALUE(_xlfn.TEXTSPLIT(AQ57, ","))), SUM(VALUE(_xlfn.TEXTSPLIT(AN57, ",")))*IF(M57, M57, 1))/16, 1),"#,##0.0"), " tiles{}"), "")</f>
        <v/>
      </c>
      <c r="CE57" s="22" t="str">
        <f>VLOOKUP($CC57, Constants!$M:$N, 2, FALSE)</f>
        <v/>
      </c>
      <c r="CF57" s="22" t="str">
        <f t="shared" si="175"/>
        <v/>
      </c>
      <c r="CH57" t="str">
        <f t="shared" si="26"/>
        <v/>
      </c>
      <c r="CI57" t="str">
        <f t="shared" si="13"/>
        <v/>
      </c>
      <c r="CJ57" t="str">
        <f t="shared" si="27"/>
        <v>{SILVER}</v>
      </c>
    </row>
    <row r="58" spans="1:88" x14ac:dyDescent="0.35">
      <c r="A58" t="s">
        <v>433</v>
      </c>
      <c r="B58" t="s">
        <v>434</v>
      </c>
      <c r="C58">
        <v>710</v>
      </c>
      <c r="E58">
        <v>-1</v>
      </c>
      <c r="G58" t="s">
        <v>15</v>
      </c>
      <c r="H58" t="s">
        <v>162</v>
      </c>
      <c r="I58" t="s">
        <v>28</v>
      </c>
      <c r="AA58" s="3" t="str">
        <f t="shared" si="210"/>
        <v/>
      </c>
      <c r="AC58">
        <f t="shared" si="64"/>
        <v>0</v>
      </c>
      <c r="AK58" t="s">
        <v>445</v>
      </c>
      <c r="AL58">
        <f t="shared" si="211"/>
        <v>0</v>
      </c>
      <c r="AN58" s="14" t="str">
        <f>CONCATENATE(VLOOKUP(AL58,Constants!$A$2:$C$16,IF(AM58&lt;&gt;"", 3, 2), FALSE),IF(AM58&lt;&gt;"",CONCATENATE(",",VLOOKUP(AM58,$B:$AN,39,FALSE)),""))</f>
        <v>na</v>
      </c>
      <c r="AX58">
        <v>30</v>
      </c>
      <c r="AY58" s="14" t="str">
        <f t="shared" si="212"/>
        <v/>
      </c>
      <c r="BB58">
        <f t="shared" si="213"/>
        <v>0</v>
      </c>
      <c r="BC58">
        <f t="shared" si="214"/>
        <v>0</v>
      </c>
      <c r="BD58">
        <f t="shared" si="215"/>
        <v>0</v>
      </c>
      <c r="BE58" s="3">
        <f t="shared" si="216"/>
        <v>1</v>
      </c>
      <c r="BF58">
        <f t="shared" si="217"/>
        <v>0</v>
      </c>
      <c r="BG58">
        <v>0.9</v>
      </c>
      <c r="BH58">
        <v>1.6</v>
      </c>
      <c r="BI58">
        <v>8</v>
      </c>
      <c r="BJ58">
        <v>22</v>
      </c>
      <c r="BK58" s="23">
        <f t="shared" si="218"/>
        <v>6250</v>
      </c>
      <c r="BL58" s="23">
        <f t="shared" si="219"/>
        <v>1787.5</v>
      </c>
      <c r="BU58">
        <v>6</v>
      </c>
      <c r="BV58">
        <v>120</v>
      </c>
      <c r="BZ58" t="s">
        <v>94</v>
      </c>
      <c r="CA58" t="s">
        <v>80</v>
      </c>
      <c r="CB58" t="str">
        <f t="shared" si="220"/>
        <v>vct_LU</v>
      </c>
      <c r="CC58" t="str">
        <f t="shared" si="221"/>
        <v>tube_RAIL</v>
      </c>
      <c r="CD58" s="25" t="str" cm="1">
        <f t="array" ref="CD58">IF(AN58&lt;&gt;"na", _xlfn.CONCAT("{BLACK}Length: {GOLD}", TEXT(ROUNDUP(IF(AQ58&lt;&gt;"",SUM(VALUE(_xlfn.TEXTSPLIT(AQ58, ","))), SUM(VALUE(_xlfn.TEXTSPLIT(AN58, ",")))*IF(M58, M58, 1))/16, 1),"#,##0.0"), " tiles{}"), "")</f>
        <v/>
      </c>
      <c r="CE58" s="22" t="str">
        <f>VLOOKUP($CC58, Constants!$M:$N, 2, FALSE)</f>
        <v/>
      </c>
      <c r="CF58" s="22" t="str">
        <f t="shared" si="175"/>
        <v/>
      </c>
      <c r="CH58" t="str">
        <f t="shared" si="26"/>
        <v/>
      </c>
      <c r="CI58" t="str">
        <f t="shared" si="13"/>
        <v>{YELLOW}35% penalty for long distance travel{}</v>
      </c>
      <c r="CJ58" t="str">
        <f t="shared" si="27"/>
        <v>{YELLOW}35% penalty for long distance travel{}{SILVER}</v>
      </c>
    </row>
    <row r="59" spans="1:88" x14ac:dyDescent="0.35">
      <c r="A59" t="s">
        <v>426</v>
      </c>
      <c r="B59" t="s">
        <v>427</v>
      </c>
      <c r="C59">
        <v>718</v>
      </c>
      <c r="E59">
        <v>-1</v>
      </c>
      <c r="G59" t="s">
        <v>15</v>
      </c>
      <c r="H59" t="s">
        <v>15</v>
      </c>
      <c r="I59" t="s">
        <v>314</v>
      </c>
      <c r="J59">
        <v>1893</v>
      </c>
      <c r="K59">
        <v>1896</v>
      </c>
      <c r="L59">
        <v>1956</v>
      </c>
      <c r="M59">
        <v>2</v>
      </c>
      <c r="N59">
        <v>120</v>
      </c>
      <c r="W59">
        <v>10</v>
      </c>
      <c r="Y59">
        <v>7</v>
      </c>
      <c r="Z59">
        <v>30</v>
      </c>
      <c r="AA59" s="3">
        <f t="shared" si="210"/>
        <v>0.3</v>
      </c>
      <c r="AB59">
        <v>35</v>
      </c>
      <c r="AC59">
        <f t="shared" si="64"/>
        <v>56</v>
      </c>
      <c r="AF59">
        <v>14</v>
      </c>
      <c r="AG59">
        <v>14</v>
      </c>
      <c r="AH59">
        <v>2.59</v>
      </c>
      <c r="AJ59" s="9">
        <f>41+16</f>
        <v>57</v>
      </c>
      <c r="AK59" t="s">
        <v>446</v>
      </c>
      <c r="AL59">
        <f t="shared" si="211"/>
        <v>8</v>
      </c>
      <c r="AN59" s="14" t="str">
        <f>CONCATENATE(VLOOKUP(AL59,Constants!$A$2:$C$16,IF(AM59&lt;&gt;"", 3, 2), FALSE),IF(AM59&lt;&gt;"",CONCATENATE(",",VLOOKUP(AM59,$B:$AN,39,FALSE)),""))</f>
        <v>2,4,2</v>
      </c>
      <c r="AR59" t="s">
        <v>428</v>
      </c>
      <c r="AT59" t="s">
        <v>429</v>
      </c>
      <c r="AX59">
        <v>25</v>
      </c>
      <c r="AY59" s="14">
        <f t="shared" si="212"/>
        <v>71</v>
      </c>
      <c r="BB59">
        <f t="shared" si="213"/>
        <v>7</v>
      </c>
      <c r="BC59">
        <f t="shared" si="214"/>
        <v>0.6</v>
      </c>
      <c r="BD59">
        <f t="shared" si="215"/>
        <v>1.5</v>
      </c>
      <c r="BE59" s="3">
        <f t="shared" si="216"/>
        <v>1</v>
      </c>
      <c r="BF59">
        <f t="shared" si="217"/>
        <v>3.8</v>
      </c>
      <c r="BG59" t="e">
        <v>#N/A</v>
      </c>
      <c r="BH59" t="e">
        <v>#N/A</v>
      </c>
      <c r="BI59" t="e">
        <v>#N/A</v>
      </c>
      <c r="BJ59" t="e">
        <v>#N/A</v>
      </c>
      <c r="BK59" s="23" t="e">
        <f t="shared" si="218"/>
        <v>#N/A</v>
      </c>
      <c r="BL59" s="23" t="e">
        <f t="shared" si="219"/>
        <v>#N/A</v>
      </c>
      <c r="BU59">
        <v>2</v>
      </c>
      <c r="BY59" t="s">
        <v>34</v>
      </c>
      <c r="BZ59" t="s">
        <v>94</v>
      </c>
      <c r="CA59" t="s">
        <v>68</v>
      </c>
      <c r="CB59" t="str">
        <f t="shared" si="220"/>
        <v>vct_EMU</v>
      </c>
      <c r="CC59" t="str">
        <f t="shared" si="221"/>
        <v>na_THIRD_RAIL</v>
      </c>
      <c r="CD59" s="25" t="str" cm="1">
        <f t="array" ref="CD59">IF(AN59&lt;&gt;"na", _xlfn.CONCAT("{BLACK}Length: {GOLD}", TEXT(ROUNDUP(IF(AQ59&lt;&gt;"",SUM(VALUE(_xlfn.TEXTSPLIT(AQ59, ","))), SUM(VALUE(_xlfn.TEXTSPLIT(AN59, ",")))*IF(M59, M59, 1))/16, 1),"#,##0.0"), " tiles{}"), "")</f>
        <v>{BLACK}Length: {GOLD}1.0 tiles{}</v>
      </c>
      <c r="CE59" s="22" t="e">
        <f>VLOOKUP($CC59, Constants!$M:$N, 2, FALSE)</f>
        <v>#N/A</v>
      </c>
      <c r="CF59" s="22" t="str">
        <f t="shared" si="175"/>
        <v>{BLACK}Cars: {GOLD}2</v>
      </c>
      <c r="CG59" t="s">
        <v>430</v>
      </c>
      <c r="CH59" t="str">
        <f t="shared" si="26"/>
        <v/>
      </c>
      <c r="CI59" t="str">
        <f t="shared" si="13"/>
        <v/>
      </c>
      <c r="CJ59" t="e">
        <f t="shared" si="27"/>
        <v>#N/A</v>
      </c>
    </row>
    <row r="60" spans="1:88" x14ac:dyDescent="0.35">
      <c r="A60" t="s">
        <v>438</v>
      </c>
      <c r="B60" t="s">
        <v>439</v>
      </c>
      <c r="C60">
        <v>734</v>
      </c>
      <c r="E60">
        <v>-1</v>
      </c>
      <c r="G60" t="s">
        <v>15</v>
      </c>
      <c r="H60" t="s">
        <v>162</v>
      </c>
      <c r="I60" t="s">
        <v>28</v>
      </c>
      <c r="J60">
        <v>1983</v>
      </c>
      <c r="AA60" s="3" t="str">
        <f t="shared" si="210"/>
        <v/>
      </c>
      <c r="AC60">
        <f t="shared" si="64"/>
        <v>0</v>
      </c>
      <c r="AK60" t="s">
        <v>445</v>
      </c>
      <c r="AL60">
        <f t="shared" si="211"/>
        <v>0</v>
      </c>
      <c r="AN60" s="14" t="str">
        <f>CONCATENATE(VLOOKUP(AL60,Constants!$A$2:$C$16,IF(AM60&lt;&gt;"", 3, 2), FALSE),IF(AM60&lt;&gt;"",CONCATENATE(",",VLOOKUP(AM60,$B:$AN,39,FALSE)),""))</f>
        <v>na</v>
      </c>
      <c r="AX60">
        <v>30</v>
      </c>
      <c r="AY60" s="14" t="str">
        <f t="shared" si="212"/>
        <v/>
      </c>
      <c r="BB60">
        <f t="shared" si="213"/>
        <v>0</v>
      </c>
      <c r="BC60">
        <f t="shared" si="214"/>
        <v>0</v>
      </c>
      <c r="BD60">
        <f t="shared" si="215"/>
        <v>0</v>
      </c>
      <c r="BE60" s="3">
        <f t="shared" si="216"/>
        <v>0.88933333333333331</v>
      </c>
      <c r="BF60">
        <f t="shared" si="217"/>
        <v>0</v>
      </c>
      <c r="BG60">
        <v>0.9</v>
      </c>
      <c r="BH60">
        <v>1.6</v>
      </c>
      <c r="BI60">
        <v>7</v>
      </c>
      <c r="BJ60">
        <v>19</v>
      </c>
      <c r="BK60" s="23">
        <f t="shared" si="218"/>
        <v>5468.75</v>
      </c>
      <c r="BL60" s="23">
        <f t="shared" si="219"/>
        <v>1543.75</v>
      </c>
      <c r="BU60">
        <v>10</v>
      </c>
      <c r="BV60">
        <v>120</v>
      </c>
      <c r="BY60" t="s">
        <v>34</v>
      </c>
      <c r="BZ60" t="s">
        <v>106</v>
      </c>
      <c r="CA60" t="s">
        <v>80</v>
      </c>
      <c r="CB60" t="str">
        <f t="shared" si="220"/>
        <v>lbr_LU</v>
      </c>
      <c r="CC60" t="str">
        <f t="shared" si="221"/>
        <v>tube_RAIL</v>
      </c>
      <c r="CD60" s="25" t="str" cm="1">
        <f t="array" ref="CD60">IF(AN60&lt;&gt;"na", _xlfn.CONCAT("{BLACK}Length: {GOLD}", TEXT(ROUNDUP(IF(AQ60&lt;&gt;"",SUM(VALUE(_xlfn.TEXTSPLIT(AQ60, ","))), SUM(VALUE(_xlfn.TEXTSPLIT(AN60, ",")))*IF(M60, M60, 1))/16, 1),"#,##0.0"), " tiles{}"), "")</f>
        <v/>
      </c>
      <c r="CE60" s="22" t="str">
        <f>VLOOKUP($CC60, Constants!$M:$N, 2, FALSE)</f>
        <v/>
      </c>
      <c r="CF60" s="22" t="str">
        <f t="shared" si="175"/>
        <v/>
      </c>
      <c r="CH60" t="str">
        <f t="shared" si="26"/>
        <v/>
      </c>
      <c r="CI60" t="str">
        <f t="shared" si="13"/>
        <v>{YELLOW}35% penalty for long distance travel{}</v>
      </c>
      <c r="CJ60" t="str">
        <f t="shared" si="27"/>
        <v>{YELLOW}35% penalty for long distance travel{}{SILVER}</v>
      </c>
    </row>
    <row r="61" spans="1:88" x14ac:dyDescent="0.35">
      <c r="A61" s="24" t="s">
        <v>435</v>
      </c>
      <c r="B61" t="s">
        <v>436</v>
      </c>
      <c r="C61">
        <v>714</v>
      </c>
      <c r="E61">
        <v>-1</v>
      </c>
      <c r="G61" t="s">
        <v>15</v>
      </c>
      <c r="H61" t="s">
        <v>38</v>
      </c>
      <c r="I61" t="s">
        <v>437</v>
      </c>
      <c r="AA61" s="3" t="str">
        <f t="shared" si="210"/>
        <v/>
      </c>
      <c r="AC61">
        <f t="shared" si="64"/>
        <v>0</v>
      </c>
      <c r="AK61" t="s">
        <v>445</v>
      </c>
      <c r="AL61">
        <f t="shared" si="211"/>
        <v>0</v>
      </c>
      <c r="AN61" s="14" t="str">
        <f>CONCATENATE(VLOOKUP(AL61,Constants!$A$2:$C$16,IF(AM61&lt;&gt;"", 3, 2), FALSE),IF(AM61&lt;&gt;"",CONCATENATE(",",VLOOKUP(AM61,$B:$AN,39,FALSE)),""))</f>
        <v>na</v>
      </c>
      <c r="AX61">
        <v>30</v>
      </c>
      <c r="AY61" s="14" t="str">
        <f t="shared" si="212"/>
        <v/>
      </c>
      <c r="BB61">
        <f t="shared" si="213"/>
        <v>0</v>
      </c>
      <c r="BC61">
        <f t="shared" si="214"/>
        <v>0</v>
      </c>
      <c r="BD61">
        <f t="shared" si="215"/>
        <v>0</v>
      </c>
      <c r="BE61" s="3">
        <f t="shared" si="216"/>
        <v>1</v>
      </c>
      <c r="BF61">
        <f t="shared" si="217"/>
        <v>0</v>
      </c>
      <c r="BG61">
        <v>0.85</v>
      </c>
      <c r="BH61">
        <v>2.2999999999999998</v>
      </c>
      <c r="BI61">
        <v>12</v>
      </c>
      <c r="BJ61">
        <v>21</v>
      </c>
      <c r="BK61" s="23">
        <f t="shared" si="218"/>
        <v>9375</v>
      </c>
      <c r="BL61" s="23">
        <f t="shared" si="219"/>
        <v>1706.25</v>
      </c>
      <c r="BU61">
        <v>8</v>
      </c>
      <c r="BZ61" t="e">
        <v>#N/A</v>
      </c>
      <c r="CB61" t="e">
        <f t="shared" si="220"/>
        <v>#N/A</v>
      </c>
      <c r="CC61" t="str">
        <f t="shared" si="221"/>
        <v>electric_ELRL</v>
      </c>
      <c r="CD61" s="25" t="str" cm="1">
        <f t="array" ref="CD61">IF(AN61&lt;&gt;"na", _xlfn.CONCAT("{BLACK}Length: {GOLD}", TEXT(ROUNDUP(IF(AQ61&lt;&gt;"",SUM(VALUE(_xlfn.TEXTSPLIT(AQ61, ","))), SUM(VALUE(_xlfn.TEXTSPLIT(AN61, ",")))*IF(M61, M61, 1))/16, 1),"#,##0.0"), " tiles{}"), "")</f>
        <v/>
      </c>
      <c r="CE61" s="22" t="str">
        <f>VLOOKUP($CC61, Constants!$M:$N, 2, FALSE)</f>
        <v>{BLACK}Powered by: {GOLD}25kV AC</v>
      </c>
      <c r="CF61" s="22" t="str">
        <f t="shared" si="175"/>
        <v/>
      </c>
      <c r="CH61" t="str">
        <f t="shared" si="26"/>
        <v/>
      </c>
      <c r="CI61" t="str">
        <f t="shared" si="13"/>
        <v/>
      </c>
      <c r="CJ61" t="str">
        <f t="shared" si="27"/>
        <v>{BLACK}Powered by: {GOLD}25kV AC {}{SILVER}</v>
      </c>
    </row>
    <row r="62" spans="1:88" x14ac:dyDescent="0.35">
      <c r="A62" t="s">
        <v>240</v>
      </c>
      <c r="B62" t="s">
        <v>239</v>
      </c>
      <c r="C62">
        <v>1</v>
      </c>
      <c r="E62">
        <v>2000</v>
      </c>
      <c r="F62" t="s">
        <v>486</v>
      </c>
      <c r="G62" t="s">
        <v>218</v>
      </c>
      <c r="H62" t="s">
        <v>218</v>
      </c>
      <c r="I62" t="s">
        <v>336</v>
      </c>
      <c r="J62">
        <v>1800</v>
      </c>
      <c r="L62">
        <v>1880</v>
      </c>
      <c r="N62">
        <v>5</v>
      </c>
      <c r="T62" s="12"/>
      <c r="W62">
        <v>1</v>
      </c>
      <c r="Z62">
        <v>4</v>
      </c>
      <c r="AA62" s="3">
        <f t="shared" si="210"/>
        <v>0.4</v>
      </c>
      <c r="AB62">
        <v>15</v>
      </c>
      <c r="AC62">
        <f t="shared" ref="AC62:AC69" si="222">ROUND(AB62*1.6, 0)</f>
        <v>24</v>
      </c>
      <c r="AG62">
        <v>6</v>
      </c>
      <c r="AJ62" s="9">
        <v>0</v>
      </c>
      <c r="AK62" s="14" t="str">
        <f>CONCATENATE(VLOOKUP(AL62, 'Voxel Sizes'!$A$2:$B$18,2,FALSE),"x",INT(AH62*15), "x", INT(AI62*15))</f>
        <v>66x0x0</v>
      </c>
      <c r="AL62" s="14">
        <f t="shared" si="211"/>
        <v>4</v>
      </c>
      <c r="AN62" s="14" t="str">
        <f>CONCATENATE(VLOOKUP(AL62,Constants!$A$2:$C$16,IF(AM62&lt;&gt;"", 3, 2), FALSE),IF(AM62&lt;&gt;"",CONCATENATE(",",VLOOKUP(AM62,$B:$AN,39,FALSE)),""))</f>
        <v>1,2,1</v>
      </c>
      <c r="AV62">
        <v>1</v>
      </c>
      <c r="AX62">
        <v>14</v>
      </c>
      <c r="AY62" s="14">
        <f t="shared" si="212"/>
        <v>88</v>
      </c>
      <c r="AZ62">
        <v>-13</v>
      </c>
      <c r="BA62">
        <v>-3</v>
      </c>
      <c r="BB62" s="16">
        <f t="shared" si="213"/>
        <v>3</v>
      </c>
      <c r="BC62" s="16">
        <f t="shared" si="214"/>
        <v>2.5000000000000001E-2</v>
      </c>
      <c r="BD62" s="16">
        <f t="shared" si="215"/>
        <v>0.2</v>
      </c>
      <c r="BE62" s="17">
        <f t="shared" si="216"/>
        <v>1</v>
      </c>
      <c r="BF62" s="16">
        <f t="shared" si="217"/>
        <v>0</v>
      </c>
      <c r="BG62" s="16">
        <f>VLOOKUP($H62,Constants!$I:$K, 2, FALSE)</f>
        <v>0.5</v>
      </c>
      <c r="BH62" s="16">
        <f>VLOOKUP($H62,Constants!$I:$K, 3, FALSE)*IF(AND(G62="multiple_unit",AB62&lt;110),0.75,1)</f>
        <v>0.5</v>
      </c>
      <c r="BI62" s="16">
        <f>INT(POWER(((Constants!$G$2+$BB62+$BC62+$BD62+$BF62)*$BE62)*$BH62, 1.05))+$BA62</f>
        <v>1</v>
      </c>
      <c r="BJ62" s="16">
        <f>INT(POWER((((Constants!$G$1+$BB62+$BC62+$BD62+$BF62)*($BE62))*$BG62),IF($G62="wagon",1,1.2)))+$AZ62</f>
        <v>1</v>
      </c>
      <c r="BK62" s="19">
        <f t="shared" si="218"/>
        <v>781.25</v>
      </c>
      <c r="BL62" s="19">
        <f t="shared" si="219"/>
        <v>81.25</v>
      </c>
      <c r="BU62">
        <v>1</v>
      </c>
      <c r="BZ62" s="22" t="str">
        <f>VLOOKUP(J62,Eras!$A$2:$C$10, 2, TRUE)</f>
        <v>early</v>
      </c>
      <c r="CA62" t="s">
        <v>62</v>
      </c>
      <c r="CB62" s="22" t="str">
        <f t="shared" si="220"/>
        <v>early_Mixed Traffic</v>
      </c>
      <c r="CC62" s="22" t="str">
        <f t="shared" si="221"/>
        <v>horses_NARROW_GAUGE</v>
      </c>
      <c r="CD62" s="25" t="str" cm="1">
        <f t="array" ref="CD62">IF(AN62&lt;&gt;"na", _xlfn.CONCAT("{BLACK}Length: {GOLD}", TEXT(ROUNDUP(IF(AQ62&lt;&gt;"",SUM(VALUE(_xlfn.TEXTSPLIT(AQ62, ","))), SUM(VALUE(_xlfn.TEXTSPLIT(AN62, ",")))*IF(M62, M62, 1))/16, 1),"#,##0.0"), " tiles{}"), "")</f>
        <v>{BLACK}Length: {GOLD}0.3 tiles{}</v>
      </c>
      <c r="CE62" s="22" t="str">
        <f>VLOOKUP($CC62, Constants!$M:$N, 2, FALSE)</f>
        <v>{BLACK}Powered by: {GOLD}Grass and hay</v>
      </c>
      <c r="CF62" s="22" t="str">
        <f t="shared" si="175"/>
        <v/>
      </c>
      <c r="CG62" t="s">
        <v>241</v>
      </c>
      <c r="CH62" t="str">
        <f t="shared" si="26"/>
        <v/>
      </c>
      <c r="CI62" t="str">
        <f t="shared" si="13"/>
        <v/>
      </c>
      <c r="CJ62" t="str">
        <f t="shared" si="27"/>
        <v>{BLACK}Powered by: {GOLD}Grass and hay {}{BLACK}Length: {GOLD}0.3 tiles{}{SILVER}A smaller horse for a smaller railway.</v>
      </c>
    </row>
    <row r="63" spans="1:88" x14ac:dyDescent="0.35">
      <c r="A63" t="s">
        <v>315</v>
      </c>
      <c r="B63" t="s">
        <v>316</v>
      </c>
      <c r="C63">
        <v>2</v>
      </c>
      <c r="E63">
        <v>2001</v>
      </c>
      <c r="F63" t="s">
        <v>486</v>
      </c>
      <c r="G63" t="s">
        <v>235</v>
      </c>
      <c r="H63" t="s">
        <v>25</v>
      </c>
      <c r="I63" t="s">
        <v>336</v>
      </c>
      <c r="J63">
        <v>1804</v>
      </c>
      <c r="L63">
        <v>1840</v>
      </c>
      <c r="N63">
        <v>10</v>
      </c>
      <c r="P63" s="5">
        <v>8.6</v>
      </c>
      <c r="Q63" s="5">
        <v>16</v>
      </c>
      <c r="R63" s="5">
        <v>1</v>
      </c>
      <c r="S63" s="5">
        <v>160</v>
      </c>
      <c r="T63" s="12">
        <f t="shared" ref="T63:T76" si="223">((($AB63/2)/60)*5280)/($U63*3.2*PI())</f>
        <v>87.535218700542444</v>
      </c>
      <c r="U63" s="5">
        <v>0.7</v>
      </c>
      <c r="V63" s="5">
        <f t="shared" ref="V63:V76" si="224">((($P63*$P63/4)*PI())*($Q63/12)*$R63*$S63*$T63)/(33000*1.1)</f>
        <v>29.882828282828278</v>
      </c>
      <c r="W63">
        <v>5</v>
      </c>
      <c r="Y63">
        <v>5</v>
      </c>
      <c r="Z63">
        <v>12</v>
      </c>
      <c r="AA63" s="3">
        <f t="shared" si="210"/>
        <v>0.24</v>
      </c>
      <c r="AB63">
        <v>14</v>
      </c>
      <c r="AC63">
        <f t="shared" si="222"/>
        <v>22</v>
      </c>
      <c r="AF63">
        <v>5.5</v>
      </c>
      <c r="AG63">
        <v>8</v>
      </c>
      <c r="AJ63" s="9">
        <v>0</v>
      </c>
      <c r="AK63" s="14" t="str">
        <f>CONCATENATE(VLOOKUP(AL63, 'Voxel Sizes'!$A$2:$B$18,2,FALSE),"x",INT(AH63*15), "x", INT(AI63*15))</f>
        <v>82x0x0</v>
      </c>
      <c r="AL63" s="14">
        <f t="shared" si="211"/>
        <v>5</v>
      </c>
      <c r="AM63" t="s">
        <v>468</v>
      </c>
      <c r="AN63" s="14" t="str">
        <f>CONCATENATE(VLOOKUP(AL63,Constants!$A$2:$C$16,IF(AM63&lt;&gt;"", 3, 2), FALSE),IF(AM63&lt;&gt;"",CONCATENATE(",",VLOOKUP(AM63,$B:$AN,39,FALSE)),""))</f>
        <v>2,1,2,1,1,1</v>
      </c>
      <c r="AV63">
        <v>1</v>
      </c>
      <c r="AX63">
        <v>28</v>
      </c>
      <c r="AY63" s="14">
        <f t="shared" si="212"/>
        <v>44</v>
      </c>
      <c r="AZ63">
        <v>-34</v>
      </c>
      <c r="BA63">
        <v>-13</v>
      </c>
      <c r="BB63" s="16">
        <f t="shared" si="213"/>
        <v>2.8000000000000003</v>
      </c>
      <c r="BC63" s="16">
        <f t="shared" si="214"/>
        <v>0.05</v>
      </c>
      <c r="BD63" s="16">
        <f t="shared" si="215"/>
        <v>0.6</v>
      </c>
      <c r="BE63" s="17">
        <f t="shared" si="216"/>
        <v>1</v>
      </c>
      <c r="BF63" s="16">
        <f t="shared" si="217"/>
        <v>0</v>
      </c>
      <c r="BG63" s="16">
        <f>VLOOKUP($H63,Constants!$I:$K, 2, FALSE)</f>
        <v>1.1499999999999999</v>
      </c>
      <c r="BH63" s="16">
        <f>VLOOKUP($H63,Constants!$I:$K, 3, FALSE)*IF(AND(G63="multiple_unit",AB63&lt;110),0.75,1)</f>
        <v>1.7</v>
      </c>
      <c r="BI63" s="16">
        <f>INT(POWER(((Constants!$G$2+$BB63+$BC63+$BD63+$BF63)*$BE63)*$BH63, 1.05))+$BA63</f>
        <v>3</v>
      </c>
      <c r="BJ63" s="16">
        <f>INT(POWER((((Constants!$G$1+$BB63+$BC63+$BD63+$BF63)*($BE63))*$BG63),IF($G63="wagon",1,1.2)))+$AZ63</f>
        <v>5</v>
      </c>
      <c r="BK63" s="19">
        <f t="shared" si="218"/>
        <v>2343.75</v>
      </c>
      <c r="BL63" s="19">
        <f t="shared" si="219"/>
        <v>406.25</v>
      </c>
      <c r="BU63">
        <v>2</v>
      </c>
      <c r="BZ63" s="22" t="str">
        <f>VLOOKUP(J63,Eras!$A$2:$C$10, 2, TRUE)</f>
        <v>early</v>
      </c>
      <c r="CA63" t="s">
        <v>61</v>
      </c>
      <c r="CB63" s="22" t="str">
        <f t="shared" si="220"/>
        <v>early_Cheap</v>
      </c>
      <c r="CC63" s="22" t="str">
        <f t="shared" si="221"/>
        <v>steam_NARROW_GAUGE</v>
      </c>
      <c r="CD63" s="25" t="str" cm="1">
        <f t="array" ref="CD63">IF(AN63&lt;&gt;"na", _xlfn.CONCAT("{BLACK}Length: {GOLD}", TEXT(ROUNDUP(IF(AQ63&lt;&gt;"",SUM(VALUE(_xlfn.TEXTSPLIT(AQ63, ","))), SUM(VALUE(_xlfn.TEXTSPLIT(AN63, ",")))*IF(M63, M63, 1))/16, 1),"#,##0.0"), " tiles{}"), "")</f>
        <v>{BLACK}Length: {GOLD}0.5 tiles{}</v>
      </c>
      <c r="CE63" s="22" t="str">
        <f>VLOOKUP($CC63, Constants!$M:$N, 2, FALSE)</f>
        <v>{BLACK}Powered by: {GOLD}Steam</v>
      </c>
      <c r="CF63" s="22" t="str">
        <f t="shared" si="175"/>
        <v/>
      </c>
      <c r="CG63" t="s">
        <v>317</v>
      </c>
      <c r="CH63" t="str">
        <f t="shared" si="26"/>
        <v/>
      </c>
      <c r="CI63" t="str">
        <f t="shared" si="13"/>
        <v/>
      </c>
      <c r="CJ63" t="str">
        <f t="shared" si="27"/>
        <v>{BLACK}Powered by: {GOLD}Steam {}{BLACK}Length: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64" spans="1:88" x14ac:dyDescent="0.35">
      <c r="A64" t="s">
        <v>469</v>
      </c>
      <c r="B64" t="s">
        <v>470</v>
      </c>
      <c r="C64">
        <v>4</v>
      </c>
      <c r="E64">
        <v>2002</v>
      </c>
      <c r="F64" t="s">
        <v>486</v>
      </c>
      <c r="G64" t="s">
        <v>235</v>
      </c>
      <c r="H64" t="s">
        <v>25</v>
      </c>
      <c r="I64" t="s">
        <v>336</v>
      </c>
      <c r="J64">
        <v>1863</v>
      </c>
      <c r="L64">
        <v>1946</v>
      </c>
      <c r="N64">
        <v>90</v>
      </c>
      <c r="P64" s="5">
        <v>8.25</v>
      </c>
      <c r="Q64" s="5">
        <v>12</v>
      </c>
      <c r="R64" s="5">
        <v>2</v>
      </c>
      <c r="S64" s="5">
        <v>160</v>
      </c>
      <c r="T64" s="12">
        <f t="shared" si="223"/>
        <v>165.02541230430134</v>
      </c>
      <c r="U64" s="5">
        <v>0.61</v>
      </c>
      <c r="V64" s="5">
        <f t="shared" si="224"/>
        <v>77.76639344262297</v>
      </c>
      <c r="W64">
        <v>15</v>
      </c>
      <c r="Y64">
        <v>5</v>
      </c>
      <c r="Z64">
        <v>29</v>
      </c>
      <c r="AA64" s="3">
        <f t="shared" ref="AA64" si="225">IF(AND(W64&gt;0,Z64&gt;0),(Z64/((W64+X64)*10)),"")</f>
        <v>0.19333333333333333</v>
      </c>
      <c r="AB64">
        <v>23</v>
      </c>
      <c r="AC64">
        <f t="shared" ref="AC64" si="226">ROUND(AB64*1.6, 0)</f>
        <v>37</v>
      </c>
      <c r="AF64">
        <v>5.5</v>
      </c>
      <c r="AG64">
        <v>6</v>
      </c>
      <c r="AJ64" s="9">
        <v>0</v>
      </c>
      <c r="AK64" s="14" t="str">
        <f>CONCATENATE(VLOOKUP(AL64, 'Voxel Sizes'!$A$2:$B$18,2,FALSE),"x",INT(AH64*15), "x", INT(AI64*15))</f>
        <v>66x0x0</v>
      </c>
      <c r="AL64" s="14">
        <f t="shared" ref="AL64" si="227">ROUND(15*((AG64*10)/256),0)</f>
        <v>4</v>
      </c>
      <c r="AM64" t="s">
        <v>471</v>
      </c>
      <c r="AN64" s="14" t="str">
        <f>CONCATENATE(VLOOKUP(AL64,Constants!$A$2:$C$16,IF(AM64&lt;&gt;"", 3, 2), FALSE),IF(AM64&lt;&gt;"",CONCATENATE(",",VLOOKUP(AM64,$B:$AN,39,FALSE)),""))</f>
        <v>1,2,1,1,1,1</v>
      </c>
      <c r="AV64">
        <v>1</v>
      </c>
      <c r="AX64">
        <v>250</v>
      </c>
      <c r="AY64" s="14">
        <f t="shared" ref="AY64" si="228">IF(L64&lt;&gt;"",MAX(16,(L64-J64)+8),"")</f>
        <v>91</v>
      </c>
      <c r="AZ64">
        <v>-5</v>
      </c>
      <c r="BA64">
        <v>-3</v>
      </c>
      <c r="BB64" s="16">
        <f t="shared" ref="BB64" si="229">MIN(AB64/150, 1)*30</f>
        <v>4.5999999999999996</v>
      </c>
      <c r="BC64" s="16">
        <f t="shared" ref="BC64" si="230">MIN(N64/4000, 1)*20</f>
        <v>0.44999999999999996</v>
      </c>
      <c r="BD64" s="16">
        <f t="shared" ref="BD64" si="231">MIN(Z64/400,1)*20</f>
        <v>1.45</v>
      </c>
      <c r="BE64" s="17">
        <f t="shared" ref="BE64" si="232">1-(MAX(J64-1900, 0)/750)</f>
        <v>1</v>
      </c>
      <c r="BF64" s="16">
        <f t="shared" si="217"/>
        <v>0</v>
      </c>
      <c r="BG64" s="16">
        <f>VLOOKUP($H64,Constants!$I:$K, 2, FALSE)</f>
        <v>1.1499999999999999</v>
      </c>
      <c r="BH64" s="16">
        <f>VLOOKUP($H64,Constants!$I:$K, 3, FALSE)*IF(AND(G64="multiple_unit",AB64&lt;110),0.75,1)</f>
        <v>1.7</v>
      </c>
      <c r="BI64" s="16">
        <f>INT(POWER(((Constants!$G$2+$BB64+$BC64+$BD64+$BF64)*$BE64)*$BH64, 1.05))+$BA64</f>
        <v>19</v>
      </c>
      <c r="BJ64" s="16">
        <f>INT(POWER((((Constants!$G$1+$BB64+$BC64+$BD64+$BF64)*($BE64))*$BG64),IF($G64="wagon",1,1.2)))+$AZ64</f>
        <v>41</v>
      </c>
      <c r="BK64" s="19">
        <f t="shared" si="218"/>
        <v>14843.75</v>
      </c>
      <c r="BL64" s="19">
        <f t="shared" si="219"/>
        <v>3331.25</v>
      </c>
      <c r="BU64">
        <v>9</v>
      </c>
      <c r="BZ64" s="22" t="str">
        <f>VLOOKUP(J64,Eras!$A$2:$C$10, 2, TRUE)</f>
        <v>vct</v>
      </c>
      <c r="CA64" t="s">
        <v>61</v>
      </c>
      <c r="CB64" s="22" t="str">
        <f t="shared" ref="CB64" si="233">CONCATENATE(BZ64,"_",CA64)</f>
        <v>vct_Cheap</v>
      </c>
      <c r="CC64" s="22" t="str">
        <f t="shared" ref="CC64" si="234">_xlfn.CONCAT(H64, "_",I64)</f>
        <v>steam_NARROW_GAUGE</v>
      </c>
      <c r="CD64" s="25" t="str" cm="1">
        <f t="array" ref="CD64">IF(AN64&lt;&gt;"na", _xlfn.CONCAT("{BLACK}Length: {GOLD}", TEXT(ROUNDUP(IF(AQ64&lt;&gt;"",SUM(VALUE(_xlfn.TEXTSPLIT(AQ64, ","))), SUM(VALUE(_xlfn.TEXTSPLIT(AN64, ",")))*IF(M64, M64, 1))/16, 1),"#,##0.0"), " tiles{}"), "")</f>
        <v>{BLACK}Length: {GOLD}0.5 tiles{}</v>
      </c>
      <c r="CE64" s="22" t="str">
        <f>VLOOKUP($CC64, Constants!$M:$N, 2, FALSE)</f>
        <v>{BLACK}Powered by: {GOLD}Steam</v>
      </c>
      <c r="CF64" s="22" t="str">
        <f t="shared" si="175"/>
        <v/>
      </c>
      <c r="CG64" t="s">
        <v>473</v>
      </c>
      <c r="CH64" t="str">
        <f t="shared" si="26"/>
        <v/>
      </c>
      <c r="CI64" t="str">
        <f t="shared" si="13"/>
        <v/>
      </c>
      <c r="CJ64" t="str">
        <f t="shared" si="27"/>
        <v>{BLACK}Powered by: {GOLD}Steam {}{BLACK}Length: {GOLD}0.5 tiles{}{SILVER}"Princess" was the first locomotive on the Ffestiniog Railway, going through multiple rebuilds and serving on the railway until its eventual closure in 1946.</v>
      </c>
    </row>
    <row r="65" spans="1:88" x14ac:dyDescent="0.35">
      <c r="A65" t="s">
        <v>247</v>
      </c>
      <c r="B65" t="s">
        <v>248</v>
      </c>
      <c r="C65">
        <v>5</v>
      </c>
      <c r="E65">
        <v>2003</v>
      </c>
      <c r="F65" t="s">
        <v>486</v>
      </c>
      <c r="G65" t="s">
        <v>235</v>
      </c>
      <c r="H65" t="s">
        <v>25</v>
      </c>
      <c r="I65" t="s">
        <v>336</v>
      </c>
      <c r="J65">
        <v>1864</v>
      </c>
      <c r="L65">
        <v>1945</v>
      </c>
      <c r="N65">
        <v>110</v>
      </c>
      <c r="P65" s="5">
        <v>8.6</v>
      </c>
      <c r="Q65" s="5">
        <v>16</v>
      </c>
      <c r="R65" s="5">
        <v>2</v>
      </c>
      <c r="S65" s="5">
        <v>160</v>
      </c>
      <c r="T65" s="12">
        <f t="shared" si="223"/>
        <v>156.31289053668294</v>
      </c>
      <c r="U65" s="5">
        <v>0.7</v>
      </c>
      <c r="V65" s="5">
        <f t="shared" si="224"/>
        <v>106.72438672438672</v>
      </c>
      <c r="W65">
        <v>13</v>
      </c>
      <c r="Y65">
        <v>5</v>
      </c>
      <c r="Z65">
        <v>26</v>
      </c>
      <c r="AA65" s="3">
        <f t="shared" ref="AA65:AA74" si="235">IF(AND(W65&gt;0,Z65&gt;0),(Z65/((W65+X65)*10)),"")</f>
        <v>0.2</v>
      </c>
      <c r="AB65">
        <v>25</v>
      </c>
      <c r="AC65">
        <f t="shared" si="222"/>
        <v>40</v>
      </c>
      <c r="AF65">
        <v>5.5</v>
      </c>
      <c r="AG65">
        <v>6</v>
      </c>
      <c r="AJ65" s="9">
        <v>0</v>
      </c>
      <c r="AK65" s="14" t="str">
        <f>CONCATENATE(VLOOKUP(AL65, 'Voxel Sizes'!$A$2:$B$18,2,FALSE),"x",INT(AH65*15), "x", INT(AI65*15))</f>
        <v>66x0x0</v>
      </c>
      <c r="AL65" s="14">
        <f t="shared" ref="AL65:AL74" si="236">ROUND(15*((AG65*10)/256),0)</f>
        <v>4</v>
      </c>
      <c r="AN65" s="14" t="str">
        <f>CONCATENATE(VLOOKUP(AL65,Constants!$A$2:$C$16,IF(AM65&lt;&gt;"", 3, 2), FALSE),IF(AM65&lt;&gt;"",CONCATENATE(",",VLOOKUP(AM65,$B:$AN,39,FALSE)),""))</f>
        <v>1,2,1</v>
      </c>
      <c r="AV65">
        <v>1</v>
      </c>
      <c r="AX65">
        <v>250</v>
      </c>
      <c r="AY65" s="14">
        <f t="shared" ref="AY65:AY74" si="237">IF(L65&lt;&gt;"",MAX(16,(L65-J65)+8),"")</f>
        <v>89</v>
      </c>
      <c r="AZ65">
        <v>-5</v>
      </c>
      <c r="BA65">
        <v>-3</v>
      </c>
      <c r="BB65" s="16">
        <f t="shared" ref="BB65:BB74" si="238">MIN(AB65/150, 1)*30</f>
        <v>5</v>
      </c>
      <c r="BC65" s="16">
        <f t="shared" ref="BC65:BC74" si="239">MIN(N65/4000, 1)*20</f>
        <v>0.55000000000000004</v>
      </c>
      <c r="BD65" s="16">
        <f t="shared" ref="BD65:BD74" si="240">MIN(Z65/400,1)*20</f>
        <v>1.3</v>
      </c>
      <c r="BE65" s="17">
        <f t="shared" ref="BE65:BE74" si="241">1-(MAX(J65-1900, 0)/750)</f>
        <v>1</v>
      </c>
      <c r="BF65" s="16">
        <f t="shared" si="217"/>
        <v>0</v>
      </c>
      <c r="BG65" s="16">
        <f>VLOOKUP($H65,Constants!$I:$K, 2, FALSE)</f>
        <v>1.1499999999999999</v>
      </c>
      <c r="BH65" s="16">
        <f>VLOOKUP($H65,Constants!$I:$K, 3, FALSE)*IF(AND(G65="multiple_unit",AB65&lt;110),0.75,1)</f>
        <v>1.7</v>
      </c>
      <c r="BI65" s="16">
        <f>INT(POWER(((Constants!$G$2+$BB65+$BC65+$BD65+$BF65)*$BE65)*$BH65, 1.05))+$BA65</f>
        <v>20</v>
      </c>
      <c r="BJ65" s="16">
        <f>INT(POWER((((Constants!$G$1+$BB65+$BC65+$BD65+$BF65)*($BE65))*$BG65),IF($G65="wagon",1,1.2)))+$AZ65</f>
        <v>42</v>
      </c>
      <c r="BK65" s="19">
        <f t="shared" si="218"/>
        <v>15625</v>
      </c>
      <c r="BL65" s="19">
        <f t="shared" si="219"/>
        <v>3412.5</v>
      </c>
      <c r="BU65">
        <v>12</v>
      </c>
      <c r="BZ65" s="22" t="str">
        <f>VLOOKUP(J65,Eras!$A$2:$C$10, 2, TRUE)</f>
        <v>vct</v>
      </c>
      <c r="CA65" t="s">
        <v>61</v>
      </c>
      <c r="CB65" s="22" t="str">
        <f t="shared" ref="CB65:CB74" si="242">CONCATENATE(BZ65,"_",CA65)</f>
        <v>vct_Cheap</v>
      </c>
      <c r="CC65" s="22" t="str">
        <f t="shared" ref="CC65:CC74" si="243">_xlfn.CONCAT(H65, "_",I65)</f>
        <v>steam_NARROW_GAUGE</v>
      </c>
      <c r="CD65" s="25" t="str" cm="1">
        <f t="array" ref="CD65">IF(AN65&lt;&gt;"na", _xlfn.CONCAT("{BLACK}Length: {GOLD}", TEXT(ROUNDUP(IF(AQ65&lt;&gt;"",SUM(VALUE(_xlfn.TEXTSPLIT(AQ65, ","))), SUM(VALUE(_xlfn.TEXTSPLIT(AN65, ",")))*IF(M65, M65, 1))/16, 1),"#,##0.0"), " tiles{}"), "")</f>
        <v>{BLACK}Length: {GOLD}0.3 tiles{}</v>
      </c>
      <c r="CE65" s="22" t="str">
        <f>VLOOKUP($CC65, Constants!$M:$N, 2, FALSE)</f>
        <v>{BLACK}Powered by: {GOLD}Steam</v>
      </c>
      <c r="CF65" s="22" t="str">
        <f t="shared" si="175"/>
        <v/>
      </c>
      <c r="CG65" t="s">
        <v>249</v>
      </c>
      <c r="CH65" t="str">
        <f t="shared" si="26"/>
        <v/>
      </c>
      <c r="CI65" t="str">
        <f t="shared" si="13"/>
        <v/>
      </c>
      <c r="CJ65" t="str">
        <f t="shared" si="27"/>
        <v>{BLACK}Powered by: {GOLD}Steam {}{BLACK}Length: {GOLD}0.3 tiles{}{SILVER}"Talyllyn" was delivered to the Talyllyn railway as an 0-4-0, but converted to 0-4-2 after a few years to improve riding quality. It was retired in 1945, but refurbished in the late 1950s and returned to preservation service.</v>
      </c>
    </row>
    <row r="66" spans="1:88" x14ac:dyDescent="0.35">
      <c r="A66" t="s">
        <v>296</v>
      </c>
      <c r="B66" t="s">
        <v>297</v>
      </c>
      <c r="C66">
        <v>10</v>
      </c>
      <c r="E66">
        <v>2004</v>
      </c>
      <c r="F66" t="s">
        <v>486</v>
      </c>
      <c r="G66" t="s">
        <v>235</v>
      </c>
      <c r="H66" t="s">
        <v>25</v>
      </c>
      <c r="I66" t="s">
        <v>336</v>
      </c>
      <c r="J66">
        <v>1866</v>
      </c>
      <c r="L66">
        <v>1945</v>
      </c>
      <c r="N66">
        <v>85</v>
      </c>
      <c r="P66" s="5">
        <v>7.6</v>
      </c>
      <c r="Q66" s="5">
        <v>16</v>
      </c>
      <c r="R66" s="5">
        <v>2</v>
      </c>
      <c r="S66" s="5">
        <v>150</v>
      </c>
      <c r="T66" s="12">
        <f t="shared" si="223"/>
        <v>156.31289053668294</v>
      </c>
      <c r="U66" s="5">
        <v>0.7</v>
      </c>
      <c r="V66" s="5">
        <f t="shared" si="224"/>
        <v>78.13852813852813</v>
      </c>
      <c r="W66">
        <v>10</v>
      </c>
      <c r="Y66">
        <v>5</v>
      </c>
      <c r="Z66">
        <v>18</v>
      </c>
      <c r="AA66" s="3">
        <f t="shared" si="235"/>
        <v>0.18</v>
      </c>
      <c r="AB66">
        <v>25</v>
      </c>
      <c r="AC66">
        <f t="shared" si="222"/>
        <v>40</v>
      </c>
      <c r="AF66">
        <v>5.5</v>
      </c>
      <c r="AG66">
        <v>6</v>
      </c>
      <c r="AJ66" s="9">
        <v>0</v>
      </c>
      <c r="AK66" s="14" t="str">
        <f>CONCATENATE(VLOOKUP(AL66, 'Voxel Sizes'!$A$2:$B$18,2,FALSE),"x",INT(AH66*15), "x", INT(AI66*15))</f>
        <v>66x0x0</v>
      </c>
      <c r="AL66" s="14">
        <f t="shared" si="236"/>
        <v>4</v>
      </c>
      <c r="AN66" s="14" t="str">
        <f>CONCATENATE(VLOOKUP(AL66,Constants!$A$2:$C$16,IF(AM66&lt;&gt;"", 3, 2), FALSE),IF(AM66&lt;&gt;"",CONCATENATE(",",VLOOKUP(AM66,$B:$AN,39,FALSE)),""))</f>
        <v>1,2,1</v>
      </c>
      <c r="AV66">
        <v>1</v>
      </c>
      <c r="AX66">
        <v>250</v>
      </c>
      <c r="AY66" s="14">
        <f t="shared" si="237"/>
        <v>87</v>
      </c>
      <c r="AZ66">
        <v>-5</v>
      </c>
      <c r="BA66">
        <v>-6</v>
      </c>
      <c r="BB66" s="16">
        <f t="shared" si="238"/>
        <v>5</v>
      </c>
      <c r="BC66" s="16">
        <f t="shared" si="239"/>
        <v>0.42500000000000004</v>
      </c>
      <c r="BD66" s="16">
        <f t="shared" si="240"/>
        <v>0.89999999999999991</v>
      </c>
      <c r="BE66" s="17">
        <f t="shared" si="241"/>
        <v>1</v>
      </c>
      <c r="BF66" s="16">
        <f t="shared" si="217"/>
        <v>0</v>
      </c>
      <c r="BG66" s="16">
        <f>VLOOKUP($H66,Constants!$I:$K, 2, FALSE)</f>
        <v>1.1499999999999999</v>
      </c>
      <c r="BH66" s="16">
        <f>VLOOKUP($H66,Constants!$I:$K, 3, FALSE)*IF(AND(G66="multiple_unit",AB66&lt;110),0.75,1)</f>
        <v>1.7</v>
      </c>
      <c r="BI66" s="16">
        <f>INT(POWER(((Constants!$G$2+$BB66+$BC66+$BD66+$BF66)*$BE66)*$BH66, 1.05))+$BA66</f>
        <v>16</v>
      </c>
      <c r="BJ66" s="16">
        <f>INT(POWER((((Constants!$G$1+$BB66+$BC66+$BD66+$BF66)*($BE66))*$BG66),IF($G66="wagon",1,1.2)))+$AZ66</f>
        <v>41</v>
      </c>
      <c r="BK66" s="19">
        <f t="shared" si="218"/>
        <v>12500</v>
      </c>
      <c r="BL66" s="19">
        <f t="shared" si="219"/>
        <v>3331.25</v>
      </c>
      <c r="BU66">
        <v>11</v>
      </c>
      <c r="BZ66" s="22" t="str">
        <f>VLOOKUP(J66,Eras!$A$2:$C$10, 2, TRUE)</f>
        <v>vct</v>
      </c>
      <c r="CA66" t="s">
        <v>61</v>
      </c>
      <c r="CB66" s="22" t="str">
        <f t="shared" si="242"/>
        <v>vct_Cheap</v>
      </c>
      <c r="CC66" s="22" t="str">
        <f t="shared" si="243"/>
        <v>steam_NARROW_GAUGE</v>
      </c>
      <c r="CD66" s="25" t="str" cm="1">
        <f t="array" ref="CD66">IF(AN66&lt;&gt;"na", _xlfn.CONCAT("{BLACK}Length: {GOLD}", TEXT(ROUNDUP(IF(AQ66&lt;&gt;"",SUM(VALUE(_xlfn.TEXTSPLIT(AQ66, ","))), SUM(VALUE(_xlfn.TEXTSPLIT(AN66, ",")))*IF(M66, M66, 1))/16, 1),"#,##0.0"), " tiles{}"), "")</f>
        <v>{BLACK}Length: {GOLD}0.3 tiles{}</v>
      </c>
      <c r="CE66" s="22" t="str">
        <f>VLOOKUP($CC66, Constants!$M:$N, 2, FALSE)</f>
        <v>{BLACK}Powered by: {GOLD}Steam</v>
      </c>
      <c r="CF66" s="22" t="str">
        <f t="shared" si="175"/>
        <v/>
      </c>
      <c r="CG66" t="s">
        <v>307</v>
      </c>
      <c r="CH66" t="str">
        <f t="shared" si="26"/>
        <v/>
      </c>
      <c r="CI66" t="str">
        <f t="shared" si="13"/>
        <v/>
      </c>
      <c r="CJ66" t="str">
        <f t="shared" si="27"/>
        <v>{BLACK}Powered by: {GOLD}Steam {}{BLACK}Length: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67" spans="1:88" x14ac:dyDescent="0.35">
      <c r="A67" t="s">
        <v>319</v>
      </c>
      <c r="B67" t="s">
        <v>320</v>
      </c>
      <c r="C67">
        <v>12</v>
      </c>
      <c r="E67">
        <v>2005</v>
      </c>
      <c r="F67" t="s">
        <v>486</v>
      </c>
      <c r="G67" t="s">
        <v>235</v>
      </c>
      <c r="H67" t="s">
        <v>25</v>
      </c>
      <c r="I67" t="s">
        <v>336</v>
      </c>
      <c r="J67">
        <v>1869</v>
      </c>
      <c r="N67">
        <v>275</v>
      </c>
      <c r="P67" s="5">
        <v>8.25</v>
      </c>
      <c r="Q67" s="5">
        <v>13</v>
      </c>
      <c r="R67" s="5">
        <v>4</v>
      </c>
      <c r="S67" s="5">
        <v>160</v>
      </c>
      <c r="T67" s="12">
        <f t="shared" si="223"/>
        <v>218.83804675135613</v>
      </c>
      <c r="U67" s="5">
        <v>0.7</v>
      </c>
      <c r="V67" s="5">
        <f t="shared" si="224"/>
        <v>223.43750000000003</v>
      </c>
      <c r="W67">
        <v>10</v>
      </c>
      <c r="Y67">
        <v>5</v>
      </c>
      <c r="Z67">
        <v>38</v>
      </c>
      <c r="AA67" s="3">
        <f t="shared" si="235"/>
        <v>0.38</v>
      </c>
      <c r="AB67">
        <v>35</v>
      </c>
      <c r="AC67">
        <f t="shared" si="222"/>
        <v>56</v>
      </c>
      <c r="AG67">
        <v>12</v>
      </c>
      <c r="AJ67" s="9">
        <v>0</v>
      </c>
      <c r="AK67" s="14" t="str">
        <f>CONCATENATE(VLOOKUP(AL67, 'Voxel Sizes'!$A$2:$B$18,2,FALSE),"x",INT(AH67*15), "x", INT(AI67*15))</f>
        <v>120x0x0</v>
      </c>
      <c r="AL67" s="14">
        <f t="shared" si="236"/>
        <v>7</v>
      </c>
      <c r="AN67" s="14" t="str">
        <f>CONCATENATE(VLOOKUP(AL67,Constants!$A$2:$C$16,IF(AM67&lt;&gt;"", 3, 2), FALSE),IF(AM67&lt;&gt;"",CONCATENATE(",",VLOOKUP(AM67,$B:$AN,39,FALSE)),""))</f>
        <v>2,3,2</v>
      </c>
      <c r="AV67">
        <v>1</v>
      </c>
      <c r="AX67">
        <v>250</v>
      </c>
      <c r="AY67" s="14" t="str">
        <f t="shared" si="237"/>
        <v/>
      </c>
      <c r="AZ67">
        <v>-5</v>
      </c>
      <c r="BA67">
        <v>-6</v>
      </c>
      <c r="BB67" s="16">
        <f t="shared" si="238"/>
        <v>7</v>
      </c>
      <c r="BC67" s="16">
        <f t="shared" si="239"/>
        <v>1.375</v>
      </c>
      <c r="BD67" s="16">
        <f t="shared" si="240"/>
        <v>1.9</v>
      </c>
      <c r="BE67" s="17">
        <f t="shared" si="241"/>
        <v>1</v>
      </c>
      <c r="BF67" s="16">
        <f t="shared" si="217"/>
        <v>0</v>
      </c>
      <c r="BG67" s="16">
        <f>VLOOKUP($H67,Constants!$I:$K, 2, FALSE)</f>
        <v>1.1499999999999999</v>
      </c>
      <c r="BH67" s="16">
        <f>VLOOKUP($H67,Constants!$I:$K, 3, FALSE)*IF(AND(G67="multiple_unit",AB67&lt;110),0.75,1)</f>
        <v>1.7</v>
      </c>
      <c r="BI67" s="16">
        <f>INT(POWER(((Constants!$G$2+$BB67+$BC67+$BD67+$BF67)*$BE67)*$BH67, 1.05))+$BA67</f>
        <v>24</v>
      </c>
      <c r="BJ67" s="16">
        <f>INT(POWER((((Constants!$G$1+$BB67+$BC67+$BD67+$BF67)*($BE67))*$BG67),IF($G67="wagon",1,1.2)))+$AZ67</f>
        <v>52</v>
      </c>
      <c r="BK67" s="19">
        <f t="shared" si="218"/>
        <v>18750</v>
      </c>
      <c r="BL67" s="19">
        <f t="shared" si="219"/>
        <v>4225</v>
      </c>
      <c r="BU67">
        <v>11</v>
      </c>
      <c r="BZ67" s="22" t="str">
        <f>VLOOKUP(J67,Eras!$A$2:$C$10, 2, TRUE)</f>
        <v>vct</v>
      </c>
      <c r="CA67" t="s">
        <v>61</v>
      </c>
      <c r="CB67" s="22" t="str">
        <f t="shared" si="242"/>
        <v>vct_Cheap</v>
      </c>
      <c r="CC67" s="22" t="str">
        <f t="shared" si="243"/>
        <v>steam_NARROW_GAUGE</v>
      </c>
      <c r="CD67" s="25" t="str" cm="1">
        <f t="array" ref="CD67">IF(AN67&lt;&gt;"na", _xlfn.CONCAT("{BLACK}Length: {GOLD}", TEXT(ROUNDUP(IF(AQ67&lt;&gt;"",SUM(VALUE(_xlfn.TEXTSPLIT(AQ67, ","))), SUM(VALUE(_xlfn.TEXTSPLIT(AN67, ",")))*IF(M67, M67, 1))/16, 1),"#,##0.0"), " tiles{}"), "")</f>
        <v>{BLACK}Length: {GOLD}0.5 tiles{}</v>
      </c>
      <c r="CE67" s="22" t="str">
        <f>VLOOKUP($CC67, Constants!$M:$N, 2, FALSE)</f>
        <v>{BLACK}Powered by: {GOLD}Steam</v>
      </c>
      <c r="CF67" s="22" t="str">
        <f t="shared" si="175"/>
        <v/>
      </c>
      <c r="CG67" t="s">
        <v>321</v>
      </c>
      <c r="CH67" t="str">
        <f t="shared" si="26"/>
        <v/>
      </c>
      <c r="CI67" t="str">
        <f t="shared" ref="CI67:CI88" si="244">IF(BW67="buffet","{YELLOW}25% long distance bonus for consist{}",IF(BX67="DANDY","{YELLOW}Faster downhill speeds for horse-drawn trains (1 required per 2 horses){}",IF(BX67="BRAKE","{YELLOW}Speed bonus for slow wagons{}",IF(BX67="NGPassengers","{YELLOW}Preserved railway bonus: passengers pay more when hauled by old locomotives{}",IF(AND(BV67&gt;190,NOT(AND(I67="NARROW_GAUGE",BX67&lt;&gt;"PASS"))),CONCATENATE("{YELLOW}",INT((BV67-185)/1.85),"% bonus for long distance travel{}"),IF(AND(BV67&lt;180,BV67&lt;&gt;0),CONCATENATE("{YELLOW}",INT((185-BV67)/1.85),"% penalty for long distance travel{}"),""))))))</f>
        <v/>
      </c>
      <c r="CJ67" t="str">
        <f t="shared" si="27"/>
        <v>{BLACK}Powered by: {GOLD}Steam {}{BLACK}Length: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68" spans="1:88" x14ac:dyDescent="0.35">
      <c r="A68" t="s">
        <v>490</v>
      </c>
      <c r="B68" t="s">
        <v>302</v>
      </c>
      <c r="C68">
        <v>15</v>
      </c>
      <c r="E68">
        <v>2006</v>
      </c>
      <c r="F68" t="s">
        <v>486</v>
      </c>
      <c r="G68" t="s">
        <v>235</v>
      </c>
      <c r="H68" t="s">
        <v>25</v>
      </c>
      <c r="I68" t="s">
        <v>336</v>
      </c>
      <c r="J68">
        <v>1903</v>
      </c>
      <c r="L68">
        <v>1960</v>
      </c>
      <c r="N68">
        <v>55</v>
      </c>
      <c r="P68" s="5">
        <v>7</v>
      </c>
      <c r="Q68" s="5">
        <v>10</v>
      </c>
      <c r="R68" s="5">
        <v>2</v>
      </c>
      <c r="S68" s="5">
        <v>160</v>
      </c>
      <c r="T68" s="12">
        <f t="shared" si="223"/>
        <v>187.57546864401954</v>
      </c>
      <c r="U68" s="5">
        <v>0.7</v>
      </c>
      <c r="V68" s="5">
        <f t="shared" si="224"/>
        <v>53.030303030303038</v>
      </c>
      <c r="W68">
        <v>7</v>
      </c>
      <c r="Y68">
        <v>5</v>
      </c>
      <c r="Z68">
        <v>12</v>
      </c>
      <c r="AA68" s="3">
        <f t="shared" si="235"/>
        <v>0.17142857142857143</v>
      </c>
      <c r="AB68">
        <v>30</v>
      </c>
      <c r="AC68">
        <f t="shared" si="222"/>
        <v>48</v>
      </c>
      <c r="AF68">
        <v>4</v>
      </c>
      <c r="AG68">
        <v>6</v>
      </c>
      <c r="AJ68" s="9">
        <v>0</v>
      </c>
      <c r="AK68" s="14" t="str">
        <f>CONCATENATE(VLOOKUP(AL68, 'Voxel Sizes'!$A$2:$B$18,2,FALSE),"x",INT(AH68*15), "x", INT(AI68*15))</f>
        <v>66x0x0</v>
      </c>
      <c r="AL68" s="14">
        <f t="shared" si="236"/>
        <v>4</v>
      </c>
      <c r="AN68" s="14" t="str">
        <f>CONCATENATE(VLOOKUP(AL68,Constants!$A$2:$C$16,IF(AM68&lt;&gt;"", 3, 2), FALSE),IF(AM68&lt;&gt;"",CONCATENATE(",",VLOOKUP(AM68,$B:$AN,39,FALSE)),""))</f>
        <v>1,2,1</v>
      </c>
      <c r="AV68">
        <v>1</v>
      </c>
      <c r="AX68">
        <v>250</v>
      </c>
      <c r="AY68" s="14">
        <f t="shared" si="237"/>
        <v>65</v>
      </c>
      <c r="AZ68">
        <v>-5</v>
      </c>
      <c r="BA68">
        <v>-5</v>
      </c>
      <c r="BB68" s="16">
        <f t="shared" si="238"/>
        <v>6</v>
      </c>
      <c r="BC68" s="16">
        <f t="shared" si="239"/>
        <v>0.27500000000000002</v>
      </c>
      <c r="BD68" s="16">
        <f t="shared" si="240"/>
        <v>0.6</v>
      </c>
      <c r="BE68" s="17">
        <f t="shared" si="241"/>
        <v>0.996</v>
      </c>
      <c r="BF68" s="16">
        <f t="shared" si="217"/>
        <v>0</v>
      </c>
      <c r="BG68" s="16">
        <f>VLOOKUP($H68,Constants!$I:$K, 2, FALSE)</f>
        <v>1.1499999999999999</v>
      </c>
      <c r="BH68" s="16">
        <f>VLOOKUP($H68,Constants!$I:$K, 3, FALSE)*IF(AND(G68="multiple_unit",AB68&lt;110),0.75,1)</f>
        <v>1.7</v>
      </c>
      <c r="BI68" s="16">
        <f>INT(POWER(((Constants!$G$2+$BB68+$BC68+$BD68+$BF68)*$BE68)*$BH68, 1.05))+$BA68</f>
        <v>18</v>
      </c>
      <c r="BJ68" s="16">
        <f>INT(POWER((((Constants!$G$1+$BB68+$BC68+$BD68+$BF68)*($BE68))*$BG68),IF($G68="wagon",1,1.2)))+$AZ68</f>
        <v>42</v>
      </c>
      <c r="BK68" s="19">
        <f t="shared" si="218"/>
        <v>14062.5</v>
      </c>
      <c r="BL68" s="19">
        <f t="shared" si="219"/>
        <v>3412.5</v>
      </c>
      <c r="BU68">
        <v>10</v>
      </c>
      <c r="BZ68" s="22" t="str">
        <f>VLOOKUP(J68,Eras!$A$2:$C$10, 2, TRUE)</f>
        <v>edw</v>
      </c>
      <c r="CA68" t="s">
        <v>61</v>
      </c>
      <c r="CB68" s="22" t="str">
        <f t="shared" si="242"/>
        <v>edw_Cheap</v>
      </c>
      <c r="CC68" s="22" t="str">
        <f t="shared" si="243"/>
        <v>steam_NARROW_GAUGE</v>
      </c>
      <c r="CD68" s="25" t="str" cm="1">
        <f t="array" ref="CD68">IF(AN68&lt;&gt;"na", _xlfn.CONCAT("{BLACK}Length: {GOLD}", TEXT(ROUNDUP(IF(AQ68&lt;&gt;"",SUM(VALUE(_xlfn.TEXTSPLIT(AQ68, ","))), SUM(VALUE(_xlfn.TEXTSPLIT(AN68, ",")))*IF(M68, M68, 1))/16, 1),"#,##0.0"), " tiles{}"), "")</f>
        <v>{BLACK}Length: {GOLD}0.3 tiles{}</v>
      </c>
      <c r="CE68" s="22" t="str">
        <f>VLOOKUP($CC68, Constants!$M:$N, 2, FALSE)</f>
        <v>{BLACK}Powered by: {GOLD}Steam</v>
      </c>
      <c r="CF68" s="22" t="str">
        <f t="shared" si="175"/>
        <v/>
      </c>
      <c r="CG68" t="s">
        <v>491</v>
      </c>
      <c r="CH68" t="str">
        <f t="shared" ref="CH68:CH92" si="245">IF($BT68="!param_no_gameplay_units","{GREEN}Included for gameplay purposes","")</f>
        <v/>
      </c>
      <c r="CI68" t="str">
        <f t="shared" si="244"/>
        <v/>
      </c>
      <c r="CJ68" t="str">
        <f t="shared" ref="CJ68:CJ92" si="246">_xlfn.CONCAT(CE68,IF(CE68&lt;&gt;""," ",""),CF68,IF(OR(CF68&lt;&gt;"",CE68&lt;&gt;""),"{}",""),CD68,CI68,"{SILVER}",CG68,IF(CH68&lt;&gt;"","{}{}",""),CH68)</f>
        <v>{BLACK}Powered by: {GOLD}Steam {}{BLACK}Length: {GOLD}0.3 tiles{}{SILVER}These small Hunslet tank engines were used as quarry locomotives. "Alice" worked at Dinorwic, being used as a source of spare parts afterward, before being restored in the late '80s and early '90s and now running on the Bala Lake Railway.</v>
      </c>
    </row>
    <row r="69" spans="1:88" x14ac:dyDescent="0.35">
      <c r="A69" t="s">
        <v>305</v>
      </c>
      <c r="B69" t="s">
        <v>306</v>
      </c>
      <c r="C69">
        <v>20</v>
      </c>
      <c r="E69">
        <v>-1</v>
      </c>
      <c r="G69" t="s">
        <v>15</v>
      </c>
      <c r="H69" t="s">
        <v>25</v>
      </c>
      <c r="I69" t="s">
        <v>336</v>
      </c>
      <c r="J69">
        <v>1903</v>
      </c>
      <c r="L69">
        <v>1951</v>
      </c>
      <c r="T69" s="12">
        <f t="shared" si="223"/>
        <v>0</v>
      </c>
      <c r="U69" s="5">
        <v>0.7</v>
      </c>
      <c r="V69" s="5">
        <f t="shared" si="224"/>
        <v>0</v>
      </c>
      <c r="Y69">
        <v>5</v>
      </c>
      <c r="AA69" s="3" t="str">
        <f t="shared" si="235"/>
        <v/>
      </c>
      <c r="AC69">
        <f t="shared" si="222"/>
        <v>0</v>
      </c>
      <c r="AJ69" s="9">
        <v>0</v>
      </c>
      <c r="AK69" s="14" t="str">
        <f>CONCATENATE(VLOOKUP(AL69, 'Voxel Sizes'!$A$2:$B$18,2,FALSE),"x",INT(AH69*15), "x", INT(AI69*15))</f>
        <v>0x0x0</v>
      </c>
      <c r="AL69" s="14">
        <f t="shared" si="236"/>
        <v>0</v>
      </c>
      <c r="AN69" s="14" t="str">
        <f>CONCATENATE(VLOOKUP(AL69,Constants!$A$2:$C$16,IF(AM69&lt;&gt;"", 3, 2), FALSE),IF(AM69&lt;&gt;"",CONCATENATE(",",VLOOKUP(AM69,$B:$AN,39,FALSE)),""))</f>
        <v>na</v>
      </c>
      <c r="AV69">
        <v>1</v>
      </c>
      <c r="AX69">
        <v>250</v>
      </c>
      <c r="AY69" s="14">
        <f t="shared" si="237"/>
        <v>56</v>
      </c>
      <c r="AZ69">
        <v>-5</v>
      </c>
      <c r="BA69">
        <v>-5</v>
      </c>
      <c r="BB69" s="16">
        <f t="shared" si="238"/>
        <v>0</v>
      </c>
      <c r="BC69" s="16">
        <f t="shared" si="239"/>
        <v>0</v>
      </c>
      <c r="BD69" s="16">
        <f t="shared" si="240"/>
        <v>0</v>
      </c>
      <c r="BE69" s="17">
        <f t="shared" si="241"/>
        <v>0.996</v>
      </c>
      <c r="BF69" s="16">
        <f t="shared" si="217"/>
        <v>0</v>
      </c>
      <c r="BG69" s="16">
        <f>VLOOKUP($H69,Constants!$I:$K, 2, FALSE)</f>
        <v>1.1499999999999999</v>
      </c>
      <c r="BH69" s="16">
        <f>VLOOKUP($H69,Constants!$I:$K, 3, FALSE)*IF(AND(G69="multiple_unit",AB69&lt;110),0.75,1)</f>
        <v>1.7</v>
      </c>
      <c r="BI69" s="16">
        <f>INT(POWER(((Constants!$G$2+$BB69+$BC69+$BD69+$BF69)*$BE69)*$BH69, 1.05))+$BA69</f>
        <v>4</v>
      </c>
      <c r="BJ69" s="16">
        <f>INT(POWER((((Constants!$G$1+$BB69+$BC69+$BD69+$BF69)*($BE69))*$BG69),IF($G69="wagon",1,1.2)))+$AZ69</f>
        <v>25</v>
      </c>
      <c r="BK69" s="19">
        <f t="shared" si="218"/>
        <v>3125</v>
      </c>
      <c r="BL69" s="19">
        <f t="shared" si="219"/>
        <v>2031.25</v>
      </c>
      <c r="BU69">
        <v>9</v>
      </c>
      <c r="BZ69" s="22" t="str">
        <f>VLOOKUP(J69,Eras!$A$2:$C$10, 2, TRUE)</f>
        <v>edw</v>
      </c>
      <c r="CA69" t="s">
        <v>61</v>
      </c>
      <c r="CB69" s="22" t="str">
        <f t="shared" si="242"/>
        <v>edw_Cheap</v>
      </c>
      <c r="CC69" s="22" t="str">
        <f t="shared" si="243"/>
        <v>steam_NARROW_GAUGE</v>
      </c>
      <c r="CD69" s="25" t="str" cm="1">
        <f t="array" ref="CD69">IF(AN69&lt;&gt;"na", _xlfn.CONCAT("{BLACK}Length: {GOLD}", TEXT(ROUNDUP(IF(AQ69&lt;&gt;"",SUM(VALUE(_xlfn.TEXTSPLIT(AQ69, ","))), SUM(VALUE(_xlfn.TEXTSPLIT(AN69, ",")))*IF(M69, M69, 1))/16, 1),"#,##0.0"), " tiles{}"), "")</f>
        <v/>
      </c>
      <c r="CE69" s="22" t="str">
        <f>VLOOKUP($CC69, Constants!$M:$N, 2, FALSE)</f>
        <v>{BLACK}Powered by: {GOLD}Steam</v>
      </c>
      <c r="CF69" s="22" t="str">
        <f t="shared" si="175"/>
        <v/>
      </c>
      <c r="CH69" t="str">
        <f t="shared" si="245"/>
        <v/>
      </c>
      <c r="CI69" t="str">
        <f t="shared" si="244"/>
        <v/>
      </c>
      <c r="CJ69" t="str">
        <f t="shared" si="246"/>
        <v>{BLACK}Powered by: {GOLD}Steam {}{SILVER}</v>
      </c>
    </row>
    <row r="70" spans="1:88" x14ac:dyDescent="0.35">
      <c r="A70" t="s">
        <v>308</v>
      </c>
      <c r="B70" t="s">
        <v>309</v>
      </c>
      <c r="C70">
        <v>25</v>
      </c>
      <c r="E70">
        <v>2007</v>
      </c>
      <c r="F70" t="s">
        <v>486</v>
      </c>
      <c r="G70" t="s">
        <v>235</v>
      </c>
      <c r="H70" t="s">
        <v>25</v>
      </c>
      <c r="I70" t="s">
        <v>336</v>
      </c>
      <c r="J70">
        <v>1918</v>
      </c>
      <c r="L70">
        <v>1955</v>
      </c>
      <c r="N70">
        <v>65</v>
      </c>
      <c r="P70" s="5">
        <v>6.8</v>
      </c>
      <c r="Q70" s="5">
        <v>10.75</v>
      </c>
      <c r="R70" s="5">
        <v>2</v>
      </c>
      <c r="S70" s="5">
        <v>160</v>
      </c>
      <c r="T70" s="12">
        <f t="shared" si="223"/>
        <v>218.8380467513561</v>
      </c>
      <c r="U70" s="5">
        <v>0.6</v>
      </c>
      <c r="V70" s="5">
        <f t="shared" si="224"/>
        <v>62.76262626262627</v>
      </c>
      <c r="W70">
        <v>8</v>
      </c>
      <c r="Y70">
        <v>5</v>
      </c>
      <c r="Z70">
        <v>15</v>
      </c>
      <c r="AA70" s="3">
        <f t="shared" si="235"/>
        <v>0.1875</v>
      </c>
      <c r="AB70">
        <v>30</v>
      </c>
      <c r="AC70">
        <f t="shared" ref="AC70:AC80" si="247">ROUND(AB70*1.6, 0)</f>
        <v>48</v>
      </c>
      <c r="AF70">
        <v>4.7</v>
      </c>
      <c r="AG70">
        <v>6</v>
      </c>
      <c r="AJ70" s="9">
        <v>0</v>
      </c>
      <c r="AK70" s="14" t="str">
        <f>CONCATENATE(VLOOKUP(AL70, 'Voxel Sizes'!$A$2:$B$18,2,FALSE),"x",INT(AH70*15), "x", INT(AI70*15))</f>
        <v>66x0x0</v>
      </c>
      <c r="AL70" s="14">
        <f t="shared" si="236"/>
        <v>4</v>
      </c>
      <c r="AN70" s="14" t="str">
        <f>CONCATENATE(VLOOKUP(AL70,Constants!$A$2:$C$16,IF(AM70&lt;&gt;"", 3, 2), FALSE),IF(AM70&lt;&gt;"",CONCATENATE(",",VLOOKUP(AM70,$B:$AN,39,FALSE)),""))</f>
        <v>1,2,1</v>
      </c>
      <c r="AV70">
        <v>1</v>
      </c>
      <c r="AX70">
        <v>250</v>
      </c>
      <c r="AY70" s="14">
        <f t="shared" si="237"/>
        <v>45</v>
      </c>
      <c r="AZ70">
        <v>-5</v>
      </c>
      <c r="BA70">
        <v>-7</v>
      </c>
      <c r="BB70" s="16">
        <f t="shared" si="238"/>
        <v>6</v>
      </c>
      <c r="BC70" s="16">
        <f t="shared" si="239"/>
        <v>0.32500000000000001</v>
      </c>
      <c r="BD70" s="16">
        <f t="shared" si="240"/>
        <v>0.75</v>
      </c>
      <c r="BE70" s="17">
        <f t="shared" si="241"/>
        <v>0.97599999999999998</v>
      </c>
      <c r="BF70" s="16">
        <f t="shared" si="217"/>
        <v>0</v>
      </c>
      <c r="BG70" s="16">
        <f>VLOOKUP($H70,Constants!$I:$K, 2, FALSE)</f>
        <v>1.1499999999999999</v>
      </c>
      <c r="BH70" s="16">
        <f>VLOOKUP($H70,Constants!$I:$K, 3, FALSE)*IF(AND(G70="multiple_unit",AB70&lt;110),0.75,1)</f>
        <v>1.7</v>
      </c>
      <c r="BI70" s="16">
        <f>INT(POWER(((Constants!$G$2+$BB70+$BC70+$BD70+$BF70)*$BE70)*$BH70, 1.05))+$BA70</f>
        <v>16</v>
      </c>
      <c r="BJ70" s="16">
        <f>INT(POWER((((Constants!$G$1+$BB70+$BC70+$BD70+$BF70)*($BE70))*$BG70),IF($G70="wagon",1,1.2)))+$AZ70</f>
        <v>42</v>
      </c>
      <c r="BK70" s="19">
        <f t="shared" si="218"/>
        <v>12500</v>
      </c>
      <c r="BL70" s="19">
        <f t="shared" si="219"/>
        <v>3412.5</v>
      </c>
      <c r="BU70">
        <v>8</v>
      </c>
      <c r="BZ70" s="22" t="str">
        <f>VLOOKUP(J70,Eras!$A$2:$C$10, 2, TRUE)</f>
        <v>edw</v>
      </c>
      <c r="CA70" t="s">
        <v>61</v>
      </c>
      <c r="CB70" s="22" t="str">
        <f t="shared" si="242"/>
        <v>edw_Cheap</v>
      </c>
      <c r="CC70" s="22" t="str">
        <f t="shared" si="243"/>
        <v>steam_NARROW_GAUGE</v>
      </c>
      <c r="CD70" s="25" t="str" cm="1">
        <f t="array" ref="CD70">IF(AN70&lt;&gt;"na", _xlfn.CONCAT("{BLACK}Length: {GOLD}", TEXT(ROUNDUP(IF(AQ70&lt;&gt;"",SUM(VALUE(_xlfn.TEXTSPLIT(AQ70, ","))), SUM(VALUE(_xlfn.TEXTSPLIT(AN70, ",")))*IF(M70, M70, 1))/16, 1),"#,##0.0"), " tiles{}"), "")</f>
        <v>{BLACK}Length: {GOLD}0.3 tiles{}</v>
      </c>
      <c r="CE70" s="22" t="str">
        <f>VLOOKUP($CC70, Constants!$M:$N, 2, FALSE)</f>
        <v>{BLACK}Powered by: {GOLD}Steam</v>
      </c>
      <c r="CF70" s="22" t="str">
        <f t="shared" si="175"/>
        <v/>
      </c>
      <c r="CG70" t="s">
        <v>310</v>
      </c>
      <c r="CH70" t="str">
        <f t="shared" si="245"/>
        <v/>
      </c>
      <c r="CI70" t="str">
        <f t="shared" si="244"/>
        <v/>
      </c>
      <c r="CJ70" t="str">
        <f t="shared" si="246"/>
        <v>{BLACK}Powered by: {GOLD}Steam {}{BLACK}Length: {GOLD}0.3 tiles{}{SILVER}The E Class is a small 0-4-0 well tank. One used by the RAF is preserved on the Talyllyn railway as "Douglas", named after second owner Douglas Abelson who donated it from his engineering firm.</v>
      </c>
    </row>
    <row r="71" spans="1:88" x14ac:dyDescent="0.35">
      <c r="A71" t="s">
        <v>303</v>
      </c>
      <c r="B71" t="s">
        <v>304</v>
      </c>
      <c r="C71">
        <v>30</v>
      </c>
      <c r="E71">
        <v>2008</v>
      </c>
      <c r="F71" t="s">
        <v>486</v>
      </c>
      <c r="G71" t="s">
        <v>235</v>
      </c>
      <c r="H71" t="s">
        <v>25</v>
      </c>
      <c r="I71" t="s">
        <v>336</v>
      </c>
      <c r="J71">
        <v>1923</v>
      </c>
      <c r="L71">
        <v>1968</v>
      </c>
      <c r="N71">
        <v>250</v>
      </c>
      <c r="P71" s="5">
        <v>11.5</v>
      </c>
      <c r="Q71" s="5">
        <v>17</v>
      </c>
      <c r="R71" s="5">
        <v>2</v>
      </c>
      <c r="S71" s="5">
        <v>165</v>
      </c>
      <c r="T71" s="12">
        <f t="shared" si="223"/>
        <v>153.18663272594927</v>
      </c>
      <c r="U71" s="5">
        <v>1</v>
      </c>
      <c r="V71" s="5">
        <f t="shared" si="224"/>
        <v>204.91861979166666</v>
      </c>
      <c r="W71">
        <v>25</v>
      </c>
      <c r="Y71">
        <v>5</v>
      </c>
      <c r="Z71">
        <v>44</v>
      </c>
      <c r="AA71" s="3">
        <f t="shared" si="235"/>
        <v>0.17599999999999999</v>
      </c>
      <c r="AB71">
        <v>35</v>
      </c>
      <c r="AC71">
        <f t="shared" si="247"/>
        <v>56</v>
      </c>
      <c r="AG71">
        <v>8</v>
      </c>
      <c r="AJ71" s="9">
        <v>0</v>
      </c>
      <c r="AK71" s="14" t="str">
        <f>CONCATENATE(VLOOKUP(AL71, 'Voxel Sizes'!$A$2:$B$18,2,FALSE),"x",INT(AH71*15), "x", INT(AI71*15))</f>
        <v>82x0x0</v>
      </c>
      <c r="AL71" s="14">
        <f t="shared" si="236"/>
        <v>5</v>
      </c>
      <c r="AN71" s="14" t="str">
        <f>CONCATENATE(VLOOKUP(AL71,Constants!$A$2:$C$16,IF(AM71&lt;&gt;"", 3, 2), FALSE),IF(AM71&lt;&gt;"",CONCATENATE(",",VLOOKUP(AM71,$B:$AN,39,FALSE)),""))</f>
        <v>2,1,2</v>
      </c>
      <c r="AV71">
        <v>1</v>
      </c>
      <c r="AX71">
        <v>250</v>
      </c>
      <c r="AY71" s="14">
        <f t="shared" si="237"/>
        <v>53</v>
      </c>
      <c r="AZ71">
        <v>-10</v>
      </c>
      <c r="BA71">
        <v>-5</v>
      </c>
      <c r="BB71" s="16">
        <f t="shared" si="238"/>
        <v>7</v>
      </c>
      <c r="BC71" s="16">
        <f t="shared" si="239"/>
        <v>1.25</v>
      </c>
      <c r="BD71" s="16">
        <f t="shared" si="240"/>
        <v>2.2000000000000002</v>
      </c>
      <c r="BE71" s="17">
        <f t="shared" si="241"/>
        <v>0.96933333333333338</v>
      </c>
      <c r="BF71" s="16">
        <f t="shared" si="217"/>
        <v>0</v>
      </c>
      <c r="BG71" s="16">
        <f>VLOOKUP($H71,Constants!$I:$K, 2, FALSE)</f>
        <v>1.1499999999999999</v>
      </c>
      <c r="BH71" s="16">
        <f>VLOOKUP($H71,Constants!$I:$K, 3, FALSE)*IF(AND(G71="multiple_unit",AB71&lt;110),0.75,1)</f>
        <v>1.7</v>
      </c>
      <c r="BI71" s="16">
        <f>INT(POWER(((Constants!$G$2+$BB71+$BC71+$BD71+$BF71)*$BE71)*$BH71, 1.05))+$BA71</f>
        <v>24</v>
      </c>
      <c r="BJ71" s="16">
        <f>INT(POWER((((Constants!$G$1+$BB71+$BC71+$BD71+$BF71)*($BE71))*$BG71),IF($G71="wagon",1,1.2)))+$AZ71</f>
        <v>45</v>
      </c>
      <c r="BK71" s="19">
        <f t="shared" si="218"/>
        <v>18750</v>
      </c>
      <c r="BL71" s="19">
        <f t="shared" si="219"/>
        <v>3656.25</v>
      </c>
      <c r="BU71">
        <v>7</v>
      </c>
      <c r="BZ71" s="22" t="str">
        <f>VLOOKUP(J71,Eras!$A$2:$C$10, 2, TRUE)</f>
        <v>big4</v>
      </c>
      <c r="CA71" t="s">
        <v>61</v>
      </c>
      <c r="CB71" s="22" t="str">
        <f t="shared" si="242"/>
        <v>big4_Cheap</v>
      </c>
      <c r="CC71" s="22" t="str">
        <f t="shared" si="243"/>
        <v>steam_NARROW_GAUGE</v>
      </c>
      <c r="CD71" s="25" t="str" cm="1">
        <f t="array" ref="CD71">IF(AN71&lt;&gt;"na", _xlfn.CONCAT("{BLACK}Length: {GOLD}", TEXT(ROUNDUP(IF(AQ71&lt;&gt;"",SUM(VALUE(_xlfn.TEXTSPLIT(AQ71, ","))), SUM(VALUE(_xlfn.TEXTSPLIT(AN71, ",")))*IF(M71, M71, 1))/16, 1),"#,##0.0"), " tiles{}"), "")</f>
        <v>{BLACK}Length: {GOLD}0.4 tiles{}</v>
      </c>
      <c r="CE71" s="22" t="str">
        <f>VLOOKUP($CC71, Constants!$M:$N, 2, FALSE)</f>
        <v>{BLACK}Powered by: {GOLD}Steam</v>
      </c>
      <c r="CF71" s="22" t="str">
        <f t="shared" si="175"/>
        <v/>
      </c>
      <c r="CG71" t="s">
        <v>318</v>
      </c>
      <c r="CH71" t="str">
        <f t="shared" si="245"/>
        <v/>
      </c>
      <c r="CI71" t="str">
        <f t="shared" si="244"/>
        <v/>
      </c>
      <c r="CJ71" t="str">
        <f t="shared" si="246"/>
        <v>{BLACK}Powered by: {GOLD}Steam {}{BLACK}Length: {GOLD}0.4 tiles{}{SILVER}Charles Collett designed these tank locomotives to replace worn-out engines on the Vale of Rheidol line. They became the last steam locomotives running on British Railways, up until the line became a heritage railway in 1989.</v>
      </c>
    </row>
    <row r="72" spans="1:88" x14ac:dyDescent="0.35">
      <c r="A72" t="s">
        <v>323</v>
      </c>
      <c r="B72" t="s">
        <v>298</v>
      </c>
      <c r="C72">
        <v>35</v>
      </c>
      <c r="E72">
        <v>-1</v>
      </c>
      <c r="G72" t="s">
        <v>15</v>
      </c>
      <c r="H72" t="s">
        <v>26</v>
      </c>
      <c r="I72" t="s">
        <v>336</v>
      </c>
      <c r="J72">
        <v>1940</v>
      </c>
      <c r="L72">
        <v>1980</v>
      </c>
      <c r="N72">
        <v>40</v>
      </c>
      <c r="T72" s="12">
        <f t="shared" si="223"/>
        <v>0</v>
      </c>
      <c r="U72" s="5">
        <v>0.7</v>
      </c>
      <c r="V72" s="5">
        <f t="shared" si="224"/>
        <v>0</v>
      </c>
      <c r="Y72">
        <v>5</v>
      </c>
      <c r="AA72" s="3" t="str">
        <f t="shared" si="235"/>
        <v/>
      </c>
      <c r="AC72">
        <f t="shared" si="247"/>
        <v>0</v>
      </c>
      <c r="AJ72" s="9">
        <v>0</v>
      </c>
      <c r="AK72" s="14" t="str">
        <f>CONCATENATE(VLOOKUP(AL72, 'Voxel Sizes'!$A$2:$B$18,2,FALSE),"x",INT(AH72*15), "x", INT(AI72*15))</f>
        <v>0x0x0</v>
      </c>
      <c r="AL72" s="14">
        <f t="shared" si="236"/>
        <v>0</v>
      </c>
      <c r="AN72" s="14" t="str">
        <f>CONCATENATE(VLOOKUP(AL72,Constants!$A$2:$C$16,IF(AM72&lt;&gt;"", 3, 2), FALSE),IF(AM72&lt;&gt;"",CONCATENATE(",",VLOOKUP(AM72,$B:$AN,39,FALSE)),""))</f>
        <v>na</v>
      </c>
      <c r="AV72">
        <v>1</v>
      </c>
      <c r="AX72">
        <v>250</v>
      </c>
      <c r="AY72" s="14">
        <f t="shared" si="237"/>
        <v>48</v>
      </c>
      <c r="AZ72">
        <v>-5</v>
      </c>
      <c r="BA72">
        <v>-2</v>
      </c>
      <c r="BB72" s="16">
        <f t="shared" si="238"/>
        <v>0</v>
      </c>
      <c r="BC72" s="16">
        <f t="shared" si="239"/>
        <v>0.2</v>
      </c>
      <c r="BD72" s="16">
        <f t="shared" si="240"/>
        <v>0</v>
      </c>
      <c r="BE72" s="17">
        <f t="shared" si="241"/>
        <v>0.94666666666666666</v>
      </c>
      <c r="BF72" s="16">
        <f t="shared" si="217"/>
        <v>0</v>
      </c>
      <c r="BG72" s="16">
        <f>VLOOKUP($H72,Constants!$I:$K, 2, FALSE)</f>
        <v>1</v>
      </c>
      <c r="BH72" s="16">
        <f>VLOOKUP($H72,Constants!$I:$K, 3, FALSE)*IF(AND(G72="multiple_unit",AB72&lt;110),0.75,1)</f>
        <v>2</v>
      </c>
      <c r="BI72" s="16">
        <f>INT(POWER(((Constants!$G$2+$BB72+$BC72+$BD72+$BF72)*$BE72)*$BH72, 1.05))+$BA72</f>
        <v>9</v>
      </c>
      <c r="BJ72" s="16">
        <f>INT(POWER((((Constants!$G$1+$BB72+$BC72+$BD72+$BF72)*($BE72))*$BG72),IF($G72="wagon",1,1.2)))+$AZ72</f>
        <v>19</v>
      </c>
      <c r="BK72" s="19">
        <f t="shared" si="218"/>
        <v>7031.25</v>
      </c>
      <c r="BL72" s="19">
        <f t="shared" si="219"/>
        <v>1543.75</v>
      </c>
      <c r="BU72">
        <v>6</v>
      </c>
      <c r="BZ72" s="22" t="str">
        <f>VLOOKUP(J72,Eras!$A$2:$C$10, 2, TRUE)</f>
        <v>big4</v>
      </c>
      <c r="CA72" t="s">
        <v>61</v>
      </c>
      <c r="CB72" s="22" t="str">
        <f t="shared" si="242"/>
        <v>big4_Cheap</v>
      </c>
      <c r="CC72" s="22" t="str">
        <f t="shared" si="243"/>
        <v>diesel_NARROW_GAUGE</v>
      </c>
      <c r="CD72" s="25" t="str" cm="1">
        <f t="array" ref="CD72">IF(AN72&lt;&gt;"na", _xlfn.CONCAT("{BLACK}Length: {GOLD}", TEXT(ROUNDUP(IF(AQ72&lt;&gt;"",SUM(VALUE(_xlfn.TEXTSPLIT(AQ72, ","))), SUM(VALUE(_xlfn.TEXTSPLIT(AN72, ",")))*IF(M72, M72, 1))/16, 1),"#,##0.0"), " tiles{}"), "")</f>
        <v/>
      </c>
      <c r="CE72" s="22" t="str">
        <f>VLOOKUP($CC72, Constants!$M:$N, 2, FALSE)</f>
        <v>{BLACK}Powered by: {GOLD}Diesel</v>
      </c>
      <c r="CF72" s="22" t="str">
        <f t="shared" si="175"/>
        <v/>
      </c>
      <c r="CH72" t="str">
        <f t="shared" si="245"/>
        <v/>
      </c>
      <c r="CI72" t="str">
        <f t="shared" si="244"/>
        <v/>
      </c>
      <c r="CJ72" t="str">
        <f t="shared" si="246"/>
        <v>{BLACK}Powered by: {GOLD}Diesel {}{SILVER}</v>
      </c>
    </row>
    <row r="73" spans="1:88" x14ac:dyDescent="0.35">
      <c r="A73" t="s">
        <v>322</v>
      </c>
      <c r="B73" t="s">
        <v>299</v>
      </c>
      <c r="C73">
        <v>40</v>
      </c>
      <c r="E73">
        <v>2009</v>
      </c>
      <c r="F73" t="s">
        <v>486</v>
      </c>
      <c r="G73" t="s">
        <v>235</v>
      </c>
      <c r="H73" t="s">
        <v>26</v>
      </c>
      <c r="I73" t="s">
        <v>336</v>
      </c>
      <c r="J73">
        <v>1941</v>
      </c>
      <c r="L73">
        <v>1985</v>
      </c>
      <c r="N73">
        <v>50</v>
      </c>
      <c r="T73" s="12">
        <f t="shared" si="223"/>
        <v>187.57546864401954</v>
      </c>
      <c r="U73" s="5">
        <v>0.7</v>
      </c>
      <c r="V73" s="5">
        <f t="shared" si="224"/>
        <v>0</v>
      </c>
      <c r="W73">
        <v>7</v>
      </c>
      <c r="Y73">
        <v>5</v>
      </c>
      <c r="Z73">
        <v>22</v>
      </c>
      <c r="AA73" s="3">
        <f t="shared" si="235"/>
        <v>0.31428571428571428</v>
      </c>
      <c r="AB73">
        <v>30</v>
      </c>
      <c r="AC73">
        <f t="shared" si="247"/>
        <v>48</v>
      </c>
      <c r="AG73">
        <v>6</v>
      </c>
      <c r="AJ73" s="9">
        <v>0</v>
      </c>
      <c r="AK73" s="14" t="str">
        <f>CONCATENATE(VLOOKUP(AL73, 'Voxel Sizes'!$A$2:$B$18,2,FALSE),"x",INT(AH73*15), "x", INT(AI73*15))</f>
        <v>66x0x0</v>
      </c>
      <c r="AL73" s="14">
        <f t="shared" si="236"/>
        <v>4</v>
      </c>
      <c r="AN73" s="14" t="str">
        <f>CONCATENATE(VLOOKUP(AL73,Constants!$A$2:$C$16,IF(AM73&lt;&gt;"", 3, 2), FALSE),IF(AM73&lt;&gt;"",CONCATENATE(",",VLOOKUP(AM73,$B:$AN,39,FALSE)),""))</f>
        <v>1,2,1</v>
      </c>
      <c r="AX73">
        <v>125</v>
      </c>
      <c r="AY73" s="14">
        <f t="shared" si="237"/>
        <v>52</v>
      </c>
      <c r="AZ73">
        <v>-9</v>
      </c>
      <c r="BA73">
        <v>-12</v>
      </c>
      <c r="BB73" s="16">
        <f t="shared" si="238"/>
        <v>6</v>
      </c>
      <c r="BC73" s="16">
        <f t="shared" si="239"/>
        <v>0.25</v>
      </c>
      <c r="BD73" s="16">
        <f t="shared" si="240"/>
        <v>1.1000000000000001</v>
      </c>
      <c r="BE73" s="17">
        <f t="shared" si="241"/>
        <v>0.94533333333333336</v>
      </c>
      <c r="BF73" s="16">
        <f t="shared" si="217"/>
        <v>0</v>
      </c>
      <c r="BG73" s="16">
        <f>VLOOKUP($H73,Constants!$I:$K, 2, FALSE)</f>
        <v>1</v>
      </c>
      <c r="BH73" s="16">
        <f>VLOOKUP($H73,Constants!$I:$K, 3, FALSE)*IF(AND(G73="multiple_unit",AB73&lt;110),0.75,1)</f>
        <v>2</v>
      </c>
      <c r="BI73" s="16">
        <f>INT(POWER(((Constants!$G$2+$BB73+$BC73+$BD73+$BF73)*$BE73)*$BH73, 1.05))+$BA73</f>
        <v>15</v>
      </c>
      <c r="BJ73" s="16">
        <f>INT(POWER((((Constants!$G$1+$BB73+$BC73+$BD73+$BF73)*($BE73))*$BG73),IF($G73="wagon",1,1.2)))+$AZ73</f>
        <v>29</v>
      </c>
      <c r="BK73" s="19">
        <f t="shared" si="218"/>
        <v>11718.75</v>
      </c>
      <c r="BL73" s="19">
        <f t="shared" si="219"/>
        <v>2356.25</v>
      </c>
      <c r="BU73">
        <v>5</v>
      </c>
      <c r="BZ73" s="22" t="str">
        <f>VLOOKUP(J73,Eras!$A$2:$C$10, 2, TRUE)</f>
        <v>big4</v>
      </c>
      <c r="CA73" t="s">
        <v>61</v>
      </c>
      <c r="CB73" s="22" t="str">
        <f t="shared" si="242"/>
        <v>big4_Cheap</v>
      </c>
      <c r="CC73" s="22" t="str">
        <f t="shared" si="243"/>
        <v>diesel_NARROW_GAUGE</v>
      </c>
      <c r="CD73" s="25" t="str" cm="1">
        <f t="array" ref="CD73">IF(AN73&lt;&gt;"na", _xlfn.CONCAT("{BLACK}Length: {GOLD}", TEXT(ROUNDUP(IF(AQ73&lt;&gt;"",SUM(VALUE(_xlfn.TEXTSPLIT(AQ73, ","))), SUM(VALUE(_xlfn.TEXTSPLIT(AN73, ",")))*IF(M73, M73, 1))/16, 1),"#,##0.0"), " tiles{}"), "")</f>
        <v>{BLACK}Length: {GOLD}0.3 tiles{}</v>
      </c>
      <c r="CE73" s="22" t="str">
        <f>VLOOKUP($CC73, Constants!$M:$N, 2, FALSE)</f>
        <v>{BLACK}Powered by: {GOLD}Diesel</v>
      </c>
      <c r="CF73" s="22" t="str">
        <f t="shared" si="175"/>
        <v/>
      </c>
      <c r="CG73" t="s">
        <v>324</v>
      </c>
      <c r="CH73" t="str">
        <f t="shared" si="245"/>
        <v/>
      </c>
      <c r="CI73" t="str">
        <f t="shared" si="244"/>
        <v/>
      </c>
      <c r="CJ73" t="str">
        <f t="shared" si="246"/>
        <v>{BLACK}Powered by: {GOLD}Diesel {}{BLACK}Length: {GOLD}0.3 tiles{}{SILVER}Ruston and Hornsby built diesel locomotives for small industrial lines, which would often only need a small locomotive for hauling goods short distances.</v>
      </c>
    </row>
    <row r="74" spans="1:88" x14ac:dyDescent="0.35">
      <c r="A74" t="s">
        <v>408</v>
      </c>
      <c r="B74" t="s">
        <v>409</v>
      </c>
      <c r="C74">
        <v>41</v>
      </c>
      <c r="E74">
        <v>2010</v>
      </c>
      <c r="F74" t="s">
        <v>486</v>
      </c>
      <c r="G74" t="s">
        <v>235</v>
      </c>
      <c r="H74" t="s">
        <v>26</v>
      </c>
      <c r="I74" t="s">
        <v>336</v>
      </c>
      <c r="J74">
        <v>1950</v>
      </c>
      <c r="N74">
        <v>75</v>
      </c>
      <c r="T74" s="12">
        <f t="shared" si="223"/>
        <v>200.08049988695416</v>
      </c>
      <c r="U74" s="5">
        <v>0.7</v>
      </c>
      <c r="V74" s="5">
        <f t="shared" si="224"/>
        <v>0</v>
      </c>
      <c r="W74">
        <v>10</v>
      </c>
      <c r="Y74">
        <v>5</v>
      </c>
      <c r="Z74">
        <v>28</v>
      </c>
      <c r="AA74" s="3">
        <f t="shared" si="235"/>
        <v>0.28000000000000003</v>
      </c>
      <c r="AB74">
        <v>32</v>
      </c>
      <c r="AC74">
        <f t="shared" si="247"/>
        <v>51</v>
      </c>
      <c r="AG74">
        <v>6</v>
      </c>
      <c r="AJ74" s="9">
        <v>0</v>
      </c>
      <c r="AK74" s="14" t="str">
        <f>CONCATENATE(VLOOKUP(AL74, 'Voxel Sizes'!$A$2:$B$18,2,FALSE),"x",INT(AH74*15), "x", INT(AI74*15))</f>
        <v>66x0x0</v>
      </c>
      <c r="AL74" s="14">
        <f t="shared" si="236"/>
        <v>4</v>
      </c>
      <c r="AN74" s="14" t="str">
        <f>CONCATENATE(VLOOKUP(AL74,Constants!$A$2:$C$16,IF(AM74&lt;&gt;"", 3, 2), FALSE),IF(AM74&lt;&gt;"",CONCATENATE(",",VLOOKUP(AM74,$B:$AN,39,FALSE)),""))</f>
        <v>1,2,1</v>
      </c>
      <c r="AV74">
        <v>1</v>
      </c>
      <c r="AX74">
        <v>125</v>
      </c>
      <c r="AY74" s="14" t="str">
        <f t="shared" si="237"/>
        <v/>
      </c>
      <c r="AZ74">
        <v>-9</v>
      </c>
      <c r="BA74">
        <v>-12</v>
      </c>
      <c r="BB74" s="16">
        <f t="shared" si="238"/>
        <v>6.4</v>
      </c>
      <c r="BC74" s="16">
        <f t="shared" si="239"/>
        <v>0.375</v>
      </c>
      <c r="BD74" s="16">
        <f t="shared" si="240"/>
        <v>1.4000000000000001</v>
      </c>
      <c r="BE74" s="17">
        <f t="shared" si="241"/>
        <v>0.93333333333333335</v>
      </c>
      <c r="BF74" s="16">
        <f t="shared" si="217"/>
        <v>0</v>
      </c>
      <c r="BG74" s="16">
        <f>VLOOKUP($H74,Constants!$I:$K, 2, FALSE)</f>
        <v>1</v>
      </c>
      <c r="BH74" s="16">
        <f>VLOOKUP($H74,Constants!$I:$K, 3, FALSE)*IF(AND(G74="multiple_unit",AB74&lt;110),0.75,1)</f>
        <v>2</v>
      </c>
      <c r="BI74" s="16">
        <f>INT(POWER(((Constants!$G$2+$BB74+$BC74+$BD74+$BF74)*$BE74)*$BH74, 1.05))+$BA74</f>
        <v>16</v>
      </c>
      <c r="BJ74" s="16">
        <f>INT(POWER((((Constants!$G$1+$BB74+$BC74+$BD74+$BF74)*($BE74))*$BG74),IF($G74="wagon",1,1.2)))+$AZ74</f>
        <v>31</v>
      </c>
      <c r="BK74" s="19">
        <f t="shared" si="218"/>
        <v>12500</v>
      </c>
      <c r="BL74" s="19">
        <f t="shared" si="219"/>
        <v>2518.75</v>
      </c>
      <c r="BU74">
        <v>3</v>
      </c>
      <c r="BZ74" s="22" t="str">
        <f>VLOOKUP(J74,Eras!$A$2:$C$10, 2, TRUE)</f>
        <v>ebr</v>
      </c>
      <c r="CA74" t="s">
        <v>61</v>
      </c>
      <c r="CB74" s="22" t="str">
        <f t="shared" si="242"/>
        <v>ebr_Cheap</v>
      </c>
      <c r="CC74" s="22" t="str">
        <f t="shared" si="243"/>
        <v>diesel_NARROW_GAUGE</v>
      </c>
      <c r="CD74" s="25" t="str" cm="1">
        <f t="array" ref="CD74">IF(AN74&lt;&gt;"na", _xlfn.CONCAT("{BLACK}Length: {GOLD}", TEXT(ROUNDUP(IF(AQ74&lt;&gt;"",SUM(VALUE(_xlfn.TEXTSPLIT(AQ74, ","))), SUM(VALUE(_xlfn.TEXTSPLIT(AN74, ",")))*IF(M74, M74, 1))/16, 1),"#,##0.0"), " tiles{}"), "")</f>
        <v>{BLACK}Length: {GOLD}0.3 tiles{}</v>
      </c>
      <c r="CE74" s="22" t="str">
        <f>VLOOKUP($CC74, Constants!$M:$N, 2, FALSE)</f>
        <v>{BLACK}Powered by: {GOLD}Diesel</v>
      </c>
      <c r="CF74" s="22" t="str">
        <f t="shared" si="175"/>
        <v/>
      </c>
      <c r="CG74" t="s">
        <v>411</v>
      </c>
      <c r="CH74" t="str">
        <f t="shared" si="245"/>
        <v/>
      </c>
      <c r="CI74" t="str">
        <f t="shared" si="244"/>
        <v/>
      </c>
      <c r="CJ74" t="str">
        <f t="shared" si="246"/>
        <v>{BLACK}Powered by: {GOLD}Diesel {}{BLACK}Length: {GOLD}0.3 tiles{}{SILVER}The Hunslet 0-4-0DM is powered by a Gardner 4LW engine and is typical of a narrow gauge locomotive used for engineering duties.</v>
      </c>
    </row>
    <row r="75" spans="1:88" x14ac:dyDescent="0.35">
      <c r="A75" t="s">
        <v>406</v>
      </c>
      <c r="B75" t="s">
        <v>407</v>
      </c>
      <c r="C75">
        <v>42</v>
      </c>
      <c r="E75">
        <v>2011</v>
      </c>
      <c r="F75" t="s">
        <v>486</v>
      </c>
      <c r="G75" t="s">
        <v>235</v>
      </c>
      <c r="H75" t="s">
        <v>199</v>
      </c>
      <c r="I75" t="s">
        <v>336</v>
      </c>
      <c r="J75">
        <v>1954</v>
      </c>
      <c r="N75">
        <v>30</v>
      </c>
      <c r="T75" s="12">
        <f t="shared" si="223"/>
        <v>150.06037491521562</v>
      </c>
      <c r="U75" s="5">
        <v>0.7</v>
      </c>
      <c r="V75" s="5">
        <f t="shared" si="224"/>
        <v>0</v>
      </c>
      <c r="W75">
        <v>5</v>
      </c>
      <c r="Y75">
        <v>5</v>
      </c>
      <c r="Z75">
        <v>16</v>
      </c>
      <c r="AA75" s="3">
        <f t="shared" ref="AA75" si="248">IF(AND(W75&gt;0,Z75&gt;0),(Z75/((W75+X75)*10)),"")</f>
        <v>0.32</v>
      </c>
      <c r="AB75">
        <v>24</v>
      </c>
      <c r="AC75">
        <f t="shared" si="247"/>
        <v>38</v>
      </c>
      <c r="AG75">
        <v>6</v>
      </c>
      <c r="AJ75" s="9">
        <v>0</v>
      </c>
      <c r="AK75" s="14" t="str">
        <f>CONCATENATE(VLOOKUP(AL75, 'Voxel Sizes'!$A$2:$B$18,2,FALSE),"x",INT(AH75*15), "x", INT(AI75*15))</f>
        <v>66x0x0</v>
      </c>
      <c r="AL75" s="14">
        <f t="shared" ref="AL75" si="249">ROUND(15*((AG75*10)/256),0)</f>
        <v>4</v>
      </c>
      <c r="AN75" s="14" t="str">
        <f>CONCATENATE(VLOOKUP(AL75,Constants!$A$2:$C$16,IF(AM75&lt;&gt;"", 3, 2), FALSE),IF(AM75&lt;&gt;"",CONCATENATE(",",VLOOKUP(AM75,$B:$AN,39,FALSE)),""))</f>
        <v>1,2,1</v>
      </c>
      <c r="AX75">
        <v>125</v>
      </c>
      <c r="AY75" s="14" t="str">
        <f t="shared" ref="AY75" si="250">IF(L75&lt;&gt;"",MAX(16,(L75-J75)+8),"")</f>
        <v/>
      </c>
      <c r="AZ75">
        <v>-9</v>
      </c>
      <c r="BA75">
        <v>-12</v>
      </c>
      <c r="BB75" s="16">
        <f t="shared" ref="BB75" si="251">MIN(AB75/150, 1)*30</f>
        <v>4.8</v>
      </c>
      <c r="BC75" s="16">
        <f t="shared" ref="BC75" si="252">MIN(N75/4000, 1)*20</f>
        <v>0.15</v>
      </c>
      <c r="BD75" s="16">
        <f t="shared" ref="BD75" si="253">MIN(Z75/400,1)*20</f>
        <v>0.8</v>
      </c>
      <c r="BE75" s="17">
        <f t="shared" ref="BE75" si="254">1-(MAX(J75-1900, 0)/750)</f>
        <v>0.92800000000000005</v>
      </c>
      <c r="BF75" s="16">
        <f t="shared" si="217"/>
        <v>0</v>
      </c>
      <c r="BG75" s="16">
        <f>VLOOKUP($H75,Constants!$I:$K, 2, FALSE)</f>
        <v>1.05</v>
      </c>
      <c r="BH75" s="16">
        <f>VLOOKUP($H75,Constants!$I:$K, 3, FALSE)*IF(AND(G75="multiple_unit",AB75&lt;110),0.75,1)</f>
        <v>1.9</v>
      </c>
      <c r="BI75" s="16">
        <f>INT(POWER(((Constants!$G$2+$BB75+$BC75+$BD75+$BF75)*$BE75)*$BH75, 1.05))+$BA75</f>
        <v>9</v>
      </c>
      <c r="BJ75" s="16">
        <f>INT(POWER((((Constants!$G$1+$BB75+$BC75+$BD75+$BF75)*($BE75))*$BG75),IF($G75="wagon",1,1.2)))+$AZ75</f>
        <v>27</v>
      </c>
      <c r="BK75" s="19">
        <f t="shared" si="218"/>
        <v>7031.25</v>
      </c>
      <c r="BL75" s="19">
        <f t="shared" si="219"/>
        <v>2193.75</v>
      </c>
      <c r="BU75">
        <v>7</v>
      </c>
      <c r="BZ75" s="22" t="str">
        <f>VLOOKUP(J75,Eras!$A$2:$C$10, 2, TRUE)</f>
        <v>ebr</v>
      </c>
      <c r="CA75" t="s">
        <v>61</v>
      </c>
      <c r="CB75" s="22" t="str">
        <f t="shared" ref="CB75" si="255">CONCATENATE(BZ75,"_",CA75)</f>
        <v>ebr_Cheap</v>
      </c>
      <c r="CC75" s="22" t="str">
        <f t="shared" ref="CC75" si="256">_xlfn.CONCAT(H75, "_",I75)</f>
        <v>petrol_NARROW_GAUGE</v>
      </c>
      <c r="CD75" s="25" t="str" cm="1">
        <f t="array" ref="CD75">IF(AN75&lt;&gt;"na", _xlfn.CONCAT("{BLACK}Length: {GOLD}", TEXT(ROUNDUP(IF(AQ75&lt;&gt;"",SUM(VALUE(_xlfn.TEXTSPLIT(AQ75, ","))), SUM(VALUE(_xlfn.TEXTSPLIT(AN75, ",")))*IF(M75, M75, 1))/16, 1),"#,##0.0"), " tiles{}"), "")</f>
        <v>{BLACK}Length: {GOLD}0.3 tiles{}</v>
      </c>
      <c r="CE75" s="22" t="str">
        <f>VLOOKUP($CC75, Constants!$M:$N, 2, FALSE)</f>
        <v>{BLACK}Powered by: {GOLD}Petrol</v>
      </c>
      <c r="CF75" s="22" t="str">
        <f t="shared" si="175"/>
        <v/>
      </c>
      <c r="CG75" t="s">
        <v>412</v>
      </c>
      <c r="CH75" t="str">
        <f t="shared" si="245"/>
        <v/>
      </c>
      <c r="CI75" t="str">
        <f t="shared" si="244"/>
        <v/>
      </c>
      <c r="CJ75" t="str">
        <f t="shared" si="246"/>
        <v>{BLACK}Powered by: {GOLD}Petrol {}{BLACK}Length: {GOLD}0.3 tiles{}{SILVER}Talyllyn Railway volunteer John Bate built this small locomotive using the engine from a Austin Seven. The canopy was added later.</v>
      </c>
    </row>
    <row r="76" spans="1:88" x14ac:dyDescent="0.35">
      <c r="A76" t="s">
        <v>300</v>
      </c>
      <c r="B76" t="s">
        <v>301</v>
      </c>
      <c r="C76">
        <v>45</v>
      </c>
      <c r="E76">
        <v>2012</v>
      </c>
      <c r="F76" t="s">
        <v>486</v>
      </c>
      <c r="G76" t="s">
        <v>235</v>
      </c>
      <c r="H76" t="s">
        <v>26</v>
      </c>
      <c r="I76" t="s">
        <v>336</v>
      </c>
      <c r="J76">
        <v>1982</v>
      </c>
      <c r="N76">
        <v>100</v>
      </c>
      <c r="T76" s="12">
        <f t="shared" si="223"/>
        <v>218.83804675135613</v>
      </c>
      <c r="U76" s="5">
        <v>0.7</v>
      </c>
      <c r="V76" s="5">
        <f t="shared" si="224"/>
        <v>0</v>
      </c>
      <c r="W76">
        <v>10</v>
      </c>
      <c r="Y76">
        <v>5</v>
      </c>
      <c r="Z76">
        <v>36</v>
      </c>
      <c r="AA76" s="3">
        <f t="shared" ref="AA76:AA91" si="257">IF(AND(W76&gt;0,Z76&gt;0),(Z76/((W76+X76)*10)),"")</f>
        <v>0.36</v>
      </c>
      <c r="AB76">
        <v>35</v>
      </c>
      <c r="AC76">
        <f t="shared" si="247"/>
        <v>56</v>
      </c>
      <c r="AG76">
        <v>7</v>
      </c>
      <c r="AJ76" s="9">
        <v>0</v>
      </c>
      <c r="AK76" s="14" t="str">
        <f>CONCATENATE(VLOOKUP(AL76, 'Voxel Sizes'!$A$2:$B$18,2,FALSE),"x",INT(AH76*15), "x", INT(AI76*15))</f>
        <v>66x0x0</v>
      </c>
      <c r="AL76" s="14">
        <f t="shared" ref="AL76:AL91" si="258">ROUND(15*((AG76*10)/256),0)</f>
        <v>4</v>
      </c>
      <c r="AN76" s="14" t="str">
        <f>CONCATENATE(VLOOKUP(AL76,Constants!$A$2:$C$16,IF(AM76&lt;&gt;"", 3, 2), FALSE),IF(AM76&lt;&gt;"",CONCATENATE(",",VLOOKUP(AM76,$B:$AN,39,FALSE)),""))</f>
        <v>1,2,1</v>
      </c>
      <c r="AX76">
        <v>125</v>
      </c>
      <c r="AY76" s="14" t="str">
        <f t="shared" ref="AY76:AY91" si="259">IF(L76&lt;&gt;"",MAX(16,(L76-J76)+8),"")</f>
        <v/>
      </c>
      <c r="AZ76">
        <v>-7</v>
      </c>
      <c r="BA76">
        <v>-6</v>
      </c>
      <c r="BB76" s="16">
        <f t="shared" ref="BB76:BB91" si="260">MIN(AB76/150, 1)*30</f>
        <v>7</v>
      </c>
      <c r="BC76" s="16">
        <f t="shared" ref="BC76:BC91" si="261">MIN(N76/4000, 1)*20</f>
        <v>0.5</v>
      </c>
      <c r="BD76" s="16">
        <f t="shared" ref="BD76:BD91" si="262">MIN(Z76/400,1)*20</f>
        <v>1.7999999999999998</v>
      </c>
      <c r="BE76" s="17">
        <f t="shared" ref="BE76:BE91" si="263">1-(MAX(J76-1900, 0)/750)</f>
        <v>0.89066666666666672</v>
      </c>
      <c r="BF76" s="16">
        <f t="shared" si="217"/>
        <v>0</v>
      </c>
      <c r="BG76" s="16">
        <f>VLOOKUP($H76,Constants!$I:$K, 2, FALSE)</f>
        <v>1</v>
      </c>
      <c r="BH76" s="16">
        <f>VLOOKUP($H76,Constants!$I:$K, 3, FALSE)*IF(AND(G76="multiple_unit",AB76&lt;110),0.75,1)</f>
        <v>2</v>
      </c>
      <c r="BI76" s="16">
        <f>INT(POWER(((Constants!$G$2+$BB76+$BC76+$BD76+$BF76)*$BE76)*$BH76, 1.05))+$BA76</f>
        <v>23</v>
      </c>
      <c r="BJ76" s="16">
        <f>INT(POWER((((Constants!$G$1+$BB76+$BC76+$BD76+$BF76)*($BE76))*$BG76),IF($G76="wagon",1,1.2)))+$AZ76</f>
        <v>33</v>
      </c>
      <c r="BK76" s="19">
        <f t="shared" si="218"/>
        <v>17968.75</v>
      </c>
      <c r="BL76" s="19">
        <f t="shared" si="219"/>
        <v>2681.25</v>
      </c>
      <c r="BU76">
        <v>4</v>
      </c>
      <c r="BZ76" s="22" t="str">
        <f>VLOOKUP(J76,Eras!$A$2:$C$10, 2, TRUE)</f>
        <v>lbr</v>
      </c>
      <c r="CA76" t="s">
        <v>61</v>
      </c>
      <c r="CB76" s="22" t="str">
        <f t="shared" ref="CB76:CB91" si="264">CONCATENATE(BZ76,"_",CA76)</f>
        <v>lbr_Cheap</v>
      </c>
      <c r="CC76" s="22" t="str">
        <f t="shared" ref="CC76:CC91" si="265">_xlfn.CONCAT(H76, "_",I76)</f>
        <v>diesel_NARROW_GAUGE</v>
      </c>
      <c r="CD76" s="25" t="str" cm="1">
        <f t="array" ref="CD76">IF(AN76&lt;&gt;"na", _xlfn.CONCAT("{BLACK}Length: {GOLD}", TEXT(ROUNDUP(IF(AQ76&lt;&gt;"",SUM(VALUE(_xlfn.TEXTSPLIT(AQ76, ","))), SUM(VALUE(_xlfn.TEXTSPLIT(AN76, ",")))*IF(M76, M76, 1))/16, 1),"#,##0.0"), " tiles{}"), "")</f>
        <v>{BLACK}Length: {GOLD}0.3 tiles{}</v>
      </c>
      <c r="CE76" s="22" t="str">
        <f>VLOOKUP($CC76, Constants!$M:$N, 2, FALSE)</f>
        <v>{BLACK}Powered by: {GOLD}Diesel</v>
      </c>
      <c r="CF76" s="22" t="str">
        <f t="shared" si="175"/>
        <v/>
      </c>
      <c r="CG76" t="s">
        <v>325</v>
      </c>
      <c r="CH76" t="str">
        <f t="shared" si="245"/>
        <v/>
      </c>
      <c r="CI76" t="str">
        <f t="shared" si="244"/>
        <v/>
      </c>
      <c r="CJ76" t="str">
        <f t="shared" si="246"/>
        <v>{BLACK}Powered by: {GOLD}Diesel {}{BLACK}Length: {GOLD}0.3 tiles{}{SILVER}Larger and more powerful diesel shunters displaced steam from industrial lines as they were more economical to run. Even preservation railways keep some around for utility duties.</v>
      </c>
    </row>
    <row r="77" spans="1:88" x14ac:dyDescent="0.35">
      <c r="A77" t="s">
        <v>326</v>
      </c>
      <c r="B77" t="s">
        <v>327</v>
      </c>
      <c r="C77">
        <v>80</v>
      </c>
      <c r="E77">
        <v>-1</v>
      </c>
      <c r="G77" t="s">
        <v>15</v>
      </c>
      <c r="H77" t="s">
        <v>32</v>
      </c>
      <c r="I77" t="s">
        <v>336</v>
      </c>
      <c r="J77">
        <v>1800</v>
      </c>
      <c r="L77">
        <v>1880</v>
      </c>
      <c r="W77">
        <v>3</v>
      </c>
      <c r="Y77">
        <v>3</v>
      </c>
      <c r="AA77" s="3" t="str">
        <f t="shared" si="257"/>
        <v/>
      </c>
      <c r="AB77">
        <v>25</v>
      </c>
      <c r="AC77">
        <f t="shared" si="247"/>
        <v>40</v>
      </c>
      <c r="AF77">
        <v>6</v>
      </c>
      <c r="AG77">
        <v>6</v>
      </c>
      <c r="AJ77" s="9">
        <v>12</v>
      </c>
      <c r="AK77" s="14" t="str">
        <f>CONCATENATE(VLOOKUP(AL77, 'Voxel Sizes'!$A$2:$B$18,2,FALSE),"x",INT(AH77*15), "x", INT(AI77*15))</f>
        <v>66x0x0</v>
      </c>
      <c r="AL77" s="14">
        <f t="shared" si="258"/>
        <v>4</v>
      </c>
      <c r="AN77" s="14" t="str">
        <f>CONCATENATE(VLOOKUP(AL77,Constants!$A$2:$C$16,IF(AM77&lt;&gt;"", 3, 2), FALSE),IF(AM77&lt;&gt;"",CONCATENATE(",",VLOOKUP(AM77,$B:$AN,39,FALSE)),""))</f>
        <v>1,2,1</v>
      </c>
      <c r="AX77">
        <v>80</v>
      </c>
      <c r="AY77" s="14">
        <f t="shared" si="259"/>
        <v>88</v>
      </c>
      <c r="BB77" s="16">
        <f t="shared" si="260"/>
        <v>5</v>
      </c>
      <c r="BC77" s="16">
        <f t="shared" si="261"/>
        <v>0</v>
      </c>
      <c r="BD77" s="16">
        <f t="shared" si="262"/>
        <v>0</v>
      </c>
      <c r="BE77" s="17">
        <f t="shared" si="263"/>
        <v>1</v>
      </c>
      <c r="BF77" s="16">
        <f t="shared" si="217"/>
        <v>0.4</v>
      </c>
      <c r="BG77" s="16">
        <f>VLOOKUP($H77,Constants!$I:$K, 2, FALSE)</f>
        <v>1</v>
      </c>
      <c r="BH77" s="16">
        <f>VLOOKUP($H77,Constants!$I:$K, 3, FALSE)*IF(AND(G77="multiple_unit",AB77&lt;110),0.75,1)</f>
        <v>0.45</v>
      </c>
      <c r="BI77" s="16">
        <f>INT(POWER(((Constants!$G$2+$BB77+$BC77+$BD77+$BF77)*$BE77)*$BH77, 1.05))+$BA77</f>
        <v>5</v>
      </c>
      <c r="BJ77" s="16">
        <f>INT(POWER((((Constants!$G$1+$BB77+$BC77+$BD77+$BF77)*($BE77))*$BG77),IF($G77="wagon",1,1.2)))+$AZ77</f>
        <v>37</v>
      </c>
      <c r="BK77" s="19">
        <f t="shared" si="218"/>
        <v>3906.25</v>
      </c>
      <c r="BL77" s="19">
        <f t="shared" si="219"/>
        <v>3006.25</v>
      </c>
      <c r="BU77">
        <v>1</v>
      </c>
      <c r="BV77">
        <v>74</v>
      </c>
      <c r="BX77" t="s">
        <v>274</v>
      </c>
      <c r="BY77" t="s">
        <v>34</v>
      </c>
      <c r="BZ77" s="22" t="str">
        <f>VLOOKUP(J77,Eras!$A$2:$C$10, 2, TRUE)</f>
        <v>early</v>
      </c>
      <c r="CA77" t="s">
        <v>75</v>
      </c>
      <c r="CB77" s="22" t="str">
        <f t="shared" si="264"/>
        <v>early_Open Wagon</v>
      </c>
      <c r="CC77" s="22" t="str">
        <f t="shared" si="265"/>
        <v>wagon_NARROW_GAUGE</v>
      </c>
      <c r="CD77" s="25" t="str" cm="1">
        <f t="array" ref="CD77">IF(AN77&lt;&gt;"na", _xlfn.CONCAT("{BLACK}Length: {GOLD}", TEXT(ROUNDUP(IF(AQ77&lt;&gt;"",SUM(VALUE(_xlfn.TEXTSPLIT(AQ77, ","))), SUM(VALUE(_xlfn.TEXTSPLIT(AN77, ",")))*IF(M77, M77, 1))/16, 1),"#,##0.0"), " tiles{}"), "")</f>
        <v>{BLACK}Length: {GOLD}0.3 tiles{}</v>
      </c>
      <c r="CE77" s="22" t="str">
        <f>VLOOKUP($CC77, Constants!$M:$N, 2, FALSE)</f>
        <v/>
      </c>
      <c r="CF77" s="22" t="str">
        <f t="shared" si="175"/>
        <v/>
      </c>
      <c r="CG77" t="s">
        <v>328</v>
      </c>
      <c r="CH77" t="str">
        <f t="shared" si="245"/>
        <v/>
      </c>
      <c r="CI77" t="str">
        <f t="shared" si="244"/>
        <v>{YELLOW}Preserved railway bonus: passengers pay more when hauled by old locomotives{}</v>
      </c>
      <c r="CJ77" t="str">
        <f t="shared" si="246"/>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78" spans="1:88" x14ac:dyDescent="0.35">
      <c r="A78" t="s">
        <v>250</v>
      </c>
      <c r="B78" t="s">
        <v>252</v>
      </c>
      <c r="C78">
        <v>81</v>
      </c>
      <c r="E78">
        <v>3001</v>
      </c>
      <c r="F78" t="s">
        <v>486</v>
      </c>
      <c r="G78" t="s">
        <v>32</v>
      </c>
      <c r="H78" t="s">
        <v>32</v>
      </c>
      <c r="I78" t="s">
        <v>336</v>
      </c>
      <c r="J78">
        <v>1863</v>
      </c>
      <c r="W78">
        <v>5</v>
      </c>
      <c r="Y78">
        <v>4</v>
      </c>
      <c r="AA78" s="3" t="str">
        <f t="shared" si="257"/>
        <v/>
      </c>
      <c r="AB78">
        <v>35</v>
      </c>
      <c r="AC78">
        <f t="shared" si="247"/>
        <v>56</v>
      </c>
      <c r="AF78">
        <v>8</v>
      </c>
      <c r="AG78">
        <v>8</v>
      </c>
      <c r="AJ78" s="9">
        <v>18</v>
      </c>
      <c r="AK78" s="14" t="str">
        <f>CONCATENATE(VLOOKUP(AL78, 'Voxel Sizes'!$A$2:$B$18,2,FALSE),"x",INT(AH78*15), "x", INT(AI78*15))</f>
        <v>82x0x0</v>
      </c>
      <c r="AL78" s="14">
        <f t="shared" si="258"/>
        <v>5</v>
      </c>
      <c r="AN78" s="14" t="str">
        <f>CONCATENATE(VLOOKUP(AL78,Constants!$A$2:$C$16,IF(AM78&lt;&gt;"", 3, 2), FALSE),IF(AM78&lt;&gt;"",CONCATENATE(",",VLOOKUP(AM78,$B:$AN,39,FALSE)),""))</f>
        <v>2,1,2</v>
      </c>
      <c r="AX78">
        <v>80</v>
      </c>
      <c r="AY78" s="14" t="str">
        <f t="shared" si="259"/>
        <v/>
      </c>
      <c r="AZ78">
        <v>5</v>
      </c>
      <c r="BA78">
        <v>10</v>
      </c>
      <c r="BB78" s="16">
        <f t="shared" si="260"/>
        <v>7</v>
      </c>
      <c r="BC78" s="16">
        <f t="shared" si="261"/>
        <v>0</v>
      </c>
      <c r="BD78" s="16">
        <f t="shared" si="262"/>
        <v>0</v>
      </c>
      <c r="BE78" s="17">
        <f t="shared" si="263"/>
        <v>1</v>
      </c>
      <c r="BF78" s="16">
        <f t="shared" si="217"/>
        <v>3</v>
      </c>
      <c r="BG78" s="16">
        <f>VLOOKUP($H78,Constants!$I:$K, 2, FALSE)</f>
        <v>1</v>
      </c>
      <c r="BH78" s="16">
        <f>VLOOKUP($H78,Constants!$I:$K, 3, FALSE)*IF(AND(G78="multiple_unit",AB78&lt;110),0.75,1)</f>
        <v>0.45</v>
      </c>
      <c r="BI78" s="16">
        <f>INT(POWER(((Constants!$G$2+$BB78+$BC78+$BD78+$BF78)*$BE78)*$BH78, 1.05))+$BA78</f>
        <v>17</v>
      </c>
      <c r="BJ78" s="16">
        <f>INT(POWER((((Constants!$G$1+$BB78+$BC78+$BD78+$BF78)*($BE78))*$BG78),IF($G78="wagon",1,1.2)))+$AZ78</f>
        <v>30</v>
      </c>
      <c r="BK78" s="19">
        <f t="shared" si="218"/>
        <v>1062.5</v>
      </c>
      <c r="BL78" s="19">
        <f t="shared" si="219"/>
        <v>81.900000000000006</v>
      </c>
      <c r="BU78">
        <v>1</v>
      </c>
      <c r="BV78">
        <v>74</v>
      </c>
      <c r="BX78" t="s">
        <v>274</v>
      </c>
      <c r="BY78" t="s">
        <v>34</v>
      </c>
      <c r="BZ78" s="22" t="str">
        <f>VLOOKUP(J78,Eras!$A$2:$C$10, 2, TRUE)</f>
        <v>vct</v>
      </c>
      <c r="CA78" t="s">
        <v>75</v>
      </c>
      <c r="CB78" s="22" t="str">
        <f t="shared" si="264"/>
        <v>vct_Open Wagon</v>
      </c>
      <c r="CC78" s="22" t="str">
        <f t="shared" si="265"/>
        <v>wagon_NARROW_GAUGE</v>
      </c>
      <c r="CD78" s="25" t="str" cm="1">
        <f t="array" ref="CD78">IF(AN78&lt;&gt;"na", _xlfn.CONCAT("{BLACK}Length: {GOLD}", TEXT(ROUNDUP(IF(AQ78&lt;&gt;"",SUM(VALUE(_xlfn.TEXTSPLIT(AQ78, ","))), SUM(VALUE(_xlfn.TEXTSPLIT(AN78, ",")))*IF(M78, M78, 1))/16, 1),"#,##0.0"), " tiles{}"), "")</f>
        <v>{BLACK}Length: {GOLD}0.4 tiles{}</v>
      </c>
      <c r="CE78" s="22" t="str">
        <f>VLOOKUP($CC78, Constants!$M:$N, 2, FALSE)</f>
        <v/>
      </c>
      <c r="CF78" s="22" t="str">
        <f t="shared" si="175"/>
        <v/>
      </c>
      <c r="CG78" t="s">
        <v>284</v>
      </c>
      <c r="CH78" t="str">
        <f t="shared" si="245"/>
        <v/>
      </c>
      <c r="CI78" t="str">
        <f t="shared" si="244"/>
        <v>{YELLOW}Preserved railway bonus: passengers pay more when hauled by old locomotives{}</v>
      </c>
      <c r="CJ78" t="str">
        <f t="shared" si="246"/>
        <v>{BLACK}Length: {GOLD}0.4 tiles{}{YELLOW}Preserved railway bonus: passengers pay more when hauled by old locomotives{}{SILVER}When narrow gauge began operating passenger services, carriages were simple, flat-sided vehicles build around wooden frames on a four-wheel chassis.</v>
      </c>
    </row>
    <row r="79" spans="1:88" x14ac:dyDescent="0.35">
      <c r="A79" t="s">
        <v>251</v>
      </c>
      <c r="B79" t="s">
        <v>253</v>
      </c>
      <c r="C79">
        <v>82</v>
      </c>
      <c r="E79">
        <v>3002</v>
      </c>
      <c r="F79" t="s">
        <v>486</v>
      </c>
      <c r="G79" t="s">
        <v>32</v>
      </c>
      <c r="H79" t="s">
        <v>32</v>
      </c>
      <c r="I79" t="s">
        <v>336</v>
      </c>
      <c r="J79">
        <v>1900</v>
      </c>
      <c r="W79">
        <v>7</v>
      </c>
      <c r="Y79">
        <v>4</v>
      </c>
      <c r="AA79" s="3" t="str">
        <f t="shared" si="257"/>
        <v/>
      </c>
      <c r="AB79">
        <v>45</v>
      </c>
      <c r="AC79">
        <f t="shared" si="247"/>
        <v>72</v>
      </c>
      <c r="AF79">
        <v>12</v>
      </c>
      <c r="AG79">
        <v>12</v>
      </c>
      <c r="AJ79" s="9">
        <v>36</v>
      </c>
      <c r="AK79" s="14" t="str">
        <f>CONCATENATE(VLOOKUP(AL79, 'Voxel Sizes'!$A$2:$B$18,2,FALSE),"x",INT(AH79*15), "x", INT(AI79*15))</f>
        <v>120x0x0</v>
      </c>
      <c r="AL79" s="14">
        <f t="shared" si="258"/>
        <v>7</v>
      </c>
      <c r="AN79" s="14" t="str">
        <f>CONCATENATE(VLOOKUP(AL79,Constants!$A$2:$C$16,IF(AM79&lt;&gt;"", 3, 2), FALSE),IF(AM79&lt;&gt;"",CONCATENATE(",",VLOOKUP(AM79,$B:$AN,39,FALSE)),""))</f>
        <v>2,3,2</v>
      </c>
      <c r="AX79">
        <v>80</v>
      </c>
      <c r="AY79" s="14" t="str">
        <f t="shared" si="259"/>
        <v/>
      </c>
      <c r="AZ79">
        <v>10</v>
      </c>
      <c r="BA79">
        <v>20</v>
      </c>
      <c r="BB79" s="16">
        <f t="shared" si="260"/>
        <v>9</v>
      </c>
      <c r="BC79" s="16">
        <f t="shared" si="261"/>
        <v>0</v>
      </c>
      <c r="BD79" s="16">
        <f t="shared" si="262"/>
        <v>0</v>
      </c>
      <c r="BE79" s="17">
        <f t="shared" si="263"/>
        <v>1</v>
      </c>
      <c r="BF79" s="16">
        <f t="shared" si="217"/>
        <v>6</v>
      </c>
      <c r="BG79" s="16">
        <f>VLOOKUP($H79,Constants!$I:$K, 2, FALSE)</f>
        <v>1</v>
      </c>
      <c r="BH79" s="16">
        <f>VLOOKUP($H79,Constants!$I:$K, 3, FALSE)*IF(AND(G79="multiple_unit",AB79&lt;110),0.75,1)</f>
        <v>0.45</v>
      </c>
      <c r="BI79" s="16">
        <f>INT(POWER(((Constants!$G$2+$BB79+$BC79+$BD79+$BF79)*$BE79)*$BH79, 1.05))+$BA79</f>
        <v>30</v>
      </c>
      <c r="BJ79" s="16">
        <f>INT(POWER((((Constants!$G$1+$BB79+$BC79+$BD79+$BF79)*($BE79))*$BG79),IF($G79="wagon",1,1.2)))+$AZ79</f>
        <v>40</v>
      </c>
      <c r="BK79" s="19">
        <f t="shared" si="218"/>
        <v>1875</v>
      </c>
      <c r="BL79" s="19">
        <f t="shared" si="219"/>
        <v>109.2</v>
      </c>
      <c r="BU79">
        <v>1</v>
      </c>
      <c r="BV79">
        <v>74</v>
      </c>
      <c r="BX79" t="s">
        <v>274</v>
      </c>
      <c r="BY79" t="s">
        <v>34</v>
      </c>
      <c r="BZ79" s="22" t="str">
        <f>VLOOKUP(J79,Eras!$A$2:$C$10, 2, TRUE)</f>
        <v>edw</v>
      </c>
      <c r="CA79" t="s">
        <v>75</v>
      </c>
      <c r="CB79" s="22" t="str">
        <f t="shared" si="264"/>
        <v>edw_Open Wagon</v>
      </c>
      <c r="CC79" s="22" t="str">
        <f t="shared" si="265"/>
        <v>wagon_NARROW_GAUGE</v>
      </c>
      <c r="CD79" s="25" t="str" cm="1">
        <f t="array" ref="CD79">IF(AN79&lt;&gt;"na", _xlfn.CONCAT("{BLACK}Length: {GOLD}", TEXT(ROUNDUP(IF(AQ79&lt;&gt;"",SUM(VALUE(_xlfn.TEXTSPLIT(AQ79, ","))), SUM(VALUE(_xlfn.TEXTSPLIT(AN79, ",")))*IF(M79, M79, 1))/16, 1),"#,##0.0"), " tiles{}"), "")</f>
        <v>{BLACK}Length: {GOLD}0.5 tiles{}</v>
      </c>
      <c r="CE79" s="22" t="str">
        <f>VLOOKUP($CC79, Constants!$M:$N, 2, FALSE)</f>
        <v/>
      </c>
      <c r="CF79" s="22" t="str">
        <f t="shared" si="175"/>
        <v/>
      </c>
      <c r="CG79" t="s">
        <v>286</v>
      </c>
      <c r="CH79" t="str">
        <f t="shared" si="245"/>
        <v/>
      </c>
      <c r="CI79" t="str">
        <f t="shared" si="244"/>
        <v>{YELLOW}Preserved railway bonus: passengers pay more when hauled by old locomotives{}</v>
      </c>
      <c r="CJ79" t="str">
        <f t="shared" si="246"/>
        <v>{BLACK}Length: {GOLD}0.5 tiles{}{YELLOW}Preserved railway bonus: passengers pay more when hauled by old locomotives{}{SILVER}Later narrow gauge carriages increased in length where loading gauges allowed, using bogies to help negotiate tight curves.</v>
      </c>
    </row>
    <row r="80" spans="1:88" x14ac:dyDescent="0.35">
      <c r="A80" t="s">
        <v>254</v>
      </c>
      <c r="B80" t="s">
        <v>256</v>
      </c>
      <c r="C80">
        <v>84</v>
      </c>
      <c r="E80">
        <v>3003</v>
      </c>
      <c r="F80" t="s">
        <v>486</v>
      </c>
      <c r="G80" t="s">
        <v>32</v>
      </c>
      <c r="H80" t="s">
        <v>32</v>
      </c>
      <c r="I80" t="s">
        <v>336</v>
      </c>
      <c r="J80">
        <v>1863</v>
      </c>
      <c r="W80">
        <v>4</v>
      </c>
      <c r="Y80">
        <v>4</v>
      </c>
      <c r="AA80" s="3" t="str">
        <f t="shared" si="257"/>
        <v/>
      </c>
      <c r="AB80">
        <v>35</v>
      </c>
      <c r="AC80">
        <f t="shared" si="247"/>
        <v>56</v>
      </c>
      <c r="AF80">
        <v>8</v>
      </c>
      <c r="AG80">
        <v>8</v>
      </c>
      <c r="AJ80" s="9">
        <v>24</v>
      </c>
      <c r="AK80" s="14" t="str">
        <f>CONCATENATE(VLOOKUP(AL80, 'Voxel Sizes'!$A$2:$B$18,2,FALSE),"x",INT(AH80*15), "x", INT(AI80*15))</f>
        <v>82x0x0</v>
      </c>
      <c r="AL80" s="14">
        <f t="shared" si="258"/>
        <v>5</v>
      </c>
      <c r="AN80" s="14" t="str">
        <f>CONCATENATE(VLOOKUP(AL80,Constants!$A$2:$C$16,IF(AM80&lt;&gt;"", 3, 2), FALSE),IF(AM80&lt;&gt;"",CONCATENATE(",",VLOOKUP(AM80,$B:$AN,39,FALSE)),""))</f>
        <v>2,1,2</v>
      </c>
      <c r="AX80">
        <v>80</v>
      </c>
      <c r="AY80" s="14" t="str">
        <f t="shared" si="259"/>
        <v/>
      </c>
      <c r="AZ80">
        <v>5</v>
      </c>
      <c r="BA80">
        <v>10</v>
      </c>
      <c r="BB80" s="16">
        <f t="shared" si="260"/>
        <v>7</v>
      </c>
      <c r="BC80" s="16">
        <f t="shared" si="261"/>
        <v>0</v>
      </c>
      <c r="BD80" s="16">
        <f t="shared" si="262"/>
        <v>0</v>
      </c>
      <c r="BE80" s="17">
        <f t="shared" si="263"/>
        <v>1</v>
      </c>
      <c r="BF80" s="16">
        <f t="shared" si="217"/>
        <v>4</v>
      </c>
      <c r="BG80" s="16">
        <f>VLOOKUP($H80,Constants!$I:$K, 2, FALSE)</f>
        <v>1</v>
      </c>
      <c r="BH80" s="16">
        <f>VLOOKUP($H80,Constants!$I:$K, 3, FALSE)*IF(AND(G80="multiple_unit",AB80&lt;110),0.75,1)</f>
        <v>0.45</v>
      </c>
      <c r="BI80" s="16">
        <f>INT(POWER(((Constants!$G$2+$BB80+$BC80+$BD80+$BF80)*$BE80)*$BH80, 1.05))+$BA80</f>
        <v>17</v>
      </c>
      <c r="BJ80" s="16">
        <f>INT(POWER((((Constants!$G$1+$BB80+$BC80+$BD80+$BF80)*($BE80))*$BG80),IF($G80="wagon",1,1.2)))+$AZ80</f>
        <v>31</v>
      </c>
      <c r="BK80" s="19">
        <f t="shared" si="218"/>
        <v>1062.5</v>
      </c>
      <c r="BL80" s="19">
        <f t="shared" si="219"/>
        <v>84.63</v>
      </c>
      <c r="BU80">
        <v>1</v>
      </c>
      <c r="BV80">
        <v>225</v>
      </c>
      <c r="BX80" t="s">
        <v>275</v>
      </c>
      <c r="BY80" t="s">
        <v>279</v>
      </c>
      <c r="BZ80" s="22" t="str">
        <f>VLOOKUP(J80,Eras!$A$2:$C$10, 2, TRUE)</f>
        <v>vct</v>
      </c>
      <c r="CA80" t="s">
        <v>75</v>
      </c>
      <c r="CB80" s="22" t="str">
        <f t="shared" si="264"/>
        <v>vct_Open Wagon</v>
      </c>
      <c r="CC80" s="22" t="str">
        <f t="shared" si="265"/>
        <v>wagon_NARROW_GAUGE</v>
      </c>
      <c r="CD80" s="25" t="str" cm="1">
        <f t="array" ref="CD80">IF(AN80&lt;&gt;"na", _xlfn.CONCAT("{BLACK}Length: {GOLD}", TEXT(ROUNDUP(IF(AQ80&lt;&gt;"",SUM(VALUE(_xlfn.TEXTSPLIT(AQ80, ","))), SUM(VALUE(_xlfn.TEXTSPLIT(AN80, ",")))*IF(M80, M80, 1))/16, 1),"#,##0.0"), " tiles{}"), "")</f>
        <v>{BLACK}Length: {GOLD}0.4 tiles{}</v>
      </c>
      <c r="CE80" s="22" t="str">
        <f>VLOOKUP($CC80, Constants!$M:$N, 2, FALSE)</f>
        <v/>
      </c>
      <c r="CF80" s="22" t="str">
        <f t="shared" si="175"/>
        <v/>
      </c>
      <c r="CG80" t="s">
        <v>285</v>
      </c>
      <c r="CH80" t="str">
        <f t="shared" si="245"/>
        <v/>
      </c>
      <c r="CI80" t="str">
        <f t="shared" si="244"/>
        <v/>
      </c>
      <c r="CJ80" t="str">
        <f t="shared" si="246"/>
        <v>{BLACK}Length: {GOLD}0.4 tiles{}{SILVER}Brake vans were rarer on narrow gauge railways, but passenger services would typically have a guard's wagon which could also carry parcels.</v>
      </c>
    </row>
    <row r="81" spans="1:88" x14ac:dyDescent="0.35">
      <c r="A81" t="s">
        <v>255</v>
      </c>
      <c r="B81" t="s">
        <v>257</v>
      </c>
      <c r="C81">
        <v>85</v>
      </c>
      <c r="E81">
        <v>3004</v>
      </c>
      <c r="F81" t="s">
        <v>486</v>
      </c>
      <c r="G81" t="s">
        <v>32</v>
      </c>
      <c r="H81" t="s">
        <v>32</v>
      </c>
      <c r="I81" t="s">
        <v>336</v>
      </c>
      <c r="J81">
        <v>1900</v>
      </c>
      <c r="W81">
        <v>6</v>
      </c>
      <c r="Y81">
        <v>4</v>
      </c>
      <c r="AA81" s="3" t="str">
        <f t="shared" si="257"/>
        <v/>
      </c>
      <c r="AB81">
        <v>45</v>
      </c>
      <c r="AC81">
        <f t="shared" ref="AC81:AC91" si="266">ROUND(AB81*1.6, 0)</f>
        <v>72</v>
      </c>
      <c r="AF81">
        <v>12</v>
      </c>
      <c r="AG81">
        <v>12</v>
      </c>
      <c r="AJ81" s="9">
        <v>42</v>
      </c>
      <c r="AK81" s="14" t="str">
        <f>CONCATENATE(VLOOKUP(AL81, 'Voxel Sizes'!$A$2:$B$18,2,FALSE),"x",INT(AH81*15), "x", INT(AI81*15))</f>
        <v>120x0x0</v>
      </c>
      <c r="AL81" s="14">
        <f t="shared" si="258"/>
        <v>7</v>
      </c>
      <c r="AN81" s="14" t="str">
        <f>CONCATENATE(VLOOKUP(AL81,Constants!$A$2:$C$16,IF(AM81&lt;&gt;"", 3, 2), FALSE),IF(AM81&lt;&gt;"",CONCATENATE(",",VLOOKUP(AM81,$B:$AN,39,FALSE)),""))</f>
        <v>2,3,2</v>
      </c>
      <c r="AX81">
        <v>80</v>
      </c>
      <c r="AY81" s="14" t="str">
        <f t="shared" si="259"/>
        <v/>
      </c>
      <c r="AZ81">
        <v>10</v>
      </c>
      <c r="BA81">
        <v>20</v>
      </c>
      <c r="BB81" s="16">
        <f t="shared" si="260"/>
        <v>9</v>
      </c>
      <c r="BC81" s="16">
        <f t="shared" si="261"/>
        <v>0</v>
      </c>
      <c r="BD81" s="16">
        <f t="shared" si="262"/>
        <v>0</v>
      </c>
      <c r="BE81" s="17">
        <f t="shared" si="263"/>
        <v>1</v>
      </c>
      <c r="BF81" s="16">
        <f t="shared" si="217"/>
        <v>7.0000000000000009</v>
      </c>
      <c r="BG81" s="16">
        <f>VLOOKUP($H81,Constants!$I:$K, 2, FALSE)</f>
        <v>1</v>
      </c>
      <c r="BH81" s="16">
        <f>VLOOKUP($H81,Constants!$I:$K, 3, FALSE)*IF(AND(G81="multiple_unit",AB81&lt;110),0.75,1)</f>
        <v>0.45</v>
      </c>
      <c r="BI81" s="16">
        <f>INT(POWER(((Constants!$G$2+$BB81+$BC81+$BD81+$BF81)*$BE81)*$BH81, 1.05))+$BA81</f>
        <v>30</v>
      </c>
      <c r="BJ81" s="16">
        <f>INT(POWER((((Constants!$G$1+$BB81+$BC81+$BD81+$BF81)*($BE81))*$BG81),IF($G81="wagon",1,1.2)))+$AZ81</f>
        <v>41</v>
      </c>
      <c r="BK81" s="19">
        <f t="shared" si="218"/>
        <v>1875</v>
      </c>
      <c r="BL81" s="19">
        <f t="shared" si="219"/>
        <v>111.92999999999999</v>
      </c>
      <c r="BU81">
        <v>1</v>
      </c>
      <c r="BV81">
        <v>225</v>
      </c>
      <c r="BX81" t="s">
        <v>275</v>
      </c>
      <c r="BY81" t="s">
        <v>279</v>
      </c>
      <c r="BZ81" s="22" t="str">
        <f>VLOOKUP(J81,Eras!$A$2:$C$10, 2, TRUE)</f>
        <v>edw</v>
      </c>
      <c r="CA81" t="s">
        <v>75</v>
      </c>
      <c r="CB81" s="22" t="str">
        <f t="shared" si="264"/>
        <v>edw_Open Wagon</v>
      </c>
      <c r="CC81" s="22" t="str">
        <f t="shared" si="265"/>
        <v>wagon_NARROW_GAUGE</v>
      </c>
      <c r="CD81" s="25" t="str" cm="1">
        <f t="array" ref="CD81">IF(AN81&lt;&gt;"na", _xlfn.CONCAT("{BLACK}Length: {GOLD}", TEXT(ROUNDUP(IF(AQ81&lt;&gt;"",SUM(VALUE(_xlfn.TEXTSPLIT(AQ81, ","))), SUM(VALUE(_xlfn.TEXTSPLIT(AN81, ",")))*IF(M81, M81, 1))/16, 1),"#,##0.0"), " tiles{}"), "")</f>
        <v>{BLACK}Length: {GOLD}0.5 tiles{}</v>
      </c>
      <c r="CE81" s="22" t="str">
        <f>VLOOKUP($CC81, Constants!$M:$N, 2, FALSE)</f>
        <v/>
      </c>
      <c r="CF81" s="22" t="str">
        <f t="shared" si="175"/>
        <v/>
      </c>
      <c r="CG81" t="s">
        <v>287</v>
      </c>
      <c r="CH81" t="str">
        <f t="shared" si="245"/>
        <v/>
      </c>
      <c r="CI81" t="str">
        <f t="shared" si="244"/>
        <v/>
      </c>
      <c r="CJ81" t="str">
        <f t="shared" si="246"/>
        <v>{BLACK}Length: {GOLD}0.5 tiles{}{SILVER}Larger and heavier carriages also meant larger and heavier guard's vans.</v>
      </c>
    </row>
    <row r="82" spans="1:88" x14ac:dyDescent="0.35">
      <c r="A82" t="s">
        <v>242</v>
      </c>
      <c r="B82" t="s">
        <v>245</v>
      </c>
      <c r="C82">
        <v>86</v>
      </c>
      <c r="E82">
        <v>3005</v>
      </c>
      <c r="F82" t="s">
        <v>486</v>
      </c>
      <c r="G82" t="s">
        <v>32</v>
      </c>
      <c r="H82" t="s">
        <v>32</v>
      </c>
      <c r="I82" t="s">
        <v>336</v>
      </c>
      <c r="J82">
        <v>1800</v>
      </c>
      <c r="L82">
        <v>1900</v>
      </c>
      <c r="W82">
        <v>1</v>
      </c>
      <c r="Y82">
        <v>3</v>
      </c>
      <c r="AA82" s="3" t="str">
        <f t="shared" si="257"/>
        <v/>
      </c>
      <c r="AB82">
        <v>25</v>
      </c>
      <c r="AC82">
        <f t="shared" si="266"/>
        <v>40</v>
      </c>
      <c r="AF82">
        <v>4.9000000000000004</v>
      </c>
      <c r="AG82">
        <v>6</v>
      </c>
      <c r="AJ82" s="9">
        <v>9</v>
      </c>
      <c r="AK82" s="14" t="str">
        <f>CONCATENATE(VLOOKUP(AL82, 'Voxel Sizes'!$A$2:$B$18,2,FALSE),"x",INT(AH82*15), "x", INT(AI82*15))</f>
        <v>66x0x0</v>
      </c>
      <c r="AL82" s="14">
        <f t="shared" si="258"/>
        <v>4</v>
      </c>
      <c r="AN82" s="14" t="str">
        <f>CONCATENATE(VLOOKUP(AL82,Constants!$A$2:$C$16,IF(AM82&lt;&gt;"", 3, 2), FALSE),IF(AM82&lt;&gt;"",CONCATENATE(",",VLOOKUP(AM82,$B:$AN,39,FALSE)),""))</f>
        <v>1,2,1</v>
      </c>
      <c r="AX82">
        <v>80</v>
      </c>
      <c r="AY82" s="14">
        <f t="shared" si="259"/>
        <v>108</v>
      </c>
      <c r="AZ82">
        <v>-15</v>
      </c>
      <c r="BA82">
        <v>-3</v>
      </c>
      <c r="BB82" s="16">
        <f t="shared" si="260"/>
        <v>5</v>
      </c>
      <c r="BC82" s="16">
        <f t="shared" si="261"/>
        <v>0</v>
      </c>
      <c r="BD82" s="16">
        <f t="shared" si="262"/>
        <v>0</v>
      </c>
      <c r="BE82" s="17">
        <f t="shared" si="263"/>
        <v>1</v>
      </c>
      <c r="BF82" s="16">
        <f t="shared" si="217"/>
        <v>1.5</v>
      </c>
      <c r="BG82" s="16">
        <f>VLOOKUP($H82,Constants!$I:$K, 2, FALSE)</f>
        <v>1</v>
      </c>
      <c r="BH82" s="16">
        <f>VLOOKUP($H82,Constants!$I:$K, 3, FALSE)*IF(AND(G82="multiple_unit",AB82&lt;110),0.75,1)</f>
        <v>0.45</v>
      </c>
      <c r="BI82" s="16">
        <f>INT(POWER(((Constants!$G$2+$BB82+$BC82+$BD82+$BF82)*$BE82)*$BH82, 1.05))+$BA82</f>
        <v>2</v>
      </c>
      <c r="BJ82" s="16">
        <f>INT(POWER((((Constants!$G$1+$BB82+$BC82+$BD82+$BF82)*($BE82))*$BG82),IF($G82="wagon",1,1.2)))+$AZ82</f>
        <v>6</v>
      </c>
      <c r="BK82" s="19">
        <f t="shared" si="218"/>
        <v>125</v>
      </c>
      <c r="BL82" s="19">
        <f t="shared" si="219"/>
        <v>16.38</v>
      </c>
      <c r="BU82">
        <v>1</v>
      </c>
      <c r="BV82">
        <v>225</v>
      </c>
      <c r="BX82" t="s">
        <v>243</v>
      </c>
      <c r="BY82" t="s">
        <v>244</v>
      </c>
      <c r="BZ82" s="22" t="str">
        <f>VLOOKUP(J82,Eras!$A$2:$C$10, 2, TRUE)</f>
        <v>early</v>
      </c>
      <c r="CA82" t="s">
        <v>75</v>
      </c>
      <c r="CB82" s="22" t="str">
        <f t="shared" si="264"/>
        <v>early_Open Wagon</v>
      </c>
      <c r="CC82" s="22" t="str">
        <f t="shared" si="265"/>
        <v>wagon_NARROW_GAUGE</v>
      </c>
      <c r="CD82" s="25" t="str" cm="1">
        <f t="array" ref="CD82">IF(AN82&lt;&gt;"na", _xlfn.CONCAT("{BLACK}Length: {GOLD}", TEXT(ROUNDUP(IF(AQ82&lt;&gt;"",SUM(VALUE(_xlfn.TEXTSPLIT(AQ82, ","))), SUM(VALUE(_xlfn.TEXTSPLIT(AN82, ",")))*IF(M82, M82, 1))/16, 1),"#,##0.0"), " tiles{}"), "")</f>
        <v>{BLACK}Length: {GOLD}0.3 tiles{}</v>
      </c>
      <c r="CE82" s="22" t="str">
        <f>VLOOKUP($CC82, Constants!$M:$N, 2, FALSE)</f>
        <v/>
      </c>
      <c r="CF82" s="22" t="str">
        <f t="shared" si="175"/>
        <v/>
      </c>
      <c r="CG82" t="s">
        <v>246</v>
      </c>
      <c r="CH82" t="str">
        <f t="shared" si="245"/>
        <v/>
      </c>
      <c r="CI82" t="str">
        <f t="shared" si="244"/>
        <v/>
      </c>
      <c r="CJ82" t="str">
        <f t="shared" si="246"/>
        <v>{BLACK}Length: {GOLD}0.3 tiles{}{SILVER}An open wagon for carrying bulk cargo on narrow gauge railways.</v>
      </c>
    </row>
    <row r="83" spans="1:88" x14ac:dyDescent="0.35">
      <c r="A83" t="s">
        <v>258</v>
      </c>
      <c r="B83" t="s">
        <v>259</v>
      </c>
      <c r="C83">
        <v>87</v>
      </c>
      <c r="E83">
        <v>3006</v>
      </c>
      <c r="F83" t="s">
        <v>486</v>
      </c>
      <c r="G83" t="s">
        <v>32</v>
      </c>
      <c r="H83" t="s">
        <v>32</v>
      </c>
      <c r="I83" t="s">
        <v>336</v>
      </c>
      <c r="J83">
        <v>1870</v>
      </c>
      <c r="W83">
        <v>1</v>
      </c>
      <c r="Y83">
        <v>4</v>
      </c>
      <c r="AA83" s="3" t="str">
        <f t="shared" si="257"/>
        <v/>
      </c>
      <c r="AB83">
        <v>30</v>
      </c>
      <c r="AC83">
        <f t="shared" si="266"/>
        <v>48</v>
      </c>
      <c r="AF83">
        <v>8</v>
      </c>
      <c r="AG83">
        <v>8</v>
      </c>
      <c r="AJ83" s="9">
        <v>12</v>
      </c>
      <c r="AK83" s="14" t="str">
        <f>CONCATENATE(VLOOKUP(AL83, 'Voxel Sizes'!$A$2:$B$18,2,FALSE),"x",INT(AH83*15), "x", INT(AI83*15))</f>
        <v>82x0x0</v>
      </c>
      <c r="AL83" s="14">
        <f t="shared" si="258"/>
        <v>5</v>
      </c>
      <c r="AN83" s="14" t="str">
        <f>CONCATENATE(VLOOKUP(AL83,Constants!$A$2:$C$16,IF(AM83&lt;&gt;"", 3, 2), FALSE),IF(AM83&lt;&gt;"",CONCATENATE(",",VLOOKUP(AM83,$B:$AN,39,FALSE)),""))</f>
        <v>2,1,2</v>
      </c>
      <c r="AX83">
        <v>80</v>
      </c>
      <c r="AY83" s="14" t="str">
        <f t="shared" si="259"/>
        <v/>
      </c>
      <c r="AZ83">
        <v>-15</v>
      </c>
      <c r="BA83">
        <v>-3</v>
      </c>
      <c r="BB83" s="16">
        <f t="shared" si="260"/>
        <v>6</v>
      </c>
      <c r="BC83" s="16">
        <f t="shared" si="261"/>
        <v>0</v>
      </c>
      <c r="BD83" s="16">
        <f t="shared" si="262"/>
        <v>0</v>
      </c>
      <c r="BE83" s="17">
        <f t="shared" si="263"/>
        <v>1</v>
      </c>
      <c r="BF83" s="16">
        <f t="shared" si="217"/>
        <v>2</v>
      </c>
      <c r="BG83" s="16">
        <f>VLOOKUP($H83,Constants!$I:$K, 2, FALSE)</f>
        <v>1</v>
      </c>
      <c r="BH83" s="16">
        <f>VLOOKUP($H83,Constants!$I:$K, 3, FALSE)*IF(AND(G83="multiple_unit",AB83&lt;110),0.75,1)</f>
        <v>0.45</v>
      </c>
      <c r="BI83" s="16">
        <f>INT(POWER(((Constants!$G$2+$BB83+$BC83+$BD83+$BF83)*$BE83)*$BH83, 1.05))+$BA83</f>
        <v>3</v>
      </c>
      <c r="BJ83" s="16">
        <f>INT(POWER((((Constants!$G$1+$BB83+$BC83+$BD83+$BF83)*($BE83))*$BG83),IF($G83="wagon",1,1.2)))+$AZ83</f>
        <v>8</v>
      </c>
      <c r="BK83" s="19">
        <f t="shared" si="218"/>
        <v>187.5</v>
      </c>
      <c r="BL83" s="19">
        <f t="shared" si="219"/>
        <v>21.84</v>
      </c>
      <c r="BU83">
        <v>1</v>
      </c>
      <c r="BV83">
        <v>225</v>
      </c>
      <c r="BX83" t="s">
        <v>276</v>
      </c>
      <c r="BY83" t="s">
        <v>244</v>
      </c>
      <c r="BZ83" s="22" t="str">
        <f>VLOOKUP(J83,Eras!$A$2:$C$10, 2, TRUE)</f>
        <v>vct</v>
      </c>
      <c r="CA83" t="s">
        <v>75</v>
      </c>
      <c r="CB83" s="22" t="str">
        <f t="shared" si="264"/>
        <v>vct_Open Wagon</v>
      </c>
      <c r="CC83" s="22" t="str">
        <f t="shared" si="265"/>
        <v>wagon_NARROW_GAUGE</v>
      </c>
      <c r="CD83" s="25" t="str" cm="1">
        <f t="array" ref="CD83">IF(AN83&lt;&gt;"na", _xlfn.CONCAT("{BLACK}Length: {GOLD}", TEXT(ROUNDUP(IF(AQ83&lt;&gt;"",SUM(VALUE(_xlfn.TEXTSPLIT(AQ83, ","))), SUM(VALUE(_xlfn.TEXTSPLIT(AN83, ",")))*IF(M83, M83, 1))/16, 1),"#,##0.0"), " tiles{}"), "")</f>
        <v>{BLACK}Length: {GOLD}0.4 tiles{}</v>
      </c>
      <c r="CE83" s="22" t="str">
        <f>VLOOKUP($CC83, Constants!$M:$N, 2, FALSE)</f>
        <v/>
      </c>
      <c r="CF83" s="22" t="str">
        <f t="shared" si="175"/>
        <v/>
      </c>
      <c r="CG83" t="s">
        <v>288</v>
      </c>
      <c r="CH83" t="str">
        <f t="shared" si="245"/>
        <v/>
      </c>
      <c r="CI83" t="str">
        <f t="shared" si="244"/>
        <v/>
      </c>
      <c r="CJ83" t="str">
        <f t="shared" si="246"/>
        <v>{BLACK}Length: {GOLD}0.4 tiles{}{SILVER}Heavier mineral wagons allowed larger amounts of cargo to be carried.</v>
      </c>
    </row>
    <row r="84" spans="1:88" x14ac:dyDescent="0.35">
      <c r="A84" t="s">
        <v>261</v>
      </c>
      <c r="B84" t="s">
        <v>267</v>
      </c>
      <c r="C84">
        <v>88</v>
      </c>
      <c r="E84">
        <v>3007</v>
      </c>
      <c r="F84" t="s">
        <v>486</v>
      </c>
      <c r="G84" t="s">
        <v>32</v>
      </c>
      <c r="H84" t="s">
        <v>32</v>
      </c>
      <c r="I84" t="s">
        <v>336</v>
      </c>
      <c r="J84">
        <v>1800</v>
      </c>
      <c r="L84">
        <v>1900</v>
      </c>
      <c r="W84">
        <v>1</v>
      </c>
      <c r="Y84">
        <v>3</v>
      </c>
      <c r="AA84" s="3" t="str">
        <f t="shared" si="257"/>
        <v/>
      </c>
      <c r="AB84">
        <v>25</v>
      </c>
      <c r="AC84">
        <f t="shared" si="266"/>
        <v>40</v>
      </c>
      <c r="AF84">
        <v>4.9000000000000004</v>
      </c>
      <c r="AG84">
        <v>6</v>
      </c>
      <c r="AJ84" s="9">
        <v>10</v>
      </c>
      <c r="AK84" s="14" t="str">
        <f>CONCATENATE(VLOOKUP(AL84, 'Voxel Sizes'!$A$2:$B$18,2,FALSE),"x",INT(AH84*15), "x", INT(AI84*15))</f>
        <v>66x0x0</v>
      </c>
      <c r="AL84" s="14">
        <f t="shared" si="258"/>
        <v>4</v>
      </c>
      <c r="AN84" s="14" t="str">
        <f>CONCATENATE(VLOOKUP(AL84,Constants!$A$2:$C$16,IF(AM84&lt;&gt;"", 3, 2), FALSE),IF(AM84&lt;&gt;"",CONCATENATE(",",VLOOKUP(AM84,$B:$AN,39,FALSE)),""))</f>
        <v>1,2,1</v>
      </c>
      <c r="AX84">
        <v>80</v>
      </c>
      <c r="AY84" s="14">
        <f t="shared" si="259"/>
        <v>108</v>
      </c>
      <c r="AZ84">
        <v>-15</v>
      </c>
      <c r="BA84">
        <v>-3</v>
      </c>
      <c r="BB84" s="16">
        <f t="shared" si="260"/>
        <v>5</v>
      </c>
      <c r="BC84" s="16">
        <f t="shared" si="261"/>
        <v>0</v>
      </c>
      <c r="BD84" s="16">
        <f t="shared" si="262"/>
        <v>0</v>
      </c>
      <c r="BE84" s="17">
        <f t="shared" si="263"/>
        <v>1</v>
      </c>
      <c r="BF84" s="16">
        <f t="shared" si="217"/>
        <v>1.6666666666666667</v>
      </c>
      <c r="BG84" s="16">
        <f>VLOOKUP($H84,Constants!$I:$K, 2, FALSE)</f>
        <v>1</v>
      </c>
      <c r="BH84" s="16">
        <f>VLOOKUP($H84,Constants!$I:$K, 3, FALSE)*IF(AND(G84="multiple_unit",AB84&lt;110),0.75,1)</f>
        <v>0.45</v>
      </c>
      <c r="BI84" s="16">
        <f>INT(POWER(((Constants!$G$2+$BB84+$BC84+$BD84+$BF84)*$BE84)*$BH84, 1.05))+$BA84</f>
        <v>2</v>
      </c>
      <c r="BJ84" s="16">
        <f>INT(POWER((((Constants!$G$1+$BB84+$BC84+$BD84+$BF84)*($BE84))*$BG84),IF($G84="wagon",1,1.2)))+$AZ84</f>
        <v>6</v>
      </c>
      <c r="BK84" s="19">
        <f t="shared" si="218"/>
        <v>125</v>
      </c>
      <c r="BL84" s="19">
        <f t="shared" si="219"/>
        <v>16.38</v>
      </c>
      <c r="BU84">
        <v>1</v>
      </c>
      <c r="BV84">
        <v>225</v>
      </c>
      <c r="BX84" t="s">
        <v>277</v>
      </c>
      <c r="BY84" t="s">
        <v>278</v>
      </c>
      <c r="BZ84" s="22" t="str">
        <f>VLOOKUP(J84,Eras!$A$2:$C$10, 2, TRUE)</f>
        <v>early</v>
      </c>
      <c r="CA84" t="s">
        <v>75</v>
      </c>
      <c r="CB84" s="22" t="str">
        <f t="shared" si="264"/>
        <v>early_Open Wagon</v>
      </c>
      <c r="CC84" s="22" t="str">
        <f t="shared" si="265"/>
        <v>wagon_NARROW_GAUGE</v>
      </c>
      <c r="CD84" s="25" t="str" cm="1">
        <f t="array" ref="CD84">IF(AN84&lt;&gt;"na", _xlfn.CONCAT("{BLACK}Length: {GOLD}", TEXT(ROUNDUP(IF(AQ84&lt;&gt;"",SUM(VALUE(_xlfn.TEXTSPLIT(AQ84, ","))), SUM(VALUE(_xlfn.TEXTSPLIT(AN84, ",")))*IF(M84, M84, 1))/16, 1),"#,##0.0"), " tiles{}"), "")</f>
        <v>{BLACK}Length: {GOLD}0.3 tiles{}</v>
      </c>
      <c r="CE84" s="22" t="str">
        <f>VLOOKUP($CC84, Constants!$M:$N, 2, FALSE)</f>
        <v/>
      </c>
      <c r="CF84" s="22" t="str">
        <f t="shared" si="175"/>
        <v/>
      </c>
      <c r="CG84" t="s">
        <v>289</v>
      </c>
      <c r="CH84" t="str">
        <f t="shared" si="245"/>
        <v/>
      </c>
      <c r="CI84" t="str">
        <f t="shared" si="244"/>
        <v/>
      </c>
      <c r="CJ84" t="str">
        <f t="shared" si="246"/>
        <v>{BLACK}Length: {GOLD}0.3 tiles{}{SILVER}While many narrow gauge railways were quarry lines carrying bulk goods or slate, flat wagons were used for transporting equipment.</v>
      </c>
    </row>
    <row r="85" spans="1:88" x14ac:dyDescent="0.35">
      <c r="A85" t="s">
        <v>260</v>
      </c>
      <c r="B85" t="s">
        <v>268</v>
      </c>
      <c r="C85">
        <v>89</v>
      </c>
      <c r="E85">
        <v>3008</v>
      </c>
      <c r="F85" t="s">
        <v>486</v>
      </c>
      <c r="G85" t="s">
        <v>32</v>
      </c>
      <c r="H85" t="s">
        <v>32</v>
      </c>
      <c r="I85" t="s">
        <v>336</v>
      </c>
      <c r="J85">
        <v>1870</v>
      </c>
      <c r="W85">
        <v>1</v>
      </c>
      <c r="Y85">
        <v>4</v>
      </c>
      <c r="AA85" s="3" t="str">
        <f t="shared" si="257"/>
        <v/>
      </c>
      <c r="AB85">
        <v>30</v>
      </c>
      <c r="AC85">
        <f t="shared" si="266"/>
        <v>48</v>
      </c>
      <c r="AF85">
        <v>4.9000000000000004</v>
      </c>
      <c r="AG85">
        <v>8</v>
      </c>
      <c r="AJ85" s="9">
        <v>12</v>
      </c>
      <c r="AK85" s="14" t="str">
        <f>CONCATENATE(VLOOKUP(AL85, 'Voxel Sizes'!$A$2:$B$18,2,FALSE),"x",INT(AH85*15), "x", INT(AI85*15))</f>
        <v>82x0x0</v>
      </c>
      <c r="AL85" s="14">
        <f t="shared" si="258"/>
        <v>5</v>
      </c>
      <c r="AN85" s="14" t="str">
        <f>CONCATENATE(VLOOKUP(AL85,Constants!$A$2:$C$16,IF(AM85&lt;&gt;"", 3, 2), FALSE),IF(AM85&lt;&gt;"",CONCATENATE(",",VLOOKUP(AM85,$B:$AN,39,FALSE)),""))</f>
        <v>2,1,2</v>
      </c>
      <c r="AX85">
        <v>80</v>
      </c>
      <c r="AY85" s="14" t="str">
        <f t="shared" si="259"/>
        <v/>
      </c>
      <c r="AZ85">
        <v>-15</v>
      </c>
      <c r="BA85">
        <v>-3</v>
      </c>
      <c r="BB85" s="16">
        <f t="shared" si="260"/>
        <v>6</v>
      </c>
      <c r="BC85" s="16">
        <f t="shared" si="261"/>
        <v>0</v>
      </c>
      <c r="BD85" s="16">
        <f t="shared" si="262"/>
        <v>0</v>
      </c>
      <c r="BE85" s="17">
        <f t="shared" si="263"/>
        <v>1</v>
      </c>
      <c r="BF85" s="16">
        <f t="shared" si="217"/>
        <v>2</v>
      </c>
      <c r="BG85" s="16">
        <f>VLOOKUP($H85,Constants!$I:$K, 2, FALSE)</f>
        <v>1</v>
      </c>
      <c r="BH85" s="16">
        <f>VLOOKUP($H85,Constants!$I:$K, 3, FALSE)*IF(AND(G85="multiple_unit",AB85&lt;110),0.75,1)</f>
        <v>0.45</v>
      </c>
      <c r="BI85" s="16">
        <f>INT(POWER(((Constants!$G$2+$BB85+$BC85+$BD85+$BF85)*$BE85)*$BH85, 1.05))+$BA85</f>
        <v>3</v>
      </c>
      <c r="BJ85" s="16">
        <f>INT(POWER((((Constants!$G$1+$BB85+$BC85+$BD85+$BF85)*($BE85))*$BG85),IF($G85="wagon",1,1.2)))+$AZ85</f>
        <v>8</v>
      </c>
      <c r="BK85" s="19">
        <f t="shared" si="218"/>
        <v>187.5</v>
      </c>
      <c r="BL85" s="19">
        <f t="shared" si="219"/>
        <v>21.84</v>
      </c>
      <c r="BU85">
        <v>1</v>
      </c>
      <c r="BV85">
        <v>225</v>
      </c>
      <c r="BX85" t="s">
        <v>277</v>
      </c>
      <c r="BY85" t="s">
        <v>278</v>
      </c>
      <c r="BZ85" s="22" t="str">
        <f>VLOOKUP(J85,Eras!$A$2:$C$10, 2, TRUE)</f>
        <v>vct</v>
      </c>
      <c r="CA85" t="s">
        <v>75</v>
      </c>
      <c r="CB85" s="22" t="str">
        <f t="shared" si="264"/>
        <v>vct_Open Wagon</v>
      </c>
      <c r="CC85" s="22" t="str">
        <f t="shared" si="265"/>
        <v>wagon_NARROW_GAUGE</v>
      </c>
      <c r="CD85" s="25" t="str" cm="1">
        <f t="array" ref="CD85">IF(AN85&lt;&gt;"na", _xlfn.CONCAT("{BLACK}Length: {GOLD}", TEXT(ROUNDUP(IF(AQ85&lt;&gt;"",SUM(VALUE(_xlfn.TEXTSPLIT(AQ85, ","))), SUM(VALUE(_xlfn.TEXTSPLIT(AN85, ",")))*IF(M85, M85, 1))/16, 1),"#,##0.0"), " tiles{}"), "")</f>
        <v>{BLACK}Length: {GOLD}0.4 tiles{}</v>
      </c>
      <c r="CE85" s="22" t="str">
        <f>VLOOKUP($CC85, Constants!$M:$N, 2, FALSE)</f>
        <v/>
      </c>
      <c r="CF85" s="22" t="str">
        <f t="shared" si="175"/>
        <v/>
      </c>
      <c r="CG85" t="s">
        <v>292</v>
      </c>
      <c r="CH85" t="str">
        <f t="shared" si="245"/>
        <v/>
      </c>
      <c r="CI85" t="str">
        <f t="shared" si="244"/>
        <v/>
      </c>
      <c r="CJ85" t="str">
        <f t="shared" si="246"/>
        <v>{BLACK}Length: {GOLD}0.4 tiles{}{SILVER}As per standard gauge practice, bolster wagons were used for carrying long, rigid cargo.</v>
      </c>
    </row>
    <row r="86" spans="1:88" x14ac:dyDescent="0.35">
      <c r="A86" t="s">
        <v>492</v>
      </c>
      <c r="B86" t="s">
        <v>493</v>
      </c>
      <c r="C86">
        <v>96</v>
      </c>
      <c r="E86">
        <v>3009</v>
      </c>
      <c r="F86" t="s">
        <v>486</v>
      </c>
      <c r="G86" t="s">
        <v>32</v>
      </c>
      <c r="H86" t="s">
        <v>32</v>
      </c>
      <c r="I86" t="s">
        <v>336</v>
      </c>
      <c r="J86">
        <v>1890</v>
      </c>
      <c r="W86">
        <v>2</v>
      </c>
      <c r="Y86">
        <v>4</v>
      </c>
      <c r="AA86" s="3" t="str">
        <f t="shared" ref="AA86" si="267">IF(AND(W86&gt;0,Z86&gt;0),(Z86/((W86+X86)*10)),"")</f>
        <v/>
      </c>
      <c r="AB86">
        <v>30</v>
      </c>
      <c r="AC86">
        <f t="shared" ref="AC86" si="268">ROUND(AB86*1.6, 0)</f>
        <v>48</v>
      </c>
      <c r="AF86">
        <v>10</v>
      </c>
      <c r="AG86">
        <v>10</v>
      </c>
      <c r="AJ86" s="9">
        <v>18</v>
      </c>
      <c r="AK86" s="14" t="str">
        <f>CONCATENATE(VLOOKUP(AL86, 'Voxel Sizes'!$A$2:$B$18,2,FALSE),"x",INT(AH86*15), "x", INT(AI86*15))</f>
        <v>102x0x0</v>
      </c>
      <c r="AL86" s="14">
        <f t="shared" ref="AL86" si="269">ROUND(15*((AG86*10)/256),0)</f>
        <v>6</v>
      </c>
      <c r="AN86" s="14" t="str">
        <f>CONCATENATE(VLOOKUP(AL86,Constants!$A$2:$C$16,IF(AM86&lt;&gt;"", 3, 2), FALSE),IF(AM86&lt;&gt;"",CONCATENATE(",",VLOOKUP(AM86,$B:$AN,39,FALSE)),""))</f>
        <v>2,2,2</v>
      </c>
      <c r="AX86">
        <v>80</v>
      </c>
      <c r="AY86" s="14" t="str">
        <f t="shared" ref="AY86" si="270">IF(L86&lt;&gt;"",MAX(16,(L86-J86)+8),"")</f>
        <v/>
      </c>
      <c r="AZ86">
        <v>-15</v>
      </c>
      <c r="BA86">
        <v>-2</v>
      </c>
      <c r="BB86" s="16">
        <f t="shared" ref="BB86" si="271">MIN(AB86/150, 1)*30</f>
        <v>6</v>
      </c>
      <c r="BC86" s="16">
        <f t="shared" ref="BC86" si="272">MIN(N86/4000, 1)*20</f>
        <v>0</v>
      </c>
      <c r="BD86" s="16">
        <f t="shared" ref="BD86" si="273">MIN(Z86/400,1)*20</f>
        <v>0</v>
      </c>
      <c r="BE86" s="17">
        <f t="shared" ref="BE86" si="274">1-(MAX(J86-1900, 0)/750)</f>
        <v>1</v>
      </c>
      <c r="BF86" s="16">
        <f t="shared" ref="BF86" si="275">((MAX($M86,1)*MIN($AJ86/300,1)))*IF(G86="Wagon",50,10)</f>
        <v>3</v>
      </c>
      <c r="BG86" s="16">
        <f>VLOOKUP($H86,Constants!$I:$K, 2, FALSE)</f>
        <v>1</v>
      </c>
      <c r="BH86" s="16">
        <f>VLOOKUP($H86,Constants!$I:$K, 3, FALSE)*IF(AND(G86="multiple_unit",AB86&lt;110),0.75,1)</f>
        <v>0.45</v>
      </c>
      <c r="BI86" s="16">
        <f>INT(POWER(((Constants!$G$2+$BB86+$BC86+$BD86+$BF86)*$BE86)*$BH86, 1.05))+$BA86</f>
        <v>4</v>
      </c>
      <c r="BJ86" s="16">
        <f>INT(POWER((((Constants!$G$1+$BB86+$BC86+$BD86+$BF86)*($BE86))*$BG86),IF($G86="wagon",1,1.2)))+$AZ86</f>
        <v>9</v>
      </c>
      <c r="BK86" s="19">
        <f t="shared" ref="BK86" si="276">BI86*IF($G86="wagon",62.5,781.25)</f>
        <v>250</v>
      </c>
      <c r="BL86" s="19">
        <f t="shared" ref="BL86" si="277">BJ86*IF($G86="wagon",2.73,81.25)</f>
        <v>24.57</v>
      </c>
      <c r="BU86">
        <v>1</v>
      </c>
      <c r="BV86">
        <v>225</v>
      </c>
      <c r="BX86" t="s">
        <v>277</v>
      </c>
      <c r="BY86" t="s">
        <v>278</v>
      </c>
      <c r="BZ86" s="22" t="str">
        <f>VLOOKUP(J86,Eras!$A$2:$C$10, 2, TRUE)</f>
        <v>vct</v>
      </c>
      <c r="CA86" t="s">
        <v>75</v>
      </c>
      <c r="CB86" s="22" t="str">
        <f t="shared" ref="CB86" si="278">CONCATENATE(BZ86,"_",CA86)</f>
        <v>vct_Open Wagon</v>
      </c>
      <c r="CC86" s="22" t="str">
        <f t="shared" ref="CC86" si="279">_xlfn.CONCAT(H86, "_",I86)</f>
        <v>wagon_NARROW_GAUGE</v>
      </c>
      <c r="CD86" s="25" t="str" cm="1">
        <f t="array" ref="CD86">IF(AN86&lt;&gt;"na", _xlfn.CONCAT("{BLACK}Length: {GOLD}", TEXT(ROUNDUP(IF(AQ86&lt;&gt;"",SUM(VALUE(_xlfn.TEXTSPLIT(AQ86, ","))), SUM(VALUE(_xlfn.TEXTSPLIT(AN86, ",")))*IF(M86, M86, 1))/16, 1),"#,##0.0"), " tiles{}"), "")</f>
        <v>{BLACK}Length: {GOLD}0.4 tiles{}</v>
      </c>
      <c r="CE86" s="22" t="str">
        <f>VLOOKUP($CC86, Constants!$M:$N, 2, FALSE)</f>
        <v/>
      </c>
      <c r="CF86" s="22" t="str">
        <f t="shared" ref="CF86" si="280">IF(AND(M86&gt;1,BO86&lt;&gt;1),_xlfn.CONCAT("{BLACK}Cars: {GOLD}", M86),"")</f>
        <v/>
      </c>
      <c r="CG86" t="s">
        <v>494</v>
      </c>
      <c r="CH86" t="str">
        <f t="shared" si="245"/>
        <v/>
      </c>
      <c r="CI86" t="str">
        <f t="shared" si="244"/>
        <v/>
      </c>
      <c r="CJ86" t="str">
        <f t="shared" si="246"/>
        <v>{BLACK}Length: {GOLD}0.4 tiles{}{SILVER}Narrow gauge railways tend to use smaller vehicles capable of traversing tight turns, but the occasional larger wagon can be found on straighter routes.</v>
      </c>
    </row>
    <row r="87" spans="1:88" x14ac:dyDescent="0.35">
      <c r="A87" t="s">
        <v>262</v>
      </c>
      <c r="B87" t="s">
        <v>269</v>
      </c>
      <c r="C87">
        <v>90</v>
      </c>
      <c r="E87">
        <v>3010</v>
      </c>
      <c r="F87" t="s">
        <v>486</v>
      </c>
      <c r="G87" t="s">
        <v>32</v>
      </c>
      <c r="H87" t="s">
        <v>32</v>
      </c>
      <c r="I87" t="s">
        <v>336</v>
      </c>
      <c r="J87">
        <v>1870</v>
      </c>
      <c r="W87">
        <v>1</v>
      </c>
      <c r="Y87">
        <v>4</v>
      </c>
      <c r="AA87" s="3" t="str">
        <f t="shared" si="257"/>
        <v/>
      </c>
      <c r="AB87">
        <v>30</v>
      </c>
      <c r="AC87">
        <f t="shared" si="266"/>
        <v>48</v>
      </c>
      <c r="AF87">
        <v>4.9000000000000004</v>
      </c>
      <c r="AG87">
        <v>6</v>
      </c>
      <c r="AJ87" s="9">
        <v>12</v>
      </c>
      <c r="AK87" s="14" t="str">
        <f>CONCATENATE(VLOOKUP(AL87, 'Voxel Sizes'!$A$2:$B$18,2,FALSE),"x",INT(AH87*15), "x", INT(AI87*15))</f>
        <v>66x0x0</v>
      </c>
      <c r="AL87" s="14">
        <f t="shared" si="258"/>
        <v>4</v>
      </c>
      <c r="AN87" s="14" t="str">
        <f>CONCATENATE(VLOOKUP(AL87,Constants!$A$2:$C$16,IF(AM87&lt;&gt;"", 3, 2), FALSE),IF(AM87&lt;&gt;"",CONCATENATE(",",VLOOKUP(AM87,$B:$AN,39,FALSE)),""))</f>
        <v>1,2,1</v>
      </c>
      <c r="AX87">
        <v>80</v>
      </c>
      <c r="AY87" s="14" t="str">
        <f t="shared" si="259"/>
        <v/>
      </c>
      <c r="AZ87">
        <v>-15</v>
      </c>
      <c r="BA87">
        <v>-3</v>
      </c>
      <c r="BB87" s="16">
        <f t="shared" si="260"/>
        <v>6</v>
      </c>
      <c r="BC87" s="16">
        <f t="shared" si="261"/>
        <v>0</v>
      </c>
      <c r="BD87" s="16">
        <f t="shared" si="262"/>
        <v>0</v>
      </c>
      <c r="BE87" s="17">
        <f t="shared" si="263"/>
        <v>1</v>
      </c>
      <c r="BF87" s="16">
        <f t="shared" si="217"/>
        <v>2</v>
      </c>
      <c r="BG87" s="16">
        <f>VLOOKUP($H87,Constants!$I:$K, 2, FALSE)</f>
        <v>1</v>
      </c>
      <c r="BH87" s="16">
        <f>VLOOKUP($H87,Constants!$I:$K, 3, FALSE)*IF(AND(G87="multiple_unit",AB87&lt;110),0.75,1)</f>
        <v>0.45</v>
      </c>
      <c r="BI87" s="16">
        <f>INT(POWER(((Constants!$G$2+$BB87+$BC87+$BD87+$BF87)*$BE87)*$BH87, 1.05))+$BA87</f>
        <v>3</v>
      </c>
      <c r="BJ87" s="16">
        <f>INT(POWER((((Constants!$G$1+$BB87+$BC87+$BD87+$BF87)*($BE87))*$BG87),IF($G87="wagon",1,1.2)))+$AZ87</f>
        <v>8</v>
      </c>
      <c r="BK87" s="19">
        <f t="shared" si="218"/>
        <v>187.5</v>
      </c>
      <c r="BL87" s="19">
        <f t="shared" si="219"/>
        <v>21.84</v>
      </c>
      <c r="BU87">
        <v>1</v>
      </c>
      <c r="BV87">
        <v>225</v>
      </c>
      <c r="BX87" t="s">
        <v>78</v>
      </c>
      <c r="BY87" t="s">
        <v>280</v>
      </c>
      <c r="BZ87" s="22" t="str">
        <f>VLOOKUP(J87,Eras!$A$2:$C$10, 2, TRUE)</f>
        <v>vct</v>
      </c>
      <c r="CA87" t="s">
        <v>75</v>
      </c>
      <c r="CB87" s="22" t="str">
        <f t="shared" si="264"/>
        <v>vct_Open Wagon</v>
      </c>
      <c r="CC87" s="22" t="str">
        <f t="shared" si="265"/>
        <v>wagon_NARROW_GAUGE</v>
      </c>
      <c r="CD87" s="25" t="str" cm="1">
        <f t="array" ref="CD87">IF(AN87&lt;&gt;"na", _xlfn.CONCAT("{BLACK}Length: {GOLD}", TEXT(ROUNDUP(IF(AQ87&lt;&gt;"",SUM(VALUE(_xlfn.TEXTSPLIT(AQ87, ","))), SUM(VALUE(_xlfn.TEXTSPLIT(AN87, ",")))*IF(M87, M87, 1))/16, 1),"#,##0.0"), " tiles{}"), "")</f>
        <v>{BLACK}Length: {GOLD}0.3 tiles{}</v>
      </c>
      <c r="CE87" s="22" t="str">
        <f>VLOOKUP($CC87, Constants!$M:$N, 2, FALSE)</f>
        <v/>
      </c>
      <c r="CF87" s="22" t="str">
        <f t="shared" si="175"/>
        <v/>
      </c>
      <c r="CG87" t="s">
        <v>290</v>
      </c>
      <c r="CH87" t="str">
        <f t="shared" si="245"/>
        <v/>
      </c>
      <c r="CI87" t="str">
        <f t="shared" si="244"/>
        <v/>
      </c>
      <c r="CJ87" t="str">
        <f t="shared" si="246"/>
        <v>{BLACK}Length: {GOLD}0.3 tiles{}{SILVER}With specialised equipment at stations, tank wagons made liquid cargo easier to handle than loading drums into open wagons.</v>
      </c>
    </row>
    <row r="88" spans="1:88" x14ac:dyDescent="0.35">
      <c r="A88" t="s">
        <v>263</v>
      </c>
      <c r="B88" t="s">
        <v>270</v>
      </c>
      <c r="C88">
        <v>91</v>
      </c>
      <c r="E88">
        <v>3011</v>
      </c>
      <c r="F88" t="s">
        <v>486</v>
      </c>
      <c r="G88" t="s">
        <v>32</v>
      </c>
      <c r="H88" t="s">
        <v>32</v>
      </c>
      <c r="I88" t="s">
        <v>336</v>
      </c>
      <c r="J88">
        <v>1870</v>
      </c>
      <c r="W88">
        <v>1</v>
      </c>
      <c r="Y88">
        <v>4</v>
      </c>
      <c r="AA88" s="3" t="str">
        <f t="shared" si="257"/>
        <v/>
      </c>
      <c r="AB88">
        <v>30</v>
      </c>
      <c r="AC88">
        <f t="shared" si="266"/>
        <v>48</v>
      </c>
      <c r="AF88">
        <v>4.9000000000000004</v>
      </c>
      <c r="AG88">
        <v>6</v>
      </c>
      <c r="AJ88" s="9">
        <v>12</v>
      </c>
      <c r="AK88" s="14" t="str">
        <f>CONCATENATE(VLOOKUP(AL88, 'Voxel Sizes'!$A$2:$B$18,2,FALSE),"x",INT(AH88*15), "x", INT(AI88*15))</f>
        <v>66x0x0</v>
      </c>
      <c r="AL88" s="14">
        <f t="shared" si="258"/>
        <v>4</v>
      </c>
      <c r="AN88" s="14" t="str">
        <f>CONCATENATE(VLOOKUP(AL88,Constants!$A$2:$C$16,IF(AM88&lt;&gt;"", 3, 2), FALSE),IF(AM88&lt;&gt;"",CONCATENATE(",",VLOOKUP(AM88,$B:$AN,39,FALSE)),""))</f>
        <v>1,2,1</v>
      </c>
      <c r="AX88">
        <v>80</v>
      </c>
      <c r="AY88" s="14" t="str">
        <f t="shared" si="259"/>
        <v/>
      </c>
      <c r="AZ88">
        <v>-15</v>
      </c>
      <c r="BA88">
        <v>-3</v>
      </c>
      <c r="BB88" s="16">
        <f t="shared" si="260"/>
        <v>6</v>
      </c>
      <c r="BC88" s="16">
        <f t="shared" si="261"/>
        <v>0</v>
      </c>
      <c r="BD88" s="16">
        <f t="shared" si="262"/>
        <v>0</v>
      </c>
      <c r="BE88" s="17">
        <f t="shared" si="263"/>
        <v>1</v>
      </c>
      <c r="BF88" s="16">
        <f t="shared" si="217"/>
        <v>2</v>
      </c>
      <c r="BG88" s="16">
        <f>VLOOKUP($H88,Constants!$I:$K, 2, FALSE)</f>
        <v>1</v>
      </c>
      <c r="BH88" s="16">
        <f>VLOOKUP($H88,Constants!$I:$K, 3, FALSE)*IF(AND(G88="multiple_unit",AB88&lt;110),0.75,1)</f>
        <v>0.45</v>
      </c>
      <c r="BI88" s="16">
        <f>INT(POWER(((Constants!$G$2+$BB88+$BC88+$BD88+$BF88)*$BE88)*$BH88, 1.05))+$BA88</f>
        <v>3</v>
      </c>
      <c r="BJ88" s="16">
        <f>INT(POWER((((Constants!$G$1+$BB88+$BC88+$BD88+$BF88)*($BE88))*$BG88),IF($G88="wagon",1,1.2)))+$AZ88</f>
        <v>8</v>
      </c>
      <c r="BK88" s="19">
        <f t="shared" si="218"/>
        <v>187.5</v>
      </c>
      <c r="BL88" s="19">
        <f t="shared" si="219"/>
        <v>21.84</v>
      </c>
      <c r="BU88">
        <v>1</v>
      </c>
      <c r="BV88">
        <v>225</v>
      </c>
      <c r="BX88" t="s">
        <v>281</v>
      </c>
      <c r="BY88" t="s">
        <v>282</v>
      </c>
      <c r="BZ88" s="22" t="str">
        <f>VLOOKUP(J88,Eras!$A$2:$C$10, 2, TRUE)</f>
        <v>vct</v>
      </c>
      <c r="CA88" t="s">
        <v>75</v>
      </c>
      <c r="CB88" s="22" t="str">
        <f t="shared" si="264"/>
        <v>vct_Open Wagon</v>
      </c>
      <c r="CC88" s="22" t="str">
        <f t="shared" si="265"/>
        <v>wagon_NARROW_GAUGE</v>
      </c>
      <c r="CD88" s="25" t="str" cm="1">
        <f t="array" ref="CD88">IF(AN88&lt;&gt;"na", _xlfn.CONCAT("{BLACK}Length: {GOLD}", TEXT(ROUNDUP(IF(AQ88&lt;&gt;"",SUM(VALUE(_xlfn.TEXTSPLIT(AQ88, ","))), SUM(VALUE(_xlfn.TEXTSPLIT(AN88, ",")))*IF(M88, M88, 1))/16, 1),"#,##0.0"), " tiles{}"), "")</f>
        <v>{BLACK}Length: {GOLD}0.3 tiles{}</v>
      </c>
      <c r="CE88" s="22" t="str">
        <f>VLOOKUP($CC88, Constants!$M:$N, 2, FALSE)</f>
        <v/>
      </c>
      <c r="CF88" s="22" t="str">
        <f t="shared" si="175"/>
        <v/>
      </c>
      <c r="CG88" t="s">
        <v>291</v>
      </c>
      <c r="CH88" t="str">
        <f t="shared" si="245"/>
        <v/>
      </c>
      <c r="CI88" t="str">
        <f t="shared" si="244"/>
        <v/>
      </c>
      <c r="CJ88" t="str">
        <f t="shared" si="246"/>
        <v>{BLACK}Length: {GOLD}0.3 tiles{}{SILVER}A van for carrying livestock on narrow gauge railways.</v>
      </c>
    </row>
    <row r="89" spans="1:88" x14ac:dyDescent="0.35">
      <c r="A89" t="s">
        <v>264</v>
      </c>
      <c r="B89" t="s">
        <v>272</v>
      </c>
      <c r="C89">
        <v>92</v>
      </c>
      <c r="E89">
        <v>3012</v>
      </c>
      <c r="F89" t="s">
        <v>486</v>
      </c>
      <c r="G89" t="s">
        <v>32</v>
      </c>
      <c r="H89" t="s">
        <v>32</v>
      </c>
      <c r="I89" t="s">
        <v>336</v>
      </c>
      <c r="J89">
        <v>1800</v>
      </c>
      <c r="L89">
        <v>1900</v>
      </c>
      <c r="W89">
        <v>1</v>
      </c>
      <c r="Y89">
        <v>3</v>
      </c>
      <c r="AA89" s="3" t="str">
        <f t="shared" si="257"/>
        <v/>
      </c>
      <c r="AB89">
        <v>25</v>
      </c>
      <c r="AC89">
        <f t="shared" si="266"/>
        <v>40</v>
      </c>
      <c r="AF89">
        <v>4.9000000000000004</v>
      </c>
      <c r="AG89">
        <v>6</v>
      </c>
      <c r="AJ89" s="9">
        <v>12</v>
      </c>
      <c r="AK89" s="14" t="str">
        <f>CONCATENATE(VLOOKUP(AL89, 'Voxel Sizes'!$A$2:$B$18,2,FALSE),"x",INT(AH89*15), "x", INT(AI89*15))</f>
        <v>66x0x0</v>
      </c>
      <c r="AL89" s="14">
        <f t="shared" si="258"/>
        <v>4</v>
      </c>
      <c r="AN89" s="14" t="str">
        <f>CONCATENATE(VLOOKUP(AL89,Constants!$A$2:$C$16,IF(AM89&lt;&gt;"", 3, 2), FALSE),IF(AM89&lt;&gt;"",CONCATENATE(",",VLOOKUP(AM89,$B:$AN,39,FALSE)),""))</f>
        <v>1,2,1</v>
      </c>
      <c r="AX89">
        <v>80</v>
      </c>
      <c r="AY89" s="14">
        <f t="shared" si="259"/>
        <v>108</v>
      </c>
      <c r="AZ89">
        <v>-15</v>
      </c>
      <c r="BA89">
        <v>-3</v>
      </c>
      <c r="BB89" s="16">
        <f t="shared" si="260"/>
        <v>5</v>
      </c>
      <c r="BC89" s="16">
        <f t="shared" si="261"/>
        <v>0</v>
      </c>
      <c r="BD89" s="16">
        <f t="shared" si="262"/>
        <v>0</v>
      </c>
      <c r="BE89" s="17">
        <f t="shared" si="263"/>
        <v>1</v>
      </c>
      <c r="BF89" s="16">
        <f t="shared" si="217"/>
        <v>2</v>
      </c>
      <c r="BG89" s="16">
        <f>VLOOKUP($H89,Constants!$I:$K, 2, FALSE)</f>
        <v>1</v>
      </c>
      <c r="BH89" s="16">
        <f>VLOOKUP($H89,Constants!$I:$K, 3, FALSE)*IF(AND(G89="multiple_unit",AB89&lt;110),0.75,1)</f>
        <v>0.45</v>
      </c>
      <c r="BI89" s="16">
        <f>INT(POWER(((Constants!$G$2+$BB89+$BC89+$BD89+$BF89)*$BE89)*$BH89, 1.05))+$BA89</f>
        <v>2</v>
      </c>
      <c r="BJ89" s="16">
        <f>INT(POWER((((Constants!$G$1+$BB89+$BC89+$BD89+$BF89)*($BE89))*$BG89),IF($G89="wagon",1,1.2)))+$AZ89</f>
        <v>7</v>
      </c>
      <c r="BK89" s="19">
        <f t="shared" si="218"/>
        <v>125</v>
      </c>
      <c r="BL89" s="19">
        <f t="shared" si="219"/>
        <v>19.11</v>
      </c>
      <c r="BU89">
        <v>1</v>
      </c>
      <c r="BV89">
        <v>225</v>
      </c>
      <c r="BX89" t="s">
        <v>77</v>
      </c>
      <c r="BY89" t="s">
        <v>283</v>
      </c>
      <c r="BZ89" s="22" t="str">
        <f>VLOOKUP(J89,Eras!$A$2:$C$10, 2, TRUE)</f>
        <v>early</v>
      </c>
      <c r="CA89" t="s">
        <v>75</v>
      </c>
      <c r="CB89" s="22" t="str">
        <f t="shared" si="264"/>
        <v>early_Open Wagon</v>
      </c>
      <c r="CC89" s="22" t="str">
        <f t="shared" si="265"/>
        <v>wagon_NARROW_GAUGE</v>
      </c>
      <c r="CD89" s="25" t="str" cm="1">
        <f t="array" ref="CD89">IF(AN89&lt;&gt;"na", _xlfn.CONCAT("{BLACK}Length: {GOLD}", TEXT(ROUNDUP(IF(AQ89&lt;&gt;"",SUM(VALUE(_xlfn.TEXTSPLIT(AQ89, ","))), SUM(VALUE(_xlfn.TEXTSPLIT(AN89, ",")))*IF(M89, M89, 1))/16, 1),"#,##0.0"), " tiles{}"), "")</f>
        <v>{BLACK}Length: {GOLD}0.3 tiles{}</v>
      </c>
      <c r="CE89" s="22" t="str">
        <f>VLOOKUP($CC89, Constants!$M:$N, 2, FALSE)</f>
        <v/>
      </c>
      <c r="CF89" s="22" t="str">
        <f t="shared" si="175"/>
        <v/>
      </c>
      <c r="CG89" t="s">
        <v>293</v>
      </c>
      <c r="CH89" t="str">
        <f t="shared" si="245"/>
        <v/>
      </c>
      <c r="CI89" t="str">
        <f>IF(BW89="buffet","{YELLOW}25% long distance bonus for consist{}",IF(BX89="DANDY","{YELLOW}Faster downhill speeds for horse-drawn trains (1 required per 2 horses){}",IF(BX89="BRAKE","{YELLOW}Speed bonus for slow wagons{}",IF(BX89="NGPassengers","{YELLOW}Preserved railway bonus: passengers pay more when hauled by old locomotives{}",IF(AND(BV89&gt;190,NOT(AND(I89="NARROW_GAUGE",BX89&lt;&gt;"PASS"))),CONCATENATE("{YELLOW}",INT((BV89-185)/1.85),"% bonus for long distance travel{}"),IF(AND(BV89&lt;180,BV89&lt;&gt;0),CONCATENATE("{YELLOW}",INT((185-BV89)/1.85),"% penalty for long distance travel{}"),""))))))</f>
        <v/>
      </c>
      <c r="CJ89" t="str">
        <f t="shared" si="246"/>
        <v>{BLACK}Length: {GOLD}0.3 tiles{}{SILVER}Like their larger counterparts, narrow gauge railways built many vans for carrying piece goods.</v>
      </c>
    </row>
    <row r="90" spans="1:88" x14ac:dyDescent="0.35">
      <c r="A90" t="s">
        <v>265</v>
      </c>
      <c r="B90" t="s">
        <v>271</v>
      </c>
      <c r="C90">
        <v>93</v>
      </c>
      <c r="E90">
        <v>3013</v>
      </c>
      <c r="F90" t="s">
        <v>486</v>
      </c>
      <c r="G90" t="s">
        <v>32</v>
      </c>
      <c r="H90" t="s">
        <v>32</v>
      </c>
      <c r="I90" t="s">
        <v>336</v>
      </c>
      <c r="J90">
        <v>1860</v>
      </c>
      <c r="W90">
        <v>3</v>
      </c>
      <c r="Y90">
        <v>4</v>
      </c>
      <c r="AA90" s="3" t="str">
        <f t="shared" si="257"/>
        <v/>
      </c>
      <c r="AB90">
        <v>35</v>
      </c>
      <c r="AC90">
        <f t="shared" si="266"/>
        <v>56</v>
      </c>
      <c r="AF90">
        <v>4.9000000000000004</v>
      </c>
      <c r="AG90">
        <v>6</v>
      </c>
      <c r="AJ90" s="9">
        <v>15</v>
      </c>
      <c r="AK90" s="14" t="str">
        <f>CONCATENATE(VLOOKUP(AL90, 'Voxel Sizes'!$A$2:$B$18,2,FALSE),"x",INT(AH90*15), "x", INT(AI90*15))</f>
        <v>66x0x0</v>
      </c>
      <c r="AL90" s="14">
        <f t="shared" si="258"/>
        <v>4</v>
      </c>
      <c r="AN90" s="14" t="str">
        <f>CONCATENATE(VLOOKUP(AL90,Constants!$A$2:$C$16,IF(AM90&lt;&gt;"", 3, 2), FALSE),IF(AM90&lt;&gt;"",CONCATENATE(",",VLOOKUP(AM90,$B:$AN,39,FALSE)),""))</f>
        <v>1,2,1</v>
      </c>
      <c r="AX90">
        <v>80</v>
      </c>
      <c r="AY90" s="14" t="str">
        <f t="shared" si="259"/>
        <v/>
      </c>
      <c r="AZ90">
        <v>-14</v>
      </c>
      <c r="BA90">
        <v>-3</v>
      </c>
      <c r="BB90" s="16">
        <f t="shared" si="260"/>
        <v>7</v>
      </c>
      <c r="BC90" s="16">
        <f t="shared" si="261"/>
        <v>0</v>
      </c>
      <c r="BD90" s="16">
        <f t="shared" si="262"/>
        <v>0</v>
      </c>
      <c r="BE90" s="17">
        <f t="shared" si="263"/>
        <v>1</v>
      </c>
      <c r="BF90" s="16">
        <f t="shared" si="217"/>
        <v>2.5</v>
      </c>
      <c r="BG90" s="16">
        <f>VLOOKUP($H90,Constants!$I:$K, 2, FALSE)</f>
        <v>1</v>
      </c>
      <c r="BH90" s="16">
        <f>VLOOKUP($H90,Constants!$I:$K, 3, FALSE)*IF(AND(G90="multiple_unit",AB90&lt;110),0.75,1)</f>
        <v>0.45</v>
      </c>
      <c r="BI90" s="16">
        <f>INT(POWER(((Constants!$G$2+$BB90+$BC90+$BD90+$BF90)*$BE90)*$BH90, 1.05))+$BA90</f>
        <v>4</v>
      </c>
      <c r="BJ90" s="16">
        <f>INT(POWER((((Constants!$G$1+$BB90+$BC90+$BD90+$BF90)*($BE90))*$BG90),IF($G90="wagon",1,1.2)))+$AZ90</f>
        <v>10</v>
      </c>
      <c r="BK90" s="19">
        <f t="shared" si="218"/>
        <v>250</v>
      </c>
      <c r="BL90" s="19">
        <f t="shared" si="219"/>
        <v>27.3</v>
      </c>
      <c r="BU90">
        <v>1</v>
      </c>
      <c r="BV90">
        <v>225</v>
      </c>
      <c r="BX90" t="s">
        <v>77</v>
      </c>
      <c r="BY90" t="s">
        <v>329</v>
      </c>
      <c r="BZ90" s="22" t="str">
        <f>VLOOKUP(J90,Eras!$A$2:$C$10, 2, TRUE)</f>
        <v>vct</v>
      </c>
      <c r="CA90" t="s">
        <v>75</v>
      </c>
      <c r="CB90" s="22" t="str">
        <f t="shared" si="264"/>
        <v>vct_Open Wagon</v>
      </c>
      <c r="CC90" s="22" t="str">
        <f t="shared" si="265"/>
        <v>wagon_NARROW_GAUGE</v>
      </c>
      <c r="CD90" s="25" t="str" cm="1">
        <f t="array" ref="CD90">IF(AN90&lt;&gt;"na", _xlfn.CONCAT("{BLACK}Length: {GOLD}", TEXT(ROUNDUP(IF(AQ90&lt;&gt;"",SUM(VALUE(_xlfn.TEXTSPLIT(AQ90, ","))), SUM(VALUE(_xlfn.TEXTSPLIT(AN90, ",")))*IF(M90, M90, 1))/16, 1),"#,##0.0"), " tiles{}"), "")</f>
        <v>{BLACK}Length: {GOLD}0.3 tiles{}</v>
      </c>
      <c r="CE90" s="22" t="str">
        <f>VLOOKUP($CC90, Constants!$M:$N, 2, FALSE)</f>
        <v/>
      </c>
      <c r="CF90" s="22" t="str">
        <f t="shared" si="175"/>
        <v/>
      </c>
      <c r="CG90" t="s">
        <v>294</v>
      </c>
      <c r="CH90" t="str">
        <f t="shared" si="245"/>
        <v/>
      </c>
      <c r="CI90" t="str">
        <f t="shared" ref="CI90:CI92" si="281">IF(BW90="buffet","{YELLOW}25% long distance bonus for consist{}",IF(BX90="DANDY","{YELLOW}Faster downhill speeds for horse-drawn trains (1 required per 2 horses){}",IF(BX90="BRAKE","{YELLOW}Speed bonus for slow wagons{}",IF(BX90="NGPassengers","{YELLOW}Preserved railway bonus: passengers pay more when hauled by old locomotives{}",IF(AND(BV90&gt;190,NOT(AND(I90="NARROW_GAUGE",BX90&lt;&gt;"PASS"))),CONCATENATE("{YELLOW}",INT((BV90-185)/1.85),"% bonus for long distance travel{}"),IF(AND(BV90&lt;180,BV90&lt;&gt;0),CONCATENATE("{YELLOW}",INT((185-BV90)/1.85),"% penalty for long distance travel{}"),""))))))</f>
        <v/>
      </c>
      <c r="CJ90" t="str">
        <f t="shared" si="246"/>
        <v>{BLACK}Length: {GOLD}0.3 tiles{}{SILVER}Gunpowder vans carried explosives to the quarries served by narrow gauge railways. This example has solid iron construction.</v>
      </c>
    </row>
    <row r="91" spans="1:88" x14ac:dyDescent="0.35">
      <c r="A91" t="s">
        <v>266</v>
      </c>
      <c r="B91" t="s">
        <v>273</v>
      </c>
      <c r="C91">
        <v>94</v>
      </c>
      <c r="E91">
        <v>3014</v>
      </c>
      <c r="F91" t="s">
        <v>486</v>
      </c>
      <c r="G91" t="s">
        <v>32</v>
      </c>
      <c r="H91" t="s">
        <v>32</v>
      </c>
      <c r="I91" t="s">
        <v>336</v>
      </c>
      <c r="J91">
        <v>1870</v>
      </c>
      <c r="W91">
        <v>2</v>
      </c>
      <c r="Y91">
        <v>4</v>
      </c>
      <c r="AA91" s="3" t="str">
        <f t="shared" si="257"/>
        <v/>
      </c>
      <c r="AB91">
        <v>35</v>
      </c>
      <c r="AC91">
        <f t="shared" si="266"/>
        <v>56</v>
      </c>
      <c r="AF91">
        <v>4.9000000000000004</v>
      </c>
      <c r="AG91">
        <v>6</v>
      </c>
      <c r="AJ91" s="9">
        <v>15</v>
      </c>
      <c r="AK91" s="14" t="str">
        <f>CONCATENATE(VLOOKUP(AL91, 'Voxel Sizes'!$A$2:$B$18,2,FALSE),"x",INT(AH91*15), "x", INT(AI91*15))</f>
        <v>66x0x0</v>
      </c>
      <c r="AL91" s="14">
        <f t="shared" si="258"/>
        <v>4</v>
      </c>
      <c r="AN91" s="14" t="str">
        <f>CONCATENATE(VLOOKUP(AL91,Constants!$A$2:$C$16,IF(AM91&lt;&gt;"", 3, 2), FALSE),IF(AM91&lt;&gt;"",CONCATENATE(",",VLOOKUP(AM91,$B:$AN,39,FALSE)),""))</f>
        <v>1,2,1</v>
      </c>
      <c r="AX91">
        <v>80</v>
      </c>
      <c r="AY91" s="14" t="str">
        <f t="shared" si="259"/>
        <v/>
      </c>
      <c r="AZ91">
        <v>-15</v>
      </c>
      <c r="BA91">
        <v>-3</v>
      </c>
      <c r="BB91" s="16">
        <f t="shared" si="260"/>
        <v>7</v>
      </c>
      <c r="BC91" s="16">
        <f t="shared" si="261"/>
        <v>0</v>
      </c>
      <c r="BD91" s="16">
        <f t="shared" si="262"/>
        <v>0</v>
      </c>
      <c r="BE91" s="17">
        <f t="shared" si="263"/>
        <v>1</v>
      </c>
      <c r="BF91" s="16">
        <f t="shared" si="217"/>
        <v>2.5</v>
      </c>
      <c r="BG91" s="16">
        <f>VLOOKUP($H91,Constants!$I:$K, 2, FALSE)</f>
        <v>1</v>
      </c>
      <c r="BH91" s="16">
        <f>VLOOKUP($H91,Constants!$I:$K, 3, FALSE)*IF(AND(G91="multiple_unit",AB91&lt;110),0.75,1)</f>
        <v>0.45</v>
      </c>
      <c r="BI91" s="16">
        <f>INT(POWER(((Constants!$G$2+$BB91+$BC91+$BD91+$BF91)*$BE91)*$BH91, 1.05))+$BA91</f>
        <v>4</v>
      </c>
      <c r="BJ91" s="16">
        <f>INT(POWER((((Constants!$G$1+$BB91+$BC91+$BD91+$BF91)*($BE91))*$BG91),IF($G91="wagon",1,1.2)))+$AZ91</f>
        <v>9</v>
      </c>
      <c r="BK91" s="19">
        <f t="shared" si="218"/>
        <v>250</v>
      </c>
      <c r="BL91" s="19">
        <f t="shared" si="219"/>
        <v>24.57</v>
      </c>
      <c r="BU91">
        <v>1</v>
      </c>
      <c r="BV91">
        <v>225</v>
      </c>
      <c r="BX91" t="s">
        <v>77</v>
      </c>
      <c r="BY91" t="s">
        <v>283</v>
      </c>
      <c r="BZ91" s="22" t="str">
        <f>VLOOKUP(J91,Eras!$A$2:$C$10, 2, TRUE)</f>
        <v>vct</v>
      </c>
      <c r="CA91" t="s">
        <v>75</v>
      </c>
      <c r="CB91" s="22" t="str">
        <f t="shared" si="264"/>
        <v>vct_Open Wagon</v>
      </c>
      <c r="CC91" s="22" t="str">
        <f t="shared" si="265"/>
        <v>wagon_NARROW_GAUGE</v>
      </c>
      <c r="CD91" s="25" t="str" cm="1">
        <f t="array" ref="CD91">IF(AN91&lt;&gt;"na", _xlfn.CONCAT("{BLACK}Length: {GOLD}", TEXT(ROUNDUP(IF(AQ91&lt;&gt;"",SUM(VALUE(_xlfn.TEXTSPLIT(AQ91, ","))), SUM(VALUE(_xlfn.TEXTSPLIT(AN91, ",")))*IF(M91, M91, 1))/16, 1),"#,##0.0"), " tiles{}"), "")</f>
        <v>{BLACK}Length: {GOLD}0.3 tiles{}</v>
      </c>
      <c r="CE91" s="22" t="str">
        <f>VLOOKUP($CC91, Constants!$M:$N, 2, FALSE)</f>
        <v/>
      </c>
      <c r="CF91" s="22" t="str">
        <f t="shared" si="175"/>
        <v/>
      </c>
      <c r="CG91" t="s">
        <v>295</v>
      </c>
      <c r="CH91" t="str">
        <f t="shared" si="245"/>
        <v/>
      </c>
      <c r="CI91" t="str">
        <f t="shared" si="281"/>
        <v/>
      </c>
      <c r="CJ91" t="str">
        <f t="shared" si="246"/>
        <v>{BLACK}Length: {GOLD}0.3 tiles{}{SILVER}Later vans used iron frames to increase their strength and enable running at faster speeds.</v>
      </c>
    </row>
    <row r="92" spans="1:88" x14ac:dyDescent="0.35">
      <c r="A92" t="s">
        <v>462</v>
      </c>
      <c r="B92" t="s">
        <v>465</v>
      </c>
      <c r="C92">
        <v>95</v>
      </c>
      <c r="E92">
        <v>3015</v>
      </c>
      <c r="F92" t="s">
        <v>486</v>
      </c>
      <c r="G92" t="s">
        <v>32</v>
      </c>
      <c r="H92" t="s">
        <v>32</v>
      </c>
      <c r="I92" t="s">
        <v>336</v>
      </c>
      <c r="J92">
        <v>1800</v>
      </c>
      <c r="L92">
        <v>1880</v>
      </c>
      <c r="W92">
        <v>1</v>
      </c>
      <c r="Y92">
        <v>3</v>
      </c>
      <c r="AA92" s="3" t="str">
        <f t="shared" ref="AA92" si="282">IF(AND(W92&gt;0,Z92&gt;0),(Z92/((W92+X92)*10)),"")</f>
        <v/>
      </c>
      <c r="AB92">
        <v>45</v>
      </c>
      <c r="AC92">
        <f t="shared" ref="AC92" si="283">ROUND(AB92*1.6, 0)</f>
        <v>72</v>
      </c>
      <c r="AF92">
        <v>4.9000000000000004</v>
      </c>
      <c r="AG92">
        <v>6</v>
      </c>
      <c r="AJ92" s="9">
        <v>0</v>
      </c>
      <c r="AK92" s="14" t="str">
        <f>CONCATENATE(VLOOKUP(AL92, 'Voxel Sizes'!$A$2:$B$18,2,FALSE),"x",INT(AH92*15), "x", INT(AI92*15))</f>
        <v>66x0x0</v>
      </c>
      <c r="AL92" s="14">
        <f t="shared" ref="AL92" si="284">ROUND(15*((AG92*10)/256),0)</f>
        <v>4</v>
      </c>
      <c r="AN92" s="14" t="str">
        <f>CONCATENATE(VLOOKUP(AL92,Constants!$A$2:$C$16,IF(AM92&lt;&gt;"", 3, 2), FALSE),IF(AM92&lt;&gt;"",CONCATENATE(",",VLOOKUP(AM92,$B:$AN,39,FALSE)),""))</f>
        <v>1,2,1</v>
      </c>
      <c r="AX92">
        <v>80</v>
      </c>
      <c r="AY92" s="14">
        <f t="shared" ref="AY92" si="285">IF(L92&lt;&gt;"",MAX(16,(L92-J92)+8),"")</f>
        <v>88</v>
      </c>
      <c r="AZ92">
        <v>-5</v>
      </c>
      <c r="BA92">
        <v>-2</v>
      </c>
      <c r="BB92" s="16">
        <f t="shared" ref="BB92" si="286">MIN(AB92/150, 1)*30</f>
        <v>9</v>
      </c>
      <c r="BC92" s="16">
        <f t="shared" ref="BC92" si="287">MIN(N92/4000, 1)*20</f>
        <v>0</v>
      </c>
      <c r="BD92" s="16">
        <f t="shared" ref="BD92" si="288">MIN(Z92/400,1)*20</f>
        <v>0</v>
      </c>
      <c r="BE92" s="17">
        <f t="shared" ref="BE92" si="289">1-(MAX(J92-1900, 0)/750)</f>
        <v>1</v>
      </c>
      <c r="BF92" s="16">
        <f t="shared" si="217"/>
        <v>0</v>
      </c>
      <c r="BG92" s="16">
        <f>VLOOKUP($H92,Constants!$I:$K, 2, FALSE)</f>
        <v>1</v>
      </c>
      <c r="BH92" s="16">
        <f>VLOOKUP($H92,Constants!$I:$K, 3, FALSE)*IF(AND(G92="multiple_unit",AB92&lt;110),0.75,1)</f>
        <v>0.45</v>
      </c>
      <c r="BI92" s="16">
        <f>INT(POWER(((Constants!$G$2+$BB92+$BC92+$BD92+$BF92)*$BE92)*$BH92, 1.05))+$BA92</f>
        <v>4</v>
      </c>
      <c r="BJ92" s="16">
        <f>INT(POWER((((Constants!$G$1+$BB92+$BC92+$BD92+$BF92)*($BE92))*$BG92),IF($G92="wagon",1,1.2)))+$AZ92</f>
        <v>19</v>
      </c>
      <c r="BK92" s="19">
        <f t="shared" si="218"/>
        <v>250</v>
      </c>
      <c r="BL92" s="19">
        <f t="shared" si="219"/>
        <v>51.87</v>
      </c>
      <c r="BU92">
        <v>1</v>
      </c>
      <c r="BX92" t="s">
        <v>466</v>
      </c>
      <c r="BY92" t="s">
        <v>463</v>
      </c>
      <c r="BZ92" s="22" t="str">
        <f>VLOOKUP(J92,Eras!$A$2:$C$10, 2, TRUE)</f>
        <v>early</v>
      </c>
      <c r="CA92" t="s">
        <v>75</v>
      </c>
      <c r="CB92" s="22" t="str">
        <f t="shared" ref="CB92" si="290">CONCATENATE(BZ92,"_",CA92)</f>
        <v>early_Open Wagon</v>
      </c>
      <c r="CC92" s="22" t="str">
        <f t="shared" ref="CC92" si="291">_xlfn.CONCAT(H92, "_",I92)</f>
        <v>wagon_NARROW_GAUGE</v>
      </c>
      <c r="CD92" s="25" t="str" cm="1">
        <f t="array" ref="CD92">IF(AN92&lt;&gt;"na", _xlfn.CONCAT("{BLACK}Length: {GOLD}", TEXT(ROUNDUP(IF(AQ92&lt;&gt;"",SUM(VALUE(_xlfn.TEXTSPLIT(AQ92, ","))), SUM(VALUE(_xlfn.TEXTSPLIT(AN92, ",")))*IF(M92, M92, 1))/16, 1),"#,##0.0"), " tiles{}"), "")</f>
        <v>{BLACK}Length: {GOLD}0.3 tiles{}</v>
      </c>
      <c r="CE92" s="22" t="str">
        <f>VLOOKUP($CC92, Constants!$M:$N, 2, FALSE)</f>
        <v/>
      </c>
      <c r="CF92" s="22" t="str">
        <f t="shared" si="175"/>
        <v/>
      </c>
      <c r="CG92" t="s">
        <v>464</v>
      </c>
      <c r="CH92" t="str">
        <f t="shared" si="245"/>
        <v/>
      </c>
      <c r="CI92" t="str">
        <f t="shared" si="281"/>
        <v/>
      </c>
      <c r="CJ92" t="str">
        <f t="shared" si="246"/>
        <v>{BLACK}Length: {GOLD}0.3 tiles{}{SILVER}Early gravity railways sent cargo downhill with horses riding in dandy wagons. At the bottom the horses would be unloaded and used to haul the empty train back up the hill.</v>
      </c>
    </row>
  </sheetData>
  <autoFilter ref="A1:CG13" xr:uid="{CF2E8555-48EE-4386-A1B1-369F6A2E644F}"/>
  <phoneticPr fontId="2" type="noConversion"/>
  <conditionalFormatting sqref="C1:C1048576">
    <cfRule type="duplicateValues" dxfId="2" priority="1"/>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CA1 CA93:CA1048576 CA49 CA12:CA23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5" x14ac:dyDescent="0.35"/>
  <cols>
    <col min="2" max="2" width="29" bestFit="1" customWidth="1"/>
    <col min="3" max="4" width="17.26953125" customWidth="1"/>
    <col min="5" max="5" width="6.54296875" bestFit="1" customWidth="1"/>
    <col min="8" max="8" width="12" bestFit="1" customWidth="1"/>
    <col min="9" max="9" width="16.1796875" bestFit="1" customWidth="1"/>
    <col min="10" max="10" width="16.1796875" customWidth="1"/>
    <col min="11" max="11" width="13.26953125" bestFit="1" customWidth="1"/>
    <col min="13" max="13" width="14" bestFit="1" customWidth="1"/>
    <col min="15" max="15" width="13.7265625" bestFit="1" customWidth="1"/>
    <col min="16" max="16" width="3.1796875" bestFit="1" customWidth="1"/>
    <col min="18" max="18" width="12.54296875" bestFit="1" customWidth="1"/>
    <col min="19" max="19" width="12.453125" bestFit="1" customWidth="1"/>
    <col min="20" max="20" width="10.81640625" bestFit="1" customWidth="1"/>
    <col min="21" max="21" width="4.453125" bestFit="1" customWidth="1"/>
    <col min="22" max="22" width="7" bestFit="1" customWidth="1"/>
  </cols>
  <sheetData>
    <row r="1" spans="1:23" x14ac:dyDescent="0.3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5">
      <c r="A2" s="1" t="s">
        <v>59</v>
      </c>
      <c r="B2" s="1" t="s">
        <v>60</v>
      </c>
    </row>
    <row r="3" spans="1:23" x14ac:dyDescent="0.35">
      <c r="A3" t="s">
        <v>52</v>
      </c>
      <c r="B3" t="str">
        <f>VLOOKUP(A3, Eras!$B$2:$C$10, 2, FALSE)</f>
        <v>Early (1800-1850)</v>
      </c>
      <c r="C3">
        <f>COUNTIF(Table!$CB:$CB,CONCATENATE($A3,"_",C$1))</f>
        <v>0</v>
      </c>
      <c r="D3">
        <f>COUNTIF(Table!$CB:$CB,CONCATENATE($A3,"_",D$1))</f>
        <v>2</v>
      </c>
      <c r="E3">
        <f>COUNTIF(Table!$CB:$CB,CONCATENATE($A3,"_",E$1))</f>
        <v>1</v>
      </c>
      <c r="F3">
        <f>COUNTIF(Table!$CB:$CB,CONCATENATE($A3,"_",F$1))</f>
        <v>4</v>
      </c>
      <c r="G3">
        <f>COUNTIF(Table!$CB:$CB,CONCATENATE($A3,"_",G$1))</f>
        <v>0</v>
      </c>
      <c r="H3">
        <f>COUNTIF(Table!$CB:$CB,CONCATENATE($A3,"_",H$1))</f>
        <v>0</v>
      </c>
      <c r="I3">
        <f>COUNTIF(Table!$CB:$CB,CONCATENATE($A3,"_",I$1))</f>
        <v>0</v>
      </c>
      <c r="J3">
        <f>COUNTIF(Table!$CB:$CB,CONCATENATE($A3,"_",J$1))</f>
        <v>0</v>
      </c>
      <c r="K3">
        <f>COUNTIF(Table!$CB:$CB,CONCATENATE($A3,"_",K$1))</f>
        <v>0</v>
      </c>
      <c r="L3">
        <f>COUNTIF(Table!$CB:$CB,CONCATENATE($A3,"_",L$1))</f>
        <v>0</v>
      </c>
      <c r="M3">
        <f>COUNTIF(Table!$CB:$CB,CONCATENATE($A3,"_",M$1))</f>
        <v>0</v>
      </c>
      <c r="N3">
        <f>COUNTIF(Table!$CB:$CB,CONCATENATE($A3,"_",N$1))</f>
        <v>0</v>
      </c>
      <c r="O3">
        <f>COUNTIF(Table!$CB:$CB,CONCATENATE($A3,"_",O$1))</f>
        <v>0</v>
      </c>
      <c r="P3">
        <f>COUNTIF(Table!$CB:$CB,CONCATENATE($A3,"_",P$1))</f>
        <v>0</v>
      </c>
      <c r="Q3">
        <f>COUNTIF(Table!$CB:$CB,CONCATENATE($A3,"_",Q$1))</f>
        <v>0</v>
      </c>
      <c r="R3">
        <f>COUNTIF(Table!$CB:$CB,CONCATENATE($A3,"_",R$1))</f>
        <v>0</v>
      </c>
      <c r="S3">
        <f>COUNTIF(Table!$CB:$CB,CONCATENATE($A3,"_",S$1))</f>
        <v>5</v>
      </c>
      <c r="T3">
        <f>COUNTIF(Table!$CB:$CB,CONCATENATE($A3,"_",T$1))</f>
        <v>0</v>
      </c>
      <c r="U3">
        <f>COUNTIF(Table!$CB:$CB,CONCATENATE($A3,"_",U$1))</f>
        <v>0</v>
      </c>
      <c r="V3">
        <f>COUNTIF(Table!$CB:$CB,CONCATENATE($A3,"_",V$1))</f>
        <v>0</v>
      </c>
      <c r="W3">
        <f>COUNTIF(Table!$CB:$CB,CONCATENATE($A3,"_",W$1))</f>
        <v>1</v>
      </c>
    </row>
    <row r="4" spans="1:23" x14ac:dyDescent="0.35">
      <c r="A4" t="s">
        <v>94</v>
      </c>
      <c r="B4" t="str">
        <f>VLOOKUP(A4, Eras!$B$2:$C$10, 2, FALSE)</f>
        <v>Victorian (1850-1900)</v>
      </c>
      <c r="C4">
        <f>COUNTIF(Table!$CB:$CB,CONCATENATE($A4,"_",C$1))</f>
        <v>0</v>
      </c>
      <c r="D4">
        <f>COUNTIF(Table!$CB:$CB,CONCATENATE($A4,"_",D$1))</f>
        <v>6</v>
      </c>
      <c r="E4">
        <f>COUNTIF(Table!$CB:$CB,CONCATENATE($A4,"_",E$1))</f>
        <v>5</v>
      </c>
      <c r="F4">
        <f>COUNTIF(Table!$CB:$CB,CONCATENATE($A4,"_",F$1))</f>
        <v>4</v>
      </c>
      <c r="G4">
        <f>COUNTIF(Table!$CB:$CB,CONCATENATE($A4,"_",G$1))</f>
        <v>0</v>
      </c>
      <c r="H4">
        <f>COUNTIF(Table!$CB:$CB,CONCATENATE($A4,"_",H$1))</f>
        <v>0</v>
      </c>
      <c r="I4">
        <f>COUNTIF(Table!$CB:$CB,CONCATENATE($A4,"_",I$1))</f>
        <v>0</v>
      </c>
      <c r="J4">
        <f>COUNTIF(Table!$CB:$CB,CONCATENATE($A4,"_",J$1))</f>
        <v>0</v>
      </c>
      <c r="K4">
        <f>COUNTIF(Table!$CB:$CB,CONCATENATE($A4,"_",K$1))</f>
        <v>0</v>
      </c>
      <c r="L4">
        <f>COUNTIF(Table!$CB:$CB,CONCATENATE($A4,"_",L$1))</f>
        <v>0</v>
      </c>
      <c r="M4">
        <f>COUNTIF(Table!$CB:$CB,CONCATENATE($A4,"_",M$1))</f>
        <v>0</v>
      </c>
      <c r="N4">
        <f>COUNTIF(Table!$CB:$CB,CONCATENATE($A4,"_",N$1))</f>
        <v>1</v>
      </c>
      <c r="O4">
        <f>COUNTIF(Table!$CB:$CB,CONCATENATE($A4,"_",O$1))</f>
        <v>0</v>
      </c>
      <c r="P4">
        <f>COUNTIF(Table!$CB:$CB,CONCATENATE($A4,"_",P$1))</f>
        <v>1</v>
      </c>
      <c r="Q4">
        <f>COUNTIF(Table!$CB:$CB,CONCATENATE($A4,"_",Q$1))</f>
        <v>0</v>
      </c>
      <c r="R4">
        <f>COUNTIF(Table!$CB:$CB,CONCATENATE($A4,"_",R$1))</f>
        <v>0</v>
      </c>
      <c r="S4">
        <f>COUNTIF(Table!$CB:$CB,CONCATENATE($A4,"_",S$1))</f>
        <v>9</v>
      </c>
      <c r="T4">
        <f>COUNTIF(Table!$CB:$CB,CONCATENATE($A4,"_",T$1))</f>
        <v>0</v>
      </c>
      <c r="U4">
        <f>COUNTIF(Table!$CB:$CB,CONCATENATE($A4,"_",U$1))</f>
        <v>0</v>
      </c>
      <c r="V4">
        <f>COUNTIF(Table!$CB:$CB,CONCATENATE($A4,"_",V$1))</f>
        <v>0</v>
      </c>
      <c r="W4">
        <f>COUNTIF(Table!$CB:$CB,CONCATENATE($A4,"_",W$1))</f>
        <v>0</v>
      </c>
    </row>
    <row r="5" spans="1:23" x14ac:dyDescent="0.35">
      <c r="A5" t="s">
        <v>53</v>
      </c>
      <c r="B5" t="str">
        <f>VLOOKUP(A5, Eras!$B$2:$C$10, 2, FALSE)</f>
        <v>Edwardian (1900-1920)</v>
      </c>
      <c r="C5">
        <f>COUNTIF(Table!$CB:$CB,CONCATENATE($A5,"_",C$1))</f>
        <v>0</v>
      </c>
      <c r="D5">
        <f>COUNTIF(Table!$CB:$CB,CONCATENATE($A5,"_",D$1))</f>
        <v>1</v>
      </c>
      <c r="E5">
        <f>COUNTIF(Table!$CB:$CB,CONCATENATE($A5,"_",E$1))</f>
        <v>3</v>
      </c>
      <c r="F5">
        <f>COUNTIF(Table!$CB:$CB,CONCATENATE($A5,"_",F$1))</f>
        <v>6</v>
      </c>
      <c r="G5">
        <f>COUNTIF(Table!$CB:$CB,CONCATENATE($A5,"_",G$1))</f>
        <v>0</v>
      </c>
      <c r="H5">
        <f>COUNTIF(Table!$CB:$CB,CONCATENATE($A5,"_",H$1))</f>
        <v>0</v>
      </c>
      <c r="I5">
        <f>COUNTIF(Table!$CB:$CB,CONCATENATE($A5,"_",I$1))</f>
        <v>0</v>
      </c>
      <c r="J5">
        <f>COUNTIF(Table!$CB:$CB,CONCATENATE($A5,"_",J$1))</f>
        <v>0</v>
      </c>
      <c r="K5">
        <f>COUNTIF(Table!$CB:$CB,CONCATENATE($A5,"_",K$1))</f>
        <v>0</v>
      </c>
      <c r="L5">
        <f>COUNTIF(Table!$CB:$CB,CONCATENATE($A5,"_",L$1))</f>
        <v>0</v>
      </c>
      <c r="M5">
        <f>COUNTIF(Table!$CB:$CB,CONCATENATE($A5,"_",M$1))</f>
        <v>0</v>
      </c>
      <c r="N5">
        <f>COUNTIF(Table!$CB:$CB,CONCATENATE($A5,"_",N$1))</f>
        <v>0</v>
      </c>
      <c r="O5">
        <f>COUNTIF(Table!$CB:$CB,CONCATENATE($A5,"_",O$1))</f>
        <v>0</v>
      </c>
      <c r="P5">
        <f>COUNTIF(Table!$CB:$CB,CONCATENATE($A5,"_",P$1))</f>
        <v>0</v>
      </c>
      <c r="Q5">
        <f>COUNTIF(Table!$CB:$CB,CONCATENATE($A5,"_",Q$1))</f>
        <v>1</v>
      </c>
      <c r="R5">
        <f>COUNTIF(Table!$CB:$CB,CONCATENATE($A5,"_",R$1))</f>
        <v>0</v>
      </c>
      <c r="S5">
        <f>COUNTIF(Table!$CB:$CB,CONCATENATE($A5,"_",S$1))</f>
        <v>2</v>
      </c>
      <c r="T5">
        <f>COUNTIF(Table!$CB:$CB,CONCATENATE($A5,"_",T$1))</f>
        <v>0</v>
      </c>
      <c r="U5">
        <f>COUNTIF(Table!$CB:$CB,CONCATENATE($A5,"_",U$1))</f>
        <v>0</v>
      </c>
      <c r="V5">
        <f>COUNTIF(Table!$CB:$CB,CONCATENATE($A5,"_",V$1))</f>
        <v>0</v>
      </c>
      <c r="W5">
        <f>COUNTIF(Table!$CB:$CB,CONCATENATE($A5,"_",W$1))</f>
        <v>0</v>
      </c>
    </row>
    <row r="6" spans="1:23" x14ac:dyDescent="0.35">
      <c r="A6" t="s">
        <v>54</v>
      </c>
      <c r="B6" t="str">
        <f>VLOOKUP(A6, Eras!$B$2:$C$10, 2, FALSE)</f>
        <v>Big Four (1923-1948)</v>
      </c>
      <c r="C6">
        <f>COUNTIF(Table!$CB:$CB,CONCATENATE($A6,"_",C$1))</f>
        <v>0</v>
      </c>
      <c r="D6">
        <f>COUNTIF(Table!$CB:$CB,CONCATENATE($A6,"_",D$1))</f>
        <v>1</v>
      </c>
      <c r="E6">
        <f>COUNTIF(Table!$CB:$CB,CONCATENATE($A6,"_",E$1))</f>
        <v>3</v>
      </c>
      <c r="F6">
        <f>COUNTIF(Table!$CB:$CB,CONCATENATE($A6,"_",F$1))</f>
        <v>0</v>
      </c>
      <c r="G6">
        <f>COUNTIF(Table!$CB:$CB,CONCATENATE($A6,"_",G$1))</f>
        <v>2</v>
      </c>
      <c r="H6">
        <f>COUNTIF(Table!$CB:$CB,CONCATENATE($A6,"_",H$1))</f>
        <v>0</v>
      </c>
      <c r="I6">
        <f>COUNTIF(Table!$CB:$CB,CONCATENATE($A6,"_",I$1))</f>
        <v>0</v>
      </c>
      <c r="J6">
        <f>COUNTIF(Table!$CB:$CB,CONCATENATE($A6,"_",J$1))</f>
        <v>0</v>
      </c>
      <c r="K6">
        <f>COUNTIF(Table!$CB:$CB,CONCATENATE($A6,"_",K$1))</f>
        <v>0</v>
      </c>
      <c r="L6">
        <f>COUNTIF(Table!$CB:$CB,CONCATENATE($A6,"_",L$1))</f>
        <v>0</v>
      </c>
      <c r="M6">
        <f>COUNTIF(Table!$CB:$CB,CONCATENATE($A6,"_",M$1))</f>
        <v>0</v>
      </c>
      <c r="N6">
        <f>COUNTIF(Table!$CB:$CB,CONCATENATE($A6,"_",N$1))</f>
        <v>0</v>
      </c>
      <c r="O6">
        <f>COUNTIF(Table!$CB:$CB,CONCATENATE($A6,"_",O$1))</f>
        <v>0</v>
      </c>
      <c r="P6">
        <f>COUNTIF(Table!$CB:$CB,CONCATENATE($A6,"_",P$1))</f>
        <v>0</v>
      </c>
      <c r="Q6">
        <f>COUNTIF(Table!$CB:$CB,CONCATENATE($A6,"_",Q$1))</f>
        <v>0</v>
      </c>
      <c r="R6">
        <f>COUNTIF(Table!$CB:$CB,CONCATENATE($A6,"_",R$1))</f>
        <v>0</v>
      </c>
      <c r="S6">
        <f>COUNTIF(Table!$CB:$CB,CONCATENATE($A6,"_",S$1))</f>
        <v>0</v>
      </c>
      <c r="T6">
        <f>COUNTIF(Table!$CB:$CB,CONCATENATE($A6,"_",T$1))</f>
        <v>0</v>
      </c>
      <c r="U6">
        <f>COUNTIF(Table!$CB:$CB,CONCATENATE($A6,"_",U$1))</f>
        <v>0</v>
      </c>
      <c r="V6">
        <f>COUNTIF(Table!$CB:$CB,CONCATENATE($A6,"_",V$1))</f>
        <v>0</v>
      </c>
      <c r="W6">
        <f>COUNTIF(Table!$CB:$CB,CONCATENATE($A6,"_",W$1))</f>
        <v>0</v>
      </c>
    </row>
    <row r="7" spans="1:23" x14ac:dyDescent="0.35">
      <c r="A7" t="s">
        <v>105</v>
      </c>
      <c r="B7" t="str">
        <f>VLOOKUP(A7, Eras!$B$2:$C$10, 2, FALSE)</f>
        <v>Early BR (1948-1955)</v>
      </c>
      <c r="C7">
        <f>COUNTIF(Table!$CB:$CB,CONCATENATE($A7,"_",C$1))</f>
        <v>0</v>
      </c>
      <c r="D7">
        <f>COUNTIF(Table!$CB:$CB,CONCATENATE($A7,"_",D$1))</f>
        <v>0</v>
      </c>
      <c r="E7">
        <f>COUNTIF(Table!$CB:$CB,CONCATENATE($A7,"_",E$1))</f>
        <v>2</v>
      </c>
      <c r="F7">
        <f>COUNTIF(Table!$CB:$CB,CONCATENATE($A7,"_",F$1))</f>
        <v>0</v>
      </c>
      <c r="G7">
        <f>COUNTIF(Table!$CB:$CB,CONCATENATE($A7,"_",G$1))</f>
        <v>1</v>
      </c>
      <c r="H7">
        <f>COUNTIF(Table!$CB:$CB,CONCATENATE($A7,"_",H$1))</f>
        <v>0</v>
      </c>
      <c r="I7">
        <f>COUNTIF(Table!$CB:$CB,CONCATENATE($A7,"_",I$1))</f>
        <v>0</v>
      </c>
      <c r="J7">
        <f>COUNTIF(Table!$CB:$CB,CONCATENATE($A7,"_",J$1))</f>
        <v>0</v>
      </c>
      <c r="K7">
        <f>COUNTIF(Table!$CB:$CB,CONCATENATE($A7,"_",K$1))</f>
        <v>0</v>
      </c>
      <c r="L7">
        <f>COUNTIF(Table!$CB:$CB,CONCATENATE($A7,"_",L$1))</f>
        <v>1</v>
      </c>
      <c r="M7">
        <f>COUNTIF(Table!$CB:$CB,CONCATENATE($A7,"_",M$1))</f>
        <v>0</v>
      </c>
      <c r="N7">
        <f>COUNTIF(Table!$CB:$CB,CONCATENATE($A7,"_",N$1))</f>
        <v>0</v>
      </c>
      <c r="O7">
        <f>COUNTIF(Table!$CB:$CB,CONCATENATE($A7,"_",O$1))</f>
        <v>0</v>
      </c>
      <c r="P7">
        <f>COUNTIF(Table!$CB:$CB,CONCATENATE($A7,"_",P$1))</f>
        <v>0</v>
      </c>
      <c r="Q7">
        <f>COUNTIF(Table!$CB:$CB,CONCATENATE($A7,"_",Q$1))</f>
        <v>1</v>
      </c>
      <c r="R7">
        <f>COUNTIF(Table!$CB:$CB,CONCATENATE($A7,"_",R$1))</f>
        <v>0</v>
      </c>
      <c r="S7">
        <f>COUNTIF(Table!$CB:$CB,CONCATENATE($A7,"_",S$1))</f>
        <v>0</v>
      </c>
      <c r="T7">
        <f>COUNTIF(Table!$CB:$CB,CONCATENATE($A7,"_",T$1))</f>
        <v>0</v>
      </c>
      <c r="U7">
        <f>COUNTIF(Table!$CB:$CB,CONCATENATE($A7,"_",U$1))</f>
        <v>0</v>
      </c>
      <c r="V7">
        <f>COUNTIF(Table!$CB:$CB,CONCATENATE($A7,"_",V$1))</f>
        <v>0</v>
      </c>
      <c r="W7">
        <f>COUNTIF(Table!$CB:$CB,CONCATENATE($A7,"_",W$1))</f>
        <v>0</v>
      </c>
    </row>
    <row r="8" spans="1:23" x14ac:dyDescent="0.35">
      <c r="A8" t="s">
        <v>55</v>
      </c>
      <c r="B8" t="str">
        <f>VLOOKUP(A8, Eras!$B$2:$C$10, 2, FALSE)</f>
        <v>Dieselisation (1955-1970)</v>
      </c>
      <c r="C8">
        <f>COUNTIF(Table!$CB:$CB,CONCATENATE($A8,"_",C$1))</f>
        <v>0</v>
      </c>
      <c r="D8">
        <f>COUNTIF(Table!$CB:$CB,CONCATENATE($A8,"_",D$1))</f>
        <v>0</v>
      </c>
      <c r="E8">
        <f>COUNTIF(Table!$CB:$CB,CONCATENATE($A8,"_",E$1))</f>
        <v>1</v>
      </c>
      <c r="F8">
        <f>COUNTIF(Table!$CB:$CB,CONCATENATE($A8,"_",F$1))</f>
        <v>0</v>
      </c>
      <c r="G8">
        <f>COUNTIF(Table!$CB:$CB,CONCATENATE($A8,"_",G$1))</f>
        <v>2</v>
      </c>
      <c r="H8">
        <f>COUNTIF(Table!$CB:$CB,CONCATENATE($A8,"_",H$1))</f>
        <v>0</v>
      </c>
      <c r="I8">
        <f>COUNTIF(Table!$CB:$CB,CONCATENATE($A8,"_",I$1))</f>
        <v>0</v>
      </c>
      <c r="J8">
        <f>COUNTIF(Table!$CB:$CB,CONCATENATE($A8,"_",J$1))</f>
        <v>0</v>
      </c>
      <c r="K8">
        <f>COUNTIF(Table!$CB:$CB,CONCATENATE($A8,"_",K$1))</f>
        <v>0</v>
      </c>
      <c r="L8">
        <f>COUNTIF(Table!$CB:$CB,CONCATENATE($A8,"_",L$1))</f>
        <v>4</v>
      </c>
      <c r="M8">
        <f>COUNTIF(Table!$CB:$CB,CONCATENATE($A8,"_",M$1))</f>
        <v>0</v>
      </c>
      <c r="N8">
        <f>COUNTIF(Table!$CB:$CB,CONCATENATE($A8,"_",N$1))</f>
        <v>0</v>
      </c>
      <c r="O8">
        <f>COUNTIF(Table!$CB:$CB,CONCATENATE($A8,"_",O$1))</f>
        <v>0</v>
      </c>
      <c r="P8">
        <f>COUNTIF(Table!$CB:$CB,CONCATENATE($A8,"_",P$1))</f>
        <v>0</v>
      </c>
      <c r="Q8">
        <f>COUNTIF(Table!$CB:$CB,CONCATENATE($A8,"_",Q$1))</f>
        <v>1</v>
      </c>
      <c r="R8">
        <f>COUNTIF(Table!$CB:$CB,CONCATENATE($A8,"_",R$1))</f>
        <v>0</v>
      </c>
      <c r="S8">
        <f>COUNTIF(Table!$CB:$CB,CONCATENATE($A8,"_",S$1))</f>
        <v>0</v>
      </c>
      <c r="T8">
        <f>COUNTIF(Table!$CB:$CB,CONCATENATE($A8,"_",T$1))</f>
        <v>0</v>
      </c>
      <c r="U8">
        <f>COUNTIF(Table!$CB:$CB,CONCATENATE($A8,"_",U$1))</f>
        <v>0</v>
      </c>
      <c r="V8">
        <f>COUNTIF(Table!$CB:$CB,CONCATENATE($A8,"_",V$1))</f>
        <v>0</v>
      </c>
      <c r="W8">
        <f>COUNTIF(Table!$CB:$CB,CONCATENATE($A8,"_",W$1))</f>
        <v>1</v>
      </c>
    </row>
    <row r="9" spans="1:23" x14ac:dyDescent="0.35">
      <c r="A9" t="s">
        <v>106</v>
      </c>
      <c r="B9" t="str">
        <f>VLOOKUP(A9, Eras!$B$2:$C$10, 2, FALSE)</f>
        <v>Late BR (1970-1995)</v>
      </c>
      <c r="C9">
        <f>COUNTIF(Table!$CB:$CB,CONCATENATE($A9,"_",C$1))</f>
        <v>0</v>
      </c>
      <c r="D9">
        <f>COUNTIF(Table!$CB:$CB,CONCATENATE($A9,"_",D$1))</f>
        <v>0</v>
      </c>
      <c r="E9">
        <f>COUNTIF(Table!$CB:$CB,CONCATENATE($A9,"_",E$1))</f>
        <v>1</v>
      </c>
      <c r="F9">
        <f>COUNTIF(Table!$CB:$CB,CONCATENATE($A9,"_",F$1))</f>
        <v>0</v>
      </c>
      <c r="G9">
        <f>COUNTIF(Table!$CB:$CB,CONCATENATE($A9,"_",G$1))</f>
        <v>0</v>
      </c>
      <c r="H9">
        <f>COUNTIF(Table!$CB:$CB,CONCATENATE($A9,"_",H$1))</f>
        <v>0</v>
      </c>
      <c r="I9">
        <f>COUNTIF(Table!$CB:$CB,CONCATENATE($A9,"_",I$1))</f>
        <v>1</v>
      </c>
      <c r="J9">
        <f>COUNTIF(Table!$CB:$CB,CONCATENATE($A9,"_",J$1))</f>
        <v>0</v>
      </c>
      <c r="K9">
        <f>COUNTIF(Table!$CB:$CB,CONCATENATE($A9,"_",K$1))</f>
        <v>0</v>
      </c>
      <c r="L9">
        <f>COUNTIF(Table!$CB:$CB,CONCATENATE($A9,"_",L$1))</f>
        <v>0</v>
      </c>
      <c r="M9">
        <f>COUNTIF(Table!$CB:$CB,CONCATENATE($A9,"_",M$1))</f>
        <v>0</v>
      </c>
      <c r="N9">
        <f>COUNTIF(Table!$CB:$CB,CONCATENATE($A9,"_",N$1))</f>
        <v>0</v>
      </c>
      <c r="O9">
        <f>COUNTIF(Table!$CB:$CB,CONCATENATE($A9,"_",O$1))</f>
        <v>0</v>
      </c>
      <c r="P9">
        <f>COUNTIF(Table!$CB:$CB,CONCATENATE($A9,"_",P$1))</f>
        <v>1</v>
      </c>
      <c r="Q9">
        <f>COUNTIF(Table!$CB:$CB,CONCATENATE($A9,"_",Q$1))</f>
        <v>6</v>
      </c>
      <c r="R9">
        <f>COUNTIF(Table!$CB:$CB,CONCATENATE($A9,"_",R$1))</f>
        <v>0</v>
      </c>
      <c r="S9">
        <f>COUNTIF(Table!$CB:$CB,CONCATENATE($A9,"_",S$1))</f>
        <v>0</v>
      </c>
      <c r="T9">
        <f>COUNTIF(Table!$CB:$CB,CONCATENATE($A9,"_",T$1))</f>
        <v>0</v>
      </c>
      <c r="U9">
        <f>COUNTIF(Table!$CB:$CB,CONCATENATE($A9,"_",U$1))</f>
        <v>0</v>
      </c>
      <c r="V9">
        <f>COUNTIF(Table!$CB:$CB,CONCATENATE($A9,"_",V$1))</f>
        <v>0</v>
      </c>
      <c r="W9">
        <f>COUNTIF(Table!$CB:$CB,CONCATENATE($A9,"_",W$1))</f>
        <v>0</v>
      </c>
    </row>
    <row r="10" spans="1:23" x14ac:dyDescent="0.35">
      <c r="A10" t="s">
        <v>56</v>
      </c>
      <c r="B10" t="str">
        <f>VLOOKUP(A10, Eras!$B$2:$C$10, 2, FALSE)</f>
        <v>Privatisation (1995-2005)</v>
      </c>
      <c r="C10">
        <f>COUNTIF(Table!$CB:$CB,CONCATENATE($A10,"_",C$1))</f>
        <v>0</v>
      </c>
      <c r="D10">
        <f>COUNTIF(Table!$CB:$CB,CONCATENATE($A10,"_",D$1))</f>
        <v>0</v>
      </c>
      <c r="E10">
        <f>COUNTIF(Table!$CB:$CB,CONCATENATE($A10,"_",E$1))</f>
        <v>0</v>
      </c>
      <c r="F10">
        <f>COUNTIF(Table!$CB:$CB,CONCATENATE($A10,"_",F$1))</f>
        <v>0</v>
      </c>
      <c r="G10">
        <f>COUNTIF(Table!$CB:$CB,CONCATENATE($A10,"_",G$1))</f>
        <v>0</v>
      </c>
      <c r="H10">
        <f>COUNTIF(Table!$CB:$CB,CONCATENATE($A10,"_",H$1))</f>
        <v>0</v>
      </c>
      <c r="I10">
        <f>COUNTIF(Table!$CB:$CB,CONCATENATE($A10,"_",I$1))</f>
        <v>0</v>
      </c>
      <c r="J10">
        <f>COUNTIF(Table!$CB:$CB,CONCATENATE($A10,"_",J$1))</f>
        <v>0</v>
      </c>
      <c r="K10">
        <f>COUNTIF(Table!$CB:$CB,CONCATENATE($A10,"_",K$1))</f>
        <v>0</v>
      </c>
      <c r="L10">
        <f>COUNTIF(Table!$CB:$CB,CONCATENATE($A10,"_",L$1))</f>
        <v>0</v>
      </c>
      <c r="M10">
        <f>COUNTIF(Table!$CB:$CB,CONCATENATE($A10,"_",M$1))</f>
        <v>0</v>
      </c>
      <c r="N10">
        <f>COUNTIF(Table!$CB:$CB,CONCATENATE($A10,"_",N$1))</f>
        <v>0</v>
      </c>
      <c r="O10">
        <f>COUNTIF(Table!$CB:$CB,CONCATENATE($A10,"_",O$1))</f>
        <v>0</v>
      </c>
      <c r="P10">
        <f>COUNTIF(Table!$CB:$CB,CONCATENATE($A10,"_",P$1))</f>
        <v>0</v>
      </c>
      <c r="Q10">
        <f>COUNTIF(Table!$CB:$CB,CONCATENATE($A10,"_",Q$1))</f>
        <v>0</v>
      </c>
      <c r="R10">
        <f>COUNTIF(Table!$CB:$CB,CONCATENATE($A10,"_",R$1))</f>
        <v>0</v>
      </c>
      <c r="S10">
        <f>COUNTIF(Table!$CB:$CB,CONCATENATE($A10,"_",S$1))</f>
        <v>0</v>
      </c>
      <c r="T10">
        <f>COUNTIF(Table!$CB:$CB,CONCATENATE($A10,"_",T$1))</f>
        <v>0</v>
      </c>
      <c r="U10">
        <f>COUNTIF(Table!$CB:$CB,CONCATENATE($A10,"_",U$1))</f>
        <v>0</v>
      </c>
      <c r="V10">
        <f>COUNTIF(Table!$CB:$CB,CONCATENATE($A10,"_",V$1))</f>
        <v>0</v>
      </c>
      <c r="W10">
        <f>COUNTIF(Table!$CB:$CB,CONCATENATE($A10,"_",W$1))</f>
        <v>0</v>
      </c>
    </row>
    <row r="11" spans="1:23" x14ac:dyDescent="0.35">
      <c r="A11" t="s">
        <v>57</v>
      </c>
      <c r="B11" t="str">
        <f>VLOOKUP(A11, Eras!$B$2:$C$10, 2, FALSE)</f>
        <v>Modern (2005-)</v>
      </c>
      <c r="C11">
        <f>COUNTIF(Table!$CB:$CB,CONCATENATE($A11,"_",C$1))</f>
        <v>0</v>
      </c>
      <c r="D11">
        <f>COUNTIF(Table!$CB:$CB,CONCATENATE($A11,"_",D$1))</f>
        <v>0</v>
      </c>
      <c r="E11">
        <f>COUNTIF(Table!$CB:$CB,CONCATENATE($A11,"_",E$1))</f>
        <v>0</v>
      </c>
      <c r="F11">
        <f>COUNTIF(Table!$CB:$CB,CONCATENATE($A11,"_",F$1))</f>
        <v>0</v>
      </c>
      <c r="G11">
        <f>COUNTIF(Table!$CB:$CB,CONCATENATE($A11,"_",G$1))</f>
        <v>0</v>
      </c>
      <c r="H11">
        <f>COUNTIF(Table!$CB:$CB,CONCATENATE($A11,"_",H$1))</f>
        <v>0</v>
      </c>
      <c r="I11">
        <f>COUNTIF(Table!$CB:$CB,CONCATENATE($A11,"_",I$1))</f>
        <v>1</v>
      </c>
      <c r="J11">
        <f>COUNTIF(Table!$CB:$CB,CONCATENATE($A11,"_",J$1))</f>
        <v>0</v>
      </c>
      <c r="K11">
        <f>COUNTIF(Table!$CB:$CB,CONCATENATE($A11,"_",K$1))</f>
        <v>0</v>
      </c>
      <c r="L11">
        <f>COUNTIF(Table!$CB:$CB,CONCATENATE($A11,"_",L$1))</f>
        <v>0</v>
      </c>
      <c r="M11">
        <f>COUNTIF(Table!$CB:$CB,CONCATENATE($A11,"_",M$1))</f>
        <v>0</v>
      </c>
      <c r="N11">
        <f>COUNTIF(Table!$CB:$CB,CONCATENATE($A11,"_",N$1))</f>
        <v>2</v>
      </c>
      <c r="O11">
        <f>COUNTIF(Table!$CB:$CB,CONCATENATE($A11,"_",O$1))</f>
        <v>0</v>
      </c>
      <c r="P11">
        <f>COUNTIF(Table!$CB:$CB,CONCATENATE($A11,"_",P$1))</f>
        <v>0</v>
      </c>
      <c r="Q11">
        <f>COUNTIF(Table!$CB:$CB,CONCATENATE($A11,"_",Q$1))</f>
        <v>1</v>
      </c>
      <c r="R11">
        <f>COUNTIF(Table!$CB:$CB,CONCATENATE($A11,"_",R$1))</f>
        <v>0</v>
      </c>
      <c r="S11">
        <f>COUNTIF(Table!$CB:$CB,CONCATENATE($A11,"_",S$1))</f>
        <v>0</v>
      </c>
      <c r="T11">
        <f>COUNTIF(Table!$CB:$CB,CONCATENATE($A11,"_",T$1))</f>
        <v>0</v>
      </c>
      <c r="U11">
        <f>COUNTIF(Table!$CB:$CB,CONCATENATE($A11,"_",U$1))</f>
        <v>0</v>
      </c>
      <c r="V11">
        <f>COUNTIF(Table!$CB:$CB,CONCATENATE($A11,"_",V$1))</f>
        <v>0</v>
      </c>
      <c r="W11">
        <f>COUNTIF(Table!$CB:$CB,CONCATENATE($A11,"_",W$1))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5" x14ac:dyDescent="0.35"/>
  <cols>
    <col min="1" max="1" width="9.54296875" bestFit="1" customWidth="1"/>
    <col min="2" max="2" width="5.453125" bestFit="1" customWidth="1"/>
    <col min="3" max="3" width="29" bestFit="1" customWidth="1"/>
  </cols>
  <sheetData>
    <row r="1" spans="1:3" x14ac:dyDescent="0.35">
      <c r="A1" s="1" t="s">
        <v>45</v>
      </c>
      <c r="B1" s="1" t="s">
        <v>51</v>
      </c>
      <c r="C1" s="1" t="s">
        <v>46</v>
      </c>
    </row>
    <row r="2" spans="1:3" x14ac:dyDescent="0.35">
      <c r="A2">
        <v>1700</v>
      </c>
      <c r="B2" t="s">
        <v>52</v>
      </c>
      <c r="C2" t="s">
        <v>93</v>
      </c>
    </row>
    <row r="3" spans="1:3" x14ac:dyDescent="0.35">
      <c r="A3">
        <v>1850</v>
      </c>
      <c r="B3" t="s">
        <v>94</v>
      </c>
      <c r="C3" t="s">
        <v>92</v>
      </c>
    </row>
    <row r="4" spans="1:3" x14ac:dyDescent="0.35">
      <c r="A4">
        <v>1900</v>
      </c>
      <c r="B4" t="s">
        <v>53</v>
      </c>
      <c r="C4" t="s">
        <v>47</v>
      </c>
    </row>
    <row r="5" spans="1:3" x14ac:dyDescent="0.35">
      <c r="A5">
        <v>1923</v>
      </c>
      <c r="B5" t="s">
        <v>54</v>
      </c>
      <c r="C5" t="s">
        <v>97</v>
      </c>
    </row>
    <row r="6" spans="1:3" x14ac:dyDescent="0.35">
      <c r="A6">
        <v>1948</v>
      </c>
      <c r="B6" t="s">
        <v>105</v>
      </c>
      <c r="C6" t="s">
        <v>48</v>
      </c>
    </row>
    <row r="7" spans="1:3" x14ac:dyDescent="0.35">
      <c r="A7">
        <v>1955</v>
      </c>
      <c r="B7" t="s">
        <v>55</v>
      </c>
      <c r="C7" t="s">
        <v>108</v>
      </c>
    </row>
    <row r="8" spans="1:3" x14ac:dyDescent="0.35">
      <c r="A8">
        <v>1970</v>
      </c>
      <c r="B8" t="s">
        <v>106</v>
      </c>
      <c r="C8" t="s">
        <v>107</v>
      </c>
    </row>
    <row r="9" spans="1:3" x14ac:dyDescent="0.35">
      <c r="A9">
        <v>1995</v>
      </c>
      <c r="B9" t="s">
        <v>56</v>
      </c>
      <c r="C9" t="s">
        <v>49</v>
      </c>
    </row>
    <row r="10" spans="1:3" x14ac:dyDescent="0.3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5" x14ac:dyDescent="0.35"/>
  <cols>
    <col min="1" max="1" width="7" bestFit="1" customWidth="1"/>
    <col min="2" max="2" width="13.26953125" bestFit="1" customWidth="1"/>
    <col min="3" max="3" width="20.1796875" bestFit="1" customWidth="1"/>
    <col min="6" max="6" width="27.453125" customWidth="1"/>
    <col min="9" max="9" width="14.7265625" bestFit="1" customWidth="1"/>
    <col min="10" max="10" width="18.1796875" bestFit="1" customWidth="1"/>
    <col min="11" max="11" width="18.81640625" bestFit="1" customWidth="1"/>
    <col min="13" max="13" width="19.7265625" bestFit="1" customWidth="1"/>
    <col min="14" max="14" width="27.26953125" bestFit="1" customWidth="1"/>
    <col min="15" max="15" width="6.7265625" bestFit="1" customWidth="1"/>
  </cols>
  <sheetData>
    <row r="1" spans="1:15" x14ac:dyDescent="0.35">
      <c r="A1" s="1" t="s">
        <v>18</v>
      </c>
      <c r="B1" s="1" t="s">
        <v>19</v>
      </c>
      <c r="C1" s="1" t="s">
        <v>99</v>
      </c>
      <c r="F1" s="1" t="s">
        <v>150</v>
      </c>
      <c r="G1">
        <v>15</v>
      </c>
      <c r="I1" s="1" t="s">
        <v>154</v>
      </c>
      <c r="J1" s="1" t="s">
        <v>155</v>
      </c>
      <c r="K1" s="1" t="s">
        <v>156</v>
      </c>
      <c r="M1" s="1" t="s">
        <v>177</v>
      </c>
      <c r="N1" s="1" t="s">
        <v>178</v>
      </c>
      <c r="O1" s="1" t="s">
        <v>8</v>
      </c>
    </row>
    <row r="2" spans="1:15" x14ac:dyDescent="0.35">
      <c r="A2">
        <v>0</v>
      </c>
      <c r="B2" t="s">
        <v>15</v>
      </c>
      <c r="F2" s="1" t="s">
        <v>151</v>
      </c>
      <c r="G2">
        <v>5</v>
      </c>
      <c r="I2" t="s">
        <v>26</v>
      </c>
      <c r="J2">
        <v>1</v>
      </c>
      <c r="K2">
        <v>2</v>
      </c>
      <c r="M2" t="s">
        <v>179</v>
      </c>
      <c r="N2" t="str">
        <f>IF(O2&lt;&gt;"", _xlfn.CONCAT("{BLACK}Powered by: {GOLD}",O2), "")</f>
        <v>{BLACK}Powered by: {GOLD}Diesel</v>
      </c>
      <c r="O2" t="s">
        <v>187</v>
      </c>
    </row>
    <row r="3" spans="1:15" x14ac:dyDescent="0.35">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5">
      <c r="A4">
        <v>4</v>
      </c>
      <c r="B4" t="s">
        <v>140</v>
      </c>
      <c r="C4" t="s">
        <v>140</v>
      </c>
      <c r="I4" t="s">
        <v>25</v>
      </c>
      <c r="J4">
        <v>1.1499999999999999</v>
      </c>
      <c r="K4">
        <v>1.7</v>
      </c>
      <c r="M4" t="s">
        <v>181</v>
      </c>
      <c r="N4" t="str">
        <f t="shared" si="0"/>
        <v>{BLACK}Powered by: {GOLD}25kV AC</v>
      </c>
      <c r="O4" t="s">
        <v>189</v>
      </c>
    </row>
    <row r="5" spans="1:15" x14ac:dyDescent="0.35">
      <c r="A5">
        <v>5</v>
      </c>
      <c r="B5" t="s">
        <v>136</v>
      </c>
      <c r="C5" t="s">
        <v>136</v>
      </c>
      <c r="I5" t="s">
        <v>100</v>
      </c>
      <c r="J5">
        <v>0.9</v>
      </c>
      <c r="K5">
        <v>2.5</v>
      </c>
      <c r="M5" t="s">
        <v>191</v>
      </c>
      <c r="N5" t="str">
        <f t="shared" si="0"/>
        <v>{BLACK}Powered by: {GOLD}750V DC</v>
      </c>
      <c r="O5" t="s">
        <v>190</v>
      </c>
    </row>
    <row r="6" spans="1:15" x14ac:dyDescent="0.35">
      <c r="A6">
        <v>6</v>
      </c>
      <c r="B6" t="s">
        <v>43</v>
      </c>
      <c r="C6" t="s">
        <v>43</v>
      </c>
      <c r="I6" t="s">
        <v>102</v>
      </c>
      <c r="J6">
        <v>0.85</v>
      </c>
      <c r="K6">
        <v>2.4</v>
      </c>
      <c r="M6" t="s">
        <v>183</v>
      </c>
      <c r="N6" t="str">
        <f t="shared" si="0"/>
        <v/>
      </c>
    </row>
    <row r="7" spans="1:15" x14ac:dyDescent="0.35">
      <c r="A7">
        <v>7</v>
      </c>
      <c r="B7" t="s">
        <v>135</v>
      </c>
      <c r="C7" t="s">
        <v>135</v>
      </c>
      <c r="I7" t="s">
        <v>159</v>
      </c>
      <c r="J7">
        <v>1.2</v>
      </c>
      <c r="K7">
        <v>0.6</v>
      </c>
      <c r="M7" t="s">
        <v>184</v>
      </c>
      <c r="N7" t="str">
        <f t="shared" si="0"/>
        <v/>
      </c>
    </row>
    <row r="8" spans="1:15" x14ac:dyDescent="0.35">
      <c r="A8">
        <v>8</v>
      </c>
      <c r="B8" t="s">
        <v>132</v>
      </c>
      <c r="C8" t="s">
        <v>132</v>
      </c>
      <c r="I8" t="s">
        <v>160</v>
      </c>
      <c r="J8">
        <v>1.5</v>
      </c>
      <c r="K8">
        <v>0.7</v>
      </c>
      <c r="M8" t="s">
        <v>185</v>
      </c>
      <c r="N8" t="str">
        <f t="shared" si="0"/>
        <v/>
      </c>
    </row>
    <row r="9" spans="1:15" x14ac:dyDescent="0.35">
      <c r="A9">
        <v>9</v>
      </c>
      <c r="B9" t="s">
        <v>134</v>
      </c>
      <c r="C9" t="s">
        <v>134</v>
      </c>
      <c r="I9" t="s">
        <v>32</v>
      </c>
      <c r="J9">
        <v>1</v>
      </c>
      <c r="K9">
        <v>0.45</v>
      </c>
      <c r="M9" t="s">
        <v>186</v>
      </c>
      <c r="N9" t="str">
        <f t="shared" si="0"/>
        <v/>
      </c>
    </row>
    <row r="10" spans="1:15" x14ac:dyDescent="0.35">
      <c r="A10">
        <v>10</v>
      </c>
      <c r="B10" t="s">
        <v>404</v>
      </c>
      <c r="C10" t="s">
        <v>404</v>
      </c>
      <c r="I10" t="s">
        <v>161</v>
      </c>
      <c r="J10">
        <v>1</v>
      </c>
      <c r="K10">
        <v>0.4</v>
      </c>
      <c r="M10" t="s">
        <v>357</v>
      </c>
      <c r="N10" t="str">
        <f t="shared" si="0"/>
        <v>{BLACK}Powered by: {GOLD}Steam</v>
      </c>
      <c r="O10" t="s">
        <v>188</v>
      </c>
    </row>
    <row r="11" spans="1:15" x14ac:dyDescent="0.35">
      <c r="A11">
        <v>11</v>
      </c>
      <c r="B11" t="s">
        <v>405</v>
      </c>
      <c r="C11" t="s">
        <v>405</v>
      </c>
      <c r="I11" t="s">
        <v>162</v>
      </c>
      <c r="J11">
        <v>0.9</v>
      </c>
      <c r="K11">
        <v>1.6</v>
      </c>
      <c r="M11" t="s">
        <v>192</v>
      </c>
      <c r="N11" t="str">
        <f t="shared" si="0"/>
        <v>{BLACK}Powered by: {GOLD}750V DC / Diesel</v>
      </c>
      <c r="O11" t="s">
        <v>193</v>
      </c>
    </row>
    <row r="12" spans="1:15" x14ac:dyDescent="0.35">
      <c r="A12">
        <v>12</v>
      </c>
      <c r="B12" t="s">
        <v>131</v>
      </c>
      <c r="C12" t="s">
        <v>131</v>
      </c>
      <c r="I12" t="s">
        <v>36</v>
      </c>
      <c r="J12">
        <v>0</v>
      </c>
      <c r="K12">
        <v>0</v>
      </c>
      <c r="M12" t="s">
        <v>194</v>
      </c>
      <c r="N12" t="str">
        <f t="shared" si="0"/>
        <v>{BLACK}Powered by: {GOLD}25kV AC / 750V DC</v>
      </c>
      <c r="O12" t="s">
        <v>195</v>
      </c>
    </row>
    <row r="13" spans="1:15" x14ac:dyDescent="0.35">
      <c r="A13">
        <v>13</v>
      </c>
      <c r="B13" t="s">
        <v>137</v>
      </c>
      <c r="C13" t="s">
        <v>137</v>
      </c>
      <c r="I13" t="s">
        <v>199</v>
      </c>
      <c r="J13">
        <v>1.05</v>
      </c>
      <c r="K13">
        <v>1.9</v>
      </c>
      <c r="M13" t="s">
        <v>196</v>
      </c>
      <c r="N13" t="str">
        <f t="shared" si="0"/>
        <v/>
      </c>
    </row>
    <row r="14" spans="1:15" x14ac:dyDescent="0.35">
      <c r="A14">
        <v>14</v>
      </c>
      <c r="B14" t="s">
        <v>133</v>
      </c>
      <c r="C14" t="s">
        <v>133</v>
      </c>
      <c r="I14" t="s">
        <v>212</v>
      </c>
      <c r="J14">
        <v>0.98</v>
      </c>
      <c r="K14">
        <v>1.88</v>
      </c>
      <c r="M14" t="s">
        <v>197</v>
      </c>
      <c r="N14" t="str">
        <f t="shared" si="0"/>
        <v/>
      </c>
    </row>
    <row r="15" spans="1:15" x14ac:dyDescent="0.35">
      <c r="A15">
        <v>15</v>
      </c>
      <c r="B15" t="s">
        <v>138</v>
      </c>
      <c r="C15" t="s">
        <v>138</v>
      </c>
      <c r="I15" t="s">
        <v>218</v>
      </c>
      <c r="J15">
        <v>0.5</v>
      </c>
      <c r="K15">
        <v>0.5</v>
      </c>
      <c r="M15" t="s">
        <v>198</v>
      </c>
      <c r="N15" t="str">
        <f t="shared" si="0"/>
        <v/>
      </c>
    </row>
    <row r="16" spans="1:15" x14ac:dyDescent="0.35">
      <c r="A16">
        <v>16</v>
      </c>
      <c r="B16" t="s">
        <v>139</v>
      </c>
      <c r="C16" t="s">
        <v>139</v>
      </c>
      <c r="I16" t="s">
        <v>352</v>
      </c>
      <c r="J16">
        <v>0.85</v>
      </c>
      <c r="K16">
        <v>2.2999999999999998</v>
      </c>
      <c r="M16" t="s">
        <v>200</v>
      </c>
      <c r="N16" t="str">
        <f t="shared" si="0"/>
        <v>{BLACK}Powered by: {GOLD}Petrol</v>
      </c>
      <c r="O16" t="s">
        <v>143</v>
      </c>
    </row>
    <row r="17" spans="9:15" x14ac:dyDescent="0.35">
      <c r="I17" t="s">
        <v>397</v>
      </c>
      <c r="J17">
        <v>1</v>
      </c>
      <c r="K17">
        <v>2</v>
      </c>
      <c r="M17" t="s">
        <v>203</v>
      </c>
      <c r="N17" t="str">
        <f t="shared" si="0"/>
        <v>{BLACK}Powered by: {GOLD}25kV AC / Diesel</v>
      </c>
      <c r="O17" t="s">
        <v>204</v>
      </c>
    </row>
    <row r="18" spans="9:15" x14ac:dyDescent="0.35">
      <c r="M18" t="s">
        <v>213</v>
      </c>
      <c r="N18" t="str">
        <f t="shared" si="0"/>
        <v>{BLACK}Powered by: {GOLD}LPG / Flywheel</v>
      </c>
      <c r="O18" t="s">
        <v>214</v>
      </c>
    </row>
    <row r="19" spans="9:15" x14ac:dyDescent="0.35">
      <c r="M19" t="s">
        <v>216</v>
      </c>
      <c r="N19" t="str">
        <f t="shared" si="0"/>
        <v/>
      </c>
    </row>
    <row r="20" spans="9:15" x14ac:dyDescent="0.35">
      <c r="M20" t="s">
        <v>215</v>
      </c>
      <c r="N20" t="str">
        <f t="shared" si="0"/>
        <v>{BLACK}Powered by: {GOLD}Steam</v>
      </c>
      <c r="O20" t="s">
        <v>188</v>
      </c>
    </row>
    <row r="21" spans="9:15" x14ac:dyDescent="0.35">
      <c r="M21" t="s">
        <v>217</v>
      </c>
      <c r="N21" t="str">
        <f t="shared" si="0"/>
        <v/>
      </c>
    </row>
    <row r="22" spans="9:15" x14ac:dyDescent="0.35">
      <c r="M22" t="s">
        <v>220</v>
      </c>
      <c r="N22" t="str">
        <f t="shared" si="0"/>
        <v>{BLACK}Powered by: {GOLD}Grass and hay</v>
      </c>
      <c r="O22" t="s">
        <v>219</v>
      </c>
    </row>
    <row r="23" spans="9:15" x14ac:dyDescent="0.35">
      <c r="M23" t="s">
        <v>221</v>
      </c>
      <c r="N23" t="str">
        <f t="shared" si="0"/>
        <v>{BLACK}Powered by: {GOLD}630V DC</v>
      </c>
      <c r="O23" t="s">
        <v>222</v>
      </c>
    </row>
    <row r="24" spans="9:15" x14ac:dyDescent="0.35">
      <c r="M24" t="s">
        <v>223</v>
      </c>
      <c r="N24" t="str">
        <f t="shared" si="0"/>
        <v/>
      </c>
    </row>
    <row r="25" spans="9:15" x14ac:dyDescent="0.35">
      <c r="M25" t="s">
        <v>224</v>
      </c>
      <c r="N25" t="str">
        <f t="shared" si="0"/>
        <v/>
      </c>
    </row>
    <row r="26" spans="9:15" x14ac:dyDescent="0.35">
      <c r="M26" t="s">
        <v>338</v>
      </c>
      <c r="N26" t="str">
        <f t="shared" si="0"/>
        <v>{BLACK}Powered by: {GOLD}Grass and hay</v>
      </c>
      <c r="O26" t="s">
        <v>219</v>
      </c>
    </row>
    <row r="27" spans="9:15" x14ac:dyDescent="0.35">
      <c r="M27" t="s">
        <v>339</v>
      </c>
      <c r="N27" t="str">
        <f t="shared" si="0"/>
        <v/>
      </c>
    </row>
    <row r="28" spans="9:15" x14ac:dyDescent="0.35">
      <c r="M28" t="s">
        <v>340</v>
      </c>
      <c r="N28" t="str">
        <f t="shared" si="0"/>
        <v>{BLACK}Powered by: {GOLD}Diesel</v>
      </c>
      <c r="O28" t="s">
        <v>187</v>
      </c>
    </row>
    <row r="29" spans="9:15" x14ac:dyDescent="0.35">
      <c r="M29" t="s">
        <v>356</v>
      </c>
      <c r="N29" t="str">
        <f t="shared" si="0"/>
        <v/>
      </c>
      <c r="O29" t="str">
        <f t="shared" si="0"/>
        <v/>
      </c>
    </row>
    <row r="30" spans="9:15" x14ac:dyDescent="0.35">
      <c r="M30" t="s">
        <v>395</v>
      </c>
      <c r="N30" t="str">
        <f t="shared" ref="N30:N31" si="1">IF(O30&lt;&gt;"", _xlfn.CONCAT("{BLACK}Powered by: {GOLD}",O30), "")</f>
        <v>{BLACK}Powered by: {GOLD}Gas Turbine</v>
      </c>
      <c r="O30" t="s">
        <v>396</v>
      </c>
    </row>
    <row r="31" spans="9:15" x14ac:dyDescent="0.35">
      <c r="M31" t="s">
        <v>410</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5" x14ac:dyDescent="0.35"/>
  <cols>
    <col min="1" max="1" width="10.7265625" bestFit="1" customWidth="1"/>
    <col min="2" max="2" width="10.7265625" customWidth="1"/>
    <col min="3" max="3" width="21.453125" bestFit="1" customWidth="1"/>
    <col min="4" max="4" width="21.453125" customWidth="1"/>
  </cols>
  <sheetData>
    <row r="1" spans="1:4" x14ac:dyDescent="0.35">
      <c r="A1" s="1" t="s">
        <v>39</v>
      </c>
      <c r="B1" s="1" t="s">
        <v>40</v>
      </c>
      <c r="C1" s="1" t="s">
        <v>41</v>
      </c>
      <c r="D1" s="1" t="s">
        <v>42</v>
      </c>
    </row>
    <row r="2" spans="1:4" x14ac:dyDescent="0.35">
      <c r="A2">
        <v>0</v>
      </c>
      <c r="B2">
        <f>IF(D2,D2,C2)</f>
        <v>0</v>
      </c>
      <c r="C2">
        <f>INT(A2*(256/15))</f>
        <v>0</v>
      </c>
      <c r="D2" s="1"/>
    </row>
    <row r="3" spans="1:4" x14ac:dyDescent="0.35">
      <c r="A3">
        <v>1</v>
      </c>
      <c r="B3">
        <f>IF(D3,D3,C3)</f>
        <v>17</v>
      </c>
      <c r="C3">
        <f>INT(A3*(256/15))</f>
        <v>17</v>
      </c>
    </row>
    <row r="4" spans="1:4" x14ac:dyDescent="0.35">
      <c r="A4">
        <v>2</v>
      </c>
      <c r="B4">
        <f t="shared" ref="B4:B18" si="0">IF(D4,D4,C4)</f>
        <v>34</v>
      </c>
      <c r="C4">
        <f t="shared" ref="C4:C18" si="1">INT(A4*(256/15))</f>
        <v>34</v>
      </c>
    </row>
    <row r="5" spans="1:4" x14ac:dyDescent="0.35">
      <c r="A5">
        <v>3</v>
      </c>
      <c r="B5">
        <f t="shared" si="0"/>
        <v>51</v>
      </c>
      <c r="C5">
        <f t="shared" si="1"/>
        <v>51</v>
      </c>
    </row>
    <row r="6" spans="1:4" x14ac:dyDescent="0.35">
      <c r="A6">
        <v>4</v>
      </c>
      <c r="B6">
        <f t="shared" si="0"/>
        <v>66</v>
      </c>
      <c r="C6">
        <f t="shared" si="1"/>
        <v>68</v>
      </c>
      <c r="D6">
        <v>66</v>
      </c>
    </row>
    <row r="7" spans="1:4" x14ac:dyDescent="0.35">
      <c r="A7">
        <v>5</v>
      </c>
      <c r="B7">
        <f t="shared" si="0"/>
        <v>82</v>
      </c>
      <c r="C7">
        <f t="shared" si="1"/>
        <v>85</v>
      </c>
      <c r="D7">
        <v>82</v>
      </c>
    </row>
    <row r="8" spans="1:4" x14ac:dyDescent="0.35">
      <c r="A8">
        <v>6</v>
      </c>
      <c r="B8">
        <f t="shared" si="0"/>
        <v>102</v>
      </c>
      <c r="C8">
        <f t="shared" si="1"/>
        <v>102</v>
      </c>
      <c r="D8">
        <v>102</v>
      </c>
    </row>
    <row r="9" spans="1:4" x14ac:dyDescent="0.35">
      <c r="A9">
        <v>7</v>
      </c>
      <c r="B9">
        <f t="shared" si="0"/>
        <v>120</v>
      </c>
      <c r="C9">
        <f t="shared" si="1"/>
        <v>119</v>
      </c>
      <c r="D9">
        <v>120</v>
      </c>
    </row>
    <row r="10" spans="1:4" x14ac:dyDescent="0.35">
      <c r="A10">
        <v>8</v>
      </c>
      <c r="B10">
        <f t="shared" si="0"/>
        <v>136</v>
      </c>
      <c r="C10">
        <f t="shared" si="1"/>
        <v>136</v>
      </c>
      <c r="D10">
        <v>136</v>
      </c>
    </row>
    <row r="11" spans="1:4" x14ac:dyDescent="0.35">
      <c r="A11">
        <v>9</v>
      </c>
      <c r="B11">
        <f t="shared" si="0"/>
        <v>152</v>
      </c>
      <c r="C11">
        <f t="shared" si="1"/>
        <v>153</v>
      </c>
      <c r="D11">
        <v>152</v>
      </c>
    </row>
    <row r="12" spans="1:4" x14ac:dyDescent="0.35">
      <c r="A12">
        <v>10</v>
      </c>
      <c r="B12">
        <f t="shared" si="0"/>
        <v>164</v>
      </c>
      <c r="C12">
        <f t="shared" si="1"/>
        <v>170</v>
      </c>
      <c r="D12">
        <v>164</v>
      </c>
    </row>
    <row r="13" spans="1:4" x14ac:dyDescent="0.35">
      <c r="A13">
        <v>11</v>
      </c>
      <c r="B13">
        <f t="shared" si="0"/>
        <v>186</v>
      </c>
      <c r="C13">
        <f t="shared" si="1"/>
        <v>187</v>
      </c>
      <c r="D13">
        <v>186</v>
      </c>
    </row>
    <row r="14" spans="1:4" x14ac:dyDescent="0.35">
      <c r="A14">
        <v>12</v>
      </c>
      <c r="B14">
        <f t="shared" si="0"/>
        <v>198</v>
      </c>
      <c r="C14">
        <f t="shared" si="1"/>
        <v>204</v>
      </c>
      <c r="D14">
        <v>198</v>
      </c>
    </row>
    <row r="15" spans="1:4" x14ac:dyDescent="0.35">
      <c r="A15">
        <v>13</v>
      </c>
      <c r="B15">
        <v>214</v>
      </c>
      <c r="C15">
        <f t="shared" si="1"/>
        <v>221</v>
      </c>
    </row>
    <row r="16" spans="1:4" x14ac:dyDescent="0.35">
      <c r="A16">
        <v>14</v>
      </c>
      <c r="B16">
        <f t="shared" si="0"/>
        <v>238</v>
      </c>
      <c r="C16">
        <f t="shared" si="1"/>
        <v>238</v>
      </c>
    </row>
    <row r="17" spans="1:3" x14ac:dyDescent="0.35">
      <c r="A17">
        <v>15</v>
      </c>
      <c r="B17">
        <f t="shared" si="0"/>
        <v>256</v>
      </c>
      <c r="C17">
        <f t="shared" si="1"/>
        <v>256</v>
      </c>
    </row>
    <row r="18" spans="1:3" x14ac:dyDescent="0.3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5" x14ac:dyDescent="0.35"/>
  <cols>
    <col min="1" max="1" width="11.453125" bestFit="1" customWidth="1"/>
    <col min="3" max="3" width="12" bestFit="1" customWidth="1"/>
    <col min="8" max="9" width="10.54296875" bestFit="1" customWidth="1"/>
    <col min="10" max="10" width="11.26953125" bestFit="1" customWidth="1"/>
  </cols>
  <sheetData>
    <row r="1" spans="1:21" x14ac:dyDescent="0.3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5">
      <c r="B2" t="s">
        <v>113</v>
      </c>
    </row>
    <row r="3" spans="1:21" x14ac:dyDescent="0.3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5">
      <c r="A4" t="s">
        <v>121</v>
      </c>
      <c r="B4">
        <v>1</v>
      </c>
      <c r="C4">
        <v>1</v>
      </c>
      <c r="D4">
        <v>0</v>
      </c>
      <c r="E4">
        <v>0</v>
      </c>
      <c r="F4">
        <v>0</v>
      </c>
      <c r="G4">
        <v>1</v>
      </c>
      <c r="H4">
        <v>1</v>
      </c>
      <c r="I4">
        <v>0</v>
      </c>
      <c r="J4">
        <v>1</v>
      </c>
      <c r="K4">
        <v>0</v>
      </c>
      <c r="L4">
        <v>0</v>
      </c>
      <c r="M4">
        <v>0</v>
      </c>
      <c r="N4">
        <v>0</v>
      </c>
      <c r="O4">
        <v>1</v>
      </c>
    </row>
    <row r="6" spans="1:21" ht="14.25" customHeight="1" x14ac:dyDescent="0.35">
      <c r="B6" t="s">
        <v>119</v>
      </c>
    </row>
    <row r="7" spans="1:21" x14ac:dyDescent="0.3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5">
      <c r="B14" t="str">
        <f>_xlfn.TEXTJOIN(",",TRUE,  B8:U8)</f>
        <v>1,1,1,0,0,0,1,0,0,0,0,0,0,0,0,0,0,0,1,1</v>
      </c>
    </row>
    <row r="15" spans="1:21" x14ac:dyDescent="0.35">
      <c r="B15" t="str">
        <f>_xlfn.TEXTJOIN(",",TRUE,  B11:U11)</f>
        <v>4,5,4,4,5,4,4,3,4,4,3,4,4,3,4,4,3,4,4,3,4,4,3,4,4,3,4,4,3,4,4,3,4,4,3,4,4,3,4,4,3,4,4,3,4,4,3,4,4,3,4,4,3,4,4,5,4,4,5,4</v>
      </c>
    </row>
    <row r="16" spans="1:21" x14ac:dyDescent="0.35">
      <c r="B16" t="str">
        <f>_xlfn.TEXTJOIN(",",TRUE,  B10:U10)</f>
        <v>13,13,11,11,11,11,11,11,11,11,11,11,11,11,11,11,11,11,13,13</v>
      </c>
    </row>
    <row r="18" spans="1:9" x14ac:dyDescent="0.35">
      <c r="B18" t="s">
        <v>129</v>
      </c>
    </row>
    <row r="19" spans="1:9" x14ac:dyDescent="0.35">
      <c r="A19" t="s">
        <v>120</v>
      </c>
      <c r="B19" t="s">
        <v>109</v>
      </c>
      <c r="C19" t="s">
        <v>125</v>
      </c>
      <c r="D19" t="s">
        <v>124</v>
      </c>
      <c r="E19" t="s">
        <v>126</v>
      </c>
      <c r="F19" t="s">
        <v>124</v>
      </c>
      <c r="G19" t="s">
        <v>126</v>
      </c>
      <c r="H19" t="s">
        <v>127</v>
      </c>
      <c r="I19" t="s">
        <v>128</v>
      </c>
    </row>
    <row r="20" spans="1:9" x14ac:dyDescent="0.35">
      <c r="A20" t="s">
        <v>121</v>
      </c>
      <c r="B20">
        <v>0</v>
      </c>
      <c r="C20">
        <v>0</v>
      </c>
      <c r="D20">
        <v>0</v>
      </c>
      <c r="E20">
        <v>0</v>
      </c>
      <c r="F20">
        <v>0</v>
      </c>
      <c r="G20">
        <v>0</v>
      </c>
      <c r="H20">
        <v>0</v>
      </c>
      <c r="I20">
        <v>0</v>
      </c>
    </row>
    <row r="21" spans="1:9" x14ac:dyDescent="0.35">
      <c r="A21" t="s">
        <v>18</v>
      </c>
      <c r="B21">
        <v>22.15</v>
      </c>
      <c r="C21">
        <v>21.84</v>
      </c>
      <c r="D21">
        <v>18.7</v>
      </c>
      <c r="E21">
        <v>18.7</v>
      </c>
      <c r="F21">
        <v>18.7</v>
      </c>
      <c r="G21">
        <v>18.7</v>
      </c>
      <c r="H21">
        <v>21.84</v>
      </c>
      <c r="I21">
        <v>22.15</v>
      </c>
    </row>
    <row r="22" spans="1:9" x14ac:dyDescent="0.3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5">
      <c r="B25" t="str">
        <f>_xlfn.TEXTJOIN(",",TRUE,  B19:P19)</f>
        <v>eurostar,eurostar_motor,eurostar_mid,eurostar_tbk,eurostar_mid,eurostar_tbk,eurostar_motor_rev,eurostar_rear</v>
      </c>
    </row>
    <row r="26" spans="1:9" x14ac:dyDescent="0.35">
      <c r="B26" t="str">
        <f>_xlfn.TEXTJOIN(",",TRUE,  B20:P20)</f>
        <v>0,0,0,0,0,0,0,0</v>
      </c>
    </row>
    <row r="27" spans="1:9" x14ac:dyDescent="0.35">
      <c r="B27" t="str">
        <f>_xlfn.TEXTJOIN(",",TRUE,  B23:P23)</f>
        <v>4,5,4,4,5,4,4,3,4,4,3,4,4,3,4,4,3,4,4,5,4,4,5,4</v>
      </c>
    </row>
    <row r="28" spans="1:9" x14ac:dyDescent="0.35">
      <c r="B28" t="str">
        <f>_xlfn.TEXTJOIN(",",TRUE,  B22:U22)</f>
        <v>13,13,11,11,11,11,13,13</v>
      </c>
    </row>
    <row r="30" spans="1:9" x14ac:dyDescent="0.35">
      <c r="B30" t="s">
        <v>201</v>
      </c>
    </row>
    <row r="31" spans="1:9" x14ac:dyDescent="0.35">
      <c r="A31" t="s">
        <v>120</v>
      </c>
      <c r="B31" t="s">
        <v>109</v>
      </c>
      <c r="C31" t="s">
        <v>125</v>
      </c>
      <c r="D31" t="s">
        <v>124</v>
      </c>
      <c r="E31" t="s">
        <v>127</v>
      </c>
      <c r="F31" t="s">
        <v>128</v>
      </c>
    </row>
    <row r="32" spans="1:9" x14ac:dyDescent="0.35">
      <c r="A32" t="s">
        <v>121</v>
      </c>
      <c r="B32">
        <v>0</v>
      </c>
      <c r="C32">
        <v>0</v>
      </c>
      <c r="D32">
        <v>0</v>
      </c>
      <c r="E32">
        <v>0</v>
      </c>
      <c r="F32">
        <v>0</v>
      </c>
    </row>
    <row r="33" spans="1:6" x14ac:dyDescent="0.35">
      <c r="A33" t="s">
        <v>18</v>
      </c>
      <c r="B33">
        <v>22.15</v>
      </c>
      <c r="C33">
        <v>21.84</v>
      </c>
      <c r="D33">
        <v>18.7</v>
      </c>
      <c r="E33">
        <v>21.84</v>
      </c>
      <c r="F33">
        <v>22.15</v>
      </c>
    </row>
    <row r="34" spans="1:6" x14ac:dyDescent="0.35">
      <c r="A34" t="s">
        <v>122</v>
      </c>
      <c r="B34">
        <f t="shared" ref="B34:F34" si="2">ROUND(15*((B33*10)/256),0)</f>
        <v>13</v>
      </c>
      <c r="C34">
        <f t="shared" si="2"/>
        <v>13</v>
      </c>
      <c r="D34">
        <f t="shared" si="2"/>
        <v>11</v>
      </c>
      <c r="E34">
        <f t="shared" si="2"/>
        <v>13</v>
      </c>
      <c r="F34">
        <f t="shared" si="2"/>
        <v>13</v>
      </c>
    </row>
    <row r="35" spans="1:6" x14ac:dyDescent="0.3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5">
      <c r="B37" t="str">
        <f>_xlfn.TEXTJOIN(",",TRUE,  B31:P31)</f>
        <v>eurostar,eurostar_motor,eurostar_mid,eurostar_motor_rev,eurostar_rear</v>
      </c>
    </row>
    <row r="38" spans="1:6" x14ac:dyDescent="0.35">
      <c r="B38" t="str">
        <f>_xlfn.TEXTJOIN(",",TRUE,  B32:P32)</f>
        <v>0,0,0,0,0</v>
      </c>
    </row>
    <row r="39" spans="1:6" x14ac:dyDescent="0.35">
      <c r="B39" t="str">
        <f>_xlfn.TEXTJOIN(",",TRUE,  B35:P35)</f>
        <v>4,5,4,4,5,4,4,3,4,4,5,4,4,5,4</v>
      </c>
    </row>
    <row r="40" spans="1:6" x14ac:dyDescent="0.35">
      <c r="B40" t="str">
        <f>_xlfn.TEXTJOIN(",",TRUE,  B34:U34)</f>
        <v>13,13,11,13,13</v>
      </c>
    </row>
    <row r="42" spans="1:6" x14ac:dyDescent="0.35">
      <c r="B42" t="s">
        <v>206</v>
      </c>
    </row>
    <row r="43" spans="1:6" x14ac:dyDescent="0.35">
      <c r="A43" t="s">
        <v>120</v>
      </c>
      <c r="B43" t="s">
        <v>205</v>
      </c>
      <c r="C43" t="s">
        <v>208</v>
      </c>
      <c r="D43" t="s">
        <v>210</v>
      </c>
      <c r="E43" t="s">
        <v>209</v>
      </c>
      <c r="F43" t="s">
        <v>207</v>
      </c>
    </row>
    <row r="44" spans="1:6" x14ac:dyDescent="0.35">
      <c r="A44" t="s">
        <v>121</v>
      </c>
      <c r="B44">
        <v>1</v>
      </c>
      <c r="C44">
        <v>1</v>
      </c>
      <c r="D44">
        <v>1</v>
      </c>
      <c r="E44">
        <v>1</v>
      </c>
      <c r="F44">
        <v>1</v>
      </c>
    </row>
    <row r="45" spans="1:6" x14ac:dyDescent="0.35">
      <c r="A45" t="s">
        <v>18</v>
      </c>
      <c r="B45">
        <v>20.2</v>
      </c>
      <c r="C45">
        <v>15.7</v>
      </c>
      <c r="D45">
        <v>10</v>
      </c>
      <c r="E45">
        <v>15.7</v>
      </c>
      <c r="F45">
        <v>20.2</v>
      </c>
    </row>
    <row r="46" spans="1:6" x14ac:dyDescent="0.35">
      <c r="A46" t="s">
        <v>122</v>
      </c>
      <c r="B46">
        <f t="shared" ref="B46:F46" si="3">ROUND(15*((B45*10)/256),0)</f>
        <v>12</v>
      </c>
      <c r="C46">
        <f t="shared" si="3"/>
        <v>9</v>
      </c>
      <c r="D46">
        <f t="shared" si="3"/>
        <v>6</v>
      </c>
      <c r="E46">
        <f t="shared" si="3"/>
        <v>9</v>
      </c>
      <c r="F46">
        <f t="shared" si="3"/>
        <v>12</v>
      </c>
    </row>
    <row r="47" spans="1:6" x14ac:dyDescent="0.3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5">
      <c r="B49" t="str">
        <f>_xlfn.TEXTJOIN(",",TRUE,  B43:P43)</f>
        <v>stadler_class_755,stadler_class_755_mid,stadler_class_755_motor,stadler_class_755_mid_rev,stadler_class_755_rear</v>
      </c>
    </row>
    <row r="50" spans="2:2" x14ac:dyDescent="0.35">
      <c r="B50" t="str">
        <f>_xlfn.TEXTJOIN(",",TRUE,  B44:P44)</f>
        <v>1,1,1,1,1</v>
      </c>
    </row>
    <row r="51" spans="2:2" x14ac:dyDescent="0.35">
      <c r="B51" t="str">
        <f>_xlfn.TEXTJOIN(",",TRUE,  B47:P47)</f>
        <v>4,4,4,2,5,2,2,2,2,2,5,2,4,4,4</v>
      </c>
    </row>
    <row r="52" spans="2:2" x14ac:dyDescent="0.35">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2026-01-03T20:53:33Z</dcterms:modified>
</cp:coreProperties>
</file>