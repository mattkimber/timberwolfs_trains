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Projects\timberwolfs_trains\"/>
    </mc:Choice>
  </mc:AlternateContent>
  <xr:revisionPtr revIDLastSave="0" documentId="13_ncr:1_{172A54AD-F94C-41AC-AB53-EBC1ADD9267B}" xr6:coauthVersionLast="46" xr6:coauthVersionMax="46" xr10:uidLastSave="{00000000-0000-0000-0000-000000000000}"/>
  <bookViews>
    <workbookView xWindow="1410" yWindow="3165" windowWidth="23685" windowHeight="11925" xr2:uid="{F6BD1511-EB94-45B5-99E9-5A8B1986E383}"/>
  </bookViews>
  <sheets>
    <sheet name="Table" sheetId="1" r:id="rId1"/>
    <sheet name="Gameplay Planning" sheetId="4" r:id="rId2"/>
    <sheet name="Eras" sheetId="5" r:id="rId3"/>
    <sheet name="Constants" sheetId="2" r:id="rId4"/>
    <sheet name="Voxel Sizes" sheetId="3" r:id="rId5"/>
    <sheet name="Long unit configs" sheetId="6" r:id="rId6"/>
  </sheets>
  <externalReferences>
    <externalReference r:id="rId7"/>
  </externalReferences>
  <definedNames>
    <definedName name="_xlnm._FilterDatabase" localSheetId="0" hidden="1">Table!$A$1:$BX$5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E3" i="1" l="1"/>
  <c r="BD3" i="1"/>
  <c r="BC3" i="1"/>
  <c r="BB3" i="1"/>
  <c r="AI3" i="1"/>
  <c r="BY3" i="1"/>
  <c r="BW3" i="1"/>
  <c r="BU3" i="1"/>
  <c r="BV3" i="1" s="1"/>
  <c r="BR3" i="1"/>
  <c r="BT3" i="1" s="1"/>
  <c r="BA3" i="1"/>
  <c r="AZ3" i="1"/>
  <c r="AY3" i="1"/>
  <c r="AX3" i="1"/>
  <c r="AW3" i="1"/>
  <c r="AT3" i="1"/>
  <c r="X3" i="1"/>
  <c r="N26" i="2"/>
  <c r="BC2" i="1"/>
  <c r="BB2" i="1"/>
  <c r="BA2" i="1"/>
  <c r="AZ2" i="1"/>
  <c r="AY2" i="1"/>
  <c r="AX2" i="1"/>
  <c r="BY2" i="1"/>
  <c r="BW2" i="1"/>
  <c r="BU2" i="1"/>
  <c r="BV2" i="1" s="1"/>
  <c r="BR2" i="1"/>
  <c r="BT2" i="1" s="1"/>
  <c r="AW2" i="1"/>
  <c r="AT2" i="1"/>
  <c r="AG2" i="1"/>
  <c r="AI2" i="1" s="1"/>
  <c r="X2" i="1"/>
  <c r="BZ3" i="1" l="1"/>
  <c r="BF3" i="1"/>
  <c r="BG3" i="1"/>
  <c r="AF3" i="1"/>
  <c r="BE2" i="1"/>
  <c r="BG2" i="1" s="1"/>
  <c r="BZ2" i="1"/>
  <c r="BD2" i="1"/>
  <c r="BF2" i="1" s="1"/>
  <c r="AF2" i="1"/>
  <c r="BR6" i="1" l="1"/>
  <c r="BT6" i="1" s="1"/>
  <c r="BC6" i="1"/>
  <c r="BB6" i="1"/>
  <c r="BY6" i="1"/>
  <c r="BW6" i="1"/>
  <c r="BU6" i="1"/>
  <c r="BV6" i="1" s="1"/>
  <c r="BA6" i="1"/>
  <c r="AZ6" i="1"/>
  <c r="AY6" i="1"/>
  <c r="AX6" i="1"/>
  <c r="AW6" i="1"/>
  <c r="AT6" i="1"/>
  <c r="AG6" i="1"/>
  <c r="AF6" i="1" s="1"/>
  <c r="X6" i="1"/>
  <c r="Q6" i="1"/>
  <c r="S6" i="1" s="1"/>
  <c r="T7" i="1"/>
  <c r="X7" i="1" s="1"/>
  <c r="BY7" i="1"/>
  <c r="BW7" i="1"/>
  <c r="BU7" i="1"/>
  <c r="BV7" i="1" s="1"/>
  <c r="BR7" i="1"/>
  <c r="BT7" i="1" s="1"/>
  <c r="BC7" i="1"/>
  <c r="BB7" i="1"/>
  <c r="BA7" i="1"/>
  <c r="AZ7" i="1"/>
  <c r="AY7" i="1"/>
  <c r="AX7" i="1"/>
  <c r="AW7" i="1"/>
  <c r="AT7" i="1"/>
  <c r="AG7" i="1"/>
  <c r="AI7" i="1" s="1"/>
  <c r="AI6" i="1" l="1"/>
  <c r="BE6" i="1"/>
  <c r="BG6" i="1" s="1"/>
  <c r="BD6" i="1"/>
  <c r="BF6" i="1" s="1"/>
  <c r="BZ6" i="1"/>
  <c r="BE7" i="1"/>
  <c r="BG7" i="1" s="1"/>
  <c r="BZ7" i="1"/>
  <c r="BD7" i="1"/>
  <c r="BF7" i="1" s="1"/>
  <c r="AF7" i="1"/>
  <c r="X4" i="1" l="1"/>
  <c r="AG4" i="1"/>
  <c r="AF4" i="1" s="1"/>
  <c r="AT4" i="1"/>
  <c r="AV4" i="1"/>
  <c r="AW4" i="1"/>
  <c r="AX4" i="1"/>
  <c r="AY4" i="1"/>
  <c r="AZ4" i="1"/>
  <c r="BA4" i="1"/>
  <c r="BB4" i="1"/>
  <c r="BC4" i="1"/>
  <c r="BR4" i="1"/>
  <c r="BT4" i="1" s="1"/>
  <c r="BU4" i="1"/>
  <c r="BV4" i="1" s="1"/>
  <c r="BW4" i="1"/>
  <c r="BY4" i="1"/>
  <c r="BZ4" i="1" l="1"/>
  <c r="BE4" i="1"/>
  <c r="BG4" i="1" s="1"/>
  <c r="BD4" i="1"/>
  <c r="BF4" i="1" s="1"/>
  <c r="AI4" i="1"/>
  <c r="N25" i="2" l="1"/>
  <c r="N24" i="2" l="1"/>
  <c r="N23" i="2" l="1"/>
  <c r="N22" i="2" l="1"/>
  <c r="N21" i="2"/>
  <c r="N20" i="2"/>
  <c r="N19" i="2" l="1"/>
  <c r="N18" i="2" l="1"/>
  <c r="AZ5" i="1" l="1"/>
  <c r="B50" i="6" l="1"/>
  <c r="B49" i="6"/>
  <c r="F46" i="6"/>
  <c r="F47" i="6" s="1"/>
  <c r="E46" i="6"/>
  <c r="E47" i="6" s="1"/>
  <c r="D46" i="6"/>
  <c r="D47" i="6" s="1"/>
  <c r="C46" i="6"/>
  <c r="C47" i="6" s="1"/>
  <c r="B46" i="6"/>
  <c r="B52" i="6" s="1"/>
  <c r="B47" i="6" l="1"/>
  <c r="B51" i="6" s="1"/>
  <c r="N17" i="2"/>
  <c r="B40" i="6" l="1"/>
  <c r="B28" i="6"/>
  <c r="B16" i="6"/>
  <c r="C34" i="6"/>
  <c r="C35" i="6" s="1"/>
  <c r="D34" i="6"/>
  <c r="E34" i="6"/>
  <c r="F34" i="6"/>
  <c r="C22" i="6"/>
  <c r="D22" i="6"/>
  <c r="E22" i="6"/>
  <c r="F22" i="6"/>
  <c r="G22" i="6"/>
  <c r="H22" i="6"/>
  <c r="I22" i="6"/>
  <c r="C10" i="6"/>
  <c r="D10" i="6"/>
  <c r="E10" i="6"/>
  <c r="F10" i="6"/>
  <c r="G10" i="6"/>
  <c r="H10" i="6"/>
  <c r="I10" i="6"/>
  <c r="J10" i="6"/>
  <c r="K10" i="6"/>
  <c r="L10" i="6"/>
  <c r="M10" i="6"/>
  <c r="N10" i="6"/>
  <c r="O10" i="6"/>
  <c r="P10" i="6"/>
  <c r="Q10" i="6"/>
  <c r="R10" i="6"/>
  <c r="S10" i="6"/>
  <c r="T10" i="6"/>
  <c r="U10" i="6"/>
  <c r="B38" i="6"/>
  <c r="B37" i="6"/>
  <c r="F35" i="6"/>
  <c r="E35" i="6"/>
  <c r="D35" i="6"/>
  <c r="B34" i="6"/>
  <c r="B35" i="6" s="1"/>
  <c r="B39" i="6" l="1"/>
  <c r="N13" i="2" l="1"/>
  <c r="N14" i="2"/>
  <c r="N15" i="2"/>
  <c r="N16" i="2"/>
  <c r="N3" i="2"/>
  <c r="N4" i="2"/>
  <c r="N5" i="2"/>
  <c r="N6" i="2"/>
  <c r="N7" i="2"/>
  <c r="N8" i="2"/>
  <c r="N9" i="2"/>
  <c r="N10" i="2"/>
  <c r="N11" i="2"/>
  <c r="N12" i="2"/>
  <c r="N2" i="2"/>
  <c r="BW5" i="1"/>
  <c r="BU5" i="1"/>
  <c r="BV5" i="1" s="1"/>
  <c r="BY5" i="1" l="1"/>
  <c r="BZ5" i="1" s="1"/>
  <c r="AV5" i="1" l="1"/>
  <c r="AT5" i="1" l="1"/>
  <c r="BC5" i="1" l="1"/>
  <c r="BA5" i="1"/>
  <c r="AW5" i="1"/>
  <c r="AX5" i="1"/>
  <c r="AY5" i="1"/>
  <c r="BB5" i="1"/>
  <c r="BE5" i="1" l="1"/>
  <c r="BG5" i="1" s="1"/>
  <c r="BD5" i="1"/>
  <c r="BF5" i="1" s="1"/>
  <c r="G23" i="6" l="1"/>
  <c r="B26" i="6"/>
  <c r="B25" i="6"/>
  <c r="I23" i="6"/>
  <c r="H23" i="6"/>
  <c r="F23" i="6"/>
  <c r="E23" i="6"/>
  <c r="D23" i="6"/>
  <c r="C23" i="6"/>
  <c r="B22" i="6"/>
  <c r="B23" i="6" s="1"/>
  <c r="B27" i="6" l="1"/>
  <c r="B14" i="6"/>
  <c r="B13" i="6"/>
  <c r="E11" i="6"/>
  <c r="F11" i="6"/>
  <c r="G11" i="6"/>
  <c r="H11" i="6"/>
  <c r="I11" i="6"/>
  <c r="J11" i="6"/>
  <c r="K11" i="6"/>
  <c r="L11" i="6"/>
  <c r="M11" i="6"/>
  <c r="N11" i="6"/>
  <c r="O11" i="6"/>
  <c r="P11" i="6"/>
  <c r="Q11" i="6"/>
  <c r="R11" i="6"/>
  <c r="S11" i="6"/>
  <c r="T11" i="6"/>
  <c r="U11" i="6"/>
  <c r="C11" i="6"/>
  <c r="D11" i="6"/>
  <c r="B10" i="6"/>
  <c r="B11" i="6" s="1"/>
  <c r="B15" i="6" l="1"/>
  <c r="X5" i="1" l="1"/>
  <c r="B4" i="4" l="1"/>
  <c r="B5" i="4"/>
  <c r="B6" i="4"/>
  <c r="B7" i="4"/>
  <c r="B8" i="4"/>
  <c r="B9" i="4"/>
  <c r="B10" i="4"/>
  <c r="B11" i="4"/>
  <c r="B3" i="4"/>
  <c r="BR5" i="1"/>
  <c r="BT5" i="1" s="1"/>
  <c r="W3" i="4" l="1"/>
  <c r="W11" i="4"/>
  <c r="W4" i="4"/>
  <c r="W5" i="4"/>
  <c r="W6" i="4"/>
  <c r="W7" i="4"/>
  <c r="W8" i="4"/>
  <c r="W9" i="4"/>
  <c r="W10" i="4"/>
  <c r="I3" i="4"/>
  <c r="H4" i="4"/>
  <c r="I4" i="4"/>
  <c r="H3" i="4"/>
  <c r="D11" i="4"/>
  <c r="D9" i="4"/>
  <c r="D5" i="4"/>
  <c r="D3" i="4"/>
  <c r="D10" i="4"/>
  <c r="D8" i="4"/>
  <c r="D7" i="4"/>
  <c r="D4" i="4"/>
  <c r="D6" i="4"/>
  <c r="C4" i="4"/>
  <c r="L4" i="4"/>
  <c r="P4" i="4"/>
  <c r="T4" i="4"/>
  <c r="G5" i="4"/>
  <c r="K5" i="4"/>
  <c r="O5" i="4"/>
  <c r="S5" i="4"/>
  <c r="C6" i="4"/>
  <c r="H6" i="4"/>
  <c r="L6" i="4"/>
  <c r="P6" i="4"/>
  <c r="T6" i="4"/>
  <c r="E7" i="4"/>
  <c r="I7" i="4"/>
  <c r="M7" i="4"/>
  <c r="Q7" i="4"/>
  <c r="U7" i="4"/>
  <c r="F8" i="4"/>
  <c r="J8" i="4"/>
  <c r="N8" i="4"/>
  <c r="R8" i="4"/>
  <c r="V8" i="4"/>
  <c r="G9" i="4"/>
  <c r="K9" i="4"/>
  <c r="O9" i="4"/>
  <c r="S9" i="4"/>
  <c r="F10" i="4"/>
  <c r="J10" i="4"/>
  <c r="N10" i="4"/>
  <c r="R10" i="4"/>
  <c r="V10" i="4"/>
  <c r="G11" i="4"/>
  <c r="K11" i="4"/>
  <c r="O11" i="4"/>
  <c r="S11" i="4"/>
  <c r="E3" i="4"/>
  <c r="M3" i="4"/>
  <c r="Q3" i="4"/>
  <c r="U3" i="4"/>
  <c r="E4" i="4"/>
  <c r="M4" i="4"/>
  <c r="Q4" i="4"/>
  <c r="U4" i="4"/>
  <c r="C5" i="4"/>
  <c r="H5" i="4"/>
  <c r="L5" i="4"/>
  <c r="P5" i="4"/>
  <c r="T5" i="4"/>
  <c r="E6" i="4"/>
  <c r="I6" i="4"/>
  <c r="M6" i="4"/>
  <c r="Q6" i="4"/>
  <c r="U6" i="4"/>
  <c r="F7" i="4"/>
  <c r="J7" i="4"/>
  <c r="N7" i="4"/>
  <c r="R7" i="4"/>
  <c r="V7" i="4"/>
  <c r="G8" i="4"/>
  <c r="K8" i="4"/>
  <c r="O8" i="4"/>
  <c r="S8" i="4"/>
  <c r="C9" i="4"/>
  <c r="H9" i="4"/>
  <c r="L9" i="4"/>
  <c r="P9" i="4"/>
  <c r="T9" i="4"/>
  <c r="G10" i="4"/>
  <c r="K10" i="4"/>
  <c r="O10" i="4"/>
  <c r="S10" i="4"/>
  <c r="C11" i="4"/>
  <c r="H11" i="4"/>
  <c r="L11" i="4"/>
  <c r="P11" i="4"/>
  <c r="T11" i="4"/>
  <c r="F3" i="4"/>
  <c r="J3" i="4"/>
  <c r="N3" i="4"/>
  <c r="R3" i="4"/>
  <c r="V3" i="4"/>
  <c r="F4" i="4"/>
  <c r="J4" i="4"/>
  <c r="N4" i="4"/>
  <c r="R4" i="4"/>
  <c r="V4" i="4"/>
  <c r="E5" i="4"/>
  <c r="I5" i="4"/>
  <c r="M5" i="4"/>
  <c r="Q5" i="4"/>
  <c r="U5" i="4"/>
  <c r="F6" i="4"/>
  <c r="J6" i="4"/>
  <c r="N6" i="4"/>
  <c r="R6" i="4"/>
  <c r="V6" i="4"/>
  <c r="G7" i="4"/>
  <c r="K7" i="4"/>
  <c r="O7" i="4"/>
  <c r="S7" i="4"/>
  <c r="C8" i="4"/>
  <c r="H8" i="4"/>
  <c r="L8" i="4"/>
  <c r="P8" i="4"/>
  <c r="T8" i="4"/>
  <c r="E9" i="4"/>
  <c r="I9" i="4"/>
  <c r="M9" i="4"/>
  <c r="Q9" i="4"/>
  <c r="U9" i="4"/>
  <c r="C10" i="4"/>
  <c r="H10" i="4"/>
  <c r="L10" i="4"/>
  <c r="P10" i="4"/>
  <c r="T10" i="4"/>
  <c r="E11" i="4"/>
  <c r="I11" i="4"/>
  <c r="M11" i="4"/>
  <c r="Q11" i="4"/>
  <c r="U11" i="4"/>
  <c r="G3" i="4"/>
  <c r="K3" i="4"/>
  <c r="O3" i="4"/>
  <c r="S3" i="4"/>
  <c r="C3" i="4"/>
  <c r="G4" i="4"/>
  <c r="K4" i="4"/>
  <c r="O4" i="4"/>
  <c r="S4" i="4"/>
  <c r="F5" i="4"/>
  <c r="J5" i="4"/>
  <c r="N5" i="4"/>
  <c r="R5" i="4"/>
  <c r="V5" i="4"/>
  <c r="G6" i="4"/>
  <c r="K6" i="4"/>
  <c r="O6" i="4"/>
  <c r="S6" i="4"/>
  <c r="C7" i="4"/>
  <c r="H7" i="4"/>
  <c r="L7" i="4"/>
  <c r="P7" i="4"/>
  <c r="T7" i="4"/>
  <c r="E8" i="4"/>
  <c r="I8" i="4"/>
  <c r="M8" i="4"/>
  <c r="Q8" i="4"/>
  <c r="U8" i="4"/>
  <c r="F9" i="4"/>
  <c r="J9" i="4"/>
  <c r="N9" i="4"/>
  <c r="R9" i="4"/>
  <c r="V9" i="4"/>
  <c r="E10" i="4"/>
  <c r="I10" i="4"/>
  <c r="M10" i="4"/>
  <c r="Q10" i="4"/>
  <c r="U10" i="4"/>
  <c r="F11" i="4"/>
  <c r="J11" i="4"/>
  <c r="N11" i="4"/>
  <c r="R11" i="4"/>
  <c r="V11" i="4"/>
  <c r="T3" i="4"/>
  <c r="L3" i="4"/>
  <c r="P3" i="4"/>
  <c r="C2" i="3" l="1"/>
  <c r="B2" i="3" s="1"/>
  <c r="B7" i="3"/>
  <c r="B8" i="3"/>
  <c r="B9" i="3"/>
  <c r="B10" i="3"/>
  <c r="B11" i="3"/>
  <c r="B12" i="3"/>
  <c r="B13" i="3"/>
  <c r="B14" i="3"/>
  <c r="C4" i="3"/>
  <c r="B4" i="3" s="1"/>
  <c r="C5" i="3"/>
  <c r="B5" i="3" s="1"/>
  <c r="C6" i="3"/>
  <c r="B6" i="3" s="1"/>
  <c r="C7" i="3"/>
  <c r="C8" i="3"/>
  <c r="C9" i="3"/>
  <c r="C10" i="3"/>
  <c r="C11" i="3"/>
  <c r="C12" i="3"/>
  <c r="C13" i="3"/>
  <c r="C14" i="3"/>
  <c r="C15" i="3"/>
  <c r="C16" i="3"/>
  <c r="B16" i="3" s="1"/>
  <c r="C17" i="3"/>
  <c r="B17" i="3" s="1"/>
  <c r="C18" i="3"/>
  <c r="B18" i="3" s="1"/>
  <c r="C3" i="3"/>
  <c r="B3" i="3" s="1"/>
  <c r="AG5" i="1" l="1"/>
  <c r="AI5" i="1" s="1"/>
  <c r="AF5" i="1" l="1"/>
</calcChain>
</file>

<file path=xl/sharedStrings.xml><?xml version="1.0" encoding="utf-8"?>
<sst xmlns="http://schemas.openxmlformats.org/spreadsheetml/2006/main" count="360" uniqueCount="253">
  <si>
    <t>template</t>
  </si>
  <si>
    <t>name</t>
  </si>
  <si>
    <t>id</t>
  </si>
  <si>
    <t>voxel_size</t>
  </si>
  <si>
    <t>year</t>
  </si>
  <si>
    <t>end_year</t>
  </si>
  <si>
    <t>service</t>
  </si>
  <si>
    <t>cars</t>
  </si>
  <si>
    <t>power</t>
  </si>
  <si>
    <t>weight</t>
  </si>
  <si>
    <t>tender_weight</t>
  </si>
  <si>
    <t>tractive_effort</t>
  </si>
  <si>
    <t>speed</t>
  </si>
  <si>
    <t>length</t>
  </si>
  <si>
    <t>height</t>
  </si>
  <si>
    <t>na</t>
  </si>
  <si>
    <t>width</t>
  </si>
  <si>
    <t>articulated_lengths</t>
  </si>
  <si>
    <t>Length</t>
  </si>
  <si>
    <t>Configuration</t>
  </si>
  <si>
    <t>capacity</t>
  </si>
  <si>
    <t>te_coeff</t>
  </si>
  <si>
    <t>ttd_len</t>
  </si>
  <si>
    <t>animated</t>
  </si>
  <si>
    <t>type</t>
  </si>
  <si>
    <t>steam</t>
  </si>
  <si>
    <t>diesel</t>
  </si>
  <si>
    <t>railtype</t>
  </si>
  <si>
    <t>RAIL</t>
  </si>
  <si>
    <t>loading_speed</t>
  </si>
  <si>
    <t>cost</t>
  </si>
  <si>
    <t>running_cost</t>
  </si>
  <si>
    <t>wagon</t>
  </si>
  <si>
    <t>default_cargo</t>
  </si>
  <si>
    <t>PASS</t>
  </si>
  <si>
    <t>scale_len</t>
  </si>
  <si>
    <t>tender</t>
  </si>
  <si>
    <t>1,1,1</t>
  </si>
  <si>
    <t>electric</t>
  </si>
  <si>
    <t>TTD Length</t>
  </si>
  <si>
    <t>Voxel Size</t>
  </si>
  <si>
    <t>Voxel Size (calculated)</t>
  </si>
  <si>
    <t>Voxel size (observed)</t>
  </si>
  <si>
    <t>2,2,2</t>
  </si>
  <si>
    <t>double_headed</t>
  </si>
  <si>
    <t>Start Year</t>
  </si>
  <si>
    <t>Name</t>
  </si>
  <si>
    <t>Edwardian (1900-1920)</t>
  </si>
  <si>
    <t>Early BR (1948-1955)</t>
  </si>
  <si>
    <t>Privatisation (1995-2005)</t>
  </si>
  <si>
    <t>Modern (2005-)</t>
  </si>
  <si>
    <t>ID</t>
  </si>
  <si>
    <t>early</t>
  </si>
  <si>
    <t>edw</t>
  </si>
  <si>
    <t>big4</t>
  </si>
  <si>
    <t>dsl</t>
  </si>
  <si>
    <t>prv</t>
  </si>
  <si>
    <t>mod</t>
  </si>
  <si>
    <t>era_id</t>
  </si>
  <si>
    <t>Era</t>
  </si>
  <si>
    <t>(name)</t>
  </si>
  <si>
    <t>Cheap</t>
  </si>
  <si>
    <t>Mixed Traffic</t>
  </si>
  <si>
    <t>Express</t>
  </si>
  <si>
    <t>Freight</t>
  </si>
  <si>
    <t>DMU (Cheap)</t>
  </si>
  <si>
    <t>DMU</t>
  </si>
  <si>
    <t>DMU (Express)</t>
  </si>
  <si>
    <t>EMU</t>
  </si>
  <si>
    <t>EMU (Express)</t>
  </si>
  <si>
    <t>Carriage</t>
  </si>
  <si>
    <t>Mail Carriage</t>
  </si>
  <si>
    <t>MT (Electric)</t>
  </si>
  <si>
    <t>Express (Electric)</t>
  </si>
  <si>
    <t>Freight (Electric)</t>
  </si>
  <si>
    <t>Open Wagon</t>
  </si>
  <si>
    <t>Flat Wagon</t>
  </si>
  <si>
    <t>Van</t>
  </si>
  <si>
    <t>Tanker</t>
  </si>
  <si>
    <t>category</t>
  </si>
  <si>
    <t>LU</t>
  </si>
  <si>
    <t>era_cat</t>
  </si>
  <si>
    <t>additional_text</t>
  </si>
  <si>
    <t>steam_psi</t>
  </si>
  <si>
    <t>rpm</t>
  </si>
  <si>
    <t>cyl_len</t>
  </si>
  <si>
    <t>cyl_n</t>
  </si>
  <si>
    <t>ihp</t>
  </si>
  <si>
    <t>cyl_d</t>
  </si>
  <si>
    <t>wheel_d</t>
  </si>
  <si>
    <t>Passenger</t>
  </si>
  <si>
    <t>speed_conf</t>
  </si>
  <si>
    <t>Victorian (1850-1900)</t>
  </si>
  <si>
    <t>Early (1800-1850)</t>
  </si>
  <si>
    <t>vct</t>
  </si>
  <si>
    <t>layout</t>
  </si>
  <si>
    <t>new_sprites</t>
  </si>
  <si>
    <t>Big Four (1923-1948)</t>
  </si>
  <si>
    <t>reuse_sprites</t>
  </si>
  <si>
    <t>Tender Configuration</t>
  </si>
  <si>
    <t>dual_power</t>
  </si>
  <si>
    <t>secondary_power</t>
  </si>
  <si>
    <t>dual_electric</t>
  </si>
  <si>
    <t>pantograph_unit</t>
  </si>
  <si>
    <t>dvt</t>
  </si>
  <si>
    <t>ebr</t>
  </si>
  <si>
    <t>lbr</t>
  </si>
  <si>
    <t>Late BR (1970-1995)</t>
  </si>
  <si>
    <t>Dieselisation (1955-1970)</t>
  </si>
  <si>
    <t>eurostar</t>
  </si>
  <si>
    <t>tilting</t>
  </si>
  <si>
    <t>apt</t>
  </si>
  <si>
    <t>apt_mid</t>
  </si>
  <si>
    <t>APT</t>
  </si>
  <si>
    <t>apt_rear</t>
  </si>
  <si>
    <t>apt_power</t>
  </si>
  <si>
    <t>apt_tbf</t>
  </si>
  <si>
    <t>apt_tbf_rev</t>
  </si>
  <si>
    <t>manual_lengths</t>
  </si>
  <si>
    <t>Eurostar</t>
  </si>
  <si>
    <t>Names</t>
  </si>
  <si>
    <t>Newsprites</t>
  </si>
  <si>
    <t>TTD length</t>
  </si>
  <si>
    <t>Articulation</t>
  </si>
  <si>
    <t>eurostar_mid</t>
  </si>
  <si>
    <t>eurostar_motor</t>
  </si>
  <si>
    <t>eurostar_tbk</t>
  </si>
  <si>
    <t>eurostar_motor_rev</t>
  </si>
  <si>
    <t>eurostar_rear</t>
  </si>
  <si>
    <t>Eurostar (8 car)</t>
  </si>
  <si>
    <t>Extra</t>
  </si>
  <si>
    <t>4,4,4</t>
  </si>
  <si>
    <t>2,4,2</t>
  </si>
  <si>
    <t>4,6,4</t>
  </si>
  <si>
    <t>2,5,2</t>
  </si>
  <si>
    <t>2,3,2</t>
  </si>
  <si>
    <t>4,2,4</t>
  </si>
  <si>
    <t>2,1,2</t>
  </si>
  <si>
    <t>4,3,4</t>
  </si>
  <si>
    <t>4,5,4</t>
  </si>
  <si>
    <t>4,7,4</t>
  </si>
  <si>
    <t>4,8,4</t>
  </si>
  <si>
    <t>1,2,1</t>
  </si>
  <si>
    <t>numeric_id</t>
  </si>
  <si>
    <t>Passengers</t>
  </si>
  <si>
    <t>Petrol</t>
  </si>
  <si>
    <t>cargo_handling</t>
  </si>
  <si>
    <t>vehicle_life</t>
  </si>
  <si>
    <t>run_cost_penalty</t>
  </si>
  <si>
    <t>speed_cost_factor</t>
  </si>
  <si>
    <t>power_cost_factor</t>
  </si>
  <si>
    <t>te_cost_factor</t>
  </si>
  <si>
    <t>Running Cost Base</t>
  </si>
  <si>
    <t>Cost Base</t>
  </si>
  <si>
    <t>year_multiplier</t>
  </si>
  <si>
    <t>type_run_cost</t>
  </si>
  <si>
    <t>Type</t>
  </si>
  <si>
    <t>Running cost factor</t>
  </si>
  <si>
    <t>Purchase cost factor</t>
  </si>
  <si>
    <t>type_purchase_cost</t>
  </si>
  <si>
    <t>capacity_factor</t>
  </si>
  <si>
    <t>carriage</t>
  </si>
  <si>
    <t>luxury_carriage</t>
  </si>
  <si>
    <t>brake</t>
  </si>
  <si>
    <t>tube</t>
  </si>
  <si>
    <t>purchase_penalty</t>
  </si>
  <si>
    <t>multiple_working</t>
  </si>
  <si>
    <t>lifespan</t>
  </si>
  <si>
    <t>bio</t>
  </si>
  <si>
    <t>requires_second_power_car</t>
  </si>
  <si>
    <t>enable_param</t>
  </si>
  <si>
    <t>units_text</t>
  </si>
  <si>
    <t>brake_text</t>
  </si>
  <si>
    <t>intro_month</t>
  </si>
  <si>
    <t>cargo_age_period</t>
  </si>
  <si>
    <t>replace_last_wagon</t>
  </si>
  <si>
    <t>cost_gbp</t>
  </si>
  <si>
    <t>run_cost_gbp</t>
  </si>
  <si>
    <t>power_text</t>
  </si>
  <si>
    <t>power_type</t>
  </si>
  <si>
    <t>power_desc</t>
  </si>
  <si>
    <t>diesel_RAIL</t>
  </si>
  <si>
    <t>steam_RAIL</t>
  </si>
  <si>
    <t>electric_ELRL</t>
  </si>
  <si>
    <t>power_class</t>
  </si>
  <si>
    <t>tender_RAIL</t>
  </si>
  <si>
    <t>carriage_RAIL</t>
  </si>
  <si>
    <t>luxury_carriage_RAIL</t>
  </si>
  <si>
    <t>wagon_RAIL</t>
  </si>
  <si>
    <t>steam_NGRL</t>
  </si>
  <si>
    <t>Diesel</t>
  </si>
  <si>
    <t>Steam</t>
  </si>
  <si>
    <t>25kV AC</t>
  </si>
  <si>
    <t>750V DC</t>
  </si>
  <si>
    <t>electric_THIRD_RAIL</t>
  </si>
  <si>
    <t>dual_power_RAIL</t>
  </si>
  <si>
    <t>750V DC / Diesel</t>
  </si>
  <si>
    <t>dual_electric_DUAL_POWER</t>
  </si>
  <si>
    <t>25kV AC / 750V DC</t>
  </si>
  <si>
    <t>brake_RAIL</t>
  </si>
  <si>
    <t>tube_RAIL</t>
  </si>
  <si>
    <t>_</t>
  </si>
  <si>
    <t>petrol</t>
  </si>
  <si>
    <t>petrol_RAIL</t>
  </si>
  <si>
    <t>Eurostar (5 car)</t>
  </si>
  <si>
    <t>manual_ttd_len</t>
  </si>
  <si>
    <t>dual_power_ELRL</t>
  </si>
  <si>
    <t>25kV AC / Diesel</t>
  </si>
  <si>
    <t>stadler_class_755</t>
  </si>
  <si>
    <t>Class 755</t>
  </si>
  <si>
    <t>stadler_class_755_rear</t>
  </si>
  <si>
    <t>stadler_class_755_mid</t>
  </si>
  <si>
    <t>stadler_class_755_mid_rev</t>
  </si>
  <si>
    <t>stadler_class_755_motor</t>
  </si>
  <si>
    <t>effect_unit</t>
  </si>
  <si>
    <t>lpgflywheel</t>
  </si>
  <si>
    <t>lpgflywheel_RAIL</t>
  </si>
  <si>
    <t>LPG / Flywheel</t>
  </si>
  <si>
    <t>steam_PLATEWAY</t>
  </si>
  <si>
    <t>wagon_PLATEWAY</t>
  </si>
  <si>
    <t>carriage_PLATEWAY</t>
  </si>
  <si>
    <t>horses</t>
  </si>
  <si>
    <t>Grass and hay</t>
  </si>
  <si>
    <t>horses_PLATEWAY</t>
  </si>
  <si>
    <t>tube_FOURTH_RAIL</t>
  </si>
  <si>
    <t>630V DC</t>
  </si>
  <si>
    <t>brake_PLATEWAY</t>
  </si>
  <si>
    <t>carriage_FOURTH_RAIL</t>
  </si>
  <si>
    <t>passenger_carriage_non_corridor</t>
  </si>
  <si>
    <t>BR Mk1 suburban carriage</t>
  </si>
  <si>
    <t>passenger_coach_mk1_suburban</t>
  </si>
  <si>
    <t>Non-corridor carriages allow greater seating density, at the cost of passenger comfort.</t>
  </si>
  <si>
    <t>BR built many suburban MK1 carriages with no gangways, although typically only one or two would be used per train across most of the country.</t>
  </si>
  <si>
    <t>Non-corridor carriage</t>
  </si>
  <si>
    <t>multiple_unit</t>
  </si>
  <si>
    <t>Pressed Steel Class 117</t>
  </si>
  <si>
    <t>class_117</t>
  </si>
  <si>
    <t>class_117,class_117_mid,class_117_rev</t>
  </si>
  <si>
    <t>The Class 117 was built under licence by Pressed Steel, being a variant of the Class 116 built by BRCW Derby.</t>
  </si>
  <si>
    <t>locomotive</t>
  </si>
  <si>
    <t>LSWR F9 "Bug"</t>
  </si>
  <si>
    <t>lswr_f9</t>
  </si>
  <si>
    <t>The F9 was Dugald Drummond's personal locomotive, allowing him to travel across the LSWR for inspections. After Drummond it only saw occasional use at Southampton Docks.</t>
  </si>
  <si>
    <t>pony</t>
  </si>
  <si>
    <t>Pony</t>
  </si>
  <si>
    <t>NGRL</t>
  </si>
  <si>
    <t>horses_NGRL</t>
  </si>
  <si>
    <t>A smaller horse for a smaller railway.</t>
  </si>
  <si>
    <t>Open wagon</t>
  </si>
  <si>
    <t>EarlyOpen</t>
  </si>
  <si>
    <t>COAL</t>
  </si>
  <si>
    <t>open_wagon_ng</t>
  </si>
  <si>
    <t>An open wagon for carrying bulk cargo on narrow gauge railways.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</si>
</sst>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£&quot;#,##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0" fontId="0" fillId="0" borderId="0" xfId="0" applyFont="1"/>
    <xf numFmtId="2" fontId="1" fillId="0" borderId="0" xfId="0" applyNumberFormat="1" applyFont="1"/>
    <xf numFmtId="2" fontId="0" fillId="0" borderId="0" xfId="0" applyNumberFormat="1"/>
    <xf numFmtId="0" fontId="1" fillId="2" borderId="1" xfId="0" applyFont="1" applyFill="1" applyBorder="1"/>
    <xf numFmtId="0" fontId="0" fillId="2" borderId="1" xfId="0" applyFill="1" applyBorder="1"/>
    <xf numFmtId="0" fontId="1" fillId="3" borderId="1" xfId="0" applyFont="1" applyFill="1" applyBorder="1"/>
    <xf numFmtId="0" fontId="0" fillId="3" borderId="1" xfId="0" applyFill="1" applyBorder="1"/>
    <xf numFmtId="0" fontId="1" fillId="4" borderId="1" xfId="0" applyFont="1" applyFill="1" applyBorder="1"/>
    <xf numFmtId="0" fontId="0" fillId="4" borderId="1" xfId="0" applyFill="1" applyBorder="1"/>
    <xf numFmtId="0" fontId="1" fillId="5" borderId="1" xfId="0" applyFont="1" applyFill="1" applyBorder="1"/>
    <xf numFmtId="0" fontId="0" fillId="5" borderId="1" xfId="0" applyFill="1" applyBorder="1"/>
    <xf numFmtId="164" fontId="0" fillId="0" borderId="0" xfId="0" applyNumberFormat="1"/>
    <xf numFmtId="1" fontId="0" fillId="2" borderId="1" xfId="0" applyNumberFormat="1" applyFill="1" applyBorder="1"/>
  </cellXfs>
  <cellStyles count="1">
    <cellStyle name="Normal" xfId="0" builtinId="0"/>
  </cellStyles>
  <dxfs count="2">
    <dxf>
      <font>
        <color rgb="FF9C0006"/>
      </font>
      <fill>
        <patternFill patternType="none">
          <bgColor auto="1"/>
        </patternFill>
      </fill>
    </dxf>
    <dxf>
      <font>
        <color rgb="FF9C0006"/>
      </font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cking%20Tabl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"/>
      <sheetName val="Gameplay Planning"/>
      <sheetName val="Eras"/>
      <sheetName val="Constants"/>
      <sheetName val="Voxel Sizes"/>
      <sheetName val="Long unit configs"/>
      <sheetName val="Cargo table"/>
    </sheetNames>
    <sheetDataSet>
      <sheetData sheetId="0"/>
      <sheetData sheetId="1"/>
      <sheetData sheetId="2">
        <row r="2">
          <cell r="A2">
            <v>1700</v>
          </cell>
          <cell r="B2" t="str">
            <v>early</v>
          </cell>
          <cell r="C2" t="str">
            <v>Early (1800-1850)</v>
          </cell>
        </row>
        <row r="3">
          <cell r="A3">
            <v>1850</v>
          </cell>
          <cell r="B3" t="str">
            <v>vct</v>
          </cell>
          <cell r="C3" t="str">
            <v>Victorian (1850-1900)</v>
          </cell>
        </row>
        <row r="4">
          <cell r="A4">
            <v>1900</v>
          </cell>
          <cell r="B4" t="str">
            <v>edw</v>
          </cell>
          <cell r="C4" t="str">
            <v>Edwardian (1900-1920)</v>
          </cell>
        </row>
        <row r="5">
          <cell r="A5">
            <v>1923</v>
          </cell>
          <cell r="B5" t="str">
            <v>big4</v>
          </cell>
          <cell r="C5" t="str">
            <v>Big Four (1923-1948)</v>
          </cell>
        </row>
        <row r="6">
          <cell r="A6">
            <v>1948</v>
          </cell>
          <cell r="B6" t="str">
            <v>ebr</v>
          </cell>
          <cell r="C6" t="str">
            <v>Early BR (1948-1955)</v>
          </cell>
        </row>
        <row r="7">
          <cell r="A7">
            <v>1955</v>
          </cell>
          <cell r="B7" t="str">
            <v>dsl</v>
          </cell>
          <cell r="C7" t="str">
            <v>Dieselisation (1955-1970)</v>
          </cell>
        </row>
        <row r="8">
          <cell r="A8">
            <v>1970</v>
          </cell>
          <cell r="B8" t="str">
            <v>lbr</v>
          </cell>
          <cell r="C8" t="str">
            <v>Late BR (1970-1995)</v>
          </cell>
        </row>
        <row r="9">
          <cell r="A9">
            <v>1995</v>
          </cell>
          <cell r="B9" t="str">
            <v>prv</v>
          </cell>
          <cell r="C9" t="str">
            <v>Privatisation (1995-2005)</v>
          </cell>
        </row>
        <row r="10">
          <cell r="A10">
            <v>2005</v>
          </cell>
          <cell r="B10" t="str">
            <v>mod</v>
          </cell>
          <cell r="C10" t="str">
            <v>Modern (2005-)</v>
          </cell>
        </row>
      </sheetData>
      <sheetData sheetId="3">
        <row r="1">
          <cell r="G1">
            <v>15</v>
          </cell>
          <cell r="I1" t="str">
            <v>Type</v>
          </cell>
          <cell r="J1" t="str">
            <v>Running cost factor</v>
          </cell>
          <cell r="K1" t="str">
            <v>Purchase cost factor</v>
          </cell>
          <cell r="M1" t="str">
            <v>power_type</v>
          </cell>
          <cell r="N1" t="str">
            <v>power_desc</v>
          </cell>
        </row>
        <row r="2">
          <cell r="A2">
            <v>0</v>
          </cell>
          <cell r="B2" t="str">
            <v>na</v>
          </cell>
          <cell r="G2">
            <v>5</v>
          </cell>
          <cell r="I2" t="str">
            <v>diesel</v>
          </cell>
          <cell r="J2">
            <v>1</v>
          </cell>
          <cell r="K2">
            <v>2</v>
          </cell>
          <cell r="M2" t="str">
            <v>diesel_RAIL</v>
          </cell>
          <cell r="N2" t="str">
            <v>{BLACK}Powered by: {GOLD}Diesel</v>
          </cell>
        </row>
        <row r="3">
          <cell r="A3">
            <v>3</v>
          </cell>
          <cell r="B3" t="str">
            <v>1,1,1</v>
          </cell>
          <cell r="C3" t="str">
            <v>1,1,1</v>
          </cell>
          <cell r="I3" t="str">
            <v>electric</v>
          </cell>
          <cell r="J3">
            <v>0.85</v>
          </cell>
          <cell r="K3">
            <v>2.2999999999999998</v>
          </cell>
          <cell r="M3" t="str">
            <v>steam_RAIL</v>
          </cell>
          <cell r="N3" t="str">
            <v>{BLACK}Powered by: {GOLD}Steam</v>
          </cell>
        </row>
        <row r="4">
          <cell r="A4">
            <v>4</v>
          </cell>
          <cell r="B4" t="str">
            <v>1,2,1</v>
          </cell>
          <cell r="C4" t="str">
            <v>1,2,1</v>
          </cell>
          <cell r="I4" t="str">
            <v>steam</v>
          </cell>
          <cell r="J4">
            <v>1.1499999999999999</v>
          </cell>
          <cell r="K4">
            <v>1.7</v>
          </cell>
          <cell r="M4" t="str">
            <v>electric_ELRL</v>
          </cell>
          <cell r="N4" t="str">
            <v>{BLACK}Powered by: {GOLD}25kV AC</v>
          </cell>
        </row>
        <row r="5">
          <cell r="A5">
            <v>5</v>
          </cell>
          <cell r="B5" t="str">
            <v>2,1,2</v>
          </cell>
          <cell r="C5" t="str">
            <v>2,1,2</v>
          </cell>
          <cell r="I5" t="str">
            <v>dual_power</v>
          </cell>
          <cell r="J5">
            <v>0.9</v>
          </cell>
          <cell r="K5">
            <v>2.5</v>
          </cell>
          <cell r="M5" t="str">
            <v>electric_THIRD_RAIL</v>
          </cell>
          <cell r="N5" t="str">
            <v>{BLACK}Powered by: {GOLD}750V DC</v>
          </cell>
        </row>
        <row r="6">
          <cell r="A6">
            <v>6</v>
          </cell>
          <cell r="B6" t="str">
            <v>2,2,2</v>
          </cell>
          <cell r="C6" t="str">
            <v>2,2,2</v>
          </cell>
          <cell r="I6" t="str">
            <v>dual_electric</v>
          </cell>
          <cell r="J6">
            <v>0.85</v>
          </cell>
          <cell r="K6">
            <v>2.4</v>
          </cell>
          <cell r="M6" t="str">
            <v>tender_RAIL</v>
          </cell>
          <cell r="N6" t="str">
            <v/>
          </cell>
        </row>
        <row r="7">
          <cell r="A7">
            <v>7</v>
          </cell>
          <cell r="B7" t="str">
            <v>2,3,2</v>
          </cell>
          <cell r="C7" t="str">
            <v>2,3,2</v>
          </cell>
          <cell r="I7" t="str">
            <v>carriage</v>
          </cell>
          <cell r="J7">
            <v>1.2</v>
          </cell>
          <cell r="K7">
            <v>0.6</v>
          </cell>
          <cell r="M7" t="str">
            <v>carriage_RAIL</v>
          </cell>
          <cell r="N7" t="str">
            <v/>
          </cell>
        </row>
        <row r="8">
          <cell r="A8">
            <v>8</v>
          </cell>
          <cell r="B8" t="str">
            <v>2,4,2</v>
          </cell>
          <cell r="C8" t="str">
            <v>2,4,2</v>
          </cell>
          <cell r="I8" t="str">
            <v>luxury_carriage</v>
          </cell>
          <cell r="J8">
            <v>1.5</v>
          </cell>
          <cell r="K8">
            <v>0.7</v>
          </cell>
          <cell r="M8" t="str">
            <v>luxury_carriage_RAIL</v>
          </cell>
          <cell r="N8" t="str">
            <v/>
          </cell>
        </row>
        <row r="9">
          <cell r="A9">
            <v>9</v>
          </cell>
          <cell r="B9" t="str">
            <v>2,5,2</v>
          </cell>
          <cell r="C9" t="str">
            <v>2,5,2</v>
          </cell>
          <cell r="I9" t="str">
            <v>wagon</v>
          </cell>
          <cell r="J9">
            <v>1</v>
          </cell>
          <cell r="K9">
            <v>0.45</v>
          </cell>
          <cell r="M9" t="str">
            <v>wagon_RAIL</v>
          </cell>
          <cell r="N9" t="str">
            <v/>
          </cell>
        </row>
        <row r="10">
          <cell r="A10">
            <v>10</v>
          </cell>
          <cell r="B10" t="str">
            <v>4,2,4</v>
          </cell>
          <cell r="C10" t="str">
            <v>4,2,4</v>
          </cell>
          <cell r="I10" t="str">
            <v>brake</v>
          </cell>
          <cell r="J10">
            <v>1</v>
          </cell>
          <cell r="K10">
            <v>0.4</v>
          </cell>
          <cell r="M10" t="str">
            <v>steam_NGRL</v>
          </cell>
          <cell r="N10" t="str">
            <v/>
          </cell>
        </row>
        <row r="11">
          <cell r="A11">
            <v>11</v>
          </cell>
          <cell r="B11" t="str">
            <v>4,3,4</v>
          </cell>
          <cell r="C11" t="str">
            <v>4,3,4</v>
          </cell>
          <cell r="I11" t="str">
            <v>tube</v>
          </cell>
          <cell r="J11">
            <v>0.9</v>
          </cell>
          <cell r="K11">
            <v>1.6</v>
          </cell>
          <cell r="M11" t="str">
            <v>dual_power_RAIL</v>
          </cell>
          <cell r="N11" t="str">
            <v>{BLACK}Powered by: {GOLD}750V DC / Diesel</v>
          </cell>
        </row>
        <row r="12">
          <cell r="A12">
            <v>12</v>
          </cell>
          <cell r="B12" t="str">
            <v>4,4,4</v>
          </cell>
          <cell r="C12" t="str">
            <v>4,4,4</v>
          </cell>
          <cell r="I12" t="str">
            <v>tender</v>
          </cell>
          <cell r="J12">
            <v>0</v>
          </cell>
          <cell r="K12">
            <v>0</v>
          </cell>
          <cell r="M12" t="str">
            <v>dual_electric_DUAL_POWER</v>
          </cell>
          <cell r="N12" t="str">
            <v>{BLACK}Powered by: {GOLD}25kV AC / 750V DC</v>
          </cell>
        </row>
        <row r="13">
          <cell r="A13">
            <v>13</v>
          </cell>
          <cell r="B13" t="str">
            <v>4,5,4</v>
          </cell>
          <cell r="C13" t="str">
            <v>4,5,4</v>
          </cell>
          <cell r="I13" t="str">
            <v>petrol</v>
          </cell>
          <cell r="J13">
            <v>1.05</v>
          </cell>
          <cell r="K13">
            <v>1.9</v>
          </cell>
          <cell r="M13" t="str">
            <v>brake_RAIL</v>
          </cell>
          <cell r="N13" t="str">
            <v/>
          </cell>
        </row>
        <row r="14">
          <cell r="A14">
            <v>14</v>
          </cell>
          <cell r="B14" t="str">
            <v>4,6,4</v>
          </cell>
          <cell r="C14" t="str">
            <v>4,6,4</v>
          </cell>
          <cell r="I14" t="str">
            <v>lpgflywheel</v>
          </cell>
          <cell r="J14">
            <v>0.98</v>
          </cell>
          <cell r="K14">
            <v>1.88</v>
          </cell>
          <cell r="M14" t="str">
            <v>tube_RAIL</v>
          </cell>
          <cell r="N14" t="str">
            <v/>
          </cell>
        </row>
        <row r="15">
          <cell r="A15">
            <v>15</v>
          </cell>
          <cell r="B15" t="str">
            <v>4,7,4</v>
          </cell>
          <cell r="C15" t="str">
            <v>4,7,4</v>
          </cell>
          <cell r="I15" t="str">
            <v>horses</v>
          </cell>
          <cell r="J15">
            <v>0.5</v>
          </cell>
          <cell r="K15">
            <v>0.5</v>
          </cell>
          <cell r="M15" t="str">
            <v>_</v>
          </cell>
          <cell r="N15" t="str">
            <v/>
          </cell>
        </row>
        <row r="16">
          <cell r="A16">
            <v>16</v>
          </cell>
          <cell r="B16" t="str">
            <v>4,8,4</v>
          </cell>
          <cell r="C16" t="str">
            <v>4,8,4</v>
          </cell>
          <cell r="I16" t="str">
            <v>none</v>
          </cell>
          <cell r="J16">
            <v>0.85</v>
          </cell>
          <cell r="K16">
            <v>2.2999999999999998</v>
          </cell>
          <cell r="M16" t="str">
            <v>petrol_RAIL</v>
          </cell>
          <cell r="N16" t="str">
            <v>{BLACK}Powered by: {GOLD}Petrol</v>
          </cell>
        </row>
        <row r="17">
          <cell r="M17" t="str">
            <v>dual_power_ELRL</v>
          </cell>
          <cell r="N17" t="str">
            <v>{BLACK}Powered by: {GOLD}25kV AC / Diesel</v>
          </cell>
        </row>
        <row r="18">
          <cell r="M18" t="str">
            <v>lpgflywheel_RAIL</v>
          </cell>
          <cell r="N18" t="str">
            <v>{BLACK}Powered by: {GOLD}LPG / Flywheel</v>
          </cell>
        </row>
        <row r="19">
          <cell r="M19" t="str">
            <v>wagon_PLATEWAY</v>
          </cell>
          <cell r="N19" t="str">
            <v/>
          </cell>
        </row>
        <row r="20">
          <cell r="M20" t="str">
            <v>steam_PLATEWAY</v>
          </cell>
          <cell r="N20" t="str">
            <v>{BLACK}Powered by: {GOLD}Steam</v>
          </cell>
        </row>
        <row r="21">
          <cell r="M21" t="str">
            <v>carriage_PLATEWAY</v>
          </cell>
          <cell r="N21" t="str">
            <v/>
          </cell>
        </row>
        <row r="22">
          <cell r="M22" t="str">
            <v>horses_PLATEWAY</v>
          </cell>
          <cell r="N22" t="str">
            <v>{BLACK}Powered by: {GOLD}Grass and hay</v>
          </cell>
        </row>
        <row r="23">
          <cell r="M23" t="str">
            <v>tube_FOURTH_RAIL</v>
          </cell>
          <cell r="N23" t="str">
            <v>{BLACK}Powered by: {GOLD}630V DC</v>
          </cell>
        </row>
        <row r="24">
          <cell r="M24" t="str">
            <v>brake_PLATEWAY</v>
          </cell>
          <cell r="N24" t="str">
            <v/>
          </cell>
        </row>
        <row r="25">
          <cell r="M25" t="str">
            <v>carriage_FOURTH_RAIL</v>
          </cell>
          <cell r="N25" t="str">
            <v/>
          </cell>
        </row>
        <row r="26">
          <cell r="M26" t="str">
            <v>none_RAIL</v>
          </cell>
          <cell r="N26" t="str">
            <v/>
          </cell>
        </row>
        <row r="27">
          <cell r="N27" t="str">
            <v/>
          </cell>
        </row>
      </sheetData>
      <sheetData sheetId="4">
        <row r="2">
          <cell r="A2">
            <v>0</v>
          </cell>
          <cell r="B2">
            <v>0</v>
          </cell>
        </row>
        <row r="3">
          <cell r="A3">
            <v>1</v>
          </cell>
          <cell r="B3">
            <v>17</v>
          </cell>
        </row>
        <row r="4">
          <cell r="A4">
            <v>2</v>
          </cell>
          <cell r="B4">
            <v>34</v>
          </cell>
        </row>
        <row r="5">
          <cell r="A5">
            <v>3</v>
          </cell>
          <cell r="B5">
            <v>51</v>
          </cell>
        </row>
        <row r="6">
          <cell r="A6">
            <v>4</v>
          </cell>
          <cell r="B6">
            <v>60</v>
          </cell>
        </row>
        <row r="7">
          <cell r="A7">
            <v>5</v>
          </cell>
          <cell r="B7">
            <v>82</v>
          </cell>
        </row>
        <row r="8">
          <cell r="A8">
            <v>6</v>
          </cell>
          <cell r="B8">
            <v>102</v>
          </cell>
        </row>
        <row r="9">
          <cell r="A9">
            <v>7</v>
          </cell>
          <cell r="B9">
            <v>120</v>
          </cell>
        </row>
        <row r="10">
          <cell r="A10">
            <v>8</v>
          </cell>
          <cell r="B10">
            <v>136</v>
          </cell>
        </row>
        <row r="11">
          <cell r="A11">
            <v>9</v>
          </cell>
          <cell r="B11">
            <v>152</v>
          </cell>
        </row>
        <row r="12">
          <cell r="A12">
            <v>10</v>
          </cell>
          <cell r="B12">
            <v>164</v>
          </cell>
        </row>
        <row r="13">
          <cell r="A13">
            <v>11</v>
          </cell>
          <cell r="B13">
            <v>186</v>
          </cell>
        </row>
        <row r="14">
          <cell r="A14">
            <v>12</v>
          </cell>
          <cell r="B14">
            <v>198</v>
          </cell>
        </row>
        <row r="15">
          <cell r="A15">
            <v>13</v>
          </cell>
          <cell r="B15">
            <v>214</v>
          </cell>
        </row>
        <row r="16">
          <cell r="A16">
            <v>14</v>
          </cell>
          <cell r="B16">
            <v>238</v>
          </cell>
        </row>
        <row r="17">
          <cell r="A17">
            <v>15</v>
          </cell>
          <cell r="B17">
            <v>256</v>
          </cell>
        </row>
        <row r="18">
          <cell r="A18">
            <v>16</v>
          </cell>
          <cell r="B18">
            <v>273</v>
          </cell>
        </row>
      </sheetData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4484E-E1B2-427F-98E4-5716615284B1}">
  <sheetPr codeName="Sheet1"/>
  <dimension ref="A1:BZ7"/>
  <sheetViews>
    <sheetView tabSelected="1" workbookViewId="0">
      <pane xSplit="1" ySplit="1" topLeftCell="V2" activePane="bottomRight" state="frozenSplit"/>
      <selection pane="topRight" activeCell="B1" sqref="B1"/>
      <selection pane="bottomLeft" activeCell="A2" sqref="A2"/>
      <selection pane="bottomRight" activeCell="Y5" sqref="Y5"/>
    </sheetView>
  </sheetViews>
  <sheetFormatPr defaultRowHeight="15" x14ac:dyDescent="0.25"/>
  <cols>
    <col min="1" max="1" width="37.140625" bestFit="1" customWidth="1"/>
    <col min="2" max="2" width="28.28515625" bestFit="1" customWidth="1"/>
    <col min="3" max="4" width="13.28515625" bestFit="1" customWidth="1"/>
    <col min="5" max="5" width="14.7109375" bestFit="1" customWidth="1"/>
    <col min="6" max="6" width="13.42578125" bestFit="1" customWidth="1"/>
    <col min="11" max="11" width="10.85546875" bestFit="1" customWidth="1"/>
    <col min="12" max="12" width="10.85546875" style="8" customWidth="1"/>
    <col min="13" max="13" width="5.140625" style="6" bestFit="1" customWidth="1"/>
    <col min="14" max="14" width="7.28515625" style="6" bestFit="1" customWidth="1"/>
    <col min="15" max="15" width="5.5703125" style="6" bestFit="1" customWidth="1"/>
    <col min="16" max="16" width="10" style="6" bestFit="1" customWidth="1"/>
    <col min="17" max="17" width="7.7109375" style="6" bestFit="1" customWidth="1"/>
    <col min="18" max="18" width="11" style="6" bestFit="1" customWidth="1"/>
    <col min="19" max="19" width="7.7109375" style="6" customWidth="1"/>
    <col min="20" max="20" width="10" bestFit="1" customWidth="1"/>
    <col min="21" max="21" width="10" style="8" customWidth="1"/>
    <col min="22" max="22" width="13.28515625" customWidth="1"/>
    <col min="23" max="23" width="18" bestFit="1" customWidth="1"/>
    <col min="24" max="24" width="8.42578125" style="4" bestFit="1" customWidth="1"/>
    <col min="25" max="25" width="12.42578125" bestFit="1" customWidth="1"/>
    <col min="26" max="26" width="12.42578125" customWidth="1"/>
    <col min="27" max="27" width="10.5703125" bestFit="1" customWidth="1"/>
    <col min="28" max="28" width="9.28515625" bestFit="1" customWidth="1"/>
    <col min="29" max="29" width="10.5703125" customWidth="1"/>
    <col min="30" max="30" width="10.42578125" bestFit="1" customWidth="1"/>
    <col min="31" max="31" width="9.140625" style="10"/>
    <col min="32" max="32" width="10.28515625" bestFit="1" customWidth="1"/>
    <col min="33" max="33" width="10.28515625" customWidth="1"/>
    <col min="34" max="34" width="26.85546875" customWidth="1"/>
    <col min="35" max="35" width="18.42578125" bestFit="1" customWidth="1"/>
    <col min="36" max="36" width="18.42578125" customWidth="1"/>
    <col min="37" max="38" width="18.42578125" style="12" customWidth="1"/>
    <col min="39" max="39" width="31.140625" customWidth="1"/>
    <col min="40" max="40" width="17" customWidth="1"/>
    <col min="41" max="41" width="11.85546875" bestFit="1" customWidth="1"/>
    <col min="42" max="42" width="13.140625" bestFit="1" customWidth="1"/>
    <col min="43" max="43" width="9.42578125" bestFit="1" customWidth="1"/>
    <col min="44" max="46" width="9.42578125" customWidth="1"/>
    <col min="47" max="47" width="18.7109375" bestFit="1" customWidth="1"/>
    <col min="48" max="48" width="19.140625" bestFit="1" customWidth="1"/>
    <col min="49" max="49" width="15" customWidth="1"/>
    <col min="50" max="50" width="10" customWidth="1"/>
    <col min="51" max="51" width="9.140625" customWidth="1"/>
    <col min="52" max="52" width="9.7109375" customWidth="1"/>
    <col min="53" max="53" width="12.42578125" customWidth="1"/>
    <col min="54" max="55" width="16" customWidth="1"/>
    <col min="57" max="57" width="11" bestFit="1" customWidth="1"/>
    <col min="58" max="59" width="11" customWidth="1"/>
    <col min="65" max="65" width="31.140625" customWidth="1"/>
    <col min="67" max="67" width="19.140625" bestFit="1" customWidth="1"/>
    <col min="68" max="68" width="16.85546875" bestFit="1" customWidth="1"/>
    <col min="69" max="69" width="15.5703125" bestFit="1" customWidth="1"/>
    <col min="71" max="71" width="15.7109375" bestFit="1" customWidth="1"/>
    <col min="72" max="72" width="21.7109375" bestFit="1" customWidth="1"/>
    <col min="73" max="73" width="26.28515625" bestFit="1" customWidth="1"/>
    <col min="74" max="74" width="29" customWidth="1"/>
    <col min="75" max="75" width="38.42578125" customWidth="1"/>
    <col min="76" max="76" width="255.7109375" bestFit="1" customWidth="1"/>
  </cols>
  <sheetData>
    <row r="1" spans="1:78" s="1" customFormat="1" x14ac:dyDescent="0.25">
      <c r="A1" s="1" t="s">
        <v>1</v>
      </c>
      <c r="B1" s="1" t="s">
        <v>2</v>
      </c>
      <c r="C1" s="1" t="s">
        <v>143</v>
      </c>
      <c r="D1" s="1" t="s">
        <v>0</v>
      </c>
      <c r="E1" s="1" t="s">
        <v>24</v>
      </c>
      <c r="F1" s="1" t="s">
        <v>27</v>
      </c>
      <c r="G1" s="1" t="s">
        <v>4</v>
      </c>
      <c r="H1" s="1" t="s">
        <v>5</v>
      </c>
      <c r="I1" s="1" t="s">
        <v>6</v>
      </c>
      <c r="J1" s="1" t="s">
        <v>7</v>
      </c>
      <c r="K1" s="1" t="s">
        <v>8</v>
      </c>
      <c r="L1" s="7" t="s">
        <v>101</v>
      </c>
      <c r="M1" s="5" t="s">
        <v>88</v>
      </c>
      <c r="N1" s="5" t="s">
        <v>85</v>
      </c>
      <c r="O1" s="5" t="s">
        <v>86</v>
      </c>
      <c r="P1" s="5" t="s">
        <v>83</v>
      </c>
      <c r="Q1" s="5" t="s">
        <v>84</v>
      </c>
      <c r="R1" s="5" t="s">
        <v>89</v>
      </c>
      <c r="S1" s="5" t="s">
        <v>87</v>
      </c>
      <c r="T1" s="1" t="s">
        <v>9</v>
      </c>
      <c r="U1" s="7" t="s">
        <v>10</v>
      </c>
      <c r="V1" s="1" t="s">
        <v>29</v>
      </c>
      <c r="W1" s="1" t="s">
        <v>11</v>
      </c>
      <c r="X1" s="3" t="s">
        <v>21</v>
      </c>
      <c r="Y1" s="1" t="s">
        <v>12</v>
      </c>
      <c r="Z1" s="1" t="s">
        <v>91</v>
      </c>
      <c r="AA1" s="1" t="s">
        <v>13</v>
      </c>
      <c r="AB1" s="1" t="s">
        <v>35</v>
      </c>
      <c r="AC1" s="1" t="s">
        <v>16</v>
      </c>
      <c r="AD1" s="1" t="s">
        <v>14</v>
      </c>
      <c r="AE1" s="9" t="s">
        <v>20</v>
      </c>
      <c r="AF1" s="1" t="s">
        <v>3</v>
      </c>
      <c r="AG1" s="1" t="s">
        <v>22</v>
      </c>
      <c r="AH1" s="1" t="s">
        <v>36</v>
      </c>
      <c r="AI1" s="1" t="s">
        <v>17</v>
      </c>
      <c r="AJ1" s="1" t="s">
        <v>214</v>
      </c>
      <c r="AK1" s="11" t="s">
        <v>118</v>
      </c>
      <c r="AL1" s="11" t="s">
        <v>205</v>
      </c>
      <c r="AM1" s="1" t="s">
        <v>95</v>
      </c>
      <c r="AN1" s="1" t="s">
        <v>103</v>
      </c>
      <c r="AO1" s="1" t="s">
        <v>96</v>
      </c>
      <c r="AP1" s="1" t="s">
        <v>98</v>
      </c>
      <c r="AQ1" s="1" t="s">
        <v>23</v>
      </c>
      <c r="AR1" s="1" t="s">
        <v>175</v>
      </c>
      <c r="AS1" s="1" t="s">
        <v>147</v>
      </c>
      <c r="AT1" s="1" t="s">
        <v>167</v>
      </c>
      <c r="AU1" s="1" t="s">
        <v>148</v>
      </c>
      <c r="AV1" s="1" t="s">
        <v>165</v>
      </c>
      <c r="AW1" s="1" t="s">
        <v>149</v>
      </c>
      <c r="AX1" s="1" t="s">
        <v>150</v>
      </c>
      <c r="AY1" s="1" t="s">
        <v>151</v>
      </c>
      <c r="AZ1" s="1" t="s">
        <v>154</v>
      </c>
      <c r="BA1" s="1" t="s">
        <v>160</v>
      </c>
      <c r="BB1" s="1" t="s">
        <v>155</v>
      </c>
      <c r="BC1" s="1" t="s">
        <v>159</v>
      </c>
      <c r="BD1" s="1" t="s">
        <v>30</v>
      </c>
      <c r="BE1" s="1" t="s">
        <v>31</v>
      </c>
      <c r="BF1" s="1" t="s">
        <v>176</v>
      </c>
      <c r="BG1" s="1" t="s">
        <v>177</v>
      </c>
      <c r="BH1" s="1" t="s">
        <v>44</v>
      </c>
      <c r="BI1" s="1" t="s">
        <v>104</v>
      </c>
      <c r="BJ1" s="1" t="s">
        <v>110</v>
      </c>
      <c r="BK1" s="1" t="s">
        <v>166</v>
      </c>
      <c r="BL1" s="1" t="s">
        <v>169</v>
      </c>
      <c r="BM1" s="1" t="s">
        <v>170</v>
      </c>
      <c r="BN1" s="1" t="s">
        <v>173</v>
      </c>
      <c r="BO1" s="1" t="s">
        <v>174</v>
      </c>
      <c r="BP1" s="1" t="s">
        <v>146</v>
      </c>
      <c r="BQ1" s="1" t="s">
        <v>33</v>
      </c>
      <c r="BR1" s="1" t="s">
        <v>58</v>
      </c>
      <c r="BS1" s="1" t="s">
        <v>79</v>
      </c>
      <c r="BT1" s="1" t="s">
        <v>81</v>
      </c>
      <c r="BU1" s="1" t="s">
        <v>184</v>
      </c>
      <c r="BV1" s="1" t="s">
        <v>178</v>
      </c>
      <c r="BW1" s="1" t="s">
        <v>171</v>
      </c>
      <c r="BX1" s="1" t="s">
        <v>168</v>
      </c>
      <c r="BY1" s="1" t="s">
        <v>172</v>
      </c>
      <c r="BZ1" s="1" t="s">
        <v>82</v>
      </c>
    </row>
    <row r="2" spans="1:78" x14ac:dyDescent="0.25">
      <c r="A2" t="s">
        <v>244</v>
      </c>
      <c r="B2" t="s">
        <v>243</v>
      </c>
      <c r="C2">
        <v>1</v>
      </c>
      <c r="D2" t="s">
        <v>221</v>
      </c>
      <c r="E2" t="s">
        <v>221</v>
      </c>
      <c r="F2" t="s">
        <v>245</v>
      </c>
      <c r="G2">
        <v>1800</v>
      </c>
      <c r="I2">
        <v>1880</v>
      </c>
      <c r="K2">
        <v>5</v>
      </c>
      <c r="Q2" s="14"/>
      <c r="T2">
        <v>1</v>
      </c>
      <c r="W2">
        <v>4</v>
      </c>
      <c r="X2" s="4">
        <f t="shared" ref="X2:X3" si="0">IF(AND(T2&gt;0,W2&gt;0),(W2/((T2+U2)*10)),"")</f>
        <v>0.4</v>
      </c>
      <c r="Y2">
        <v>15</v>
      </c>
      <c r="AB2">
        <v>6</v>
      </c>
      <c r="AE2" s="10">
        <v>0</v>
      </c>
      <c r="AF2" t="str">
        <f>CONCATENATE(VLOOKUP(AG2, '[1]Voxel Sizes'!$A$2:$B$18,2,FALSE),"x",INT(AC2*15), "x", INT(AD2*15))</f>
        <v>60x0x0</v>
      </c>
      <c r="AG2">
        <f t="shared" ref="AG2:AG3" si="1">ROUND(15*((AB2*10)/256),0)</f>
        <v>4</v>
      </c>
      <c r="AI2" t="str">
        <f>CONCATENATE(VLOOKUP(AG2,Constants!$A$2:$C$16,IF(AH2&lt;&gt;"", 3, 2), FALSE),IF(AH2&lt;&gt;"",CONCATENATE(",",VLOOKUP(AH2,$B:$AI,34,FALSE)),""))</f>
        <v>1,2,1</v>
      </c>
      <c r="AQ2">
        <v>1</v>
      </c>
      <c r="AS2">
        <v>14</v>
      </c>
      <c r="AT2">
        <f t="shared" ref="AT2:AT3" si="2">IF(I2&lt;&gt;"",MAX(8,(I2-G2)-4),"")</f>
        <v>76</v>
      </c>
      <c r="AU2">
        <v>-10</v>
      </c>
      <c r="AV2">
        <v>-3</v>
      </c>
      <c r="AW2">
        <f t="shared" ref="AW2:AW3" si="3">MIN(Y2/150, 1)*30</f>
        <v>3</v>
      </c>
      <c r="AX2">
        <f t="shared" ref="AX2:AX3" si="4">MIN(K2/4000, 1)*20</f>
        <v>2.5000000000000001E-2</v>
      </c>
      <c r="AY2">
        <f t="shared" ref="AY2:AY3" si="5">MIN(W2/400,1)*20</f>
        <v>0.2</v>
      </c>
      <c r="AZ2" s="4">
        <f t="shared" ref="AZ2:AZ3" si="6">1-(MAX(G2-1900, 0)/750)</f>
        <v>1</v>
      </c>
      <c r="BA2">
        <f t="shared" ref="BA2:BA3" si="7">((MAX($J2,1)*MIN($AE2/300,1)))*IF(D2="Wagon",50,10)</f>
        <v>0</v>
      </c>
      <c r="BB2">
        <f>VLOOKUP($E2,Constants!$I:$K, 2, FALSE)</f>
        <v>0.5</v>
      </c>
      <c r="BC2">
        <f>VLOOKUP($E2,Constants!$I:$K, 3, FALSE)*IF(AND(D2="multiple_unit",Y2&lt;110),0.75,1)</f>
        <v>0.5</v>
      </c>
      <c r="BD2">
        <f>INT(POWER(((Constants!$G$2+$AW2+$AX2+$AY2+$BA2)*$AZ2)*$BC2, 1.05))+$AV2</f>
        <v>1</v>
      </c>
      <c r="BE2">
        <f>INT(POWER((((Constants!$G$1+$AW2+$AX2+$AY2+$BA2)*($AZ2))*$BB2),IF($D2="wagon",1,1.2)))+$AU2</f>
        <v>4</v>
      </c>
      <c r="BF2" s="13">
        <f t="shared" ref="BF2:BF3" si="8">BD2*IF($D2="wagon",62.5,781.25)</f>
        <v>781.25</v>
      </c>
      <c r="BG2" s="13">
        <f t="shared" ref="BG2:BG3" si="9">BE2*IF($D2="wagon",2.73,81.25)</f>
        <v>325</v>
      </c>
      <c r="BN2">
        <v>1</v>
      </c>
      <c r="BR2" t="str">
        <f>VLOOKUP(G2,[1]Eras!$A$2:$C$10, 2, TRUE)</f>
        <v>early</v>
      </c>
      <c r="BS2" t="s">
        <v>62</v>
      </c>
      <c r="BT2" t="str">
        <f t="shared" ref="BT2:BT3" si="10">CONCATENATE(BR2,"_",BS2)</f>
        <v>early_Mixed Traffic</v>
      </c>
      <c r="BU2" t="str">
        <f t="shared" ref="BU2:BU3" si="11">_xlfn.CONCAT(E2, "_",F2)</f>
        <v>horses_NGRL</v>
      </c>
      <c r="BV2" t="str">
        <f>VLOOKUP($BU2, Constants!$M:$N, 2, FALSE)</f>
        <v>{BLACK}Powered by: {GOLD}Grass and hay</v>
      </c>
      <c r="BW2" t="str">
        <f t="shared" ref="BW2:BW3" si="12">IF(J2&gt;1,_xlfn.CONCAT("{BLACK}Cars: {GOLD}", J2),"")</f>
        <v/>
      </c>
      <c r="BX2" t="s">
        <v>247</v>
      </c>
      <c r="BY2" t="str">
        <f t="shared" ref="BY2:BY3" si="13">IF(BQ2="BRAKE","{YELLOW}Speed bonus for slow wagons{}",IF(BO2&gt;190,CONCATENATE("{YELLOW}",INT((BO2-185)/1.85),"% Bonus for long distance travel{}"),IF(AND(BO2&lt;180,BO2&lt;&gt;0),CONCATENATE("{YELLOW}",INT((185-BO2)/1.85),"% Penalty for long distance travel{}"),"")))</f>
        <v/>
      </c>
      <c r="BZ2" t="str">
        <f t="shared" ref="BZ2:BZ3" si="14">_xlfn.CONCAT(BV2,IF(BV2 &lt;&gt; "", " ", ""),BW2,IF(OR(BW2&lt;&gt;"", BV2&lt;&gt;""), "{}",""), BY2,"{SILVER}", BX2)</f>
        <v>{BLACK}Powered by: {GOLD}Grass and hay {}{SILVER}A smaller horse for a smaller railway.</v>
      </c>
    </row>
    <row r="3" spans="1:78" x14ac:dyDescent="0.25">
      <c r="A3" t="s">
        <v>248</v>
      </c>
      <c r="B3" t="s">
        <v>251</v>
      </c>
      <c r="C3">
        <v>80</v>
      </c>
      <c r="D3" t="s">
        <v>32</v>
      </c>
      <c r="E3" t="s">
        <v>32</v>
      </c>
      <c r="F3" t="s">
        <v>245</v>
      </c>
      <c r="G3">
        <v>1800</v>
      </c>
      <c r="T3">
        <v>2</v>
      </c>
      <c r="V3">
        <v>3</v>
      </c>
      <c r="X3" s="4" t="str">
        <f t="shared" si="0"/>
        <v/>
      </c>
      <c r="Y3">
        <v>25</v>
      </c>
      <c r="AA3">
        <v>4.9000000000000004</v>
      </c>
      <c r="AB3">
        <v>6</v>
      </c>
      <c r="AE3" s="10">
        <v>10</v>
      </c>
      <c r="AF3" t="str">
        <f>CONCATENATE(VLOOKUP(AG3, '[1]Voxel Sizes'!$A$2:$B$18,2,FALSE),"x",INT(AC3*15), "x", INT(AD3*15))</f>
        <v>60x0x0</v>
      </c>
      <c r="AG3">
        <v>4</v>
      </c>
      <c r="AI3" t="str">
        <f>CONCATENATE(VLOOKUP(AG3,Constants!$A$2:$C$16,IF(AH3&lt;&gt;"", 3, 2), FALSE),IF(AH3&lt;&gt;"",CONCATENATE(",",VLOOKUP(AH3,$B:$AI,34,FALSE)),""))</f>
        <v>1,2,1</v>
      </c>
      <c r="AS3">
        <v>80</v>
      </c>
      <c r="AT3" t="str">
        <f t="shared" si="2"/>
        <v/>
      </c>
      <c r="AW3">
        <f t="shared" si="3"/>
        <v>5</v>
      </c>
      <c r="AX3">
        <f t="shared" si="4"/>
        <v>0</v>
      </c>
      <c r="AY3">
        <f t="shared" si="5"/>
        <v>0</v>
      </c>
      <c r="AZ3" s="4">
        <f t="shared" si="6"/>
        <v>1</v>
      </c>
      <c r="BA3">
        <f t="shared" si="7"/>
        <v>1.6666666666666667</v>
      </c>
      <c r="BB3">
        <f>VLOOKUP($E3,Constants!$I:$K, 2, FALSE)</f>
        <v>1</v>
      </c>
      <c r="BC3">
        <f>VLOOKUP($E3,Constants!$I:$K, 3, FALSE)*IF(AND(D3="multiple_unit",Y3&lt;110),0.75,1)</f>
        <v>0.45</v>
      </c>
      <c r="BD3">
        <f>INT(POWER(((Constants!$G$2+$AW3+$AX3+$AY3+$BA3)*$AZ3)*$BC3, 1.05))+$AV3</f>
        <v>5</v>
      </c>
      <c r="BE3">
        <f>INT(POWER((((Constants!$G$1+$AW3+$AX3+$AY3+$BA3)*($AZ3))*$BB3),IF($D3="wagon",1,1.2)))+$AU3</f>
        <v>21</v>
      </c>
      <c r="BF3" s="13">
        <f t="shared" si="8"/>
        <v>312.5</v>
      </c>
      <c r="BG3" s="13">
        <f t="shared" si="9"/>
        <v>57.33</v>
      </c>
      <c r="BN3">
        <v>1</v>
      </c>
      <c r="BO3">
        <v>185</v>
      </c>
      <c r="BP3" t="s">
        <v>249</v>
      </c>
      <c r="BQ3" t="s">
        <v>250</v>
      </c>
      <c r="BR3" t="str">
        <f>VLOOKUP(G3,[1]Eras!$A$2:$C$10, 2, TRUE)</f>
        <v>early</v>
      </c>
      <c r="BS3" t="s">
        <v>75</v>
      </c>
      <c r="BT3" t="str">
        <f t="shared" si="10"/>
        <v>early_Open Wagon</v>
      </c>
      <c r="BU3" t="str">
        <f t="shared" si="11"/>
        <v>wagon_NGRL</v>
      </c>
      <c r="BV3" t="e">
        <f>VLOOKUP($BU3, [1]Constants!$M:$N, 2, FALSE)</f>
        <v>#N/A</v>
      </c>
      <c r="BW3" t="str">
        <f t="shared" si="12"/>
        <v/>
      </c>
      <c r="BX3" t="s">
        <v>252</v>
      </c>
      <c r="BY3" t="str">
        <f t="shared" si="13"/>
        <v/>
      </c>
      <c r="BZ3" t="e">
        <f t="shared" si="14"/>
        <v>#N/A</v>
      </c>
    </row>
    <row r="4" spans="1:78" x14ac:dyDescent="0.25">
      <c r="A4" t="s">
        <v>233</v>
      </c>
      <c r="B4" t="s">
        <v>228</v>
      </c>
      <c r="C4">
        <v>1061</v>
      </c>
      <c r="D4" t="s">
        <v>32</v>
      </c>
      <c r="E4" t="s">
        <v>161</v>
      </c>
      <c r="F4" t="s">
        <v>28</v>
      </c>
      <c r="G4">
        <v>1906</v>
      </c>
      <c r="I4">
        <v>1955</v>
      </c>
      <c r="T4">
        <v>31</v>
      </c>
      <c r="V4">
        <v>6</v>
      </c>
      <c r="X4" s="4" t="str">
        <f t="shared" ref="X4:X7" si="15">IF(AND(T4&gt;0,W4&gt;0),(W4/((T4+U4)*10)),"")</f>
        <v/>
      </c>
      <c r="Y4">
        <v>100</v>
      </c>
      <c r="AA4">
        <v>17.7</v>
      </c>
      <c r="AB4">
        <v>17.7</v>
      </c>
      <c r="AC4">
        <v>2.83</v>
      </c>
      <c r="AD4">
        <v>3.79</v>
      </c>
      <c r="AE4" s="10">
        <v>57</v>
      </c>
      <c r="AF4" t="str">
        <f>CONCATENATE(VLOOKUP(AG4, 'Voxel Sizes'!$A$2:$B$18,2,FALSE),"x",INT(AC4*15), "x", INT(AD4*15))</f>
        <v>164x42x56</v>
      </c>
      <c r="AG4">
        <f t="shared" ref="AG4:AG7" si="16">ROUND(15*((AB4*10)/256),0)</f>
        <v>10</v>
      </c>
      <c r="AI4" t="str">
        <f>CONCATENATE(VLOOKUP(AG4,Constants!$A$2:$C$16,IF(AH4&lt;&gt;"", 3, 2), FALSE),IF(AH4&lt;&gt;"",CONCATENATE(",",VLOOKUP(AH4,$B:$AI,34,FALSE)),""))</f>
        <v>4,2,4</v>
      </c>
      <c r="AS4">
        <v>30</v>
      </c>
      <c r="AT4">
        <f t="shared" ref="AT4:AT7" si="17">IF(I4&lt;&gt;"",MAX(8,(I4-G4)-4),"")</f>
        <v>45</v>
      </c>
      <c r="AU4">
        <v>72</v>
      </c>
      <c r="AV4">
        <f>20*3</f>
        <v>60</v>
      </c>
      <c r="AW4">
        <f t="shared" ref="AW4:AW7" si="18">MIN(Y4/150, 1)*30</f>
        <v>20</v>
      </c>
      <c r="AX4">
        <f t="shared" ref="AX4:AX7" si="19">MIN(K4/4000, 1)*20</f>
        <v>0</v>
      </c>
      <c r="AY4">
        <f t="shared" ref="AY4:AY7" si="20">MIN(W4/400,1)*20</f>
        <v>0</v>
      </c>
      <c r="AZ4" s="4">
        <f t="shared" ref="AZ4:AZ7" si="21">1-(MAX(G4-1900, 0)/750)</f>
        <v>0.99199999999999999</v>
      </c>
      <c r="BA4">
        <f t="shared" ref="BA4:BA7" si="22">((MAX($J4,1)*MIN($AE4/300,1)))*IF(D4="Wagon",50,10)</f>
        <v>9.5</v>
      </c>
      <c r="BB4">
        <f>VLOOKUP($E4,Constants!$I:$K, 2, FALSE)</f>
        <v>1.2</v>
      </c>
      <c r="BC4">
        <f>VLOOKUP($E4,Constants!$I:$K, 3, FALSE)*IF(AND(D4="multiple_unit",Y4&lt;110),0.75,1)</f>
        <v>0.6</v>
      </c>
      <c r="BD4">
        <f>INT(POWER(((Constants!$G$2+$AW4+$AX4+$AY4+$BA4)*$AZ4)*$BC4, 1.05))+$AV4</f>
        <v>83</v>
      </c>
      <c r="BE4">
        <f>INT(POWER((((Constants!$G$1+$AW4+$AX4+$AY4+$BA4)*($AZ4))*$BB4),IF($D4="wagon",1,1.2)))+$AU4</f>
        <v>124</v>
      </c>
      <c r="BF4" s="13">
        <f t="shared" ref="BF4:BF7" si="23">BD4*IF($D4="wagon",62.5,781.25)</f>
        <v>5187.5</v>
      </c>
      <c r="BG4" s="13">
        <f t="shared" ref="BG4:BG7" si="24">BE4*IF($D4="wagon",2.73,81.25)</f>
        <v>338.52</v>
      </c>
      <c r="BN4">
        <v>1</v>
      </c>
      <c r="BO4">
        <v>165</v>
      </c>
      <c r="BP4" t="s">
        <v>144</v>
      </c>
      <c r="BQ4" t="s">
        <v>34</v>
      </c>
      <c r="BR4" t="str">
        <f>VLOOKUP(G4,Eras!$A$2:$C$10, 2, TRUE)</f>
        <v>edw</v>
      </c>
      <c r="BS4" t="s">
        <v>70</v>
      </c>
      <c r="BT4" t="str">
        <f t="shared" ref="BT4:BT7" si="25">CONCATENATE(BR4,"_",BS4)</f>
        <v>edw_Carriage</v>
      </c>
      <c r="BU4" t="str">
        <f t="shared" ref="BU4:BU7" si="26">_xlfn.CONCAT(E4, "_",F4)</f>
        <v>carriage_RAIL</v>
      </c>
      <c r="BV4" t="str">
        <f>VLOOKUP($BU4, Constants!$M:$N, 2, FALSE)</f>
        <v/>
      </c>
      <c r="BW4" t="str">
        <f t="shared" ref="BW4:BW7" si="27">IF(J4&gt;1,_xlfn.CONCAT("{BLACK}Cars: {GOLD}", J4),"")</f>
        <v/>
      </c>
      <c r="BX4" t="s">
        <v>231</v>
      </c>
      <c r="BY4" t="str">
        <f t="shared" ref="BY4:BY7" si="28">IF(BQ4="BRAKE","{YELLOW}Speed bonus for slow wagons{}",IF(BO4&gt;190,CONCATENATE("{YELLOW}",INT((BO4-185)/1.85),"% Bonus for long distance travel{}"),IF(AND(BO4&lt;180,BO4&lt;&gt;0),CONCATENATE("{YELLOW}",INT((185-BO4)/1.85),"% Penalty for long distance travel{}"),"")))</f>
        <v>{YELLOW}10% Penalty for long distance travel{}</v>
      </c>
      <c r="BZ4" t="str">
        <f t="shared" ref="BZ4:BZ7" si="29">_xlfn.CONCAT(BV4,IF(BV4 &lt;&gt; "", " ", ""),BW4,IF(OR(BW4&lt;&gt;"", BV4&lt;&gt;""), "{}",""), BY4,"{SILVER}", BX4)</f>
        <v>{YELLOW}10% Penalty for long distance travel{}{SILVER}Non-corridor carriages allow greater seating density, at the cost of passenger comfort.</v>
      </c>
    </row>
    <row r="5" spans="1:78" x14ac:dyDescent="0.25">
      <c r="A5" t="s">
        <v>229</v>
      </c>
      <c r="B5" t="s">
        <v>230</v>
      </c>
      <c r="C5">
        <v>1521</v>
      </c>
      <c r="D5" t="s">
        <v>32</v>
      </c>
      <c r="E5" t="s">
        <v>161</v>
      </c>
      <c r="F5" t="s">
        <v>28</v>
      </c>
      <c r="G5">
        <v>1952</v>
      </c>
      <c r="H5">
        <v>1963</v>
      </c>
      <c r="I5">
        <v>1977</v>
      </c>
      <c r="T5">
        <v>30</v>
      </c>
      <c r="V5">
        <v>6</v>
      </c>
      <c r="X5" s="4" t="str">
        <f t="shared" si="15"/>
        <v/>
      </c>
      <c r="Y5">
        <v>100</v>
      </c>
      <c r="AA5">
        <v>19.3</v>
      </c>
      <c r="AB5">
        <v>20</v>
      </c>
      <c r="AE5" s="10">
        <v>66</v>
      </c>
      <c r="AF5" t="str">
        <f>CONCATENATE(VLOOKUP(AG5, 'Voxel Sizes'!$A$2:$B$18,2,FALSE),"x",INT(AC5*15), "x", INT(AD5*15))</f>
        <v>198x0x0</v>
      </c>
      <c r="AG5">
        <f t="shared" si="16"/>
        <v>12</v>
      </c>
      <c r="AI5" t="str">
        <f>CONCATENATE(VLOOKUP(AG5,Constants!$A$2:$C$16,IF(AH5&lt;&gt;"", 3, 2), FALSE),IF(AH5&lt;&gt;"",CONCATENATE(",",VLOOKUP(AH5,$B:$AI,34,FALSE)),""))</f>
        <v>4,4,4</v>
      </c>
      <c r="AS5">
        <v>30</v>
      </c>
      <c r="AT5">
        <f t="shared" si="17"/>
        <v>21</v>
      </c>
      <c r="AU5">
        <v>76</v>
      </c>
      <c r="AV5">
        <f>23*3</f>
        <v>69</v>
      </c>
      <c r="AW5">
        <f t="shared" si="18"/>
        <v>20</v>
      </c>
      <c r="AX5">
        <f t="shared" si="19"/>
        <v>0</v>
      </c>
      <c r="AY5">
        <f t="shared" si="20"/>
        <v>0</v>
      </c>
      <c r="AZ5" s="4">
        <f t="shared" si="21"/>
        <v>0.93066666666666664</v>
      </c>
      <c r="BA5">
        <f t="shared" si="22"/>
        <v>11</v>
      </c>
      <c r="BB5">
        <f>VLOOKUP($E5,Constants!$I:$K, 2, FALSE)</f>
        <v>1.2</v>
      </c>
      <c r="BC5">
        <f>VLOOKUP($E5,Constants!$I:$K, 3, FALSE)*IF(AND(D5="multiple_unit",Y5&lt;110),0.75,1)</f>
        <v>0.6</v>
      </c>
      <c r="BD5">
        <f>INT(POWER(((Constants!$G$2+$AW5+$AX5+$AY5+$BA5)*$AZ5)*$BC5, 1.05))+$AV5</f>
        <v>92</v>
      </c>
      <c r="BE5">
        <f>INT(POWER((((Constants!$G$1+$AW5+$AX5+$AY5+$BA5)*($AZ5))*$BB5),IF($D5="wagon",1,1.2)))+$AU5</f>
        <v>127</v>
      </c>
      <c r="BF5" s="13">
        <f t="shared" si="23"/>
        <v>5750</v>
      </c>
      <c r="BG5" s="13">
        <f t="shared" si="24"/>
        <v>346.71</v>
      </c>
      <c r="BN5">
        <v>1</v>
      </c>
      <c r="BO5">
        <v>165</v>
      </c>
      <c r="BP5" t="s">
        <v>144</v>
      </c>
      <c r="BQ5" t="s">
        <v>34</v>
      </c>
      <c r="BR5" t="str">
        <f>VLOOKUP(G5,Eras!$A$2:$C$10, 2, TRUE)</f>
        <v>ebr</v>
      </c>
      <c r="BS5" t="s">
        <v>70</v>
      </c>
      <c r="BT5" t="str">
        <f t="shared" si="25"/>
        <v>ebr_Carriage</v>
      </c>
      <c r="BU5" t="str">
        <f t="shared" si="26"/>
        <v>carriage_RAIL</v>
      </c>
      <c r="BV5" t="str">
        <f>VLOOKUP($BU5, Constants!$M:$N, 2, FALSE)</f>
        <v/>
      </c>
      <c r="BW5" t="str">
        <f t="shared" si="27"/>
        <v/>
      </c>
      <c r="BX5" t="s">
        <v>232</v>
      </c>
      <c r="BY5" t="str">
        <f t="shared" si="28"/>
        <v>{YELLOW}10% Penalty for long distance travel{}</v>
      </c>
      <c r="BZ5" t="str">
        <f t="shared" si="29"/>
        <v>{YELLOW}10% Penalty for long distance travel{}{SILVER}BR built many suburban MK1 carriages with no gangways, although typically only one or two would be used per train across most of the country.</v>
      </c>
    </row>
    <row r="6" spans="1:78" x14ac:dyDescent="0.25">
      <c r="A6" t="s">
        <v>240</v>
      </c>
      <c r="B6" t="s">
        <v>241</v>
      </c>
      <c r="C6">
        <v>991</v>
      </c>
      <c r="D6" t="s">
        <v>239</v>
      </c>
      <c r="E6" t="s">
        <v>25</v>
      </c>
      <c r="F6" t="s">
        <v>28</v>
      </c>
      <c r="G6">
        <v>1899</v>
      </c>
      <c r="I6">
        <v>1933</v>
      </c>
      <c r="K6">
        <v>180</v>
      </c>
      <c r="M6" s="6">
        <v>11.5</v>
      </c>
      <c r="N6" s="6">
        <v>18</v>
      </c>
      <c r="O6" s="6">
        <v>2</v>
      </c>
      <c r="P6" s="6">
        <v>175</v>
      </c>
      <c r="Q6" s="14">
        <f>((($Y6/2)/60)*5280)/($R6*3.2*PI())</f>
        <v>128.72826279491534</v>
      </c>
      <c r="R6" s="6">
        <v>1.7</v>
      </c>
      <c r="S6" s="6">
        <f>((($M6*$M6/4)*PI())*($N6/12)*$O6*$P6*$Q6)/(33000*1.1)</f>
        <v>193.38026403743311</v>
      </c>
      <c r="T6">
        <v>38</v>
      </c>
      <c r="V6">
        <v>5</v>
      </c>
      <c r="W6">
        <v>24</v>
      </c>
      <c r="X6" s="4">
        <f t="shared" si="15"/>
        <v>6.3157894736842107E-2</v>
      </c>
      <c r="Y6">
        <v>50</v>
      </c>
      <c r="AA6">
        <v>10.9</v>
      </c>
      <c r="AB6">
        <v>12</v>
      </c>
      <c r="AE6" s="10">
        <v>12</v>
      </c>
      <c r="AF6" t="str">
        <f>CONCATENATE(VLOOKUP(AG6, 'Voxel Sizes'!$A$2:$B$18,2,FALSE),"x",INT(AC6*15), "x", INT(AD6*15))</f>
        <v>120x0x0</v>
      </c>
      <c r="AG6">
        <f t="shared" si="16"/>
        <v>7</v>
      </c>
      <c r="AI6" t="str">
        <f>CONCATENATE(VLOOKUP(AG6,Constants!$A$2:$C$16,IF(AH6&lt;&gt;"", 3, 2), FALSE),IF(AH6&lt;&gt;"",CONCATENATE(",",VLOOKUP(AH6,$B:$AI,34,FALSE)),""))</f>
        <v>2,3,2</v>
      </c>
      <c r="AQ6">
        <v>1</v>
      </c>
      <c r="AS6">
        <v>26</v>
      </c>
      <c r="AT6">
        <f t="shared" si="17"/>
        <v>30</v>
      </c>
      <c r="AU6">
        <v>-14</v>
      </c>
      <c r="AV6">
        <v>-4</v>
      </c>
      <c r="AW6">
        <f t="shared" si="18"/>
        <v>10</v>
      </c>
      <c r="AX6">
        <f t="shared" si="19"/>
        <v>0.89999999999999991</v>
      </c>
      <c r="AY6">
        <f t="shared" si="20"/>
        <v>1.2</v>
      </c>
      <c r="AZ6" s="4">
        <f t="shared" si="21"/>
        <v>1</v>
      </c>
      <c r="BA6">
        <f t="shared" si="22"/>
        <v>0.4</v>
      </c>
      <c r="BB6">
        <f>VLOOKUP($E6,Constants!$I:$K, 2, FALSE)</f>
        <v>1.1499999999999999</v>
      </c>
      <c r="BC6">
        <f>VLOOKUP($E6,Constants!$I:$K, 3, FALSE)*IF(AND(D6="multiple_unit",Y6&lt;110),0.75,1)</f>
        <v>1.7</v>
      </c>
      <c r="BD6">
        <f>INT(POWER(((Constants!$G$2+$AW6+$AX6+$AY6+$BA6)*$AZ6)*$BC6, 1.05))+$AV6</f>
        <v>31</v>
      </c>
      <c r="BE6">
        <f>INT(POWER((((Constants!$G$1+$AW6+$AX6+$AY6+$BA6)*($AZ6))*$BB6),IF($D6="wagon",1,1.2)))+$AU6</f>
        <v>49</v>
      </c>
      <c r="BF6" s="13">
        <f t="shared" ref="BF6" si="30">BD6*IF($D6="wagon",62.5,781.25)</f>
        <v>24218.75</v>
      </c>
      <c r="BG6" s="13">
        <f t="shared" si="24"/>
        <v>3981.25</v>
      </c>
      <c r="BN6">
        <v>4</v>
      </c>
      <c r="BP6" t="s">
        <v>144</v>
      </c>
      <c r="BQ6" t="s">
        <v>34</v>
      </c>
      <c r="BR6" t="str">
        <f>VLOOKUP(G6,Eras!$A$2:$C$10, 2, TRUE)</f>
        <v>vct</v>
      </c>
      <c r="BS6" t="s">
        <v>61</v>
      </c>
      <c r="BT6" t="str">
        <f t="shared" si="25"/>
        <v>vct_Cheap</v>
      </c>
      <c r="BU6" t="str">
        <f t="shared" si="26"/>
        <v>steam_RAIL</v>
      </c>
      <c r="BV6" t="str">
        <f>VLOOKUP($BU6, Constants!$M:$N, 2, FALSE)</f>
        <v>{BLACK}Powered by: {GOLD}Steam</v>
      </c>
      <c r="BW6" t="str">
        <f t="shared" si="27"/>
        <v/>
      </c>
      <c r="BX6" t="s">
        <v>242</v>
      </c>
      <c r="BY6" t="str">
        <f t="shared" si="28"/>
        <v/>
      </c>
      <c r="BZ6" t="str">
        <f t="shared" si="29"/>
        <v>{BLACK}Powered by: {GOLD}Steam {}{SILVER}The F9 was Dugald Drummond's personal locomotive, allowing him to travel across the LSWR for inspections. After Drummond it only saw occasional use at Southampton Docks.</v>
      </c>
    </row>
    <row r="7" spans="1:78" x14ac:dyDescent="0.25">
      <c r="A7" t="s">
        <v>235</v>
      </c>
      <c r="B7" t="s">
        <v>236</v>
      </c>
      <c r="C7">
        <v>3591</v>
      </c>
      <c r="D7" t="s">
        <v>234</v>
      </c>
      <c r="E7" t="s">
        <v>26</v>
      </c>
      <c r="F7" t="s">
        <v>28</v>
      </c>
      <c r="G7">
        <v>1959</v>
      </c>
      <c r="H7">
        <v>1961</v>
      </c>
      <c r="I7">
        <v>1999</v>
      </c>
      <c r="J7">
        <v>3</v>
      </c>
      <c r="K7">
        <v>600</v>
      </c>
      <c r="T7">
        <f>36.6+36.6+30.5</f>
        <v>103.7</v>
      </c>
      <c r="V7">
        <v>6</v>
      </c>
      <c r="W7">
        <v>83</v>
      </c>
      <c r="X7" s="4">
        <f t="shared" si="15"/>
        <v>8.0038572806171646E-2</v>
      </c>
      <c r="Y7">
        <v>70</v>
      </c>
      <c r="AA7">
        <v>19.5</v>
      </c>
      <c r="AB7">
        <v>19.5</v>
      </c>
      <c r="AD7">
        <v>3.77</v>
      </c>
      <c r="AE7" s="10">
        <v>60</v>
      </c>
      <c r="AF7" t="str">
        <f>CONCATENATE(VLOOKUP(AG7, '[1]Voxel Sizes'!$A$2:$B$18,2,FALSE),"x",INT(AC7*15), "x", INT(AD7*15))</f>
        <v>186x0x56</v>
      </c>
      <c r="AG7">
        <f t="shared" si="16"/>
        <v>11</v>
      </c>
      <c r="AI7" t="str">
        <f>CONCATENATE(VLOOKUP(AG7,[1]Constants!$A$2:$C$16,IF(AH7&lt;&gt;"", 3, 2), FALSE),IF(AH7&lt;&gt;"",CONCATENATE(",",VLOOKUP(AH7,$B:$AI,34,FALSE)),""))</f>
        <v>4,3,4</v>
      </c>
      <c r="AM7" t="s">
        <v>237</v>
      </c>
      <c r="AO7" t="s">
        <v>37</v>
      </c>
      <c r="AS7">
        <v>42</v>
      </c>
      <c r="AT7">
        <f t="shared" si="17"/>
        <v>36</v>
      </c>
      <c r="AU7">
        <v>-10</v>
      </c>
      <c r="AV7">
        <v>-15</v>
      </c>
      <c r="AW7">
        <f t="shared" si="18"/>
        <v>14</v>
      </c>
      <c r="AX7">
        <f t="shared" si="19"/>
        <v>3</v>
      </c>
      <c r="AY7">
        <f t="shared" si="20"/>
        <v>4.1499999999999995</v>
      </c>
      <c r="AZ7" s="4">
        <f t="shared" si="21"/>
        <v>0.92133333333333334</v>
      </c>
      <c r="BA7">
        <f t="shared" si="22"/>
        <v>6.0000000000000009</v>
      </c>
      <c r="BB7">
        <f>VLOOKUP($E7,[1]Constants!$I:$K, 2, FALSE)</f>
        <v>1</v>
      </c>
      <c r="BC7">
        <f>VLOOKUP($E7,[1]Constants!$I:$K, 3, FALSE)*IF(AND(D7="multiple_unit",Y7&lt;110),0.75,1)</f>
        <v>1.5</v>
      </c>
      <c r="BD7">
        <f>INT(POWER((([1]Constants!$G$2+$AW7+$AX7+$AY7+$BA7)*$AZ7)*$BC7, 1.05))+$AV7</f>
        <v>38</v>
      </c>
      <c r="BE7">
        <f>INT(POWER(((([1]Constants!$G$1+$AW7+$AX7+$AY7+$BA7)*($AZ7))*$BB7),IF($D7="wagon",1,1.2)))+$AU7</f>
        <v>70</v>
      </c>
      <c r="BF7" s="13">
        <f t="shared" si="23"/>
        <v>29687.5</v>
      </c>
      <c r="BG7" s="13">
        <f t="shared" si="24"/>
        <v>5687.5</v>
      </c>
      <c r="BN7">
        <v>5</v>
      </c>
      <c r="BP7" t="s">
        <v>144</v>
      </c>
      <c r="BQ7" t="s">
        <v>34</v>
      </c>
      <c r="BR7" t="str">
        <f>VLOOKUP(G7,[1]Eras!$A$2:$C$10, 2, TRUE)</f>
        <v>dsl</v>
      </c>
      <c r="BS7" t="s">
        <v>66</v>
      </c>
      <c r="BT7" t="str">
        <f t="shared" si="25"/>
        <v>dsl_DMU</v>
      </c>
      <c r="BU7" t="str">
        <f t="shared" si="26"/>
        <v>diesel_RAIL</v>
      </c>
      <c r="BV7" t="str">
        <f>VLOOKUP($BU7, [1]Constants!$M:$N, 2, FALSE)</f>
        <v>{BLACK}Powered by: {GOLD}Diesel</v>
      </c>
      <c r="BW7" t="str">
        <f t="shared" si="27"/>
        <v>{BLACK}Cars: {GOLD}3</v>
      </c>
      <c r="BX7" t="s">
        <v>238</v>
      </c>
      <c r="BY7" t="str">
        <f t="shared" si="28"/>
        <v/>
      </c>
      <c r="BZ7" t="str">
        <f t="shared" si="29"/>
        <v>{BLACK}Powered by: {GOLD}Diesel {BLACK}Cars: {GOLD}3{}{SILVER}The Class 117 was built under licence by Pressed Steel, being a variant of the Class 116 built by BRCW Derby.</v>
      </c>
    </row>
  </sheetData>
  <autoFilter ref="A1:BX5" xr:uid="{CF2E8555-48EE-4386-A1B1-369F6A2E644F}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89C97FF-9A65-44DB-90CC-E622543127D6}">
          <x14:formula1>
            <xm:f>'Gameplay Planning'!$1:$1</xm:f>
          </x14:formula1>
          <xm:sqref>BS8:BS1048576 BS1 BS4:BS5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011AAC-43AC-4F89-A948-9EB0FE1F461E}">
  <sheetPr codeName="Sheet2"/>
  <dimension ref="A1:W11"/>
  <sheetViews>
    <sheetView topLeftCell="E1" workbookViewId="0">
      <selection activeCell="W6" sqref="W6"/>
    </sheetView>
  </sheetViews>
  <sheetFormatPr defaultRowHeight="15" x14ac:dyDescent="0.25"/>
  <cols>
    <col min="2" max="2" width="29" bestFit="1" customWidth="1"/>
    <col min="3" max="4" width="17.28515625" customWidth="1"/>
    <col min="5" max="5" width="6.5703125" bestFit="1" customWidth="1"/>
    <col min="8" max="8" width="12" bestFit="1" customWidth="1"/>
    <col min="9" max="9" width="16.140625" bestFit="1" customWidth="1"/>
    <col min="10" max="10" width="16.140625" customWidth="1"/>
    <col min="11" max="11" width="13.28515625" bestFit="1" customWidth="1"/>
    <col min="13" max="13" width="14" bestFit="1" customWidth="1"/>
    <col min="15" max="15" width="13.7109375" bestFit="1" customWidth="1"/>
    <col min="16" max="16" width="3.140625" bestFit="1" customWidth="1"/>
    <col min="18" max="18" width="12.5703125" bestFit="1" customWidth="1"/>
    <col min="19" max="19" width="12.42578125" bestFit="1" customWidth="1"/>
    <col min="20" max="20" width="10.85546875" bestFit="1" customWidth="1"/>
    <col min="21" max="21" width="4.42578125" bestFit="1" customWidth="1"/>
    <col min="22" max="22" width="7" bestFit="1" customWidth="1"/>
  </cols>
  <sheetData>
    <row r="1" spans="1:23" x14ac:dyDescent="0.25">
      <c r="C1" s="1" t="s">
        <v>90</v>
      </c>
      <c r="D1" s="1" t="s">
        <v>62</v>
      </c>
      <c r="E1" s="1" t="s">
        <v>61</v>
      </c>
      <c r="F1" s="1" t="s">
        <v>63</v>
      </c>
      <c r="G1" s="1" t="s">
        <v>64</v>
      </c>
      <c r="H1" s="1" t="s">
        <v>72</v>
      </c>
      <c r="I1" s="1" t="s">
        <v>73</v>
      </c>
      <c r="J1" s="1" t="s">
        <v>74</v>
      </c>
      <c r="K1" s="1" t="s">
        <v>65</v>
      </c>
      <c r="L1" s="1" t="s">
        <v>66</v>
      </c>
      <c r="M1" s="1" t="s">
        <v>67</v>
      </c>
      <c r="N1" s="1" t="s">
        <v>68</v>
      </c>
      <c r="O1" s="1" t="s">
        <v>69</v>
      </c>
      <c r="P1" s="1" t="s">
        <v>80</v>
      </c>
      <c r="Q1" s="1" t="s">
        <v>70</v>
      </c>
      <c r="R1" s="1" t="s">
        <v>71</v>
      </c>
      <c r="S1" s="1" t="s">
        <v>75</v>
      </c>
      <c r="T1" s="1" t="s">
        <v>76</v>
      </c>
      <c r="U1" s="1" t="s">
        <v>77</v>
      </c>
      <c r="V1" s="1" t="s">
        <v>78</v>
      </c>
      <c r="W1" s="1" t="s">
        <v>130</v>
      </c>
    </row>
    <row r="2" spans="1:23" x14ac:dyDescent="0.25">
      <c r="A2" s="1" t="s">
        <v>59</v>
      </c>
      <c r="B2" s="1" t="s">
        <v>60</v>
      </c>
    </row>
    <row r="3" spans="1:23" x14ac:dyDescent="0.25">
      <c r="A3" t="s">
        <v>52</v>
      </c>
      <c r="B3" t="str">
        <f>VLOOKUP(A3, Eras!$B$2:$C$10, 2, FALSE)</f>
        <v>Early (1800-1850)</v>
      </c>
      <c r="C3">
        <f>COUNTIF(Table!$BT:$BT,CONCATENATE($A3,"_",C$1))</f>
        <v>0</v>
      </c>
      <c r="D3">
        <f>COUNTIF(Table!$BT:$BT,CONCATENATE($A3,"_",D$1))</f>
        <v>1</v>
      </c>
      <c r="E3">
        <f>COUNTIF(Table!$BT:$BT,CONCATENATE($A3,"_",E$1))</f>
        <v>0</v>
      </c>
      <c r="F3">
        <f>COUNTIF(Table!$BT:$BT,CONCATENATE($A3,"_",F$1))</f>
        <v>0</v>
      </c>
      <c r="G3">
        <f>COUNTIF(Table!$BT:$BT,CONCATENATE($A3,"_",G$1))</f>
        <v>0</v>
      </c>
      <c r="H3">
        <f>COUNTIF(Table!$BT:$BT,CONCATENATE($A3,"_",H$1))</f>
        <v>0</v>
      </c>
      <c r="I3">
        <f>COUNTIF(Table!$BT:$BT,CONCATENATE($A3,"_",I$1))</f>
        <v>0</v>
      </c>
      <c r="J3">
        <f>COUNTIF(Table!$BT:$BT,CONCATENATE($A3,"_",J$1))</f>
        <v>0</v>
      </c>
      <c r="K3">
        <f>COUNTIF(Table!$BT:$BT,CONCATENATE($A3,"_",K$1))</f>
        <v>0</v>
      </c>
      <c r="L3">
        <f>COUNTIF(Table!$BT:$BT,CONCATENATE($A3,"_",L$1))</f>
        <v>0</v>
      </c>
      <c r="M3">
        <f>COUNTIF(Table!$BT:$BT,CONCATENATE($A3,"_",M$1))</f>
        <v>0</v>
      </c>
      <c r="N3">
        <f>COUNTIF(Table!$BT:$BT,CONCATENATE($A3,"_",N$1))</f>
        <v>0</v>
      </c>
      <c r="O3">
        <f>COUNTIF(Table!$BT:$BT,CONCATENATE($A3,"_",O$1))</f>
        <v>0</v>
      </c>
      <c r="P3">
        <f>COUNTIF(Table!$BT:$BT,CONCATENATE($A3,"_",P$1))</f>
        <v>0</v>
      </c>
      <c r="Q3">
        <f>COUNTIF(Table!$BT:$BT,CONCATENATE($A3,"_",Q$1))</f>
        <v>0</v>
      </c>
      <c r="R3">
        <f>COUNTIF(Table!$BT:$BT,CONCATENATE($A3,"_",R$1))</f>
        <v>0</v>
      </c>
      <c r="S3">
        <f>COUNTIF(Table!$BT:$BT,CONCATENATE($A3,"_",S$1))</f>
        <v>1</v>
      </c>
      <c r="T3">
        <f>COUNTIF(Table!$BT:$BT,CONCATENATE($A3,"_",T$1))</f>
        <v>0</v>
      </c>
      <c r="U3">
        <f>COUNTIF(Table!$BT:$BT,CONCATENATE($A3,"_",U$1))</f>
        <v>0</v>
      </c>
      <c r="V3">
        <f>COUNTIF(Table!$BT:$BT,CONCATENATE($A3,"_",V$1))</f>
        <v>0</v>
      </c>
      <c r="W3">
        <f>COUNTIF(Table!$BT:$BT,CONCATENATE($A3,"_",W$1))</f>
        <v>0</v>
      </c>
    </row>
    <row r="4" spans="1:23" x14ac:dyDescent="0.25">
      <c r="A4" t="s">
        <v>94</v>
      </c>
      <c r="B4" t="str">
        <f>VLOOKUP(A4, Eras!$B$2:$C$10, 2, FALSE)</f>
        <v>Victorian (1850-1900)</v>
      </c>
      <c r="C4">
        <f>COUNTIF(Table!$BT:$BT,CONCATENATE($A4,"_",C$1))</f>
        <v>0</v>
      </c>
      <c r="D4">
        <f>COUNTIF(Table!$BT:$BT,CONCATENATE($A4,"_",D$1))</f>
        <v>0</v>
      </c>
      <c r="E4">
        <f>COUNTIF(Table!$BT:$BT,CONCATENATE($A4,"_",E$1))</f>
        <v>1</v>
      </c>
      <c r="F4">
        <f>COUNTIF(Table!$BT:$BT,CONCATENATE($A4,"_",F$1))</f>
        <v>0</v>
      </c>
      <c r="G4">
        <f>COUNTIF(Table!$BT:$BT,CONCATENATE($A4,"_",G$1))</f>
        <v>0</v>
      </c>
      <c r="H4">
        <f>COUNTIF(Table!$BT:$BT,CONCATENATE($A4,"_",H$1))</f>
        <v>0</v>
      </c>
      <c r="I4">
        <f>COUNTIF(Table!$BT:$BT,CONCATENATE($A4,"_",I$1))</f>
        <v>0</v>
      </c>
      <c r="J4">
        <f>COUNTIF(Table!$BT:$BT,CONCATENATE($A4,"_",J$1))</f>
        <v>0</v>
      </c>
      <c r="K4">
        <f>COUNTIF(Table!$BT:$BT,CONCATENATE($A4,"_",K$1))</f>
        <v>0</v>
      </c>
      <c r="L4">
        <f>COUNTIF(Table!$BT:$BT,CONCATENATE($A4,"_",L$1))</f>
        <v>0</v>
      </c>
      <c r="M4">
        <f>COUNTIF(Table!$BT:$BT,CONCATENATE($A4,"_",M$1))</f>
        <v>0</v>
      </c>
      <c r="N4">
        <f>COUNTIF(Table!$BT:$BT,CONCATENATE($A4,"_",N$1))</f>
        <v>0</v>
      </c>
      <c r="O4">
        <f>COUNTIF(Table!$BT:$BT,CONCATENATE($A4,"_",O$1))</f>
        <v>0</v>
      </c>
      <c r="P4">
        <f>COUNTIF(Table!$BT:$BT,CONCATENATE($A4,"_",P$1))</f>
        <v>0</v>
      </c>
      <c r="Q4">
        <f>COUNTIF(Table!$BT:$BT,CONCATENATE($A4,"_",Q$1))</f>
        <v>0</v>
      </c>
      <c r="R4">
        <f>COUNTIF(Table!$BT:$BT,CONCATENATE($A4,"_",R$1))</f>
        <v>0</v>
      </c>
      <c r="S4">
        <f>COUNTIF(Table!$BT:$BT,CONCATENATE($A4,"_",S$1))</f>
        <v>0</v>
      </c>
      <c r="T4">
        <f>COUNTIF(Table!$BT:$BT,CONCATENATE($A4,"_",T$1))</f>
        <v>0</v>
      </c>
      <c r="U4">
        <f>COUNTIF(Table!$BT:$BT,CONCATENATE($A4,"_",U$1))</f>
        <v>0</v>
      </c>
      <c r="V4">
        <f>COUNTIF(Table!$BT:$BT,CONCATENATE($A4,"_",V$1))</f>
        <v>0</v>
      </c>
      <c r="W4">
        <f>COUNTIF(Table!$BT:$BT,CONCATENATE($A4,"_",W$1))</f>
        <v>0</v>
      </c>
    </row>
    <row r="5" spans="1:23" x14ac:dyDescent="0.25">
      <c r="A5" t="s">
        <v>53</v>
      </c>
      <c r="B5" t="str">
        <f>VLOOKUP(A5, Eras!$B$2:$C$10, 2, FALSE)</f>
        <v>Edwardian (1900-1920)</v>
      </c>
      <c r="C5">
        <f>COUNTIF(Table!$BT:$BT,CONCATENATE($A5,"_",C$1))</f>
        <v>0</v>
      </c>
      <c r="D5">
        <f>COUNTIF(Table!$BT:$BT,CONCATENATE($A5,"_",D$1))</f>
        <v>0</v>
      </c>
      <c r="E5">
        <f>COUNTIF(Table!$BT:$BT,CONCATENATE($A5,"_",E$1))</f>
        <v>0</v>
      </c>
      <c r="F5">
        <f>COUNTIF(Table!$BT:$BT,CONCATENATE($A5,"_",F$1))</f>
        <v>0</v>
      </c>
      <c r="G5">
        <f>COUNTIF(Table!$BT:$BT,CONCATENATE($A5,"_",G$1))</f>
        <v>0</v>
      </c>
      <c r="H5">
        <f>COUNTIF(Table!$BT:$BT,CONCATENATE($A5,"_",H$1))</f>
        <v>0</v>
      </c>
      <c r="I5">
        <f>COUNTIF(Table!$BT:$BT,CONCATENATE($A5,"_",I$1))</f>
        <v>0</v>
      </c>
      <c r="J5">
        <f>COUNTIF(Table!$BT:$BT,CONCATENATE($A5,"_",J$1))</f>
        <v>0</v>
      </c>
      <c r="K5">
        <f>COUNTIF(Table!$BT:$BT,CONCATENATE($A5,"_",K$1))</f>
        <v>0</v>
      </c>
      <c r="L5">
        <f>COUNTIF(Table!$BT:$BT,CONCATENATE($A5,"_",L$1))</f>
        <v>0</v>
      </c>
      <c r="M5">
        <f>COUNTIF(Table!$BT:$BT,CONCATENATE($A5,"_",M$1))</f>
        <v>0</v>
      </c>
      <c r="N5">
        <f>COUNTIF(Table!$BT:$BT,CONCATENATE($A5,"_",N$1))</f>
        <v>0</v>
      </c>
      <c r="O5">
        <f>COUNTIF(Table!$BT:$BT,CONCATENATE($A5,"_",O$1))</f>
        <v>0</v>
      </c>
      <c r="P5">
        <f>COUNTIF(Table!$BT:$BT,CONCATENATE($A5,"_",P$1))</f>
        <v>0</v>
      </c>
      <c r="Q5">
        <f>COUNTIF(Table!$BT:$BT,CONCATENATE($A5,"_",Q$1))</f>
        <v>1</v>
      </c>
      <c r="R5">
        <f>COUNTIF(Table!$BT:$BT,CONCATENATE($A5,"_",R$1))</f>
        <v>0</v>
      </c>
      <c r="S5">
        <f>COUNTIF(Table!$BT:$BT,CONCATENATE($A5,"_",S$1))</f>
        <v>0</v>
      </c>
      <c r="T5">
        <f>COUNTIF(Table!$BT:$BT,CONCATENATE($A5,"_",T$1))</f>
        <v>0</v>
      </c>
      <c r="U5">
        <f>COUNTIF(Table!$BT:$BT,CONCATENATE($A5,"_",U$1))</f>
        <v>0</v>
      </c>
      <c r="V5">
        <f>COUNTIF(Table!$BT:$BT,CONCATENATE($A5,"_",V$1))</f>
        <v>0</v>
      </c>
      <c r="W5">
        <f>COUNTIF(Table!$BT:$BT,CONCATENATE($A5,"_",W$1))</f>
        <v>0</v>
      </c>
    </row>
    <row r="6" spans="1:23" x14ac:dyDescent="0.25">
      <c r="A6" t="s">
        <v>54</v>
      </c>
      <c r="B6" t="str">
        <f>VLOOKUP(A6, Eras!$B$2:$C$10, 2, FALSE)</f>
        <v>Big Four (1923-1948)</v>
      </c>
      <c r="C6">
        <f>COUNTIF(Table!$BT:$BT,CONCATENATE($A6,"_",C$1))</f>
        <v>0</v>
      </c>
      <c r="D6">
        <f>COUNTIF(Table!$BT:$BT,CONCATENATE($A6,"_",D$1))</f>
        <v>0</v>
      </c>
      <c r="E6">
        <f>COUNTIF(Table!$BT:$BT,CONCATENATE($A6,"_",E$1))</f>
        <v>0</v>
      </c>
      <c r="F6">
        <f>COUNTIF(Table!$BT:$BT,CONCATENATE($A6,"_",F$1))</f>
        <v>0</v>
      </c>
      <c r="G6">
        <f>COUNTIF(Table!$BT:$BT,CONCATENATE($A6,"_",G$1))</f>
        <v>0</v>
      </c>
      <c r="H6">
        <f>COUNTIF(Table!$BT:$BT,CONCATENATE($A6,"_",H$1))</f>
        <v>0</v>
      </c>
      <c r="I6">
        <f>COUNTIF(Table!$BT:$BT,CONCATENATE($A6,"_",I$1))</f>
        <v>0</v>
      </c>
      <c r="J6">
        <f>COUNTIF(Table!$BT:$BT,CONCATENATE($A6,"_",J$1))</f>
        <v>0</v>
      </c>
      <c r="K6">
        <f>COUNTIF(Table!$BT:$BT,CONCATENATE($A6,"_",K$1))</f>
        <v>0</v>
      </c>
      <c r="L6">
        <f>COUNTIF(Table!$BT:$BT,CONCATENATE($A6,"_",L$1))</f>
        <v>0</v>
      </c>
      <c r="M6">
        <f>COUNTIF(Table!$BT:$BT,CONCATENATE($A6,"_",M$1))</f>
        <v>0</v>
      </c>
      <c r="N6">
        <f>COUNTIF(Table!$BT:$BT,CONCATENATE($A6,"_",N$1))</f>
        <v>0</v>
      </c>
      <c r="O6">
        <f>COUNTIF(Table!$BT:$BT,CONCATENATE($A6,"_",O$1))</f>
        <v>0</v>
      </c>
      <c r="P6">
        <f>COUNTIF(Table!$BT:$BT,CONCATENATE($A6,"_",P$1))</f>
        <v>0</v>
      </c>
      <c r="Q6">
        <f>COUNTIF(Table!$BT:$BT,CONCATENATE($A6,"_",Q$1))</f>
        <v>0</v>
      </c>
      <c r="R6">
        <f>COUNTIF(Table!$BT:$BT,CONCATENATE($A6,"_",R$1))</f>
        <v>0</v>
      </c>
      <c r="S6">
        <f>COUNTIF(Table!$BT:$BT,CONCATENATE($A6,"_",S$1))</f>
        <v>0</v>
      </c>
      <c r="T6">
        <f>COUNTIF(Table!$BT:$BT,CONCATENATE($A6,"_",T$1))</f>
        <v>0</v>
      </c>
      <c r="U6">
        <f>COUNTIF(Table!$BT:$BT,CONCATENATE($A6,"_",U$1))</f>
        <v>0</v>
      </c>
      <c r="V6">
        <f>COUNTIF(Table!$BT:$BT,CONCATENATE($A6,"_",V$1))</f>
        <v>0</v>
      </c>
      <c r="W6">
        <f>COUNTIF(Table!$BT:$BT,CONCATENATE($A6,"_",W$1))</f>
        <v>0</v>
      </c>
    </row>
    <row r="7" spans="1:23" x14ac:dyDescent="0.25">
      <c r="A7" t="s">
        <v>105</v>
      </c>
      <c r="B7" t="str">
        <f>VLOOKUP(A7, Eras!$B$2:$C$10, 2, FALSE)</f>
        <v>Early BR (1948-1955)</v>
      </c>
      <c r="C7">
        <f>COUNTIF(Table!$BT:$BT,CONCATENATE($A7,"_",C$1))</f>
        <v>0</v>
      </c>
      <c r="D7">
        <f>COUNTIF(Table!$BT:$BT,CONCATENATE($A7,"_",D$1))</f>
        <v>0</v>
      </c>
      <c r="E7">
        <f>COUNTIF(Table!$BT:$BT,CONCATENATE($A7,"_",E$1))</f>
        <v>0</v>
      </c>
      <c r="F7">
        <f>COUNTIF(Table!$BT:$BT,CONCATENATE($A7,"_",F$1))</f>
        <v>0</v>
      </c>
      <c r="G7">
        <f>COUNTIF(Table!$BT:$BT,CONCATENATE($A7,"_",G$1))</f>
        <v>0</v>
      </c>
      <c r="H7">
        <f>COUNTIF(Table!$BT:$BT,CONCATENATE($A7,"_",H$1))</f>
        <v>0</v>
      </c>
      <c r="I7">
        <f>COUNTIF(Table!$BT:$BT,CONCATENATE($A7,"_",I$1))</f>
        <v>0</v>
      </c>
      <c r="J7">
        <f>COUNTIF(Table!$BT:$BT,CONCATENATE($A7,"_",J$1))</f>
        <v>0</v>
      </c>
      <c r="K7">
        <f>COUNTIF(Table!$BT:$BT,CONCATENATE($A7,"_",K$1))</f>
        <v>0</v>
      </c>
      <c r="L7">
        <f>COUNTIF(Table!$BT:$BT,CONCATENATE($A7,"_",L$1))</f>
        <v>0</v>
      </c>
      <c r="M7">
        <f>COUNTIF(Table!$BT:$BT,CONCATENATE($A7,"_",M$1))</f>
        <v>0</v>
      </c>
      <c r="N7">
        <f>COUNTIF(Table!$BT:$BT,CONCATENATE($A7,"_",N$1))</f>
        <v>0</v>
      </c>
      <c r="O7">
        <f>COUNTIF(Table!$BT:$BT,CONCATENATE($A7,"_",O$1))</f>
        <v>0</v>
      </c>
      <c r="P7">
        <f>COUNTIF(Table!$BT:$BT,CONCATENATE($A7,"_",P$1))</f>
        <v>0</v>
      </c>
      <c r="Q7">
        <f>COUNTIF(Table!$BT:$BT,CONCATENATE($A7,"_",Q$1))</f>
        <v>1</v>
      </c>
      <c r="R7">
        <f>COUNTIF(Table!$BT:$BT,CONCATENATE($A7,"_",R$1))</f>
        <v>0</v>
      </c>
      <c r="S7">
        <f>COUNTIF(Table!$BT:$BT,CONCATENATE($A7,"_",S$1))</f>
        <v>0</v>
      </c>
      <c r="T7">
        <f>COUNTIF(Table!$BT:$BT,CONCATENATE($A7,"_",T$1))</f>
        <v>0</v>
      </c>
      <c r="U7">
        <f>COUNTIF(Table!$BT:$BT,CONCATENATE($A7,"_",U$1))</f>
        <v>0</v>
      </c>
      <c r="V7">
        <f>COUNTIF(Table!$BT:$BT,CONCATENATE($A7,"_",V$1))</f>
        <v>0</v>
      </c>
      <c r="W7">
        <f>COUNTIF(Table!$BT:$BT,CONCATENATE($A7,"_",W$1))</f>
        <v>0</v>
      </c>
    </row>
    <row r="8" spans="1:23" x14ac:dyDescent="0.25">
      <c r="A8" t="s">
        <v>55</v>
      </c>
      <c r="B8" t="str">
        <f>VLOOKUP(A8, Eras!$B$2:$C$10, 2, FALSE)</f>
        <v>Dieselisation (1955-1970)</v>
      </c>
      <c r="C8">
        <f>COUNTIF(Table!$BT:$BT,CONCATENATE($A8,"_",C$1))</f>
        <v>0</v>
      </c>
      <c r="D8">
        <f>COUNTIF(Table!$BT:$BT,CONCATENATE($A8,"_",D$1))</f>
        <v>0</v>
      </c>
      <c r="E8">
        <f>COUNTIF(Table!$BT:$BT,CONCATENATE($A8,"_",E$1))</f>
        <v>0</v>
      </c>
      <c r="F8">
        <f>COUNTIF(Table!$BT:$BT,CONCATENATE($A8,"_",F$1))</f>
        <v>0</v>
      </c>
      <c r="G8">
        <f>COUNTIF(Table!$BT:$BT,CONCATENATE($A8,"_",G$1))</f>
        <v>0</v>
      </c>
      <c r="H8">
        <f>COUNTIF(Table!$BT:$BT,CONCATENATE($A8,"_",H$1))</f>
        <v>0</v>
      </c>
      <c r="I8">
        <f>COUNTIF(Table!$BT:$BT,CONCATENATE($A8,"_",I$1))</f>
        <v>0</v>
      </c>
      <c r="J8">
        <f>COUNTIF(Table!$BT:$BT,CONCATENATE($A8,"_",J$1))</f>
        <v>0</v>
      </c>
      <c r="K8">
        <f>COUNTIF(Table!$BT:$BT,CONCATENATE($A8,"_",K$1))</f>
        <v>0</v>
      </c>
      <c r="L8">
        <f>COUNTIF(Table!$BT:$BT,CONCATENATE($A8,"_",L$1))</f>
        <v>1</v>
      </c>
      <c r="M8">
        <f>COUNTIF(Table!$BT:$BT,CONCATENATE($A8,"_",M$1))</f>
        <v>0</v>
      </c>
      <c r="N8">
        <f>COUNTIF(Table!$BT:$BT,CONCATENATE($A8,"_",N$1))</f>
        <v>0</v>
      </c>
      <c r="O8">
        <f>COUNTIF(Table!$BT:$BT,CONCATENATE($A8,"_",O$1))</f>
        <v>0</v>
      </c>
      <c r="P8">
        <f>COUNTIF(Table!$BT:$BT,CONCATENATE($A8,"_",P$1))</f>
        <v>0</v>
      </c>
      <c r="Q8">
        <f>COUNTIF(Table!$BT:$BT,CONCATENATE($A8,"_",Q$1))</f>
        <v>0</v>
      </c>
      <c r="R8">
        <f>COUNTIF(Table!$BT:$BT,CONCATENATE($A8,"_",R$1))</f>
        <v>0</v>
      </c>
      <c r="S8">
        <f>COUNTIF(Table!$BT:$BT,CONCATENATE($A8,"_",S$1))</f>
        <v>0</v>
      </c>
      <c r="T8">
        <f>COUNTIF(Table!$BT:$BT,CONCATENATE($A8,"_",T$1))</f>
        <v>0</v>
      </c>
      <c r="U8">
        <f>COUNTIF(Table!$BT:$BT,CONCATENATE($A8,"_",U$1))</f>
        <v>0</v>
      </c>
      <c r="V8">
        <f>COUNTIF(Table!$BT:$BT,CONCATENATE($A8,"_",V$1))</f>
        <v>0</v>
      </c>
      <c r="W8">
        <f>COUNTIF(Table!$BT:$BT,CONCATENATE($A8,"_",W$1))</f>
        <v>0</v>
      </c>
    </row>
    <row r="9" spans="1:23" x14ac:dyDescent="0.25">
      <c r="A9" t="s">
        <v>106</v>
      </c>
      <c r="B9" t="str">
        <f>VLOOKUP(A9, Eras!$B$2:$C$10, 2, FALSE)</f>
        <v>Late BR (1970-1995)</v>
      </c>
      <c r="C9">
        <f>COUNTIF(Table!$BT:$BT,CONCATENATE($A9,"_",C$1))</f>
        <v>0</v>
      </c>
      <c r="D9">
        <f>COUNTIF(Table!$BT:$BT,CONCATENATE($A9,"_",D$1))</f>
        <v>0</v>
      </c>
      <c r="E9">
        <f>COUNTIF(Table!$BT:$BT,CONCATENATE($A9,"_",E$1))</f>
        <v>0</v>
      </c>
      <c r="F9">
        <f>COUNTIF(Table!$BT:$BT,CONCATENATE($A9,"_",F$1))</f>
        <v>0</v>
      </c>
      <c r="G9">
        <f>COUNTIF(Table!$BT:$BT,CONCATENATE($A9,"_",G$1))</f>
        <v>0</v>
      </c>
      <c r="H9">
        <f>COUNTIF(Table!$BT:$BT,CONCATENATE($A9,"_",H$1))</f>
        <v>0</v>
      </c>
      <c r="I9">
        <f>COUNTIF(Table!$BT:$BT,CONCATENATE($A9,"_",I$1))</f>
        <v>0</v>
      </c>
      <c r="J9">
        <f>COUNTIF(Table!$BT:$BT,CONCATENATE($A9,"_",J$1))</f>
        <v>0</v>
      </c>
      <c r="K9">
        <f>COUNTIF(Table!$BT:$BT,CONCATENATE($A9,"_",K$1))</f>
        <v>0</v>
      </c>
      <c r="L9">
        <f>COUNTIF(Table!$BT:$BT,CONCATENATE($A9,"_",L$1))</f>
        <v>0</v>
      </c>
      <c r="M9">
        <f>COUNTIF(Table!$BT:$BT,CONCATENATE($A9,"_",M$1))</f>
        <v>0</v>
      </c>
      <c r="N9">
        <f>COUNTIF(Table!$BT:$BT,CONCATENATE($A9,"_",N$1))</f>
        <v>0</v>
      </c>
      <c r="O9">
        <f>COUNTIF(Table!$BT:$BT,CONCATENATE($A9,"_",O$1))</f>
        <v>0</v>
      </c>
      <c r="P9">
        <f>COUNTIF(Table!$BT:$BT,CONCATENATE($A9,"_",P$1))</f>
        <v>0</v>
      </c>
      <c r="Q9">
        <f>COUNTIF(Table!$BT:$BT,CONCATENATE($A9,"_",Q$1))</f>
        <v>0</v>
      </c>
      <c r="R9">
        <f>COUNTIF(Table!$BT:$BT,CONCATENATE($A9,"_",R$1))</f>
        <v>0</v>
      </c>
      <c r="S9">
        <f>COUNTIF(Table!$BT:$BT,CONCATENATE($A9,"_",S$1))</f>
        <v>0</v>
      </c>
      <c r="T9">
        <f>COUNTIF(Table!$BT:$BT,CONCATENATE($A9,"_",T$1))</f>
        <v>0</v>
      </c>
      <c r="U9">
        <f>COUNTIF(Table!$BT:$BT,CONCATENATE($A9,"_",U$1))</f>
        <v>0</v>
      </c>
      <c r="V9">
        <f>COUNTIF(Table!$BT:$BT,CONCATENATE($A9,"_",V$1))</f>
        <v>0</v>
      </c>
      <c r="W9">
        <f>COUNTIF(Table!$BT:$BT,CONCATENATE($A9,"_",W$1))</f>
        <v>0</v>
      </c>
    </row>
    <row r="10" spans="1:23" x14ac:dyDescent="0.25">
      <c r="A10" t="s">
        <v>56</v>
      </c>
      <c r="B10" t="str">
        <f>VLOOKUP(A10, Eras!$B$2:$C$10, 2, FALSE)</f>
        <v>Privatisation (1995-2005)</v>
      </c>
      <c r="C10">
        <f>COUNTIF(Table!$BT:$BT,CONCATENATE($A10,"_",C$1))</f>
        <v>0</v>
      </c>
      <c r="D10">
        <f>COUNTIF(Table!$BT:$BT,CONCATENATE($A10,"_",D$1))</f>
        <v>0</v>
      </c>
      <c r="E10">
        <f>COUNTIF(Table!$BT:$BT,CONCATENATE($A10,"_",E$1))</f>
        <v>0</v>
      </c>
      <c r="F10">
        <f>COUNTIF(Table!$BT:$BT,CONCATENATE($A10,"_",F$1))</f>
        <v>0</v>
      </c>
      <c r="G10">
        <f>COUNTIF(Table!$BT:$BT,CONCATENATE($A10,"_",G$1))</f>
        <v>0</v>
      </c>
      <c r="H10">
        <f>COUNTIF(Table!$BT:$BT,CONCATENATE($A10,"_",H$1))</f>
        <v>0</v>
      </c>
      <c r="I10">
        <f>COUNTIF(Table!$BT:$BT,CONCATENATE($A10,"_",I$1))</f>
        <v>0</v>
      </c>
      <c r="J10">
        <f>COUNTIF(Table!$BT:$BT,CONCATENATE($A10,"_",J$1))</f>
        <v>0</v>
      </c>
      <c r="K10">
        <f>COUNTIF(Table!$BT:$BT,CONCATENATE($A10,"_",K$1))</f>
        <v>0</v>
      </c>
      <c r="L10">
        <f>COUNTIF(Table!$BT:$BT,CONCATENATE($A10,"_",L$1))</f>
        <v>0</v>
      </c>
      <c r="M10">
        <f>COUNTIF(Table!$BT:$BT,CONCATENATE($A10,"_",M$1))</f>
        <v>0</v>
      </c>
      <c r="N10">
        <f>COUNTIF(Table!$BT:$BT,CONCATENATE($A10,"_",N$1))</f>
        <v>0</v>
      </c>
      <c r="O10">
        <f>COUNTIF(Table!$BT:$BT,CONCATENATE($A10,"_",O$1))</f>
        <v>0</v>
      </c>
      <c r="P10">
        <f>COUNTIF(Table!$BT:$BT,CONCATENATE($A10,"_",P$1))</f>
        <v>0</v>
      </c>
      <c r="Q10">
        <f>COUNTIF(Table!$BT:$BT,CONCATENATE($A10,"_",Q$1))</f>
        <v>0</v>
      </c>
      <c r="R10">
        <f>COUNTIF(Table!$BT:$BT,CONCATENATE($A10,"_",R$1))</f>
        <v>0</v>
      </c>
      <c r="S10">
        <f>COUNTIF(Table!$BT:$BT,CONCATENATE($A10,"_",S$1))</f>
        <v>0</v>
      </c>
      <c r="T10">
        <f>COUNTIF(Table!$BT:$BT,CONCATENATE($A10,"_",T$1))</f>
        <v>0</v>
      </c>
      <c r="U10">
        <f>COUNTIF(Table!$BT:$BT,CONCATENATE($A10,"_",U$1))</f>
        <v>0</v>
      </c>
      <c r="V10">
        <f>COUNTIF(Table!$BT:$BT,CONCATENATE($A10,"_",V$1))</f>
        <v>0</v>
      </c>
      <c r="W10">
        <f>COUNTIF(Table!$BT:$BT,CONCATENATE($A10,"_",W$1))</f>
        <v>0</v>
      </c>
    </row>
    <row r="11" spans="1:23" x14ac:dyDescent="0.25">
      <c r="A11" t="s">
        <v>57</v>
      </c>
      <c r="B11" t="str">
        <f>VLOOKUP(A11, Eras!$B$2:$C$10, 2, FALSE)</f>
        <v>Modern (2005-)</v>
      </c>
      <c r="C11">
        <f>COUNTIF(Table!$BT:$BT,CONCATENATE($A11,"_",C$1))</f>
        <v>0</v>
      </c>
      <c r="D11">
        <f>COUNTIF(Table!$BT:$BT,CONCATENATE($A11,"_",D$1))</f>
        <v>0</v>
      </c>
      <c r="E11">
        <f>COUNTIF(Table!$BT:$BT,CONCATENATE($A11,"_",E$1))</f>
        <v>0</v>
      </c>
      <c r="F11">
        <f>COUNTIF(Table!$BT:$BT,CONCATENATE($A11,"_",F$1))</f>
        <v>0</v>
      </c>
      <c r="G11">
        <f>COUNTIF(Table!$BT:$BT,CONCATENATE($A11,"_",G$1))</f>
        <v>0</v>
      </c>
      <c r="H11">
        <f>COUNTIF(Table!$BT:$BT,CONCATENATE($A11,"_",H$1))</f>
        <v>0</v>
      </c>
      <c r="I11">
        <f>COUNTIF(Table!$BT:$BT,CONCATENATE($A11,"_",I$1))</f>
        <v>0</v>
      </c>
      <c r="J11">
        <f>COUNTIF(Table!$BT:$BT,CONCATENATE($A11,"_",J$1))</f>
        <v>0</v>
      </c>
      <c r="K11">
        <f>COUNTIF(Table!$BT:$BT,CONCATENATE($A11,"_",K$1))</f>
        <v>0</v>
      </c>
      <c r="L11">
        <f>COUNTIF(Table!$BT:$BT,CONCATENATE($A11,"_",L$1))</f>
        <v>0</v>
      </c>
      <c r="M11">
        <f>COUNTIF(Table!$BT:$BT,CONCATENATE($A11,"_",M$1))</f>
        <v>0</v>
      </c>
      <c r="N11">
        <f>COUNTIF(Table!$BT:$BT,CONCATENATE($A11,"_",N$1))</f>
        <v>0</v>
      </c>
      <c r="O11">
        <f>COUNTIF(Table!$BT:$BT,CONCATENATE($A11,"_",O$1))</f>
        <v>0</v>
      </c>
      <c r="P11">
        <f>COUNTIF(Table!$BT:$BT,CONCATENATE($A11,"_",P$1))</f>
        <v>0</v>
      </c>
      <c r="Q11">
        <f>COUNTIF(Table!$BT:$BT,CONCATENATE($A11,"_",Q$1))</f>
        <v>0</v>
      </c>
      <c r="R11">
        <f>COUNTIF(Table!$BT:$BT,CONCATENATE($A11,"_",R$1))</f>
        <v>0</v>
      </c>
      <c r="S11">
        <f>COUNTIF(Table!$BT:$BT,CONCATENATE($A11,"_",S$1))</f>
        <v>0</v>
      </c>
      <c r="T11">
        <f>COUNTIF(Table!$BT:$BT,CONCATENATE($A11,"_",T$1))</f>
        <v>0</v>
      </c>
      <c r="U11">
        <f>COUNTIF(Table!$BT:$BT,CONCATENATE($A11,"_",U$1))</f>
        <v>0</v>
      </c>
      <c r="V11">
        <f>COUNTIF(Table!$BT:$BT,CONCATENATE($A11,"_",V$1))</f>
        <v>0</v>
      </c>
      <c r="W11">
        <f>COUNTIF(Table!$BT:$BT,CONCATENATE($A11,"_",W$1))</f>
        <v>0</v>
      </c>
    </row>
  </sheetData>
  <conditionalFormatting sqref="C3:C11 E8:V11 E3:G7 J6:V7 J5:K5 P3:V5 N5 W3:W11">
    <cfRule type="colorScale" priority="16">
      <colorScale>
        <cfvo type="min"/>
        <cfvo type="num" val="1"/>
        <cfvo type="max"/>
        <color theme="5" tint="-0.249977111117893"/>
        <color rgb="FFFFEB84"/>
        <color theme="9" tint="0.39997558519241921"/>
      </colorScale>
    </cfRule>
    <cfRule type="cellIs" dxfId="1" priority="17" operator="lessThan">
      <formula>1</formula>
    </cfRule>
  </conditionalFormatting>
  <conditionalFormatting sqref="D3:D11">
    <cfRule type="colorScale" priority="34">
      <colorScale>
        <cfvo type="min"/>
        <cfvo type="num" val="1"/>
        <cfvo type="max"/>
        <color theme="5" tint="-0.249977111117893"/>
        <color rgb="FFFFEB84"/>
        <color theme="9" tint="0.39997558519241921"/>
      </colorScale>
    </cfRule>
    <cfRule type="cellIs" dxfId="0" priority="35" operator="lessThan">
      <formula>1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F6820-D390-4826-8D5C-FD53A495F2D3}">
  <sheetPr codeName="Sheet3"/>
  <dimension ref="A1:C10"/>
  <sheetViews>
    <sheetView workbookViewId="0">
      <selection activeCell="A2" sqref="A2"/>
    </sheetView>
  </sheetViews>
  <sheetFormatPr defaultRowHeight="15" x14ac:dyDescent="0.25"/>
  <cols>
    <col min="1" max="1" width="9.5703125" bestFit="1" customWidth="1"/>
    <col min="2" max="2" width="5.42578125" bestFit="1" customWidth="1"/>
    <col min="3" max="3" width="29" bestFit="1" customWidth="1"/>
  </cols>
  <sheetData>
    <row r="1" spans="1:3" x14ac:dyDescent="0.25">
      <c r="A1" s="1" t="s">
        <v>45</v>
      </c>
      <c r="B1" s="1" t="s">
        <v>51</v>
      </c>
      <c r="C1" s="1" t="s">
        <v>46</v>
      </c>
    </row>
    <row r="2" spans="1:3" x14ac:dyDescent="0.25">
      <c r="A2">
        <v>1700</v>
      </c>
      <c r="B2" t="s">
        <v>52</v>
      </c>
      <c r="C2" t="s">
        <v>93</v>
      </c>
    </row>
    <row r="3" spans="1:3" x14ac:dyDescent="0.25">
      <c r="A3">
        <v>1850</v>
      </c>
      <c r="B3" t="s">
        <v>94</v>
      </c>
      <c r="C3" t="s">
        <v>92</v>
      </c>
    </row>
    <row r="4" spans="1:3" x14ac:dyDescent="0.25">
      <c r="A4">
        <v>1900</v>
      </c>
      <c r="B4" t="s">
        <v>53</v>
      </c>
      <c r="C4" t="s">
        <v>47</v>
      </c>
    </row>
    <row r="5" spans="1:3" x14ac:dyDescent="0.25">
      <c r="A5">
        <v>1923</v>
      </c>
      <c r="B5" t="s">
        <v>54</v>
      </c>
      <c r="C5" t="s">
        <v>97</v>
      </c>
    </row>
    <row r="6" spans="1:3" x14ac:dyDescent="0.25">
      <c r="A6">
        <v>1948</v>
      </c>
      <c r="B6" t="s">
        <v>105</v>
      </c>
      <c r="C6" t="s">
        <v>48</v>
      </c>
    </row>
    <row r="7" spans="1:3" x14ac:dyDescent="0.25">
      <c r="A7">
        <v>1955</v>
      </c>
      <c r="B7" t="s">
        <v>55</v>
      </c>
      <c r="C7" t="s">
        <v>108</v>
      </c>
    </row>
    <row r="8" spans="1:3" x14ac:dyDescent="0.25">
      <c r="A8">
        <v>1970</v>
      </c>
      <c r="B8" t="s">
        <v>106</v>
      </c>
      <c r="C8" t="s">
        <v>107</v>
      </c>
    </row>
    <row r="9" spans="1:3" x14ac:dyDescent="0.25">
      <c r="A9">
        <v>1995</v>
      </c>
      <c r="B9" t="s">
        <v>56</v>
      </c>
      <c r="C9" t="s">
        <v>49</v>
      </c>
    </row>
    <row r="10" spans="1:3" x14ac:dyDescent="0.25">
      <c r="A10">
        <v>2005</v>
      </c>
      <c r="B10" t="s">
        <v>57</v>
      </c>
      <c r="C10" t="s">
        <v>50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D3AA4-4770-4504-9E9C-D477D8C48308}">
  <sheetPr codeName="Sheet4"/>
  <dimension ref="A1:O26"/>
  <sheetViews>
    <sheetView topLeftCell="A5" workbookViewId="0">
      <selection activeCell="A26" sqref="A26"/>
    </sheetView>
  </sheetViews>
  <sheetFormatPr defaultRowHeight="15" x14ac:dyDescent="0.25"/>
  <cols>
    <col min="1" max="1" width="7" bestFit="1" customWidth="1"/>
    <col min="2" max="2" width="13.28515625" bestFit="1" customWidth="1"/>
    <col min="3" max="3" width="20.140625" bestFit="1" customWidth="1"/>
    <col min="6" max="6" width="27.42578125" customWidth="1"/>
    <col min="9" max="9" width="14.7109375" bestFit="1" customWidth="1"/>
    <col min="10" max="10" width="18.140625" bestFit="1" customWidth="1"/>
    <col min="11" max="11" width="18.85546875" bestFit="1" customWidth="1"/>
    <col min="13" max="13" width="19.7109375" bestFit="1" customWidth="1"/>
    <col min="14" max="14" width="27.28515625" bestFit="1" customWidth="1"/>
    <col min="15" max="15" width="6.7109375" bestFit="1" customWidth="1"/>
  </cols>
  <sheetData>
    <row r="1" spans="1:15" x14ac:dyDescent="0.25">
      <c r="A1" s="1" t="s">
        <v>18</v>
      </c>
      <c r="B1" s="1" t="s">
        <v>19</v>
      </c>
      <c r="C1" s="1" t="s">
        <v>99</v>
      </c>
      <c r="F1" s="1" t="s">
        <v>152</v>
      </c>
      <c r="G1">
        <v>15</v>
      </c>
      <c r="I1" s="1" t="s">
        <v>156</v>
      </c>
      <c r="J1" s="1" t="s">
        <v>157</v>
      </c>
      <c r="K1" s="1" t="s">
        <v>158</v>
      </c>
      <c r="M1" s="1" t="s">
        <v>179</v>
      </c>
      <c r="N1" s="1" t="s">
        <v>180</v>
      </c>
      <c r="O1" s="1" t="s">
        <v>8</v>
      </c>
    </row>
    <row r="2" spans="1:15" x14ac:dyDescent="0.25">
      <c r="A2" s="2">
        <v>0</v>
      </c>
      <c r="B2" s="2" t="s">
        <v>15</v>
      </c>
      <c r="F2" s="1" t="s">
        <v>153</v>
      </c>
      <c r="G2">
        <v>5</v>
      </c>
      <c r="I2" t="s">
        <v>26</v>
      </c>
      <c r="J2">
        <v>1</v>
      </c>
      <c r="K2">
        <v>2</v>
      </c>
      <c r="M2" t="s">
        <v>181</v>
      </c>
      <c r="N2" t="str">
        <f>IF(O2&lt;&gt;"", _xlfn.CONCAT("{BLACK}Powered by: {GOLD}",O2), "")</f>
        <v>{BLACK}Powered by: {GOLD}Diesel</v>
      </c>
      <c r="O2" t="s">
        <v>190</v>
      </c>
    </row>
    <row r="3" spans="1:15" x14ac:dyDescent="0.25">
      <c r="A3">
        <v>3</v>
      </c>
      <c r="B3" t="s">
        <v>37</v>
      </c>
      <c r="C3" t="s">
        <v>37</v>
      </c>
      <c r="I3" t="s">
        <v>38</v>
      </c>
      <c r="J3">
        <v>0.85</v>
      </c>
      <c r="K3">
        <v>2.2999999999999998</v>
      </c>
      <c r="M3" t="s">
        <v>182</v>
      </c>
      <c r="N3" t="str">
        <f t="shared" ref="N3:N26" si="0">IF(O3&lt;&gt;"", _xlfn.CONCAT("{BLACK}Powered by: {GOLD}",O3), "")</f>
        <v>{BLACK}Powered by: {GOLD}Steam</v>
      </c>
      <c r="O3" t="s">
        <v>191</v>
      </c>
    </row>
    <row r="4" spans="1:15" x14ac:dyDescent="0.25">
      <c r="A4">
        <v>4</v>
      </c>
      <c r="B4" t="s">
        <v>142</v>
      </c>
      <c r="C4" t="s">
        <v>142</v>
      </c>
      <c r="I4" t="s">
        <v>25</v>
      </c>
      <c r="J4">
        <v>1.1499999999999999</v>
      </c>
      <c r="K4">
        <v>1.7</v>
      </c>
      <c r="M4" t="s">
        <v>183</v>
      </c>
      <c r="N4" t="str">
        <f t="shared" si="0"/>
        <v>{BLACK}Powered by: {GOLD}25kV AC</v>
      </c>
      <c r="O4" t="s">
        <v>192</v>
      </c>
    </row>
    <row r="5" spans="1:15" x14ac:dyDescent="0.25">
      <c r="A5">
        <v>5</v>
      </c>
      <c r="B5" t="s">
        <v>137</v>
      </c>
      <c r="C5" t="s">
        <v>137</v>
      </c>
      <c r="I5" t="s">
        <v>100</v>
      </c>
      <c r="J5">
        <v>0.9</v>
      </c>
      <c r="K5">
        <v>2.5</v>
      </c>
      <c r="M5" t="s">
        <v>194</v>
      </c>
      <c r="N5" t="str">
        <f t="shared" si="0"/>
        <v>{BLACK}Powered by: {GOLD}750V DC</v>
      </c>
      <c r="O5" t="s">
        <v>193</v>
      </c>
    </row>
    <row r="6" spans="1:15" x14ac:dyDescent="0.25">
      <c r="A6">
        <v>6</v>
      </c>
      <c r="B6" t="s">
        <v>43</v>
      </c>
      <c r="C6" t="s">
        <v>43</v>
      </c>
      <c r="I6" t="s">
        <v>102</v>
      </c>
      <c r="J6">
        <v>0.85</v>
      </c>
      <c r="K6">
        <v>2.4</v>
      </c>
      <c r="M6" t="s">
        <v>185</v>
      </c>
      <c r="N6" t="str">
        <f t="shared" si="0"/>
        <v/>
      </c>
    </row>
    <row r="7" spans="1:15" x14ac:dyDescent="0.25">
      <c r="A7">
        <v>7</v>
      </c>
      <c r="B7" t="s">
        <v>135</v>
      </c>
      <c r="C7" t="s">
        <v>135</v>
      </c>
      <c r="I7" t="s">
        <v>161</v>
      </c>
      <c r="J7">
        <v>1.2</v>
      </c>
      <c r="K7">
        <v>0.6</v>
      </c>
      <c r="M7" t="s">
        <v>186</v>
      </c>
      <c r="N7" t="str">
        <f t="shared" si="0"/>
        <v/>
      </c>
    </row>
    <row r="8" spans="1:15" x14ac:dyDescent="0.25">
      <c r="A8">
        <v>8</v>
      </c>
      <c r="B8" t="s">
        <v>132</v>
      </c>
      <c r="C8" t="s">
        <v>132</v>
      </c>
      <c r="I8" t="s">
        <v>162</v>
      </c>
      <c r="J8">
        <v>1.5</v>
      </c>
      <c r="K8">
        <v>0.7</v>
      </c>
      <c r="M8" t="s">
        <v>187</v>
      </c>
      <c r="N8" t="str">
        <f t="shared" si="0"/>
        <v/>
      </c>
    </row>
    <row r="9" spans="1:15" x14ac:dyDescent="0.25">
      <c r="A9">
        <v>9</v>
      </c>
      <c r="B9" t="s">
        <v>134</v>
      </c>
      <c r="C9" t="s">
        <v>134</v>
      </c>
      <c r="I9" t="s">
        <v>32</v>
      </c>
      <c r="J9">
        <v>1</v>
      </c>
      <c r="K9">
        <v>0.45</v>
      </c>
      <c r="M9" t="s">
        <v>188</v>
      </c>
      <c r="N9" t="str">
        <f t="shared" si="0"/>
        <v/>
      </c>
    </row>
    <row r="10" spans="1:15" x14ac:dyDescent="0.25">
      <c r="A10">
        <v>10</v>
      </c>
      <c r="B10" t="s">
        <v>136</v>
      </c>
      <c r="C10" t="s">
        <v>136</v>
      </c>
      <c r="I10" t="s">
        <v>163</v>
      </c>
      <c r="J10">
        <v>1</v>
      </c>
      <c r="K10">
        <v>0.4</v>
      </c>
      <c r="M10" t="s">
        <v>189</v>
      </c>
      <c r="N10" t="str">
        <f t="shared" si="0"/>
        <v/>
      </c>
    </row>
    <row r="11" spans="1:15" x14ac:dyDescent="0.25">
      <c r="A11">
        <v>11</v>
      </c>
      <c r="B11" t="s">
        <v>138</v>
      </c>
      <c r="C11" t="s">
        <v>138</v>
      </c>
      <c r="I11" t="s">
        <v>164</v>
      </c>
      <c r="J11">
        <v>0.9</v>
      </c>
      <c r="K11">
        <v>1.6</v>
      </c>
      <c r="M11" t="s">
        <v>195</v>
      </c>
      <c r="N11" t="str">
        <f t="shared" si="0"/>
        <v>{BLACK}Powered by: {GOLD}750V DC / Diesel</v>
      </c>
      <c r="O11" t="s">
        <v>196</v>
      </c>
    </row>
    <row r="12" spans="1:15" x14ac:dyDescent="0.25">
      <c r="A12">
        <v>12</v>
      </c>
      <c r="B12" t="s">
        <v>131</v>
      </c>
      <c r="C12" t="s">
        <v>131</v>
      </c>
      <c r="I12" t="s">
        <v>36</v>
      </c>
      <c r="J12">
        <v>0</v>
      </c>
      <c r="K12">
        <v>0</v>
      </c>
      <c r="M12" t="s">
        <v>197</v>
      </c>
      <c r="N12" t="str">
        <f t="shared" si="0"/>
        <v>{BLACK}Powered by: {GOLD}25kV AC / 750V DC</v>
      </c>
      <c r="O12" t="s">
        <v>198</v>
      </c>
    </row>
    <row r="13" spans="1:15" x14ac:dyDescent="0.25">
      <c r="A13">
        <v>13</v>
      </c>
      <c r="B13" t="s">
        <v>139</v>
      </c>
      <c r="C13" t="s">
        <v>139</v>
      </c>
      <c r="I13" t="s">
        <v>202</v>
      </c>
      <c r="J13">
        <v>1.05</v>
      </c>
      <c r="K13">
        <v>1.9</v>
      </c>
      <c r="M13" t="s">
        <v>199</v>
      </c>
      <c r="N13" t="str">
        <f t="shared" si="0"/>
        <v/>
      </c>
    </row>
    <row r="14" spans="1:15" x14ac:dyDescent="0.25">
      <c r="A14">
        <v>14</v>
      </c>
      <c r="B14" t="s">
        <v>133</v>
      </c>
      <c r="C14" t="s">
        <v>133</v>
      </c>
      <c r="I14" t="s">
        <v>215</v>
      </c>
      <c r="J14">
        <v>0.98</v>
      </c>
      <c r="K14">
        <v>1.88</v>
      </c>
      <c r="M14" t="s">
        <v>200</v>
      </c>
      <c r="N14" t="str">
        <f t="shared" si="0"/>
        <v/>
      </c>
    </row>
    <row r="15" spans="1:15" x14ac:dyDescent="0.25">
      <c r="A15">
        <v>15</v>
      </c>
      <c r="B15" t="s">
        <v>140</v>
      </c>
      <c r="C15" t="s">
        <v>140</v>
      </c>
      <c r="I15" t="s">
        <v>221</v>
      </c>
      <c r="J15">
        <v>0.5</v>
      </c>
      <c r="K15">
        <v>0.5</v>
      </c>
      <c r="M15" t="s">
        <v>201</v>
      </c>
      <c r="N15" t="str">
        <f t="shared" si="0"/>
        <v/>
      </c>
    </row>
    <row r="16" spans="1:15" x14ac:dyDescent="0.25">
      <c r="A16">
        <v>16</v>
      </c>
      <c r="B16" t="s">
        <v>141</v>
      </c>
      <c r="C16" t="s">
        <v>141</v>
      </c>
      <c r="M16" t="s">
        <v>203</v>
      </c>
      <c r="N16" t="str">
        <f t="shared" si="0"/>
        <v>{BLACK}Powered by: {GOLD}Petrol</v>
      </c>
      <c r="O16" t="s">
        <v>145</v>
      </c>
    </row>
    <row r="17" spans="13:15" x14ac:dyDescent="0.25">
      <c r="M17" t="s">
        <v>206</v>
      </c>
      <c r="N17" t="str">
        <f t="shared" si="0"/>
        <v>{BLACK}Powered by: {GOLD}25kV AC / Diesel</v>
      </c>
      <c r="O17" t="s">
        <v>207</v>
      </c>
    </row>
    <row r="18" spans="13:15" x14ac:dyDescent="0.25">
      <c r="M18" t="s">
        <v>216</v>
      </c>
      <c r="N18" t="str">
        <f t="shared" si="0"/>
        <v>{BLACK}Powered by: {GOLD}LPG / Flywheel</v>
      </c>
      <c r="O18" t="s">
        <v>217</v>
      </c>
    </row>
    <row r="19" spans="13:15" x14ac:dyDescent="0.25">
      <c r="M19" t="s">
        <v>219</v>
      </c>
      <c r="N19" t="str">
        <f t="shared" si="0"/>
        <v/>
      </c>
    </row>
    <row r="20" spans="13:15" x14ac:dyDescent="0.25">
      <c r="M20" t="s">
        <v>218</v>
      </c>
      <c r="N20" t="str">
        <f t="shared" si="0"/>
        <v>{BLACK}Powered by: {GOLD}Steam</v>
      </c>
      <c r="O20" t="s">
        <v>191</v>
      </c>
    </row>
    <row r="21" spans="13:15" x14ac:dyDescent="0.25">
      <c r="M21" t="s">
        <v>220</v>
      </c>
      <c r="N21" t="str">
        <f t="shared" si="0"/>
        <v/>
      </c>
    </row>
    <row r="22" spans="13:15" x14ac:dyDescent="0.25">
      <c r="M22" t="s">
        <v>223</v>
      </c>
      <c r="N22" t="str">
        <f t="shared" si="0"/>
        <v>{BLACK}Powered by: {GOLD}Grass and hay</v>
      </c>
      <c r="O22" t="s">
        <v>222</v>
      </c>
    </row>
    <row r="23" spans="13:15" x14ac:dyDescent="0.25">
      <c r="M23" t="s">
        <v>224</v>
      </c>
      <c r="N23" t="str">
        <f t="shared" si="0"/>
        <v>{BLACK}Powered by: {GOLD}630V DC</v>
      </c>
      <c r="O23" t="s">
        <v>225</v>
      </c>
    </row>
    <row r="24" spans="13:15" x14ac:dyDescent="0.25">
      <c r="M24" t="s">
        <v>226</v>
      </c>
      <c r="N24" t="str">
        <f t="shared" si="0"/>
        <v/>
      </c>
    </row>
    <row r="25" spans="13:15" x14ac:dyDescent="0.25">
      <c r="M25" t="s">
        <v>227</v>
      </c>
      <c r="N25" t="str">
        <f t="shared" si="0"/>
        <v/>
      </c>
    </row>
    <row r="26" spans="13:15" x14ac:dyDescent="0.25">
      <c r="M26" t="s">
        <v>246</v>
      </c>
      <c r="N26" t="str">
        <f t="shared" si="0"/>
        <v>{BLACK}Powered by: {GOLD}Grass and hay</v>
      </c>
      <c r="O26" t="s">
        <v>222</v>
      </c>
    </row>
  </sheetData>
  <pageMargins left="0.7" right="0.7" top="0.75" bottom="0.75" header="0.3" footer="0.3"/>
  <pageSetup paperSize="9" orientation="portrait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34734-C4C8-4FA5-8391-F854554E8E31}">
  <sheetPr codeName="Sheet5"/>
  <dimension ref="A1:D18"/>
  <sheetViews>
    <sheetView workbookViewId="0">
      <selection activeCell="D5" sqref="D5"/>
    </sheetView>
  </sheetViews>
  <sheetFormatPr defaultRowHeight="15" x14ac:dyDescent="0.25"/>
  <cols>
    <col min="1" max="1" width="10.7109375" bestFit="1" customWidth="1"/>
    <col min="2" max="2" width="10.7109375" customWidth="1"/>
    <col min="3" max="3" width="21.42578125" bestFit="1" customWidth="1"/>
    <col min="4" max="4" width="21.42578125" customWidth="1"/>
  </cols>
  <sheetData>
    <row r="1" spans="1:4" x14ac:dyDescent="0.25">
      <c r="A1" s="1" t="s">
        <v>39</v>
      </c>
      <c r="B1" s="1" t="s">
        <v>40</v>
      </c>
      <c r="C1" s="1" t="s">
        <v>41</v>
      </c>
      <c r="D1" s="1" t="s">
        <v>42</v>
      </c>
    </row>
    <row r="2" spans="1:4" x14ac:dyDescent="0.25">
      <c r="A2">
        <v>0</v>
      </c>
      <c r="B2">
        <f>IF(D2,D2,C2)</f>
        <v>0</v>
      </c>
      <c r="C2">
        <f>INT(A2*(256/15))</f>
        <v>0</v>
      </c>
      <c r="D2" s="1"/>
    </row>
    <row r="3" spans="1:4" x14ac:dyDescent="0.25">
      <c r="A3">
        <v>1</v>
      </c>
      <c r="B3">
        <f>IF(D3,D3,C3)</f>
        <v>17</v>
      </c>
      <c r="C3">
        <f>INT(A3*(256/15))</f>
        <v>17</v>
      </c>
    </row>
    <row r="4" spans="1:4" x14ac:dyDescent="0.25">
      <c r="A4">
        <v>2</v>
      </c>
      <c r="B4">
        <f t="shared" ref="B4:B18" si="0">IF(D4,D4,C4)</f>
        <v>34</v>
      </c>
      <c r="C4">
        <f t="shared" ref="C4:C18" si="1">INT(A4*(256/15))</f>
        <v>34</v>
      </c>
    </row>
    <row r="5" spans="1:4" x14ac:dyDescent="0.25">
      <c r="A5">
        <v>3</v>
      </c>
      <c r="B5">
        <f t="shared" si="0"/>
        <v>51</v>
      </c>
      <c r="C5">
        <f t="shared" si="1"/>
        <v>51</v>
      </c>
    </row>
    <row r="6" spans="1:4" x14ac:dyDescent="0.25">
      <c r="A6">
        <v>4</v>
      </c>
      <c r="B6">
        <f t="shared" si="0"/>
        <v>60</v>
      </c>
      <c r="C6">
        <f t="shared" si="1"/>
        <v>68</v>
      </c>
      <c r="D6">
        <v>60</v>
      </c>
    </row>
    <row r="7" spans="1:4" x14ac:dyDescent="0.25">
      <c r="A7">
        <v>5</v>
      </c>
      <c r="B7">
        <f t="shared" si="0"/>
        <v>82</v>
      </c>
      <c r="C7">
        <f t="shared" si="1"/>
        <v>85</v>
      </c>
      <c r="D7">
        <v>82</v>
      </c>
    </row>
    <row r="8" spans="1:4" x14ac:dyDescent="0.25">
      <c r="A8">
        <v>6</v>
      </c>
      <c r="B8">
        <f t="shared" si="0"/>
        <v>102</v>
      </c>
      <c r="C8">
        <f t="shared" si="1"/>
        <v>102</v>
      </c>
      <c r="D8">
        <v>102</v>
      </c>
    </row>
    <row r="9" spans="1:4" x14ac:dyDescent="0.25">
      <c r="A9">
        <v>7</v>
      </c>
      <c r="B9">
        <f t="shared" si="0"/>
        <v>120</v>
      </c>
      <c r="C9">
        <f t="shared" si="1"/>
        <v>119</v>
      </c>
      <c r="D9">
        <v>120</v>
      </c>
    </row>
    <row r="10" spans="1:4" x14ac:dyDescent="0.25">
      <c r="A10">
        <v>8</v>
      </c>
      <c r="B10">
        <f t="shared" si="0"/>
        <v>136</v>
      </c>
      <c r="C10">
        <f t="shared" si="1"/>
        <v>136</v>
      </c>
      <c r="D10">
        <v>136</v>
      </c>
    </row>
    <row r="11" spans="1:4" x14ac:dyDescent="0.25">
      <c r="A11">
        <v>9</v>
      </c>
      <c r="B11">
        <f t="shared" si="0"/>
        <v>152</v>
      </c>
      <c r="C11">
        <f t="shared" si="1"/>
        <v>153</v>
      </c>
      <c r="D11">
        <v>152</v>
      </c>
    </row>
    <row r="12" spans="1:4" x14ac:dyDescent="0.25">
      <c r="A12">
        <v>10</v>
      </c>
      <c r="B12">
        <f t="shared" si="0"/>
        <v>164</v>
      </c>
      <c r="C12">
        <f t="shared" si="1"/>
        <v>170</v>
      </c>
      <c r="D12">
        <v>164</v>
      </c>
    </row>
    <row r="13" spans="1:4" x14ac:dyDescent="0.25">
      <c r="A13">
        <v>11</v>
      </c>
      <c r="B13">
        <f t="shared" si="0"/>
        <v>186</v>
      </c>
      <c r="C13">
        <f t="shared" si="1"/>
        <v>187</v>
      </c>
      <c r="D13">
        <v>186</v>
      </c>
    </row>
    <row r="14" spans="1:4" x14ac:dyDescent="0.25">
      <c r="A14">
        <v>12</v>
      </c>
      <c r="B14">
        <f t="shared" si="0"/>
        <v>198</v>
      </c>
      <c r="C14">
        <f t="shared" si="1"/>
        <v>204</v>
      </c>
      <c r="D14">
        <v>198</v>
      </c>
    </row>
    <row r="15" spans="1:4" x14ac:dyDescent="0.25">
      <c r="A15">
        <v>13</v>
      </c>
      <c r="B15">
        <v>214</v>
      </c>
      <c r="C15">
        <f t="shared" si="1"/>
        <v>221</v>
      </c>
    </row>
    <row r="16" spans="1:4" x14ac:dyDescent="0.25">
      <c r="A16">
        <v>14</v>
      </c>
      <c r="B16">
        <f t="shared" si="0"/>
        <v>238</v>
      </c>
      <c r="C16">
        <f t="shared" si="1"/>
        <v>238</v>
      </c>
    </row>
    <row r="17" spans="1:3" x14ac:dyDescent="0.25">
      <c r="A17">
        <v>15</v>
      </c>
      <c r="B17">
        <f t="shared" si="0"/>
        <v>256</v>
      </c>
      <c r="C17">
        <f t="shared" si="1"/>
        <v>256</v>
      </c>
    </row>
    <row r="18" spans="1:3" x14ac:dyDescent="0.25">
      <c r="A18">
        <v>16</v>
      </c>
      <c r="B18">
        <f t="shared" si="0"/>
        <v>273</v>
      </c>
      <c r="C18">
        <f t="shared" si="1"/>
        <v>273</v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673F3-73ED-47CB-B65A-A71392272576}">
  <sheetPr codeName="Sheet6"/>
  <dimension ref="A1:U52"/>
  <sheetViews>
    <sheetView topLeftCell="A28" workbookViewId="0">
      <selection activeCell="B52" sqref="B52"/>
    </sheetView>
  </sheetViews>
  <sheetFormatPr defaultRowHeight="15" x14ac:dyDescent="0.25"/>
  <cols>
    <col min="1" max="1" width="11.42578125" bestFit="1" customWidth="1"/>
    <col min="3" max="3" width="12" bestFit="1" customWidth="1"/>
    <col min="8" max="9" width="10.5703125" bestFit="1" customWidth="1"/>
    <col min="10" max="10" width="11.28515625" bestFit="1" customWidth="1"/>
  </cols>
  <sheetData>
    <row r="1" spans="1:21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</row>
    <row r="2" spans="1:21" x14ac:dyDescent="0.25">
      <c r="B2" t="s">
        <v>113</v>
      </c>
    </row>
    <row r="3" spans="1:21" x14ac:dyDescent="0.25">
      <c r="A3" t="s">
        <v>120</v>
      </c>
      <c r="B3" t="s">
        <v>111</v>
      </c>
      <c r="C3" t="s">
        <v>112</v>
      </c>
      <c r="D3" t="s">
        <v>112</v>
      </c>
      <c r="E3" t="s">
        <v>112</v>
      </c>
      <c r="F3" t="s">
        <v>112</v>
      </c>
      <c r="G3" t="s">
        <v>116</v>
      </c>
      <c r="H3" t="s">
        <v>115</v>
      </c>
      <c r="I3" t="s">
        <v>115</v>
      </c>
      <c r="J3" t="s">
        <v>117</v>
      </c>
      <c r="K3" t="s">
        <v>112</v>
      </c>
      <c r="L3" t="s">
        <v>112</v>
      </c>
      <c r="M3" t="s">
        <v>112</v>
      </c>
      <c r="N3" t="s">
        <v>112</v>
      </c>
      <c r="O3" t="s">
        <v>114</v>
      </c>
    </row>
    <row r="4" spans="1:21" x14ac:dyDescent="0.25">
      <c r="A4" t="s">
        <v>121</v>
      </c>
      <c r="B4">
        <v>1</v>
      </c>
      <c r="C4">
        <v>1</v>
      </c>
      <c r="D4">
        <v>0</v>
      </c>
      <c r="E4">
        <v>0</v>
      </c>
      <c r="F4">
        <v>0</v>
      </c>
      <c r="G4">
        <v>1</v>
      </c>
      <c r="H4">
        <v>1</v>
      </c>
      <c r="I4">
        <v>0</v>
      </c>
      <c r="J4">
        <v>1</v>
      </c>
      <c r="K4">
        <v>0</v>
      </c>
      <c r="L4">
        <v>0</v>
      </c>
      <c r="M4">
        <v>0</v>
      </c>
      <c r="N4">
        <v>0</v>
      </c>
      <c r="O4">
        <v>1</v>
      </c>
    </row>
    <row r="6" spans="1:21" ht="14.25" customHeight="1" x14ac:dyDescent="0.25">
      <c r="B6" t="s">
        <v>119</v>
      </c>
    </row>
    <row r="7" spans="1:21" x14ac:dyDescent="0.25">
      <c r="A7" t="s">
        <v>120</v>
      </c>
      <c r="B7" t="s">
        <v>109</v>
      </c>
      <c r="C7" t="s">
        <v>125</v>
      </c>
      <c r="D7" t="s">
        <v>124</v>
      </c>
      <c r="E7" t="s">
        <v>124</v>
      </c>
      <c r="F7" t="s">
        <v>124</v>
      </c>
      <c r="G7" t="s">
        <v>124</v>
      </c>
      <c r="H7" t="s">
        <v>126</v>
      </c>
      <c r="I7" t="s">
        <v>124</v>
      </c>
      <c r="J7" t="s">
        <v>124</v>
      </c>
      <c r="K7" t="s">
        <v>124</v>
      </c>
      <c r="L7" t="s">
        <v>124</v>
      </c>
      <c r="M7" t="s">
        <v>124</v>
      </c>
      <c r="N7" t="s">
        <v>124</v>
      </c>
      <c r="O7" t="s">
        <v>126</v>
      </c>
      <c r="P7" t="s">
        <v>124</v>
      </c>
      <c r="Q7" t="s">
        <v>124</v>
      </c>
      <c r="R7" t="s">
        <v>124</v>
      </c>
      <c r="S7" t="s">
        <v>124</v>
      </c>
      <c r="T7" t="s">
        <v>127</v>
      </c>
      <c r="U7" t="s">
        <v>128</v>
      </c>
    </row>
    <row r="8" spans="1:21" x14ac:dyDescent="0.25">
      <c r="A8" t="s">
        <v>121</v>
      </c>
      <c r="B8">
        <v>1</v>
      </c>
      <c r="C8">
        <v>1</v>
      </c>
      <c r="D8">
        <v>1</v>
      </c>
      <c r="E8">
        <v>0</v>
      </c>
      <c r="F8">
        <v>0</v>
      </c>
      <c r="G8">
        <v>0</v>
      </c>
      <c r="H8">
        <v>1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1</v>
      </c>
      <c r="U8">
        <v>1</v>
      </c>
    </row>
    <row r="9" spans="1:21" x14ac:dyDescent="0.25">
      <c r="A9" t="s">
        <v>18</v>
      </c>
      <c r="B9">
        <v>22.15</v>
      </c>
      <c r="C9">
        <v>21.84</v>
      </c>
      <c r="D9">
        <v>18.7</v>
      </c>
      <c r="E9">
        <v>18.7</v>
      </c>
      <c r="F9">
        <v>18.7</v>
      </c>
      <c r="G9">
        <v>18.7</v>
      </c>
      <c r="H9">
        <v>18.7</v>
      </c>
      <c r="I9">
        <v>18.7</v>
      </c>
      <c r="J9">
        <v>18.7</v>
      </c>
      <c r="K9">
        <v>18.7</v>
      </c>
      <c r="L9">
        <v>18.7</v>
      </c>
      <c r="M9">
        <v>18.7</v>
      </c>
      <c r="N9">
        <v>18.7</v>
      </c>
      <c r="O9">
        <v>18.7</v>
      </c>
      <c r="P9">
        <v>18.7</v>
      </c>
      <c r="Q9">
        <v>18.7</v>
      </c>
      <c r="R9">
        <v>18.7</v>
      </c>
      <c r="S9">
        <v>18.7</v>
      </c>
      <c r="T9">
        <v>21.84</v>
      </c>
      <c r="U9">
        <v>22.15</v>
      </c>
    </row>
    <row r="10" spans="1:21" x14ac:dyDescent="0.25">
      <c r="A10" t="s">
        <v>122</v>
      </c>
      <c r="B10">
        <f t="shared" ref="B10:U10" si="0">ROUND(15*((B9*10)/256),0)</f>
        <v>13</v>
      </c>
      <c r="C10">
        <f t="shared" si="0"/>
        <v>13</v>
      </c>
      <c r="D10">
        <f t="shared" si="0"/>
        <v>11</v>
      </c>
      <c r="E10">
        <f t="shared" si="0"/>
        <v>11</v>
      </c>
      <c r="F10">
        <f t="shared" si="0"/>
        <v>11</v>
      </c>
      <c r="G10">
        <f t="shared" si="0"/>
        <v>11</v>
      </c>
      <c r="H10">
        <f t="shared" si="0"/>
        <v>11</v>
      </c>
      <c r="I10">
        <f t="shared" si="0"/>
        <v>11</v>
      </c>
      <c r="J10">
        <f t="shared" si="0"/>
        <v>11</v>
      </c>
      <c r="K10">
        <f t="shared" si="0"/>
        <v>11</v>
      </c>
      <c r="L10">
        <f t="shared" si="0"/>
        <v>11</v>
      </c>
      <c r="M10">
        <f t="shared" si="0"/>
        <v>11</v>
      </c>
      <c r="N10">
        <f t="shared" si="0"/>
        <v>11</v>
      </c>
      <c r="O10">
        <f t="shared" si="0"/>
        <v>11</v>
      </c>
      <c r="P10">
        <f t="shared" si="0"/>
        <v>11</v>
      </c>
      <c r="Q10">
        <f t="shared" si="0"/>
        <v>11</v>
      </c>
      <c r="R10">
        <f t="shared" si="0"/>
        <v>11</v>
      </c>
      <c r="S10">
        <f t="shared" si="0"/>
        <v>11</v>
      </c>
      <c r="T10">
        <f t="shared" si="0"/>
        <v>13</v>
      </c>
      <c r="U10">
        <f t="shared" si="0"/>
        <v>13</v>
      </c>
    </row>
    <row r="11" spans="1:21" x14ac:dyDescent="0.25">
      <c r="A11" t="s">
        <v>123</v>
      </c>
      <c r="B11" t="str">
        <f>VLOOKUP(B10,Constants!$A$1:$B$16,2,FALSE)</f>
        <v>4,5,4</v>
      </c>
      <c r="C11" t="str">
        <f>VLOOKUP(C10,Constants!$A$1:$B$16,2,FALSE)</f>
        <v>4,5,4</v>
      </c>
      <c r="D11" t="str">
        <f>VLOOKUP(D10,Constants!$A$1:$B$16,2,FALSE)</f>
        <v>4,3,4</v>
      </c>
      <c r="E11" t="str">
        <f>VLOOKUP(E10,Constants!$A$1:$B$16,2,FALSE)</f>
        <v>4,3,4</v>
      </c>
      <c r="F11" t="str">
        <f>VLOOKUP(F10,Constants!$A$1:$B$16,2,FALSE)</f>
        <v>4,3,4</v>
      </c>
      <c r="G11" t="str">
        <f>VLOOKUP(G10,Constants!$A$1:$B$16,2,FALSE)</f>
        <v>4,3,4</v>
      </c>
      <c r="H11" t="str">
        <f>VLOOKUP(H10,Constants!$A$1:$B$16,2,FALSE)</f>
        <v>4,3,4</v>
      </c>
      <c r="I11" t="str">
        <f>VLOOKUP(I10,Constants!$A$1:$B$16,2,FALSE)</f>
        <v>4,3,4</v>
      </c>
      <c r="J11" t="str">
        <f>VLOOKUP(J10,Constants!$A$1:$B$16,2,FALSE)</f>
        <v>4,3,4</v>
      </c>
      <c r="K11" t="str">
        <f>VLOOKUP(K10,Constants!$A$1:$B$16,2,FALSE)</f>
        <v>4,3,4</v>
      </c>
      <c r="L11" t="str">
        <f>VLOOKUP(L10,Constants!$A$1:$B$16,2,FALSE)</f>
        <v>4,3,4</v>
      </c>
      <c r="M11" t="str">
        <f>VLOOKUP(M10,Constants!$A$1:$B$16,2,FALSE)</f>
        <v>4,3,4</v>
      </c>
      <c r="N11" t="str">
        <f>VLOOKUP(N10,Constants!$A$1:$B$16,2,FALSE)</f>
        <v>4,3,4</v>
      </c>
      <c r="O11" t="str">
        <f>VLOOKUP(O10,Constants!$A$1:$B$16,2,FALSE)</f>
        <v>4,3,4</v>
      </c>
      <c r="P11" t="str">
        <f>VLOOKUP(P10,Constants!$A$1:$B$16,2,FALSE)</f>
        <v>4,3,4</v>
      </c>
      <c r="Q11" t="str">
        <f>VLOOKUP(Q10,Constants!$A$1:$B$16,2,FALSE)</f>
        <v>4,3,4</v>
      </c>
      <c r="R11" t="str">
        <f>VLOOKUP(R10,Constants!$A$1:$B$16,2,FALSE)</f>
        <v>4,3,4</v>
      </c>
      <c r="S11" t="str">
        <f>VLOOKUP(S10,Constants!$A$1:$B$16,2,FALSE)</f>
        <v>4,3,4</v>
      </c>
      <c r="T11" t="str">
        <f>VLOOKUP(T10,Constants!$A$1:$B$16,2,FALSE)</f>
        <v>4,5,4</v>
      </c>
      <c r="U11" t="str">
        <f>VLOOKUP(U10,Constants!$A$1:$B$16,2,FALSE)</f>
        <v>4,5,4</v>
      </c>
    </row>
    <row r="13" spans="1:21" x14ac:dyDescent="0.25">
      <c r="B13" s="2" t="str">
        <f>_xlfn.TEXTJOIN(",",TRUE,  B7:U7)</f>
        <v>eurostar,eurostar_motor,eurostar_mid,eurostar_mid,eurostar_mid,eurostar_mid,eurostar_tbk,eurostar_mid,eurostar_mid,eurostar_mid,eurostar_mid,eurostar_mid,eurostar_mid,eurostar_tbk,eurostar_mid,eurostar_mid,eurostar_mid,eurostar_mid,eurostar_motor_rev,eurostar_rear</v>
      </c>
    </row>
    <row r="14" spans="1:21" x14ac:dyDescent="0.25">
      <c r="B14" s="2" t="str">
        <f>_xlfn.TEXTJOIN(",",TRUE,  B8:U8)</f>
        <v>1,1,1,0,0,0,1,0,0,0,0,0,0,0,0,0,0,0,1,1</v>
      </c>
    </row>
    <row r="15" spans="1:21" x14ac:dyDescent="0.25">
      <c r="B15" s="2" t="str">
        <f>_xlfn.TEXTJOIN(",",TRUE,  B11:U11)</f>
        <v>4,5,4,4,5,4,4,3,4,4,3,4,4,3,4,4,3,4,4,3,4,4,3,4,4,3,4,4,3,4,4,3,4,4,3,4,4,3,4,4,3,4,4,3,4,4,3,4,4,3,4,4,3,4,4,5,4,4,5,4</v>
      </c>
    </row>
    <row r="16" spans="1:21" x14ac:dyDescent="0.25">
      <c r="B16" s="2" t="str">
        <f>_xlfn.TEXTJOIN(",",TRUE,  B10:U10)</f>
        <v>13,13,11,11,11,11,11,11,11,11,11,11,11,11,11,11,11,11,13,13</v>
      </c>
    </row>
    <row r="18" spans="1:9" x14ac:dyDescent="0.25">
      <c r="B18" t="s">
        <v>129</v>
      </c>
    </row>
    <row r="19" spans="1:9" x14ac:dyDescent="0.25">
      <c r="A19" t="s">
        <v>120</v>
      </c>
      <c r="B19" t="s">
        <v>109</v>
      </c>
      <c r="C19" t="s">
        <v>125</v>
      </c>
      <c r="D19" t="s">
        <v>124</v>
      </c>
      <c r="E19" t="s">
        <v>126</v>
      </c>
      <c r="F19" t="s">
        <v>124</v>
      </c>
      <c r="G19" t="s">
        <v>126</v>
      </c>
      <c r="H19" t="s">
        <v>127</v>
      </c>
      <c r="I19" t="s">
        <v>128</v>
      </c>
    </row>
    <row r="20" spans="1:9" x14ac:dyDescent="0.25">
      <c r="A20" t="s">
        <v>121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</row>
    <row r="21" spans="1:9" x14ac:dyDescent="0.25">
      <c r="A21" t="s">
        <v>18</v>
      </c>
      <c r="B21">
        <v>22.15</v>
      </c>
      <c r="C21">
        <v>21.84</v>
      </c>
      <c r="D21">
        <v>18.7</v>
      </c>
      <c r="E21">
        <v>18.7</v>
      </c>
      <c r="F21">
        <v>18.7</v>
      </c>
      <c r="G21">
        <v>18.7</v>
      </c>
      <c r="H21">
        <v>21.84</v>
      </c>
      <c r="I21">
        <v>22.15</v>
      </c>
    </row>
    <row r="22" spans="1:9" x14ac:dyDescent="0.25">
      <c r="A22" t="s">
        <v>122</v>
      </c>
      <c r="B22">
        <f t="shared" ref="B22:I22" si="1">ROUND(15*((B21*10)/256),0)</f>
        <v>13</v>
      </c>
      <c r="C22">
        <f t="shared" si="1"/>
        <v>13</v>
      </c>
      <c r="D22">
        <f t="shared" si="1"/>
        <v>11</v>
      </c>
      <c r="E22">
        <f t="shared" si="1"/>
        <v>11</v>
      </c>
      <c r="F22">
        <f t="shared" si="1"/>
        <v>11</v>
      </c>
      <c r="G22">
        <f t="shared" si="1"/>
        <v>11</v>
      </c>
      <c r="H22">
        <f t="shared" si="1"/>
        <v>13</v>
      </c>
      <c r="I22">
        <f t="shared" si="1"/>
        <v>13</v>
      </c>
    </row>
    <row r="23" spans="1:9" x14ac:dyDescent="0.25">
      <c r="A23" t="s">
        <v>123</v>
      </c>
      <c r="B23" t="str">
        <f>VLOOKUP(B22,Constants!$A$1:$B$16,2,FALSE)</f>
        <v>4,5,4</v>
      </c>
      <c r="C23" t="str">
        <f>VLOOKUP(C22,Constants!$A$1:$B$16,2,FALSE)</f>
        <v>4,5,4</v>
      </c>
      <c r="D23" t="str">
        <f>VLOOKUP(D22,Constants!$A$1:$B$16,2,FALSE)</f>
        <v>4,3,4</v>
      </c>
      <c r="E23" t="str">
        <f>VLOOKUP(E22,Constants!$A$1:$B$16,2,FALSE)</f>
        <v>4,3,4</v>
      </c>
      <c r="F23" t="str">
        <f>VLOOKUP(F22,Constants!$A$1:$B$16,2,FALSE)</f>
        <v>4,3,4</v>
      </c>
      <c r="G23" t="str">
        <f>VLOOKUP(G22,Constants!$A$1:$B$16,2,FALSE)</f>
        <v>4,3,4</v>
      </c>
      <c r="H23" t="str">
        <f>VLOOKUP(H22,Constants!$A$1:$B$16,2,FALSE)</f>
        <v>4,5,4</v>
      </c>
      <c r="I23" t="str">
        <f>VLOOKUP(I22,Constants!$A$1:$B$16,2,FALSE)</f>
        <v>4,5,4</v>
      </c>
    </row>
    <row r="25" spans="1:9" x14ac:dyDescent="0.25">
      <c r="B25" s="2" t="str">
        <f>_xlfn.TEXTJOIN(",",TRUE,  B19:P19)</f>
        <v>eurostar,eurostar_motor,eurostar_mid,eurostar_tbk,eurostar_mid,eurostar_tbk,eurostar_motor_rev,eurostar_rear</v>
      </c>
    </row>
    <row r="26" spans="1:9" x14ac:dyDescent="0.25">
      <c r="B26" s="2" t="str">
        <f>_xlfn.TEXTJOIN(",",TRUE,  B20:P20)</f>
        <v>0,0,0,0,0,0,0,0</v>
      </c>
    </row>
    <row r="27" spans="1:9" x14ac:dyDescent="0.25">
      <c r="B27" s="2" t="str">
        <f>_xlfn.TEXTJOIN(",",TRUE,  B23:P23)</f>
        <v>4,5,4,4,5,4,4,3,4,4,3,4,4,3,4,4,3,4,4,5,4,4,5,4</v>
      </c>
    </row>
    <row r="28" spans="1:9" x14ac:dyDescent="0.25">
      <c r="B28" s="2" t="str">
        <f>_xlfn.TEXTJOIN(",",TRUE,  B22:U22)</f>
        <v>13,13,11,11,11,11,13,13</v>
      </c>
    </row>
    <row r="30" spans="1:9" x14ac:dyDescent="0.25">
      <c r="B30" t="s">
        <v>204</v>
      </c>
    </row>
    <row r="31" spans="1:9" x14ac:dyDescent="0.25">
      <c r="A31" t="s">
        <v>120</v>
      </c>
      <c r="B31" t="s">
        <v>109</v>
      </c>
      <c r="C31" t="s">
        <v>125</v>
      </c>
      <c r="D31" t="s">
        <v>124</v>
      </c>
      <c r="E31" t="s">
        <v>127</v>
      </c>
      <c r="F31" t="s">
        <v>128</v>
      </c>
    </row>
    <row r="32" spans="1:9" x14ac:dyDescent="0.25">
      <c r="A32" t="s">
        <v>121</v>
      </c>
      <c r="B32">
        <v>0</v>
      </c>
      <c r="C32">
        <v>0</v>
      </c>
      <c r="D32">
        <v>0</v>
      </c>
      <c r="E32">
        <v>0</v>
      </c>
      <c r="F32">
        <v>0</v>
      </c>
    </row>
    <row r="33" spans="1:6" x14ac:dyDescent="0.25">
      <c r="A33" t="s">
        <v>18</v>
      </c>
      <c r="B33">
        <v>22.15</v>
      </c>
      <c r="C33">
        <v>21.84</v>
      </c>
      <c r="D33">
        <v>18.7</v>
      </c>
      <c r="E33">
        <v>21.84</v>
      </c>
      <c r="F33">
        <v>22.15</v>
      </c>
    </row>
    <row r="34" spans="1:6" x14ac:dyDescent="0.25">
      <c r="A34" t="s">
        <v>122</v>
      </c>
      <c r="B34">
        <f t="shared" ref="B34:F34" si="2">ROUND(15*((B33*10)/256),0)</f>
        <v>13</v>
      </c>
      <c r="C34">
        <f t="shared" si="2"/>
        <v>13</v>
      </c>
      <c r="D34">
        <f t="shared" si="2"/>
        <v>11</v>
      </c>
      <c r="E34">
        <f t="shared" si="2"/>
        <v>13</v>
      </c>
      <c r="F34">
        <f t="shared" si="2"/>
        <v>13</v>
      </c>
    </row>
    <row r="35" spans="1:6" x14ac:dyDescent="0.25">
      <c r="A35" t="s">
        <v>123</v>
      </c>
      <c r="B35" t="str">
        <f>VLOOKUP(B34,Constants!$A$1:$B$16,2,FALSE)</f>
        <v>4,5,4</v>
      </c>
      <c r="C35" t="str">
        <f>VLOOKUP(C34,Constants!$A$1:$B$16,2,FALSE)</f>
        <v>4,5,4</v>
      </c>
      <c r="D35" t="str">
        <f>VLOOKUP(D34,Constants!$A$1:$B$16,2,FALSE)</f>
        <v>4,3,4</v>
      </c>
      <c r="E35" t="str">
        <f>VLOOKUP(E34,Constants!$A$1:$B$16,2,FALSE)</f>
        <v>4,5,4</v>
      </c>
      <c r="F35" t="str">
        <f>VLOOKUP(F34,Constants!$A$1:$B$16,2,FALSE)</f>
        <v>4,5,4</v>
      </c>
    </row>
    <row r="37" spans="1:6" x14ac:dyDescent="0.25">
      <c r="B37" s="2" t="str">
        <f>_xlfn.TEXTJOIN(",",TRUE,  B31:P31)</f>
        <v>eurostar,eurostar_motor,eurostar_mid,eurostar_motor_rev,eurostar_rear</v>
      </c>
    </row>
    <row r="38" spans="1:6" x14ac:dyDescent="0.25">
      <c r="B38" s="2" t="str">
        <f>_xlfn.TEXTJOIN(",",TRUE,  B32:P32)</f>
        <v>0,0,0,0,0</v>
      </c>
    </row>
    <row r="39" spans="1:6" x14ac:dyDescent="0.25">
      <c r="B39" s="2" t="str">
        <f>_xlfn.TEXTJOIN(",",TRUE,  B35:P35)</f>
        <v>4,5,4,4,5,4,4,3,4,4,5,4,4,5,4</v>
      </c>
    </row>
    <row r="40" spans="1:6" x14ac:dyDescent="0.25">
      <c r="B40" s="2" t="str">
        <f>_xlfn.TEXTJOIN(",",TRUE,  B34:U34)</f>
        <v>13,13,11,13,13</v>
      </c>
    </row>
    <row r="42" spans="1:6" x14ac:dyDescent="0.25">
      <c r="B42" t="s">
        <v>209</v>
      </c>
    </row>
    <row r="43" spans="1:6" x14ac:dyDescent="0.25">
      <c r="A43" t="s">
        <v>120</v>
      </c>
      <c r="B43" t="s">
        <v>208</v>
      </c>
      <c r="C43" t="s">
        <v>211</v>
      </c>
      <c r="D43" t="s">
        <v>213</v>
      </c>
      <c r="E43" t="s">
        <v>212</v>
      </c>
      <c r="F43" t="s">
        <v>210</v>
      </c>
    </row>
    <row r="44" spans="1:6" x14ac:dyDescent="0.25">
      <c r="A44" t="s">
        <v>121</v>
      </c>
      <c r="B44">
        <v>1</v>
      </c>
      <c r="C44">
        <v>1</v>
      </c>
      <c r="D44">
        <v>1</v>
      </c>
      <c r="E44">
        <v>1</v>
      </c>
      <c r="F44">
        <v>1</v>
      </c>
    </row>
    <row r="45" spans="1:6" x14ac:dyDescent="0.25">
      <c r="A45" t="s">
        <v>18</v>
      </c>
      <c r="B45">
        <v>20.2</v>
      </c>
      <c r="C45">
        <v>15.7</v>
      </c>
      <c r="D45">
        <v>10</v>
      </c>
      <c r="E45">
        <v>15.7</v>
      </c>
      <c r="F45">
        <v>20.2</v>
      </c>
    </row>
    <row r="46" spans="1:6" x14ac:dyDescent="0.25">
      <c r="A46" t="s">
        <v>122</v>
      </c>
      <c r="B46">
        <f t="shared" ref="B46:F46" si="3">ROUND(15*((B45*10)/256),0)</f>
        <v>12</v>
      </c>
      <c r="C46">
        <f t="shared" si="3"/>
        <v>9</v>
      </c>
      <c r="D46">
        <f t="shared" si="3"/>
        <v>6</v>
      </c>
      <c r="E46">
        <f t="shared" si="3"/>
        <v>9</v>
      </c>
      <c r="F46">
        <f t="shared" si="3"/>
        <v>12</v>
      </c>
    </row>
    <row r="47" spans="1:6" x14ac:dyDescent="0.25">
      <c r="A47" t="s">
        <v>123</v>
      </c>
      <c r="B47" t="str">
        <f>VLOOKUP(B46,Constants!$A$1:$B$16,2,FALSE)</f>
        <v>4,4,4</v>
      </c>
      <c r="C47" t="str">
        <f>VLOOKUP(C46,Constants!$A$1:$B$16,2,FALSE)</f>
        <v>2,5,2</v>
      </c>
      <c r="D47" t="str">
        <f>VLOOKUP(D46,Constants!$A$1:$B$16,2,FALSE)</f>
        <v>2,2,2</v>
      </c>
      <c r="E47" t="str">
        <f>VLOOKUP(E46,Constants!$A$1:$B$16,2,FALSE)</f>
        <v>2,5,2</v>
      </c>
      <c r="F47" t="str">
        <f>VLOOKUP(F46,Constants!$A$1:$B$16,2,FALSE)</f>
        <v>4,4,4</v>
      </c>
    </row>
    <row r="49" spans="2:2" x14ac:dyDescent="0.25">
      <c r="B49" s="2" t="str">
        <f>_xlfn.TEXTJOIN(",",TRUE,  B43:P43)</f>
        <v>stadler_class_755,stadler_class_755_mid,stadler_class_755_motor,stadler_class_755_mid_rev,stadler_class_755_rear</v>
      </c>
    </row>
    <row r="50" spans="2:2" x14ac:dyDescent="0.25">
      <c r="B50" s="2" t="str">
        <f>_xlfn.TEXTJOIN(",",TRUE,  B44:P44)</f>
        <v>1,1,1,1,1</v>
      </c>
    </row>
    <row r="51" spans="2:2" x14ac:dyDescent="0.25">
      <c r="B51" s="2" t="str">
        <f>_xlfn.TEXTJOIN(",",TRUE,  B47:P47)</f>
        <v>4,4,4,2,5,2,2,2,2,2,5,2,4,4,4</v>
      </c>
    </row>
    <row r="52" spans="2:2" x14ac:dyDescent="0.25">
      <c r="B52" s="2" t="str">
        <f>_xlfn.TEXTJOIN(",",TRUE,  B46:U46)</f>
        <v>12,9,6,9,12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Table</vt:lpstr>
      <vt:lpstr>Gameplay Planning</vt:lpstr>
      <vt:lpstr>Eras</vt:lpstr>
      <vt:lpstr>Constants</vt:lpstr>
      <vt:lpstr>Voxel Sizes</vt:lpstr>
      <vt:lpstr>Long unit configs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Kimber</dc:creator>
  <cp:lastModifiedBy>Matt</cp:lastModifiedBy>
  <dcterms:created xsi:type="dcterms:W3CDTF">2018-09-29T15:27:54Z</dcterms:created>
  <dcterms:modified xsi:type="dcterms:W3CDTF">2021-01-27T22:19:37Z</dcterms:modified>
</cp:coreProperties>
</file>