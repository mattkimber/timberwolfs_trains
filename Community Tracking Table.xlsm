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F44BD16-A686-4F96-A029-5D98175F48C5}" xr6:coauthVersionLast="47" xr6:coauthVersionMax="47" xr10:uidLastSave="{00000000-0000-0000-0000-000000000000}"/>
  <bookViews>
    <workbookView xWindow="396"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78" i="1" l="1"/>
  <c r="CC77" i="1"/>
  <c r="CC76" i="1"/>
  <c r="CC75" i="1"/>
  <c r="CC74" i="1"/>
  <c r="CC73" i="1"/>
  <c r="CC72" i="1"/>
  <c r="CC71" i="1"/>
  <c r="CC70" i="1"/>
  <c r="CC69" i="1"/>
  <c r="CC68" i="1"/>
  <c r="CC67" i="1"/>
  <c r="CC66" i="1"/>
  <c r="CC65" i="1"/>
  <c r="CC64" i="1"/>
  <c r="CC63" i="1"/>
  <c r="CC62" i="1"/>
  <c r="CC61" i="1"/>
  <c r="CC60" i="1"/>
  <c r="CC59" i="1"/>
  <c r="CC58" i="1"/>
  <c r="CC57" i="1"/>
  <c r="CC56" i="1"/>
  <c r="CC55" i="1"/>
  <c r="CC54" i="1"/>
  <c r="CC53" i="1"/>
  <c r="CC52" i="1"/>
  <c r="CC51" i="1"/>
  <c r="CC50" i="1"/>
  <c r="CC49" i="1"/>
  <c r="CC48" i="1"/>
  <c r="CC47" i="1"/>
  <c r="CC46" i="1"/>
  <c r="CC45" i="1"/>
  <c r="CC44" i="1"/>
  <c r="CC43" i="1"/>
  <c r="CC42" i="1"/>
  <c r="CC41" i="1"/>
  <c r="CC40" i="1"/>
  <c r="CC39" i="1"/>
  <c r="CC38" i="1"/>
  <c r="CC37" i="1"/>
  <c r="CC36" i="1"/>
  <c r="CC35" i="1"/>
  <c r="CC34" i="1"/>
  <c r="CC33" i="1"/>
  <c r="CC32" i="1"/>
  <c r="CC31" i="1"/>
  <c r="CC30" i="1"/>
  <c r="CC28" i="1"/>
  <c r="CC27" i="1"/>
  <c r="CC26" i="1"/>
  <c r="CC25" i="1"/>
  <c r="CC24" i="1"/>
  <c r="CC23" i="1"/>
  <c r="CC22" i="1"/>
  <c r="CC21" i="1"/>
  <c r="CC20" i="1"/>
  <c r="CC19" i="1"/>
  <c r="CC18" i="1"/>
  <c r="CC17" i="1"/>
  <c r="CC16" i="1"/>
  <c r="CC15" i="1"/>
  <c r="CC14" i="1"/>
  <c r="CC13" i="1"/>
  <c r="CC12" i="1"/>
  <c r="CC11" i="1"/>
  <c r="CC10" i="1"/>
  <c r="CC9" i="1"/>
  <c r="CC8" i="1"/>
  <c r="CC7" i="1"/>
  <c r="CC6" i="1"/>
  <c r="CC5" i="1"/>
  <c r="CC4" i="1"/>
  <c r="CC3" i="1"/>
  <c r="CC2" i="1"/>
  <c r="CC29" i="1"/>
  <c r="BI32" i="1"/>
  <c r="BK32" i="1" s="1"/>
  <c r="BH32" i="1"/>
  <c r="BJ32" i="1" s="1"/>
  <c r="BK31" i="1"/>
  <c r="BJ31" i="1"/>
  <c r="BI31" i="1"/>
  <c r="BH31" i="1"/>
  <c r="CE29" i="1"/>
  <c r="CB29" i="1"/>
  <c r="CA29" i="1"/>
  <c r="BX29" i="1"/>
  <c r="BZ29" i="1" s="1"/>
  <c r="BG29" i="1"/>
  <c r="BF29" i="1"/>
  <c r="BE29" i="1"/>
  <c r="BD29" i="1"/>
  <c r="BC29" i="1"/>
  <c r="BB29" i="1"/>
  <c r="BA29" i="1"/>
  <c r="AX29" i="1"/>
  <c r="AK29" i="1"/>
  <c r="AM29" i="1" s="1"/>
  <c r="AB29" i="1"/>
  <c r="Z29" i="1"/>
  <c r="S29" i="1"/>
  <c r="U29" i="1" s="1"/>
  <c r="CE28" i="1"/>
  <c r="CA28" i="1"/>
  <c r="CB28" i="1" s="1"/>
  <c r="CF28" i="1" s="1"/>
  <c r="BX28" i="1"/>
  <c r="BZ28" i="1" s="1"/>
  <c r="BG28" i="1"/>
  <c r="BF28" i="1"/>
  <c r="BE28" i="1"/>
  <c r="BD28" i="1"/>
  <c r="BC28" i="1"/>
  <c r="BB28" i="1"/>
  <c r="BA28" i="1"/>
  <c r="AX28" i="1"/>
  <c r="AK28" i="1"/>
  <c r="AJ28" i="1" s="1"/>
  <c r="AB28" i="1"/>
  <c r="Z28" i="1"/>
  <c r="S28" i="1"/>
  <c r="U28" i="1" s="1"/>
  <c r="CE78" i="1"/>
  <c r="CE77" i="1"/>
  <c r="CE76" i="1"/>
  <c r="CE75" i="1"/>
  <c r="CE74" i="1"/>
  <c r="CE73" i="1"/>
  <c r="CE71" i="1"/>
  <c r="CE70" i="1"/>
  <c r="CE69" i="1"/>
  <c r="CE68" i="1"/>
  <c r="CE67" i="1"/>
  <c r="CE66" i="1"/>
  <c r="CE65" i="1"/>
  <c r="CE64" i="1"/>
  <c r="CE63" i="1"/>
  <c r="CE62" i="1"/>
  <c r="CE61" i="1"/>
  <c r="CE60" i="1"/>
  <c r="CE59" i="1"/>
  <c r="CE58" i="1"/>
  <c r="CE57" i="1"/>
  <c r="CE56" i="1"/>
  <c r="CE55" i="1"/>
  <c r="CE54" i="1"/>
  <c r="CE53" i="1"/>
  <c r="CE52" i="1"/>
  <c r="CE51" i="1"/>
  <c r="CE50" i="1"/>
  <c r="CE49" i="1"/>
  <c r="CE48" i="1"/>
  <c r="CE47" i="1"/>
  <c r="CE46" i="1"/>
  <c r="CE45" i="1"/>
  <c r="CE44" i="1"/>
  <c r="CE43" i="1"/>
  <c r="CE42" i="1"/>
  <c r="CE41" i="1"/>
  <c r="CE40" i="1"/>
  <c r="CE39" i="1"/>
  <c r="CE38" i="1"/>
  <c r="CE37" i="1"/>
  <c r="CE36" i="1"/>
  <c r="CE35" i="1"/>
  <c r="CE34" i="1"/>
  <c r="CE33" i="1"/>
  <c r="CE32" i="1"/>
  <c r="CE31" i="1"/>
  <c r="CE30" i="1"/>
  <c r="CE27" i="1"/>
  <c r="CE26" i="1"/>
  <c r="CE25" i="1"/>
  <c r="CE24" i="1"/>
  <c r="CE23" i="1"/>
  <c r="CE22" i="1"/>
  <c r="CE21" i="1"/>
  <c r="CE20" i="1"/>
  <c r="CE19" i="1"/>
  <c r="CE18" i="1"/>
  <c r="CE17" i="1"/>
  <c r="CE16" i="1"/>
  <c r="CE15" i="1"/>
  <c r="CE14" i="1"/>
  <c r="CE13" i="1"/>
  <c r="CE12" i="1"/>
  <c r="CE11" i="1"/>
  <c r="CE10" i="1"/>
  <c r="CE9" i="1"/>
  <c r="CE8" i="1"/>
  <c r="CE7" i="1"/>
  <c r="CE6" i="1"/>
  <c r="CE5" i="1"/>
  <c r="CE4" i="1"/>
  <c r="CE3" i="1"/>
  <c r="CE2" i="1"/>
  <c r="CE72" i="1"/>
  <c r="AM4" i="1"/>
  <c r="CA4" i="1"/>
  <c r="CB4" i="1" s="1"/>
  <c r="BX4" i="1"/>
  <c r="BZ4" i="1" s="1"/>
  <c r="BG4" i="1"/>
  <c r="BF4" i="1"/>
  <c r="BE4" i="1"/>
  <c r="BD4" i="1"/>
  <c r="BC4" i="1"/>
  <c r="BB4" i="1"/>
  <c r="BA4" i="1"/>
  <c r="AX4" i="1"/>
  <c r="AK4" i="1"/>
  <c r="Z4" i="1"/>
  <c r="CA51" i="1"/>
  <c r="CB51" i="1" s="1"/>
  <c r="BX51" i="1"/>
  <c r="BZ51" i="1" s="1"/>
  <c r="BG51" i="1"/>
  <c r="BF51" i="1"/>
  <c r="BE51" i="1"/>
  <c r="BD51" i="1"/>
  <c r="BC51" i="1"/>
  <c r="BB51" i="1"/>
  <c r="BA51" i="1"/>
  <c r="AX51" i="1"/>
  <c r="AK51" i="1"/>
  <c r="AB51" i="1"/>
  <c r="Z51" i="1"/>
  <c r="S51" i="1"/>
  <c r="U51" i="1" s="1"/>
  <c r="CA2" i="1"/>
  <c r="CB2" i="1" s="1"/>
  <c r="BX2" i="1"/>
  <c r="BZ2" i="1" s="1"/>
  <c r="BG2" i="1"/>
  <c r="BF2" i="1"/>
  <c r="BE2" i="1"/>
  <c r="BD2" i="1"/>
  <c r="BC2" i="1"/>
  <c r="BB2" i="1"/>
  <c r="BA2" i="1"/>
  <c r="AX2" i="1"/>
  <c r="AK2" i="1"/>
  <c r="AM2" i="1" s="1"/>
  <c r="Z2" i="1"/>
  <c r="CF29" i="1" l="1"/>
  <c r="AJ29" i="1"/>
  <c r="BH29" i="1"/>
  <c r="BJ29" i="1" s="1"/>
  <c r="BI29" i="1"/>
  <c r="BK29" i="1" s="1"/>
  <c r="AM51" i="1"/>
  <c r="BI28" i="1"/>
  <c r="BK28" i="1" s="1"/>
  <c r="BH28" i="1"/>
  <c r="BJ28" i="1" s="1"/>
  <c r="CF2" i="1"/>
  <c r="CF51" i="1"/>
  <c r="CF4" i="1"/>
  <c r="AJ4" i="1"/>
  <c r="BI4" i="1"/>
  <c r="BK4" i="1" s="1"/>
  <c r="BH4" i="1"/>
  <c r="BJ4" i="1" s="1"/>
  <c r="AJ51" i="1"/>
  <c r="BI51" i="1"/>
  <c r="BK51" i="1" s="1"/>
  <c r="BH51" i="1"/>
  <c r="BJ51" i="1" s="1"/>
  <c r="AJ2" i="1"/>
  <c r="BI2" i="1"/>
  <c r="BK2" i="1" s="1"/>
  <c r="BH2" i="1"/>
  <c r="BJ2" i="1" s="1"/>
  <c r="AB49" i="1"/>
  <c r="AB50" i="1"/>
  <c r="AB52" i="1"/>
  <c r="AB53" i="1"/>
  <c r="AB54" i="1"/>
  <c r="AB55" i="1"/>
  <c r="AB56" i="1"/>
  <c r="AB57" i="1"/>
  <c r="AB58" i="1"/>
  <c r="AB59" i="1"/>
  <c r="AB60" i="1"/>
  <c r="AB61" i="1"/>
  <c r="AB62" i="1"/>
  <c r="AB63" i="1"/>
  <c r="AB64" i="1"/>
  <c r="AB65" i="1"/>
  <c r="AB66" i="1"/>
  <c r="AB67" i="1"/>
  <c r="CA78" i="1"/>
  <c r="CB78" i="1" s="1"/>
  <c r="BX78" i="1"/>
  <c r="BZ78" i="1" s="1"/>
  <c r="BG78" i="1"/>
  <c r="BF78" i="1"/>
  <c r="BE78" i="1"/>
  <c r="BD78" i="1"/>
  <c r="BC78" i="1"/>
  <c r="BB78" i="1"/>
  <c r="BA78" i="1"/>
  <c r="AX78" i="1"/>
  <c r="AK78" i="1"/>
  <c r="AM78" i="1" s="1"/>
  <c r="AB78" i="1"/>
  <c r="Z78" i="1"/>
  <c r="CF78" i="1" l="1"/>
  <c r="AJ78" i="1"/>
  <c r="BH78" i="1"/>
  <c r="BJ78" i="1" s="1"/>
  <c r="BI78" i="1"/>
  <c r="BK78" i="1" s="1"/>
  <c r="CA16" i="1"/>
  <c r="CB16" i="1" s="1"/>
  <c r="BX16" i="1"/>
  <c r="BZ16" i="1" s="1"/>
  <c r="BG16" i="1"/>
  <c r="BF16" i="1"/>
  <c r="BE16" i="1"/>
  <c r="BD16" i="1"/>
  <c r="BC16" i="1"/>
  <c r="BB16" i="1"/>
  <c r="BA16" i="1"/>
  <c r="AK17" i="1"/>
  <c r="AJ17" i="1" s="1"/>
  <c r="AK16" i="1"/>
  <c r="AX16" i="1"/>
  <c r="AB16" i="1"/>
  <c r="Z16" i="1"/>
  <c r="S16" i="1"/>
  <c r="U16" i="1" s="1"/>
  <c r="AB48" i="1"/>
  <c r="AB47" i="1"/>
  <c r="AB46" i="1"/>
  <c r="AB45" i="1"/>
  <c r="AB44" i="1"/>
  <c r="AB43" i="1"/>
  <c r="AB37" i="1"/>
  <c r="AB42" i="1"/>
  <c r="AB41" i="1"/>
  <c r="AB38" i="1"/>
  <c r="AB36" i="1"/>
  <c r="AB35" i="1"/>
  <c r="AB40" i="1"/>
  <c r="AB34" i="1"/>
  <c r="AB39" i="1"/>
  <c r="AB33" i="1"/>
  <c r="AB32" i="1"/>
  <c r="AB31" i="1"/>
  <c r="AB30" i="1"/>
  <c r="AB27" i="1"/>
  <c r="AB26" i="1"/>
  <c r="AB25" i="1"/>
  <c r="AB24" i="1"/>
  <c r="AB23" i="1"/>
  <c r="AB22" i="1"/>
  <c r="AB21" i="1"/>
  <c r="AB20" i="1"/>
  <c r="AB19" i="1"/>
  <c r="AB18" i="1"/>
  <c r="AB17" i="1"/>
  <c r="AB15" i="1"/>
  <c r="AB14" i="1"/>
  <c r="AB13" i="1"/>
  <c r="AB12" i="1"/>
  <c r="AB11" i="1"/>
  <c r="AB10" i="1"/>
  <c r="AB77" i="1"/>
  <c r="AB76" i="1"/>
  <c r="AB75" i="1"/>
  <c r="AB74" i="1"/>
  <c r="AB73" i="1"/>
  <c r="AB72" i="1"/>
  <c r="AB71" i="1"/>
  <c r="AB70" i="1"/>
  <c r="AB69" i="1"/>
  <c r="AB68" i="1"/>
  <c r="AZ10" i="1"/>
  <c r="AZ11" i="1"/>
  <c r="BG39" i="1"/>
  <c r="BF39" i="1"/>
  <c r="BE39" i="1"/>
  <c r="BD39" i="1"/>
  <c r="BC39" i="1"/>
  <c r="BB39" i="1"/>
  <c r="BA39" i="1"/>
  <c r="AK39" i="1"/>
  <c r="AK34" i="1"/>
  <c r="CF34" i="1"/>
  <c r="BZ34" i="1"/>
  <c r="BG34" i="1"/>
  <c r="BF34" i="1"/>
  <c r="BE34" i="1"/>
  <c r="BD34" i="1"/>
  <c r="BC34" i="1"/>
  <c r="BB34" i="1"/>
  <c r="BA34" i="1"/>
  <c r="Z34" i="1"/>
  <c r="AX34" i="1"/>
  <c r="CA34" i="1"/>
  <c r="CA6" i="1"/>
  <c r="BZ6" i="1"/>
  <c r="BK6" i="1"/>
  <c r="BJ6" i="1"/>
  <c r="BE6" i="1"/>
  <c r="BD6" i="1"/>
  <c r="BC6" i="1"/>
  <c r="BB6" i="1"/>
  <c r="BA6" i="1"/>
  <c r="AX6" i="1"/>
  <c r="AK6" i="1"/>
  <c r="Z6" i="1"/>
  <c r="BA17" i="1"/>
  <c r="BB17" i="1"/>
  <c r="BC17" i="1"/>
  <c r="BD17" i="1"/>
  <c r="BE17" i="1"/>
  <c r="BF17" i="1"/>
  <c r="BG17"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AK18" i="1"/>
  <c r="AJ18" i="1" s="1"/>
  <c r="S18" i="1"/>
  <c r="U18" i="1" s="1"/>
  <c r="BI34" i="1" l="1"/>
  <c r="BK34" i="1" s="1"/>
  <c r="AJ34" i="1"/>
  <c r="AM34" i="1"/>
  <c r="AJ16" i="1"/>
  <c r="AM16" i="1"/>
  <c r="AJ6" i="1"/>
  <c r="AM6" i="1"/>
  <c r="AM18" i="1" s="1"/>
  <c r="AJ39" i="1"/>
  <c r="AM39" i="1"/>
  <c r="BH16" i="1"/>
  <c r="BJ16" i="1" s="1"/>
  <c r="CF16" i="1"/>
  <c r="BI16" i="1"/>
  <c r="BK16" i="1" s="1"/>
  <c r="CF6" i="1"/>
  <c r="BI39" i="1"/>
  <c r="BK39" i="1" s="1"/>
  <c r="BH21" i="1"/>
  <c r="BJ21" i="1" s="1"/>
  <c r="BI25" i="1"/>
  <c r="BK25" i="1" s="1"/>
  <c r="BH19" i="1"/>
  <c r="BJ19" i="1" s="1"/>
  <c r="BH25" i="1"/>
  <c r="BJ25" i="1" s="1"/>
  <c r="BH39" i="1"/>
  <c r="BJ39" i="1" s="1"/>
  <c r="BH34" i="1"/>
  <c r="BJ34" i="1" s="1"/>
  <c r="BH22" i="1"/>
  <c r="BJ22" i="1" s="1"/>
  <c r="BI18" i="1"/>
  <c r="BK18" i="1" s="1"/>
  <c r="BI19" i="1"/>
  <c r="BK19" i="1" s="1"/>
  <c r="BH26" i="1"/>
  <c r="BJ26" i="1" s="1"/>
  <c r="BI23" i="1"/>
  <c r="BK23" i="1" s="1"/>
  <c r="BI22" i="1"/>
  <c r="BK22" i="1" s="1"/>
  <c r="BI21" i="1"/>
  <c r="BK21" i="1" s="1"/>
  <c r="BH17" i="1"/>
  <c r="BJ17" i="1" s="1"/>
  <c r="BH24" i="1"/>
  <c r="BJ24" i="1" s="1"/>
  <c r="BH20" i="1"/>
  <c r="BJ20" i="1" s="1"/>
  <c r="BH18" i="1"/>
  <c r="BJ18" i="1" s="1"/>
  <c r="BI26" i="1"/>
  <c r="BK26" i="1" s="1"/>
  <c r="BH23" i="1"/>
  <c r="BJ23" i="1" s="1"/>
  <c r="BI20" i="1"/>
  <c r="BK20" i="1" s="1"/>
  <c r="BI17" i="1"/>
  <c r="BK17" i="1" s="1"/>
  <c r="BI24" i="1"/>
  <c r="BK24" i="1" s="1"/>
  <c r="AK5" i="1" l="1"/>
  <c r="AM5" i="1" s="1"/>
  <c r="CA5" i="1"/>
  <c r="BZ5" i="1"/>
  <c r="BE5" i="1"/>
  <c r="BD5" i="1"/>
  <c r="BC5" i="1"/>
  <c r="BB5" i="1"/>
  <c r="BA5" i="1"/>
  <c r="AX5" i="1"/>
  <c r="Z5" i="1"/>
  <c r="S17" i="1"/>
  <c r="U17" i="1" s="1"/>
  <c r="CF5" i="1" l="1"/>
  <c r="AJ5" i="1"/>
  <c r="AM17" i="1"/>
  <c r="BK5" i="1"/>
  <c r="BJ5" i="1"/>
  <c r="CA47" i="1" l="1"/>
  <c r="BZ47" i="1"/>
  <c r="BE47" i="1"/>
  <c r="BD47" i="1"/>
  <c r="BC47" i="1"/>
  <c r="BB47" i="1"/>
  <c r="BA47" i="1"/>
  <c r="AX47" i="1"/>
  <c r="AK47" i="1"/>
  <c r="AM47" i="1" s="1"/>
  <c r="Z47" i="1"/>
  <c r="CA48" i="1"/>
  <c r="BZ48" i="1"/>
  <c r="BE48" i="1"/>
  <c r="BD48" i="1"/>
  <c r="BC48" i="1"/>
  <c r="BB48" i="1"/>
  <c r="BA48" i="1"/>
  <c r="AX48" i="1"/>
  <c r="AK48" i="1"/>
  <c r="AM48" i="1" s="1"/>
  <c r="Z48" i="1"/>
  <c r="CA45" i="1"/>
  <c r="BZ45" i="1"/>
  <c r="BE45" i="1"/>
  <c r="BD45" i="1"/>
  <c r="BC45" i="1"/>
  <c r="BB45" i="1"/>
  <c r="BA45" i="1"/>
  <c r="AX45" i="1"/>
  <c r="AK45" i="1"/>
  <c r="AM45" i="1" s="1"/>
  <c r="Z45" i="1"/>
  <c r="CA44" i="1"/>
  <c r="BZ44" i="1"/>
  <c r="BE44" i="1"/>
  <c r="BD44" i="1"/>
  <c r="BC44" i="1"/>
  <c r="BB44" i="1"/>
  <c r="BA44" i="1"/>
  <c r="AX44" i="1"/>
  <c r="AK44" i="1"/>
  <c r="AM44" i="1" s="1"/>
  <c r="Z44" i="1"/>
  <c r="CA46" i="1"/>
  <c r="BZ46" i="1"/>
  <c r="BD46" i="1"/>
  <c r="BC46" i="1"/>
  <c r="BB46" i="1"/>
  <c r="BA46" i="1"/>
  <c r="AX46" i="1"/>
  <c r="AK46" i="1"/>
  <c r="AM46" i="1" s="1"/>
  <c r="AI46" i="1"/>
  <c r="BE46" i="1" s="1"/>
  <c r="Z46" i="1"/>
  <c r="CA39" i="1"/>
  <c r="BZ39" i="1"/>
  <c r="V39" i="1"/>
  <c r="Z39" i="1" s="1"/>
  <c r="CA32" i="1"/>
  <c r="BZ32" i="1"/>
  <c r="BE32" i="1"/>
  <c r="BD32" i="1"/>
  <c r="BC32" i="1"/>
  <c r="BB32" i="1"/>
  <c r="BA32" i="1"/>
  <c r="AX32" i="1"/>
  <c r="AK32" i="1"/>
  <c r="AM32" i="1" s="1"/>
  <c r="Z32" i="1"/>
  <c r="CA31" i="1"/>
  <c r="BZ31" i="1"/>
  <c r="BE31" i="1"/>
  <c r="BD31" i="1"/>
  <c r="BC31" i="1"/>
  <c r="BB31" i="1"/>
  <c r="BA31" i="1"/>
  <c r="AX31" i="1"/>
  <c r="AK31" i="1"/>
  <c r="AM31" i="1" s="1"/>
  <c r="Z31" i="1"/>
  <c r="CF24" i="1"/>
  <c r="CA24" i="1"/>
  <c r="BZ24" i="1"/>
  <c r="AX24" i="1"/>
  <c r="AK24" i="1"/>
  <c r="AM24" i="1" s="1"/>
  <c r="Z24" i="1"/>
  <c r="CF22" i="1"/>
  <c r="CA22" i="1"/>
  <c r="BZ22" i="1"/>
  <c r="AX22" i="1"/>
  <c r="AK22" i="1"/>
  <c r="AM22" i="1" s="1"/>
  <c r="Z22" i="1"/>
  <c r="CF18" i="1"/>
  <c r="CA18" i="1"/>
  <c r="BZ18" i="1"/>
  <c r="AX18" i="1"/>
  <c r="Z18" i="1"/>
  <c r="CF17" i="1"/>
  <c r="CA17" i="1"/>
  <c r="BZ17" i="1"/>
  <c r="AX17" i="1"/>
  <c r="Z17" i="1"/>
  <c r="CF45" i="1" l="1"/>
  <c r="CF47" i="1"/>
  <c r="CF48" i="1"/>
  <c r="CF46" i="1"/>
  <c r="CF39" i="1"/>
  <c r="CF44" i="1"/>
  <c r="CF32" i="1"/>
  <c r="BK47" i="1"/>
  <c r="CF31" i="1"/>
  <c r="BK48" i="1"/>
  <c r="BK45" i="1"/>
  <c r="BJ47" i="1"/>
  <c r="BJ44" i="1"/>
  <c r="BJ48" i="1"/>
  <c r="BJ45" i="1"/>
  <c r="BK44" i="1"/>
  <c r="BK46" i="1"/>
  <c r="BJ46" i="1"/>
  <c r="N31" i="2" l="1"/>
  <c r="CA61" i="1"/>
  <c r="CB61" i="1" s="1"/>
  <c r="BX61" i="1"/>
  <c r="BZ61" i="1" s="1"/>
  <c r="BG61" i="1"/>
  <c r="BF61" i="1"/>
  <c r="BE61" i="1"/>
  <c r="BD61" i="1"/>
  <c r="BC61" i="1"/>
  <c r="BB61" i="1"/>
  <c r="BA61" i="1"/>
  <c r="AX61" i="1"/>
  <c r="AK61" i="1"/>
  <c r="AM61" i="1" s="1"/>
  <c r="Z61" i="1"/>
  <c r="S61" i="1"/>
  <c r="U61" i="1" s="1"/>
  <c r="CA62" i="1"/>
  <c r="CB62" i="1" s="1"/>
  <c r="BX62" i="1"/>
  <c r="BZ62" i="1" s="1"/>
  <c r="BG62" i="1"/>
  <c r="BF62" i="1"/>
  <c r="BE62" i="1"/>
  <c r="BD62" i="1"/>
  <c r="BC62" i="1"/>
  <c r="BB62" i="1"/>
  <c r="BA62" i="1"/>
  <c r="AX62" i="1"/>
  <c r="AK62" i="1"/>
  <c r="AM62" i="1" s="1"/>
  <c r="Z62" i="1"/>
  <c r="S62" i="1"/>
  <c r="U62" i="1" s="1"/>
  <c r="CA7" i="1"/>
  <c r="CB7" i="1" s="1"/>
  <c r="BX7" i="1"/>
  <c r="BZ7" i="1" s="1"/>
  <c r="BG7" i="1"/>
  <c r="BF7" i="1"/>
  <c r="BE7" i="1"/>
  <c r="BD7" i="1"/>
  <c r="BC7" i="1"/>
  <c r="BB7" i="1"/>
  <c r="BA7" i="1"/>
  <c r="AX7" i="1"/>
  <c r="AK7" i="1"/>
  <c r="AM7" i="1" s="1"/>
  <c r="Z7" i="1"/>
  <c r="CA19" i="1"/>
  <c r="CB19" i="1" s="1"/>
  <c r="BX19" i="1"/>
  <c r="BZ19" i="1" s="1"/>
  <c r="AX19" i="1"/>
  <c r="AK19" i="1"/>
  <c r="AJ19" i="1" s="1"/>
  <c r="Z19" i="1"/>
  <c r="S19" i="1"/>
  <c r="U19" i="1" s="1"/>
  <c r="BG33" i="1"/>
  <c r="BF33" i="1"/>
  <c r="BE33" i="1"/>
  <c r="BD33" i="1"/>
  <c r="BC33" i="1"/>
  <c r="BB33" i="1"/>
  <c r="BA33" i="1"/>
  <c r="N30" i="2"/>
  <c r="AM19" i="1" l="1"/>
  <c r="AJ7" i="1"/>
  <c r="CF61" i="1"/>
  <c r="CF62" i="1"/>
  <c r="CF7" i="1"/>
  <c r="AJ61" i="1"/>
  <c r="AJ62" i="1"/>
  <c r="BI61" i="1"/>
  <c r="BK61" i="1" s="1"/>
  <c r="BH61" i="1"/>
  <c r="BJ61" i="1" s="1"/>
  <c r="BI62" i="1"/>
  <c r="BK62" i="1" s="1"/>
  <c r="BH62" i="1"/>
  <c r="BJ62" i="1" s="1"/>
  <c r="BI7" i="1"/>
  <c r="BK7" i="1" s="1"/>
  <c r="CF19" i="1"/>
  <c r="BH7" i="1"/>
  <c r="BJ7" i="1" s="1"/>
  <c r="BI33" i="1"/>
  <c r="BK33" i="1" s="1"/>
  <c r="BH33" i="1"/>
  <c r="BJ33" i="1" s="1"/>
  <c r="CA33" i="1"/>
  <c r="CB33" i="1" s="1"/>
  <c r="BX33" i="1"/>
  <c r="BZ33" i="1" s="1"/>
  <c r="AX33" i="1"/>
  <c r="AK33" i="1"/>
  <c r="AM33" i="1" s="1"/>
  <c r="Z33" i="1"/>
  <c r="CF33" i="1" l="1"/>
  <c r="AJ33" i="1"/>
  <c r="CA43" i="1"/>
  <c r="CB43" i="1" s="1"/>
  <c r="BX43" i="1"/>
  <c r="BZ43" i="1" s="1"/>
  <c r="BG43" i="1"/>
  <c r="BF43" i="1"/>
  <c r="BE43" i="1"/>
  <c r="BD43" i="1"/>
  <c r="BC43" i="1"/>
  <c r="BA43" i="1"/>
  <c r="AX43" i="1"/>
  <c r="AK43" i="1"/>
  <c r="AM43" i="1" s="1"/>
  <c r="M43" i="1"/>
  <c r="BB43" i="1" s="1"/>
  <c r="Z43" i="1"/>
  <c r="AJ43" i="1" l="1"/>
  <c r="CF43" i="1"/>
  <c r="BI43" i="1"/>
  <c r="BK43" i="1" s="1"/>
  <c r="BH43" i="1"/>
  <c r="BJ43" i="1" s="1"/>
  <c r="AX8" i="1" l="1"/>
  <c r="AX9" i="1"/>
  <c r="AX49" i="1"/>
  <c r="AX50" i="1"/>
  <c r="AX52" i="1"/>
  <c r="AX53" i="1"/>
  <c r="AX54" i="1"/>
  <c r="AX55" i="1"/>
  <c r="AX56" i="1"/>
  <c r="AX57" i="1"/>
  <c r="AX58" i="1"/>
  <c r="AX59" i="1"/>
  <c r="AX60" i="1"/>
  <c r="AX63" i="1"/>
  <c r="AX64" i="1"/>
  <c r="AX65" i="1"/>
  <c r="AX66" i="1"/>
  <c r="AX67" i="1"/>
  <c r="AX68" i="1"/>
  <c r="AX69" i="1"/>
  <c r="AX70" i="1"/>
  <c r="AX71" i="1"/>
  <c r="AX72" i="1"/>
  <c r="AX73" i="1"/>
  <c r="AX74" i="1"/>
  <c r="AX75" i="1"/>
  <c r="AX76" i="1"/>
  <c r="AX77" i="1"/>
  <c r="AX10" i="1"/>
  <c r="AX11" i="1"/>
  <c r="AX12" i="1"/>
  <c r="AX13" i="1"/>
  <c r="AX14" i="1"/>
  <c r="AX15" i="1"/>
  <c r="AX20" i="1"/>
  <c r="AX21" i="1"/>
  <c r="AX23" i="1"/>
  <c r="AX25" i="1"/>
  <c r="AX26" i="1"/>
  <c r="AX27" i="1"/>
  <c r="AX30" i="1"/>
  <c r="AX40" i="1"/>
  <c r="AX35" i="1"/>
  <c r="AX36" i="1"/>
  <c r="AX38" i="1"/>
  <c r="AX41" i="1"/>
  <c r="AX42" i="1"/>
  <c r="AX37" i="1"/>
  <c r="AX3" i="1"/>
  <c r="Z27" i="1"/>
  <c r="CA30" i="1"/>
  <c r="CB30" i="1" s="1"/>
  <c r="BX30" i="1"/>
  <c r="BZ30" i="1" s="1"/>
  <c r="BG30" i="1"/>
  <c r="BF30" i="1"/>
  <c r="BE30" i="1"/>
  <c r="BD30" i="1"/>
  <c r="BC30" i="1"/>
  <c r="BB30" i="1"/>
  <c r="BA30" i="1"/>
  <c r="AK30" i="1"/>
  <c r="Z30" i="1"/>
  <c r="S30" i="1"/>
  <c r="U30" i="1" s="1"/>
  <c r="CA9" i="1"/>
  <c r="CB9" i="1" s="1"/>
  <c r="BX9" i="1"/>
  <c r="BZ9" i="1" s="1"/>
  <c r="BG9" i="1"/>
  <c r="BF9" i="1"/>
  <c r="BE9" i="1"/>
  <c r="BD9" i="1"/>
  <c r="BC9" i="1"/>
  <c r="BB9" i="1"/>
  <c r="BA9" i="1"/>
  <c r="AK9" i="1"/>
  <c r="AM9" i="1" s="1"/>
  <c r="Z9" i="1"/>
  <c r="CA27" i="1"/>
  <c r="CB27" i="1" s="1"/>
  <c r="BX27" i="1"/>
  <c r="BZ27" i="1" s="1"/>
  <c r="BG27" i="1"/>
  <c r="BF27" i="1"/>
  <c r="BE27" i="1"/>
  <c r="BD27" i="1"/>
  <c r="BC27" i="1"/>
  <c r="BB27" i="1"/>
  <c r="BA27" i="1"/>
  <c r="AK27" i="1"/>
  <c r="S27" i="1"/>
  <c r="U27" i="1" s="1"/>
  <c r="CA8" i="1"/>
  <c r="CB8" i="1" s="1"/>
  <c r="BX8" i="1"/>
  <c r="BZ8" i="1" s="1"/>
  <c r="BG8" i="1"/>
  <c r="BF8" i="1"/>
  <c r="BE8" i="1"/>
  <c r="BD8" i="1"/>
  <c r="BC8" i="1"/>
  <c r="BB8" i="1"/>
  <c r="BA8" i="1"/>
  <c r="AK8" i="1"/>
  <c r="AM8" i="1" s="1"/>
  <c r="Z8" i="1"/>
  <c r="CA26" i="1"/>
  <c r="CB26" i="1" s="1"/>
  <c r="BX26" i="1"/>
  <c r="BZ26" i="1" s="1"/>
  <c r="AK26" i="1"/>
  <c r="Z26" i="1"/>
  <c r="S26" i="1"/>
  <c r="U26" i="1" s="1"/>
  <c r="CA25" i="1"/>
  <c r="CB25" i="1" s="1"/>
  <c r="BX25" i="1"/>
  <c r="BZ25" i="1" s="1"/>
  <c r="AK25" i="1"/>
  <c r="AM25" i="1" s="1"/>
  <c r="Z25" i="1"/>
  <c r="S25" i="1"/>
  <c r="U25" i="1" s="1"/>
  <c r="BX38" i="1"/>
  <c r="BZ38" i="1" s="1"/>
  <c r="BX42" i="1"/>
  <c r="BZ42" i="1" s="1"/>
  <c r="BX37" i="1"/>
  <c r="BG42" i="1"/>
  <c r="BF42" i="1"/>
  <c r="BE42" i="1"/>
  <c r="CA42" i="1"/>
  <c r="CB42" i="1" s="1"/>
  <c r="BD42" i="1"/>
  <c r="BC42" i="1"/>
  <c r="BB42" i="1"/>
  <c r="BA42" i="1"/>
  <c r="AK42" i="1"/>
  <c r="AM42" i="1" s="1"/>
  <c r="Z42" i="1"/>
  <c r="AM26" i="1" l="1"/>
  <c r="AM30" i="1"/>
  <c r="AM28" i="1"/>
  <c r="AJ27" i="1"/>
  <c r="AM27" i="1"/>
  <c r="AJ25" i="1"/>
  <c r="CF9" i="1"/>
  <c r="CF30" i="1"/>
  <c r="CF8" i="1"/>
  <c r="BI30" i="1"/>
  <c r="BK30" i="1" s="1"/>
  <c r="AJ30" i="1"/>
  <c r="BI9" i="1"/>
  <c r="BK9" i="1" s="1"/>
  <c r="BH30" i="1"/>
  <c r="BJ30" i="1" s="1"/>
  <c r="AJ9" i="1"/>
  <c r="BH9" i="1"/>
  <c r="BJ9" i="1" s="1"/>
  <c r="CF25" i="1"/>
  <c r="CF27" i="1"/>
  <c r="BH8" i="1"/>
  <c r="BJ8" i="1" s="1"/>
  <c r="BI27" i="1"/>
  <c r="BK27" i="1" s="1"/>
  <c r="CF26" i="1"/>
  <c r="BI8" i="1"/>
  <c r="BK8" i="1" s="1"/>
  <c r="BH27" i="1"/>
  <c r="BJ27" i="1" s="1"/>
  <c r="AJ8" i="1"/>
  <c r="AJ26" i="1"/>
  <c r="BH42" i="1"/>
  <c r="BJ42" i="1" s="1"/>
  <c r="AJ42" i="1"/>
  <c r="CF42" i="1"/>
  <c r="BI42" i="1"/>
  <c r="BK42" i="1" s="1"/>
  <c r="CA15" i="1" l="1"/>
  <c r="CB15" i="1" s="1"/>
  <c r="BX15" i="1"/>
  <c r="BZ15" i="1" s="1"/>
  <c r="BG15" i="1"/>
  <c r="BF15" i="1"/>
  <c r="BE15" i="1"/>
  <c r="BD15" i="1"/>
  <c r="BC15" i="1"/>
  <c r="BB15" i="1"/>
  <c r="AZ14" i="1"/>
  <c r="CF15" i="1" l="1"/>
  <c r="AK15" i="1"/>
  <c r="AM15" i="1" s="1"/>
  <c r="BA15" i="1"/>
  <c r="BH15" i="1" s="1"/>
  <c r="BJ15" i="1" s="1"/>
  <c r="AJ15" i="1" l="1"/>
  <c r="BI15" i="1"/>
  <c r="BK15" i="1" s="1"/>
  <c r="Z15" i="1"/>
  <c r="CA21" i="1"/>
  <c r="CB21" i="1" s="1"/>
  <c r="BX21" i="1"/>
  <c r="BZ21" i="1" s="1"/>
  <c r="AK21" i="1"/>
  <c r="AJ21" i="1" s="1"/>
  <c r="Z21" i="1"/>
  <c r="S21" i="1"/>
  <c r="U21" i="1" s="1"/>
  <c r="CA3" i="1"/>
  <c r="CB3" i="1" s="1"/>
  <c r="BX3" i="1"/>
  <c r="BZ3" i="1" s="1"/>
  <c r="BG3" i="1"/>
  <c r="BF3" i="1"/>
  <c r="BE3" i="1"/>
  <c r="BD3" i="1"/>
  <c r="AK3" i="1"/>
  <c r="AM3" i="1" s="1"/>
  <c r="AM21" i="1" s="1"/>
  <c r="BC3" i="1"/>
  <c r="BB3" i="1"/>
  <c r="BA3" i="1"/>
  <c r="Z3" i="1"/>
  <c r="AJ3" i="1" l="1"/>
  <c r="CF21" i="1"/>
  <c r="CF3" i="1"/>
  <c r="BI3" i="1"/>
  <c r="BK3" i="1" s="1"/>
  <c r="BH3" i="1"/>
  <c r="BJ3" i="1" s="1"/>
  <c r="CA20" i="1"/>
  <c r="CB20" i="1" s="1"/>
  <c r="BX20" i="1"/>
  <c r="BZ20" i="1" s="1"/>
  <c r="AK20" i="1"/>
  <c r="AM20" i="1" s="1"/>
  <c r="Z20" i="1"/>
  <c r="S20" i="1"/>
  <c r="U20" i="1" s="1"/>
  <c r="O29" i="2"/>
  <c r="N29" i="2" s="1"/>
  <c r="BZ37" i="1"/>
  <c r="BG37" i="1"/>
  <c r="BG41" i="1"/>
  <c r="BG38" i="1"/>
  <c r="BG36" i="1"/>
  <c r="BG35" i="1"/>
  <c r="BG40" i="1"/>
  <c r="BF37" i="1"/>
  <c r="BF41" i="1"/>
  <c r="BF38" i="1"/>
  <c r="BF36" i="1"/>
  <c r="BF35" i="1"/>
  <c r="BF40" i="1"/>
  <c r="CA37" i="1"/>
  <c r="CB37" i="1" s="1"/>
  <c r="BE37" i="1"/>
  <c r="BD37" i="1"/>
  <c r="BC37" i="1"/>
  <c r="BB37" i="1"/>
  <c r="BA37" i="1"/>
  <c r="AK37" i="1"/>
  <c r="AM37" i="1" s="1"/>
  <c r="Z37" i="1"/>
  <c r="AZ12" i="1"/>
  <c r="AJ37" i="1" l="1"/>
  <c r="AJ20" i="1"/>
  <c r="BI37" i="1"/>
  <c r="BK37" i="1" s="1"/>
  <c r="BH37" i="1"/>
  <c r="BJ37" i="1" s="1"/>
  <c r="CF20" i="1"/>
  <c r="CF37" i="1"/>
  <c r="CA12" i="1" l="1"/>
  <c r="CB12" i="1" s="1"/>
  <c r="BX12" i="1"/>
  <c r="BZ12" i="1" s="1"/>
  <c r="BG12" i="1"/>
  <c r="BF12" i="1"/>
  <c r="BE12" i="1"/>
  <c r="BD12" i="1"/>
  <c r="BC12" i="1"/>
  <c r="BB12" i="1"/>
  <c r="BA12" i="1"/>
  <c r="AK12" i="1"/>
  <c r="AM12" i="1" s="1"/>
  <c r="Z12" i="1"/>
  <c r="BE41" i="1"/>
  <c r="Z38" i="1"/>
  <c r="Z41" i="1"/>
  <c r="CA35" i="1"/>
  <c r="CB35" i="1" s="1"/>
  <c r="BX35" i="1"/>
  <c r="BZ35" i="1" s="1"/>
  <c r="BE35" i="1"/>
  <c r="BD35" i="1"/>
  <c r="BC35" i="1"/>
  <c r="BB35" i="1"/>
  <c r="BA35" i="1"/>
  <c r="AK35" i="1"/>
  <c r="AM35" i="1" s="1"/>
  <c r="Z35" i="1"/>
  <c r="AK36" i="1"/>
  <c r="AM36" i="1" s="1"/>
  <c r="BA36" i="1"/>
  <c r="BB36" i="1"/>
  <c r="BC36" i="1"/>
  <c r="BD36" i="1"/>
  <c r="BE36" i="1"/>
  <c r="BX36" i="1"/>
  <c r="BZ36" i="1" s="1"/>
  <c r="CA36" i="1"/>
  <c r="CB36" i="1" s="1"/>
  <c r="AK38" i="1"/>
  <c r="AM38" i="1" s="1"/>
  <c r="BA38" i="1"/>
  <c r="BB38" i="1"/>
  <c r="BC38" i="1"/>
  <c r="BD38" i="1"/>
  <c r="BE38" i="1"/>
  <c r="CA38" i="1"/>
  <c r="CB38" i="1" s="1"/>
  <c r="AK41" i="1"/>
  <c r="AM41" i="1" s="1"/>
  <c r="BA41" i="1"/>
  <c r="BB41" i="1"/>
  <c r="BC41" i="1"/>
  <c r="BD41" i="1"/>
  <c r="BX41" i="1"/>
  <c r="BZ41" i="1" s="1"/>
  <c r="CA41" i="1"/>
  <c r="CB41" i="1" s="1"/>
  <c r="Z36" i="1"/>
  <c r="CA14" i="1"/>
  <c r="CB14" i="1" s="1"/>
  <c r="CA13" i="1"/>
  <c r="CB13" i="1" s="1"/>
  <c r="BX13" i="1"/>
  <c r="BZ13" i="1" s="1"/>
  <c r="BX14" i="1"/>
  <c r="BZ14" i="1" s="1"/>
  <c r="BG14" i="1"/>
  <c r="BF14" i="1"/>
  <c r="BE14" i="1"/>
  <c r="BD14" i="1"/>
  <c r="BG13" i="1"/>
  <c r="BF13" i="1"/>
  <c r="BE13" i="1"/>
  <c r="BD13" i="1"/>
  <c r="BC14" i="1"/>
  <c r="BB14" i="1"/>
  <c r="BA14" i="1"/>
  <c r="AK14" i="1"/>
  <c r="AM14" i="1" s="1"/>
  <c r="Z14" i="1"/>
  <c r="BC13" i="1"/>
  <c r="BB13" i="1"/>
  <c r="BA13" i="1"/>
  <c r="AK13" i="1"/>
  <c r="AM13" i="1" s="1"/>
  <c r="Z13" i="1"/>
  <c r="AJ36" i="1" l="1"/>
  <c r="AJ41" i="1"/>
  <c r="AJ12" i="1"/>
  <c r="AJ38" i="1"/>
  <c r="AJ35" i="1"/>
  <c r="AJ13" i="1"/>
  <c r="AJ14" i="1"/>
  <c r="BH14" i="1"/>
  <c r="BJ14" i="1" s="1"/>
  <c r="CF12" i="1"/>
  <c r="BI12" i="1"/>
  <c r="BK12" i="1" s="1"/>
  <c r="BH38" i="1"/>
  <c r="BJ38" i="1" s="1"/>
  <c r="CF13" i="1"/>
  <c r="CF35" i="1"/>
  <c r="BH12" i="1"/>
  <c r="BJ12" i="1" s="1"/>
  <c r="BH13" i="1"/>
  <c r="BJ13" i="1" s="1"/>
  <c r="BH41" i="1"/>
  <c r="BJ41" i="1" s="1"/>
  <c r="BH36" i="1"/>
  <c r="BJ36" i="1" s="1"/>
  <c r="BI35" i="1"/>
  <c r="BK35" i="1" s="1"/>
  <c r="BI14" i="1"/>
  <c r="BK14" i="1" s="1"/>
  <c r="BI13" i="1"/>
  <c r="BK13" i="1" s="1"/>
  <c r="CF41" i="1"/>
  <c r="CF14" i="1"/>
  <c r="BI36" i="1"/>
  <c r="BK36" i="1" s="1"/>
  <c r="BH35" i="1"/>
  <c r="BJ35" i="1" s="1"/>
  <c r="BI38" i="1"/>
  <c r="BK38" i="1" s="1"/>
  <c r="CF36" i="1"/>
  <c r="BI41" i="1"/>
  <c r="BK41" i="1" s="1"/>
  <c r="CF38" i="1"/>
  <c r="CA54" i="1" l="1"/>
  <c r="BX54" i="1"/>
  <c r="BZ54" i="1" s="1"/>
  <c r="BG54" i="1"/>
  <c r="BF54" i="1"/>
  <c r="BE54" i="1"/>
  <c r="BD54" i="1"/>
  <c r="BC54" i="1"/>
  <c r="BB54" i="1"/>
  <c r="BA54" i="1"/>
  <c r="AK54" i="1"/>
  <c r="AM54" i="1" s="1"/>
  <c r="Z54" i="1"/>
  <c r="S54" i="1"/>
  <c r="U54" i="1" s="1"/>
  <c r="AJ54" i="1" l="1"/>
  <c r="BI54" i="1"/>
  <c r="BK54" i="1" s="1"/>
  <c r="BH54" i="1"/>
  <c r="BJ54" i="1" s="1"/>
  <c r="CA50" i="1"/>
  <c r="BX50" i="1"/>
  <c r="BZ50" i="1" s="1"/>
  <c r="BG50" i="1"/>
  <c r="BF50" i="1"/>
  <c r="BE50" i="1"/>
  <c r="BD50" i="1"/>
  <c r="BC50" i="1"/>
  <c r="BB50" i="1"/>
  <c r="BA50" i="1"/>
  <c r="AK50" i="1"/>
  <c r="AM50" i="1" s="1"/>
  <c r="Z50" i="1"/>
  <c r="S50" i="1"/>
  <c r="U50" i="1" s="1"/>
  <c r="AJ50" i="1" l="1"/>
  <c r="BI50" i="1"/>
  <c r="BK50" i="1" s="1"/>
  <c r="BH50" i="1"/>
  <c r="BJ50" i="1" s="1"/>
  <c r="N28" i="2"/>
  <c r="CA56" i="1"/>
  <c r="BX56" i="1"/>
  <c r="BZ56" i="1" s="1"/>
  <c r="BG56" i="1"/>
  <c r="BF56" i="1"/>
  <c r="BE56" i="1"/>
  <c r="BD56" i="1"/>
  <c r="BC56" i="1"/>
  <c r="BB56" i="1"/>
  <c r="BA56" i="1"/>
  <c r="AK56" i="1"/>
  <c r="AM56" i="1" s="1"/>
  <c r="Z56" i="1"/>
  <c r="S56" i="1"/>
  <c r="U56" i="1" s="1"/>
  <c r="CA58" i="1"/>
  <c r="BX58" i="1"/>
  <c r="BZ58" i="1" s="1"/>
  <c r="BG58" i="1"/>
  <c r="BF58" i="1"/>
  <c r="BE58" i="1"/>
  <c r="BD58" i="1"/>
  <c r="BC58" i="1"/>
  <c r="BB58" i="1"/>
  <c r="BA58" i="1"/>
  <c r="AK58" i="1"/>
  <c r="AM58" i="1" s="1"/>
  <c r="Z58" i="1"/>
  <c r="S58" i="1"/>
  <c r="U58" i="1" s="1"/>
  <c r="CA55" i="1"/>
  <c r="BX55" i="1"/>
  <c r="BZ55" i="1" s="1"/>
  <c r="BG55" i="1"/>
  <c r="BF55" i="1"/>
  <c r="BE55" i="1"/>
  <c r="BD55" i="1"/>
  <c r="BC55" i="1"/>
  <c r="BB55" i="1"/>
  <c r="BA55" i="1"/>
  <c r="AK55" i="1"/>
  <c r="AM55" i="1" s="1"/>
  <c r="Z55" i="1"/>
  <c r="S55" i="1"/>
  <c r="U55" i="1" s="1"/>
  <c r="CA63" i="1"/>
  <c r="BX63" i="1"/>
  <c r="BZ63" i="1" s="1"/>
  <c r="BG63" i="1"/>
  <c r="BF63" i="1"/>
  <c r="BE63" i="1"/>
  <c r="BD63" i="1"/>
  <c r="BC63" i="1"/>
  <c r="BB63" i="1"/>
  <c r="BA63" i="1"/>
  <c r="AK63" i="1"/>
  <c r="AM63" i="1" s="1"/>
  <c r="Z63" i="1"/>
  <c r="S63" i="1"/>
  <c r="U63" i="1" s="1"/>
  <c r="CA60" i="1"/>
  <c r="CB60" i="1" s="1"/>
  <c r="BX60" i="1"/>
  <c r="BZ60" i="1" s="1"/>
  <c r="BG60" i="1"/>
  <c r="BF60" i="1"/>
  <c r="BE60" i="1"/>
  <c r="BD60" i="1"/>
  <c r="BC60" i="1"/>
  <c r="BB60" i="1"/>
  <c r="BA60" i="1"/>
  <c r="AK60" i="1"/>
  <c r="AM60" i="1" s="1"/>
  <c r="Z60" i="1"/>
  <c r="S60" i="1"/>
  <c r="U60" i="1" s="1"/>
  <c r="CA59" i="1"/>
  <c r="CB59" i="1" s="1"/>
  <c r="BX59" i="1"/>
  <c r="BZ59" i="1" s="1"/>
  <c r="BG59" i="1"/>
  <c r="BF59" i="1"/>
  <c r="BE59" i="1"/>
  <c r="BD59" i="1"/>
  <c r="BC59" i="1"/>
  <c r="BB59" i="1"/>
  <c r="BA59" i="1"/>
  <c r="AK59" i="1"/>
  <c r="AM59" i="1" s="1"/>
  <c r="Z59" i="1"/>
  <c r="S59" i="1"/>
  <c r="U59" i="1" s="1"/>
  <c r="CA57" i="1"/>
  <c r="BX57" i="1"/>
  <c r="BZ57" i="1" s="1"/>
  <c r="BG57" i="1"/>
  <c r="BF57" i="1"/>
  <c r="BE57" i="1"/>
  <c r="BD57" i="1"/>
  <c r="BC57" i="1"/>
  <c r="BB57" i="1"/>
  <c r="BA57" i="1"/>
  <c r="AK57" i="1"/>
  <c r="AM57" i="1" s="1"/>
  <c r="Z57" i="1"/>
  <c r="S57" i="1"/>
  <c r="U57" i="1" s="1"/>
  <c r="CA53" i="1"/>
  <c r="BX53" i="1"/>
  <c r="BZ53" i="1" s="1"/>
  <c r="BG53" i="1"/>
  <c r="BF53" i="1"/>
  <c r="BE53" i="1"/>
  <c r="BD53" i="1"/>
  <c r="BC53" i="1"/>
  <c r="BB53" i="1"/>
  <c r="BA53" i="1"/>
  <c r="AK53" i="1"/>
  <c r="AM53" i="1" s="1"/>
  <c r="Z53" i="1"/>
  <c r="S53" i="1"/>
  <c r="U53" i="1" s="1"/>
  <c r="AJ58" i="1" l="1"/>
  <c r="AJ63" i="1"/>
  <c r="AJ60" i="1"/>
  <c r="AJ59" i="1"/>
  <c r="AJ57" i="1"/>
  <c r="AJ55" i="1"/>
  <c r="AJ56" i="1"/>
  <c r="BH56" i="1"/>
  <c r="BJ56" i="1" s="1"/>
  <c r="BI56" i="1"/>
  <c r="BK56" i="1" s="1"/>
  <c r="CB63" i="1"/>
  <c r="CF63" i="1" s="1"/>
  <c r="BH58" i="1"/>
  <c r="BJ58" i="1" s="1"/>
  <c r="BI55" i="1"/>
  <c r="BK55" i="1" s="1"/>
  <c r="BI58" i="1"/>
  <c r="BK58" i="1" s="1"/>
  <c r="CF60" i="1"/>
  <c r="CF59" i="1"/>
  <c r="BH55" i="1"/>
  <c r="BJ55" i="1" s="1"/>
  <c r="BI60" i="1"/>
  <c r="BK60" i="1" s="1"/>
  <c r="BI63" i="1"/>
  <c r="BK63" i="1" s="1"/>
  <c r="BH63" i="1"/>
  <c r="BJ63" i="1" s="1"/>
  <c r="BI59" i="1"/>
  <c r="BK59" i="1" s="1"/>
  <c r="BH60" i="1"/>
  <c r="BJ60" i="1" s="1"/>
  <c r="BH59" i="1"/>
  <c r="BJ59" i="1" s="1"/>
  <c r="BI57" i="1"/>
  <c r="BK57" i="1" s="1"/>
  <c r="BH57" i="1"/>
  <c r="BJ57" i="1" s="1"/>
  <c r="BI53" i="1"/>
  <c r="BK53" i="1" s="1"/>
  <c r="AJ53" i="1"/>
  <c r="BH53" i="1"/>
  <c r="BJ53" i="1" s="1"/>
  <c r="BX52" i="1"/>
  <c r="BX64" i="1"/>
  <c r="BZ64" i="1" s="1"/>
  <c r="BX65" i="1"/>
  <c r="BZ65" i="1" s="1"/>
  <c r="BX66" i="1"/>
  <c r="BZ66" i="1" s="1"/>
  <c r="BX67" i="1"/>
  <c r="BZ67" i="1" s="1"/>
  <c r="BX68" i="1"/>
  <c r="BZ68" i="1" s="1"/>
  <c r="BX69" i="1"/>
  <c r="BX70" i="1"/>
  <c r="BZ70" i="1" s="1"/>
  <c r="BX71" i="1"/>
  <c r="BZ71" i="1" s="1"/>
  <c r="BX72" i="1"/>
  <c r="BZ72" i="1" s="1"/>
  <c r="BX73" i="1"/>
  <c r="BZ73" i="1" s="1"/>
  <c r="BX74" i="1"/>
  <c r="BZ74" i="1" s="1"/>
  <c r="BX75" i="1"/>
  <c r="BZ75" i="1" s="1"/>
  <c r="BX76" i="1"/>
  <c r="BZ76" i="1" s="1"/>
  <c r="BX77" i="1"/>
  <c r="BZ77" i="1" s="1"/>
  <c r="BX10" i="1"/>
  <c r="BX11" i="1"/>
  <c r="BX23" i="1"/>
  <c r="BX40" i="1"/>
  <c r="BX49" i="1"/>
  <c r="AK23" i="1"/>
  <c r="AM23" i="1" s="1"/>
  <c r="AK40" i="1"/>
  <c r="AM40" i="1" s="1"/>
  <c r="AK52" i="1"/>
  <c r="AM52" i="1" s="1"/>
  <c r="AK64" i="1"/>
  <c r="AM64" i="1" s="1"/>
  <c r="AK65" i="1"/>
  <c r="AM65" i="1" s="1"/>
  <c r="AK66" i="1"/>
  <c r="AM66" i="1" s="1"/>
  <c r="AK67" i="1"/>
  <c r="AM67" i="1" s="1"/>
  <c r="AK68" i="1"/>
  <c r="AM68" i="1" s="1"/>
  <c r="AK69" i="1"/>
  <c r="AM69" i="1" s="1"/>
  <c r="AK70" i="1"/>
  <c r="AM70" i="1" s="1"/>
  <c r="AK71" i="1"/>
  <c r="AM71" i="1" s="1"/>
  <c r="AK72" i="1"/>
  <c r="AM72" i="1" s="1"/>
  <c r="AK73" i="1"/>
  <c r="AM73" i="1" s="1"/>
  <c r="AK74" i="1"/>
  <c r="AM74" i="1" s="1"/>
  <c r="AK75" i="1"/>
  <c r="AM75" i="1" s="1"/>
  <c r="AK76" i="1"/>
  <c r="AM76" i="1" s="1"/>
  <c r="AK77" i="1"/>
  <c r="AM77" i="1" s="1"/>
  <c r="AK10" i="1"/>
  <c r="AM10" i="1" s="1"/>
  <c r="AK11" i="1"/>
  <c r="AM11" i="1" s="1"/>
  <c r="CA64" i="1"/>
  <c r="CB64" i="1" s="1"/>
  <c r="BG64" i="1"/>
  <c r="BF64" i="1"/>
  <c r="BE64" i="1"/>
  <c r="BD64" i="1"/>
  <c r="BC64" i="1"/>
  <c r="BB64" i="1"/>
  <c r="BA64" i="1"/>
  <c r="Z64" i="1"/>
  <c r="CA77" i="1"/>
  <c r="CB77" i="1" s="1"/>
  <c r="BG77" i="1"/>
  <c r="BF77" i="1"/>
  <c r="BE77" i="1"/>
  <c r="BD77" i="1"/>
  <c r="BC77" i="1"/>
  <c r="BB77" i="1"/>
  <c r="BA77" i="1"/>
  <c r="Z77" i="1"/>
  <c r="CA76" i="1"/>
  <c r="CB76" i="1" s="1"/>
  <c r="BG76" i="1"/>
  <c r="BF76" i="1"/>
  <c r="BE76" i="1"/>
  <c r="BD76" i="1"/>
  <c r="BC76" i="1"/>
  <c r="BB76" i="1"/>
  <c r="BA76" i="1"/>
  <c r="Z76" i="1"/>
  <c r="CA75" i="1"/>
  <c r="CB75" i="1" s="1"/>
  <c r="BG75" i="1"/>
  <c r="BF75" i="1"/>
  <c r="BE75" i="1"/>
  <c r="BD75" i="1"/>
  <c r="BC75" i="1"/>
  <c r="BB75" i="1"/>
  <c r="BA75" i="1"/>
  <c r="Z75" i="1"/>
  <c r="CA74" i="1"/>
  <c r="CB74" i="1" s="1"/>
  <c r="BG74" i="1"/>
  <c r="BF74" i="1"/>
  <c r="BE74" i="1"/>
  <c r="BD74" i="1"/>
  <c r="BC74" i="1"/>
  <c r="BB74" i="1"/>
  <c r="BA74" i="1"/>
  <c r="Z74" i="1"/>
  <c r="CA73" i="1"/>
  <c r="CB73" i="1" s="1"/>
  <c r="BG73" i="1"/>
  <c r="BF73" i="1"/>
  <c r="BE73" i="1"/>
  <c r="BD73" i="1"/>
  <c r="BC73" i="1"/>
  <c r="BB73" i="1"/>
  <c r="BA73" i="1"/>
  <c r="Z73" i="1"/>
  <c r="CA72" i="1"/>
  <c r="BG72" i="1"/>
  <c r="BF72" i="1"/>
  <c r="BE72" i="1"/>
  <c r="BD72" i="1"/>
  <c r="BC72" i="1"/>
  <c r="BB72" i="1"/>
  <c r="BA72" i="1"/>
  <c r="Z72" i="1"/>
  <c r="CA71" i="1"/>
  <c r="CB71" i="1" s="1"/>
  <c r="BG71" i="1"/>
  <c r="BF71" i="1"/>
  <c r="BE71" i="1"/>
  <c r="BD71" i="1"/>
  <c r="BC71" i="1"/>
  <c r="BB71" i="1"/>
  <c r="BA71" i="1"/>
  <c r="Z71" i="1"/>
  <c r="CA70" i="1"/>
  <c r="CB70" i="1" s="1"/>
  <c r="BG70" i="1"/>
  <c r="BF70" i="1"/>
  <c r="BE70" i="1"/>
  <c r="BD70" i="1"/>
  <c r="BC70" i="1"/>
  <c r="BB70" i="1"/>
  <c r="BA70" i="1"/>
  <c r="Z70" i="1"/>
  <c r="CA68" i="1"/>
  <c r="BG68" i="1"/>
  <c r="BF68" i="1"/>
  <c r="BE68" i="1"/>
  <c r="BD68" i="1"/>
  <c r="BC68" i="1"/>
  <c r="BB68" i="1"/>
  <c r="BA68" i="1"/>
  <c r="Z68" i="1"/>
  <c r="CA67" i="1"/>
  <c r="CB67" i="1" s="1"/>
  <c r="BG67" i="1"/>
  <c r="BF67" i="1"/>
  <c r="BE67" i="1"/>
  <c r="BD67" i="1"/>
  <c r="BC67" i="1"/>
  <c r="BB67" i="1"/>
  <c r="BA67" i="1"/>
  <c r="Z67" i="1"/>
  <c r="CA66" i="1"/>
  <c r="CB66" i="1" s="1"/>
  <c r="BG66" i="1"/>
  <c r="BF66" i="1"/>
  <c r="BE66" i="1"/>
  <c r="BD66" i="1"/>
  <c r="BC66" i="1"/>
  <c r="BB66" i="1"/>
  <c r="BA66" i="1"/>
  <c r="Z66" i="1"/>
  <c r="CA65" i="1"/>
  <c r="CB65" i="1" s="1"/>
  <c r="BG65" i="1"/>
  <c r="BF65" i="1"/>
  <c r="BE65" i="1"/>
  <c r="BD65" i="1"/>
  <c r="BC65" i="1"/>
  <c r="BB65" i="1"/>
  <c r="BA65" i="1"/>
  <c r="Z65" i="1"/>
  <c r="AJ70" i="1" l="1"/>
  <c r="AJ68" i="1"/>
  <c r="AJ67" i="1"/>
  <c r="AJ52" i="1"/>
  <c r="AJ40" i="1"/>
  <c r="AJ74" i="1"/>
  <c r="AJ73" i="1"/>
  <c r="AJ72" i="1"/>
  <c r="AJ69" i="1"/>
  <c r="AJ66" i="1"/>
  <c r="AJ65" i="1"/>
  <c r="AJ64" i="1"/>
  <c r="AJ11" i="1"/>
  <c r="AJ10" i="1"/>
  <c r="AJ77" i="1"/>
  <c r="AJ76" i="1"/>
  <c r="AJ71" i="1"/>
  <c r="AJ23" i="1"/>
  <c r="CB68" i="1"/>
  <c r="CF68" i="1" s="1"/>
  <c r="CB72" i="1"/>
  <c r="CF72" i="1" s="1"/>
  <c r="AJ75" i="1"/>
  <c r="CF73" i="1"/>
  <c r="CF64" i="1"/>
  <c r="BI73" i="1"/>
  <c r="BK73" i="1" s="1"/>
  <c r="BI77" i="1"/>
  <c r="BK77" i="1" s="1"/>
  <c r="CF66" i="1"/>
  <c r="BI71" i="1"/>
  <c r="BK71" i="1" s="1"/>
  <c r="CF71" i="1"/>
  <c r="BI75" i="1"/>
  <c r="BK75" i="1" s="1"/>
  <c r="CF76" i="1"/>
  <c r="CF77" i="1"/>
  <c r="CF74" i="1"/>
  <c r="CF75" i="1"/>
  <c r="BH64" i="1"/>
  <c r="BJ64" i="1" s="1"/>
  <c r="BI64" i="1"/>
  <c r="BK64" i="1" s="1"/>
  <c r="BI67" i="1"/>
  <c r="BK67" i="1" s="1"/>
  <c r="BI68" i="1"/>
  <c r="BK68" i="1" s="1"/>
  <c r="CF70" i="1"/>
  <c r="CF65" i="1"/>
  <c r="CF67" i="1"/>
  <c r="BH66" i="1"/>
  <c r="BJ66" i="1" s="1"/>
  <c r="BI76" i="1"/>
  <c r="BK76" i="1" s="1"/>
  <c r="BI74" i="1"/>
  <c r="BK74" i="1" s="1"/>
  <c r="BI72" i="1"/>
  <c r="BK72" i="1" s="1"/>
  <c r="BI70" i="1"/>
  <c r="BK70" i="1" s="1"/>
  <c r="BH76" i="1"/>
  <c r="BJ76" i="1" s="1"/>
  <c r="BH73" i="1"/>
  <c r="BJ73" i="1" s="1"/>
  <c r="BH71" i="1"/>
  <c r="BJ71" i="1" s="1"/>
  <c r="BH70" i="1"/>
  <c r="BJ70" i="1" s="1"/>
  <c r="BH68" i="1"/>
  <c r="BJ68" i="1" s="1"/>
  <c r="BI66" i="1"/>
  <c r="BK66" i="1" s="1"/>
  <c r="BH77" i="1"/>
  <c r="BJ77" i="1" s="1"/>
  <c r="BH75" i="1"/>
  <c r="BJ75" i="1" s="1"/>
  <c r="BH74" i="1"/>
  <c r="BJ74" i="1" s="1"/>
  <c r="BH72" i="1"/>
  <c r="BJ72" i="1" s="1"/>
  <c r="BH67" i="1"/>
  <c r="BJ67" i="1" s="1"/>
  <c r="BI65" i="1"/>
  <c r="BK65" i="1" s="1"/>
  <c r="BH65" i="1"/>
  <c r="BJ65" i="1" s="1"/>
  <c r="N27" i="2" l="1"/>
  <c r="CA52" i="1"/>
  <c r="BZ52" i="1"/>
  <c r="BG52" i="1"/>
  <c r="BF52" i="1"/>
  <c r="BE52" i="1"/>
  <c r="BD52" i="1"/>
  <c r="BC52" i="1"/>
  <c r="BB52" i="1"/>
  <c r="BA52" i="1"/>
  <c r="Z52" i="1"/>
  <c r="S52" i="1"/>
  <c r="BG69" i="1"/>
  <c r="BF69" i="1"/>
  <c r="CA69" i="1"/>
  <c r="CB69" i="1" s="1"/>
  <c r="BZ69" i="1"/>
  <c r="BE69" i="1"/>
  <c r="BD69" i="1"/>
  <c r="BC69" i="1"/>
  <c r="BB69" i="1"/>
  <c r="BA69" i="1"/>
  <c r="Z69" i="1"/>
  <c r="N26" i="2"/>
  <c r="BG49" i="1"/>
  <c r="BF49" i="1"/>
  <c r="BE49" i="1"/>
  <c r="BD49" i="1"/>
  <c r="BC49" i="1"/>
  <c r="BB49" i="1"/>
  <c r="CA49" i="1"/>
  <c r="CB49" i="1" s="1"/>
  <c r="BZ49" i="1"/>
  <c r="BA49" i="1"/>
  <c r="AK49" i="1"/>
  <c r="AM49" i="1" s="1"/>
  <c r="Z49" i="1"/>
  <c r="AJ49" i="1" l="1"/>
  <c r="BI52" i="1"/>
  <c r="BK52" i="1" s="1"/>
  <c r="BI69" i="1"/>
  <c r="BK69" i="1" s="1"/>
  <c r="BH52" i="1"/>
  <c r="BJ52" i="1" s="1"/>
  <c r="U52" i="1"/>
  <c r="BH69" i="1"/>
  <c r="BJ69" i="1" s="1"/>
  <c r="CF69" i="1"/>
  <c r="BI49" i="1"/>
  <c r="BK49" i="1" s="1"/>
  <c r="CF49" i="1"/>
  <c r="BH49" i="1"/>
  <c r="BJ49" i="1" s="1"/>
  <c r="BZ23" i="1" l="1"/>
  <c r="CA23" i="1"/>
  <c r="CB23" i="1" s="1"/>
  <c r="CF23" i="1" s="1"/>
  <c r="Z23" i="1"/>
  <c r="S23" i="1"/>
  <c r="U23" i="1" s="1"/>
  <c r="V40" i="1"/>
  <c r="Z40" i="1" s="1"/>
  <c r="CA40" i="1"/>
  <c r="CB40" i="1" s="1"/>
  <c r="BZ40" i="1"/>
  <c r="BE40" i="1"/>
  <c r="BD40" i="1"/>
  <c r="BC40" i="1"/>
  <c r="BB40" i="1"/>
  <c r="BA40" i="1"/>
  <c r="BH40" i="1" l="1"/>
  <c r="BJ40" i="1" s="1"/>
  <c r="BI40" i="1"/>
  <c r="BK40" i="1" s="1"/>
  <c r="CF40" i="1"/>
  <c r="Z10" i="1" l="1"/>
  <c r="BA10" i="1"/>
  <c r="BB10" i="1"/>
  <c r="BC10" i="1"/>
  <c r="BD10" i="1"/>
  <c r="BE10" i="1"/>
  <c r="BF10" i="1"/>
  <c r="BG10" i="1"/>
  <c r="BZ10" i="1"/>
  <c r="CA10" i="1"/>
  <c r="CB10" i="1" s="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CB11" i="1" s="1"/>
  <c r="CB54" i="1" l="1"/>
  <c r="CF54" i="1" s="1"/>
  <c r="CB50" i="1"/>
  <c r="CF50" i="1" s="1"/>
  <c r="CB57" i="1"/>
  <c r="CF57" i="1" s="1"/>
  <c r="CB53" i="1"/>
  <c r="CF53" i="1" s="1"/>
  <c r="CB56" i="1"/>
  <c r="CF56" i="1" s="1"/>
  <c r="CB58" i="1"/>
  <c r="CF58" i="1" s="1"/>
  <c r="CB55" i="1"/>
  <c r="CF55" i="1" s="1"/>
  <c r="CB52" i="1"/>
  <c r="CF52"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<sst xmlns="http://schemas.openxmlformats.org/spreadsheetml/2006/main" count="1013" uniqueCount="497">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</sst>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78"/>
  <sheetViews>
    <sheetView tabSelected="1" workbookViewId="0">
      <pane xSplit="1" ySplit="1" topLeftCell="BZ26" activePane="bottomRight" state="frozenSplit"/>
      <selection pane="topRight" activeCell="B1" sqref="B1"/>
      <selection pane="bottomLeft" activeCell="A2" sqref="A2"/>
      <selection pane="bottomRight" activeCell="CC33" sqref="CC33"/>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71" max="71" width="31.109375" customWidth="1"/>
    <col min="73" max="73" width="19.109375" bestFit="1" customWidth="1"/>
    <col min="74" max="74" width="16.88671875" bestFit="1" customWidth="1"/>
    <col min="75" max="75" width="15.5546875" bestFit="1" customWidth="1"/>
    <col min="76" max="76" width="9.109375" style="22"/>
    <col min="77" max="77" width="15.6640625" bestFit="1" customWidth="1"/>
    <col min="78" max="78" width="21.6640625" style="22" bestFit="1" customWidth="1"/>
    <col min="79" max="79" width="26.33203125" style="22" bestFit="1" customWidth="1"/>
    <col min="80" max="80" width="29" style="22" customWidth="1"/>
    <col min="81" max="81" width="38.44140625" style="22" customWidth="1"/>
    <col min="82" max="82" width="255.6640625" bestFit="1" customWidth="1"/>
    <col min="83" max="84" width="9.109375" style="22"/>
  </cols>
  <sheetData>
    <row r="1" spans="1:84" s="1" customFormat="1" x14ac:dyDescent="0.3">
      <c r="A1" s="1" t="s">
        <v>1</v>
      </c>
      <c r="B1" s="1" t="s">
        <v>2</v>
      </c>
      <c r="C1" s="1" t="s">
        <v>141</v>
      </c>
      <c r="D1" s="1" t="s">
        <v>481</v>
      </c>
      <c r="E1" s="1" t="s">
        <v>482</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464</v>
      </c>
      <c r="AC1" s="1" t="s">
        <v>465</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487</v>
      </c>
      <c r="BO1" s="1" t="s">
        <v>110</v>
      </c>
      <c r="BP1" s="1" t="s">
        <v>164</v>
      </c>
      <c r="BQ1" s="1" t="s">
        <v>167</v>
      </c>
      <c r="BR1" s="1" t="s">
        <v>489</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row>
    <row r="2" spans="1:84" ht="13.8" customHeight="1" x14ac:dyDescent="0.3">
      <c r="A2" t="s">
        <v>474</v>
      </c>
      <c r="B2" t="s">
        <v>475</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28" si="12">IF(AND(L2&gt;1,BN2&lt;&gt;1),_xlfn.CONCAT("{BLACK}Cars: {GOLD}", L2),"")</f>
        <v/>
      </c>
      <c r="CE2" s="22" t="str">
        <f t="shared" ref="CE2:CE67"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4" ht="13.8" customHeight="1" x14ac:dyDescent="0.3">
      <c r="A3" t="s">
        <v>363</v>
      </c>
      <c r="B3" t="s">
        <v>364</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si="12"/>
        <v/>
      </c>
      <c r="CE3" s="22" t="str">
        <f t="shared" si="13"/>
        <v/>
      </c>
      <c r="CF3" s="22" t="str">
        <f t="shared" ref="CF3:CF11" si="27">_xlfn.CONCAT(CB3,IF(CB3 &lt;&gt; "", " ", ""),CC3,IF(OR(CC3&lt;&gt;"", CB3&lt;&gt;""), "{}",""), CE3,"{SILVER}", CD3)</f>
        <v>{SILVER}</v>
      </c>
    </row>
    <row r="4" spans="1:84" ht="13.8" customHeight="1" x14ac:dyDescent="0.3">
      <c r="A4" t="s">
        <v>479</v>
      </c>
      <c r="B4" t="s">
        <v>478</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12"/>
        <v/>
      </c>
      <c r="CE4" s="22" t="str">
        <f t="shared" si="13"/>
        <v/>
      </c>
      <c r="CF4" s="22" t="str">
        <f t="shared" si="27"/>
        <v>{SILVER}</v>
      </c>
    </row>
    <row r="5" spans="1:84" x14ac:dyDescent="0.3">
      <c r="A5" t="s">
        <v>445</v>
      </c>
      <c r="B5" t="s">
        <v>446</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8">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447</v>
      </c>
      <c r="CC5" s="22" t="str">
        <f t="shared" si="12"/>
        <v/>
      </c>
      <c r="CE5" s="22" t="str">
        <f t="shared" si="13"/>
        <v/>
      </c>
      <c r="CF5" t="str">
        <f t="shared" si="27"/>
        <v>{SILVER}</v>
      </c>
    </row>
    <row r="6" spans="1:84" x14ac:dyDescent="0.3">
      <c r="A6" t="s">
        <v>455</v>
      </c>
      <c r="B6" t="s">
        <v>456</v>
      </c>
      <c r="C6">
        <v>-1</v>
      </c>
      <c r="D6">
        <v>-1</v>
      </c>
      <c r="F6" t="s">
        <v>36</v>
      </c>
      <c r="G6" t="s">
        <v>36</v>
      </c>
      <c r="H6" t="s">
        <v>28</v>
      </c>
      <c r="I6">
        <v>1848</v>
      </c>
      <c r="V6">
        <v>20</v>
      </c>
      <c r="Z6" s="3" t="str">
        <f t="shared" ref="Z6" si="29">IF(AND(V6&gt;0,Y6&gt;0),(Y6/((V6+W6)*10)),"")</f>
        <v/>
      </c>
      <c r="AE6">
        <v>7.5</v>
      </c>
      <c r="AF6">
        <v>6</v>
      </c>
      <c r="AI6" s="9">
        <v>0</v>
      </c>
      <c r="AJ6" s="14" t="str">
        <f>CONCATENATE(VLOOKUP(AK6, 'Voxel Sizes'!$A$2:$B$18,2,FALSE),"x",INT(AG6*15), "x", INT(AH6*15))</f>
        <v>66x0x0</v>
      </c>
      <c r="AK6" s="14">
        <f t="shared" ref="AK6" si="30">ROUND(15*((AF6*10)/256),0)</f>
        <v>4</v>
      </c>
      <c r="AM6" s="14" t="str">
        <f>CONCATENATE(VLOOKUP(AK6,Constants!$A$2:$C$16,IF(AL6&lt;&gt;"", 3, 2), FALSE),IF(AL6&lt;&gt;"",CONCATENATE(",",VLOOKUP(AL6,$B:$AM,38,FALSE)),""))</f>
        <v>1,2,1</v>
      </c>
      <c r="AW6">
        <v>30</v>
      </c>
      <c r="AX6" s="14" t="str">
        <f t="shared" ref="AX6" si="31">IF(K6&lt;&gt;"",MAX(16,(K6-I6)+8),"")</f>
        <v/>
      </c>
      <c r="BA6">
        <f t="shared" ref="BA6" si="32">MIN(AA6/150, 1)*30</f>
        <v>0</v>
      </c>
      <c r="BB6">
        <f t="shared" ref="BB6" si="33">MIN(M6/4000, 1)*20</f>
        <v>0</v>
      </c>
      <c r="BC6">
        <f t="shared" ref="BC6" si="34">MIN(Y6/400,1)*20</f>
        <v>0</v>
      </c>
      <c r="BD6" s="3">
        <f t="shared" ref="BD6" si="35">1-(MAX(I6-1900, 0)/750)</f>
        <v>1</v>
      </c>
      <c r="BE6">
        <f t="shared" ref="BE6" si="36">((MAX($L6,1)*MIN($AI6/300,1)))*IF(F6="Wagon",50,10)</f>
        <v>0</v>
      </c>
      <c r="BF6">
        <v>0</v>
      </c>
      <c r="BG6">
        <v>0</v>
      </c>
      <c r="BH6">
        <v>0</v>
      </c>
      <c r="BI6">
        <v>0</v>
      </c>
      <c r="BJ6" s="23">
        <f t="shared" ref="BJ6" si="37">BH6*IF($F6="wagon",62.5,781.25)</f>
        <v>0</v>
      </c>
      <c r="BK6" s="23">
        <f t="shared" ref="BK6" si="38">BI6*IF($F6="wagon",2.73,81.25)</f>
        <v>0</v>
      </c>
      <c r="BX6" t="s">
        <v>52</v>
      </c>
      <c r="BZ6" t="str">
        <f t="shared" ref="BZ6" si="39">CONCATENATE(BX6,"_",BY6)</f>
        <v>early_</v>
      </c>
      <c r="CA6" t="str">
        <f t="shared" ref="CA6" si="40">_xlfn.CONCAT(G6, "_",H6)</f>
        <v>tender_RAIL</v>
      </c>
      <c r="CB6" t="s">
        <v>447</v>
      </c>
      <c r="CC6" s="22" t="str">
        <f t="shared" si="12"/>
        <v/>
      </c>
      <c r="CE6" s="22" t="str">
        <f t="shared" si="13"/>
        <v/>
      </c>
      <c r="CF6" t="str">
        <f t="shared" ref="CF6" si="41">_xlfn.CONCAT(CB6,IF(CB6 &lt;&gt; "", " ", ""),CC6,IF(OR(CC6&lt;&gt;"", CB6&lt;&gt;""), "{}",""), CE6,"{SILVER}", CD6)</f>
        <v>{SILVER}</v>
      </c>
    </row>
    <row r="7" spans="1:84" x14ac:dyDescent="0.3">
      <c r="A7" t="s">
        <v>405</v>
      </c>
      <c r="B7" t="s">
        <v>406</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12"/>
        <v/>
      </c>
      <c r="CE7" s="22" t="str">
        <f t="shared" si="13"/>
        <v/>
      </c>
      <c r="CF7" s="22" t="str">
        <f t="shared" si="27"/>
        <v>{SILVER}</v>
      </c>
    </row>
    <row r="8" spans="1:84" x14ac:dyDescent="0.3">
      <c r="A8" t="s">
        <v>382</v>
      </c>
      <c r="B8" t="s">
        <v>383</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4" x14ac:dyDescent="0.3">
      <c r="A9" t="s">
        <v>387</v>
      </c>
      <c r="B9" t="s">
        <v>386</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4" x14ac:dyDescent="0.3">
      <c r="A10" t="s">
        <v>230</v>
      </c>
      <c r="B10" t="s">
        <v>225</v>
      </c>
      <c r="C10">
        <v>1061</v>
      </c>
      <c r="D10">
        <v>1000</v>
      </c>
      <c r="E10" t="s">
        <v>493</v>
      </c>
      <c r="F10" t="s">
        <v>32</v>
      </c>
      <c r="G10" t="s">
        <v>159</v>
      </c>
      <c r="H10" t="s">
        <v>28</v>
      </c>
      <c r="I10">
        <v>1906</v>
      </c>
      <c r="K10">
        <v>1955</v>
      </c>
      <c r="V10">
        <v>31</v>
      </c>
      <c r="X10">
        <v>6</v>
      </c>
      <c r="Z10" s="3" t="str">
        <f t="shared" si="15"/>
        <v/>
      </c>
      <c r="AA10">
        <v>100</v>
      </c>
      <c r="AB10">
        <f t="shared" ref="AB10:AB48" si="42">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12"/>
        <v/>
      </c>
      <c r="CD10" t="s">
        <v>228</v>
      </c>
      <c r="CE10" s="22" t="str">
        <f t="shared" si="13"/>
        <v>{YELLOW}10% Penalty for long distance travel{}</v>
      </c>
      <c r="CF10" s="22" t="str">
        <f t="shared" si="27"/>
        <v>{YELLOW}10% Penalty for long distance travel{}{SILVER}Non-corridor carriages allow greater seating density, at the cost of passenger comfort.</v>
      </c>
    </row>
    <row r="11" spans="1:84" x14ac:dyDescent="0.3">
      <c r="A11" t="s">
        <v>226</v>
      </c>
      <c r="B11" t="s">
        <v>227</v>
      </c>
      <c r="C11">
        <v>1521</v>
      </c>
      <c r="D11">
        <v>1001</v>
      </c>
      <c r="E11" t="s">
        <v>493</v>
      </c>
      <c r="F11" t="s">
        <v>32</v>
      </c>
      <c r="G11" t="s">
        <v>159</v>
      </c>
      <c r="H11" t="s">
        <v>28</v>
      </c>
      <c r="I11">
        <v>1952</v>
      </c>
      <c r="J11">
        <v>1963</v>
      </c>
      <c r="K11">
        <v>1977</v>
      </c>
      <c r="V11">
        <v>30</v>
      </c>
      <c r="X11">
        <v>6</v>
      </c>
      <c r="Z11" s="3" t="str">
        <f t="shared" si="15"/>
        <v/>
      </c>
      <c r="AA11">
        <v>100</v>
      </c>
      <c r="AB11">
        <f t="shared" si="42"/>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12"/>
        <v/>
      </c>
      <c r="CD11" t="s">
        <v>229</v>
      </c>
      <c r="CE11" s="22" t="str">
        <f t="shared" si="13"/>
        <v>{YELLOW}10% Penalty for long distance travel{}</v>
      </c>
      <c r="CF11" s="22" t="str">
        <f t="shared" si="27"/>
        <v>{YELLOW}10% Penalty for long distance travel{}{SILVER}BR built many suburban MK1 carriages with no gangways, although typically only one or two would be used per train across most of the country.</v>
      </c>
    </row>
    <row r="12" spans="1:84" x14ac:dyDescent="0.3">
      <c r="A12" t="s">
        <v>352</v>
      </c>
      <c r="B12" t="s">
        <v>353</v>
      </c>
      <c r="C12">
        <v>1731</v>
      </c>
      <c r="D12">
        <v>1002</v>
      </c>
      <c r="E12" t="s">
        <v>493</v>
      </c>
      <c r="F12" t="s">
        <v>32</v>
      </c>
      <c r="G12" t="s">
        <v>159</v>
      </c>
      <c r="H12" t="s">
        <v>28</v>
      </c>
      <c r="I12">
        <v>1973</v>
      </c>
      <c r="V12">
        <v>40</v>
      </c>
      <c r="X12">
        <v>5</v>
      </c>
      <c r="Z12" s="3" t="str">
        <f t="shared" ref="Z12:Z43" si="43">IF(AND(V12&gt;0,Y12&gt;0),(Y12/((V12+W12)*10)),"")</f>
        <v/>
      </c>
      <c r="AA12">
        <v>110</v>
      </c>
      <c r="AB12">
        <f t="shared" si="42"/>
        <v>176</v>
      </c>
      <c r="AE12">
        <v>19.66</v>
      </c>
      <c r="AF12">
        <v>19.66</v>
      </c>
      <c r="AI12" s="9">
        <v>60</v>
      </c>
      <c r="AJ12" s="14" t="str">
        <f>CONCATENATE(VLOOKUP(AK12, 'Voxel Sizes'!$A$2:$B$18,2,FALSE),"x",INT(AG12*15), "x", INT(AH12*15))</f>
        <v>198x0x0</v>
      </c>
      <c r="AK12" s="14">
        <f t="shared" ref="AK12:AK43" si="44">ROUND(15*((AF12*10)/256),0)</f>
        <v>12</v>
      </c>
      <c r="AM12" s="14" t="str">
        <f>CONCATENATE(VLOOKUP(AK12,Constants!$A$2:$C$16,IF(AL12&lt;&gt;"", 3, 2), FALSE),IF(AL12&lt;&gt;"",CONCATENATE(",",VLOOKUP(AL12,$B:$AM,38,FALSE)),""))</f>
        <v>4,4,4</v>
      </c>
      <c r="AW12">
        <v>30</v>
      </c>
      <c r="AX12" s="14" t="str">
        <f t="shared" ref="AX12:AX43" si="45">IF(K12&lt;&gt;"",MAX(16,(K12-I12)+8),"")</f>
        <v/>
      </c>
      <c r="AY12">
        <v>79</v>
      </c>
      <c r="AZ12">
        <f>25*3</f>
        <v>75</v>
      </c>
      <c r="BA12" s="16">
        <f t="shared" ref="BA12:BA43" si="46">MIN(AA12/150, 1)*30</f>
        <v>22</v>
      </c>
      <c r="BB12" s="16">
        <f t="shared" ref="BB12:BB43" si="47">MIN(M12/4000, 1)*20</f>
        <v>0</v>
      </c>
      <c r="BC12" s="16">
        <f t="shared" ref="BC12:BC43" si="48">MIN(Y12/400,1)*20</f>
        <v>0</v>
      </c>
      <c r="BD12" s="17">
        <f t="shared" ref="BD12:BD43" si="49">1-(MAX(I12-1900, 0)/750)</f>
        <v>0.90266666666666673</v>
      </c>
      <c r="BE12" s="16">
        <f t="shared" ref="BE12:BE43" si="50">((MAX($L12,1)*MIN($AI12/300,1)))*IF(F12="Wagon",50,10)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3" si="51">BH12*IF($F12="wagon",62.5,781.25)</f>
        <v>6125</v>
      </c>
      <c r="BK12" s="19">
        <f t="shared" ref="BK12:BK43" si="52">BI12*IF($F12="wagon",2.73,81.25)</f>
        <v>352.17</v>
      </c>
      <c r="BT12">
        <v>1</v>
      </c>
      <c r="BV12" t="s">
        <v>142</v>
      </c>
      <c r="BW12" t="s">
        <v>34</v>
      </c>
      <c r="BX12" s="22" t="str">
        <f>VLOOKUP(I12,Eras!$A$2:$C$10, 2, TRUE)</f>
        <v>lbr</v>
      </c>
      <c r="BY12" t="s">
        <v>70</v>
      </c>
      <c r="BZ12" s="22" t="str">
        <f t="shared" ref="BZ12:BZ43" si="53">CONCATENATE(BX12,"_",BY12)</f>
        <v>lbr_Carriage</v>
      </c>
      <c r="CA12" s="22" t="str">
        <f t="shared" ref="CA12:CA43" si="54">_xlfn.CONCAT(G12, "_",H12)</f>
        <v>carriage_RAIL</v>
      </c>
      <c r="CB12" s="22" t="str">
        <f>VLOOKUP($CA12, Constants!$M:$N, 2, FALSE)</f>
        <v/>
      </c>
      <c r="CC12" s="22" t="str">
        <f t="shared" si="12"/>
        <v/>
      </c>
      <c r="CD12" t="s">
        <v>354</v>
      </c>
      <c r="CE12" s="22" t="str">
        <f t="shared" si="13"/>
        <v/>
      </c>
      <c r="CF12" s="22" t="str">
        <f t="shared" ref="CF12:CF43" si="55">_xlfn.CONCAT(CB12,IF(CB12 &lt;&gt; "", " ", ""),CC12,IF(OR(CC12&lt;&gt;"", CB12&lt;&gt;""), "{}",""), CE12,"{SILVER}", CD12)</f>
        <v>{SILVER}The Mark 2F was the final development of the Mark 2 carriage, introducing many features which would be used on the Mark 3 Intercity carriages.</v>
      </c>
    </row>
    <row r="13" spans="1:84" x14ac:dyDescent="0.3">
      <c r="A13" t="s">
        <v>332</v>
      </c>
      <c r="B13" t="s">
        <v>337</v>
      </c>
      <c r="C13">
        <v>1601</v>
      </c>
      <c r="D13">
        <v>1003</v>
      </c>
      <c r="E13" t="s">
        <v>493</v>
      </c>
      <c r="F13" t="s">
        <v>32</v>
      </c>
      <c r="G13" t="s">
        <v>159</v>
      </c>
      <c r="H13" t="s">
        <v>28</v>
      </c>
      <c r="I13">
        <v>1960</v>
      </c>
      <c r="V13">
        <v>28</v>
      </c>
      <c r="X13">
        <v>4</v>
      </c>
      <c r="Z13" s="3" t="str">
        <f t="shared" si="43"/>
        <v/>
      </c>
      <c r="AA13">
        <v>25</v>
      </c>
      <c r="AB13">
        <f t="shared" si="42"/>
        <v>40</v>
      </c>
      <c r="AE13">
        <v>16.2</v>
      </c>
      <c r="AF13">
        <v>16.2</v>
      </c>
      <c r="AG13">
        <v>2.8</v>
      </c>
      <c r="AI13" s="9">
        <v>42</v>
      </c>
      <c r="AJ13" s="14" t="str">
        <f>CONCATENATE(VLOOKUP(AK13, 'Voxel Sizes'!$A$2:$B$18,2,FALSE),"x",INT(AG13*15), "x", INT(AH13*15))</f>
        <v>152x42x0</v>
      </c>
      <c r="AK13" s="14">
        <f t="shared" si="44"/>
        <v>9</v>
      </c>
      <c r="AM13" s="14" t="str">
        <f>CONCATENATE(VLOOKUP(AK13,Constants!$A$2:$C$16,IF(AL13&lt;&gt;"", 3, 2), FALSE),IF(AL13&lt;&gt;"",CONCATENATE(",",VLOOKUP(AL13,$B:$AM,38,FALSE)),""))</f>
        <v>2,5,2</v>
      </c>
      <c r="AW13">
        <v>30</v>
      </c>
      <c r="AX13" s="14" t="str">
        <f t="shared" si="45"/>
        <v/>
      </c>
      <c r="AY13">
        <v>69</v>
      </c>
      <c r="AZ13">
        <v>57</v>
      </c>
      <c r="BA13" s="16">
        <f t="shared" si="46"/>
        <v>5</v>
      </c>
      <c r="BB13" s="16">
        <f t="shared" si="47"/>
        <v>0</v>
      </c>
      <c r="BC13" s="16">
        <f t="shared" si="48"/>
        <v>0</v>
      </c>
      <c r="BD13" s="17">
        <f t="shared" si="49"/>
        <v>0.92</v>
      </c>
      <c r="BE13" s="16">
        <f t="shared" si="50"/>
        <v>7.0000000000000009</v>
      </c>
      <c r="BF13" s="16">
        <f>VLOOKUP($G13,Constants!$I:$K, 2, FALSE)</f>
        <v>1.2</v>
      </c>
      <c r="BG13" s="16">
        <f>VLOOKUP($G13,Constants!$I:$K, 3, FALSE)*IF(AND(F13="multiple_unit",AA13&lt;110),0.75,1)</f>
        <v>0.6</v>
      </c>
      <c r="BH13" s="16">
        <f>INT(POWER(((Constants!$G$2+$BA13+$BB13+$BC13+$BE13)*$BD13)*$BG13, 1.05))+$AZ13</f>
        <v>67</v>
      </c>
      <c r="BI13" s="16">
        <f>INT(POWER((((Constants!$G$1+$BA13+$BB13+$BC13+$BE13)*($BD13))*$BF13),IF($F13="wagon",1,1.2)))+$AY13</f>
        <v>98</v>
      </c>
      <c r="BJ13" s="19">
        <f t="shared" si="51"/>
        <v>4187.5</v>
      </c>
      <c r="BK13" s="19">
        <f t="shared" si="52"/>
        <v>267.54000000000002</v>
      </c>
      <c r="BT13">
        <v>1</v>
      </c>
      <c r="BU13">
        <v>74</v>
      </c>
      <c r="BV13" t="s">
        <v>275</v>
      </c>
      <c r="BW13" t="s">
        <v>34</v>
      </c>
      <c r="BX13" s="22" t="str">
        <f>VLOOKUP(I13,Eras!$A$2:$C$10, 2, TRUE)</f>
        <v>dsl</v>
      </c>
      <c r="BY13" t="s">
        <v>70</v>
      </c>
      <c r="BZ13" s="22" t="str">
        <f t="shared" si="53"/>
        <v>dsl_Carriage</v>
      </c>
      <c r="CA13" s="22" t="str">
        <f t="shared" si="54"/>
        <v>carriage_RAIL</v>
      </c>
      <c r="CB13" s="22" t="str">
        <f>VLOOKUP($CA13, Constants!$M:$N, 2, FALSE)</f>
        <v/>
      </c>
      <c r="CC13" s="22" t="str">
        <f t="shared" si="12"/>
        <v/>
      </c>
      <c r="CD13" t="s">
        <v>335</v>
      </c>
      <c r="CE13" s="22" t="str">
        <f t="shared" si="13"/>
        <v>{YELLOW}Preserved railway bonus: passengers pay more when hauled by old locomotives{}</v>
      </c>
      <c r="CF13" s="22" t="str">
        <f t="shared" si="55"/>
        <v>{YELLOW}Preserved railway bonus: passengers pay more when hauled by old locomotives{}{SILVER}The first standard gauge preservation railway in the UK was the Bluebell Railway, opened in 1960. Preservation lines are limited to 25mph.</v>
      </c>
    </row>
    <row r="14" spans="1:84" x14ac:dyDescent="0.3">
      <c r="A14" t="s">
        <v>333</v>
      </c>
      <c r="B14" t="s">
        <v>334</v>
      </c>
      <c r="C14">
        <v>1751</v>
      </c>
      <c r="D14">
        <v>1004</v>
      </c>
      <c r="E14" t="s">
        <v>493</v>
      </c>
      <c r="F14" t="s">
        <v>32</v>
      </c>
      <c r="G14" t="s">
        <v>159</v>
      </c>
      <c r="H14" t="s">
        <v>28</v>
      </c>
      <c r="I14">
        <v>1979</v>
      </c>
      <c r="V14">
        <v>32.5</v>
      </c>
      <c r="X14">
        <v>5</v>
      </c>
      <c r="Z14" s="3" t="str">
        <f t="shared" si="43"/>
        <v/>
      </c>
      <c r="AA14">
        <v>25</v>
      </c>
      <c r="AB14">
        <f t="shared" si="42"/>
        <v>40</v>
      </c>
      <c r="AE14">
        <v>19.3</v>
      </c>
      <c r="AF14">
        <v>20</v>
      </c>
      <c r="AI14" s="9">
        <v>54</v>
      </c>
      <c r="AJ14" s="14" t="str">
        <f>CONCATENATE(VLOOKUP(AK14, 'Voxel Sizes'!$A$2:$B$18,2,FALSE),"x",INT(AG14*15), "x", INT(AH14*15))</f>
        <v>198x0x0</v>
      </c>
      <c r="AK14" s="14">
        <f t="shared" si="44"/>
        <v>12</v>
      </c>
      <c r="AM14" s="14" t="str">
        <f>CONCATENATE(VLOOKUP(AK14,Constants!$A$2:$C$16,IF(AL14&lt;&gt;"", 3, 2), FALSE),IF(AL14&lt;&gt;"",CONCATENATE(",",VLOOKUP(AL14,$B:$AM,38,FALSE)),""))</f>
        <v>4,4,4</v>
      </c>
      <c r="AW14">
        <v>30</v>
      </c>
      <c r="AX14" s="14" t="str">
        <f t="shared" si="45"/>
        <v/>
      </c>
      <c r="AY14">
        <v>76</v>
      </c>
      <c r="AZ14">
        <f>23*3</f>
        <v>69</v>
      </c>
      <c r="BA14" s="16">
        <f t="shared" si="46"/>
        <v>5</v>
      </c>
      <c r="BB14" s="16">
        <f t="shared" si="47"/>
        <v>0</v>
      </c>
      <c r="BC14" s="16">
        <f t="shared" si="48"/>
        <v>0</v>
      </c>
      <c r="BD14" s="17">
        <f t="shared" si="49"/>
        <v>0.89466666666666672</v>
      </c>
      <c r="BE14" s="16">
        <f t="shared" si="50"/>
        <v>9</v>
      </c>
      <c r="BF14" s="16">
        <f>VLOOKUP($G14,Constants!$I:$K, 2, FALSE)</f>
        <v>1.2</v>
      </c>
      <c r="BG14" s="16">
        <f>VLOOKUP($G14,Constants!$I:$K, 3, FALSE)*IF(AND(F14="multiple_unit",AA14&lt;110),0.75,1)</f>
        <v>0.6</v>
      </c>
      <c r="BH14" s="16">
        <f>INT(POWER(((Constants!$G$2+$BA14+$BB14+$BC14+$BE14)*$BD14)*$BG14, 1.05))+$AZ14</f>
        <v>80</v>
      </c>
      <c r="BI14" s="16">
        <f>INT(POWER((((Constants!$G$1+$BA14+$BB14+$BC14+$BE14)*($BD14))*$BF14),IF($F14="wagon",1,1.2)))+$AY14</f>
        <v>107</v>
      </c>
      <c r="BJ14" s="19">
        <f t="shared" si="51"/>
        <v>5000</v>
      </c>
      <c r="BK14" s="19">
        <f t="shared" si="52"/>
        <v>292.11</v>
      </c>
      <c r="BT14">
        <v>1</v>
      </c>
      <c r="BU14">
        <v>74</v>
      </c>
      <c r="BV14" t="s">
        <v>275</v>
      </c>
      <c r="BW14" t="s">
        <v>34</v>
      </c>
      <c r="BX14" s="22" t="str">
        <f>VLOOKUP(I14,Eras!$A$2:$C$10, 2, TRUE)</f>
        <v>lbr</v>
      </c>
      <c r="BY14" t="s">
        <v>70</v>
      </c>
      <c r="BZ14" s="22" t="str">
        <f t="shared" si="53"/>
        <v>lbr_Carriage</v>
      </c>
      <c r="CA14" s="22" t="str">
        <f t="shared" si="54"/>
        <v>carriage_RAIL</v>
      </c>
      <c r="CB14" s="22" t="str">
        <f>VLOOKUP($CA14, Constants!$M:$N, 2, FALSE)</f>
        <v/>
      </c>
      <c r="CC14" s="22" t="str">
        <f t="shared" si="12"/>
        <v/>
      </c>
      <c r="CD14" t="s">
        <v>336</v>
      </c>
      <c r="CE14" s="22" t="str">
        <f t="shared" si="13"/>
        <v>{YELLOW}Preserved railway bonus: passengers pay more when hauled by old locomotives{}</v>
      </c>
      <c r="CF14" s="22" t="str">
        <f t="shared" si="55"/>
        <v>{YELLOW}Preserved railway bonus: passengers pay more when hauled by old locomotives{}{SILVER}The ubiquity of the BR Mk1 carriage has made it a mainstay of preserved railways across the UK.</v>
      </c>
    </row>
    <row r="15" spans="1:84" x14ac:dyDescent="0.3">
      <c r="A15" t="s">
        <v>369</v>
      </c>
      <c r="B15" t="s">
        <v>370</v>
      </c>
      <c r="C15">
        <v>1691</v>
      </c>
      <c r="D15">
        <v>1005</v>
      </c>
      <c r="E15" t="s">
        <v>493</v>
      </c>
      <c r="F15" t="s">
        <v>32</v>
      </c>
      <c r="G15" t="s">
        <v>32</v>
      </c>
      <c r="H15" t="s">
        <v>28</v>
      </c>
      <c r="I15">
        <v>1969</v>
      </c>
      <c r="V15">
        <v>160</v>
      </c>
      <c r="X15">
        <v>5</v>
      </c>
      <c r="Z15" s="3" t="str">
        <f>IF(AND(V15&gt;0,Y15&gt;0),(Y15/((V15+W15)*10)),"")</f>
        <v/>
      </c>
      <c r="AA15">
        <v>65</v>
      </c>
      <c r="AB15">
        <f t="shared" si="42"/>
        <v>104</v>
      </c>
      <c r="AE15">
        <v>25</v>
      </c>
      <c r="AF15">
        <v>22</v>
      </c>
      <c r="AI15" s="9">
        <v>81</v>
      </c>
      <c r="AJ15" s="14" t="str">
        <f>CONCATENATE(VLOOKUP(AK15, 'Voxel Sizes'!$A$2:$B$18,2,FALSE),"x",INT(AG15*15), "x", INT(AH15*15))</f>
        <v>214x0x0</v>
      </c>
      <c r="AK15" s="14">
        <f t="shared" si="44"/>
        <v>13</v>
      </c>
      <c r="AM15" s="14" t="str">
        <f>CONCATENATE(VLOOKUP(AK15,Constants!$A$2:$C$16,IF(AL15&lt;&gt;"", 3, 2), FALSE),IF(AL15&lt;&gt;"",CONCATENATE(",",VLOOKUP(AL15,$B:$AM,38,FALSE)),""))</f>
        <v>4,5,4</v>
      </c>
      <c r="AW15">
        <v>30</v>
      </c>
      <c r="AX15" s="14" t="str">
        <f t="shared" si="45"/>
        <v/>
      </c>
      <c r="BA15" s="16">
        <f t="shared" si="46"/>
        <v>13</v>
      </c>
      <c r="BB15" s="16">
        <f t="shared" si="47"/>
        <v>0</v>
      </c>
      <c r="BC15" s="16">
        <f>MIN(Y15/400,1)*20</f>
        <v>0</v>
      </c>
      <c r="BD15" s="17">
        <f t="shared" si="49"/>
        <v>0.90800000000000003</v>
      </c>
      <c r="BE15" s="16">
        <f t="shared" si="50"/>
        <v>13.5</v>
      </c>
      <c r="BF15" s="16">
        <f>VLOOKUP($G15,Constants!$I:$K, 2, FALSE)</f>
        <v>1</v>
      </c>
      <c r="BG15" s="16">
        <f>VLOOKUP($G15,Constants!$I:$K, 3, FALSE)*IF(AND(F15="multiple_unit",AA15&lt;110),0.75,1)</f>
        <v>0.45</v>
      </c>
      <c r="BH15" s="16">
        <f>INT(POWER(((Constants!$G$2+$BA15+$BB15+$BC15+$BE15)*$BD15)*$BG15, 1.05))+$AZ15</f>
        <v>14</v>
      </c>
      <c r="BI15" s="16">
        <f>INT(POWER((((Constants!$G$1+$BA15+$BB15+$BC15+$BE15)*($BD15))*$BF15),IF($F15="wagon",1,1.2)))+$AY15</f>
        <v>37</v>
      </c>
      <c r="BJ15" s="19">
        <f t="shared" si="51"/>
        <v>875</v>
      </c>
      <c r="BK15" s="19">
        <f t="shared" si="52"/>
        <v>101.01</v>
      </c>
      <c r="BT15">
        <v>1</v>
      </c>
      <c r="BU15">
        <v>205</v>
      </c>
      <c r="BV15" t="s">
        <v>372</v>
      </c>
      <c r="BW15" t="s">
        <v>34</v>
      </c>
      <c r="BX15" s="22" t="str">
        <f>VLOOKUP(I15,Eras!$A$2:$C$10, 2, TRUE)</f>
        <v>dsl</v>
      </c>
      <c r="BY15" t="s">
        <v>130</v>
      </c>
      <c r="BZ15" s="22" t="str">
        <f t="shared" si="53"/>
        <v>dsl_Extra</v>
      </c>
      <c r="CA15" s="22" t="str">
        <f t="shared" si="54"/>
        <v>wagon_RAIL</v>
      </c>
      <c r="CB15" s="22" t="str">
        <f>VLOOKUP($CA15, Constants!$M:$N, 2, FALSE)</f>
        <v/>
      </c>
      <c r="CC15" s="22" t="str">
        <f t="shared" si="12"/>
        <v/>
      </c>
      <c r="CD15" t="s">
        <v>371</v>
      </c>
      <c r="CE15" s="22" t="str">
        <f t="shared" si="13"/>
        <v>{YELLOW}10% Bonus for long distance travel{}</v>
      </c>
      <c r="CF15" s="22" t="str">
        <f t="shared" si="55"/>
        <v>{YELLOW}10% Bonus for long distance travel{}{SILVER}Torpedo cars haul molten metal directly from furnaces, meaning it does not have to be processed to an intermediate form and melted again.</v>
      </c>
    </row>
    <row r="16" spans="1:84" x14ac:dyDescent="0.3">
      <c r="A16" t="s">
        <v>466</v>
      </c>
      <c r="B16" t="s">
        <v>467</v>
      </c>
      <c r="C16">
        <v>341</v>
      </c>
      <c r="D16">
        <v>1</v>
      </c>
      <c r="E16" t="s">
        <v>493</v>
      </c>
      <c r="F16" t="s">
        <v>236</v>
      </c>
      <c r="G16" t="s">
        <v>25</v>
      </c>
      <c r="H16" t="s">
        <v>28</v>
      </c>
      <c r="I16">
        <v>1834</v>
      </c>
      <c r="K16">
        <v>1860</v>
      </c>
      <c r="M16">
        <v>85</v>
      </c>
      <c r="O16" s="5">
        <v>11</v>
      </c>
      <c r="P16" s="5">
        <v>16</v>
      </c>
      <c r="Q16" s="5">
        <v>2</v>
      </c>
      <c r="R16" s="5">
        <v>50</v>
      </c>
      <c r="S16" s="12">
        <f t="shared" ref="S16" si="56">((($AA16/2)/60)*5280)/($T16*3.2*PI())</f>
        <v>106.75026670797857</v>
      </c>
      <c r="T16" s="5">
        <v>1.4350000000000001</v>
      </c>
      <c r="U16" s="5">
        <f t="shared" ref="U16" si="57">((($O16*$O16/4)*PI())*($P16/12)*$Q16*$R16*$S16)/(33000*1.1)</f>
        <v>37.262872628726278</v>
      </c>
      <c r="V16">
        <v>6</v>
      </c>
      <c r="W16" s="7">
        <v>4</v>
      </c>
      <c r="Y16">
        <v>15</v>
      </c>
      <c r="Z16" s="3">
        <f t="shared" ref="Z16" si="58">IF(AND(V16&gt;0,Y16&gt;0),(Y16/((V16+W16)*10)),"")</f>
        <v>0.15</v>
      </c>
      <c r="AA16">
        <v>35</v>
      </c>
      <c r="AB16">
        <f t="shared" si="42"/>
        <v>56</v>
      </c>
      <c r="AF16">
        <v>8</v>
      </c>
      <c r="AI16" s="9">
        <v>0</v>
      </c>
      <c r="AJ16" s="14" t="str">
        <f>CONCATENATE(VLOOKUP(AK16, 'Voxel Sizes'!$A$2:$B$18,2,FALSE),"x",INT(AG16*15), "x", INT(AH16*15))</f>
        <v>82x0x0</v>
      </c>
      <c r="AK16" s="14">
        <f t="shared" ref="AK16:AK17" si="59">ROUND(15*((AF16*10)/256),0)</f>
        <v>5</v>
      </c>
      <c r="AM16" s="14" t="str">
        <f>CONCATENATE(VLOOKUP(AK16,Constants!$A$2:$C$16,IF(AL16&lt;&gt;"", 3, 2), FALSE),IF(AL16&lt;&gt;"",CONCATENATE(",",VLOOKUP(AL16,$B:$AM,38,FALSE)),""))</f>
        <v>2,1,2</v>
      </c>
      <c r="AU16">
        <v>1</v>
      </c>
      <c r="AW16">
        <v>29</v>
      </c>
      <c r="AX16" s="14">
        <f t="shared" si="45"/>
        <v>34</v>
      </c>
      <c r="AY16">
        <v>-16</v>
      </c>
      <c r="AZ16">
        <v>-8</v>
      </c>
      <c r="BA16" s="16">
        <f t="shared" ref="BA16" si="60">MIN(AA16/150, 1)*30</f>
        <v>7</v>
      </c>
      <c r="BB16" s="16">
        <f t="shared" ref="BB16" si="61">MIN(M16/4000, 1)*20</f>
        <v>0.42500000000000004</v>
      </c>
      <c r="BC16" s="16">
        <f>MIN(Y16/400,1)*20</f>
        <v>0.75</v>
      </c>
      <c r="BD16" s="17">
        <f t="shared" ref="BD16" si="62">1-(MAX(I16-1900, 0)/750)</f>
        <v>1</v>
      </c>
      <c r="BE16" s="16">
        <f t="shared" ref="BE16" si="63">((MAX($L16,1)*MIN($AI16/300,1)))*IF(F16="Wagon",50,10)</f>
        <v>0</v>
      </c>
      <c r="BF16" s="16">
        <f>VLOOKUP($G16,Constants!$I:$K, 2, FALSE)</f>
        <v>1.1499999999999999</v>
      </c>
      <c r="BG16" s="16">
        <f>VLOOKUP($G16,Constants!$I:$K, 3, FALSE)*IF(AND(F16="multiple_unit",AA16&lt;110),0.75,1)</f>
        <v>1.7</v>
      </c>
      <c r="BH16" s="16">
        <f>INT(POWER(((Constants!$G$2+$BA16+$BB16+$BC16+$BE16)*$BD16)*$BG16, 1.05))+$AZ16</f>
        <v>18</v>
      </c>
      <c r="BI16" s="16">
        <f>INT(POWER((((Constants!$G$1+$BA16+$BB16+$BC16+$BE16)*($BD16))*$BF16),IF($F16="wagon",1,1.2)))+$AY16</f>
        <v>35</v>
      </c>
      <c r="BJ16" s="19">
        <f t="shared" ref="BJ16" si="64">BH16*IF($F16="wagon",62.5,781.25)</f>
        <v>14062.5</v>
      </c>
      <c r="BK16" s="19">
        <f t="shared" ref="BK16" si="65">BI16*IF($F16="wagon",2.73,81.25)</f>
        <v>2843.75</v>
      </c>
      <c r="BT16">
        <v>5</v>
      </c>
      <c r="BX16" s="22" t="str">
        <f>VLOOKUP(I16,Eras!$A$2:$C$10, 2, TRUE)</f>
        <v>early</v>
      </c>
      <c r="BY16" t="s">
        <v>130</v>
      </c>
      <c r="BZ16" s="22" t="str">
        <f t="shared" ref="BZ16" si="66">CONCATENATE(BX16,"_",BY16)</f>
        <v>early_Extra</v>
      </c>
      <c r="CA16" s="22" t="str">
        <f t="shared" ref="CA16" si="67">_xlfn.CONCAT(G16, "_",H16)</f>
        <v>steam_RAIL</v>
      </c>
      <c r="CB16" s="22" t="str">
        <f>VLOOKUP($CA16, Constants!$M:$N, 2, FALSE)</f>
        <v>{BLACK}Powered by: {GOLD}Steam</v>
      </c>
      <c r="CC16" s="22" t="str">
        <f t="shared" si="12"/>
        <v/>
      </c>
      <c r="CD16" t="s">
        <v>468</v>
      </c>
      <c r="CE16" s="22" t="str">
        <f t="shared" si="13"/>
        <v/>
      </c>
      <c r="CF16" s="22" t="str">
        <f t="shared" ref="CF16:CF18" si="68">_xlfn.CONCAT(CB16,IF(CB16 &lt;&gt; "", " ", ""),CC16,IF(OR(CC16&lt;&gt;"", CB16&lt;&gt;""), "{}",""), CE16,"{SILVER}", CD16)</f>
        <v>{BLACK}Powered by: {GOLD}Steam {}{SILVER}George Forrester and Company built the first passenger tank locomotive to enter service. They were supplied to multiple railways in both tank and tender forms.</v>
      </c>
    </row>
    <row r="17" spans="1:84" x14ac:dyDescent="0.3">
      <c r="A17" t="s">
        <v>416</v>
      </c>
      <c r="B17" t="s">
        <v>444</v>
      </c>
      <c r="C17">
        <v>381</v>
      </c>
      <c r="D17">
        <v>2</v>
      </c>
      <c r="E17" t="s">
        <v>493</v>
      </c>
      <c r="F17" t="s">
        <v>236</v>
      </c>
      <c r="G17" t="s">
        <v>25</v>
      </c>
      <c r="H17" t="s">
        <v>28</v>
      </c>
      <c r="I17">
        <v>1841</v>
      </c>
      <c r="K17">
        <v>1871</v>
      </c>
      <c r="M17">
        <v>220</v>
      </c>
      <c r="O17" s="5">
        <v>16</v>
      </c>
      <c r="P17" s="5">
        <v>16</v>
      </c>
      <c r="Q17" s="5">
        <v>2</v>
      </c>
      <c r="R17" s="5">
        <v>140</v>
      </c>
      <c r="S17" s="12">
        <f t="shared" ref="S17:S30" si="69">((($AA17/2)/60)*5280)/($T17*3.2*PI())</f>
        <v>104.20859369112195</v>
      </c>
      <c r="T17" s="5">
        <v>2.1</v>
      </c>
      <c r="U17" s="5">
        <f t="shared" ref="U17:U30" si="70">((($O17*$O17/4)*PI())*($P17/12)*$Q17*$R17*$S17)/(33000*1.1)</f>
        <v>215.48821548821545</v>
      </c>
      <c r="V17">
        <v>11</v>
      </c>
      <c r="Y17">
        <v>16</v>
      </c>
      <c r="Z17" s="3">
        <f>IF(AND(V17&gt;0,Y17&gt;0),(Y17/((V17+W17)*10)),"")</f>
        <v>0.14545454545454545</v>
      </c>
      <c r="AA17">
        <v>50</v>
      </c>
      <c r="AB17">
        <f t="shared" si="42"/>
        <v>80</v>
      </c>
      <c r="AE17">
        <v>8</v>
      </c>
      <c r="AF17">
        <v>8</v>
      </c>
      <c r="AI17" s="9">
        <v>0</v>
      </c>
      <c r="AJ17" s="14" t="str">
        <f>CONCATENATE(VLOOKUP(AK17, 'Voxel Sizes'!$A$2:$B$18,2,FALSE),"x",INT(AG17*15), "x", INT(AH17*15))</f>
        <v>82x0x0</v>
      </c>
      <c r="AK17" s="14">
        <f t="shared" si="59"/>
        <v>5</v>
      </c>
      <c r="AL17" t="s">
        <v>446</v>
      </c>
      <c r="AM17" s="14" t="str">
        <f>CONCATENATE(VLOOKUP(AK17,Constants!$A$2:$C$16,IF(AL17&lt;&gt;"", 3, 2), FALSE),IF(AL17&lt;&gt;"",CONCATENATE(",",VLOOKUP(AL17,$B:$AM,38,FALSE)),""))</f>
        <v>2,1,2,1,2,1</v>
      </c>
      <c r="AW17">
        <v>30</v>
      </c>
      <c r="AX17" s="14">
        <f>IF(K17&lt;&gt;"",MAX(16,(K17-I17)+8),"")</f>
        <v>38</v>
      </c>
      <c r="BA17" s="16">
        <f t="shared" ref="BA17:BA26" si="71">MIN(AA17/150, 1)*30</f>
        <v>10</v>
      </c>
      <c r="BB17" s="16">
        <f t="shared" ref="BB17:BB26" si="72">MIN(M17/4000, 1)*20</f>
        <v>1.1000000000000001</v>
      </c>
      <c r="BC17" s="16">
        <f t="shared" ref="BC17:BC26" si="73">MIN(Y17/400,1)*20</f>
        <v>0.8</v>
      </c>
      <c r="BD17" s="17">
        <f t="shared" ref="BD17:BD26" si="74">1-(MAX(I17-1900, 0)/750)</f>
        <v>1</v>
      </c>
      <c r="BE17" s="16">
        <f t="shared" ref="BE17:BE26" si="75">((MAX($L17,1)*MIN($AI17/300,1)))*IF(F17="Wagon",50,10)</f>
        <v>0</v>
      </c>
      <c r="BF17" s="16">
        <f>VLOOKUP($G17,Constants!$I:$K, 2, FALSE)</f>
        <v>1.1499999999999999</v>
      </c>
      <c r="BG17" s="16">
        <f>VLOOKUP($G17,Constants!$I:$K, 3, FALSE)*IF(AND(F17="multiple_unit",AA17&lt;110),0.75,1)</f>
        <v>1.7</v>
      </c>
      <c r="BH17" s="16">
        <f>INT(POWER(((Constants!$G$2+$BA17+$BB17+$BC17+$BE17)*$BD17)*$BG17, 1.05))+$AZ17</f>
        <v>33</v>
      </c>
      <c r="BI17" s="16">
        <f>INT(POWER((((Constants!$G$1+$BA17+$BB17+$BC17+$BE17)*($BD17))*$BF17),IF($F17="wagon",1,1.2)))+$AY17</f>
        <v>61</v>
      </c>
      <c r="BJ17" s="19">
        <f t="shared" ref="BJ17:BJ26" si="76">BH17*IF($F17="wagon",62.5,781.25)</f>
        <v>25781.25</v>
      </c>
      <c r="BK17" s="19">
        <f t="shared" ref="BK17:BK26" si="77">BI17*IF($F17="wagon",2.73,81.25)</f>
        <v>4956.25</v>
      </c>
      <c r="BT17">
        <v>3</v>
      </c>
      <c r="BX17" t="s">
        <v>52</v>
      </c>
      <c r="BY17" t="s">
        <v>63</v>
      </c>
      <c r="BZ17" t="str">
        <f>CONCATENATE(BX17,"_",BY17)</f>
        <v>early_Express</v>
      </c>
      <c r="CA17" t="str">
        <f>_xlfn.CONCAT(G17, "_",H17)</f>
        <v>steam_RAIL</v>
      </c>
      <c r="CB17" t="s">
        <v>448</v>
      </c>
      <c r="CC17" s="22" t="str">
        <f t="shared" si="12"/>
        <v/>
      </c>
      <c r="CD17" t="s">
        <v>443</v>
      </c>
      <c r="CE17" s="22" t="str">
        <f t="shared" si="13"/>
        <v/>
      </c>
      <c r="CF17" s="22" t="str">
        <f t="shared" si="68"/>
        <v>{BLACK}Powered by: {GOLD}Steam {}{SILVER}The first GWR Star class was typical of a 2-2-2 "single" passenger locomotive. They were given common names of stars, such as "Dog Star" and "Shooting Star"</v>
      </c>
    </row>
    <row r="18" spans="1:84" ht="13.95" customHeight="1" x14ac:dyDescent="0.3">
      <c r="A18" t="s">
        <v>457</v>
      </c>
      <c r="B18" t="s">
        <v>417</v>
      </c>
      <c r="C18">
        <v>461</v>
      </c>
      <c r="D18">
        <v>3</v>
      </c>
      <c r="E18" t="s">
        <v>493</v>
      </c>
      <c r="F18" t="s">
        <v>236</v>
      </c>
      <c r="G18" t="s">
        <v>25</v>
      </c>
      <c r="H18" t="s">
        <v>28</v>
      </c>
      <c r="I18">
        <v>1847</v>
      </c>
      <c r="K18">
        <v>1884</v>
      </c>
      <c r="M18">
        <v>400</v>
      </c>
      <c r="O18" s="5">
        <v>21</v>
      </c>
      <c r="P18" s="5">
        <v>26</v>
      </c>
      <c r="Q18" s="5">
        <v>2</v>
      </c>
      <c r="R18" s="5">
        <v>115</v>
      </c>
      <c r="S18" s="12">
        <f t="shared" si="69"/>
        <v>140.48862260580884</v>
      </c>
      <c r="T18" s="5">
        <v>2.4300000000000002</v>
      </c>
      <c r="U18" s="5">
        <f t="shared" si="70"/>
        <v>668.009960718294</v>
      </c>
      <c r="V18">
        <v>42</v>
      </c>
      <c r="Y18">
        <v>35</v>
      </c>
      <c r="Z18" s="3">
        <f>IF(AND(V18&gt;0,Y18&gt;0),(Y18/((V18+W18)*10)),"")</f>
        <v>8.3333333333333329E-2</v>
      </c>
      <c r="AA18">
        <v>78</v>
      </c>
      <c r="AB18">
        <f t="shared" si="42"/>
        <v>125</v>
      </c>
      <c r="AE18">
        <v>9</v>
      </c>
      <c r="AF18">
        <v>9</v>
      </c>
      <c r="AI18" s="9">
        <v>0</v>
      </c>
      <c r="AJ18" s="14" t="str">
        <f>CONCATENATE(VLOOKUP(AK18, 'Voxel Sizes'!$A$2:$B$18,2,FALSE),"x",INT(AG18*15), "x", INT(AH18*15))</f>
        <v>82x0x0</v>
      </c>
      <c r="AK18" s="14">
        <f t="shared" ref="AK18" si="78">ROUND(15*((AF18*10)/256),0)</f>
        <v>5</v>
      </c>
      <c r="AL18" t="s">
        <v>456</v>
      </c>
      <c r="AM18" s="14" t="str">
        <f>CONCATENATE(VLOOKUP(AK18,Constants!$A$2:$C$16,IF(AL18&lt;&gt;"", 3, 2), FALSE),IF(AL18&lt;&gt;"",CONCATENATE(",",VLOOKUP(AL18,$B:$AM,38,FALSE)),""))</f>
        <v>2,1,2,1,2,1</v>
      </c>
      <c r="AW18">
        <v>31</v>
      </c>
      <c r="AX18" s="14">
        <f>IF(K18&lt;&gt;"",MAX(16,(K18-I18)+8),"")</f>
        <v>45</v>
      </c>
      <c r="AY18">
        <v>15</v>
      </c>
      <c r="AZ18">
        <v>20</v>
      </c>
      <c r="BA18" s="16">
        <f t="shared" si="71"/>
        <v>15.600000000000001</v>
      </c>
      <c r="BB18" s="16">
        <f t="shared" si="72"/>
        <v>2</v>
      </c>
      <c r="BC18" s="16">
        <f t="shared" si="73"/>
        <v>1.75</v>
      </c>
      <c r="BD18" s="17">
        <f t="shared" si="74"/>
        <v>1</v>
      </c>
      <c r="BE18" s="16">
        <f t="shared" si="75"/>
        <v>0</v>
      </c>
      <c r="BF18" s="16">
        <f>VLOOKUP($G18,Constants!$I:$K, 2, FALSE)</f>
        <v>1.1499999999999999</v>
      </c>
      <c r="BG18" s="16">
        <f>VLOOKUP($G18,Constants!$I:$K, 3, FALSE)*IF(AND(F18="multiple_unit",AA18&lt;110),0.75,1)</f>
        <v>1.7</v>
      </c>
      <c r="BH18" s="16">
        <f>INT(POWER(((Constants!$G$2+$BA18+$BB18+$BC18+$BE18)*$BD18)*$BG18, 1.05))+$AZ18</f>
        <v>69</v>
      </c>
      <c r="BI18" s="16">
        <f>INT(POWER((((Constants!$G$1+$BA18+$BB18+$BC18+$BE18)*($BD18))*$BF18),IF($F18="wagon",1,1.2)))+$AY18</f>
        <v>97</v>
      </c>
      <c r="BJ18" s="19">
        <f t="shared" si="76"/>
        <v>53906.25</v>
      </c>
      <c r="BK18" s="19">
        <f t="shared" si="77"/>
        <v>7881.25</v>
      </c>
      <c r="BT18">
        <v>7</v>
      </c>
      <c r="BX18" t="s">
        <v>52</v>
      </c>
      <c r="BY18" t="s">
        <v>63</v>
      </c>
      <c r="BZ18" t="str">
        <f>CONCATENATE(BX18,"_",BY18)</f>
        <v>early_Express</v>
      </c>
      <c r="CA18" t="str">
        <f>_xlfn.CONCAT(G18, "_",H18)</f>
        <v>steam_RAIL</v>
      </c>
      <c r="CB18" t="s">
        <v>448</v>
      </c>
      <c r="CC18" s="22" t="str">
        <f t="shared" si="12"/>
        <v/>
      </c>
      <c r="CD18" t="s">
        <v>454</v>
      </c>
      <c r="CE18" s="22" t="str">
        <f t="shared" si="13"/>
        <v/>
      </c>
      <c r="CF18" s="22" t="str">
        <f t="shared" si="68"/>
        <v>{BLACK}Powered by: {GOLD}Steam {}{SILVER}The Iron Duke class was powerful and very fast for its time. Although both leading axles were rigidly mounted, the wide curves and broad gauge of the GWR's track made this less of a problem.</v>
      </c>
    </row>
    <row r="19" spans="1:84" x14ac:dyDescent="0.3">
      <c r="A19" t="s">
        <v>402</v>
      </c>
      <c r="B19" t="s">
        <v>404</v>
      </c>
      <c r="C19">
        <v>661</v>
      </c>
      <c r="D19">
        <v>4</v>
      </c>
      <c r="E19" t="s">
        <v>493</v>
      </c>
      <c r="F19" t="s">
        <v>236</v>
      </c>
      <c r="G19" t="s">
        <v>25</v>
      </c>
      <c r="H19" t="s">
        <v>28</v>
      </c>
      <c r="I19">
        <v>1866</v>
      </c>
      <c r="K19">
        <v>1947</v>
      </c>
      <c r="M19">
        <v>500</v>
      </c>
      <c r="O19" s="5">
        <v>17</v>
      </c>
      <c r="P19" s="5">
        <v>24</v>
      </c>
      <c r="Q19" s="5">
        <v>2</v>
      </c>
      <c r="R19" s="5">
        <v>140</v>
      </c>
      <c r="S19" s="12">
        <f t="shared" si="69"/>
        <v>150.36440844437786</v>
      </c>
      <c r="T19" s="5">
        <v>1.8919999999999999</v>
      </c>
      <c r="U19" s="5">
        <f t="shared" si="70"/>
        <v>526.51915561535009</v>
      </c>
      <c r="V19">
        <v>38</v>
      </c>
      <c r="W19" s="7">
        <v>30</v>
      </c>
      <c r="X19">
        <v>5</v>
      </c>
      <c r="Y19">
        <v>50</v>
      </c>
      <c r="Z19" s="3">
        <f t="shared" si="43"/>
        <v>7.3529411764705885E-2</v>
      </c>
      <c r="AA19">
        <v>65</v>
      </c>
      <c r="AB19">
        <f t="shared" si="42"/>
        <v>104</v>
      </c>
      <c r="AE19">
        <v>10</v>
      </c>
      <c r="AF19">
        <v>10</v>
      </c>
      <c r="AJ19" s="14" t="str">
        <f>CONCATENATE(VLOOKUP(AK19, 'Voxel Sizes'!$A$2:$B$18,2,FALSE),"x",INT(AG19*15), "x", INT(AH19*15))</f>
        <v>102x0x0</v>
      </c>
      <c r="AK19" s="14">
        <f t="shared" si="44"/>
        <v>6</v>
      </c>
      <c r="AL19" t="s">
        <v>406</v>
      </c>
      <c r="AM19" s="14" t="str">
        <f>CONCATENATE(VLOOKUP(AK19,Constants!$A$2:$C$16,IF(AL19&lt;&gt;"", 3, 2), FALSE),IF(AL19&lt;&gt;"",CONCATENATE(",",VLOOKUP(AL19,$B:$AM,38,FALSE)),""))</f>
        <v>2,2,2,2,1,2</v>
      </c>
      <c r="AU19">
        <v>1</v>
      </c>
      <c r="AW19">
        <v>34</v>
      </c>
      <c r="AX19" s="14">
        <f t="shared" si="45"/>
        <v>89</v>
      </c>
      <c r="BA19" s="16">
        <f t="shared" si="71"/>
        <v>13</v>
      </c>
      <c r="BB19" s="16">
        <f t="shared" si="72"/>
        <v>2.5</v>
      </c>
      <c r="BC19" s="16">
        <f t="shared" si="73"/>
        <v>2.5</v>
      </c>
      <c r="BD19" s="17">
        <f t="shared" si="74"/>
        <v>1</v>
      </c>
      <c r="BE19" s="16">
        <f t="shared" si="75"/>
        <v>0</v>
      </c>
      <c r="BF19" s="16">
        <f>VLOOKUP($G19,Constants!$I:$K, 2, FALSE)</f>
        <v>1.1499999999999999</v>
      </c>
      <c r="BG19" s="16">
        <f>VLOOKUP($G19,Constants!$I:$K, 3, FALSE)*IF(AND(F19="multiple_unit",AA19&lt;110),0.75,1)</f>
        <v>1.7</v>
      </c>
      <c r="BH19" s="16">
        <f>INT(POWER(((Constants!$G$2+$BA19+$BB19+$BC19+$BE19)*$BD19)*$BG19, 1.05))+$AZ19</f>
        <v>46</v>
      </c>
      <c r="BI19" s="16">
        <f>INT(POWER((((Constants!$G$1+$BA19+$BB19+$BC19+$BE19)*($BD19))*$BF19),IF($F19="wagon",1,1.2)))+$AY19</f>
        <v>78</v>
      </c>
      <c r="BJ19" s="19">
        <f t="shared" si="76"/>
        <v>35937.5</v>
      </c>
      <c r="BK19" s="19">
        <f t="shared" si="77"/>
        <v>6337.5</v>
      </c>
      <c r="BT19">
        <v>9</v>
      </c>
      <c r="BX19" s="22" t="str">
        <f>VLOOKUP(I19,Eras!$A$2:$C$10, 2, TRUE)</f>
        <v>vct</v>
      </c>
      <c r="BY19" t="s">
        <v>63</v>
      </c>
      <c r="BZ19" s="22" t="str">
        <f t="shared" si="53"/>
        <v>vct_Express</v>
      </c>
      <c r="CA19" s="22" t="str">
        <f t="shared" si="54"/>
        <v>steam_RAIL</v>
      </c>
      <c r="CB19" s="22" t="str">
        <f>VLOOKUP($CA19, Constants!$M:$N, 2, FALSE)</f>
        <v>{BLACK}Powered by: {GOLD}Steam</v>
      </c>
      <c r="CC19" s="22" t="str">
        <f t="shared" si="12"/>
        <v/>
      </c>
      <c r="CD19" t="s">
        <v>403</v>
      </c>
      <c r="CE19" s="22" t="str">
        <f t="shared" si="13"/>
        <v/>
      </c>
      <c r="CF19" s="22" t="str">
        <f t="shared" si="55"/>
        <v>{BLACK}Powered by: {GOLD}Steam {}{SILVER}The Midland 156 class had a long career. It started as an express engine but as power outputs and speeds on the mainline increased it was relegated to increasingly minor duties, ending up being used on small branch lines.</v>
      </c>
    </row>
    <row r="20" spans="1:84" x14ac:dyDescent="0.3">
      <c r="A20" t="s">
        <v>361</v>
      </c>
      <c r="B20" t="s">
        <v>362</v>
      </c>
      <c r="C20">
        <v>871</v>
      </c>
      <c r="D20">
        <v>5</v>
      </c>
      <c r="E20" t="s">
        <v>493</v>
      </c>
      <c r="F20" t="s">
        <v>236</v>
      </c>
      <c r="G20" t="s">
        <v>25</v>
      </c>
      <c r="H20" t="s">
        <v>28</v>
      </c>
      <c r="I20">
        <v>1870</v>
      </c>
      <c r="K20">
        <v>1916</v>
      </c>
      <c r="M20">
        <v>650</v>
      </c>
      <c r="O20" s="5">
        <v>18</v>
      </c>
      <c r="P20" s="5">
        <v>28</v>
      </c>
      <c r="Q20" s="5">
        <v>2</v>
      </c>
      <c r="R20" s="5">
        <v>140</v>
      </c>
      <c r="S20" s="12">
        <f t="shared" si="69"/>
        <v>151.22954450296965</v>
      </c>
      <c r="T20" s="5">
        <v>2.46</v>
      </c>
      <c r="U20" s="5">
        <f t="shared" si="70"/>
        <v>692.62749445676275</v>
      </c>
      <c r="V20">
        <v>40</v>
      </c>
      <c r="W20" s="7">
        <v>30</v>
      </c>
      <c r="X20">
        <v>5</v>
      </c>
      <c r="Y20">
        <v>50</v>
      </c>
      <c r="Z20" s="3">
        <f t="shared" si="43"/>
        <v>7.1428571428571425E-2</v>
      </c>
      <c r="AA20">
        <v>85</v>
      </c>
      <c r="AB20">
        <f t="shared" si="42"/>
        <v>136</v>
      </c>
      <c r="AE20">
        <v>15.4</v>
      </c>
      <c r="AF20">
        <v>12</v>
      </c>
      <c r="AJ20" s="14" t="str">
        <f>CONCATENATE(VLOOKUP(AK20, 'Voxel Sizes'!$A$2:$B$18,2,FALSE),"x",INT(AG20*15), "x", INT(AH20*15))</f>
        <v>120x0x0</v>
      </c>
      <c r="AK20" s="14">
        <f t="shared" si="44"/>
        <v>7</v>
      </c>
      <c r="AL20" t="s">
        <v>364</v>
      </c>
      <c r="AM20" s="14" t="str">
        <f>CONCATENATE(VLOOKUP(AK20,Constants!$A$2:$C$16,IF(AL20&lt;&gt;"", 3, 2), FALSE),IF(AL20&lt;&gt;"",CONCATENATE(",",VLOOKUP(AL20,$B:$AM,38,FALSE)),""))</f>
        <v>2,3,2,2,1,2</v>
      </c>
      <c r="AU20">
        <v>1</v>
      </c>
      <c r="AW20">
        <v>31</v>
      </c>
      <c r="AX20" s="14">
        <f t="shared" si="45"/>
        <v>54</v>
      </c>
      <c r="BA20" s="16">
        <f t="shared" si="71"/>
        <v>17</v>
      </c>
      <c r="BB20" s="16">
        <f t="shared" si="72"/>
        <v>3.25</v>
      </c>
      <c r="BC20" s="16">
        <f t="shared" si="73"/>
        <v>2.5</v>
      </c>
      <c r="BD20" s="17">
        <f t="shared" si="74"/>
        <v>1</v>
      </c>
      <c r="BE20" s="16">
        <f t="shared" si="75"/>
        <v>0</v>
      </c>
      <c r="BF20" s="16">
        <f>VLOOKUP($G20,Constants!$I:$K, 2, FALSE)</f>
        <v>1.1499999999999999</v>
      </c>
      <c r="BG20" s="16">
        <f>VLOOKUP($G20,Constants!$I:$K, 3, FALSE)*IF(AND(F20="multiple_unit",AA20&lt;110),0.75,1)</f>
        <v>1.7</v>
      </c>
      <c r="BH20" s="16">
        <f>INT(POWER(((Constants!$G$2+$BA20+$BB20+$BC20+$BE20)*$BD20)*$BG20, 1.05))+$AZ20</f>
        <v>57</v>
      </c>
      <c r="BI20" s="16">
        <f>INT(POWER((((Constants!$G$1+$BA20+$BB20+$BC20+$BE20)*($BD20))*$BF20),IF($F20="wagon",1,1.2)))+$AY20</f>
        <v>92</v>
      </c>
      <c r="BJ20" s="19">
        <f t="shared" si="76"/>
        <v>44531.25</v>
      </c>
      <c r="BK20" s="19">
        <f t="shared" si="77"/>
        <v>7475</v>
      </c>
      <c r="BT20">
        <v>4</v>
      </c>
      <c r="BX20" s="22" t="str">
        <f>VLOOKUP(I20,Eras!$A$2:$C$10, 2, TRUE)</f>
        <v>vct</v>
      </c>
      <c r="BY20" t="s">
        <v>63</v>
      </c>
      <c r="BZ20" s="22" t="str">
        <f t="shared" si="53"/>
        <v>vct_Express</v>
      </c>
      <c r="CA20" s="22" t="str">
        <f t="shared" si="54"/>
        <v>steam_RAIL</v>
      </c>
      <c r="CB20" s="22" t="str">
        <f>VLOOKUP($CA20, Constants!$M:$N, 2, FALSE)</f>
        <v>{BLACK}Powered by: {GOLD}Steam</v>
      </c>
      <c r="CC20" s="22" t="str">
        <f t="shared" si="12"/>
        <v/>
      </c>
      <c r="CD20" t="s">
        <v>365</v>
      </c>
      <c r="CE20" s="22" t="str">
        <f t="shared" si="13"/>
        <v/>
      </c>
      <c r="CF20" s="22" t="str">
        <f t="shared" si="55"/>
        <v>{BLACK}Powered by: {GOLD}Steam {}{SILVER}Patrick Stirling's "singles" (also known as "eight footers" due to the large driving wheels) were designed to haul heavy express trains.</v>
      </c>
    </row>
    <row r="21" spans="1:84" x14ac:dyDescent="0.3">
      <c r="A21" t="s">
        <v>367</v>
      </c>
      <c r="B21" t="s">
        <v>366</v>
      </c>
      <c r="C21">
        <v>981</v>
      </c>
      <c r="D21">
        <v>6</v>
      </c>
      <c r="E21" t="s">
        <v>493</v>
      </c>
      <c r="F21" t="s">
        <v>236</v>
      </c>
      <c r="G21" t="s">
        <v>25</v>
      </c>
      <c r="H21" t="s">
        <v>28</v>
      </c>
      <c r="I21">
        <v>1898</v>
      </c>
      <c r="K21">
        <v>1946</v>
      </c>
      <c r="M21">
        <v>950</v>
      </c>
      <c r="O21" s="5">
        <v>18.75</v>
      </c>
      <c r="P21" s="5">
        <v>24</v>
      </c>
      <c r="Q21" s="5">
        <v>2</v>
      </c>
      <c r="R21" s="5">
        <v>170</v>
      </c>
      <c r="S21" s="12">
        <f t="shared" si="69"/>
        <v>196.95424207622048</v>
      </c>
      <c r="T21" s="5">
        <v>2</v>
      </c>
      <c r="U21" s="5">
        <f t="shared" si="70"/>
        <v>1018.732244318182</v>
      </c>
      <c r="V21">
        <v>60</v>
      </c>
      <c r="W21" s="7">
        <v>30</v>
      </c>
      <c r="X21">
        <v>5</v>
      </c>
      <c r="Y21">
        <v>68</v>
      </c>
      <c r="Z21" s="3">
        <f t="shared" si="43"/>
        <v>7.5555555555555556E-2</v>
      </c>
      <c r="AA21">
        <v>90</v>
      </c>
      <c r="AB21">
        <f t="shared" si="42"/>
        <v>144</v>
      </c>
      <c r="AE21">
        <v>15.4</v>
      </c>
      <c r="AF21">
        <v>12</v>
      </c>
      <c r="AJ21" s="14" t="str">
        <f>CONCATENATE(VLOOKUP(AK21, 'Voxel Sizes'!$A$2:$B$18,2,FALSE),"x",INT(AG21*15), "x", INT(AH21*15))</f>
        <v>120x0x0</v>
      </c>
      <c r="AK21" s="14">
        <f t="shared" si="44"/>
        <v>7</v>
      </c>
      <c r="AL21" t="s">
        <v>364</v>
      </c>
      <c r="AM21" s="14" t="str">
        <f>CONCATENATE(VLOOKUP(AK21,Constants!$A$2:$C$16,IF(AL21&lt;&gt;"", 3, 2), FALSE),IF(AL21&lt;&gt;"",CONCATENATE(",",VLOOKUP(AL21,$B:$AM,38,FALSE)),""))</f>
        <v>2,3,2,2,1,2</v>
      </c>
      <c r="AU21">
        <v>1</v>
      </c>
      <c r="AW21">
        <v>29</v>
      </c>
      <c r="AX21" s="14">
        <f t="shared" si="45"/>
        <v>56</v>
      </c>
      <c r="BA21" s="16">
        <f t="shared" si="71"/>
        <v>18</v>
      </c>
      <c r="BB21" s="16">
        <f t="shared" si="72"/>
        <v>4.75</v>
      </c>
      <c r="BC21" s="16">
        <f t="shared" si="73"/>
        <v>3.4000000000000004</v>
      </c>
      <c r="BD21" s="17">
        <f t="shared" si="74"/>
        <v>1</v>
      </c>
      <c r="BE21" s="16">
        <f t="shared" si="75"/>
        <v>0</v>
      </c>
      <c r="BF21" s="16">
        <f>VLOOKUP($G21,Constants!$I:$K, 2, FALSE)</f>
        <v>1.1499999999999999</v>
      </c>
      <c r="BG21" s="16">
        <f>VLOOKUP($G21,Constants!$I:$K, 3, FALSE)*IF(AND(F21="multiple_unit",AA21&lt;110),0.75,1)</f>
        <v>1.7</v>
      </c>
      <c r="BH21" s="16">
        <f>INT(POWER(((Constants!$G$2+$BA21+$BB21+$BC21+$BE21)*$BD21)*$BG21, 1.05))+$AZ21</f>
        <v>64</v>
      </c>
      <c r="BI21" s="16">
        <f>INT(POWER((((Constants!$G$1+$BA21+$BB21+$BC21+$BE21)*($BD21))*$BF21),IF($F21="wagon",1,1.2)))+$AY21</f>
        <v>102</v>
      </c>
      <c r="BJ21" s="19">
        <f t="shared" si="76"/>
        <v>50000</v>
      </c>
      <c r="BK21" s="19">
        <f t="shared" si="77"/>
        <v>8287.5</v>
      </c>
      <c r="BT21">
        <v>3</v>
      </c>
      <c r="BX21" s="22" t="str">
        <f>VLOOKUP(I21,Eras!$A$2:$C$10, 2, TRUE)</f>
        <v>vct</v>
      </c>
      <c r="BY21" t="s">
        <v>63</v>
      </c>
      <c r="BZ21" s="22" t="str">
        <f t="shared" si="53"/>
        <v>vct_Express</v>
      </c>
      <c r="CA21" s="22" t="str">
        <f t="shared" si="54"/>
        <v>steam_RAIL</v>
      </c>
      <c r="CB21" s="22" t="str">
        <f>VLOOKUP($CA21, Constants!$M:$N, 2, FALSE)</f>
        <v>{BLACK}Powered by: {GOLD}Steam</v>
      </c>
      <c r="CC21" s="22" t="str">
        <f t="shared" si="12"/>
        <v/>
      </c>
      <c r="CD21" t="s">
        <v>368</v>
      </c>
      <c r="CE21" s="22" t="str">
        <f t="shared" si="13"/>
        <v/>
      </c>
      <c r="CF21" s="22" t="str">
        <f t="shared" si="55"/>
        <v>{BLACK}Powered by: {GOLD}Steam {}{SILVER}Henry Ivatt introduced the 4-4-2 Atlantic type to the UK with this design, nicknamed "Klondyke" after the peak of the Klondike Gold Rush of the previous year.</v>
      </c>
    </row>
    <row r="22" spans="1:84" x14ac:dyDescent="0.3">
      <c r="A22" t="s">
        <v>418</v>
      </c>
      <c r="B22" t="s">
        <v>419</v>
      </c>
      <c r="C22">
        <v>180</v>
      </c>
      <c r="D22">
        <v>-1</v>
      </c>
      <c r="F22" t="s">
        <v>15</v>
      </c>
      <c r="G22" t="s">
        <v>25</v>
      </c>
      <c r="H22" t="s">
        <v>28</v>
      </c>
      <c r="I22">
        <v>1891</v>
      </c>
      <c r="K22">
        <v>1915</v>
      </c>
      <c r="M22">
        <v>800</v>
      </c>
      <c r="S22" s="12"/>
      <c r="V22">
        <v>46</v>
      </c>
      <c r="W22" s="7">
        <v>41</v>
      </c>
      <c r="Y22">
        <v>75</v>
      </c>
      <c r="Z22" s="3">
        <f>IF(AND(V22&gt;0,Y22&gt;0),(Y22/((V22+W22)*10)),"")</f>
        <v>8.6206896551724144E-2</v>
      </c>
      <c r="AA22">
        <v>80</v>
      </c>
      <c r="AB22">
        <f t="shared" si="42"/>
        <v>128</v>
      </c>
      <c r="AE22">
        <v>11</v>
      </c>
      <c r="AF22">
        <v>11</v>
      </c>
      <c r="AI22" s="9">
        <v>0</v>
      </c>
      <c r="AJ22" t="s">
        <v>451</v>
      </c>
      <c r="AK22">
        <f>ROUND(15*((AF22*10)/256),0)</f>
        <v>6</v>
      </c>
      <c r="AL22" t="s">
        <v>420</v>
      </c>
      <c r="AM22" s="14" t="e">
        <f>CONCATENATE(VLOOKUP(AK22,Constants!$A$2:$C$16,IF(AL22&lt;&gt;"", 3, 2), FALSE),IF(AL22&lt;&gt;"",CONCATENATE(",",VLOOKUP(AL22,$B:$AM,38,FALSE)),""))</f>
        <v>#N/A</v>
      </c>
      <c r="AW22">
        <v>24</v>
      </c>
      <c r="AX22" s="14">
        <f>IF(K22&lt;&gt;"",MAX(16,(K22-I22)+8),"")</f>
        <v>32</v>
      </c>
      <c r="BA22" s="16">
        <f t="shared" si="71"/>
        <v>16</v>
      </c>
      <c r="BB22" s="16">
        <f t="shared" si="72"/>
        <v>4</v>
      </c>
      <c r="BC22" s="16">
        <f t="shared" si="73"/>
        <v>3.75</v>
      </c>
      <c r="BD22" s="17">
        <f t="shared" si="74"/>
        <v>1</v>
      </c>
      <c r="BE22" s="16">
        <f t="shared" si="75"/>
        <v>0</v>
      </c>
      <c r="BF22" s="16">
        <f>VLOOKUP($G22,Constants!$I:$K, 2, FALSE)</f>
        <v>1.1499999999999999</v>
      </c>
      <c r="BG22" s="16">
        <f>VLOOKUP($G22,Constants!$I:$K, 3, FALSE)*IF(AND(F22="multiple_unit",AA22&lt;110),0.75,1)</f>
        <v>1.7</v>
      </c>
      <c r="BH22" s="16">
        <f>INT(POWER(((Constants!$G$2+$BA22+$BB22+$BC22+$BE22)*$BD22)*$BG22, 1.05))+$AZ22</f>
        <v>59</v>
      </c>
      <c r="BI22" s="16">
        <f>INT(POWER((((Constants!$G$1+$BA22+$BB22+$BC22+$BE22)*($BD22))*$BF22),IF($F22="wagon",1,1.2)))+$AY22</f>
        <v>95</v>
      </c>
      <c r="BJ22" s="19">
        <f t="shared" si="76"/>
        <v>46093.75</v>
      </c>
      <c r="BK22" s="19">
        <f t="shared" si="77"/>
        <v>7718.75</v>
      </c>
      <c r="BT22">
        <v>5</v>
      </c>
      <c r="BX22" t="s">
        <v>94</v>
      </c>
      <c r="BY22" t="s">
        <v>63</v>
      </c>
      <c r="BZ22" t="str">
        <f>CONCATENATE(BX22,"_",BY22)</f>
        <v>vct_Express</v>
      </c>
      <c r="CA22" t="str">
        <f>_xlfn.CONCAT(G22, "_",H22)</f>
        <v>steam_RAIL</v>
      </c>
      <c r="CB22" t="s">
        <v>448</v>
      </c>
      <c r="CC22" s="22" t="str">
        <f t="shared" si="12"/>
        <v/>
      </c>
      <c r="CD22" t="s">
        <v>421</v>
      </c>
      <c r="CE22" s="22" t="str">
        <f t="shared" si="13"/>
        <v/>
      </c>
      <c r="CF22" s="22" t="str">
        <f t="shared" ref="CF22:CF24" si="79">_xlfn.CONCAT(CB22,IF(CB22 &lt;&gt; "", " ", ""),CC22,IF(OR(CC22&lt;&gt;"", CB22&lt;&gt;""), "{}",""), CE22,"{SILVER}", CD22)</f>
        <v>{BLACK}Powered by: {GOLD}Steam {}{SILVER}William Dean's 3001 class was the last of the GWR's 2-2-2 singles. They were rebuilt early on with a 4-2-2 layout to prevent derailments caused by the heavy front axle load.</v>
      </c>
    </row>
    <row r="23" spans="1:84" x14ac:dyDescent="0.3">
      <c r="A23" t="s">
        <v>237</v>
      </c>
      <c r="B23" t="s">
        <v>238</v>
      </c>
      <c r="C23">
        <v>991</v>
      </c>
      <c r="D23">
        <v>7</v>
      </c>
      <c r="E23" t="s">
        <v>493</v>
      </c>
      <c r="F23" t="s">
        <v>236</v>
      </c>
      <c r="G23" t="s">
        <v>25</v>
      </c>
      <c r="H23" t="s">
        <v>28</v>
      </c>
      <c r="I23">
        <v>1899</v>
      </c>
      <c r="K23">
        <v>1933</v>
      </c>
      <c r="M23">
        <v>180</v>
      </c>
      <c r="O23" s="5">
        <v>11.5</v>
      </c>
      <c r="P23" s="5">
        <v>18</v>
      </c>
      <c r="Q23" s="5">
        <v>2</v>
      </c>
      <c r="R23" s="5">
        <v>175</v>
      </c>
      <c r="S23" s="12">
        <f t="shared" si="69"/>
        <v>128.72826279491534</v>
      </c>
      <c r="T23" s="5">
        <v>1.7</v>
      </c>
      <c r="U23" s="5">
        <f t="shared" si="70"/>
        <v>193.38026403743311</v>
      </c>
      <c r="V23">
        <v>38</v>
      </c>
      <c r="X23">
        <v>5</v>
      </c>
      <c r="Y23">
        <v>24</v>
      </c>
      <c r="Z23" s="3">
        <f t="shared" si="43"/>
        <v>6.3157894736842107E-2</v>
      </c>
      <c r="AA23">
        <v>50</v>
      </c>
      <c r="AB23">
        <f t="shared" si="42"/>
        <v>80</v>
      </c>
      <c r="AE23">
        <v>10.9</v>
      </c>
      <c r="AF23">
        <v>12</v>
      </c>
      <c r="AI23" s="9">
        <v>12</v>
      </c>
      <c r="AJ23" s="14" t="str">
        <f>CONCATENATE(VLOOKUP(AK23, 'Voxel Sizes'!$A$2:$B$18,2,FALSE),"x",INT(AG23*15), "x", INT(AH23*15))</f>
        <v>120x0x0</v>
      </c>
      <c r="AK23" s="14">
        <f t="shared" si="44"/>
        <v>7</v>
      </c>
      <c r="AM23" s="14" t="str">
        <f>CONCATENATE(VLOOKUP(AK23,Constants!$A$2:$C$16,IF(AL23&lt;&gt;"", 3, 2), FALSE),IF(AL23&lt;&gt;"",CONCATENATE(",",VLOOKUP(AL23,$B:$AM,38,FALSE)),""))</f>
        <v>2,3,2</v>
      </c>
      <c r="AU23">
        <v>1</v>
      </c>
      <c r="AW23">
        <v>26</v>
      </c>
      <c r="AX23" s="14">
        <f t="shared" si="45"/>
        <v>42</v>
      </c>
      <c r="AY23">
        <v>-14</v>
      </c>
      <c r="AZ23">
        <v>-4</v>
      </c>
      <c r="BA23" s="16">
        <f t="shared" si="71"/>
        <v>10</v>
      </c>
      <c r="BB23" s="16">
        <f t="shared" si="72"/>
        <v>0.89999999999999991</v>
      </c>
      <c r="BC23" s="16">
        <f t="shared" si="73"/>
        <v>1.2</v>
      </c>
      <c r="BD23" s="17">
        <f t="shared" si="74"/>
        <v>1</v>
      </c>
      <c r="BE23" s="16">
        <f t="shared" si="75"/>
        <v>0.4</v>
      </c>
      <c r="BF23" s="16">
        <f>VLOOKUP($G23,Constants!$I:$K, 2, FALSE)</f>
        <v>1.1499999999999999</v>
      </c>
      <c r="BG23" s="16">
        <f>VLOOKUP($G23,Constants!$I:$K, 3, FALSE)*IF(AND(F23="multiple_unit",AA23&lt;110),0.75,1)</f>
        <v>1.7</v>
      </c>
      <c r="BH23" s="16">
        <f>INT(POWER(((Constants!$G$2+$BA23+$BB23+$BC23+$BE23)*$BD23)*$BG23, 1.05))+$AZ23</f>
        <v>31</v>
      </c>
      <c r="BI23" s="16">
        <f>INT(POWER((((Constants!$G$1+$BA23+$BB23+$BC23+$BE23)*($BD23))*$BF23),IF($F23="wagon",1,1.2)))+$AY23</f>
        <v>49</v>
      </c>
      <c r="BJ23" s="19">
        <f t="shared" si="76"/>
        <v>24218.75</v>
      </c>
      <c r="BK23" s="19">
        <f t="shared" si="77"/>
        <v>3981.25</v>
      </c>
      <c r="BT23">
        <v>4</v>
      </c>
      <c r="BV23" t="s">
        <v>142</v>
      </c>
      <c r="BW23" t="s">
        <v>34</v>
      </c>
      <c r="BX23" s="22" t="str">
        <f>VLOOKUP(I23,Eras!$A$2:$C$10, 2, TRUE)</f>
        <v>vct</v>
      </c>
      <c r="BY23" t="s">
        <v>61</v>
      </c>
      <c r="BZ23" s="22" t="str">
        <f t="shared" si="53"/>
        <v>vct_Cheap</v>
      </c>
      <c r="CA23" s="22" t="str">
        <f t="shared" si="54"/>
        <v>steam_RAIL</v>
      </c>
      <c r="CB23" s="22" t="str">
        <f>VLOOKUP($CA23, Constants!$M:$N, 2, FALSE)</f>
        <v>{BLACK}Powered by: {GOLD}Steam</v>
      </c>
      <c r="CC23" s="22" t="str">
        <f t="shared" si="12"/>
        <v/>
      </c>
      <c r="CD23" t="s">
        <v>239</v>
      </c>
      <c r="CE23" s="22" t="str">
        <f t="shared" si="13"/>
        <v/>
      </c>
      <c r="CF23" s="22" t="str">
        <f t="shared" si="79"/>
        <v>{BLACK}Powered by: {GOLD}Steam {}{SILVER}The F9 was Dugald Drummond's personal locomotive, allowing him to travel across the LSWR for inspections. After Drummond it only saw occasional use at Southampton Docks.</v>
      </c>
    </row>
    <row r="24" spans="1:84" x14ac:dyDescent="0.3">
      <c r="A24" t="s">
        <v>422</v>
      </c>
      <c r="B24" t="s">
        <v>423</v>
      </c>
      <c r="C24">
        <v>992</v>
      </c>
      <c r="D24">
        <v>-1</v>
      </c>
      <c r="F24" t="s">
        <v>15</v>
      </c>
      <c r="G24" t="s">
        <v>25</v>
      </c>
      <c r="H24" t="s">
        <v>28</v>
      </c>
      <c r="I24">
        <v>1899</v>
      </c>
      <c r="Z24" s="3" t="str">
        <f>IF(AND(V24&gt;0,Y24&gt;0),(Y24/((V24+W24)*10)),"")</f>
        <v/>
      </c>
      <c r="AB24">
        <f t="shared" si="42"/>
        <v>0</v>
      </c>
      <c r="AI24" s="9">
        <v>0</v>
      </c>
      <c r="AJ24" t="s">
        <v>452</v>
      </c>
      <c r="AK24">
        <f>ROUND(15*((AF24*10)/256),0)</f>
        <v>0</v>
      </c>
      <c r="AM24" s="14" t="str">
        <f>CONCATENATE(VLOOKUP(AK24,Constants!$A$2:$C$16,IF(AL24&lt;&gt;"", 3, 2), FALSE),IF(AL24&lt;&gt;"",CONCATENATE(",",VLOOKUP(AL24,$B:$AM,38,FALSE)),""))</f>
        <v>na</v>
      </c>
      <c r="AW24">
        <v>30</v>
      </c>
      <c r="AX24" s="14" t="str">
        <f>IF(K24&lt;&gt;"",MAX(16,(K24-I24)+8),"")</f>
        <v/>
      </c>
      <c r="BA24" s="16">
        <f t="shared" si="71"/>
        <v>0</v>
      </c>
      <c r="BB24" s="16">
        <f t="shared" si="72"/>
        <v>0</v>
      </c>
      <c r="BC24" s="16">
        <f t="shared" si="73"/>
        <v>0</v>
      </c>
      <c r="BD24" s="17">
        <f t="shared" si="74"/>
        <v>1</v>
      </c>
      <c r="BE24" s="16">
        <f t="shared" si="75"/>
        <v>0</v>
      </c>
      <c r="BF24" s="16">
        <f>VLOOKUP($G24,Constants!$I:$K, 2, FALSE)</f>
        <v>1.1499999999999999</v>
      </c>
      <c r="BG24" s="16">
        <f>VLOOKUP($G24,Constants!$I:$K, 3, FALSE)*IF(AND(F24="multiple_unit",AA24&lt;110),0.75,1)</f>
        <v>1.7</v>
      </c>
      <c r="BH24" s="16">
        <f>INT(POWER(((Constants!$G$2+$BA24+$BB24+$BC24+$BE24)*$BD24)*$BG24, 1.05))+$AZ24</f>
        <v>9</v>
      </c>
      <c r="BI24" s="16">
        <f>INT(POWER((((Constants!$G$1+$BA24+$BB24+$BC24+$BE24)*($BD24))*$BF24),IF($F24="wagon",1,1.2)))+$AY24</f>
        <v>30</v>
      </c>
      <c r="BJ24" s="19">
        <f t="shared" si="76"/>
        <v>7031.25</v>
      </c>
      <c r="BK24" s="19">
        <f t="shared" si="77"/>
        <v>2437.5</v>
      </c>
      <c r="BT24">
        <v>8</v>
      </c>
      <c r="BX24" t="s">
        <v>94</v>
      </c>
      <c r="BZ24" t="str">
        <f>CONCATENATE(BX24,"_",BY24)</f>
        <v>vct_</v>
      </c>
      <c r="CA24" t="str">
        <f>_xlfn.CONCAT(G24, "_",H24)</f>
        <v>steam_RAIL</v>
      </c>
      <c r="CB24" t="s">
        <v>448</v>
      </c>
      <c r="CC24" s="22" t="str">
        <f t="shared" si="12"/>
        <v/>
      </c>
      <c r="CE24" s="22" t="str">
        <f t="shared" si="13"/>
        <v/>
      </c>
      <c r="CF24" s="22" t="str">
        <f t="shared" si="79"/>
        <v>{BLACK}Powered by: {GOLD}Steam {}{SILVER}</v>
      </c>
    </row>
    <row r="25" spans="1:84" x14ac:dyDescent="0.3">
      <c r="A25" t="s">
        <v>376</v>
      </c>
      <c r="B25" t="s">
        <v>377</v>
      </c>
      <c r="C25">
        <v>1021</v>
      </c>
      <c r="D25">
        <v>8</v>
      </c>
      <c r="E25" t="s">
        <v>493</v>
      </c>
      <c r="F25" t="s">
        <v>236</v>
      </c>
      <c r="G25" t="s">
        <v>25</v>
      </c>
      <c r="H25" t="s">
        <v>28</v>
      </c>
      <c r="I25">
        <v>1902</v>
      </c>
      <c r="K25">
        <v>1924</v>
      </c>
      <c r="M25">
        <v>1000</v>
      </c>
      <c r="O25" s="5">
        <v>18.5</v>
      </c>
      <c r="P25" s="5">
        <v>24</v>
      </c>
      <c r="Q25" s="5">
        <v>3</v>
      </c>
      <c r="R25" s="5">
        <v>200</v>
      </c>
      <c r="S25" s="12">
        <f t="shared" si="69"/>
        <v>111.81506038390457</v>
      </c>
      <c r="T25" s="5">
        <v>1.37</v>
      </c>
      <c r="U25" s="5">
        <f t="shared" si="70"/>
        <v>993.59240212342422</v>
      </c>
      <c r="V25">
        <v>81</v>
      </c>
      <c r="X25">
        <v>5</v>
      </c>
      <c r="Y25">
        <v>173</v>
      </c>
      <c r="Z25" s="3">
        <f t="shared" si="43"/>
        <v>0.21358024691358024</v>
      </c>
      <c r="AA25">
        <v>35</v>
      </c>
      <c r="AB25">
        <f t="shared" si="42"/>
        <v>56</v>
      </c>
      <c r="AE25">
        <v>12</v>
      </c>
      <c r="AF25">
        <v>12</v>
      </c>
      <c r="AJ25" s="14" t="str">
        <f>CONCATENATE(VLOOKUP(AK25, 'Voxel Sizes'!$A$2:$B$18,2,FALSE),"x",INT(AG25*15), "x", INT(AH25*15))</f>
        <v>120x0x0</v>
      </c>
      <c r="AK25" s="14">
        <f t="shared" si="44"/>
        <v>7</v>
      </c>
      <c r="AM25" s="14" t="str">
        <f>CONCATENATE(VLOOKUP(AK25,Constants!$A$2:$C$16,IF(AL25&lt;&gt;"", 3, 2), FALSE),IF(AL25&lt;&gt;"",CONCATENATE(",",VLOOKUP(AL25,$B:$AM,38,FALSE)),""))</f>
        <v>2,3,2</v>
      </c>
      <c r="AU25">
        <v>1</v>
      </c>
      <c r="AW25">
        <v>18</v>
      </c>
      <c r="AX25" s="14">
        <f t="shared" si="45"/>
        <v>30</v>
      </c>
      <c r="AY25">
        <v>4</v>
      </c>
      <c r="BA25" s="16">
        <f t="shared" si="71"/>
        <v>7</v>
      </c>
      <c r="BB25" s="16">
        <f t="shared" si="72"/>
        <v>5</v>
      </c>
      <c r="BC25" s="16">
        <f t="shared" si="73"/>
        <v>8.65</v>
      </c>
      <c r="BD25" s="17">
        <f t="shared" si="74"/>
        <v>0.99733333333333329</v>
      </c>
      <c r="BE25" s="16">
        <f t="shared" si="75"/>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89</v>
      </c>
      <c r="BJ25" s="19">
        <f t="shared" si="76"/>
        <v>40625</v>
      </c>
      <c r="BK25" s="19">
        <f t="shared" si="77"/>
        <v>7231.25</v>
      </c>
      <c r="BT25">
        <v>3</v>
      </c>
      <c r="BX25" s="22" t="str">
        <f>VLOOKUP(I25,Eras!$A$2:$C$10, 2, TRUE)</f>
        <v>edw</v>
      </c>
      <c r="BY25" t="s">
        <v>63</v>
      </c>
      <c r="BZ25" s="22" t="str">
        <f t="shared" si="53"/>
        <v>edw_Express</v>
      </c>
      <c r="CA25" s="22" t="str">
        <f t="shared" si="54"/>
        <v>steam_RAIL</v>
      </c>
      <c r="CB25" s="22" t="str">
        <f>VLOOKUP($CA25, Constants!$M:$N, 2, FALSE)</f>
        <v>{BLACK}Powered by: {GOLD}Steam</v>
      </c>
      <c r="CC25" s="22" t="str">
        <f t="shared" si="12"/>
        <v/>
      </c>
      <c r="CD25" t="s">
        <v>378</v>
      </c>
      <c r="CE25" s="22" t="str">
        <f t="shared" si="13"/>
        <v/>
      </c>
      <c r="CF25" s="22" t="str">
        <f t="shared" si="55"/>
        <v>{BLACK}Powered by: {GOLD}Steam {}{SILVER}GER's prototype Decapod was built to outperform low speed acceleration of electric locomotives, to prevent a rival electric railway being approved by Parliament.</v>
      </c>
    </row>
    <row r="26" spans="1:84" x14ac:dyDescent="0.3">
      <c r="A26" t="s">
        <v>379</v>
      </c>
      <c r="B26" t="s">
        <v>380</v>
      </c>
      <c r="C26">
        <v>1131</v>
      </c>
      <c r="D26">
        <v>9</v>
      </c>
      <c r="E26" t="s">
        <v>493</v>
      </c>
      <c r="F26" t="s">
        <v>236</v>
      </c>
      <c r="G26" t="s">
        <v>25</v>
      </c>
      <c r="H26" t="s">
        <v>28</v>
      </c>
      <c r="I26">
        <v>1913</v>
      </c>
      <c r="K26">
        <v>1949</v>
      </c>
      <c r="M26">
        <v>1600</v>
      </c>
      <c r="O26" s="5">
        <v>15.75</v>
      </c>
      <c r="P26" s="5">
        <v>26</v>
      </c>
      <c r="Q26" s="5">
        <v>4</v>
      </c>
      <c r="R26" s="5">
        <v>175</v>
      </c>
      <c r="S26" s="12">
        <f t="shared" si="69"/>
        <v>177.20544273524447</v>
      </c>
      <c r="T26" s="5">
        <v>2.0499999999999998</v>
      </c>
      <c r="U26" s="5">
        <f t="shared" si="70"/>
        <v>1442.4858820676277</v>
      </c>
      <c r="V26">
        <v>79</v>
      </c>
      <c r="W26" s="7">
        <v>35</v>
      </c>
      <c r="X26">
        <v>5</v>
      </c>
      <c r="Y26">
        <v>120</v>
      </c>
      <c r="Z26" s="3">
        <f t="shared" si="43"/>
        <v>0.10526315789473684</v>
      </c>
      <c r="AA26">
        <v>83</v>
      </c>
      <c r="AB26">
        <f t="shared" si="42"/>
        <v>133</v>
      </c>
      <c r="AE26">
        <v>12</v>
      </c>
      <c r="AF26">
        <v>12</v>
      </c>
      <c r="AJ26" s="14" t="str">
        <f>CONCATENATE(VLOOKUP(AK26, 'Voxel Sizes'!$A$2:$B$18,2,FALSE),"x",INT(AG26*15), "x", INT(AH26*15))</f>
        <v>120x0x0</v>
      </c>
      <c r="AK26" s="14">
        <f t="shared" si="44"/>
        <v>7</v>
      </c>
      <c r="AL26" t="s">
        <v>383</v>
      </c>
      <c r="AM26" s="14" t="str">
        <f>CONCATENATE(VLOOKUP(AK26,Constants!$A$2:$C$16,IF(AL26&lt;&gt;"", 3, 2), FALSE),IF(AL26&lt;&gt;"",CONCATENATE(",",VLOOKUP(AL26,$B:$AM,38,FALSE)),""))</f>
        <v>2,3,2,2,1,2</v>
      </c>
      <c r="AU26">
        <v>1</v>
      </c>
      <c r="AW26">
        <v>26</v>
      </c>
      <c r="AX26" s="14">
        <f t="shared" si="45"/>
        <v>44</v>
      </c>
      <c r="AY26">
        <v>3</v>
      </c>
      <c r="BA26" s="16">
        <f t="shared" si="71"/>
        <v>16.600000000000001</v>
      </c>
      <c r="BB26" s="16">
        <f t="shared" si="72"/>
        <v>8</v>
      </c>
      <c r="BC26" s="16">
        <f t="shared" si="73"/>
        <v>6</v>
      </c>
      <c r="BD26" s="17">
        <f t="shared" si="74"/>
        <v>0.98266666666666669</v>
      </c>
      <c r="BE26" s="16">
        <f t="shared" si="75"/>
        <v>0</v>
      </c>
      <c r="BF26" s="16">
        <f>VLOOKUP($G26,Constants!$I:$K, 2, FALSE)</f>
        <v>1.1499999999999999</v>
      </c>
      <c r="BG26" s="16">
        <f>VLOOKUP($G26,Constants!$I:$K, 3, FALSE)*IF(AND(F26="multiple_unit",AA26&lt;110),0.75,1)</f>
        <v>1.7</v>
      </c>
      <c r="BH26" s="16">
        <f>INT(POWER(((Constants!$G$2+$BA26+$BB26+$BC26+$BE26)*$BD26)*$BG26, 1.05))+$AZ26</f>
        <v>72</v>
      </c>
      <c r="BI26" s="16">
        <f>INT(POWER((((Constants!$G$1+$BA26+$BB26+$BC26+$BE26)*($BD26))*$BF26),IF($F26="wagon",1,1.2)))+$AY26</f>
        <v>116</v>
      </c>
      <c r="BJ26" s="19">
        <f t="shared" si="76"/>
        <v>56250</v>
      </c>
      <c r="BK26" s="19">
        <f t="shared" si="77"/>
        <v>9425</v>
      </c>
      <c r="BT26">
        <v>3</v>
      </c>
      <c r="BX26" s="22" t="str">
        <f>VLOOKUP(I26,Eras!$A$2:$C$10, 2, TRUE)</f>
        <v>edw</v>
      </c>
      <c r="BY26" t="s">
        <v>63</v>
      </c>
      <c r="BZ26" s="22" t="str">
        <f t="shared" si="53"/>
        <v>edw_Express</v>
      </c>
      <c r="CA26" s="22" t="str">
        <f t="shared" si="54"/>
        <v>steam_RAIL</v>
      </c>
      <c r="CB26" s="22" t="str">
        <f>VLOOKUP($CA26, Constants!$M:$N, 2, FALSE)</f>
        <v>{BLACK}Powered by: {GOLD}Steam</v>
      </c>
      <c r="CC26" s="22" t="str">
        <f t="shared" si="12"/>
        <v/>
      </c>
      <c r="CD26" t="s">
        <v>381</v>
      </c>
      <c r="CE26" s="22" t="str">
        <f t="shared" si="13"/>
        <v/>
      </c>
      <c r="CF26" s="22" t="str">
        <f t="shared" si="55"/>
        <v>{BLACK}Powered by: {GOLD}Steam {}{SILVER}The Claughton Class, named after the LNWR's chairman at the time, was unfortunately compromised by the Crewe works being unable to build a large boiler.</v>
      </c>
    </row>
    <row r="27" spans="1:84" x14ac:dyDescent="0.3">
      <c r="A27" t="s">
        <v>384</v>
      </c>
      <c r="B27" t="s">
        <v>385</v>
      </c>
      <c r="C27">
        <v>1171</v>
      </c>
      <c r="D27">
        <v>10</v>
      </c>
      <c r="E27" t="s">
        <v>493</v>
      </c>
      <c r="F27" t="s">
        <v>236</v>
      </c>
      <c r="G27" t="s">
        <v>25</v>
      </c>
      <c r="H27" t="s">
        <v>28</v>
      </c>
      <c r="I27">
        <v>1917</v>
      </c>
      <c r="K27">
        <v>1949</v>
      </c>
      <c r="M27">
        <v>1650</v>
      </c>
      <c r="O27" s="5">
        <v>16</v>
      </c>
      <c r="P27" s="5">
        <v>26</v>
      </c>
      <c r="Q27" s="5">
        <v>4</v>
      </c>
      <c r="R27" s="5">
        <v>180</v>
      </c>
      <c r="S27" s="12">
        <f t="shared" si="69"/>
        <v>191.2177107536121</v>
      </c>
      <c r="T27" s="5">
        <v>2.06</v>
      </c>
      <c r="U27" s="5">
        <f t="shared" si="70"/>
        <v>1652.2506619593996</v>
      </c>
      <c r="V27">
        <v>86</v>
      </c>
      <c r="W27" s="7">
        <v>35</v>
      </c>
      <c r="X27">
        <v>5</v>
      </c>
      <c r="Y27">
        <v>112</v>
      </c>
      <c r="Z27" s="3">
        <f t="shared" si="43"/>
        <v>9.2561983471074374E-2</v>
      </c>
      <c r="AA27">
        <v>90</v>
      </c>
      <c r="AB27">
        <f t="shared" si="42"/>
        <v>144</v>
      </c>
      <c r="AE27">
        <v>12</v>
      </c>
      <c r="AF27">
        <v>12</v>
      </c>
      <c r="AJ27" s="14" t="str">
        <f>CONCATENATE(VLOOKUP(AK27, 'Voxel Sizes'!$A$2:$B$18,2,FALSE),"x",INT(AG27*15), "x", INT(AH27*15))</f>
        <v>120x0x0</v>
      </c>
      <c r="AK27" s="14">
        <f t="shared" si="44"/>
        <v>7</v>
      </c>
      <c r="AL27" t="s">
        <v>386</v>
      </c>
      <c r="AM27" s="14" t="str">
        <f>CONCATENATE(VLOOKUP(AK27,Constants!$A$2:$C$16,IF(AL27&lt;&gt;"", 3, 2), FALSE),IF(AL27&lt;&gt;"",CONCATENATE(",",VLOOKUP(AL27,$B:$AM,38,FALSE)),""))</f>
        <v>2,3,2,2,1,2</v>
      </c>
      <c r="AU27">
        <v>1</v>
      </c>
      <c r="AW27">
        <v>27</v>
      </c>
      <c r="AX27" s="14">
        <f t="shared" si="45"/>
        <v>40</v>
      </c>
      <c r="AY27">
        <v>7</v>
      </c>
      <c r="AZ27">
        <v>4</v>
      </c>
      <c r="BA27" s="16">
        <f t="shared" si="46"/>
        <v>18</v>
      </c>
      <c r="BB27" s="16">
        <f t="shared" si="47"/>
        <v>8.25</v>
      </c>
      <c r="BC27" s="16">
        <f t="shared" si="48"/>
        <v>5.6000000000000005</v>
      </c>
      <c r="BD27" s="17">
        <f t="shared" si="49"/>
        <v>0.97733333333333339</v>
      </c>
      <c r="BE27" s="16">
        <f t="shared" si="50"/>
        <v>0</v>
      </c>
      <c r="BF27" s="16">
        <f>VLOOKUP($G27,Constants!$I:$K, 2, FALSE)</f>
        <v>1.1499999999999999</v>
      </c>
      <c r="BG27" s="16">
        <f>VLOOKUP($G27,Constants!$I:$K, 3, FALSE)*IF(AND(F27="multiple_unit",AA27&lt;110),0.75,1)</f>
        <v>1.7</v>
      </c>
      <c r="BH27" s="16">
        <f>INT(POWER(((Constants!$G$2+$BA27+$BB27+$BC27+$BE27)*$BD27)*$BG27, 1.05))+$AZ27</f>
        <v>79</v>
      </c>
      <c r="BI27" s="16">
        <f>INT(POWER((((Constants!$G$1+$BA27+$BB27+$BC27+$BE27)*($BD27))*$BF27),IF($F27="wagon",1,1.2)))+$AY27</f>
        <v>123</v>
      </c>
      <c r="BJ27" s="19">
        <f t="shared" si="51"/>
        <v>61718.75</v>
      </c>
      <c r="BK27" s="19">
        <f t="shared" si="52"/>
        <v>9993.75</v>
      </c>
      <c r="BT27">
        <v>3</v>
      </c>
      <c r="BX27" s="22" t="str">
        <f>VLOOKUP(I27,Eras!$A$2:$C$10, 2, TRUE)</f>
        <v>edw</v>
      </c>
      <c r="BY27" t="s">
        <v>63</v>
      </c>
      <c r="BZ27" s="22" t="str">
        <f t="shared" si="53"/>
        <v>edw_Express</v>
      </c>
      <c r="CA27" s="22" t="str">
        <f t="shared" si="54"/>
        <v>steam_RAIL</v>
      </c>
      <c r="CB27" s="22" t="str">
        <f>VLOOKUP($CA27, Constants!$M:$N, 2, FALSE)</f>
        <v>{BLACK}Powered by: {GOLD}Steam</v>
      </c>
      <c r="CC27" s="22" t="str">
        <f t="shared" si="12"/>
        <v/>
      </c>
      <c r="CD27" t="s">
        <v>388</v>
      </c>
      <c r="CE27" s="22" t="str">
        <f t="shared" si="13"/>
        <v/>
      </c>
      <c r="CF27" s="22" t="str">
        <f t="shared" si="55"/>
        <v>{BLACK}Powered by: {GOLD}Steam {}{SILVER}Robinson's 9P was a four-cylinder express locotive introduced toward the end of his time at the GCR. Early versions suffered from high coal consumption due to narrow steam passages.</v>
      </c>
    </row>
    <row r="28" spans="1:84" x14ac:dyDescent="0.3">
      <c r="A28" t="s">
        <v>389</v>
      </c>
      <c r="B28" t="s">
        <v>390</v>
      </c>
      <c r="C28">
        <v>1211</v>
      </c>
      <c r="D28">
        <v>11</v>
      </c>
      <c r="E28" t="s">
        <v>493</v>
      </c>
      <c r="F28" t="s">
        <v>236</v>
      </c>
      <c r="G28" t="s">
        <v>25</v>
      </c>
      <c r="H28" t="s">
        <v>28</v>
      </c>
      <c r="I28">
        <v>1921</v>
      </c>
      <c r="K28">
        <v>1950</v>
      </c>
      <c r="M28">
        <v>1650</v>
      </c>
      <c r="O28" s="5">
        <v>16</v>
      </c>
      <c r="P28" s="5">
        <v>26</v>
      </c>
      <c r="Q28" s="5">
        <v>4</v>
      </c>
      <c r="R28" s="5">
        <v>180</v>
      </c>
      <c r="S28" s="12">
        <f t="shared" si="69"/>
        <v>165.40084928881564</v>
      </c>
      <c r="T28" s="5">
        <v>1.72</v>
      </c>
      <c r="U28" s="5">
        <f t="shared" si="70"/>
        <v>1429.1754756871035</v>
      </c>
      <c r="V28">
        <v>94</v>
      </c>
      <c r="W28" s="7">
        <v>35</v>
      </c>
      <c r="X28">
        <v>5</v>
      </c>
      <c r="Y28">
        <v>133</v>
      </c>
      <c r="Z28" s="3">
        <f t="shared" ref="Z28:Z29" si="80">IF(AND(V28&gt;0,Y28&gt;0),(Y28/((V28+W28)*10)),"")</f>
        <v>0.10310077519379846</v>
      </c>
      <c r="AA28">
        <v>65</v>
      </c>
      <c r="AB28">
        <f t="shared" ref="AB28:AB29" si="81">ROUND(AA28*1.6, 0)</f>
        <v>104</v>
      </c>
      <c r="AE28">
        <v>12</v>
      </c>
      <c r="AF28">
        <v>12</v>
      </c>
      <c r="AJ28" s="14" t="str">
        <f>CONCATENATE(VLOOKUP(AK28, 'Voxel Sizes'!$A$2:$B$18,2,FALSE),"x",INT(AG28*15), "x", INT(AH28*15))</f>
        <v>120x0x0</v>
      </c>
      <c r="AK28" s="14">
        <f t="shared" ref="AK28:AK29" si="82">ROUND(15*((AF28*10)/256),0)</f>
        <v>7</v>
      </c>
      <c r="AL28" t="s">
        <v>386</v>
      </c>
      <c r="AM28" s="14" t="str">
        <f>CONCATENATE(VLOOKUP(AK28,Constants!$A$2:$C$16,IF(AL28&lt;&gt;"", 3, 2), FALSE),IF(AL28&lt;&gt;"",CONCATENATE(",",VLOOKUP(AL28,$B:$AM,38,FALSE)),""))</f>
        <v>2,3,2,2,1,2</v>
      </c>
      <c r="AU28">
        <v>1</v>
      </c>
      <c r="AW28">
        <v>26</v>
      </c>
      <c r="AX28" s="14">
        <f t="shared" ref="AX28:AX29" si="83">IF(K28&lt;&gt;"",MAX(16,(K28-I28)+8),"")</f>
        <v>37</v>
      </c>
      <c r="AY28">
        <v>14</v>
      </c>
      <c r="AZ28">
        <v>11</v>
      </c>
      <c r="BA28" s="16">
        <f t="shared" ref="BA28:BA29" si="84">MIN(AA28/150, 1)*30</f>
        <v>13</v>
      </c>
      <c r="BB28" s="16">
        <f t="shared" ref="BB28:BB29" si="85">MIN(M28/4000, 1)*20</f>
        <v>8.25</v>
      </c>
      <c r="BC28" s="16">
        <f t="shared" ref="BC28:BC29" si="86">MIN(Y28/400,1)*20</f>
        <v>6.65</v>
      </c>
      <c r="BD28" s="17">
        <f t="shared" ref="BD28:BD29" si="87">1-(MAX(I28-1900, 0)/750)</f>
        <v>0.97199999999999998</v>
      </c>
      <c r="BE28" s="16">
        <f t="shared" ref="BE28:BE29" si="88">((MAX($L28,1)*MIN($AI28/300,1)))*IF(F28="Wagon",50,10)</f>
        <v>0</v>
      </c>
      <c r="BF28" s="16">
        <f>VLOOKUP($G28,Constants!$I:$K, 2, FALSE)</f>
        <v>1.1499999999999999</v>
      </c>
      <c r="BG28" s="16">
        <f>VLOOKUP($G28,Constants!$I:$K, 3, FALSE)*IF(AND(F28="multiple_unit",AA28&lt;110),0.75,1)</f>
        <v>1.7</v>
      </c>
      <c r="BH28" s="16">
        <f>INT(POWER(((Constants!$G$2+$BA28+$BB28+$BC28+$BE28)*$BD28)*$BG28, 1.05))+$AZ28</f>
        <v>77</v>
      </c>
      <c r="BI28" s="16">
        <f>INT(POWER((((Constants!$G$1+$BA28+$BB28+$BC28+$BE28)*($BD28))*$BF28),IF($F28="wagon",1,1.2)))+$AY28</f>
        <v>117</v>
      </c>
      <c r="BJ28" s="19">
        <f t="shared" ref="BJ28:BJ29" si="89">BH28*IF($F28="wagon",62.5,781.25)</f>
        <v>60156.25</v>
      </c>
      <c r="BK28" s="19">
        <f t="shared" ref="BK28:BK29" si="90">BI28*IF($F28="wagon",2.73,81.25)</f>
        <v>9506.25</v>
      </c>
      <c r="BT28">
        <v>3</v>
      </c>
      <c r="BX28" s="22" t="str">
        <f>VLOOKUP(I28,Eras!$A$2:$C$10, 2, TRUE)</f>
        <v>edw</v>
      </c>
      <c r="BY28" t="s">
        <v>63</v>
      </c>
      <c r="BZ28" s="22" t="str">
        <f t="shared" ref="BZ28:BZ29" si="91">CONCATENATE(BX28,"_",BY28)</f>
        <v>edw_Express</v>
      </c>
      <c r="CA28" s="22" t="str">
        <f t="shared" ref="CA28:CA29" si="92">_xlfn.CONCAT(G28, "_",H28)</f>
        <v>steam_RAIL</v>
      </c>
      <c r="CB28" s="22" t="str">
        <f>VLOOKUP($CA28, Constants!$M:$N, 2, FALSE)</f>
        <v>{BLACK}Powered by: {GOLD}Steam</v>
      </c>
      <c r="CC28" s="22" t="str">
        <f t="shared" si="12"/>
        <v/>
      </c>
      <c r="CD28" t="s">
        <v>391</v>
      </c>
      <c r="CE28" s="22" t="str">
        <f t="shared" ref="CE28:CE29" si="93">IF(BW28="DANDY","{YELLOW}Faster downhill speeds for horse-drawn trains (1 required per 2 horses){}",IF(BW28="BRAKE","{YELLOW}Speed bonus for slow wagons{}",IF(BV28="NGPassengers","{YELLOW}Preserved railway bonus: passengers pay more when hauled by old locomotives{}",IF(AND(BU28&gt;190,NOT(AND(H28="NARROW_GAUGE",BW28&lt;&gt;"PASS"))),CONCATENATE("{YELLOW}",INT((BU28-185)/1.85),"% Bonus for long distance travel{}"),IF(AND(BU28&lt;180,BU28&lt;&gt;0),CONCATENATE("{YELLOW}",INT((185-BU28)/1.85),"% Penalty for long distance travel{}"),"")))))</f>
        <v/>
      </c>
      <c r="CF28" s="22" t="str">
        <f t="shared" ref="CF28:CF29" si="94">_xlfn.CONCAT(CB28,IF(CB28 &lt;&gt; "", " ", ""),CC28,IF(OR(CC28&lt;&gt;"", CB28&lt;&gt;""), "{}",""), CE28,"{SILVER}", CD28)</f>
        <v>{BLACK}Powered by: {GOLD}Steam {}{SILVER}The 9Q is a freight adaptation of the 9P, which had an exceptional turn of speed for a high tractive effort engine. It earnt the name "Black Pig" for its heavy coal consumption.</v>
      </c>
    </row>
    <row r="29" spans="1:84" x14ac:dyDescent="0.3">
      <c r="A29" t="s">
        <v>490</v>
      </c>
      <c r="B29" t="s">
        <v>491</v>
      </c>
      <c r="C29">
        <v>1213</v>
      </c>
      <c r="D29">
        <v>12</v>
      </c>
      <c r="E29" t="s">
        <v>493</v>
      </c>
      <c r="F29" t="s">
        <v>231</v>
      </c>
      <c r="G29" t="s">
        <v>25</v>
      </c>
      <c r="H29" t="s">
        <v>28</v>
      </c>
      <c r="I29">
        <v>1925</v>
      </c>
      <c r="K29">
        <v>1955</v>
      </c>
      <c r="L29">
        <v>3</v>
      </c>
      <c r="M29">
        <v>2500</v>
      </c>
      <c r="O29" s="5">
        <v>18.5</v>
      </c>
      <c r="P29" s="5">
        <v>26</v>
      </c>
      <c r="Q29" s="5">
        <v>6</v>
      </c>
      <c r="R29" s="5">
        <v>190</v>
      </c>
      <c r="S29" s="12">
        <f t="shared" si="69"/>
        <v>138.50509288060513</v>
      </c>
      <c r="T29" s="5">
        <v>1.4219999999999999</v>
      </c>
      <c r="U29" s="5">
        <f t="shared" si="70"/>
        <v>2533.3162519179132</v>
      </c>
      <c r="V29">
        <v>181</v>
      </c>
      <c r="X29">
        <v>5</v>
      </c>
      <c r="Y29">
        <v>324</v>
      </c>
      <c r="Z29" s="3">
        <f t="shared" si="80"/>
        <v>0.17900552486187846</v>
      </c>
      <c r="AA29">
        <v>45</v>
      </c>
      <c r="AB29">
        <f t="shared" si="81"/>
        <v>72</v>
      </c>
      <c r="AE29">
        <v>12</v>
      </c>
      <c r="AF29">
        <v>12</v>
      </c>
      <c r="AJ29" s="14" t="str">
        <f>CONCATENATE(VLOOKUP(AK29, 'Voxel Sizes'!$A$2:$B$18,2,FALSE),"x",INT(AG29*15), "x", INT(AH29*15))</f>
        <v>120x0x0</v>
      </c>
      <c r="AK29" s="14">
        <f t="shared" si="82"/>
        <v>7</v>
      </c>
      <c r="AM29" s="14" t="str">
        <f>CONCATENATE(VLOOKUP(AK29,Constants!$A$2:$C$16,IF(AL29&lt;&gt;"", 3, 2), FALSE),IF(AL29&lt;&gt;"",CONCATENATE(",",VLOOKUP(AL29,$B:$AM,38,FALSE)),""))</f>
        <v>2,3,2</v>
      </c>
      <c r="AQ29" t="s">
        <v>492</v>
      </c>
      <c r="AS29" t="s">
        <v>37</v>
      </c>
      <c r="AU29" t="s">
        <v>488</v>
      </c>
      <c r="AW29">
        <v>24</v>
      </c>
      <c r="AX29" s="14">
        <f t="shared" si="83"/>
        <v>38</v>
      </c>
      <c r="BA29" s="16">
        <f t="shared" si="84"/>
        <v>9</v>
      </c>
      <c r="BB29" s="16">
        <f t="shared" si="85"/>
        <v>12.5</v>
      </c>
      <c r="BC29" s="16">
        <f t="shared" si="86"/>
        <v>16.200000000000003</v>
      </c>
      <c r="BD29" s="17">
        <f t="shared" si="87"/>
        <v>0.96666666666666667</v>
      </c>
      <c r="BE29" s="16">
        <f t="shared" si="88"/>
        <v>0</v>
      </c>
      <c r="BF29" s="16">
        <f>VLOOKUP($G29,Constants!$I:$K, 2, FALSE)</f>
        <v>1.1499999999999999</v>
      </c>
      <c r="BG29" s="16">
        <f>VLOOKUP($G29,Constants!$I:$K, 3, FALSE)*IF(AND(F29="multiple_unit",AA29&lt;110),0.75,1)</f>
        <v>1.2749999999999999</v>
      </c>
      <c r="BH29" s="16">
        <f>INT(POWER(((Constants!$G$2+$BA29+$BB29+$BC29+$BE29)*$BD29)*$BG29, 1.05))+$AZ29</f>
        <v>64</v>
      </c>
      <c r="BI29" s="16">
        <f>INT(POWER((((Constants!$G$1+$BA29+$BB29+$BC29+$BE29)*($BD29))*$BF29),IF($F29="wagon",1,1.2)))+$AY29</f>
        <v>132</v>
      </c>
      <c r="BJ29" s="19">
        <f t="shared" si="89"/>
        <v>50000</v>
      </c>
      <c r="BK29" s="19">
        <f t="shared" si="90"/>
        <v>10725</v>
      </c>
      <c r="BN29">
        <v>1</v>
      </c>
      <c r="BR29" t="s">
        <v>494</v>
      </c>
      <c r="BT29">
        <v>5</v>
      </c>
      <c r="BX29" s="22" t="str">
        <f>VLOOKUP(I29,Eras!$A$2:$C$10, 2, TRUE)</f>
        <v>big4</v>
      </c>
      <c r="BY29" t="s">
        <v>64</v>
      </c>
      <c r="BZ29" s="22" t="str">
        <f t="shared" si="91"/>
        <v>big4_Freight</v>
      </c>
      <c r="CA29" s="22" t="str">
        <f t="shared" si="92"/>
        <v>steam_RAIL</v>
      </c>
      <c r="CB29" s="22" t="str">
        <f>VLOOKUP($CA29, Constants!$M:$N, 2, FALSE)</f>
        <v>{BLACK}Powered by: {GOLD}Steam</v>
      </c>
      <c r="CC29" s="22" t="str">
        <f>IF(AND(L29&gt;1,BN29&lt;&gt;1),_xlfn.CONCAT("{BLACK}Cars: {GOLD}", L29),"")</f>
        <v/>
      </c>
      <c r="CD29" t="s">
        <v>496</v>
      </c>
      <c r="CE29" s="22" t="str">
        <f t="shared" si="93"/>
        <v/>
      </c>
      <c r="CF29" s="22" t="str">
        <f t="shared" si="94"/>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0" spans="1:84" x14ac:dyDescent="0.3">
      <c r="A30" t="s">
        <v>483</v>
      </c>
      <c r="B30" t="s">
        <v>484</v>
      </c>
      <c r="C30">
        <v>1212</v>
      </c>
      <c r="D30">
        <v>13</v>
      </c>
      <c r="E30" t="s">
        <v>493</v>
      </c>
      <c r="F30" t="s">
        <v>231</v>
      </c>
      <c r="G30" t="s">
        <v>25</v>
      </c>
      <c r="H30" t="s">
        <v>28</v>
      </c>
      <c r="I30">
        <v>1927</v>
      </c>
      <c r="K30">
        <v>1958</v>
      </c>
      <c r="L30">
        <v>3</v>
      </c>
      <c r="M30">
        <v>2000</v>
      </c>
      <c r="O30" s="5">
        <v>18.5</v>
      </c>
      <c r="P30" s="5">
        <v>26</v>
      </c>
      <c r="Q30" s="5">
        <v>4</v>
      </c>
      <c r="R30" s="5">
        <v>190</v>
      </c>
      <c r="S30" s="12">
        <f t="shared" si="69"/>
        <v>127.23142252985819</v>
      </c>
      <c r="T30" s="5">
        <v>1.72</v>
      </c>
      <c r="U30" s="5">
        <f t="shared" si="70"/>
        <v>1551.4107279187222</v>
      </c>
      <c r="V30">
        <v>148</v>
      </c>
      <c r="X30">
        <v>5</v>
      </c>
      <c r="Y30">
        <v>203</v>
      </c>
      <c r="Z30" s="3">
        <f t="shared" si="43"/>
        <v>0.13716216216216215</v>
      </c>
      <c r="AA30">
        <v>50</v>
      </c>
      <c r="AB30">
        <f t="shared" si="42"/>
        <v>80</v>
      </c>
      <c r="AE30">
        <v>10</v>
      </c>
      <c r="AF30">
        <v>10</v>
      </c>
      <c r="AJ30" s="14" t="str">
        <f>CONCATENATE(VLOOKUP(AK30, 'Voxel Sizes'!$A$2:$B$18,2,FALSE),"x",INT(AG30*15), "x", INT(AH30*15))</f>
        <v>102x0x0</v>
      </c>
      <c r="AK30" s="14">
        <f t="shared" si="44"/>
        <v>6</v>
      </c>
      <c r="AM30" s="14" t="str">
        <f>CONCATENATE(VLOOKUP(AK30,Constants!$A$2:$C$16,IF(AL30&lt;&gt;"", 3, 2), FALSE),IF(AL30&lt;&gt;"",CONCATENATE(",",VLOOKUP(AL30,$B:$AM,38,FALSE)),""))</f>
        <v>2,2,2</v>
      </c>
      <c r="AQ30" t="s">
        <v>485</v>
      </c>
      <c r="AS30" t="s">
        <v>37</v>
      </c>
      <c r="AU30" t="s">
        <v>488</v>
      </c>
      <c r="AW30">
        <v>26</v>
      </c>
      <c r="AX30" s="14">
        <f t="shared" si="45"/>
        <v>39</v>
      </c>
      <c r="BA30" s="16">
        <f t="shared" si="46"/>
        <v>10</v>
      </c>
      <c r="BB30" s="16">
        <f t="shared" si="47"/>
        <v>10</v>
      </c>
      <c r="BC30" s="16">
        <f t="shared" si="48"/>
        <v>10.149999999999999</v>
      </c>
      <c r="BD30" s="17">
        <f t="shared" si="49"/>
        <v>0.96399999999999997</v>
      </c>
      <c r="BE30" s="16">
        <f t="shared" si="50"/>
        <v>0</v>
      </c>
      <c r="BF30" s="16">
        <f>VLOOKUP($G30,Constants!$I:$K, 2, FALSE)</f>
        <v>1.1499999999999999</v>
      </c>
      <c r="BG30" s="16">
        <f>VLOOKUP($G30,Constants!$I:$K, 3, FALSE)*IF(AND(F30="multiple_unit",AA30&lt;110),0.75,1)</f>
        <v>1.2749999999999999</v>
      </c>
      <c r="BH30" s="16">
        <f>INT(POWER(((Constants!$G$2+$BA30+$BB30+$BC30+$BE30)*$BD30)*$BG30, 1.05))+$AZ30</f>
        <v>52</v>
      </c>
      <c r="BI30" s="16">
        <f>INT(POWER((((Constants!$G$1+$BA30+$BB30+$BC30+$BE30)*($BD30))*$BF30),IF($F30="wagon",1,1.2)))+$AY30</f>
        <v>109</v>
      </c>
      <c r="BJ30" s="19">
        <f t="shared" si="51"/>
        <v>40625</v>
      </c>
      <c r="BK30" s="19">
        <f t="shared" si="52"/>
        <v>8856.25</v>
      </c>
      <c r="BN30">
        <v>1</v>
      </c>
      <c r="BR30" t="s">
        <v>495</v>
      </c>
      <c r="BT30">
        <v>5</v>
      </c>
      <c r="BX30" s="22" t="str">
        <f>VLOOKUP(I30,Eras!$A$2:$C$10, 2, TRUE)</f>
        <v>big4</v>
      </c>
      <c r="BY30" t="s">
        <v>64</v>
      </c>
      <c r="BZ30" s="22" t="str">
        <f t="shared" si="53"/>
        <v>big4_Freight</v>
      </c>
      <c r="CA30" s="22" t="str">
        <f t="shared" si="54"/>
        <v>steam_RAIL</v>
      </c>
      <c r="CB30" s="22" t="str">
        <f>VLOOKUP($CA30, Constants!$M:$N, 2, FALSE)</f>
        <v>{BLACK}Powered by: {GOLD}Steam</v>
      </c>
      <c r="CC30" s="22" t="str">
        <f t="shared" ref="CC30:CC78" si="95">IF(AND(L30&gt;1,BN30&lt;&gt;1),_xlfn.CONCAT("{BLACK}Cars: {GOLD}", L30),"")</f>
        <v/>
      </c>
      <c r="CD30" t="s">
        <v>486</v>
      </c>
      <c r="CE30" s="22" t="str">
        <f t="shared" si="13"/>
        <v/>
      </c>
      <c r="CF30" s="22" t="str">
        <f t="shared" si="55"/>
        <v>{BLACK}Powered by: {GOLD}Steam {}{SILVER}The LMS Beyer Garratt was the most-produced Garratt type locomotive, designed for hauling heavy freight. While they suffered from poor fuel efficiency and high maintenance requirements, they survived in service to the late 1950s.</v>
      </c>
    </row>
    <row r="31" spans="1:84" x14ac:dyDescent="0.3">
      <c r="A31" t="s">
        <v>424</v>
      </c>
      <c r="B31" t="s">
        <v>425</v>
      </c>
      <c r="C31">
        <v>1221</v>
      </c>
      <c r="D31">
        <v>-1</v>
      </c>
      <c r="F31" t="s">
        <v>15</v>
      </c>
      <c r="G31" t="s">
        <v>25</v>
      </c>
      <c r="H31" t="s">
        <v>28</v>
      </c>
      <c r="I31">
        <v>1922</v>
      </c>
      <c r="J31">
        <v>1924</v>
      </c>
      <c r="Y31">
        <v>119</v>
      </c>
      <c r="Z31" s="3" t="str">
        <f>IF(AND(V31&gt;0,Y31&gt;0),(Y31/((V31+W31)*10)),"")</f>
        <v/>
      </c>
      <c r="AB31">
        <f t="shared" si="42"/>
        <v>0</v>
      </c>
      <c r="AI31" s="9">
        <v>0</v>
      </c>
      <c r="AJ31" t="s">
        <v>452</v>
      </c>
      <c r="AK31">
        <f>ROUND(15*((AF31*10)/256),0)</f>
        <v>0</v>
      </c>
      <c r="AM31" s="14" t="str">
        <f>CONCATENATE(VLOOKUP(AK31,Constants!$A$2:$C$16,IF(AL31&lt;&gt;"", 3, 2), FALSE),IF(AL31&lt;&gt;"",CONCATENATE(",",VLOOKUP(AL31,$B:$AM,38,FALSE)),""))</f>
        <v>na</v>
      </c>
      <c r="AU31">
        <v>1</v>
      </c>
      <c r="AW31">
        <v>30</v>
      </c>
      <c r="AX31" s="14" t="str">
        <f>IF(K31&lt;&gt;"",MAX(16,(K31-I31)+8),"")</f>
        <v/>
      </c>
      <c r="BA31">
        <f>MIN(AA31/150, 1)*30</f>
        <v>0</v>
      </c>
      <c r="BB31">
        <f>MIN(M31/4000, 1)*20</f>
        <v>0</v>
      </c>
      <c r="BC31">
        <f>MIN(Y31/400,1)*20</f>
        <v>5.9499999999999993</v>
      </c>
      <c r="BD31" s="3">
        <f>1-(MAX(I31-1900, 0)/750)</f>
        <v>0.97066666666666668</v>
      </c>
      <c r="BE31">
        <f>((MAX($L31,1)*MIN($AI31/300,1)))*IF(F31="Wagon",50,10)</f>
        <v>0</v>
      </c>
      <c r="BF31">
        <v>1.1499999999999999</v>
      </c>
      <c r="BG31">
        <v>1.7</v>
      </c>
      <c r="BH31" s="16">
        <f>INT(POWER(((Constants!$G$2+$BA31+$BB31+$BC31+$BE31)*$BD31)*$BG31, 1.05))+$AZ31</f>
        <v>20</v>
      </c>
      <c r="BI31" s="16">
        <f>INT(POWER((((Constants!$G$1+$BA31+$BB31+$BC31+$BE31)*($BD31))*$BF31),IF($F31="wagon",1,1.2)))+$AY31</f>
        <v>43</v>
      </c>
      <c r="BJ31" s="19">
        <f t="shared" ref="BJ31:BJ32" si="96">BH31*IF($F31="wagon",62.5,781.25)</f>
        <v>15625</v>
      </c>
      <c r="BK31" s="19">
        <f t="shared" ref="BK31:BK32" si="97">BI31*IF($F31="wagon",2.73,81.25)</f>
        <v>3493.75</v>
      </c>
      <c r="BT31">
        <v>8</v>
      </c>
      <c r="BX31" t="s">
        <v>53</v>
      </c>
      <c r="BZ31" t="str">
        <f>CONCATENATE(BX31,"_",BY31)</f>
        <v>edw_</v>
      </c>
      <c r="CA31" t="str">
        <f>_xlfn.CONCAT(G31, "_",H31)</f>
        <v>steam_RAIL</v>
      </c>
      <c r="CB31" t="s">
        <v>448</v>
      </c>
      <c r="CC31" s="22" t="str">
        <f t="shared" si="95"/>
        <v/>
      </c>
      <c r="CE31" s="22" t="str">
        <f t="shared" si="13"/>
        <v/>
      </c>
      <c r="CF31" t="str">
        <f>_xlfn.CONCAT(CB31,IF(CB31 &lt;&gt; "", " ", ""),CC31,IF(OR(CC31&lt;&gt;"", CB31&lt;&gt;""), "{}",""), CE31,"{SILVER}", CD31)</f>
        <v>{BLACK}Powered by: {GOLD}Steam {}{SILVER}</v>
      </c>
    </row>
    <row r="32" spans="1:84" x14ac:dyDescent="0.3">
      <c r="A32" t="s">
        <v>426</v>
      </c>
      <c r="B32" t="s">
        <v>427</v>
      </c>
      <c r="C32">
        <v>254</v>
      </c>
      <c r="D32">
        <v>-1</v>
      </c>
      <c r="F32" t="s">
        <v>15</v>
      </c>
      <c r="G32" t="s">
        <v>25</v>
      </c>
      <c r="H32" t="s">
        <v>28</v>
      </c>
      <c r="I32">
        <v>1942</v>
      </c>
      <c r="V32">
        <v>72</v>
      </c>
      <c r="Y32">
        <v>119</v>
      </c>
      <c r="Z32" s="3">
        <f>IF(AND(V32&gt;0,Y32&gt;0),(Y32/((V32+W32)*10)),"")</f>
        <v>0.16527777777777777</v>
      </c>
      <c r="AB32">
        <f t="shared" si="42"/>
        <v>0</v>
      </c>
      <c r="AI32" s="9">
        <v>0</v>
      </c>
      <c r="AJ32" t="s">
        <v>452</v>
      </c>
      <c r="AK32">
        <f>ROUND(15*((AF32*10)/256),0)</f>
        <v>0</v>
      </c>
      <c r="AM32" s="14" t="str">
        <f>CONCATENATE(VLOOKUP(AK32,Constants!$A$2:$C$16,IF(AL32&lt;&gt;"", 3, 2), FALSE),IF(AL32&lt;&gt;"",CONCATENATE(",",VLOOKUP(AL32,$B:$AM,38,FALSE)),""))</f>
        <v>na</v>
      </c>
      <c r="AW32">
        <v>30</v>
      </c>
      <c r="AX32" s="14" t="str">
        <f>IF(K32&lt;&gt;"",MAX(16,(K32-I32)+8),"")</f>
        <v/>
      </c>
      <c r="BA32">
        <f>MIN(AA32/150, 1)*30</f>
        <v>0</v>
      </c>
      <c r="BB32">
        <f>MIN(M32/4000, 1)*20</f>
        <v>0</v>
      </c>
      <c r="BC32">
        <f>MIN(Y32/400,1)*20</f>
        <v>5.9499999999999993</v>
      </c>
      <c r="BD32" s="3">
        <f>1-(MAX(I32-1900, 0)/750)</f>
        <v>0.94399999999999995</v>
      </c>
      <c r="BE32">
        <f>((MAX($L32,1)*MIN($AI32/300,1)))*IF(F32="Wagon",50,10)</f>
        <v>0</v>
      </c>
      <c r="BF32">
        <v>1.1499999999999999</v>
      </c>
      <c r="BG32">
        <v>1.7</v>
      </c>
      <c r="BH32" s="16">
        <f>INT(POWER(((Constants!$G$2+$BA32+$BB32+$BC32+$BE32)*$BD32)*$BG32, 1.05))+$AZ32</f>
        <v>20</v>
      </c>
      <c r="BI32" s="16">
        <f>INT(POWER((((Constants!$G$1+$BA32+$BB32+$BC32+$BE32)*($BD32))*$BF32),IF($F32="wagon",1,1.2)))+$AY32</f>
        <v>42</v>
      </c>
      <c r="BJ32" s="19">
        <f t="shared" si="96"/>
        <v>15625</v>
      </c>
      <c r="BK32" s="19">
        <f t="shared" si="97"/>
        <v>3412.5</v>
      </c>
      <c r="BT32">
        <v>7</v>
      </c>
      <c r="BX32" t="s">
        <v>54</v>
      </c>
      <c r="BZ32" t="str">
        <f>CONCATENATE(BX32,"_",BY32)</f>
        <v>big4_</v>
      </c>
      <c r="CA32" t="str">
        <f>_xlfn.CONCAT(G32, "_",H32)</f>
        <v>steam_RAIL</v>
      </c>
      <c r="CB32" t="s">
        <v>448</v>
      </c>
      <c r="CC32" s="22" t="str">
        <f t="shared" si="95"/>
        <v/>
      </c>
      <c r="CE32" s="22" t="str">
        <f t="shared" si="13"/>
        <v/>
      </c>
      <c r="CF32" t="str">
        <f>_xlfn.CONCAT(CB32,IF(CB32 &lt;&gt; "", " ", ""),CC32,IF(OR(CC32&lt;&gt;"", CB32&lt;&gt;""), "{}",""), CE32,"{SILVER}", CD32)</f>
        <v>{BLACK}Powered by: {GOLD}Steam {}{SILVER}</v>
      </c>
    </row>
    <row r="33" spans="1:84" x14ac:dyDescent="0.3">
      <c r="A33" t="s">
        <v>396</v>
      </c>
      <c r="B33" t="s">
        <v>397</v>
      </c>
      <c r="C33">
        <v>1491</v>
      </c>
      <c r="D33">
        <v>14</v>
      </c>
      <c r="E33" t="s">
        <v>493</v>
      </c>
      <c r="F33" t="s">
        <v>236</v>
      </c>
      <c r="G33" t="s">
        <v>400</v>
      </c>
      <c r="H33" t="s">
        <v>28</v>
      </c>
      <c r="I33">
        <v>1949</v>
      </c>
      <c r="K33">
        <v>1964</v>
      </c>
      <c r="M33">
        <v>2500</v>
      </c>
      <c r="V33">
        <v>117</v>
      </c>
      <c r="Y33">
        <v>140</v>
      </c>
      <c r="Z33" s="3">
        <f t="shared" si="43"/>
        <v>0.11965811965811966</v>
      </c>
      <c r="AA33">
        <v>90</v>
      </c>
      <c r="AB33">
        <f t="shared" si="42"/>
        <v>144</v>
      </c>
      <c r="AF33">
        <v>18</v>
      </c>
      <c r="AJ33" s="14" t="str">
        <f>CONCATENATE(VLOOKUP(AK33, 'Voxel Sizes'!$A$2:$B$18,2,FALSE),"x",INT(AG33*15), "x", INT(AH33*15))</f>
        <v>186x0x0</v>
      </c>
      <c r="AK33" s="14">
        <f t="shared" si="44"/>
        <v>11</v>
      </c>
      <c r="AM33" s="14" t="str">
        <f>CONCATENATE(VLOOKUP(AK33,Constants!$A$2:$C$16,IF(AL33&lt;&gt;"", 3, 2), FALSE),IF(AL33&lt;&gt;"",CONCATENATE(",",VLOOKUP(AL33,$B:$AM,38,FALSE)),""))</f>
        <v>4,3,4</v>
      </c>
      <c r="AW33">
        <v>22</v>
      </c>
      <c r="AX33" s="14">
        <f t="shared" si="45"/>
        <v>23</v>
      </c>
      <c r="AY33">
        <v>9</v>
      </c>
      <c r="AZ33">
        <v>2</v>
      </c>
      <c r="BA33" s="16">
        <f t="shared" si="46"/>
        <v>18</v>
      </c>
      <c r="BB33" s="16">
        <f t="shared" si="47"/>
        <v>12.5</v>
      </c>
      <c r="BC33" s="16">
        <f t="shared" si="48"/>
        <v>7</v>
      </c>
      <c r="BD33" s="17">
        <f t="shared" si="49"/>
        <v>0.93466666666666665</v>
      </c>
      <c r="BE33" s="16">
        <f t="shared" si="50"/>
        <v>0</v>
      </c>
      <c r="BF33" s="16">
        <f>VLOOKUP($G33,Constants!$I:$K, 2, FALSE)</f>
        <v>1</v>
      </c>
      <c r="BG33" s="16">
        <f>VLOOKUP($G33,Constants!$I:$K, 3, FALSE)*IF(AND(F33="multiple_unit",AA33&lt;110),0.75,1)</f>
        <v>2</v>
      </c>
      <c r="BH33" s="16">
        <f>INT(POWER(((Constants!$G$2+$BA33+$BB33+$BC33+$BE33)*$BD33)*$BG33, 1.05))+$AZ33</f>
        <v>100</v>
      </c>
      <c r="BI33" s="16">
        <f>INT(POWER((((Constants!$G$1+$BA33+$BB33+$BC33+$BE33)*($BD33))*$BF33),IF($F33="wagon",1,1.2)))+$AY33</f>
        <v>115</v>
      </c>
      <c r="BJ33" s="19">
        <f t="shared" si="51"/>
        <v>78125</v>
      </c>
      <c r="BK33" s="19">
        <f t="shared" si="52"/>
        <v>9343.75</v>
      </c>
      <c r="BT33">
        <v>6</v>
      </c>
      <c r="BX33" s="22" t="str">
        <f>VLOOKUP(I33,Eras!$A$2:$C$10, 2, TRUE)</f>
        <v>ebr</v>
      </c>
      <c r="BY33" t="s">
        <v>64</v>
      </c>
      <c r="BZ33" s="22" t="str">
        <f t="shared" si="53"/>
        <v>ebr_Freight</v>
      </c>
      <c r="CA33" s="22" t="str">
        <f t="shared" si="54"/>
        <v>gas_turbine_RAIL</v>
      </c>
      <c r="CB33" s="22" t="str">
        <f>VLOOKUP($CA33, Constants!$M:$N, 2, FALSE)</f>
        <v>{BLACK}Powered by: {GOLD}Gas Turbine</v>
      </c>
      <c r="CC33" s="22" t="str">
        <f t="shared" si="95"/>
        <v/>
      </c>
      <c r="CD33" t="s">
        <v>401</v>
      </c>
      <c r="CE33" s="22" t="str">
        <f t="shared" si="13"/>
        <v/>
      </c>
      <c r="CF33" s="22" t="str">
        <f t="shared" si="55"/>
        <v>{BLACK}Powered by: {GOLD}Gas Turbine {}{SILVER}Originally ordered by the GWR, the 18000 used a gas turbine to match the power output of the King Class. This resulted in it being unreliable and expensive to run.</v>
      </c>
    </row>
    <row r="34" spans="1:84" x14ac:dyDescent="0.3">
      <c r="A34" t="s">
        <v>458</v>
      </c>
      <c r="B34" t="s">
        <v>459</v>
      </c>
      <c r="C34">
        <v>1571</v>
      </c>
      <c r="D34">
        <v>15</v>
      </c>
      <c r="E34" t="s">
        <v>493</v>
      </c>
      <c r="F34" t="s">
        <v>236</v>
      </c>
      <c r="G34" t="s">
        <v>26</v>
      </c>
      <c r="H34" t="s">
        <v>28</v>
      </c>
      <c r="I34">
        <v>1957</v>
      </c>
      <c r="J34">
        <v>1961</v>
      </c>
      <c r="K34">
        <v>1993</v>
      </c>
      <c r="M34">
        <v>200</v>
      </c>
      <c r="V34">
        <v>30</v>
      </c>
      <c r="Y34">
        <v>70</v>
      </c>
      <c r="Z34" s="3">
        <f t="shared" si="43"/>
        <v>0.23333333333333334</v>
      </c>
      <c r="AA34">
        <v>28</v>
      </c>
      <c r="AB34">
        <f t="shared" si="42"/>
        <v>45</v>
      </c>
      <c r="AE34">
        <v>8</v>
      </c>
      <c r="AF34">
        <v>9.5</v>
      </c>
      <c r="AJ34" s="14" t="str">
        <f>CONCATENATE(VLOOKUP(AK34, 'Voxel Sizes'!$A$2:$B$18,2,FALSE),"x",INT(AG34*15), "x", INT(AH34*15))</f>
        <v>102x0x0</v>
      </c>
      <c r="AK34" s="14">
        <f t="shared" si="44"/>
        <v>6</v>
      </c>
      <c r="AM34" s="14" t="str">
        <f>CONCATENATE(VLOOKUP(AK34,Constants!$A$2:$C$16,IF(AL34&lt;&gt;"", 3, 2), FALSE),IF(AL34&lt;&gt;"",CONCATENATE(",",VLOOKUP(AL34,$B:$AM,38,FALSE)),""))</f>
        <v>2,2,2</v>
      </c>
      <c r="AU34">
        <v>1</v>
      </c>
      <c r="AW34">
        <v>40</v>
      </c>
      <c r="AX34" s="14">
        <f>IF(K34&lt;&gt;"",MAX(16,(K34-I34)+8),"")</f>
        <v>44</v>
      </c>
      <c r="BA34" s="16">
        <f t="shared" ref="BA34" si="98">MIN(AA34/150, 1)*30</f>
        <v>5.6000000000000005</v>
      </c>
      <c r="BB34" s="16">
        <f t="shared" ref="BB34" si="99">MIN(M34/4000, 1)*20</f>
        <v>1</v>
      </c>
      <c r="BC34" s="16">
        <f t="shared" ref="BC34" si="100">MIN(Y34/400,1)*20</f>
        <v>3.5</v>
      </c>
      <c r="BD34" s="17">
        <f t="shared" ref="BD34" si="101">1-(MAX(I34-1900, 0)/750)</f>
        <v>0.92400000000000004</v>
      </c>
      <c r="BE34" s="16">
        <f t="shared" ref="BE34" si="102">((MAX($L34,1)*MIN($AI34/300,1)))*IF(F34="Wagon",50,10)</f>
        <v>0</v>
      </c>
      <c r="BF34" s="16">
        <f>VLOOKUP($G34,Constants!$I:$K, 2, FALSE)</f>
        <v>1</v>
      </c>
      <c r="BG34" s="16">
        <f>VLOOKUP($G34,Constants!$I:$K, 3, FALSE)*IF(AND(F34="multiple_unit",AA34&lt;110),0.75,1)</f>
        <v>2</v>
      </c>
      <c r="BH34" s="16">
        <f>INT(POWER(((Constants!$G$2+$BA34+$BB34+$BC34+$BE34)*$BD34)*$BG34, 1.05))+$AZ34</f>
        <v>32</v>
      </c>
      <c r="BI34" s="16">
        <f>INT(POWER((((Constants!$G$1+$BA34+$BB34+$BC34+$BE34)*($BD34))*$BF34),IF($F34="wagon",1,1.2)))+$AY34</f>
        <v>43</v>
      </c>
      <c r="BJ34" s="19">
        <f t="shared" ref="BJ34" si="103">BH34*IF($F34="wagon",62.5,781.25)</f>
        <v>25000</v>
      </c>
      <c r="BK34" s="19">
        <f t="shared" ref="BK34" si="104">BI34*IF($F34="wagon",2.73,81.25)</f>
        <v>3493.75</v>
      </c>
      <c r="BT34">
        <v>8</v>
      </c>
      <c r="BX34" t="s">
        <v>55</v>
      </c>
      <c r="BY34" t="s">
        <v>61</v>
      </c>
      <c r="BZ34" t="str">
        <f>CONCATENATE(BX34,"_",BY34)</f>
        <v>dsl_Cheap</v>
      </c>
      <c r="CA34" t="str">
        <f>_xlfn.CONCAT(G34, "_",H34)</f>
        <v>diesel_RAIL</v>
      </c>
      <c r="CB34" t="s">
        <v>449</v>
      </c>
      <c r="CC34" s="22" t="str">
        <f t="shared" si="95"/>
        <v/>
      </c>
      <c r="CD34" t="s">
        <v>460</v>
      </c>
      <c r="CE34" s="22" t="str">
        <f t="shared" si="13"/>
        <v/>
      </c>
      <c r="CF34" t="str">
        <f>_xlfn.CONCAT(CB34,IF(CB34 &lt;&gt; "", " ", ""),CC34,IF(OR(CC34&lt;&gt;"", CB34&lt;&gt;""), "{}",""), CE34,"{SILVER}", CD34)</f>
        <v>{BLACK}Powered by: {GOLD}Diesel {}{SILVER}The Class 03 is a diesel-mechanical shunter, with a five speed manual gearbox driven through a fluid coupling. They were most useful in areas where the Class 08 was too large and heavy to operate.</v>
      </c>
    </row>
    <row r="35" spans="1:84" x14ac:dyDescent="0.3">
      <c r="A35" t="s">
        <v>344</v>
      </c>
      <c r="B35" t="s">
        <v>346</v>
      </c>
      <c r="C35">
        <v>2611</v>
      </c>
      <c r="D35">
        <v>16</v>
      </c>
      <c r="E35" t="s">
        <v>493</v>
      </c>
      <c r="F35" t="s">
        <v>236</v>
      </c>
      <c r="G35" t="s">
        <v>26</v>
      </c>
      <c r="H35" t="s">
        <v>28</v>
      </c>
      <c r="I35">
        <v>1961</v>
      </c>
      <c r="K35">
        <v>1978</v>
      </c>
      <c r="M35">
        <v>2880</v>
      </c>
      <c r="V35">
        <v>117</v>
      </c>
      <c r="Y35">
        <v>266</v>
      </c>
      <c r="Z35" s="3">
        <f t="shared" si="43"/>
        <v>0.22735042735042735</v>
      </c>
      <c r="AA35">
        <v>100</v>
      </c>
      <c r="AB35">
        <f t="shared" si="42"/>
        <v>160</v>
      </c>
      <c r="AE35">
        <v>20.98</v>
      </c>
      <c r="AF35">
        <v>20.98</v>
      </c>
      <c r="AG35">
        <v>2.69</v>
      </c>
      <c r="AH35">
        <v>3.91</v>
      </c>
      <c r="AJ35" s="14" t="str">
        <f>CONCATENATE(VLOOKUP(AK35, 'Voxel Sizes'!$A$2:$B$18,2,FALSE),"x",INT(AG35*15), "x", INT(AH35*15))</f>
        <v>198x40x58</v>
      </c>
      <c r="AK35" s="14">
        <f t="shared" si="44"/>
        <v>12</v>
      </c>
      <c r="AM35" s="14" t="str">
        <f>CONCATENATE(VLOOKUP(AK35,Constants!$A$2:$C$16,IF(AL35&lt;&gt;"", 3, 2), FALSE),IF(AL35&lt;&gt;"",CONCATENATE(",",VLOOKUP(AL35,$B:$AM,38,FALSE)),""))</f>
        <v>4,4,4</v>
      </c>
      <c r="AW35">
        <v>22</v>
      </c>
      <c r="AX35" s="14">
        <f t="shared" si="45"/>
        <v>25</v>
      </c>
      <c r="AY35">
        <v>2</v>
      </c>
      <c r="AZ35">
        <v>3</v>
      </c>
      <c r="BA35" s="16">
        <f t="shared" si="46"/>
        <v>20</v>
      </c>
      <c r="BB35" s="16">
        <f t="shared" si="47"/>
        <v>14.399999999999999</v>
      </c>
      <c r="BC35" s="16">
        <f t="shared" si="48"/>
        <v>13.3</v>
      </c>
      <c r="BD35" s="17">
        <f t="shared" si="49"/>
        <v>0.91866666666666663</v>
      </c>
      <c r="BE35" s="16">
        <f t="shared" si="50"/>
        <v>0</v>
      </c>
      <c r="BF35" s="16">
        <f>VLOOKUP($G35,Constants!$I:$K, 2, FALSE)</f>
        <v>1</v>
      </c>
      <c r="BG35" s="16">
        <f>VLOOKUP($G35,Constants!$I:$K, 3, FALSE)*IF(AND(F35="multiple_unit",AA35&lt;110),0.75,1)</f>
        <v>2</v>
      </c>
      <c r="BH35" s="16">
        <f>INT(POWER(((Constants!$G$2+$BA35+$BB35+$BC35+$BE35)*$BD35)*$BG35, 1.05))+$AZ35</f>
        <v>124</v>
      </c>
      <c r="BI35" s="16">
        <f>INT(POWER((((Constants!$G$1+$BA35+$BB35+$BC35+$BE35)*($BD35))*$BF35),IF($F35="wagon",1,1.2)))+$AY35</f>
        <v>131</v>
      </c>
      <c r="BJ35" s="19">
        <f t="shared" si="51"/>
        <v>96875</v>
      </c>
      <c r="BK35" s="19">
        <f t="shared" si="52"/>
        <v>10643.75</v>
      </c>
      <c r="BT35">
        <v>6</v>
      </c>
      <c r="BX35" s="22" t="str">
        <f>VLOOKUP(I35,Eras!$A$2:$C$10, 2, TRUE)</f>
        <v>dsl</v>
      </c>
      <c r="BY35" t="s">
        <v>64</v>
      </c>
      <c r="BZ35" s="22" t="str">
        <f t="shared" si="53"/>
        <v>dsl_Freight</v>
      </c>
      <c r="CA35" s="22" t="str">
        <f t="shared" si="54"/>
        <v>diesel_RAIL</v>
      </c>
      <c r="CB35" s="22" t="str">
        <f>VLOOKUP($CA35, Constants!$M:$N, 2, FALSE)</f>
        <v>{BLACK}Powered by: {GOLD}Diesel</v>
      </c>
      <c r="CC35" s="22" t="str">
        <f t="shared" si="95"/>
        <v/>
      </c>
      <c r="CD35" t="s">
        <v>345</v>
      </c>
      <c r="CE35" s="22" t="str">
        <f t="shared" si="13"/>
        <v/>
      </c>
      <c r="CF35" s="22" t="str">
        <f t="shared" si="55"/>
        <v>{BLACK}Powered by: {GOLD}Diesel {}{SILVER}Brush's "Falcon" was a prototype for a new generation of Type 4 locomotives, but advances in single-engined diesel made the Falcon with its two Maybach diesels obsolete at the point of introduction.</v>
      </c>
    </row>
    <row r="36" spans="1:84" x14ac:dyDescent="0.3">
      <c r="A36" t="s">
        <v>339</v>
      </c>
      <c r="B36" t="s">
        <v>313</v>
      </c>
      <c r="C36">
        <v>2671</v>
      </c>
      <c r="D36">
        <v>17</v>
      </c>
      <c r="E36" t="s">
        <v>493</v>
      </c>
      <c r="F36" t="s">
        <v>236</v>
      </c>
      <c r="G36" t="s">
        <v>26</v>
      </c>
      <c r="H36" t="s">
        <v>28</v>
      </c>
      <c r="I36">
        <v>1967</v>
      </c>
      <c r="K36">
        <v>1982</v>
      </c>
      <c r="M36">
        <v>4000</v>
      </c>
      <c r="V36">
        <v>126</v>
      </c>
      <c r="Y36">
        <v>270</v>
      </c>
      <c r="Z36" s="3">
        <f t="shared" si="43"/>
        <v>0.21428571428571427</v>
      </c>
      <c r="AA36">
        <v>110</v>
      </c>
      <c r="AB36">
        <f t="shared" si="42"/>
        <v>176</v>
      </c>
      <c r="AE36">
        <v>20.27</v>
      </c>
      <c r="AF36">
        <v>20.27</v>
      </c>
      <c r="AG36">
        <v>2.69</v>
      </c>
      <c r="AH36">
        <v>3.91</v>
      </c>
      <c r="AJ36" s="14" t="str">
        <f>CONCATENATE(VLOOKUP(AK36, 'Voxel Sizes'!$A$2:$B$18,2,FALSE),"x",INT(AG36*15), "x", INT(AH36*15))</f>
        <v>198x40x58</v>
      </c>
      <c r="AK36" s="14">
        <f t="shared" si="44"/>
        <v>12</v>
      </c>
      <c r="AM36" s="14" t="str">
        <f>CONCATENATE(VLOOKUP(AK36,Constants!$A$2:$C$16,IF(AL36&lt;&gt;"", 3, 2), FALSE),IF(AL36&lt;&gt;"",CONCATENATE(",",VLOOKUP(AL36,$B:$AM,38,FALSE)),""))</f>
        <v>4,4,4</v>
      </c>
      <c r="AW36">
        <v>21</v>
      </c>
      <c r="AX36" s="14">
        <f t="shared" si="45"/>
        <v>23</v>
      </c>
      <c r="AZ36">
        <v>2</v>
      </c>
      <c r="BA36" s="16">
        <f t="shared" si="46"/>
        <v>22</v>
      </c>
      <c r="BB36" s="16">
        <f t="shared" si="47"/>
        <v>20</v>
      </c>
      <c r="BC36" s="16">
        <f t="shared" si="48"/>
        <v>13.5</v>
      </c>
      <c r="BD36" s="17">
        <f t="shared" si="49"/>
        <v>0.91066666666666662</v>
      </c>
      <c r="BE36" s="16">
        <f t="shared" si="50"/>
        <v>0</v>
      </c>
      <c r="BF36" s="16">
        <f>VLOOKUP($G36,Constants!$I:$K, 2, FALSE)</f>
        <v>1</v>
      </c>
      <c r="BG36" s="16">
        <f>VLOOKUP($G36,Constants!$I:$K, 3, FALSE)*IF(AND(F36="multiple_unit",AA36&lt;110),0.75,1)</f>
        <v>2</v>
      </c>
      <c r="BH36" s="16">
        <f>INT(POWER(((Constants!$G$2+$BA36+$BB36+$BC36+$BE36)*$BD36)*$BG36, 1.05))+$AZ36</f>
        <v>141</v>
      </c>
      <c r="BI36" s="16">
        <f>INT(POWER((((Constants!$G$1+$BA36+$BB36+$BC36+$BE36)*($BD36))*$BF36),IF($F36="wagon",1,1.2)))+$AY36</f>
        <v>147</v>
      </c>
      <c r="BJ36" s="19">
        <f t="shared" si="51"/>
        <v>110156.25</v>
      </c>
      <c r="BK36" s="19">
        <f t="shared" si="52"/>
        <v>11943.75</v>
      </c>
      <c r="BT36">
        <v>6</v>
      </c>
      <c r="BX36" s="22" t="str">
        <f>VLOOKUP(I36,Eras!$A$2:$C$10, 2, TRUE)</f>
        <v>dsl</v>
      </c>
      <c r="BY36" t="s">
        <v>64</v>
      </c>
      <c r="BZ36" s="22" t="str">
        <f t="shared" si="53"/>
        <v>dsl_Freight</v>
      </c>
      <c r="CA36" s="22" t="str">
        <f t="shared" si="54"/>
        <v>diesel_RAIL</v>
      </c>
      <c r="CB36" s="22" t="str">
        <f>VLOOKUP($CA36, Constants!$M:$N, 2, FALSE)</f>
        <v>{BLACK}Powered by: {GOLD}Diesel</v>
      </c>
      <c r="CC36" s="22" t="str">
        <f t="shared" si="95"/>
        <v/>
      </c>
      <c r="CD36" t="s">
        <v>343</v>
      </c>
      <c r="CE36" s="22" t="str">
        <f t="shared" si="13"/>
        <v/>
      </c>
      <c r="CF36" s="22" t="str">
        <f t="shared" si="55"/>
        <v>{BLACK}Powered by: {GOLD}Diesel {}{SILVER}The Brush "Kestrel" was a prototype high speed diesel locomotive. After a brief period of service in the UK it was sold to the Soviet Union, where it was re-gauged and used for testing.</v>
      </c>
    </row>
    <row r="37" spans="1:84" x14ac:dyDescent="0.3">
      <c r="A37" t="s">
        <v>357</v>
      </c>
      <c r="B37" t="s">
        <v>356</v>
      </c>
      <c r="C37">
        <v>2791</v>
      </c>
      <c r="D37">
        <v>500</v>
      </c>
      <c r="E37" t="s">
        <v>493</v>
      </c>
      <c r="F37" t="s">
        <v>236</v>
      </c>
      <c r="G37" t="s">
        <v>355</v>
      </c>
      <c r="H37" t="s">
        <v>28</v>
      </c>
      <c r="I37">
        <v>1979</v>
      </c>
      <c r="M37">
        <v>50</v>
      </c>
      <c r="V37">
        <v>33</v>
      </c>
      <c r="Y37">
        <v>5</v>
      </c>
      <c r="Z37" s="3">
        <f>IF(AND(V37&gt;0,Y37&gt;0),(Y37/((V37+W37)*10)),"")</f>
        <v>1.5151515151515152E-2</v>
      </c>
      <c r="AA37">
        <v>100</v>
      </c>
      <c r="AB37">
        <f>ROUND(AA37*1.6, 0)</f>
        <v>160</v>
      </c>
      <c r="AE37">
        <v>20.12</v>
      </c>
      <c r="AF37">
        <v>20.12</v>
      </c>
      <c r="AI37" s="9">
        <v>36</v>
      </c>
      <c r="AJ37" s="14" t="str">
        <f>CONCATENATE(VLOOKUP(AK37, 'Voxel Sizes'!$A$2:$B$18,2,FALSE),"x",INT(AG37*15), "x", INT(AH37*15))</f>
        <v>198x0x0</v>
      </c>
      <c r="AK37" s="14">
        <f>ROUND(15*((AF37*10)/256),0)</f>
        <v>12</v>
      </c>
      <c r="AM37" s="14" t="str">
        <f>CONCATENATE(VLOOKUP(AK37,Constants!$A$2:$C$16,IF(AL37&lt;&gt;"", 3, 2), FALSE),IF(AL37&lt;&gt;"",CONCATENATE(",",VLOOKUP(AL37,$B:$AM,38,FALSE)),""))</f>
        <v>4,4,4</v>
      </c>
      <c r="AW37">
        <v>33</v>
      </c>
      <c r="AX37" s="14" t="str">
        <f>IF(K37&lt;&gt;"",MAX(16,(K37-I37)+8),"")</f>
        <v/>
      </c>
      <c r="AY37">
        <v>-35</v>
      </c>
      <c r="AZ37">
        <v>-52</v>
      </c>
      <c r="BA37" s="16">
        <f>MIN(AA37/150, 1)*30</f>
        <v>20</v>
      </c>
      <c r="BB37" s="16">
        <f>MIN(M37/4000, 1)*20</f>
        <v>0.25</v>
      </c>
      <c r="BC37" s="16">
        <f>MIN(Y37/400,1)*20</f>
        <v>0.25</v>
      </c>
      <c r="BD37" s="17">
        <f>1-(MAX(I37-1900, 0)/750)</f>
        <v>0.89466666666666672</v>
      </c>
      <c r="BE37" s="16">
        <f>((MAX($L37,1)*MIN($AI37/300,1)))*IF(F37="Wagon",50,10)</f>
        <v>1.2</v>
      </c>
      <c r="BF37" s="16">
        <f>VLOOKUP($G37,Constants!$I:$K, 2, FALSE)</f>
        <v>0.85</v>
      </c>
      <c r="BG37" s="16">
        <f>VLOOKUP($G37,Constants!$I:$K, 3, FALSE)*IF(AND(F37="multiple_unit",AA37&lt;110),0.75,1)</f>
        <v>2.2999999999999998</v>
      </c>
      <c r="BH37" s="16">
        <f>INT(POWER(((Constants!$G$2+$BA37+$BB37+$BC37+$BE37)*$BD37)*$BG37, 1.05))+$AZ37</f>
        <v>15</v>
      </c>
      <c r="BI37" s="16">
        <f>INT(POWER((((Constants!$G$1+$BA37+$BB37+$BC37+$BE37)*($BD37))*$BF37),IF($F37="wagon",1,1.2)))+$AY37</f>
        <v>19</v>
      </c>
      <c r="BJ37" s="19">
        <f>BH37*IF($F37="wagon",62.5,781.25)</f>
        <v>11718.75</v>
      </c>
      <c r="BK37" s="19">
        <f>BI37*IF($F37="wagon",2.73,81.25)</f>
        <v>1543.75</v>
      </c>
      <c r="BL37">
        <v>1</v>
      </c>
      <c r="BM37">
        <v>1</v>
      </c>
      <c r="BT37">
        <v>7</v>
      </c>
      <c r="BV37" t="s">
        <v>142</v>
      </c>
      <c r="BW37" t="s">
        <v>34</v>
      </c>
      <c r="BX37" s="22" t="str">
        <f>VLOOKUP(I37,Eras!$A$2:$C$10, 2, TRUE)</f>
        <v>lbr</v>
      </c>
      <c r="BY37" t="s">
        <v>73</v>
      </c>
      <c r="BZ37" s="22" t="str">
        <f>CONCATENATE(BX37,"_",BY37)</f>
        <v>lbr_Express (Electric)</v>
      </c>
      <c r="CA37" s="22" t="str">
        <f>_xlfn.CONCAT(G37, "_",H37)</f>
        <v>none_RAIL</v>
      </c>
      <c r="CB37" s="22" t="str">
        <f>VLOOKUP($CA37, Constants!$M:$N, 2, FALSE)</f>
        <v/>
      </c>
      <c r="CC37" s="22" t="str">
        <f t="shared" si="95"/>
        <v/>
      </c>
      <c r="CD37" t="s">
        <v>358</v>
      </c>
      <c r="CE37" s="22" t="str">
        <f t="shared" si="13"/>
        <v/>
      </c>
      <c r="CF37" s="22" t="str">
        <f>_xlfn.CONCAT(CB37,IF(CB37 &lt;&gt; "", " ", ""),CC37,IF(OR(CC37&lt;&gt;"", CB37&lt;&gt;""), "{}",""), CE37,"{SILVER}", CD37)</f>
        <v>{SILVER}The DBSO is a driving trailer built from a converted Mk2F carriage. They were first used with Class 47 locomotives for a push-pull service that could be driven from either end.</v>
      </c>
    </row>
    <row r="38" spans="1:84" x14ac:dyDescent="0.3">
      <c r="A38" t="s">
        <v>314</v>
      </c>
      <c r="B38" t="s">
        <v>315</v>
      </c>
      <c r="D38">
        <v>-1</v>
      </c>
      <c r="F38" t="s">
        <v>15</v>
      </c>
      <c r="G38" t="s">
        <v>32</v>
      </c>
      <c r="H38" t="s">
        <v>28</v>
      </c>
      <c r="Z38" s="3" t="str">
        <f t="shared" si="43"/>
        <v/>
      </c>
      <c r="AB38">
        <f t="shared" si="42"/>
        <v>0</v>
      </c>
      <c r="AJ38" s="14" t="str">
        <f>CONCATENATE(VLOOKUP(AK38, 'Voxel Sizes'!$A$2:$B$18,2,FALSE),"x",INT(AG38*15), "x", INT(AH38*15))</f>
        <v>0x0x0</v>
      </c>
      <c r="AK38" s="14">
        <f t="shared" si="44"/>
        <v>0</v>
      </c>
      <c r="AM38" s="14" t="str">
        <f>CONCATENATE(VLOOKUP(AK38,Constants!$A$2:$C$16,IF(AL38&lt;&gt;"", 3, 2), FALSE),IF(AL38&lt;&gt;"",CONCATENATE(",",VLOOKUP(AL38,$B:$AM,38,FALSE)),""))</f>
        <v>na</v>
      </c>
      <c r="AX38" s="14" t="str">
        <f t="shared" si="45"/>
        <v/>
      </c>
      <c r="BA38" s="16">
        <f t="shared" si="46"/>
        <v>0</v>
      </c>
      <c r="BB38" s="16">
        <f t="shared" si="47"/>
        <v>0</v>
      </c>
      <c r="BC38" s="16">
        <f t="shared" si="48"/>
        <v>0</v>
      </c>
      <c r="BD38" s="17">
        <f t="shared" si="49"/>
        <v>1</v>
      </c>
      <c r="BE38" s="16">
        <f t="shared" si="50"/>
        <v>0</v>
      </c>
      <c r="BF38" s="16">
        <f>VLOOKUP($G38,Constants!$I:$K, 2, FALSE)</f>
        <v>1</v>
      </c>
      <c r="BG38" s="16">
        <f>VLOOKUP($G38,Constants!$I:$K, 3, FALSE)*IF(AND(F38="multiple_unit",AA38&lt;110),0.75,1)</f>
        <v>0.45</v>
      </c>
      <c r="BH38" s="16">
        <f>INT(POWER(((Constants!$G$2+$BA38+$BB38+$BC38+$BE38)*$BD38)*$BG38, 1.05))+$AZ38</f>
        <v>2</v>
      </c>
      <c r="BI38" s="16">
        <f>INT(POWER((((Constants!$G$1+$BA38+$BB38+$BC38+$BE38)*($BD38))*$BF38),IF($F38="wagon",1,1.2)))+$AY38</f>
        <v>25</v>
      </c>
      <c r="BJ38" s="19">
        <f t="shared" si="51"/>
        <v>1562.5</v>
      </c>
      <c r="BK38" s="19">
        <f t="shared" si="52"/>
        <v>2031.25</v>
      </c>
      <c r="BT38">
        <v>7</v>
      </c>
      <c r="BX38" s="22" t="e">
        <f>VLOOKUP(I38,Eras!$A$2:$C$10, 2, TRUE)</f>
        <v>#N/A</v>
      </c>
      <c r="BY38" t="s">
        <v>66</v>
      </c>
      <c r="BZ38" s="22" t="e">
        <f t="shared" si="53"/>
        <v>#N/A</v>
      </c>
      <c r="CA38" s="22" t="str">
        <f t="shared" si="54"/>
        <v>wagon_RAIL</v>
      </c>
      <c r="CB38" s="22" t="str">
        <f>VLOOKUP($CA38, Constants!$M:$N, 2, FALSE)</f>
        <v/>
      </c>
      <c r="CC38" s="22" t="str">
        <f t="shared" si="95"/>
        <v/>
      </c>
      <c r="CE38" s="22" t="str">
        <f t="shared" si="13"/>
        <v/>
      </c>
      <c r="CF38" s="22" t="str">
        <f t="shared" si="55"/>
        <v>{SILVER}</v>
      </c>
    </row>
    <row r="39" spans="1:84" x14ac:dyDescent="0.3">
      <c r="A39" t="s">
        <v>428</v>
      </c>
      <c r="B39" t="s">
        <v>463</v>
      </c>
      <c r="C39">
        <v>3562</v>
      </c>
      <c r="D39">
        <v>18</v>
      </c>
      <c r="E39" t="s">
        <v>493</v>
      </c>
      <c r="F39" t="s">
        <v>231</v>
      </c>
      <c r="G39" t="s">
        <v>26</v>
      </c>
      <c r="H39" t="s">
        <v>28</v>
      </c>
      <c r="I39">
        <v>1956</v>
      </c>
      <c r="J39">
        <v>1959</v>
      </c>
      <c r="K39">
        <v>1988</v>
      </c>
      <c r="L39">
        <v>2</v>
      </c>
      <c r="M39">
        <v>300</v>
      </c>
      <c r="V39">
        <f>30.5*2</f>
        <v>61</v>
      </c>
      <c r="X39">
        <v>5</v>
      </c>
      <c r="Y39">
        <v>65</v>
      </c>
      <c r="Z39" s="3">
        <f>IF(AND(V39&gt;0,Y39&gt;0),(Y39/((V39+W39)*10)),"")</f>
        <v>0.10655737704918032</v>
      </c>
      <c r="AA39">
        <v>70</v>
      </c>
      <c r="AB39">
        <f>ROUND(AA39*1.6, 0)</f>
        <v>112</v>
      </c>
      <c r="AE39">
        <v>17.53</v>
      </c>
      <c r="AF39">
        <v>17.53</v>
      </c>
      <c r="AH39">
        <v>3.84</v>
      </c>
      <c r="AI39" s="9">
        <v>54</v>
      </c>
      <c r="AJ39" s="14" t="str">
        <f>CONCATENATE(VLOOKUP(AK39, 'Voxel Sizes'!$A$2:$B$18,2,FALSE),"x",INT(AG39*15), "x", INT(AH39*15))</f>
        <v>164x0x57</v>
      </c>
      <c r="AK39" s="14">
        <f t="shared" ref="AK39" si="105">ROUND(15*((AF39*10)/256),0)</f>
        <v>10</v>
      </c>
      <c r="AM39" s="14" t="str">
        <f>CONCATENATE(VLOOKUP(AK39,Constants!$A$2:$C$16,IF(AL39&lt;&gt;"", 3, 2), FALSE),IF(AL39&lt;&gt;"",CONCATENATE(",",VLOOKUP(AL39,$B:$AM,38,FALSE)),""))</f>
        <v>4,2,4</v>
      </c>
      <c r="AQ39" t="s">
        <v>462</v>
      </c>
      <c r="AS39" t="s">
        <v>432</v>
      </c>
      <c r="AW39">
        <v>45</v>
      </c>
      <c r="AX39" s="14">
        <v>45</v>
      </c>
      <c r="AY39">
        <v>-13</v>
      </c>
      <c r="AZ39">
        <v>-22</v>
      </c>
      <c r="BA39" s="16">
        <f>MIN(AA39/150, 1)*30</f>
        <v>14</v>
      </c>
      <c r="BB39" s="16">
        <f>MIN(M39/4000, 1)*20</f>
        <v>1.5</v>
      </c>
      <c r="BC39" s="16">
        <f>MIN(Y39/400,1)*20</f>
        <v>3.25</v>
      </c>
      <c r="BD39" s="17">
        <f>1-(MAX(I39-1900, 0)/750)</f>
        <v>0.92533333333333334</v>
      </c>
      <c r="BE39" s="16">
        <f>((MAX($L39,1)*MIN($AI39/300,1)))*IF(F39="Wagon",50,10)</f>
        <v>3.5999999999999996</v>
      </c>
      <c r="BF39" s="16">
        <f>VLOOKUP($G39,Constants!$I:$K, 2, FALSE)</f>
        <v>1</v>
      </c>
      <c r="BG39" s="16">
        <f>VLOOKUP($G39,Constants!$I:$K, 3, FALSE)*IF(AND(F39="multiple_unit",AA39&lt;110),0.75,1)</f>
        <v>1.5</v>
      </c>
      <c r="BH39" s="16">
        <f>INT(POWER(((Constants!$G$2+$BA39+$BB39+$BC39+$BE39)*$BD39)*$BG39, 1.05))+$AZ39</f>
        <v>23</v>
      </c>
      <c r="BI39" s="16">
        <f>INT(POWER((((Constants!$G$1+$BA39+$BB39+$BC39+$BE39)*($BD39))*$BF39),IF($F39="wagon",1,1.2)))+$AY39</f>
        <v>57</v>
      </c>
      <c r="BJ39" s="19">
        <f>BH39*IF($F39="wagon",62.5,781.25)</f>
        <v>17968.75</v>
      </c>
      <c r="BK39" s="19">
        <f>BI39*IF($F39="wagon",2.73,81.25)</f>
        <v>4631.25</v>
      </c>
      <c r="BT39">
        <v>11</v>
      </c>
      <c r="BU39">
        <v>185</v>
      </c>
      <c r="BV39" t="s">
        <v>142</v>
      </c>
      <c r="BW39" t="s">
        <v>34</v>
      </c>
      <c r="BX39" t="s">
        <v>55</v>
      </c>
      <c r="BY39" t="s">
        <v>66</v>
      </c>
      <c r="BZ39" t="str">
        <f>CONCATENATE(BX39,"_",BY39)</f>
        <v>dsl_DMU</v>
      </c>
      <c r="CA39" t="str">
        <f>_xlfn.CONCAT(G39, "_",H39)</f>
        <v>diesel_RAIL</v>
      </c>
      <c r="CB39" t="s">
        <v>449</v>
      </c>
      <c r="CC39" s="22" t="str">
        <f t="shared" si="95"/>
        <v>{BLACK}Cars: {GOLD}2</v>
      </c>
      <c r="CD39" t="s">
        <v>461</v>
      </c>
      <c r="CE39" s="22" t="str">
        <f t="shared" si="13"/>
        <v/>
      </c>
      <c r="CF39" t="str">
        <f>_xlfn.CONCAT(CB39,IF(CB39 &lt;&gt; "", " ", ""),CC39,IF(OR(CC39&lt;&gt;"", CB39&lt;&gt;""), "{}",""), CE39,"{SILVER}", CD39)</f>
        <v>{BLACK}Powered by: {GOLD}Diesel {BLACK}Cars: {GOLD}2{}{SILVER}The Class 105 had a long and hard life on British Railways, mostly around the Eastern Region. Sadly this meant few survived in a viable condition for preservation.</v>
      </c>
    </row>
    <row r="40" spans="1:84" x14ac:dyDescent="0.3">
      <c r="A40" t="s">
        <v>232</v>
      </c>
      <c r="B40" t="s">
        <v>233</v>
      </c>
      <c r="C40">
        <v>3592</v>
      </c>
      <c r="D40">
        <v>19</v>
      </c>
      <c r="E40" t="s">
        <v>493</v>
      </c>
      <c r="F40" t="s">
        <v>231</v>
      </c>
      <c r="G40" t="s">
        <v>26</v>
      </c>
      <c r="H40" t="s">
        <v>28</v>
      </c>
      <c r="I40">
        <v>1959</v>
      </c>
      <c r="J40">
        <v>1961</v>
      </c>
      <c r="K40">
        <v>1999</v>
      </c>
      <c r="L40">
        <v>3</v>
      </c>
      <c r="M40">
        <v>600</v>
      </c>
      <c r="V40">
        <f>36.6+36.6+30.5</f>
        <v>103.7</v>
      </c>
      <c r="X40">
        <v>6</v>
      </c>
      <c r="Y40">
        <v>83</v>
      </c>
      <c r="Z40" s="3">
        <f>IF(AND(V40&gt;0,Y40&gt;0),(Y40/((V40+W40)*10)),"")</f>
        <v>8.0038572806171646E-2</v>
      </c>
      <c r="AA40">
        <v>70</v>
      </c>
      <c r="AB40">
        <f>ROUND(AA40*1.6, 0)</f>
        <v>112</v>
      </c>
      <c r="AE40">
        <v>19.5</v>
      </c>
      <c r="AF40">
        <v>19.5</v>
      </c>
      <c r="AH40">
        <v>3.77</v>
      </c>
      <c r="AI40" s="9">
        <v>60</v>
      </c>
      <c r="AJ40" s="14" t="str">
        <f>CONCATENATE(VLOOKUP(AK40, 'Voxel Sizes'!$A$2:$B$18,2,FALSE),"x",INT(AG40*15), "x", INT(AH40*15))</f>
        <v>186x0x56</v>
      </c>
      <c r="AK40" s="14">
        <f>ROUND(15*((AF40*10)/256),0)</f>
        <v>11</v>
      </c>
      <c r="AM40" s="14" t="str">
        <f>CONCATENATE(VLOOKUP(AK40,Constants!$A$2:$C$16,IF(AL40&lt;&gt;"", 3, 2), FALSE),IF(AL40&lt;&gt;"",CONCATENATE(",",VLOOKUP(AL40,$B:$AM,38,FALSE)),""))</f>
        <v>4,3,4</v>
      </c>
      <c r="AQ40" t="s">
        <v>234</v>
      </c>
      <c r="AS40" t="s">
        <v>37</v>
      </c>
      <c r="AW40">
        <v>42</v>
      </c>
      <c r="AX40" s="14">
        <f>IF(K40&lt;&gt;"",MAX(16,(K40-I40)+8),"")</f>
        <v>48</v>
      </c>
      <c r="AY40">
        <v>-10</v>
      </c>
      <c r="AZ40">
        <v>-15</v>
      </c>
      <c r="BA40" s="16">
        <f>MIN(AA40/150, 1)*30</f>
        <v>14</v>
      </c>
      <c r="BB40" s="16">
        <f>MIN(M40/4000, 1)*20</f>
        <v>3</v>
      </c>
      <c r="BC40" s="16">
        <f>MIN(Y40/400,1)*20</f>
        <v>4.1499999999999995</v>
      </c>
      <c r="BD40" s="17">
        <f>1-(MAX(I40-1900, 0)/750)</f>
        <v>0.92133333333333334</v>
      </c>
      <c r="BE40" s="16">
        <f>((MAX($L40,1)*MIN($AI40/300,1)))*IF(F40="Wagon",50,10)</f>
        <v>6.0000000000000009</v>
      </c>
      <c r="BF40" s="16">
        <f>VLOOKUP($G40,Constants!$I:$K, 2, FALSE)</f>
        <v>1</v>
      </c>
      <c r="BG40" s="16">
        <f>VLOOKUP($G40,Constants!$I:$K, 3, FALSE)*IF(AND(F40="multiple_unit",AA40&lt;110),0.75,1)</f>
        <v>1.5</v>
      </c>
      <c r="BH40" s="16">
        <f>INT(POWER(((Constants!$G$2+$BA40+$BB40+$BC40+$BE40)*$BD40)*$BG40, 1.05))+$AZ40</f>
        <v>38</v>
      </c>
      <c r="BI40" s="16">
        <f>INT(POWER((((Constants!$G$1+$BA40+$BB40+$BC40+$BE40)*($BD40))*$BF40),IF($F40="wagon",1,1.2)))+$AY40</f>
        <v>70</v>
      </c>
      <c r="BJ40" s="19">
        <f>BH40*IF($F40="wagon",62.5,781.25)</f>
        <v>29687.5</v>
      </c>
      <c r="BK40" s="19">
        <f>BI40*IF($F40="wagon",2.73,81.25)</f>
        <v>5687.5</v>
      </c>
      <c r="BT40">
        <v>5</v>
      </c>
      <c r="BV40" t="s">
        <v>142</v>
      </c>
      <c r="BW40" t="s">
        <v>34</v>
      </c>
      <c r="BX40" s="22" t="str">
        <f>VLOOKUP(I40,Eras!$A$2:$C$10, 2, TRUE)</f>
        <v>dsl</v>
      </c>
      <c r="BY40" t="s">
        <v>66</v>
      </c>
      <c r="BZ40" s="22" t="str">
        <f>CONCATENATE(BX40,"_",BY40)</f>
        <v>dsl_DMU</v>
      </c>
      <c r="CA40" s="22" t="str">
        <f>_xlfn.CONCAT(G40, "_",H40)</f>
        <v>diesel_RAIL</v>
      </c>
      <c r="CB40" s="22" t="str">
        <f>VLOOKUP($CA40, Constants!$M:$N, 2, FALSE)</f>
        <v>{BLACK}Powered by: {GOLD}Diesel</v>
      </c>
      <c r="CC40" s="22" t="str">
        <f t="shared" si="95"/>
        <v>{BLACK}Cars: {GOLD}3</v>
      </c>
      <c r="CD40" t="s">
        <v>235</v>
      </c>
      <c r="CE40" s="22" t="str">
        <f t="shared" si="13"/>
        <v/>
      </c>
      <c r="CF40" s="22" t="str">
        <f>_xlfn.CONCAT(CB40,IF(CB40 &lt;&gt; "", " ", ""),CC40,IF(OR(CC40&lt;&gt;"", CB40&lt;&gt;""), "{}",""), CE40,"{SILVER}", CD40)</f>
        <v>{BLACK}Powered by: {GOLD}Diesel {BLACK}Cars: {GOLD}3{}{SILVER}The Class 117 was built under licence by Pressed Steel, being a variant of the Class 116 built by BRCW Derby.</v>
      </c>
    </row>
    <row r="41" spans="1:84" ht="13.2" customHeight="1" x14ac:dyDescent="0.3">
      <c r="A41" t="s">
        <v>347</v>
      </c>
      <c r="B41" t="s">
        <v>348</v>
      </c>
      <c r="C41">
        <v>3491</v>
      </c>
      <c r="D41">
        <v>20</v>
      </c>
      <c r="E41" t="s">
        <v>493</v>
      </c>
      <c r="F41" t="s">
        <v>231</v>
      </c>
      <c r="G41" t="s">
        <v>38</v>
      </c>
      <c r="H41" t="s">
        <v>316</v>
      </c>
      <c r="I41">
        <v>1949</v>
      </c>
      <c r="K41">
        <v>1971</v>
      </c>
      <c r="L41">
        <v>4</v>
      </c>
      <c r="M41">
        <v>900</v>
      </c>
      <c r="V41">
        <v>135</v>
      </c>
      <c r="X41">
        <v>3</v>
      </c>
      <c r="Y41">
        <v>120</v>
      </c>
      <c r="Z41" s="3">
        <f t="shared" si="43"/>
        <v>8.8888888888888892E-2</v>
      </c>
      <c r="AA41">
        <v>75</v>
      </c>
      <c r="AB41">
        <f t="shared" si="42"/>
        <v>120</v>
      </c>
      <c r="AE41">
        <v>19.600000000000001</v>
      </c>
      <c r="AF41">
        <v>19.600000000000001</v>
      </c>
      <c r="AG41">
        <v>2.82</v>
      </c>
      <c r="AI41" s="9">
        <v>69</v>
      </c>
      <c r="AJ41" s="14" t="str">
        <f>CONCATENATE(VLOOKUP(AK41, 'Voxel Sizes'!$A$2:$B$18,2,FALSE),"x",INT(AG41*15), "x", INT(AH41*15))</f>
        <v>186x42x0</v>
      </c>
      <c r="AK41" s="14">
        <f t="shared" si="44"/>
        <v>11</v>
      </c>
      <c r="AM41" s="14" t="str">
        <f>CONCATENATE(VLOOKUP(AK41,Constants!$A$2:$C$16,IF(AL41&lt;&gt;"", 3, 2), FALSE),IF(AL41&lt;&gt;"",CONCATENATE(",",VLOOKUP(AL41,$B:$AM,38,FALSE)),""))</f>
        <v>4,3,4</v>
      </c>
      <c r="AQ41" t="s">
        <v>349</v>
      </c>
      <c r="AS41" t="s">
        <v>350</v>
      </c>
      <c r="AW41">
        <v>23</v>
      </c>
      <c r="AX41" s="14">
        <f t="shared" si="45"/>
        <v>30</v>
      </c>
      <c r="AY41">
        <v>-10</v>
      </c>
      <c r="AZ41">
        <v>-15</v>
      </c>
      <c r="BA41" s="16">
        <f t="shared" si="46"/>
        <v>15</v>
      </c>
      <c r="BB41" s="16">
        <f t="shared" si="47"/>
        <v>4.5</v>
      </c>
      <c r="BC41" s="16">
        <f t="shared" si="48"/>
        <v>6</v>
      </c>
      <c r="BD41" s="17">
        <f t="shared" si="49"/>
        <v>0.93466666666666665</v>
      </c>
      <c r="BE41" s="16">
        <f t="shared" si="50"/>
        <v>9.2000000000000011</v>
      </c>
      <c r="BF41" s="16">
        <f>VLOOKUP($G41,Constants!$I:$K, 2, FALSE)</f>
        <v>0.85</v>
      </c>
      <c r="BG41" s="16">
        <f>VLOOKUP($G41,Constants!$I:$K, 3, FALSE)*IF(AND(F41="multiple_unit",AA41&lt;110),0.75,1)</f>
        <v>1.7249999999999999</v>
      </c>
      <c r="BH41" s="16">
        <f>INT(POWER(((Constants!$G$2+$BA41+$BB41+$BC41+$BE41)*$BD41)*$BG41, 1.05))+$AZ41</f>
        <v>63</v>
      </c>
      <c r="BI41" s="16">
        <f>INT(POWER((((Constants!$G$1+$BA41+$BB41+$BC41+$BE41)*($BD41))*$BF41),IF($F41="wagon",1,1.2)))+$AY41</f>
        <v>72</v>
      </c>
      <c r="BJ41" s="19">
        <f t="shared" si="51"/>
        <v>49218.75</v>
      </c>
      <c r="BK41" s="19">
        <f t="shared" si="52"/>
        <v>5850</v>
      </c>
      <c r="BT41">
        <v>8</v>
      </c>
      <c r="BU41">
        <v>165</v>
      </c>
      <c r="BV41" t="s">
        <v>142</v>
      </c>
      <c r="BW41" t="s">
        <v>34</v>
      </c>
      <c r="BX41" s="22" t="str">
        <f>VLOOKUP(I41,Eras!$A$2:$C$10, 2, TRUE)</f>
        <v>ebr</v>
      </c>
      <c r="BY41" t="s">
        <v>66</v>
      </c>
      <c r="BZ41" s="22" t="str">
        <f t="shared" si="53"/>
        <v>ebr_DMU</v>
      </c>
      <c r="CA41" s="22" t="str">
        <f t="shared" si="54"/>
        <v>electric_THIRD_RAIL</v>
      </c>
      <c r="CB41" s="22" t="str">
        <f>VLOOKUP($CA41, Constants!$M:$N, 2, FALSE)</f>
        <v>{BLACK}Powered by: {GOLD}750V DC</v>
      </c>
      <c r="CC41" s="22" t="str">
        <f t="shared" si="95"/>
        <v>{BLACK}Cars: {GOLD}4</v>
      </c>
      <c r="CD41" t="s">
        <v>351</v>
      </c>
      <c r="CE41" s="22" t="str">
        <f t="shared" si="13"/>
        <v>{YELLOW}10% Penalty for long distance travel{}</v>
      </c>
      <c r="CF41" s="22" t="str">
        <f t="shared" si="5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2" spans="1:84" x14ac:dyDescent="0.3">
      <c r="A42" t="s">
        <v>375</v>
      </c>
      <c r="B42" t="s">
        <v>373</v>
      </c>
      <c r="C42">
        <v>3591</v>
      </c>
      <c r="D42">
        <v>21</v>
      </c>
      <c r="E42" t="s">
        <v>493</v>
      </c>
      <c r="F42" t="s">
        <v>231</v>
      </c>
      <c r="G42" t="s">
        <v>26</v>
      </c>
      <c r="H42" t="s">
        <v>28</v>
      </c>
      <c r="I42">
        <v>1959</v>
      </c>
      <c r="K42">
        <v>1991</v>
      </c>
      <c r="L42">
        <v>1</v>
      </c>
      <c r="M42">
        <v>460</v>
      </c>
      <c r="V42">
        <v>41</v>
      </c>
      <c r="X42">
        <v>6</v>
      </c>
      <c r="Y42">
        <v>65</v>
      </c>
      <c r="Z42" s="3">
        <f t="shared" si="43"/>
        <v>0.15853658536585366</v>
      </c>
      <c r="AA42">
        <v>70</v>
      </c>
      <c r="AB42">
        <f t="shared" si="42"/>
        <v>112</v>
      </c>
      <c r="AD42">
        <v>1</v>
      </c>
      <c r="AE42">
        <v>19.66</v>
      </c>
      <c r="AF42">
        <v>19.66</v>
      </c>
      <c r="AH42">
        <v>3.77</v>
      </c>
      <c r="AI42" s="9">
        <v>72</v>
      </c>
      <c r="AJ42" s="14" t="str">
        <f>CONCATENATE(VLOOKUP(AK42, 'Voxel Sizes'!$A$2:$B$18,2,FALSE),"x",INT(AG42*15), "x", INT(AH42*15))</f>
        <v>198x0x56</v>
      </c>
      <c r="AK42" s="14">
        <f t="shared" si="44"/>
        <v>12</v>
      </c>
      <c r="AM42" s="14" t="str">
        <f>CONCATENATE(VLOOKUP(AK42,Constants!$A$2:$C$16,IF(AL42&lt;&gt;"", 3, 2), FALSE),IF(AL42&lt;&gt;"",CONCATENATE(",",VLOOKUP(AL42,$B:$AM,38,FALSE)),""))</f>
        <v>4,4,4</v>
      </c>
      <c r="AQ42" t="s">
        <v>373</v>
      </c>
      <c r="AS42">
        <v>1</v>
      </c>
      <c r="AW42">
        <v>45</v>
      </c>
      <c r="AX42" s="14">
        <f t="shared" si="45"/>
        <v>40</v>
      </c>
      <c r="AY42">
        <v>-10</v>
      </c>
      <c r="AZ42">
        <v>-15</v>
      </c>
      <c r="BA42" s="16">
        <f t="shared" si="46"/>
        <v>14</v>
      </c>
      <c r="BB42" s="16">
        <f t="shared" si="47"/>
        <v>2.3000000000000003</v>
      </c>
      <c r="BC42" s="16">
        <f t="shared" si="48"/>
        <v>3.25</v>
      </c>
      <c r="BD42" s="17">
        <f t="shared" si="49"/>
        <v>0.92133333333333334</v>
      </c>
      <c r="BE42" s="16">
        <f t="shared" si="50"/>
        <v>2.4</v>
      </c>
      <c r="BF42" s="16">
        <f>VLOOKUP($G42,Constants!$I:$K, 2, FALSE)</f>
        <v>1</v>
      </c>
      <c r="BG42" s="16">
        <f>VLOOKUP($G42,Constants!$I:$K, 3, FALSE)*IF(AND(F42="multiple_unit",AA42&lt;110),0.75,1)</f>
        <v>1.5</v>
      </c>
      <c r="BH42" s="16">
        <f>INT(POWER(((Constants!$G$2+$BA42+$BB42+$BC42+$BE42)*$BD42)*$BG42, 1.05))+$AZ42</f>
        <v>29</v>
      </c>
      <c r="BI42" s="16">
        <f>INT(POWER((((Constants!$G$1+$BA42+$BB42+$BC42+$BE42)*($BD42))*$BF42),IF($F42="wagon",1,1.2)))+$AY42</f>
        <v>58</v>
      </c>
      <c r="BJ42" s="19">
        <f t="shared" si="51"/>
        <v>22656.25</v>
      </c>
      <c r="BK42" s="19">
        <f t="shared" si="52"/>
        <v>4712.5</v>
      </c>
      <c r="BT42">
        <v>4</v>
      </c>
      <c r="BU42">
        <v>185</v>
      </c>
      <c r="BW42" t="s">
        <v>280</v>
      </c>
      <c r="BX42" s="22" t="str">
        <f>VLOOKUP(I42,Eras!$A$2:$C$10, 2, TRUE)</f>
        <v>dsl</v>
      </c>
      <c r="BY42" t="s">
        <v>66</v>
      </c>
      <c r="BZ42" s="22" t="str">
        <f t="shared" si="53"/>
        <v>dsl_DMU</v>
      </c>
      <c r="CA42" s="22" t="str">
        <f t="shared" si="54"/>
        <v>diesel_RAIL</v>
      </c>
      <c r="CB42" s="22" t="str">
        <f>VLOOKUP($CA42, Constants!$M:$N, 2, FALSE)</f>
        <v>{BLACK}Powered by: {GOLD}Diesel</v>
      </c>
      <c r="CC42" s="22" t="str">
        <f t="shared" si="95"/>
        <v/>
      </c>
      <c r="CD42" t="s">
        <v>374</v>
      </c>
      <c r="CE42" s="22" t="str">
        <f t="shared" si="13"/>
        <v/>
      </c>
      <c r="CF42" s="22" t="str">
        <f t="shared" si="55"/>
        <v>{BLACK}Powered by: {GOLD}Diesel {}{SILVER}The Class 128 was built specifically for carrying parcels by the Gloucester Railway Carriage and Wagon Company.</v>
      </c>
    </row>
    <row r="43" spans="1:84" x14ac:dyDescent="0.3">
      <c r="A43" t="s">
        <v>393</v>
      </c>
      <c r="B43" t="s">
        <v>394</v>
      </c>
      <c r="C43">
        <v>4051</v>
      </c>
      <c r="D43">
        <v>22</v>
      </c>
      <c r="E43" t="s">
        <v>493</v>
      </c>
      <c r="F43" t="s">
        <v>231</v>
      </c>
      <c r="G43" t="s">
        <v>26</v>
      </c>
      <c r="H43" t="s">
        <v>28</v>
      </c>
      <c r="I43">
        <v>2005</v>
      </c>
      <c r="J43">
        <v>2006</v>
      </c>
      <c r="L43">
        <v>3</v>
      </c>
      <c r="M43">
        <f>750*3</f>
        <v>2250</v>
      </c>
      <c r="V43">
        <v>169</v>
      </c>
      <c r="X43">
        <v>5</v>
      </c>
      <c r="Y43">
        <v>185</v>
      </c>
      <c r="Z43" s="3">
        <f t="shared" si="43"/>
        <v>0.10946745562130178</v>
      </c>
      <c r="AA43">
        <v>100</v>
      </c>
      <c r="AB43">
        <f t="shared" si="42"/>
        <v>160</v>
      </c>
      <c r="AE43">
        <v>20.399999999999999</v>
      </c>
      <c r="AF43">
        <v>20.399999999999999</v>
      </c>
      <c r="AG43">
        <v>2.8</v>
      </c>
      <c r="AI43" s="9">
        <v>60</v>
      </c>
      <c r="AJ43" s="14" t="str">
        <f>CONCATENATE(VLOOKUP(AK43, 'Voxel Sizes'!$A$2:$B$18,2,FALSE),"x",INT(AG43*15), "x", INT(AH43*15))</f>
        <v>198x42x0</v>
      </c>
      <c r="AK43" s="14">
        <f t="shared" si="44"/>
        <v>12</v>
      </c>
      <c r="AM43" s="14" t="str">
        <f>CONCATENATE(VLOOKUP(AK43,Constants!$A$2:$C$16,IF(AL43&lt;&gt;"", 3, 2), FALSE),IF(AL43&lt;&gt;"",CONCATENATE(",",VLOOKUP(AL43,$B:$AM,38,FALSE)),""))</f>
        <v>4,4,4</v>
      </c>
      <c r="AN43">
        <v>4</v>
      </c>
      <c r="AQ43" t="s">
        <v>392</v>
      </c>
      <c r="AS43" t="s">
        <v>37</v>
      </c>
      <c r="AW43">
        <v>28</v>
      </c>
      <c r="AX43" s="14" t="str">
        <f t="shared" si="45"/>
        <v/>
      </c>
      <c r="AY43">
        <v>-12</v>
      </c>
      <c r="AZ43">
        <v>-30</v>
      </c>
      <c r="BA43" s="16">
        <f t="shared" si="46"/>
        <v>20</v>
      </c>
      <c r="BB43" s="16">
        <f t="shared" si="47"/>
        <v>11.25</v>
      </c>
      <c r="BC43" s="16">
        <f t="shared" si="48"/>
        <v>9.25</v>
      </c>
      <c r="BD43" s="17">
        <f t="shared" si="49"/>
        <v>0.86</v>
      </c>
      <c r="BE43" s="16">
        <f t="shared" si="50"/>
        <v>6.0000000000000009</v>
      </c>
      <c r="BF43" s="16">
        <f>VLOOKUP($G43,Constants!$I:$K, 2, FALSE)</f>
        <v>1</v>
      </c>
      <c r="BG43" s="16">
        <f>VLOOKUP($G43,Constants!$I:$K, 3, FALSE)*IF(AND(F43="multiple_unit",AA43&lt;110),0.75,1)</f>
        <v>1.5</v>
      </c>
      <c r="BH43" s="16">
        <f>INT(POWER(((Constants!$G$2+$BA43+$BB43+$BC43+$BE43)*$BD43)*$BG43, 1.05))+$AZ43</f>
        <v>51</v>
      </c>
      <c r="BI43" s="16">
        <f>INT(POWER((((Constants!$G$1+$BA43+$BB43+$BC43+$BE43)*($BD43))*$BF43),IF($F43="wagon",1,1.2)))+$AY43</f>
        <v>104</v>
      </c>
      <c r="BJ43" s="19">
        <f t="shared" si="51"/>
        <v>39843.75</v>
      </c>
      <c r="BK43" s="19">
        <f t="shared" si="52"/>
        <v>8450</v>
      </c>
      <c r="BT43">
        <v>3</v>
      </c>
      <c r="BU43">
        <v>185</v>
      </c>
      <c r="BV43" t="s">
        <v>142</v>
      </c>
      <c r="BW43" t="s">
        <v>34</v>
      </c>
      <c r="BX43" s="22" t="str">
        <f>VLOOKUP(I43,Eras!$A$2:$C$10, 2, TRUE)</f>
        <v>mod</v>
      </c>
      <c r="BY43" t="s">
        <v>68</v>
      </c>
      <c r="BZ43" s="22" t="str">
        <f t="shared" si="53"/>
        <v>mod_EMU</v>
      </c>
      <c r="CA43" s="22" t="str">
        <f t="shared" si="54"/>
        <v>diesel_RAIL</v>
      </c>
      <c r="CB43" s="22" t="str">
        <f>VLOOKUP($CA43, Constants!$M:$N, 2, FALSE)</f>
        <v>{BLACK}Powered by: {GOLD}Diesel</v>
      </c>
      <c r="CC43" s="22" t="str">
        <f t="shared" si="95"/>
        <v>{BLACK}Cars: {GOLD}3</v>
      </c>
      <c r="CD43" t="s">
        <v>395</v>
      </c>
      <c r="CE43" s="22" t="str">
        <f t="shared" si="13"/>
        <v/>
      </c>
      <c r="CF43" s="22" t="str">
        <f t="shared" si="55"/>
        <v>{BLACK}Powered by: {GOLD}Diesel {BLACK}Cars: {GOLD}3{}{SILVER}The Class 185 is a diesel version of the Siemens Desiro family. Each car has its own 6 cylinder engine, giving the unit high acceleration.</v>
      </c>
    </row>
    <row r="44" spans="1:84" x14ac:dyDescent="0.3">
      <c r="A44" t="s">
        <v>434</v>
      </c>
      <c r="B44" t="s">
        <v>435</v>
      </c>
      <c r="C44">
        <v>706</v>
      </c>
      <c r="D44">
        <v>-1</v>
      </c>
      <c r="F44" t="s">
        <v>15</v>
      </c>
      <c r="G44" t="s">
        <v>162</v>
      </c>
      <c r="H44" t="s">
        <v>28</v>
      </c>
      <c r="Z44" s="3" t="str">
        <f t="shared" ref="Z44:Z50" si="106">IF(AND(V44&gt;0,Y44&gt;0),(Y44/((V44+W44)*10)),"")</f>
        <v/>
      </c>
      <c r="AB44">
        <f t="shared" si="42"/>
        <v>0</v>
      </c>
      <c r="AJ44" t="s">
        <v>452</v>
      </c>
      <c r="AK44">
        <f t="shared" ref="AK44:AK50" si="107">ROUND(15*((AF44*10)/256),0)</f>
        <v>0</v>
      </c>
      <c r="AM44" s="14" t="str">
        <f>CONCATENATE(VLOOKUP(AK44,Constants!$A$2:$C$16,IF(AL44&lt;&gt;"", 3, 2), FALSE),IF(AL44&lt;&gt;"",CONCATENATE(",",VLOOKUP(AL44,$B:$AM,38,FALSE)),""))</f>
        <v>na</v>
      </c>
      <c r="AW44">
        <v>30</v>
      </c>
      <c r="AX44" s="14" t="str">
        <f t="shared" ref="AX44:AX50" si="108">IF(K44&lt;&gt;"",MAX(16,(K44-I44)+8),"")</f>
        <v/>
      </c>
      <c r="BA44">
        <f t="shared" ref="BA44:BA50" si="109">MIN(AA44/150, 1)*30</f>
        <v>0</v>
      </c>
      <c r="BB44">
        <f t="shared" ref="BB44:BB50" si="110">MIN(M44/4000, 1)*20</f>
        <v>0</v>
      </c>
      <c r="BC44">
        <f t="shared" ref="BC44:BC50" si="111">MIN(Y44/400,1)*20</f>
        <v>0</v>
      </c>
      <c r="BD44" s="3">
        <f t="shared" ref="BD44:BD50" si="112">1-(MAX(I44-1900, 0)/750)</f>
        <v>1</v>
      </c>
      <c r="BE44">
        <f t="shared" ref="BE44:BE78" si="113">((MAX($L44,1)*MIN($AI44/300,1)))*IF(F44="Wagon",50,10)</f>
        <v>0</v>
      </c>
      <c r="BF44">
        <v>0.9</v>
      </c>
      <c r="BG44">
        <v>1.6</v>
      </c>
      <c r="BH44">
        <v>8</v>
      </c>
      <c r="BI44">
        <v>22</v>
      </c>
      <c r="BJ44" s="23">
        <f t="shared" ref="BJ44:BJ78" si="114">BH44*IF($F44="wagon",62.5,781.25)</f>
        <v>6250</v>
      </c>
      <c r="BK44" s="23">
        <f t="shared" ref="BK44:BK78" si="115">BI44*IF($F44="wagon",2.73,81.25)</f>
        <v>1787.5</v>
      </c>
      <c r="BT44">
        <v>4</v>
      </c>
      <c r="BX44" t="e">
        <v>#N/A</v>
      </c>
      <c r="BZ44" t="e">
        <f t="shared" ref="BZ44:BZ50" si="116">CONCATENATE(BX44,"_",BY44)</f>
        <v>#N/A</v>
      </c>
      <c r="CA44" t="str">
        <f t="shared" ref="CA44:CA50" si="117">_xlfn.CONCAT(G44, "_",H44)</f>
        <v>tube_RAIL</v>
      </c>
      <c r="CB44" t="s">
        <v>447</v>
      </c>
      <c r="CC44" s="22" t="str">
        <f t="shared" si="95"/>
        <v/>
      </c>
      <c r="CE44" s="22" t="str">
        <f t="shared" si="13"/>
        <v/>
      </c>
      <c r="CF44" t="str">
        <f t="shared" ref="CF44:CF50" si="118">_xlfn.CONCAT(CB44,IF(CB44 &lt;&gt; "", " ", ""),CC44,IF(OR(CC44&lt;&gt;"", CB44&lt;&gt;""), "{}",""), CE44,"{SILVER}", CD44)</f>
        <v>{SILVER}</v>
      </c>
    </row>
    <row r="45" spans="1:84" x14ac:dyDescent="0.3">
      <c r="A45" t="s">
        <v>436</v>
      </c>
      <c r="B45" t="s">
        <v>437</v>
      </c>
      <c r="C45">
        <v>710</v>
      </c>
      <c r="D45">
        <v>-1</v>
      </c>
      <c r="F45" t="s">
        <v>15</v>
      </c>
      <c r="G45" t="s">
        <v>162</v>
      </c>
      <c r="H45" t="s">
        <v>28</v>
      </c>
      <c r="Z45" s="3" t="str">
        <f t="shared" si="106"/>
        <v/>
      </c>
      <c r="AB45">
        <f t="shared" si="42"/>
        <v>0</v>
      </c>
      <c r="AJ45" t="s">
        <v>452</v>
      </c>
      <c r="AK45">
        <f t="shared" si="107"/>
        <v>0</v>
      </c>
      <c r="AM45" s="14" t="str">
        <f>CONCATENATE(VLOOKUP(AK45,Constants!$A$2:$C$16,IF(AL45&lt;&gt;"", 3, 2), FALSE),IF(AL45&lt;&gt;"",CONCATENATE(",",VLOOKUP(AL45,$B:$AM,38,FALSE)),""))</f>
        <v>na</v>
      </c>
      <c r="AW45">
        <v>30</v>
      </c>
      <c r="AX45" s="14" t="str">
        <f t="shared" si="108"/>
        <v/>
      </c>
      <c r="BA45">
        <f t="shared" si="109"/>
        <v>0</v>
      </c>
      <c r="BB45">
        <f t="shared" si="110"/>
        <v>0</v>
      </c>
      <c r="BC45">
        <f t="shared" si="111"/>
        <v>0</v>
      </c>
      <c r="BD45" s="3">
        <f t="shared" si="112"/>
        <v>1</v>
      </c>
      <c r="BE45">
        <f t="shared" si="113"/>
        <v>0</v>
      </c>
      <c r="BF45">
        <v>0.9</v>
      </c>
      <c r="BG45">
        <v>1.6</v>
      </c>
      <c r="BH45">
        <v>8</v>
      </c>
      <c r="BI45">
        <v>22</v>
      </c>
      <c r="BJ45" s="23">
        <f t="shared" si="114"/>
        <v>6250</v>
      </c>
      <c r="BK45" s="23">
        <f t="shared" si="115"/>
        <v>1787.5</v>
      </c>
      <c r="BT45">
        <v>6</v>
      </c>
      <c r="BU45">
        <v>120</v>
      </c>
      <c r="BX45" t="e">
        <v>#N/A</v>
      </c>
      <c r="BY45" t="s">
        <v>80</v>
      </c>
      <c r="BZ45" t="e">
        <f t="shared" si="116"/>
        <v>#N/A</v>
      </c>
      <c r="CA45" t="str">
        <f t="shared" si="117"/>
        <v>tube_RAIL</v>
      </c>
      <c r="CB45" t="s">
        <v>447</v>
      </c>
      <c r="CC45" s="22" t="str">
        <f t="shared" si="95"/>
        <v/>
      </c>
      <c r="CE45" s="22" t="str">
        <f t="shared" si="13"/>
        <v>{YELLOW}35% Penalty for long distance travel{}</v>
      </c>
      <c r="CF45" t="str">
        <f t="shared" si="118"/>
        <v>{YELLOW}35% Penalty for long distance travel{}{SILVER}</v>
      </c>
    </row>
    <row r="46" spans="1:84" x14ac:dyDescent="0.3">
      <c r="A46" t="s">
        <v>429</v>
      </c>
      <c r="B46" t="s">
        <v>430</v>
      </c>
      <c r="C46">
        <v>718</v>
      </c>
      <c r="D46">
        <v>-1</v>
      </c>
      <c r="F46" t="s">
        <v>15</v>
      </c>
      <c r="G46" t="s">
        <v>15</v>
      </c>
      <c r="H46" t="s">
        <v>316</v>
      </c>
      <c r="I46">
        <v>1893</v>
      </c>
      <c r="J46">
        <v>1896</v>
      </c>
      <c r="K46">
        <v>1956</v>
      </c>
      <c r="L46">
        <v>2</v>
      </c>
      <c r="M46">
        <v>120</v>
      </c>
      <c r="V46">
        <v>10</v>
      </c>
      <c r="X46">
        <v>7</v>
      </c>
      <c r="Y46">
        <v>30</v>
      </c>
      <c r="Z46" s="3">
        <f t="shared" si="106"/>
        <v>0.3</v>
      </c>
      <c r="AA46">
        <v>35</v>
      </c>
      <c r="AB46">
        <f t="shared" si="42"/>
        <v>56</v>
      </c>
      <c r="AE46">
        <v>14</v>
      </c>
      <c r="AF46">
        <v>14</v>
      </c>
      <c r="AG46">
        <v>2.59</v>
      </c>
      <c r="AI46" s="9">
        <f>41+16</f>
        <v>57</v>
      </c>
      <c r="AJ46" t="s">
        <v>453</v>
      </c>
      <c r="AK46">
        <f t="shared" si="107"/>
        <v>8</v>
      </c>
      <c r="AM46" s="14" t="str">
        <f>CONCATENATE(VLOOKUP(AK46,Constants!$A$2:$C$16,IF(AL46&lt;&gt;"", 3, 2), FALSE),IF(AL46&lt;&gt;"",CONCATENATE(",",VLOOKUP(AL46,$B:$AM,38,FALSE)),""))</f>
        <v>2,4,2</v>
      </c>
      <c r="AQ46" t="s">
        <v>431</v>
      </c>
      <c r="AS46" t="s">
        <v>432</v>
      </c>
      <c r="AW46">
        <v>25</v>
      </c>
      <c r="AX46" s="14">
        <f t="shared" si="108"/>
        <v>71</v>
      </c>
      <c r="BA46">
        <f t="shared" si="109"/>
        <v>7</v>
      </c>
      <c r="BB46">
        <f t="shared" si="110"/>
        <v>0.6</v>
      </c>
      <c r="BC46">
        <f t="shared" si="111"/>
        <v>1.5</v>
      </c>
      <c r="BD46" s="3">
        <f t="shared" si="112"/>
        <v>1</v>
      </c>
      <c r="BE46">
        <f t="shared" si="113"/>
        <v>3.8</v>
      </c>
      <c r="BF46" t="e">
        <v>#N/A</v>
      </c>
      <c r="BG46" t="e">
        <v>#N/A</v>
      </c>
      <c r="BH46" t="e">
        <v>#N/A</v>
      </c>
      <c r="BI46" t="e">
        <v>#N/A</v>
      </c>
      <c r="BJ46" s="23" t="e">
        <f t="shared" si="114"/>
        <v>#N/A</v>
      </c>
      <c r="BK46" s="23" t="e">
        <f t="shared" si="115"/>
        <v>#N/A</v>
      </c>
      <c r="BT46">
        <v>2</v>
      </c>
      <c r="BW46" t="s">
        <v>34</v>
      </c>
      <c r="BX46" t="s">
        <v>94</v>
      </c>
      <c r="BY46" t="s">
        <v>68</v>
      </c>
      <c r="BZ46" t="str">
        <f t="shared" si="116"/>
        <v>vct_EMU</v>
      </c>
      <c r="CA46" t="str">
        <f t="shared" si="117"/>
        <v>na_THIRD_RAIL</v>
      </c>
      <c r="CB46" t="e">
        <v>#N/A</v>
      </c>
      <c r="CC46" s="22" t="str">
        <f t="shared" si="95"/>
        <v>{BLACK}Cars: {GOLD}2</v>
      </c>
      <c r="CD46" t="s">
        <v>433</v>
      </c>
      <c r="CE46" s="22" t="str">
        <f t="shared" si="13"/>
        <v/>
      </c>
      <c r="CF46" t="e">
        <f t="shared" si="118"/>
        <v>#N/A</v>
      </c>
    </row>
    <row r="47" spans="1:84" x14ac:dyDescent="0.3">
      <c r="A47" t="s">
        <v>441</v>
      </c>
      <c r="B47" t="s">
        <v>442</v>
      </c>
      <c r="C47">
        <v>734</v>
      </c>
      <c r="D47">
        <v>-1</v>
      </c>
      <c r="F47" t="s">
        <v>15</v>
      </c>
      <c r="G47" t="s">
        <v>162</v>
      </c>
      <c r="H47" t="s">
        <v>28</v>
      </c>
      <c r="I47">
        <v>1983</v>
      </c>
      <c r="Z47" s="3" t="str">
        <f t="shared" si="106"/>
        <v/>
      </c>
      <c r="AB47">
        <f t="shared" si="42"/>
        <v>0</v>
      </c>
      <c r="AJ47" t="s">
        <v>452</v>
      </c>
      <c r="AK47">
        <f t="shared" si="107"/>
        <v>0</v>
      </c>
      <c r="AM47" s="14" t="str">
        <f>CONCATENATE(VLOOKUP(AK47,Constants!$A$2:$C$16,IF(AL47&lt;&gt;"", 3, 2), FALSE),IF(AL47&lt;&gt;"",CONCATENATE(",",VLOOKUP(AL47,$B:$AM,38,FALSE)),""))</f>
        <v>na</v>
      </c>
      <c r="AW47">
        <v>30</v>
      </c>
      <c r="AX47" s="14" t="str">
        <f t="shared" si="108"/>
        <v/>
      </c>
      <c r="BA47">
        <f t="shared" si="109"/>
        <v>0</v>
      </c>
      <c r="BB47">
        <f t="shared" si="110"/>
        <v>0</v>
      </c>
      <c r="BC47">
        <f t="shared" si="111"/>
        <v>0</v>
      </c>
      <c r="BD47" s="3">
        <f t="shared" si="112"/>
        <v>0.88933333333333331</v>
      </c>
      <c r="BE47">
        <f t="shared" si="113"/>
        <v>0</v>
      </c>
      <c r="BF47">
        <v>0.9</v>
      </c>
      <c r="BG47">
        <v>1.6</v>
      </c>
      <c r="BH47">
        <v>7</v>
      </c>
      <c r="BI47">
        <v>19</v>
      </c>
      <c r="BJ47" s="23">
        <f t="shared" si="114"/>
        <v>5468.75</v>
      </c>
      <c r="BK47" s="23">
        <f t="shared" si="115"/>
        <v>1543.75</v>
      </c>
      <c r="BT47">
        <v>10</v>
      </c>
      <c r="BU47">
        <v>120</v>
      </c>
      <c r="BW47" t="s">
        <v>34</v>
      </c>
      <c r="BX47" t="s">
        <v>106</v>
      </c>
      <c r="BY47" t="s">
        <v>80</v>
      </c>
      <c r="BZ47" t="str">
        <f t="shared" si="116"/>
        <v>lbr_LU</v>
      </c>
      <c r="CA47" t="str">
        <f t="shared" si="117"/>
        <v>tube_RAIL</v>
      </c>
      <c r="CB47" t="s">
        <v>447</v>
      </c>
      <c r="CC47" s="22" t="str">
        <f t="shared" si="95"/>
        <v/>
      </c>
      <c r="CE47" s="22" t="str">
        <f t="shared" si="13"/>
        <v>{YELLOW}35% Penalty for long distance travel{}</v>
      </c>
      <c r="CF47" t="str">
        <f t="shared" si="118"/>
        <v>{YELLOW}35% Penalty for long distance travel{}{SILVER}</v>
      </c>
    </row>
    <row r="48" spans="1:84" x14ac:dyDescent="0.3">
      <c r="A48" t="s">
        <v>438</v>
      </c>
      <c r="B48" t="s">
        <v>439</v>
      </c>
      <c r="C48">
        <v>714</v>
      </c>
      <c r="D48">
        <v>-1</v>
      </c>
      <c r="F48" t="s">
        <v>15</v>
      </c>
      <c r="G48" t="s">
        <v>38</v>
      </c>
      <c r="H48" t="s">
        <v>440</v>
      </c>
      <c r="Z48" s="3" t="str">
        <f t="shared" si="106"/>
        <v/>
      </c>
      <c r="AB48">
        <f t="shared" si="42"/>
        <v>0</v>
      </c>
      <c r="AJ48" t="s">
        <v>452</v>
      </c>
      <c r="AK48">
        <f t="shared" si="107"/>
        <v>0</v>
      </c>
      <c r="AM48" s="14" t="str">
        <f>CONCATENATE(VLOOKUP(AK48,Constants!$A$2:$C$16,IF(AL48&lt;&gt;"", 3, 2), FALSE),IF(AL48&lt;&gt;"",CONCATENATE(",",VLOOKUP(AL48,$B:$AM,38,FALSE)),""))</f>
        <v>na</v>
      </c>
      <c r="AW48">
        <v>30</v>
      </c>
      <c r="AX48" s="14" t="str">
        <f t="shared" si="108"/>
        <v/>
      </c>
      <c r="BA48">
        <f t="shared" si="109"/>
        <v>0</v>
      </c>
      <c r="BB48">
        <f t="shared" si="110"/>
        <v>0</v>
      </c>
      <c r="BC48">
        <f t="shared" si="111"/>
        <v>0</v>
      </c>
      <c r="BD48" s="3">
        <f t="shared" si="112"/>
        <v>1</v>
      </c>
      <c r="BE48">
        <f t="shared" si="113"/>
        <v>0</v>
      </c>
      <c r="BF48">
        <v>0.85</v>
      </c>
      <c r="BG48">
        <v>2.2999999999999998</v>
      </c>
      <c r="BH48">
        <v>12</v>
      </c>
      <c r="BI48">
        <v>21</v>
      </c>
      <c r="BJ48" s="23">
        <f t="shared" si="114"/>
        <v>9375</v>
      </c>
      <c r="BK48" s="23">
        <f t="shared" si="115"/>
        <v>1706.25</v>
      </c>
      <c r="BT48">
        <v>8</v>
      </c>
      <c r="BX48" t="e">
        <v>#N/A</v>
      </c>
      <c r="BZ48" t="e">
        <f t="shared" si="116"/>
        <v>#N/A</v>
      </c>
      <c r="CA48" t="str">
        <f t="shared" si="117"/>
        <v>electric_ELRL</v>
      </c>
      <c r="CB48" t="s">
        <v>450</v>
      </c>
      <c r="CC48" s="22" t="str">
        <f t="shared" si="95"/>
        <v/>
      </c>
      <c r="CE48" s="22" t="str">
        <f t="shared" si="13"/>
        <v/>
      </c>
      <c r="CF48" t="str">
        <f t="shared" si="118"/>
        <v>{BLACK}Powered by: {GOLD}25kV AC {}{SILVER}</v>
      </c>
    </row>
    <row r="49" spans="1:84" x14ac:dyDescent="0.3">
      <c r="A49" t="s">
        <v>241</v>
      </c>
      <c r="B49" t="s">
        <v>240</v>
      </c>
      <c r="C49">
        <v>1</v>
      </c>
      <c r="D49">
        <v>2000</v>
      </c>
      <c r="E49" t="s">
        <v>493</v>
      </c>
      <c r="F49" t="s">
        <v>218</v>
      </c>
      <c r="G49" t="s">
        <v>218</v>
      </c>
      <c r="H49" t="s">
        <v>338</v>
      </c>
      <c r="I49">
        <v>1800</v>
      </c>
      <c r="K49">
        <v>1880</v>
      </c>
      <c r="M49">
        <v>5</v>
      </c>
      <c r="S49" s="12"/>
      <c r="V49">
        <v>1</v>
      </c>
      <c r="Y49">
        <v>4</v>
      </c>
      <c r="Z49" s="3">
        <f t="shared" si="106"/>
        <v>0.4</v>
      </c>
      <c r="AA49">
        <v>15</v>
      </c>
      <c r="AB49">
        <f t="shared" ref="AB49:AB56" si="119">ROUND(AA49*1.6, 0)</f>
        <v>24</v>
      </c>
      <c r="AF49">
        <v>6</v>
      </c>
      <c r="AI49" s="9">
        <v>0</v>
      </c>
      <c r="AJ49" s="14" t="str">
        <f>CONCATENATE(VLOOKUP(AK49, 'Voxel Sizes'!$A$2:$B$18,2,FALSE),"x",INT(AG49*15), "x", INT(AH49*15))</f>
        <v>66x0x0</v>
      </c>
      <c r="AK49" s="14">
        <f t="shared" si="107"/>
        <v>4</v>
      </c>
      <c r="AM49" s="14" t="str">
        <f>CONCATENATE(VLOOKUP(AK49,Constants!$A$2:$C$16,IF(AL49&lt;&gt;"", 3, 2), FALSE),IF(AL49&lt;&gt;"",CONCATENATE(",",VLOOKUP(AL49,$B:$AM,38,FALSE)),""))</f>
        <v>1,2,1</v>
      </c>
      <c r="AU49">
        <v>1</v>
      </c>
      <c r="AW49">
        <v>14</v>
      </c>
      <c r="AX49" s="14">
        <f t="shared" si="108"/>
        <v>88</v>
      </c>
      <c r="AY49">
        <v>-13</v>
      </c>
      <c r="AZ49">
        <v>-3</v>
      </c>
      <c r="BA49" s="16">
        <f t="shared" si="109"/>
        <v>3</v>
      </c>
      <c r="BB49" s="16">
        <f t="shared" si="110"/>
        <v>2.5000000000000001E-2</v>
      </c>
      <c r="BC49" s="16">
        <f t="shared" si="111"/>
        <v>0.2</v>
      </c>
      <c r="BD49" s="17">
        <f t="shared" si="112"/>
        <v>1</v>
      </c>
      <c r="BE49" s="16">
        <f t="shared" si="113"/>
        <v>0</v>
      </c>
      <c r="BF49" s="16">
        <f>VLOOKUP($G49,Constants!$I:$K, 2, FALSE)</f>
        <v>0.5</v>
      </c>
      <c r="BG49" s="16">
        <f>VLOOKUP($G49,Constants!$I:$K, 3, FALSE)*IF(AND(F49="multiple_unit",AA49&lt;110),0.75,1)</f>
        <v>0.5</v>
      </c>
      <c r="BH49" s="16">
        <f>INT(POWER(((Constants!$G$2+$BA49+$BB49+$BC49+$BE49)*$BD49)*$BG49, 1.05))+$AZ49</f>
        <v>1</v>
      </c>
      <c r="BI49" s="16">
        <f>INT(POWER((((Constants!$G$1+$BA49+$BB49+$BC49+$BE49)*($BD49))*$BF49),IF($F49="wagon",1,1.2)))+$AY49</f>
        <v>1</v>
      </c>
      <c r="BJ49" s="19">
        <f t="shared" si="114"/>
        <v>781.25</v>
      </c>
      <c r="BK49" s="19">
        <f t="shared" si="115"/>
        <v>81.25</v>
      </c>
      <c r="BT49">
        <v>1</v>
      </c>
      <c r="BX49" s="22" t="str">
        <f>VLOOKUP(I49,Eras!$A$2:$C$10, 2, TRUE)</f>
        <v>early</v>
      </c>
      <c r="BY49" t="s">
        <v>62</v>
      </c>
      <c r="BZ49" s="22" t="str">
        <f t="shared" si="116"/>
        <v>early_Mixed Traffic</v>
      </c>
      <c r="CA49" s="22" t="str">
        <f t="shared" si="117"/>
        <v>horses_NARROW_GAUGE</v>
      </c>
      <c r="CB49" s="22" t="str">
        <f>VLOOKUP($CA49, Constants!$M:$N, 2, FALSE)</f>
        <v>{BLACK}Powered by: {GOLD}Grass and hay</v>
      </c>
      <c r="CC49" s="22" t="str">
        <f t="shared" si="95"/>
        <v/>
      </c>
      <c r="CD49" t="s">
        <v>242</v>
      </c>
      <c r="CE49" s="22" t="str">
        <f t="shared" si="13"/>
        <v/>
      </c>
      <c r="CF49" s="22" t="str">
        <f t="shared" si="118"/>
        <v>{BLACK}Powered by: {GOLD}Grass and hay {}{SILVER}A smaller horse for a smaller railway.</v>
      </c>
    </row>
    <row r="50" spans="1:84" x14ac:dyDescent="0.3">
      <c r="A50" t="s">
        <v>317</v>
      </c>
      <c r="B50" t="s">
        <v>318</v>
      </c>
      <c r="C50">
        <v>2</v>
      </c>
      <c r="D50">
        <v>2001</v>
      </c>
      <c r="E50" t="s">
        <v>493</v>
      </c>
      <c r="F50" t="s">
        <v>236</v>
      </c>
      <c r="G50" t="s">
        <v>25</v>
      </c>
      <c r="H50" t="s">
        <v>338</v>
      </c>
      <c r="I50">
        <v>1804</v>
      </c>
      <c r="K50">
        <v>1840</v>
      </c>
      <c r="M50">
        <v>10</v>
      </c>
      <c r="O50" s="5">
        <v>8.6</v>
      </c>
      <c r="P50" s="5">
        <v>16</v>
      </c>
      <c r="Q50" s="5">
        <v>1</v>
      </c>
      <c r="R50" s="5">
        <v>160</v>
      </c>
      <c r="S50" s="12">
        <f t="shared" ref="S50:S63" si="120">((($AA50/2)/60)*5280)/($T50*3.2*PI())</f>
        <v>87.535218700542444</v>
      </c>
      <c r="T50" s="5">
        <v>0.7</v>
      </c>
      <c r="U50" s="5">
        <f t="shared" ref="U50:U63" si="121">((($O50*$O50/4)*PI())*($P50/12)*$Q50*$R50*$S50)/(33000*1.1)</f>
        <v>29.882828282828278</v>
      </c>
      <c r="V50">
        <v>5</v>
      </c>
      <c r="X50">
        <v>5</v>
      </c>
      <c r="Y50">
        <v>12</v>
      </c>
      <c r="Z50" s="3">
        <f t="shared" si="106"/>
        <v>0.24</v>
      </c>
      <c r="AA50">
        <v>14</v>
      </c>
      <c r="AB50">
        <f t="shared" si="119"/>
        <v>22</v>
      </c>
      <c r="AE50">
        <v>5.5</v>
      </c>
      <c r="AF50">
        <v>8</v>
      </c>
      <c r="AI50" s="9">
        <v>0</v>
      </c>
      <c r="AJ50" s="14" t="str">
        <f>CONCATENATE(VLOOKUP(AK50, 'Voxel Sizes'!$A$2:$B$18,2,FALSE),"x",INT(AG50*15), "x", INT(AH50*15))</f>
        <v>82x0x0</v>
      </c>
      <c r="AK50" s="14">
        <f t="shared" si="107"/>
        <v>5</v>
      </c>
      <c r="AL50" t="s">
        <v>475</v>
      </c>
      <c r="AM50" s="14" t="str">
        <f>CONCATENATE(VLOOKUP(AK50,Constants!$A$2:$C$16,IF(AL50&lt;&gt;"", 3, 2), FALSE),IF(AL50&lt;&gt;"",CONCATENATE(",",VLOOKUP(AL50,$B:$AM,38,FALSE)),""))</f>
        <v>2,1,2,1,1,1</v>
      </c>
      <c r="AU50">
        <v>1</v>
      </c>
      <c r="AW50">
        <v>28</v>
      </c>
      <c r="AX50" s="14">
        <f t="shared" si="108"/>
        <v>44</v>
      </c>
      <c r="AY50">
        <v>-34</v>
      </c>
      <c r="AZ50">
        <v>-13</v>
      </c>
      <c r="BA50" s="16">
        <f t="shared" si="109"/>
        <v>2.8000000000000003</v>
      </c>
      <c r="BB50" s="16">
        <f t="shared" si="110"/>
        <v>0.05</v>
      </c>
      <c r="BC50" s="16">
        <f t="shared" si="111"/>
        <v>0.6</v>
      </c>
      <c r="BD50" s="17">
        <f t="shared" si="112"/>
        <v>1</v>
      </c>
      <c r="BE50" s="16">
        <f t="shared" si="113"/>
        <v>0</v>
      </c>
      <c r="BF50" s="16">
        <f>VLOOKUP($G50,Constants!$I:$K, 2, FALSE)</f>
        <v>1.1499999999999999</v>
      </c>
      <c r="BG50" s="16">
        <f>VLOOKUP($G50,Constants!$I:$K, 3, FALSE)*IF(AND(F50="multiple_unit",AA50&lt;110),0.75,1)</f>
        <v>1.7</v>
      </c>
      <c r="BH50" s="16">
        <f>INT(POWER(((Constants!$G$2+$BA50+$BB50+$BC50+$BE50)*$BD50)*$BG50, 1.05))+$AZ50</f>
        <v>3</v>
      </c>
      <c r="BI50" s="16">
        <f>INT(POWER((((Constants!$G$1+$BA50+$BB50+$BC50+$BE50)*($BD50))*$BF50),IF($F50="wagon",1,1.2)))+$AY50</f>
        <v>5</v>
      </c>
      <c r="BJ50" s="19">
        <f t="shared" si="114"/>
        <v>2343.75</v>
      </c>
      <c r="BK50" s="19">
        <f t="shared" si="115"/>
        <v>406.25</v>
      </c>
      <c r="BT50">
        <v>2</v>
      </c>
      <c r="BX50" s="22" t="str">
        <f>VLOOKUP(I50,Eras!$A$2:$C$10, 2, TRUE)</f>
        <v>early</v>
      </c>
      <c r="BY50" t="s">
        <v>61</v>
      </c>
      <c r="BZ50" s="22" t="str">
        <f t="shared" si="116"/>
        <v>early_Cheap</v>
      </c>
      <c r="CA50" s="22" t="str">
        <f t="shared" si="117"/>
        <v>steam_NARROW_GAUGE</v>
      </c>
      <c r="CB50" s="22" t="str">
        <f>VLOOKUP($CA50, Constants!$M:$N, 2, FALSE)</f>
        <v>{BLACK}Powered by: {GOLD}Steam</v>
      </c>
      <c r="CC50" s="22" t="str">
        <f t="shared" si="95"/>
        <v/>
      </c>
      <c r="CD50" t="s">
        <v>319</v>
      </c>
      <c r="CE50" s="22" t="str">
        <f t="shared" si="13"/>
        <v/>
      </c>
      <c r="CF50" s="22" t="str">
        <f t="shared" si="118"/>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 spans="1:84" x14ac:dyDescent="0.3">
      <c r="A51" t="s">
        <v>476</v>
      </c>
      <c r="B51" t="s">
        <v>477</v>
      </c>
      <c r="C51">
        <v>4</v>
      </c>
      <c r="D51">
        <v>2002</v>
      </c>
      <c r="E51" t="s">
        <v>493</v>
      </c>
      <c r="F51" t="s">
        <v>236</v>
      </c>
      <c r="G51" t="s">
        <v>25</v>
      </c>
      <c r="H51" t="s">
        <v>338</v>
      </c>
      <c r="I51">
        <v>1863</v>
      </c>
      <c r="K51">
        <v>1946</v>
      </c>
      <c r="M51">
        <v>90</v>
      </c>
      <c r="O51" s="5">
        <v>8.25</v>
      </c>
      <c r="P51" s="5">
        <v>12</v>
      </c>
      <c r="Q51" s="5">
        <v>2</v>
      </c>
      <c r="R51" s="5">
        <v>160</v>
      </c>
      <c r="S51" s="12">
        <f t="shared" si="120"/>
        <v>165.02541230430134</v>
      </c>
      <c r="T51" s="5">
        <v>0.61</v>
      </c>
      <c r="U51" s="5">
        <f t="shared" si="121"/>
        <v>77.76639344262297</v>
      </c>
      <c r="V51">
        <v>15</v>
      </c>
      <c r="X51">
        <v>5</v>
      </c>
      <c r="Y51">
        <v>29</v>
      </c>
      <c r="Z51" s="3">
        <f t="shared" ref="Z51" si="122">IF(AND(V51&gt;0,Y51&gt;0),(Y51/((V51+W51)*10)),"")</f>
        <v>0.19333333333333333</v>
      </c>
      <c r="AA51">
        <v>23</v>
      </c>
      <c r="AB51">
        <f t="shared" ref="AB51" si="123">ROUND(AA51*1.6, 0)</f>
        <v>37</v>
      </c>
      <c r="AE51">
        <v>5.5</v>
      </c>
      <c r="AF51">
        <v>6</v>
      </c>
      <c r="AI51" s="9">
        <v>0</v>
      </c>
      <c r="AJ51" s="14" t="str">
        <f>CONCATENATE(VLOOKUP(AK51, 'Voxel Sizes'!$A$2:$B$18,2,FALSE),"x",INT(AG51*15), "x", INT(AH51*15))</f>
        <v>66x0x0</v>
      </c>
      <c r="AK51" s="14">
        <f t="shared" ref="AK51" si="124">ROUND(15*((AF51*10)/256),0)</f>
        <v>4</v>
      </c>
      <c r="AL51" t="s">
        <v>478</v>
      </c>
      <c r="AM51" s="14" t="str">
        <f>CONCATENATE(VLOOKUP(AK51,Constants!$A$2:$C$16,IF(AL51&lt;&gt;"", 3, 2), FALSE),IF(AL51&lt;&gt;"",CONCATENATE(",",VLOOKUP(AL51,$B:$AM,38,FALSE)),""))</f>
        <v>1,2,1,1,1,1</v>
      </c>
      <c r="AU51">
        <v>1</v>
      </c>
      <c r="AW51">
        <v>250</v>
      </c>
      <c r="AX51" s="14">
        <f t="shared" ref="AX51" si="125">IF(K51&lt;&gt;"",MAX(16,(K51-I51)+8),"")</f>
        <v>91</v>
      </c>
      <c r="AY51">
        <v>-5</v>
      </c>
      <c r="AZ51">
        <v>-3</v>
      </c>
      <c r="BA51" s="16">
        <f t="shared" ref="BA51" si="126">MIN(AA51/150, 1)*30</f>
        <v>4.5999999999999996</v>
      </c>
      <c r="BB51" s="16">
        <f t="shared" ref="BB51" si="127">MIN(M51/4000, 1)*20</f>
        <v>0.44999999999999996</v>
      </c>
      <c r="BC51" s="16">
        <f t="shared" ref="BC51" si="128">MIN(Y51/400,1)*20</f>
        <v>1.45</v>
      </c>
      <c r="BD51" s="17">
        <f t="shared" ref="BD51" si="129">1-(MAX(I51-1900, 0)/750)</f>
        <v>1</v>
      </c>
      <c r="BE51" s="16">
        <f t="shared" si="113"/>
        <v>0</v>
      </c>
      <c r="BF51" s="16">
        <f>VLOOKUP($G51,Constants!$I:$K, 2, FALSE)</f>
        <v>1.1499999999999999</v>
      </c>
      <c r="BG51" s="16">
        <f>VLOOKUP($G51,Constants!$I:$K, 3, FALSE)*IF(AND(F51="multiple_unit",AA51&lt;110),0.75,1)</f>
        <v>1.7</v>
      </c>
      <c r="BH51" s="16">
        <f>INT(POWER(((Constants!$G$2+$BA51+$BB51+$BC51+$BE51)*$BD51)*$BG51, 1.05))+$AZ51</f>
        <v>19</v>
      </c>
      <c r="BI51" s="16">
        <f>INT(POWER((((Constants!$G$1+$BA51+$BB51+$BC51+$BE51)*($BD51))*$BF51),IF($F51="wagon",1,1.2)))+$AY51</f>
        <v>41</v>
      </c>
      <c r="BJ51" s="19">
        <f t="shared" si="114"/>
        <v>14843.75</v>
      </c>
      <c r="BK51" s="19">
        <f t="shared" si="115"/>
        <v>3331.25</v>
      </c>
      <c r="BT51">
        <v>9</v>
      </c>
      <c r="BX51" s="22" t="str">
        <f>VLOOKUP(I51,Eras!$A$2:$C$10, 2, TRUE)</f>
        <v>vct</v>
      </c>
      <c r="BY51" t="s">
        <v>61</v>
      </c>
      <c r="BZ51" s="22" t="str">
        <f t="shared" ref="BZ51" si="130">CONCATENATE(BX51,"_",BY51)</f>
        <v>vct_Cheap</v>
      </c>
      <c r="CA51" s="22" t="str">
        <f t="shared" ref="CA51" si="131">_xlfn.CONCAT(G51, "_",H51)</f>
        <v>steam_NARROW_GAUGE</v>
      </c>
      <c r="CB51" s="22" t="str">
        <f>VLOOKUP($CA51, Constants!$M:$N, 2, FALSE)</f>
        <v>{BLACK}Powered by: {GOLD}Steam</v>
      </c>
      <c r="CC51" s="22" t="str">
        <f t="shared" si="95"/>
        <v/>
      </c>
      <c r="CD51" t="s">
        <v>480</v>
      </c>
      <c r="CE51" s="22" t="str">
        <f t="shared" si="13"/>
        <v/>
      </c>
      <c r="CF51" s="22" t="str">
        <f t="shared" ref="CF51" si="132">_xlfn.CONCAT(CB51,IF(CB51 &lt;&gt; "", " ", ""),CC51,IF(OR(CC51&lt;&gt;"", CB51&lt;&gt;""), "{}",""), CE51,"{SILVER}", CD51)</f>
        <v>{BLACK}Powered by: {GOLD}Steam {}{SILVER}"Princess" was the first locomotive on the Ffestiniog Railway, going through multiple rebuilds and serving on the railway until its eventual closure in 1946.</v>
      </c>
    </row>
    <row r="52" spans="1:84" x14ac:dyDescent="0.3">
      <c r="A52" t="s">
        <v>248</v>
      </c>
      <c r="B52" t="s">
        <v>249</v>
      </c>
      <c r="C52">
        <v>5</v>
      </c>
      <c r="D52">
        <v>2003</v>
      </c>
      <c r="E52" t="s">
        <v>493</v>
      </c>
      <c r="F52" t="s">
        <v>236</v>
      </c>
      <c r="G52" t="s">
        <v>25</v>
      </c>
      <c r="H52" t="s">
        <v>338</v>
      </c>
      <c r="I52">
        <v>1864</v>
      </c>
      <c r="K52">
        <v>1945</v>
      </c>
      <c r="M52">
        <v>110</v>
      </c>
      <c r="O52" s="5">
        <v>8.6</v>
      </c>
      <c r="P52" s="5">
        <v>16</v>
      </c>
      <c r="Q52" s="5">
        <v>2</v>
      </c>
      <c r="R52" s="5">
        <v>160</v>
      </c>
      <c r="S52" s="12">
        <f t="shared" si="120"/>
        <v>156.31289053668294</v>
      </c>
      <c r="T52" s="5">
        <v>0.7</v>
      </c>
      <c r="U52" s="5">
        <f t="shared" si="121"/>
        <v>106.72438672438672</v>
      </c>
      <c r="V52">
        <v>13</v>
      </c>
      <c r="X52">
        <v>5</v>
      </c>
      <c r="Y52">
        <v>26</v>
      </c>
      <c r="Z52" s="3">
        <f t="shared" ref="Z52:Z61" si="133">IF(AND(V52&gt;0,Y52&gt;0),(Y52/((V52+W52)*10)),"")</f>
        <v>0.2</v>
      </c>
      <c r="AA52">
        <v>25</v>
      </c>
      <c r="AB52">
        <f t="shared" si="119"/>
        <v>40</v>
      </c>
      <c r="AE52">
        <v>5.5</v>
      </c>
      <c r="AF52">
        <v>6</v>
      </c>
      <c r="AI52" s="9">
        <v>0</v>
      </c>
      <c r="AJ52" s="14" t="str">
        <f>CONCATENATE(VLOOKUP(AK52, 'Voxel Sizes'!$A$2:$B$18,2,FALSE),"x",INT(AG52*15), "x", INT(AH52*15))</f>
        <v>66x0x0</v>
      </c>
      <c r="AK52" s="14">
        <f t="shared" ref="AK52:AK61" si="134">ROUND(15*((AF52*10)/256),0)</f>
        <v>4</v>
      </c>
      <c r="AM52" s="14" t="str">
        <f>CONCATENATE(VLOOKUP(AK52,Constants!$A$2:$C$16,IF(AL52&lt;&gt;"", 3, 2), FALSE),IF(AL52&lt;&gt;"",CONCATENATE(",",VLOOKUP(AL52,$B:$AM,38,FALSE)),""))</f>
        <v>1,2,1</v>
      </c>
      <c r="AU52">
        <v>1</v>
      </c>
      <c r="AW52">
        <v>250</v>
      </c>
      <c r="AX52" s="14">
        <f t="shared" ref="AX52:AX61" si="135">IF(K52&lt;&gt;"",MAX(16,(K52-I52)+8),"")</f>
        <v>89</v>
      </c>
      <c r="AY52">
        <v>-5</v>
      </c>
      <c r="AZ52">
        <v>-3</v>
      </c>
      <c r="BA52" s="16">
        <f t="shared" ref="BA52:BA61" si="136">MIN(AA52/150, 1)*30</f>
        <v>5</v>
      </c>
      <c r="BB52" s="16">
        <f t="shared" ref="BB52:BB61" si="137">MIN(M52/4000, 1)*20</f>
        <v>0.55000000000000004</v>
      </c>
      <c r="BC52" s="16">
        <f t="shared" ref="BC52:BC61" si="138">MIN(Y52/400,1)*20</f>
        <v>1.3</v>
      </c>
      <c r="BD52" s="17">
        <f t="shared" ref="BD52:BD61" si="139">1-(MAX(I52-1900, 0)/750)</f>
        <v>1</v>
      </c>
      <c r="BE52" s="16">
        <f t="shared" si="113"/>
        <v>0</v>
      </c>
      <c r="BF52" s="16">
        <f>VLOOKUP($G52,Constants!$I:$K, 2, FALSE)</f>
        <v>1.1499999999999999</v>
      </c>
      <c r="BG52" s="16">
        <f>VLOOKUP($G52,Constants!$I:$K, 3, FALSE)*IF(AND(F52="multiple_unit",AA52&lt;110),0.75,1)</f>
        <v>1.7</v>
      </c>
      <c r="BH52" s="16">
        <f>INT(POWER(((Constants!$G$2+$BA52+$BB52+$BC52+$BE52)*$BD52)*$BG52, 1.05))+$AZ52</f>
        <v>20</v>
      </c>
      <c r="BI52" s="16">
        <f>INT(POWER((((Constants!$G$1+$BA52+$BB52+$BC52+$BE52)*($BD52))*$BF52),IF($F52="wagon",1,1.2)))+$AY52</f>
        <v>42</v>
      </c>
      <c r="BJ52" s="19">
        <f t="shared" si="114"/>
        <v>15625</v>
      </c>
      <c r="BK52" s="19">
        <f t="shared" si="115"/>
        <v>3412.5</v>
      </c>
      <c r="BT52">
        <v>12</v>
      </c>
      <c r="BX52" s="22" t="str">
        <f>VLOOKUP(I52,Eras!$A$2:$C$10, 2, TRUE)</f>
        <v>vct</v>
      </c>
      <c r="BY52" t="s">
        <v>61</v>
      </c>
      <c r="BZ52" s="22" t="str">
        <f t="shared" ref="BZ52:BZ61" si="140">CONCATENATE(BX52,"_",BY52)</f>
        <v>vct_Cheap</v>
      </c>
      <c r="CA52" s="22" t="str">
        <f t="shared" ref="CA52:CA61" si="141">_xlfn.CONCAT(G52, "_",H52)</f>
        <v>steam_NARROW_GAUGE</v>
      </c>
      <c r="CB52" s="22" t="str">
        <f>VLOOKUP($CA52, Constants!$M:$N, 2, FALSE)</f>
        <v>{BLACK}Powered by: {GOLD}Steam</v>
      </c>
      <c r="CC52" s="22" t="str">
        <f t="shared" si="95"/>
        <v/>
      </c>
      <c r="CD52" t="s">
        <v>250</v>
      </c>
      <c r="CE52" s="22" t="str">
        <f t="shared" si="13"/>
        <v/>
      </c>
      <c r="CF52" s="22" t="str">
        <f t="shared" ref="CF52:CF61" si="142">_xlfn.CONCAT(CB52,IF(CB52 &lt;&gt; "", " ", ""),CC52,IF(OR(CC52&lt;&gt;"", CB52&lt;&gt;""), "{}",""), CE52,"{SILVER}", CD52)</f>
        <v>{BLACK}Powered by: {GOLD}Steam {}{SILVER}"Talyllyn" was delivered to the Talyllyn railway as an 0-4-0, but converted to 0-4-2 after a few years to improve riding quality. It was retired in 1945, but refurbished in the late 1950s and returned to preservation service.</v>
      </c>
    </row>
    <row r="53" spans="1:84" x14ac:dyDescent="0.3">
      <c r="A53" t="s">
        <v>297</v>
      </c>
      <c r="B53" t="s">
        <v>298</v>
      </c>
      <c r="C53">
        <v>10</v>
      </c>
      <c r="D53">
        <v>2004</v>
      </c>
      <c r="E53" t="s">
        <v>493</v>
      </c>
      <c r="F53" t="s">
        <v>236</v>
      </c>
      <c r="G53" t="s">
        <v>25</v>
      </c>
      <c r="H53" t="s">
        <v>338</v>
      </c>
      <c r="I53">
        <v>1866</v>
      </c>
      <c r="K53">
        <v>1945</v>
      </c>
      <c r="M53">
        <v>85</v>
      </c>
      <c r="O53" s="5">
        <v>7.6</v>
      </c>
      <c r="P53" s="5">
        <v>16</v>
      </c>
      <c r="Q53" s="5">
        <v>2</v>
      </c>
      <c r="R53" s="5">
        <v>150</v>
      </c>
      <c r="S53" s="12">
        <f t="shared" si="120"/>
        <v>156.31289053668294</v>
      </c>
      <c r="T53" s="5">
        <v>0.7</v>
      </c>
      <c r="U53" s="5">
        <f t="shared" si="121"/>
        <v>78.13852813852813</v>
      </c>
      <c r="V53">
        <v>10</v>
      </c>
      <c r="X53">
        <v>5</v>
      </c>
      <c r="Y53">
        <v>18</v>
      </c>
      <c r="Z53" s="3">
        <f t="shared" si="133"/>
        <v>0.18</v>
      </c>
      <c r="AA53">
        <v>25</v>
      </c>
      <c r="AB53">
        <f t="shared" si="119"/>
        <v>40</v>
      </c>
      <c r="AE53">
        <v>5.5</v>
      </c>
      <c r="AF53">
        <v>6</v>
      </c>
      <c r="AI53" s="9">
        <v>0</v>
      </c>
      <c r="AJ53" s="14" t="str">
        <f>CONCATENATE(VLOOKUP(AK53, 'Voxel Sizes'!$A$2:$B$18,2,FALSE),"x",INT(AG53*15), "x", INT(AH53*15))</f>
        <v>66x0x0</v>
      </c>
      <c r="AK53" s="14">
        <f t="shared" si="134"/>
        <v>4</v>
      </c>
      <c r="AM53" s="14" t="str">
        <f>CONCATENATE(VLOOKUP(AK53,Constants!$A$2:$C$16,IF(AL53&lt;&gt;"", 3, 2), FALSE),IF(AL53&lt;&gt;"",CONCATENATE(",",VLOOKUP(AL53,$B:$AM,38,FALSE)),""))</f>
        <v>1,2,1</v>
      </c>
      <c r="AU53">
        <v>1</v>
      </c>
      <c r="AW53">
        <v>250</v>
      </c>
      <c r="AX53" s="14">
        <f t="shared" si="135"/>
        <v>87</v>
      </c>
      <c r="AY53">
        <v>-5</v>
      </c>
      <c r="AZ53">
        <v>-6</v>
      </c>
      <c r="BA53" s="16">
        <f t="shared" si="136"/>
        <v>5</v>
      </c>
      <c r="BB53" s="16">
        <f t="shared" si="137"/>
        <v>0.42500000000000004</v>
      </c>
      <c r="BC53" s="16">
        <f t="shared" si="138"/>
        <v>0.89999999999999991</v>
      </c>
      <c r="BD53" s="17">
        <f t="shared" si="139"/>
        <v>1</v>
      </c>
      <c r="BE53" s="16">
        <f t="shared" si="113"/>
        <v>0</v>
      </c>
      <c r="BF53" s="16">
        <f>VLOOKUP($G53,Constants!$I:$K, 2, FALSE)</f>
        <v>1.1499999999999999</v>
      </c>
      <c r="BG53" s="16">
        <f>VLOOKUP($G53,Constants!$I:$K, 3, FALSE)*IF(AND(F53="multiple_unit",AA53&lt;110),0.75,1)</f>
        <v>1.7</v>
      </c>
      <c r="BH53" s="16">
        <f>INT(POWER(((Constants!$G$2+$BA53+$BB53+$BC53+$BE53)*$BD53)*$BG53, 1.05))+$AZ53</f>
        <v>16</v>
      </c>
      <c r="BI53" s="16">
        <f>INT(POWER((((Constants!$G$1+$BA53+$BB53+$BC53+$BE53)*($BD53))*$BF53),IF($F53="wagon",1,1.2)))+$AY53</f>
        <v>41</v>
      </c>
      <c r="BJ53" s="19">
        <f t="shared" si="114"/>
        <v>12500</v>
      </c>
      <c r="BK53" s="19">
        <f t="shared" si="115"/>
        <v>3331.25</v>
      </c>
      <c r="BT53">
        <v>11</v>
      </c>
      <c r="BX53" s="22" t="str">
        <f>VLOOKUP(I53,Eras!$A$2:$C$10, 2, TRUE)</f>
        <v>vct</v>
      </c>
      <c r="BY53" t="s">
        <v>61</v>
      </c>
      <c r="BZ53" s="22" t="str">
        <f t="shared" si="140"/>
        <v>vct_Cheap</v>
      </c>
      <c r="CA53" s="22" t="str">
        <f t="shared" si="141"/>
        <v>steam_NARROW_GAUGE</v>
      </c>
      <c r="CB53" s="22" t="str">
        <f>VLOOKUP($CA53, Constants!$M:$N, 2, FALSE)</f>
        <v>{BLACK}Powered by: {GOLD}Steam</v>
      </c>
      <c r="CC53" s="22" t="str">
        <f t="shared" si="95"/>
        <v/>
      </c>
      <c r="CD53" t="s">
        <v>309</v>
      </c>
      <c r="CE53" s="22" t="str">
        <f t="shared" si="13"/>
        <v/>
      </c>
      <c r="CF53" s="22" t="str">
        <f t="shared" si="142"/>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4" spans="1:84" x14ac:dyDescent="0.3">
      <c r="A54" t="s">
        <v>321</v>
      </c>
      <c r="B54" t="s">
        <v>322</v>
      </c>
      <c r="C54">
        <v>12</v>
      </c>
      <c r="D54">
        <v>2005</v>
      </c>
      <c r="E54" t="s">
        <v>493</v>
      </c>
      <c r="F54" t="s">
        <v>236</v>
      </c>
      <c r="G54" t="s">
        <v>25</v>
      </c>
      <c r="H54" t="s">
        <v>338</v>
      </c>
      <c r="I54">
        <v>1869</v>
      </c>
      <c r="M54">
        <v>275</v>
      </c>
      <c r="O54" s="5">
        <v>8.25</v>
      </c>
      <c r="P54" s="5">
        <v>13</v>
      </c>
      <c r="Q54" s="5">
        <v>4</v>
      </c>
      <c r="R54" s="5">
        <v>160</v>
      </c>
      <c r="S54" s="12">
        <f t="shared" si="120"/>
        <v>218.83804675135613</v>
      </c>
      <c r="T54" s="5">
        <v>0.7</v>
      </c>
      <c r="U54" s="5">
        <f t="shared" si="121"/>
        <v>223.43750000000003</v>
      </c>
      <c r="V54">
        <v>10</v>
      </c>
      <c r="X54">
        <v>5</v>
      </c>
      <c r="Y54">
        <v>38</v>
      </c>
      <c r="Z54" s="3">
        <f t="shared" si="133"/>
        <v>0.38</v>
      </c>
      <c r="AA54">
        <v>35</v>
      </c>
      <c r="AB54">
        <f t="shared" si="119"/>
        <v>56</v>
      </c>
      <c r="AF54">
        <v>12</v>
      </c>
      <c r="AI54" s="9">
        <v>0</v>
      </c>
      <c r="AJ54" s="14" t="str">
        <f>CONCATENATE(VLOOKUP(AK54, 'Voxel Sizes'!$A$2:$B$18,2,FALSE),"x",INT(AG54*15), "x", INT(AH54*15))</f>
        <v>120x0x0</v>
      </c>
      <c r="AK54" s="14">
        <f t="shared" si="134"/>
        <v>7</v>
      </c>
      <c r="AM54" s="14" t="str">
        <f>CONCATENATE(VLOOKUP(AK54,Constants!$A$2:$C$16,IF(AL54&lt;&gt;"", 3, 2), FALSE),IF(AL54&lt;&gt;"",CONCATENATE(",",VLOOKUP(AL54,$B:$AM,38,FALSE)),""))</f>
        <v>2,3,2</v>
      </c>
      <c r="AU54">
        <v>1</v>
      </c>
      <c r="AW54">
        <v>250</v>
      </c>
      <c r="AX54" s="14" t="str">
        <f t="shared" si="135"/>
        <v/>
      </c>
      <c r="AY54">
        <v>-5</v>
      </c>
      <c r="AZ54">
        <v>-6</v>
      </c>
      <c r="BA54" s="16">
        <f t="shared" si="136"/>
        <v>7</v>
      </c>
      <c r="BB54" s="16">
        <f t="shared" si="137"/>
        <v>1.375</v>
      </c>
      <c r="BC54" s="16">
        <f t="shared" si="138"/>
        <v>1.9</v>
      </c>
      <c r="BD54" s="17">
        <f t="shared" si="139"/>
        <v>1</v>
      </c>
      <c r="BE54" s="16">
        <f t="shared" si="113"/>
        <v>0</v>
      </c>
      <c r="BF54" s="16">
        <f>VLOOKUP($G54,Constants!$I:$K, 2, FALSE)</f>
        <v>1.1499999999999999</v>
      </c>
      <c r="BG54" s="16">
        <f>VLOOKUP($G54,Constants!$I:$K, 3, FALSE)*IF(AND(F54="multiple_unit",AA54&lt;110),0.75,1)</f>
        <v>1.7</v>
      </c>
      <c r="BH54" s="16">
        <f>INT(POWER(((Constants!$G$2+$BA54+$BB54+$BC54+$BE54)*$BD54)*$BG54, 1.05))+$AZ54</f>
        <v>24</v>
      </c>
      <c r="BI54" s="16">
        <f>INT(POWER((((Constants!$G$1+$BA54+$BB54+$BC54+$BE54)*($BD54))*$BF54),IF($F54="wagon",1,1.2)))+$AY54</f>
        <v>52</v>
      </c>
      <c r="BJ54" s="19">
        <f t="shared" si="114"/>
        <v>18750</v>
      </c>
      <c r="BK54" s="19">
        <f t="shared" si="115"/>
        <v>4225</v>
      </c>
      <c r="BT54">
        <v>11</v>
      </c>
      <c r="BX54" s="22" t="str">
        <f>VLOOKUP(I54,Eras!$A$2:$C$10, 2, TRUE)</f>
        <v>vct</v>
      </c>
      <c r="BY54" t="s">
        <v>61</v>
      </c>
      <c r="BZ54" s="22" t="str">
        <f t="shared" si="140"/>
        <v>vct_Cheap</v>
      </c>
      <c r="CA54" s="22" t="str">
        <f t="shared" si="141"/>
        <v>steam_NARROW_GAUGE</v>
      </c>
      <c r="CB54" s="22" t="str">
        <f>VLOOKUP($CA54, Constants!$M:$N, 2, FALSE)</f>
        <v>{BLACK}Powered by: {GOLD}Steam</v>
      </c>
      <c r="CC54" s="22" t="str">
        <f t="shared" si="95"/>
        <v/>
      </c>
      <c r="CD54" t="s">
        <v>323</v>
      </c>
      <c r="CE54" s="22" t="str">
        <f t="shared" si="13"/>
        <v/>
      </c>
      <c r="CF54" s="22" t="str">
        <f t="shared" si="142"/>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5" spans="1:84" x14ac:dyDescent="0.3">
      <c r="A55" t="s">
        <v>304</v>
      </c>
      <c r="B55" t="s">
        <v>303</v>
      </c>
      <c r="C55">
        <v>15</v>
      </c>
      <c r="D55">
        <v>-1</v>
      </c>
      <c r="F55" t="s">
        <v>15</v>
      </c>
      <c r="G55" t="s">
        <v>25</v>
      </c>
      <c r="H55" t="s">
        <v>338</v>
      </c>
      <c r="I55">
        <v>1903</v>
      </c>
      <c r="K55">
        <v>1951</v>
      </c>
      <c r="S55" s="12">
        <f t="shared" si="120"/>
        <v>0</v>
      </c>
      <c r="T55" s="5">
        <v>0.7</v>
      </c>
      <c r="U55" s="5">
        <f t="shared" si="121"/>
        <v>0</v>
      </c>
      <c r="X55">
        <v>5</v>
      </c>
      <c r="Z55" s="3" t="str">
        <f t="shared" si="133"/>
        <v/>
      </c>
      <c r="AB55">
        <f t="shared" si="119"/>
        <v>0</v>
      </c>
      <c r="AI55" s="9">
        <v>0</v>
      </c>
      <c r="AJ55" s="14" t="str">
        <f>CONCATENATE(VLOOKUP(AK55, 'Voxel Sizes'!$A$2:$B$18,2,FALSE),"x",INT(AG55*15), "x", INT(AH55*15))</f>
        <v>0x0x0</v>
      </c>
      <c r="AK55" s="14">
        <f t="shared" si="134"/>
        <v>0</v>
      </c>
      <c r="AM55" s="14" t="str">
        <f>CONCATENATE(VLOOKUP(AK55,Constants!$A$2:$C$16,IF(AL55&lt;&gt;"", 3, 2), FALSE),IF(AL55&lt;&gt;"",CONCATENATE(",",VLOOKUP(AL55,$B:$AM,38,FALSE)),""))</f>
        <v>na</v>
      </c>
      <c r="AU55">
        <v>1</v>
      </c>
      <c r="AW55">
        <v>250</v>
      </c>
      <c r="AX55" s="14">
        <f t="shared" si="135"/>
        <v>56</v>
      </c>
      <c r="AY55">
        <v>-5</v>
      </c>
      <c r="AZ55">
        <v>-5</v>
      </c>
      <c r="BA55" s="16">
        <f t="shared" si="136"/>
        <v>0</v>
      </c>
      <c r="BB55" s="16">
        <f t="shared" si="137"/>
        <v>0</v>
      </c>
      <c r="BC55" s="16">
        <f t="shared" si="138"/>
        <v>0</v>
      </c>
      <c r="BD55" s="17">
        <f t="shared" si="139"/>
        <v>0.996</v>
      </c>
      <c r="BE55" s="16">
        <f t="shared" si="113"/>
        <v>0</v>
      </c>
      <c r="BF55" s="16">
        <f>VLOOKUP($G55,Constants!$I:$K, 2, FALSE)</f>
        <v>1.1499999999999999</v>
      </c>
      <c r="BG55" s="16">
        <f>VLOOKUP($G55,Constants!$I:$K, 3, FALSE)*IF(AND(F55="multiple_unit",AA55&lt;110),0.75,1)</f>
        <v>1.7</v>
      </c>
      <c r="BH55" s="16">
        <f>INT(POWER(((Constants!$G$2+$BA55+$BB55+$BC55+$BE55)*$BD55)*$BG55, 1.05))+$AZ55</f>
        <v>4</v>
      </c>
      <c r="BI55" s="16">
        <f>INT(POWER((((Constants!$G$1+$BA55+$BB55+$BC55+$BE55)*($BD55))*$BF55),IF($F55="wagon",1,1.2)))+$AY55</f>
        <v>25</v>
      </c>
      <c r="BJ55" s="19">
        <f t="shared" si="114"/>
        <v>3125</v>
      </c>
      <c r="BK55" s="19">
        <f t="shared" si="115"/>
        <v>2031.25</v>
      </c>
      <c r="BT55">
        <v>10</v>
      </c>
      <c r="BX55" s="22" t="str">
        <f>VLOOKUP(I55,Eras!$A$2:$C$10, 2, TRUE)</f>
        <v>edw</v>
      </c>
      <c r="BY55" t="s">
        <v>61</v>
      </c>
      <c r="BZ55" s="22" t="str">
        <f t="shared" si="140"/>
        <v>edw_Cheap</v>
      </c>
      <c r="CA55" s="22" t="str">
        <f t="shared" si="141"/>
        <v>steam_NARROW_GAUGE</v>
      </c>
      <c r="CB55" s="22" t="str">
        <f>VLOOKUP($CA55, Constants!$M:$N, 2, FALSE)</f>
        <v>{BLACK}Powered by: {GOLD}Steam</v>
      </c>
      <c r="CC55" s="22" t="str">
        <f t="shared" si="95"/>
        <v/>
      </c>
      <c r="CE55" s="22" t="str">
        <f t="shared" si="13"/>
        <v/>
      </c>
      <c r="CF55" s="22" t="str">
        <f t="shared" si="142"/>
        <v>{BLACK}Powered by: {GOLD}Steam {}{SILVER}</v>
      </c>
    </row>
    <row r="56" spans="1:84" x14ac:dyDescent="0.3">
      <c r="A56" t="s">
        <v>307</v>
      </c>
      <c r="B56" t="s">
        <v>308</v>
      </c>
      <c r="C56">
        <v>20</v>
      </c>
      <c r="D56">
        <v>-1</v>
      </c>
      <c r="F56" t="s">
        <v>15</v>
      </c>
      <c r="G56" t="s">
        <v>25</v>
      </c>
      <c r="H56" t="s">
        <v>338</v>
      </c>
      <c r="I56">
        <v>1903</v>
      </c>
      <c r="K56">
        <v>1951</v>
      </c>
      <c r="S56" s="12">
        <f t="shared" si="120"/>
        <v>0</v>
      </c>
      <c r="T56" s="5">
        <v>0.7</v>
      </c>
      <c r="U56" s="5">
        <f t="shared" si="121"/>
        <v>0</v>
      </c>
      <c r="X56">
        <v>5</v>
      </c>
      <c r="Z56" s="3" t="str">
        <f t="shared" si="133"/>
        <v/>
      </c>
      <c r="AB56">
        <f t="shared" si="119"/>
        <v>0</v>
      </c>
      <c r="AI56" s="9">
        <v>0</v>
      </c>
      <c r="AJ56" s="14" t="str">
        <f>CONCATENATE(VLOOKUP(AK56, 'Voxel Sizes'!$A$2:$B$18,2,FALSE),"x",INT(AG56*15), "x", INT(AH56*15))</f>
        <v>0x0x0</v>
      </c>
      <c r="AK56" s="14">
        <f t="shared" si="134"/>
        <v>0</v>
      </c>
      <c r="AM56" s="14" t="str">
        <f>CONCATENATE(VLOOKUP(AK56,Constants!$A$2:$C$16,IF(AL56&lt;&gt;"", 3, 2), FALSE),IF(AL56&lt;&gt;"",CONCATENATE(",",VLOOKUP(AL56,$B:$AM,38,FALSE)),""))</f>
        <v>na</v>
      </c>
      <c r="AU56">
        <v>1</v>
      </c>
      <c r="AW56">
        <v>250</v>
      </c>
      <c r="AX56" s="14">
        <f t="shared" si="135"/>
        <v>56</v>
      </c>
      <c r="AY56">
        <v>-5</v>
      </c>
      <c r="AZ56">
        <v>-5</v>
      </c>
      <c r="BA56" s="16">
        <f t="shared" si="136"/>
        <v>0</v>
      </c>
      <c r="BB56" s="16">
        <f t="shared" si="137"/>
        <v>0</v>
      </c>
      <c r="BC56" s="16">
        <f t="shared" si="138"/>
        <v>0</v>
      </c>
      <c r="BD56" s="17">
        <f t="shared" si="139"/>
        <v>0.996</v>
      </c>
      <c r="BE56" s="16">
        <f t="shared" si="113"/>
        <v>0</v>
      </c>
      <c r="BF56" s="16">
        <f>VLOOKUP($G56,Constants!$I:$K, 2, FALSE)</f>
        <v>1.1499999999999999</v>
      </c>
      <c r="BG56" s="16">
        <f>VLOOKUP($G56,Constants!$I:$K, 3, FALSE)*IF(AND(F56="multiple_unit",AA56&lt;110),0.75,1)</f>
        <v>1.7</v>
      </c>
      <c r="BH56" s="16">
        <f>INT(POWER(((Constants!$G$2+$BA56+$BB56+$BC56+$BE56)*$BD56)*$BG56, 1.05))+$AZ56</f>
        <v>4</v>
      </c>
      <c r="BI56" s="16">
        <f>INT(POWER((((Constants!$G$1+$BA56+$BB56+$BC56+$BE56)*($BD56))*$BF56),IF($F56="wagon",1,1.2)))+$AY56</f>
        <v>25</v>
      </c>
      <c r="BJ56" s="19">
        <f t="shared" si="114"/>
        <v>3125</v>
      </c>
      <c r="BK56" s="19">
        <f t="shared" si="115"/>
        <v>2031.25</v>
      </c>
      <c r="BT56">
        <v>9</v>
      </c>
      <c r="BX56" s="22" t="str">
        <f>VLOOKUP(I56,Eras!$A$2:$C$10, 2, TRUE)</f>
        <v>edw</v>
      </c>
      <c r="BY56" t="s">
        <v>61</v>
      </c>
      <c r="BZ56" s="22" t="str">
        <f t="shared" si="140"/>
        <v>edw_Cheap</v>
      </c>
      <c r="CA56" s="22" t="str">
        <f t="shared" si="141"/>
        <v>steam_NARROW_GAUGE</v>
      </c>
      <c r="CB56" s="22" t="str">
        <f>VLOOKUP($CA56, Constants!$M:$N, 2, FALSE)</f>
        <v>{BLACK}Powered by: {GOLD}Steam</v>
      </c>
      <c r="CC56" s="22" t="str">
        <f t="shared" si="95"/>
        <v/>
      </c>
      <c r="CE56" s="22" t="str">
        <f t="shared" si="13"/>
        <v/>
      </c>
      <c r="CF56" s="22" t="str">
        <f t="shared" si="142"/>
        <v>{BLACK}Powered by: {GOLD}Steam {}{SILVER}</v>
      </c>
    </row>
    <row r="57" spans="1:84" x14ac:dyDescent="0.3">
      <c r="A57" t="s">
        <v>310</v>
      </c>
      <c r="B57" t="s">
        <v>311</v>
      </c>
      <c r="C57">
        <v>25</v>
      </c>
      <c r="D57">
        <v>2006</v>
      </c>
      <c r="E57" t="s">
        <v>493</v>
      </c>
      <c r="F57" t="s">
        <v>236</v>
      </c>
      <c r="G57" t="s">
        <v>25</v>
      </c>
      <c r="H57" t="s">
        <v>338</v>
      </c>
      <c r="I57">
        <v>1918</v>
      </c>
      <c r="K57">
        <v>1955</v>
      </c>
      <c r="M57">
        <v>65</v>
      </c>
      <c r="O57" s="5">
        <v>6.8</v>
      </c>
      <c r="P57" s="5">
        <v>10.75</v>
      </c>
      <c r="Q57" s="5">
        <v>2</v>
      </c>
      <c r="R57" s="5">
        <v>160</v>
      </c>
      <c r="S57" s="12">
        <f t="shared" si="120"/>
        <v>218.8380467513561</v>
      </c>
      <c r="T57" s="5">
        <v>0.6</v>
      </c>
      <c r="U57" s="5">
        <f t="shared" si="121"/>
        <v>62.76262626262627</v>
      </c>
      <c r="V57">
        <v>8</v>
      </c>
      <c r="X57">
        <v>5</v>
      </c>
      <c r="Y57">
        <v>15</v>
      </c>
      <c r="Z57" s="3">
        <f t="shared" si="133"/>
        <v>0.1875</v>
      </c>
      <c r="AA57">
        <v>30</v>
      </c>
      <c r="AB57">
        <f t="shared" ref="AB57:AB67" si="143">ROUND(AA57*1.6, 0)</f>
        <v>48</v>
      </c>
      <c r="AE57">
        <v>4.7</v>
      </c>
      <c r="AF57">
        <v>6</v>
      </c>
      <c r="AI57" s="9">
        <v>0</v>
      </c>
      <c r="AJ57" s="14" t="str">
        <f>CONCATENATE(VLOOKUP(AK57, 'Voxel Sizes'!$A$2:$B$18,2,FALSE),"x",INT(AG57*15), "x", INT(AH57*15))</f>
        <v>66x0x0</v>
      </c>
      <c r="AK57" s="14">
        <f t="shared" si="134"/>
        <v>4</v>
      </c>
      <c r="AM57" s="14" t="str">
        <f>CONCATENATE(VLOOKUP(AK57,Constants!$A$2:$C$16,IF(AL57&lt;&gt;"", 3, 2), FALSE),IF(AL57&lt;&gt;"",CONCATENATE(",",VLOOKUP(AL57,$B:$AM,38,FALSE)),""))</f>
        <v>1,2,1</v>
      </c>
      <c r="AU57">
        <v>1</v>
      </c>
      <c r="AW57">
        <v>250</v>
      </c>
      <c r="AX57" s="14">
        <f t="shared" si="135"/>
        <v>45</v>
      </c>
      <c r="AY57">
        <v>-5</v>
      </c>
      <c r="AZ57">
        <v>-7</v>
      </c>
      <c r="BA57" s="16">
        <f t="shared" si="136"/>
        <v>6</v>
      </c>
      <c r="BB57" s="16">
        <f t="shared" si="137"/>
        <v>0.32500000000000001</v>
      </c>
      <c r="BC57" s="16">
        <f t="shared" si="138"/>
        <v>0.75</v>
      </c>
      <c r="BD57" s="17">
        <f t="shared" si="139"/>
        <v>0.97599999999999998</v>
      </c>
      <c r="BE57" s="16">
        <f t="shared" si="113"/>
        <v>0</v>
      </c>
      <c r="BF57" s="16">
        <f>VLOOKUP($G57,Constants!$I:$K, 2, FALSE)</f>
        <v>1.1499999999999999</v>
      </c>
      <c r="BG57" s="16">
        <f>VLOOKUP($G57,Constants!$I:$K, 3, FALSE)*IF(AND(F57="multiple_unit",AA57&lt;110),0.75,1)</f>
        <v>1.7</v>
      </c>
      <c r="BH57" s="16">
        <f>INT(POWER(((Constants!$G$2+$BA57+$BB57+$BC57+$BE57)*$BD57)*$BG57, 1.05))+$AZ57</f>
        <v>16</v>
      </c>
      <c r="BI57" s="16">
        <f>INT(POWER((((Constants!$G$1+$BA57+$BB57+$BC57+$BE57)*($BD57))*$BF57),IF($F57="wagon",1,1.2)))+$AY57</f>
        <v>42</v>
      </c>
      <c r="BJ57" s="19">
        <f t="shared" si="114"/>
        <v>12500</v>
      </c>
      <c r="BK57" s="19">
        <f t="shared" si="115"/>
        <v>3412.5</v>
      </c>
      <c r="BT57">
        <v>8</v>
      </c>
      <c r="BX57" s="22" t="str">
        <f>VLOOKUP(I57,Eras!$A$2:$C$10, 2, TRUE)</f>
        <v>edw</v>
      </c>
      <c r="BY57" t="s">
        <v>61</v>
      </c>
      <c r="BZ57" s="22" t="str">
        <f t="shared" si="140"/>
        <v>edw_Cheap</v>
      </c>
      <c r="CA57" s="22" t="str">
        <f t="shared" si="141"/>
        <v>steam_NARROW_GAUGE</v>
      </c>
      <c r="CB57" s="22" t="str">
        <f>VLOOKUP($CA57, Constants!$M:$N, 2, FALSE)</f>
        <v>{BLACK}Powered by: {GOLD}Steam</v>
      </c>
      <c r="CC57" s="22" t="str">
        <f t="shared" si="95"/>
        <v/>
      </c>
      <c r="CD57" t="s">
        <v>312</v>
      </c>
      <c r="CE57" s="22" t="str">
        <f t="shared" si="13"/>
        <v/>
      </c>
      <c r="CF57" s="22" t="str">
        <f t="shared" si="142"/>
        <v>{BLACK}Powered by: {GOLD}Steam {}{SILVER}The E Class is a small 0-4-0 well tank. One used by the RAF is preserved on the Talyllyn railway as "Douglas", named after second owner Douglas Abelson who donated it from his engineering firm.</v>
      </c>
    </row>
    <row r="58" spans="1:84" x14ac:dyDescent="0.3">
      <c r="A58" t="s">
        <v>305</v>
      </c>
      <c r="B58" t="s">
        <v>306</v>
      </c>
      <c r="C58">
        <v>30</v>
      </c>
      <c r="D58">
        <v>2007</v>
      </c>
      <c r="E58" t="s">
        <v>493</v>
      </c>
      <c r="F58" t="s">
        <v>236</v>
      </c>
      <c r="G58" t="s">
        <v>25</v>
      </c>
      <c r="H58" t="s">
        <v>338</v>
      </c>
      <c r="I58">
        <v>1923</v>
      </c>
      <c r="K58">
        <v>1968</v>
      </c>
      <c r="M58">
        <v>250</v>
      </c>
      <c r="O58" s="5">
        <v>11.5</v>
      </c>
      <c r="P58" s="5">
        <v>17</v>
      </c>
      <c r="Q58" s="5">
        <v>2</v>
      </c>
      <c r="R58" s="5">
        <v>165</v>
      </c>
      <c r="S58" s="12">
        <f t="shared" si="120"/>
        <v>153.18663272594927</v>
      </c>
      <c r="T58" s="5">
        <v>1</v>
      </c>
      <c r="U58" s="5">
        <f t="shared" si="121"/>
        <v>204.91861979166666</v>
      </c>
      <c r="V58">
        <v>25</v>
      </c>
      <c r="X58">
        <v>5</v>
      </c>
      <c r="Y58">
        <v>44</v>
      </c>
      <c r="Z58" s="3">
        <f t="shared" si="133"/>
        <v>0.17599999999999999</v>
      </c>
      <c r="AA58">
        <v>35</v>
      </c>
      <c r="AB58">
        <f t="shared" si="143"/>
        <v>56</v>
      </c>
      <c r="AF58">
        <v>8</v>
      </c>
      <c r="AI58" s="9">
        <v>0</v>
      </c>
      <c r="AJ58" s="14" t="str">
        <f>CONCATENATE(VLOOKUP(AK58, 'Voxel Sizes'!$A$2:$B$18,2,FALSE),"x",INT(AG58*15), "x", INT(AH58*15))</f>
        <v>82x0x0</v>
      </c>
      <c r="AK58" s="14">
        <f t="shared" si="134"/>
        <v>5</v>
      </c>
      <c r="AM58" s="14" t="str">
        <f>CONCATENATE(VLOOKUP(AK58,Constants!$A$2:$C$16,IF(AL58&lt;&gt;"", 3, 2), FALSE),IF(AL58&lt;&gt;"",CONCATENATE(",",VLOOKUP(AL58,$B:$AM,38,FALSE)),""))</f>
        <v>2,1,2</v>
      </c>
      <c r="AU58">
        <v>1</v>
      </c>
      <c r="AW58">
        <v>250</v>
      </c>
      <c r="AX58" s="14">
        <f t="shared" si="135"/>
        <v>53</v>
      </c>
      <c r="AY58">
        <v>-10</v>
      </c>
      <c r="AZ58">
        <v>-5</v>
      </c>
      <c r="BA58" s="16">
        <f t="shared" si="136"/>
        <v>7</v>
      </c>
      <c r="BB58" s="16">
        <f t="shared" si="137"/>
        <v>1.25</v>
      </c>
      <c r="BC58" s="16">
        <f t="shared" si="138"/>
        <v>2.2000000000000002</v>
      </c>
      <c r="BD58" s="17">
        <f t="shared" si="139"/>
        <v>0.96933333333333338</v>
      </c>
      <c r="BE58" s="16">
        <f t="shared" si="113"/>
        <v>0</v>
      </c>
      <c r="BF58" s="16">
        <f>VLOOKUP($G58,Constants!$I:$K, 2, FALSE)</f>
        <v>1.1499999999999999</v>
      </c>
      <c r="BG58" s="16">
        <f>VLOOKUP($G58,Constants!$I:$K, 3, FALSE)*IF(AND(F58="multiple_unit",AA58&lt;110),0.75,1)</f>
        <v>1.7</v>
      </c>
      <c r="BH58" s="16">
        <f>INT(POWER(((Constants!$G$2+$BA58+$BB58+$BC58+$BE58)*$BD58)*$BG58, 1.05))+$AZ58</f>
        <v>24</v>
      </c>
      <c r="BI58" s="16">
        <f>INT(POWER((((Constants!$G$1+$BA58+$BB58+$BC58+$BE58)*($BD58))*$BF58),IF($F58="wagon",1,1.2)))+$AY58</f>
        <v>45</v>
      </c>
      <c r="BJ58" s="19">
        <f t="shared" si="114"/>
        <v>18750</v>
      </c>
      <c r="BK58" s="19">
        <f t="shared" si="115"/>
        <v>3656.25</v>
      </c>
      <c r="BT58">
        <v>7</v>
      </c>
      <c r="BX58" s="22" t="str">
        <f>VLOOKUP(I58,Eras!$A$2:$C$10, 2, TRUE)</f>
        <v>big4</v>
      </c>
      <c r="BY58" t="s">
        <v>61</v>
      </c>
      <c r="BZ58" s="22" t="str">
        <f t="shared" si="140"/>
        <v>big4_Cheap</v>
      </c>
      <c r="CA58" s="22" t="str">
        <f t="shared" si="141"/>
        <v>steam_NARROW_GAUGE</v>
      </c>
      <c r="CB58" s="22" t="str">
        <f>VLOOKUP($CA58, Constants!$M:$N, 2, FALSE)</f>
        <v>{BLACK}Powered by: {GOLD}Steam</v>
      </c>
      <c r="CC58" s="22" t="str">
        <f t="shared" si="95"/>
        <v/>
      </c>
      <c r="CD58" t="s">
        <v>320</v>
      </c>
      <c r="CE58" s="22" t="str">
        <f t="shared" si="13"/>
        <v/>
      </c>
      <c r="CF58" s="22" t="str">
        <f t="shared" si="142"/>
        <v>{BLACK}Powered by: {GOLD}Steam {}{SILVER}Charles Collett designed these tank locomotives to replace worn-out engines on the Vale of Rheidol line. They became the last steam locomotives running on British Railways, up until the line became a heritage railway in 1989.</v>
      </c>
    </row>
    <row r="59" spans="1:84" x14ac:dyDescent="0.3">
      <c r="A59" t="s">
        <v>325</v>
      </c>
      <c r="B59" t="s">
        <v>299</v>
      </c>
      <c r="C59">
        <v>35</v>
      </c>
      <c r="D59">
        <v>-1</v>
      </c>
      <c r="F59" t="s">
        <v>15</v>
      </c>
      <c r="G59" t="s">
        <v>26</v>
      </c>
      <c r="H59" t="s">
        <v>338</v>
      </c>
      <c r="I59">
        <v>1940</v>
      </c>
      <c r="K59">
        <v>1980</v>
      </c>
      <c r="M59">
        <v>40</v>
      </c>
      <c r="S59" s="12">
        <f t="shared" si="120"/>
        <v>0</v>
      </c>
      <c r="T59" s="5">
        <v>0.7</v>
      </c>
      <c r="U59" s="5">
        <f t="shared" si="121"/>
        <v>0</v>
      </c>
      <c r="X59">
        <v>5</v>
      </c>
      <c r="Z59" s="3" t="str">
        <f t="shared" si="133"/>
        <v/>
      </c>
      <c r="AB59">
        <f t="shared" si="143"/>
        <v>0</v>
      </c>
      <c r="AI59" s="9">
        <v>0</v>
      </c>
      <c r="AJ59" s="14" t="str">
        <f>CONCATENATE(VLOOKUP(AK59, 'Voxel Sizes'!$A$2:$B$18,2,FALSE),"x",INT(AG59*15), "x", INT(AH59*15))</f>
        <v>0x0x0</v>
      </c>
      <c r="AK59" s="14">
        <f t="shared" si="134"/>
        <v>0</v>
      </c>
      <c r="AM59" s="14" t="str">
        <f>CONCATENATE(VLOOKUP(AK59,Constants!$A$2:$C$16,IF(AL59&lt;&gt;"", 3, 2), FALSE),IF(AL59&lt;&gt;"",CONCATENATE(",",VLOOKUP(AL59,$B:$AM,38,FALSE)),""))</f>
        <v>na</v>
      </c>
      <c r="AU59">
        <v>1</v>
      </c>
      <c r="AW59">
        <v>250</v>
      </c>
      <c r="AX59" s="14">
        <f t="shared" si="135"/>
        <v>48</v>
      </c>
      <c r="AY59">
        <v>-5</v>
      </c>
      <c r="AZ59">
        <v>-2</v>
      </c>
      <c r="BA59" s="16">
        <f t="shared" si="136"/>
        <v>0</v>
      </c>
      <c r="BB59" s="16">
        <f t="shared" si="137"/>
        <v>0.2</v>
      </c>
      <c r="BC59" s="16">
        <f t="shared" si="138"/>
        <v>0</v>
      </c>
      <c r="BD59" s="17">
        <f t="shared" si="139"/>
        <v>0.94666666666666666</v>
      </c>
      <c r="BE59" s="16">
        <f t="shared" si="113"/>
        <v>0</v>
      </c>
      <c r="BF59" s="16">
        <f>VLOOKUP($G59,Constants!$I:$K, 2, FALSE)</f>
        <v>1</v>
      </c>
      <c r="BG59" s="16">
        <f>VLOOKUP($G59,Constants!$I:$K, 3, FALSE)*IF(AND(F59="multiple_unit",AA59&lt;110),0.75,1)</f>
        <v>2</v>
      </c>
      <c r="BH59" s="16">
        <f>INT(POWER(((Constants!$G$2+$BA59+$BB59+$BC59+$BE59)*$BD59)*$BG59, 1.05))+$AZ59</f>
        <v>9</v>
      </c>
      <c r="BI59" s="16">
        <f>INT(POWER((((Constants!$G$1+$BA59+$BB59+$BC59+$BE59)*($BD59))*$BF59),IF($F59="wagon",1,1.2)))+$AY59</f>
        <v>19</v>
      </c>
      <c r="BJ59" s="19">
        <f t="shared" si="114"/>
        <v>7031.25</v>
      </c>
      <c r="BK59" s="19">
        <f t="shared" si="115"/>
        <v>1543.75</v>
      </c>
      <c r="BT59">
        <v>6</v>
      </c>
      <c r="BX59" s="22" t="str">
        <f>VLOOKUP(I59,Eras!$A$2:$C$10, 2, TRUE)</f>
        <v>big4</v>
      </c>
      <c r="BY59" t="s">
        <v>61</v>
      </c>
      <c r="BZ59" s="22" t="str">
        <f t="shared" si="140"/>
        <v>big4_Cheap</v>
      </c>
      <c r="CA59" s="22" t="str">
        <f t="shared" si="141"/>
        <v>diesel_NARROW_GAUGE</v>
      </c>
      <c r="CB59" s="22" t="str">
        <f>VLOOKUP($CA59, Constants!$M:$N, 2, FALSE)</f>
        <v>{BLACK}Powered by: {GOLD}Diesel</v>
      </c>
      <c r="CC59" s="22" t="str">
        <f t="shared" si="95"/>
        <v/>
      </c>
      <c r="CE59" s="22" t="str">
        <f t="shared" si="13"/>
        <v/>
      </c>
      <c r="CF59" s="22" t="str">
        <f t="shared" si="142"/>
        <v>{BLACK}Powered by: {GOLD}Diesel {}{SILVER}</v>
      </c>
    </row>
    <row r="60" spans="1:84" x14ac:dyDescent="0.3">
      <c r="A60" t="s">
        <v>324</v>
      </c>
      <c r="B60" t="s">
        <v>300</v>
      </c>
      <c r="C60">
        <v>40</v>
      </c>
      <c r="D60">
        <v>2008</v>
      </c>
      <c r="E60" t="s">
        <v>493</v>
      </c>
      <c r="F60" t="s">
        <v>236</v>
      </c>
      <c r="G60" t="s">
        <v>26</v>
      </c>
      <c r="H60" t="s">
        <v>338</v>
      </c>
      <c r="I60">
        <v>1941</v>
      </c>
      <c r="K60">
        <v>1985</v>
      </c>
      <c r="M60">
        <v>50</v>
      </c>
      <c r="S60" s="12">
        <f t="shared" si="120"/>
        <v>187.57546864401954</v>
      </c>
      <c r="T60" s="5">
        <v>0.7</v>
      </c>
      <c r="U60" s="5">
        <f t="shared" si="121"/>
        <v>0</v>
      </c>
      <c r="V60">
        <v>7</v>
      </c>
      <c r="X60">
        <v>5</v>
      </c>
      <c r="Y60">
        <v>22</v>
      </c>
      <c r="Z60" s="3">
        <f t="shared" si="133"/>
        <v>0.31428571428571428</v>
      </c>
      <c r="AA60">
        <v>30</v>
      </c>
      <c r="AB60">
        <f t="shared" si="143"/>
        <v>48</v>
      </c>
      <c r="AF60">
        <v>6</v>
      </c>
      <c r="AI60" s="9">
        <v>0</v>
      </c>
      <c r="AJ60" s="14" t="str">
        <f>CONCATENATE(VLOOKUP(AK60, 'Voxel Sizes'!$A$2:$B$18,2,FALSE),"x",INT(AG60*15), "x", INT(AH60*15))</f>
        <v>66x0x0</v>
      </c>
      <c r="AK60" s="14">
        <f t="shared" si="134"/>
        <v>4</v>
      </c>
      <c r="AM60" s="14" t="str">
        <f>CONCATENATE(VLOOKUP(AK60,Constants!$A$2:$C$16,IF(AL60&lt;&gt;"", 3, 2), FALSE),IF(AL60&lt;&gt;"",CONCATENATE(",",VLOOKUP(AL60,$B:$AM,38,FALSE)),""))</f>
        <v>1,2,1</v>
      </c>
      <c r="AW60">
        <v>125</v>
      </c>
      <c r="AX60" s="14">
        <f t="shared" si="135"/>
        <v>52</v>
      </c>
      <c r="AY60">
        <v>-9</v>
      </c>
      <c r="AZ60">
        <v>-12</v>
      </c>
      <c r="BA60" s="16">
        <f t="shared" si="136"/>
        <v>6</v>
      </c>
      <c r="BB60" s="16">
        <f t="shared" si="137"/>
        <v>0.25</v>
      </c>
      <c r="BC60" s="16">
        <f t="shared" si="138"/>
        <v>1.1000000000000001</v>
      </c>
      <c r="BD60" s="17">
        <f t="shared" si="139"/>
        <v>0.94533333333333336</v>
      </c>
      <c r="BE60" s="16">
        <f t="shared" si="113"/>
        <v>0</v>
      </c>
      <c r="BF60" s="16">
        <f>VLOOKUP($G60,Constants!$I:$K, 2, FALSE)</f>
        <v>1</v>
      </c>
      <c r="BG60" s="16">
        <f>VLOOKUP($G60,Constants!$I:$K, 3, FALSE)*IF(AND(F60="multiple_unit",AA60&lt;110),0.75,1)</f>
        <v>2</v>
      </c>
      <c r="BH60" s="16">
        <f>INT(POWER(((Constants!$G$2+$BA60+$BB60+$BC60+$BE60)*$BD60)*$BG60, 1.05))+$AZ60</f>
        <v>15</v>
      </c>
      <c r="BI60" s="16">
        <f>INT(POWER((((Constants!$G$1+$BA60+$BB60+$BC60+$BE60)*($BD60))*$BF60),IF($F60="wagon",1,1.2)))+$AY60</f>
        <v>29</v>
      </c>
      <c r="BJ60" s="19">
        <f t="shared" si="114"/>
        <v>11718.75</v>
      </c>
      <c r="BK60" s="19">
        <f t="shared" si="115"/>
        <v>2356.25</v>
      </c>
      <c r="BT60">
        <v>5</v>
      </c>
      <c r="BX60" s="22" t="str">
        <f>VLOOKUP(I60,Eras!$A$2:$C$10, 2, TRUE)</f>
        <v>big4</v>
      </c>
      <c r="BY60" t="s">
        <v>61</v>
      </c>
      <c r="BZ60" s="22" t="str">
        <f t="shared" si="140"/>
        <v>big4_Cheap</v>
      </c>
      <c r="CA60" s="22" t="str">
        <f t="shared" si="141"/>
        <v>diesel_NARROW_GAUGE</v>
      </c>
      <c r="CB60" s="22" t="str">
        <f>VLOOKUP($CA60, Constants!$M:$N, 2, FALSE)</f>
        <v>{BLACK}Powered by: {GOLD}Diesel</v>
      </c>
      <c r="CC60" s="22" t="str">
        <f t="shared" si="95"/>
        <v/>
      </c>
      <c r="CD60" t="s">
        <v>326</v>
      </c>
      <c r="CE60" s="22" t="str">
        <f t="shared" si="13"/>
        <v/>
      </c>
      <c r="CF60" s="22" t="str">
        <f t="shared" si="142"/>
        <v>{BLACK}Powered by: {GOLD}Diesel {}{SILVER}Ruston and Hornsby built diesel locomotives for small industrial lines, which would often only need a small locomotive for hauling goods short distances.</v>
      </c>
    </row>
    <row r="61" spans="1:84" x14ac:dyDescent="0.3">
      <c r="A61" t="s">
        <v>411</v>
      </c>
      <c r="B61" t="s">
        <v>412</v>
      </c>
      <c r="C61">
        <v>41</v>
      </c>
      <c r="D61">
        <v>2009</v>
      </c>
      <c r="E61" t="s">
        <v>493</v>
      </c>
      <c r="F61" t="s">
        <v>236</v>
      </c>
      <c r="G61" t="s">
        <v>26</v>
      </c>
      <c r="H61" t="s">
        <v>338</v>
      </c>
      <c r="I61">
        <v>1950</v>
      </c>
      <c r="M61">
        <v>75</v>
      </c>
      <c r="S61" s="12">
        <f t="shared" si="120"/>
        <v>200.08049988695416</v>
      </c>
      <c r="T61" s="5">
        <v>0.7</v>
      </c>
      <c r="U61" s="5">
        <f t="shared" si="121"/>
        <v>0</v>
      </c>
      <c r="V61">
        <v>10</v>
      </c>
      <c r="X61">
        <v>5</v>
      </c>
      <c r="Y61">
        <v>28</v>
      </c>
      <c r="Z61" s="3">
        <f t="shared" si="133"/>
        <v>0.28000000000000003</v>
      </c>
      <c r="AA61">
        <v>32</v>
      </c>
      <c r="AB61">
        <f t="shared" si="143"/>
        <v>51</v>
      </c>
      <c r="AF61">
        <v>6</v>
      </c>
      <c r="AI61" s="9">
        <v>0</v>
      </c>
      <c r="AJ61" s="14" t="str">
        <f>CONCATENATE(VLOOKUP(AK61, 'Voxel Sizes'!$A$2:$B$18,2,FALSE),"x",INT(AG61*15), "x", INT(AH61*15))</f>
        <v>66x0x0</v>
      </c>
      <c r="AK61" s="14">
        <f t="shared" si="134"/>
        <v>4</v>
      </c>
      <c r="AM61" s="14" t="str">
        <f>CONCATENATE(VLOOKUP(AK61,Constants!$A$2:$C$16,IF(AL61&lt;&gt;"", 3, 2), FALSE),IF(AL61&lt;&gt;"",CONCATENATE(",",VLOOKUP(AL61,$B:$AM,38,FALSE)),""))</f>
        <v>1,2,1</v>
      </c>
      <c r="AU61">
        <v>1</v>
      </c>
      <c r="AW61">
        <v>125</v>
      </c>
      <c r="AX61" s="14" t="str">
        <f t="shared" si="135"/>
        <v/>
      </c>
      <c r="AY61">
        <v>-9</v>
      </c>
      <c r="AZ61">
        <v>-12</v>
      </c>
      <c r="BA61" s="16">
        <f t="shared" si="136"/>
        <v>6.4</v>
      </c>
      <c r="BB61" s="16">
        <f t="shared" si="137"/>
        <v>0.375</v>
      </c>
      <c r="BC61" s="16">
        <f t="shared" si="138"/>
        <v>1.4000000000000001</v>
      </c>
      <c r="BD61" s="17">
        <f t="shared" si="139"/>
        <v>0.93333333333333335</v>
      </c>
      <c r="BE61" s="16">
        <f t="shared" si="113"/>
        <v>0</v>
      </c>
      <c r="BF61" s="16">
        <f>VLOOKUP($G61,Constants!$I:$K, 2, FALSE)</f>
        <v>1</v>
      </c>
      <c r="BG61" s="16">
        <f>VLOOKUP($G61,Constants!$I:$K, 3, FALSE)*IF(AND(F61="multiple_unit",AA61&lt;110),0.75,1)</f>
        <v>2</v>
      </c>
      <c r="BH61" s="16">
        <f>INT(POWER(((Constants!$G$2+$BA61+$BB61+$BC61+$BE61)*$BD61)*$BG61, 1.05))+$AZ61</f>
        <v>16</v>
      </c>
      <c r="BI61" s="16">
        <f>INT(POWER((((Constants!$G$1+$BA61+$BB61+$BC61+$BE61)*($BD61))*$BF61),IF($F61="wagon",1,1.2)))+$AY61</f>
        <v>31</v>
      </c>
      <c r="BJ61" s="19">
        <f t="shared" si="114"/>
        <v>12500</v>
      </c>
      <c r="BK61" s="19">
        <f t="shared" si="115"/>
        <v>2518.75</v>
      </c>
      <c r="BT61">
        <v>3</v>
      </c>
      <c r="BX61" s="22" t="str">
        <f>VLOOKUP(I61,Eras!$A$2:$C$10, 2, TRUE)</f>
        <v>ebr</v>
      </c>
      <c r="BY61" t="s">
        <v>61</v>
      </c>
      <c r="BZ61" s="22" t="str">
        <f t="shared" si="140"/>
        <v>ebr_Cheap</v>
      </c>
      <c r="CA61" s="22" t="str">
        <f t="shared" si="141"/>
        <v>diesel_NARROW_GAUGE</v>
      </c>
      <c r="CB61" s="22" t="str">
        <f>VLOOKUP($CA61, Constants!$M:$N, 2, FALSE)</f>
        <v>{BLACK}Powered by: {GOLD}Diesel</v>
      </c>
      <c r="CC61" s="22" t="str">
        <f t="shared" si="95"/>
        <v/>
      </c>
      <c r="CD61" t="s">
        <v>414</v>
      </c>
      <c r="CE61" s="22" t="str">
        <f t="shared" si="13"/>
        <v/>
      </c>
      <c r="CF61" s="22" t="str">
        <f t="shared" si="142"/>
        <v>{BLACK}Powered by: {GOLD}Diesel {}{SILVER}The Hunslet 0-4-0DM is powered by a Gardner 4LW engine and is typical of a narrow gauge locomotive used for engineering duties.</v>
      </c>
    </row>
    <row r="62" spans="1:84" x14ac:dyDescent="0.3">
      <c r="A62" t="s">
        <v>409</v>
      </c>
      <c r="B62" t="s">
        <v>410</v>
      </c>
      <c r="C62">
        <v>42</v>
      </c>
      <c r="D62">
        <v>2010</v>
      </c>
      <c r="E62" t="s">
        <v>493</v>
      </c>
      <c r="F62" t="s">
        <v>236</v>
      </c>
      <c r="G62" t="s">
        <v>199</v>
      </c>
      <c r="H62" t="s">
        <v>338</v>
      </c>
      <c r="I62">
        <v>1954</v>
      </c>
      <c r="M62">
        <v>30</v>
      </c>
      <c r="S62" s="12">
        <f t="shared" si="120"/>
        <v>150.06037491521562</v>
      </c>
      <c r="T62" s="5">
        <v>0.7</v>
      </c>
      <c r="U62" s="5">
        <f t="shared" si="121"/>
        <v>0</v>
      </c>
      <c r="V62">
        <v>5</v>
      </c>
      <c r="X62">
        <v>5</v>
      </c>
      <c r="Y62">
        <v>16</v>
      </c>
      <c r="Z62" s="3">
        <f t="shared" ref="Z62" si="144">IF(AND(V62&gt;0,Y62&gt;0),(Y62/((V62+W62)*10)),"")</f>
        <v>0.32</v>
      </c>
      <c r="AA62">
        <v>24</v>
      </c>
      <c r="AB62">
        <f t="shared" si="143"/>
        <v>38</v>
      </c>
      <c r="AF62">
        <v>6</v>
      </c>
      <c r="AI62" s="9">
        <v>0</v>
      </c>
      <c r="AJ62" s="14" t="str">
        <f>CONCATENATE(VLOOKUP(AK62, 'Voxel Sizes'!$A$2:$B$18,2,FALSE),"x",INT(AG62*15), "x", INT(AH62*15))</f>
        <v>66x0x0</v>
      </c>
      <c r="AK62" s="14">
        <f t="shared" ref="AK62" si="145">ROUND(15*((AF62*10)/256),0)</f>
        <v>4</v>
      </c>
      <c r="AM62" s="14" t="str">
        <f>CONCATENATE(VLOOKUP(AK62,Constants!$A$2:$C$16,IF(AL62&lt;&gt;"", 3, 2), FALSE),IF(AL62&lt;&gt;"",CONCATENATE(",",VLOOKUP(AL62,$B:$AM,38,FALSE)),""))</f>
        <v>1,2,1</v>
      </c>
      <c r="AW62">
        <v>125</v>
      </c>
      <c r="AX62" s="14" t="str">
        <f t="shared" ref="AX62" si="146">IF(K62&lt;&gt;"",MAX(16,(K62-I62)+8),"")</f>
        <v/>
      </c>
      <c r="AY62">
        <v>-9</v>
      </c>
      <c r="AZ62">
        <v>-12</v>
      </c>
      <c r="BA62" s="16">
        <f t="shared" ref="BA62" si="147">MIN(AA62/150, 1)*30</f>
        <v>4.8</v>
      </c>
      <c r="BB62" s="16">
        <f t="shared" ref="BB62" si="148">MIN(M62/4000, 1)*20</f>
        <v>0.15</v>
      </c>
      <c r="BC62" s="16">
        <f t="shared" ref="BC62" si="149">MIN(Y62/400,1)*20</f>
        <v>0.8</v>
      </c>
      <c r="BD62" s="17">
        <f t="shared" ref="BD62" si="150">1-(MAX(I62-1900, 0)/750)</f>
        <v>0.92800000000000005</v>
      </c>
      <c r="BE62" s="16">
        <f t="shared" si="113"/>
        <v>0</v>
      </c>
      <c r="BF62" s="16">
        <f>VLOOKUP($G62,Constants!$I:$K, 2, FALSE)</f>
        <v>1.05</v>
      </c>
      <c r="BG62" s="16">
        <f>VLOOKUP($G62,Constants!$I:$K, 3, FALSE)*IF(AND(F62="multiple_unit",AA62&lt;110),0.75,1)</f>
        <v>1.9</v>
      </c>
      <c r="BH62" s="16">
        <f>INT(POWER(((Constants!$G$2+$BA62+$BB62+$BC62+$BE62)*$BD62)*$BG62, 1.05))+$AZ62</f>
        <v>9</v>
      </c>
      <c r="BI62" s="16">
        <f>INT(POWER((((Constants!$G$1+$BA62+$BB62+$BC62+$BE62)*($BD62))*$BF62),IF($F62="wagon",1,1.2)))+$AY62</f>
        <v>27</v>
      </c>
      <c r="BJ62" s="19">
        <f t="shared" si="114"/>
        <v>7031.25</v>
      </c>
      <c r="BK62" s="19">
        <f t="shared" si="115"/>
        <v>2193.75</v>
      </c>
      <c r="BT62">
        <v>7</v>
      </c>
      <c r="BX62" s="22" t="str">
        <f>VLOOKUP(I62,Eras!$A$2:$C$10, 2, TRUE)</f>
        <v>ebr</v>
      </c>
      <c r="BY62" t="s">
        <v>61</v>
      </c>
      <c r="BZ62" s="22" t="str">
        <f t="shared" ref="BZ62" si="151">CONCATENATE(BX62,"_",BY62)</f>
        <v>ebr_Cheap</v>
      </c>
      <c r="CA62" s="22" t="str">
        <f t="shared" ref="CA62" si="152">_xlfn.CONCAT(G62, "_",H62)</f>
        <v>petrol_NARROW_GAUGE</v>
      </c>
      <c r="CB62" s="22" t="str">
        <f>VLOOKUP($CA62, Constants!$M:$N, 2, FALSE)</f>
        <v>{BLACK}Powered by: {GOLD}Petrol</v>
      </c>
      <c r="CC62" s="22" t="str">
        <f t="shared" si="95"/>
        <v/>
      </c>
      <c r="CD62" t="s">
        <v>415</v>
      </c>
      <c r="CE62" s="22" t="str">
        <f t="shared" si="13"/>
        <v/>
      </c>
      <c r="CF62" s="22" t="str">
        <f t="shared" ref="CF62" si="153">_xlfn.CONCAT(CB62,IF(CB62 &lt;&gt; "", " ", ""),CC62,IF(OR(CC62&lt;&gt;"", CB62&lt;&gt;""), "{}",""), CE62,"{SILVER}", CD62)</f>
        <v>{BLACK}Powered by: {GOLD}Petrol {}{SILVER}Talyllyn Railway volunteer John Bate built this small locomotive using the engine from a Austin Seven. The canopy was added later.</v>
      </c>
    </row>
    <row r="63" spans="1:84" x14ac:dyDescent="0.3">
      <c r="A63" t="s">
        <v>301</v>
      </c>
      <c r="B63" t="s">
        <v>302</v>
      </c>
      <c r="C63">
        <v>45</v>
      </c>
      <c r="D63">
        <v>2011</v>
      </c>
      <c r="E63" t="s">
        <v>493</v>
      </c>
      <c r="F63" t="s">
        <v>236</v>
      </c>
      <c r="G63" t="s">
        <v>26</v>
      </c>
      <c r="H63" t="s">
        <v>338</v>
      </c>
      <c r="I63">
        <v>1982</v>
      </c>
      <c r="M63">
        <v>100</v>
      </c>
      <c r="S63" s="12">
        <f t="shared" si="120"/>
        <v>218.83804675135613</v>
      </c>
      <c r="T63" s="5">
        <v>0.7</v>
      </c>
      <c r="U63" s="5">
        <f t="shared" si="121"/>
        <v>0</v>
      </c>
      <c r="V63">
        <v>10</v>
      </c>
      <c r="X63">
        <v>5</v>
      </c>
      <c r="Y63">
        <v>36</v>
      </c>
      <c r="Z63" s="3">
        <f t="shared" ref="Z63:Z77" si="154">IF(AND(V63&gt;0,Y63&gt;0),(Y63/((V63+W63)*10)),"")</f>
        <v>0.36</v>
      </c>
      <c r="AA63">
        <v>35</v>
      </c>
      <c r="AB63">
        <f t="shared" si="143"/>
        <v>56</v>
      </c>
      <c r="AF63">
        <v>7</v>
      </c>
      <c r="AI63" s="9">
        <v>0</v>
      </c>
      <c r="AJ63" s="14" t="str">
        <f>CONCATENATE(VLOOKUP(AK63, 'Voxel Sizes'!$A$2:$B$18,2,FALSE),"x",INT(AG63*15), "x", INT(AH63*15))</f>
        <v>66x0x0</v>
      </c>
      <c r="AK63" s="14">
        <f t="shared" ref="AK63:AK77" si="155">ROUND(15*((AF63*10)/256),0)</f>
        <v>4</v>
      </c>
      <c r="AM63" s="14" t="str">
        <f>CONCATENATE(VLOOKUP(AK63,Constants!$A$2:$C$16,IF(AL63&lt;&gt;"", 3, 2), FALSE),IF(AL63&lt;&gt;"",CONCATENATE(",",VLOOKUP(AL63,$B:$AM,38,FALSE)),""))</f>
        <v>1,2,1</v>
      </c>
      <c r="AW63">
        <v>125</v>
      </c>
      <c r="AX63" s="14" t="str">
        <f t="shared" ref="AX63:AX77" si="156">IF(K63&lt;&gt;"",MAX(16,(K63-I63)+8),"")</f>
        <v/>
      </c>
      <c r="AY63">
        <v>-7</v>
      </c>
      <c r="AZ63">
        <v>-6</v>
      </c>
      <c r="BA63" s="16">
        <f t="shared" ref="BA63:BA77" si="157">MIN(AA63/150, 1)*30</f>
        <v>7</v>
      </c>
      <c r="BB63" s="16">
        <f t="shared" ref="BB63:BB77" si="158">MIN(M63/4000, 1)*20</f>
        <v>0.5</v>
      </c>
      <c r="BC63" s="16">
        <f t="shared" ref="BC63:BC77" si="159">MIN(Y63/400,1)*20</f>
        <v>1.7999999999999998</v>
      </c>
      <c r="BD63" s="17">
        <f t="shared" ref="BD63:BD77" si="160">1-(MAX(I63-1900, 0)/750)</f>
        <v>0.89066666666666672</v>
      </c>
      <c r="BE63" s="16">
        <f t="shared" si="113"/>
        <v>0</v>
      </c>
      <c r="BF63" s="16">
        <f>VLOOKUP($G63,Constants!$I:$K, 2, FALSE)</f>
        <v>1</v>
      </c>
      <c r="BG63" s="16">
        <f>VLOOKUP($G63,Constants!$I:$K, 3, FALSE)*IF(AND(F63="multiple_unit",AA63&lt;110),0.75,1)</f>
        <v>2</v>
      </c>
      <c r="BH63" s="16">
        <f>INT(POWER(((Constants!$G$2+$BA63+$BB63+$BC63+$BE63)*$BD63)*$BG63, 1.05))+$AZ63</f>
        <v>23</v>
      </c>
      <c r="BI63" s="16">
        <f>INT(POWER((((Constants!$G$1+$BA63+$BB63+$BC63+$BE63)*($BD63))*$BF63),IF($F63="wagon",1,1.2)))+$AY63</f>
        <v>33</v>
      </c>
      <c r="BJ63" s="19">
        <f t="shared" si="114"/>
        <v>17968.75</v>
      </c>
      <c r="BK63" s="19">
        <f t="shared" si="115"/>
        <v>2681.25</v>
      </c>
      <c r="BT63">
        <v>4</v>
      </c>
      <c r="BX63" s="22" t="str">
        <f>VLOOKUP(I63,Eras!$A$2:$C$10, 2, TRUE)</f>
        <v>lbr</v>
      </c>
      <c r="BY63" t="s">
        <v>61</v>
      </c>
      <c r="BZ63" s="22" t="str">
        <f t="shared" ref="BZ63:BZ77" si="161">CONCATENATE(BX63,"_",BY63)</f>
        <v>lbr_Cheap</v>
      </c>
      <c r="CA63" s="22" t="str">
        <f t="shared" ref="CA63:CA77" si="162">_xlfn.CONCAT(G63, "_",H63)</f>
        <v>diesel_NARROW_GAUGE</v>
      </c>
      <c r="CB63" s="22" t="str">
        <f>VLOOKUP($CA63, Constants!$M:$N, 2, FALSE)</f>
        <v>{BLACK}Powered by: {GOLD}Diesel</v>
      </c>
      <c r="CC63" s="22" t="str">
        <f t="shared" si="95"/>
        <v/>
      </c>
      <c r="CD63" t="s">
        <v>327</v>
      </c>
      <c r="CE63" s="22" t="str">
        <f t="shared" si="13"/>
        <v/>
      </c>
      <c r="CF63" s="22" t="str">
        <f t="shared" ref="CF63:CF77" si="163">_xlfn.CONCAT(CB63,IF(CB63 &lt;&gt; "", " ", ""),CC63,IF(OR(CC63&lt;&gt;"", CB63&lt;&gt;""), "{}",""), CE63,"{SILVER}", CD63)</f>
        <v>{BLACK}Powered by: {GOLD}Diesel {}{SILVER}Larger and more powerful diesel shunters displaced steam from industrial lines as they were more economical to run. Even preservation railways keep some around for utility duties.</v>
      </c>
    </row>
    <row r="64" spans="1:84" x14ac:dyDescent="0.3">
      <c r="A64" t="s">
        <v>328</v>
      </c>
      <c r="B64" t="s">
        <v>329</v>
      </c>
      <c r="C64">
        <v>80</v>
      </c>
      <c r="D64">
        <v>-1</v>
      </c>
      <c r="F64" t="s">
        <v>15</v>
      </c>
      <c r="G64" t="s">
        <v>32</v>
      </c>
      <c r="H64" t="s">
        <v>338</v>
      </c>
      <c r="I64">
        <v>1800</v>
      </c>
      <c r="K64">
        <v>1880</v>
      </c>
      <c r="V64">
        <v>3</v>
      </c>
      <c r="X64">
        <v>3</v>
      </c>
      <c r="Z64" s="3" t="str">
        <f t="shared" si="154"/>
        <v/>
      </c>
      <c r="AA64">
        <v>25</v>
      </c>
      <c r="AB64">
        <f t="shared" si="143"/>
        <v>40</v>
      </c>
      <c r="AE64">
        <v>6</v>
      </c>
      <c r="AF64">
        <v>6</v>
      </c>
      <c r="AI64" s="9">
        <v>12</v>
      </c>
      <c r="AJ64" s="14" t="str">
        <f>CONCATENATE(VLOOKUP(AK64, 'Voxel Sizes'!$A$2:$B$18,2,FALSE),"x",INT(AG64*15), "x", INT(AH64*15))</f>
        <v>66x0x0</v>
      </c>
      <c r="AK64" s="14">
        <f t="shared" si="155"/>
        <v>4</v>
      </c>
      <c r="AM64" s="14" t="str">
        <f>CONCATENATE(VLOOKUP(AK64,Constants!$A$2:$C$16,IF(AL64&lt;&gt;"", 3, 2), FALSE),IF(AL64&lt;&gt;"",CONCATENATE(",",VLOOKUP(AL64,$B:$AM,38,FALSE)),""))</f>
        <v>1,2,1</v>
      </c>
      <c r="AW64">
        <v>80</v>
      </c>
      <c r="AX64" s="14">
        <f t="shared" si="156"/>
        <v>88</v>
      </c>
      <c r="BA64" s="16">
        <f t="shared" si="157"/>
        <v>5</v>
      </c>
      <c r="BB64" s="16">
        <f t="shared" si="158"/>
        <v>0</v>
      </c>
      <c r="BC64" s="16">
        <f t="shared" si="159"/>
        <v>0</v>
      </c>
      <c r="BD64" s="17">
        <f t="shared" si="160"/>
        <v>1</v>
      </c>
      <c r="BE64" s="16">
        <f t="shared" si="113"/>
        <v>0.4</v>
      </c>
      <c r="BF64" s="16">
        <f>VLOOKUP($G64,Constants!$I:$K, 2, FALSE)</f>
        <v>1</v>
      </c>
      <c r="BG64" s="16">
        <f>VLOOKUP($G64,Constants!$I:$K, 3, FALSE)*IF(AND(F64="multiple_unit",AA64&lt;110),0.75,1)</f>
        <v>0.45</v>
      </c>
      <c r="BH64" s="16">
        <f>INT(POWER(((Constants!$G$2+$BA64+$BB64+$BC64+$BE64)*$BD64)*$BG64, 1.05))+$AZ64</f>
        <v>5</v>
      </c>
      <c r="BI64" s="16">
        <f>INT(POWER((((Constants!$G$1+$BA64+$BB64+$BC64+$BE64)*($BD64))*$BF64),IF($F64="wagon",1,1.2)))+$AY64</f>
        <v>37</v>
      </c>
      <c r="BJ64" s="19">
        <f t="shared" si="114"/>
        <v>3906.25</v>
      </c>
      <c r="BK64" s="19">
        <f t="shared" si="115"/>
        <v>3006.25</v>
      </c>
      <c r="BT64">
        <v>1</v>
      </c>
      <c r="BU64">
        <v>74</v>
      </c>
      <c r="BV64" t="s">
        <v>275</v>
      </c>
      <c r="BW64" t="s">
        <v>34</v>
      </c>
      <c r="BX64" s="22" t="str">
        <f>VLOOKUP(I64,Eras!$A$2:$C$10, 2, TRUE)</f>
        <v>early</v>
      </c>
      <c r="BY64" t="s">
        <v>75</v>
      </c>
      <c r="BZ64" s="22" t="str">
        <f t="shared" si="161"/>
        <v>early_Open Wagon</v>
      </c>
      <c r="CA64" s="22" t="str">
        <f t="shared" si="162"/>
        <v>wagon_NARROW_GAUGE</v>
      </c>
      <c r="CB64" s="22" t="str">
        <f>VLOOKUP($CA64, Constants!$M:$N, 2, FALSE)</f>
        <v/>
      </c>
      <c r="CC64" s="22" t="str">
        <f t="shared" si="95"/>
        <v/>
      </c>
      <c r="CD64" t="s">
        <v>330</v>
      </c>
      <c r="CE64" s="22" t="str">
        <f t="shared" si="13"/>
        <v>{YELLOW}Preserved railway bonus: passengers pay more when hauled by old locomotives{}</v>
      </c>
      <c r="CF64" s="22" t="str">
        <f t="shared" si="163"/>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5" spans="1:84" x14ac:dyDescent="0.3">
      <c r="A65" t="s">
        <v>251</v>
      </c>
      <c r="B65" t="s">
        <v>253</v>
      </c>
      <c r="C65">
        <v>81</v>
      </c>
      <c r="D65">
        <v>3001</v>
      </c>
      <c r="E65" t="s">
        <v>493</v>
      </c>
      <c r="F65" t="s">
        <v>32</v>
      </c>
      <c r="G65" t="s">
        <v>32</v>
      </c>
      <c r="H65" t="s">
        <v>338</v>
      </c>
      <c r="I65">
        <v>1863</v>
      </c>
      <c r="V65">
        <v>5</v>
      </c>
      <c r="X65">
        <v>4</v>
      </c>
      <c r="Z65" s="3" t="str">
        <f t="shared" si="154"/>
        <v/>
      </c>
      <c r="AA65">
        <v>35</v>
      </c>
      <c r="AB65">
        <f t="shared" si="143"/>
        <v>56</v>
      </c>
      <c r="AE65">
        <v>8</v>
      </c>
      <c r="AF65">
        <v>8</v>
      </c>
      <c r="AI65" s="9">
        <v>18</v>
      </c>
      <c r="AJ65" s="14" t="str">
        <f>CONCATENATE(VLOOKUP(AK65, 'Voxel Sizes'!$A$2:$B$18,2,FALSE),"x",INT(AG65*15), "x", INT(AH65*15))</f>
        <v>82x0x0</v>
      </c>
      <c r="AK65" s="14">
        <f t="shared" si="155"/>
        <v>5</v>
      </c>
      <c r="AM65" s="14" t="str">
        <f>CONCATENATE(VLOOKUP(AK65,Constants!$A$2:$C$16,IF(AL65&lt;&gt;"", 3, 2), FALSE),IF(AL65&lt;&gt;"",CONCATENATE(",",VLOOKUP(AL65,$B:$AM,38,FALSE)),""))</f>
        <v>2,1,2</v>
      </c>
      <c r="AW65">
        <v>80</v>
      </c>
      <c r="AX65" s="14" t="str">
        <f t="shared" si="156"/>
        <v/>
      </c>
      <c r="AY65">
        <v>5</v>
      </c>
      <c r="AZ65">
        <v>10</v>
      </c>
      <c r="BA65" s="16">
        <f t="shared" si="157"/>
        <v>7</v>
      </c>
      <c r="BB65" s="16">
        <f t="shared" si="158"/>
        <v>0</v>
      </c>
      <c r="BC65" s="16">
        <f t="shared" si="159"/>
        <v>0</v>
      </c>
      <c r="BD65" s="17">
        <f t="shared" si="160"/>
        <v>1</v>
      </c>
      <c r="BE65" s="16">
        <f t="shared" si="113"/>
        <v>3</v>
      </c>
      <c r="BF65" s="16">
        <f>VLOOKUP($G65,Constants!$I:$K, 2, FALSE)</f>
        <v>1</v>
      </c>
      <c r="BG65" s="16">
        <f>VLOOKUP($G65,Constants!$I:$K, 3, FALSE)*IF(AND(F65="multiple_unit",AA65&lt;110),0.75,1)</f>
        <v>0.45</v>
      </c>
      <c r="BH65" s="16">
        <f>INT(POWER(((Constants!$G$2+$BA65+$BB65+$BC65+$BE65)*$BD65)*$BG65, 1.05))+$AZ65</f>
        <v>17</v>
      </c>
      <c r="BI65" s="16">
        <f>INT(POWER((((Constants!$G$1+$BA65+$BB65+$BC65+$BE65)*($BD65))*$BF65),IF($F65="wagon",1,1.2)))+$AY65</f>
        <v>30</v>
      </c>
      <c r="BJ65" s="19">
        <f t="shared" si="114"/>
        <v>1062.5</v>
      </c>
      <c r="BK65" s="19">
        <f t="shared" si="115"/>
        <v>81.900000000000006</v>
      </c>
      <c r="BT65">
        <v>1</v>
      </c>
      <c r="BU65">
        <v>74</v>
      </c>
      <c r="BV65" t="s">
        <v>275</v>
      </c>
      <c r="BW65" t="s">
        <v>34</v>
      </c>
      <c r="BX65" s="22" t="str">
        <f>VLOOKUP(I65,Eras!$A$2:$C$10, 2, TRUE)</f>
        <v>vct</v>
      </c>
      <c r="BY65" t="s">
        <v>75</v>
      </c>
      <c r="BZ65" s="22" t="str">
        <f t="shared" si="161"/>
        <v>vct_Open Wagon</v>
      </c>
      <c r="CA65" s="22" t="str">
        <f t="shared" si="162"/>
        <v>wagon_NARROW_GAUGE</v>
      </c>
      <c r="CB65" s="22" t="str">
        <f>VLOOKUP($CA65, Constants!$M:$N, 2, FALSE)</f>
        <v/>
      </c>
      <c r="CC65" s="22" t="str">
        <f t="shared" si="95"/>
        <v/>
      </c>
      <c r="CD65" t="s">
        <v>285</v>
      </c>
      <c r="CE65" s="22" t="str">
        <f t="shared" si="13"/>
        <v>{YELLOW}Preserved railway bonus: passengers pay more when hauled by old locomotives{}</v>
      </c>
      <c r="CF65" s="22" t="str">
        <f t="shared" si="163"/>
        <v>{YELLOW}Preserved railway bonus: passengers pay more when hauled by old locomotives{}{SILVER}When narrow gauge began operating passenger services, carriages were simple, flat-sided vehicles build around wooden frames on a four-wheel chassis.</v>
      </c>
    </row>
    <row r="66" spans="1:84" x14ac:dyDescent="0.3">
      <c r="A66" t="s">
        <v>252</v>
      </c>
      <c r="B66" t="s">
        <v>254</v>
      </c>
      <c r="C66">
        <v>82</v>
      </c>
      <c r="D66">
        <v>3002</v>
      </c>
      <c r="E66" t="s">
        <v>493</v>
      </c>
      <c r="F66" t="s">
        <v>32</v>
      </c>
      <c r="G66" t="s">
        <v>32</v>
      </c>
      <c r="H66" t="s">
        <v>338</v>
      </c>
      <c r="I66">
        <v>1900</v>
      </c>
      <c r="V66">
        <v>7</v>
      </c>
      <c r="X66">
        <v>4</v>
      </c>
      <c r="Z66" s="3" t="str">
        <f t="shared" si="154"/>
        <v/>
      </c>
      <c r="AA66">
        <v>45</v>
      </c>
      <c r="AB66">
        <f t="shared" si="143"/>
        <v>72</v>
      </c>
      <c r="AE66">
        <v>12</v>
      </c>
      <c r="AF66">
        <v>12</v>
      </c>
      <c r="AI66" s="9">
        <v>36</v>
      </c>
      <c r="AJ66" s="14" t="str">
        <f>CONCATENATE(VLOOKUP(AK66, 'Voxel Sizes'!$A$2:$B$18,2,FALSE),"x",INT(AG66*15), "x", INT(AH66*15))</f>
        <v>120x0x0</v>
      </c>
      <c r="AK66" s="14">
        <f t="shared" si="155"/>
        <v>7</v>
      </c>
      <c r="AM66" s="14" t="str">
        <f>CONCATENATE(VLOOKUP(AK66,Constants!$A$2:$C$16,IF(AL66&lt;&gt;"", 3, 2), FALSE),IF(AL66&lt;&gt;"",CONCATENATE(",",VLOOKUP(AL66,$B:$AM,38,FALSE)),""))</f>
        <v>2,3,2</v>
      </c>
      <c r="AW66">
        <v>80</v>
      </c>
      <c r="AX66" s="14" t="str">
        <f t="shared" si="156"/>
        <v/>
      </c>
      <c r="AY66">
        <v>10</v>
      </c>
      <c r="AZ66">
        <v>20</v>
      </c>
      <c r="BA66" s="16">
        <f t="shared" si="157"/>
        <v>9</v>
      </c>
      <c r="BB66" s="16">
        <f t="shared" si="158"/>
        <v>0</v>
      </c>
      <c r="BC66" s="16">
        <f t="shared" si="159"/>
        <v>0</v>
      </c>
      <c r="BD66" s="17">
        <f t="shared" si="160"/>
        <v>1</v>
      </c>
      <c r="BE66" s="16">
        <f t="shared" si="113"/>
        <v>6</v>
      </c>
      <c r="BF66" s="16">
        <f>VLOOKUP($G66,Constants!$I:$K, 2, FALSE)</f>
        <v>1</v>
      </c>
      <c r="BG66" s="16">
        <f>VLOOKUP($G66,Constants!$I:$K, 3, FALSE)*IF(AND(F66="multiple_unit",AA66&lt;110),0.75,1)</f>
        <v>0.45</v>
      </c>
      <c r="BH66" s="16">
        <f>INT(POWER(((Constants!$G$2+$BA66+$BB66+$BC66+$BE66)*$BD66)*$BG66, 1.05))+$AZ66</f>
        <v>30</v>
      </c>
      <c r="BI66" s="16">
        <f>INT(POWER((((Constants!$G$1+$BA66+$BB66+$BC66+$BE66)*($BD66))*$BF66),IF($F66="wagon",1,1.2)))+$AY66</f>
        <v>40</v>
      </c>
      <c r="BJ66" s="19">
        <f t="shared" si="114"/>
        <v>1875</v>
      </c>
      <c r="BK66" s="19">
        <f t="shared" si="115"/>
        <v>109.2</v>
      </c>
      <c r="BT66">
        <v>1</v>
      </c>
      <c r="BU66">
        <v>74</v>
      </c>
      <c r="BV66" t="s">
        <v>275</v>
      </c>
      <c r="BW66" t="s">
        <v>34</v>
      </c>
      <c r="BX66" s="22" t="str">
        <f>VLOOKUP(I66,Eras!$A$2:$C$10, 2, TRUE)</f>
        <v>edw</v>
      </c>
      <c r="BY66" t="s">
        <v>75</v>
      </c>
      <c r="BZ66" s="22" t="str">
        <f t="shared" si="161"/>
        <v>edw_Open Wagon</v>
      </c>
      <c r="CA66" s="22" t="str">
        <f t="shared" si="162"/>
        <v>wagon_NARROW_GAUGE</v>
      </c>
      <c r="CB66" s="22" t="str">
        <f>VLOOKUP($CA66, Constants!$M:$N, 2, FALSE)</f>
        <v/>
      </c>
      <c r="CC66" s="22" t="str">
        <f t="shared" si="95"/>
        <v/>
      </c>
      <c r="CD66" t="s">
        <v>287</v>
      </c>
      <c r="CE66" s="22" t="str">
        <f t="shared" si="13"/>
        <v>{YELLOW}Preserved railway bonus: passengers pay more when hauled by old locomotives{}</v>
      </c>
      <c r="CF66" s="22" t="str">
        <f t="shared" si="163"/>
        <v>{YELLOW}Preserved railway bonus: passengers pay more when hauled by old locomotives{}{SILVER}Later narrow gauge carriages increased in length where loading gauges allowed, using bogies to help negotiate tight curves.</v>
      </c>
    </row>
    <row r="67" spans="1:84" x14ac:dyDescent="0.3">
      <c r="A67" t="s">
        <v>255</v>
      </c>
      <c r="B67" t="s">
        <v>257</v>
      </c>
      <c r="C67">
        <v>84</v>
      </c>
      <c r="D67">
        <v>3003</v>
      </c>
      <c r="E67" t="s">
        <v>493</v>
      </c>
      <c r="F67" t="s">
        <v>32</v>
      </c>
      <c r="G67" t="s">
        <v>32</v>
      </c>
      <c r="H67" t="s">
        <v>338</v>
      </c>
      <c r="I67">
        <v>1863</v>
      </c>
      <c r="V67">
        <v>4</v>
      </c>
      <c r="X67">
        <v>4</v>
      </c>
      <c r="Z67" s="3" t="str">
        <f t="shared" si="154"/>
        <v/>
      </c>
      <c r="AA67">
        <v>35</v>
      </c>
      <c r="AB67">
        <f t="shared" si="143"/>
        <v>56</v>
      </c>
      <c r="AE67">
        <v>8</v>
      </c>
      <c r="AF67">
        <v>8</v>
      </c>
      <c r="AI67" s="9">
        <v>24</v>
      </c>
      <c r="AJ67" s="14" t="str">
        <f>CONCATENATE(VLOOKUP(AK67, 'Voxel Sizes'!$A$2:$B$18,2,FALSE),"x",INT(AG67*15), "x", INT(AH67*15))</f>
        <v>82x0x0</v>
      </c>
      <c r="AK67" s="14">
        <f t="shared" si="155"/>
        <v>5</v>
      </c>
      <c r="AM67" s="14" t="str">
        <f>CONCATENATE(VLOOKUP(AK67,Constants!$A$2:$C$16,IF(AL67&lt;&gt;"", 3, 2), FALSE),IF(AL67&lt;&gt;"",CONCATENATE(",",VLOOKUP(AL67,$B:$AM,38,FALSE)),""))</f>
        <v>2,1,2</v>
      </c>
      <c r="AW67">
        <v>80</v>
      </c>
      <c r="AX67" s="14" t="str">
        <f t="shared" si="156"/>
        <v/>
      </c>
      <c r="AY67">
        <v>5</v>
      </c>
      <c r="AZ67">
        <v>10</v>
      </c>
      <c r="BA67" s="16">
        <f t="shared" si="157"/>
        <v>7</v>
      </c>
      <c r="BB67" s="16">
        <f t="shared" si="158"/>
        <v>0</v>
      </c>
      <c r="BC67" s="16">
        <f t="shared" si="159"/>
        <v>0</v>
      </c>
      <c r="BD67" s="17">
        <f t="shared" si="160"/>
        <v>1</v>
      </c>
      <c r="BE67" s="16">
        <f t="shared" si="113"/>
        <v>4</v>
      </c>
      <c r="BF67" s="16">
        <f>VLOOKUP($G67,Constants!$I:$K, 2, FALSE)</f>
        <v>1</v>
      </c>
      <c r="BG67" s="16">
        <f>VLOOKUP($G67,Constants!$I:$K, 3, FALSE)*IF(AND(F67="multiple_unit",AA67&lt;110),0.75,1)</f>
        <v>0.45</v>
      </c>
      <c r="BH67" s="16">
        <f>INT(POWER(((Constants!$G$2+$BA67+$BB67+$BC67+$BE67)*$BD67)*$BG67, 1.05))+$AZ67</f>
        <v>17</v>
      </c>
      <c r="BI67" s="16">
        <f>INT(POWER((((Constants!$G$1+$BA67+$BB67+$BC67+$BE67)*($BD67))*$BF67),IF($F67="wagon",1,1.2)))+$AY67</f>
        <v>31</v>
      </c>
      <c r="BJ67" s="19">
        <f t="shared" si="114"/>
        <v>1062.5</v>
      </c>
      <c r="BK67" s="19">
        <f t="shared" si="115"/>
        <v>84.63</v>
      </c>
      <c r="BT67">
        <v>1</v>
      </c>
      <c r="BU67">
        <v>225</v>
      </c>
      <c r="BV67" t="s">
        <v>276</v>
      </c>
      <c r="BW67" t="s">
        <v>280</v>
      </c>
      <c r="BX67" s="22" t="str">
        <f>VLOOKUP(I67,Eras!$A$2:$C$10, 2, TRUE)</f>
        <v>vct</v>
      </c>
      <c r="BY67" t="s">
        <v>75</v>
      </c>
      <c r="BZ67" s="22" t="str">
        <f t="shared" si="161"/>
        <v>vct_Open Wagon</v>
      </c>
      <c r="CA67" s="22" t="str">
        <f t="shared" si="162"/>
        <v>wagon_NARROW_GAUGE</v>
      </c>
      <c r="CB67" s="22" t="str">
        <f>VLOOKUP($CA67, Constants!$M:$N, 2, FALSE)</f>
        <v/>
      </c>
      <c r="CC67" s="22" t="str">
        <f t="shared" si="95"/>
        <v/>
      </c>
      <c r="CD67" t="s">
        <v>286</v>
      </c>
      <c r="CE67" s="22" t="str">
        <f t="shared" si="13"/>
        <v/>
      </c>
      <c r="CF67" s="22" t="str">
        <f t="shared" si="163"/>
        <v>{SILVER}Brake vans were rarer on narrow gauge railways, but passenger services would typically have a guard's wagon which could also carry parcels.</v>
      </c>
    </row>
    <row r="68" spans="1:84" x14ac:dyDescent="0.3">
      <c r="A68" t="s">
        <v>256</v>
      </c>
      <c r="B68" t="s">
        <v>258</v>
      </c>
      <c r="C68">
        <v>85</v>
      </c>
      <c r="D68">
        <v>3004</v>
      </c>
      <c r="E68" t="s">
        <v>493</v>
      </c>
      <c r="F68" t="s">
        <v>32</v>
      </c>
      <c r="G68" t="s">
        <v>32</v>
      </c>
      <c r="H68" t="s">
        <v>338</v>
      </c>
      <c r="I68">
        <v>1900</v>
      </c>
      <c r="V68">
        <v>6</v>
      </c>
      <c r="X68">
        <v>4</v>
      </c>
      <c r="Z68" s="3" t="str">
        <f t="shared" si="154"/>
        <v/>
      </c>
      <c r="AA68">
        <v>45</v>
      </c>
      <c r="AB68">
        <f t="shared" ref="AB68:AB77" si="164">ROUND(AA68*1.6, 0)</f>
        <v>72</v>
      </c>
      <c r="AE68">
        <v>12</v>
      </c>
      <c r="AF68">
        <v>12</v>
      </c>
      <c r="AI68" s="9">
        <v>42</v>
      </c>
      <c r="AJ68" s="14" t="str">
        <f>CONCATENATE(VLOOKUP(AK68, 'Voxel Sizes'!$A$2:$B$18,2,FALSE),"x",INT(AG68*15), "x", INT(AH68*15))</f>
        <v>120x0x0</v>
      </c>
      <c r="AK68" s="14">
        <f t="shared" si="155"/>
        <v>7</v>
      </c>
      <c r="AM68" s="14" t="str">
        <f>CONCATENATE(VLOOKUP(AK68,Constants!$A$2:$C$16,IF(AL68&lt;&gt;"", 3, 2), FALSE),IF(AL68&lt;&gt;"",CONCATENATE(",",VLOOKUP(AL68,$B:$AM,38,FALSE)),""))</f>
        <v>2,3,2</v>
      </c>
      <c r="AW68">
        <v>80</v>
      </c>
      <c r="AX68" s="14" t="str">
        <f t="shared" si="156"/>
        <v/>
      </c>
      <c r="AY68">
        <v>10</v>
      </c>
      <c r="AZ68">
        <v>20</v>
      </c>
      <c r="BA68" s="16">
        <f t="shared" si="157"/>
        <v>9</v>
      </c>
      <c r="BB68" s="16">
        <f t="shared" si="158"/>
        <v>0</v>
      </c>
      <c r="BC68" s="16">
        <f t="shared" si="159"/>
        <v>0</v>
      </c>
      <c r="BD68" s="17">
        <f t="shared" si="160"/>
        <v>1</v>
      </c>
      <c r="BE68" s="16">
        <f t="shared" si="113"/>
        <v>7.0000000000000009</v>
      </c>
      <c r="BF68" s="16">
        <f>VLOOKUP($G68,Constants!$I:$K, 2, FALSE)</f>
        <v>1</v>
      </c>
      <c r="BG68" s="16">
        <f>VLOOKUP($G68,Constants!$I:$K, 3, FALSE)*IF(AND(F68="multiple_unit",AA68&lt;110),0.75,1)</f>
        <v>0.45</v>
      </c>
      <c r="BH68" s="16">
        <f>INT(POWER(((Constants!$G$2+$BA68+$BB68+$BC68+$BE68)*$BD68)*$BG68, 1.05))+$AZ68</f>
        <v>30</v>
      </c>
      <c r="BI68" s="16">
        <f>INT(POWER((((Constants!$G$1+$BA68+$BB68+$BC68+$BE68)*($BD68))*$BF68),IF($F68="wagon",1,1.2)))+$AY68</f>
        <v>41</v>
      </c>
      <c r="BJ68" s="19">
        <f t="shared" si="114"/>
        <v>1875</v>
      </c>
      <c r="BK68" s="19">
        <f t="shared" si="115"/>
        <v>111.92999999999999</v>
      </c>
      <c r="BT68">
        <v>1</v>
      </c>
      <c r="BU68">
        <v>225</v>
      </c>
      <c r="BV68" t="s">
        <v>276</v>
      </c>
      <c r="BW68" t="s">
        <v>280</v>
      </c>
      <c r="BX68" s="22" t="str">
        <f>VLOOKUP(I68,Eras!$A$2:$C$10, 2, TRUE)</f>
        <v>edw</v>
      </c>
      <c r="BY68" t="s">
        <v>75</v>
      </c>
      <c r="BZ68" s="22" t="str">
        <f t="shared" si="161"/>
        <v>edw_Open Wagon</v>
      </c>
      <c r="CA68" s="22" t="str">
        <f t="shared" si="162"/>
        <v>wagon_NARROW_GAUGE</v>
      </c>
      <c r="CB68" s="22" t="str">
        <f>VLOOKUP($CA68, Constants!$M:$N, 2, FALSE)</f>
        <v/>
      </c>
      <c r="CC68" s="22" t="str">
        <f t="shared" si="95"/>
        <v/>
      </c>
      <c r="CD68" t="s">
        <v>288</v>
      </c>
      <c r="CE68" s="22" t="str">
        <f t="shared" ref="CE68:CE71" si="165">IF(BW68="DANDY","{YELLOW}Faster downhill speeds for horse-drawn trains (1 required per 2 horses){}",IF(BW68="BRAKE","{YELLOW}Speed bonus for slow wagons{}",IF(BV68="NGPassengers","{YELLOW}Preserved railway bonus: passengers pay more when hauled by old locomotives{}",IF(AND(BU68&gt;190,NOT(AND(H68="NARROW_GAUGE",BW68&lt;&gt;"PASS"))),CONCATENATE("{YELLOW}",INT((BU68-185)/1.85),"% Bonus for long distance travel{}"),IF(AND(BU68&lt;180,BU68&lt;&gt;0),CONCATENATE("{YELLOW}",INT((185-BU68)/1.85),"% Penalty for long distance travel{}"),"")))))</f>
        <v/>
      </c>
      <c r="CF68" s="22" t="str">
        <f t="shared" si="163"/>
        <v>{SILVER}Larger and heavier carriages also meant larger and heavier guard's vans.</v>
      </c>
    </row>
    <row r="69" spans="1:84" x14ac:dyDescent="0.3">
      <c r="A69" t="s">
        <v>243</v>
      </c>
      <c r="B69" t="s">
        <v>246</v>
      </c>
      <c r="C69">
        <v>86</v>
      </c>
      <c r="D69">
        <v>3005</v>
      </c>
      <c r="E69" t="s">
        <v>493</v>
      </c>
      <c r="F69" t="s">
        <v>32</v>
      </c>
      <c r="G69" t="s">
        <v>32</v>
      </c>
      <c r="H69" t="s">
        <v>338</v>
      </c>
      <c r="I69">
        <v>1800</v>
      </c>
      <c r="K69">
        <v>1900</v>
      </c>
      <c r="V69">
        <v>1</v>
      </c>
      <c r="X69">
        <v>3</v>
      </c>
      <c r="Z69" s="3" t="str">
        <f t="shared" si="154"/>
        <v/>
      </c>
      <c r="AA69">
        <v>25</v>
      </c>
      <c r="AB69">
        <f t="shared" si="164"/>
        <v>40</v>
      </c>
      <c r="AE69">
        <v>4.9000000000000004</v>
      </c>
      <c r="AF69">
        <v>6</v>
      </c>
      <c r="AI69" s="9">
        <v>9</v>
      </c>
      <c r="AJ69" s="14" t="str">
        <f>CONCATENATE(VLOOKUP(AK69, 'Voxel Sizes'!$A$2:$B$18,2,FALSE),"x",INT(AG69*15), "x", INT(AH69*15))</f>
        <v>66x0x0</v>
      </c>
      <c r="AK69" s="14">
        <f t="shared" si="155"/>
        <v>4</v>
      </c>
      <c r="AM69" s="14" t="str">
        <f>CONCATENATE(VLOOKUP(AK69,Constants!$A$2:$C$16,IF(AL69&lt;&gt;"", 3, 2), FALSE),IF(AL69&lt;&gt;"",CONCATENATE(",",VLOOKUP(AL69,$B:$AM,38,FALSE)),""))</f>
        <v>1,2,1</v>
      </c>
      <c r="AW69">
        <v>80</v>
      </c>
      <c r="AX69" s="14">
        <f t="shared" si="156"/>
        <v>108</v>
      </c>
      <c r="AY69">
        <v>-15</v>
      </c>
      <c r="AZ69">
        <v>-3</v>
      </c>
      <c r="BA69" s="16">
        <f t="shared" si="157"/>
        <v>5</v>
      </c>
      <c r="BB69" s="16">
        <f t="shared" si="158"/>
        <v>0</v>
      </c>
      <c r="BC69" s="16">
        <f t="shared" si="159"/>
        <v>0</v>
      </c>
      <c r="BD69" s="17">
        <f t="shared" si="160"/>
        <v>1</v>
      </c>
      <c r="BE69" s="16">
        <f t="shared" si="113"/>
        <v>1.5</v>
      </c>
      <c r="BF69" s="16">
        <f>VLOOKUP($G69,Constants!$I:$K, 2, FALSE)</f>
        <v>1</v>
      </c>
      <c r="BG69" s="16">
        <f>VLOOKUP($G69,Constants!$I:$K, 3, FALSE)*IF(AND(F69="multiple_unit",AA69&lt;110),0.75,1)</f>
        <v>0.45</v>
      </c>
      <c r="BH69" s="16">
        <f>INT(POWER(((Constants!$G$2+$BA69+$BB69+$BC69+$BE69)*$BD69)*$BG69, 1.05))+$AZ69</f>
        <v>2</v>
      </c>
      <c r="BI69" s="16">
        <f>INT(POWER((((Constants!$G$1+$BA69+$BB69+$BC69+$BE69)*($BD69))*$BF69),IF($F69="wagon",1,1.2)))+$AY69</f>
        <v>6</v>
      </c>
      <c r="BJ69" s="19">
        <f t="shared" si="114"/>
        <v>125</v>
      </c>
      <c r="BK69" s="19">
        <f t="shared" si="115"/>
        <v>16.38</v>
      </c>
      <c r="BT69">
        <v>1</v>
      </c>
      <c r="BU69">
        <v>225</v>
      </c>
      <c r="BV69" t="s">
        <v>244</v>
      </c>
      <c r="BW69" t="s">
        <v>245</v>
      </c>
      <c r="BX69" s="22" t="str">
        <f>VLOOKUP(I69,Eras!$A$2:$C$10, 2, TRUE)</f>
        <v>early</v>
      </c>
      <c r="BY69" t="s">
        <v>75</v>
      </c>
      <c r="BZ69" s="22" t="str">
        <f t="shared" si="161"/>
        <v>early_Open Wagon</v>
      </c>
      <c r="CA69" s="22" t="str">
        <f t="shared" si="162"/>
        <v>wagon_NARROW_GAUGE</v>
      </c>
      <c r="CB69" s="22" t="str">
        <f>VLOOKUP($CA69, Constants!$M:$N, 2, FALSE)</f>
        <v/>
      </c>
      <c r="CC69" s="22" t="str">
        <f t="shared" si="95"/>
        <v/>
      </c>
      <c r="CD69" t="s">
        <v>247</v>
      </c>
      <c r="CE69" s="22" t="str">
        <f t="shared" si="165"/>
        <v/>
      </c>
      <c r="CF69" s="22" t="str">
        <f t="shared" si="163"/>
        <v>{SILVER}An open wagon for carrying bulk cargo on narrow gauge railways.</v>
      </c>
    </row>
    <row r="70" spans="1:84" x14ac:dyDescent="0.3">
      <c r="A70" t="s">
        <v>259</v>
      </c>
      <c r="B70" t="s">
        <v>260</v>
      </c>
      <c r="C70">
        <v>87</v>
      </c>
      <c r="D70">
        <v>3006</v>
      </c>
      <c r="E70" t="s">
        <v>493</v>
      </c>
      <c r="F70" t="s">
        <v>32</v>
      </c>
      <c r="G70" t="s">
        <v>32</v>
      </c>
      <c r="H70" t="s">
        <v>338</v>
      </c>
      <c r="I70">
        <v>1870</v>
      </c>
      <c r="V70">
        <v>1</v>
      </c>
      <c r="X70">
        <v>4</v>
      </c>
      <c r="Z70" s="3" t="str">
        <f t="shared" si="154"/>
        <v/>
      </c>
      <c r="AA70">
        <v>30</v>
      </c>
      <c r="AB70">
        <f t="shared" si="164"/>
        <v>48</v>
      </c>
      <c r="AE70">
        <v>8</v>
      </c>
      <c r="AF70">
        <v>8</v>
      </c>
      <c r="AI70" s="9">
        <v>12</v>
      </c>
      <c r="AJ70" s="14" t="str">
        <f>CONCATENATE(VLOOKUP(AK70, 'Voxel Sizes'!$A$2:$B$18,2,FALSE),"x",INT(AG70*15), "x", INT(AH70*15))</f>
        <v>82x0x0</v>
      </c>
      <c r="AK70" s="14">
        <f t="shared" si="155"/>
        <v>5</v>
      </c>
      <c r="AM70" s="14" t="str">
        <f>CONCATENATE(VLOOKUP(AK70,Constants!$A$2:$C$16,IF(AL70&lt;&gt;"", 3, 2), FALSE),IF(AL70&lt;&gt;"",CONCATENATE(",",VLOOKUP(AL70,$B:$AM,38,FALSE)),""))</f>
        <v>2,1,2</v>
      </c>
      <c r="AW70">
        <v>80</v>
      </c>
      <c r="AX70" s="14" t="str">
        <f t="shared" si="156"/>
        <v/>
      </c>
      <c r="AY70">
        <v>-15</v>
      </c>
      <c r="AZ70">
        <v>-3</v>
      </c>
      <c r="BA70" s="16">
        <f t="shared" si="157"/>
        <v>6</v>
      </c>
      <c r="BB70" s="16">
        <f t="shared" si="158"/>
        <v>0</v>
      </c>
      <c r="BC70" s="16">
        <f t="shared" si="159"/>
        <v>0</v>
      </c>
      <c r="BD70" s="17">
        <f t="shared" si="160"/>
        <v>1</v>
      </c>
      <c r="BE70" s="16">
        <f t="shared" si="113"/>
        <v>2</v>
      </c>
      <c r="BF70" s="16">
        <f>VLOOKUP($G70,Constants!$I:$K, 2, FALSE)</f>
        <v>1</v>
      </c>
      <c r="BG70" s="16">
        <f>VLOOKUP($G70,Constants!$I:$K, 3, FALSE)*IF(AND(F70="multiple_unit",AA70&lt;110),0.75,1)</f>
        <v>0.45</v>
      </c>
      <c r="BH70" s="16">
        <f>INT(POWER(((Constants!$G$2+$BA70+$BB70+$BC70+$BE70)*$BD70)*$BG70, 1.05))+$AZ70</f>
        <v>3</v>
      </c>
      <c r="BI70" s="16">
        <f>INT(POWER((((Constants!$G$1+$BA70+$BB70+$BC70+$BE70)*($BD70))*$BF70),IF($F70="wagon",1,1.2)))+$AY70</f>
        <v>8</v>
      </c>
      <c r="BJ70" s="19">
        <f t="shared" si="114"/>
        <v>187.5</v>
      </c>
      <c r="BK70" s="19">
        <f t="shared" si="115"/>
        <v>21.84</v>
      </c>
      <c r="BT70">
        <v>1</v>
      </c>
      <c r="BU70">
        <v>225</v>
      </c>
      <c r="BV70" t="s">
        <v>277</v>
      </c>
      <c r="BW70" t="s">
        <v>245</v>
      </c>
      <c r="BX70" s="22" t="str">
        <f>VLOOKUP(I70,Eras!$A$2:$C$10, 2, TRUE)</f>
        <v>vct</v>
      </c>
      <c r="BY70" t="s">
        <v>75</v>
      </c>
      <c r="BZ70" s="22" t="str">
        <f t="shared" si="161"/>
        <v>vct_Open Wagon</v>
      </c>
      <c r="CA70" s="22" t="str">
        <f t="shared" si="162"/>
        <v>wagon_NARROW_GAUGE</v>
      </c>
      <c r="CB70" s="22" t="str">
        <f>VLOOKUP($CA70, Constants!$M:$N, 2, FALSE)</f>
        <v/>
      </c>
      <c r="CC70" s="22" t="str">
        <f t="shared" si="95"/>
        <v/>
      </c>
      <c r="CD70" t="s">
        <v>289</v>
      </c>
      <c r="CE70" s="22" t="str">
        <f t="shared" si="165"/>
        <v/>
      </c>
      <c r="CF70" s="22" t="str">
        <f t="shared" si="163"/>
        <v>{SILVER}Heavier mineral wagons allowed larger amounts of cargo to be carried.</v>
      </c>
    </row>
    <row r="71" spans="1:84" x14ac:dyDescent="0.3">
      <c r="A71" t="s">
        <v>262</v>
      </c>
      <c r="B71" t="s">
        <v>268</v>
      </c>
      <c r="C71">
        <v>88</v>
      </c>
      <c r="D71">
        <v>3007</v>
      </c>
      <c r="E71" t="s">
        <v>493</v>
      </c>
      <c r="F71" t="s">
        <v>32</v>
      </c>
      <c r="G71" t="s">
        <v>32</v>
      </c>
      <c r="H71" t="s">
        <v>338</v>
      </c>
      <c r="I71">
        <v>1800</v>
      </c>
      <c r="K71">
        <v>1900</v>
      </c>
      <c r="V71">
        <v>1</v>
      </c>
      <c r="X71">
        <v>3</v>
      </c>
      <c r="Z71" s="3" t="str">
        <f t="shared" si="154"/>
        <v/>
      </c>
      <c r="AA71">
        <v>25</v>
      </c>
      <c r="AB71">
        <f t="shared" si="164"/>
        <v>40</v>
      </c>
      <c r="AE71">
        <v>4.9000000000000004</v>
      </c>
      <c r="AF71">
        <v>6</v>
      </c>
      <c r="AI71" s="9">
        <v>10</v>
      </c>
      <c r="AJ71" s="14" t="str">
        <f>CONCATENATE(VLOOKUP(AK71, 'Voxel Sizes'!$A$2:$B$18,2,FALSE),"x",INT(AG71*15), "x", INT(AH71*15))</f>
        <v>66x0x0</v>
      </c>
      <c r="AK71" s="14">
        <f t="shared" si="155"/>
        <v>4</v>
      </c>
      <c r="AM71" s="14" t="str">
        <f>CONCATENATE(VLOOKUP(AK71,Constants!$A$2:$C$16,IF(AL71&lt;&gt;"", 3, 2), FALSE),IF(AL71&lt;&gt;"",CONCATENATE(",",VLOOKUP(AL71,$B:$AM,38,FALSE)),""))</f>
        <v>1,2,1</v>
      </c>
      <c r="AW71">
        <v>80</v>
      </c>
      <c r="AX71" s="14">
        <f t="shared" si="156"/>
        <v>108</v>
      </c>
      <c r="AY71">
        <v>-15</v>
      </c>
      <c r="AZ71">
        <v>-3</v>
      </c>
      <c r="BA71" s="16">
        <f t="shared" si="157"/>
        <v>5</v>
      </c>
      <c r="BB71" s="16">
        <f t="shared" si="158"/>
        <v>0</v>
      </c>
      <c r="BC71" s="16">
        <f t="shared" si="159"/>
        <v>0</v>
      </c>
      <c r="BD71" s="17">
        <f t="shared" si="160"/>
        <v>1</v>
      </c>
      <c r="BE71" s="16">
        <f t="shared" si="113"/>
        <v>1.6666666666666667</v>
      </c>
      <c r="BF71" s="16">
        <f>VLOOKUP($G71,Constants!$I:$K, 2, FALSE)</f>
        <v>1</v>
      </c>
      <c r="BG71" s="16">
        <f>VLOOKUP($G71,Constants!$I:$K, 3, FALSE)*IF(AND(F71="multiple_unit",AA71&lt;110),0.75,1)</f>
        <v>0.45</v>
      </c>
      <c r="BH71" s="16">
        <f>INT(POWER(((Constants!$G$2+$BA71+$BB71+$BC71+$BE71)*$BD71)*$BG71, 1.05))+$AZ71</f>
        <v>2</v>
      </c>
      <c r="BI71" s="16">
        <f>INT(POWER((((Constants!$G$1+$BA71+$BB71+$BC71+$BE71)*($BD71))*$BF71),IF($F71="wagon",1,1.2)))+$AY71</f>
        <v>6</v>
      </c>
      <c r="BJ71" s="19">
        <f t="shared" si="114"/>
        <v>125</v>
      </c>
      <c r="BK71" s="19">
        <f t="shared" si="115"/>
        <v>16.38</v>
      </c>
      <c r="BT71">
        <v>1</v>
      </c>
      <c r="BU71">
        <v>225</v>
      </c>
      <c r="BV71" t="s">
        <v>278</v>
      </c>
      <c r="BW71" t="s">
        <v>279</v>
      </c>
      <c r="BX71" s="22" t="str">
        <f>VLOOKUP(I71,Eras!$A$2:$C$10, 2, TRUE)</f>
        <v>early</v>
      </c>
      <c r="BY71" t="s">
        <v>75</v>
      </c>
      <c r="BZ71" s="22" t="str">
        <f t="shared" si="161"/>
        <v>early_Open Wagon</v>
      </c>
      <c r="CA71" s="22" t="str">
        <f t="shared" si="162"/>
        <v>wagon_NARROW_GAUGE</v>
      </c>
      <c r="CB71" s="22" t="str">
        <f>VLOOKUP($CA71, Constants!$M:$N, 2, FALSE)</f>
        <v/>
      </c>
      <c r="CC71" s="22" t="str">
        <f t="shared" si="95"/>
        <v/>
      </c>
      <c r="CD71" t="s">
        <v>290</v>
      </c>
      <c r="CE71" s="22" t="str">
        <f t="shared" si="165"/>
        <v/>
      </c>
      <c r="CF71" s="22" t="str">
        <f t="shared" si="163"/>
        <v>{SILVER}While many narrow gauge railways were quarry lines carrying bulk goods or slate, flat wagons were used for transporting equipment.</v>
      </c>
    </row>
    <row r="72" spans="1:84" x14ac:dyDescent="0.3">
      <c r="A72" t="s">
        <v>261</v>
      </c>
      <c r="B72" t="s">
        <v>269</v>
      </c>
      <c r="C72">
        <v>89</v>
      </c>
      <c r="D72">
        <v>3008</v>
      </c>
      <c r="E72" t="s">
        <v>493</v>
      </c>
      <c r="F72" t="s">
        <v>32</v>
      </c>
      <c r="G72" t="s">
        <v>32</v>
      </c>
      <c r="H72" t="s">
        <v>338</v>
      </c>
      <c r="I72">
        <v>1870</v>
      </c>
      <c r="V72">
        <v>1</v>
      </c>
      <c r="X72">
        <v>4</v>
      </c>
      <c r="Z72" s="3" t="str">
        <f t="shared" si="154"/>
        <v/>
      </c>
      <c r="AA72">
        <v>30</v>
      </c>
      <c r="AB72">
        <f t="shared" si="164"/>
        <v>48</v>
      </c>
      <c r="AE72">
        <v>4.9000000000000004</v>
      </c>
      <c r="AF72">
        <v>8</v>
      </c>
      <c r="AI72" s="9">
        <v>12</v>
      </c>
      <c r="AJ72" s="14" t="str">
        <f>CONCATENATE(VLOOKUP(AK72, 'Voxel Sizes'!$A$2:$B$18,2,FALSE),"x",INT(AG72*15), "x", INT(AH72*15))</f>
        <v>82x0x0</v>
      </c>
      <c r="AK72" s="14">
        <f t="shared" si="155"/>
        <v>5</v>
      </c>
      <c r="AM72" s="14" t="str">
        <f>CONCATENATE(VLOOKUP(AK72,Constants!$A$2:$C$16,IF(AL72&lt;&gt;"", 3, 2), FALSE),IF(AL72&lt;&gt;"",CONCATENATE(",",VLOOKUP(AL72,$B:$AM,38,FALSE)),""))</f>
        <v>2,1,2</v>
      </c>
      <c r="AW72">
        <v>80</v>
      </c>
      <c r="AX72" s="14" t="str">
        <f t="shared" si="156"/>
        <v/>
      </c>
      <c r="AY72">
        <v>-15</v>
      </c>
      <c r="AZ72">
        <v>-3</v>
      </c>
      <c r="BA72" s="16">
        <f t="shared" si="157"/>
        <v>6</v>
      </c>
      <c r="BB72" s="16">
        <f t="shared" si="158"/>
        <v>0</v>
      </c>
      <c r="BC72" s="16">
        <f t="shared" si="159"/>
        <v>0</v>
      </c>
      <c r="BD72" s="17">
        <f t="shared" si="160"/>
        <v>1</v>
      </c>
      <c r="BE72" s="16">
        <f t="shared" si="113"/>
        <v>2</v>
      </c>
      <c r="BF72" s="16">
        <f>VLOOKUP($G72,Constants!$I:$K, 2, FALSE)</f>
        <v>1</v>
      </c>
      <c r="BG72" s="16">
        <f>VLOOKUP($G72,Constants!$I:$K, 3, FALSE)*IF(AND(F72="multiple_unit",AA72&lt;110),0.75,1)</f>
        <v>0.45</v>
      </c>
      <c r="BH72" s="16">
        <f>INT(POWER(((Constants!$G$2+$BA72+$BB72+$BC72+$BE72)*$BD72)*$BG72, 1.05))+$AZ72</f>
        <v>3</v>
      </c>
      <c r="BI72" s="16">
        <f>INT(POWER((((Constants!$G$1+$BA72+$BB72+$BC72+$BE72)*($BD72))*$BF72),IF($F72="wagon",1,1.2)))+$AY72</f>
        <v>8</v>
      </c>
      <c r="BJ72" s="19">
        <f t="shared" si="114"/>
        <v>187.5</v>
      </c>
      <c r="BK72" s="19">
        <f t="shared" si="115"/>
        <v>21.84</v>
      </c>
      <c r="BT72">
        <v>1</v>
      </c>
      <c r="BU72">
        <v>225</v>
      </c>
      <c r="BV72" t="s">
        <v>278</v>
      </c>
      <c r="BW72" t="s">
        <v>279</v>
      </c>
      <c r="BX72" s="22" t="str">
        <f>VLOOKUP(I72,Eras!$A$2:$C$10, 2, TRUE)</f>
        <v>vct</v>
      </c>
      <c r="BY72" t="s">
        <v>75</v>
      </c>
      <c r="BZ72" s="22" t="str">
        <f t="shared" si="161"/>
        <v>vct_Open Wagon</v>
      </c>
      <c r="CA72" s="22" t="str">
        <f t="shared" si="162"/>
        <v>wagon_NARROW_GAUGE</v>
      </c>
      <c r="CB72" s="22" t="str">
        <f>VLOOKUP($CA72, Constants!$M:$N, 2, FALSE)</f>
        <v/>
      </c>
      <c r="CC72" s="22" t="str">
        <f t="shared" si="95"/>
        <v/>
      </c>
      <c r="CD72" t="s">
        <v>293</v>
      </c>
      <c r="CE72" s="22" t="str">
        <f>IF(BW72="DANDY","{YELLOW}Faster downhill speeds for horse-drawn trains (1 required per 2 horses){}",IF(BW72="BRAKE","{YELLOW}Speed bonus for slow wagons{}",IF(BV72="NGPassengers","{YELLOW}Preserved railway bonus: passengers pay more when hauled by old locomotives{}",IF(AND(BU72&gt;190,NOT(AND(H72="NARROW_GAUGE",BW72&lt;&gt;"PASS"))),CONCATENATE("{YELLOW}",INT((BU72-185)/1.85),"% Bonus for long distance travel{}"),IF(AND(BU72&lt;180,BU72&lt;&gt;0),CONCATENATE("{YELLOW}",INT((185-BU72)/1.85),"% Penalty for long distance travel{}"),"")))))</f>
        <v/>
      </c>
      <c r="CF72" s="22" t="str">
        <f t="shared" si="163"/>
        <v>{SILVER}As per standard gauge practice, bolster wagons were used for carrying long, rigid cargo.</v>
      </c>
    </row>
    <row r="73" spans="1:84" x14ac:dyDescent="0.3">
      <c r="A73" t="s">
        <v>263</v>
      </c>
      <c r="B73" t="s">
        <v>270</v>
      </c>
      <c r="C73">
        <v>90</v>
      </c>
      <c r="D73">
        <v>3009</v>
      </c>
      <c r="E73" t="s">
        <v>493</v>
      </c>
      <c r="F73" t="s">
        <v>32</v>
      </c>
      <c r="G73" t="s">
        <v>32</v>
      </c>
      <c r="H73" t="s">
        <v>338</v>
      </c>
      <c r="I73">
        <v>1870</v>
      </c>
      <c r="V73">
        <v>1</v>
      </c>
      <c r="X73">
        <v>4</v>
      </c>
      <c r="Z73" s="3" t="str">
        <f t="shared" si="154"/>
        <v/>
      </c>
      <c r="AA73">
        <v>30</v>
      </c>
      <c r="AB73">
        <f t="shared" si="164"/>
        <v>48</v>
      </c>
      <c r="AE73">
        <v>4.9000000000000004</v>
      </c>
      <c r="AF73">
        <v>6</v>
      </c>
      <c r="AI73" s="9">
        <v>12</v>
      </c>
      <c r="AJ73" s="14" t="str">
        <f>CONCATENATE(VLOOKUP(AK73, 'Voxel Sizes'!$A$2:$B$18,2,FALSE),"x",INT(AG73*15), "x", INT(AH73*15))</f>
        <v>66x0x0</v>
      </c>
      <c r="AK73" s="14">
        <f t="shared" si="155"/>
        <v>4</v>
      </c>
      <c r="AM73" s="14" t="str">
        <f>CONCATENATE(VLOOKUP(AK73,Constants!$A$2:$C$16,IF(AL73&lt;&gt;"", 3, 2), FALSE),IF(AL73&lt;&gt;"",CONCATENATE(",",VLOOKUP(AL73,$B:$AM,38,FALSE)),""))</f>
        <v>1,2,1</v>
      </c>
      <c r="AW73">
        <v>80</v>
      </c>
      <c r="AX73" s="14" t="str">
        <f t="shared" si="156"/>
        <v/>
      </c>
      <c r="AY73">
        <v>-15</v>
      </c>
      <c r="AZ73">
        <v>-3</v>
      </c>
      <c r="BA73" s="16">
        <f t="shared" si="157"/>
        <v>6</v>
      </c>
      <c r="BB73" s="16">
        <f t="shared" si="158"/>
        <v>0</v>
      </c>
      <c r="BC73" s="16">
        <f t="shared" si="159"/>
        <v>0</v>
      </c>
      <c r="BD73" s="17">
        <f t="shared" si="160"/>
        <v>1</v>
      </c>
      <c r="BE73" s="16">
        <f t="shared" si="113"/>
        <v>2</v>
      </c>
      <c r="BF73" s="16">
        <f>VLOOKUP($G73,Constants!$I:$K, 2, FALSE)</f>
        <v>1</v>
      </c>
      <c r="BG73" s="16">
        <f>VLOOKUP($G73,Constants!$I:$K, 3, FALSE)*IF(AND(F73="multiple_unit",AA73&lt;110),0.75,1)</f>
        <v>0.45</v>
      </c>
      <c r="BH73" s="16">
        <f>INT(POWER(((Constants!$G$2+$BA73+$BB73+$BC73+$BE73)*$BD73)*$BG73, 1.05))+$AZ73</f>
        <v>3</v>
      </c>
      <c r="BI73" s="16">
        <f>INT(POWER((((Constants!$G$1+$BA73+$BB73+$BC73+$BE73)*($BD73))*$BF73),IF($F73="wagon",1,1.2)))+$AY73</f>
        <v>8</v>
      </c>
      <c r="BJ73" s="19">
        <f t="shared" si="114"/>
        <v>187.5</v>
      </c>
      <c r="BK73" s="19">
        <f t="shared" si="115"/>
        <v>21.84</v>
      </c>
      <c r="BT73">
        <v>1</v>
      </c>
      <c r="BU73">
        <v>225</v>
      </c>
      <c r="BV73" t="s">
        <v>78</v>
      </c>
      <c r="BW73" t="s">
        <v>281</v>
      </c>
      <c r="BX73" s="22" t="str">
        <f>VLOOKUP(I73,Eras!$A$2:$C$10, 2, TRUE)</f>
        <v>vct</v>
      </c>
      <c r="BY73" t="s">
        <v>75</v>
      </c>
      <c r="BZ73" s="22" t="str">
        <f t="shared" si="161"/>
        <v>vct_Open Wagon</v>
      </c>
      <c r="CA73" s="22" t="str">
        <f t="shared" si="162"/>
        <v>wagon_NARROW_GAUGE</v>
      </c>
      <c r="CB73" s="22" t="str">
        <f>VLOOKUP($CA73, Constants!$M:$N, 2, FALSE)</f>
        <v/>
      </c>
      <c r="CC73" s="22" t="str">
        <f t="shared" si="95"/>
        <v/>
      </c>
      <c r="CD73" t="s">
        <v>291</v>
      </c>
      <c r="CE73" s="22" t="str">
        <f t="shared" ref="CE73:CE78" si="166">IF(BW73="DANDY","{YELLOW}Faster downhill speeds for horse-drawn trains (1 required per 2 horses){}",IF(BW73="BRAKE","{YELLOW}Speed bonus for slow wagons{}",IF(BV73="NGPassengers","{YELLOW}Preserved railway bonus: passengers pay more when hauled by old locomotives{}",IF(AND(BU73&gt;190,NOT(AND(H73="NARROW_GAUGE",BW73&lt;&gt;"PASS"))),CONCATENATE("{YELLOW}",INT((BU73-185)/1.85),"% Bonus for long distance travel{}"),IF(AND(BU73&lt;180,BU73&lt;&gt;0),CONCATENATE("{YELLOW}",INT((185-BU73)/1.85),"% Penalty for long distance travel{}"),"")))))</f>
        <v/>
      </c>
      <c r="CF73" s="22" t="str">
        <f t="shared" si="163"/>
        <v>{SILVER}With specialised equipment at stations, tank wagons made liquid cargo easier to handle than loading drums into open wagons.</v>
      </c>
    </row>
    <row r="74" spans="1:84" x14ac:dyDescent="0.3">
      <c r="A74" t="s">
        <v>264</v>
      </c>
      <c r="B74" t="s">
        <v>271</v>
      </c>
      <c r="C74">
        <v>91</v>
      </c>
      <c r="D74">
        <v>3010</v>
      </c>
      <c r="E74" t="s">
        <v>493</v>
      </c>
      <c r="F74" t="s">
        <v>32</v>
      </c>
      <c r="G74" t="s">
        <v>32</v>
      </c>
      <c r="H74" t="s">
        <v>338</v>
      </c>
      <c r="I74">
        <v>1870</v>
      </c>
      <c r="V74">
        <v>1</v>
      </c>
      <c r="X74">
        <v>4</v>
      </c>
      <c r="Z74" s="3" t="str">
        <f t="shared" si="154"/>
        <v/>
      </c>
      <c r="AA74">
        <v>30</v>
      </c>
      <c r="AB74">
        <f t="shared" si="164"/>
        <v>48</v>
      </c>
      <c r="AE74">
        <v>4.9000000000000004</v>
      </c>
      <c r="AF74">
        <v>6</v>
      </c>
      <c r="AI74" s="9">
        <v>12</v>
      </c>
      <c r="AJ74" s="14" t="str">
        <f>CONCATENATE(VLOOKUP(AK74, 'Voxel Sizes'!$A$2:$B$18,2,FALSE),"x",INT(AG74*15), "x", INT(AH74*15))</f>
        <v>66x0x0</v>
      </c>
      <c r="AK74" s="14">
        <f t="shared" si="155"/>
        <v>4</v>
      </c>
      <c r="AM74" s="14" t="str">
        <f>CONCATENATE(VLOOKUP(AK74,Constants!$A$2:$C$16,IF(AL74&lt;&gt;"", 3, 2), FALSE),IF(AL74&lt;&gt;"",CONCATENATE(",",VLOOKUP(AL74,$B:$AM,38,FALSE)),""))</f>
        <v>1,2,1</v>
      </c>
      <c r="AW74">
        <v>80</v>
      </c>
      <c r="AX74" s="14" t="str">
        <f t="shared" si="156"/>
        <v/>
      </c>
      <c r="AY74">
        <v>-15</v>
      </c>
      <c r="AZ74">
        <v>-3</v>
      </c>
      <c r="BA74" s="16">
        <f t="shared" si="157"/>
        <v>6</v>
      </c>
      <c r="BB74" s="16">
        <f t="shared" si="158"/>
        <v>0</v>
      </c>
      <c r="BC74" s="16">
        <f t="shared" si="159"/>
        <v>0</v>
      </c>
      <c r="BD74" s="17">
        <f t="shared" si="160"/>
        <v>1</v>
      </c>
      <c r="BE74" s="16">
        <f t="shared" si="113"/>
        <v>2</v>
      </c>
      <c r="BF74" s="16">
        <f>VLOOKUP($G74,Constants!$I:$K, 2, FALSE)</f>
        <v>1</v>
      </c>
      <c r="BG74" s="16">
        <f>VLOOKUP($G74,Constants!$I:$K, 3, FALSE)*IF(AND(F74="multiple_unit",AA74&lt;110),0.75,1)</f>
        <v>0.45</v>
      </c>
      <c r="BH74" s="16">
        <f>INT(POWER(((Constants!$G$2+$BA74+$BB74+$BC74+$BE74)*$BD74)*$BG74, 1.05))+$AZ74</f>
        <v>3</v>
      </c>
      <c r="BI74" s="16">
        <f>INT(POWER((((Constants!$G$1+$BA74+$BB74+$BC74+$BE74)*($BD74))*$BF74),IF($F74="wagon",1,1.2)))+$AY74</f>
        <v>8</v>
      </c>
      <c r="BJ74" s="19">
        <f t="shared" si="114"/>
        <v>187.5</v>
      </c>
      <c r="BK74" s="19">
        <f t="shared" si="115"/>
        <v>21.84</v>
      </c>
      <c r="BT74">
        <v>1</v>
      </c>
      <c r="BU74">
        <v>225</v>
      </c>
      <c r="BV74" t="s">
        <v>282</v>
      </c>
      <c r="BW74" t="s">
        <v>283</v>
      </c>
      <c r="BX74" s="22" t="str">
        <f>VLOOKUP(I74,Eras!$A$2:$C$10, 2, TRUE)</f>
        <v>vct</v>
      </c>
      <c r="BY74" t="s">
        <v>75</v>
      </c>
      <c r="BZ74" s="22" t="str">
        <f t="shared" si="161"/>
        <v>vct_Open Wagon</v>
      </c>
      <c r="CA74" s="22" t="str">
        <f t="shared" si="162"/>
        <v>wagon_NARROW_GAUGE</v>
      </c>
      <c r="CB74" s="22" t="str">
        <f>VLOOKUP($CA74, Constants!$M:$N, 2, FALSE)</f>
        <v/>
      </c>
      <c r="CC74" s="22" t="str">
        <f t="shared" si="95"/>
        <v/>
      </c>
      <c r="CD74" t="s">
        <v>292</v>
      </c>
      <c r="CE74" s="22" t="str">
        <f t="shared" si="166"/>
        <v/>
      </c>
      <c r="CF74" s="22" t="str">
        <f t="shared" si="163"/>
        <v>{SILVER}A van for carrying livestock on narrow gauge railways.</v>
      </c>
    </row>
    <row r="75" spans="1:84" x14ac:dyDescent="0.3">
      <c r="A75" t="s">
        <v>265</v>
      </c>
      <c r="B75" t="s">
        <v>273</v>
      </c>
      <c r="C75">
        <v>92</v>
      </c>
      <c r="D75">
        <v>3011</v>
      </c>
      <c r="E75" t="s">
        <v>493</v>
      </c>
      <c r="F75" t="s">
        <v>32</v>
      </c>
      <c r="G75" t="s">
        <v>32</v>
      </c>
      <c r="H75" t="s">
        <v>338</v>
      </c>
      <c r="I75">
        <v>1800</v>
      </c>
      <c r="K75">
        <v>1900</v>
      </c>
      <c r="V75">
        <v>1</v>
      </c>
      <c r="X75">
        <v>3</v>
      </c>
      <c r="Z75" s="3" t="str">
        <f t="shared" si="154"/>
        <v/>
      </c>
      <c r="AA75">
        <v>25</v>
      </c>
      <c r="AB75">
        <f t="shared" si="164"/>
        <v>40</v>
      </c>
      <c r="AE75">
        <v>4.9000000000000004</v>
      </c>
      <c r="AF75">
        <v>6</v>
      </c>
      <c r="AI75" s="9">
        <v>12</v>
      </c>
      <c r="AJ75" s="14" t="str">
        <f>CONCATENATE(VLOOKUP(AK75, 'Voxel Sizes'!$A$2:$B$18,2,FALSE),"x",INT(AG75*15), "x", INT(AH75*15))</f>
        <v>66x0x0</v>
      </c>
      <c r="AK75" s="14">
        <f t="shared" si="155"/>
        <v>4</v>
      </c>
      <c r="AM75" s="14" t="str">
        <f>CONCATENATE(VLOOKUP(AK75,Constants!$A$2:$C$16,IF(AL75&lt;&gt;"", 3, 2), FALSE),IF(AL75&lt;&gt;"",CONCATENATE(",",VLOOKUP(AL75,$B:$AM,38,FALSE)),""))</f>
        <v>1,2,1</v>
      </c>
      <c r="AW75">
        <v>80</v>
      </c>
      <c r="AX75" s="14">
        <f t="shared" si="156"/>
        <v>108</v>
      </c>
      <c r="AY75">
        <v>-15</v>
      </c>
      <c r="AZ75">
        <v>-3</v>
      </c>
      <c r="BA75" s="16">
        <f t="shared" si="157"/>
        <v>5</v>
      </c>
      <c r="BB75" s="16">
        <f t="shared" si="158"/>
        <v>0</v>
      </c>
      <c r="BC75" s="16">
        <f t="shared" si="159"/>
        <v>0</v>
      </c>
      <c r="BD75" s="17">
        <f t="shared" si="160"/>
        <v>1</v>
      </c>
      <c r="BE75" s="16">
        <f t="shared" si="113"/>
        <v>2</v>
      </c>
      <c r="BF75" s="16">
        <f>VLOOKUP($G75,Constants!$I:$K, 2, FALSE)</f>
        <v>1</v>
      </c>
      <c r="BG75" s="16">
        <f>VLOOKUP($G75,Constants!$I:$K, 3, FALSE)*IF(AND(F75="multiple_unit",AA75&lt;110),0.75,1)</f>
        <v>0.45</v>
      </c>
      <c r="BH75" s="16">
        <f>INT(POWER(((Constants!$G$2+$BA75+$BB75+$BC75+$BE75)*$BD75)*$BG75, 1.05))+$AZ75</f>
        <v>2</v>
      </c>
      <c r="BI75" s="16">
        <f>INT(POWER((((Constants!$G$1+$BA75+$BB75+$BC75+$BE75)*($BD75))*$BF75),IF($F75="wagon",1,1.2)))+$AY75</f>
        <v>7</v>
      </c>
      <c r="BJ75" s="19">
        <f t="shared" si="114"/>
        <v>125</v>
      </c>
      <c r="BK75" s="19">
        <f t="shared" si="115"/>
        <v>19.11</v>
      </c>
      <c r="BT75">
        <v>1</v>
      </c>
      <c r="BU75">
        <v>225</v>
      </c>
      <c r="BV75" t="s">
        <v>77</v>
      </c>
      <c r="BW75" t="s">
        <v>284</v>
      </c>
      <c r="BX75" s="22" t="str">
        <f>VLOOKUP(I75,Eras!$A$2:$C$10, 2, TRUE)</f>
        <v>early</v>
      </c>
      <c r="BY75" t="s">
        <v>75</v>
      </c>
      <c r="BZ75" s="22" t="str">
        <f t="shared" si="161"/>
        <v>early_Open Wagon</v>
      </c>
      <c r="CA75" s="22" t="str">
        <f t="shared" si="162"/>
        <v>wagon_NARROW_GAUGE</v>
      </c>
      <c r="CB75" s="22" t="str">
        <f>VLOOKUP($CA75, Constants!$M:$N, 2, FALSE)</f>
        <v/>
      </c>
      <c r="CC75" s="22" t="str">
        <f t="shared" si="95"/>
        <v/>
      </c>
      <c r="CD75" t="s">
        <v>294</v>
      </c>
      <c r="CE75" s="22" t="str">
        <f t="shared" si="166"/>
        <v/>
      </c>
      <c r="CF75" s="22" t="str">
        <f t="shared" si="163"/>
        <v>{SILVER}Like their larger counterparts, narrow gauge railways built many vans for carrying piece goods.</v>
      </c>
    </row>
    <row r="76" spans="1:84" x14ac:dyDescent="0.3">
      <c r="A76" t="s">
        <v>266</v>
      </c>
      <c r="B76" t="s">
        <v>272</v>
      </c>
      <c r="C76">
        <v>93</v>
      </c>
      <c r="D76">
        <v>3012</v>
      </c>
      <c r="E76" t="s">
        <v>493</v>
      </c>
      <c r="F76" t="s">
        <v>32</v>
      </c>
      <c r="G76" t="s">
        <v>32</v>
      </c>
      <c r="H76" t="s">
        <v>338</v>
      </c>
      <c r="I76">
        <v>1860</v>
      </c>
      <c r="V76">
        <v>3</v>
      </c>
      <c r="X76">
        <v>4</v>
      </c>
      <c r="Z76" s="3" t="str">
        <f t="shared" si="154"/>
        <v/>
      </c>
      <c r="AA76">
        <v>35</v>
      </c>
      <c r="AB76">
        <f t="shared" si="164"/>
        <v>56</v>
      </c>
      <c r="AE76">
        <v>4.9000000000000004</v>
      </c>
      <c r="AF76">
        <v>6</v>
      </c>
      <c r="AI76" s="9">
        <v>15</v>
      </c>
      <c r="AJ76" s="14" t="str">
        <f>CONCATENATE(VLOOKUP(AK76, 'Voxel Sizes'!$A$2:$B$18,2,FALSE),"x",INT(AG76*15), "x", INT(AH76*15))</f>
        <v>66x0x0</v>
      </c>
      <c r="AK76" s="14">
        <f t="shared" si="155"/>
        <v>4</v>
      </c>
      <c r="AM76" s="14" t="str">
        <f>CONCATENATE(VLOOKUP(AK76,Constants!$A$2:$C$16,IF(AL76&lt;&gt;"", 3, 2), FALSE),IF(AL76&lt;&gt;"",CONCATENATE(",",VLOOKUP(AL76,$B:$AM,38,FALSE)),""))</f>
        <v>1,2,1</v>
      </c>
      <c r="AW76">
        <v>80</v>
      </c>
      <c r="AX76" s="14" t="str">
        <f t="shared" si="156"/>
        <v/>
      </c>
      <c r="AY76">
        <v>-14</v>
      </c>
      <c r="AZ76">
        <v>-3</v>
      </c>
      <c r="BA76" s="16">
        <f t="shared" si="157"/>
        <v>7</v>
      </c>
      <c r="BB76" s="16">
        <f t="shared" si="158"/>
        <v>0</v>
      </c>
      <c r="BC76" s="16">
        <f t="shared" si="159"/>
        <v>0</v>
      </c>
      <c r="BD76" s="17">
        <f t="shared" si="160"/>
        <v>1</v>
      </c>
      <c r="BE76" s="16">
        <f t="shared" si="113"/>
        <v>2.5</v>
      </c>
      <c r="BF76" s="16">
        <f>VLOOKUP($G76,Constants!$I:$K, 2, FALSE)</f>
        <v>1</v>
      </c>
      <c r="BG76" s="16">
        <f>VLOOKUP($G76,Constants!$I:$K, 3, FALSE)*IF(AND(F76="multiple_unit",AA76&lt;110),0.75,1)</f>
        <v>0.45</v>
      </c>
      <c r="BH76" s="16">
        <f>INT(POWER(((Constants!$G$2+$BA76+$BB76+$BC76+$BE76)*$BD76)*$BG76, 1.05))+$AZ76</f>
        <v>4</v>
      </c>
      <c r="BI76" s="16">
        <f>INT(POWER((((Constants!$G$1+$BA76+$BB76+$BC76+$BE76)*($BD76))*$BF76),IF($F76="wagon",1,1.2)))+$AY76</f>
        <v>10</v>
      </c>
      <c r="BJ76" s="19">
        <f t="shared" si="114"/>
        <v>250</v>
      </c>
      <c r="BK76" s="19">
        <f t="shared" si="115"/>
        <v>27.3</v>
      </c>
      <c r="BT76">
        <v>1</v>
      </c>
      <c r="BU76">
        <v>225</v>
      </c>
      <c r="BV76" t="s">
        <v>77</v>
      </c>
      <c r="BW76" t="s">
        <v>331</v>
      </c>
      <c r="BX76" s="22" t="str">
        <f>VLOOKUP(I76,Eras!$A$2:$C$10, 2, TRUE)</f>
        <v>vct</v>
      </c>
      <c r="BY76" t="s">
        <v>75</v>
      </c>
      <c r="BZ76" s="22" t="str">
        <f t="shared" si="161"/>
        <v>vct_Open Wagon</v>
      </c>
      <c r="CA76" s="22" t="str">
        <f t="shared" si="162"/>
        <v>wagon_NARROW_GAUGE</v>
      </c>
      <c r="CB76" s="22" t="str">
        <f>VLOOKUP($CA76, Constants!$M:$N, 2, FALSE)</f>
        <v/>
      </c>
      <c r="CC76" s="22" t="str">
        <f t="shared" si="95"/>
        <v/>
      </c>
      <c r="CD76" t="s">
        <v>295</v>
      </c>
      <c r="CE76" s="22" t="str">
        <f t="shared" si="166"/>
        <v/>
      </c>
      <c r="CF76" s="22" t="str">
        <f t="shared" si="163"/>
        <v>{SILVER}Gunpowder vans carried explosives to the quarries served by narrow gauge railways. This example has solid iron construction.</v>
      </c>
    </row>
    <row r="77" spans="1:84" x14ac:dyDescent="0.3">
      <c r="A77" t="s">
        <v>267</v>
      </c>
      <c r="B77" t="s">
        <v>274</v>
      </c>
      <c r="C77">
        <v>94</v>
      </c>
      <c r="D77">
        <v>3013</v>
      </c>
      <c r="E77" t="s">
        <v>493</v>
      </c>
      <c r="F77" t="s">
        <v>32</v>
      </c>
      <c r="G77" t="s">
        <v>32</v>
      </c>
      <c r="H77" t="s">
        <v>338</v>
      </c>
      <c r="I77">
        <v>1870</v>
      </c>
      <c r="V77">
        <v>2</v>
      </c>
      <c r="X77">
        <v>4</v>
      </c>
      <c r="Z77" s="3" t="str">
        <f t="shared" si="154"/>
        <v/>
      </c>
      <c r="AA77">
        <v>35</v>
      </c>
      <c r="AB77">
        <f t="shared" si="164"/>
        <v>56</v>
      </c>
      <c r="AE77">
        <v>4.9000000000000004</v>
      </c>
      <c r="AF77">
        <v>6</v>
      </c>
      <c r="AI77" s="9">
        <v>15</v>
      </c>
      <c r="AJ77" s="14" t="str">
        <f>CONCATENATE(VLOOKUP(AK77, 'Voxel Sizes'!$A$2:$B$18,2,FALSE),"x",INT(AG77*15), "x", INT(AH77*15))</f>
        <v>66x0x0</v>
      </c>
      <c r="AK77" s="14">
        <f t="shared" si="155"/>
        <v>4</v>
      </c>
      <c r="AM77" s="14" t="str">
        <f>CONCATENATE(VLOOKUP(AK77,Constants!$A$2:$C$16,IF(AL77&lt;&gt;"", 3, 2), FALSE),IF(AL77&lt;&gt;"",CONCATENATE(",",VLOOKUP(AL77,$B:$AM,38,FALSE)),""))</f>
        <v>1,2,1</v>
      </c>
      <c r="AW77">
        <v>80</v>
      </c>
      <c r="AX77" s="14" t="str">
        <f t="shared" si="156"/>
        <v/>
      </c>
      <c r="AY77">
        <v>-15</v>
      </c>
      <c r="AZ77">
        <v>-3</v>
      </c>
      <c r="BA77" s="16">
        <f t="shared" si="157"/>
        <v>7</v>
      </c>
      <c r="BB77" s="16">
        <f t="shared" si="158"/>
        <v>0</v>
      </c>
      <c r="BC77" s="16">
        <f t="shared" si="159"/>
        <v>0</v>
      </c>
      <c r="BD77" s="17">
        <f t="shared" si="160"/>
        <v>1</v>
      </c>
      <c r="BE77" s="16">
        <f t="shared" si="113"/>
        <v>2.5</v>
      </c>
      <c r="BF77" s="16">
        <f>VLOOKUP($G77,Constants!$I:$K, 2, FALSE)</f>
        <v>1</v>
      </c>
      <c r="BG77" s="16">
        <f>VLOOKUP($G77,Constants!$I:$K, 3, FALSE)*IF(AND(F77="multiple_unit",AA77&lt;110),0.75,1)</f>
        <v>0.45</v>
      </c>
      <c r="BH77" s="16">
        <f>INT(POWER(((Constants!$G$2+$BA77+$BB77+$BC77+$BE77)*$BD77)*$BG77, 1.05))+$AZ77</f>
        <v>4</v>
      </c>
      <c r="BI77" s="16">
        <f>INT(POWER((((Constants!$G$1+$BA77+$BB77+$BC77+$BE77)*($BD77))*$BF77),IF($F77="wagon",1,1.2)))+$AY77</f>
        <v>9</v>
      </c>
      <c r="BJ77" s="19">
        <f t="shared" si="114"/>
        <v>250</v>
      </c>
      <c r="BK77" s="19">
        <f t="shared" si="115"/>
        <v>24.57</v>
      </c>
      <c r="BT77">
        <v>1</v>
      </c>
      <c r="BU77">
        <v>225</v>
      </c>
      <c r="BV77" t="s">
        <v>77</v>
      </c>
      <c r="BW77" t="s">
        <v>284</v>
      </c>
      <c r="BX77" s="22" t="str">
        <f>VLOOKUP(I77,Eras!$A$2:$C$10, 2, TRUE)</f>
        <v>vct</v>
      </c>
      <c r="BY77" t="s">
        <v>75</v>
      </c>
      <c r="BZ77" s="22" t="str">
        <f t="shared" si="161"/>
        <v>vct_Open Wagon</v>
      </c>
      <c r="CA77" s="22" t="str">
        <f t="shared" si="162"/>
        <v>wagon_NARROW_GAUGE</v>
      </c>
      <c r="CB77" s="22" t="str">
        <f>VLOOKUP($CA77, Constants!$M:$N, 2, FALSE)</f>
        <v/>
      </c>
      <c r="CC77" s="22" t="str">
        <f t="shared" si="95"/>
        <v/>
      </c>
      <c r="CD77" t="s">
        <v>296</v>
      </c>
      <c r="CE77" s="22" t="str">
        <f t="shared" si="166"/>
        <v/>
      </c>
      <c r="CF77" s="22" t="str">
        <f t="shared" si="163"/>
        <v>{SILVER}Later vans used iron frames to increase their strength and enable running at faster speeds.</v>
      </c>
    </row>
    <row r="78" spans="1:84" x14ac:dyDescent="0.3">
      <c r="A78" t="s">
        <v>469</v>
      </c>
      <c r="B78" t="s">
        <v>472</v>
      </c>
      <c r="C78">
        <v>95</v>
      </c>
      <c r="D78">
        <v>3014</v>
      </c>
      <c r="E78" t="s">
        <v>493</v>
      </c>
      <c r="F78" t="s">
        <v>32</v>
      </c>
      <c r="G78" t="s">
        <v>32</v>
      </c>
      <c r="H78" t="s">
        <v>338</v>
      </c>
      <c r="I78">
        <v>1800</v>
      </c>
      <c r="K78">
        <v>1880</v>
      </c>
      <c r="V78">
        <v>1</v>
      </c>
      <c r="X78">
        <v>3</v>
      </c>
      <c r="Z78" s="3" t="str">
        <f t="shared" ref="Z78" si="167">IF(AND(V78&gt;0,Y78&gt;0),(Y78/((V78+W78)*10)),"")</f>
        <v/>
      </c>
      <c r="AA78">
        <v>45</v>
      </c>
      <c r="AB78">
        <f t="shared" ref="AB78" si="168">ROUND(AA78*1.6, 0)</f>
        <v>72</v>
      </c>
      <c r="AE78">
        <v>4.9000000000000004</v>
      </c>
      <c r="AF78">
        <v>6</v>
      </c>
      <c r="AI78" s="9">
        <v>0</v>
      </c>
      <c r="AJ78" s="14" t="str">
        <f>CONCATENATE(VLOOKUP(AK78, 'Voxel Sizes'!$A$2:$B$18,2,FALSE),"x",INT(AG78*15), "x", INT(AH78*15))</f>
        <v>66x0x0</v>
      </c>
      <c r="AK78" s="14">
        <f t="shared" ref="AK78" si="169">ROUND(15*((AF78*10)/256),0)</f>
        <v>4</v>
      </c>
      <c r="AM78" s="14" t="str">
        <f>CONCATENATE(VLOOKUP(AK78,Constants!$A$2:$C$16,IF(AL78&lt;&gt;"", 3, 2), FALSE),IF(AL78&lt;&gt;"",CONCATENATE(",",VLOOKUP(AL78,$B:$AM,38,FALSE)),""))</f>
        <v>1,2,1</v>
      </c>
      <c r="AW78">
        <v>80</v>
      </c>
      <c r="AX78" s="14">
        <f t="shared" ref="AX78" si="170">IF(K78&lt;&gt;"",MAX(16,(K78-I78)+8),"")</f>
        <v>88</v>
      </c>
      <c r="AY78">
        <v>-5</v>
      </c>
      <c r="AZ78">
        <v>-2</v>
      </c>
      <c r="BA78" s="16">
        <f t="shared" ref="BA78" si="171">MIN(AA78/150, 1)*30</f>
        <v>9</v>
      </c>
      <c r="BB78" s="16">
        <f t="shared" ref="BB78" si="172">MIN(M78/4000, 1)*20</f>
        <v>0</v>
      </c>
      <c r="BC78" s="16">
        <f t="shared" ref="BC78" si="173">MIN(Y78/400,1)*20</f>
        <v>0</v>
      </c>
      <c r="BD78" s="17">
        <f t="shared" ref="BD78" si="174">1-(MAX(I78-1900, 0)/750)</f>
        <v>1</v>
      </c>
      <c r="BE78" s="16">
        <f t="shared" si="113"/>
        <v>0</v>
      </c>
      <c r="BF78" s="16">
        <f>VLOOKUP($G78,Constants!$I:$K, 2, FALSE)</f>
        <v>1</v>
      </c>
      <c r="BG78" s="16">
        <f>VLOOKUP($G78,Constants!$I:$K, 3, FALSE)*IF(AND(F78="multiple_unit",AA78&lt;110),0.75,1)</f>
        <v>0.45</v>
      </c>
      <c r="BH78" s="16">
        <f>INT(POWER(((Constants!$G$2+$BA78+$BB78+$BC78+$BE78)*$BD78)*$BG78, 1.05))+$AZ78</f>
        <v>4</v>
      </c>
      <c r="BI78" s="16">
        <f>INT(POWER((((Constants!$G$1+$BA78+$BB78+$BC78+$BE78)*($BD78))*$BF78),IF($F78="wagon",1,1.2)))+$AY78</f>
        <v>19</v>
      </c>
      <c r="BJ78" s="19">
        <f t="shared" si="114"/>
        <v>250</v>
      </c>
      <c r="BK78" s="19">
        <f t="shared" si="115"/>
        <v>51.87</v>
      </c>
      <c r="BT78">
        <v>1</v>
      </c>
      <c r="BV78" t="s">
        <v>473</v>
      </c>
      <c r="BW78" t="s">
        <v>470</v>
      </c>
      <c r="BX78" s="22" t="str">
        <f>VLOOKUP(I78,Eras!$A$2:$C$10, 2, TRUE)</f>
        <v>early</v>
      </c>
      <c r="BY78" t="s">
        <v>75</v>
      </c>
      <c r="BZ78" s="22" t="str">
        <f t="shared" ref="BZ78" si="175">CONCATENATE(BX78,"_",BY78)</f>
        <v>early_Open Wagon</v>
      </c>
      <c r="CA78" s="22" t="str">
        <f t="shared" ref="CA78" si="176">_xlfn.CONCAT(G78, "_",H78)</f>
        <v>wagon_NARROW_GAUGE</v>
      </c>
      <c r="CB78" s="22" t="str">
        <f>VLOOKUP($CA78, Constants!$M:$N, 2, FALSE)</f>
        <v/>
      </c>
      <c r="CC78" s="22" t="str">
        <f t="shared" si="95"/>
        <v/>
      </c>
      <c r="CD78" t="s">
        <v>471</v>
      </c>
      <c r="CE78" s="22" t="str">
        <f t="shared" si="166"/>
        <v>{YELLOW}Faster downhill speeds for horse-drawn trains (1 required per 2 horses){}</v>
      </c>
      <c r="CF78" s="22" t="str">
        <f t="shared" ref="CF78" si="177">_xlfn.CONCAT(CB78,IF(CB78 &lt;&gt; "", " ", ""),CC78,IF(OR(CC78&lt;&gt;"", CB78&lt;&gt;""), "{}",""), CE78,"{SILVER}", CD78)</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BY79:BY1048576 BY10:BY16 BY1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3">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8</v>
      </c>
      <c r="T4">
        <f>COUNTIF(Table!$BZ:$BZ,CONCATENATE($A4,"_",T$1))</f>
        <v>0</v>
      </c>
      <c r="U4">
        <f>COUNTIF(Table!$BZ:$BZ,CONCATENATE($A4,"_",U$1))</f>
        <v>0</v>
      </c>
      <c r="V4">
        <f>COUNTIF(Table!$BZ:$BZ,CONCATENATE($A4,"_",V$1))</f>
        <v>0</v>
      </c>
      <c r="W4">
        <f>COUNTIF(Table!$BZ:$BZ,CONCATENATE($A4,"_",W$1))</f>
        <v>0</v>
      </c>
    </row>
    <row r="5" spans="1:23" x14ac:dyDescent="0.3">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3">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3">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3">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3">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3">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3">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0</v>
      </c>
      <c r="J11">
        <f>COUNTIF(Table!$BZ:$BZ,CONCATENATE($A11,"_",J$1))</f>
        <v>0</v>
      </c>
      <c r="K11">
        <f>COUNTIF(Table!$BZ:$BZ,CONCATENATE($A11,"_",K$1))</f>
        <v>0</v>
      </c>
      <c r="L11">
        <f>COUNTIF(Table!$BZ:$BZ,CONCATENATE($A11,"_",L$1))</f>
        <v>0</v>
      </c>
      <c r="M11">
        <f>COUNTIF(Table!$BZ:$BZ,CONCATENATE($A11,"_",M$1))</f>
        <v>0</v>
      </c>
      <c r="N11">
        <f>COUNTIF(Table!$BZ:$BZ,CONCATENATE($A11,"_",N$1))</f>
        <v>1</v>
      </c>
      <c r="O11">
        <f>COUNTIF(Table!$BZ:$BZ,CONCATENATE($A11,"_",O$1))</f>
        <v>0</v>
      </c>
      <c r="P11">
        <f>COUNTIF(Table!$BZ:$BZ,CONCATENATE($A11,"_",P$1))</f>
        <v>0</v>
      </c>
      <c r="Q11">
        <f>COUNTIF(Table!$BZ:$BZ,CONCATENATE($A11,"_",Q$1))</f>
        <v>0</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2023-09-06T19:15:12Z</dcterms:modified>
</cp:coreProperties>
</file>