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timberwolfs_trains\"/>
    </mc:Choice>
  </mc:AlternateContent>
  <xr:revisionPtr revIDLastSave="0" documentId="13_ncr:1_{67A8FC38-98E4-441A-B485-D5B405A6C358}" xr6:coauthVersionLast="47" xr6:coauthVersionMax="47" xr10:uidLastSave="{00000000-0000-0000-0000-000000000000}"/>
  <bookViews>
    <workbookView xWindow="0" yWindow="564" windowWidth="15984"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1" i="2" l="1"/>
  <c r="BY17" i="1"/>
  <c r="BW17" i="1"/>
  <c r="BU17" i="1"/>
  <c r="BV17" i="1" s="1"/>
  <c r="BZ17" i="1" s="1"/>
  <c r="BR17" i="1"/>
  <c r="BT17" i="1" s="1"/>
  <c r="BC17" i="1"/>
  <c r="BB17" i="1"/>
  <c r="BA17" i="1"/>
  <c r="AZ17" i="1"/>
  <c r="AY17" i="1"/>
  <c r="AX17" i="1"/>
  <c r="AW17" i="1"/>
  <c r="AT17" i="1"/>
  <c r="AG17" i="1"/>
  <c r="AI17" i="1" s="1"/>
  <c r="AF17" i="1"/>
  <c r="X17" i="1"/>
  <c r="Q17" i="1"/>
  <c r="S17" i="1" s="1"/>
  <c r="BY18" i="1"/>
  <c r="BW18" i="1"/>
  <c r="BU18" i="1"/>
  <c r="BV18" i="1" s="1"/>
  <c r="BZ18" i="1" s="1"/>
  <c r="BR18" i="1"/>
  <c r="BT18" i="1" s="1"/>
  <c r="BC18" i="1"/>
  <c r="BB18" i="1"/>
  <c r="BA18" i="1"/>
  <c r="AZ18" i="1"/>
  <c r="AY18" i="1"/>
  <c r="AX18" i="1"/>
  <c r="AW18" i="1"/>
  <c r="AT18" i="1"/>
  <c r="AG18" i="1"/>
  <c r="AI18" i="1" s="1"/>
  <c r="X18" i="1"/>
  <c r="Q18" i="1"/>
  <c r="S18" i="1" s="1"/>
  <c r="BY3" i="1"/>
  <c r="BW3" i="1"/>
  <c r="BU3" i="1"/>
  <c r="BV3" i="1" s="1"/>
  <c r="BZ3" i="1" s="1"/>
  <c r="BR3" i="1"/>
  <c r="BT3" i="1" s="1"/>
  <c r="BC3" i="1"/>
  <c r="BB3" i="1"/>
  <c r="BA3" i="1"/>
  <c r="AZ3" i="1"/>
  <c r="AY3" i="1"/>
  <c r="AX3" i="1"/>
  <c r="AW3" i="1"/>
  <c r="AT3" i="1"/>
  <c r="AG3" i="1"/>
  <c r="AF3" i="1" s="1"/>
  <c r="X3" i="1"/>
  <c r="BY40" i="1"/>
  <c r="BW40" i="1"/>
  <c r="BU40" i="1"/>
  <c r="BV40" i="1" s="1"/>
  <c r="BR40" i="1"/>
  <c r="BT40" i="1" s="1"/>
  <c r="BC40" i="1"/>
  <c r="BB40" i="1"/>
  <c r="BA40" i="1"/>
  <c r="AZ40" i="1"/>
  <c r="AY40" i="1"/>
  <c r="AX40" i="1"/>
  <c r="AW40" i="1"/>
  <c r="AT40" i="1"/>
  <c r="AG40" i="1"/>
  <c r="AF40" i="1" s="1"/>
  <c r="X40" i="1"/>
  <c r="Q40" i="1"/>
  <c r="S40" i="1" s="1"/>
  <c r="BC48" i="1"/>
  <c r="BB48" i="1"/>
  <c r="BA48" i="1"/>
  <c r="AZ48" i="1"/>
  <c r="AY48" i="1"/>
  <c r="AX48" i="1"/>
  <c r="AW48" i="1"/>
  <c r="N30" i="2"/>
  <c r="AF18" i="1" l="1"/>
  <c r="BE17" i="1"/>
  <c r="BG17" i="1" s="1"/>
  <c r="BD17" i="1"/>
  <c r="BF17" i="1" s="1"/>
  <c r="BE18" i="1"/>
  <c r="BG18" i="1" s="1"/>
  <c r="BD18" i="1"/>
  <c r="BF18" i="1" s="1"/>
  <c r="BE3" i="1"/>
  <c r="BG3" i="1" s="1"/>
  <c r="BZ40" i="1"/>
  <c r="BD3" i="1"/>
  <c r="BF3" i="1" s="1"/>
  <c r="AI3" i="1"/>
  <c r="BE40" i="1"/>
  <c r="BG40" i="1" s="1"/>
  <c r="BD40" i="1"/>
  <c r="BF40" i="1" s="1"/>
  <c r="BE48" i="1"/>
  <c r="BG48" i="1" s="1"/>
  <c r="BD48" i="1"/>
  <c r="BF48" i="1" s="1"/>
  <c r="BY48" i="1"/>
  <c r="BW48" i="1"/>
  <c r="BU48" i="1"/>
  <c r="BV48" i="1" s="1"/>
  <c r="BR48" i="1"/>
  <c r="BT48" i="1" s="1"/>
  <c r="AT48" i="1"/>
  <c r="AG48" i="1"/>
  <c r="AI48" i="1" s="1"/>
  <c r="X48" i="1"/>
  <c r="BZ48" i="1" l="1"/>
  <c r="AF48" i="1"/>
  <c r="BY56" i="1"/>
  <c r="BW56" i="1"/>
  <c r="BU56" i="1"/>
  <c r="BV56" i="1" s="1"/>
  <c r="BR56" i="1"/>
  <c r="BT56" i="1" s="1"/>
  <c r="BC56" i="1"/>
  <c r="BB56" i="1"/>
  <c r="BA56" i="1"/>
  <c r="AZ56" i="1"/>
  <c r="AY56" i="1"/>
  <c r="AW56" i="1"/>
  <c r="AT56" i="1"/>
  <c r="AG56" i="1"/>
  <c r="AF56" i="1" s="1"/>
  <c r="K56" i="1"/>
  <c r="AX56" i="1" s="1"/>
  <c r="X56" i="1"/>
  <c r="AI56" i="1" l="1"/>
  <c r="BZ56" i="1"/>
  <c r="BE56" i="1"/>
  <c r="BG56" i="1" s="1"/>
  <c r="BD56" i="1"/>
  <c r="BF56" i="1" s="1"/>
  <c r="AT4" i="1" l="1"/>
  <c r="AT5" i="1"/>
  <c r="AT6" i="1"/>
  <c r="AT7" i="1"/>
  <c r="AT8" i="1"/>
  <c r="AT9" i="1"/>
  <c r="AT10" i="1"/>
  <c r="AT11" i="1"/>
  <c r="AT12" i="1"/>
  <c r="AT13" i="1"/>
  <c r="AT14" i="1"/>
  <c r="AT15" i="1"/>
  <c r="AT16" i="1"/>
  <c r="AT19" i="1"/>
  <c r="AT20" i="1"/>
  <c r="AT21" i="1"/>
  <c r="AT22" i="1"/>
  <c r="AT23" i="1"/>
  <c r="AT24" i="1"/>
  <c r="AT25" i="1"/>
  <c r="AT26" i="1"/>
  <c r="AT27" i="1"/>
  <c r="AT28" i="1"/>
  <c r="AT29" i="1"/>
  <c r="AT30" i="1"/>
  <c r="AT31" i="1"/>
  <c r="AT32" i="1"/>
  <c r="AT33" i="1"/>
  <c r="AT34" i="1"/>
  <c r="AT35" i="1"/>
  <c r="AT36" i="1"/>
  <c r="AT37" i="1"/>
  <c r="AT38" i="1"/>
  <c r="AT39" i="1"/>
  <c r="AT41" i="1"/>
  <c r="AT42" i="1"/>
  <c r="AT43" i="1"/>
  <c r="AT44" i="1"/>
  <c r="AT45" i="1"/>
  <c r="AT46" i="1"/>
  <c r="AT47" i="1"/>
  <c r="AT49" i="1"/>
  <c r="AT50" i="1"/>
  <c r="AT51" i="1"/>
  <c r="AT52" i="1"/>
  <c r="AT53" i="1"/>
  <c r="AT54" i="1"/>
  <c r="AT55" i="1"/>
  <c r="AT2" i="1"/>
  <c r="X46" i="1"/>
  <c r="BY47" i="1"/>
  <c r="BW47" i="1"/>
  <c r="BU47" i="1"/>
  <c r="BV47" i="1" s="1"/>
  <c r="BR47" i="1"/>
  <c r="BT47" i="1" s="1"/>
  <c r="BC47" i="1"/>
  <c r="BB47" i="1"/>
  <c r="BA47" i="1"/>
  <c r="AZ47" i="1"/>
  <c r="AY47" i="1"/>
  <c r="AX47" i="1"/>
  <c r="AW47" i="1"/>
  <c r="AG47" i="1"/>
  <c r="X47" i="1"/>
  <c r="Q47" i="1"/>
  <c r="S47" i="1" s="1"/>
  <c r="BY5" i="1"/>
  <c r="BW5" i="1"/>
  <c r="BU5" i="1"/>
  <c r="BV5" i="1" s="1"/>
  <c r="BZ5" i="1" s="1"/>
  <c r="BR5" i="1"/>
  <c r="BT5" i="1" s="1"/>
  <c r="BC5" i="1"/>
  <c r="BB5" i="1"/>
  <c r="BA5" i="1"/>
  <c r="AZ5" i="1"/>
  <c r="AY5" i="1"/>
  <c r="AX5" i="1"/>
  <c r="AW5" i="1"/>
  <c r="AG5" i="1"/>
  <c r="AI5" i="1" s="1"/>
  <c r="X5" i="1"/>
  <c r="BY46" i="1"/>
  <c r="BW46" i="1"/>
  <c r="BU46" i="1"/>
  <c r="BV46" i="1" s="1"/>
  <c r="BR46" i="1"/>
  <c r="BT46" i="1" s="1"/>
  <c r="BC46" i="1"/>
  <c r="BB46" i="1"/>
  <c r="BA46" i="1"/>
  <c r="AZ46" i="1"/>
  <c r="AY46" i="1"/>
  <c r="AX46" i="1"/>
  <c r="AW46" i="1"/>
  <c r="AG46" i="1"/>
  <c r="AF46" i="1" s="1"/>
  <c r="Q46" i="1"/>
  <c r="S46" i="1" s="1"/>
  <c r="BY4" i="1"/>
  <c r="BW4" i="1"/>
  <c r="BU4" i="1"/>
  <c r="BV4" i="1" s="1"/>
  <c r="BR4" i="1"/>
  <c r="BT4" i="1" s="1"/>
  <c r="BC4" i="1"/>
  <c r="BB4" i="1"/>
  <c r="BA4" i="1"/>
  <c r="AZ4" i="1"/>
  <c r="AY4" i="1"/>
  <c r="AX4" i="1"/>
  <c r="AW4" i="1"/>
  <c r="AG4" i="1"/>
  <c r="AI4" i="1" s="1"/>
  <c r="X4" i="1"/>
  <c r="BY45" i="1"/>
  <c r="BW45" i="1"/>
  <c r="BU45" i="1"/>
  <c r="BV45" i="1" s="1"/>
  <c r="BR45" i="1"/>
  <c r="BT45" i="1" s="1"/>
  <c r="BC45" i="1"/>
  <c r="BB45" i="1"/>
  <c r="BA45" i="1"/>
  <c r="AZ45" i="1"/>
  <c r="AY45" i="1"/>
  <c r="AX45" i="1"/>
  <c r="AW45" i="1"/>
  <c r="AG45" i="1"/>
  <c r="X45" i="1"/>
  <c r="Q45" i="1"/>
  <c r="S45" i="1" s="1"/>
  <c r="BY44" i="1"/>
  <c r="BW44" i="1"/>
  <c r="BU44" i="1"/>
  <c r="BV44" i="1" s="1"/>
  <c r="BR44" i="1"/>
  <c r="BT44" i="1" s="1"/>
  <c r="BC44" i="1"/>
  <c r="BB44" i="1"/>
  <c r="BA44" i="1"/>
  <c r="AZ44" i="1"/>
  <c r="AY44" i="1"/>
  <c r="AX44" i="1"/>
  <c r="AW44" i="1"/>
  <c r="AG44" i="1"/>
  <c r="AF44" i="1" s="1"/>
  <c r="X44" i="1"/>
  <c r="Q44" i="1"/>
  <c r="S44" i="1" s="1"/>
  <c r="BY54" i="1"/>
  <c r="BY55" i="1"/>
  <c r="BR52" i="1"/>
  <c r="BT52" i="1" s="1"/>
  <c r="BR54" i="1"/>
  <c r="BT54" i="1" s="1"/>
  <c r="BR55" i="1"/>
  <c r="BC54" i="1"/>
  <c r="BB54" i="1"/>
  <c r="BA54" i="1"/>
  <c r="BW54" i="1"/>
  <c r="BU54" i="1"/>
  <c r="BV54" i="1" s="1"/>
  <c r="AZ54" i="1"/>
  <c r="AY54" i="1"/>
  <c r="AX54" i="1"/>
  <c r="AW54" i="1"/>
  <c r="AG54" i="1"/>
  <c r="AI54" i="1" s="1"/>
  <c r="X54" i="1"/>
  <c r="BZ47" i="1" l="1"/>
  <c r="BZ4" i="1"/>
  <c r="AI47" i="1"/>
  <c r="BE47" i="1"/>
  <c r="BG47" i="1" s="1"/>
  <c r="AF47" i="1"/>
  <c r="BE5" i="1"/>
  <c r="BG5" i="1" s="1"/>
  <c r="BD47" i="1"/>
  <c r="BF47" i="1" s="1"/>
  <c r="AF5" i="1"/>
  <c r="BD5" i="1"/>
  <c r="BF5" i="1" s="1"/>
  <c r="BZ44" i="1"/>
  <c r="BZ46" i="1"/>
  <c r="BD4" i="1"/>
  <c r="BF4" i="1" s="1"/>
  <c r="BE46" i="1"/>
  <c r="BG46" i="1" s="1"/>
  <c r="AI45" i="1"/>
  <c r="AI46" i="1"/>
  <c r="BZ45" i="1"/>
  <c r="BE4" i="1"/>
  <c r="BG4" i="1" s="1"/>
  <c r="BD46" i="1"/>
  <c r="BF46" i="1" s="1"/>
  <c r="AF4" i="1"/>
  <c r="BE45" i="1"/>
  <c r="BG45" i="1" s="1"/>
  <c r="AF45" i="1"/>
  <c r="BD44" i="1"/>
  <c r="BF44" i="1" s="1"/>
  <c r="BD45" i="1"/>
  <c r="BF45" i="1" s="1"/>
  <c r="BE44" i="1"/>
  <c r="BG44" i="1" s="1"/>
  <c r="BD54" i="1"/>
  <c r="BF54" i="1" s="1"/>
  <c r="AF54" i="1"/>
  <c r="BZ54" i="1"/>
  <c r="BE54" i="1"/>
  <c r="BG54" i="1" s="1"/>
  <c r="BY39" i="1" l="1"/>
  <c r="BW39" i="1"/>
  <c r="BU39" i="1"/>
  <c r="BV39" i="1" s="1"/>
  <c r="BR39" i="1"/>
  <c r="BT39" i="1" s="1"/>
  <c r="BC39" i="1"/>
  <c r="BB39" i="1"/>
  <c r="BA39" i="1"/>
  <c r="AZ39" i="1"/>
  <c r="AY39" i="1"/>
  <c r="AX39" i="1"/>
  <c r="AV38" i="1"/>
  <c r="BZ39" i="1" l="1"/>
  <c r="AG39" i="1"/>
  <c r="AF39" i="1" s="1"/>
  <c r="AW39" i="1"/>
  <c r="BD39" i="1" s="1"/>
  <c r="BF39" i="1" s="1"/>
  <c r="AI39" i="1" l="1"/>
  <c r="BE39" i="1"/>
  <c r="BG39" i="1" s="1"/>
  <c r="X39" i="1"/>
  <c r="BY42" i="1"/>
  <c r="BW42" i="1"/>
  <c r="BU42" i="1"/>
  <c r="BV42" i="1" s="1"/>
  <c r="BR42" i="1"/>
  <c r="BT42" i="1" s="1"/>
  <c r="BC42" i="1"/>
  <c r="BB42" i="1"/>
  <c r="BA42" i="1"/>
  <c r="AZ42" i="1"/>
  <c r="AY42" i="1"/>
  <c r="AX42" i="1"/>
  <c r="AW42" i="1"/>
  <c r="AG42" i="1"/>
  <c r="AF42" i="1" s="1"/>
  <c r="X42" i="1"/>
  <c r="Q42" i="1"/>
  <c r="S42" i="1" s="1"/>
  <c r="BY2" i="1"/>
  <c r="BW2" i="1"/>
  <c r="BU2" i="1"/>
  <c r="BV2" i="1" s="1"/>
  <c r="BR2" i="1"/>
  <c r="BT2" i="1" s="1"/>
  <c r="BC2" i="1"/>
  <c r="BB2" i="1"/>
  <c r="BA2" i="1"/>
  <c r="AZ2" i="1"/>
  <c r="AG2" i="1"/>
  <c r="AI2" i="1" s="1"/>
  <c r="AY2" i="1"/>
  <c r="AX2" i="1"/>
  <c r="AW2" i="1"/>
  <c r="X2" i="1"/>
  <c r="AI44" i="1" l="1"/>
  <c r="AI40" i="1"/>
  <c r="AF2" i="1"/>
  <c r="BZ42" i="1"/>
  <c r="BZ2" i="1"/>
  <c r="BE2" i="1"/>
  <c r="BG2" i="1" s="1"/>
  <c r="BD42" i="1"/>
  <c r="BF42" i="1" s="1"/>
  <c r="BE42" i="1"/>
  <c r="BG42" i="1" s="1"/>
  <c r="AI42" i="1"/>
  <c r="BD2" i="1"/>
  <c r="BF2" i="1" s="1"/>
  <c r="BY41" i="1"/>
  <c r="BW41" i="1"/>
  <c r="BU41" i="1"/>
  <c r="BV41" i="1" s="1"/>
  <c r="BR41" i="1"/>
  <c r="BT41" i="1" s="1"/>
  <c r="BC41" i="1"/>
  <c r="BB41" i="1"/>
  <c r="BA41" i="1"/>
  <c r="AZ41" i="1"/>
  <c r="AY41" i="1"/>
  <c r="AX41" i="1"/>
  <c r="AW41" i="1"/>
  <c r="AG41" i="1"/>
  <c r="AF41" i="1" s="1"/>
  <c r="X41" i="1"/>
  <c r="Q41" i="1"/>
  <c r="S41" i="1" s="1"/>
  <c r="O29" i="2"/>
  <c r="N29" i="2" s="1"/>
  <c r="BT55" i="1"/>
  <c r="BC55" i="1"/>
  <c r="BC53" i="1"/>
  <c r="BC52" i="1"/>
  <c r="BC51" i="1"/>
  <c r="BC50" i="1"/>
  <c r="BC49" i="1"/>
  <c r="BC43" i="1"/>
  <c r="BB55" i="1"/>
  <c r="BB53" i="1"/>
  <c r="BB52" i="1"/>
  <c r="BB51" i="1"/>
  <c r="BB50" i="1"/>
  <c r="BB49" i="1"/>
  <c r="BB43" i="1"/>
  <c r="BW55" i="1"/>
  <c r="BU55" i="1"/>
  <c r="BV55" i="1" s="1"/>
  <c r="BA55" i="1"/>
  <c r="AZ55" i="1"/>
  <c r="AY55" i="1"/>
  <c r="AX55" i="1"/>
  <c r="AW55" i="1"/>
  <c r="AG55" i="1"/>
  <c r="AF55" i="1" s="1"/>
  <c r="X55" i="1"/>
  <c r="AV36" i="1"/>
  <c r="BE55" i="1" l="1"/>
  <c r="BG55" i="1" s="1"/>
  <c r="BD55" i="1"/>
  <c r="BF55" i="1" s="1"/>
  <c r="AI55" i="1"/>
  <c r="BZ41" i="1"/>
  <c r="BD41" i="1"/>
  <c r="BF41" i="1" s="1"/>
  <c r="BE41" i="1"/>
  <c r="BG41" i="1" s="1"/>
  <c r="AI41" i="1"/>
  <c r="BZ55" i="1"/>
  <c r="BY36" i="1" l="1"/>
  <c r="BW36" i="1"/>
  <c r="BU36" i="1"/>
  <c r="BV36" i="1" s="1"/>
  <c r="BR36" i="1"/>
  <c r="BT36" i="1" s="1"/>
  <c r="BC36" i="1"/>
  <c r="BB36" i="1"/>
  <c r="BA36" i="1"/>
  <c r="AZ36" i="1"/>
  <c r="AY36" i="1"/>
  <c r="AX36" i="1"/>
  <c r="AW36" i="1"/>
  <c r="AG36" i="1"/>
  <c r="AF36" i="1" s="1"/>
  <c r="X36" i="1"/>
  <c r="BA53" i="1"/>
  <c r="X52" i="1"/>
  <c r="X53" i="1"/>
  <c r="BY50" i="1"/>
  <c r="BW50" i="1"/>
  <c r="BU50" i="1"/>
  <c r="BV50" i="1" s="1"/>
  <c r="BR50" i="1"/>
  <c r="BT50" i="1" s="1"/>
  <c r="BA50" i="1"/>
  <c r="AZ50" i="1"/>
  <c r="AY50" i="1"/>
  <c r="AX50" i="1"/>
  <c r="AW50" i="1"/>
  <c r="AG50" i="1"/>
  <c r="X50" i="1"/>
  <c r="AG51" i="1"/>
  <c r="AF51" i="1" s="1"/>
  <c r="AW51" i="1"/>
  <c r="AX51" i="1"/>
  <c r="AY51" i="1"/>
  <c r="AZ51" i="1"/>
  <c r="BA51" i="1"/>
  <c r="BR51" i="1"/>
  <c r="BT51" i="1" s="1"/>
  <c r="BU51" i="1"/>
  <c r="BV51" i="1" s="1"/>
  <c r="BW51" i="1"/>
  <c r="BY51" i="1"/>
  <c r="AG52" i="1"/>
  <c r="AF52" i="1" s="1"/>
  <c r="AW52" i="1"/>
  <c r="AX52" i="1"/>
  <c r="AY52" i="1"/>
  <c r="AZ52" i="1"/>
  <c r="BA52" i="1"/>
  <c r="BU52" i="1"/>
  <c r="BV52" i="1" s="1"/>
  <c r="BW52" i="1"/>
  <c r="BY52" i="1"/>
  <c r="AG53" i="1"/>
  <c r="AF53" i="1" s="1"/>
  <c r="AW53" i="1"/>
  <c r="AX53" i="1"/>
  <c r="AY53" i="1"/>
  <c r="AZ53" i="1"/>
  <c r="BR53" i="1"/>
  <c r="BT53" i="1" s="1"/>
  <c r="BU53" i="1"/>
  <c r="BV53" i="1" s="1"/>
  <c r="BW53" i="1"/>
  <c r="BY53" i="1"/>
  <c r="X51" i="1"/>
  <c r="BY38" i="1"/>
  <c r="BW38" i="1"/>
  <c r="BU38" i="1"/>
  <c r="BV38" i="1" s="1"/>
  <c r="BY37" i="1"/>
  <c r="BW37" i="1"/>
  <c r="BU37" i="1"/>
  <c r="BV37" i="1" s="1"/>
  <c r="BR37" i="1"/>
  <c r="BT37" i="1" s="1"/>
  <c r="BR38" i="1"/>
  <c r="BT38" i="1" s="1"/>
  <c r="BC38" i="1"/>
  <c r="BB38" i="1"/>
  <c r="BA38" i="1"/>
  <c r="AZ38" i="1"/>
  <c r="BC37" i="1"/>
  <c r="BB37" i="1"/>
  <c r="BA37" i="1"/>
  <c r="AZ37" i="1"/>
  <c r="AY38" i="1"/>
  <c r="AX38" i="1"/>
  <c r="AW38" i="1"/>
  <c r="AG38" i="1"/>
  <c r="X38" i="1"/>
  <c r="AY37" i="1"/>
  <c r="AX37" i="1"/>
  <c r="AW37" i="1"/>
  <c r="AG37" i="1"/>
  <c r="X37" i="1"/>
  <c r="AI50" i="1" l="1"/>
  <c r="AF50" i="1"/>
  <c r="AI37" i="1"/>
  <c r="AF37" i="1"/>
  <c r="AI38" i="1"/>
  <c r="AF38" i="1"/>
  <c r="BD38" i="1"/>
  <c r="BF38" i="1" s="1"/>
  <c r="BZ36" i="1"/>
  <c r="AI36" i="1"/>
  <c r="BE36" i="1"/>
  <c r="BG36" i="1" s="1"/>
  <c r="BD52" i="1"/>
  <c r="BF52" i="1" s="1"/>
  <c r="BZ37" i="1"/>
  <c r="BZ50" i="1"/>
  <c r="BD36" i="1"/>
  <c r="BF36" i="1" s="1"/>
  <c r="BD37" i="1"/>
  <c r="BF37" i="1" s="1"/>
  <c r="BD53" i="1"/>
  <c r="BF53" i="1" s="1"/>
  <c r="BD51" i="1"/>
  <c r="BF51" i="1" s="1"/>
  <c r="BE50" i="1"/>
  <c r="BG50" i="1" s="1"/>
  <c r="BE38" i="1"/>
  <c r="BG38" i="1" s="1"/>
  <c r="BE37" i="1"/>
  <c r="BG37" i="1" s="1"/>
  <c r="BZ53" i="1"/>
  <c r="BZ38" i="1"/>
  <c r="AI53" i="1"/>
  <c r="BE51" i="1"/>
  <c r="BG51" i="1" s="1"/>
  <c r="BD50" i="1"/>
  <c r="BF50" i="1" s="1"/>
  <c r="BE52" i="1"/>
  <c r="BG52" i="1" s="1"/>
  <c r="AI52" i="1"/>
  <c r="BZ51" i="1"/>
  <c r="BE53" i="1"/>
  <c r="BG53" i="1" s="1"/>
  <c r="BZ52" i="1"/>
  <c r="AI51" i="1"/>
  <c r="BY10" i="1" l="1"/>
  <c r="BW10" i="1"/>
  <c r="BU10" i="1"/>
  <c r="BR10" i="1"/>
  <c r="BT10" i="1" s="1"/>
  <c r="BC10" i="1"/>
  <c r="BB10" i="1"/>
  <c r="BA10" i="1"/>
  <c r="AZ10" i="1"/>
  <c r="AY10" i="1"/>
  <c r="AX10" i="1"/>
  <c r="AW10" i="1"/>
  <c r="AG10" i="1"/>
  <c r="AF10" i="1" s="1"/>
  <c r="X10" i="1"/>
  <c r="Q10" i="1"/>
  <c r="S10" i="1" s="1"/>
  <c r="AI10" i="1" l="1"/>
  <c r="BE10" i="1"/>
  <c r="BG10" i="1" s="1"/>
  <c r="BD10" i="1"/>
  <c r="BF10" i="1" s="1"/>
  <c r="BY7" i="1"/>
  <c r="BW7" i="1"/>
  <c r="BU7" i="1"/>
  <c r="BR7" i="1"/>
  <c r="BT7" i="1" s="1"/>
  <c r="BC7" i="1"/>
  <c r="BB7" i="1"/>
  <c r="BA7" i="1"/>
  <c r="AZ7" i="1"/>
  <c r="AY7" i="1"/>
  <c r="AX7" i="1"/>
  <c r="AW7" i="1"/>
  <c r="AG7" i="1"/>
  <c r="AF7" i="1" s="1"/>
  <c r="X7" i="1"/>
  <c r="Q7" i="1"/>
  <c r="S7" i="1" s="1"/>
  <c r="BE7" i="1" l="1"/>
  <c r="BG7" i="1" s="1"/>
  <c r="BD7" i="1"/>
  <c r="BF7" i="1" s="1"/>
  <c r="AI7" i="1"/>
  <c r="N28" i="2"/>
  <c r="BY12" i="1"/>
  <c r="BW12" i="1"/>
  <c r="BU12" i="1"/>
  <c r="BR12" i="1"/>
  <c r="BT12" i="1" s="1"/>
  <c r="BC12" i="1"/>
  <c r="BB12" i="1"/>
  <c r="BA12" i="1"/>
  <c r="AZ12" i="1"/>
  <c r="AY12" i="1"/>
  <c r="AX12" i="1"/>
  <c r="AW12" i="1"/>
  <c r="AG12" i="1"/>
  <c r="AF12" i="1" s="1"/>
  <c r="X12" i="1"/>
  <c r="Q12" i="1"/>
  <c r="S12" i="1" s="1"/>
  <c r="BY14" i="1"/>
  <c r="BW14" i="1"/>
  <c r="BU14" i="1"/>
  <c r="BR14" i="1"/>
  <c r="BT14" i="1" s="1"/>
  <c r="BC14" i="1"/>
  <c r="BB14" i="1"/>
  <c r="BA14" i="1"/>
  <c r="AZ14" i="1"/>
  <c r="AY14" i="1"/>
  <c r="AX14" i="1"/>
  <c r="AW14" i="1"/>
  <c r="AG14" i="1"/>
  <c r="AF14" i="1" s="1"/>
  <c r="X14" i="1"/>
  <c r="Q14" i="1"/>
  <c r="S14" i="1" s="1"/>
  <c r="BY11" i="1"/>
  <c r="BW11" i="1"/>
  <c r="BU11" i="1"/>
  <c r="BR11" i="1"/>
  <c r="BT11" i="1" s="1"/>
  <c r="BC11" i="1"/>
  <c r="BB11" i="1"/>
  <c r="BA11" i="1"/>
  <c r="AZ11" i="1"/>
  <c r="AY11" i="1"/>
  <c r="AX11" i="1"/>
  <c r="AW11" i="1"/>
  <c r="AG11" i="1"/>
  <c r="AF11" i="1" s="1"/>
  <c r="X11" i="1"/>
  <c r="Q11" i="1"/>
  <c r="S11" i="1" s="1"/>
  <c r="BY19" i="1"/>
  <c r="BW19" i="1"/>
  <c r="BU19" i="1"/>
  <c r="BR19" i="1"/>
  <c r="BT19" i="1" s="1"/>
  <c r="BC19" i="1"/>
  <c r="BB19" i="1"/>
  <c r="BA19" i="1"/>
  <c r="AZ19" i="1"/>
  <c r="AY19" i="1"/>
  <c r="AX19" i="1"/>
  <c r="AW19" i="1"/>
  <c r="AG19" i="1"/>
  <c r="AF19" i="1" s="1"/>
  <c r="X19" i="1"/>
  <c r="Q19" i="1"/>
  <c r="S19" i="1" s="1"/>
  <c r="BY16" i="1"/>
  <c r="BW16" i="1"/>
  <c r="BU16" i="1"/>
  <c r="BV16" i="1" s="1"/>
  <c r="BR16" i="1"/>
  <c r="BT16" i="1" s="1"/>
  <c r="BC16" i="1"/>
  <c r="BB16" i="1"/>
  <c r="BA16" i="1"/>
  <c r="AZ16" i="1"/>
  <c r="AY16" i="1"/>
  <c r="AX16" i="1"/>
  <c r="AW16" i="1"/>
  <c r="AG16" i="1"/>
  <c r="AF16" i="1" s="1"/>
  <c r="X16" i="1"/>
  <c r="Q16" i="1"/>
  <c r="S16" i="1" s="1"/>
  <c r="BY15" i="1"/>
  <c r="BW15" i="1"/>
  <c r="BU15" i="1"/>
  <c r="BV15" i="1" s="1"/>
  <c r="BR15" i="1"/>
  <c r="BT15" i="1" s="1"/>
  <c r="BC15" i="1"/>
  <c r="BB15" i="1"/>
  <c r="BA15" i="1"/>
  <c r="AZ15" i="1"/>
  <c r="AY15" i="1"/>
  <c r="AX15" i="1"/>
  <c r="AW15" i="1"/>
  <c r="AG15" i="1"/>
  <c r="AF15" i="1" s="1"/>
  <c r="X15" i="1"/>
  <c r="Q15" i="1"/>
  <c r="S15" i="1" s="1"/>
  <c r="BY13" i="1"/>
  <c r="BW13" i="1"/>
  <c r="BU13" i="1"/>
  <c r="BR13" i="1"/>
  <c r="BT13" i="1" s="1"/>
  <c r="BC13" i="1"/>
  <c r="BB13" i="1"/>
  <c r="BA13" i="1"/>
  <c r="AZ13" i="1"/>
  <c r="AY13" i="1"/>
  <c r="AX13" i="1"/>
  <c r="AW13" i="1"/>
  <c r="AG13" i="1"/>
  <c r="AF13" i="1" s="1"/>
  <c r="X13" i="1"/>
  <c r="Q13" i="1"/>
  <c r="S13" i="1" s="1"/>
  <c r="BY9" i="1"/>
  <c r="BW9" i="1"/>
  <c r="BU9" i="1"/>
  <c r="BR9" i="1"/>
  <c r="BT9" i="1" s="1"/>
  <c r="BC9" i="1"/>
  <c r="BB9" i="1"/>
  <c r="BA9" i="1"/>
  <c r="AZ9" i="1"/>
  <c r="AY9" i="1"/>
  <c r="AX9" i="1"/>
  <c r="AW9" i="1"/>
  <c r="AG9" i="1"/>
  <c r="AI9" i="1" s="1"/>
  <c r="X9" i="1"/>
  <c r="Q9" i="1"/>
  <c r="S9" i="1" s="1"/>
  <c r="BY22" i="1"/>
  <c r="BY23" i="1"/>
  <c r="BY24" i="1"/>
  <c r="BY25" i="1"/>
  <c r="BY26" i="1"/>
  <c r="BY27" i="1"/>
  <c r="BY28" i="1"/>
  <c r="BY29" i="1"/>
  <c r="BY30" i="1"/>
  <c r="BY31" i="1"/>
  <c r="BY32" i="1"/>
  <c r="BY33" i="1"/>
  <c r="BY34" i="1"/>
  <c r="BY35" i="1"/>
  <c r="BY43" i="1"/>
  <c r="BY49" i="1"/>
  <c r="BY6" i="1"/>
  <c r="BY8" i="1"/>
  <c r="BY20" i="1"/>
  <c r="BY21" i="1"/>
  <c r="AI12" i="1" l="1"/>
  <c r="BD12" i="1"/>
  <c r="BF12" i="1" s="1"/>
  <c r="BE12" i="1"/>
  <c r="BG12" i="1" s="1"/>
  <c r="BV19" i="1"/>
  <c r="BZ19" i="1" s="1"/>
  <c r="AI14" i="1"/>
  <c r="BD14" i="1"/>
  <c r="BF14" i="1" s="1"/>
  <c r="BE11" i="1"/>
  <c r="BG11" i="1" s="1"/>
  <c r="BE14" i="1"/>
  <c r="BG14" i="1" s="1"/>
  <c r="BZ16" i="1"/>
  <c r="BZ15" i="1"/>
  <c r="AI11" i="1"/>
  <c r="BD11" i="1"/>
  <c r="BF11" i="1" s="1"/>
  <c r="AI19" i="1"/>
  <c r="BE16" i="1"/>
  <c r="BG16" i="1" s="1"/>
  <c r="BE19" i="1"/>
  <c r="BG19" i="1" s="1"/>
  <c r="BD19" i="1"/>
  <c r="BF19" i="1" s="1"/>
  <c r="BE15" i="1"/>
  <c r="BG15" i="1" s="1"/>
  <c r="BD16" i="1"/>
  <c r="BF16" i="1" s="1"/>
  <c r="AI15" i="1"/>
  <c r="BD15" i="1"/>
  <c r="BF15" i="1" s="1"/>
  <c r="AI16" i="1"/>
  <c r="AI13" i="1"/>
  <c r="BE13" i="1"/>
  <c r="BG13" i="1" s="1"/>
  <c r="BD13" i="1"/>
  <c r="BF13" i="1" s="1"/>
  <c r="BE9" i="1"/>
  <c r="BG9" i="1" s="1"/>
  <c r="AF9" i="1"/>
  <c r="BD9" i="1"/>
  <c r="BF9" i="1" s="1"/>
  <c r="BR8" i="1"/>
  <c r="BR20" i="1"/>
  <c r="BT20" i="1" s="1"/>
  <c r="BR21" i="1"/>
  <c r="BT21" i="1" s="1"/>
  <c r="BR22" i="1"/>
  <c r="BT22" i="1" s="1"/>
  <c r="BR23" i="1"/>
  <c r="BT23" i="1" s="1"/>
  <c r="BR24" i="1"/>
  <c r="BT24" i="1" s="1"/>
  <c r="BR25" i="1"/>
  <c r="BR26" i="1"/>
  <c r="BT26" i="1" s="1"/>
  <c r="BR27" i="1"/>
  <c r="BT27" i="1" s="1"/>
  <c r="BR28" i="1"/>
  <c r="BT28" i="1" s="1"/>
  <c r="BR29" i="1"/>
  <c r="BT29" i="1" s="1"/>
  <c r="BR30" i="1"/>
  <c r="BT30" i="1" s="1"/>
  <c r="BR31" i="1"/>
  <c r="BT31" i="1" s="1"/>
  <c r="BR32" i="1"/>
  <c r="BT32" i="1" s="1"/>
  <c r="BR33" i="1"/>
  <c r="BT33" i="1" s="1"/>
  <c r="BR34" i="1"/>
  <c r="BR35" i="1"/>
  <c r="BR43" i="1"/>
  <c r="BR49" i="1"/>
  <c r="BR6" i="1"/>
  <c r="AG43" i="1"/>
  <c r="AF43" i="1" s="1"/>
  <c r="AG49" i="1"/>
  <c r="AF49" i="1" s="1"/>
  <c r="AG8" i="1"/>
  <c r="AF8" i="1" s="1"/>
  <c r="AG20" i="1"/>
  <c r="AF20" i="1" s="1"/>
  <c r="AG21" i="1"/>
  <c r="AF21" i="1" s="1"/>
  <c r="AG22" i="1"/>
  <c r="AF22" i="1" s="1"/>
  <c r="AG23" i="1"/>
  <c r="AF23" i="1" s="1"/>
  <c r="AG24" i="1"/>
  <c r="AF24" i="1" s="1"/>
  <c r="AG25" i="1"/>
  <c r="AF25" i="1" s="1"/>
  <c r="AG26" i="1"/>
  <c r="AF26" i="1" s="1"/>
  <c r="AG27" i="1"/>
  <c r="AF27" i="1" s="1"/>
  <c r="AG28" i="1"/>
  <c r="AF28" i="1" s="1"/>
  <c r="AG29" i="1"/>
  <c r="AF29" i="1" s="1"/>
  <c r="AG30" i="1"/>
  <c r="AF30" i="1" s="1"/>
  <c r="AG31" i="1"/>
  <c r="AI31" i="1" s="1"/>
  <c r="AG32" i="1"/>
  <c r="AF32" i="1" s="1"/>
  <c r="AG33" i="1"/>
  <c r="AF33" i="1" s="1"/>
  <c r="AG34" i="1"/>
  <c r="AF34" i="1" s="1"/>
  <c r="AG35" i="1"/>
  <c r="AF35" i="1" s="1"/>
  <c r="BW20" i="1"/>
  <c r="BU20" i="1"/>
  <c r="BV20" i="1" s="1"/>
  <c r="BC20" i="1"/>
  <c r="BB20" i="1"/>
  <c r="BA20" i="1"/>
  <c r="AZ20" i="1"/>
  <c r="AY20" i="1"/>
  <c r="AX20" i="1"/>
  <c r="AW20" i="1"/>
  <c r="X20" i="1"/>
  <c r="BW33" i="1"/>
  <c r="BU33" i="1"/>
  <c r="BV33" i="1" s="1"/>
  <c r="BC33" i="1"/>
  <c r="BB33" i="1"/>
  <c r="BA33" i="1"/>
  <c r="AZ33" i="1"/>
  <c r="AY33" i="1"/>
  <c r="AX33" i="1"/>
  <c r="AW33" i="1"/>
  <c r="X33" i="1"/>
  <c r="BW32" i="1"/>
  <c r="BU32" i="1"/>
  <c r="BV32" i="1" s="1"/>
  <c r="BC32" i="1"/>
  <c r="BB32" i="1"/>
  <c r="BA32" i="1"/>
  <c r="AZ32" i="1"/>
  <c r="AY32" i="1"/>
  <c r="AX32" i="1"/>
  <c r="AW32" i="1"/>
  <c r="X32" i="1"/>
  <c r="BW31" i="1"/>
  <c r="BU31" i="1"/>
  <c r="BV31" i="1" s="1"/>
  <c r="BC31" i="1"/>
  <c r="BB31" i="1"/>
  <c r="BA31" i="1"/>
  <c r="AZ31" i="1"/>
  <c r="AY31" i="1"/>
  <c r="AX31" i="1"/>
  <c r="AW31" i="1"/>
  <c r="X31" i="1"/>
  <c r="BW30" i="1"/>
  <c r="BU30" i="1"/>
  <c r="BV30" i="1" s="1"/>
  <c r="BC30" i="1"/>
  <c r="BB30" i="1"/>
  <c r="BA30" i="1"/>
  <c r="AZ30" i="1"/>
  <c r="AY30" i="1"/>
  <c r="AX30" i="1"/>
  <c r="AW30" i="1"/>
  <c r="X30" i="1"/>
  <c r="BW29" i="1"/>
  <c r="BU29" i="1"/>
  <c r="BV29" i="1" s="1"/>
  <c r="BC29" i="1"/>
  <c r="BB29" i="1"/>
  <c r="BA29" i="1"/>
  <c r="AZ29" i="1"/>
  <c r="AY29" i="1"/>
  <c r="AX29" i="1"/>
  <c r="AW29" i="1"/>
  <c r="X29" i="1"/>
  <c r="BW28" i="1"/>
  <c r="BU28" i="1"/>
  <c r="BC28" i="1"/>
  <c r="BB28" i="1"/>
  <c r="BA28" i="1"/>
  <c r="AZ28" i="1"/>
  <c r="AY28" i="1"/>
  <c r="AX28" i="1"/>
  <c r="AW28" i="1"/>
  <c r="X28" i="1"/>
  <c r="BW27" i="1"/>
  <c r="BU27" i="1"/>
  <c r="BV27" i="1" s="1"/>
  <c r="BC27" i="1"/>
  <c r="BB27" i="1"/>
  <c r="BA27" i="1"/>
  <c r="AZ27" i="1"/>
  <c r="AY27" i="1"/>
  <c r="AX27" i="1"/>
  <c r="AW27" i="1"/>
  <c r="X27" i="1"/>
  <c r="BW26" i="1"/>
  <c r="BU26" i="1"/>
  <c r="BV26" i="1" s="1"/>
  <c r="BC26" i="1"/>
  <c r="BB26" i="1"/>
  <c r="BA26" i="1"/>
  <c r="AZ26" i="1"/>
  <c r="AY26" i="1"/>
  <c r="AX26" i="1"/>
  <c r="AW26" i="1"/>
  <c r="X26" i="1"/>
  <c r="BW24" i="1"/>
  <c r="BU24" i="1"/>
  <c r="BC24" i="1"/>
  <c r="BB24" i="1"/>
  <c r="BA24" i="1"/>
  <c r="AZ24" i="1"/>
  <c r="AY24" i="1"/>
  <c r="AX24" i="1"/>
  <c r="AW24" i="1"/>
  <c r="X24" i="1"/>
  <c r="BW23" i="1"/>
  <c r="BU23" i="1"/>
  <c r="BV23" i="1" s="1"/>
  <c r="BC23" i="1"/>
  <c r="BB23" i="1"/>
  <c r="BA23" i="1"/>
  <c r="AZ23" i="1"/>
  <c r="AY23" i="1"/>
  <c r="AX23" i="1"/>
  <c r="AW23" i="1"/>
  <c r="X23" i="1"/>
  <c r="BW22" i="1"/>
  <c r="BU22" i="1"/>
  <c r="BV22" i="1" s="1"/>
  <c r="BC22" i="1"/>
  <c r="BB22" i="1"/>
  <c r="BA22" i="1"/>
  <c r="AZ22" i="1"/>
  <c r="AY22" i="1"/>
  <c r="AX22" i="1"/>
  <c r="AW22" i="1"/>
  <c r="X22" i="1"/>
  <c r="BW21" i="1"/>
  <c r="BU21" i="1"/>
  <c r="BV21" i="1" s="1"/>
  <c r="BC21" i="1"/>
  <c r="BB21" i="1"/>
  <c r="BA21" i="1"/>
  <c r="AZ21" i="1"/>
  <c r="AY21" i="1"/>
  <c r="AX21" i="1"/>
  <c r="AW21" i="1"/>
  <c r="X21" i="1"/>
  <c r="AI49" i="1" l="1"/>
  <c r="AI35" i="1"/>
  <c r="AI20" i="1"/>
  <c r="AI30" i="1"/>
  <c r="AI28" i="1"/>
  <c r="AI27" i="1"/>
  <c r="BV24" i="1"/>
  <c r="BZ24" i="1" s="1"/>
  <c r="BV28" i="1"/>
  <c r="BZ28" i="1" s="1"/>
  <c r="AF31" i="1"/>
  <c r="AI29" i="1"/>
  <c r="AI33" i="1"/>
  <c r="BZ29" i="1"/>
  <c r="AI23" i="1"/>
  <c r="BZ20" i="1"/>
  <c r="AI26" i="1"/>
  <c r="AI24" i="1"/>
  <c r="AI22" i="1"/>
  <c r="AI21" i="1"/>
  <c r="AI32" i="1"/>
  <c r="BE29" i="1"/>
  <c r="BG29" i="1" s="1"/>
  <c r="BE33" i="1"/>
  <c r="BG33" i="1" s="1"/>
  <c r="BZ22" i="1"/>
  <c r="BE27" i="1"/>
  <c r="BG27" i="1" s="1"/>
  <c r="BZ27" i="1"/>
  <c r="BE31" i="1"/>
  <c r="BG31" i="1" s="1"/>
  <c r="BZ32" i="1"/>
  <c r="BZ33" i="1"/>
  <c r="BZ30" i="1"/>
  <c r="BZ31" i="1"/>
  <c r="BD20" i="1"/>
  <c r="BF20" i="1" s="1"/>
  <c r="BE20" i="1"/>
  <c r="BG20" i="1" s="1"/>
  <c r="BE23" i="1"/>
  <c r="BG23" i="1" s="1"/>
  <c r="BE24" i="1"/>
  <c r="BG24" i="1" s="1"/>
  <c r="BZ26" i="1"/>
  <c r="BZ21" i="1"/>
  <c r="BZ23" i="1"/>
  <c r="BD22" i="1"/>
  <c r="BF22" i="1" s="1"/>
  <c r="BE32" i="1"/>
  <c r="BG32" i="1" s="1"/>
  <c r="BE30" i="1"/>
  <c r="BG30" i="1" s="1"/>
  <c r="BE28" i="1"/>
  <c r="BG28" i="1" s="1"/>
  <c r="BE26" i="1"/>
  <c r="BG26" i="1" s="1"/>
  <c r="BD32" i="1"/>
  <c r="BF32" i="1" s="1"/>
  <c r="BD29" i="1"/>
  <c r="BF29" i="1" s="1"/>
  <c r="BD27" i="1"/>
  <c r="BF27" i="1" s="1"/>
  <c r="BD26" i="1"/>
  <c r="BF26" i="1" s="1"/>
  <c r="BD24" i="1"/>
  <c r="BF24" i="1" s="1"/>
  <c r="BE22" i="1"/>
  <c r="BG22" i="1" s="1"/>
  <c r="BD33" i="1"/>
  <c r="BF33" i="1" s="1"/>
  <c r="BD31" i="1"/>
  <c r="BF31" i="1" s="1"/>
  <c r="BD30" i="1"/>
  <c r="BF30" i="1" s="1"/>
  <c r="BD28" i="1"/>
  <c r="BF28" i="1" s="1"/>
  <c r="BD23" i="1"/>
  <c r="BF23" i="1" s="1"/>
  <c r="BE21" i="1"/>
  <c r="BG21" i="1" s="1"/>
  <c r="BD21" i="1"/>
  <c r="BF21" i="1" s="1"/>
  <c r="N27" i="2" l="1"/>
  <c r="BW8" i="1"/>
  <c r="BU8" i="1"/>
  <c r="BT8" i="1"/>
  <c r="BC8" i="1"/>
  <c r="BB8" i="1"/>
  <c r="BA8" i="1"/>
  <c r="AZ8" i="1"/>
  <c r="AY8" i="1"/>
  <c r="AX8" i="1"/>
  <c r="AW8" i="1"/>
  <c r="X8" i="1"/>
  <c r="Q8" i="1"/>
  <c r="BC25" i="1"/>
  <c r="BB25" i="1"/>
  <c r="AI25" i="1"/>
  <c r="BW25" i="1"/>
  <c r="BU25" i="1"/>
  <c r="BV25" i="1" s="1"/>
  <c r="BT25" i="1"/>
  <c r="BA25" i="1"/>
  <c r="AZ25" i="1"/>
  <c r="AY25" i="1"/>
  <c r="AX25" i="1"/>
  <c r="AW25" i="1"/>
  <c r="X25" i="1"/>
  <c r="N26" i="2"/>
  <c r="BC6" i="1"/>
  <c r="BB6" i="1"/>
  <c r="BA6" i="1"/>
  <c r="AZ6" i="1"/>
  <c r="AY6" i="1"/>
  <c r="AX6" i="1"/>
  <c r="BW6" i="1"/>
  <c r="BU6" i="1"/>
  <c r="BV6" i="1" s="1"/>
  <c r="BT6" i="1"/>
  <c r="AW6" i="1"/>
  <c r="AG6" i="1"/>
  <c r="X6" i="1"/>
  <c r="AI6" i="1" l="1"/>
  <c r="AF6" i="1"/>
  <c r="BE8" i="1"/>
  <c r="BG8" i="1" s="1"/>
  <c r="BE25" i="1"/>
  <c r="BG25" i="1" s="1"/>
  <c r="BD8" i="1"/>
  <c r="BF8" i="1" s="1"/>
  <c r="S8" i="1"/>
  <c r="AI8" i="1"/>
  <c r="BD25" i="1"/>
  <c r="BF25" i="1" s="1"/>
  <c r="BZ25" i="1"/>
  <c r="BE6" i="1"/>
  <c r="BG6" i="1" s="1"/>
  <c r="BZ6" i="1"/>
  <c r="BD6" i="1"/>
  <c r="BF6" i="1" s="1"/>
  <c r="BT43" i="1" l="1"/>
  <c r="BW43" i="1"/>
  <c r="BU43" i="1"/>
  <c r="BV43" i="1" s="1"/>
  <c r="BA43" i="1"/>
  <c r="AZ43" i="1"/>
  <c r="AY43" i="1"/>
  <c r="AX43" i="1"/>
  <c r="AW43" i="1"/>
  <c r="X43" i="1"/>
  <c r="Q43" i="1"/>
  <c r="S43" i="1" s="1"/>
  <c r="T49" i="1"/>
  <c r="X49" i="1" s="1"/>
  <c r="BW49" i="1"/>
  <c r="BU49" i="1"/>
  <c r="BV49" i="1" s="1"/>
  <c r="BT49" i="1"/>
  <c r="BA49" i="1"/>
  <c r="AZ49" i="1"/>
  <c r="AY49" i="1"/>
  <c r="AX49" i="1"/>
  <c r="AW49" i="1"/>
  <c r="BD49" i="1" l="1"/>
  <c r="BF49" i="1" s="1"/>
  <c r="BE49" i="1"/>
  <c r="BG49" i="1" s="1"/>
  <c r="BD43" i="1"/>
  <c r="BF43" i="1" s="1"/>
  <c r="BE43" i="1"/>
  <c r="BG43" i="1" s="1"/>
  <c r="AI43" i="1"/>
  <c r="BZ43" i="1"/>
  <c r="BZ49" i="1"/>
  <c r="X34" i="1" l="1"/>
  <c r="AV34" i="1"/>
  <c r="AW34" i="1"/>
  <c r="AX34" i="1"/>
  <c r="AY34" i="1"/>
  <c r="AZ34" i="1"/>
  <c r="BA34" i="1"/>
  <c r="BB34" i="1"/>
  <c r="BC34" i="1"/>
  <c r="BT34" i="1"/>
  <c r="BU34" i="1"/>
  <c r="BV34" i="1" s="1"/>
  <c r="BW34" i="1"/>
  <c r="BZ34" i="1" l="1"/>
  <c r="BE34" i="1"/>
  <c r="BG34" i="1" s="1"/>
  <c r="BD34" i="1"/>
  <c r="BF34" i="1" s="1"/>
  <c r="AI34" i="1"/>
  <c r="N25" i="2" l="1"/>
  <c r="N24" i="2" l="1"/>
  <c r="N23" i="2" l="1"/>
  <c r="N22" i="2" l="1"/>
  <c r="N21" i="2"/>
  <c r="N20" i="2"/>
  <c r="N19" i="2" l="1"/>
  <c r="N18" i="2" l="1"/>
  <c r="AZ35"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5" i="1"/>
  <c r="BU35" i="1"/>
  <c r="BV35" i="1" s="1"/>
  <c r="BV10" i="1" l="1"/>
  <c r="BZ10" i="1" s="1"/>
  <c r="BV7" i="1"/>
  <c r="BZ7" i="1" s="1"/>
  <c r="BV13" i="1"/>
  <c r="BZ13" i="1" s="1"/>
  <c r="BV9" i="1"/>
  <c r="BZ9" i="1" s="1"/>
  <c r="BV12" i="1"/>
  <c r="BZ12" i="1" s="1"/>
  <c r="BV14" i="1"/>
  <c r="BZ14" i="1" s="1"/>
  <c r="BV11" i="1"/>
  <c r="BZ11" i="1" s="1"/>
  <c r="BV8" i="1"/>
  <c r="BZ8" i="1" s="1"/>
  <c r="BZ35" i="1"/>
  <c r="AV35" i="1" l="1"/>
  <c r="BC35" i="1" l="1"/>
  <c r="BA35" i="1"/>
  <c r="AW35" i="1"/>
  <c r="AX35" i="1"/>
  <c r="AY35" i="1"/>
  <c r="BB35" i="1"/>
  <c r="BD35" i="1" l="1"/>
  <c r="BF35" i="1" s="1"/>
  <c r="BE35" i="1"/>
  <c r="BG35"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5" i="1" l="1"/>
  <c r="B4" i="4" l="1"/>
  <c r="B5" i="4"/>
  <c r="B6" i="4"/>
  <c r="B7" i="4"/>
  <c r="B8" i="4"/>
  <c r="B9" i="4"/>
  <c r="B10" i="4"/>
  <c r="B11" i="4"/>
  <c r="B3" i="4"/>
  <c r="BT35"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<sst xmlns="http://schemas.openxmlformats.org/spreadsheetml/2006/main" count="758" uniqueCount="416">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</sst>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56"/>
  <sheetViews>
    <sheetView tabSelected="1" workbookViewId="0">
      <pane xSplit="1" ySplit="1" topLeftCell="E2" activePane="bottomRight" state="frozenSplit"/>
      <selection pane="topRight" activeCell="B1" sqref="B1"/>
      <selection pane="bottomLeft" activeCell="A2" sqref="A2"/>
      <selection pane="bottomRight" activeCell="I18" sqref="I18"/>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8" customWidth="1"/>
    <col min="13" max="13" width="5.109375" style="6" bestFit="1" customWidth="1"/>
    <col min="14" max="14" width="7.33203125" style="6" bestFit="1" customWidth="1"/>
    <col min="15" max="15" width="5.5546875" style="6" bestFit="1" customWidth="1"/>
    <col min="16" max="16" width="10" style="6" bestFit="1" customWidth="1"/>
    <col min="17" max="17" width="7.6640625" style="6" bestFit="1" customWidth="1"/>
    <col min="18" max="18" width="11" style="6" bestFit="1" customWidth="1"/>
    <col min="19" max="19" width="7.6640625" style="6" customWidth="1"/>
    <col min="20" max="20" width="10" bestFit="1" customWidth="1"/>
    <col min="21" max="21" width="16.5546875" style="8" bestFit="1" customWidth="1"/>
    <col min="22" max="22" width="13.33203125" customWidth="1"/>
    <col min="23" max="23" width="18" bestFit="1" customWidth="1"/>
    <col min="24" max="24" width="8.44140625" style="4" bestFit="1" customWidth="1"/>
    <col min="25" max="25" width="12.44140625" bestFit="1" customWidth="1"/>
    <col min="26" max="26" width="12.44140625" customWidth="1"/>
    <col min="27" max="27" width="10.5546875" bestFit="1" customWidth="1"/>
    <col min="28" max="28" width="9.33203125" bestFit="1" customWidth="1"/>
    <col min="29" max="29" width="10.5546875" customWidth="1"/>
    <col min="30" max="30" width="10.44140625" bestFit="1" customWidth="1"/>
    <col min="31" max="31" width="9.109375" style="10"/>
    <col min="32" max="32" width="10.33203125" style="15" bestFit="1" customWidth="1"/>
    <col min="33" max="33" width="10.33203125" style="15" customWidth="1"/>
    <col min="34" max="34" width="26.88671875" customWidth="1"/>
    <col min="35" max="35" width="18.44140625" style="15" bestFit="1" customWidth="1"/>
    <col min="36" max="36" width="18.44140625" customWidth="1"/>
    <col min="37" max="38" width="18.44140625" style="12" customWidth="1"/>
    <col min="39" max="39" width="31.109375" customWidth="1"/>
    <col min="40" max="40" width="17" customWidth="1"/>
    <col min="41" max="41" width="11.88671875" bestFit="1" customWidth="1"/>
    <col min="42" max="42" width="13.109375" bestFit="1" customWidth="1"/>
    <col min="43" max="43" width="9.44140625" bestFit="1" customWidth="1"/>
    <col min="44" max="44" width="9.44140625" customWidth="1"/>
    <col min="45" max="45" width="12.44140625" customWidth="1"/>
    <col min="46" max="46" width="9.44140625" style="15" customWidth="1"/>
    <col min="47" max="47" width="18.6640625" bestFit="1" customWidth="1"/>
    <col min="48" max="48" width="19.109375" bestFit="1" customWidth="1"/>
    <col min="49" max="49" width="15" style="17" customWidth="1"/>
    <col min="50" max="50" width="10" style="17" customWidth="1"/>
    <col min="51" max="51" width="9.109375" style="17" customWidth="1"/>
    <col min="52" max="52" width="9.6640625" style="17" customWidth="1"/>
    <col min="53" max="53" width="12.44140625" style="17" customWidth="1"/>
    <col min="54" max="55" width="16" style="17" customWidth="1"/>
    <col min="56" max="56" width="9.109375" style="17"/>
    <col min="57" max="57" width="11" style="17" bestFit="1" customWidth="1"/>
    <col min="58" max="59" width="11" style="21" customWidth="1"/>
    <col min="65" max="65" width="31.109375" customWidth="1"/>
    <col min="67" max="67" width="19.109375" bestFit="1" customWidth="1"/>
    <col min="68" max="68" width="16.88671875" bestFit="1" customWidth="1"/>
    <col min="69" max="69" width="15.5546875" bestFit="1" customWidth="1"/>
    <col min="70" max="70" width="9.109375" style="23"/>
    <col min="71" max="71" width="15.6640625" bestFit="1" customWidth="1"/>
    <col min="72" max="72" width="21.6640625" style="23" bestFit="1" customWidth="1"/>
    <col min="73" max="73" width="26.33203125" style="23" bestFit="1" customWidth="1"/>
    <col min="74" max="74" width="29" style="23" customWidth="1"/>
    <col min="75" max="75" width="38.44140625" style="23" customWidth="1"/>
    <col min="76" max="76" width="255.6640625" bestFit="1" customWidth="1"/>
    <col min="77" max="78" width="9.109375" style="23"/>
  </cols>
  <sheetData>
    <row r="1" spans="1:78" s="1" customFormat="1" x14ac:dyDescent="0.3">
      <c r="A1" s="1" t="s">
        <v>1</v>
      </c>
      <c r="B1" s="1" t="s">
        <v>2</v>
      </c>
      <c r="C1" s="1" t="s">
        <v>141</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211</v>
      </c>
      <c r="AK1" s="11" t="s">
        <v>118</v>
      </c>
      <c r="AL1" s="11" t="s">
        <v>202</v>
      </c>
      <c r="AM1" s="1" t="s">
        <v>95</v>
      </c>
      <c r="AN1" s="1" t="s">
        <v>103</v>
      </c>
      <c r="AO1" s="1" t="s">
        <v>96</v>
      </c>
      <c r="AP1" s="1" t="s">
        <v>98</v>
      </c>
      <c r="AQ1" s="1" t="s">
        <v>23</v>
      </c>
      <c r="AR1" s="1" t="s">
        <v>173</v>
      </c>
      <c r="AS1" s="1" t="s">
        <v>145</v>
      </c>
      <c r="AT1" s="14" t="s">
        <v>165</v>
      </c>
      <c r="AU1" s="1" t="s">
        <v>146</v>
      </c>
      <c r="AV1" s="1" t="s">
        <v>163</v>
      </c>
      <c r="AW1" s="16" t="s">
        <v>147</v>
      </c>
      <c r="AX1" s="16" t="s">
        <v>148</v>
      </c>
      <c r="AY1" s="16" t="s">
        <v>149</v>
      </c>
      <c r="AZ1" s="16" t="s">
        <v>152</v>
      </c>
      <c r="BA1" s="16" t="s">
        <v>158</v>
      </c>
      <c r="BB1" s="16" t="s">
        <v>153</v>
      </c>
      <c r="BC1" s="16" t="s">
        <v>157</v>
      </c>
      <c r="BD1" s="16" t="s">
        <v>30</v>
      </c>
      <c r="BE1" s="16" t="s">
        <v>31</v>
      </c>
      <c r="BF1" s="19" t="s">
        <v>174</v>
      </c>
      <c r="BG1" s="19" t="s">
        <v>175</v>
      </c>
      <c r="BH1" s="1" t="s">
        <v>44</v>
      </c>
      <c r="BI1" s="1" t="s">
        <v>104</v>
      </c>
      <c r="BJ1" s="1" t="s">
        <v>110</v>
      </c>
      <c r="BK1" s="1" t="s">
        <v>164</v>
      </c>
      <c r="BL1" s="1" t="s">
        <v>167</v>
      </c>
      <c r="BM1" s="1" t="s">
        <v>168</v>
      </c>
      <c r="BN1" s="1" t="s">
        <v>171</v>
      </c>
      <c r="BO1" s="1" t="s">
        <v>172</v>
      </c>
      <c r="BP1" s="1" t="s">
        <v>144</v>
      </c>
      <c r="BQ1" s="1" t="s">
        <v>33</v>
      </c>
      <c r="BR1" s="22" t="s">
        <v>58</v>
      </c>
      <c r="BS1" s="1" t="s">
        <v>79</v>
      </c>
      <c r="BT1" s="22" t="s">
        <v>81</v>
      </c>
      <c r="BU1" s="22" t="s">
        <v>182</v>
      </c>
      <c r="BV1" s="22" t="s">
        <v>176</v>
      </c>
      <c r="BW1" s="22" t="s">
        <v>169</v>
      </c>
      <c r="BX1" s="1" t="s">
        <v>166</v>
      </c>
      <c r="BY1" s="22" t="s">
        <v>170</v>
      </c>
      <c r="BZ1" s="22" t="s">
        <v>82</v>
      </c>
    </row>
    <row r="2" spans="1:78" x14ac:dyDescent="0.3">
      <c r="A2" t="s">
        <v>363</v>
      </c>
      <c r="B2" t="s">
        <v>364</v>
      </c>
      <c r="C2">
        <v>-1</v>
      </c>
      <c r="D2" t="s">
        <v>36</v>
      </c>
      <c r="E2" t="s">
        <v>36</v>
      </c>
      <c r="F2" t="s">
        <v>28</v>
      </c>
      <c r="G2">
        <v>1870</v>
      </c>
      <c r="T2">
        <v>42</v>
      </c>
      <c r="X2" s="4" t="str">
        <f t="shared" ref="X2:X35" si="0">IF(AND(T2&gt;0,W2&gt;0),(W2/((T2+U2)*10)),"")</f>
        <v/>
      </c>
      <c r="AA2">
        <v>7.5</v>
      </c>
      <c r="AB2">
        <v>8</v>
      </c>
      <c r="AE2" s="10">
        <v>0</v>
      </c>
      <c r="AF2" s="15" t="str">
        <f>CONCATENATE(VLOOKUP(AG2, 'Voxel Sizes'!$A$2:$B$18,2,FALSE),"x",INT(AC2*15), "x", INT(AD2*15))</f>
        <v>82x0x0</v>
      </c>
      <c r="AG2" s="15">
        <f t="shared" ref="AG2:AG35" si="1">ROUND(15*((AB2*10)/256),0)</f>
        <v>5</v>
      </c>
      <c r="AI2" s="15" t="str">
        <f>CONCATENATE(VLOOKUP(AG2,Constants!$A$2:$C$16,IF(AH2&lt;&gt;"", 3, 2), FALSE),IF(AH2&lt;&gt;"",CONCATENATE(",",VLOOKUP(AH2,$B:$AI,34,FALSE)),""))</f>
        <v>2,1,2</v>
      </c>
      <c r="AS2">
        <v>30</v>
      </c>
      <c r="AT2" s="15" t="str">
        <f t="shared" ref="AT2:AT35" si="2">IF(I2&lt;&gt;"",MAX(16,(I2-G2)+8),"")</f>
        <v/>
      </c>
      <c r="AW2" s="17">
        <f t="shared" ref="AW2:AW35" si="3">MIN(Y2/150, 1)*30</f>
        <v>0</v>
      </c>
      <c r="AX2" s="17">
        <f t="shared" ref="AX2:AX35" si="4">MIN(K2/4000, 1)*20</f>
        <v>0</v>
      </c>
      <c r="AY2" s="17">
        <f t="shared" ref="AY2:AY35" si="5">MIN(W2/400,1)*20</f>
        <v>0</v>
      </c>
      <c r="AZ2" s="18">
        <f t="shared" ref="AZ2:AZ35" si="6">1-(MAX(G2-1900, 0)/750)</f>
        <v>1</v>
      </c>
      <c r="BA2" s="17">
        <f t="shared" ref="BA2:BA35" si="7">((MAX($J2,1)*MIN($AE2/300,1)))*IF(D2="Wagon",50,10)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BF35" si="8">BD2*IF($D2="wagon",62.5,781.25)</f>
        <v>0</v>
      </c>
      <c r="BG2" s="20">
        <f t="shared" ref="BG2:BG35" si="9">BE2*IF($D2="wagon",2.73,81.25)</f>
        <v>0</v>
      </c>
      <c r="BR2" s="23" t="str">
        <f>VLOOKUP(G2,Eras!$A$2:$C$10, 2, TRUE)</f>
        <v>vct</v>
      </c>
      <c r="BS2" t="s">
        <v>62</v>
      </c>
      <c r="BT2" s="23" t="str">
        <f t="shared" ref="BT2:BT35" si="10">CONCATENATE(BR2,"_",BS2)</f>
        <v>vct_Mixed Traffic</v>
      </c>
      <c r="BU2" s="23" t="str">
        <f t="shared" ref="BU2:BU35" si="11">_xlfn.CONCAT(E2, "_",F2)</f>
        <v>tender_RAIL</v>
      </c>
      <c r="BV2" s="23" t="str">
        <f>VLOOKUP($BU2, Constants!$M:$N, 2, FALSE)</f>
        <v/>
      </c>
      <c r="BW2" s="23" t="str">
        <f t="shared" ref="BW2:BW35" si="12">IF(J2&gt;1,_xlfn.CONCAT("{BLACK}Cars: {GOLD}", J2),"")</f>
        <v/>
      </c>
      <c r="BY2" s="23" t="str">
        <f t="shared" ref="BY2:BY35"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BZ35" si="14">_xlfn.CONCAT(BV2,IF(BV2 &lt;&gt; "", " ", ""),BW2,IF(OR(BW2&lt;&gt;"", BV2&lt;&gt;""), "{}",""), BY2,"{SILVER}", BX2)</f>
        <v>{SILVER}</v>
      </c>
    </row>
    <row r="3" spans="1:78" x14ac:dyDescent="0.3">
      <c r="A3" t="s">
        <v>405</v>
      </c>
      <c r="B3" t="s">
        <v>406</v>
      </c>
      <c r="C3">
        <v>-1</v>
      </c>
      <c r="D3" t="s">
        <v>36</v>
      </c>
      <c r="E3" t="s">
        <v>36</v>
      </c>
      <c r="F3" t="s">
        <v>28</v>
      </c>
      <c r="G3">
        <v>1870</v>
      </c>
      <c r="T3">
        <v>42</v>
      </c>
      <c r="X3" s="4" t="str">
        <f t="shared" si="0"/>
        <v/>
      </c>
      <c r="AA3">
        <v>7.5</v>
      </c>
      <c r="AB3">
        <v>8</v>
      </c>
      <c r="AE3" s="10">
        <v>0</v>
      </c>
      <c r="AF3" s="15" t="str">
        <f>CONCATENATE(VLOOKUP(AG3, 'Voxel Sizes'!$A$2:$B$18,2,FALSE),"x",INT(AC3*15), "x", INT(AD3*15))</f>
        <v>82x0x0</v>
      </c>
      <c r="AG3" s="15">
        <f t="shared" si="1"/>
        <v>5</v>
      </c>
      <c r="AI3" s="15" t="str">
        <f>CONCATENATE(VLOOKUP(AG3,Constants!$A$2:$C$16,IF(AH3&lt;&gt;"", 3, 2), FALSE),IF(AH3&lt;&gt;"",CONCATENATE(",",VLOOKUP(AH3,$B:$AI,34,FALSE)),""))</f>
        <v>2,1,2</v>
      </c>
      <c r="AS3">
        <v>30</v>
      </c>
      <c r="AT3" s="15" t="str">
        <f t="shared" si="2"/>
        <v/>
      </c>
      <c r="AW3" s="17">
        <f t="shared" si="3"/>
        <v>0</v>
      </c>
      <c r="AX3" s="17">
        <f t="shared" si="4"/>
        <v>0</v>
      </c>
      <c r="AY3" s="17">
        <f t="shared" si="5"/>
        <v>0</v>
      </c>
      <c r="AZ3" s="18">
        <f t="shared" si="6"/>
        <v>1</v>
      </c>
      <c r="BA3" s="17">
        <f t="shared" si="7"/>
        <v>0</v>
      </c>
      <c r="BB3" s="17">
        <f>VLOOKUP($E3,Constants!$I:$K, 2, FALSE)</f>
        <v>0</v>
      </c>
      <c r="BC3" s="17">
        <f>VLOOKUP($E3,Constants!$I:$K, 3, FALSE)*IF(AND(D3="multiple_unit",Y3&lt;110),0.75,1)</f>
        <v>0</v>
      </c>
      <c r="BD3" s="17">
        <f>INT(POWER(((Constants!$G$2+$AW3+$AX3+$AY3+$BA3)*$AZ3)*$BC3, 1.05))+$AV3</f>
        <v>0</v>
      </c>
      <c r="BE3" s="17">
        <f>INT(POWER((((Constants!$G$1+$AW3+$AX3+$AY3+$BA3)*($AZ3))*$BB3),IF($D3="wagon",1,1.2)))+$AU3</f>
        <v>0</v>
      </c>
      <c r="BF3" s="20">
        <f t="shared" si="8"/>
        <v>0</v>
      </c>
      <c r="BG3" s="20">
        <f t="shared" si="9"/>
        <v>0</v>
      </c>
      <c r="BR3" s="23" t="str">
        <f>VLOOKUP(G3,Eras!$A$2:$C$10, 2, TRUE)</f>
        <v>vct</v>
      </c>
      <c r="BS3" t="s">
        <v>62</v>
      </c>
      <c r="BT3" s="23" t="str">
        <f t="shared" si="10"/>
        <v>vct_Mixed Traffic</v>
      </c>
      <c r="BU3" s="23" t="str">
        <f t="shared" si="11"/>
        <v>tender_RAIL</v>
      </c>
      <c r="BV3" s="23" t="str">
        <f>VLOOKUP($BU3, Constants!$M:$N, 2, FALSE)</f>
        <v/>
      </c>
      <c r="BW3" s="23" t="str">
        <f t="shared" si="12"/>
        <v/>
      </c>
      <c r="BY3" s="23" t="str">
        <f t="shared" si="13"/>
        <v/>
      </c>
      <c r="BZ3" s="23" t="str">
        <f t="shared" si="14"/>
        <v>{SILVER}</v>
      </c>
    </row>
    <row r="4" spans="1:78" x14ac:dyDescent="0.3">
      <c r="A4" t="s">
        <v>382</v>
      </c>
      <c r="B4" t="s">
        <v>383</v>
      </c>
      <c r="C4">
        <v>-1</v>
      </c>
      <c r="D4" t="s">
        <v>36</v>
      </c>
      <c r="E4" t="s">
        <v>36</v>
      </c>
      <c r="F4" t="s">
        <v>28</v>
      </c>
      <c r="G4">
        <v>1870</v>
      </c>
      <c r="T4">
        <v>42</v>
      </c>
      <c r="X4" s="4" t="str">
        <f t="shared" si="0"/>
        <v/>
      </c>
      <c r="AA4">
        <v>7.5</v>
      </c>
      <c r="AB4">
        <v>8</v>
      </c>
      <c r="AE4" s="10">
        <v>0</v>
      </c>
      <c r="AF4" s="15" t="str">
        <f>CONCATENATE(VLOOKUP(AG4, 'Voxel Sizes'!$A$2:$B$18,2,FALSE),"x",INT(AC4*15), "x", INT(AD4*15))</f>
        <v>82x0x0</v>
      </c>
      <c r="AG4" s="15">
        <f t="shared" si="1"/>
        <v>5</v>
      </c>
      <c r="AI4" s="15" t="str">
        <f>CONCATENATE(VLOOKUP(AG4,Constants!$A$2:$C$16,IF(AH4&lt;&gt;"", 3, 2), FALSE),IF(AH4&lt;&gt;"",CONCATENATE(",",VLOOKUP(AH4,$B:$AI,34,FALSE)),""))</f>
        <v>2,1,2</v>
      </c>
      <c r="AS4">
        <v>30</v>
      </c>
      <c r="AT4" s="15" t="str">
        <f t="shared" si="2"/>
        <v/>
      </c>
      <c r="AW4" s="17">
        <f t="shared" si="3"/>
        <v>0</v>
      </c>
      <c r="AX4" s="17">
        <f t="shared" si="4"/>
        <v>0</v>
      </c>
      <c r="AY4" s="17">
        <f t="shared" si="5"/>
        <v>0</v>
      </c>
      <c r="AZ4" s="18">
        <f t="shared" si="6"/>
        <v>1</v>
      </c>
      <c r="BA4" s="17">
        <f t="shared" si="7"/>
        <v>0</v>
      </c>
      <c r="BB4" s="17">
        <f>VLOOKUP($E4,Constants!$I:$K, 2, FALSE)</f>
        <v>0</v>
      </c>
      <c r="BC4" s="17">
        <f>VLOOKUP($E4,Constants!$I:$K, 3, FALSE)*IF(AND(D4="multiple_unit",Y4&lt;110),0.75,1)</f>
        <v>0</v>
      </c>
      <c r="BD4" s="17">
        <f>INT(POWER(((Constants!$G$2+$AW4+$AX4+$AY4+$BA4)*$AZ4)*$BC4, 1.05))+$AV4</f>
        <v>0</v>
      </c>
      <c r="BE4" s="17">
        <f>INT(POWER((((Constants!$G$1+$AW4+$AX4+$AY4+$BA4)*($AZ4))*$BB4),IF($D4="wagon",1,1.2)))+$AU4</f>
        <v>0</v>
      </c>
      <c r="BF4" s="20">
        <f t="shared" si="8"/>
        <v>0</v>
      </c>
      <c r="BG4" s="20">
        <f t="shared" si="9"/>
        <v>0</v>
      </c>
      <c r="BR4" s="23" t="str">
        <f>VLOOKUP(G4,Eras!$A$2:$C$10, 2, TRUE)</f>
        <v>vct</v>
      </c>
      <c r="BS4" t="s">
        <v>62</v>
      </c>
      <c r="BT4" s="23" t="str">
        <f t="shared" si="10"/>
        <v>vct_Mixed Traffic</v>
      </c>
      <c r="BU4" s="23" t="str">
        <f t="shared" si="11"/>
        <v>tender_RAIL</v>
      </c>
      <c r="BV4" s="23" t="str">
        <f>VLOOKUP($BU4, Constants!$M:$N, 2, FALSE)</f>
        <v/>
      </c>
      <c r="BW4" s="23" t="str">
        <f t="shared" si="12"/>
        <v/>
      </c>
      <c r="BY4" s="23" t="str">
        <f t="shared" si="13"/>
        <v/>
      </c>
      <c r="BZ4" s="23" t="str">
        <f t="shared" si="14"/>
        <v>{SILVER}</v>
      </c>
    </row>
    <row r="5" spans="1:78" x14ac:dyDescent="0.3">
      <c r="A5" t="s">
        <v>387</v>
      </c>
      <c r="B5" t="s">
        <v>386</v>
      </c>
      <c r="C5">
        <v>-1</v>
      </c>
      <c r="D5" t="s">
        <v>36</v>
      </c>
      <c r="E5" t="s">
        <v>36</v>
      </c>
      <c r="F5" t="s">
        <v>28</v>
      </c>
      <c r="G5">
        <v>1870</v>
      </c>
      <c r="T5">
        <v>42</v>
      </c>
      <c r="X5" s="4" t="str">
        <f t="shared" si="0"/>
        <v/>
      </c>
      <c r="AA5">
        <v>7.5</v>
      </c>
      <c r="AB5">
        <v>8</v>
      </c>
      <c r="AE5" s="10">
        <v>0</v>
      </c>
      <c r="AF5" s="15" t="str">
        <f>CONCATENATE(VLOOKUP(AG5, 'Voxel Sizes'!$A$2:$B$18,2,FALSE),"x",INT(AC5*15), "x", INT(AD5*15))</f>
        <v>82x0x0</v>
      </c>
      <c r="AG5" s="15">
        <f t="shared" si="1"/>
        <v>5</v>
      </c>
      <c r="AI5" s="15" t="str">
        <f>CONCATENATE(VLOOKUP(AG5,Constants!$A$2:$C$16,IF(AH5&lt;&gt;"", 3, 2), FALSE),IF(AH5&lt;&gt;"",CONCATENATE(",",VLOOKUP(AH5,$B:$AI,34,FALSE)),""))</f>
        <v>2,1,2</v>
      </c>
      <c r="AS5">
        <v>30</v>
      </c>
      <c r="AT5" s="15" t="str">
        <f t="shared" si="2"/>
        <v/>
      </c>
      <c r="AW5" s="17">
        <f t="shared" si="3"/>
        <v>0</v>
      </c>
      <c r="AX5" s="17">
        <f t="shared" si="4"/>
        <v>0</v>
      </c>
      <c r="AY5" s="17">
        <f t="shared" si="5"/>
        <v>0</v>
      </c>
      <c r="AZ5" s="18">
        <f t="shared" si="6"/>
        <v>1</v>
      </c>
      <c r="BA5" s="17">
        <f t="shared" si="7"/>
        <v>0</v>
      </c>
      <c r="BB5" s="17">
        <f>VLOOKUP($E5,Constants!$I:$K, 2, FALSE)</f>
        <v>0</v>
      </c>
      <c r="BC5" s="17">
        <f>VLOOKUP($E5,Constants!$I:$K, 3, FALSE)*IF(AND(D5="multiple_unit",Y5&lt;110),0.75,1)</f>
        <v>0</v>
      </c>
      <c r="BD5" s="17">
        <f>INT(POWER(((Constants!$G$2+$AW5+$AX5+$AY5+$BA5)*$AZ5)*$BC5, 1.05))+$AV5</f>
        <v>0</v>
      </c>
      <c r="BE5" s="17">
        <f>INT(POWER((((Constants!$G$1+$AW5+$AX5+$AY5+$BA5)*($AZ5))*$BB5),IF($D5="wagon",1,1.2)))+$AU5</f>
        <v>0</v>
      </c>
      <c r="BF5" s="20">
        <f t="shared" si="8"/>
        <v>0</v>
      </c>
      <c r="BG5" s="20">
        <f t="shared" si="9"/>
        <v>0</v>
      </c>
      <c r="BR5" s="23" t="str">
        <f>VLOOKUP(G5,Eras!$A$2:$C$10, 2, TRUE)</f>
        <v>vct</v>
      </c>
      <c r="BS5" t="s">
        <v>62</v>
      </c>
      <c r="BT5" s="23" t="str">
        <f t="shared" si="10"/>
        <v>vct_Mixed Traffic</v>
      </c>
      <c r="BU5" s="23" t="str">
        <f t="shared" si="11"/>
        <v>tender_RAIL</v>
      </c>
      <c r="BV5" s="23" t="str">
        <f>VLOOKUP($BU5, Constants!$M:$N, 2, FALSE)</f>
        <v/>
      </c>
      <c r="BW5" s="23" t="str">
        <f t="shared" si="12"/>
        <v/>
      </c>
      <c r="BY5" s="23" t="str">
        <f t="shared" si="13"/>
        <v/>
      </c>
      <c r="BZ5" s="23" t="str">
        <f t="shared" si="14"/>
        <v>{SILVER}</v>
      </c>
    </row>
    <row r="6" spans="1:78" x14ac:dyDescent="0.3">
      <c r="A6" t="s">
        <v>241</v>
      </c>
      <c r="B6" t="s">
        <v>240</v>
      </c>
      <c r="C6">
        <v>1</v>
      </c>
      <c r="D6" t="s">
        <v>218</v>
      </c>
      <c r="E6" t="s">
        <v>218</v>
      </c>
      <c r="F6" t="s">
        <v>338</v>
      </c>
      <c r="G6">
        <v>1800</v>
      </c>
      <c r="I6">
        <v>1880</v>
      </c>
      <c r="K6">
        <v>5</v>
      </c>
      <c r="Q6" s="13"/>
      <c r="T6">
        <v>1</v>
      </c>
      <c r="W6">
        <v>4</v>
      </c>
      <c r="X6" s="4">
        <f t="shared" si="0"/>
        <v>0.4</v>
      </c>
      <c r="Y6">
        <v>15</v>
      </c>
      <c r="AB6">
        <v>6</v>
      </c>
      <c r="AE6" s="10">
        <v>0</v>
      </c>
      <c r="AF6" s="15" t="str">
        <f>CONCATENATE(VLOOKUP(AG6, 'Voxel Sizes'!$A$2:$B$18,2,FALSE),"x",INT(AC6*15), "x", INT(AD6*15))</f>
        <v>66x0x0</v>
      </c>
      <c r="AG6" s="15">
        <f t="shared" si="1"/>
        <v>4</v>
      </c>
      <c r="AI6" s="15" t="str">
        <f>CONCATENATE(VLOOKUP(AG6,Constants!$A$2:$C$16,IF(AH6&lt;&gt;"", 3, 2), FALSE),IF(AH6&lt;&gt;"",CONCATENATE(",",VLOOKUP(AH6,$B:$AI,34,FALSE)),""))</f>
        <v>1,2,1</v>
      </c>
      <c r="AQ6">
        <v>1</v>
      </c>
      <c r="AS6">
        <v>14</v>
      </c>
      <c r="AT6" s="15">
        <f t="shared" si="2"/>
        <v>88</v>
      </c>
      <c r="AU6">
        <v>-11</v>
      </c>
      <c r="AV6">
        <v>-3</v>
      </c>
      <c r="AW6" s="17">
        <f t="shared" si="3"/>
        <v>3</v>
      </c>
      <c r="AX6" s="17">
        <f t="shared" si="4"/>
        <v>2.5000000000000001E-2</v>
      </c>
      <c r="AY6" s="17">
        <f t="shared" si="5"/>
        <v>0.2</v>
      </c>
      <c r="AZ6" s="18">
        <f t="shared" si="6"/>
        <v>1</v>
      </c>
      <c r="BA6" s="17">
        <f t="shared" si="7"/>
        <v>0</v>
      </c>
      <c r="BB6" s="17">
        <f>VLOOKUP($E6,Constants!$I:$K, 2, FALSE)</f>
        <v>0.5</v>
      </c>
      <c r="BC6" s="17">
        <f>VLOOKUP($E6,Constants!$I:$K, 3, FALSE)*IF(AND(D6="multiple_unit",Y6&lt;110),0.75,1)</f>
        <v>0.5</v>
      </c>
      <c r="BD6" s="17">
        <f>INT(POWER(((Constants!$G$2+$AW6+$AX6+$AY6+$BA6)*$AZ6)*$BC6, 1.05))+$AV6</f>
        <v>1</v>
      </c>
      <c r="BE6" s="17">
        <f>INT(POWER((((Constants!$G$1+$AW6+$AX6+$AY6+$BA6)*($AZ6))*$BB6),IF($D6="wagon",1,1.2)))+$AU6</f>
        <v>3</v>
      </c>
      <c r="BF6" s="20">
        <f t="shared" si="8"/>
        <v>781.25</v>
      </c>
      <c r="BG6" s="20">
        <f t="shared" si="9"/>
        <v>243.75</v>
      </c>
      <c r="BN6">
        <v>1</v>
      </c>
      <c r="BR6" s="23" t="str">
        <f>VLOOKUP(G6,Eras!$A$2:$C$10, 2, TRUE)</f>
        <v>early</v>
      </c>
      <c r="BS6" t="s">
        <v>62</v>
      </c>
      <c r="BT6" s="23" t="str">
        <f t="shared" si="10"/>
        <v>early_Mixed Traffic</v>
      </c>
      <c r="BU6" s="23" t="str">
        <f t="shared" si="11"/>
        <v>horses_NARROW_GAUGE</v>
      </c>
      <c r="BV6" s="23" t="str">
        <f>VLOOKUP($BU6, Constants!$M:$N, 2, FALSE)</f>
        <v>{BLACK}Powered by: {GOLD}Grass and hay</v>
      </c>
      <c r="BW6" s="23" t="str">
        <f t="shared" si="12"/>
        <v/>
      </c>
      <c r="BX6" t="s">
        <v>242</v>
      </c>
      <c r="BY6" s="23" t="str">
        <f t="shared" si="13"/>
        <v/>
      </c>
      <c r="BZ6" s="23" t="str">
        <f t="shared" si="14"/>
        <v>{BLACK}Powered by: {GOLD}Grass and hay {}{SILVER}A smaller horse for a smaller railway.</v>
      </c>
    </row>
    <row r="7" spans="1:78" x14ac:dyDescent="0.3">
      <c r="A7" t="s">
        <v>317</v>
      </c>
      <c r="B7" t="s">
        <v>318</v>
      </c>
      <c r="C7">
        <v>2</v>
      </c>
      <c r="D7" t="s">
        <v>15</v>
      </c>
      <c r="E7" t="s">
        <v>25</v>
      </c>
      <c r="F7" t="s">
        <v>338</v>
      </c>
      <c r="G7">
        <v>1802</v>
      </c>
      <c r="I7">
        <v>1830</v>
      </c>
      <c r="K7">
        <v>10</v>
      </c>
      <c r="M7" s="6">
        <v>8.6</v>
      </c>
      <c r="N7" s="6">
        <v>16</v>
      </c>
      <c r="O7" s="6">
        <v>1</v>
      </c>
      <c r="P7" s="6">
        <v>160</v>
      </c>
      <c r="Q7" s="13">
        <f t="shared" ref="Q7:Q19" si="15">((($Y7/2)/60)*5280)/($R7*3.2*PI())</f>
        <v>87.535218700542444</v>
      </c>
      <c r="R7" s="6">
        <v>0.7</v>
      </c>
      <c r="S7" s="6">
        <f t="shared" ref="S7:S19" si="16">((($M7*$M7/4)*PI())*($N7/12)*$O7*$P7*$Q7)/(33000*1.1)</f>
        <v>29.882828282828278</v>
      </c>
      <c r="T7">
        <v>5</v>
      </c>
      <c r="V7">
        <v>5</v>
      </c>
      <c r="W7">
        <v>8</v>
      </c>
      <c r="X7" s="4">
        <f t="shared" si="0"/>
        <v>0.16</v>
      </c>
      <c r="Y7">
        <v>14</v>
      </c>
      <c r="AA7">
        <v>5.5</v>
      </c>
      <c r="AB7">
        <v>6</v>
      </c>
      <c r="AE7" s="10">
        <v>0</v>
      </c>
      <c r="AF7" s="15" t="str">
        <f>CONCATENATE(VLOOKUP(AG7, 'Voxel Sizes'!$A$2:$B$18,2,FALSE),"x",INT(AC7*15), "x", INT(AD7*15))</f>
        <v>66x0x0</v>
      </c>
      <c r="AG7" s="15">
        <f t="shared" si="1"/>
        <v>4</v>
      </c>
      <c r="AI7" s="15" t="str">
        <f>CONCATENATE(VLOOKUP(AG7,Constants!$A$2:$C$16,IF(AH7&lt;&gt;"", 3, 2), FALSE),IF(AH7&lt;&gt;"",CONCATENATE(",",VLOOKUP(AH7,$B:$AI,34,FALSE)),""))</f>
        <v>1,2,1</v>
      </c>
      <c r="AQ7">
        <v>1</v>
      </c>
      <c r="AS7">
        <v>28</v>
      </c>
      <c r="AT7" s="15">
        <f t="shared" si="2"/>
        <v>36</v>
      </c>
      <c r="AU7">
        <v>-28</v>
      </c>
      <c r="AV7">
        <v>-12</v>
      </c>
      <c r="AW7" s="17">
        <f t="shared" si="3"/>
        <v>2.8000000000000003</v>
      </c>
      <c r="AX7" s="17">
        <f t="shared" si="4"/>
        <v>0.05</v>
      </c>
      <c r="AY7" s="17">
        <f t="shared" si="5"/>
        <v>0.4</v>
      </c>
      <c r="AZ7" s="18">
        <f t="shared" si="6"/>
        <v>1</v>
      </c>
      <c r="BA7" s="17">
        <f t="shared" si="7"/>
        <v>0</v>
      </c>
      <c r="BB7" s="17">
        <f>VLOOKUP($E7,Constants!$I:$K, 2, FALSE)</f>
        <v>1.1499999999999999</v>
      </c>
      <c r="BC7" s="17">
        <f>VLOOKUP($E7,Constants!$I:$K, 3, FALSE)*IF(AND(D7="multiple_unit",Y7&lt;110),0.75,1)</f>
        <v>1.7</v>
      </c>
      <c r="BD7" s="17">
        <f>INT(POWER(((Constants!$G$2+$AW7+$AX7+$AY7+$BA7)*$AZ7)*$BC7, 1.05))+$AV7</f>
        <v>4</v>
      </c>
      <c r="BE7" s="17">
        <f>INT(POWER((((Constants!$G$1+$AW7+$AX7+$AY7+$BA7)*($AZ7))*$BB7),IF($D7="wagon",1,1.2)))+$AU7</f>
        <v>10</v>
      </c>
      <c r="BF7" s="20">
        <f t="shared" si="8"/>
        <v>3125</v>
      </c>
      <c r="BG7" s="20">
        <f t="shared" si="9"/>
        <v>812.5</v>
      </c>
      <c r="BN7">
        <v>12</v>
      </c>
      <c r="BR7" s="23" t="str">
        <f>VLOOKUP(G7,Eras!$A$2:$C$10, 2, TRUE)</f>
        <v>early</v>
      </c>
      <c r="BS7" t="s">
        <v>61</v>
      </c>
      <c r="BT7" s="23" t="str">
        <f t="shared" si="10"/>
        <v>early_Cheap</v>
      </c>
      <c r="BU7" s="23" t="str">
        <f t="shared" si="11"/>
        <v>steam_NARROW_GAUGE</v>
      </c>
      <c r="BV7" s="23" t="str">
        <f>VLOOKUP($BU7, Constants!$M:$N, 2, FALSE)</f>
        <v>{BLACK}Powered by: {GOLD}Steam</v>
      </c>
      <c r="BW7" s="23" t="str">
        <f t="shared" si="12"/>
        <v/>
      </c>
      <c r="BX7" t="s">
        <v>319</v>
      </c>
      <c r="BY7" s="23" t="str">
        <f t="shared" si="13"/>
        <v/>
      </c>
      <c r="BZ7" s="23" t="str">
        <f t="shared" si="1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8" spans="1:78" x14ac:dyDescent="0.3">
      <c r="A8" t="s">
        <v>248</v>
      </c>
      <c r="B8" t="s">
        <v>249</v>
      </c>
      <c r="C8">
        <v>5</v>
      </c>
      <c r="D8" t="s">
        <v>236</v>
      </c>
      <c r="E8" t="s">
        <v>25</v>
      </c>
      <c r="F8" t="s">
        <v>338</v>
      </c>
      <c r="G8">
        <v>1864</v>
      </c>
      <c r="I8">
        <v>1945</v>
      </c>
      <c r="K8">
        <v>110</v>
      </c>
      <c r="M8" s="6">
        <v>8.6</v>
      </c>
      <c r="N8" s="6">
        <v>16</v>
      </c>
      <c r="O8" s="6">
        <v>2</v>
      </c>
      <c r="P8" s="6">
        <v>160</v>
      </c>
      <c r="Q8" s="13">
        <f t="shared" si="15"/>
        <v>156.31289053668294</v>
      </c>
      <c r="R8" s="6">
        <v>0.7</v>
      </c>
      <c r="S8" s="6">
        <f t="shared" si="16"/>
        <v>106.72438672438672</v>
      </c>
      <c r="T8">
        <v>13</v>
      </c>
      <c r="V8">
        <v>5</v>
      </c>
      <c r="W8">
        <v>26</v>
      </c>
      <c r="X8" s="4">
        <f t="shared" si="0"/>
        <v>0.2</v>
      </c>
      <c r="Y8">
        <v>25</v>
      </c>
      <c r="AA8">
        <v>5.5</v>
      </c>
      <c r="AB8">
        <v>6</v>
      </c>
      <c r="AE8" s="10">
        <v>0</v>
      </c>
      <c r="AF8" s="15" t="str">
        <f>CONCATENATE(VLOOKUP(AG8, 'Voxel Sizes'!$A$2:$B$18,2,FALSE),"x",INT(AC8*15), "x", INT(AD8*15))</f>
        <v>66x0x0</v>
      </c>
      <c r="AG8" s="15">
        <f t="shared" si="1"/>
        <v>4</v>
      </c>
      <c r="AI8" s="15" t="str">
        <f>CONCATENATE(VLOOKUP(AG8,Constants!$A$2:$C$16,IF(AH8&lt;&gt;"", 3, 2), FALSE),IF(AH8&lt;&gt;"",CONCATENATE(",",VLOOKUP(AH8,$B:$AI,34,FALSE)),""))</f>
        <v>1,2,1</v>
      </c>
      <c r="AQ8">
        <v>1</v>
      </c>
      <c r="AS8">
        <v>250</v>
      </c>
      <c r="AT8" s="15">
        <f t="shared" si="2"/>
        <v>89</v>
      </c>
      <c r="AU8">
        <v>-5</v>
      </c>
      <c r="AV8">
        <v>-2</v>
      </c>
      <c r="AW8" s="17">
        <f t="shared" si="3"/>
        <v>5</v>
      </c>
      <c r="AX8" s="17">
        <f t="shared" si="4"/>
        <v>0.55000000000000004</v>
      </c>
      <c r="AY8" s="17">
        <f t="shared" si="5"/>
        <v>1.3</v>
      </c>
      <c r="AZ8" s="18">
        <f t="shared" si="6"/>
        <v>1</v>
      </c>
      <c r="BA8" s="17">
        <f t="shared" si="7"/>
        <v>0</v>
      </c>
      <c r="BB8" s="17">
        <f>VLOOKUP($E8,Constants!$I:$K, 2, FALSE)</f>
        <v>1.1499999999999999</v>
      </c>
      <c r="BC8" s="17">
        <f>VLOOKUP($E8,Constants!$I:$K, 3, FALSE)*IF(AND(D8="multiple_unit",Y8&lt;110),0.75,1)</f>
        <v>1.7</v>
      </c>
      <c r="BD8" s="17">
        <f>INT(POWER(((Constants!$G$2+$AW8+$AX8+$AY8+$BA8)*$AZ8)*$BC8, 1.05))+$AV8</f>
        <v>21</v>
      </c>
      <c r="BE8" s="17">
        <f>INT(POWER((((Constants!$G$1+$AW8+$AX8+$AY8+$BA8)*($AZ8))*$BB8),IF($D8="wagon",1,1.2)))+$AU8</f>
        <v>42</v>
      </c>
      <c r="BF8" s="20">
        <f t="shared" si="8"/>
        <v>16406.25</v>
      </c>
      <c r="BG8" s="20">
        <f t="shared" si="9"/>
        <v>3412.5</v>
      </c>
      <c r="BN8">
        <v>12</v>
      </c>
      <c r="BR8" s="23" t="str">
        <f>VLOOKUP(G8,Eras!$A$2:$C$10, 2, TRUE)</f>
        <v>vct</v>
      </c>
      <c r="BS8" t="s">
        <v>61</v>
      </c>
      <c r="BT8" s="23" t="str">
        <f t="shared" si="10"/>
        <v>vct_Cheap</v>
      </c>
      <c r="BU8" s="23" t="str">
        <f t="shared" si="11"/>
        <v>steam_NARROW_GAUGE</v>
      </c>
      <c r="BV8" s="23" t="str">
        <f>VLOOKUP($BU8, Constants!$M:$N, 2, FALSE)</f>
        <v>{BLACK}Powered by: {GOLD}Steam</v>
      </c>
      <c r="BW8" s="23" t="str">
        <f t="shared" si="12"/>
        <v/>
      </c>
      <c r="BX8" t="s">
        <v>250</v>
      </c>
      <c r="BY8" s="23" t="str">
        <f t="shared" si="13"/>
        <v/>
      </c>
      <c r="BZ8" s="23" t="str">
        <f t="shared" si="14"/>
        <v>{BLACK}Powered by: {GOLD}Steam {}{SILVER}"Talyllyn" was delivered to the Talyllyn railway as an 0-4-0, but converted to 0-4-2 after a few years to improve riding quality. It was retired in 1945, but refurbished in the late 1950s and returned to preservation service.</v>
      </c>
    </row>
    <row r="9" spans="1:78" x14ac:dyDescent="0.3">
      <c r="A9" t="s">
        <v>297</v>
      </c>
      <c r="B9" t="s">
        <v>298</v>
      </c>
      <c r="C9">
        <v>10</v>
      </c>
      <c r="D9" t="s">
        <v>236</v>
      </c>
      <c r="E9" t="s">
        <v>25</v>
      </c>
      <c r="F9" t="s">
        <v>338</v>
      </c>
      <c r="G9">
        <v>1866</v>
      </c>
      <c r="I9">
        <v>1945</v>
      </c>
      <c r="K9">
        <v>85</v>
      </c>
      <c r="M9" s="6">
        <v>7.6</v>
      </c>
      <c r="N9" s="6">
        <v>16</v>
      </c>
      <c r="O9" s="6">
        <v>2</v>
      </c>
      <c r="P9" s="6">
        <v>150</v>
      </c>
      <c r="Q9" s="13">
        <f t="shared" si="15"/>
        <v>156.31289053668294</v>
      </c>
      <c r="R9" s="6">
        <v>0.7</v>
      </c>
      <c r="S9" s="6">
        <f t="shared" si="16"/>
        <v>78.13852813852813</v>
      </c>
      <c r="T9">
        <v>10</v>
      </c>
      <c r="V9">
        <v>5</v>
      </c>
      <c r="W9">
        <v>18</v>
      </c>
      <c r="X9" s="4">
        <f t="shared" si="0"/>
        <v>0.18</v>
      </c>
      <c r="Y9">
        <v>25</v>
      </c>
      <c r="AA9">
        <v>5.5</v>
      </c>
      <c r="AB9">
        <v>6</v>
      </c>
      <c r="AE9" s="10">
        <v>0</v>
      </c>
      <c r="AF9" s="15" t="str">
        <f>CONCATENATE(VLOOKUP(AG9, 'Voxel Sizes'!$A$2:$B$18,2,FALSE),"x",INT(AC9*15), "x", INT(AD9*15))</f>
        <v>66x0x0</v>
      </c>
      <c r="AG9" s="15">
        <f t="shared" si="1"/>
        <v>4</v>
      </c>
      <c r="AI9" s="15" t="str">
        <f>CONCATENATE(VLOOKUP(AG9,Constants!$A$2:$C$16,IF(AH9&lt;&gt;"", 3, 2), FALSE),IF(AH9&lt;&gt;"",CONCATENATE(",",VLOOKUP(AH9,$B:$AI,34,FALSE)),""))</f>
        <v>1,2,1</v>
      </c>
      <c r="AQ9">
        <v>1</v>
      </c>
      <c r="AS9">
        <v>250</v>
      </c>
      <c r="AT9" s="15">
        <f t="shared" si="2"/>
        <v>87</v>
      </c>
      <c r="AU9">
        <v>-5</v>
      </c>
      <c r="AV9">
        <v>-5</v>
      </c>
      <c r="AW9" s="17">
        <f t="shared" si="3"/>
        <v>5</v>
      </c>
      <c r="AX9" s="17">
        <f t="shared" si="4"/>
        <v>0.42500000000000004</v>
      </c>
      <c r="AY9" s="17">
        <f t="shared" si="5"/>
        <v>0.89999999999999991</v>
      </c>
      <c r="AZ9" s="18">
        <f t="shared" si="6"/>
        <v>1</v>
      </c>
      <c r="BA9" s="17">
        <f t="shared" si="7"/>
        <v>0</v>
      </c>
      <c r="BB9" s="17">
        <f>VLOOKUP($E9,Constants!$I:$K, 2, FALSE)</f>
        <v>1.1499999999999999</v>
      </c>
      <c r="BC9" s="17">
        <f>VLOOKUP($E9,Constants!$I:$K, 3, FALSE)*IF(AND(D9="multiple_unit",Y9&lt;110),0.75,1)</f>
        <v>1.7</v>
      </c>
      <c r="BD9" s="17">
        <f>INT(POWER(((Constants!$G$2+$AW9+$AX9+$AY9+$BA9)*$AZ9)*$BC9, 1.05))+$AV9</f>
        <v>17</v>
      </c>
      <c r="BE9" s="17">
        <f>INT(POWER((((Constants!$G$1+$AW9+$AX9+$AY9+$BA9)*($AZ9))*$BB9),IF($D9="wagon",1,1.2)))+$AU9</f>
        <v>41</v>
      </c>
      <c r="BF9" s="20">
        <f t="shared" si="8"/>
        <v>13281.25</v>
      </c>
      <c r="BG9" s="20">
        <f t="shared" si="9"/>
        <v>3331.25</v>
      </c>
      <c r="BN9">
        <v>11</v>
      </c>
      <c r="BR9" s="23" t="str">
        <f>VLOOKUP(G9,Eras!$A$2:$C$10, 2, TRUE)</f>
        <v>vct</v>
      </c>
      <c r="BS9" t="s">
        <v>61</v>
      </c>
      <c r="BT9" s="23" t="str">
        <f t="shared" si="10"/>
        <v>vct_Cheap</v>
      </c>
      <c r="BU9" s="23" t="str">
        <f t="shared" si="11"/>
        <v>steam_NARROW_GAUGE</v>
      </c>
      <c r="BV9" s="23" t="str">
        <f>VLOOKUP($BU9, Constants!$M:$N, 2, FALSE)</f>
        <v>{BLACK}Powered by: {GOLD}Steam</v>
      </c>
      <c r="BW9" s="23" t="str">
        <f t="shared" si="12"/>
        <v/>
      </c>
      <c r="BX9" t="s">
        <v>309</v>
      </c>
      <c r="BY9" s="23" t="str">
        <f t="shared" si="13"/>
        <v/>
      </c>
      <c r="BZ9" s="23" t="str">
        <f t="shared" si="14"/>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0" spans="1:78" x14ac:dyDescent="0.3">
      <c r="A10" t="s">
        <v>321</v>
      </c>
      <c r="B10" t="s">
        <v>322</v>
      </c>
      <c r="C10">
        <v>12</v>
      </c>
      <c r="D10" t="s">
        <v>236</v>
      </c>
      <c r="E10" t="s">
        <v>25</v>
      </c>
      <c r="F10" t="s">
        <v>338</v>
      </c>
      <c r="G10">
        <v>1869</v>
      </c>
      <c r="K10">
        <v>275</v>
      </c>
      <c r="M10" s="6">
        <v>8.25</v>
      </c>
      <c r="N10" s="6">
        <v>13</v>
      </c>
      <c r="O10" s="6">
        <v>4</v>
      </c>
      <c r="P10" s="6">
        <v>160</v>
      </c>
      <c r="Q10" s="13">
        <f t="shared" si="15"/>
        <v>218.83804675135613</v>
      </c>
      <c r="R10" s="6">
        <v>0.7</v>
      </c>
      <c r="S10" s="6">
        <f t="shared" si="16"/>
        <v>223.43750000000003</v>
      </c>
      <c r="T10">
        <v>10</v>
      </c>
      <c r="V10">
        <v>5</v>
      </c>
      <c r="W10">
        <v>38</v>
      </c>
      <c r="X10" s="4">
        <f t="shared" si="0"/>
        <v>0.38</v>
      </c>
      <c r="Y10">
        <v>35</v>
      </c>
      <c r="AB10">
        <v>12</v>
      </c>
      <c r="AE10" s="10">
        <v>0</v>
      </c>
      <c r="AF10" s="15" t="str">
        <f>CONCATENATE(VLOOKUP(AG10, 'Voxel Sizes'!$A$2:$B$18,2,FALSE),"x",INT(AC10*15), "x", INT(AD10*15))</f>
        <v>120x0x0</v>
      </c>
      <c r="AG10" s="15">
        <f t="shared" si="1"/>
        <v>7</v>
      </c>
      <c r="AI10" s="15" t="str">
        <f>CONCATENATE(VLOOKUP(AG10,Constants!$A$2:$C$16,IF(AH10&lt;&gt;"", 3, 2), FALSE),IF(AH10&lt;&gt;"",CONCATENATE(",",VLOOKUP(AH10,$B:$AI,34,FALSE)),""))</f>
        <v>2,3,2</v>
      </c>
      <c r="AQ10">
        <v>1</v>
      </c>
      <c r="AS10">
        <v>250</v>
      </c>
      <c r="AT10" s="15" t="str">
        <f t="shared" si="2"/>
        <v/>
      </c>
      <c r="AU10">
        <v>-5</v>
      </c>
      <c r="AV10">
        <v>-5</v>
      </c>
      <c r="AW10" s="17">
        <f t="shared" si="3"/>
        <v>7</v>
      </c>
      <c r="AX10" s="17">
        <f t="shared" si="4"/>
        <v>1.375</v>
      </c>
      <c r="AY10" s="17">
        <f t="shared" si="5"/>
        <v>1.9</v>
      </c>
      <c r="AZ10" s="18">
        <f t="shared" si="6"/>
        <v>1</v>
      </c>
      <c r="BA10" s="17">
        <f t="shared" si="7"/>
        <v>0</v>
      </c>
      <c r="BB10" s="17">
        <f>VLOOKUP($E10,Constants!$I:$K, 2, FALSE)</f>
        <v>1.1499999999999999</v>
      </c>
      <c r="BC10" s="17">
        <f>VLOOKUP($E10,Constants!$I:$K, 3, FALSE)*IF(AND(D10="multiple_unit",Y10&lt;110),0.75,1)</f>
        <v>1.7</v>
      </c>
      <c r="BD10" s="17">
        <f>INT(POWER(((Constants!$G$2+$AW10+$AX10+$AY10+$BA10)*$AZ10)*$BC10, 1.05))+$AV10</f>
        <v>25</v>
      </c>
      <c r="BE10" s="17">
        <f>INT(POWER((((Constants!$G$1+$AW10+$AX10+$AY10+$BA10)*($AZ10))*$BB10),IF($D10="wagon",1,1.2)))+$AU10</f>
        <v>52</v>
      </c>
      <c r="BF10" s="20">
        <f t="shared" si="8"/>
        <v>19531.25</v>
      </c>
      <c r="BG10" s="20">
        <f t="shared" si="9"/>
        <v>4225</v>
      </c>
      <c r="BN10">
        <v>11</v>
      </c>
      <c r="BR10" s="23" t="str">
        <f>VLOOKUP(G10,Eras!$A$2:$C$10, 2, TRUE)</f>
        <v>vct</v>
      </c>
      <c r="BS10" t="s">
        <v>61</v>
      </c>
      <c r="BT10" s="23" t="str">
        <f t="shared" si="10"/>
        <v>vct_Cheap</v>
      </c>
      <c r="BU10" s="23" t="str">
        <f t="shared" si="11"/>
        <v>steam_NARROW_GAUGE</v>
      </c>
      <c r="BV10" s="23" t="str">
        <f>VLOOKUP($BU10, Constants!$M:$N, 2, FALSE)</f>
        <v>{BLACK}Powered by: {GOLD}Steam</v>
      </c>
      <c r="BW10" s="23" t="str">
        <f t="shared" si="12"/>
        <v/>
      </c>
      <c r="BX10" t="s">
        <v>323</v>
      </c>
      <c r="BY10" s="23" t="str">
        <f t="shared" si="13"/>
        <v/>
      </c>
      <c r="BZ10" s="23" t="str">
        <f t="shared" si="14"/>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1" spans="1:78" x14ac:dyDescent="0.3">
      <c r="A11" t="s">
        <v>304</v>
      </c>
      <c r="B11" t="s">
        <v>303</v>
      </c>
      <c r="C11">
        <v>15</v>
      </c>
      <c r="D11" t="s">
        <v>15</v>
      </c>
      <c r="E11" t="s">
        <v>25</v>
      </c>
      <c r="F11" t="s">
        <v>338</v>
      </c>
      <c r="G11">
        <v>1903</v>
      </c>
      <c r="I11">
        <v>1951</v>
      </c>
      <c r="Q11" s="13">
        <f t="shared" si="15"/>
        <v>0</v>
      </c>
      <c r="R11" s="6">
        <v>0.7</v>
      </c>
      <c r="S11" s="6">
        <f t="shared" si="16"/>
        <v>0</v>
      </c>
      <c r="V11">
        <v>5</v>
      </c>
      <c r="X11" s="4" t="str">
        <f t="shared" si="0"/>
        <v/>
      </c>
      <c r="AE11" s="10">
        <v>0</v>
      </c>
      <c r="AF11" s="15" t="str">
        <f>CONCATENATE(VLOOKUP(AG11, 'Voxel Sizes'!$A$2:$B$18,2,FALSE),"x",INT(AC11*15), "x", INT(AD11*15))</f>
        <v>0x0x0</v>
      </c>
      <c r="AG11" s="15">
        <f t="shared" si="1"/>
        <v>0</v>
      </c>
      <c r="AI11" s="15" t="str">
        <f>CONCATENATE(VLOOKUP(AG11,Constants!$A$2:$C$16,IF(AH11&lt;&gt;"", 3, 2), FALSE),IF(AH11&lt;&gt;"",CONCATENATE(",",VLOOKUP(AH11,$B:$AI,34,FALSE)),""))</f>
        <v>na</v>
      </c>
      <c r="AQ11">
        <v>1</v>
      </c>
      <c r="AS11">
        <v>250</v>
      </c>
      <c r="AT11" s="15">
        <f t="shared" si="2"/>
        <v>56</v>
      </c>
      <c r="AU11">
        <v>-5</v>
      </c>
      <c r="AV11">
        <v>-5</v>
      </c>
      <c r="AW11" s="17">
        <f t="shared" si="3"/>
        <v>0</v>
      </c>
      <c r="AX11" s="17">
        <f t="shared" si="4"/>
        <v>0</v>
      </c>
      <c r="AY11" s="17">
        <f t="shared" si="5"/>
        <v>0</v>
      </c>
      <c r="AZ11" s="18">
        <f t="shared" si="6"/>
        <v>0.996</v>
      </c>
      <c r="BA11" s="17">
        <f t="shared" si="7"/>
        <v>0</v>
      </c>
      <c r="BB11" s="17">
        <f>VLOOKUP($E11,Constants!$I:$K, 2, FALSE)</f>
        <v>1.1499999999999999</v>
      </c>
      <c r="BC11" s="17">
        <f>VLOOKUP($E11,Constants!$I:$K, 3, FALSE)*IF(AND(D11="multiple_unit",Y11&lt;110),0.75,1)</f>
        <v>1.7</v>
      </c>
      <c r="BD11" s="17">
        <f>INT(POWER(((Constants!$G$2+$AW11+$AX11+$AY11+$BA11)*$AZ11)*$BC11, 1.05))+$AV11</f>
        <v>4</v>
      </c>
      <c r="BE11" s="17">
        <f>INT(POWER((((Constants!$G$1+$AW11+$AX11+$AY11+$BA11)*($AZ11))*$BB11),IF($D11="wagon",1,1.2)))+$AU11</f>
        <v>25</v>
      </c>
      <c r="BF11" s="20">
        <f t="shared" si="8"/>
        <v>3125</v>
      </c>
      <c r="BG11" s="20">
        <f t="shared" si="9"/>
        <v>2031.25</v>
      </c>
      <c r="BN11">
        <v>10</v>
      </c>
      <c r="BR11" s="23" t="str">
        <f>VLOOKUP(G11,Eras!$A$2:$C$10, 2, TRUE)</f>
        <v>edw</v>
      </c>
      <c r="BS11" t="s">
        <v>61</v>
      </c>
      <c r="BT11" s="23" t="str">
        <f t="shared" si="10"/>
        <v>edw_Cheap</v>
      </c>
      <c r="BU11" s="23" t="str">
        <f t="shared" si="11"/>
        <v>steam_NARROW_GAUGE</v>
      </c>
      <c r="BV11" s="23" t="str">
        <f>VLOOKUP($BU11, Constants!$M:$N, 2, FALSE)</f>
        <v>{BLACK}Powered by: {GOLD}Steam</v>
      </c>
      <c r="BW11" s="23" t="str">
        <f t="shared" si="12"/>
        <v/>
      </c>
      <c r="BY11" s="23" t="str">
        <f t="shared" si="13"/>
        <v/>
      </c>
      <c r="BZ11" s="23" t="str">
        <f t="shared" si="14"/>
        <v>{BLACK}Powered by: {GOLD}Steam {}{SILVER}</v>
      </c>
    </row>
    <row r="12" spans="1:78" x14ac:dyDescent="0.3">
      <c r="A12" t="s">
        <v>307</v>
      </c>
      <c r="B12" t="s">
        <v>308</v>
      </c>
      <c r="C12">
        <v>20</v>
      </c>
      <c r="D12" t="s">
        <v>15</v>
      </c>
      <c r="E12" t="s">
        <v>25</v>
      </c>
      <c r="F12" t="s">
        <v>338</v>
      </c>
      <c r="G12">
        <v>1903</v>
      </c>
      <c r="I12">
        <v>1951</v>
      </c>
      <c r="Q12" s="13">
        <f t="shared" si="15"/>
        <v>0</v>
      </c>
      <c r="R12" s="6">
        <v>0.7</v>
      </c>
      <c r="S12" s="6">
        <f t="shared" si="16"/>
        <v>0</v>
      </c>
      <c r="V12">
        <v>5</v>
      </c>
      <c r="X12" s="4" t="str">
        <f t="shared" si="0"/>
        <v/>
      </c>
      <c r="AE12" s="10">
        <v>0</v>
      </c>
      <c r="AF12" s="15" t="str">
        <f>CONCATENATE(VLOOKUP(AG12, 'Voxel Sizes'!$A$2:$B$18,2,FALSE),"x",INT(AC12*15), "x", INT(AD12*15))</f>
        <v>0x0x0</v>
      </c>
      <c r="AG12" s="15">
        <f t="shared" si="1"/>
        <v>0</v>
      </c>
      <c r="AI12" s="15" t="str">
        <f>CONCATENATE(VLOOKUP(AG12,Constants!$A$2:$C$16,IF(AH12&lt;&gt;"", 3, 2), FALSE),IF(AH12&lt;&gt;"",CONCATENATE(",",VLOOKUP(AH12,$B:$AI,34,FALSE)),""))</f>
        <v>na</v>
      </c>
      <c r="AQ12">
        <v>1</v>
      </c>
      <c r="AS12">
        <v>250</v>
      </c>
      <c r="AT12" s="15">
        <f t="shared" si="2"/>
        <v>56</v>
      </c>
      <c r="AU12">
        <v>-5</v>
      </c>
      <c r="AV12">
        <v>-5</v>
      </c>
      <c r="AW12" s="17">
        <f t="shared" si="3"/>
        <v>0</v>
      </c>
      <c r="AX12" s="17">
        <f t="shared" si="4"/>
        <v>0</v>
      </c>
      <c r="AY12" s="17">
        <f t="shared" si="5"/>
        <v>0</v>
      </c>
      <c r="AZ12" s="18">
        <f t="shared" si="6"/>
        <v>0.996</v>
      </c>
      <c r="BA12" s="17">
        <f t="shared" si="7"/>
        <v>0</v>
      </c>
      <c r="BB12" s="17">
        <f>VLOOKUP($E12,Constants!$I:$K, 2, FALSE)</f>
        <v>1.1499999999999999</v>
      </c>
      <c r="BC12" s="17">
        <f>VLOOKUP($E12,Constants!$I:$K, 3, FALSE)*IF(AND(D12="multiple_unit",Y12&lt;110),0.75,1)</f>
        <v>1.7</v>
      </c>
      <c r="BD12" s="17">
        <f>INT(POWER(((Constants!$G$2+$AW12+$AX12+$AY12+$BA12)*$AZ12)*$BC12, 1.05))+$AV12</f>
        <v>4</v>
      </c>
      <c r="BE12" s="17">
        <f>INT(POWER((((Constants!$G$1+$AW12+$AX12+$AY12+$BA12)*($AZ12))*$BB12),IF($D12="wagon",1,1.2)))+$AU12</f>
        <v>25</v>
      </c>
      <c r="BF12" s="20">
        <f t="shared" si="8"/>
        <v>3125</v>
      </c>
      <c r="BG12" s="20">
        <f t="shared" si="9"/>
        <v>2031.25</v>
      </c>
      <c r="BN12">
        <v>9</v>
      </c>
      <c r="BR12" s="23" t="str">
        <f>VLOOKUP(G12,Eras!$A$2:$C$10, 2, TRUE)</f>
        <v>edw</v>
      </c>
      <c r="BS12" t="s">
        <v>61</v>
      </c>
      <c r="BT12" s="23" t="str">
        <f t="shared" si="10"/>
        <v>edw_Cheap</v>
      </c>
      <c r="BU12" s="23" t="str">
        <f t="shared" si="11"/>
        <v>steam_NARROW_GAUGE</v>
      </c>
      <c r="BV12" s="23" t="str">
        <f>VLOOKUP($BU12, Constants!$M:$N, 2, FALSE)</f>
        <v>{BLACK}Powered by: {GOLD}Steam</v>
      </c>
      <c r="BW12" s="23" t="str">
        <f t="shared" si="12"/>
        <v/>
      </c>
      <c r="BY12" s="23" t="str">
        <f t="shared" si="13"/>
        <v/>
      </c>
      <c r="BZ12" s="23" t="str">
        <f t="shared" si="14"/>
        <v>{BLACK}Powered by: {GOLD}Steam {}{SILVER}</v>
      </c>
    </row>
    <row r="13" spans="1:78" x14ac:dyDescent="0.3">
      <c r="A13" t="s">
        <v>310</v>
      </c>
      <c r="B13" t="s">
        <v>311</v>
      </c>
      <c r="C13">
        <v>25</v>
      </c>
      <c r="D13" t="s">
        <v>236</v>
      </c>
      <c r="E13" t="s">
        <v>25</v>
      </c>
      <c r="F13" t="s">
        <v>338</v>
      </c>
      <c r="G13">
        <v>1918</v>
      </c>
      <c r="I13">
        <v>1955</v>
      </c>
      <c r="K13">
        <v>65</v>
      </c>
      <c r="M13" s="6">
        <v>6.8</v>
      </c>
      <c r="N13" s="6">
        <v>10.75</v>
      </c>
      <c r="O13" s="6">
        <v>2</v>
      </c>
      <c r="P13" s="6">
        <v>160</v>
      </c>
      <c r="Q13" s="13">
        <f t="shared" si="15"/>
        <v>218.8380467513561</v>
      </c>
      <c r="R13" s="6">
        <v>0.6</v>
      </c>
      <c r="S13" s="6">
        <f t="shared" si="16"/>
        <v>62.76262626262627</v>
      </c>
      <c r="T13">
        <v>8</v>
      </c>
      <c r="V13">
        <v>5</v>
      </c>
      <c r="W13">
        <v>15</v>
      </c>
      <c r="X13" s="4">
        <f t="shared" si="0"/>
        <v>0.1875</v>
      </c>
      <c r="Y13">
        <v>30</v>
      </c>
      <c r="AA13">
        <v>4.7</v>
      </c>
      <c r="AB13">
        <v>6</v>
      </c>
      <c r="AE13" s="10">
        <v>0</v>
      </c>
      <c r="AF13" s="15" t="str">
        <f>CONCATENATE(VLOOKUP(AG13, 'Voxel Sizes'!$A$2:$B$18,2,FALSE),"x",INT(AC13*15), "x", INT(AD13*15))</f>
        <v>66x0x0</v>
      </c>
      <c r="AG13" s="15">
        <f t="shared" si="1"/>
        <v>4</v>
      </c>
      <c r="AI13" s="15" t="str">
        <f>CONCATENATE(VLOOKUP(AG13,Constants!$A$2:$C$16,IF(AH13&lt;&gt;"", 3, 2), FALSE),IF(AH13&lt;&gt;"",CONCATENATE(",",VLOOKUP(AH13,$B:$AI,34,FALSE)),""))</f>
        <v>1,2,1</v>
      </c>
      <c r="AQ13">
        <v>1</v>
      </c>
      <c r="AS13">
        <v>250</v>
      </c>
      <c r="AT13" s="15">
        <f t="shared" si="2"/>
        <v>45</v>
      </c>
      <c r="AU13">
        <v>-5</v>
      </c>
      <c r="AV13">
        <v>-7</v>
      </c>
      <c r="AW13" s="17">
        <f t="shared" si="3"/>
        <v>6</v>
      </c>
      <c r="AX13" s="17">
        <f t="shared" si="4"/>
        <v>0.32500000000000001</v>
      </c>
      <c r="AY13" s="17">
        <f t="shared" si="5"/>
        <v>0.75</v>
      </c>
      <c r="AZ13" s="18">
        <f t="shared" si="6"/>
        <v>0.97599999999999998</v>
      </c>
      <c r="BA13" s="17">
        <f t="shared" si="7"/>
        <v>0</v>
      </c>
      <c r="BB13" s="17">
        <f>VLOOKUP($E13,Constants!$I:$K, 2, FALSE)</f>
        <v>1.1499999999999999</v>
      </c>
      <c r="BC13" s="17">
        <f>VLOOKUP($E13,Constants!$I:$K, 3, FALSE)*IF(AND(D13="multiple_unit",Y13&lt;110),0.75,1)</f>
        <v>1.7</v>
      </c>
      <c r="BD13" s="17">
        <f>INT(POWER(((Constants!$G$2+$AW13+$AX13+$AY13+$BA13)*$AZ13)*$BC13, 1.05))+$AV13</f>
        <v>16</v>
      </c>
      <c r="BE13" s="17">
        <f>INT(POWER((((Constants!$G$1+$AW13+$AX13+$AY13+$BA13)*($AZ13))*$BB13),IF($D13="wagon",1,1.2)))+$AU13</f>
        <v>42</v>
      </c>
      <c r="BF13" s="20">
        <f t="shared" si="8"/>
        <v>12500</v>
      </c>
      <c r="BG13" s="20">
        <f t="shared" si="9"/>
        <v>3412.5</v>
      </c>
      <c r="BN13">
        <v>8</v>
      </c>
      <c r="BR13" s="23" t="str">
        <f>VLOOKUP(G13,Eras!$A$2:$C$10, 2, TRUE)</f>
        <v>edw</v>
      </c>
      <c r="BS13" t="s">
        <v>61</v>
      </c>
      <c r="BT13" s="23" t="str">
        <f t="shared" si="10"/>
        <v>edw_Cheap</v>
      </c>
      <c r="BU13" s="23" t="str">
        <f t="shared" si="11"/>
        <v>steam_NARROW_GAUGE</v>
      </c>
      <c r="BV13" s="23" t="str">
        <f>VLOOKUP($BU13, Constants!$M:$N, 2, FALSE)</f>
        <v>{BLACK}Powered by: {GOLD}Steam</v>
      </c>
      <c r="BW13" s="23" t="str">
        <f t="shared" si="12"/>
        <v/>
      </c>
      <c r="BX13" t="s">
        <v>312</v>
      </c>
      <c r="BY13" s="23" t="str">
        <f t="shared" si="13"/>
        <v/>
      </c>
      <c r="BZ13" s="23" t="str">
        <f t="shared" si="14"/>
        <v>{BLACK}Powered by: {GOLD}Steam {}{SILVER}The E Class is a small 0-4-0 well tank. One used by the RAF is preserved on the Talyllyn railway as "Douglas", named after second owner Douglas Abelson who donated it from his engineering firm.</v>
      </c>
    </row>
    <row r="14" spans="1:78" x14ac:dyDescent="0.3">
      <c r="A14" t="s">
        <v>305</v>
      </c>
      <c r="B14" t="s">
        <v>306</v>
      </c>
      <c r="C14">
        <v>30</v>
      </c>
      <c r="D14" t="s">
        <v>236</v>
      </c>
      <c r="E14" t="s">
        <v>25</v>
      </c>
      <c r="F14" t="s">
        <v>338</v>
      </c>
      <c r="G14">
        <v>1923</v>
      </c>
      <c r="I14">
        <v>1968</v>
      </c>
      <c r="K14">
        <v>250</v>
      </c>
      <c r="M14" s="6">
        <v>11.5</v>
      </c>
      <c r="N14" s="6">
        <v>17</v>
      </c>
      <c r="O14" s="6">
        <v>2</v>
      </c>
      <c r="P14" s="6">
        <v>165</v>
      </c>
      <c r="Q14" s="13">
        <f t="shared" si="15"/>
        <v>153.18663272594927</v>
      </c>
      <c r="R14" s="6">
        <v>1</v>
      </c>
      <c r="S14" s="6">
        <f t="shared" si="16"/>
        <v>204.91861979166666</v>
      </c>
      <c r="T14">
        <v>25</v>
      </c>
      <c r="V14">
        <v>5</v>
      </c>
      <c r="W14">
        <v>44</v>
      </c>
      <c r="X14" s="4">
        <f t="shared" si="0"/>
        <v>0.17599999999999999</v>
      </c>
      <c r="Y14">
        <v>35</v>
      </c>
      <c r="AB14">
        <v>8</v>
      </c>
      <c r="AE14" s="10">
        <v>0</v>
      </c>
      <c r="AF14" s="15" t="str">
        <f>CONCATENATE(VLOOKUP(AG14, 'Voxel Sizes'!$A$2:$B$18,2,FALSE),"x",INT(AC14*15), "x", INT(AD14*15))</f>
        <v>82x0x0</v>
      </c>
      <c r="AG14" s="15">
        <f t="shared" si="1"/>
        <v>5</v>
      </c>
      <c r="AI14" s="15" t="str">
        <f>CONCATENATE(VLOOKUP(AG14,Constants!$A$2:$C$16,IF(AH14&lt;&gt;"", 3, 2), FALSE),IF(AH14&lt;&gt;"",CONCATENATE(",",VLOOKUP(AH14,$B:$AI,34,FALSE)),""))</f>
        <v>2,1,2</v>
      </c>
      <c r="AQ14">
        <v>1</v>
      </c>
      <c r="AS14">
        <v>250</v>
      </c>
      <c r="AT14" s="15">
        <f t="shared" si="2"/>
        <v>53</v>
      </c>
      <c r="AU14">
        <v>-10</v>
      </c>
      <c r="AV14">
        <v>-5</v>
      </c>
      <c r="AW14" s="17">
        <f t="shared" si="3"/>
        <v>7</v>
      </c>
      <c r="AX14" s="17">
        <f t="shared" si="4"/>
        <v>1.25</v>
      </c>
      <c r="AY14" s="17">
        <f t="shared" si="5"/>
        <v>2.2000000000000002</v>
      </c>
      <c r="AZ14" s="18">
        <f t="shared" si="6"/>
        <v>0.96933333333333338</v>
      </c>
      <c r="BA14" s="17">
        <f t="shared" si="7"/>
        <v>0</v>
      </c>
      <c r="BB14" s="17">
        <f>VLOOKUP($E14,Constants!$I:$K, 2, FALSE)</f>
        <v>1.1499999999999999</v>
      </c>
      <c r="BC14" s="17">
        <f>VLOOKUP($E14,Constants!$I:$K, 3, FALSE)*IF(AND(D14="multiple_unit",Y14&lt;110),0.75,1)</f>
        <v>1.7</v>
      </c>
      <c r="BD14" s="17">
        <f>INT(POWER(((Constants!$G$2+$AW14+$AX14+$AY14+$BA14)*$AZ14)*$BC14, 1.05))+$AV14</f>
        <v>24</v>
      </c>
      <c r="BE14" s="17">
        <f>INT(POWER((((Constants!$G$1+$AW14+$AX14+$AY14+$BA14)*($AZ14))*$BB14),IF($D14="wagon",1,1.2)))+$AU14</f>
        <v>45</v>
      </c>
      <c r="BF14" s="20">
        <f t="shared" si="8"/>
        <v>18750</v>
      </c>
      <c r="BG14" s="20">
        <f t="shared" si="9"/>
        <v>3656.25</v>
      </c>
      <c r="BN14">
        <v>7</v>
      </c>
      <c r="BR14" s="23" t="str">
        <f>VLOOKUP(G14,Eras!$A$2:$C$10, 2, TRUE)</f>
        <v>big4</v>
      </c>
      <c r="BS14" t="s">
        <v>61</v>
      </c>
      <c r="BT14" s="23" t="str">
        <f t="shared" si="10"/>
        <v>big4_Cheap</v>
      </c>
      <c r="BU14" s="23" t="str">
        <f t="shared" si="11"/>
        <v>steam_NARROW_GAUGE</v>
      </c>
      <c r="BV14" s="23" t="str">
        <f>VLOOKUP($BU14, Constants!$M:$N, 2, FALSE)</f>
        <v>{BLACK}Powered by: {GOLD}Steam</v>
      </c>
      <c r="BW14" s="23" t="str">
        <f t="shared" si="12"/>
        <v/>
      </c>
      <c r="BX14" t="s">
        <v>320</v>
      </c>
      <c r="BY14" s="23" t="str">
        <f t="shared" si="13"/>
        <v/>
      </c>
      <c r="BZ14" s="23" t="str">
        <f t="shared" si="14"/>
        <v>{BLACK}Powered by: {GOLD}Steam {}{SILVER}Charles Collett designed these tank locomotives to replace worn-out engines on the Vale of Rheidol line. They became the last steam locomotives running on British Railways, up until the line became a heritage railway in 1989.</v>
      </c>
    </row>
    <row r="15" spans="1:78" x14ac:dyDescent="0.3">
      <c r="A15" t="s">
        <v>325</v>
      </c>
      <c r="B15" t="s">
        <v>299</v>
      </c>
      <c r="C15">
        <v>35</v>
      </c>
      <c r="D15" t="s">
        <v>15</v>
      </c>
      <c r="E15" t="s">
        <v>26</v>
      </c>
      <c r="F15" t="s">
        <v>338</v>
      </c>
      <c r="G15">
        <v>1940</v>
      </c>
      <c r="I15">
        <v>1980</v>
      </c>
      <c r="K15">
        <v>40</v>
      </c>
      <c r="Q15" s="13">
        <f t="shared" si="15"/>
        <v>0</v>
      </c>
      <c r="R15" s="6">
        <v>0.7</v>
      </c>
      <c r="S15" s="6">
        <f t="shared" si="16"/>
        <v>0</v>
      </c>
      <c r="V15">
        <v>5</v>
      </c>
      <c r="X15" s="4" t="str">
        <f t="shared" si="0"/>
        <v/>
      </c>
      <c r="AE15" s="10">
        <v>0</v>
      </c>
      <c r="AF15" s="15" t="str">
        <f>CONCATENATE(VLOOKUP(AG15, 'Voxel Sizes'!$A$2:$B$18,2,FALSE),"x",INT(AC15*15), "x", INT(AD15*15))</f>
        <v>0x0x0</v>
      </c>
      <c r="AG15" s="15">
        <f t="shared" si="1"/>
        <v>0</v>
      </c>
      <c r="AI15" s="15" t="str">
        <f>CONCATENATE(VLOOKUP(AG15,Constants!$A$2:$C$16,IF(AH15&lt;&gt;"", 3, 2), FALSE),IF(AH15&lt;&gt;"",CONCATENATE(",",VLOOKUP(AH15,$B:$AI,34,FALSE)),""))</f>
        <v>na</v>
      </c>
      <c r="AQ15">
        <v>1</v>
      </c>
      <c r="AS15">
        <v>250</v>
      </c>
      <c r="AT15" s="15">
        <f t="shared" si="2"/>
        <v>48</v>
      </c>
      <c r="AU15">
        <v>-5</v>
      </c>
      <c r="AV15">
        <v>-2</v>
      </c>
      <c r="AW15" s="17">
        <f t="shared" si="3"/>
        <v>0</v>
      </c>
      <c r="AX15" s="17">
        <f t="shared" si="4"/>
        <v>0.2</v>
      </c>
      <c r="AY15" s="17">
        <f t="shared" si="5"/>
        <v>0</v>
      </c>
      <c r="AZ15" s="18">
        <f t="shared" si="6"/>
        <v>0.94666666666666666</v>
      </c>
      <c r="BA15" s="17">
        <f t="shared" si="7"/>
        <v>0</v>
      </c>
      <c r="BB15" s="17">
        <f>VLOOKUP($E15,Constants!$I:$K, 2, FALSE)</f>
        <v>1</v>
      </c>
      <c r="BC15" s="17">
        <f>VLOOKUP($E15,Constants!$I:$K, 3, FALSE)*IF(AND(D15="multiple_unit",Y15&lt;110),0.75,1)</f>
        <v>2</v>
      </c>
      <c r="BD15" s="17">
        <f>INT(POWER(((Constants!$G$2+$AW15+$AX15+$AY15+$BA15)*$AZ15)*$BC15, 1.05))+$AV15</f>
        <v>9</v>
      </c>
      <c r="BE15" s="17">
        <f>INT(POWER((((Constants!$G$1+$AW15+$AX15+$AY15+$BA15)*($AZ15))*$BB15),IF($D15="wagon",1,1.2)))+$AU15</f>
        <v>19</v>
      </c>
      <c r="BF15" s="20">
        <f t="shared" si="8"/>
        <v>7031.25</v>
      </c>
      <c r="BG15" s="20">
        <f t="shared" si="9"/>
        <v>1543.75</v>
      </c>
      <c r="BN15">
        <v>6</v>
      </c>
      <c r="BR15" s="23" t="str">
        <f>VLOOKUP(G15,Eras!$A$2:$C$10, 2, TRUE)</f>
        <v>big4</v>
      </c>
      <c r="BS15" t="s">
        <v>61</v>
      </c>
      <c r="BT15" s="23" t="str">
        <f t="shared" si="10"/>
        <v>big4_Cheap</v>
      </c>
      <c r="BU15" s="23" t="str">
        <f t="shared" si="11"/>
        <v>diesel_NARROW_GAUGE</v>
      </c>
      <c r="BV15" s="23" t="str">
        <f>VLOOKUP($BU15, Constants!$M:$N, 2, FALSE)</f>
        <v>{BLACK}Powered by: {GOLD}Diesel</v>
      </c>
      <c r="BW15" s="23" t="str">
        <f t="shared" si="12"/>
        <v/>
      </c>
      <c r="BY15" s="23" t="str">
        <f t="shared" si="13"/>
        <v/>
      </c>
      <c r="BZ15" s="23" t="str">
        <f t="shared" si="14"/>
        <v>{BLACK}Powered by: {GOLD}Diesel {}{SILVER}</v>
      </c>
    </row>
    <row r="16" spans="1:78" x14ac:dyDescent="0.3">
      <c r="A16" t="s">
        <v>324</v>
      </c>
      <c r="B16" t="s">
        <v>300</v>
      </c>
      <c r="C16">
        <v>40</v>
      </c>
      <c r="D16" t="s">
        <v>236</v>
      </c>
      <c r="E16" t="s">
        <v>26</v>
      </c>
      <c r="F16" t="s">
        <v>338</v>
      </c>
      <c r="G16">
        <v>1941</v>
      </c>
      <c r="I16">
        <v>1985</v>
      </c>
      <c r="K16">
        <v>50</v>
      </c>
      <c r="Q16" s="13">
        <f t="shared" si="15"/>
        <v>187.57546864401954</v>
      </c>
      <c r="R16" s="6">
        <v>0.7</v>
      </c>
      <c r="S16" s="6">
        <f t="shared" si="16"/>
        <v>0</v>
      </c>
      <c r="T16">
        <v>7</v>
      </c>
      <c r="V16">
        <v>5</v>
      </c>
      <c r="W16">
        <v>22</v>
      </c>
      <c r="X16" s="4">
        <f t="shared" si="0"/>
        <v>0.31428571428571428</v>
      </c>
      <c r="Y16">
        <v>30</v>
      </c>
      <c r="AB16">
        <v>6</v>
      </c>
      <c r="AE16" s="10">
        <v>0</v>
      </c>
      <c r="AF16" s="15" t="str">
        <f>CONCATENATE(VLOOKUP(AG16, 'Voxel Sizes'!$A$2:$B$18,2,FALSE),"x",INT(AC16*15), "x", INT(AD16*15))</f>
        <v>66x0x0</v>
      </c>
      <c r="AG16" s="15">
        <f t="shared" si="1"/>
        <v>4</v>
      </c>
      <c r="AI16" s="15" t="str">
        <f>CONCATENATE(VLOOKUP(AG16,Constants!$A$2:$C$16,IF(AH16&lt;&gt;"", 3, 2), FALSE),IF(AH16&lt;&gt;"",CONCATENATE(",",VLOOKUP(AH16,$B:$AI,34,FALSE)),""))</f>
        <v>1,2,1</v>
      </c>
      <c r="AS16">
        <v>125</v>
      </c>
      <c r="AT16" s="15">
        <f t="shared" si="2"/>
        <v>52</v>
      </c>
      <c r="AU16">
        <v>-9</v>
      </c>
      <c r="AV16">
        <v>-12</v>
      </c>
      <c r="AW16" s="17">
        <f t="shared" si="3"/>
        <v>6</v>
      </c>
      <c r="AX16" s="17">
        <f t="shared" si="4"/>
        <v>0.25</v>
      </c>
      <c r="AY16" s="17">
        <f t="shared" si="5"/>
        <v>1.1000000000000001</v>
      </c>
      <c r="AZ16" s="18">
        <f t="shared" si="6"/>
        <v>0.94533333333333336</v>
      </c>
      <c r="BA16" s="17">
        <f t="shared" si="7"/>
        <v>0</v>
      </c>
      <c r="BB16" s="17">
        <f>VLOOKUP($E16,Constants!$I:$K, 2, FALSE)</f>
        <v>1</v>
      </c>
      <c r="BC16" s="17">
        <f>VLOOKUP($E16,Constants!$I:$K, 3, FALSE)*IF(AND(D16="multiple_unit",Y16&lt;110),0.75,1)</f>
        <v>2</v>
      </c>
      <c r="BD16" s="17">
        <f>INT(POWER(((Constants!$G$2+$AW16+$AX16+$AY16+$BA16)*$AZ16)*$BC16, 1.05))+$AV16</f>
        <v>15</v>
      </c>
      <c r="BE16" s="17">
        <f>INT(POWER((((Constants!$G$1+$AW16+$AX16+$AY16+$BA16)*($AZ16))*$BB16),IF($D16="wagon",1,1.2)))+$AU16</f>
        <v>29</v>
      </c>
      <c r="BF16" s="20">
        <f t="shared" si="8"/>
        <v>11718.75</v>
      </c>
      <c r="BG16" s="20">
        <f t="shared" si="9"/>
        <v>2356.25</v>
      </c>
      <c r="BN16">
        <v>5</v>
      </c>
      <c r="BR16" s="23" t="str">
        <f>VLOOKUP(G16,Eras!$A$2:$C$10, 2, TRUE)</f>
        <v>big4</v>
      </c>
      <c r="BS16" t="s">
        <v>61</v>
      </c>
      <c r="BT16" s="23" t="str">
        <f t="shared" si="10"/>
        <v>big4_Cheap</v>
      </c>
      <c r="BU16" s="23" t="str">
        <f t="shared" si="11"/>
        <v>diesel_NARROW_GAUGE</v>
      </c>
      <c r="BV16" s="23" t="str">
        <f>VLOOKUP($BU16, Constants!$M:$N, 2, FALSE)</f>
        <v>{BLACK}Powered by: {GOLD}Diesel</v>
      </c>
      <c r="BW16" s="23" t="str">
        <f t="shared" si="12"/>
        <v/>
      </c>
      <c r="BX16" t="s">
        <v>326</v>
      </c>
      <c r="BY16" s="23" t="str">
        <f t="shared" si="13"/>
        <v/>
      </c>
      <c r="BZ16" s="23" t="str">
        <f t="shared" si="14"/>
        <v>{BLACK}Powered by: {GOLD}Diesel {}{SILVER}Ruston and Hornsby built diesel locomotives for small industrial lines, which would often only need a small locomotive for hauling goods short distances.</v>
      </c>
    </row>
    <row r="17" spans="1:78" x14ac:dyDescent="0.3">
      <c r="A17" t="s">
        <v>411</v>
      </c>
      <c r="B17" t="s">
        <v>412</v>
      </c>
      <c r="C17">
        <v>41</v>
      </c>
      <c r="D17" t="s">
        <v>236</v>
      </c>
      <c r="E17" t="s">
        <v>26</v>
      </c>
      <c r="F17" t="s">
        <v>338</v>
      </c>
      <c r="G17">
        <v>1950</v>
      </c>
      <c r="K17">
        <v>75</v>
      </c>
      <c r="Q17" s="13">
        <f t="shared" si="15"/>
        <v>200.08049988695416</v>
      </c>
      <c r="R17" s="6">
        <v>0.7</v>
      </c>
      <c r="S17" s="6">
        <f t="shared" si="16"/>
        <v>0</v>
      </c>
      <c r="T17">
        <v>10</v>
      </c>
      <c r="V17">
        <v>5</v>
      </c>
      <c r="W17">
        <v>28</v>
      </c>
      <c r="X17" s="4">
        <f t="shared" si="0"/>
        <v>0.28000000000000003</v>
      </c>
      <c r="Y17">
        <v>32</v>
      </c>
      <c r="AB17">
        <v>6</v>
      </c>
      <c r="AE17" s="10">
        <v>0</v>
      </c>
      <c r="AF17" s="15" t="str">
        <f>CONCATENATE(VLOOKUP(AG17, 'Voxel Sizes'!$A$2:$B$18,2,FALSE),"x",INT(AC17*15), "x", INT(AD17*15))</f>
        <v>66x0x0</v>
      </c>
      <c r="AG17" s="15">
        <f t="shared" si="1"/>
        <v>4</v>
      </c>
      <c r="AI17" s="15" t="str">
        <f>CONCATENATE(VLOOKUP(AG17,Constants!$A$2:$C$16,IF(AH17&lt;&gt;"", 3, 2), FALSE),IF(AH17&lt;&gt;"",CONCATENATE(",",VLOOKUP(AH17,$B:$AI,34,FALSE)),""))</f>
        <v>1,2,1</v>
      </c>
      <c r="AQ17">
        <v>1</v>
      </c>
      <c r="AS17">
        <v>125</v>
      </c>
      <c r="AT17" s="15" t="str">
        <f t="shared" si="2"/>
        <v/>
      </c>
      <c r="AU17">
        <v>-9</v>
      </c>
      <c r="AV17">
        <v>-12</v>
      </c>
      <c r="AW17" s="17">
        <f t="shared" si="3"/>
        <v>6.4</v>
      </c>
      <c r="AX17" s="17">
        <f t="shared" si="4"/>
        <v>0.375</v>
      </c>
      <c r="AY17" s="17">
        <f t="shared" si="5"/>
        <v>1.4000000000000001</v>
      </c>
      <c r="AZ17" s="18">
        <f t="shared" si="6"/>
        <v>0.93333333333333335</v>
      </c>
      <c r="BA17" s="17">
        <f t="shared" si="7"/>
        <v>0</v>
      </c>
      <c r="BB17" s="17">
        <f>VLOOKUP($E17,Constants!$I:$K, 2, FALSE)</f>
        <v>1</v>
      </c>
      <c r="BC17" s="17">
        <f>VLOOKUP($E17,Constants!$I:$K, 3, FALSE)*IF(AND(D17="multiple_unit",Y17&lt;110),0.75,1)</f>
        <v>2</v>
      </c>
      <c r="BD17" s="17">
        <f>INT(POWER(((Constants!$G$2+$AW17+$AX17+$AY17+$BA17)*$AZ17)*$BC17, 1.05))+$AV17</f>
        <v>16</v>
      </c>
      <c r="BE17" s="17">
        <f>INT(POWER((((Constants!$G$1+$AW17+$AX17+$AY17+$BA17)*($AZ17))*$BB17),IF($D17="wagon",1,1.2)))+$AU17</f>
        <v>31</v>
      </c>
      <c r="BF17" s="20">
        <f t="shared" si="8"/>
        <v>12500</v>
      </c>
      <c r="BG17" s="20">
        <f t="shared" si="9"/>
        <v>2518.75</v>
      </c>
      <c r="BN17">
        <v>3</v>
      </c>
      <c r="BR17" s="23" t="str">
        <f>VLOOKUP(G17,Eras!$A$2:$C$10, 2, TRUE)</f>
        <v>ebr</v>
      </c>
      <c r="BS17" t="s">
        <v>61</v>
      </c>
      <c r="BT17" s="23" t="str">
        <f t="shared" si="10"/>
        <v>ebr_Cheap</v>
      </c>
      <c r="BU17" s="23" t="str">
        <f t="shared" si="11"/>
        <v>diesel_NARROW_GAUGE</v>
      </c>
      <c r="BV17" s="23" t="str">
        <f>VLOOKUP($BU17, Constants!$M:$N, 2, FALSE)</f>
        <v>{BLACK}Powered by: {GOLD}Diesel</v>
      </c>
      <c r="BW17" s="23" t="str">
        <f t="shared" si="12"/>
        <v/>
      </c>
      <c r="BX17" t="s">
        <v>414</v>
      </c>
      <c r="BY17" s="23" t="str">
        <f t="shared" si="13"/>
        <v/>
      </c>
      <c r="BZ17" s="23" t="str">
        <f t="shared" si="14"/>
        <v>{BLACK}Powered by: {GOLD}Diesel {}{SILVER}The Hunslet 0-4-0DM is powered by a Gardner 4LW engine and is typical of a narrow gauge locomotive used for engineering duties.</v>
      </c>
    </row>
    <row r="18" spans="1:78" x14ac:dyDescent="0.3">
      <c r="A18" t="s">
        <v>409</v>
      </c>
      <c r="B18" t="s">
        <v>410</v>
      </c>
      <c r="C18">
        <v>42</v>
      </c>
      <c r="D18" t="s">
        <v>236</v>
      </c>
      <c r="E18" t="s">
        <v>199</v>
      </c>
      <c r="F18" t="s">
        <v>338</v>
      </c>
      <c r="G18">
        <v>1954</v>
      </c>
      <c r="K18">
        <v>30</v>
      </c>
      <c r="Q18" s="13">
        <f t="shared" si="15"/>
        <v>150.06037491521562</v>
      </c>
      <c r="R18" s="6">
        <v>0.7</v>
      </c>
      <c r="S18" s="6">
        <f t="shared" si="16"/>
        <v>0</v>
      </c>
      <c r="T18">
        <v>5</v>
      </c>
      <c r="V18">
        <v>5</v>
      </c>
      <c r="W18">
        <v>16</v>
      </c>
      <c r="X18" s="4">
        <f t="shared" ref="X18" si="17">IF(AND(T18&gt;0,W18&gt;0),(W18/((T18+U18)*10)),"")</f>
        <v>0.32</v>
      </c>
      <c r="Y18">
        <v>24</v>
      </c>
      <c r="AB18">
        <v>6</v>
      </c>
      <c r="AE18" s="10">
        <v>0</v>
      </c>
      <c r="AF18" s="15" t="str">
        <f>CONCATENATE(VLOOKUP(AG18, 'Voxel Sizes'!$A$2:$B$18,2,FALSE),"x",INT(AC18*15), "x", INT(AD18*15))</f>
        <v>66x0x0</v>
      </c>
      <c r="AG18" s="15">
        <f t="shared" ref="AG18" si="18">ROUND(15*((AB18*10)/256),0)</f>
        <v>4</v>
      </c>
      <c r="AI18" s="15" t="str">
        <f>CONCATENATE(VLOOKUP(AG18,Constants!$A$2:$C$16,IF(AH18&lt;&gt;"", 3, 2), FALSE),IF(AH18&lt;&gt;"",CONCATENATE(",",VLOOKUP(AH18,$B:$AI,34,FALSE)),""))</f>
        <v>1,2,1</v>
      </c>
      <c r="AS18">
        <v>125</v>
      </c>
      <c r="AT18" s="15" t="str">
        <f t="shared" ref="AT18" si="19">IF(I18&lt;&gt;"",MAX(16,(I18-G18)+8),"")</f>
        <v/>
      </c>
      <c r="AU18">
        <v>-9</v>
      </c>
      <c r="AV18">
        <v>-12</v>
      </c>
      <c r="AW18" s="17">
        <f t="shared" ref="AW18" si="20">MIN(Y18/150, 1)*30</f>
        <v>4.8</v>
      </c>
      <c r="AX18" s="17">
        <f t="shared" ref="AX18" si="21">MIN(K18/4000, 1)*20</f>
        <v>0.15</v>
      </c>
      <c r="AY18" s="17">
        <f t="shared" ref="AY18" si="22">MIN(W18/400,1)*20</f>
        <v>0.8</v>
      </c>
      <c r="AZ18" s="18">
        <f t="shared" ref="AZ18" si="23">1-(MAX(G18-1900, 0)/750)</f>
        <v>0.92800000000000005</v>
      </c>
      <c r="BA18" s="17">
        <f t="shared" ref="BA18" si="24">((MAX($J18,1)*MIN($AE18/300,1)))*IF(D18="Wagon",50,10)</f>
        <v>0</v>
      </c>
      <c r="BB18" s="17">
        <f>VLOOKUP($E18,Constants!$I:$K, 2, FALSE)</f>
        <v>1.05</v>
      </c>
      <c r="BC18" s="17">
        <f>VLOOKUP($E18,Constants!$I:$K, 3, FALSE)*IF(AND(D18="multiple_unit",Y18&lt;110),0.75,1)</f>
        <v>1.9</v>
      </c>
      <c r="BD18" s="17">
        <f>INT(POWER(((Constants!$G$2+$AW18+$AX18+$AY18+$BA18)*$AZ18)*$BC18, 1.05))+$AV18</f>
        <v>9</v>
      </c>
      <c r="BE18" s="17">
        <f>INT(POWER((((Constants!$G$1+$AW18+$AX18+$AY18+$BA18)*($AZ18))*$BB18),IF($D18="wagon",1,1.2)))+$AU18</f>
        <v>27</v>
      </c>
      <c r="BF18" s="20">
        <f t="shared" ref="BF18" si="25">BD18*IF($D18="wagon",62.5,781.25)</f>
        <v>7031.25</v>
      </c>
      <c r="BG18" s="20">
        <f t="shared" ref="BG18" si="26">BE18*IF($D18="wagon",2.73,81.25)</f>
        <v>2193.75</v>
      </c>
      <c r="BN18">
        <v>7</v>
      </c>
      <c r="BR18" s="23" t="str">
        <f>VLOOKUP(G18,Eras!$A$2:$C$10, 2, TRUE)</f>
        <v>ebr</v>
      </c>
      <c r="BS18" t="s">
        <v>61</v>
      </c>
      <c r="BT18" s="23" t="str">
        <f t="shared" ref="BT18" si="27">CONCATENATE(BR18,"_",BS18)</f>
        <v>ebr_Cheap</v>
      </c>
      <c r="BU18" s="23" t="str">
        <f t="shared" ref="BU18" si="28">_xlfn.CONCAT(E18, "_",F18)</f>
        <v>petrol_NARROW_GAUGE</v>
      </c>
      <c r="BV18" s="23" t="str">
        <f>VLOOKUP($BU18, Constants!$M:$N, 2, FALSE)</f>
        <v>{BLACK}Powered by: {GOLD}Petrol</v>
      </c>
      <c r="BW18" s="23" t="str">
        <f t="shared" ref="BW18" si="29">IF(J18&gt;1,_xlfn.CONCAT("{BLACK}Cars: {GOLD}", J18),"")</f>
        <v/>
      </c>
      <c r="BX18" t="s">
        <v>415</v>
      </c>
      <c r="BY18" s="23" t="str">
        <f t="shared" ref="BY18" si="30">IF(BQ18="BRAKE","{YELLOW}Speed bonus for slow wagons{}",IF(BP18="NGPassengers", "{YELLOW}Preserved railway bonus: passengers pay more when hauled by old locomotives{}", IF(BO18&gt;190,CONCATENATE("{YELLOW}",INT((BO18-185)/1.85),"% Bonus for long distance travel{}"),IF(AND(BO18&lt;180,BO18&lt;&gt;0),CONCATENATE("{YELLOW}",INT((185-BO18)/1.85),"% Penalty for long distance travel{}"),""))))</f>
        <v/>
      </c>
      <c r="BZ18" s="23" t="str">
        <f t="shared" ref="BZ18" si="31">_xlfn.CONCAT(BV18,IF(BV18 &lt;&gt; "", " ", ""),BW18,IF(OR(BW18&lt;&gt;"", BV18&lt;&gt;""), "{}",""), BY18,"{SILVER}", BX18)</f>
        <v>{BLACK}Powered by: {GOLD}Petrol {}{SILVER}Talyllyn Railway volunteer John Bate built this small locomotive using the engine from a Austin Seven. The canopy was added later.</v>
      </c>
    </row>
    <row r="19" spans="1:78" x14ac:dyDescent="0.3">
      <c r="A19" t="s">
        <v>301</v>
      </c>
      <c r="B19" t="s">
        <v>302</v>
      </c>
      <c r="C19">
        <v>45</v>
      </c>
      <c r="D19" t="s">
        <v>236</v>
      </c>
      <c r="E19" t="s">
        <v>26</v>
      </c>
      <c r="F19" t="s">
        <v>338</v>
      </c>
      <c r="G19">
        <v>1982</v>
      </c>
      <c r="K19">
        <v>100</v>
      </c>
      <c r="Q19" s="13">
        <f t="shared" si="15"/>
        <v>218.83804675135613</v>
      </c>
      <c r="R19" s="6">
        <v>0.7</v>
      </c>
      <c r="S19" s="6">
        <f t="shared" si="16"/>
        <v>0</v>
      </c>
      <c r="T19">
        <v>10</v>
      </c>
      <c r="V19">
        <v>5</v>
      </c>
      <c r="W19">
        <v>36</v>
      </c>
      <c r="X19" s="4">
        <f t="shared" si="0"/>
        <v>0.36</v>
      </c>
      <c r="Y19">
        <v>35</v>
      </c>
      <c r="AB19">
        <v>7</v>
      </c>
      <c r="AE19" s="10">
        <v>0</v>
      </c>
      <c r="AF19" s="15" t="str">
        <f>CONCATENATE(VLOOKUP(AG19, 'Voxel Sizes'!$A$2:$B$18,2,FALSE),"x",INT(AC19*15), "x", INT(AD19*15))</f>
        <v>66x0x0</v>
      </c>
      <c r="AG19" s="15">
        <f t="shared" si="1"/>
        <v>4</v>
      </c>
      <c r="AI19" s="15" t="str">
        <f>CONCATENATE(VLOOKUP(AG19,Constants!$A$2:$C$16,IF(AH19&lt;&gt;"", 3, 2), FALSE),IF(AH19&lt;&gt;"",CONCATENATE(",",VLOOKUP(AH19,$B:$AI,34,FALSE)),""))</f>
        <v>1,2,1</v>
      </c>
      <c r="AS19">
        <v>125</v>
      </c>
      <c r="AT19" s="15" t="str">
        <f t="shared" si="2"/>
        <v/>
      </c>
      <c r="AU19">
        <v>-7</v>
      </c>
      <c r="AV19">
        <v>-6</v>
      </c>
      <c r="AW19" s="17">
        <f t="shared" si="3"/>
        <v>7</v>
      </c>
      <c r="AX19" s="17">
        <f t="shared" si="4"/>
        <v>0.5</v>
      </c>
      <c r="AY19" s="17">
        <f t="shared" si="5"/>
        <v>1.7999999999999998</v>
      </c>
      <c r="AZ19" s="18">
        <f t="shared" si="6"/>
        <v>0.89066666666666672</v>
      </c>
      <c r="BA19" s="17">
        <f t="shared" si="7"/>
        <v>0</v>
      </c>
      <c r="BB19" s="17">
        <f>VLOOKUP($E19,Constants!$I:$K, 2, FALSE)</f>
        <v>1</v>
      </c>
      <c r="BC19" s="17">
        <f>VLOOKUP($E19,Constants!$I:$K, 3, FALSE)*IF(AND(D19="multiple_unit",Y19&lt;110),0.75,1)</f>
        <v>2</v>
      </c>
      <c r="BD19" s="17">
        <f>INT(POWER(((Constants!$G$2+$AW19+$AX19+$AY19+$BA19)*$AZ19)*$BC19, 1.05))+$AV19</f>
        <v>23</v>
      </c>
      <c r="BE19" s="17">
        <f>INT(POWER((((Constants!$G$1+$AW19+$AX19+$AY19+$BA19)*($AZ19))*$BB19),IF($D19="wagon",1,1.2)))+$AU19</f>
        <v>33</v>
      </c>
      <c r="BF19" s="20">
        <f t="shared" si="8"/>
        <v>17968.75</v>
      </c>
      <c r="BG19" s="20">
        <f t="shared" si="9"/>
        <v>2681.25</v>
      </c>
      <c r="BN19">
        <v>4</v>
      </c>
      <c r="BR19" s="23" t="str">
        <f>VLOOKUP(G19,Eras!$A$2:$C$10, 2, TRUE)</f>
        <v>lbr</v>
      </c>
      <c r="BS19" t="s">
        <v>61</v>
      </c>
      <c r="BT19" s="23" t="str">
        <f t="shared" si="10"/>
        <v>lbr_Cheap</v>
      </c>
      <c r="BU19" s="23" t="str">
        <f t="shared" si="11"/>
        <v>diesel_NARROW_GAUGE</v>
      </c>
      <c r="BV19" s="23" t="str">
        <f>VLOOKUP($BU19, Constants!$M:$N, 2, FALSE)</f>
        <v>{BLACK}Powered by: {GOLD}Diesel</v>
      </c>
      <c r="BW19" s="23" t="str">
        <f t="shared" si="12"/>
        <v/>
      </c>
      <c r="BX19" t="s">
        <v>327</v>
      </c>
      <c r="BY19" s="23" t="str">
        <f t="shared" si="13"/>
        <v/>
      </c>
      <c r="BZ19" s="23" t="str">
        <f t="shared" si="14"/>
        <v>{BLACK}Powered by: {GOLD}Diesel {}{SILVER}Larger and more powerful diesel shunters displaced steam from industrial lines as they were more economical to run. Even preservation railways keep some around for utility duties.</v>
      </c>
    </row>
    <row r="20" spans="1:78" x14ac:dyDescent="0.3">
      <c r="A20" t="s">
        <v>328</v>
      </c>
      <c r="B20" t="s">
        <v>329</v>
      </c>
      <c r="C20">
        <v>80</v>
      </c>
      <c r="D20" t="s">
        <v>15</v>
      </c>
      <c r="E20" t="s">
        <v>32</v>
      </c>
      <c r="F20" t="s">
        <v>338</v>
      </c>
      <c r="G20">
        <v>1800</v>
      </c>
      <c r="I20">
        <v>1880</v>
      </c>
      <c r="T20">
        <v>4</v>
      </c>
      <c r="V20">
        <v>3</v>
      </c>
      <c r="X20" s="4" t="str">
        <f t="shared" si="0"/>
        <v/>
      </c>
      <c r="Y20">
        <v>25</v>
      </c>
      <c r="AA20">
        <v>6</v>
      </c>
      <c r="AB20">
        <v>6</v>
      </c>
      <c r="AE20" s="10">
        <v>12</v>
      </c>
      <c r="AF20" s="15" t="str">
        <f>CONCATENATE(VLOOKUP(AG20, 'Voxel Sizes'!$A$2:$B$18,2,FALSE),"x",INT(AC20*15), "x", INT(AD20*15))</f>
        <v>66x0x0</v>
      </c>
      <c r="AG20" s="15">
        <f t="shared" si="1"/>
        <v>4</v>
      </c>
      <c r="AI20" s="15" t="str">
        <f>CONCATENATE(VLOOKUP(AG20,Constants!$A$2:$C$16,IF(AH20&lt;&gt;"", 3, 2), FALSE),IF(AH20&lt;&gt;"",CONCATENATE(",",VLOOKUP(AH20,$B:$AI,34,FALSE)),""))</f>
        <v>1,2,1</v>
      </c>
      <c r="AS20">
        <v>80</v>
      </c>
      <c r="AT20" s="15">
        <f t="shared" si="2"/>
        <v>88</v>
      </c>
      <c r="AW20" s="17">
        <f t="shared" si="3"/>
        <v>5</v>
      </c>
      <c r="AX20" s="17">
        <f t="shared" si="4"/>
        <v>0</v>
      </c>
      <c r="AY20" s="17">
        <f t="shared" si="5"/>
        <v>0</v>
      </c>
      <c r="AZ20" s="18">
        <f t="shared" si="6"/>
        <v>1</v>
      </c>
      <c r="BA20" s="17">
        <f t="shared" si="7"/>
        <v>0.4</v>
      </c>
      <c r="BB20" s="17">
        <f>VLOOKUP($E20,Constants!$I:$K, 2, FALSE)</f>
        <v>1</v>
      </c>
      <c r="BC20" s="17">
        <f>VLOOKUP($E20,Constants!$I:$K, 3, FALSE)*IF(AND(D20="multiple_unit",Y20&lt;110),0.75,1)</f>
        <v>0.45</v>
      </c>
      <c r="BD20" s="17">
        <f>INT(POWER(((Constants!$G$2+$AW20+$AX20+$AY20+$BA20)*$AZ20)*$BC20, 1.05))+$AV20</f>
        <v>5</v>
      </c>
      <c r="BE20" s="17">
        <f>INT(POWER((((Constants!$G$1+$AW20+$AX20+$AY20+$BA20)*($AZ20))*$BB20),IF($D20="wagon",1,1.2)))+$AU20</f>
        <v>37</v>
      </c>
      <c r="BF20" s="20">
        <f t="shared" si="8"/>
        <v>3906.25</v>
      </c>
      <c r="BG20" s="20">
        <f t="shared" si="9"/>
        <v>3006.25</v>
      </c>
      <c r="BN20">
        <v>1</v>
      </c>
      <c r="BO20">
        <v>74</v>
      </c>
      <c r="BP20" t="s">
        <v>142</v>
      </c>
      <c r="BQ20" t="s">
        <v>34</v>
      </c>
      <c r="BR20" s="23" t="str">
        <f>VLOOKUP(G20,Eras!$A$2:$C$10, 2, TRUE)</f>
        <v>early</v>
      </c>
      <c r="BS20" t="s">
        <v>75</v>
      </c>
      <c r="BT20" s="23" t="str">
        <f t="shared" si="10"/>
        <v>early_Open Wagon</v>
      </c>
      <c r="BU20" s="23" t="str">
        <f t="shared" si="11"/>
        <v>wagon_NARROW_GAUGE</v>
      </c>
      <c r="BV20" s="23" t="str">
        <f>VLOOKUP($BU20, Constants!$M:$N, 2, FALSE)</f>
        <v/>
      </c>
      <c r="BW20" s="23" t="str">
        <f t="shared" si="12"/>
        <v/>
      </c>
      <c r="BX20" t="s">
        <v>330</v>
      </c>
      <c r="BY20" s="23" t="str">
        <f t="shared" si="13"/>
        <v>{YELLOW}60% Penalty for long distance travel{}</v>
      </c>
      <c r="BZ20" s="23" t="str">
        <f t="shared" si="14"/>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1" spans="1:78" x14ac:dyDescent="0.3">
      <c r="A21" t="s">
        <v>251</v>
      </c>
      <c r="B21" t="s">
        <v>253</v>
      </c>
      <c r="C21">
        <v>81</v>
      </c>
      <c r="D21" t="s">
        <v>32</v>
      </c>
      <c r="E21" t="s">
        <v>32</v>
      </c>
      <c r="F21" t="s">
        <v>338</v>
      </c>
      <c r="G21">
        <v>1863</v>
      </c>
      <c r="T21">
        <v>6</v>
      </c>
      <c r="V21">
        <v>4</v>
      </c>
      <c r="X21" s="4" t="str">
        <f t="shared" si="0"/>
        <v/>
      </c>
      <c r="Y21">
        <v>35</v>
      </c>
      <c r="AA21">
        <v>8</v>
      </c>
      <c r="AB21">
        <v>8</v>
      </c>
      <c r="AE21" s="10">
        <v>18</v>
      </c>
      <c r="AF21" s="15" t="str">
        <f>CONCATENATE(VLOOKUP(AG21, 'Voxel Sizes'!$A$2:$B$18,2,FALSE),"x",INT(AC21*15), "x", INT(AD21*15))</f>
        <v>82x0x0</v>
      </c>
      <c r="AG21" s="15">
        <f t="shared" si="1"/>
        <v>5</v>
      </c>
      <c r="AI21" s="15" t="str">
        <f>CONCATENATE(VLOOKUP(AG21,Constants!$A$2:$C$16,IF(AH21&lt;&gt;"", 3, 2), FALSE),IF(AH21&lt;&gt;"",CONCATENATE(",",VLOOKUP(AH21,$B:$AI,34,FALSE)),""))</f>
        <v>2,1,2</v>
      </c>
      <c r="AS21">
        <v>80</v>
      </c>
      <c r="AT21" s="15" t="str">
        <f t="shared" si="2"/>
        <v/>
      </c>
      <c r="AU21">
        <v>40</v>
      </c>
      <c r="AV21">
        <v>30</v>
      </c>
      <c r="AW21" s="17">
        <f t="shared" si="3"/>
        <v>7</v>
      </c>
      <c r="AX21" s="17">
        <f t="shared" si="4"/>
        <v>0</v>
      </c>
      <c r="AY21" s="17">
        <f t="shared" si="5"/>
        <v>0</v>
      </c>
      <c r="AZ21" s="18">
        <f t="shared" si="6"/>
        <v>1</v>
      </c>
      <c r="BA21" s="17">
        <f t="shared" si="7"/>
        <v>3</v>
      </c>
      <c r="BB21" s="17">
        <f>VLOOKUP($E21,Constants!$I:$K, 2, FALSE)</f>
        <v>1</v>
      </c>
      <c r="BC21" s="17">
        <f>VLOOKUP($E21,Constants!$I:$K, 3, FALSE)*IF(AND(D21="multiple_unit",Y21&lt;110),0.75,1)</f>
        <v>0.45</v>
      </c>
      <c r="BD21" s="17">
        <f>INT(POWER(((Constants!$G$2+$AW21+$AX21+$AY21+$BA21)*$AZ21)*$BC21, 1.05))+$AV21</f>
        <v>37</v>
      </c>
      <c r="BE21" s="17">
        <f>INT(POWER((((Constants!$G$1+$AW21+$AX21+$AY21+$BA21)*($AZ21))*$BB21),IF($D21="wagon",1,1.2)))+$AU21</f>
        <v>65</v>
      </c>
      <c r="BF21" s="20">
        <f t="shared" si="8"/>
        <v>2312.5</v>
      </c>
      <c r="BG21" s="20">
        <f t="shared" si="9"/>
        <v>177.45</v>
      </c>
      <c r="BN21">
        <v>1</v>
      </c>
      <c r="BO21">
        <v>74</v>
      </c>
      <c r="BP21" t="s">
        <v>275</v>
      </c>
      <c r="BQ21" t="s">
        <v>34</v>
      </c>
      <c r="BR21" s="23" t="str">
        <f>VLOOKUP(G21,Eras!$A$2:$C$10, 2, TRUE)</f>
        <v>vct</v>
      </c>
      <c r="BS21" t="s">
        <v>75</v>
      </c>
      <c r="BT21" s="23" t="str">
        <f t="shared" si="10"/>
        <v>vct_Open Wagon</v>
      </c>
      <c r="BU21" s="23" t="str">
        <f t="shared" si="11"/>
        <v>wagon_NARROW_GAUGE</v>
      </c>
      <c r="BV21" s="23" t="str">
        <f>VLOOKUP($BU21, Constants!$M:$N, 2, FALSE)</f>
        <v/>
      </c>
      <c r="BW21" s="23" t="str">
        <f t="shared" si="12"/>
        <v/>
      </c>
      <c r="BX21" t="s">
        <v>285</v>
      </c>
      <c r="BY21" s="23" t="str">
        <f t="shared" si="13"/>
        <v>{YELLOW}Preserved railway bonus: passengers pay more when hauled by old locomotives{}</v>
      </c>
      <c r="BZ21" s="23" t="str">
        <f t="shared" si="14"/>
        <v>{YELLOW}Preserved railway bonus: passengers pay more when hauled by old locomotives{}{SILVER}When narrow gauge began operating passenger services, carriages were simple, flat-sided vehicles build around wooden frames on a four-wheel chassis.</v>
      </c>
    </row>
    <row r="22" spans="1:78" x14ac:dyDescent="0.3">
      <c r="A22" t="s">
        <v>252</v>
      </c>
      <c r="B22" t="s">
        <v>254</v>
      </c>
      <c r="C22">
        <v>82</v>
      </c>
      <c r="D22" t="s">
        <v>32</v>
      </c>
      <c r="E22" t="s">
        <v>32</v>
      </c>
      <c r="F22" t="s">
        <v>338</v>
      </c>
      <c r="G22">
        <v>1900</v>
      </c>
      <c r="T22">
        <v>8</v>
      </c>
      <c r="V22">
        <v>4</v>
      </c>
      <c r="X22" s="4" t="str">
        <f t="shared" si="0"/>
        <v/>
      </c>
      <c r="Y22">
        <v>45</v>
      </c>
      <c r="AA22">
        <v>12</v>
      </c>
      <c r="AB22">
        <v>12</v>
      </c>
      <c r="AE22" s="10">
        <v>36</v>
      </c>
      <c r="AF22" s="15" t="str">
        <f>CONCATENATE(VLOOKUP(AG22, 'Voxel Sizes'!$A$2:$B$18,2,FALSE),"x",INT(AC22*15), "x", INT(AD22*15))</f>
        <v>120x0x0</v>
      </c>
      <c r="AG22" s="15">
        <f t="shared" si="1"/>
        <v>7</v>
      </c>
      <c r="AI22" s="15" t="str">
        <f>CONCATENATE(VLOOKUP(AG22,Constants!$A$2:$C$16,IF(AH22&lt;&gt;"", 3, 2), FALSE),IF(AH22&lt;&gt;"",CONCATENATE(",",VLOOKUP(AH22,$B:$AI,34,FALSE)),""))</f>
        <v>2,3,2</v>
      </c>
      <c r="AS22">
        <v>80</v>
      </c>
      <c r="AT22" s="15" t="str">
        <f t="shared" si="2"/>
        <v/>
      </c>
      <c r="AU22">
        <v>50</v>
      </c>
      <c r="AV22">
        <v>40</v>
      </c>
      <c r="AW22" s="17">
        <f t="shared" si="3"/>
        <v>9</v>
      </c>
      <c r="AX22" s="17">
        <f t="shared" si="4"/>
        <v>0</v>
      </c>
      <c r="AY22" s="17">
        <f t="shared" si="5"/>
        <v>0</v>
      </c>
      <c r="AZ22" s="18">
        <f t="shared" si="6"/>
        <v>1</v>
      </c>
      <c r="BA22" s="17">
        <f t="shared" si="7"/>
        <v>6</v>
      </c>
      <c r="BB22" s="17">
        <f>VLOOKUP($E22,Constants!$I:$K, 2, FALSE)</f>
        <v>1</v>
      </c>
      <c r="BC22" s="17">
        <f>VLOOKUP($E22,Constants!$I:$K, 3, FALSE)*IF(AND(D22="multiple_unit",Y22&lt;110),0.75,1)</f>
        <v>0.45</v>
      </c>
      <c r="BD22" s="17">
        <f>INT(POWER(((Constants!$G$2+$AW22+$AX22+$AY22+$BA22)*$AZ22)*$BC22, 1.05))+$AV22</f>
        <v>50</v>
      </c>
      <c r="BE22" s="17">
        <f>INT(POWER((((Constants!$G$1+$AW22+$AX22+$AY22+$BA22)*($AZ22))*$BB22),IF($D22="wagon",1,1.2)))+$AU22</f>
        <v>80</v>
      </c>
      <c r="BF22" s="20">
        <f t="shared" si="8"/>
        <v>3125</v>
      </c>
      <c r="BG22" s="20">
        <f t="shared" si="9"/>
        <v>218.4</v>
      </c>
      <c r="BN22">
        <v>1</v>
      </c>
      <c r="BO22">
        <v>74</v>
      </c>
      <c r="BP22" t="s">
        <v>275</v>
      </c>
      <c r="BQ22" t="s">
        <v>34</v>
      </c>
      <c r="BR22" s="23" t="str">
        <f>VLOOKUP(G22,Eras!$A$2:$C$10, 2, TRUE)</f>
        <v>edw</v>
      </c>
      <c r="BS22" t="s">
        <v>75</v>
      </c>
      <c r="BT22" s="23" t="str">
        <f t="shared" si="10"/>
        <v>edw_Open Wagon</v>
      </c>
      <c r="BU22" s="23" t="str">
        <f t="shared" si="11"/>
        <v>wagon_NARROW_GAUGE</v>
      </c>
      <c r="BV22" s="23" t="str">
        <f>VLOOKUP($BU22, Constants!$M:$N, 2, FALSE)</f>
        <v/>
      </c>
      <c r="BW22" s="23" t="str">
        <f t="shared" si="12"/>
        <v/>
      </c>
      <c r="BX22" t="s">
        <v>287</v>
      </c>
      <c r="BY22" s="23" t="str">
        <f t="shared" si="13"/>
        <v>{YELLOW}Preserved railway bonus: passengers pay more when hauled by old locomotives{}</v>
      </c>
      <c r="BZ22" s="23" t="str">
        <f t="shared" si="14"/>
        <v>{YELLOW}Preserved railway bonus: passengers pay more when hauled by old locomotives{}{SILVER}Later narrow gauge carriages increased in length where loading gauges allowed, using bogies to help negotiate tight curves.</v>
      </c>
    </row>
    <row r="23" spans="1:78" x14ac:dyDescent="0.3">
      <c r="A23" t="s">
        <v>255</v>
      </c>
      <c r="B23" t="s">
        <v>257</v>
      </c>
      <c r="C23">
        <v>84</v>
      </c>
      <c r="D23" t="s">
        <v>32</v>
      </c>
      <c r="E23" t="s">
        <v>32</v>
      </c>
      <c r="F23" t="s">
        <v>338</v>
      </c>
      <c r="G23">
        <v>1863</v>
      </c>
      <c r="T23">
        <v>5</v>
      </c>
      <c r="V23">
        <v>4</v>
      </c>
      <c r="X23" s="4" t="str">
        <f t="shared" si="0"/>
        <v/>
      </c>
      <c r="Y23">
        <v>35</v>
      </c>
      <c r="AA23">
        <v>8</v>
      </c>
      <c r="AB23">
        <v>8</v>
      </c>
      <c r="AE23" s="10">
        <v>24</v>
      </c>
      <c r="AF23" s="15" t="str">
        <f>CONCATENATE(VLOOKUP(AG23, 'Voxel Sizes'!$A$2:$B$18,2,FALSE),"x",INT(AC23*15), "x", INT(AD23*15))</f>
        <v>82x0x0</v>
      </c>
      <c r="AG23" s="15">
        <f t="shared" si="1"/>
        <v>5</v>
      </c>
      <c r="AI23" s="15" t="str">
        <f>CONCATENATE(VLOOKUP(AG23,Constants!$A$2:$C$16,IF(AH23&lt;&gt;"", 3, 2), FALSE),IF(AH23&lt;&gt;"",CONCATENATE(",",VLOOKUP(AH23,$B:$AI,34,FALSE)),""))</f>
        <v>2,1,2</v>
      </c>
      <c r="AS23">
        <v>80</v>
      </c>
      <c r="AT23" s="15" t="str">
        <f t="shared" si="2"/>
        <v/>
      </c>
      <c r="AU23">
        <v>40</v>
      </c>
      <c r="AV23">
        <v>30</v>
      </c>
      <c r="AW23" s="17">
        <f t="shared" si="3"/>
        <v>7</v>
      </c>
      <c r="AX23" s="17">
        <f t="shared" si="4"/>
        <v>0</v>
      </c>
      <c r="AY23" s="17">
        <f t="shared" si="5"/>
        <v>0</v>
      </c>
      <c r="AZ23" s="18">
        <f t="shared" si="6"/>
        <v>1</v>
      </c>
      <c r="BA23" s="17">
        <f t="shared" si="7"/>
        <v>4</v>
      </c>
      <c r="BB23" s="17">
        <f>VLOOKUP($E23,Constants!$I:$K, 2, FALSE)</f>
        <v>1</v>
      </c>
      <c r="BC23" s="17">
        <f>VLOOKUP($E23,Constants!$I:$K, 3, FALSE)*IF(AND(D23="multiple_unit",Y23&lt;110),0.75,1)</f>
        <v>0.45</v>
      </c>
      <c r="BD23" s="17">
        <f>INT(POWER(((Constants!$G$2+$AW23+$AX23+$AY23+$BA23)*$AZ23)*$BC23, 1.05))+$AV23</f>
        <v>37</v>
      </c>
      <c r="BE23" s="17">
        <f>INT(POWER((((Constants!$G$1+$AW23+$AX23+$AY23+$BA23)*($AZ23))*$BB23),IF($D23="wagon",1,1.2)))+$AU23</f>
        <v>66</v>
      </c>
      <c r="BF23" s="20">
        <f t="shared" si="8"/>
        <v>2312.5</v>
      </c>
      <c r="BG23" s="20">
        <f t="shared" si="9"/>
        <v>180.18</v>
      </c>
      <c r="BN23">
        <v>1</v>
      </c>
      <c r="BO23">
        <v>185</v>
      </c>
      <c r="BP23" t="s">
        <v>276</v>
      </c>
      <c r="BQ23" t="s">
        <v>280</v>
      </c>
      <c r="BR23" s="23" t="str">
        <f>VLOOKUP(G23,Eras!$A$2:$C$10, 2, TRUE)</f>
        <v>vct</v>
      </c>
      <c r="BS23" t="s">
        <v>75</v>
      </c>
      <c r="BT23" s="23" t="str">
        <f t="shared" si="10"/>
        <v>vct_Open Wagon</v>
      </c>
      <c r="BU23" s="23" t="str">
        <f t="shared" si="11"/>
        <v>wagon_NARROW_GAUGE</v>
      </c>
      <c r="BV23" s="23" t="str">
        <f>VLOOKUP($BU23, Constants!$M:$N, 2, FALSE)</f>
        <v/>
      </c>
      <c r="BW23" s="23" t="str">
        <f t="shared" si="12"/>
        <v/>
      </c>
      <c r="BX23" t="s">
        <v>286</v>
      </c>
      <c r="BY23" s="23" t="str">
        <f t="shared" si="13"/>
        <v/>
      </c>
      <c r="BZ23" s="23" t="str">
        <f t="shared" si="14"/>
        <v>{SILVER}Brake vans were rarer on narrow gauge railways, but passenger services would typically have a guard's wagon which could also carry parcels.</v>
      </c>
    </row>
    <row r="24" spans="1:78" x14ac:dyDescent="0.3">
      <c r="A24" t="s">
        <v>256</v>
      </c>
      <c r="B24" t="s">
        <v>258</v>
      </c>
      <c r="C24">
        <v>85</v>
      </c>
      <c r="D24" t="s">
        <v>32</v>
      </c>
      <c r="E24" t="s">
        <v>32</v>
      </c>
      <c r="F24" t="s">
        <v>338</v>
      </c>
      <c r="G24">
        <v>1900</v>
      </c>
      <c r="T24">
        <v>7</v>
      </c>
      <c r="V24">
        <v>4</v>
      </c>
      <c r="X24" s="4" t="str">
        <f t="shared" si="0"/>
        <v/>
      </c>
      <c r="Y24">
        <v>45</v>
      </c>
      <c r="AA24">
        <v>12</v>
      </c>
      <c r="AB24">
        <v>12</v>
      </c>
      <c r="AE24" s="10">
        <v>42</v>
      </c>
      <c r="AF24" s="15" t="str">
        <f>CONCATENATE(VLOOKUP(AG24, 'Voxel Sizes'!$A$2:$B$18,2,FALSE),"x",INT(AC24*15), "x", INT(AD24*15))</f>
        <v>120x0x0</v>
      </c>
      <c r="AG24" s="15">
        <f t="shared" si="1"/>
        <v>7</v>
      </c>
      <c r="AI24" s="15" t="str">
        <f>CONCATENATE(VLOOKUP(AG24,Constants!$A$2:$C$16,IF(AH24&lt;&gt;"", 3, 2), FALSE),IF(AH24&lt;&gt;"",CONCATENATE(",",VLOOKUP(AH24,$B:$AI,34,FALSE)),""))</f>
        <v>2,3,2</v>
      </c>
      <c r="AS24">
        <v>80</v>
      </c>
      <c r="AT24" s="15" t="str">
        <f t="shared" si="2"/>
        <v/>
      </c>
      <c r="AU24">
        <v>50</v>
      </c>
      <c r="AV24">
        <v>40</v>
      </c>
      <c r="AW24" s="17">
        <f t="shared" si="3"/>
        <v>9</v>
      </c>
      <c r="AX24" s="17">
        <f t="shared" si="4"/>
        <v>0</v>
      </c>
      <c r="AY24" s="17">
        <f t="shared" si="5"/>
        <v>0</v>
      </c>
      <c r="AZ24" s="18">
        <f t="shared" si="6"/>
        <v>1</v>
      </c>
      <c r="BA24" s="17">
        <f t="shared" si="7"/>
        <v>7.0000000000000009</v>
      </c>
      <c r="BB24" s="17">
        <f>VLOOKUP($E24,Constants!$I:$K, 2, FALSE)</f>
        <v>1</v>
      </c>
      <c r="BC24" s="17">
        <f>VLOOKUP($E24,Constants!$I:$K, 3, FALSE)*IF(AND(D24="multiple_unit",Y24&lt;110),0.75,1)</f>
        <v>0.45</v>
      </c>
      <c r="BD24" s="17">
        <f>INT(POWER(((Constants!$G$2+$AW24+$AX24+$AY24+$BA24)*$AZ24)*$BC24, 1.05))+$AV24</f>
        <v>50</v>
      </c>
      <c r="BE24" s="17">
        <f>INT(POWER((((Constants!$G$1+$AW24+$AX24+$AY24+$BA24)*($AZ24))*$BB24),IF($D24="wagon",1,1.2)))+$AU24</f>
        <v>81</v>
      </c>
      <c r="BF24" s="20">
        <f t="shared" si="8"/>
        <v>3125</v>
      </c>
      <c r="BG24" s="20">
        <f t="shared" si="9"/>
        <v>221.13</v>
      </c>
      <c r="BN24">
        <v>1</v>
      </c>
      <c r="BO24">
        <v>185</v>
      </c>
      <c r="BP24" t="s">
        <v>276</v>
      </c>
      <c r="BQ24" t="s">
        <v>280</v>
      </c>
      <c r="BR24" s="23" t="str">
        <f>VLOOKUP(G24,Eras!$A$2:$C$10, 2, TRUE)</f>
        <v>edw</v>
      </c>
      <c r="BS24" t="s">
        <v>75</v>
      </c>
      <c r="BT24" s="23" t="str">
        <f t="shared" si="10"/>
        <v>edw_Open Wagon</v>
      </c>
      <c r="BU24" s="23" t="str">
        <f t="shared" si="11"/>
        <v>wagon_NARROW_GAUGE</v>
      </c>
      <c r="BV24" s="23" t="str">
        <f>VLOOKUP($BU24, Constants!$M:$N, 2, FALSE)</f>
        <v/>
      </c>
      <c r="BW24" s="23" t="str">
        <f t="shared" si="12"/>
        <v/>
      </c>
      <c r="BX24" t="s">
        <v>288</v>
      </c>
      <c r="BY24" s="23" t="str">
        <f t="shared" si="13"/>
        <v/>
      </c>
      <c r="BZ24" s="23" t="str">
        <f t="shared" si="14"/>
        <v>{SILVER}Larger and heavier carriages also meant larger and heavier guard's vans.</v>
      </c>
    </row>
    <row r="25" spans="1:78" x14ac:dyDescent="0.3">
      <c r="A25" t="s">
        <v>243</v>
      </c>
      <c r="B25" t="s">
        <v>246</v>
      </c>
      <c r="C25">
        <v>86</v>
      </c>
      <c r="D25" t="s">
        <v>32</v>
      </c>
      <c r="E25" t="s">
        <v>32</v>
      </c>
      <c r="F25" t="s">
        <v>338</v>
      </c>
      <c r="G25">
        <v>1800</v>
      </c>
      <c r="I25">
        <v>1900</v>
      </c>
      <c r="T25">
        <v>2</v>
      </c>
      <c r="V25">
        <v>3</v>
      </c>
      <c r="X25" s="4" t="str">
        <f t="shared" si="0"/>
        <v/>
      </c>
      <c r="Y25">
        <v>25</v>
      </c>
      <c r="AA25">
        <v>4.9000000000000004</v>
      </c>
      <c r="AB25">
        <v>6</v>
      </c>
      <c r="AE25" s="10">
        <v>9</v>
      </c>
      <c r="AF25" s="15" t="str">
        <f>CONCATENATE(VLOOKUP(AG25, 'Voxel Sizes'!$A$2:$B$18,2,FALSE),"x",INT(AC25*15), "x", INT(AD25*15))</f>
        <v>66x0x0</v>
      </c>
      <c r="AG25" s="15">
        <f t="shared" si="1"/>
        <v>4</v>
      </c>
      <c r="AI25" s="15" t="str">
        <f>CONCATENATE(VLOOKUP(AG25,Constants!$A$2:$C$16,IF(AH25&lt;&gt;"", 3, 2), FALSE),IF(AH25&lt;&gt;"",CONCATENATE(",",VLOOKUP(AH25,$B:$AI,34,FALSE)),""))</f>
        <v>1,2,1</v>
      </c>
      <c r="AS25">
        <v>80</v>
      </c>
      <c r="AT25" s="15">
        <f t="shared" si="2"/>
        <v>108</v>
      </c>
      <c r="AW25" s="17">
        <f t="shared" si="3"/>
        <v>5</v>
      </c>
      <c r="AX25" s="17">
        <f t="shared" si="4"/>
        <v>0</v>
      </c>
      <c r="AY25" s="17">
        <f t="shared" si="5"/>
        <v>0</v>
      </c>
      <c r="AZ25" s="18">
        <f t="shared" si="6"/>
        <v>1</v>
      </c>
      <c r="BA25" s="17">
        <f t="shared" si="7"/>
        <v>1.5</v>
      </c>
      <c r="BB25" s="17">
        <f>VLOOKUP($E25,Constants!$I:$K, 2, FALSE)</f>
        <v>1</v>
      </c>
      <c r="BC25" s="17">
        <f>VLOOKUP($E25,Constants!$I:$K, 3, FALSE)*IF(AND(D25="multiple_unit",Y25&lt;110),0.75,1)</f>
        <v>0.45</v>
      </c>
      <c r="BD25" s="17">
        <f>INT(POWER(((Constants!$G$2+$AW25+$AX25+$AY25+$BA25)*$AZ25)*$BC25, 1.05))+$AV25</f>
        <v>5</v>
      </c>
      <c r="BE25" s="17">
        <f>INT(POWER((((Constants!$G$1+$AW25+$AX25+$AY25+$BA25)*($AZ25))*$BB25),IF($D25="wagon",1,1.2)))+$AU25</f>
        <v>21</v>
      </c>
      <c r="BF25" s="20">
        <f t="shared" si="8"/>
        <v>312.5</v>
      </c>
      <c r="BG25" s="20">
        <f t="shared" si="9"/>
        <v>57.33</v>
      </c>
      <c r="BN25">
        <v>1</v>
      </c>
      <c r="BO25">
        <v>185</v>
      </c>
      <c r="BP25" t="s">
        <v>244</v>
      </c>
      <c r="BQ25" t="s">
        <v>245</v>
      </c>
      <c r="BR25" s="23" t="str">
        <f>VLOOKUP(G25,Eras!$A$2:$C$10, 2, TRUE)</f>
        <v>early</v>
      </c>
      <c r="BS25" t="s">
        <v>75</v>
      </c>
      <c r="BT25" s="23" t="str">
        <f t="shared" si="10"/>
        <v>early_Open Wagon</v>
      </c>
      <c r="BU25" s="23" t="str">
        <f t="shared" si="11"/>
        <v>wagon_NARROW_GAUGE</v>
      </c>
      <c r="BV25" s="23" t="str">
        <f>VLOOKUP($BU25, Constants!$M:$N, 2, FALSE)</f>
        <v/>
      </c>
      <c r="BW25" s="23" t="str">
        <f t="shared" si="12"/>
        <v/>
      </c>
      <c r="BX25" t="s">
        <v>247</v>
      </c>
      <c r="BY25" s="23" t="str">
        <f t="shared" si="13"/>
        <v/>
      </c>
      <c r="BZ25" s="23" t="str">
        <f t="shared" si="14"/>
        <v>{SILVER}An open wagon for carrying bulk cargo on narrow gauge railways.</v>
      </c>
    </row>
    <row r="26" spans="1:78" x14ac:dyDescent="0.3">
      <c r="A26" t="s">
        <v>259</v>
      </c>
      <c r="B26" t="s">
        <v>260</v>
      </c>
      <c r="C26">
        <v>87</v>
      </c>
      <c r="D26" t="s">
        <v>32</v>
      </c>
      <c r="E26" t="s">
        <v>32</v>
      </c>
      <c r="F26" t="s">
        <v>338</v>
      </c>
      <c r="G26">
        <v>1870</v>
      </c>
      <c r="T26">
        <v>2</v>
      </c>
      <c r="V26">
        <v>4</v>
      </c>
      <c r="X26" s="4" t="str">
        <f t="shared" si="0"/>
        <v/>
      </c>
      <c r="Y26">
        <v>30</v>
      </c>
      <c r="AA26">
        <v>8</v>
      </c>
      <c r="AB26">
        <v>8</v>
      </c>
      <c r="AE26" s="10">
        <v>12</v>
      </c>
      <c r="AF26" s="15" t="str">
        <f>CONCATENATE(VLOOKUP(AG26, 'Voxel Sizes'!$A$2:$B$18,2,FALSE),"x",INT(AC26*15), "x", INT(AD26*15))</f>
        <v>82x0x0</v>
      </c>
      <c r="AG26" s="15">
        <f t="shared" si="1"/>
        <v>5</v>
      </c>
      <c r="AI26" s="15" t="str">
        <f>CONCATENATE(VLOOKUP(AG26,Constants!$A$2:$C$16,IF(AH26&lt;&gt;"", 3, 2), FALSE),IF(AH26&lt;&gt;"",CONCATENATE(",",VLOOKUP(AH26,$B:$AI,34,FALSE)),""))</f>
        <v>2,1,2</v>
      </c>
      <c r="AS26">
        <v>80</v>
      </c>
      <c r="AT26" s="15" t="str">
        <f t="shared" si="2"/>
        <v/>
      </c>
      <c r="AW26" s="17">
        <f t="shared" si="3"/>
        <v>6</v>
      </c>
      <c r="AX26" s="17">
        <f t="shared" si="4"/>
        <v>0</v>
      </c>
      <c r="AY26" s="17">
        <f t="shared" si="5"/>
        <v>0</v>
      </c>
      <c r="AZ26" s="18">
        <f t="shared" si="6"/>
        <v>1</v>
      </c>
      <c r="BA26" s="17">
        <f t="shared" si="7"/>
        <v>2</v>
      </c>
      <c r="BB26" s="17">
        <f>VLOOKUP($E26,Constants!$I:$K, 2, FALSE)</f>
        <v>1</v>
      </c>
      <c r="BC26" s="17">
        <f>VLOOKUP($E26,Constants!$I:$K, 3, FALSE)*IF(AND(D26="multiple_unit",Y26&lt;110),0.75,1)</f>
        <v>0.45</v>
      </c>
      <c r="BD26" s="17">
        <f>INT(POWER(((Constants!$G$2+$AW26+$AX26+$AY26+$BA26)*$AZ26)*$BC26, 1.05))+$AV26</f>
        <v>6</v>
      </c>
      <c r="BE26" s="17">
        <f>INT(POWER((((Constants!$G$1+$AW26+$AX26+$AY26+$BA26)*($AZ26))*$BB26),IF($D26="wagon",1,1.2)))+$AU26</f>
        <v>23</v>
      </c>
      <c r="BF26" s="20">
        <f t="shared" si="8"/>
        <v>375</v>
      </c>
      <c r="BG26" s="20">
        <f t="shared" si="9"/>
        <v>62.79</v>
      </c>
      <c r="BN26">
        <v>1</v>
      </c>
      <c r="BO26">
        <v>185</v>
      </c>
      <c r="BP26" t="s">
        <v>277</v>
      </c>
      <c r="BQ26" t="s">
        <v>245</v>
      </c>
      <c r="BR26" s="23" t="str">
        <f>VLOOKUP(G26,Eras!$A$2:$C$10, 2, TRUE)</f>
        <v>vct</v>
      </c>
      <c r="BS26" t="s">
        <v>75</v>
      </c>
      <c r="BT26" s="23" t="str">
        <f t="shared" si="10"/>
        <v>vct_Open Wagon</v>
      </c>
      <c r="BU26" s="23" t="str">
        <f t="shared" si="11"/>
        <v>wagon_NARROW_GAUGE</v>
      </c>
      <c r="BV26" s="23" t="str">
        <f>VLOOKUP($BU26, Constants!$M:$N, 2, FALSE)</f>
        <v/>
      </c>
      <c r="BW26" s="23" t="str">
        <f t="shared" si="12"/>
        <v/>
      </c>
      <c r="BX26" t="s">
        <v>289</v>
      </c>
      <c r="BY26" s="23" t="str">
        <f t="shared" si="13"/>
        <v/>
      </c>
      <c r="BZ26" s="23" t="str">
        <f t="shared" si="14"/>
        <v>{SILVER}Heavier mineral wagons allowed larger amounts of cargo to be carried.</v>
      </c>
    </row>
    <row r="27" spans="1:78" x14ac:dyDescent="0.3">
      <c r="A27" t="s">
        <v>262</v>
      </c>
      <c r="B27" t="s">
        <v>268</v>
      </c>
      <c r="C27">
        <v>88</v>
      </c>
      <c r="D27" t="s">
        <v>32</v>
      </c>
      <c r="E27" t="s">
        <v>32</v>
      </c>
      <c r="F27" t="s">
        <v>338</v>
      </c>
      <c r="G27">
        <v>1800</v>
      </c>
      <c r="I27">
        <v>1900</v>
      </c>
      <c r="T27">
        <v>2</v>
      </c>
      <c r="V27">
        <v>3</v>
      </c>
      <c r="X27" s="4" t="str">
        <f t="shared" si="0"/>
        <v/>
      </c>
      <c r="Y27">
        <v>25</v>
      </c>
      <c r="AA27">
        <v>4.9000000000000004</v>
      </c>
      <c r="AB27">
        <v>6</v>
      </c>
      <c r="AE27" s="10">
        <v>10</v>
      </c>
      <c r="AF27" s="15" t="str">
        <f>CONCATENATE(VLOOKUP(AG27, 'Voxel Sizes'!$A$2:$B$18,2,FALSE),"x",INT(AC27*15), "x", INT(AD27*15))</f>
        <v>66x0x0</v>
      </c>
      <c r="AG27" s="15">
        <f t="shared" si="1"/>
        <v>4</v>
      </c>
      <c r="AI27" s="15" t="str">
        <f>CONCATENATE(VLOOKUP(AG27,Constants!$A$2:$C$16,IF(AH27&lt;&gt;"", 3, 2), FALSE),IF(AH27&lt;&gt;"",CONCATENATE(",",VLOOKUP(AH27,$B:$AI,34,FALSE)),""))</f>
        <v>1,2,1</v>
      </c>
      <c r="AS27">
        <v>80</v>
      </c>
      <c r="AT27" s="15">
        <f t="shared" si="2"/>
        <v>108</v>
      </c>
      <c r="AW27" s="17">
        <f t="shared" si="3"/>
        <v>5</v>
      </c>
      <c r="AX27" s="17">
        <f t="shared" si="4"/>
        <v>0</v>
      </c>
      <c r="AY27" s="17">
        <f t="shared" si="5"/>
        <v>0</v>
      </c>
      <c r="AZ27" s="18">
        <f t="shared" si="6"/>
        <v>1</v>
      </c>
      <c r="BA27" s="17">
        <f t="shared" si="7"/>
        <v>1.6666666666666667</v>
      </c>
      <c r="BB27" s="17">
        <f>VLOOKUP($E27,Constants!$I:$K, 2, FALSE)</f>
        <v>1</v>
      </c>
      <c r="BC27" s="17">
        <f>VLOOKUP($E27,Constants!$I:$K, 3, FALSE)*IF(AND(D27="multiple_unit",Y27&lt;110),0.75,1)</f>
        <v>0.45</v>
      </c>
      <c r="BD27" s="17">
        <f>INT(POWER(((Constants!$G$2+$AW27+$AX27+$AY27+$BA27)*$AZ27)*$BC27, 1.05))+$AV27</f>
        <v>5</v>
      </c>
      <c r="BE27" s="17">
        <f>INT(POWER((((Constants!$G$1+$AW27+$AX27+$AY27+$BA27)*($AZ27))*$BB27),IF($D27="wagon",1,1.2)))+$AU27</f>
        <v>21</v>
      </c>
      <c r="BF27" s="20">
        <f t="shared" si="8"/>
        <v>312.5</v>
      </c>
      <c r="BG27" s="20">
        <f t="shared" si="9"/>
        <v>57.33</v>
      </c>
      <c r="BN27">
        <v>1</v>
      </c>
      <c r="BO27">
        <v>185</v>
      </c>
      <c r="BP27" t="s">
        <v>278</v>
      </c>
      <c r="BQ27" t="s">
        <v>279</v>
      </c>
      <c r="BR27" s="23" t="str">
        <f>VLOOKUP(G27,Eras!$A$2:$C$10, 2, TRUE)</f>
        <v>early</v>
      </c>
      <c r="BS27" t="s">
        <v>75</v>
      </c>
      <c r="BT27" s="23" t="str">
        <f t="shared" si="10"/>
        <v>early_Open Wagon</v>
      </c>
      <c r="BU27" s="23" t="str">
        <f t="shared" si="11"/>
        <v>wagon_NARROW_GAUGE</v>
      </c>
      <c r="BV27" s="23" t="str">
        <f>VLOOKUP($BU27, Constants!$M:$N, 2, FALSE)</f>
        <v/>
      </c>
      <c r="BW27" s="23" t="str">
        <f t="shared" si="12"/>
        <v/>
      </c>
      <c r="BX27" t="s">
        <v>290</v>
      </c>
      <c r="BY27" s="23" t="str">
        <f t="shared" si="13"/>
        <v/>
      </c>
      <c r="BZ27" s="23" t="str">
        <f t="shared" si="14"/>
        <v>{SILVER}While many narrow gauge railways were quarry lines carrying bulk goods or slate, flat wagons were used for transporting equipment.</v>
      </c>
    </row>
    <row r="28" spans="1:78" x14ac:dyDescent="0.3">
      <c r="A28" t="s">
        <v>261</v>
      </c>
      <c r="B28" t="s">
        <v>269</v>
      </c>
      <c r="C28">
        <v>89</v>
      </c>
      <c r="D28" t="s">
        <v>32</v>
      </c>
      <c r="E28" t="s">
        <v>32</v>
      </c>
      <c r="F28" t="s">
        <v>338</v>
      </c>
      <c r="G28">
        <v>1870</v>
      </c>
      <c r="T28">
        <v>2</v>
      </c>
      <c r="V28">
        <v>4</v>
      </c>
      <c r="X28" s="4" t="str">
        <f t="shared" si="0"/>
        <v/>
      </c>
      <c r="Y28">
        <v>30</v>
      </c>
      <c r="AA28">
        <v>4.9000000000000004</v>
      </c>
      <c r="AB28">
        <v>8</v>
      </c>
      <c r="AE28" s="10">
        <v>12</v>
      </c>
      <c r="AF28" s="15" t="str">
        <f>CONCATENATE(VLOOKUP(AG28, 'Voxel Sizes'!$A$2:$B$18,2,FALSE),"x",INT(AC28*15), "x", INT(AD28*15))</f>
        <v>82x0x0</v>
      </c>
      <c r="AG28" s="15">
        <f t="shared" si="1"/>
        <v>5</v>
      </c>
      <c r="AI28" s="15" t="str">
        <f>CONCATENATE(VLOOKUP(AG28,Constants!$A$2:$C$16,IF(AH28&lt;&gt;"", 3, 2), FALSE),IF(AH28&lt;&gt;"",CONCATENATE(",",VLOOKUP(AH28,$B:$AI,34,FALSE)),""))</f>
        <v>2,1,2</v>
      </c>
      <c r="AS28">
        <v>80</v>
      </c>
      <c r="AT28" s="15" t="str">
        <f t="shared" si="2"/>
        <v/>
      </c>
      <c r="AW28" s="17">
        <f t="shared" si="3"/>
        <v>6</v>
      </c>
      <c r="AX28" s="17">
        <f t="shared" si="4"/>
        <v>0</v>
      </c>
      <c r="AY28" s="17">
        <f t="shared" si="5"/>
        <v>0</v>
      </c>
      <c r="AZ28" s="18">
        <f t="shared" si="6"/>
        <v>1</v>
      </c>
      <c r="BA28" s="17">
        <f t="shared" si="7"/>
        <v>2</v>
      </c>
      <c r="BB28" s="17">
        <f>VLOOKUP($E28,Constants!$I:$K, 2, FALSE)</f>
        <v>1</v>
      </c>
      <c r="BC28" s="17">
        <f>VLOOKUP($E28,Constants!$I:$K, 3, FALSE)*IF(AND(D28="multiple_unit",Y28&lt;110),0.75,1)</f>
        <v>0.45</v>
      </c>
      <c r="BD28" s="17">
        <f>INT(POWER(((Constants!$G$2+$AW28+$AX28+$AY28+$BA28)*$AZ28)*$BC28, 1.05))+$AV28</f>
        <v>6</v>
      </c>
      <c r="BE28" s="17">
        <f>INT(POWER((((Constants!$G$1+$AW28+$AX28+$AY28+$BA28)*($AZ28))*$BB28),IF($D28="wagon",1,1.2)))+$AU28</f>
        <v>23</v>
      </c>
      <c r="BF28" s="20">
        <f t="shared" si="8"/>
        <v>375</v>
      </c>
      <c r="BG28" s="20">
        <f t="shared" si="9"/>
        <v>62.79</v>
      </c>
      <c r="BN28">
        <v>1</v>
      </c>
      <c r="BO28">
        <v>185</v>
      </c>
      <c r="BP28" t="s">
        <v>278</v>
      </c>
      <c r="BQ28" t="s">
        <v>279</v>
      </c>
      <c r="BR28" s="23" t="str">
        <f>VLOOKUP(G28,Eras!$A$2:$C$10, 2, TRUE)</f>
        <v>vct</v>
      </c>
      <c r="BS28" t="s">
        <v>75</v>
      </c>
      <c r="BT28" s="23" t="str">
        <f t="shared" si="10"/>
        <v>vct_Open Wagon</v>
      </c>
      <c r="BU28" s="23" t="str">
        <f t="shared" si="11"/>
        <v>wagon_NARROW_GAUGE</v>
      </c>
      <c r="BV28" s="23" t="str">
        <f>VLOOKUP($BU28, Constants!$M:$N, 2, FALSE)</f>
        <v/>
      </c>
      <c r="BW28" s="23" t="str">
        <f t="shared" si="12"/>
        <v/>
      </c>
      <c r="BX28" t="s">
        <v>293</v>
      </c>
      <c r="BY28" s="23" t="str">
        <f t="shared" si="13"/>
        <v/>
      </c>
      <c r="BZ28" s="23" t="str">
        <f t="shared" si="14"/>
        <v>{SILVER}As per standard gauge practice, bolster wagons were used for carrying long, rigid cargo.</v>
      </c>
    </row>
    <row r="29" spans="1:78" x14ac:dyDescent="0.3">
      <c r="A29" t="s">
        <v>263</v>
      </c>
      <c r="B29" t="s">
        <v>270</v>
      </c>
      <c r="C29">
        <v>90</v>
      </c>
      <c r="D29" t="s">
        <v>32</v>
      </c>
      <c r="E29" t="s">
        <v>32</v>
      </c>
      <c r="F29" t="s">
        <v>338</v>
      </c>
      <c r="G29">
        <v>1870</v>
      </c>
      <c r="T29">
        <v>2</v>
      </c>
      <c r="V29">
        <v>4</v>
      </c>
      <c r="X29" s="4" t="str">
        <f t="shared" si="0"/>
        <v/>
      </c>
      <c r="Y29">
        <v>30</v>
      </c>
      <c r="AA29">
        <v>4.9000000000000004</v>
      </c>
      <c r="AB29">
        <v>6</v>
      </c>
      <c r="AE29" s="10">
        <v>12</v>
      </c>
      <c r="AF29" s="15" t="str">
        <f>CONCATENATE(VLOOKUP(AG29, 'Voxel Sizes'!$A$2:$B$18,2,FALSE),"x",INT(AC29*15), "x", INT(AD29*15))</f>
        <v>66x0x0</v>
      </c>
      <c r="AG29" s="15">
        <f t="shared" si="1"/>
        <v>4</v>
      </c>
      <c r="AI29" s="15" t="str">
        <f>CONCATENATE(VLOOKUP(AG29,Constants!$A$2:$C$16,IF(AH29&lt;&gt;"", 3, 2), FALSE),IF(AH29&lt;&gt;"",CONCATENATE(",",VLOOKUP(AH29,$B:$AI,34,FALSE)),""))</f>
        <v>1,2,1</v>
      </c>
      <c r="AS29">
        <v>80</v>
      </c>
      <c r="AT29" s="15" t="str">
        <f t="shared" si="2"/>
        <v/>
      </c>
      <c r="AW29" s="17">
        <f t="shared" si="3"/>
        <v>6</v>
      </c>
      <c r="AX29" s="17">
        <f t="shared" si="4"/>
        <v>0</v>
      </c>
      <c r="AY29" s="17">
        <f t="shared" si="5"/>
        <v>0</v>
      </c>
      <c r="AZ29" s="18">
        <f t="shared" si="6"/>
        <v>1</v>
      </c>
      <c r="BA29" s="17">
        <f t="shared" si="7"/>
        <v>2</v>
      </c>
      <c r="BB29" s="17">
        <f>VLOOKUP($E29,Constants!$I:$K, 2, FALSE)</f>
        <v>1</v>
      </c>
      <c r="BC29" s="17">
        <f>VLOOKUP($E29,Constants!$I:$K, 3, FALSE)*IF(AND(D29="multiple_unit",Y29&lt;110),0.75,1)</f>
        <v>0.45</v>
      </c>
      <c r="BD29" s="17">
        <f>INT(POWER(((Constants!$G$2+$AW29+$AX29+$AY29+$BA29)*$AZ29)*$BC29, 1.05))+$AV29</f>
        <v>6</v>
      </c>
      <c r="BE29" s="17">
        <f>INT(POWER((((Constants!$G$1+$AW29+$AX29+$AY29+$BA29)*($AZ29))*$BB29),IF($D29="wagon",1,1.2)))+$AU29</f>
        <v>23</v>
      </c>
      <c r="BF29" s="20">
        <f t="shared" si="8"/>
        <v>375</v>
      </c>
      <c r="BG29" s="20">
        <f t="shared" si="9"/>
        <v>62.79</v>
      </c>
      <c r="BN29">
        <v>1</v>
      </c>
      <c r="BO29">
        <v>185</v>
      </c>
      <c r="BP29" t="s">
        <v>78</v>
      </c>
      <c r="BQ29" t="s">
        <v>281</v>
      </c>
      <c r="BR29" s="23" t="str">
        <f>VLOOKUP(G29,Eras!$A$2:$C$10, 2, TRUE)</f>
        <v>vct</v>
      </c>
      <c r="BS29" t="s">
        <v>75</v>
      </c>
      <c r="BT29" s="23" t="str">
        <f t="shared" si="10"/>
        <v>vct_Open Wagon</v>
      </c>
      <c r="BU29" s="23" t="str">
        <f t="shared" si="11"/>
        <v>wagon_NARROW_GAUGE</v>
      </c>
      <c r="BV29" s="23" t="str">
        <f>VLOOKUP($BU29, Constants!$M:$N, 2, FALSE)</f>
        <v/>
      </c>
      <c r="BW29" s="23" t="str">
        <f t="shared" si="12"/>
        <v/>
      </c>
      <c r="BX29" t="s">
        <v>291</v>
      </c>
      <c r="BY29" s="23" t="str">
        <f t="shared" si="13"/>
        <v/>
      </c>
      <c r="BZ29" s="23" t="str">
        <f t="shared" si="14"/>
        <v>{SILVER}With specialised equipment at stations, tank wagons made liquid cargo easier to handle than loading drums into open wagons.</v>
      </c>
    </row>
    <row r="30" spans="1:78" x14ac:dyDescent="0.3">
      <c r="A30" t="s">
        <v>264</v>
      </c>
      <c r="B30" t="s">
        <v>271</v>
      </c>
      <c r="C30">
        <v>91</v>
      </c>
      <c r="D30" t="s">
        <v>32</v>
      </c>
      <c r="E30" t="s">
        <v>32</v>
      </c>
      <c r="F30" t="s">
        <v>338</v>
      </c>
      <c r="G30">
        <v>1870</v>
      </c>
      <c r="T30">
        <v>2</v>
      </c>
      <c r="V30">
        <v>4</v>
      </c>
      <c r="X30" s="4" t="str">
        <f t="shared" si="0"/>
        <v/>
      </c>
      <c r="Y30">
        <v>30</v>
      </c>
      <c r="AA30">
        <v>4.9000000000000004</v>
      </c>
      <c r="AB30">
        <v>6</v>
      </c>
      <c r="AE30" s="10">
        <v>12</v>
      </c>
      <c r="AF30" s="15" t="str">
        <f>CONCATENATE(VLOOKUP(AG30, 'Voxel Sizes'!$A$2:$B$18,2,FALSE),"x",INT(AC30*15), "x", INT(AD30*15))</f>
        <v>66x0x0</v>
      </c>
      <c r="AG30" s="15">
        <f t="shared" si="1"/>
        <v>4</v>
      </c>
      <c r="AI30" s="15" t="str">
        <f>CONCATENATE(VLOOKUP(AG30,Constants!$A$2:$C$16,IF(AH30&lt;&gt;"", 3, 2), FALSE),IF(AH30&lt;&gt;"",CONCATENATE(",",VLOOKUP(AH30,$B:$AI,34,FALSE)),""))</f>
        <v>1,2,1</v>
      </c>
      <c r="AS30">
        <v>80</v>
      </c>
      <c r="AT30" s="15" t="str">
        <f t="shared" si="2"/>
        <v/>
      </c>
      <c r="AW30" s="17">
        <f t="shared" si="3"/>
        <v>6</v>
      </c>
      <c r="AX30" s="17">
        <f t="shared" si="4"/>
        <v>0</v>
      </c>
      <c r="AY30" s="17">
        <f t="shared" si="5"/>
        <v>0</v>
      </c>
      <c r="AZ30" s="18">
        <f t="shared" si="6"/>
        <v>1</v>
      </c>
      <c r="BA30" s="17">
        <f t="shared" si="7"/>
        <v>2</v>
      </c>
      <c r="BB30" s="17">
        <f>VLOOKUP($E30,Constants!$I:$K, 2, FALSE)</f>
        <v>1</v>
      </c>
      <c r="BC30" s="17">
        <f>VLOOKUP($E30,Constants!$I:$K, 3, FALSE)*IF(AND(D30="multiple_unit",Y30&lt;110),0.75,1)</f>
        <v>0.45</v>
      </c>
      <c r="BD30" s="17">
        <f>INT(POWER(((Constants!$G$2+$AW30+$AX30+$AY30+$BA30)*$AZ30)*$BC30, 1.05))+$AV30</f>
        <v>6</v>
      </c>
      <c r="BE30" s="17">
        <f>INT(POWER((((Constants!$G$1+$AW30+$AX30+$AY30+$BA30)*($AZ30))*$BB30),IF($D30="wagon",1,1.2)))+$AU30</f>
        <v>23</v>
      </c>
      <c r="BF30" s="20">
        <f t="shared" si="8"/>
        <v>375</v>
      </c>
      <c r="BG30" s="20">
        <f t="shared" si="9"/>
        <v>62.79</v>
      </c>
      <c r="BN30">
        <v>1</v>
      </c>
      <c r="BO30">
        <v>185</v>
      </c>
      <c r="BP30" t="s">
        <v>282</v>
      </c>
      <c r="BQ30" t="s">
        <v>283</v>
      </c>
      <c r="BR30" s="23" t="str">
        <f>VLOOKUP(G30,Eras!$A$2:$C$10, 2, TRUE)</f>
        <v>vct</v>
      </c>
      <c r="BS30" t="s">
        <v>75</v>
      </c>
      <c r="BT30" s="23" t="str">
        <f t="shared" si="10"/>
        <v>vct_Open Wagon</v>
      </c>
      <c r="BU30" s="23" t="str">
        <f t="shared" si="11"/>
        <v>wagon_NARROW_GAUGE</v>
      </c>
      <c r="BV30" s="23" t="str">
        <f>VLOOKUP($BU30, Constants!$M:$N, 2, FALSE)</f>
        <v/>
      </c>
      <c r="BW30" s="23" t="str">
        <f t="shared" si="12"/>
        <v/>
      </c>
      <c r="BX30" t="s">
        <v>292</v>
      </c>
      <c r="BY30" s="23" t="str">
        <f t="shared" si="13"/>
        <v/>
      </c>
      <c r="BZ30" s="23" t="str">
        <f t="shared" si="14"/>
        <v>{SILVER}A van for carrying livestock on narrow gauge railways.</v>
      </c>
    </row>
    <row r="31" spans="1:78" x14ac:dyDescent="0.3">
      <c r="A31" t="s">
        <v>265</v>
      </c>
      <c r="B31" t="s">
        <v>273</v>
      </c>
      <c r="C31">
        <v>92</v>
      </c>
      <c r="D31" t="s">
        <v>32</v>
      </c>
      <c r="E31" t="s">
        <v>32</v>
      </c>
      <c r="F31" t="s">
        <v>338</v>
      </c>
      <c r="G31">
        <v>1800</v>
      </c>
      <c r="I31">
        <v>1900</v>
      </c>
      <c r="T31">
        <v>2</v>
      </c>
      <c r="V31">
        <v>3</v>
      </c>
      <c r="X31" s="4" t="str">
        <f t="shared" si="0"/>
        <v/>
      </c>
      <c r="Y31">
        <v>25</v>
      </c>
      <c r="AA31">
        <v>4.9000000000000004</v>
      </c>
      <c r="AB31">
        <v>6</v>
      </c>
      <c r="AE31" s="10">
        <v>12</v>
      </c>
      <c r="AF31" s="15" t="str">
        <f>CONCATENATE(VLOOKUP(AG31, 'Voxel Sizes'!$A$2:$B$18,2,FALSE),"x",INT(AC31*15), "x", INT(AD31*15))</f>
        <v>66x0x0</v>
      </c>
      <c r="AG31" s="15">
        <f t="shared" si="1"/>
        <v>4</v>
      </c>
      <c r="AI31" s="15" t="str">
        <f>CONCATENATE(VLOOKUP(AG31,Constants!$A$2:$C$16,IF(AH31&lt;&gt;"", 3, 2), FALSE),IF(AH31&lt;&gt;"",CONCATENATE(",",VLOOKUP(AH31,$B:$AI,34,FALSE)),""))</f>
        <v>1,2,1</v>
      </c>
      <c r="AS31">
        <v>80</v>
      </c>
      <c r="AT31" s="15">
        <f t="shared" si="2"/>
        <v>108</v>
      </c>
      <c r="AW31" s="17">
        <f t="shared" si="3"/>
        <v>5</v>
      </c>
      <c r="AX31" s="17">
        <f t="shared" si="4"/>
        <v>0</v>
      </c>
      <c r="AY31" s="17">
        <f t="shared" si="5"/>
        <v>0</v>
      </c>
      <c r="AZ31" s="18">
        <f t="shared" si="6"/>
        <v>1</v>
      </c>
      <c r="BA31" s="17">
        <f t="shared" si="7"/>
        <v>2</v>
      </c>
      <c r="BB31" s="17">
        <f>VLOOKUP($E31,Constants!$I:$K, 2, FALSE)</f>
        <v>1</v>
      </c>
      <c r="BC31" s="17">
        <f>VLOOKUP($E31,Constants!$I:$K, 3, FALSE)*IF(AND(D31="multiple_unit",Y31&lt;110),0.75,1)</f>
        <v>0.45</v>
      </c>
      <c r="BD31" s="17">
        <f>INT(POWER(((Constants!$G$2+$AW31+$AX31+$AY31+$BA31)*$AZ31)*$BC31, 1.05))+$AV31</f>
        <v>5</v>
      </c>
      <c r="BE31" s="17">
        <f>INT(POWER((((Constants!$G$1+$AW31+$AX31+$AY31+$BA31)*($AZ31))*$BB31),IF($D31="wagon",1,1.2)))+$AU31</f>
        <v>22</v>
      </c>
      <c r="BF31" s="20">
        <f t="shared" si="8"/>
        <v>312.5</v>
      </c>
      <c r="BG31" s="20">
        <f t="shared" si="9"/>
        <v>60.06</v>
      </c>
      <c r="BN31">
        <v>1</v>
      </c>
      <c r="BO31">
        <v>185</v>
      </c>
      <c r="BP31" t="s">
        <v>77</v>
      </c>
      <c r="BQ31" t="s">
        <v>284</v>
      </c>
      <c r="BR31" s="23" t="str">
        <f>VLOOKUP(G31,Eras!$A$2:$C$10, 2, TRUE)</f>
        <v>early</v>
      </c>
      <c r="BS31" t="s">
        <v>75</v>
      </c>
      <c r="BT31" s="23" t="str">
        <f t="shared" si="10"/>
        <v>early_Open Wagon</v>
      </c>
      <c r="BU31" s="23" t="str">
        <f t="shared" si="11"/>
        <v>wagon_NARROW_GAUGE</v>
      </c>
      <c r="BV31" s="23" t="str">
        <f>VLOOKUP($BU31, Constants!$M:$N, 2, FALSE)</f>
        <v/>
      </c>
      <c r="BW31" s="23" t="str">
        <f t="shared" si="12"/>
        <v/>
      </c>
      <c r="BX31" t="s">
        <v>294</v>
      </c>
      <c r="BY31" s="23" t="str">
        <f t="shared" si="13"/>
        <v/>
      </c>
      <c r="BZ31" s="23" t="str">
        <f t="shared" si="14"/>
        <v>{SILVER}Like their larger counterparts, narrow gauge railways built many vans for carrying piece goods.</v>
      </c>
    </row>
    <row r="32" spans="1:78" x14ac:dyDescent="0.3">
      <c r="A32" t="s">
        <v>266</v>
      </c>
      <c r="B32" t="s">
        <v>272</v>
      </c>
      <c r="C32">
        <v>93</v>
      </c>
      <c r="D32" t="s">
        <v>32</v>
      </c>
      <c r="E32" t="s">
        <v>32</v>
      </c>
      <c r="F32" t="s">
        <v>338</v>
      </c>
      <c r="G32">
        <v>1860</v>
      </c>
      <c r="T32">
        <v>4</v>
      </c>
      <c r="V32">
        <v>4</v>
      </c>
      <c r="X32" s="4" t="str">
        <f t="shared" si="0"/>
        <v/>
      </c>
      <c r="Y32">
        <v>35</v>
      </c>
      <c r="AA32">
        <v>4.9000000000000004</v>
      </c>
      <c r="AB32">
        <v>6</v>
      </c>
      <c r="AE32" s="10">
        <v>15</v>
      </c>
      <c r="AF32" s="15" t="str">
        <f>CONCATENATE(VLOOKUP(AG32, 'Voxel Sizes'!$A$2:$B$18,2,FALSE),"x",INT(AC32*15), "x", INT(AD32*15))</f>
        <v>66x0x0</v>
      </c>
      <c r="AG32" s="15">
        <f t="shared" si="1"/>
        <v>4</v>
      </c>
      <c r="AI32" s="15" t="str">
        <f>CONCATENATE(VLOOKUP(AG32,Constants!$A$2:$C$16,IF(AH32&lt;&gt;"", 3, 2), FALSE),IF(AH32&lt;&gt;"",CONCATENATE(",",VLOOKUP(AH32,$B:$AI,34,FALSE)),""))</f>
        <v>1,2,1</v>
      </c>
      <c r="AS32">
        <v>80</v>
      </c>
      <c r="AT32" s="15" t="str">
        <f t="shared" si="2"/>
        <v/>
      </c>
      <c r="AW32" s="17">
        <f t="shared" si="3"/>
        <v>7</v>
      </c>
      <c r="AX32" s="17">
        <f t="shared" si="4"/>
        <v>0</v>
      </c>
      <c r="AY32" s="17">
        <f t="shared" si="5"/>
        <v>0</v>
      </c>
      <c r="AZ32" s="18">
        <f t="shared" si="6"/>
        <v>1</v>
      </c>
      <c r="BA32" s="17">
        <f t="shared" si="7"/>
        <v>2.5</v>
      </c>
      <c r="BB32" s="17">
        <f>VLOOKUP($E32,Constants!$I:$K, 2, FALSE)</f>
        <v>1</v>
      </c>
      <c r="BC32" s="17">
        <f>VLOOKUP($E32,Constants!$I:$K, 3, FALSE)*IF(AND(D32="multiple_unit",Y32&lt;110),0.75,1)</f>
        <v>0.45</v>
      </c>
      <c r="BD32" s="17">
        <f>INT(POWER(((Constants!$G$2+$AW32+$AX32+$AY32+$BA32)*$AZ32)*$BC32, 1.05))+$AV32</f>
        <v>7</v>
      </c>
      <c r="BE32" s="17">
        <f>INT(POWER((((Constants!$G$1+$AW32+$AX32+$AY32+$BA32)*($AZ32))*$BB32),IF($D32="wagon",1,1.2)))+$AU32</f>
        <v>24</v>
      </c>
      <c r="BF32" s="20">
        <f t="shared" si="8"/>
        <v>437.5</v>
      </c>
      <c r="BG32" s="20">
        <f t="shared" si="9"/>
        <v>65.52</v>
      </c>
      <c r="BN32">
        <v>1</v>
      </c>
      <c r="BO32">
        <v>185</v>
      </c>
      <c r="BP32" t="s">
        <v>77</v>
      </c>
      <c r="BQ32" t="s">
        <v>331</v>
      </c>
      <c r="BR32" s="23" t="str">
        <f>VLOOKUP(G32,Eras!$A$2:$C$10, 2, TRUE)</f>
        <v>vct</v>
      </c>
      <c r="BS32" t="s">
        <v>75</v>
      </c>
      <c r="BT32" s="23" t="str">
        <f t="shared" si="10"/>
        <v>vct_Open Wagon</v>
      </c>
      <c r="BU32" s="23" t="str">
        <f t="shared" si="11"/>
        <v>wagon_NARROW_GAUGE</v>
      </c>
      <c r="BV32" s="23" t="str">
        <f>VLOOKUP($BU32, Constants!$M:$N, 2, FALSE)</f>
        <v/>
      </c>
      <c r="BW32" s="23" t="str">
        <f t="shared" si="12"/>
        <v/>
      </c>
      <c r="BX32" t="s">
        <v>295</v>
      </c>
      <c r="BY32" s="23" t="str">
        <f t="shared" si="13"/>
        <v/>
      </c>
      <c r="BZ32" s="23" t="str">
        <f t="shared" si="14"/>
        <v>{SILVER}Gunpowder vans carried explosives to the quarries served by narrow gauge railways. This example has solid iron construction.</v>
      </c>
    </row>
    <row r="33" spans="1:78" x14ac:dyDescent="0.3">
      <c r="A33" t="s">
        <v>267</v>
      </c>
      <c r="B33" t="s">
        <v>274</v>
      </c>
      <c r="C33">
        <v>94</v>
      </c>
      <c r="D33" t="s">
        <v>32</v>
      </c>
      <c r="E33" t="s">
        <v>32</v>
      </c>
      <c r="F33" t="s">
        <v>338</v>
      </c>
      <c r="G33">
        <v>1870</v>
      </c>
      <c r="T33">
        <v>2</v>
      </c>
      <c r="V33">
        <v>4</v>
      </c>
      <c r="X33" s="4" t="str">
        <f t="shared" si="0"/>
        <v/>
      </c>
      <c r="Y33">
        <v>35</v>
      </c>
      <c r="AA33">
        <v>4.9000000000000004</v>
      </c>
      <c r="AB33">
        <v>6</v>
      </c>
      <c r="AE33" s="10">
        <v>15</v>
      </c>
      <c r="AF33" s="15" t="str">
        <f>CONCATENATE(VLOOKUP(AG33, 'Voxel Sizes'!$A$2:$B$18,2,FALSE),"x",INT(AC33*15), "x", INT(AD33*15))</f>
        <v>66x0x0</v>
      </c>
      <c r="AG33" s="15">
        <f t="shared" si="1"/>
        <v>4</v>
      </c>
      <c r="AI33" s="15" t="str">
        <f>CONCATENATE(VLOOKUP(AG33,Constants!$A$2:$C$16,IF(AH33&lt;&gt;"", 3, 2), FALSE),IF(AH33&lt;&gt;"",CONCATENATE(",",VLOOKUP(AH33,$B:$AI,34,FALSE)),""))</f>
        <v>1,2,1</v>
      </c>
      <c r="AS33">
        <v>80</v>
      </c>
      <c r="AT33" s="15" t="str">
        <f t="shared" si="2"/>
        <v/>
      </c>
      <c r="AW33" s="17">
        <f t="shared" si="3"/>
        <v>7</v>
      </c>
      <c r="AX33" s="17">
        <f t="shared" si="4"/>
        <v>0</v>
      </c>
      <c r="AY33" s="17">
        <f t="shared" si="5"/>
        <v>0</v>
      </c>
      <c r="AZ33" s="18">
        <f t="shared" si="6"/>
        <v>1</v>
      </c>
      <c r="BA33" s="17">
        <f t="shared" si="7"/>
        <v>2.5</v>
      </c>
      <c r="BB33" s="17">
        <f>VLOOKUP($E33,Constants!$I:$K, 2, FALSE)</f>
        <v>1</v>
      </c>
      <c r="BC33" s="17">
        <f>VLOOKUP($E33,Constants!$I:$K, 3, FALSE)*IF(AND(D33="multiple_unit",Y33&lt;110),0.75,1)</f>
        <v>0.45</v>
      </c>
      <c r="BD33" s="17">
        <f>INT(POWER(((Constants!$G$2+$AW33+$AX33+$AY33+$BA33)*$AZ33)*$BC33, 1.05))+$AV33</f>
        <v>7</v>
      </c>
      <c r="BE33" s="17">
        <f>INT(POWER((((Constants!$G$1+$AW33+$AX33+$AY33+$BA33)*($AZ33))*$BB33),IF($D33="wagon",1,1.2)))+$AU33</f>
        <v>24</v>
      </c>
      <c r="BF33" s="20">
        <f t="shared" si="8"/>
        <v>437.5</v>
      </c>
      <c r="BG33" s="20">
        <f t="shared" si="9"/>
        <v>65.52</v>
      </c>
      <c r="BN33">
        <v>1</v>
      </c>
      <c r="BO33">
        <v>185</v>
      </c>
      <c r="BP33" t="s">
        <v>77</v>
      </c>
      <c r="BQ33" t="s">
        <v>284</v>
      </c>
      <c r="BR33" s="23" t="str">
        <f>VLOOKUP(G33,Eras!$A$2:$C$10, 2, TRUE)</f>
        <v>vct</v>
      </c>
      <c r="BS33" t="s">
        <v>75</v>
      </c>
      <c r="BT33" s="23" t="str">
        <f t="shared" si="10"/>
        <v>vct_Open Wagon</v>
      </c>
      <c r="BU33" s="23" t="str">
        <f t="shared" si="11"/>
        <v>wagon_NARROW_GAUGE</v>
      </c>
      <c r="BV33" s="23" t="str">
        <f>VLOOKUP($BU33, Constants!$M:$N, 2, FALSE)</f>
        <v/>
      </c>
      <c r="BW33" s="23" t="str">
        <f t="shared" si="12"/>
        <v/>
      </c>
      <c r="BX33" t="s">
        <v>296</v>
      </c>
      <c r="BY33" s="23" t="str">
        <f t="shared" si="13"/>
        <v/>
      </c>
      <c r="BZ33" s="23" t="str">
        <f t="shared" si="14"/>
        <v>{SILVER}Later vans used iron frames to increase their strength and enable running at faster speeds.</v>
      </c>
    </row>
    <row r="34" spans="1:78" x14ac:dyDescent="0.3">
      <c r="A34" t="s">
        <v>230</v>
      </c>
      <c r="B34" t="s">
        <v>225</v>
      </c>
      <c r="C34">
        <v>1061</v>
      </c>
      <c r="D34" t="s">
        <v>32</v>
      </c>
      <c r="E34" t="s">
        <v>159</v>
      </c>
      <c r="F34" t="s">
        <v>28</v>
      </c>
      <c r="G34">
        <v>1906</v>
      </c>
      <c r="I34">
        <v>1955</v>
      </c>
      <c r="T34">
        <v>31</v>
      </c>
      <c r="V34">
        <v>6</v>
      </c>
      <c r="X34" s="4" t="str">
        <f t="shared" si="0"/>
        <v/>
      </c>
      <c r="Y34">
        <v>100</v>
      </c>
      <c r="AA34">
        <v>17.7</v>
      </c>
      <c r="AB34">
        <v>17.7</v>
      </c>
      <c r="AC34">
        <v>2.83</v>
      </c>
      <c r="AD34">
        <v>3.79</v>
      </c>
      <c r="AE34" s="10">
        <v>57</v>
      </c>
      <c r="AF34" s="15" t="str">
        <f>CONCATENATE(VLOOKUP(AG34, 'Voxel Sizes'!$A$2:$B$18,2,FALSE),"x",INT(AC34*15), "x", INT(AD34*15))</f>
        <v>164x42x56</v>
      </c>
      <c r="AG34" s="15">
        <f t="shared" si="1"/>
        <v>10</v>
      </c>
      <c r="AI34" s="15" t="str">
        <f>CONCATENATE(VLOOKUP(AG34,Constants!$A$2:$C$16,IF(AH34&lt;&gt;"", 3, 2), FALSE),IF(AH34&lt;&gt;"",CONCATENATE(",",VLOOKUP(AH34,$B:$AI,34,FALSE)),""))</f>
        <v>4,2,4</v>
      </c>
      <c r="AS34">
        <v>30</v>
      </c>
      <c r="AT34" s="15">
        <f t="shared" si="2"/>
        <v>57</v>
      </c>
      <c r="AU34">
        <v>72</v>
      </c>
      <c r="AV34">
        <f>20*3</f>
        <v>60</v>
      </c>
      <c r="AW34" s="17">
        <f t="shared" si="3"/>
        <v>20</v>
      </c>
      <c r="AX34" s="17">
        <f t="shared" si="4"/>
        <v>0</v>
      </c>
      <c r="AY34" s="17">
        <f t="shared" si="5"/>
        <v>0</v>
      </c>
      <c r="AZ34" s="18">
        <f t="shared" si="6"/>
        <v>0.99199999999999999</v>
      </c>
      <c r="BA34" s="17">
        <f t="shared" si="7"/>
        <v>9.5</v>
      </c>
      <c r="BB34" s="17">
        <f>VLOOKUP($E34,Constants!$I:$K, 2, FALSE)</f>
        <v>1.2</v>
      </c>
      <c r="BC34" s="17">
        <f>VLOOKUP($E34,Constants!$I:$K, 3, FALSE)*IF(AND(D34="multiple_unit",Y34&lt;110),0.75,1)</f>
        <v>0.6</v>
      </c>
      <c r="BD34" s="17">
        <f>INT(POWER(((Constants!$G$2+$AW34+$AX34+$AY34+$BA34)*$AZ34)*$BC34, 1.05))+$AV34</f>
        <v>83</v>
      </c>
      <c r="BE34" s="17">
        <f>INT(POWER((((Constants!$G$1+$AW34+$AX34+$AY34+$BA34)*($AZ34))*$BB34),IF($D34="wagon",1,1.2)))+$AU34</f>
        <v>124</v>
      </c>
      <c r="BF34" s="20">
        <f t="shared" si="8"/>
        <v>5187.5</v>
      </c>
      <c r="BG34" s="20">
        <f t="shared" si="9"/>
        <v>338.52</v>
      </c>
      <c r="BN34">
        <v>1</v>
      </c>
      <c r="BO34">
        <v>165</v>
      </c>
      <c r="BP34" t="s">
        <v>142</v>
      </c>
      <c r="BQ34" t="s">
        <v>34</v>
      </c>
      <c r="BR34" s="23" t="str">
        <f>VLOOKUP(G34,Eras!$A$2:$C$10, 2, TRUE)</f>
        <v>edw</v>
      </c>
      <c r="BS34" t="s">
        <v>70</v>
      </c>
      <c r="BT34" s="23" t="str">
        <f t="shared" si="10"/>
        <v>edw_Carriage</v>
      </c>
      <c r="BU34" s="23" t="str">
        <f t="shared" si="11"/>
        <v>carriage_RAIL</v>
      </c>
      <c r="BV34" s="23" t="str">
        <f>VLOOKUP($BU34, Constants!$M:$N, 2, FALSE)</f>
        <v/>
      </c>
      <c r="BW34" s="23" t="str">
        <f t="shared" si="12"/>
        <v/>
      </c>
      <c r="BX34" t="s">
        <v>228</v>
      </c>
      <c r="BY34" s="23" t="str">
        <f t="shared" si="13"/>
        <v>{YELLOW}10% Penalty for long distance travel{}</v>
      </c>
      <c r="BZ34" s="23" t="str">
        <f t="shared" si="14"/>
        <v>{YELLOW}10% Penalty for long distance travel{}{SILVER}Non-corridor carriages allow greater seating density, at the cost of passenger comfort.</v>
      </c>
    </row>
    <row r="35" spans="1:78" x14ac:dyDescent="0.3">
      <c r="A35" t="s">
        <v>226</v>
      </c>
      <c r="B35" t="s">
        <v>227</v>
      </c>
      <c r="C35">
        <v>1521</v>
      </c>
      <c r="D35" t="s">
        <v>32</v>
      </c>
      <c r="E35" t="s">
        <v>159</v>
      </c>
      <c r="F35" t="s">
        <v>28</v>
      </c>
      <c r="G35">
        <v>1952</v>
      </c>
      <c r="H35">
        <v>1963</v>
      </c>
      <c r="I35">
        <v>1977</v>
      </c>
      <c r="T35">
        <v>30</v>
      </c>
      <c r="V35">
        <v>6</v>
      </c>
      <c r="X35" s="4" t="str">
        <f t="shared" si="0"/>
        <v/>
      </c>
      <c r="Y35">
        <v>100</v>
      </c>
      <c r="AA35">
        <v>19.3</v>
      </c>
      <c r="AB35">
        <v>20</v>
      </c>
      <c r="AE35" s="10">
        <v>66</v>
      </c>
      <c r="AF35" s="15" t="str">
        <f>CONCATENATE(VLOOKUP(AG35, 'Voxel Sizes'!$A$2:$B$18,2,FALSE),"x",INT(AC35*15), "x", INT(AD35*15))</f>
        <v>198x0x0</v>
      </c>
      <c r="AG35" s="15">
        <f t="shared" si="1"/>
        <v>12</v>
      </c>
      <c r="AI35" s="15" t="str">
        <f>CONCATENATE(VLOOKUP(AG35,Constants!$A$2:$C$16,IF(AH35&lt;&gt;"", 3, 2), FALSE),IF(AH35&lt;&gt;"",CONCATENATE(",",VLOOKUP(AH35,$B:$AI,34,FALSE)),""))</f>
        <v>4,4,4</v>
      </c>
      <c r="AS35">
        <v>30</v>
      </c>
      <c r="AT35" s="15">
        <f t="shared" si="2"/>
        <v>33</v>
      </c>
      <c r="AU35">
        <v>76</v>
      </c>
      <c r="AV35">
        <f>23*3</f>
        <v>69</v>
      </c>
      <c r="AW35" s="17">
        <f t="shared" si="3"/>
        <v>20</v>
      </c>
      <c r="AX35" s="17">
        <f t="shared" si="4"/>
        <v>0</v>
      </c>
      <c r="AY35" s="17">
        <f t="shared" si="5"/>
        <v>0</v>
      </c>
      <c r="AZ35" s="18">
        <f t="shared" si="6"/>
        <v>0.93066666666666664</v>
      </c>
      <c r="BA35" s="17">
        <f t="shared" si="7"/>
        <v>11</v>
      </c>
      <c r="BB35" s="17">
        <f>VLOOKUP($E35,Constants!$I:$K, 2, FALSE)</f>
        <v>1.2</v>
      </c>
      <c r="BC35" s="17">
        <f>VLOOKUP($E35,Constants!$I:$K, 3, FALSE)*IF(AND(D35="multiple_unit",Y35&lt;110),0.75,1)</f>
        <v>0.6</v>
      </c>
      <c r="BD35" s="17">
        <f>INT(POWER(((Constants!$G$2+$AW35+$AX35+$AY35+$BA35)*$AZ35)*$BC35, 1.05))+$AV35</f>
        <v>92</v>
      </c>
      <c r="BE35" s="17">
        <f>INT(POWER((((Constants!$G$1+$AW35+$AX35+$AY35+$BA35)*($AZ35))*$BB35),IF($D35="wagon",1,1.2)))+$AU35</f>
        <v>127</v>
      </c>
      <c r="BF35" s="20">
        <f t="shared" si="8"/>
        <v>5750</v>
      </c>
      <c r="BG35" s="20">
        <f t="shared" si="9"/>
        <v>346.71</v>
      </c>
      <c r="BN35">
        <v>1</v>
      </c>
      <c r="BO35">
        <v>165</v>
      </c>
      <c r="BP35" t="s">
        <v>142</v>
      </c>
      <c r="BQ35" t="s">
        <v>34</v>
      </c>
      <c r="BR35" s="23" t="str">
        <f>VLOOKUP(G35,Eras!$A$2:$C$10, 2, TRUE)</f>
        <v>ebr</v>
      </c>
      <c r="BS35" t="s">
        <v>70</v>
      </c>
      <c r="BT35" s="23" t="str">
        <f t="shared" si="10"/>
        <v>ebr_Carriage</v>
      </c>
      <c r="BU35" s="23" t="str">
        <f t="shared" si="11"/>
        <v>carriage_RAIL</v>
      </c>
      <c r="BV35" s="23" t="str">
        <f>VLOOKUP($BU35, Constants!$M:$N, 2, FALSE)</f>
        <v/>
      </c>
      <c r="BW35" s="23" t="str">
        <f t="shared" si="12"/>
        <v/>
      </c>
      <c r="BX35" t="s">
        <v>229</v>
      </c>
      <c r="BY35" s="23" t="str">
        <f t="shared" si="13"/>
        <v>{YELLOW}10% Penalty for long distance travel{}</v>
      </c>
      <c r="BZ35" s="23" t="str">
        <f t="shared" si="14"/>
        <v>{YELLOW}10% Penalty for long distance travel{}{SILVER}BR built many suburban MK1 carriages with no gangways, although typically only one or two would be used per train across most of the country.</v>
      </c>
    </row>
    <row r="36" spans="1:78" x14ac:dyDescent="0.3">
      <c r="A36" t="s">
        <v>352</v>
      </c>
      <c r="B36" t="s">
        <v>353</v>
      </c>
      <c r="C36">
        <v>1731</v>
      </c>
      <c r="D36" t="s">
        <v>32</v>
      </c>
      <c r="E36" t="s">
        <v>159</v>
      </c>
      <c r="F36" t="s">
        <v>28</v>
      </c>
      <c r="G36">
        <v>1973</v>
      </c>
      <c r="T36">
        <v>40</v>
      </c>
      <c r="V36">
        <v>5</v>
      </c>
      <c r="X36" s="4" t="str">
        <f t="shared" ref="X36:X56" si="32">IF(AND(T36&gt;0,W36&gt;0),(W36/((T36+U36)*10)),"")</f>
        <v/>
      </c>
      <c r="Y36">
        <v>110</v>
      </c>
      <c r="AA36">
        <v>19.66</v>
      </c>
      <c r="AB36">
        <v>19.66</v>
      </c>
      <c r="AE36" s="10">
        <v>60</v>
      </c>
      <c r="AF36" s="15" t="str">
        <f>CONCATENATE(VLOOKUP(AG36, 'Voxel Sizes'!$A$2:$B$18,2,FALSE),"x",INT(AC36*15), "x", INT(AD36*15))</f>
        <v>198x0x0</v>
      </c>
      <c r="AG36" s="15">
        <f t="shared" ref="AG36:AG56" si="33">ROUND(15*((AB36*10)/256),0)</f>
        <v>12</v>
      </c>
      <c r="AI36" s="15" t="str">
        <f>CONCATENATE(VLOOKUP(AG36,Constants!$A$2:$C$16,IF(AH36&lt;&gt;"", 3, 2), FALSE),IF(AH36&lt;&gt;"",CONCATENATE(",",VLOOKUP(AH36,$B:$AI,34,FALSE)),""))</f>
        <v>4,4,4</v>
      </c>
      <c r="AS36">
        <v>30</v>
      </c>
      <c r="AT36" s="15" t="str">
        <f t="shared" ref="AT36:AT56" si="34">IF(I36&lt;&gt;"",MAX(16,(I36-G36)+8),"")</f>
        <v/>
      </c>
      <c r="AU36">
        <v>79</v>
      </c>
      <c r="AV36">
        <f>25*3</f>
        <v>75</v>
      </c>
      <c r="AW36" s="17">
        <f t="shared" ref="AW36:AW56" si="35">MIN(Y36/150, 1)*30</f>
        <v>22</v>
      </c>
      <c r="AX36" s="17">
        <f t="shared" ref="AX36:AX56" si="36">MIN(K36/4000, 1)*20</f>
        <v>0</v>
      </c>
      <c r="AY36" s="17">
        <f t="shared" ref="AY36:AY56" si="37">MIN(W36/400,1)*20</f>
        <v>0</v>
      </c>
      <c r="AZ36" s="18">
        <f t="shared" ref="AZ36:AZ56" si="38">1-(MAX(G36-1900, 0)/750)</f>
        <v>0.90266666666666673</v>
      </c>
      <c r="BA36" s="17">
        <f t="shared" ref="BA36:BA56" si="39">((MAX($J36,1)*MIN($AE36/300,1)))*IF(D36="Wagon",50,10)</f>
        <v>10</v>
      </c>
      <c r="BB36" s="17">
        <f>VLOOKUP($E36,Constants!$I:$K, 2, FALSE)</f>
        <v>1.2</v>
      </c>
      <c r="BC36" s="17">
        <f>VLOOKUP($E36,Constants!$I:$K, 3, FALSE)*IF(AND(D36="multiple_unit",Y36&lt;110),0.75,1)</f>
        <v>0.6</v>
      </c>
      <c r="BD36" s="17">
        <f>INT(POWER(((Constants!$G$2+$AW36+$AX36+$AY36+$BA36)*$AZ36)*$BC36, 1.05))+$AV36</f>
        <v>98</v>
      </c>
      <c r="BE36" s="17">
        <f>INT(POWER((((Constants!$G$1+$AW36+$AX36+$AY36+$BA36)*($AZ36))*$BB36),IF($D36="wagon",1,1.2)))+$AU36</f>
        <v>129</v>
      </c>
      <c r="BF36" s="20">
        <f t="shared" ref="BF36:BF56" si="40">BD36*IF($D36="wagon",62.5,781.25)</f>
        <v>6125</v>
      </c>
      <c r="BG36" s="20">
        <f t="shared" ref="BG36:BG56" si="41">BE36*IF($D36="wagon",2.73,81.25)</f>
        <v>352.17</v>
      </c>
      <c r="BN36">
        <v>1</v>
      </c>
      <c r="BP36" t="s">
        <v>142</v>
      </c>
      <c r="BQ36" t="s">
        <v>34</v>
      </c>
      <c r="BR36" s="23" t="str">
        <f>VLOOKUP(G36,Eras!$A$2:$C$10, 2, TRUE)</f>
        <v>lbr</v>
      </c>
      <c r="BS36" t="s">
        <v>70</v>
      </c>
      <c r="BT36" s="23" t="str">
        <f t="shared" ref="BT36:BT56" si="42">CONCATENATE(BR36,"_",BS36)</f>
        <v>lbr_Carriage</v>
      </c>
      <c r="BU36" s="23" t="str">
        <f t="shared" ref="BU36:BU56" si="43">_xlfn.CONCAT(E36, "_",F36)</f>
        <v>carriage_RAIL</v>
      </c>
      <c r="BV36" s="23" t="str">
        <f>VLOOKUP($BU36, Constants!$M:$N, 2, FALSE)</f>
        <v/>
      </c>
      <c r="BW36" s="23" t="str">
        <f t="shared" ref="BW36:BW56" si="44">IF(J36&gt;1,_xlfn.CONCAT("{BLACK}Cars: {GOLD}", J36),"")</f>
        <v/>
      </c>
      <c r="BX36" t="s">
        <v>354</v>
      </c>
      <c r="BY36" s="23" t="str">
        <f t="shared" ref="BY36:BY56" si="45">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
      </c>
      <c r="BZ36" s="23" t="str">
        <f t="shared" ref="BZ36:BZ56" si="46">_xlfn.CONCAT(BV36,IF(BV36 &lt;&gt; "", " ", ""),BW36,IF(OR(BW36&lt;&gt;"", BV36&lt;&gt;""), "{}",""), BY36,"{SILVER}", BX36)</f>
        <v>{SILVER}The Mark 2F was the final development of the Mark 2 carriage, introducing many features which would be used on the Mark 3 Intercity carriages.</v>
      </c>
    </row>
    <row r="37" spans="1:78" x14ac:dyDescent="0.3">
      <c r="A37" t="s">
        <v>332</v>
      </c>
      <c r="B37" t="s">
        <v>337</v>
      </c>
      <c r="C37">
        <v>1601</v>
      </c>
      <c r="D37" t="s">
        <v>32</v>
      </c>
      <c r="E37" t="s">
        <v>159</v>
      </c>
      <c r="F37" t="s">
        <v>28</v>
      </c>
      <c r="G37">
        <v>1960</v>
      </c>
      <c r="T37">
        <v>28</v>
      </c>
      <c r="V37">
        <v>4</v>
      </c>
      <c r="X37" s="4" t="str">
        <f t="shared" si="32"/>
        <v/>
      </c>
      <c r="Y37">
        <v>25</v>
      </c>
      <c r="AA37">
        <v>16.2</v>
      </c>
      <c r="AB37">
        <v>16.2</v>
      </c>
      <c r="AC37">
        <v>2.8</v>
      </c>
      <c r="AE37" s="10">
        <v>42</v>
      </c>
      <c r="AF37" s="15" t="str">
        <f>CONCATENATE(VLOOKUP(AG37, 'Voxel Sizes'!$A$2:$B$18,2,FALSE),"x",INT(AC37*15), "x", INT(AD37*15))</f>
        <v>152x42x0</v>
      </c>
      <c r="AG37" s="15">
        <f t="shared" si="33"/>
        <v>9</v>
      </c>
      <c r="AI37" s="15" t="str">
        <f>CONCATENATE(VLOOKUP(AG37,Constants!$A$2:$C$16,IF(AH37&lt;&gt;"", 3, 2), FALSE),IF(AH37&lt;&gt;"",CONCATENATE(",",VLOOKUP(AH37,$B:$AI,34,FALSE)),""))</f>
        <v>2,5,2</v>
      </c>
      <c r="AS37">
        <v>30</v>
      </c>
      <c r="AT37" s="15" t="str">
        <f t="shared" si="34"/>
        <v/>
      </c>
      <c r="AU37">
        <v>69</v>
      </c>
      <c r="AV37">
        <v>57</v>
      </c>
      <c r="AW37" s="17">
        <f t="shared" si="35"/>
        <v>5</v>
      </c>
      <c r="AX37" s="17">
        <f t="shared" si="36"/>
        <v>0</v>
      </c>
      <c r="AY37" s="17">
        <f t="shared" si="37"/>
        <v>0</v>
      </c>
      <c r="AZ37" s="18">
        <f t="shared" si="38"/>
        <v>0.92</v>
      </c>
      <c r="BA37" s="17">
        <f t="shared" si="39"/>
        <v>7.0000000000000009</v>
      </c>
      <c r="BB37" s="17">
        <f>VLOOKUP($E37,Constants!$I:$K, 2, FALSE)</f>
        <v>1.2</v>
      </c>
      <c r="BC37" s="17">
        <f>VLOOKUP($E37,Constants!$I:$K, 3, FALSE)*IF(AND(D37="multiple_unit",Y37&lt;110),0.75,1)</f>
        <v>0.6</v>
      </c>
      <c r="BD37" s="17">
        <f>INT(POWER(((Constants!$G$2+$AW37+$AX37+$AY37+$BA37)*$AZ37)*$BC37, 1.05))+$AV37</f>
        <v>67</v>
      </c>
      <c r="BE37" s="17">
        <f>INT(POWER((((Constants!$G$1+$AW37+$AX37+$AY37+$BA37)*($AZ37))*$BB37),IF($D37="wagon",1,1.2)))+$AU37</f>
        <v>98</v>
      </c>
      <c r="BF37" s="20">
        <f t="shared" si="40"/>
        <v>4187.5</v>
      </c>
      <c r="BG37" s="20">
        <f t="shared" si="41"/>
        <v>267.54000000000002</v>
      </c>
      <c r="BN37">
        <v>1</v>
      </c>
      <c r="BO37">
        <v>74</v>
      </c>
      <c r="BP37" t="s">
        <v>275</v>
      </c>
      <c r="BQ37" t="s">
        <v>34</v>
      </c>
      <c r="BR37" s="23" t="str">
        <f>VLOOKUP(G37,Eras!$A$2:$C$10, 2, TRUE)</f>
        <v>dsl</v>
      </c>
      <c r="BS37" t="s">
        <v>70</v>
      </c>
      <c r="BT37" s="23" t="str">
        <f t="shared" si="42"/>
        <v>dsl_Carriage</v>
      </c>
      <c r="BU37" s="23" t="str">
        <f t="shared" si="43"/>
        <v>carriage_RAIL</v>
      </c>
      <c r="BV37" s="23" t="str">
        <f>VLOOKUP($BU37, Constants!$M:$N, 2, FALSE)</f>
        <v/>
      </c>
      <c r="BW37" s="23" t="str">
        <f t="shared" si="44"/>
        <v/>
      </c>
      <c r="BX37" t="s">
        <v>335</v>
      </c>
      <c r="BY37" s="23" t="str">
        <f t="shared" si="45"/>
        <v>{YELLOW}Preserved railway bonus: passengers pay more when hauled by old locomotives{}</v>
      </c>
      <c r="BZ37" s="23" t="str">
        <f t="shared" si="46"/>
        <v>{YELLOW}Preserved railway bonus: passengers pay more when hauled by old locomotives{}{SILVER}The first standard gauge preservation railway in the UK was the Bluebell Railway, opened in 1960. Preservation lines are limited to 25mph.</v>
      </c>
    </row>
    <row r="38" spans="1:78" x14ac:dyDescent="0.3">
      <c r="A38" t="s">
        <v>333</v>
      </c>
      <c r="B38" t="s">
        <v>334</v>
      </c>
      <c r="C38">
        <v>1751</v>
      </c>
      <c r="D38" t="s">
        <v>32</v>
      </c>
      <c r="E38" t="s">
        <v>159</v>
      </c>
      <c r="F38" t="s">
        <v>28</v>
      </c>
      <c r="G38">
        <v>1979</v>
      </c>
      <c r="T38">
        <v>32.5</v>
      </c>
      <c r="V38">
        <v>5</v>
      </c>
      <c r="X38" s="4" t="str">
        <f t="shared" si="32"/>
        <v/>
      </c>
      <c r="Y38">
        <v>25</v>
      </c>
      <c r="AA38">
        <v>19.3</v>
      </c>
      <c r="AB38">
        <v>20</v>
      </c>
      <c r="AE38" s="10">
        <v>54</v>
      </c>
      <c r="AF38" s="15" t="str">
        <f>CONCATENATE(VLOOKUP(AG38, 'Voxel Sizes'!$A$2:$B$18,2,FALSE),"x",INT(AC38*15), "x", INT(AD38*15))</f>
        <v>198x0x0</v>
      </c>
      <c r="AG38" s="15">
        <f t="shared" si="33"/>
        <v>12</v>
      </c>
      <c r="AI38" s="15" t="str">
        <f>CONCATENATE(VLOOKUP(AG38,Constants!$A$2:$C$16,IF(AH38&lt;&gt;"", 3, 2), FALSE),IF(AH38&lt;&gt;"",CONCATENATE(",",VLOOKUP(AH38,$B:$AI,34,FALSE)),""))</f>
        <v>4,4,4</v>
      </c>
      <c r="AS38">
        <v>30</v>
      </c>
      <c r="AT38" s="15" t="str">
        <f t="shared" si="34"/>
        <v/>
      </c>
      <c r="AU38">
        <v>76</v>
      </c>
      <c r="AV38">
        <f>23*3</f>
        <v>69</v>
      </c>
      <c r="AW38" s="17">
        <f t="shared" si="35"/>
        <v>5</v>
      </c>
      <c r="AX38" s="17">
        <f t="shared" si="36"/>
        <v>0</v>
      </c>
      <c r="AY38" s="17">
        <f t="shared" si="37"/>
        <v>0</v>
      </c>
      <c r="AZ38" s="18">
        <f t="shared" si="38"/>
        <v>0.89466666666666672</v>
      </c>
      <c r="BA38" s="17">
        <f t="shared" si="39"/>
        <v>9</v>
      </c>
      <c r="BB38" s="17">
        <f>VLOOKUP($E38,Constants!$I:$K, 2, FALSE)</f>
        <v>1.2</v>
      </c>
      <c r="BC38" s="17">
        <f>VLOOKUP($E38,Constants!$I:$K, 3, FALSE)*IF(AND(D38="multiple_unit",Y38&lt;110),0.75,1)</f>
        <v>0.6</v>
      </c>
      <c r="BD38" s="17">
        <f>INT(POWER(((Constants!$G$2+$AW38+$AX38+$AY38+$BA38)*$AZ38)*$BC38, 1.05))+$AV38</f>
        <v>80</v>
      </c>
      <c r="BE38" s="17">
        <f>INT(POWER((((Constants!$G$1+$AW38+$AX38+$AY38+$BA38)*($AZ38))*$BB38),IF($D38="wagon",1,1.2)))+$AU38</f>
        <v>107</v>
      </c>
      <c r="BF38" s="20">
        <f t="shared" si="40"/>
        <v>5000</v>
      </c>
      <c r="BG38" s="20">
        <f t="shared" si="41"/>
        <v>292.11</v>
      </c>
      <c r="BN38">
        <v>1</v>
      </c>
      <c r="BO38">
        <v>74</v>
      </c>
      <c r="BP38" t="s">
        <v>275</v>
      </c>
      <c r="BQ38" t="s">
        <v>34</v>
      </c>
      <c r="BR38" s="23" t="str">
        <f>VLOOKUP(G38,Eras!$A$2:$C$10, 2, TRUE)</f>
        <v>lbr</v>
      </c>
      <c r="BS38" t="s">
        <v>70</v>
      </c>
      <c r="BT38" s="23" t="str">
        <f t="shared" si="42"/>
        <v>lbr_Carriage</v>
      </c>
      <c r="BU38" s="23" t="str">
        <f t="shared" si="43"/>
        <v>carriage_RAIL</v>
      </c>
      <c r="BV38" s="23" t="str">
        <f>VLOOKUP($BU38, Constants!$M:$N, 2, FALSE)</f>
        <v/>
      </c>
      <c r="BW38" s="23" t="str">
        <f t="shared" si="44"/>
        <v/>
      </c>
      <c r="BX38" t="s">
        <v>336</v>
      </c>
      <c r="BY38" s="23" t="str">
        <f t="shared" si="45"/>
        <v>{YELLOW}Preserved railway bonus: passengers pay more when hauled by old locomotives{}</v>
      </c>
      <c r="BZ38" s="23" t="str">
        <f t="shared" si="46"/>
        <v>{YELLOW}Preserved railway bonus: passengers pay more when hauled by old locomotives{}{SILVER}The ubiquity of the BR Mk1 carriage has made it a mainstay of preserved railways across the UK.</v>
      </c>
    </row>
    <row r="39" spans="1:78" x14ac:dyDescent="0.3">
      <c r="A39" t="s">
        <v>369</v>
      </c>
      <c r="B39" t="s">
        <v>370</v>
      </c>
      <c r="C39">
        <v>1691</v>
      </c>
      <c r="D39" t="s">
        <v>32</v>
      </c>
      <c r="E39" t="s">
        <v>32</v>
      </c>
      <c r="F39" t="s">
        <v>28</v>
      </c>
      <c r="G39">
        <v>1969</v>
      </c>
      <c r="T39">
        <v>160</v>
      </c>
      <c r="V39">
        <v>5</v>
      </c>
      <c r="X39" s="4" t="str">
        <f t="shared" si="32"/>
        <v/>
      </c>
      <c r="Y39">
        <v>65</v>
      </c>
      <c r="AA39">
        <v>25</v>
      </c>
      <c r="AB39">
        <v>22</v>
      </c>
      <c r="AE39" s="10">
        <v>81</v>
      </c>
      <c r="AF39" s="15" t="str">
        <f>CONCATENATE(VLOOKUP(AG39, 'Voxel Sizes'!$A$2:$B$18,2,FALSE),"x",INT(AC39*15), "x", INT(AD39*15))</f>
        <v>214x0x0</v>
      </c>
      <c r="AG39" s="15">
        <f t="shared" si="33"/>
        <v>13</v>
      </c>
      <c r="AI39" s="15" t="str">
        <f>CONCATENATE(VLOOKUP(AG39,Constants!$A$2:$C$16,IF(AH39&lt;&gt;"", 3, 2), FALSE),IF(AH39&lt;&gt;"",CONCATENATE(",",VLOOKUP(AH39,$B:$AI,34,FALSE)),""))</f>
        <v>4,5,4</v>
      </c>
      <c r="AS39">
        <v>30</v>
      </c>
      <c r="AT39" s="15" t="str">
        <f t="shared" si="34"/>
        <v/>
      </c>
      <c r="AW39" s="17">
        <f t="shared" si="35"/>
        <v>13</v>
      </c>
      <c r="AX39" s="17">
        <f t="shared" si="36"/>
        <v>0</v>
      </c>
      <c r="AY39" s="17">
        <f t="shared" si="37"/>
        <v>0</v>
      </c>
      <c r="AZ39" s="18">
        <f t="shared" si="38"/>
        <v>0.90800000000000003</v>
      </c>
      <c r="BA39" s="17">
        <f t="shared" si="39"/>
        <v>13.5</v>
      </c>
      <c r="BB39" s="17">
        <f>VLOOKUP($E39,Constants!$I:$K, 2, FALSE)</f>
        <v>1</v>
      </c>
      <c r="BC39" s="17">
        <f>VLOOKUP($E39,Constants!$I:$K, 3, FALSE)*IF(AND(D39="multiple_unit",Y39&lt;110),0.75,1)</f>
        <v>0.45</v>
      </c>
      <c r="BD39" s="17">
        <f>INT(POWER(((Constants!$G$2+$AW39+$AX39+$AY39+$BA39)*$AZ39)*$BC39, 1.05))+$AV39</f>
        <v>14</v>
      </c>
      <c r="BE39" s="17">
        <f>INT(POWER((((Constants!$G$1+$AW39+$AX39+$AY39+$BA39)*($AZ39))*$BB39),IF($D39="wagon",1,1.2)))+$AU39</f>
        <v>37</v>
      </c>
      <c r="BF39" s="20">
        <f t="shared" si="40"/>
        <v>875</v>
      </c>
      <c r="BG39" s="20">
        <f t="shared" si="41"/>
        <v>101.01</v>
      </c>
      <c r="BN39">
        <v>1</v>
      </c>
      <c r="BO39">
        <v>205</v>
      </c>
      <c r="BP39" t="s">
        <v>372</v>
      </c>
      <c r="BQ39" t="s">
        <v>34</v>
      </c>
      <c r="BR39" s="23" t="str">
        <f>VLOOKUP(G39,Eras!$A$2:$C$10, 2, TRUE)</f>
        <v>dsl</v>
      </c>
      <c r="BS39" t="s">
        <v>130</v>
      </c>
      <c r="BT39" s="23" t="str">
        <f t="shared" si="42"/>
        <v>dsl_Extra</v>
      </c>
      <c r="BU39" s="23" t="str">
        <f t="shared" si="43"/>
        <v>wagon_RAIL</v>
      </c>
      <c r="BV39" s="23" t="str">
        <f>VLOOKUP($BU39, Constants!$M:$N, 2, FALSE)</f>
        <v/>
      </c>
      <c r="BW39" s="23" t="str">
        <f t="shared" si="44"/>
        <v/>
      </c>
      <c r="BX39" t="s">
        <v>371</v>
      </c>
      <c r="BY39" s="23" t="str">
        <f t="shared" si="45"/>
        <v>{YELLOW}10% Bonus for long distance travel{}</v>
      </c>
      <c r="BZ39" s="23" t="str">
        <f t="shared" si="46"/>
        <v>{YELLOW}10% Bonus for long distance travel{}{SILVER}Torpedo cars haul molten metal directly from furnaces, meaning it does not have to be processed to an intermediate form and melted again.</v>
      </c>
    </row>
    <row r="40" spans="1:78" x14ac:dyDescent="0.3">
      <c r="A40" t="s">
        <v>402</v>
      </c>
      <c r="B40" t="s">
        <v>404</v>
      </c>
      <c r="C40">
        <v>661</v>
      </c>
      <c r="D40" t="s">
        <v>236</v>
      </c>
      <c r="E40" t="s">
        <v>25</v>
      </c>
      <c r="F40" t="s">
        <v>28</v>
      </c>
      <c r="G40">
        <v>1866</v>
      </c>
      <c r="I40">
        <v>1947</v>
      </c>
      <c r="K40">
        <v>500</v>
      </c>
      <c r="M40" s="6">
        <v>17</v>
      </c>
      <c r="N40" s="6">
        <v>24</v>
      </c>
      <c r="O40" s="6">
        <v>2</v>
      </c>
      <c r="P40" s="6">
        <v>140</v>
      </c>
      <c r="Q40" s="13">
        <f t="shared" ref="Q40:Q47" si="47">((($Y40/2)/60)*5280)/($R40*3.2*PI())</f>
        <v>150.36440844437786</v>
      </c>
      <c r="R40" s="6">
        <v>1.8919999999999999</v>
      </c>
      <c r="S40" s="6">
        <f t="shared" ref="S40:S47" si="48">((($M40*$M40/4)*PI())*($N40/12)*$O40*$P40*$Q40)/(33000*1.1)</f>
        <v>526.51915561535009</v>
      </c>
      <c r="T40">
        <v>38</v>
      </c>
      <c r="U40" s="8">
        <v>30</v>
      </c>
      <c r="V40">
        <v>5</v>
      </c>
      <c r="W40">
        <v>50</v>
      </c>
      <c r="X40" s="4">
        <f t="shared" si="32"/>
        <v>7.3529411764705885E-2</v>
      </c>
      <c r="Y40">
        <v>65</v>
      </c>
      <c r="AA40">
        <v>10</v>
      </c>
      <c r="AB40">
        <v>10</v>
      </c>
      <c r="AF40" s="15" t="str">
        <f>CONCATENATE(VLOOKUP(AG40, 'Voxel Sizes'!$A$2:$B$18,2,FALSE),"x",INT(AC40*15), "x", INT(AD40*15))</f>
        <v>102x0x0</v>
      </c>
      <c r="AG40" s="15">
        <f t="shared" si="33"/>
        <v>6</v>
      </c>
      <c r="AH40" t="s">
        <v>406</v>
      </c>
      <c r="AI40" s="15" t="str">
        <f>CONCATENATE(VLOOKUP(AG40,Constants!$A$2:$C$16,IF(AH40&lt;&gt;"", 3, 2), FALSE),IF(AH40&lt;&gt;"",CONCATENATE(",",VLOOKUP(AH40,$B:$AI,34,FALSE)),""))</f>
        <v>2,2,2,2,1,2</v>
      </c>
      <c r="AQ40">
        <v>1</v>
      </c>
      <c r="AS40">
        <v>34</v>
      </c>
      <c r="AT40" s="15">
        <f t="shared" si="34"/>
        <v>89</v>
      </c>
      <c r="AW40" s="17">
        <f t="shared" si="35"/>
        <v>13</v>
      </c>
      <c r="AX40" s="17">
        <f t="shared" si="36"/>
        <v>2.5</v>
      </c>
      <c r="AY40" s="17">
        <f t="shared" si="37"/>
        <v>2.5</v>
      </c>
      <c r="AZ40" s="18">
        <f t="shared" si="38"/>
        <v>1</v>
      </c>
      <c r="BA40" s="17">
        <f t="shared" si="39"/>
        <v>0</v>
      </c>
      <c r="BB40" s="17">
        <f>VLOOKUP($E40,Constants!$I:$K, 2, FALSE)</f>
        <v>1.1499999999999999</v>
      </c>
      <c r="BC40" s="17">
        <f>VLOOKUP($E40,Constants!$I:$K, 3, FALSE)*IF(AND(D40="multiple_unit",Y40&lt;110),0.75,1)</f>
        <v>1.7</v>
      </c>
      <c r="BD40" s="17">
        <f>INT(POWER(((Constants!$G$2+$AW40+$AX40+$AY40+$BA40)*$AZ40)*$BC40, 1.05))+$AV40</f>
        <v>46</v>
      </c>
      <c r="BE40" s="17">
        <f>INT(POWER((((Constants!$G$1+$AW40+$AX40+$AY40+$BA40)*($AZ40))*$BB40),IF($D40="wagon",1,1.2)))+$AU40</f>
        <v>78</v>
      </c>
      <c r="BF40" s="20">
        <f t="shared" si="40"/>
        <v>35937.5</v>
      </c>
      <c r="BG40" s="20">
        <f t="shared" si="41"/>
        <v>6337.5</v>
      </c>
      <c r="BN40">
        <v>9</v>
      </c>
      <c r="BR40" s="23" t="str">
        <f>VLOOKUP(G40,Eras!$A$2:$C$10, 2, TRUE)</f>
        <v>vct</v>
      </c>
      <c r="BS40" t="s">
        <v>63</v>
      </c>
      <c r="BT40" s="23" t="str">
        <f t="shared" si="42"/>
        <v>vct_Express</v>
      </c>
      <c r="BU40" s="23" t="str">
        <f t="shared" si="43"/>
        <v>steam_RAIL</v>
      </c>
      <c r="BV40" s="23" t="str">
        <f>VLOOKUP($BU40, Constants!$M:$N, 2, FALSE)</f>
        <v>{BLACK}Powered by: {GOLD}Steam</v>
      </c>
      <c r="BW40" s="23" t="str">
        <f t="shared" si="44"/>
        <v/>
      </c>
      <c r="BX40" t="s">
        <v>403</v>
      </c>
      <c r="BY40" s="23" t="str">
        <f t="shared" si="45"/>
        <v/>
      </c>
      <c r="BZ40" s="23" t="str">
        <f t="shared" si="46"/>
        <v>{BLACK}Powered by: {GOLD}Steam {}{SILVER}The Midland 156 class had a long career. It started as an express engine but as power outputs and speeds on the mainline increased it was relegated to increasingly minor duties, ending up being used on small branch lines.</v>
      </c>
    </row>
    <row r="41" spans="1:78" x14ac:dyDescent="0.3">
      <c r="A41" t="s">
        <v>361</v>
      </c>
      <c r="B41" t="s">
        <v>362</v>
      </c>
      <c r="C41">
        <v>871</v>
      </c>
      <c r="D41" t="s">
        <v>236</v>
      </c>
      <c r="E41" t="s">
        <v>25</v>
      </c>
      <c r="F41" t="s">
        <v>28</v>
      </c>
      <c r="G41">
        <v>1870</v>
      </c>
      <c r="I41">
        <v>1916</v>
      </c>
      <c r="K41">
        <v>650</v>
      </c>
      <c r="M41" s="6">
        <v>18</v>
      </c>
      <c r="N41" s="6">
        <v>28</v>
      </c>
      <c r="O41" s="6">
        <v>2</v>
      </c>
      <c r="P41" s="6">
        <v>140</v>
      </c>
      <c r="Q41" s="13">
        <f t="shared" si="47"/>
        <v>151.22954450296965</v>
      </c>
      <c r="R41" s="6">
        <v>2.46</v>
      </c>
      <c r="S41" s="6">
        <f t="shared" si="48"/>
        <v>692.62749445676275</v>
      </c>
      <c r="T41">
        <v>40</v>
      </c>
      <c r="U41" s="8">
        <v>30</v>
      </c>
      <c r="V41">
        <v>5</v>
      </c>
      <c r="W41">
        <v>50</v>
      </c>
      <c r="X41" s="4">
        <f t="shared" si="32"/>
        <v>7.1428571428571425E-2</v>
      </c>
      <c r="Y41">
        <v>85</v>
      </c>
      <c r="AA41">
        <v>15.4</v>
      </c>
      <c r="AB41">
        <v>12</v>
      </c>
      <c r="AF41" s="15" t="str">
        <f>CONCATENATE(VLOOKUP(AG41, 'Voxel Sizes'!$A$2:$B$18,2,FALSE),"x",INT(AC41*15), "x", INT(AD41*15))</f>
        <v>120x0x0</v>
      </c>
      <c r="AG41" s="15">
        <f t="shared" si="33"/>
        <v>7</v>
      </c>
      <c r="AH41" t="s">
        <v>364</v>
      </c>
      <c r="AI41" s="15" t="str">
        <f>CONCATENATE(VLOOKUP(AG41,Constants!$A$2:$C$16,IF(AH41&lt;&gt;"", 3, 2), FALSE),IF(AH41&lt;&gt;"",CONCATENATE(",",VLOOKUP(AH41,$B:$AI,34,FALSE)),""))</f>
        <v>2,3,2,2,1,2</v>
      </c>
      <c r="AQ41">
        <v>1</v>
      </c>
      <c r="AS41">
        <v>31</v>
      </c>
      <c r="AT41" s="15">
        <f t="shared" si="34"/>
        <v>54</v>
      </c>
      <c r="AW41" s="17">
        <f t="shared" si="35"/>
        <v>17</v>
      </c>
      <c r="AX41" s="17">
        <f t="shared" si="36"/>
        <v>3.25</v>
      </c>
      <c r="AY41" s="17">
        <f t="shared" si="37"/>
        <v>2.5</v>
      </c>
      <c r="AZ41" s="18">
        <f t="shared" si="38"/>
        <v>1</v>
      </c>
      <c r="BA41" s="17">
        <f t="shared" si="39"/>
        <v>0</v>
      </c>
      <c r="BB41" s="17">
        <f>VLOOKUP($E41,Constants!$I:$K, 2, FALSE)</f>
        <v>1.1499999999999999</v>
      </c>
      <c r="BC41" s="17">
        <f>VLOOKUP($E41,Constants!$I:$K, 3, FALSE)*IF(AND(D41="multiple_unit",Y41&lt;110),0.75,1)</f>
        <v>1.7</v>
      </c>
      <c r="BD41" s="17">
        <f>INT(POWER(((Constants!$G$2+$AW41+$AX41+$AY41+$BA41)*$AZ41)*$BC41, 1.05))+$AV41</f>
        <v>57</v>
      </c>
      <c r="BE41" s="17">
        <f>INT(POWER((((Constants!$G$1+$AW41+$AX41+$AY41+$BA41)*($AZ41))*$BB41),IF($D41="wagon",1,1.2)))+$AU41</f>
        <v>92</v>
      </c>
      <c r="BF41" s="20">
        <f t="shared" si="40"/>
        <v>44531.25</v>
      </c>
      <c r="BG41" s="20">
        <f t="shared" si="41"/>
        <v>7475</v>
      </c>
      <c r="BN41">
        <v>4</v>
      </c>
      <c r="BR41" s="23" t="str">
        <f>VLOOKUP(G41,Eras!$A$2:$C$10, 2, TRUE)</f>
        <v>vct</v>
      </c>
      <c r="BS41" t="s">
        <v>63</v>
      </c>
      <c r="BT41" s="23" t="str">
        <f t="shared" si="42"/>
        <v>vct_Express</v>
      </c>
      <c r="BU41" s="23" t="str">
        <f t="shared" si="43"/>
        <v>steam_RAIL</v>
      </c>
      <c r="BV41" s="23" t="str">
        <f>VLOOKUP($BU41, Constants!$M:$N, 2, FALSE)</f>
        <v>{BLACK}Powered by: {GOLD}Steam</v>
      </c>
      <c r="BW41" s="23" t="str">
        <f t="shared" si="44"/>
        <v/>
      </c>
      <c r="BX41" t="s">
        <v>365</v>
      </c>
      <c r="BY41" s="23" t="str">
        <f t="shared" si="45"/>
        <v/>
      </c>
      <c r="BZ41" s="23" t="str">
        <f t="shared" si="46"/>
        <v>{BLACK}Powered by: {GOLD}Steam {}{SILVER}Patrick Stirling's "singles" (also known as "eight footers" due to the large driving wheels) were designed to haul heavy express trains.</v>
      </c>
    </row>
    <row r="42" spans="1:78" x14ac:dyDescent="0.3">
      <c r="A42" t="s">
        <v>367</v>
      </c>
      <c r="B42" t="s">
        <v>366</v>
      </c>
      <c r="C42">
        <v>981</v>
      </c>
      <c r="D42" t="s">
        <v>236</v>
      </c>
      <c r="E42" t="s">
        <v>25</v>
      </c>
      <c r="F42" t="s">
        <v>28</v>
      </c>
      <c r="G42">
        <v>1898</v>
      </c>
      <c r="I42">
        <v>1946</v>
      </c>
      <c r="K42">
        <v>950</v>
      </c>
      <c r="M42" s="6">
        <v>18.75</v>
      </c>
      <c r="N42" s="6">
        <v>24</v>
      </c>
      <c r="O42" s="6">
        <v>2</v>
      </c>
      <c r="P42" s="6">
        <v>170</v>
      </c>
      <c r="Q42" s="13">
        <f t="shared" si="47"/>
        <v>196.95424207622048</v>
      </c>
      <c r="R42" s="6">
        <v>2</v>
      </c>
      <c r="S42" s="6">
        <f t="shared" si="48"/>
        <v>1018.732244318182</v>
      </c>
      <c r="T42">
        <v>60</v>
      </c>
      <c r="U42" s="8">
        <v>30</v>
      </c>
      <c r="V42">
        <v>5</v>
      </c>
      <c r="W42">
        <v>68</v>
      </c>
      <c r="X42" s="4">
        <f t="shared" si="32"/>
        <v>7.5555555555555556E-2</v>
      </c>
      <c r="Y42">
        <v>90</v>
      </c>
      <c r="AA42">
        <v>15.4</v>
      </c>
      <c r="AB42">
        <v>12</v>
      </c>
      <c r="AF42" s="15" t="str">
        <f>CONCATENATE(VLOOKUP(AG42, 'Voxel Sizes'!$A$2:$B$18,2,FALSE),"x",INT(AC42*15), "x", INT(AD42*15))</f>
        <v>120x0x0</v>
      </c>
      <c r="AG42" s="15">
        <f t="shared" si="33"/>
        <v>7</v>
      </c>
      <c r="AH42" t="s">
        <v>364</v>
      </c>
      <c r="AI42" s="15" t="str">
        <f>CONCATENATE(VLOOKUP(AG42,Constants!$A$2:$C$16,IF(AH42&lt;&gt;"", 3, 2), FALSE),IF(AH42&lt;&gt;"",CONCATENATE(",",VLOOKUP(AH42,$B:$AI,34,FALSE)),""))</f>
        <v>2,3,2,2,1,2</v>
      </c>
      <c r="AQ42">
        <v>1</v>
      </c>
      <c r="AS42">
        <v>29</v>
      </c>
      <c r="AT42" s="15">
        <f t="shared" si="34"/>
        <v>56</v>
      </c>
      <c r="AW42" s="17">
        <f t="shared" si="35"/>
        <v>18</v>
      </c>
      <c r="AX42" s="17">
        <f t="shared" si="36"/>
        <v>4.75</v>
      </c>
      <c r="AY42" s="17">
        <f t="shared" si="37"/>
        <v>3.4000000000000004</v>
      </c>
      <c r="AZ42" s="18">
        <f t="shared" si="38"/>
        <v>1</v>
      </c>
      <c r="BA42" s="17">
        <f t="shared" si="39"/>
        <v>0</v>
      </c>
      <c r="BB42" s="17">
        <f>VLOOKUP($E42,Constants!$I:$K, 2, FALSE)</f>
        <v>1.1499999999999999</v>
      </c>
      <c r="BC42" s="17">
        <f>VLOOKUP($E42,Constants!$I:$K, 3, FALSE)*IF(AND(D42="multiple_unit",Y42&lt;110),0.75,1)</f>
        <v>1.7</v>
      </c>
      <c r="BD42" s="17">
        <f>INT(POWER(((Constants!$G$2+$AW42+$AX42+$AY42+$BA42)*$AZ42)*$BC42, 1.05))+$AV42</f>
        <v>64</v>
      </c>
      <c r="BE42" s="17">
        <f>INT(POWER((((Constants!$G$1+$AW42+$AX42+$AY42+$BA42)*($AZ42))*$BB42),IF($D42="wagon",1,1.2)))+$AU42</f>
        <v>102</v>
      </c>
      <c r="BF42" s="20">
        <f t="shared" si="40"/>
        <v>50000</v>
      </c>
      <c r="BG42" s="20">
        <f t="shared" si="41"/>
        <v>8287.5</v>
      </c>
      <c r="BN42">
        <v>3</v>
      </c>
      <c r="BR42" s="23" t="str">
        <f>VLOOKUP(G42,Eras!$A$2:$C$10, 2, TRUE)</f>
        <v>vct</v>
      </c>
      <c r="BS42" t="s">
        <v>63</v>
      </c>
      <c r="BT42" s="23" t="str">
        <f t="shared" si="42"/>
        <v>vct_Express</v>
      </c>
      <c r="BU42" s="23" t="str">
        <f t="shared" si="43"/>
        <v>steam_RAIL</v>
      </c>
      <c r="BV42" s="23" t="str">
        <f>VLOOKUP($BU42, Constants!$M:$N, 2, FALSE)</f>
        <v>{BLACK}Powered by: {GOLD}Steam</v>
      </c>
      <c r="BW42" s="23" t="str">
        <f t="shared" si="44"/>
        <v/>
      </c>
      <c r="BX42" t="s">
        <v>368</v>
      </c>
      <c r="BY42" s="23" t="str">
        <f t="shared" si="45"/>
        <v/>
      </c>
      <c r="BZ42" s="23" t="str">
        <f t="shared" si="46"/>
        <v>{BLACK}Powered by: {GOLD}Steam {}{SILVER}Henry Ivatt introduced the 4-4-2 Atlantic type to the UK with this design, nicknamed "Klondyke" after the peak of the Klondike Gold Rush of the previous year.</v>
      </c>
    </row>
    <row r="43" spans="1:78" x14ac:dyDescent="0.3">
      <c r="A43" t="s">
        <v>237</v>
      </c>
      <c r="B43" t="s">
        <v>238</v>
      </c>
      <c r="C43">
        <v>991</v>
      </c>
      <c r="D43" t="s">
        <v>236</v>
      </c>
      <c r="E43" t="s">
        <v>25</v>
      </c>
      <c r="F43" t="s">
        <v>28</v>
      </c>
      <c r="G43">
        <v>1899</v>
      </c>
      <c r="I43">
        <v>1933</v>
      </c>
      <c r="K43">
        <v>180</v>
      </c>
      <c r="M43" s="6">
        <v>11.5</v>
      </c>
      <c r="N43" s="6">
        <v>18</v>
      </c>
      <c r="O43" s="6">
        <v>2</v>
      </c>
      <c r="P43" s="6">
        <v>175</v>
      </c>
      <c r="Q43" s="13">
        <f t="shared" si="47"/>
        <v>128.72826279491534</v>
      </c>
      <c r="R43" s="6">
        <v>1.7</v>
      </c>
      <c r="S43" s="6">
        <f t="shared" si="48"/>
        <v>193.38026403743311</v>
      </c>
      <c r="T43">
        <v>38</v>
      </c>
      <c r="V43">
        <v>5</v>
      </c>
      <c r="W43">
        <v>24</v>
      </c>
      <c r="X43" s="4">
        <f t="shared" si="32"/>
        <v>6.3157894736842107E-2</v>
      </c>
      <c r="Y43">
        <v>50</v>
      </c>
      <c r="AA43">
        <v>10.9</v>
      </c>
      <c r="AB43">
        <v>12</v>
      </c>
      <c r="AE43" s="10">
        <v>12</v>
      </c>
      <c r="AF43" s="15" t="str">
        <f>CONCATENATE(VLOOKUP(AG43, 'Voxel Sizes'!$A$2:$B$18,2,FALSE),"x",INT(AC43*15), "x", INT(AD43*15))</f>
        <v>120x0x0</v>
      </c>
      <c r="AG43" s="15">
        <f t="shared" si="33"/>
        <v>7</v>
      </c>
      <c r="AI43" s="15" t="str">
        <f>CONCATENATE(VLOOKUP(AG43,Constants!$A$2:$C$16,IF(AH43&lt;&gt;"", 3, 2), FALSE),IF(AH43&lt;&gt;"",CONCATENATE(",",VLOOKUP(AH43,$B:$AI,34,FALSE)),""))</f>
        <v>2,3,2</v>
      </c>
      <c r="AQ43">
        <v>1</v>
      </c>
      <c r="AS43">
        <v>26</v>
      </c>
      <c r="AT43" s="15">
        <f t="shared" si="34"/>
        <v>42</v>
      </c>
      <c r="AU43">
        <v>-14</v>
      </c>
      <c r="AV43">
        <v>-4</v>
      </c>
      <c r="AW43" s="17">
        <f t="shared" si="35"/>
        <v>10</v>
      </c>
      <c r="AX43" s="17">
        <f t="shared" si="36"/>
        <v>0.89999999999999991</v>
      </c>
      <c r="AY43" s="17">
        <f t="shared" si="37"/>
        <v>1.2</v>
      </c>
      <c r="AZ43" s="18">
        <f t="shared" si="38"/>
        <v>1</v>
      </c>
      <c r="BA43" s="17">
        <f t="shared" si="39"/>
        <v>0.4</v>
      </c>
      <c r="BB43" s="17">
        <f>VLOOKUP($E43,Constants!$I:$K, 2, FALSE)</f>
        <v>1.1499999999999999</v>
      </c>
      <c r="BC43" s="17">
        <f>VLOOKUP($E43,Constants!$I:$K, 3, FALSE)*IF(AND(D43="multiple_unit",Y43&lt;110),0.75,1)</f>
        <v>1.7</v>
      </c>
      <c r="BD43" s="17">
        <f>INT(POWER(((Constants!$G$2+$AW43+$AX43+$AY43+$BA43)*$AZ43)*$BC43, 1.05))+$AV43</f>
        <v>31</v>
      </c>
      <c r="BE43" s="17">
        <f>INT(POWER((((Constants!$G$1+$AW43+$AX43+$AY43+$BA43)*($AZ43))*$BB43),IF($D43="wagon",1,1.2)))+$AU43</f>
        <v>49</v>
      </c>
      <c r="BF43" s="20">
        <f t="shared" si="40"/>
        <v>24218.75</v>
      </c>
      <c r="BG43" s="20">
        <f t="shared" si="41"/>
        <v>3981.25</v>
      </c>
      <c r="BN43">
        <v>4</v>
      </c>
      <c r="BP43" t="s">
        <v>142</v>
      </c>
      <c r="BQ43" t="s">
        <v>34</v>
      </c>
      <c r="BR43" s="23" t="str">
        <f>VLOOKUP(G43,Eras!$A$2:$C$10, 2, TRUE)</f>
        <v>vct</v>
      </c>
      <c r="BS43" t="s">
        <v>61</v>
      </c>
      <c r="BT43" s="23" t="str">
        <f t="shared" si="42"/>
        <v>vct_Cheap</v>
      </c>
      <c r="BU43" s="23" t="str">
        <f t="shared" si="43"/>
        <v>steam_RAIL</v>
      </c>
      <c r="BV43" s="23" t="str">
        <f>VLOOKUP($BU43, Constants!$M:$N, 2, FALSE)</f>
        <v>{BLACK}Powered by: {GOLD}Steam</v>
      </c>
      <c r="BW43" s="23" t="str">
        <f t="shared" si="44"/>
        <v/>
      </c>
      <c r="BX43" t="s">
        <v>239</v>
      </c>
      <c r="BY43" s="23" t="str">
        <f t="shared" si="45"/>
        <v/>
      </c>
      <c r="BZ43" s="23" t="str">
        <f t="shared" si="46"/>
        <v>{BLACK}Powered by: {GOLD}Steam {}{SILVER}The F9 was Dugald Drummond's personal locomotive, allowing him to travel across the LSWR for inspections. After Drummond it only saw occasional use at Southampton Docks.</v>
      </c>
    </row>
    <row r="44" spans="1:78" x14ac:dyDescent="0.3">
      <c r="A44" t="s">
        <v>376</v>
      </c>
      <c r="B44" t="s">
        <v>377</v>
      </c>
      <c r="C44">
        <v>1021</v>
      </c>
      <c r="D44" t="s">
        <v>236</v>
      </c>
      <c r="E44" t="s">
        <v>25</v>
      </c>
      <c r="F44" t="s">
        <v>28</v>
      </c>
      <c r="G44">
        <v>1902</v>
      </c>
      <c r="I44">
        <v>1924</v>
      </c>
      <c r="K44">
        <v>1000</v>
      </c>
      <c r="M44" s="6">
        <v>18.5</v>
      </c>
      <c r="N44" s="6">
        <v>24</v>
      </c>
      <c r="O44" s="6">
        <v>3</v>
      </c>
      <c r="P44" s="6">
        <v>200</v>
      </c>
      <c r="Q44" s="13">
        <f t="shared" si="47"/>
        <v>111.81506038390457</v>
      </c>
      <c r="R44" s="6">
        <v>1.37</v>
      </c>
      <c r="S44" s="6">
        <f t="shared" si="48"/>
        <v>993.59240212342422</v>
      </c>
      <c r="T44">
        <v>81</v>
      </c>
      <c r="V44">
        <v>5</v>
      </c>
      <c r="W44">
        <v>173</v>
      </c>
      <c r="X44" s="4">
        <f t="shared" si="32"/>
        <v>0.21358024691358024</v>
      </c>
      <c r="Y44">
        <v>35</v>
      </c>
      <c r="AA44">
        <v>12</v>
      </c>
      <c r="AB44">
        <v>12</v>
      </c>
      <c r="AF44" s="15" t="str">
        <f>CONCATENATE(VLOOKUP(AG44, 'Voxel Sizes'!$A$2:$B$18,2,FALSE),"x",INT(AC44*15), "x", INT(AD44*15))</f>
        <v>120x0x0</v>
      </c>
      <c r="AG44" s="15">
        <f t="shared" si="33"/>
        <v>7</v>
      </c>
      <c r="AI44" s="15" t="str">
        <f>CONCATENATE(VLOOKUP(AG44,Constants!$A$2:$C$16,IF(AH44&lt;&gt;"", 3, 2), FALSE),IF(AH44&lt;&gt;"",CONCATENATE(",",VLOOKUP(AH44,$B:$AI,34,FALSE)),""))</f>
        <v>2,3,2</v>
      </c>
      <c r="AQ44">
        <v>1</v>
      </c>
      <c r="AS44">
        <v>18</v>
      </c>
      <c r="AT44" s="15">
        <f t="shared" si="34"/>
        <v>30</v>
      </c>
      <c r="AU44">
        <v>4</v>
      </c>
      <c r="AW44" s="17">
        <f t="shared" si="35"/>
        <v>7</v>
      </c>
      <c r="AX44" s="17">
        <f t="shared" si="36"/>
        <v>5</v>
      </c>
      <c r="AY44" s="17">
        <f t="shared" si="37"/>
        <v>8.65</v>
      </c>
      <c r="AZ44" s="18">
        <f t="shared" si="38"/>
        <v>0.99733333333333329</v>
      </c>
      <c r="BA44" s="17">
        <f t="shared" si="39"/>
        <v>0</v>
      </c>
      <c r="BB44" s="17">
        <f>VLOOKUP($E44,Constants!$I:$K, 2, FALSE)</f>
        <v>1.1499999999999999</v>
      </c>
      <c r="BC44" s="17">
        <f>VLOOKUP($E44,Constants!$I:$K, 3, FALSE)*IF(AND(D44="multiple_unit",Y44&lt;110),0.75,1)</f>
        <v>1.7</v>
      </c>
      <c r="BD44" s="17">
        <f>INT(POWER(((Constants!$G$2+$AW44+$AX44+$AY44+$BA44)*$AZ44)*$BC44, 1.05))+$AV44</f>
        <v>52</v>
      </c>
      <c r="BE44" s="17">
        <f>INT(POWER((((Constants!$G$1+$AW44+$AX44+$AY44+$BA44)*($AZ44))*$BB44),IF($D44="wagon",1,1.2)))+$AU44</f>
        <v>89</v>
      </c>
      <c r="BF44" s="20">
        <f t="shared" si="40"/>
        <v>40625</v>
      </c>
      <c r="BG44" s="20">
        <f t="shared" si="41"/>
        <v>7231.25</v>
      </c>
      <c r="BN44">
        <v>3</v>
      </c>
      <c r="BR44" s="23" t="str">
        <f>VLOOKUP(G44,Eras!$A$2:$C$10, 2, TRUE)</f>
        <v>edw</v>
      </c>
      <c r="BS44" t="s">
        <v>63</v>
      </c>
      <c r="BT44" s="23" t="str">
        <f t="shared" si="42"/>
        <v>edw_Express</v>
      </c>
      <c r="BU44" s="23" t="str">
        <f t="shared" si="43"/>
        <v>steam_RAIL</v>
      </c>
      <c r="BV44" s="23" t="str">
        <f>VLOOKUP($BU44, Constants!$M:$N, 2, FALSE)</f>
        <v>{BLACK}Powered by: {GOLD}Steam</v>
      </c>
      <c r="BW44" s="23" t="str">
        <f t="shared" si="44"/>
        <v/>
      </c>
      <c r="BX44" t="s">
        <v>378</v>
      </c>
      <c r="BY44" s="23" t="str">
        <f t="shared" si="45"/>
        <v/>
      </c>
      <c r="BZ44" s="23" t="str">
        <f t="shared" si="46"/>
        <v>{BLACK}Powered by: {GOLD}Steam {}{SILVER}GER's prototype Decapod was built to outperform low speed acceleration of electric locomotives, to prevent a rival electric railway being approved by Parliament.</v>
      </c>
    </row>
    <row r="45" spans="1:78" x14ac:dyDescent="0.3">
      <c r="A45" t="s">
        <v>379</v>
      </c>
      <c r="B45" t="s">
        <v>380</v>
      </c>
      <c r="C45">
        <v>1131</v>
      </c>
      <c r="D45" t="s">
        <v>236</v>
      </c>
      <c r="E45" t="s">
        <v>25</v>
      </c>
      <c r="F45" t="s">
        <v>28</v>
      </c>
      <c r="G45">
        <v>1913</v>
      </c>
      <c r="I45">
        <v>1949</v>
      </c>
      <c r="K45">
        <v>1600</v>
      </c>
      <c r="M45" s="6">
        <v>15.75</v>
      </c>
      <c r="N45" s="6">
        <v>26</v>
      </c>
      <c r="O45" s="6">
        <v>4</v>
      </c>
      <c r="P45" s="6">
        <v>175</v>
      </c>
      <c r="Q45" s="13">
        <f t="shared" si="47"/>
        <v>177.20544273524447</v>
      </c>
      <c r="R45" s="6">
        <v>2.0499999999999998</v>
      </c>
      <c r="S45" s="6">
        <f t="shared" si="48"/>
        <v>1442.4858820676277</v>
      </c>
      <c r="T45">
        <v>79</v>
      </c>
      <c r="U45" s="8">
        <v>35</v>
      </c>
      <c r="V45">
        <v>5</v>
      </c>
      <c r="W45">
        <v>120</v>
      </c>
      <c r="X45" s="4">
        <f t="shared" si="32"/>
        <v>0.10526315789473684</v>
      </c>
      <c r="Y45">
        <v>83</v>
      </c>
      <c r="AA45">
        <v>12</v>
      </c>
      <c r="AB45">
        <v>12</v>
      </c>
      <c r="AF45" s="15" t="str">
        <f>CONCATENATE(VLOOKUP(AG45, 'Voxel Sizes'!$A$2:$B$18,2,FALSE),"x",INT(AC45*15), "x", INT(AD45*15))</f>
        <v>120x0x0</v>
      </c>
      <c r="AG45" s="15">
        <f t="shared" si="33"/>
        <v>7</v>
      </c>
      <c r="AH45" t="s">
        <v>383</v>
      </c>
      <c r="AI45" s="15" t="str">
        <f>CONCATENATE(VLOOKUP(AG45,Constants!$A$2:$C$16,IF(AH45&lt;&gt;"", 3, 2), FALSE),IF(AH45&lt;&gt;"",CONCATENATE(",",VLOOKUP(AH45,$B:$AI,34,FALSE)),""))</f>
        <v>2,3,2,2,1,2</v>
      </c>
      <c r="AQ45">
        <v>1</v>
      </c>
      <c r="AS45">
        <v>26</v>
      </c>
      <c r="AT45" s="15">
        <f t="shared" si="34"/>
        <v>44</v>
      </c>
      <c r="AU45">
        <v>3</v>
      </c>
      <c r="AW45" s="17">
        <f t="shared" si="35"/>
        <v>16.600000000000001</v>
      </c>
      <c r="AX45" s="17">
        <f t="shared" si="36"/>
        <v>8</v>
      </c>
      <c r="AY45" s="17">
        <f t="shared" si="37"/>
        <v>6</v>
      </c>
      <c r="AZ45" s="18">
        <f t="shared" si="38"/>
        <v>0.98266666666666669</v>
      </c>
      <c r="BA45" s="17">
        <f t="shared" si="39"/>
        <v>0</v>
      </c>
      <c r="BB45" s="17">
        <f>VLOOKUP($E45,Constants!$I:$K, 2, FALSE)</f>
        <v>1.1499999999999999</v>
      </c>
      <c r="BC45" s="17">
        <f>VLOOKUP($E45,Constants!$I:$K, 3, FALSE)*IF(AND(D45="multiple_unit",Y45&lt;110),0.75,1)</f>
        <v>1.7</v>
      </c>
      <c r="BD45" s="17">
        <f>INT(POWER(((Constants!$G$2+$AW45+$AX45+$AY45+$BA45)*$AZ45)*$BC45, 1.05))+$AV45</f>
        <v>72</v>
      </c>
      <c r="BE45" s="17">
        <f>INT(POWER((((Constants!$G$1+$AW45+$AX45+$AY45+$BA45)*($AZ45))*$BB45),IF($D45="wagon",1,1.2)))+$AU45</f>
        <v>116</v>
      </c>
      <c r="BF45" s="20">
        <f t="shared" si="40"/>
        <v>56250</v>
      </c>
      <c r="BG45" s="20">
        <f t="shared" si="41"/>
        <v>9425</v>
      </c>
      <c r="BN45">
        <v>3</v>
      </c>
      <c r="BR45" s="23" t="str">
        <f>VLOOKUP(G45,Eras!$A$2:$C$10, 2, TRUE)</f>
        <v>edw</v>
      </c>
      <c r="BS45" t="s">
        <v>63</v>
      </c>
      <c r="BT45" s="23" t="str">
        <f t="shared" si="42"/>
        <v>edw_Express</v>
      </c>
      <c r="BU45" s="23" t="str">
        <f t="shared" si="43"/>
        <v>steam_RAIL</v>
      </c>
      <c r="BV45" s="23" t="str">
        <f>VLOOKUP($BU45, Constants!$M:$N, 2, FALSE)</f>
        <v>{BLACK}Powered by: {GOLD}Steam</v>
      </c>
      <c r="BW45" s="23" t="str">
        <f t="shared" si="44"/>
        <v/>
      </c>
      <c r="BX45" t="s">
        <v>381</v>
      </c>
      <c r="BY45" s="23" t="str">
        <f t="shared" si="45"/>
        <v/>
      </c>
      <c r="BZ45" s="23" t="str">
        <f t="shared" si="46"/>
        <v>{BLACK}Powered by: {GOLD}Steam {}{SILVER}The Claughton Class, named after the LNWR's chairman at the time, was unfortunately compromised by the Crewe works being unable to build a large boiler.</v>
      </c>
    </row>
    <row r="46" spans="1:78" x14ac:dyDescent="0.3">
      <c r="A46" t="s">
        <v>384</v>
      </c>
      <c r="B46" t="s">
        <v>385</v>
      </c>
      <c r="C46">
        <v>1171</v>
      </c>
      <c r="D46" t="s">
        <v>236</v>
      </c>
      <c r="E46" t="s">
        <v>25</v>
      </c>
      <c r="F46" t="s">
        <v>28</v>
      </c>
      <c r="G46">
        <v>1917</v>
      </c>
      <c r="I46">
        <v>1949</v>
      </c>
      <c r="K46">
        <v>1650</v>
      </c>
      <c r="M46" s="6">
        <v>16</v>
      </c>
      <c r="N46" s="6">
        <v>26</v>
      </c>
      <c r="O46" s="6">
        <v>4</v>
      </c>
      <c r="P46" s="6">
        <v>180</v>
      </c>
      <c r="Q46" s="13">
        <f t="shared" si="47"/>
        <v>191.2177107536121</v>
      </c>
      <c r="R46" s="6">
        <v>2.06</v>
      </c>
      <c r="S46" s="6">
        <f t="shared" si="48"/>
        <v>1652.2506619593996</v>
      </c>
      <c r="T46">
        <v>86</v>
      </c>
      <c r="U46" s="8">
        <v>35</v>
      </c>
      <c r="V46">
        <v>5</v>
      </c>
      <c r="W46">
        <v>112</v>
      </c>
      <c r="X46" s="4">
        <f t="shared" si="32"/>
        <v>9.2561983471074374E-2</v>
      </c>
      <c r="Y46">
        <v>90</v>
      </c>
      <c r="AA46">
        <v>12</v>
      </c>
      <c r="AB46">
        <v>12</v>
      </c>
      <c r="AF46" s="15" t="str">
        <f>CONCATENATE(VLOOKUP(AG46, 'Voxel Sizes'!$A$2:$B$18,2,FALSE),"x",INT(AC46*15), "x", INT(AD46*15))</f>
        <v>120x0x0</v>
      </c>
      <c r="AG46" s="15">
        <f t="shared" si="33"/>
        <v>7</v>
      </c>
      <c r="AH46" t="s">
        <v>386</v>
      </c>
      <c r="AI46" s="15" t="str">
        <f>CONCATENATE(VLOOKUP(AG46,Constants!$A$2:$C$16,IF(AH46&lt;&gt;"", 3, 2), FALSE),IF(AH46&lt;&gt;"",CONCATENATE(",",VLOOKUP(AH46,$B:$AI,34,FALSE)),""))</f>
        <v>2,3,2,2,1,2</v>
      </c>
      <c r="AQ46">
        <v>1</v>
      </c>
      <c r="AS46">
        <v>27</v>
      </c>
      <c r="AT46" s="15">
        <f t="shared" si="34"/>
        <v>40</v>
      </c>
      <c r="AU46">
        <v>7</v>
      </c>
      <c r="AV46">
        <v>4</v>
      </c>
      <c r="AW46" s="17">
        <f t="shared" si="35"/>
        <v>18</v>
      </c>
      <c r="AX46" s="17">
        <f t="shared" si="36"/>
        <v>8.25</v>
      </c>
      <c r="AY46" s="17">
        <f t="shared" si="37"/>
        <v>5.6000000000000005</v>
      </c>
      <c r="AZ46" s="18">
        <f t="shared" si="38"/>
        <v>0.97733333333333339</v>
      </c>
      <c r="BA46" s="17">
        <f t="shared" si="39"/>
        <v>0</v>
      </c>
      <c r="BB46" s="17">
        <f>VLOOKUP($E46,Constants!$I:$K, 2, FALSE)</f>
        <v>1.1499999999999999</v>
      </c>
      <c r="BC46" s="17">
        <f>VLOOKUP($E46,Constants!$I:$K, 3, FALSE)*IF(AND(D46="multiple_unit",Y46&lt;110),0.75,1)</f>
        <v>1.7</v>
      </c>
      <c r="BD46" s="17">
        <f>INT(POWER(((Constants!$G$2+$AW46+$AX46+$AY46+$BA46)*$AZ46)*$BC46, 1.05))+$AV46</f>
        <v>79</v>
      </c>
      <c r="BE46" s="17">
        <f>INT(POWER((((Constants!$G$1+$AW46+$AX46+$AY46+$BA46)*($AZ46))*$BB46),IF($D46="wagon",1,1.2)))+$AU46</f>
        <v>123</v>
      </c>
      <c r="BF46" s="20">
        <f t="shared" si="40"/>
        <v>61718.75</v>
      </c>
      <c r="BG46" s="20">
        <f t="shared" si="41"/>
        <v>9993.75</v>
      </c>
      <c r="BN46">
        <v>3</v>
      </c>
      <c r="BR46" s="23" t="str">
        <f>VLOOKUP(G46,Eras!$A$2:$C$10, 2, TRUE)</f>
        <v>edw</v>
      </c>
      <c r="BS46" t="s">
        <v>63</v>
      </c>
      <c r="BT46" s="23" t="str">
        <f t="shared" si="42"/>
        <v>edw_Express</v>
      </c>
      <c r="BU46" s="23" t="str">
        <f t="shared" si="43"/>
        <v>steam_RAIL</v>
      </c>
      <c r="BV46" s="23" t="str">
        <f>VLOOKUP($BU46, Constants!$M:$N, 2, FALSE)</f>
        <v>{BLACK}Powered by: {GOLD}Steam</v>
      </c>
      <c r="BW46" s="23" t="str">
        <f t="shared" si="44"/>
        <v/>
      </c>
      <c r="BX46" t="s">
        <v>388</v>
      </c>
      <c r="BY46" s="23" t="str">
        <f t="shared" si="45"/>
        <v/>
      </c>
      <c r="BZ46" s="23" t="str">
        <f t="shared" si="46"/>
        <v>{BLACK}Powered by: {GOLD}Steam {}{SILVER}Robinson's 9P was a four-cylinder express locotive introduced toward the end of his time at the GCR. Early versions suffered from high coal consumption due to narrow steam passages.</v>
      </c>
    </row>
    <row r="47" spans="1:78" x14ac:dyDescent="0.3">
      <c r="A47" t="s">
        <v>389</v>
      </c>
      <c r="B47" t="s">
        <v>390</v>
      </c>
      <c r="C47">
        <v>1211</v>
      </c>
      <c r="D47" t="s">
        <v>236</v>
      </c>
      <c r="E47" t="s">
        <v>25</v>
      </c>
      <c r="F47" t="s">
        <v>28</v>
      </c>
      <c r="G47">
        <v>1921</v>
      </c>
      <c r="I47">
        <v>1950</v>
      </c>
      <c r="K47">
        <v>1650</v>
      </c>
      <c r="M47" s="6">
        <v>16</v>
      </c>
      <c r="N47" s="6">
        <v>26</v>
      </c>
      <c r="O47" s="6">
        <v>4</v>
      </c>
      <c r="P47" s="6">
        <v>180</v>
      </c>
      <c r="Q47" s="13">
        <f t="shared" si="47"/>
        <v>165.40084928881564</v>
      </c>
      <c r="R47" s="6">
        <v>1.72</v>
      </c>
      <c r="S47" s="6">
        <f t="shared" si="48"/>
        <v>1429.1754756871035</v>
      </c>
      <c r="T47">
        <v>94</v>
      </c>
      <c r="U47" s="8">
        <v>35</v>
      </c>
      <c r="V47">
        <v>5</v>
      </c>
      <c r="W47">
        <v>133</v>
      </c>
      <c r="X47" s="4">
        <f t="shared" si="32"/>
        <v>0.10310077519379846</v>
      </c>
      <c r="Y47">
        <v>65</v>
      </c>
      <c r="AA47">
        <v>12</v>
      </c>
      <c r="AB47">
        <v>12</v>
      </c>
      <c r="AF47" s="15" t="str">
        <f>CONCATENATE(VLOOKUP(AG47, 'Voxel Sizes'!$A$2:$B$18,2,FALSE),"x",INT(AC47*15), "x", INT(AD47*15))</f>
        <v>120x0x0</v>
      </c>
      <c r="AG47" s="15">
        <f t="shared" si="33"/>
        <v>7</v>
      </c>
      <c r="AH47" t="s">
        <v>386</v>
      </c>
      <c r="AI47" s="15" t="str">
        <f>CONCATENATE(VLOOKUP(AG47,Constants!$A$2:$C$16,IF(AH47&lt;&gt;"", 3, 2), FALSE),IF(AH47&lt;&gt;"",CONCATENATE(",",VLOOKUP(AH47,$B:$AI,34,FALSE)),""))</f>
        <v>2,3,2,2,1,2</v>
      </c>
      <c r="AQ47">
        <v>1</v>
      </c>
      <c r="AS47">
        <v>26</v>
      </c>
      <c r="AT47" s="15">
        <f t="shared" si="34"/>
        <v>37</v>
      </c>
      <c r="AU47">
        <v>14</v>
      </c>
      <c r="AV47">
        <v>11</v>
      </c>
      <c r="AW47" s="17">
        <f t="shared" si="35"/>
        <v>13</v>
      </c>
      <c r="AX47" s="17">
        <f t="shared" si="36"/>
        <v>8.25</v>
      </c>
      <c r="AY47" s="17">
        <f t="shared" si="37"/>
        <v>6.65</v>
      </c>
      <c r="AZ47" s="18">
        <f t="shared" si="38"/>
        <v>0.97199999999999998</v>
      </c>
      <c r="BA47" s="17">
        <f t="shared" si="39"/>
        <v>0</v>
      </c>
      <c r="BB47" s="17">
        <f>VLOOKUP($E47,Constants!$I:$K, 2, FALSE)</f>
        <v>1.1499999999999999</v>
      </c>
      <c r="BC47" s="17">
        <f>VLOOKUP($E47,Constants!$I:$K, 3, FALSE)*IF(AND(D47="multiple_unit",Y47&lt;110),0.75,1)</f>
        <v>1.7</v>
      </c>
      <c r="BD47" s="17">
        <f>INT(POWER(((Constants!$G$2+$AW47+$AX47+$AY47+$BA47)*$AZ47)*$BC47, 1.05))+$AV47</f>
        <v>77</v>
      </c>
      <c r="BE47" s="17">
        <f>INT(POWER((((Constants!$G$1+$AW47+$AX47+$AY47+$BA47)*($AZ47))*$BB47),IF($D47="wagon",1,1.2)))+$AU47</f>
        <v>117</v>
      </c>
      <c r="BF47" s="20">
        <f t="shared" si="40"/>
        <v>60156.25</v>
      </c>
      <c r="BG47" s="20">
        <f t="shared" si="41"/>
        <v>9506.25</v>
      </c>
      <c r="BN47">
        <v>3</v>
      </c>
      <c r="BR47" s="23" t="str">
        <f>VLOOKUP(G47,Eras!$A$2:$C$10, 2, TRUE)</f>
        <v>edw</v>
      </c>
      <c r="BS47" t="s">
        <v>63</v>
      </c>
      <c r="BT47" s="23" t="str">
        <f t="shared" si="42"/>
        <v>edw_Express</v>
      </c>
      <c r="BU47" s="23" t="str">
        <f t="shared" si="43"/>
        <v>steam_RAIL</v>
      </c>
      <c r="BV47" s="23" t="str">
        <f>VLOOKUP($BU47, Constants!$M:$N, 2, FALSE)</f>
        <v>{BLACK}Powered by: {GOLD}Steam</v>
      </c>
      <c r="BW47" s="23" t="str">
        <f t="shared" si="44"/>
        <v/>
      </c>
      <c r="BX47" t="s">
        <v>391</v>
      </c>
      <c r="BY47" s="23" t="str">
        <f t="shared" si="45"/>
        <v/>
      </c>
      <c r="BZ47" s="23" t="str">
        <f t="shared" si="46"/>
        <v>{BLACK}Powered by: {GOLD}Steam {}{SILVER}The 9Q is a freight adaptation of the 9P, which had an exceptional turn of speed for a high tractive effort engine. It earnt the name "Black Pig" for its heavy coal consumption.</v>
      </c>
    </row>
    <row r="48" spans="1:78" x14ac:dyDescent="0.3">
      <c r="A48" t="s">
        <v>396</v>
      </c>
      <c r="B48" t="s">
        <v>397</v>
      </c>
      <c r="C48">
        <v>1491</v>
      </c>
      <c r="D48" t="s">
        <v>236</v>
      </c>
      <c r="E48" t="s">
        <v>400</v>
      </c>
      <c r="F48" t="s">
        <v>28</v>
      </c>
      <c r="G48">
        <v>1949</v>
      </c>
      <c r="I48">
        <v>1964</v>
      </c>
      <c r="K48">
        <v>2500</v>
      </c>
      <c r="T48">
        <v>117</v>
      </c>
      <c r="W48">
        <v>140</v>
      </c>
      <c r="X48" s="4">
        <f t="shared" si="32"/>
        <v>0.11965811965811966</v>
      </c>
      <c r="Y48">
        <v>90</v>
      </c>
      <c r="AB48">
        <v>18</v>
      </c>
      <c r="AF48" s="15" t="str">
        <f>CONCATENATE(VLOOKUP(AG48, 'Voxel Sizes'!$A$2:$B$18,2,FALSE),"x",INT(AC48*15), "x", INT(AD48*15))</f>
        <v>186x0x0</v>
      </c>
      <c r="AG48" s="15">
        <f t="shared" si="33"/>
        <v>11</v>
      </c>
      <c r="AI48" s="15" t="str">
        <f>CONCATENATE(VLOOKUP(AG48,Constants!$A$2:$C$16,IF(AH48&lt;&gt;"", 3, 2), FALSE),IF(AH48&lt;&gt;"",CONCATENATE(",",VLOOKUP(AH48,$B:$AI,34,FALSE)),""))</f>
        <v>4,3,4</v>
      </c>
      <c r="AS48">
        <v>22</v>
      </c>
      <c r="AT48" s="15">
        <f t="shared" si="34"/>
        <v>23</v>
      </c>
      <c r="AU48">
        <v>9</v>
      </c>
      <c r="AV48">
        <v>2</v>
      </c>
      <c r="AW48" s="17">
        <f t="shared" si="35"/>
        <v>18</v>
      </c>
      <c r="AX48" s="17">
        <f t="shared" si="36"/>
        <v>12.5</v>
      </c>
      <c r="AY48" s="17">
        <f t="shared" si="37"/>
        <v>7</v>
      </c>
      <c r="AZ48" s="18">
        <f t="shared" si="38"/>
        <v>0.93466666666666665</v>
      </c>
      <c r="BA48" s="17">
        <f t="shared" si="39"/>
        <v>0</v>
      </c>
      <c r="BB48" s="17">
        <f>VLOOKUP($E48,Constants!$I:$K, 2, FALSE)</f>
        <v>1</v>
      </c>
      <c r="BC48" s="17">
        <f>VLOOKUP($E48,Constants!$I:$K, 3, FALSE)*IF(AND(D48="multiple_unit",Y48&lt;110),0.75,1)</f>
        <v>2</v>
      </c>
      <c r="BD48" s="17">
        <f>INT(POWER(((Constants!$G$2+$AW48+$AX48+$AY48+$BA48)*$AZ48)*$BC48, 1.05))+$AV48</f>
        <v>100</v>
      </c>
      <c r="BE48" s="17">
        <f>INT(POWER((((Constants!$G$1+$AW48+$AX48+$AY48+$BA48)*($AZ48))*$BB48),IF($D48="wagon",1,1.2)))+$AU48</f>
        <v>115</v>
      </c>
      <c r="BF48" s="20">
        <f t="shared" si="40"/>
        <v>78125</v>
      </c>
      <c r="BG48" s="20">
        <f t="shared" si="41"/>
        <v>9343.75</v>
      </c>
      <c r="BN48">
        <v>6</v>
      </c>
      <c r="BR48" s="23" t="str">
        <f>VLOOKUP(G48,Eras!$A$2:$C$10, 2, TRUE)</f>
        <v>ebr</v>
      </c>
      <c r="BS48" t="s">
        <v>64</v>
      </c>
      <c r="BT48" s="23" t="str">
        <f t="shared" si="42"/>
        <v>ebr_Freight</v>
      </c>
      <c r="BU48" s="23" t="str">
        <f t="shared" si="43"/>
        <v>gas_turbine_RAIL</v>
      </c>
      <c r="BV48" s="23" t="str">
        <f>VLOOKUP($BU48, Constants!$M:$N, 2, FALSE)</f>
        <v>{BLACK}Powered by: {GOLD}Gas Turbine</v>
      </c>
      <c r="BW48" s="23" t="str">
        <f t="shared" si="44"/>
        <v/>
      </c>
      <c r="BX48" t="s">
        <v>401</v>
      </c>
      <c r="BY48" s="23" t="str">
        <f t="shared" si="45"/>
        <v/>
      </c>
      <c r="BZ48" s="23" t="str">
        <f t="shared" si="46"/>
        <v>{BLACK}Powered by: {GOLD}Gas Turbine {}{SILVER}Originally ordered by the GWR, the 18000 used a gas turbine to match the power output of the King Class. This resulted in it being unreliable and expensive to run.</v>
      </c>
    </row>
    <row r="49" spans="1:78" x14ac:dyDescent="0.3">
      <c r="A49" t="s">
        <v>232</v>
      </c>
      <c r="B49" t="s">
        <v>233</v>
      </c>
      <c r="C49">
        <v>3592</v>
      </c>
      <c r="D49" t="s">
        <v>231</v>
      </c>
      <c r="E49" t="s">
        <v>26</v>
      </c>
      <c r="F49" t="s">
        <v>28</v>
      </c>
      <c r="G49">
        <v>1959</v>
      </c>
      <c r="H49">
        <v>1961</v>
      </c>
      <c r="I49">
        <v>1999</v>
      </c>
      <c r="J49">
        <v>3</v>
      </c>
      <c r="K49">
        <v>600</v>
      </c>
      <c r="T49">
        <f>36.6+36.6+30.5</f>
        <v>103.7</v>
      </c>
      <c r="V49">
        <v>6</v>
      </c>
      <c r="W49">
        <v>83</v>
      </c>
      <c r="X49" s="4">
        <f t="shared" si="32"/>
        <v>8.0038572806171646E-2</v>
      </c>
      <c r="Y49">
        <v>70</v>
      </c>
      <c r="AA49">
        <v>19.5</v>
      </c>
      <c r="AB49">
        <v>19.5</v>
      </c>
      <c r="AD49">
        <v>3.77</v>
      </c>
      <c r="AE49" s="10">
        <v>60</v>
      </c>
      <c r="AF49" s="15" t="str">
        <f>CONCATENATE(VLOOKUP(AG49, 'Voxel Sizes'!$A$2:$B$18,2,FALSE),"x",INT(AC49*15), "x", INT(AD49*15))</f>
        <v>186x0x56</v>
      </c>
      <c r="AG49" s="15">
        <f t="shared" si="33"/>
        <v>11</v>
      </c>
      <c r="AI49" s="15" t="str">
        <f>CONCATENATE(VLOOKUP(AG49,Constants!$A$2:$C$16,IF(AH49&lt;&gt;"", 3, 2), FALSE),IF(AH49&lt;&gt;"",CONCATENATE(",",VLOOKUP(AH49,$B:$AI,34,FALSE)),""))</f>
        <v>4,3,4</v>
      </c>
      <c r="AM49" t="s">
        <v>234</v>
      </c>
      <c r="AO49" t="s">
        <v>37</v>
      </c>
      <c r="AS49">
        <v>42</v>
      </c>
      <c r="AT49" s="15">
        <f t="shared" si="34"/>
        <v>48</v>
      </c>
      <c r="AU49">
        <v>-10</v>
      </c>
      <c r="AV49">
        <v>-15</v>
      </c>
      <c r="AW49" s="17">
        <f t="shared" si="35"/>
        <v>14</v>
      </c>
      <c r="AX49" s="17">
        <f t="shared" si="36"/>
        <v>3</v>
      </c>
      <c r="AY49" s="17">
        <f t="shared" si="37"/>
        <v>4.1499999999999995</v>
      </c>
      <c r="AZ49" s="18">
        <f t="shared" si="38"/>
        <v>0.92133333333333334</v>
      </c>
      <c r="BA49" s="17">
        <f t="shared" si="39"/>
        <v>6.0000000000000009</v>
      </c>
      <c r="BB49" s="17">
        <f>VLOOKUP($E49,Constants!$I:$K, 2, FALSE)</f>
        <v>1</v>
      </c>
      <c r="BC49" s="17">
        <f>VLOOKUP($E49,Constants!$I:$K, 3, FALSE)*IF(AND(D49="multiple_unit",Y49&lt;110),0.75,1)</f>
        <v>1.5</v>
      </c>
      <c r="BD49" s="17">
        <f>INT(POWER(((Constants!$G$2+$AW49+$AX49+$AY49+$BA49)*$AZ49)*$BC49, 1.05))+$AV49</f>
        <v>38</v>
      </c>
      <c r="BE49" s="17">
        <f>INT(POWER((((Constants!$G$1+$AW49+$AX49+$AY49+$BA49)*($AZ49))*$BB49),IF($D49="wagon",1,1.2)))+$AU49</f>
        <v>70</v>
      </c>
      <c r="BF49" s="20">
        <f t="shared" si="40"/>
        <v>29687.5</v>
      </c>
      <c r="BG49" s="20">
        <f t="shared" si="41"/>
        <v>5687.5</v>
      </c>
      <c r="BN49">
        <v>5</v>
      </c>
      <c r="BP49" t="s">
        <v>142</v>
      </c>
      <c r="BQ49" t="s">
        <v>34</v>
      </c>
      <c r="BR49" s="23" t="str">
        <f>VLOOKUP(G49,Eras!$A$2:$C$10, 2, TRUE)</f>
        <v>dsl</v>
      </c>
      <c r="BS49" t="s">
        <v>66</v>
      </c>
      <c r="BT49" s="23" t="str">
        <f t="shared" si="42"/>
        <v>dsl_DMU</v>
      </c>
      <c r="BU49" s="23" t="str">
        <f t="shared" si="43"/>
        <v>diesel_RAIL</v>
      </c>
      <c r="BV49" s="23" t="str">
        <f>VLOOKUP($BU49, Constants!$M:$N, 2, FALSE)</f>
        <v>{BLACK}Powered by: {GOLD}Diesel</v>
      </c>
      <c r="BW49" s="23" t="str">
        <f t="shared" si="44"/>
        <v>{BLACK}Cars: {GOLD}3</v>
      </c>
      <c r="BX49" t="s">
        <v>235</v>
      </c>
      <c r="BY49" s="23" t="str">
        <f t="shared" si="45"/>
        <v/>
      </c>
      <c r="BZ49" s="23" t="str">
        <f t="shared" si="46"/>
        <v>{BLACK}Powered by: {GOLD}Diesel {BLACK}Cars: {GOLD}3{}{SILVER}The Class 117 was built under licence by Pressed Steel, being a variant of the Class 116 built by BRCW Derby.</v>
      </c>
    </row>
    <row r="50" spans="1:78" x14ac:dyDescent="0.3">
      <c r="A50" t="s">
        <v>344</v>
      </c>
      <c r="B50" t="s">
        <v>346</v>
      </c>
      <c r="C50">
        <v>2611</v>
      </c>
      <c r="D50" t="s">
        <v>236</v>
      </c>
      <c r="E50" t="s">
        <v>26</v>
      </c>
      <c r="F50" t="s">
        <v>28</v>
      </c>
      <c r="G50">
        <v>1961</v>
      </c>
      <c r="I50">
        <v>1978</v>
      </c>
      <c r="K50">
        <v>2880</v>
      </c>
      <c r="T50">
        <v>117</v>
      </c>
      <c r="W50">
        <v>266</v>
      </c>
      <c r="X50" s="4">
        <f t="shared" si="32"/>
        <v>0.22735042735042735</v>
      </c>
      <c r="Y50">
        <v>100</v>
      </c>
      <c r="AA50">
        <v>20.98</v>
      </c>
      <c r="AB50">
        <v>20.98</v>
      </c>
      <c r="AC50">
        <v>2.69</v>
      </c>
      <c r="AD50">
        <v>3.91</v>
      </c>
      <c r="AF50" s="15" t="str">
        <f>CONCATENATE(VLOOKUP(AG50, 'Voxel Sizes'!$A$2:$B$18,2,FALSE),"x",INT(AC50*15), "x", INT(AD50*15))</f>
        <v>198x40x58</v>
      </c>
      <c r="AG50" s="15">
        <f t="shared" si="33"/>
        <v>12</v>
      </c>
      <c r="AI50" s="15" t="str">
        <f>CONCATENATE(VLOOKUP(AG50,Constants!$A$2:$C$16,IF(AH50&lt;&gt;"", 3, 2), FALSE),IF(AH50&lt;&gt;"",CONCATENATE(",",VLOOKUP(AH50,$B:$AI,34,FALSE)),""))</f>
        <v>4,4,4</v>
      </c>
      <c r="AS50">
        <v>22</v>
      </c>
      <c r="AT50" s="15">
        <f t="shared" si="34"/>
        <v>25</v>
      </c>
      <c r="AU50">
        <v>2</v>
      </c>
      <c r="AV50">
        <v>3</v>
      </c>
      <c r="AW50" s="17">
        <f t="shared" si="35"/>
        <v>20</v>
      </c>
      <c r="AX50" s="17">
        <f t="shared" si="36"/>
        <v>14.399999999999999</v>
      </c>
      <c r="AY50" s="17">
        <f t="shared" si="37"/>
        <v>13.3</v>
      </c>
      <c r="AZ50" s="18">
        <f t="shared" si="38"/>
        <v>0.91866666666666663</v>
      </c>
      <c r="BA50" s="17">
        <f t="shared" si="39"/>
        <v>0</v>
      </c>
      <c r="BB50" s="17">
        <f>VLOOKUP($E50,Constants!$I:$K, 2, FALSE)</f>
        <v>1</v>
      </c>
      <c r="BC50" s="17">
        <f>VLOOKUP($E50,Constants!$I:$K, 3, FALSE)*IF(AND(D50="multiple_unit",Y50&lt;110),0.75,1)</f>
        <v>2</v>
      </c>
      <c r="BD50" s="17">
        <f>INT(POWER(((Constants!$G$2+$AW50+$AX50+$AY50+$BA50)*$AZ50)*$BC50, 1.05))+$AV50</f>
        <v>124</v>
      </c>
      <c r="BE50" s="17">
        <f>INT(POWER((((Constants!$G$1+$AW50+$AX50+$AY50+$BA50)*($AZ50))*$BB50),IF($D50="wagon",1,1.2)))+$AU50</f>
        <v>131</v>
      </c>
      <c r="BF50" s="20">
        <f t="shared" si="40"/>
        <v>96875</v>
      </c>
      <c r="BG50" s="20">
        <f t="shared" si="41"/>
        <v>10643.75</v>
      </c>
      <c r="BN50">
        <v>6</v>
      </c>
      <c r="BR50" s="23" t="str">
        <f>VLOOKUP(G50,Eras!$A$2:$C$10, 2, TRUE)</f>
        <v>dsl</v>
      </c>
      <c r="BS50" t="s">
        <v>64</v>
      </c>
      <c r="BT50" s="23" t="str">
        <f t="shared" si="42"/>
        <v>dsl_Freight</v>
      </c>
      <c r="BU50" s="23" t="str">
        <f t="shared" si="43"/>
        <v>diesel_RAIL</v>
      </c>
      <c r="BV50" s="23" t="str">
        <f>VLOOKUP($BU50, Constants!$M:$N, 2, FALSE)</f>
        <v>{BLACK}Powered by: {GOLD}Diesel</v>
      </c>
      <c r="BW50" s="23" t="str">
        <f t="shared" si="44"/>
        <v/>
      </c>
      <c r="BX50" t="s">
        <v>345</v>
      </c>
      <c r="BY50" s="23" t="str">
        <f t="shared" si="45"/>
        <v/>
      </c>
      <c r="BZ50" s="23" t="str">
        <f t="shared" si="46"/>
        <v>{BLACK}Powered by: {GOLD}Diesel {}{SILVER}Brush's "Falcon" was a prototype for a new generation of Type 4 locomotives, but advances in single-engined diesel made the Falcon with its two Maybach diesels obsolete at the point of introduction.</v>
      </c>
    </row>
    <row r="51" spans="1:78" x14ac:dyDescent="0.3">
      <c r="A51" t="s">
        <v>339</v>
      </c>
      <c r="B51" t="s">
        <v>313</v>
      </c>
      <c r="C51">
        <v>2671</v>
      </c>
      <c r="D51" t="s">
        <v>236</v>
      </c>
      <c r="E51" t="s">
        <v>26</v>
      </c>
      <c r="F51" t="s">
        <v>28</v>
      </c>
      <c r="G51">
        <v>1967</v>
      </c>
      <c r="I51">
        <v>1982</v>
      </c>
      <c r="K51">
        <v>4000</v>
      </c>
      <c r="T51">
        <v>126</v>
      </c>
      <c r="W51">
        <v>270</v>
      </c>
      <c r="X51" s="4">
        <f t="shared" si="32"/>
        <v>0.21428571428571427</v>
      </c>
      <c r="Y51">
        <v>110</v>
      </c>
      <c r="AA51">
        <v>20.27</v>
      </c>
      <c r="AB51">
        <v>20.27</v>
      </c>
      <c r="AC51">
        <v>2.69</v>
      </c>
      <c r="AD51">
        <v>3.91</v>
      </c>
      <c r="AF51" s="15" t="str">
        <f>CONCATENATE(VLOOKUP(AG51, 'Voxel Sizes'!$A$2:$B$18,2,FALSE),"x",INT(AC51*15), "x", INT(AD51*15))</f>
        <v>198x40x58</v>
      </c>
      <c r="AG51" s="15">
        <f t="shared" si="33"/>
        <v>12</v>
      </c>
      <c r="AI51" s="15" t="str">
        <f>CONCATENATE(VLOOKUP(AG51,Constants!$A$2:$C$16,IF(AH51&lt;&gt;"", 3, 2), FALSE),IF(AH51&lt;&gt;"",CONCATENATE(",",VLOOKUP(AH51,$B:$AI,34,FALSE)),""))</f>
        <v>4,4,4</v>
      </c>
      <c r="AS51">
        <v>21</v>
      </c>
      <c r="AT51" s="15">
        <f t="shared" si="34"/>
        <v>23</v>
      </c>
      <c r="AV51">
        <v>2</v>
      </c>
      <c r="AW51" s="17">
        <f t="shared" si="35"/>
        <v>22</v>
      </c>
      <c r="AX51" s="17">
        <f t="shared" si="36"/>
        <v>20</v>
      </c>
      <c r="AY51" s="17">
        <f t="shared" si="37"/>
        <v>13.5</v>
      </c>
      <c r="AZ51" s="18">
        <f t="shared" si="38"/>
        <v>0.91066666666666662</v>
      </c>
      <c r="BA51" s="17">
        <f t="shared" si="39"/>
        <v>0</v>
      </c>
      <c r="BB51" s="17">
        <f>VLOOKUP($E51,Constants!$I:$K, 2, FALSE)</f>
        <v>1</v>
      </c>
      <c r="BC51" s="17">
        <f>VLOOKUP($E51,Constants!$I:$K, 3, FALSE)*IF(AND(D51="multiple_unit",Y51&lt;110),0.75,1)</f>
        <v>2</v>
      </c>
      <c r="BD51" s="17">
        <f>INT(POWER(((Constants!$G$2+$AW51+$AX51+$AY51+$BA51)*$AZ51)*$BC51, 1.05))+$AV51</f>
        <v>141</v>
      </c>
      <c r="BE51" s="17">
        <f>INT(POWER((((Constants!$G$1+$AW51+$AX51+$AY51+$BA51)*($AZ51))*$BB51),IF($D51="wagon",1,1.2)))+$AU51</f>
        <v>147</v>
      </c>
      <c r="BF51" s="20">
        <f t="shared" si="40"/>
        <v>110156.25</v>
      </c>
      <c r="BG51" s="20">
        <f t="shared" si="41"/>
        <v>11943.75</v>
      </c>
      <c r="BN51">
        <v>6</v>
      </c>
      <c r="BR51" s="23" t="str">
        <f>VLOOKUP(G51,Eras!$A$2:$C$10, 2, TRUE)</f>
        <v>dsl</v>
      </c>
      <c r="BS51" t="s">
        <v>64</v>
      </c>
      <c r="BT51" s="23" t="str">
        <f t="shared" si="42"/>
        <v>dsl_Freight</v>
      </c>
      <c r="BU51" s="23" t="str">
        <f t="shared" si="43"/>
        <v>diesel_RAIL</v>
      </c>
      <c r="BV51" s="23" t="str">
        <f>VLOOKUP($BU51, Constants!$M:$N, 2, FALSE)</f>
        <v>{BLACK}Powered by: {GOLD}Diesel</v>
      </c>
      <c r="BW51" s="23" t="str">
        <f t="shared" si="44"/>
        <v/>
      </c>
      <c r="BX51" t="s">
        <v>343</v>
      </c>
      <c r="BY51" s="23" t="str">
        <f t="shared" si="45"/>
        <v/>
      </c>
      <c r="BZ51" s="23" t="str">
        <f t="shared" si="46"/>
        <v>{BLACK}Powered by: {GOLD}Diesel {}{SILVER}The Brush "Kestrel" was a prototype high speed diesel locomotive. After a brief period of service in the UK it was sold to the Soviet Union, where it was re-gauged and used for testing.</v>
      </c>
    </row>
    <row r="52" spans="1:78" x14ac:dyDescent="0.3">
      <c r="A52" t="s">
        <v>314</v>
      </c>
      <c r="B52" t="s">
        <v>315</v>
      </c>
      <c r="D52" t="s">
        <v>15</v>
      </c>
      <c r="E52" t="s">
        <v>32</v>
      </c>
      <c r="F52" t="s">
        <v>28</v>
      </c>
      <c r="X52" s="4" t="str">
        <f t="shared" si="32"/>
        <v/>
      </c>
      <c r="AF52" s="15" t="str">
        <f>CONCATENATE(VLOOKUP(AG52, 'Voxel Sizes'!$A$2:$B$18,2,FALSE),"x",INT(AC52*15), "x", INT(AD52*15))</f>
        <v>0x0x0</v>
      </c>
      <c r="AG52" s="15">
        <f t="shared" si="33"/>
        <v>0</v>
      </c>
      <c r="AI52" s="15" t="str">
        <f>CONCATENATE(VLOOKUP(AG52,Constants!$A$2:$C$16,IF(AH52&lt;&gt;"", 3, 2), FALSE),IF(AH52&lt;&gt;"",CONCATENATE(",",VLOOKUP(AH52,$B:$AI,34,FALSE)),""))</f>
        <v>na</v>
      </c>
      <c r="AT52" s="15" t="str">
        <f t="shared" si="34"/>
        <v/>
      </c>
      <c r="AW52" s="17">
        <f t="shared" si="35"/>
        <v>0</v>
      </c>
      <c r="AX52" s="17">
        <f t="shared" si="36"/>
        <v>0</v>
      </c>
      <c r="AY52" s="17">
        <f t="shared" si="37"/>
        <v>0</v>
      </c>
      <c r="AZ52" s="18">
        <f t="shared" si="38"/>
        <v>1</v>
      </c>
      <c r="BA52" s="17">
        <f t="shared" si="39"/>
        <v>0</v>
      </c>
      <c r="BB52" s="17">
        <f>VLOOKUP($E52,Constants!$I:$K, 2, FALSE)</f>
        <v>1</v>
      </c>
      <c r="BC52" s="17">
        <f>VLOOKUP($E52,Constants!$I:$K, 3, FALSE)*IF(AND(D52="multiple_unit",Y52&lt;110),0.75,1)</f>
        <v>0.45</v>
      </c>
      <c r="BD52" s="17">
        <f>INT(POWER(((Constants!$G$2+$AW52+$AX52+$AY52+$BA52)*$AZ52)*$BC52, 1.05))+$AV52</f>
        <v>2</v>
      </c>
      <c r="BE52" s="17">
        <f>INT(POWER((((Constants!$G$1+$AW52+$AX52+$AY52+$BA52)*($AZ52))*$BB52),IF($D52="wagon",1,1.2)))+$AU52</f>
        <v>25</v>
      </c>
      <c r="BF52" s="20">
        <f t="shared" si="40"/>
        <v>1562.5</v>
      </c>
      <c r="BG52" s="20">
        <f t="shared" si="41"/>
        <v>2031.25</v>
      </c>
      <c r="BN52">
        <v>7</v>
      </c>
      <c r="BR52" s="23" t="e">
        <f>VLOOKUP(G52,Eras!$A$2:$C$10, 2, TRUE)</f>
        <v>#N/A</v>
      </c>
      <c r="BS52" t="s">
        <v>66</v>
      </c>
      <c r="BT52" s="23" t="e">
        <f t="shared" si="42"/>
        <v>#N/A</v>
      </c>
      <c r="BU52" s="23" t="str">
        <f t="shared" si="43"/>
        <v>wagon_RAIL</v>
      </c>
      <c r="BV52" s="23" t="str">
        <f>VLOOKUP($BU52, Constants!$M:$N, 2, FALSE)</f>
        <v/>
      </c>
      <c r="BW52" s="23" t="str">
        <f t="shared" si="44"/>
        <v/>
      </c>
      <c r="BY52" s="23" t="str">
        <f t="shared" si="45"/>
        <v/>
      </c>
      <c r="BZ52" s="23" t="str">
        <f t="shared" si="46"/>
        <v>{SILVER}</v>
      </c>
    </row>
    <row r="53" spans="1:78" x14ac:dyDescent="0.3">
      <c r="A53" t="s">
        <v>347</v>
      </c>
      <c r="B53" t="s">
        <v>348</v>
      </c>
      <c r="C53">
        <v>3491</v>
      </c>
      <c r="D53" t="s">
        <v>231</v>
      </c>
      <c r="E53" t="s">
        <v>38</v>
      </c>
      <c r="F53" t="s">
        <v>316</v>
      </c>
      <c r="G53">
        <v>1949</v>
      </c>
      <c r="I53">
        <v>1971</v>
      </c>
      <c r="J53">
        <v>4</v>
      </c>
      <c r="K53">
        <v>900</v>
      </c>
      <c r="T53">
        <v>135</v>
      </c>
      <c r="V53">
        <v>3</v>
      </c>
      <c r="W53">
        <v>120</v>
      </c>
      <c r="X53" s="4">
        <f t="shared" si="32"/>
        <v>8.8888888888888892E-2</v>
      </c>
      <c r="Y53">
        <v>75</v>
      </c>
      <c r="AA53">
        <v>19.600000000000001</v>
      </c>
      <c r="AB53">
        <v>19.600000000000001</v>
      </c>
      <c r="AC53">
        <v>2.82</v>
      </c>
      <c r="AE53" s="10">
        <v>69</v>
      </c>
      <c r="AF53" s="15" t="str">
        <f>CONCATENATE(VLOOKUP(AG53, 'Voxel Sizes'!$A$2:$B$18,2,FALSE),"x",INT(AC53*15), "x", INT(AD53*15))</f>
        <v>186x42x0</v>
      </c>
      <c r="AG53" s="15">
        <f t="shared" si="33"/>
        <v>11</v>
      </c>
      <c r="AI53" s="15" t="str">
        <f>CONCATENATE(VLOOKUP(AG53,Constants!$A$2:$C$16,IF(AH53&lt;&gt;"", 3, 2), FALSE),IF(AH53&lt;&gt;"",CONCATENATE(",",VLOOKUP(AH53,$B:$AI,34,FALSE)),""))</f>
        <v>4,3,4</v>
      </c>
      <c r="AM53" t="s">
        <v>349</v>
      </c>
      <c r="AO53" t="s">
        <v>350</v>
      </c>
      <c r="AS53">
        <v>23</v>
      </c>
      <c r="AT53" s="15">
        <f t="shared" si="34"/>
        <v>30</v>
      </c>
      <c r="AU53">
        <v>-10</v>
      </c>
      <c r="AV53">
        <v>-15</v>
      </c>
      <c r="AW53" s="17">
        <f t="shared" si="35"/>
        <v>15</v>
      </c>
      <c r="AX53" s="17">
        <f t="shared" si="36"/>
        <v>4.5</v>
      </c>
      <c r="AY53" s="17">
        <f t="shared" si="37"/>
        <v>6</v>
      </c>
      <c r="AZ53" s="18">
        <f t="shared" si="38"/>
        <v>0.93466666666666665</v>
      </c>
      <c r="BA53" s="17">
        <f t="shared" si="39"/>
        <v>9.2000000000000011</v>
      </c>
      <c r="BB53" s="17">
        <f>VLOOKUP($E53,Constants!$I:$K, 2, FALSE)</f>
        <v>0.85</v>
      </c>
      <c r="BC53" s="17">
        <f>VLOOKUP($E53,Constants!$I:$K, 3, FALSE)*IF(AND(D53="multiple_unit",Y53&lt;110),0.75,1)</f>
        <v>1.7249999999999999</v>
      </c>
      <c r="BD53" s="17">
        <f>INT(POWER(((Constants!$G$2+$AW53+$AX53+$AY53+$BA53)*$AZ53)*$BC53, 1.05))+$AV53</f>
        <v>63</v>
      </c>
      <c r="BE53" s="17">
        <f>INT(POWER((((Constants!$G$1+$AW53+$AX53+$AY53+$BA53)*($AZ53))*$BB53),IF($D53="wagon",1,1.2)))+$AU53</f>
        <v>72</v>
      </c>
      <c r="BF53" s="20">
        <f t="shared" si="40"/>
        <v>49218.75</v>
      </c>
      <c r="BG53" s="20">
        <f t="shared" si="41"/>
        <v>5850</v>
      </c>
      <c r="BN53">
        <v>8</v>
      </c>
      <c r="BO53">
        <v>165</v>
      </c>
      <c r="BP53" t="s">
        <v>142</v>
      </c>
      <c r="BQ53" t="s">
        <v>34</v>
      </c>
      <c r="BR53" s="23" t="str">
        <f>VLOOKUP(G53,Eras!$A$2:$C$10, 2, TRUE)</f>
        <v>ebr</v>
      </c>
      <c r="BS53" t="s">
        <v>66</v>
      </c>
      <c r="BT53" s="23" t="str">
        <f t="shared" si="42"/>
        <v>ebr_DMU</v>
      </c>
      <c r="BU53" s="23" t="str">
        <f t="shared" si="43"/>
        <v>electric_THIRD_RAIL</v>
      </c>
      <c r="BV53" s="23" t="str">
        <f>VLOOKUP($BU53, Constants!$M:$N, 2, FALSE)</f>
        <v>{BLACK}Powered by: {GOLD}750V DC</v>
      </c>
      <c r="BW53" s="23" t="str">
        <f t="shared" si="44"/>
        <v>{BLACK}Cars: {GOLD}4</v>
      </c>
      <c r="BX53" t="s">
        <v>351</v>
      </c>
      <c r="BY53" s="23" t="str">
        <f t="shared" si="45"/>
        <v>{YELLOW}10% Penalty for long distance travel{}</v>
      </c>
      <c r="BZ53" s="23" t="str">
        <f t="shared" si="46"/>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4" spans="1:78" x14ac:dyDescent="0.3">
      <c r="A54" t="s">
        <v>375</v>
      </c>
      <c r="B54" t="s">
        <v>373</v>
      </c>
      <c r="C54">
        <v>3591</v>
      </c>
      <c r="D54" t="s">
        <v>231</v>
      </c>
      <c r="E54" t="s">
        <v>26</v>
      </c>
      <c r="F54" t="s">
        <v>28</v>
      </c>
      <c r="G54">
        <v>1959</v>
      </c>
      <c r="I54">
        <v>1991</v>
      </c>
      <c r="J54">
        <v>1</v>
      </c>
      <c r="K54">
        <v>460</v>
      </c>
      <c r="T54">
        <v>41</v>
      </c>
      <c r="V54">
        <v>6</v>
      </c>
      <c r="W54">
        <v>65</v>
      </c>
      <c r="X54" s="4">
        <f t="shared" si="32"/>
        <v>0.15853658536585366</v>
      </c>
      <c r="Y54">
        <v>70</v>
      </c>
      <c r="Z54">
        <v>1</v>
      </c>
      <c r="AA54">
        <v>19.66</v>
      </c>
      <c r="AB54">
        <v>19.66</v>
      </c>
      <c r="AD54">
        <v>3.77</v>
      </c>
      <c r="AE54" s="10">
        <v>72</v>
      </c>
      <c r="AF54" s="15" t="str">
        <f>CONCATENATE(VLOOKUP(AG54, 'Voxel Sizes'!$A$2:$B$18,2,FALSE),"x",INT(AC54*15), "x", INT(AD54*15))</f>
        <v>198x0x56</v>
      </c>
      <c r="AG54" s="15">
        <f t="shared" si="33"/>
        <v>12</v>
      </c>
      <c r="AI54" s="15" t="str">
        <f>CONCATENATE(VLOOKUP(AG54,Constants!$A$2:$C$16,IF(AH54&lt;&gt;"", 3, 2), FALSE),IF(AH54&lt;&gt;"",CONCATENATE(",",VLOOKUP(AH54,$B:$AI,34,FALSE)),""))</f>
        <v>4,4,4</v>
      </c>
      <c r="AM54" t="s">
        <v>373</v>
      </c>
      <c r="AO54">
        <v>1</v>
      </c>
      <c r="AS54">
        <v>45</v>
      </c>
      <c r="AT54" s="15">
        <f t="shared" si="34"/>
        <v>40</v>
      </c>
      <c r="AU54">
        <v>-10</v>
      </c>
      <c r="AV54">
        <v>-15</v>
      </c>
      <c r="AW54" s="17">
        <f t="shared" si="35"/>
        <v>14</v>
      </c>
      <c r="AX54" s="17">
        <f t="shared" si="36"/>
        <v>2.3000000000000003</v>
      </c>
      <c r="AY54" s="17">
        <f t="shared" si="37"/>
        <v>3.25</v>
      </c>
      <c r="AZ54" s="18">
        <f t="shared" si="38"/>
        <v>0.92133333333333334</v>
      </c>
      <c r="BA54" s="17">
        <f t="shared" si="39"/>
        <v>2.4</v>
      </c>
      <c r="BB54" s="17">
        <f>VLOOKUP($E54,Constants!$I:$K, 2, FALSE)</f>
        <v>1</v>
      </c>
      <c r="BC54" s="17">
        <f>VLOOKUP($E54,Constants!$I:$K, 3, FALSE)*IF(AND(D54="multiple_unit",Y54&lt;110),0.75,1)</f>
        <v>1.5</v>
      </c>
      <c r="BD54" s="17">
        <f>INT(POWER(((Constants!$G$2+$AW54+$AX54+$AY54+$BA54)*$AZ54)*$BC54, 1.05))+$AV54</f>
        <v>29</v>
      </c>
      <c r="BE54" s="17">
        <f>INT(POWER((((Constants!$G$1+$AW54+$AX54+$AY54+$BA54)*($AZ54))*$BB54),IF($D54="wagon",1,1.2)))+$AU54</f>
        <v>58</v>
      </c>
      <c r="BF54" s="20">
        <f t="shared" si="40"/>
        <v>22656.25</v>
      </c>
      <c r="BG54" s="20">
        <f t="shared" si="41"/>
        <v>4712.5</v>
      </c>
      <c r="BN54">
        <v>4</v>
      </c>
      <c r="BO54">
        <v>185</v>
      </c>
      <c r="BQ54" t="s">
        <v>280</v>
      </c>
      <c r="BR54" s="23" t="str">
        <f>VLOOKUP(G54,Eras!$A$2:$C$10, 2, TRUE)</f>
        <v>dsl</v>
      </c>
      <c r="BS54" t="s">
        <v>66</v>
      </c>
      <c r="BT54" s="23" t="str">
        <f t="shared" si="42"/>
        <v>dsl_DMU</v>
      </c>
      <c r="BU54" s="23" t="str">
        <f t="shared" si="43"/>
        <v>diesel_RAIL</v>
      </c>
      <c r="BV54" s="23" t="str">
        <f>VLOOKUP($BU54, Constants!$M:$N, 2, FALSE)</f>
        <v>{BLACK}Powered by: {GOLD}Diesel</v>
      </c>
      <c r="BW54" s="23" t="str">
        <f t="shared" si="44"/>
        <v/>
      </c>
      <c r="BX54" t="s">
        <v>374</v>
      </c>
      <c r="BY54" s="23" t="str">
        <f t="shared" si="45"/>
        <v/>
      </c>
      <c r="BZ54" s="23" t="str">
        <f t="shared" si="46"/>
        <v>{BLACK}Powered by: {GOLD}Diesel {}{SILVER}The Class 128 was built specifically for carrying parcels by the Gloucester Railway Carriage and Wagon Company.</v>
      </c>
    </row>
    <row r="55" spans="1:78" x14ac:dyDescent="0.3">
      <c r="A55" t="s">
        <v>357</v>
      </c>
      <c r="B55" t="s">
        <v>356</v>
      </c>
      <c r="C55">
        <v>2791</v>
      </c>
      <c r="D55" t="s">
        <v>236</v>
      </c>
      <c r="E55" t="s">
        <v>355</v>
      </c>
      <c r="F55" t="s">
        <v>28</v>
      </c>
      <c r="G55">
        <v>1979</v>
      </c>
      <c r="K55">
        <v>50</v>
      </c>
      <c r="T55">
        <v>33</v>
      </c>
      <c r="W55">
        <v>5</v>
      </c>
      <c r="X55" s="4">
        <f t="shared" si="32"/>
        <v>1.5151515151515152E-2</v>
      </c>
      <c r="Y55">
        <v>100</v>
      </c>
      <c r="AA55">
        <v>20.12</v>
      </c>
      <c r="AB55">
        <v>20.12</v>
      </c>
      <c r="AE55" s="10">
        <v>36</v>
      </c>
      <c r="AF55" s="15" t="str">
        <f>CONCATENATE(VLOOKUP(AG55, 'Voxel Sizes'!$A$2:$B$18,2,FALSE),"x",INT(AC55*15), "x", INT(AD55*15))</f>
        <v>198x0x0</v>
      </c>
      <c r="AG55" s="15">
        <f t="shared" si="33"/>
        <v>12</v>
      </c>
      <c r="AI55" s="15" t="str">
        <f>CONCATENATE(VLOOKUP(AG55,Constants!$A$2:$C$16,IF(AH55&lt;&gt;"", 3, 2), FALSE),IF(AH55&lt;&gt;"",CONCATENATE(",",VLOOKUP(AH55,$B:$AI,34,FALSE)),""))</f>
        <v>4,4,4</v>
      </c>
      <c r="AS55">
        <v>33</v>
      </c>
      <c r="AT55" s="15" t="str">
        <f t="shared" si="34"/>
        <v/>
      </c>
      <c r="AU55">
        <v>-35</v>
      </c>
      <c r="AV55">
        <v>-52</v>
      </c>
      <c r="AW55" s="17">
        <f t="shared" si="35"/>
        <v>20</v>
      </c>
      <c r="AX55" s="17">
        <f t="shared" si="36"/>
        <v>0.25</v>
      </c>
      <c r="AY55" s="17">
        <f t="shared" si="37"/>
        <v>0.25</v>
      </c>
      <c r="AZ55" s="18">
        <f t="shared" si="38"/>
        <v>0.89466666666666672</v>
      </c>
      <c r="BA55" s="17">
        <f t="shared" si="39"/>
        <v>1.2</v>
      </c>
      <c r="BB55" s="17">
        <f>VLOOKUP($E55,Constants!$I:$K, 2, FALSE)</f>
        <v>0.85</v>
      </c>
      <c r="BC55" s="17">
        <f>VLOOKUP($E55,Constants!$I:$K, 3, FALSE)*IF(AND(D55="multiple_unit",Y55&lt;110),0.75,1)</f>
        <v>2.2999999999999998</v>
      </c>
      <c r="BD55" s="17">
        <f>INT(POWER(((Constants!$G$2+$AW55+$AX55+$AY55+$BA55)*$AZ55)*$BC55, 1.05))+$AV55</f>
        <v>15</v>
      </c>
      <c r="BE55" s="17">
        <f>INT(POWER((((Constants!$G$1+$AW55+$AX55+$AY55+$BA55)*($AZ55))*$BB55),IF($D55="wagon",1,1.2)))+$AU55</f>
        <v>19</v>
      </c>
      <c r="BF55" s="20">
        <f t="shared" si="40"/>
        <v>11718.75</v>
      </c>
      <c r="BG55" s="20">
        <f t="shared" si="41"/>
        <v>1543.75</v>
      </c>
      <c r="BH55">
        <v>1</v>
      </c>
      <c r="BI55">
        <v>1</v>
      </c>
      <c r="BN55">
        <v>7</v>
      </c>
      <c r="BP55" t="s">
        <v>142</v>
      </c>
      <c r="BQ55" t="s">
        <v>34</v>
      </c>
      <c r="BR55" s="23" t="str">
        <f>VLOOKUP(G55,Eras!$A$2:$C$10, 2, TRUE)</f>
        <v>lbr</v>
      </c>
      <c r="BS55" t="s">
        <v>73</v>
      </c>
      <c r="BT55" s="23" t="str">
        <f t="shared" si="42"/>
        <v>lbr_Express (Electric)</v>
      </c>
      <c r="BU55" s="23" t="str">
        <f t="shared" si="43"/>
        <v>none_RAIL</v>
      </c>
      <c r="BV55" s="23" t="str">
        <f>VLOOKUP($BU55, Constants!$M:$N, 2, FALSE)</f>
        <v/>
      </c>
      <c r="BW55" s="23" t="str">
        <f t="shared" si="44"/>
        <v/>
      </c>
      <c r="BX55" t="s">
        <v>358</v>
      </c>
      <c r="BY55" s="23" t="str">
        <f t="shared" si="45"/>
        <v/>
      </c>
      <c r="BZ55" s="23" t="str">
        <f t="shared" si="46"/>
        <v>{SILVER}The DBSO is a driving trailer built from a converted Mk2F carriage. They were first used with Class 47 locomotives for a push-pull service that could be driven from either end.</v>
      </c>
    </row>
    <row r="56" spans="1:78" x14ac:dyDescent="0.3">
      <c r="A56" t="s">
        <v>393</v>
      </c>
      <c r="B56" t="s">
        <v>394</v>
      </c>
      <c r="C56">
        <v>4051</v>
      </c>
      <c r="D56" t="s">
        <v>231</v>
      </c>
      <c r="E56" t="s">
        <v>26</v>
      </c>
      <c r="F56" t="s">
        <v>28</v>
      </c>
      <c r="G56">
        <v>2005</v>
      </c>
      <c r="H56">
        <v>2006</v>
      </c>
      <c r="J56">
        <v>3</v>
      </c>
      <c r="K56">
        <f>750*3</f>
        <v>2250</v>
      </c>
      <c r="T56">
        <v>169</v>
      </c>
      <c r="V56">
        <v>5</v>
      </c>
      <c r="W56">
        <v>185</v>
      </c>
      <c r="X56" s="4">
        <f t="shared" si="32"/>
        <v>0.10946745562130178</v>
      </c>
      <c r="Y56">
        <v>100</v>
      </c>
      <c r="AA56">
        <v>20.399999999999999</v>
      </c>
      <c r="AB56">
        <v>20.399999999999999</v>
      </c>
      <c r="AC56">
        <v>2.8</v>
      </c>
      <c r="AE56" s="10">
        <v>60</v>
      </c>
      <c r="AF56" s="15" t="str">
        <f>CONCATENATE(VLOOKUP(AG56, 'Voxel Sizes'!$A$2:$B$18,2,FALSE),"x",INT(AC56*15), "x", INT(AD56*15))</f>
        <v>198x42x0</v>
      </c>
      <c r="AG56" s="15">
        <f t="shared" si="33"/>
        <v>12</v>
      </c>
      <c r="AI56" s="15" t="str">
        <f>CONCATENATE(VLOOKUP(AG56,Constants!$A$2:$C$16,IF(AH56&lt;&gt;"", 3, 2), FALSE),IF(AH56&lt;&gt;"",CONCATENATE(",",VLOOKUP(AH56,$B:$AI,34,FALSE)),""))</f>
        <v>4,4,4</v>
      </c>
      <c r="AJ56">
        <v>4</v>
      </c>
      <c r="AM56" t="s">
        <v>392</v>
      </c>
      <c r="AO56" t="s">
        <v>37</v>
      </c>
      <c r="AS56">
        <v>28</v>
      </c>
      <c r="AT56" s="15" t="str">
        <f t="shared" si="34"/>
        <v/>
      </c>
      <c r="AU56">
        <v>-12</v>
      </c>
      <c r="AV56">
        <v>-30</v>
      </c>
      <c r="AW56" s="17">
        <f t="shared" si="35"/>
        <v>20</v>
      </c>
      <c r="AX56" s="17">
        <f t="shared" si="36"/>
        <v>11.25</v>
      </c>
      <c r="AY56" s="17">
        <f t="shared" si="37"/>
        <v>9.25</v>
      </c>
      <c r="AZ56" s="18">
        <f t="shared" si="38"/>
        <v>0.86</v>
      </c>
      <c r="BA56" s="17">
        <f t="shared" si="39"/>
        <v>6.0000000000000009</v>
      </c>
      <c r="BB56" s="17">
        <f>VLOOKUP($E56,Constants!$I:$K, 2, FALSE)</f>
        <v>1</v>
      </c>
      <c r="BC56" s="17">
        <f>VLOOKUP($E56,Constants!$I:$K, 3, FALSE)*IF(AND(D56="multiple_unit",Y56&lt;110),0.75,1)</f>
        <v>1.5</v>
      </c>
      <c r="BD56" s="17">
        <f>INT(POWER(((Constants!$G$2+$AW56+$AX56+$AY56+$BA56)*$AZ56)*$BC56, 1.05))+$AV56</f>
        <v>51</v>
      </c>
      <c r="BE56" s="17">
        <f>INT(POWER((((Constants!$G$1+$AW56+$AX56+$AY56+$BA56)*($AZ56))*$BB56),IF($D56="wagon",1,1.2)))+$AU56</f>
        <v>104</v>
      </c>
      <c r="BF56" s="20">
        <f t="shared" si="40"/>
        <v>39843.75</v>
      </c>
      <c r="BG56" s="20">
        <f t="shared" si="41"/>
        <v>8450</v>
      </c>
      <c r="BN56">
        <v>3</v>
      </c>
      <c r="BO56">
        <v>185</v>
      </c>
      <c r="BP56" t="s">
        <v>142</v>
      </c>
      <c r="BQ56" t="s">
        <v>34</v>
      </c>
      <c r="BR56" s="23" t="str">
        <f>VLOOKUP(G56,Eras!$A$2:$C$10, 2, TRUE)</f>
        <v>mod</v>
      </c>
      <c r="BS56" t="s">
        <v>68</v>
      </c>
      <c r="BT56" s="23" t="str">
        <f t="shared" si="42"/>
        <v>mod_EMU</v>
      </c>
      <c r="BU56" s="23" t="str">
        <f t="shared" si="43"/>
        <v>diesel_RAIL</v>
      </c>
      <c r="BV56" s="23" t="str">
        <f>VLOOKUP($BU56, Constants!$M:$N, 2, FALSE)</f>
        <v>{BLACK}Powered by: {GOLD}Diesel</v>
      </c>
      <c r="BW56" s="23" t="str">
        <f t="shared" si="44"/>
        <v>{BLACK}Cars: {GOLD}3</v>
      </c>
      <c r="BX56" t="s">
        <v>395</v>
      </c>
      <c r="BY56" s="23" t="str">
        <f t="shared" si="45"/>
        <v/>
      </c>
      <c r="BZ56" s="23" t="str">
        <f t="shared" si="46"/>
        <v>{BLACK}Powered by: {GOLD}Diesel {BLACK}Cars: {GOLD}3{}{SILVER}The Class 185 is a diesel version of the Siemens Desiro family. Each car has its own 6 cylinder engine, giving the unit high acceleration.</v>
      </c>
    </row>
  </sheetData>
  <autoFilter ref="A1:BX35"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BS57:BS1048576 BS1 BS34:BS39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3">
      <c r="A4" t="s">
        <v>94</v>
      </c>
      <c r="B4" t="str">
        <f>VLOOKUP(A4, Eras!$B$2:$C$10, 2, FALSE)</f>
        <v>Victorian (1850-1900)</v>
      </c>
      <c r="C4">
        <f>COUNTIF(Table!$BT:$BT,CONCATENATE($A4,"_",C$1))</f>
        <v>0</v>
      </c>
      <c r="D4">
        <f>COUNTIF(Table!$BT:$BT,CONCATENATE($A4,"_",D$1))</f>
        <v>4</v>
      </c>
      <c r="E4">
        <f>COUNTIF(Table!$BT:$BT,CONCATENATE($A4,"_",E$1))</f>
        <v>4</v>
      </c>
      <c r="F4">
        <f>COUNTIF(Table!$BT:$BT,CONCATENATE($A4,"_",F$1))</f>
        <v>3</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3">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3">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3">
      <c r="A7" t="s">
        <v>105</v>
      </c>
      <c r="B7" t="str">
        <f>VLOOKUP(A7, Eras!$B$2:$C$10, 2, FALSE)</f>
        <v>Early BR (1948-1955)</v>
      </c>
      <c r="C7">
        <f>COUNTIF(Table!$BT:$BT,CONCATENATE($A7,"_",C$1))</f>
        <v>0</v>
      </c>
      <c r="D7">
        <f>COUNTIF(Table!$BT:$BT,CONCATENATE($A7,"_",D$1))</f>
        <v>0</v>
      </c>
      <c r="E7">
        <f>COUNTIF(Table!$BT:$BT,CONCATENATE($A7,"_",E$1))</f>
        <v>2</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3">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3">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3">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3">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s="2">
        <v>0</v>
      </c>
      <c r="B2" s="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s="2" t="str">
        <f>_xlfn.TEXTJOIN(",",TRUE,  B8:U8)</f>
        <v>1,1,1,0,0,0,1,0,0,0,0,0,0,0,0,0,0,0,1,1</v>
      </c>
    </row>
    <row r="15" spans="1:21" x14ac:dyDescent="0.3">
      <c r="B15" s="2" t="str">
        <f>_xlfn.TEXTJOIN(",",TRUE,  B11:U11)</f>
        <v>4,5,4,4,5,4,4,3,4,4,3,4,4,3,4,4,3,4,4,3,4,4,3,4,4,3,4,4,3,4,4,3,4,4,3,4,4,3,4,4,3,4,4,3,4,4,3,4,4,3,4,4,3,4,4,5,4,4,5,4</v>
      </c>
    </row>
    <row r="16" spans="1:21" x14ac:dyDescent="0.3">
      <c r="B16" s="2"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s="2" t="str">
        <f>_xlfn.TEXTJOIN(",",TRUE,  B19:P19)</f>
        <v>eurostar,eurostar_motor,eurostar_mid,eurostar_tbk,eurostar_mid,eurostar_tbk,eurostar_motor_rev,eurostar_rear</v>
      </c>
    </row>
    <row r="26" spans="1:9" x14ac:dyDescent="0.3">
      <c r="B26" s="2" t="str">
        <f>_xlfn.TEXTJOIN(",",TRUE,  B20:P20)</f>
        <v>0,0,0,0,0,0,0,0</v>
      </c>
    </row>
    <row r="27" spans="1:9" x14ac:dyDescent="0.3">
      <c r="B27" s="2" t="str">
        <f>_xlfn.TEXTJOIN(",",TRUE,  B23:P23)</f>
        <v>4,5,4,4,5,4,4,3,4,4,3,4,4,3,4,4,3,4,4,5,4,4,5,4</v>
      </c>
    </row>
    <row r="28" spans="1:9" x14ac:dyDescent="0.3">
      <c r="B28" s="2"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s="2" t="str">
        <f>_xlfn.TEXTJOIN(",",TRUE,  B31:P31)</f>
        <v>eurostar,eurostar_motor,eurostar_mid,eurostar_motor_rev,eurostar_rear</v>
      </c>
    </row>
    <row r="38" spans="1:6" x14ac:dyDescent="0.3">
      <c r="B38" s="2" t="str">
        <f>_xlfn.TEXTJOIN(",",TRUE,  B32:P32)</f>
        <v>0,0,0,0,0</v>
      </c>
    </row>
    <row r="39" spans="1:6" x14ac:dyDescent="0.3">
      <c r="B39" s="2" t="str">
        <f>_xlfn.TEXTJOIN(",",TRUE,  B35:P35)</f>
        <v>4,5,4,4,5,4,4,3,4,4,5,4,4,5,4</v>
      </c>
    </row>
    <row r="40" spans="1:6" x14ac:dyDescent="0.3">
      <c r="B40" s="2"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s="2" t="str">
        <f>_xlfn.TEXTJOIN(",",TRUE,  B43:P43)</f>
        <v>stadler_class_755,stadler_class_755_mid,stadler_class_755_motor,stadler_class_755_mid_rev,stadler_class_755_rear</v>
      </c>
    </row>
    <row r="50" spans="2:2" x14ac:dyDescent="0.3">
      <c r="B50" s="2" t="str">
        <f>_xlfn.TEXTJOIN(",",TRUE,  B44:P44)</f>
        <v>1,1,1,1,1</v>
      </c>
    </row>
    <row r="51" spans="2:2" x14ac:dyDescent="0.3">
      <c r="B51" s="2" t="str">
        <f>_xlfn.TEXTJOIN(",",TRUE,  B47:P47)</f>
        <v>4,4,4,2,5,2,2,2,2,2,5,2,4,4,4</v>
      </c>
    </row>
    <row r="52" spans="2:2" x14ac:dyDescent="0.3">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2022-11-13T20:48:53Z</dcterms:modified>
</cp:coreProperties>
</file>