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5F055523-35AF-4E91-8572-1E7646FC9939}" xr6:coauthVersionLast="46" xr6:coauthVersionMax="46" xr10:uidLastSave="{00000000-0000-0000-0000-000000000000}"/>
  <bookViews>
    <workbookView xWindow="2580" yWindow="2070" windowWidth="23685" windowHeight="1192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Table!$A$1:$BX$29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34" i="1" l="1"/>
  <c r="BW34" i="1"/>
  <c r="BU34" i="1"/>
  <c r="BV34" i="1" s="1"/>
  <c r="BZ34" i="1" s="1"/>
  <c r="BR34" i="1"/>
  <c r="BT34" i="1" s="1"/>
  <c r="BA34" i="1"/>
  <c r="AZ34" i="1"/>
  <c r="AY34" i="1"/>
  <c r="AX34" i="1"/>
  <c r="AW34" i="1"/>
  <c r="AT34" i="1"/>
  <c r="AG34" i="1"/>
  <c r="AI34" i="1" s="1"/>
  <c r="X34" i="1"/>
  <c r="AG35" i="1"/>
  <c r="AF35" i="1" s="1"/>
  <c r="AT35" i="1"/>
  <c r="AW35" i="1"/>
  <c r="AX35" i="1"/>
  <c r="AY35" i="1"/>
  <c r="AZ35" i="1"/>
  <c r="BA35" i="1"/>
  <c r="BR35" i="1"/>
  <c r="BT35" i="1" s="1"/>
  <c r="BU35" i="1"/>
  <c r="BV35" i="1" s="1"/>
  <c r="BW35" i="1"/>
  <c r="BY35" i="1"/>
  <c r="AG36" i="1"/>
  <c r="AF36" i="1" s="1"/>
  <c r="AT36" i="1"/>
  <c r="AW36" i="1"/>
  <c r="AX36" i="1"/>
  <c r="AY36" i="1"/>
  <c r="BD36" i="1" s="1"/>
  <c r="BF36" i="1" s="1"/>
  <c r="AZ36" i="1"/>
  <c r="BA36" i="1"/>
  <c r="BR36" i="1"/>
  <c r="BT36" i="1" s="1"/>
  <c r="BU36" i="1"/>
  <c r="BV36" i="1" s="1"/>
  <c r="BW36" i="1"/>
  <c r="BY36" i="1"/>
  <c r="AG37" i="1"/>
  <c r="AF37" i="1" s="1"/>
  <c r="AT37" i="1"/>
  <c r="AW37" i="1"/>
  <c r="BD37" i="1" s="1"/>
  <c r="BF37" i="1" s="1"/>
  <c r="AX37" i="1"/>
  <c r="AY37" i="1"/>
  <c r="AZ37" i="1"/>
  <c r="BA37" i="1"/>
  <c r="BR37" i="1"/>
  <c r="BT37" i="1" s="1"/>
  <c r="BU37" i="1"/>
  <c r="BV37" i="1" s="1"/>
  <c r="BW37" i="1"/>
  <c r="BY37" i="1"/>
  <c r="X35" i="1"/>
  <c r="X36" i="1"/>
  <c r="BY31" i="1"/>
  <c r="BW31" i="1"/>
  <c r="BU31" i="1"/>
  <c r="BV31" i="1" s="1"/>
  <c r="BY30" i="1"/>
  <c r="BW30" i="1"/>
  <c r="BU30" i="1"/>
  <c r="BV30" i="1" s="1"/>
  <c r="BZ30" i="1" s="1"/>
  <c r="BR30" i="1"/>
  <c r="BT30" i="1" s="1"/>
  <c r="BR31" i="1"/>
  <c r="BT31" i="1" s="1"/>
  <c r="BC31" i="1"/>
  <c r="BB31" i="1"/>
  <c r="BA31" i="1"/>
  <c r="AZ31" i="1"/>
  <c r="BC30" i="1"/>
  <c r="BB30" i="1"/>
  <c r="BA30" i="1"/>
  <c r="AZ30" i="1"/>
  <c r="AY31" i="1"/>
  <c r="AX31" i="1"/>
  <c r="AW31" i="1"/>
  <c r="BD31" i="1" s="1"/>
  <c r="AV31" i="1"/>
  <c r="AT31" i="1"/>
  <c r="AG31" i="1"/>
  <c r="AI31" i="1" s="1"/>
  <c r="X31" i="1"/>
  <c r="AY30" i="1"/>
  <c r="AX30" i="1"/>
  <c r="BD30" i="1" s="1"/>
  <c r="AW30" i="1"/>
  <c r="AT30" i="1"/>
  <c r="AG30" i="1"/>
  <c r="AI30" i="1" s="1"/>
  <c r="X30" i="1"/>
  <c r="AF34" i="1" l="1"/>
  <c r="BD35" i="1"/>
  <c r="BF35" i="1" s="1"/>
  <c r="BE34" i="1"/>
  <c r="BG34" i="1" s="1"/>
  <c r="BE31" i="1"/>
  <c r="BG31" i="1" s="1"/>
  <c r="BE30" i="1"/>
  <c r="BG30" i="1" s="1"/>
  <c r="BZ37" i="1"/>
  <c r="BZ31" i="1"/>
  <c r="AI37" i="1"/>
  <c r="BE35" i="1"/>
  <c r="BG35" i="1" s="1"/>
  <c r="BD34" i="1"/>
  <c r="BF34" i="1" s="1"/>
  <c r="BE36" i="1"/>
  <c r="BG36" i="1" s="1"/>
  <c r="AI36" i="1"/>
  <c r="BZ35" i="1"/>
  <c r="BE37" i="1"/>
  <c r="BG37" i="1" s="1"/>
  <c r="BZ36" i="1"/>
  <c r="AI35" i="1"/>
  <c r="BF31" i="1"/>
  <c r="BF30" i="1"/>
  <c r="BY6" i="1" l="1"/>
  <c r="BW6" i="1"/>
  <c r="BU6" i="1"/>
  <c r="BR6" i="1"/>
  <c r="BT6" i="1" s="1"/>
  <c r="BC6" i="1"/>
  <c r="BB6" i="1"/>
  <c r="BA6" i="1"/>
  <c r="AZ6" i="1"/>
  <c r="AY6" i="1"/>
  <c r="AX6" i="1"/>
  <c r="AW6" i="1"/>
  <c r="AT6" i="1"/>
  <c r="AG6" i="1"/>
  <c r="AF6" i="1" s="1"/>
  <c r="X6" i="1"/>
  <c r="Q6" i="1"/>
  <c r="S6" i="1" s="1"/>
  <c r="AI6" i="1" l="1"/>
  <c r="BE6" i="1"/>
  <c r="BG6" i="1" s="1"/>
  <c r="BD6" i="1"/>
  <c r="BF6" i="1" s="1"/>
  <c r="BY3" i="1"/>
  <c r="BW3" i="1"/>
  <c r="BU3" i="1"/>
  <c r="BR3" i="1"/>
  <c r="BT3" i="1" s="1"/>
  <c r="BC3" i="1"/>
  <c r="BB3" i="1"/>
  <c r="BA3" i="1"/>
  <c r="AZ3" i="1"/>
  <c r="AY3" i="1"/>
  <c r="AX3" i="1"/>
  <c r="AW3" i="1"/>
  <c r="AT3" i="1"/>
  <c r="AG3" i="1"/>
  <c r="AF3" i="1" s="1"/>
  <c r="X3" i="1"/>
  <c r="Q3" i="1"/>
  <c r="S3" i="1" s="1"/>
  <c r="BE3" i="1" l="1"/>
  <c r="BG3" i="1" s="1"/>
  <c r="BD3" i="1"/>
  <c r="BF3" i="1" s="1"/>
  <c r="AI3" i="1"/>
  <c r="N28" i="2"/>
  <c r="BY8" i="1"/>
  <c r="BW8" i="1"/>
  <c r="BU8" i="1"/>
  <c r="BR8" i="1"/>
  <c r="BT8" i="1" s="1"/>
  <c r="BC8" i="1"/>
  <c r="BB8" i="1"/>
  <c r="BA8" i="1"/>
  <c r="AZ8" i="1"/>
  <c r="AY8" i="1"/>
  <c r="AX8" i="1"/>
  <c r="AW8" i="1"/>
  <c r="AT8" i="1"/>
  <c r="AG8" i="1"/>
  <c r="AF8" i="1" s="1"/>
  <c r="X8" i="1"/>
  <c r="Q8" i="1"/>
  <c r="S8" i="1" s="1"/>
  <c r="BY10" i="1"/>
  <c r="BW10" i="1"/>
  <c r="BU10" i="1"/>
  <c r="BR10" i="1"/>
  <c r="BT10" i="1" s="1"/>
  <c r="BC10" i="1"/>
  <c r="BB10" i="1"/>
  <c r="BA10" i="1"/>
  <c r="AZ10" i="1"/>
  <c r="AY10" i="1"/>
  <c r="AX10" i="1"/>
  <c r="AW10" i="1"/>
  <c r="AT10" i="1"/>
  <c r="AG10" i="1"/>
  <c r="AF10" i="1" s="1"/>
  <c r="X10" i="1"/>
  <c r="Q10" i="1"/>
  <c r="S10" i="1" s="1"/>
  <c r="BY7" i="1"/>
  <c r="BW7" i="1"/>
  <c r="BU7" i="1"/>
  <c r="BR7" i="1"/>
  <c r="BT7" i="1" s="1"/>
  <c r="BC7" i="1"/>
  <c r="BB7" i="1"/>
  <c r="BA7" i="1"/>
  <c r="AZ7" i="1"/>
  <c r="AY7" i="1"/>
  <c r="AX7" i="1"/>
  <c r="AW7" i="1"/>
  <c r="AT7" i="1"/>
  <c r="AG7" i="1"/>
  <c r="AF7" i="1" s="1"/>
  <c r="X7" i="1"/>
  <c r="Q7" i="1"/>
  <c r="S7" i="1" s="1"/>
  <c r="BY13" i="1"/>
  <c r="BW13" i="1"/>
  <c r="BU13" i="1"/>
  <c r="BR13" i="1"/>
  <c r="BT13" i="1" s="1"/>
  <c r="BC13" i="1"/>
  <c r="BB13" i="1"/>
  <c r="BA13" i="1"/>
  <c r="AZ13" i="1"/>
  <c r="AY13" i="1"/>
  <c r="AX13" i="1"/>
  <c r="AW13" i="1"/>
  <c r="AT13" i="1"/>
  <c r="AG13" i="1"/>
  <c r="AF13" i="1" s="1"/>
  <c r="X13" i="1"/>
  <c r="Q13" i="1"/>
  <c r="S13" i="1" s="1"/>
  <c r="BY12" i="1"/>
  <c r="BW12" i="1"/>
  <c r="BU12" i="1"/>
  <c r="BV12" i="1" s="1"/>
  <c r="BR12" i="1"/>
  <c r="BT12" i="1" s="1"/>
  <c r="BC12" i="1"/>
  <c r="BB12" i="1"/>
  <c r="BA12" i="1"/>
  <c r="AZ12" i="1"/>
  <c r="AY12" i="1"/>
  <c r="AX12" i="1"/>
  <c r="AW12" i="1"/>
  <c r="AT12" i="1"/>
  <c r="AG12" i="1"/>
  <c r="AF12" i="1" s="1"/>
  <c r="X12" i="1"/>
  <c r="Q12" i="1"/>
  <c r="S12" i="1" s="1"/>
  <c r="BY11" i="1"/>
  <c r="BW11" i="1"/>
  <c r="BU11" i="1"/>
  <c r="BV11" i="1" s="1"/>
  <c r="BR11" i="1"/>
  <c r="BT11" i="1" s="1"/>
  <c r="BC11" i="1"/>
  <c r="BB11" i="1"/>
  <c r="BA11" i="1"/>
  <c r="AZ11" i="1"/>
  <c r="AY11" i="1"/>
  <c r="AX11" i="1"/>
  <c r="AW11" i="1"/>
  <c r="AT11" i="1"/>
  <c r="AG11" i="1"/>
  <c r="AF11" i="1" s="1"/>
  <c r="X11" i="1"/>
  <c r="Q11" i="1"/>
  <c r="S11" i="1" s="1"/>
  <c r="BY9" i="1"/>
  <c r="BW9" i="1"/>
  <c r="BU9" i="1"/>
  <c r="BR9" i="1"/>
  <c r="BT9" i="1" s="1"/>
  <c r="BC9" i="1"/>
  <c r="BB9" i="1"/>
  <c r="BA9" i="1"/>
  <c r="AZ9" i="1"/>
  <c r="AY9" i="1"/>
  <c r="AX9" i="1"/>
  <c r="AW9" i="1"/>
  <c r="AT9" i="1"/>
  <c r="AG9" i="1"/>
  <c r="AF9" i="1" s="1"/>
  <c r="X9" i="1"/>
  <c r="Q9" i="1"/>
  <c r="S9" i="1" s="1"/>
  <c r="BY5" i="1"/>
  <c r="BW5" i="1"/>
  <c r="BU5" i="1"/>
  <c r="BR5" i="1"/>
  <c r="BT5" i="1" s="1"/>
  <c r="BC5" i="1"/>
  <c r="BB5" i="1"/>
  <c r="BA5" i="1"/>
  <c r="AZ5" i="1"/>
  <c r="AY5" i="1"/>
  <c r="AX5" i="1"/>
  <c r="AW5" i="1"/>
  <c r="AT5" i="1"/>
  <c r="AG5" i="1"/>
  <c r="AI5" i="1" s="1"/>
  <c r="X5" i="1"/>
  <c r="Q5" i="1"/>
  <c r="S5" i="1" s="1"/>
  <c r="BY16" i="1"/>
  <c r="BY17" i="1"/>
  <c r="BY18" i="1"/>
  <c r="BY19" i="1"/>
  <c r="BY20" i="1"/>
  <c r="BY21" i="1"/>
  <c r="BY22" i="1"/>
  <c r="BY23" i="1"/>
  <c r="BY24" i="1"/>
  <c r="BY25" i="1"/>
  <c r="BY26" i="1"/>
  <c r="BY27" i="1"/>
  <c r="BY28" i="1"/>
  <c r="BY29" i="1"/>
  <c r="BY32" i="1"/>
  <c r="BY33" i="1"/>
  <c r="BY2" i="1"/>
  <c r="BY4" i="1"/>
  <c r="BY14" i="1"/>
  <c r="BY15" i="1"/>
  <c r="AI8" i="1" l="1"/>
  <c r="BD8" i="1"/>
  <c r="BF8" i="1" s="1"/>
  <c r="BE8" i="1"/>
  <c r="BG8" i="1" s="1"/>
  <c r="BV13" i="1"/>
  <c r="BZ13" i="1" s="1"/>
  <c r="AI10" i="1"/>
  <c r="BD10" i="1"/>
  <c r="BF10" i="1" s="1"/>
  <c r="BE7" i="1"/>
  <c r="BG7" i="1" s="1"/>
  <c r="BE10" i="1"/>
  <c r="BG10" i="1" s="1"/>
  <c r="BZ12" i="1"/>
  <c r="BZ11" i="1"/>
  <c r="AI7" i="1"/>
  <c r="BD7" i="1"/>
  <c r="BF7" i="1" s="1"/>
  <c r="AI13" i="1"/>
  <c r="BE12" i="1"/>
  <c r="BG12" i="1" s="1"/>
  <c r="BE13" i="1"/>
  <c r="BG13" i="1" s="1"/>
  <c r="BD13" i="1"/>
  <c r="BF13" i="1" s="1"/>
  <c r="BE11" i="1"/>
  <c r="BG11" i="1" s="1"/>
  <c r="BD12" i="1"/>
  <c r="BF12" i="1" s="1"/>
  <c r="AI11" i="1"/>
  <c r="BD11" i="1"/>
  <c r="BF11" i="1" s="1"/>
  <c r="AI12" i="1"/>
  <c r="AI9" i="1"/>
  <c r="BE9" i="1"/>
  <c r="BG9" i="1" s="1"/>
  <c r="BD9" i="1"/>
  <c r="BF9" i="1" s="1"/>
  <c r="BE5" i="1"/>
  <c r="BG5" i="1" s="1"/>
  <c r="AF5" i="1"/>
  <c r="BD5" i="1"/>
  <c r="BF5" i="1" s="1"/>
  <c r="BR4" i="1"/>
  <c r="BR14" i="1"/>
  <c r="BT14" i="1" s="1"/>
  <c r="BR15" i="1"/>
  <c r="BT15" i="1" s="1"/>
  <c r="BR16" i="1"/>
  <c r="BT16" i="1" s="1"/>
  <c r="BR17" i="1"/>
  <c r="BT17" i="1" s="1"/>
  <c r="BR18" i="1"/>
  <c r="BT18" i="1" s="1"/>
  <c r="BR19" i="1"/>
  <c r="BR20" i="1"/>
  <c r="BT20" i="1" s="1"/>
  <c r="BR21" i="1"/>
  <c r="BT21" i="1" s="1"/>
  <c r="BR22" i="1"/>
  <c r="BT22" i="1" s="1"/>
  <c r="BR23" i="1"/>
  <c r="BT23" i="1" s="1"/>
  <c r="BR24" i="1"/>
  <c r="BT24" i="1" s="1"/>
  <c r="BR25" i="1"/>
  <c r="BT25" i="1" s="1"/>
  <c r="BR26" i="1"/>
  <c r="BT26" i="1" s="1"/>
  <c r="BR27" i="1"/>
  <c r="BT27" i="1" s="1"/>
  <c r="BR28" i="1"/>
  <c r="BR29" i="1"/>
  <c r="BR32" i="1"/>
  <c r="BR33" i="1"/>
  <c r="BR2" i="1"/>
  <c r="AG32" i="1"/>
  <c r="AF32" i="1" s="1"/>
  <c r="AG33" i="1"/>
  <c r="AG4" i="1"/>
  <c r="AF4" i="1" s="1"/>
  <c r="AG14" i="1"/>
  <c r="AF14" i="1" s="1"/>
  <c r="AG15" i="1"/>
  <c r="AF15" i="1" s="1"/>
  <c r="AG16" i="1"/>
  <c r="AF16" i="1" s="1"/>
  <c r="AG17" i="1"/>
  <c r="AF17" i="1" s="1"/>
  <c r="AG18" i="1"/>
  <c r="AF18" i="1" s="1"/>
  <c r="AG19" i="1"/>
  <c r="AF19" i="1" s="1"/>
  <c r="AG20" i="1"/>
  <c r="AF20" i="1" s="1"/>
  <c r="AG21" i="1"/>
  <c r="AF21" i="1" s="1"/>
  <c r="AG22" i="1"/>
  <c r="AF22" i="1" s="1"/>
  <c r="AG23" i="1"/>
  <c r="AF23" i="1" s="1"/>
  <c r="AG24" i="1"/>
  <c r="AF24" i="1" s="1"/>
  <c r="AG25" i="1"/>
  <c r="AI25" i="1" s="1"/>
  <c r="AG26" i="1"/>
  <c r="AF26" i="1" s="1"/>
  <c r="AG27" i="1"/>
  <c r="AF27" i="1" s="1"/>
  <c r="AG28" i="1"/>
  <c r="AF28" i="1" s="1"/>
  <c r="AG29" i="1"/>
  <c r="BW14" i="1"/>
  <c r="BU14" i="1"/>
  <c r="BV14" i="1" s="1"/>
  <c r="BC14" i="1"/>
  <c r="BB14" i="1"/>
  <c r="BA14" i="1"/>
  <c r="AZ14" i="1"/>
  <c r="AY14" i="1"/>
  <c r="AX14" i="1"/>
  <c r="AW14" i="1"/>
  <c r="AT14" i="1"/>
  <c r="X14" i="1"/>
  <c r="BW27" i="1"/>
  <c r="BU27" i="1"/>
  <c r="BV27" i="1" s="1"/>
  <c r="BC27" i="1"/>
  <c r="BB27" i="1"/>
  <c r="BA27" i="1"/>
  <c r="AZ27" i="1"/>
  <c r="AY27" i="1"/>
  <c r="AX27" i="1"/>
  <c r="AW27" i="1"/>
  <c r="AT27" i="1"/>
  <c r="X27" i="1"/>
  <c r="BW26" i="1"/>
  <c r="BU26" i="1"/>
  <c r="BV26" i="1" s="1"/>
  <c r="BC26" i="1"/>
  <c r="BB26" i="1"/>
  <c r="BA26" i="1"/>
  <c r="AZ26" i="1"/>
  <c r="AY26" i="1"/>
  <c r="AX26" i="1"/>
  <c r="AW26" i="1"/>
  <c r="AT26" i="1"/>
  <c r="X26" i="1"/>
  <c r="BW25" i="1"/>
  <c r="BU25" i="1"/>
  <c r="BV25" i="1" s="1"/>
  <c r="BC25" i="1"/>
  <c r="BB25" i="1"/>
  <c r="BA25" i="1"/>
  <c r="AZ25" i="1"/>
  <c r="AY25" i="1"/>
  <c r="AX25" i="1"/>
  <c r="AW25" i="1"/>
  <c r="AT25" i="1"/>
  <c r="X25" i="1"/>
  <c r="BW24" i="1"/>
  <c r="BU24" i="1"/>
  <c r="BV24" i="1" s="1"/>
  <c r="BC24" i="1"/>
  <c r="BB24" i="1"/>
  <c r="BA24" i="1"/>
  <c r="AZ24" i="1"/>
  <c r="AY24" i="1"/>
  <c r="AX24" i="1"/>
  <c r="AW24" i="1"/>
  <c r="AT24" i="1"/>
  <c r="X24" i="1"/>
  <c r="BW23" i="1"/>
  <c r="BU23" i="1"/>
  <c r="BV23" i="1" s="1"/>
  <c r="BC23" i="1"/>
  <c r="BB23" i="1"/>
  <c r="BA23" i="1"/>
  <c r="AZ23" i="1"/>
  <c r="AY23" i="1"/>
  <c r="AX23" i="1"/>
  <c r="AW23" i="1"/>
  <c r="AT23" i="1"/>
  <c r="X23" i="1"/>
  <c r="BW22" i="1"/>
  <c r="BU22" i="1"/>
  <c r="BC22" i="1"/>
  <c r="BB22" i="1"/>
  <c r="BA22" i="1"/>
  <c r="AZ22" i="1"/>
  <c r="AY22" i="1"/>
  <c r="AX22" i="1"/>
  <c r="AW22" i="1"/>
  <c r="AT22" i="1"/>
  <c r="X22" i="1"/>
  <c r="BW21" i="1"/>
  <c r="BU21" i="1"/>
  <c r="BV21" i="1" s="1"/>
  <c r="BC21" i="1"/>
  <c r="BB21" i="1"/>
  <c r="BA21" i="1"/>
  <c r="AZ21" i="1"/>
  <c r="AY21" i="1"/>
  <c r="AX21" i="1"/>
  <c r="AW21" i="1"/>
  <c r="AT21" i="1"/>
  <c r="X21" i="1"/>
  <c r="BW20" i="1"/>
  <c r="BU20" i="1"/>
  <c r="BV20" i="1" s="1"/>
  <c r="BC20" i="1"/>
  <c r="BB20" i="1"/>
  <c r="BA20" i="1"/>
  <c r="AZ20" i="1"/>
  <c r="AY20" i="1"/>
  <c r="AX20" i="1"/>
  <c r="AW20" i="1"/>
  <c r="AT20" i="1"/>
  <c r="X20" i="1"/>
  <c r="BW18" i="1"/>
  <c r="BU18" i="1"/>
  <c r="BC18" i="1"/>
  <c r="BB18" i="1"/>
  <c r="BA18" i="1"/>
  <c r="AZ18" i="1"/>
  <c r="AY18" i="1"/>
  <c r="AX18" i="1"/>
  <c r="AW18" i="1"/>
  <c r="AT18" i="1"/>
  <c r="X18" i="1"/>
  <c r="BW17" i="1"/>
  <c r="BU17" i="1"/>
  <c r="BV17" i="1" s="1"/>
  <c r="BC17" i="1"/>
  <c r="BB17" i="1"/>
  <c r="BA17" i="1"/>
  <c r="AZ17" i="1"/>
  <c r="AY17" i="1"/>
  <c r="AX17" i="1"/>
  <c r="AW17" i="1"/>
  <c r="AT17" i="1"/>
  <c r="X17" i="1"/>
  <c r="BW16" i="1"/>
  <c r="BU16" i="1"/>
  <c r="BV16" i="1" s="1"/>
  <c r="BC16" i="1"/>
  <c r="BB16" i="1"/>
  <c r="BA16" i="1"/>
  <c r="AZ16" i="1"/>
  <c r="AY16" i="1"/>
  <c r="AX16" i="1"/>
  <c r="AW16" i="1"/>
  <c r="AT16" i="1"/>
  <c r="X16" i="1"/>
  <c r="BW15" i="1"/>
  <c r="BU15" i="1"/>
  <c r="BV15" i="1" s="1"/>
  <c r="BC15" i="1"/>
  <c r="BB15" i="1"/>
  <c r="BA15" i="1"/>
  <c r="AZ15" i="1"/>
  <c r="AY15" i="1"/>
  <c r="AX15" i="1"/>
  <c r="AW15" i="1"/>
  <c r="X15" i="1"/>
  <c r="AF33" i="1" l="1"/>
  <c r="AI33" i="1"/>
  <c r="AF29" i="1"/>
  <c r="AI29" i="1"/>
  <c r="AI14" i="1"/>
  <c r="AI24" i="1"/>
  <c r="AI22" i="1"/>
  <c r="AI21" i="1"/>
  <c r="BV18" i="1"/>
  <c r="BZ18" i="1" s="1"/>
  <c r="BV22" i="1"/>
  <c r="BZ22" i="1" s="1"/>
  <c r="AF25" i="1"/>
  <c r="AI23" i="1"/>
  <c r="AI27" i="1"/>
  <c r="BZ23" i="1"/>
  <c r="AI17" i="1"/>
  <c r="BZ14" i="1"/>
  <c r="AI20" i="1"/>
  <c r="AI18" i="1"/>
  <c r="AI16" i="1"/>
  <c r="AI15" i="1"/>
  <c r="AI26" i="1"/>
  <c r="BE23" i="1"/>
  <c r="BG23" i="1" s="1"/>
  <c r="BE27" i="1"/>
  <c r="BG27" i="1" s="1"/>
  <c r="BZ16" i="1"/>
  <c r="BE21" i="1"/>
  <c r="BG21" i="1" s="1"/>
  <c r="BZ21" i="1"/>
  <c r="BE25" i="1"/>
  <c r="BG25" i="1" s="1"/>
  <c r="BZ26" i="1"/>
  <c r="BZ27" i="1"/>
  <c r="BZ24" i="1"/>
  <c r="BZ25" i="1"/>
  <c r="BD14" i="1"/>
  <c r="BF14" i="1" s="1"/>
  <c r="BE14" i="1"/>
  <c r="BG14" i="1" s="1"/>
  <c r="BE17" i="1"/>
  <c r="BG17" i="1" s="1"/>
  <c r="BE18" i="1"/>
  <c r="BG18" i="1" s="1"/>
  <c r="BZ20" i="1"/>
  <c r="BZ15" i="1"/>
  <c r="BZ17" i="1"/>
  <c r="BD16" i="1"/>
  <c r="BF16" i="1" s="1"/>
  <c r="BE26" i="1"/>
  <c r="BG26" i="1" s="1"/>
  <c r="BE24" i="1"/>
  <c r="BG24" i="1" s="1"/>
  <c r="BE22" i="1"/>
  <c r="BG22" i="1" s="1"/>
  <c r="BE20" i="1"/>
  <c r="BG20" i="1" s="1"/>
  <c r="BD26" i="1"/>
  <c r="BF26" i="1" s="1"/>
  <c r="BD23" i="1"/>
  <c r="BF23" i="1" s="1"/>
  <c r="BD21" i="1"/>
  <c r="BF21" i="1" s="1"/>
  <c r="BD20" i="1"/>
  <c r="BF20" i="1" s="1"/>
  <c r="BD18" i="1"/>
  <c r="BF18" i="1" s="1"/>
  <c r="BE16" i="1"/>
  <c r="BG16" i="1" s="1"/>
  <c r="BD27" i="1"/>
  <c r="BF27" i="1" s="1"/>
  <c r="BD25" i="1"/>
  <c r="BF25" i="1" s="1"/>
  <c r="BD24" i="1"/>
  <c r="BF24" i="1" s="1"/>
  <c r="BD22" i="1"/>
  <c r="BF22" i="1" s="1"/>
  <c r="BD17" i="1"/>
  <c r="BF17" i="1" s="1"/>
  <c r="BE15" i="1"/>
  <c r="BG15" i="1" s="1"/>
  <c r="BD15" i="1"/>
  <c r="BF15" i="1" s="1"/>
  <c r="N27" i="2" l="1"/>
  <c r="BW4" i="1"/>
  <c r="BU4" i="1"/>
  <c r="BT4" i="1"/>
  <c r="BC4" i="1"/>
  <c r="BB4" i="1"/>
  <c r="BA4" i="1"/>
  <c r="AZ4" i="1"/>
  <c r="AY4" i="1"/>
  <c r="AX4" i="1"/>
  <c r="AW4" i="1"/>
  <c r="AT4" i="1"/>
  <c r="X4" i="1"/>
  <c r="Q4" i="1"/>
  <c r="BC19" i="1"/>
  <c r="BB19" i="1"/>
  <c r="AI19" i="1"/>
  <c r="BW19" i="1"/>
  <c r="BU19" i="1"/>
  <c r="BV19" i="1" s="1"/>
  <c r="BT19" i="1"/>
  <c r="BA19" i="1"/>
  <c r="AZ19" i="1"/>
  <c r="AY19" i="1"/>
  <c r="AX19" i="1"/>
  <c r="AW19" i="1"/>
  <c r="AT19" i="1"/>
  <c r="X19" i="1"/>
  <c r="N26" i="2"/>
  <c r="BC2" i="1"/>
  <c r="BB2" i="1"/>
  <c r="BA2" i="1"/>
  <c r="AZ2" i="1"/>
  <c r="AY2" i="1"/>
  <c r="AX2" i="1"/>
  <c r="BW2" i="1"/>
  <c r="BU2" i="1"/>
  <c r="BV2" i="1" s="1"/>
  <c r="BT2" i="1"/>
  <c r="AW2" i="1"/>
  <c r="AT2" i="1"/>
  <c r="AG2" i="1"/>
  <c r="X2" i="1"/>
  <c r="AI2" i="1" l="1"/>
  <c r="AF2" i="1"/>
  <c r="BE4" i="1"/>
  <c r="BG4" i="1" s="1"/>
  <c r="BE19" i="1"/>
  <c r="BG19" i="1" s="1"/>
  <c r="BD4" i="1"/>
  <c r="BF4" i="1" s="1"/>
  <c r="S4" i="1"/>
  <c r="AI4" i="1"/>
  <c r="BD19" i="1"/>
  <c r="BF19" i="1" s="1"/>
  <c r="BZ19" i="1"/>
  <c r="BE2" i="1"/>
  <c r="BG2" i="1" s="1"/>
  <c r="BZ2" i="1"/>
  <c r="BD2" i="1"/>
  <c r="BF2" i="1" s="1"/>
  <c r="BT32" i="1" l="1"/>
  <c r="BC32" i="1"/>
  <c r="BB32" i="1"/>
  <c r="BW32" i="1"/>
  <c r="BU32" i="1"/>
  <c r="BV32" i="1" s="1"/>
  <c r="BA32" i="1"/>
  <c r="AZ32" i="1"/>
  <c r="AY32" i="1"/>
  <c r="AX32" i="1"/>
  <c r="AW32" i="1"/>
  <c r="AT32" i="1"/>
  <c r="X32" i="1"/>
  <c r="Q32" i="1"/>
  <c r="S32" i="1" s="1"/>
  <c r="T33" i="1"/>
  <c r="X33" i="1" s="1"/>
  <c r="BW33" i="1"/>
  <c r="BU33" i="1"/>
  <c r="BV33" i="1" s="1"/>
  <c r="BT33" i="1"/>
  <c r="BA33" i="1"/>
  <c r="AZ33" i="1"/>
  <c r="AY33" i="1"/>
  <c r="AX33" i="1"/>
  <c r="AW33" i="1"/>
  <c r="AT33" i="1"/>
  <c r="BD33" i="1" l="1"/>
  <c r="BE33" i="1"/>
  <c r="BD32" i="1"/>
  <c r="BF32" i="1" s="1"/>
  <c r="BE32" i="1"/>
  <c r="BG32" i="1" s="1"/>
  <c r="AI32" i="1"/>
  <c r="BZ32" i="1"/>
  <c r="BG33" i="1"/>
  <c r="BZ33" i="1"/>
  <c r="BF33" i="1"/>
  <c r="X28" i="1" l="1"/>
  <c r="AT28" i="1"/>
  <c r="AV28" i="1"/>
  <c r="AW28" i="1"/>
  <c r="AX28" i="1"/>
  <c r="AY28" i="1"/>
  <c r="AZ28" i="1"/>
  <c r="BA28" i="1"/>
  <c r="BB28" i="1"/>
  <c r="BC28" i="1"/>
  <c r="BT28" i="1"/>
  <c r="BU28" i="1"/>
  <c r="BV28" i="1" s="1"/>
  <c r="BW28" i="1"/>
  <c r="BZ28" i="1" l="1"/>
  <c r="BE28" i="1"/>
  <c r="BG28" i="1" s="1"/>
  <c r="BD28" i="1"/>
  <c r="BF28" i="1" s="1"/>
  <c r="AI28" i="1"/>
  <c r="N25" i="2" l="1"/>
  <c r="N24" i="2" l="1"/>
  <c r="N23" i="2" l="1"/>
  <c r="N22" i="2" l="1"/>
  <c r="N21" i="2"/>
  <c r="N20" i="2"/>
  <c r="N19" i="2" l="1"/>
  <c r="N18" i="2" l="1"/>
  <c r="AZ29"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BW29" i="1"/>
  <c r="BU29" i="1"/>
  <c r="BV29" i="1" s="1"/>
  <c r="BV6" i="1" l="1"/>
  <c r="BZ6" i="1" s="1"/>
  <c r="BV3" i="1"/>
  <c r="BZ3" i="1" s="1"/>
  <c r="BV9" i="1"/>
  <c r="BZ9" i="1" s="1"/>
  <c r="BV5" i="1"/>
  <c r="BZ5" i="1" s="1"/>
  <c r="BV8" i="1"/>
  <c r="BZ8" i="1" s="1"/>
  <c r="BV10" i="1"/>
  <c r="BZ10" i="1" s="1"/>
  <c r="BV7" i="1"/>
  <c r="BZ7" i="1" s="1"/>
  <c r="BV4" i="1"/>
  <c r="BZ4" i="1" s="1"/>
  <c r="BZ29" i="1"/>
  <c r="AV29" i="1" l="1"/>
  <c r="AT29" i="1" l="1"/>
  <c r="BC29" i="1" l="1"/>
  <c r="BA29" i="1"/>
  <c r="AW29" i="1"/>
  <c r="AX29" i="1"/>
  <c r="AY29" i="1"/>
  <c r="BB29" i="1"/>
  <c r="BD29" i="1" l="1"/>
  <c r="BF29" i="1" s="1"/>
  <c r="BE29" i="1"/>
  <c r="BG29"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X29" i="1" l="1"/>
  <c r="B4" i="4" l="1"/>
  <c r="B5" i="4"/>
  <c r="B6" i="4"/>
  <c r="B7" i="4"/>
  <c r="B8" i="4"/>
  <c r="B9" i="4"/>
  <c r="B10" i="4"/>
  <c r="B11" i="4"/>
  <c r="B3" i="4"/>
  <c r="BT29"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<sst xmlns="http://schemas.openxmlformats.org/spreadsheetml/2006/main" count="601" uniqueCount="354">
  <si>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</si>
  <si>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</si>
  <si>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</si>
  <si>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</si>
  <si>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</si>
  <si>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</si>
  <si>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</si>
  <si>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</si>
  <si>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</si>
  <si>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</si>
  <si>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</si>
  <si>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</si>
  <si>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</si>
  <si>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</si>
  <si>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</si>
  <si>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</si>
  <si>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</si>
  <si>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</si>
  <si>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</si>
  <si>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</si>
  <si>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</si>
  <si>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</si>
  <si>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</si>
  <si>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</si>
  <si>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</si>
  <si>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</si>
  <si>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</si>
  <si>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</si>
  <si>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</si>
  <si>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</si>
  <si>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</si>
  <si>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</si>
  <si>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</si>
  <si>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</si>
  <si>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</si>
  <si>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</si>
  <si>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</si>
  <si>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</si>
  <si>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</si>
  <si>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</si>
  <si>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</si>
  <si>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</si>
  <si>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</si>
  <si>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</si>
  <si>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</si>
  <si>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</si>
  <si>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</si>
  <si>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</si>
  <si>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</si>
  <si>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</si>
  <si>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</si>
  <si>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</si>
  <si>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</si>
  <si>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</si>
  <si>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</si>
  <si>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</si>
  <si>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</si>
  <si>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</si>
  <si>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</si>
  <si>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</si>
  <si>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</si>
  <si>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</si>
  <si>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</si>
  <si>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</si>
  <si>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</si>
  <si>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</si>
  <si>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</si>
  <si>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</si>
  <si>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</si>
  <si>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</si>
  <si>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</si>
  <si>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</si>
  <si>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</si>
  <si>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</si>
  <si>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</si>
  <si>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</si>
  <si>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</si>
  <si>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</si>
  <si>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</si>
  <si>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</si>
  <si>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</si>
  <si>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</si>
  <si>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</si>
  <si>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</si>
  <si>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</si>
  <si>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</si>
  <si>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</si>
  <si>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</si>
  <si>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</si>
  <si>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</si>
  <si>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</si>
  <si>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</si>
  <si>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</si>
  <si>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</si>
  <si>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</si>
  <si>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</si>
  <si>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</si>
  <si>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</si>
  <si>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</si>
  <si>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</si>
  <si>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</si>
  <si>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</si>
  <si>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</si>
  <si>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</si>
  <si>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</si>
  <si>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</si>
  <si>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</si>
  <si>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</si>
  <si>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</si>
  <si>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</si>
  <si>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</si>
  <si>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</si>
  <si>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</si>
  <si>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</si>
  <si>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</si>
  <si>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</si>
  <si>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</si>
  <si>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</si>
  <si>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</si>
  <si>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</si>
  <si>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</si>
  <si>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</si>
  <si>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</si>
  <si>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</si>
  <si>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</si>
  <si>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</si>
  <si>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</si>
  <si>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</si>
  <si>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</si>
  <si>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</si>
  <si>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</si>
  <si>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</si>
  <si>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</si>
  <si>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</si>
  <si>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</si>
  <si>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</si>
  <si>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4,2,4</t>
  </si>
  <si>
    <t>2,1,2</t>
  </si>
  <si>
    <t>4,3,4</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</si>
  <si>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</si>
  <si>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</si>
  <si>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</si>
  <si>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</si>
  <si>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</si>
  <si>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</si>
  <si>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</si>
  <si>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</si>
  <si>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</si>
  <si>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</si>
  <si>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</si>
  <si>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</si>
  <si>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</si>
  <si>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</si>
  <si>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</si>
  <si>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</si>
  <si>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</si>
  <si>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</si>
  <si>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</si>
  <si>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</si>
  <si>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</si>
  <si>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</si>
  <si>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</si>
  <si>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</si>
  <si>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</si>
  <si>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</si>
  <si>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</si>
  <si>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</si>
  <si>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</si>
  <si>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</si>
  <si>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</si>
  <si>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</si>
  <si>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</si>
  <si>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</si>
  <si>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</si>
  <si>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</si>
  <si>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</si>
  <si>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</si>
  <si>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</si>
  <si>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</si>
  <si>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</si>
  <si>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</si>
  <si>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</si>
  <si>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</si>
  <si>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</si>
  <si>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</si>
  <si>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</si>
  <si>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</si>
  <si>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</si>
  <si>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</si>
  <si>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</si>
  <si>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</si>
  <si>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</si>
  <si>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</si>
  <si>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</si>
  <si>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</si>
  <si>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</si>
  <si>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</si>
  <si>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</si>
  <si>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</si>
  <si>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</si>
  <si>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</si>
  <si>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</si>
  <si>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</si>
  <si>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</si>
  <si>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</si>
  <si>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</si>
  <si>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</si>
  <si>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</si>
  <si>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</si>
  <si>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</si>
  <si>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</si>
  <si>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</si>
  <si>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</si>
  <si>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</si>
  <si>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</si>
  <si>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</si>
  <si>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</si>
  <si>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</si>
  <si>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</si>
  <si>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</si>
  <si>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</si>
  <si>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</si>
  <si>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</si>
  <si>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</si>
  <si>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</si>
  <si>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</si>
  <si>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</si>
  <si>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</si>
  <si>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</si>
  <si>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</si>
  <si>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</si>
  <si>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</si>
  <si>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</si>
  <si>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</si>
  <si>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</si>
  <si>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</si>
  <si>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</si>
  <si>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</si>
  <si>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</si>
  <si>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</si>
  <si>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</si>
  <si>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</si>
  <si>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</si>
  <si>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</si>
  <si>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</si>
  <si>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</si>
  <si>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</si>
  <si>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</si>
  <si>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</si>
  <si>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</si>
  <si>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</si>
  <si>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</si>
  <si>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</si>
  <si>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</si>
  <si>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</si>
  <si>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</si>
  <si>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</si>
  <si>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</si>
  <si>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</si>
  <si>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</si>
  <si>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</si>
  <si>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</si>
  <si>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</si>
  <si>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</si>
  <si>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</si>
  <si>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</si>
  <si>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</si>
  <si>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</si>
  <si>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</si>
  <si>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</si>
  <si>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</si>
  <si>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</si>
  <si>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</si>
  <si>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</si>
  <si>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</si>
  <si>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</si>
  <si>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</si>
  <si>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</si>
  <si>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</si>
  <si>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</si>
  <si>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</si>
  <si>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</si>
  <si>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</si>
  <si>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</si>
  <si>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</si>
  <si>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</si>
  <si>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</si>
  <si>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</si>
  <si>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</si>
  <si>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</si>
  <si>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</si>
  <si>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</si>
  <si>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</si>
  <si>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</si>
  <si>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</si>
  <si>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</si>
  <si>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</si>
  <si>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</si>
  <si>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</si>
  <si>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</si>
  <si>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</si>
  <si>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</si>
  <si>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</si>
  <si>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</si>
  <si>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</si>
  <si>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</si>
  <si>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</si>
  <si>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</si>
  <si>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</si>
  <si>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</si>
  <si>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</si>
  <si>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</si>
  <si>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</si>
  <si>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</si>
  <si>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</si>
  <si>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</si>
  <si>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</si>
  <si>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</si>
  <si>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</si>
  <si>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SR 4CC Double Decker</t>
  </si>
  <si>
    <t>sr_4cc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</si>
  <si>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</si>
  <si>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</si>
  <si>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</si>
  <si>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</si>
  <si>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</si>
  <si>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</si>
  <si>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</si>
  <si>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</si>
  <si>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</si>
  <si>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</si>
  <si>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</si>
  <si>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</si>
  <si>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</si>
  <si>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</si>
  <si>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</si>
  <si>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</si>
  <si>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</si>
  <si>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</si>
  <si>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</si>
  <si>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</si>
  <si>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</si>
  <si>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</si>
  <si>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152x42x0</t>
  </si>
  <si>
    <t>198x0x0</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</si>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</sst>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5">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64" fontId="0" fillId="0" borderId="0" xfId="0" applyNumberFormat="1"/>
    <xf numFmtId="1" fontId="0" fillId="2" borderId="1" xfId="0" applyNumberFormat="1"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7"/>
  <sheetViews>
    <sheetView tabSelected="1" workbookViewId="0">
      <pane xSplit="1" ySplit="1" topLeftCell="B23" activePane="bottomRight" state="frozenSplit"/>
      <selection pane="topRight" activeCell="B1" sqref="B1"/>
      <selection pane="bottomLeft" activeCell="A2" sqref="A2"/>
      <selection pane="bottomRight" activeCell="E32" sqref="E32"/>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8"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8"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0"/>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2"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v>
      </c>
      <c r="B1" s="1" t="s">
        <v>2</v>
      </c>
      <c r="C1" s="1" t="s">
        <v>143</v>
      </c>
      <c r="D1" s="1" t="s">
        <v>0</v>
      </c>
      <c r="E1" s="1" t="s">
        <v>24</v>
      </c>
      <c r="F1" s="1" t="s">
        <v>27</v>
      </c>
      <c r="G1" s="1" t="s">
        <v>4</v>
      </c>
      <c r="H1" s="1" t="s">
        <v>5</v>
      </c>
      <c r="I1" s="1" t="s">
        <v>6</v>
      </c>
      <c r="J1" s="1" t="s">
        <v>7</v>
      </c>
      <c r="K1" s="1" t="s">
        <v>8</v>
      </c>
      <c r="L1" s="7" t="s">
        <v>101</v>
      </c>
      <c r="M1" s="5" t="s">
        <v>88</v>
      </c>
      <c r="N1" s="5" t="s">
        <v>85</v>
      </c>
      <c r="O1" s="5" t="s">
        <v>86</v>
      </c>
      <c r="P1" s="5" t="s">
        <v>83</v>
      </c>
      <c r="Q1" s="5" t="s">
        <v>84</v>
      </c>
      <c r="R1" s="5" t="s">
        <v>89</v>
      </c>
      <c r="S1" s="5" t="s">
        <v>87</v>
      </c>
      <c r="T1" s="1" t="s">
        <v>9</v>
      </c>
      <c r="U1" s="7" t="s">
        <v>10</v>
      </c>
      <c r="V1" s="1" t="s">
        <v>29</v>
      </c>
      <c r="W1" s="1" t="s">
        <v>11</v>
      </c>
      <c r="X1" s="3" t="s">
        <v>21</v>
      </c>
      <c r="Y1" s="1" t="s">
        <v>12</v>
      </c>
      <c r="Z1" s="1" t="s">
        <v>91</v>
      </c>
      <c r="AA1" s="1" t="s">
        <v>13</v>
      </c>
      <c r="AB1" s="1" t="s">
        <v>35</v>
      </c>
      <c r="AC1" s="1" t="s">
        <v>16</v>
      </c>
      <c r="AD1" s="1" t="s">
        <v>14</v>
      </c>
      <c r="AE1" s="9" t="s">
        <v>20</v>
      </c>
      <c r="AF1" s="1" t="s">
        <v>3</v>
      </c>
      <c r="AG1" s="1" t="s">
        <v>22</v>
      </c>
      <c r="AH1" s="1" t="s">
        <v>36</v>
      </c>
      <c r="AI1" s="1" t="s">
        <v>17</v>
      </c>
      <c r="AJ1" s="1" t="s">
        <v>214</v>
      </c>
      <c r="AK1" s="11" t="s">
        <v>118</v>
      </c>
      <c r="AL1" s="11" t="s">
        <v>205</v>
      </c>
      <c r="AM1" s="1" t="s">
        <v>95</v>
      </c>
      <c r="AN1" s="1" t="s">
        <v>103</v>
      </c>
      <c r="AO1" s="1" t="s">
        <v>96</v>
      </c>
      <c r="AP1" s="1" t="s">
        <v>98</v>
      </c>
      <c r="AQ1" s="1" t="s">
        <v>23</v>
      </c>
      <c r="AR1" s="1" t="s">
        <v>175</v>
      </c>
      <c r="AS1" s="1" t="s">
        <v>147</v>
      </c>
      <c r="AT1" s="1" t="s">
        <v>167</v>
      </c>
      <c r="AU1" s="1" t="s">
        <v>148</v>
      </c>
      <c r="AV1" s="1" t="s">
        <v>165</v>
      </c>
      <c r="AW1" s="1" t="s">
        <v>149</v>
      </c>
      <c r="AX1" s="1" t="s">
        <v>150</v>
      </c>
      <c r="AY1" s="1" t="s">
        <v>151</v>
      </c>
      <c r="AZ1" s="1" t="s">
        <v>154</v>
      </c>
      <c r="BA1" s="1" t="s">
        <v>160</v>
      </c>
      <c r="BB1" s="1" t="s">
        <v>155</v>
      </c>
      <c r="BC1" s="1" t="s">
        <v>159</v>
      </c>
      <c r="BD1" s="1" t="s">
        <v>30</v>
      </c>
      <c r="BE1" s="1" t="s">
        <v>31</v>
      </c>
      <c r="BF1" s="1" t="s">
        <v>176</v>
      </c>
      <c r="BG1" s="1" t="s">
        <v>177</v>
      </c>
      <c r="BH1" s="1" t="s">
        <v>44</v>
      </c>
      <c r="BI1" s="1" t="s">
        <v>104</v>
      </c>
      <c r="BJ1" s="1" t="s">
        <v>110</v>
      </c>
      <c r="BK1" s="1" t="s">
        <v>166</v>
      </c>
      <c r="BL1" s="1" t="s">
        <v>169</v>
      </c>
      <c r="BM1" s="1" t="s">
        <v>170</v>
      </c>
      <c r="BN1" s="1" t="s">
        <v>173</v>
      </c>
      <c r="BO1" s="1" t="s">
        <v>174</v>
      </c>
      <c r="BP1" s="1" t="s">
        <v>146</v>
      </c>
      <c r="BQ1" s="1" t="s">
        <v>33</v>
      </c>
      <c r="BR1" s="1" t="s">
        <v>58</v>
      </c>
      <c r="BS1" s="1" t="s">
        <v>79</v>
      </c>
      <c r="BT1" s="1" t="s">
        <v>81</v>
      </c>
      <c r="BU1" s="1" t="s">
        <v>184</v>
      </c>
      <c r="BV1" s="1" t="s">
        <v>178</v>
      </c>
      <c r="BW1" s="1" t="s">
        <v>171</v>
      </c>
      <c r="BX1" s="1" t="s">
        <v>168</v>
      </c>
      <c r="BY1" s="1" t="s">
        <v>172</v>
      </c>
      <c r="BZ1" s="1" t="s">
        <v>82</v>
      </c>
    </row>
    <row r="2" spans="1:78" x14ac:dyDescent="0.25">
      <c r="A2" t="s">
        <v>244</v>
      </c>
      <c r="B2" t="s">
        <v>243</v>
      </c>
      <c r="C2">
        <v>1</v>
      </c>
      <c r="D2" t="s">
        <v>221</v>
      </c>
      <c r="E2" t="s">
        <v>221</v>
      </c>
      <c r="F2" t="s">
        <v>345</v>
      </c>
      <c r="G2">
        <v>1800</v>
      </c>
      <c r="I2">
        <v>1880</v>
      </c>
      <c r="K2">
        <v>5</v>
      </c>
      <c r="Q2" s="14"/>
      <c r="T2">
        <v>1</v>
      </c>
      <c r="W2">
        <v>4</v>
      </c>
      <c r="X2" s="4">
        <f t="shared" ref="X2" si="0">IF(AND(T2&gt;0,W2&gt;0),(W2/((T2+U2)*10)),"")</f>
        <v>0.4</v>
      </c>
      <c r="Y2">
        <v>15</v>
      </c>
      <c r="AB2">
        <v>6</v>
      </c>
      <c r="AE2" s="10">
        <v>0</v>
      </c>
      <c r="AF2" t="str">
        <f>CONCATENATE(VLOOKUP(AG2, 'Voxel Sizes'!$A$2:$B$18,2,FALSE),"x",INT(AC2*15), "x", INT(AD2*15))</f>
        <v>66x0x0</v>
      </c>
      <c r="AG2">
        <f t="shared" ref="AG2:AG34" si="1">ROUND(15*((AB2*10)/256),0)</f>
        <v>4</v>
      </c>
      <c r="AI2" t="str">
        <f>CONCATENATE(VLOOKUP(AG2,Constants!$A$2:$C$16,IF(AH2&lt;&gt;"", 3, 2), FALSE),IF(AH2&lt;&gt;"",CONCATENATE(",",VLOOKUP(AH2,$B:$AI,34,FALSE)),""))</f>
        <v>1,2,1</v>
      </c>
      <c r="AQ2">
        <v>1</v>
      </c>
      <c r="AS2">
        <v>14</v>
      </c>
      <c r="AT2">
        <f t="shared" ref="AT2" si="2">IF(I2&lt;&gt;"",MAX(8,(I2-G2)-4),"")</f>
        <v>76</v>
      </c>
      <c r="AU2">
        <v>-10</v>
      </c>
      <c r="AV2">
        <v>-3</v>
      </c>
      <c r="AW2">
        <f t="shared" ref="AW2" si="3">MIN(Y2/150, 1)*30</f>
        <v>3</v>
      </c>
      <c r="AX2">
        <f t="shared" ref="AX2" si="4">MIN(K2/4000, 1)*20</f>
        <v>2.5000000000000001E-2</v>
      </c>
      <c r="AY2">
        <f t="shared" ref="AY2" si="5">MIN(W2/400,1)*20</f>
        <v>0.2</v>
      </c>
      <c r="AZ2" s="4">
        <f t="shared" ref="AZ2" si="6">1-(MAX(G2-1900, 0)/750)</f>
        <v>1</v>
      </c>
      <c r="BA2">
        <f t="shared" ref="BA2" si="7">((MAX($J2,1)*MIN($AE2/300,1)))*IF(D2="Wagon",50,10)</f>
        <v>0</v>
      </c>
      <c r="BB2">
        <f>VLOOKUP($E2,Constants!$I:$K, 2, FALSE)</f>
        <v>0.5</v>
      </c>
      <c r="BC2">
        <f>VLOOKUP($E2,Constants!$I:$K, 3, FALSE)*IF(AND(D2="multiple_unit",Y2&lt;110),0.75,1)</f>
        <v>0.5</v>
      </c>
      <c r="BD2">
        <f>INT(POWER(((Constants!$G$2+$AW2+$AX2+$AY2+$BA2)*$AZ2)*$BC2, 1.05))+$AV2</f>
        <v>1</v>
      </c>
      <c r="BE2">
        <f>INT(POWER((((Constants!$G$1+$AW2+$AX2+$AY2+$BA2)*($AZ2))*$BB2),IF($D2="wagon",1,1.2)))+$AU2</f>
        <v>4</v>
      </c>
      <c r="BF2" s="13">
        <f t="shared" ref="BF2" si="8">BD2*IF($D2="wagon",62.5,781.25)</f>
        <v>781.25</v>
      </c>
      <c r="BG2" s="13">
        <f t="shared" ref="BG2:BG34" si="9">BE2*IF($D2="wagon",2.73,81.25)</f>
        <v>325</v>
      </c>
      <c r="BN2">
        <v>1</v>
      </c>
      <c r="BR2" t="str">
        <f>VLOOKUP(G2,Eras!$A$2:$C$10, 2, TRUE)</f>
        <v>early</v>
      </c>
      <c r="BS2" t="s">
        <v>62</v>
      </c>
      <c r="BT2" t="str">
        <f t="shared" ref="BT2" si="10">CONCATENATE(BR2,"_",BS2)</f>
        <v>early_Mixed Traffic</v>
      </c>
      <c r="BU2" t="str">
        <f t="shared" ref="BU2" si="11">_xlfn.CONCAT(E2, "_",F2)</f>
        <v>horses_NARROW_GAUGE</v>
      </c>
      <c r="BV2" t="str">
        <f>VLOOKUP($BU2, Constants!$M:$N, 2, FALSE)</f>
        <v>{BLACK}Powered by: {GOLD}Grass and hay</v>
      </c>
      <c r="BW2" t="str">
        <f t="shared" ref="BW2" si="12">IF(J2&gt;1,_xlfn.CONCAT("{BLACK}Cars: {GOLD}", J2),"")</f>
        <v/>
      </c>
      <c r="BX2" t="s">
        <v>245</v>
      </c>
      <c r="BY2" t="str">
        <f t="shared" ref="BY2:BY34" si="13">IF(BQ2="BRAKE","{YELLOW}Speed bonus for slow wagons{}",IF(BP2="NGPassengers", "{YELLOW}Preserved railway bonus: passengers pay more when hauled by old locomotives{}", IF(BO2&gt;190,CONCATENATE("{YELLOW}",INT((BO2-185)/1.85),"% Bonus for long distance travel{}"),IF(AND(BO2&lt;180,BO2&lt;&gt;0),CONCATENATE("{YELLOW}",INT((185-BO2)/1.85),"% Penalty for long distance travel{}"),""))))</f>
        <v/>
      </c>
      <c r="BZ2" t="str">
        <f t="shared" ref="BZ2" si="14">_xlfn.CONCAT(BV2,IF(BV2 &lt;&gt; "", " ", ""),BW2,IF(OR(BW2&lt;&gt;"", BV2&lt;&gt;""), "{}",""), BY2,"{SILVER}", BX2)</f>
        <v>{BLACK}Powered by: {GOLD}Grass and hay {}{SILVER}A smaller horse for a smaller railway.</v>
      </c>
    </row>
    <row r="3" spans="1:78" x14ac:dyDescent="0.25">
      <c r="A3" t="s">
        <v>322</v>
      </c>
      <c r="B3" t="s">
        <v>323</v>
      </c>
      <c r="C3">
        <v>2</v>
      </c>
      <c r="D3" t="s">
        <v>15</v>
      </c>
      <c r="E3" t="s">
        <v>25</v>
      </c>
      <c r="F3" t="s">
        <v>345</v>
      </c>
      <c r="G3">
        <v>1802</v>
      </c>
      <c r="I3">
        <v>1830</v>
      </c>
      <c r="K3">
        <v>10</v>
      </c>
      <c r="M3" s="6">
        <v>8.6</v>
      </c>
      <c r="N3" s="6">
        <v>16</v>
      </c>
      <c r="O3" s="6">
        <v>1</v>
      </c>
      <c r="P3" s="6">
        <v>160</v>
      </c>
      <c r="Q3" s="14">
        <f t="shared" ref="Q3:Q13" si="15">((($Y3/2)/60)*5280)/($R3*3.2*PI())</f>
        <v>87.535218700542444</v>
      </c>
      <c r="R3" s="6">
        <v>0.7</v>
      </c>
      <c r="S3" s="6">
        <f t="shared" ref="S3:S13" si="16">((($M3*$M3/4)*PI())*($N3/12)*$O3*$P3*$Q3)/(33000*1.1)</f>
        <v>29.882828282828278</v>
      </c>
      <c r="T3">
        <v>5</v>
      </c>
      <c r="V3">
        <v>5</v>
      </c>
      <c r="W3">
        <v>8</v>
      </c>
      <c r="X3" s="4">
        <f t="shared" ref="X3:X13" si="17">IF(AND(T3&gt;0,W3&gt;0),(W3/((T3+U3)*10)),"")</f>
        <v>0.16</v>
      </c>
      <c r="Y3">
        <v>14</v>
      </c>
      <c r="AA3">
        <v>5.5</v>
      </c>
      <c r="AB3">
        <v>6</v>
      </c>
      <c r="AE3" s="10">
        <v>0</v>
      </c>
      <c r="AF3" t="str">
        <f>CONCATENATE(VLOOKUP(AG3, 'Voxel Sizes'!$A$2:$B$18,2,FALSE),"x",INT(AC3*15), "x", INT(AD3*15))</f>
        <v>66x0x0</v>
      </c>
      <c r="AG3">
        <f t="shared" ref="AG3" si="18">ROUND(15*((AB3*10)/256),0)</f>
        <v>4</v>
      </c>
      <c r="AI3" t="str">
        <f>CONCATENATE(VLOOKUP(AG3,Constants!$A$2:$C$16,IF(AH3&lt;&gt;"", 3, 2), FALSE),IF(AH3&lt;&gt;"",CONCATENATE(",",VLOOKUP(AH3,$B:$AI,34,FALSE)),""))</f>
        <v>1,2,1</v>
      </c>
      <c r="AQ3">
        <v>1</v>
      </c>
      <c r="AS3">
        <v>28</v>
      </c>
      <c r="AT3">
        <f t="shared" ref="AT3:AT13" si="19">IF(I3&lt;&gt;"",MAX(8,(I3-G3)-4),"")</f>
        <v>24</v>
      </c>
      <c r="AU3">
        <v>-28</v>
      </c>
      <c r="AV3">
        <v>-12</v>
      </c>
      <c r="AW3">
        <f t="shared" ref="AW3:AW13" si="20">MIN(Y3/150, 1)*30</f>
        <v>2.8000000000000003</v>
      </c>
      <c r="AX3">
        <f t="shared" ref="AX3:AX13" si="21">MIN(K3/4000, 1)*20</f>
        <v>0.05</v>
      </c>
      <c r="AY3">
        <f t="shared" ref="AY3:AY13" si="22">MIN(W3/400,1)*20</f>
        <v>0.4</v>
      </c>
      <c r="AZ3" s="4">
        <f t="shared" ref="AZ3:AZ13" si="23">1-(MAX(G3-1900, 0)/750)</f>
        <v>1</v>
      </c>
      <c r="BA3">
        <f t="shared" ref="BA3:BA13" si="24">((MAX($J3,1)*MIN($AE3/300,1)))*IF(D3="Wagon",50,10)</f>
        <v>0</v>
      </c>
      <c r="BB3">
        <f>VLOOKUP($E3,Constants!$I:$K, 2, FALSE)</f>
        <v>1.1499999999999999</v>
      </c>
      <c r="BC3">
        <f>VLOOKUP($E3,Constants!$I:$K, 3, FALSE)*IF(AND(D3="multiple_unit",Y3&lt;110),0.75,1)</f>
        <v>1.7</v>
      </c>
      <c r="BD3">
        <f>INT(POWER(((Constants!$G$2+$AW3+$AX3+$AY3+$BA3)*$AZ3)*$BC3, 1.05))+$AV3</f>
        <v>4</v>
      </c>
      <c r="BE3">
        <f>INT(POWER((((Constants!$G$1+$AW3+$AX3+$AY3+$BA3)*($AZ3))*$BB3),IF($D3="wagon",1,1.2)))+$AU3</f>
        <v>10</v>
      </c>
      <c r="BF3" s="13">
        <f t="shared" ref="BF3:BF13" si="25">BD3*IF($D3="wagon",62.5,781.25)</f>
        <v>3125</v>
      </c>
      <c r="BG3" s="13">
        <f t="shared" ref="BG3" si="26">BE3*IF($D3="wagon",2.73,81.25)</f>
        <v>812.5</v>
      </c>
      <c r="BN3">
        <v>12</v>
      </c>
      <c r="BR3" t="str">
        <f>VLOOKUP(G3,Eras!$A$2:$C$10, 2, TRUE)</f>
        <v>early</v>
      </c>
      <c r="BS3" t="s">
        <v>61</v>
      </c>
      <c r="BT3" t="str">
        <f t="shared" ref="BT3:BT13" si="27">CONCATENATE(BR3,"_",BS3)</f>
        <v>early_Cheap</v>
      </c>
      <c r="BU3" t="str">
        <f t="shared" ref="BU3:BU13" si="28">_xlfn.CONCAT(E3, "_",F3)</f>
        <v>steam_NARROW_GAUGE</v>
      </c>
      <c r="BV3" t="e">
        <f>VLOOKUP($BU3, Constants!$M:$N, 2, FALSE)</f>
        <v>#N/A</v>
      </c>
      <c r="BW3" t="str">
        <f t="shared" ref="BW3:BW13" si="29">IF(J3&gt;1,_xlfn.CONCAT("{BLACK}Cars: {GOLD}", J3),"")</f>
        <v/>
      </c>
      <c r="BX3" t="s">
        <v>324</v>
      </c>
      <c r="BY3" t="str">
        <f t="shared" ref="BY3" si="30">IF(BQ3="BRAKE","{YELLOW}Speed bonus for slow wagons{}",IF(BP3="NGPassengers", "{YELLOW}Preserved railway bonus: passengers pay more when hauled by old locomotives{}", IF(BO3&gt;190,CONCATENATE("{YELLOW}",INT((BO3-185)/1.85),"% Bonus for long distance travel{}"),IF(AND(BO3&lt;180,BO3&lt;&gt;0),CONCATENATE("{YELLOW}",INT((185-BO3)/1.85),"% Penalty for long distance travel{}"),""))))</f>
        <v/>
      </c>
      <c r="BZ3" t="e">
        <f t="shared" ref="BZ3:BZ13" si="31">_xlfn.CONCAT(BV3,IF(BV3 &lt;&gt; "", " ", ""),BW3,IF(OR(BW3&lt;&gt;"", BV3&lt;&gt;""), "{}",""), BY3,"{SILVER}", BX3)</f>
        <v>#N/A</v>
      </c>
    </row>
    <row r="4" spans="1:78" x14ac:dyDescent="0.25">
      <c r="A4" t="s">
        <v>251</v>
      </c>
      <c r="B4" t="s">
        <v>252</v>
      </c>
      <c r="C4">
        <v>5</v>
      </c>
      <c r="D4" t="s">
        <v>239</v>
      </c>
      <c r="E4" t="s">
        <v>25</v>
      </c>
      <c r="F4" t="s">
        <v>345</v>
      </c>
      <c r="G4">
        <v>1864</v>
      </c>
      <c r="I4">
        <v>1945</v>
      </c>
      <c r="K4">
        <v>110</v>
      </c>
      <c r="M4" s="6">
        <v>8.6</v>
      </c>
      <c r="N4" s="6">
        <v>16</v>
      </c>
      <c r="O4" s="6">
        <v>2</v>
      </c>
      <c r="P4" s="6">
        <v>160</v>
      </c>
      <c r="Q4" s="14">
        <f t="shared" si="15"/>
        <v>156.31289053668294</v>
      </c>
      <c r="R4" s="6">
        <v>0.7</v>
      </c>
      <c r="S4" s="6">
        <f t="shared" si="16"/>
        <v>106.72438672438672</v>
      </c>
      <c r="T4">
        <v>13</v>
      </c>
      <c r="V4">
        <v>5</v>
      </c>
      <c r="W4">
        <v>26</v>
      </c>
      <c r="X4" s="4">
        <f t="shared" si="17"/>
        <v>0.2</v>
      </c>
      <c r="Y4">
        <v>25</v>
      </c>
      <c r="AA4">
        <v>5.5</v>
      </c>
      <c r="AB4">
        <v>6</v>
      </c>
      <c r="AE4" s="10">
        <v>0</v>
      </c>
      <c r="AF4" t="str">
        <f>CONCATENATE(VLOOKUP(AG4, 'Voxel Sizes'!$A$2:$B$18,2,FALSE),"x",INT(AC4*15), "x", INT(AD4*15))</f>
        <v>66x0x0</v>
      </c>
      <c r="AG4">
        <f t="shared" si="1"/>
        <v>4</v>
      </c>
      <c r="AI4" t="str">
        <f>CONCATENATE(VLOOKUP(AG4,Constants!$A$2:$C$16,IF(AH4&lt;&gt;"", 3, 2), FALSE),IF(AH4&lt;&gt;"",CONCATENATE(",",VLOOKUP(AH4,$B:$AI,34,FALSE)),""))</f>
        <v>1,2,1</v>
      </c>
      <c r="AQ4">
        <v>1</v>
      </c>
      <c r="AS4">
        <v>250</v>
      </c>
      <c r="AT4">
        <f t="shared" si="19"/>
        <v>77</v>
      </c>
      <c r="AU4">
        <v>-5</v>
      </c>
      <c r="AV4">
        <v>-2</v>
      </c>
      <c r="AW4">
        <f t="shared" si="20"/>
        <v>5</v>
      </c>
      <c r="AX4">
        <f t="shared" si="21"/>
        <v>0.55000000000000004</v>
      </c>
      <c r="AY4">
        <f t="shared" si="22"/>
        <v>1.3</v>
      </c>
      <c r="AZ4" s="4">
        <f t="shared" si="23"/>
        <v>1</v>
      </c>
      <c r="BA4">
        <f t="shared" si="24"/>
        <v>0</v>
      </c>
      <c r="BB4">
        <f>VLOOKUP($E4,Constants!$I:$K, 2, FALSE)</f>
        <v>1.1499999999999999</v>
      </c>
      <c r="BC4">
        <f>VLOOKUP($E4,Constants!$I:$K, 3, FALSE)*IF(AND(D4="multiple_unit",Y4&lt;110),0.75,1)</f>
        <v>1.7</v>
      </c>
      <c r="BD4">
        <f>INT(POWER(((Constants!$G$2+$AW4+$AX4+$AY4+$BA4)*$AZ4)*$BC4, 1.05))+$AV4</f>
        <v>21</v>
      </c>
      <c r="BE4">
        <f>INT(POWER((((Constants!$G$1+$AW4+$AX4+$AY4+$BA4)*($AZ4))*$BB4),IF($D4="wagon",1,1.2)))+$AU4</f>
        <v>42</v>
      </c>
      <c r="BF4" s="13">
        <f t="shared" si="25"/>
        <v>16406.25</v>
      </c>
      <c r="BG4" s="13">
        <f t="shared" si="9"/>
        <v>3412.5</v>
      </c>
      <c r="BN4">
        <v>12</v>
      </c>
      <c r="BR4" t="str">
        <f>VLOOKUP(G4,Eras!$A$2:$C$10, 2, TRUE)</f>
        <v>vct</v>
      </c>
      <c r="BS4" t="s">
        <v>61</v>
      </c>
      <c r="BT4" t="str">
        <f t="shared" si="27"/>
        <v>vct_Cheap</v>
      </c>
      <c r="BU4" t="str">
        <f t="shared" si="28"/>
        <v>steam_NARROW_GAUGE</v>
      </c>
      <c r="BV4" t="e">
        <f>VLOOKUP($BU4, Constants!$M:$N, 2, FALSE)</f>
        <v>#N/A</v>
      </c>
      <c r="BW4" t="str">
        <f t="shared" si="29"/>
        <v/>
      </c>
      <c r="BX4" t="s">
        <v>253</v>
      </c>
      <c r="BY4" t="str">
        <f t="shared" si="13"/>
        <v/>
      </c>
      <c r="BZ4" t="e">
        <f t="shared" si="31"/>
        <v>#N/A</v>
      </c>
    </row>
    <row r="5" spans="1:78" x14ac:dyDescent="0.25">
      <c r="A5" t="s">
        <v>300</v>
      </c>
      <c r="B5" t="s">
        <v>301</v>
      </c>
      <c r="C5">
        <v>10</v>
      </c>
      <c r="D5" t="s">
        <v>239</v>
      </c>
      <c r="E5" t="s">
        <v>25</v>
      </c>
      <c r="F5" t="s">
        <v>345</v>
      </c>
      <c r="G5">
        <v>1866</v>
      </c>
      <c r="I5">
        <v>1945</v>
      </c>
      <c r="K5">
        <v>85</v>
      </c>
      <c r="M5" s="6">
        <v>7.6</v>
      </c>
      <c r="N5" s="6">
        <v>16</v>
      </c>
      <c r="O5" s="6">
        <v>2</v>
      </c>
      <c r="P5" s="6">
        <v>150</v>
      </c>
      <c r="Q5" s="14">
        <f t="shared" si="15"/>
        <v>156.31289053668294</v>
      </c>
      <c r="R5" s="6">
        <v>0.7</v>
      </c>
      <c r="S5" s="6">
        <f t="shared" si="16"/>
        <v>78.13852813852813</v>
      </c>
      <c r="T5">
        <v>10</v>
      </c>
      <c r="V5">
        <v>5</v>
      </c>
      <c r="W5">
        <v>18</v>
      </c>
      <c r="X5" s="4">
        <f t="shared" si="17"/>
        <v>0.18</v>
      </c>
      <c r="Y5">
        <v>25</v>
      </c>
      <c r="AA5">
        <v>5.5</v>
      </c>
      <c r="AB5">
        <v>6</v>
      </c>
      <c r="AE5" s="10">
        <v>0</v>
      </c>
      <c r="AF5" t="str">
        <f>CONCATENATE(VLOOKUP(AG5, 'Voxel Sizes'!$A$2:$B$18,2,FALSE),"x",INT(AC5*15), "x", INT(AD5*15))</f>
        <v>66x0x0</v>
      </c>
      <c r="AG5">
        <f t="shared" ref="AG5" si="32">ROUND(15*((AB5*10)/256),0)</f>
        <v>4</v>
      </c>
      <c r="AI5" t="str">
        <f>CONCATENATE(VLOOKUP(AG5,Constants!$A$2:$C$16,IF(AH5&lt;&gt;"", 3, 2), FALSE),IF(AH5&lt;&gt;"",CONCATENATE(",",VLOOKUP(AH5,$B:$AI,34,FALSE)),""))</f>
        <v>1,2,1</v>
      </c>
      <c r="AQ5">
        <v>1</v>
      </c>
      <c r="AS5">
        <v>250</v>
      </c>
      <c r="AT5">
        <f t="shared" si="19"/>
        <v>75</v>
      </c>
      <c r="AU5">
        <v>-5</v>
      </c>
      <c r="AV5">
        <v>-5</v>
      </c>
      <c r="AW5">
        <f t="shared" si="20"/>
        <v>5</v>
      </c>
      <c r="AX5">
        <f t="shared" si="21"/>
        <v>0.42500000000000004</v>
      </c>
      <c r="AY5">
        <f t="shared" si="22"/>
        <v>0.89999999999999991</v>
      </c>
      <c r="AZ5" s="4">
        <f t="shared" si="23"/>
        <v>1</v>
      </c>
      <c r="BA5">
        <f t="shared" si="24"/>
        <v>0</v>
      </c>
      <c r="BB5">
        <f>VLOOKUP($E5,Constants!$I:$K, 2, FALSE)</f>
        <v>1.1499999999999999</v>
      </c>
      <c r="BC5">
        <f>VLOOKUP($E5,Constants!$I:$K, 3, FALSE)*IF(AND(D5="multiple_unit",Y5&lt;110),0.75,1)</f>
        <v>1.7</v>
      </c>
      <c r="BD5">
        <f>INT(POWER(((Constants!$G$2+$AW5+$AX5+$AY5+$BA5)*$AZ5)*$BC5, 1.05))+$AV5</f>
        <v>17</v>
      </c>
      <c r="BE5">
        <f>INT(POWER((((Constants!$G$1+$AW5+$AX5+$AY5+$BA5)*($AZ5))*$BB5),IF($D5="wagon",1,1.2)))+$AU5</f>
        <v>41</v>
      </c>
      <c r="BF5" s="13">
        <f t="shared" si="25"/>
        <v>13281.25</v>
      </c>
      <c r="BG5" s="13">
        <f t="shared" ref="BG5" si="33">BE5*IF($D5="wagon",2.73,81.25)</f>
        <v>3331.25</v>
      </c>
      <c r="BN5">
        <v>11</v>
      </c>
      <c r="BR5" t="str">
        <f>VLOOKUP(G5,Eras!$A$2:$C$10, 2, TRUE)</f>
        <v>vct</v>
      </c>
      <c r="BS5" t="s">
        <v>61</v>
      </c>
      <c r="BT5" t="str">
        <f t="shared" si="27"/>
        <v>vct_Cheap</v>
      </c>
      <c r="BU5" t="str">
        <f t="shared" si="28"/>
        <v>steam_NARROW_GAUGE</v>
      </c>
      <c r="BV5" t="e">
        <f>VLOOKUP($BU5, Constants!$M:$N, 2, FALSE)</f>
        <v>#N/A</v>
      </c>
      <c r="BW5" t="str">
        <f t="shared" si="29"/>
        <v/>
      </c>
      <c r="BX5" t="s">
        <v>312</v>
      </c>
      <c r="BY5" t="str">
        <f t="shared" ref="BY5" si="34">IF(BQ5="BRAKE","{YELLOW}Speed bonus for slow wagons{}",IF(BP5="NGPassengers", "{YELLOW}Preserved railway bonus: passengers pay more when hauled by old locomotives{}", IF(BO5&gt;190,CONCATENATE("{YELLOW}",INT((BO5-185)/1.85),"% Bonus for long distance travel{}"),IF(AND(BO5&lt;180,BO5&lt;&gt;0),CONCATENATE("{YELLOW}",INT((185-BO5)/1.85),"% Penalty for long distance travel{}"),""))))</f>
        <v/>
      </c>
      <c r="BZ5" t="e">
        <f t="shared" si="31"/>
        <v>#N/A</v>
      </c>
    </row>
    <row r="6" spans="1:78" x14ac:dyDescent="0.25">
      <c r="A6" t="s">
        <v>326</v>
      </c>
      <c r="B6" t="s">
        <v>327</v>
      </c>
      <c r="C6">
        <v>12</v>
      </c>
      <c r="D6" t="s">
        <v>239</v>
      </c>
      <c r="E6" t="s">
        <v>25</v>
      </c>
      <c r="F6" t="s">
        <v>345</v>
      </c>
      <c r="G6">
        <v>1869</v>
      </c>
      <c r="K6">
        <v>275</v>
      </c>
      <c r="M6" s="6">
        <v>8.25</v>
      </c>
      <c r="N6" s="6">
        <v>13</v>
      </c>
      <c r="O6" s="6">
        <v>4</v>
      </c>
      <c r="P6" s="6">
        <v>160</v>
      </c>
      <c r="Q6" s="14">
        <f t="shared" si="15"/>
        <v>218.83804675135613</v>
      </c>
      <c r="R6" s="6">
        <v>0.7</v>
      </c>
      <c r="S6" s="6">
        <f t="shared" si="16"/>
        <v>223.43750000000003</v>
      </c>
      <c r="T6">
        <v>10</v>
      </c>
      <c r="V6">
        <v>5</v>
      </c>
      <c r="W6">
        <v>38</v>
      </c>
      <c r="X6" s="4">
        <f t="shared" si="17"/>
        <v>0.38</v>
      </c>
      <c r="Y6">
        <v>35</v>
      </c>
      <c r="AB6">
        <v>12</v>
      </c>
      <c r="AE6" s="10">
        <v>0</v>
      </c>
      <c r="AF6" t="str">
        <f>CONCATENATE(VLOOKUP(AG6, 'Voxel Sizes'!$A$2:$B$18,2,FALSE),"x",INT(AC6*15), "x", INT(AD6*15))</f>
        <v>120x0x0</v>
      </c>
      <c r="AG6">
        <f t="shared" ref="AG6" si="35">ROUND(15*((AB6*10)/256),0)</f>
        <v>7</v>
      </c>
      <c r="AI6" t="str">
        <f>CONCATENATE(VLOOKUP(AG6,Constants!$A$2:$C$16,IF(AH6&lt;&gt;"", 3, 2), FALSE),IF(AH6&lt;&gt;"",CONCATENATE(",",VLOOKUP(AH6,$B:$AI,34,FALSE)),""))</f>
        <v>2,3,2</v>
      </c>
      <c r="AQ6">
        <v>1</v>
      </c>
      <c r="AS6">
        <v>250</v>
      </c>
      <c r="AT6" t="str">
        <f t="shared" si="19"/>
        <v/>
      </c>
      <c r="AU6">
        <v>-5</v>
      </c>
      <c r="AV6">
        <v>-5</v>
      </c>
      <c r="AW6">
        <f t="shared" si="20"/>
        <v>7</v>
      </c>
      <c r="AX6">
        <f t="shared" si="21"/>
        <v>1.375</v>
      </c>
      <c r="AY6">
        <f t="shared" si="22"/>
        <v>1.9</v>
      </c>
      <c r="AZ6" s="4">
        <f t="shared" si="23"/>
        <v>1</v>
      </c>
      <c r="BA6">
        <f t="shared" si="24"/>
        <v>0</v>
      </c>
      <c r="BB6">
        <f>VLOOKUP($E6,Constants!$I:$K, 2, FALSE)</f>
        <v>1.1499999999999999</v>
      </c>
      <c r="BC6">
        <f>VLOOKUP($E6,Constants!$I:$K, 3, FALSE)*IF(AND(D6="multiple_unit",Y6&lt;110),0.75,1)</f>
        <v>1.7</v>
      </c>
      <c r="BD6">
        <f>INT(POWER(((Constants!$G$2+$AW6+$AX6+$AY6+$BA6)*$AZ6)*$BC6, 1.05))+$AV6</f>
        <v>25</v>
      </c>
      <c r="BE6">
        <f>INT(POWER((((Constants!$G$1+$AW6+$AX6+$AY6+$BA6)*($AZ6))*$BB6),IF($D6="wagon",1,1.2)))+$AU6</f>
        <v>52</v>
      </c>
      <c r="BF6" s="13">
        <f t="shared" si="25"/>
        <v>19531.25</v>
      </c>
      <c r="BG6" s="13">
        <f t="shared" ref="BG6" si="36">BE6*IF($D6="wagon",2.73,81.25)</f>
        <v>4225</v>
      </c>
      <c r="BN6">
        <v>11</v>
      </c>
      <c r="BR6" t="str">
        <f>VLOOKUP(G6,Eras!$A$2:$C$10, 2, TRUE)</f>
        <v>vct</v>
      </c>
      <c r="BS6" t="s">
        <v>61</v>
      </c>
      <c r="BT6" t="str">
        <f t="shared" si="27"/>
        <v>vct_Cheap</v>
      </c>
      <c r="BU6" t="str">
        <f t="shared" si="28"/>
        <v>steam_NARROW_GAUGE</v>
      </c>
      <c r="BV6" t="e">
        <f>VLOOKUP($BU6, Constants!$M:$N, 2, FALSE)</f>
        <v>#N/A</v>
      </c>
      <c r="BW6" t="str">
        <f t="shared" si="29"/>
        <v/>
      </c>
      <c r="BX6" t="s">
        <v>328</v>
      </c>
      <c r="BY6" t="str">
        <f t="shared" ref="BY6" si="37">IF(BQ6="BRAKE","{YELLOW}Speed bonus for slow wagons{}",IF(BP6="NGPassengers", "{YELLOW}Preserved railway bonus: passengers pay more when hauled by old locomotives{}", IF(BO6&gt;190,CONCATENATE("{YELLOW}",INT((BO6-185)/1.85),"% Bonus for long distance travel{}"),IF(AND(BO6&lt;180,BO6&lt;&gt;0),CONCATENATE("{YELLOW}",INT((185-BO6)/1.85),"% Penalty for long distance travel{}"),""))))</f>
        <v/>
      </c>
      <c r="BZ6" t="e">
        <f t="shared" si="31"/>
        <v>#N/A</v>
      </c>
    </row>
    <row r="7" spans="1:78" x14ac:dyDescent="0.25">
      <c r="A7" t="s">
        <v>307</v>
      </c>
      <c r="B7" t="s">
        <v>306</v>
      </c>
      <c r="C7">
        <v>15</v>
      </c>
      <c r="D7" t="s">
        <v>15</v>
      </c>
      <c r="E7" t="s">
        <v>25</v>
      </c>
      <c r="F7" t="s">
        <v>345</v>
      </c>
      <c r="G7">
        <v>1903</v>
      </c>
      <c r="I7">
        <v>1951</v>
      </c>
      <c r="Q7" s="14">
        <f t="shared" si="15"/>
        <v>0</v>
      </c>
      <c r="R7" s="6">
        <v>0.7</v>
      </c>
      <c r="S7" s="6">
        <f t="shared" si="16"/>
        <v>0</v>
      </c>
      <c r="V7">
        <v>5</v>
      </c>
      <c r="X7" s="4" t="str">
        <f t="shared" si="17"/>
        <v/>
      </c>
      <c r="AE7" s="10">
        <v>0</v>
      </c>
      <c r="AF7" t="str">
        <f>CONCATENATE(VLOOKUP(AG7, 'Voxel Sizes'!$A$2:$B$18,2,FALSE),"x",INT(AC7*15), "x", INT(AD7*15))</f>
        <v>0x0x0</v>
      </c>
      <c r="AG7">
        <f t="shared" ref="AG7" si="38">ROUND(15*((AB7*10)/256),0)</f>
        <v>0</v>
      </c>
      <c r="AI7" t="str">
        <f>CONCATENATE(VLOOKUP(AG7,Constants!$A$2:$C$16,IF(AH7&lt;&gt;"", 3, 2), FALSE),IF(AH7&lt;&gt;"",CONCATENATE(",",VLOOKUP(AH7,$B:$AI,34,FALSE)),""))</f>
        <v>na</v>
      </c>
      <c r="AQ7">
        <v>1</v>
      </c>
      <c r="AS7">
        <v>250</v>
      </c>
      <c r="AT7">
        <f t="shared" si="19"/>
        <v>44</v>
      </c>
      <c r="AU7">
        <v>-5</v>
      </c>
      <c r="AV7">
        <v>-5</v>
      </c>
      <c r="AW7">
        <f t="shared" si="20"/>
        <v>0</v>
      </c>
      <c r="AX7">
        <f t="shared" si="21"/>
        <v>0</v>
      </c>
      <c r="AY7">
        <f t="shared" si="22"/>
        <v>0</v>
      </c>
      <c r="AZ7" s="4">
        <f t="shared" si="23"/>
        <v>0.996</v>
      </c>
      <c r="BA7">
        <f t="shared" si="24"/>
        <v>0</v>
      </c>
      <c r="BB7">
        <f>VLOOKUP($E7,Constants!$I:$K, 2, FALSE)</f>
        <v>1.1499999999999999</v>
      </c>
      <c r="BC7">
        <f>VLOOKUP($E7,Constants!$I:$K, 3, FALSE)*IF(AND(D7="multiple_unit",Y7&lt;110),0.75,1)</f>
        <v>1.7</v>
      </c>
      <c r="BD7">
        <f>INT(POWER(((Constants!$G$2+$AW7+$AX7+$AY7+$BA7)*$AZ7)*$BC7, 1.05))+$AV7</f>
        <v>4</v>
      </c>
      <c r="BE7">
        <f>INT(POWER((((Constants!$G$1+$AW7+$AX7+$AY7+$BA7)*($AZ7))*$BB7),IF($D7="wagon",1,1.2)))+$AU7</f>
        <v>25</v>
      </c>
      <c r="BF7" s="13">
        <f t="shared" si="25"/>
        <v>3125</v>
      </c>
      <c r="BG7" s="13">
        <f t="shared" ref="BG7" si="39">BE7*IF($D7="wagon",2.73,81.25)</f>
        <v>2031.25</v>
      </c>
      <c r="BN7">
        <v>10</v>
      </c>
      <c r="BR7" t="str">
        <f>VLOOKUP(G7,Eras!$A$2:$C$10, 2, TRUE)</f>
        <v>edw</v>
      </c>
      <c r="BS7" t="s">
        <v>61</v>
      </c>
      <c r="BT7" t="str">
        <f t="shared" si="27"/>
        <v>edw_Cheap</v>
      </c>
      <c r="BU7" t="str">
        <f t="shared" si="28"/>
        <v>steam_NARROW_GAUGE</v>
      </c>
      <c r="BV7" t="e">
        <f>VLOOKUP($BU7, Constants!$M:$N, 2, FALSE)</f>
        <v>#N/A</v>
      </c>
      <c r="BW7" t="str">
        <f t="shared" si="29"/>
        <v/>
      </c>
      <c r="BY7" t="str">
        <f t="shared" ref="BY7" si="40">IF(BQ7="BRAKE","{YELLOW}Speed bonus for slow wagons{}",IF(BP7="NGPassengers", "{YELLOW}Preserved railway bonus: passengers pay more when hauled by old locomotives{}", IF(BO7&gt;190,CONCATENATE("{YELLOW}",INT((BO7-185)/1.85),"% Bonus for long distance travel{}"),IF(AND(BO7&lt;180,BO7&lt;&gt;0),CONCATENATE("{YELLOW}",INT((185-BO7)/1.85),"% Penalty for long distance travel{}"),""))))</f>
        <v/>
      </c>
      <c r="BZ7" t="e">
        <f t="shared" si="31"/>
        <v>#N/A</v>
      </c>
    </row>
    <row r="8" spans="1:78" x14ac:dyDescent="0.25">
      <c r="A8" t="s">
        <v>310</v>
      </c>
      <c r="B8" t="s">
        <v>311</v>
      </c>
      <c r="C8">
        <v>20</v>
      </c>
      <c r="D8" t="s">
        <v>15</v>
      </c>
      <c r="E8" t="s">
        <v>25</v>
      </c>
      <c r="F8" t="s">
        <v>345</v>
      </c>
      <c r="G8">
        <v>1903</v>
      </c>
      <c r="I8">
        <v>1951</v>
      </c>
      <c r="Q8" s="14">
        <f t="shared" si="15"/>
        <v>0</v>
      </c>
      <c r="R8" s="6">
        <v>0.7</v>
      </c>
      <c r="S8" s="6">
        <f t="shared" si="16"/>
        <v>0</v>
      </c>
      <c r="V8">
        <v>5</v>
      </c>
      <c r="X8" s="4" t="str">
        <f t="shared" si="17"/>
        <v/>
      </c>
      <c r="AE8" s="10">
        <v>0</v>
      </c>
      <c r="AF8" t="str">
        <f>CONCATENATE(VLOOKUP(AG8, 'Voxel Sizes'!$A$2:$B$18,2,FALSE),"x",INT(AC8*15), "x", INT(AD8*15))</f>
        <v>0x0x0</v>
      </c>
      <c r="AG8">
        <f t="shared" ref="AG8" si="41">ROUND(15*((AB8*10)/256),0)</f>
        <v>0</v>
      </c>
      <c r="AI8" t="str">
        <f>CONCATENATE(VLOOKUP(AG8,Constants!$A$2:$C$16,IF(AH8&lt;&gt;"", 3, 2), FALSE),IF(AH8&lt;&gt;"",CONCATENATE(",",VLOOKUP(AH8,$B:$AI,34,FALSE)),""))</f>
        <v>na</v>
      </c>
      <c r="AQ8">
        <v>1</v>
      </c>
      <c r="AS8">
        <v>250</v>
      </c>
      <c r="AT8">
        <f t="shared" si="19"/>
        <v>44</v>
      </c>
      <c r="AU8">
        <v>-5</v>
      </c>
      <c r="AV8">
        <v>-5</v>
      </c>
      <c r="AW8">
        <f t="shared" si="20"/>
        <v>0</v>
      </c>
      <c r="AX8">
        <f t="shared" si="21"/>
        <v>0</v>
      </c>
      <c r="AY8">
        <f t="shared" si="22"/>
        <v>0</v>
      </c>
      <c r="AZ8" s="4">
        <f t="shared" si="23"/>
        <v>0.996</v>
      </c>
      <c r="BA8">
        <f t="shared" si="24"/>
        <v>0</v>
      </c>
      <c r="BB8">
        <f>VLOOKUP($E8,Constants!$I:$K, 2, FALSE)</f>
        <v>1.1499999999999999</v>
      </c>
      <c r="BC8">
        <f>VLOOKUP($E8,Constants!$I:$K, 3, FALSE)*IF(AND(D8="multiple_unit",Y8&lt;110),0.75,1)</f>
        <v>1.7</v>
      </c>
      <c r="BD8">
        <f>INT(POWER(((Constants!$G$2+$AW8+$AX8+$AY8+$BA8)*$AZ8)*$BC8, 1.05))+$AV8</f>
        <v>4</v>
      </c>
      <c r="BE8">
        <f>INT(POWER((((Constants!$G$1+$AW8+$AX8+$AY8+$BA8)*($AZ8))*$BB8),IF($D8="wagon",1,1.2)))+$AU8</f>
        <v>25</v>
      </c>
      <c r="BF8" s="13">
        <f t="shared" si="25"/>
        <v>3125</v>
      </c>
      <c r="BG8" s="13">
        <f t="shared" ref="BG8" si="42">BE8*IF($D8="wagon",2.73,81.25)</f>
        <v>2031.25</v>
      </c>
      <c r="BN8">
        <v>9</v>
      </c>
      <c r="BR8" t="str">
        <f>VLOOKUP(G8,Eras!$A$2:$C$10, 2, TRUE)</f>
        <v>edw</v>
      </c>
      <c r="BS8" t="s">
        <v>61</v>
      </c>
      <c r="BT8" t="str">
        <f t="shared" si="27"/>
        <v>edw_Cheap</v>
      </c>
      <c r="BU8" t="str">
        <f t="shared" si="28"/>
        <v>steam_NARROW_GAUGE</v>
      </c>
      <c r="BV8" t="e">
        <f>VLOOKUP($BU8, Constants!$M:$N, 2, FALSE)</f>
        <v>#N/A</v>
      </c>
      <c r="BW8" t="str">
        <f t="shared" si="29"/>
        <v/>
      </c>
      <c r="BY8" t="str">
        <f t="shared" ref="BY8" si="43">IF(BQ8="BRAKE","{YELLOW}Speed bonus for slow wagons{}",IF(BP8="NGPassengers", "{YELLOW}Preserved railway bonus: passengers pay more when hauled by old locomotives{}", IF(BO8&gt;190,CONCATENATE("{YELLOW}",INT((BO8-185)/1.85),"% Bonus for long distance travel{}"),IF(AND(BO8&lt;180,BO8&lt;&gt;0),CONCATENATE("{YELLOW}",INT((185-BO8)/1.85),"% Penalty for long distance travel{}"),""))))</f>
        <v/>
      </c>
      <c r="BZ8" t="e">
        <f t="shared" si="31"/>
        <v>#N/A</v>
      </c>
    </row>
    <row r="9" spans="1:78" x14ac:dyDescent="0.25">
      <c r="A9" t="s">
        <v>313</v>
      </c>
      <c r="B9" t="s">
        <v>314</v>
      </c>
      <c r="C9">
        <v>25</v>
      </c>
      <c r="D9" t="s">
        <v>239</v>
      </c>
      <c r="E9" t="s">
        <v>25</v>
      </c>
      <c r="F9" t="s">
        <v>345</v>
      </c>
      <c r="G9">
        <v>1918</v>
      </c>
      <c r="I9">
        <v>1955</v>
      </c>
      <c r="K9">
        <v>65</v>
      </c>
      <c r="M9" s="6">
        <v>6.8</v>
      </c>
      <c r="N9" s="6">
        <v>10.75</v>
      </c>
      <c r="O9" s="6">
        <v>2</v>
      </c>
      <c r="P9" s="6">
        <v>160</v>
      </c>
      <c r="Q9" s="14">
        <f t="shared" si="15"/>
        <v>218.8380467513561</v>
      </c>
      <c r="R9" s="6">
        <v>0.6</v>
      </c>
      <c r="S9" s="6">
        <f t="shared" si="16"/>
        <v>62.76262626262627</v>
      </c>
      <c r="T9">
        <v>8</v>
      </c>
      <c r="V9">
        <v>5</v>
      </c>
      <c r="W9">
        <v>15</v>
      </c>
      <c r="X9" s="4">
        <f t="shared" si="17"/>
        <v>0.1875</v>
      </c>
      <c r="Y9">
        <v>30</v>
      </c>
      <c r="AA9">
        <v>4.7</v>
      </c>
      <c r="AB9">
        <v>6</v>
      </c>
      <c r="AE9" s="10">
        <v>0</v>
      </c>
      <c r="AF9" t="str">
        <f>CONCATENATE(VLOOKUP(AG9, 'Voxel Sizes'!$A$2:$B$18,2,FALSE),"x",INT(AC9*15), "x", INT(AD9*15))</f>
        <v>66x0x0</v>
      </c>
      <c r="AG9">
        <f t="shared" ref="AG9" si="44">ROUND(15*((AB9*10)/256),0)</f>
        <v>4</v>
      </c>
      <c r="AI9" t="str">
        <f>CONCATENATE(VLOOKUP(AG9,Constants!$A$2:$C$16,IF(AH9&lt;&gt;"", 3, 2), FALSE),IF(AH9&lt;&gt;"",CONCATENATE(",",VLOOKUP(AH9,$B:$AI,34,FALSE)),""))</f>
        <v>1,2,1</v>
      </c>
      <c r="AQ9">
        <v>1</v>
      </c>
      <c r="AS9">
        <v>250</v>
      </c>
      <c r="AT9">
        <f t="shared" si="19"/>
        <v>33</v>
      </c>
      <c r="AU9">
        <v>-5</v>
      </c>
      <c r="AV9">
        <v>-7</v>
      </c>
      <c r="AW9">
        <f t="shared" si="20"/>
        <v>6</v>
      </c>
      <c r="AX9">
        <f t="shared" si="21"/>
        <v>0.32500000000000001</v>
      </c>
      <c r="AY9">
        <f t="shared" si="22"/>
        <v>0.75</v>
      </c>
      <c r="AZ9" s="4">
        <f t="shared" si="23"/>
        <v>0.97599999999999998</v>
      </c>
      <c r="BA9">
        <f t="shared" si="24"/>
        <v>0</v>
      </c>
      <c r="BB9">
        <f>VLOOKUP($E9,Constants!$I:$K, 2, FALSE)</f>
        <v>1.1499999999999999</v>
      </c>
      <c r="BC9">
        <f>VLOOKUP($E9,Constants!$I:$K, 3, FALSE)*IF(AND(D9="multiple_unit",Y9&lt;110),0.75,1)</f>
        <v>1.7</v>
      </c>
      <c r="BD9">
        <f>INT(POWER(((Constants!$G$2+$AW9+$AX9+$AY9+$BA9)*$AZ9)*$BC9, 1.05))+$AV9</f>
        <v>16</v>
      </c>
      <c r="BE9">
        <f>INT(POWER((((Constants!$G$1+$AW9+$AX9+$AY9+$BA9)*($AZ9))*$BB9),IF($D9="wagon",1,1.2)))+$AU9</f>
        <v>42</v>
      </c>
      <c r="BF9" s="13">
        <f t="shared" si="25"/>
        <v>12500</v>
      </c>
      <c r="BG9" s="13">
        <f>BE9*IF($D9="wagon",2.73,81.25)</f>
        <v>3412.5</v>
      </c>
      <c r="BN9">
        <v>8</v>
      </c>
      <c r="BR9" t="str">
        <f>VLOOKUP(G9,Eras!$A$2:$C$10, 2, TRUE)</f>
        <v>edw</v>
      </c>
      <c r="BS9" t="s">
        <v>61</v>
      </c>
      <c r="BT9" t="str">
        <f t="shared" si="27"/>
        <v>edw_Cheap</v>
      </c>
      <c r="BU9" t="str">
        <f t="shared" si="28"/>
        <v>steam_NARROW_GAUGE</v>
      </c>
      <c r="BV9" t="e">
        <f>VLOOKUP($BU9, Constants!$M:$N, 2, FALSE)</f>
        <v>#N/A</v>
      </c>
      <c r="BW9" t="str">
        <f t="shared" si="29"/>
        <v/>
      </c>
      <c r="BX9" t="s">
        <v>315</v>
      </c>
      <c r="BY9" t="str">
        <f t="shared" ref="BY9" si="45">IF(BQ9="BRAKE","{YELLOW}Speed bonus for slow wagons{}",IF(BP9="NGPassengers", "{YELLOW}Preserved railway bonus: passengers pay more when hauled by old locomotives{}", IF(BO9&gt;190,CONCATENATE("{YELLOW}",INT((BO9-185)/1.85),"% Bonus for long distance travel{}"),IF(AND(BO9&lt;180,BO9&lt;&gt;0),CONCATENATE("{YELLOW}",INT((185-BO9)/1.85),"% Penalty for long distance travel{}"),""))))</f>
        <v/>
      </c>
      <c r="BZ9" t="e">
        <f t="shared" si="31"/>
        <v>#N/A</v>
      </c>
    </row>
    <row r="10" spans="1:78" x14ac:dyDescent="0.25">
      <c r="A10" t="s">
        <v>308</v>
      </c>
      <c r="B10" t="s">
        <v>309</v>
      </c>
      <c r="C10">
        <v>30</v>
      </c>
      <c r="D10" t="s">
        <v>239</v>
      </c>
      <c r="E10" t="s">
        <v>25</v>
      </c>
      <c r="F10" t="s">
        <v>345</v>
      </c>
      <c r="G10">
        <v>1923</v>
      </c>
      <c r="I10">
        <v>1968</v>
      </c>
      <c r="K10">
        <v>250</v>
      </c>
      <c r="M10" s="6">
        <v>11.5</v>
      </c>
      <c r="N10" s="6">
        <v>17</v>
      </c>
      <c r="O10" s="6">
        <v>2</v>
      </c>
      <c r="P10" s="6">
        <v>165</v>
      </c>
      <c r="Q10" s="14">
        <f t="shared" si="15"/>
        <v>153.18663272594927</v>
      </c>
      <c r="R10" s="6">
        <v>1</v>
      </c>
      <c r="S10" s="6">
        <f t="shared" si="16"/>
        <v>204.91861979166666</v>
      </c>
      <c r="T10">
        <v>25</v>
      </c>
      <c r="V10">
        <v>5</v>
      </c>
      <c r="W10">
        <v>44</v>
      </c>
      <c r="X10" s="4">
        <f t="shared" si="17"/>
        <v>0.17599999999999999</v>
      </c>
      <c r="Y10">
        <v>35</v>
      </c>
      <c r="AB10">
        <v>8</v>
      </c>
      <c r="AE10" s="10">
        <v>0</v>
      </c>
      <c r="AF10" t="str">
        <f>CONCATENATE(VLOOKUP(AG10, 'Voxel Sizes'!$A$2:$B$18,2,FALSE),"x",INT(AC10*15), "x", INT(AD10*15))</f>
        <v>82x0x0</v>
      </c>
      <c r="AG10">
        <f t="shared" ref="AG10" si="46">ROUND(15*((AB10*10)/256),0)</f>
        <v>5</v>
      </c>
      <c r="AI10" t="str">
        <f>CONCATENATE(VLOOKUP(AG10,Constants!$A$2:$C$16,IF(AH10&lt;&gt;"", 3, 2), FALSE),IF(AH10&lt;&gt;"",CONCATENATE(",",VLOOKUP(AH10,$B:$AI,34,FALSE)),""))</f>
        <v>2,1,2</v>
      </c>
      <c r="AQ10">
        <v>1</v>
      </c>
      <c r="AS10">
        <v>250</v>
      </c>
      <c r="AT10">
        <f t="shared" si="19"/>
        <v>41</v>
      </c>
      <c r="AU10">
        <v>-10</v>
      </c>
      <c r="AV10">
        <v>-5</v>
      </c>
      <c r="AW10">
        <f t="shared" si="20"/>
        <v>7</v>
      </c>
      <c r="AX10">
        <f t="shared" si="21"/>
        <v>1.25</v>
      </c>
      <c r="AY10">
        <f t="shared" si="22"/>
        <v>2.2000000000000002</v>
      </c>
      <c r="AZ10" s="4">
        <f t="shared" si="23"/>
        <v>0.96933333333333338</v>
      </c>
      <c r="BA10">
        <f t="shared" si="24"/>
        <v>0</v>
      </c>
      <c r="BB10">
        <f>VLOOKUP($E10,Constants!$I:$K, 2, FALSE)</f>
        <v>1.1499999999999999</v>
      </c>
      <c r="BC10">
        <f>VLOOKUP($E10,Constants!$I:$K, 3, FALSE)*IF(AND(D10="multiple_unit",Y10&lt;110),0.75,1)</f>
        <v>1.7</v>
      </c>
      <c r="BD10">
        <f>INT(POWER(((Constants!$G$2+$AW10+$AX10+$AY10+$BA10)*$AZ10)*$BC10, 1.05))+$AV10</f>
        <v>24</v>
      </c>
      <c r="BE10">
        <f>INT(POWER((((Constants!$G$1+$AW10+$AX10+$AY10+$BA10)*($AZ10))*$BB10),IF($D10="wagon",1,1.2)))+$AU10</f>
        <v>45</v>
      </c>
      <c r="BF10" s="13">
        <f t="shared" si="25"/>
        <v>18750</v>
      </c>
      <c r="BG10" s="13">
        <f t="shared" ref="BG10" si="47">BE10*IF($D10="wagon",2.73,81.25)</f>
        <v>3656.25</v>
      </c>
      <c r="BN10">
        <v>7</v>
      </c>
      <c r="BR10" t="str">
        <f>VLOOKUP(G10,Eras!$A$2:$C$10, 2, TRUE)</f>
        <v>big4</v>
      </c>
      <c r="BS10" t="s">
        <v>61</v>
      </c>
      <c r="BT10" t="str">
        <f t="shared" si="27"/>
        <v>big4_Cheap</v>
      </c>
      <c r="BU10" t="str">
        <f t="shared" si="28"/>
        <v>steam_NARROW_GAUGE</v>
      </c>
      <c r="BV10" t="e">
        <f>VLOOKUP($BU10, Constants!$M:$N, 2, FALSE)</f>
        <v>#N/A</v>
      </c>
      <c r="BW10" t="str">
        <f t="shared" si="29"/>
        <v/>
      </c>
      <c r="BX10" t="s">
        <v>325</v>
      </c>
      <c r="BY10" t="str">
        <f t="shared" ref="BY10" si="48">IF(BQ10="BRAKE","{YELLOW}Speed bonus for slow wagons{}",IF(BP10="NGPassengers", "{YELLOW}Preserved railway bonus: passengers pay more when hauled by old locomotives{}", IF(BO10&gt;190,CONCATENATE("{YELLOW}",INT((BO10-185)/1.85),"% Bonus for long distance travel{}"),IF(AND(BO10&lt;180,BO10&lt;&gt;0),CONCATENATE("{YELLOW}",INT((185-BO10)/1.85),"% Penalty for long distance travel{}"),""))))</f>
        <v/>
      </c>
      <c r="BZ10" t="e">
        <f t="shared" si="31"/>
        <v>#N/A</v>
      </c>
    </row>
    <row r="11" spans="1:78" x14ac:dyDescent="0.25">
      <c r="A11" t="s">
        <v>330</v>
      </c>
      <c r="B11" t="s">
        <v>302</v>
      </c>
      <c r="C11">
        <v>35</v>
      </c>
      <c r="D11" t="s">
        <v>15</v>
      </c>
      <c r="E11" t="s">
        <v>26</v>
      </c>
      <c r="F11" t="s">
        <v>345</v>
      </c>
      <c r="G11">
        <v>1940</v>
      </c>
      <c r="I11">
        <v>1980</v>
      </c>
      <c r="K11">
        <v>40</v>
      </c>
      <c r="Q11" s="14">
        <f t="shared" si="15"/>
        <v>0</v>
      </c>
      <c r="R11" s="6">
        <v>0.7</v>
      </c>
      <c r="S11" s="6">
        <f t="shared" si="16"/>
        <v>0</v>
      </c>
      <c r="V11">
        <v>5</v>
      </c>
      <c r="X11" s="4" t="str">
        <f t="shared" si="17"/>
        <v/>
      </c>
      <c r="AE11" s="10">
        <v>0</v>
      </c>
      <c r="AF11" t="str">
        <f>CONCATENATE(VLOOKUP(AG11, 'Voxel Sizes'!$A$2:$B$18,2,FALSE),"x",INT(AC11*15), "x", INT(AD11*15))</f>
        <v>0x0x0</v>
      </c>
      <c r="AG11">
        <f t="shared" ref="AG11" si="49">ROUND(15*((AB11*10)/256),0)</f>
        <v>0</v>
      </c>
      <c r="AI11" t="str">
        <f>CONCATENATE(VLOOKUP(AG11,Constants!$A$2:$C$16,IF(AH11&lt;&gt;"", 3, 2), FALSE),IF(AH11&lt;&gt;"",CONCATENATE(",",VLOOKUP(AH11,$B:$AI,34,FALSE)),""))</f>
        <v>na</v>
      </c>
      <c r="AQ11">
        <v>1</v>
      </c>
      <c r="AS11">
        <v>250</v>
      </c>
      <c r="AT11">
        <f t="shared" si="19"/>
        <v>36</v>
      </c>
      <c r="AU11">
        <v>-5</v>
      </c>
      <c r="AV11">
        <v>-2</v>
      </c>
      <c r="AW11">
        <f t="shared" si="20"/>
        <v>0</v>
      </c>
      <c r="AX11">
        <f t="shared" si="21"/>
        <v>0.2</v>
      </c>
      <c r="AY11">
        <f t="shared" si="22"/>
        <v>0</v>
      </c>
      <c r="AZ11" s="4">
        <f t="shared" si="23"/>
        <v>0.94666666666666666</v>
      </c>
      <c r="BA11">
        <f t="shared" si="24"/>
        <v>0</v>
      </c>
      <c r="BB11">
        <f>VLOOKUP($E11,Constants!$I:$K, 2, FALSE)</f>
        <v>1</v>
      </c>
      <c r="BC11">
        <f>VLOOKUP($E11,Constants!$I:$K, 3, FALSE)*IF(AND(D11="multiple_unit",Y11&lt;110),0.75,1)</f>
        <v>2</v>
      </c>
      <c r="BD11">
        <f>INT(POWER(((Constants!$G$2+$AW11+$AX11+$AY11+$BA11)*$AZ11)*$BC11, 1.05))+$AV11</f>
        <v>9</v>
      </c>
      <c r="BE11">
        <f>INT(POWER((((Constants!$G$1+$AW11+$AX11+$AY11+$BA11)*($AZ11))*$BB11),IF($D11="wagon",1,1.2)))+$AU11</f>
        <v>19</v>
      </c>
      <c r="BF11" s="13">
        <f t="shared" si="25"/>
        <v>7031.25</v>
      </c>
      <c r="BG11" s="13">
        <f t="shared" ref="BG11" si="50">BE11*IF($D11="wagon",2.73,81.25)</f>
        <v>1543.75</v>
      </c>
      <c r="BN11">
        <v>6</v>
      </c>
      <c r="BR11" t="str">
        <f>VLOOKUP(G11,Eras!$A$2:$C$10, 2, TRUE)</f>
        <v>big4</v>
      </c>
      <c r="BS11" t="s">
        <v>61</v>
      </c>
      <c r="BT11" t="str">
        <f t="shared" si="27"/>
        <v>big4_Cheap</v>
      </c>
      <c r="BU11" t="str">
        <f t="shared" si="28"/>
        <v>diesel_NARROW_GAUGE</v>
      </c>
      <c r="BV11" t="str">
        <f>VLOOKUP($BU11, Constants!$M:$N, 2, FALSE)</f>
        <v>{BLACK}Powered by: {GOLD}Diesel</v>
      </c>
      <c r="BW11" t="str">
        <f t="shared" si="29"/>
        <v/>
      </c>
      <c r="BY11" t="str">
        <f t="shared" ref="BY11" si="51">IF(BQ11="BRAKE","{YELLOW}Speed bonus for slow wagons{}",IF(BP11="NGPassengers", "{YELLOW}Preserved railway bonus: passengers pay more when hauled by old locomotives{}", IF(BO11&gt;190,CONCATENATE("{YELLOW}",INT((BO11-185)/1.85),"% Bonus for long distance travel{}"),IF(AND(BO11&lt;180,BO11&lt;&gt;0),CONCATENATE("{YELLOW}",INT((185-BO11)/1.85),"% Penalty for long distance travel{}"),""))))</f>
        <v/>
      </c>
      <c r="BZ11" t="str">
        <f t="shared" si="31"/>
        <v>{BLACK}Powered by: {GOLD}Diesel {}{SILVER}</v>
      </c>
    </row>
    <row r="12" spans="1:78" x14ac:dyDescent="0.25">
      <c r="A12" t="s">
        <v>329</v>
      </c>
      <c r="B12" t="s">
        <v>303</v>
      </c>
      <c r="C12">
        <v>40</v>
      </c>
      <c r="D12" t="s">
        <v>239</v>
      </c>
      <c r="E12" t="s">
        <v>26</v>
      </c>
      <c r="F12" t="s">
        <v>345</v>
      </c>
      <c r="G12">
        <v>1941</v>
      </c>
      <c r="I12">
        <v>1985</v>
      </c>
      <c r="K12">
        <v>50</v>
      </c>
      <c r="Q12" s="14">
        <f t="shared" si="15"/>
        <v>187.57546864401954</v>
      </c>
      <c r="R12" s="6">
        <v>0.7</v>
      </c>
      <c r="S12" s="6">
        <f t="shared" si="16"/>
        <v>0</v>
      </c>
      <c r="T12">
        <v>7</v>
      </c>
      <c r="V12">
        <v>5</v>
      </c>
      <c r="W12">
        <v>22</v>
      </c>
      <c r="X12" s="4">
        <f t="shared" si="17"/>
        <v>0.31428571428571428</v>
      </c>
      <c r="Y12">
        <v>30</v>
      </c>
      <c r="AB12">
        <v>6</v>
      </c>
      <c r="AE12" s="10">
        <v>0</v>
      </c>
      <c r="AF12" t="str">
        <f>CONCATENATE(VLOOKUP(AG12, 'Voxel Sizes'!$A$2:$B$18,2,FALSE),"x",INT(AC12*15), "x", INT(AD12*15))</f>
        <v>66x0x0</v>
      </c>
      <c r="AG12">
        <f t="shared" ref="AG12" si="52">ROUND(15*((AB12*10)/256),0)</f>
        <v>4</v>
      </c>
      <c r="AI12" t="str">
        <f>CONCATENATE(VLOOKUP(AG12,Constants!$A$2:$C$16,IF(AH12&lt;&gt;"", 3, 2), FALSE),IF(AH12&lt;&gt;"",CONCATENATE(",",VLOOKUP(AH12,$B:$AI,34,FALSE)),""))</f>
        <v>1,2,1</v>
      </c>
      <c r="AS12">
        <v>125</v>
      </c>
      <c r="AT12">
        <f t="shared" si="19"/>
        <v>40</v>
      </c>
      <c r="AU12">
        <v>-9</v>
      </c>
      <c r="AV12">
        <v>-12</v>
      </c>
      <c r="AW12">
        <f t="shared" si="20"/>
        <v>6</v>
      </c>
      <c r="AX12">
        <f t="shared" si="21"/>
        <v>0.25</v>
      </c>
      <c r="AY12">
        <f t="shared" si="22"/>
        <v>1.1000000000000001</v>
      </c>
      <c r="AZ12" s="4">
        <f t="shared" si="23"/>
        <v>0.94533333333333336</v>
      </c>
      <c r="BA12">
        <f t="shared" si="24"/>
        <v>0</v>
      </c>
      <c r="BB12">
        <f>VLOOKUP($E12,Constants!$I:$K, 2, FALSE)</f>
        <v>1</v>
      </c>
      <c r="BC12">
        <f>VLOOKUP($E12,Constants!$I:$K, 3, FALSE)*IF(AND(D12="multiple_unit",Y12&lt;110),0.75,1)</f>
        <v>2</v>
      </c>
      <c r="BD12">
        <f>INT(POWER(((Constants!$G$2+$AW12+$AX12+$AY12+$BA12)*$AZ12)*$BC12, 1.05))+$AV12</f>
        <v>15</v>
      </c>
      <c r="BE12">
        <f>INT(POWER((((Constants!$G$1+$AW12+$AX12+$AY12+$BA12)*($AZ12))*$BB12),IF($D12="wagon",1,1.2)))+$AU12</f>
        <v>29</v>
      </c>
      <c r="BF12" s="13">
        <f t="shared" si="25"/>
        <v>11718.75</v>
      </c>
      <c r="BG12" s="13">
        <f t="shared" ref="BG12" si="53">BE12*IF($D12="wagon",2.73,81.25)</f>
        <v>2356.25</v>
      </c>
      <c r="BN12">
        <v>5</v>
      </c>
      <c r="BR12" t="str">
        <f>VLOOKUP(G12,Eras!$A$2:$C$10, 2, TRUE)</f>
        <v>big4</v>
      </c>
      <c r="BS12" t="s">
        <v>61</v>
      </c>
      <c r="BT12" t="str">
        <f t="shared" si="27"/>
        <v>big4_Cheap</v>
      </c>
      <c r="BU12" t="str">
        <f t="shared" si="28"/>
        <v>diesel_NARROW_GAUGE</v>
      </c>
      <c r="BV12" t="str">
        <f>VLOOKUP($BU12, Constants!$M:$N, 2, FALSE)</f>
        <v>{BLACK}Powered by: {GOLD}Diesel</v>
      </c>
      <c r="BW12" t="str">
        <f t="shared" si="29"/>
        <v/>
      </c>
      <c r="BX12" t="s">
        <v>331</v>
      </c>
      <c r="BY12" t="str">
        <f t="shared" ref="BY12" si="54">IF(BQ12="BRAKE","{YELLOW}Speed bonus for slow wagons{}",IF(BP12="NGPassengers", "{YELLOW}Preserved railway bonus: passengers pay more when hauled by old locomotives{}", IF(BO12&gt;190,CONCATENATE("{YELLOW}",INT((BO12-185)/1.85),"% Bonus for long distance travel{}"),IF(AND(BO12&lt;180,BO12&lt;&gt;0),CONCATENATE("{YELLOW}",INT((185-BO12)/1.85),"% Penalty for long distance travel{}"),""))))</f>
        <v/>
      </c>
      <c r="BZ12" t="str">
        <f t="shared" si="31"/>
        <v>{BLACK}Powered by: {GOLD}Diesel {}{SILVER}Ruston and Hornsby built diesel locomotives for small industrial lines, which would often only need a small locomotive for hauling goods short distances.</v>
      </c>
    </row>
    <row r="13" spans="1:78" x14ac:dyDescent="0.25">
      <c r="A13" t="s">
        <v>304</v>
      </c>
      <c r="B13" t="s">
        <v>305</v>
      </c>
      <c r="C13">
        <v>45</v>
      </c>
      <c r="D13" t="s">
        <v>239</v>
      </c>
      <c r="E13" t="s">
        <v>26</v>
      </c>
      <c r="F13" t="s">
        <v>345</v>
      </c>
      <c r="G13">
        <v>1982</v>
      </c>
      <c r="K13">
        <v>100</v>
      </c>
      <c r="Q13" s="14">
        <f t="shared" si="15"/>
        <v>218.83804675135613</v>
      </c>
      <c r="R13" s="6">
        <v>0.7</v>
      </c>
      <c r="S13" s="6">
        <f t="shared" si="16"/>
        <v>0</v>
      </c>
      <c r="T13">
        <v>10</v>
      </c>
      <c r="V13">
        <v>5</v>
      </c>
      <c r="W13">
        <v>36</v>
      </c>
      <c r="X13" s="4">
        <f t="shared" si="17"/>
        <v>0.36</v>
      </c>
      <c r="Y13">
        <v>35</v>
      </c>
      <c r="AB13">
        <v>7</v>
      </c>
      <c r="AE13" s="10">
        <v>0</v>
      </c>
      <c r="AF13" t="str">
        <f>CONCATENATE(VLOOKUP(AG13, 'Voxel Sizes'!$A$2:$B$18,2,FALSE),"x",INT(AC13*15), "x", INT(AD13*15))</f>
        <v>66x0x0</v>
      </c>
      <c r="AG13">
        <f t="shared" ref="AG13" si="55">ROUND(15*((AB13*10)/256),0)</f>
        <v>4</v>
      </c>
      <c r="AI13" t="str">
        <f>CONCATENATE(VLOOKUP(AG13,Constants!$A$2:$C$16,IF(AH13&lt;&gt;"", 3, 2), FALSE),IF(AH13&lt;&gt;"",CONCATENATE(",",VLOOKUP(AH13,$B:$AI,34,FALSE)),""))</f>
        <v>1,2,1</v>
      </c>
      <c r="AS13">
        <v>125</v>
      </c>
      <c r="AT13" t="str">
        <f t="shared" si="19"/>
        <v/>
      </c>
      <c r="AU13">
        <v>-7</v>
      </c>
      <c r="AV13">
        <v>-6</v>
      </c>
      <c r="AW13">
        <f t="shared" si="20"/>
        <v>7</v>
      </c>
      <c r="AX13">
        <f t="shared" si="21"/>
        <v>0.5</v>
      </c>
      <c r="AY13">
        <f t="shared" si="22"/>
        <v>1.7999999999999998</v>
      </c>
      <c r="AZ13" s="4">
        <f t="shared" si="23"/>
        <v>0.89066666666666672</v>
      </c>
      <c r="BA13">
        <f t="shared" si="24"/>
        <v>0</v>
      </c>
      <c r="BB13">
        <f>VLOOKUP($E13,Constants!$I:$K, 2, FALSE)</f>
        <v>1</v>
      </c>
      <c r="BC13">
        <f>VLOOKUP($E13,Constants!$I:$K, 3, FALSE)*IF(AND(D13="multiple_unit",Y13&lt;110),0.75,1)</f>
        <v>2</v>
      </c>
      <c r="BD13">
        <f>INT(POWER(((Constants!$G$2+$AW13+$AX13+$AY13+$BA13)*$AZ13)*$BC13, 1.05))+$AV13</f>
        <v>23</v>
      </c>
      <c r="BE13">
        <f>INT(POWER((((Constants!$G$1+$AW13+$AX13+$AY13+$BA13)*($AZ13))*$BB13),IF($D13="wagon",1,1.2)))+$AU13</f>
        <v>33</v>
      </c>
      <c r="BF13" s="13">
        <f t="shared" si="25"/>
        <v>17968.75</v>
      </c>
      <c r="BG13" s="13">
        <f t="shared" ref="BG13" si="56">BE13*IF($D13="wagon",2.73,81.25)</f>
        <v>2681.25</v>
      </c>
      <c r="BN13">
        <v>4</v>
      </c>
      <c r="BR13" t="str">
        <f>VLOOKUP(G13,Eras!$A$2:$C$10, 2, TRUE)</f>
        <v>lbr</v>
      </c>
      <c r="BS13" t="s">
        <v>61</v>
      </c>
      <c r="BT13" t="str">
        <f t="shared" si="27"/>
        <v>lbr_Cheap</v>
      </c>
      <c r="BU13" t="str">
        <f t="shared" si="28"/>
        <v>diesel_NARROW_GAUGE</v>
      </c>
      <c r="BV13" t="str">
        <f>VLOOKUP($BU13, Constants!$M:$N, 2, FALSE)</f>
        <v>{BLACK}Powered by: {GOLD}Diesel</v>
      </c>
      <c r="BW13" t="str">
        <f t="shared" si="29"/>
        <v/>
      </c>
      <c r="BX13" t="s">
        <v>332</v>
      </c>
      <c r="BY13" t="str">
        <f t="shared" ref="BY13" si="57">IF(BQ13="BRAKE","{YELLOW}Speed bonus for slow wagons{}",IF(BP13="NGPassengers", "{YELLOW}Preserved railway bonus: passengers pay more when hauled by old locomotives{}", IF(BO13&gt;190,CONCATENATE("{YELLOW}",INT((BO13-185)/1.85),"% Bonus for long distance travel{}"),IF(AND(BO13&lt;180,BO13&lt;&gt;0),CONCATENATE("{YELLOW}",INT((185-BO13)/1.85),"% Penalty for long distance travel{}"),""))))</f>
        <v/>
      </c>
      <c r="BZ13" t="str">
        <f t="shared" si="31"/>
        <v>{BLACK}Powered by: {GOLD}Diesel {}{SILVER}Larger and more powerful diesel shunters displaced steam from industrial lines as they were more economical to run. Even preservation railways keep some around for utility duties.</v>
      </c>
    </row>
    <row r="14" spans="1:78" x14ac:dyDescent="0.25">
      <c r="A14" t="s">
        <v>333</v>
      </c>
      <c r="B14" t="s">
        <v>334</v>
      </c>
      <c r="C14">
        <v>80</v>
      </c>
      <c r="D14" t="s">
        <v>15</v>
      </c>
      <c r="E14" t="s">
        <v>32</v>
      </c>
      <c r="F14" t="s">
        <v>345</v>
      </c>
      <c r="G14">
        <v>1800</v>
      </c>
      <c r="I14">
        <v>1880</v>
      </c>
      <c r="T14">
        <v>4</v>
      </c>
      <c r="V14">
        <v>3</v>
      </c>
      <c r="X14" s="4" t="str">
        <f t="shared" ref="X14" si="58">IF(AND(T14&gt;0,W14&gt;0),(W14/((T14+U14)*10)),"")</f>
        <v/>
      </c>
      <c r="Y14">
        <v>25</v>
      </c>
      <c r="AA14">
        <v>6</v>
      </c>
      <c r="AB14">
        <v>6</v>
      </c>
      <c r="AE14" s="10">
        <v>12</v>
      </c>
      <c r="AF14" t="str">
        <f>CONCATENATE(VLOOKUP(AG14, 'Voxel Sizes'!$A$2:$B$18,2,FALSE),"x",INT(AC14*15), "x", INT(AD14*15))</f>
        <v>66x0x0</v>
      </c>
      <c r="AG14">
        <f t="shared" si="1"/>
        <v>4</v>
      </c>
      <c r="AI14" t="str">
        <f>CONCATENATE(VLOOKUP(AG14,Constants!$A$2:$C$16,IF(AH14&lt;&gt;"", 3, 2), FALSE),IF(AH14&lt;&gt;"",CONCATENATE(",",VLOOKUP(AH14,$B:$AI,34,FALSE)),""))</f>
        <v>1,2,1</v>
      </c>
      <c r="AS14">
        <v>80</v>
      </c>
      <c r="AT14">
        <f t="shared" ref="AT14" si="59">IF(I14&lt;&gt;"",MAX(8,(I14-G14)-4),"")</f>
        <v>76</v>
      </c>
      <c r="AW14">
        <f t="shared" ref="AW14" si="60">MIN(Y14/150, 1)*30</f>
        <v>5</v>
      </c>
      <c r="AX14">
        <f t="shared" ref="AX14" si="61">MIN(K14/4000, 1)*20</f>
        <v>0</v>
      </c>
      <c r="AY14">
        <f t="shared" ref="AY14" si="62">MIN(W14/400,1)*20</f>
        <v>0</v>
      </c>
      <c r="AZ14" s="4">
        <f t="shared" ref="AZ14" si="63">1-(MAX(G14-1900, 0)/750)</f>
        <v>1</v>
      </c>
      <c r="BA14">
        <f t="shared" ref="BA14" si="64">((MAX($J14,1)*MIN($AE14/300,1)))*IF(D14="Wagon",50,10)</f>
        <v>0.4</v>
      </c>
      <c r="BB14">
        <f>VLOOKUP($E14,Constants!$I:$K, 2, FALSE)</f>
        <v>1</v>
      </c>
      <c r="BC14">
        <f>VLOOKUP($E14,Constants!$I:$K, 3, FALSE)*IF(AND(D14="multiple_unit",Y14&lt;110),0.75,1)</f>
        <v>0.45</v>
      </c>
      <c r="BD14">
        <f>INT(POWER(((Constants!$G$2+$AW14+$AX14+$AY14+$BA14)*$AZ14)*$BC14, 1.05))+$AV14</f>
        <v>5</v>
      </c>
      <c r="BE14">
        <f>INT(POWER((((Constants!$G$1+$AW14+$AX14+$AY14+$BA14)*($AZ14))*$BB14),IF($D14="wagon",1,1.2)))+$AU14</f>
        <v>37</v>
      </c>
      <c r="BF14" s="13">
        <f t="shared" ref="BF14" si="65">BD14*IF($D14="wagon",62.5,781.25)</f>
        <v>3906.25</v>
      </c>
      <c r="BG14" s="13">
        <f>BE14*IF($D14="wagon",2.73,81.25)</f>
        <v>3006.25</v>
      </c>
      <c r="BN14">
        <v>1</v>
      </c>
      <c r="BO14">
        <v>74</v>
      </c>
      <c r="BP14" t="s">
        <v>144</v>
      </c>
      <c r="BQ14" t="s">
        <v>34</v>
      </c>
      <c r="BR14" t="str">
        <f>VLOOKUP(G14,Eras!$A$2:$C$10, 2, TRUE)</f>
        <v>early</v>
      </c>
      <c r="BS14" t="s">
        <v>75</v>
      </c>
      <c r="BT14" t="str">
        <f t="shared" ref="BT14" si="66">CONCATENATE(BR14,"_",BS14)</f>
        <v>early_Open Wagon</v>
      </c>
      <c r="BU14" t="str">
        <f t="shared" ref="BU14" si="67">_xlfn.CONCAT(E14, "_",F14)</f>
        <v>wagon_NARROW_GAUGE</v>
      </c>
      <c r="BV14" t="str">
        <f>VLOOKUP($BU14, Constants!$M:$N, 2, FALSE)</f>
        <v/>
      </c>
      <c r="BW14" t="str">
        <f t="shared" ref="BW14" si="68">IF(J14&gt;1,_xlfn.CONCAT("{BLACK}Cars: {GOLD}", J14),"")</f>
        <v/>
      </c>
      <c r="BX14" t="s">
        <v>335</v>
      </c>
      <c r="BY14" t="str">
        <f t="shared" si="13"/>
        <v>{YELLOW}60% Penalty for long distance travel{}</v>
      </c>
      <c r="BZ14" t="str">
        <f t="shared" ref="BZ14" si="69">_xlfn.CONCAT(BV14,IF(BV14 &lt;&gt; "", " ", ""),BW14,IF(OR(BW14&lt;&gt;"", BV14&lt;&gt;""), "{}",""), BY14,"{SILVER}", BX14)</f>
        <v>{YELLOW}60% Penalty for long distance travel{}{SILVER}Early narrow gauge railways were used solely for freight, until the Ffestiniog Railway began carrying passengers in the 1860s. Early gravity railways used incline cars to deliver quarry workers swiftly to their place of work.</v>
      </c>
    </row>
    <row r="15" spans="1:78" x14ac:dyDescent="0.25">
      <c r="A15" t="s">
        <v>254</v>
      </c>
      <c r="B15" t="s">
        <v>256</v>
      </c>
      <c r="C15">
        <v>81</v>
      </c>
      <c r="D15" t="s">
        <v>32</v>
      </c>
      <c r="E15" t="s">
        <v>32</v>
      </c>
      <c r="F15" t="s">
        <v>345</v>
      </c>
      <c r="G15">
        <v>1863</v>
      </c>
      <c r="T15">
        <v>6</v>
      </c>
      <c r="V15">
        <v>4</v>
      </c>
      <c r="X15" s="4" t="str">
        <f t="shared" ref="X15" si="70">IF(AND(T15&gt;0,W15&gt;0),(W15/((T15+U15)*10)),"")</f>
        <v/>
      </c>
      <c r="Y15">
        <v>35</v>
      </c>
      <c r="AA15">
        <v>8</v>
      </c>
      <c r="AB15">
        <v>8</v>
      </c>
      <c r="AE15" s="10">
        <v>18</v>
      </c>
      <c r="AF15" t="str">
        <f>CONCATENATE(VLOOKUP(AG15, 'Voxel Sizes'!$A$2:$B$18,2,FALSE),"x",INT(AC15*15), "x", INT(AD15*15))</f>
        <v>82x0x0</v>
      </c>
      <c r="AG15">
        <f t="shared" si="1"/>
        <v>5</v>
      </c>
      <c r="AI15" t="str">
        <f>CONCATENATE(VLOOKUP(AG15,Constants!$A$2:$C$16,IF(AH15&lt;&gt;"", 3, 2), FALSE),IF(AH15&lt;&gt;"",CONCATENATE(",",VLOOKUP(AH15,$B:$AI,34,FALSE)),""))</f>
        <v>2,1,2</v>
      </c>
      <c r="AS15">
        <v>80</v>
      </c>
      <c r="AU15">
        <v>40</v>
      </c>
      <c r="AV15">
        <v>30</v>
      </c>
      <c r="AW15">
        <f t="shared" ref="AW15" si="71">MIN(Y15/150, 1)*30</f>
        <v>7</v>
      </c>
      <c r="AX15">
        <f t="shared" ref="AX15" si="72">MIN(K15/4000, 1)*20</f>
        <v>0</v>
      </c>
      <c r="AY15">
        <f t="shared" ref="AY15" si="73">MIN(W15/400,1)*20</f>
        <v>0</v>
      </c>
      <c r="AZ15" s="4">
        <f t="shared" ref="AZ15" si="74">1-(MAX(G15-1900, 0)/750)</f>
        <v>1</v>
      </c>
      <c r="BA15">
        <f t="shared" ref="BA15" si="75">((MAX($J15,1)*MIN($AE15/300,1)))*IF(D15="Wagon",50,10)</f>
        <v>3</v>
      </c>
      <c r="BB15">
        <f>VLOOKUP($E15,Constants!$I:$K, 2, FALSE)</f>
        <v>1</v>
      </c>
      <c r="BC15">
        <f>VLOOKUP($E15,Constants!$I:$K, 3, FALSE)*IF(AND(D15="multiple_unit",Y15&lt;110),0.75,1)</f>
        <v>0.45</v>
      </c>
      <c r="BD15">
        <f>INT(POWER(((Constants!$G$2+$AW15+$AX15+$AY15+$BA15)*$AZ15)*$BC15, 1.05))+$AV15</f>
        <v>37</v>
      </c>
      <c r="BE15">
        <f>INT(POWER((((Constants!$G$1+$AW15+$AX15+$AY15+$BA15)*($AZ15))*$BB15),IF($D15="wagon",1,1.2)))+$AU15</f>
        <v>65</v>
      </c>
      <c r="BF15" s="13">
        <f t="shared" ref="BF15" si="76">BD15*IF($D15="wagon",62.5,781.25)</f>
        <v>2312.5</v>
      </c>
      <c r="BG15" s="13">
        <f t="shared" si="9"/>
        <v>177.45</v>
      </c>
      <c r="BN15">
        <v>1</v>
      </c>
      <c r="BO15">
        <v>74</v>
      </c>
      <c r="BP15" t="s">
        <v>278</v>
      </c>
      <c r="BQ15" t="s">
        <v>34</v>
      </c>
      <c r="BR15" t="str">
        <f>VLOOKUP(G15,Eras!$A$2:$C$10, 2, TRUE)</f>
        <v>vct</v>
      </c>
      <c r="BS15" t="s">
        <v>75</v>
      </c>
      <c r="BT15" t="str">
        <f t="shared" ref="BT15" si="77">CONCATENATE(BR15,"_",BS15)</f>
        <v>vct_Open Wagon</v>
      </c>
      <c r="BU15" t="str">
        <f t="shared" ref="BU15" si="78">_xlfn.CONCAT(E15, "_",F15)</f>
        <v>wagon_NARROW_GAUGE</v>
      </c>
      <c r="BV15" t="str">
        <f>VLOOKUP($BU15, Constants!$M:$N, 2, FALSE)</f>
        <v/>
      </c>
      <c r="BW15" t="str">
        <f t="shared" ref="BW15" si="79">IF(J15&gt;1,_xlfn.CONCAT("{BLACK}Cars: {GOLD}", J15),"")</f>
        <v/>
      </c>
      <c r="BX15" t="s">
        <v>288</v>
      </c>
      <c r="BY15" t="str">
        <f>IF(BQ15="BRAKE","{YELLOW}Speed bonus for slow wagons{}",IF(BP15="NGPassengers", "{YELLOW}Preserved railway bonus: passengers pay more when hauled by old locomotives{}", IF(BO15&gt;190,CONCATENATE("{YELLOW}",INT((BO15-185)/1.85),"% Bonus for long distance travel{}"),IF(AND(BO15&lt;180,BO15&lt;&gt;0),CONCATENATE("{YELLOW}",INT((185-BO15)/1.85),"% Penalty for long distance travel{}"),""))))</f>
        <v>{YELLOW}Preserved railway bonus: passengers pay more when hauled by old locomotives{}</v>
      </c>
      <c r="BZ15" t="str">
        <f t="shared" ref="BZ15" si="80">_xlfn.CONCAT(BV15,IF(BV15 &lt;&gt; "", " ", ""),BW15,IF(OR(BW15&lt;&gt;"", BV15&lt;&gt;""), "{}",""), BY15,"{SILVER}", BX15)</f>
        <v>{YELLOW}Preserved railway bonus: passengers pay more when hauled by old locomotives{}{SILVER}When narrow gauge began operating passenger services, carriages were simple, flat-sided vehicles build around wooden frames on a four-wheel chassis.</v>
      </c>
    </row>
    <row r="16" spans="1:78" x14ac:dyDescent="0.25">
      <c r="A16" t="s">
        <v>255</v>
      </c>
      <c r="B16" t="s">
        <v>257</v>
      </c>
      <c r="C16">
        <v>82</v>
      </c>
      <c r="D16" t="s">
        <v>32</v>
      </c>
      <c r="E16" t="s">
        <v>32</v>
      </c>
      <c r="F16" t="s">
        <v>345</v>
      </c>
      <c r="G16">
        <v>1900</v>
      </c>
      <c r="T16">
        <v>8</v>
      </c>
      <c r="V16">
        <v>4</v>
      </c>
      <c r="X16" s="4" t="str">
        <f t="shared" ref="X16:X27" si="81">IF(AND(T16&gt;0,W16&gt;0),(W16/((T16+U16)*10)),"")</f>
        <v/>
      </c>
      <c r="Y16">
        <v>45</v>
      </c>
      <c r="AA16">
        <v>12</v>
      </c>
      <c r="AB16">
        <v>12</v>
      </c>
      <c r="AE16" s="10">
        <v>36</v>
      </c>
      <c r="AF16" t="str">
        <f>CONCATENATE(VLOOKUP(AG16, 'Voxel Sizes'!$A$2:$B$18,2,FALSE),"x",INT(AC16*15), "x", INT(AD16*15))</f>
        <v>120x0x0</v>
      </c>
      <c r="AG16">
        <f t="shared" si="1"/>
        <v>7</v>
      </c>
      <c r="AI16" t="str">
        <f>CONCATENATE(VLOOKUP(AG16,Constants!$A$2:$C$16,IF(AH16&lt;&gt;"", 3, 2), FALSE),IF(AH16&lt;&gt;"",CONCATENATE(",",VLOOKUP(AH16,$B:$AI,34,FALSE)),""))</f>
        <v>2,3,2</v>
      </c>
      <c r="AS16">
        <v>80</v>
      </c>
      <c r="AT16" t="str">
        <f t="shared" ref="AT16:AT27" si="82">IF(I16&lt;&gt;"",MAX(8,(I16-G16)-4),"")</f>
        <v/>
      </c>
      <c r="AU16">
        <v>50</v>
      </c>
      <c r="AV16">
        <v>40</v>
      </c>
      <c r="AW16">
        <f t="shared" ref="AW16:AW27" si="83">MIN(Y16/150, 1)*30</f>
        <v>9</v>
      </c>
      <c r="AX16">
        <f t="shared" ref="AX16:AX27" si="84">MIN(K16/4000, 1)*20</f>
        <v>0</v>
      </c>
      <c r="AY16">
        <f t="shared" ref="AY16:AY27" si="85">MIN(W16/400,1)*20</f>
        <v>0</v>
      </c>
      <c r="AZ16" s="4">
        <f t="shared" ref="AZ16:AZ27" si="86">1-(MAX(G16-1900, 0)/750)</f>
        <v>1</v>
      </c>
      <c r="BA16">
        <f t="shared" ref="BA16:BA27" si="87">((MAX($J16,1)*MIN($AE16/300,1)))*IF(D16="Wagon",50,10)</f>
        <v>6</v>
      </c>
      <c r="BB16">
        <f>VLOOKUP($E16,Constants!$I:$K, 2, FALSE)</f>
        <v>1</v>
      </c>
      <c r="BC16">
        <f>VLOOKUP($E16,Constants!$I:$K, 3, FALSE)*IF(AND(D16="multiple_unit",Y16&lt;110),0.75,1)</f>
        <v>0.45</v>
      </c>
      <c r="BD16">
        <f>INT(POWER(((Constants!$G$2+$AW16+$AX16+$AY16+$BA16)*$AZ16)*$BC16, 1.05))+$AV16</f>
        <v>50</v>
      </c>
      <c r="BE16">
        <f>INT(POWER((((Constants!$G$1+$AW16+$AX16+$AY16+$BA16)*($AZ16))*$BB16),IF($D16="wagon",1,1.2)))+$AU16</f>
        <v>80</v>
      </c>
      <c r="BF16" s="13">
        <f t="shared" ref="BF16:BF27" si="88">BD16*IF($D16="wagon",62.5,781.25)</f>
        <v>3125</v>
      </c>
      <c r="BG16" s="13">
        <f t="shared" si="9"/>
        <v>218.4</v>
      </c>
      <c r="BN16">
        <v>1</v>
      </c>
      <c r="BO16">
        <v>74</v>
      </c>
      <c r="BP16" t="s">
        <v>278</v>
      </c>
      <c r="BQ16" t="s">
        <v>34</v>
      </c>
      <c r="BR16" t="str">
        <f>VLOOKUP(G16,Eras!$A$2:$C$10, 2, TRUE)</f>
        <v>edw</v>
      </c>
      <c r="BS16" t="s">
        <v>75</v>
      </c>
      <c r="BT16" t="str">
        <f t="shared" ref="BT16:BT27" si="89">CONCATENATE(BR16,"_",BS16)</f>
        <v>edw_Open Wagon</v>
      </c>
      <c r="BU16" t="str">
        <f t="shared" ref="BU16:BU27" si="90">_xlfn.CONCAT(E16, "_",F16)</f>
        <v>wagon_NARROW_GAUGE</v>
      </c>
      <c r="BV16" t="str">
        <f>VLOOKUP($BU16, Constants!$M:$N, 2, FALSE)</f>
        <v/>
      </c>
      <c r="BW16" t="str">
        <f t="shared" ref="BW16:BW27" si="91">IF(J16&gt;1,_xlfn.CONCAT("{BLACK}Cars: {GOLD}", J16),"")</f>
        <v/>
      </c>
      <c r="BX16" t="s">
        <v>290</v>
      </c>
      <c r="BY16" t="str">
        <f t="shared" si="13"/>
        <v>{YELLOW}Preserved railway bonus: passengers pay more when hauled by old locomotives{}</v>
      </c>
      <c r="BZ16" t="str">
        <f t="shared" ref="BZ16:BZ27" si="92">_xlfn.CONCAT(BV16,IF(BV16 &lt;&gt; "", " ", ""),BW16,IF(OR(BW16&lt;&gt;"", BV16&lt;&gt;""), "{}",""), BY16,"{SILVER}", BX16)</f>
        <v>{YELLOW}Preserved railway bonus: passengers pay more when hauled by old locomotives{}{SILVER}Later narrow gauge carriages increased in length where loading gauges allowed, using bogies to help negotiate tight curves.</v>
      </c>
    </row>
    <row r="17" spans="1:78" x14ac:dyDescent="0.25">
      <c r="A17" t="s">
        <v>258</v>
      </c>
      <c r="B17" t="s">
        <v>260</v>
      </c>
      <c r="C17">
        <v>84</v>
      </c>
      <c r="D17" t="s">
        <v>32</v>
      </c>
      <c r="E17" t="s">
        <v>32</v>
      </c>
      <c r="F17" t="s">
        <v>345</v>
      </c>
      <c r="G17">
        <v>1863</v>
      </c>
      <c r="T17">
        <v>5</v>
      </c>
      <c r="V17">
        <v>4</v>
      </c>
      <c r="X17" s="4" t="str">
        <f t="shared" si="81"/>
        <v/>
      </c>
      <c r="Y17">
        <v>35</v>
      </c>
      <c r="AA17">
        <v>8</v>
      </c>
      <c r="AB17">
        <v>8</v>
      </c>
      <c r="AE17" s="10">
        <v>24</v>
      </c>
      <c r="AF17" t="str">
        <f>CONCATENATE(VLOOKUP(AG17, 'Voxel Sizes'!$A$2:$B$18,2,FALSE),"x",INT(AC17*15), "x", INT(AD17*15))</f>
        <v>82x0x0</v>
      </c>
      <c r="AG17">
        <f t="shared" si="1"/>
        <v>5</v>
      </c>
      <c r="AI17" t="str">
        <f>CONCATENATE(VLOOKUP(AG17,Constants!$A$2:$C$16,IF(AH17&lt;&gt;"", 3, 2), FALSE),IF(AH17&lt;&gt;"",CONCATENATE(",",VLOOKUP(AH17,$B:$AI,34,FALSE)),""))</f>
        <v>2,1,2</v>
      </c>
      <c r="AS17">
        <v>80</v>
      </c>
      <c r="AT17" t="str">
        <f t="shared" si="82"/>
        <v/>
      </c>
      <c r="AU17">
        <v>40</v>
      </c>
      <c r="AV17">
        <v>30</v>
      </c>
      <c r="AW17">
        <f t="shared" si="83"/>
        <v>7</v>
      </c>
      <c r="AX17">
        <f t="shared" si="84"/>
        <v>0</v>
      </c>
      <c r="AY17">
        <f t="shared" si="85"/>
        <v>0</v>
      </c>
      <c r="AZ17" s="4">
        <f t="shared" si="86"/>
        <v>1</v>
      </c>
      <c r="BA17">
        <f t="shared" si="87"/>
        <v>4</v>
      </c>
      <c r="BB17">
        <f>VLOOKUP($E17,Constants!$I:$K, 2, FALSE)</f>
        <v>1</v>
      </c>
      <c r="BC17">
        <f>VLOOKUP($E17,Constants!$I:$K, 3, FALSE)*IF(AND(D17="multiple_unit",Y17&lt;110),0.75,1)</f>
        <v>0.45</v>
      </c>
      <c r="BD17">
        <f>INT(POWER(((Constants!$G$2+$AW17+$AX17+$AY17+$BA17)*$AZ17)*$BC17, 1.05))+$AV17</f>
        <v>37</v>
      </c>
      <c r="BE17">
        <f>INT(POWER((((Constants!$G$1+$AW17+$AX17+$AY17+$BA17)*($AZ17))*$BB17),IF($D17="wagon",1,1.2)))+$AU17</f>
        <v>66</v>
      </c>
      <c r="BF17" s="13">
        <f t="shared" si="88"/>
        <v>2312.5</v>
      </c>
      <c r="BG17" s="13">
        <f t="shared" si="9"/>
        <v>180.18</v>
      </c>
      <c r="BN17">
        <v>1</v>
      </c>
      <c r="BO17">
        <v>185</v>
      </c>
      <c r="BP17" t="s">
        <v>279</v>
      </c>
      <c r="BQ17" t="s">
        <v>283</v>
      </c>
      <c r="BR17" t="str">
        <f>VLOOKUP(G17,Eras!$A$2:$C$10, 2, TRUE)</f>
        <v>vct</v>
      </c>
      <c r="BS17" t="s">
        <v>75</v>
      </c>
      <c r="BT17" t="str">
        <f t="shared" si="89"/>
        <v>vct_Open Wagon</v>
      </c>
      <c r="BU17" t="str">
        <f t="shared" si="90"/>
        <v>wagon_NARROW_GAUGE</v>
      </c>
      <c r="BV17" t="str">
        <f>VLOOKUP($BU17, Constants!$M:$N, 2, FALSE)</f>
        <v/>
      </c>
      <c r="BW17" t="str">
        <f t="shared" si="91"/>
        <v/>
      </c>
      <c r="BX17" t="s">
        <v>289</v>
      </c>
      <c r="BY17" t="str">
        <f t="shared" si="13"/>
        <v/>
      </c>
      <c r="BZ17" t="str">
        <f t="shared" si="92"/>
        <v>{SILVER}Brake vans were rarer on narrow gauge railways, but passenger services would typically have a guard's wagon which could also carry parcels.</v>
      </c>
    </row>
    <row r="18" spans="1:78" x14ac:dyDescent="0.25">
      <c r="A18" t="s">
        <v>259</v>
      </c>
      <c r="B18" t="s">
        <v>261</v>
      </c>
      <c r="C18">
        <v>85</v>
      </c>
      <c r="D18" t="s">
        <v>32</v>
      </c>
      <c r="E18" t="s">
        <v>32</v>
      </c>
      <c r="F18" t="s">
        <v>345</v>
      </c>
      <c r="G18">
        <v>1900</v>
      </c>
      <c r="T18">
        <v>7</v>
      </c>
      <c r="V18">
        <v>4</v>
      </c>
      <c r="X18" s="4" t="str">
        <f t="shared" si="81"/>
        <v/>
      </c>
      <c r="Y18">
        <v>45</v>
      </c>
      <c r="AA18">
        <v>12</v>
      </c>
      <c r="AB18">
        <v>12</v>
      </c>
      <c r="AE18" s="10">
        <v>42</v>
      </c>
      <c r="AF18" t="str">
        <f>CONCATENATE(VLOOKUP(AG18, 'Voxel Sizes'!$A$2:$B$18,2,FALSE),"x",INT(AC18*15), "x", INT(AD18*15))</f>
        <v>120x0x0</v>
      </c>
      <c r="AG18">
        <f t="shared" si="1"/>
        <v>7</v>
      </c>
      <c r="AI18" t="str">
        <f>CONCATENATE(VLOOKUP(AG18,Constants!$A$2:$C$16,IF(AH18&lt;&gt;"", 3, 2), FALSE),IF(AH18&lt;&gt;"",CONCATENATE(",",VLOOKUP(AH18,$B:$AI,34,FALSE)),""))</f>
        <v>2,3,2</v>
      </c>
      <c r="AS18">
        <v>80</v>
      </c>
      <c r="AT18" t="str">
        <f t="shared" si="82"/>
        <v/>
      </c>
      <c r="AU18">
        <v>50</v>
      </c>
      <c r="AV18">
        <v>40</v>
      </c>
      <c r="AW18">
        <f t="shared" si="83"/>
        <v>9</v>
      </c>
      <c r="AX18">
        <f t="shared" si="84"/>
        <v>0</v>
      </c>
      <c r="AY18">
        <f t="shared" si="85"/>
        <v>0</v>
      </c>
      <c r="AZ18" s="4">
        <f t="shared" si="86"/>
        <v>1</v>
      </c>
      <c r="BA18">
        <f t="shared" si="87"/>
        <v>7.0000000000000009</v>
      </c>
      <c r="BB18">
        <f>VLOOKUP($E18,Constants!$I:$K, 2, FALSE)</f>
        <v>1</v>
      </c>
      <c r="BC18">
        <f>VLOOKUP($E18,Constants!$I:$K, 3, FALSE)*IF(AND(D18="multiple_unit",Y18&lt;110),0.75,1)</f>
        <v>0.45</v>
      </c>
      <c r="BD18">
        <f>INT(POWER(((Constants!$G$2+$AW18+$AX18+$AY18+$BA18)*$AZ18)*$BC18, 1.05))+$AV18</f>
        <v>50</v>
      </c>
      <c r="BE18">
        <f>INT(POWER((((Constants!$G$1+$AW18+$AX18+$AY18+$BA18)*($AZ18))*$BB18),IF($D18="wagon",1,1.2)))+$AU18</f>
        <v>81</v>
      </c>
      <c r="BF18" s="13">
        <f t="shared" si="88"/>
        <v>3125</v>
      </c>
      <c r="BG18" s="13">
        <f t="shared" si="9"/>
        <v>221.13</v>
      </c>
      <c r="BN18">
        <v>1</v>
      </c>
      <c r="BO18">
        <v>185</v>
      </c>
      <c r="BP18" t="s">
        <v>279</v>
      </c>
      <c r="BQ18" t="s">
        <v>283</v>
      </c>
      <c r="BR18" t="str">
        <f>VLOOKUP(G18,Eras!$A$2:$C$10, 2, TRUE)</f>
        <v>edw</v>
      </c>
      <c r="BS18" t="s">
        <v>75</v>
      </c>
      <c r="BT18" t="str">
        <f t="shared" si="89"/>
        <v>edw_Open Wagon</v>
      </c>
      <c r="BU18" t="str">
        <f t="shared" si="90"/>
        <v>wagon_NARROW_GAUGE</v>
      </c>
      <c r="BV18" t="str">
        <f>VLOOKUP($BU18, Constants!$M:$N, 2, FALSE)</f>
        <v/>
      </c>
      <c r="BW18" t="str">
        <f t="shared" si="91"/>
        <v/>
      </c>
      <c r="BX18" t="s">
        <v>291</v>
      </c>
      <c r="BY18" t="str">
        <f t="shared" si="13"/>
        <v/>
      </c>
      <c r="BZ18" t="str">
        <f t="shared" si="92"/>
        <v>{SILVER}Larger and heavier carriages also meant larger and heavier guard's vans.</v>
      </c>
    </row>
    <row r="19" spans="1:78" x14ac:dyDescent="0.25">
      <c r="A19" t="s">
        <v>246</v>
      </c>
      <c r="B19" t="s">
        <v>249</v>
      </c>
      <c r="C19">
        <v>86</v>
      </c>
      <c r="D19" t="s">
        <v>32</v>
      </c>
      <c r="E19" t="s">
        <v>32</v>
      </c>
      <c r="F19" t="s">
        <v>345</v>
      </c>
      <c r="G19">
        <v>1800</v>
      </c>
      <c r="I19">
        <v>1900</v>
      </c>
      <c r="T19">
        <v>2</v>
      </c>
      <c r="V19">
        <v>3</v>
      </c>
      <c r="X19" s="4" t="str">
        <f t="shared" si="81"/>
        <v/>
      </c>
      <c r="Y19">
        <v>25</v>
      </c>
      <c r="AA19">
        <v>4.9000000000000004</v>
      </c>
      <c r="AB19">
        <v>6</v>
      </c>
      <c r="AE19" s="10">
        <v>9</v>
      </c>
      <c r="AF19" t="str">
        <f>CONCATENATE(VLOOKUP(AG19, 'Voxel Sizes'!$A$2:$B$18,2,FALSE),"x",INT(AC19*15), "x", INT(AD19*15))</f>
        <v>66x0x0</v>
      </c>
      <c r="AG19">
        <f t="shared" si="1"/>
        <v>4</v>
      </c>
      <c r="AI19" t="str">
        <f>CONCATENATE(VLOOKUP(AG19,Constants!$A$2:$C$16,IF(AH19&lt;&gt;"", 3, 2), FALSE),IF(AH19&lt;&gt;"",CONCATENATE(",",VLOOKUP(AH19,$B:$AI,34,FALSE)),""))</f>
        <v>1,2,1</v>
      </c>
      <c r="AS19">
        <v>80</v>
      </c>
      <c r="AT19">
        <f t="shared" si="82"/>
        <v>96</v>
      </c>
      <c r="AW19">
        <f t="shared" si="83"/>
        <v>5</v>
      </c>
      <c r="AX19">
        <f t="shared" si="84"/>
        <v>0</v>
      </c>
      <c r="AY19">
        <f t="shared" si="85"/>
        <v>0</v>
      </c>
      <c r="AZ19" s="4">
        <f t="shared" si="86"/>
        <v>1</v>
      </c>
      <c r="BA19">
        <f t="shared" si="87"/>
        <v>1.5</v>
      </c>
      <c r="BB19">
        <f>VLOOKUP($E19,Constants!$I:$K, 2, FALSE)</f>
        <v>1</v>
      </c>
      <c r="BC19">
        <f>VLOOKUP($E19,Constants!$I:$K, 3, FALSE)*IF(AND(D19="multiple_unit",Y19&lt;110),0.75,1)</f>
        <v>0.45</v>
      </c>
      <c r="BD19">
        <f>INT(POWER(((Constants!$G$2+$AW19+$AX19+$AY19+$BA19)*$AZ19)*$BC19, 1.05))+$AV19</f>
        <v>5</v>
      </c>
      <c r="BE19">
        <f>INT(POWER((((Constants!$G$1+$AW19+$AX19+$AY19+$BA19)*($AZ19))*$BB19),IF($D19="wagon",1,1.2)))+$AU19</f>
        <v>21</v>
      </c>
      <c r="BF19" s="13">
        <f t="shared" si="88"/>
        <v>312.5</v>
      </c>
      <c r="BG19" s="13">
        <f t="shared" si="9"/>
        <v>57.33</v>
      </c>
      <c r="BN19">
        <v>1</v>
      </c>
      <c r="BO19">
        <v>185</v>
      </c>
      <c r="BP19" t="s">
        <v>247</v>
      </c>
      <c r="BQ19" t="s">
        <v>248</v>
      </c>
      <c r="BR19" t="str">
        <f>VLOOKUP(G19,Eras!$A$2:$C$10, 2, TRUE)</f>
        <v>early</v>
      </c>
      <c r="BS19" t="s">
        <v>75</v>
      </c>
      <c r="BT19" t="str">
        <f t="shared" si="89"/>
        <v>early_Open Wagon</v>
      </c>
      <c r="BU19" t="str">
        <f t="shared" si="90"/>
        <v>wagon_NARROW_GAUGE</v>
      </c>
      <c r="BV19" t="str">
        <f>VLOOKUP($BU19, Constants!$M:$N, 2, FALSE)</f>
        <v/>
      </c>
      <c r="BW19" t="str">
        <f t="shared" si="91"/>
        <v/>
      </c>
      <c r="BX19" t="s">
        <v>250</v>
      </c>
      <c r="BY19" t="str">
        <f t="shared" si="13"/>
        <v/>
      </c>
      <c r="BZ19" t="str">
        <f t="shared" si="92"/>
        <v>{SILVER}An open wagon for carrying bulk cargo on narrow gauge railways.</v>
      </c>
    </row>
    <row r="20" spans="1:78" x14ac:dyDescent="0.25">
      <c r="A20" t="s">
        <v>262</v>
      </c>
      <c r="B20" t="s">
        <v>263</v>
      </c>
      <c r="C20">
        <v>87</v>
      </c>
      <c r="D20" t="s">
        <v>32</v>
      </c>
      <c r="E20" t="s">
        <v>32</v>
      </c>
      <c r="F20" t="s">
        <v>345</v>
      </c>
      <c r="G20">
        <v>1870</v>
      </c>
      <c r="T20">
        <v>2</v>
      </c>
      <c r="V20">
        <v>4</v>
      </c>
      <c r="X20" s="4" t="str">
        <f t="shared" si="81"/>
        <v/>
      </c>
      <c r="Y20">
        <v>30</v>
      </c>
      <c r="AA20">
        <v>8</v>
      </c>
      <c r="AB20">
        <v>8</v>
      </c>
      <c r="AE20" s="10">
        <v>12</v>
      </c>
      <c r="AF20" t="str">
        <f>CONCATENATE(VLOOKUP(AG20, 'Voxel Sizes'!$A$2:$B$18,2,FALSE),"x",INT(AC20*15), "x", INT(AD20*15))</f>
        <v>82x0x0</v>
      </c>
      <c r="AG20">
        <f t="shared" si="1"/>
        <v>5</v>
      </c>
      <c r="AI20" t="str">
        <f>CONCATENATE(VLOOKUP(AG20,Constants!$A$2:$C$16,IF(AH20&lt;&gt;"", 3, 2), FALSE),IF(AH20&lt;&gt;"",CONCATENATE(",",VLOOKUP(AH20,$B:$AI,34,FALSE)),""))</f>
        <v>2,1,2</v>
      </c>
      <c r="AS20">
        <v>80</v>
      </c>
      <c r="AT20" t="str">
        <f t="shared" si="82"/>
        <v/>
      </c>
      <c r="AW20">
        <f t="shared" si="83"/>
        <v>6</v>
      </c>
      <c r="AX20">
        <f t="shared" si="84"/>
        <v>0</v>
      </c>
      <c r="AY20">
        <f t="shared" si="85"/>
        <v>0</v>
      </c>
      <c r="AZ20" s="4">
        <f t="shared" si="86"/>
        <v>1</v>
      </c>
      <c r="BA20">
        <f t="shared" si="87"/>
        <v>2</v>
      </c>
      <c r="BB20">
        <f>VLOOKUP($E20,Constants!$I:$K, 2, FALSE)</f>
        <v>1</v>
      </c>
      <c r="BC20">
        <f>VLOOKUP($E20,Constants!$I:$K, 3, FALSE)*IF(AND(D20="multiple_unit",Y20&lt;110),0.75,1)</f>
        <v>0.45</v>
      </c>
      <c r="BD20">
        <f>INT(POWER(((Constants!$G$2+$AW20+$AX20+$AY20+$BA20)*$AZ20)*$BC20, 1.05))+$AV20</f>
        <v>6</v>
      </c>
      <c r="BE20">
        <f>INT(POWER((((Constants!$G$1+$AW20+$AX20+$AY20+$BA20)*($AZ20))*$BB20),IF($D20="wagon",1,1.2)))+$AU20</f>
        <v>23</v>
      </c>
      <c r="BF20" s="13">
        <f t="shared" si="88"/>
        <v>375</v>
      </c>
      <c r="BG20" s="13">
        <f t="shared" si="9"/>
        <v>62.79</v>
      </c>
      <c r="BN20">
        <v>1</v>
      </c>
      <c r="BO20">
        <v>185</v>
      </c>
      <c r="BP20" t="s">
        <v>280</v>
      </c>
      <c r="BQ20" t="s">
        <v>248</v>
      </c>
      <c r="BR20" t="str">
        <f>VLOOKUP(G20,Eras!$A$2:$C$10, 2, TRUE)</f>
        <v>vct</v>
      </c>
      <c r="BS20" t="s">
        <v>75</v>
      </c>
      <c r="BT20" t="str">
        <f t="shared" si="89"/>
        <v>vct_Open Wagon</v>
      </c>
      <c r="BU20" t="str">
        <f t="shared" si="90"/>
        <v>wagon_NARROW_GAUGE</v>
      </c>
      <c r="BV20" t="str">
        <f>VLOOKUP($BU20, Constants!$M:$N, 2, FALSE)</f>
        <v/>
      </c>
      <c r="BW20" t="str">
        <f t="shared" si="91"/>
        <v/>
      </c>
      <c r="BX20" t="s">
        <v>292</v>
      </c>
      <c r="BY20" t="str">
        <f t="shared" si="13"/>
        <v/>
      </c>
      <c r="BZ20" t="str">
        <f t="shared" si="92"/>
        <v>{SILVER}Heavier mineral wagons allowed larger amounts of cargo to be carried.</v>
      </c>
    </row>
    <row r="21" spans="1:78" x14ac:dyDescent="0.25">
      <c r="A21" t="s">
        <v>265</v>
      </c>
      <c r="B21" t="s">
        <v>271</v>
      </c>
      <c r="C21">
        <v>88</v>
      </c>
      <c r="D21" t="s">
        <v>32</v>
      </c>
      <c r="E21" t="s">
        <v>32</v>
      </c>
      <c r="F21" t="s">
        <v>345</v>
      </c>
      <c r="G21">
        <v>1800</v>
      </c>
      <c r="I21">
        <v>1900</v>
      </c>
      <c r="T21">
        <v>2</v>
      </c>
      <c r="V21">
        <v>3</v>
      </c>
      <c r="X21" s="4" t="str">
        <f t="shared" si="81"/>
        <v/>
      </c>
      <c r="Y21">
        <v>25</v>
      </c>
      <c r="AA21">
        <v>4.9000000000000004</v>
      </c>
      <c r="AB21">
        <v>6</v>
      </c>
      <c r="AE21" s="10">
        <v>10</v>
      </c>
      <c r="AF21" t="str">
        <f>CONCATENATE(VLOOKUP(AG21, 'Voxel Sizes'!$A$2:$B$18,2,FALSE),"x",INT(AC21*15), "x", INT(AD21*15))</f>
        <v>66x0x0</v>
      </c>
      <c r="AG21">
        <f t="shared" si="1"/>
        <v>4</v>
      </c>
      <c r="AI21" t="str">
        <f>CONCATENATE(VLOOKUP(AG21,Constants!$A$2:$C$16,IF(AH21&lt;&gt;"", 3, 2), FALSE),IF(AH21&lt;&gt;"",CONCATENATE(",",VLOOKUP(AH21,$B:$AI,34,FALSE)),""))</f>
        <v>1,2,1</v>
      </c>
      <c r="AS21">
        <v>80</v>
      </c>
      <c r="AT21">
        <f t="shared" si="82"/>
        <v>96</v>
      </c>
      <c r="AW21">
        <f t="shared" si="83"/>
        <v>5</v>
      </c>
      <c r="AX21">
        <f t="shared" si="84"/>
        <v>0</v>
      </c>
      <c r="AY21">
        <f t="shared" si="85"/>
        <v>0</v>
      </c>
      <c r="AZ21" s="4">
        <f t="shared" si="86"/>
        <v>1</v>
      </c>
      <c r="BA21">
        <f t="shared" si="87"/>
        <v>1.6666666666666667</v>
      </c>
      <c r="BB21">
        <f>VLOOKUP($E21,Constants!$I:$K, 2, FALSE)</f>
        <v>1</v>
      </c>
      <c r="BC21">
        <f>VLOOKUP($E21,Constants!$I:$K, 3, FALSE)*IF(AND(D21="multiple_unit",Y21&lt;110),0.75,1)</f>
        <v>0.45</v>
      </c>
      <c r="BD21">
        <f>INT(POWER(((Constants!$G$2+$AW21+$AX21+$AY21+$BA21)*$AZ21)*$BC21, 1.05))+$AV21</f>
        <v>5</v>
      </c>
      <c r="BE21">
        <f>INT(POWER((((Constants!$G$1+$AW21+$AX21+$AY21+$BA21)*($AZ21))*$BB21),IF($D21="wagon",1,1.2)))+$AU21</f>
        <v>21</v>
      </c>
      <c r="BF21" s="13">
        <f t="shared" si="88"/>
        <v>312.5</v>
      </c>
      <c r="BG21" s="13">
        <f t="shared" si="9"/>
        <v>57.33</v>
      </c>
      <c r="BN21">
        <v>1</v>
      </c>
      <c r="BO21">
        <v>185</v>
      </c>
      <c r="BP21" t="s">
        <v>281</v>
      </c>
      <c r="BQ21" t="s">
        <v>282</v>
      </c>
      <c r="BR21" t="str">
        <f>VLOOKUP(G21,Eras!$A$2:$C$10, 2, TRUE)</f>
        <v>early</v>
      </c>
      <c r="BS21" t="s">
        <v>75</v>
      </c>
      <c r="BT21" t="str">
        <f t="shared" si="89"/>
        <v>early_Open Wagon</v>
      </c>
      <c r="BU21" t="str">
        <f t="shared" si="90"/>
        <v>wagon_NARROW_GAUGE</v>
      </c>
      <c r="BV21" t="str">
        <f>VLOOKUP($BU21, Constants!$M:$N, 2, FALSE)</f>
        <v/>
      </c>
      <c r="BW21" t="str">
        <f t="shared" si="91"/>
        <v/>
      </c>
      <c r="BX21" t="s">
        <v>293</v>
      </c>
      <c r="BY21" t="str">
        <f t="shared" si="13"/>
        <v/>
      </c>
      <c r="BZ21" t="str">
        <f t="shared" si="92"/>
        <v>{SILVER}While many narrow gauge railways were quarry lines carrying bulk goods or slate, flat wagons were used for transporting equipment.</v>
      </c>
    </row>
    <row r="22" spans="1:78" x14ac:dyDescent="0.25">
      <c r="A22" t="s">
        <v>264</v>
      </c>
      <c r="B22" t="s">
        <v>272</v>
      </c>
      <c r="C22">
        <v>89</v>
      </c>
      <c r="D22" t="s">
        <v>32</v>
      </c>
      <c r="E22" t="s">
        <v>32</v>
      </c>
      <c r="F22" t="s">
        <v>345</v>
      </c>
      <c r="G22">
        <v>1870</v>
      </c>
      <c r="T22">
        <v>2</v>
      </c>
      <c r="V22">
        <v>4</v>
      </c>
      <c r="X22" s="4" t="str">
        <f t="shared" si="81"/>
        <v/>
      </c>
      <c r="Y22">
        <v>30</v>
      </c>
      <c r="AA22">
        <v>4.9000000000000004</v>
      </c>
      <c r="AB22">
        <v>8</v>
      </c>
      <c r="AE22" s="10">
        <v>12</v>
      </c>
      <c r="AF22" t="str">
        <f>CONCATENATE(VLOOKUP(AG22, 'Voxel Sizes'!$A$2:$B$18,2,FALSE),"x",INT(AC22*15), "x", INT(AD22*15))</f>
        <v>82x0x0</v>
      </c>
      <c r="AG22">
        <f t="shared" si="1"/>
        <v>5</v>
      </c>
      <c r="AI22" t="str">
        <f>CONCATENATE(VLOOKUP(AG22,Constants!$A$2:$C$16,IF(AH22&lt;&gt;"", 3, 2), FALSE),IF(AH22&lt;&gt;"",CONCATENATE(",",VLOOKUP(AH22,$B:$AI,34,FALSE)),""))</f>
        <v>2,1,2</v>
      </c>
      <c r="AS22">
        <v>80</v>
      </c>
      <c r="AT22" t="str">
        <f t="shared" si="82"/>
        <v/>
      </c>
      <c r="AW22">
        <f t="shared" si="83"/>
        <v>6</v>
      </c>
      <c r="AX22">
        <f t="shared" si="84"/>
        <v>0</v>
      </c>
      <c r="AY22">
        <f t="shared" si="85"/>
        <v>0</v>
      </c>
      <c r="AZ22" s="4">
        <f t="shared" si="86"/>
        <v>1</v>
      </c>
      <c r="BA22">
        <f t="shared" si="87"/>
        <v>2</v>
      </c>
      <c r="BB22">
        <f>VLOOKUP($E22,Constants!$I:$K, 2, FALSE)</f>
        <v>1</v>
      </c>
      <c r="BC22">
        <f>VLOOKUP($E22,Constants!$I:$K, 3, FALSE)*IF(AND(D22="multiple_unit",Y22&lt;110),0.75,1)</f>
        <v>0.45</v>
      </c>
      <c r="BD22">
        <f>INT(POWER(((Constants!$G$2+$AW22+$AX22+$AY22+$BA22)*$AZ22)*$BC22, 1.05))+$AV22</f>
        <v>6</v>
      </c>
      <c r="BE22">
        <f>INT(POWER((((Constants!$G$1+$AW22+$AX22+$AY22+$BA22)*($AZ22))*$BB22),IF($D22="wagon",1,1.2)))+$AU22</f>
        <v>23</v>
      </c>
      <c r="BF22" s="13">
        <f t="shared" si="88"/>
        <v>375</v>
      </c>
      <c r="BG22" s="13">
        <f t="shared" si="9"/>
        <v>62.79</v>
      </c>
      <c r="BN22">
        <v>1</v>
      </c>
      <c r="BO22">
        <v>185</v>
      </c>
      <c r="BP22" t="s">
        <v>281</v>
      </c>
      <c r="BQ22" t="s">
        <v>282</v>
      </c>
      <c r="BR22" t="str">
        <f>VLOOKUP(G22,Eras!$A$2:$C$10, 2, TRUE)</f>
        <v>vct</v>
      </c>
      <c r="BS22" t="s">
        <v>75</v>
      </c>
      <c r="BT22" t="str">
        <f t="shared" si="89"/>
        <v>vct_Open Wagon</v>
      </c>
      <c r="BU22" t="str">
        <f t="shared" si="90"/>
        <v>wagon_NARROW_GAUGE</v>
      </c>
      <c r="BV22" t="str">
        <f>VLOOKUP($BU22, Constants!$M:$N, 2, FALSE)</f>
        <v/>
      </c>
      <c r="BW22" t="str">
        <f t="shared" si="91"/>
        <v/>
      </c>
      <c r="BX22" t="s">
        <v>296</v>
      </c>
      <c r="BY22" t="str">
        <f t="shared" si="13"/>
        <v/>
      </c>
      <c r="BZ22" t="str">
        <f t="shared" si="92"/>
        <v>{SILVER}As per standard gauge practice, bolster wagons were used for carrying long, rigid cargo.</v>
      </c>
    </row>
    <row r="23" spans="1:78" x14ac:dyDescent="0.25">
      <c r="A23" t="s">
        <v>266</v>
      </c>
      <c r="B23" t="s">
        <v>273</v>
      </c>
      <c r="C23">
        <v>90</v>
      </c>
      <c r="D23" t="s">
        <v>32</v>
      </c>
      <c r="E23" t="s">
        <v>32</v>
      </c>
      <c r="F23" t="s">
        <v>345</v>
      </c>
      <c r="G23">
        <v>1870</v>
      </c>
      <c r="T23">
        <v>2</v>
      </c>
      <c r="V23">
        <v>4</v>
      </c>
      <c r="X23" s="4" t="str">
        <f t="shared" si="81"/>
        <v/>
      </c>
      <c r="Y23">
        <v>30</v>
      </c>
      <c r="AA23">
        <v>4.9000000000000004</v>
      </c>
      <c r="AB23">
        <v>6</v>
      </c>
      <c r="AE23" s="10">
        <v>12</v>
      </c>
      <c r="AF23" t="str">
        <f>CONCATENATE(VLOOKUP(AG23, 'Voxel Sizes'!$A$2:$B$18,2,FALSE),"x",INT(AC23*15), "x", INT(AD23*15))</f>
        <v>66x0x0</v>
      </c>
      <c r="AG23">
        <f t="shared" si="1"/>
        <v>4</v>
      </c>
      <c r="AI23" t="str">
        <f>CONCATENATE(VLOOKUP(AG23,Constants!$A$2:$C$16,IF(AH23&lt;&gt;"", 3, 2), FALSE),IF(AH23&lt;&gt;"",CONCATENATE(",",VLOOKUP(AH23,$B:$AI,34,FALSE)),""))</f>
        <v>1,2,1</v>
      </c>
      <c r="AS23">
        <v>80</v>
      </c>
      <c r="AT23" t="str">
        <f t="shared" si="82"/>
        <v/>
      </c>
      <c r="AW23">
        <f t="shared" si="83"/>
        <v>6</v>
      </c>
      <c r="AX23">
        <f t="shared" si="84"/>
        <v>0</v>
      </c>
      <c r="AY23">
        <f t="shared" si="85"/>
        <v>0</v>
      </c>
      <c r="AZ23" s="4">
        <f t="shared" si="86"/>
        <v>1</v>
      </c>
      <c r="BA23">
        <f t="shared" si="87"/>
        <v>2</v>
      </c>
      <c r="BB23">
        <f>VLOOKUP($E23,Constants!$I:$K, 2, FALSE)</f>
        <v>1</v>
      </c>
      <c r="BC23">
        <f>VLOOKUP($E23,Constants!$I:$K, 3, FALSE)*IF(AND(D23="multiple_unit",Y23&lt;110),0.75,1)</f>
        <v>0.45</v>
      </c>
      <c r="BD23">
        <f>INT(POWER(((Constants!$G$2+$AW23+$AX23+$AY23+$BA23)*$AZ23)*$BC23, 1.05))+$AV23</f>
        <v>6</v>
      </c>
      <c r="BE23">
        <f>INT(POWER((((Constants!$G$1+$AW23+$AX23+$AY23+$BA23)*($AZ23))*$BB23),IF($D23="wagon",1,1.2)))+$AU23</f>
        <v>23</v>
      </c>
      <c r="BF23" s="13">
        <f t="shared" si="88"/>
        <v>375</v>
      </c>
      <c r="BG23" s="13">
        <f t="shared" si="9"/>
        <v>62.79</v>
      </c>
      <c r="BN23">
        <v>1</v>
      </c>
      <c r="BO23">
        <v>185</v>
      </c>
      <c r="BP23" t="s">
        <v>78</v>
      </c>
      <c r="BQ23" t="s">
        <v>284</v>
      </c>
      <c r="BR23" t="str">
        <f>VLOOKUP(G23,Eras!$A$2:$C$10, 2, TRUE)</f>
        <v>vct</v>
      </c>
      <c r="BS23" t="s">
        <v>75</v>
      </c>
      <c r="BT23" t="str">
        <f t="shared" si="89"/>
        <v>vct_Open Wagon</v>
      </c>
      <c r="BU23" t="str">
        <f t="shared" si="90"/>
        <v>wagon_NARROW_GAUGE</v>
      </c>
      <c r="BV23" t="str">
        <f>VLOOKUP($BU23, Constants!$M:$N, 2, FALSE)</f>
        <v/>
      </c>
      <c r="BW23" t="str">
        <f t="shared" si="91"/>
        <v/>
      </c>
      <c r="BX23" t="s">
        <v>294</v>
      </c>
      <c r="BY23" t="str">
        <f t="shared" si="13"/>
        <v/>
      </c>
      <c r="BZ23" t="str">
        <f t="shared" si="92"/>
        <v>{SILVER}With specialised equipment at stations, tank wagons made liquid cargo easier to handle than loading drums into open wagons.</v>
      </c>
    </row>
    <row r="24" spans="1:78" x14ac:dyDescent="0.25">
      <c r="A24" t="s">
        <v>267</v>
      </c>
      <c r="B24" t="s">
        <v>274</v>
      </c>
      <c r="C24">
        <v>91</v>
      </c>
      <c r="D24" t="s">
        <v>32</v>
      </c>
      <c r="E24" t="s">
        <v>32</v>
      </c>
      <c r="F24" t="s">
        <v>345</v>
      </c>
      <c r="G24">
        <v>1870</v>
      </c>
      <c r="T24">
        <v>2</v>
      </c>
      <c r="V24">
        <v>4</v>
      </c>
      <c r="X24" s="4" t="str">
        <f t="shared" si="81"/>
        <v/>
      </c>
      <c r="Y24">
        <v>30</v>
      </c>
      <c r="AA24">
        <v>4.9000000000000004</v>
      </c>
      <c r="AB24">
        <v>6</v>
      </c>
      <c r="AE24" s="10">
        <v>12</v>
      </c>
      <c r="AF24" t="str">
        <f>CONCATENATE(VLOOKUP(AG24, 'Voxel Sizes'!$A$2:$B$18,2,FALSE),"x",INT(AC24*15), "x", INT(AD24*15))</f>
        <v>66x0x0</v>
      </c>
      <c r="AG24">
        <f t="shared" si="1"/>
        <v>4</v>
      </c>
      <c r="AI24" t="str">
        <f>CONCATENATE(VLOOKUP(AG24,Constants!$A$2:$C$16,IF(AH24&lt;&gt;"", 3, 2), FALSE),IF(AH24&lt;&gt;"",CONCATENATE(",",VLOOKUP(AH24,$B:$AI,34,FALSE)),""))</f>
        <v>1,2,1</v>
      </c>
      <c r="AS24">
        <v>80</v>
      </c>
      <c r="AT24" t="str">
        <f t="shared" si="82"/>
        <v/>
      </c>
      <c r="AW24">
        <f t="shared" si="83"/>
        <v>6</v>
      </c>
      <c r="AX24">
        <f t="shared" si="84"/>
        <v>0</v>
      </c>
      <c r="AY24">
        <f t="shared" si="85"/>
        <v>0</v>
      </c>
      <c r="AZ24" s="4">
        <f t="shared" si="86"/>
        <v>1</v>
      </c>
      <c r="BA24">
        <f t="shared" si="87"/>
        <v>2</v>
      </c>
      <c r="BB24">
        <f>VLOOKUP($E24,Constants!$I:$K, 2, FALSE)</f>
        <v>1</v>
      </c>
      <c r="BC24">
        <f>VLOOKUP($E24,Constants!$I:$K, 3, FALSE)*IF(AND(D24="multiple_unit",Y24&lt;110),0.75,1)</f>
        <v>0.45</v>
      </c>
      <c r="BD24">
        <f>INT(POWER(((Constants!$G$2+$AW24+$AX24+$AY24+$BA24)*$AZ24)*$BC24, 1.05))+$AV24</f>
        <v>6</v>
      </c>
      <c r="BE24">
        <f>INT(POWER((((Constants!$G$1+$AW24+$AX24+$AY24+$BA24)*($AZ24))*$BB24),IF($D24="wagon",1,1.2)))+$AU24</f>
        <v>23</v>
      </c>
      <c r="BF24" s="13">
        <f t="shared" si="88"/>
        <v>375</v>
      </c>
      <c r="BG24" s="13">
        <f t="shared" si="9"/>
        <v>62.79</v>
      </c>
      <c r="BN24">
        <v>1</v>
      </c>
      <c r="BO24">
        <v>185</v>
      </c>
      <c r="BP24" t="s">
        <v>285</v>
      </c>
      <c r="BQ24" t="s">
        <v>286</v>
      </c>
      <c r="BR24" t="str">
        <f>VLOOKUP(G24,Eras!$A$2:$C$10, 2, TRUE)</f>
        <v>vct</v>
      </c>
      <c r="BS24" t="s">
        <v>75</v>
      </c>
      <c r="BT24" t="str">
        <f t="shared" si="89"/>
        <v>vct_Open Wagon</v>
      </c>
      <c r="BU24" t="str">
        <f t="shared" si="90"/>
        <v>wagon_NARROW_GAUGE</v>
      </c>
      <c r="BV24" t="str">
        <f>VLOOKUP($BU24, Constants!$M:$N, 2, FALSE)</f>
        <v/>
      </c>
      <c r="BW24" t="str">
        <f t="shared" si="91"/>
        <v/>
      </c>
      <c r="BX24" t="s">
        <v>295</v>
      </c>
      <c r="BY24" t="str">
        <f t="shared" si="13"/>
        <v/>
      </c>
      <c r="BZ24" t="str">
        <f t="shared" si="92"/>
        <v>{SILVER}A van for carrying livestock on narrow gauge railways.</v>
      </c>
    </row>
    <row r="25" spans="1:78" x14ac:dyDescent="0.25">
      <c r="A25" t="s">
        <v>268</v>
      </c>
      <c r="B25" t="s">
        <v>276</v>
      </c>
      <c r="C25">
        <v>92</v>
      </c>
      <c r="D25" t="s">
        <v>32</v>
      </c>
      <c r="E25" t="s">
        <v>32</v>
      </c>
      <c r="F25" t="s">
        <v>345</v>
      </c>
      <c r="G25">
        <v>1800</v>
      </c>
      <c r="I25">
        <v>1900</v>
      </c>
      <c r="T25">
        <v>2</v>
      </c>
      <c r="V25">
        <v>3</v>
      </c>
      <c r="X25" s="4" t="str">
        <f t="shared" si="81"/>
        <v/>
      </c>
      <c r="Y25">
        <v>25</v>
      </c>
      <c r="AA25">
        <v>4.9000000000000004</v>
      </c>
      <c r="AB25">
        <v>6</v>
      </c>
      <c r="AE25" s="10">
        <v>12</v>
      </c>
      <c r="AF25" t="str">
        <f>CONCATENATE(VLOOKUP(AG25, 'Voxel Sizes'!$A$2:$B$18,2,FALSE),"x",INT(AC25*15), "x", INT(AD25*15))</f>
        <v>66x0x0</v>
      </c>
      <c r="AG25">
        <f t="shared" si="1"/>
        <v>4</v>
      </c>
      <c r="AI25" t="str">
        <f>CONCATENATE(VLOOKUP(AG25,Constants!$A$2:$C$16,IF(AH25&lt;&gt;"", 3, 2), FALSE),IF(AH25&lt;&gt;"",CONCATENATE(",",VLOOKUP(AH25,$B:$AI,34,FALSE)),""))</f>
        <v>1,2,1</v>
      </c>
      <c r="AS25">
        <v>80</v>
      </c>
      <c r="AT25">
        <f t="shared" si="82"/>
        <v>96</v>
      </c>
      <c r="AW25">
        <f t="shared" si="83"/>
        <v>5</v>
      </c>
      <c r="AX25">
        <f t="shared" si="84"/>
        <v>0</v>
      </c>
      <c r="AY25">
        <f t="shared" si="85"/>
        <v>0</v>
      </c>
      <c r="AZ25" s="4">
        <f t="shared" si="86"/>
        <v>1</v>
      </c>
      <c r="BA25">
        <f t="shared" si="87"/>
        <v>2</v>
      </c>
      <c r="BB25">
        <f>VLOOKUP($E25,Constants!$I:$K, 2, FALSE)</f>
        <v>1</v>
      </c>
      <c r="BC25">
        <f>VLOOKUP($E25,Constants!$I:$K, 3, FALSE)*IF(AND(D25="multiple_unit",Y25&lt;110),0.75,1)</f>
        <v>0.45</v>
      </c>
      <c r="BD25">
        <f>INT(POWER(((Constants!$G$2+$AW25+$AX25+$AY25+$BA25)*$AZ25)*$BC25, 1.05))+$AV25</f>
        <v>5</v>
      </c>
      <c r="BE25">
        <f>INT(POWER((((Constants!$G$1+$AW25+$AX25+$AY25+$BA25)*($AZ25))*$BB25),IF($D25="wagon",1,1.2)))+$AU25</f>
        <v>22</v>
      </c>
      <c r="BF25" s="13">
        <f t="shared" si="88"/>
        <v>312.5</v>
      </c>
      <c r="BG25" s="13">
        <f t="shared" si="9"/>
        <v>60.06</v>
      </c>
      <c r="BN25">
        <v>1</v>
      </c>
      <c r="BO25">
        <v>185</v>
      </c>
      <c r="BP25" t="s">
        <v>77</v>
      </c>
      <c r="BQ25" t="s">
        <v>287</v>
      </c>
      <c r="BR25" t="str">
        <f>VLOOKUP(G25,Eras!$A$2:$C$10, 2, TRUE)</f>
        <v>early</v>
      </c>
      <c r="BS25" t="s">
        <v>75</v>
      </c>
      <c r="BT25" t="str">
        <f t="shared" si="89"/>
        <v>early_Open Wagon</v>
      </c>
      <c r="BU25" t="str">
        <f t="shared" si="90"/>
        <v>wagon_NARROW_GAUGE</v>
      </c>
      <c r="BV25" t="str">
        <f>VLOOKUP($BU25, Constants!$M:$N, 2, FALSE)</f>
        <v/>
      </c>
      <c r="BW25" t="str">
        <f t="shared" si="91"/>
        <v/>
      </c>
      <c r="BX25" t="s">
        <v>297</v>
      </c>
      <c r="BY25" t="str">
        <f t="shared" si="13"/>
        <v/>
      </c>
      <c r="BZ25" t="str">
        <f t="shared" si="92"/>
        <v>{SILVER}Like their larger counterparts, narrow gauge railways built many vans for carrying piece goods.</v>
      </c>
    </row>
    <row r="26" spans="1:78" x14ac:dyDescent="0.25">
      <c r="A26" t="s">
        <v>269</v>
      </c>
      <c r="B26" t="s">
        <v>275</v>
      </c>
      <c r="C26">
        <v>93</v>
      </c>
      <c r="D26" t="s">
        <v>32</v>
      </c>
      <c r="E26" t="s">
        <v>32</v>
      </c>
      <c r="F26" t="s">
        <v>345</v>
      </c>
      <c r="G26">
        <v>1860</v>
      </c>
      <c r="T26">
        <v>4</v>
      </c>
      <c r="V26">
        <v>4</v>
      </c>
      <c r="X26" s="4" t="str">
        <f t="shared" si="81"/>
        <v/>
      </c>
      <c r="Y26">
        <v>35</v>
      </c>
      <c r="AA26">
        <v>4.9000000000000004</v>
      </c>
      <c r="AB26">
        <v>6</v>
      </c>
      <c r="AE26" s="10">
        <v>15</v>
      </c>
      <c r="AF26" t="str">
        <f>CONCATENATE(VLOOKUP(AG26, 'Voxel Sizes'!$A$2:$B$18,2,FALSE),"x",INT(AC26*15), "x", INT(AD26*15))</f>
        <v>66x0x0</v>
      </c>
      <c r="AG26">
        <f t="shared" si="1"/>
        <v>4</v>
      </c>
      <c r="AI26" t="str">
        <f>CONCATENATE(VLOOKUP(AG26,Constants!$A$2:$C$16,IF(AH26&lt;&gt;"", 3, 2), FALSE),IF(AH26&lt;&gt;"",CONCATENATE(",",VLOOKUP(AH26,$B:$AI,34,FALSE)),""))</f>
        <v>1,2,1</v>
      </c>
      <c r="AS26">
        <v>80</v>
      </c>
      <c r="AT26" t="str">
        <f t="shared" si="82"/>
        <v/>
      </c>
      <c r="AW26">
        <f t="shared" si="83"/>
        <v>7</v>
      </c>
      <c r="AX26">
        <f t="shared" si="84"/>
        <v>0</v>
      </c>
      <c r="AY26">
        <f t="shared" si="85"/>
        <v>0</v>
      </c>
      <c r="AZ26" s="4">
        <f t="shared" si="86"/>
        <v>1</v>
      </c>
      <c r="BA26">
        <f t="shared" si="87"/>
        <v>2.5</v>
      </c>
      <c r="BB26">
        <f>VLOOKUP($E26,Constants!$I:$K, 2, FALSE)</f>
        <v>1</v>
      </c>
      <c r="BC26">
        <f>VLOOKUP($E26,Constants!$I:$K, 3, FALSE)*IF(AND(D26="multiple_unit",Y26&lt;110),0.75,1)</f>
        <v>0.45</v>
      </c>
      <c r="BD26">
        <f>INT(POWER(((Constants!$G$2+$AW26+$AX26+$AY26+$BA26)*$AZ26)*$BC26, 1.05))+$AV26</f>
        <v>7</v>
      </c>
      <c r="BE26">
        <f>INT(POWER((((Constants!$G$1+$AW26+$AX26+$AY26+$BA26)*($AZ26))*$BB26),IF($D26="wagon",1,1.2)))+$AU26</f>
        <v>24</v>
      </c>
      <c r="BF26" s="13">
        <f t="shared" si="88"/>
        <v>437.5</v>
      </c>
      <c r="BG26" s="13">
        <f t="shared" si="9"/>
        <v>65.52</v>
      </c>
      <c r="BN26">
        <v>1</v>
      </c>
      <c r="BO26">
        <v>185</v>
      </c>
      <c r="BP26" t="s">
        <v>77</v>
      </c>
      <c r="BQ26" t="s">
        <v>336</v>
      </c>
      <c r="BR26" t="str">
        <f>VLOOKUP(G26,Eras!$A$2:$C$10, 2, TRUE)</f>
        <v>vct</v>
      </c>
      <c r="BS26" t="s">
        <v>75</v>
      </c>
      <c r="BT26" t="str">
        <f t="shared" si="89"/>
        <v>vct_Open Wagon</v>
      </c>
      <c r="BU26" t="str">
        <f t="shared" si="90"/>
        <v>wagon_NARROW_GAUGE</v>
      </c>
      <c r="BV26" t="str">
        <f>VLOOKUP($BU26, Constants!$M:$N, 2, FALSE)</f>
        <v/>
      </c>
      <c r="BW26" t="str">
        <f t="shared" si="91"/>
        <v/>
      </c>
      <c r="BX26" t="s">
        <v>298</v>
      </c>
      <c r="BY26" t="str">
        <f t="shared" si="13"/>
        <v/>
      </c>
      <c r="BZ26" t="str">
        <f t="shared" si="92"/>
        <v>{SILVER}Gunpowder vans carried explosives to the quarries served by narrow gauge railways. This example has solid iron construction.</v>
      </c>
    </row>
    <row r="27" spans="1:78" x14ac:dyDescent="0.25">
      <c r="A27" t="s">
        <v>270</v>
      </c>
      <c r="B27" t="s">
        <v>277</v>
      </c>
      <c r="C27">
        <v>94</v>
      </c>
      <c r="D27" t="s">
        <v>32</v>
      </c>
      <c r="E27" t="s">
        <v>32</v>
      </c>
      <c r="F27" t="s">
        <v>345</v>
      </c>
      <c r="G27">
        <v>1870</v>
      </c>
      <c r="T27">
        <v>2</v>
      </c>
      <c r="V27">
        <v>4</v>
      </c>
      <c r="X27" s="4" t="str">
        <f t="shared" si="81"/>
        <v/>
      </c>
      <c r="Y27">
        <v>35</v>
      </c>
      <c r="AA27">
        <v>4.9000000000000004</v>
      </c>
      <c r="AB27">
        <v>6</v>
      </c>
      <c r="AE27" s="10">
        <v>15</v>
      </c>
      <c r="AF27" t="str">
        <f>CONCATENATE(VLOOKUP(AG27, 'Voxel Sizes'!$A$2:$B$18,2,FALSE),"x",INT(AC27*15), "x", INT(AD27*15))</f>
        <v>66x0x0</v>
      </c>
      <c r="AG27">
        <f t="shared" si="1"/>
        <v>4</v>
      </c>
      <c r="AI27" t="str">
        <f>CONCATENATE(VLOOKUP(AG27,Constants!$A$2:$C$16,IF(AH27&lt;&gt;"", 3, 2), FALSE),IF(AH27&lt;&gt;"",CONCATENATE(",",VLOOKUP(AH27,$B:$AI,34,FALSE)),""))</f>
        <v>1,2,1</v>
      </c>
      <c r="AS27">
        <v>80</v>
      </c>
      <c r="AT27" t="str">
        <f t="shared" si="82"/>
        <v/>
      </c>
      <c r="AW27">
        <f t="shared" si="83"/>
        <v>7</v>
      </c>
      <c r="AX27">
        <f t="shared" si="84"/>
        <v>0</v>
      </c>
      <c r="AY27">
        <f t="shared" si="85"/>
        <v>0</v>
      </c>
      <c r="AZ27" s="4">
        <f t="shared" si="86"/>
        <v>1</v>
      </c>
      <c r="BA27">
        <f t="shared" si="87"/>
        <v>2.5</v>
      </c>
      <c r="BB27">
        <f>VLOOKUP($E27,Constants!$I:$K, 2, FALSE)</f>
        <v>1</v>
      </c>
      <c r="BC27">
        <f>VLOOKUP($E27,Constants!$I:$K, 3, FALSE)*IF(AND(D27="multiple_unit",Y27&lt;110),0.75,1)</f>
        <v>0.45</v>
      </c>
      <c r="BD27">
        <f>INT(POWER(((Constants!$G$2+$AW27+$AX27+$AY27+$BA27)*$AZ27)*$BC27, 1.05))+$AV27</f>
        <v>7</v>
      </c>
      <c r="BE27">
        <f>INT(POWER((((Constants!$G$1+$AW27+$AX27+$AY27+$BA27)*($AZ27))*$BB27),IF($D27="wagon",1,1.2)))+$AU27</f>
        <v>24</v>
      </c>
      <c r="BF27" s="13">
        <f t="shared" si="88"/>
        <v>437.5</v>
      </c>
      <c r="BG27" s="13">
        <f t="shared" si="9"/>
        <v>65.52</v>
      </c>
      <c r="BN27">
        <v>1</v>
      </c>
      <c r="BO27">
        <v>185</v>
      </c>
      <c r="BP27" t="s">
        <v>77</v>
      </c>
      <c r="BQ27" t="s">
        <v>287</v>
      </c>
      <c r="BR27" t="str">
        <f>VLOOKUP(G27,Eras!$A$2:$C$10, 2, TRUE)</f>
        <v>vct</v>
      </c>
      <c r="BS27" t="s">
        <v>75</v>
      </c>
      <c r="BT27" t="str">
        <f t="shared" si="89"/>
        <v>vct_Open Wagon</v>
      </c>
      <c r="BU27" t="str">
        <f t="shared" si="90"/>
        <v>wagon_NARROW_GAUGE</v>
      </c>
      <c r="BV27" t="str">
        <f>VLOOKUP($BU27, Constants!$M:$N, 2, FALSE)</f>
        <v/>
      </c>
      <c r="BW27" t="str">
        <f t="shared" si="91"/>
        <v/>
      </c>
      <c r="BX27" t="s">
        <v>299</v>
      </c>
      <c r="BY27" t="str">
        <f t="shared" si="13"/>
        <v/>
      </c>
      <c r="BZ27" t="str">
        <f t="shared" si="92"/>
        <v>{SILVER}Later vans used iron frames to increase their strength and enable running at faster speeds.</v>
      </c>
    </row>
    <row r="28" spans="1:78" x14ac:dyDescent="0.25">
      <c r="A28" t="s">
        <v>233</v>
      </c>
      <c r="B28" t="s">
        <v>228</v>
      </c>
      <c r="C28">
        <v>1061</v>
      </c>
      <c r="D28" t="s">
        <v>32</v>
      </c>
      <c r="E28" t="s">
        <v>161</v>
      </c>
      <c r="F28" t="s">
        <v>28</v>
      </c>
      <c r="G28">
        <v>1906</v>
      </c>
      <c r="I28">
        <v>1955</v>
      </c>
      <c r="T28">
        <v>31</v>
      </c>
      <c r="V28">
        <v>6</v>
      </c>
      <c r="X28" s="4" t="str">
        <f t="shared" ref="X28:X36" si="93">IF(AND(T28&gt;0,W28&gt;0),(W28/((T28+U28)*10)),"")</f>
        <v/>
      </c>
      <c r="Y28">
        <v>100</v>
      </c>
      <c r="AA28">
        <v>17.7</v>
      </c>
      <c r="AB28">
        <v>17.7</v>
      </c>
      <c r="AC28">
        <v>2.83</v>
      </c>
      <c r="AD28">
        <v>3.79</v>
      </c>
      <c r="AE28" s="10">
        <v>57</v>
      </c>
      <c r="AF28" t="str">
        <f>CONCATENATE(VLOOKUP(AG28, 'Voxel Sizes'!$A$2:$B$18,2,FALSE),"x",INT(AC28*15), "x", INT(AD28*15))</f>
        <v>164x42x56</v>
      </c>
      <c r="AG28">
        <f t="shared" si="1"/>
        <v>10</v>
      </c>
      <c r="AI28" t="str">
        <f>CONCATENATE(VLOOKUP(AG28,Constants!$A$2:$C$16,IF(AH28&lt;&gt;"", 3, 2), FALSE),IF(AH28&lt;&gt;"",CONCATENATE(",",VLOOKUP(AH28,$B:$AI,34,FALSE)),""))</f>
        <v>4,2,4</v>
      </c>
      <c r="AS28">
        <v>30</v>
      </c>
      <c r="AT28">
        <f t="shared" ref="AT28:AT34" si="94">IF(I28&lt;&gt;"",MAX(8,(I28-G28)-4),"")</f>
        <v>45</v>
      </c>
      <c r="AU28">
        <v>72</v>
      </c>
      <c r="AV28">
        <f>20*3</f>
        <v>60</v>
      </c>
      <c r="AW28">
        <f t="shared" ref="AW28:AW34" si="95">MIN(Y28/150, 1)*30</f>
        <v>20</v>
      </c>
      <c r="AX28">
        <f t="shared" ref="AX28:AX34" si="96">MIN(K28/4000, 1)*20</f>
        <v>0</v>
      </c>
      <c r="AY28">
        <f t="shared" ref="AY28:AY34" si="97">MIN(W28/400,1)*20</f>
        <v>0</v>
      </c>
      <c r="AZ28" s="4">
        <f t="shared" ref="AZ28:AZ34" si="98">1-(MAX(G28-1900, 0)/750)</f>
        <v>0.99199999999999999</v>
      </c>
      <c r="BA28">
        <f t="shared" ref="BA28:BA34" si="99">((MAX($J28,1)*MIN($AE28/300,1)))*IF(D28="Wagon",50,10)</f>
        <v>9.5</v>
      </c>
      <c r="BB28">
        <f>VLOOKUP($E28,Constants!$I:$K, 2, FALSE)</f>
        <v>1.2</v>
      </c>
      <c r="BC28">
        <f>VLOOKUP($E28,Constants!$I:$K, 3, FALSE)*IF(AND(D28="multiple_unit",Y28&lt;110),0.75,1)</f>
        <v>0.6</v>
      </c>
      <c r="BD28">
        <f>INT(POWER(((Constants!$G$2+$AW28+$AX28+$AY28+$BA28)*$AZ28)*$BC28, 1.05))+$AV28</f>
        <v>83</v>
      </c>
      <c r="BE28">
        <f>INT(POWER((((Constants!$G$1+$AW28+$AX28+$AY28+$BA28)*($AZ28))*$BB28),IF($D28="wagon",1,1.2)))+$AU28</f>
        <v>124</v>
      </c>
      <c r="BF28" s="13">
        <f t="shared" ref="BF28:BF34" si="100">BD28*IF($D28="wagon",62.5,781.25)</f>
        <v>5187.5</v>
      </c>
      <c r="BG28" s="13">
        <f t="shared" si="9"/>
        <v>338.52</v>
      </c>
      <c r="BN28">
        <v>1</v>
      </c>
      <c r="BO28">
        <v>165</v>
      </c>
      <c r="BP28" t="s">
        <v>144</v>
      </c>
      <c r="BQ28" t="s">
        <v>34</v>
      </c>
      <c r="BR28" t="str">
        <f>VLOOKUP(G28,Eras!$A$2:$C$10, 2, TRUE)</f>
        <v>edw</v>
      </c>
      <c r="BS28" t="s">
        <v>70</v>
      </c>
      <c r="BT28" t="str">
        <f t="shared" ref="BT28:BT34" si="101">CONCATENATE(BR28,"_",BS28)</f>
        <v>edw_Carriage</v>
      </c>
      <c r="BU28" t="str">
        <f t="shared" ref="BU28:BU34" si="102">_xlfn.CONCAT(E28, "_",F28)</f>
        <v>carriage_RAIL</v>
      </c>
      <c r="BV28" t="str">
        <f>VLOOKUP($BU28, Constants!$M:$N, 2, FALSE)</f>
        <v/>
      </c>
      <c r="BW28" t="str">
        <f t="shared" ref="BW28:BW34" si="103">IF(J28&gt;1,_xlfn.CONCAT("{BLACK}Cars: {GOLD}", J28),"")</f>
        <v/>
      </c>
      <c r="BX28" t="s">
        <v>231</v>
      </c>
      <c r="BY28" t="str">
        <f t="shared" si="13"/>
        <v>{YELLOW}10% Penalty for long distance travel{}</v>
      </c>
      <c r="BZ28" t="str">
        <f t="shared" ref="BZ28:BZ34" si="104">_xlfn.CONCAT(BV28,IF(BV28 &lt;&gt; "", " ", ""),BW28,IF(OR(BW28&lt;&gt;"", BV28&lt;&gt;""), "{}",""), BY28,"{SILVER}", BX28)</f>
        <v>{YELLOW}10% Penalty for long distance travel{}{SILVER}Non-corridor carriages allow greater seating density, at the cost of passenger comfort.</v>
      </c>
    </row>
    <row r="29" spans="1:78" x14ac:dyDescent="0.25">
      <c r="A29" t="s">
        <v>229</v>
      </c>
      <c r="B29" t="s">
        <v>230</v>
      </c>
      <c r="C29">
        <v>1521</v>
      </c>
      <c r="D29" t="s">
        <v>32</v>
      </c>
      <c r="E29" t="s">
        <v>161</v>
      </c>
      <c r="F29" t="s">
        <v>28</v>
      </c>
      <c r="G29">
        <v>1952</v>
      </c>
      <c r="H29">
        <v>1963</v>
      </c>
      <c r="I29">
        <v>1977</v>
      </c>
      <c r="T29">
        <v>30</v>
      </c>
      <c r="V29">
        <v>6</v>
      </c>
      <c r="X29" s="4" t="str">
        <f t="shared" si="93"/>
        <v/>
      </c>
      <c r="Y29">
        <v>100</v>
      </c>
      <c r="AA29">
        <v>19.3</v>
      </c>
      <c r="AB29">
        <v>20</v>
      </c>
      <c r="AE29" s="10">
        <v>66</v>
      </c>
      <c r="AF29" t="str">
        <f>CONCATENATE(VLOOKUP(AG29, 'Voxel Sizes'!$A$2:$B$18,2,FALSE),"x",INT(AC29*15), "x", INT(AD29*15))</f>
        <v>198x0x0</v>
      </c>
      <c r="AG29">
        <f t="shared" si="1"/>
        <v>12</v>
      </c>
      <c r="AI29" t="str">
        <f>CONCATENATE(VLOOKUP(AG29,Constants!$A$2:$C$16,IF(AH29&lt;&gt;"", 3, 2), FALSE),IF(AH29&lt;&gt;"",CONCATENATE(",",VLOOKUP(AH29,$B:$AI,34,FALSE)),""))</f>
        <v>4,4,4</v>
      </c>
      <c r="AS29">
        <v>30</v>
      </c>
      <c r="AT29">
        <f t="shared" si="94"/>
        <v>21</v>
      </c>
      <c r="AU29">
        <v>76</v>
      </c>
      <c r="AV29">
        <f>23*3</f>
        <v>69</v>
      </c>
      <c r="AW29">
        <f t="shared" si="95"/>
        <v>20</v>
      </c>
      <c r="AX29">
        <f t="shared" si="96"/>
        <v>0</v>
      </c>
      <c r="AY29">
        <f t="shared" si="97"/>
        <v>0</v>
      </c>
      <c r="AZ29" s="4">
        <f t="shared" si="98"/>
        <v>0.93066666666666664</v>
      </c>
      <c r="BA29">
        <f t="shared" si="99"/>
        <v>11</v>
      </c>
      <c r="BB29">
        <f>VLOOKUP($E29,Constants!$I:$K, 2, FALSE)</f>
        <v>1.2</v>
      </c>
      <c r="BC29">
        <f>VLOOKUP($E29,Constants!$I:$K, 3, FALSE)*IF(AND(D29="multiple_unit",Y29&lt;110),0.75,1)</f>
        <v>0.6</v>
      </c>
      <c r="BD29">
        <f>INT(POWER(((Constants!$G$2+$AW29+$AX29+$AY29+$BA29)*$AZ29)*$BC29, 1.05))+$AV29</f>
        <v>92</v>
      </c>
      <c r="BE29">
        <f>INT(POWER((((Constants!$G$1+$AW29+$AX29+$AY29+$BA29)*($AZ29))*$BB29),IF($D29="wagon",1,1.2)))+$AU29</f>
        <v>127</v>
      </c>
      <c r="BF29" s="13">
        <f t="shared" si="100"/>
        <v>5750</v>
      </c>
      <c r="BG29" s="13">
        <f t="shared" si="9"/>
        <v>346.71</v>
      </c>
      <c r="BN29">
        <v>1</v>
      </c>
      <c r="BO29">
        <v>165</v>
      </c>
      <c r="BP29" t="s">
        <v>144</v>
      </c>
      <c r="BQ29" t="s">
        <v>34</v>
      </c>
      <c r="BR29" t="str">
        <f>VLOOKUP(G29,Eras!$A$2:$C$10, 2, TRUE)</f>
        <v>ebr</v>
      </c>
      <c r="BS29" t="s">
        <v>70</v>
      </c>
      <c r="BT29" t="str">
        <f t="shared" si="101"/>
        <v>ebr_Carriage</v>
      </c>
      <c r="BU29" t="str">
        <f t="shared" si="102"/>
        <v>carriage_RAIL</v>
      </c>
      <c r="BV29" t="str">
        <f>VLOOKUP($BU29, Constants!$M:$N, 2, FALSE)</f>
        <v/>
      </c>
      <c r="BW29" t="str">
        <f t="shared" si="103"/>
        <v/>
      </c>
      <c r="BX29" t="s">
        <v>232</v>
      </c>
      <c r="BY29" t="str">
        <f t="shared" si="13"/>
        <v>{YELLOW}10% Penalty for long distance travel{}</v>
      </c>
      <c r="BZ29" t="str">
        <f t="shared" si="104"/>
        <v>{YELLOW}10% Penalty for long distance travel{}{SILVER}BR built many suburban MK1 carriages with no gangways, although typically only one or two would be used per train across most of the country.</v>
      </c>
    </row>
    <row r="30" spans="1:78" x14ac:dyDescent="0.25">
      <c r="A30" t="s">
        <v>337</v>
      </c>
      <c r="B30" t="s">
        <v>342</v>
      </c>
      <c r="C30">
        <v>1601</v>
      </c>
      <c r="D30" t="s">
        <v>32</v>
      </c>
      <c r="E30" t="s">
        <v>161</v>
      </c>
      <c r="F30" t="s">
        <v>28</v>
      </c>
      <c r="G30">
        <v>1960</v>
      </c>
      <c r="T30">
        <v>28</v>
      </c>
      <c r="V30">
        <v>4</v>
      </c>
      <c r="X30" s="4" t="str">
        <f t="shared" si="93"/>
        <v/>
      </c>
      <c r="Y30">
        <v>25</v>
      </c>
      <c r="AA30">
        <v>16.2</v>
      </c>
      <c r="AB30">
        <v>16.2</v>
      </c>
      <c r="AC30">
        <v>2.8</v>
      </c>
      <c r="AE30" s="10">
        <v>42</v>
      </c>
      <c r="AF30" t="s">
        <v>343</v>
      </c>
      <c r="AG30">
        <f t="shared" si="1"/>
        <v>9</v>
      </c>
      <c r="AI30" t="str">
        <f>CONCATENATE(VLOOKUP(AG30,Constants!$A$2:$C$16,IF(AH30&lt;&gt;"", 3, 2), FALSE),IF(AH30&lt;&gt;"",CONCATENATE(",",VLOOKUP(AH30,$B:$AI,34,FALSE)),""))</f>
        <v>2,5,2</v>
      </c>
      <c r="AS30">
        <v>30</v>
      </c>
      <c r="AT30" t="str">
        <f t="shared" si="94"/>
        <v/>
      </c>
      <c r="AU30">
        <v>69</v>
      </c>
      <c r="AV30">
        <v>57</v>
      </c>
      <c r="AW30">
        <f t="shared" si="95"/>
        <v>5</v>
      </c>
      <c r="AX30">
        <f t="shared" si="96"/>
        <v>0</v>
      </c>
      <c r="AY30">
        <f t="shared" si="97"/>
        <v>0</v>
      </c>
      <c r="AZ30" s="4">
        <f t="shared" ref="AZ30:AZ31" si="105">1-(MAX(G30-1900, 0)/750)</f>
        <v>0.92</v>
      </c>
      <c r="BA30">
        <f t="shared" ref="BA30:BA31" si="106">((MAX($J30,1)*MIN($AE30/300,1)))*IF(D30="Wagon",50,10)</f>
        <v>7.0000000000000009</v>
      </c>
      <c r="BB30">
        <f>VLOOKUP($E30,Constants!$I:$K, 2, FALSE)</f>
        <v>1.2</v>
      </c>
      <c r="BC30">
        <f>VLOOKUP($E30,Constants!$I:$K, 3, FALSE)*IF(AND(D30="multiple_unit",Y30&lt;110),0.75,1)</f>
        <v>0.6</v>
      </c>
      <c r="BD30">
        <f>INT(POWER(((Constants!$G$2+$AW30+$AX30+$AY30+$BA30)*$AZ30)*$BC30, 1.05))+$AV30</f>
        <v>67</v>
      </c>
      <c r="BE30">
        <f>INT(POWER((((Constants!$G$1+$AW30+$AX30+$AY30+$BA30)*($AZ30))*$BB30),IF($D30="wagon",1,1.2)))+$AU30</f>
        <v>98</v>
      </c>
      <c r="BF30" s="13">
        <f t="shared" ref="BF30:BF31" si="107">BD30*IF($D30="wagon",62.5,781.25)</f>
        <v>4187.5</v>
      </c>
      <c r="BG30" s="13">
        <f t="shared" ref="BG30:BG31" si="108">BE30*IF($D30="wagon",2.73,81.25)</f>
        <v>267.54000000000002</v>
      </c>
      <c r="BN30">
        <v>1</v>
      </c>
      <c r="BO30">
        <v>74</v>
      </c>
      <c r="BP30" t="s">
        <v>278</v>
      </c>
      <c r="BQ30" t="s">
        <v>34</v>
      </c>
      <c r="BR30" t="str">
        <f>VLOOKUP(G30,Eras!$A$2:$C$10, 2, TRUE)</f>
        <v>dsl</v>
      </c>
      <c r="BS30" t="s">
        <v>70</v>
      </c>
      <c r="BT30" t="str">
        <f t="shared" ref="BT30:BT31" si="109">CONCATENATE(BR30,"_",BS30)</f>
        <v>dsl_Carriage</v>
      </c>
      <c r="BU30" t="str">
        <f t="shared" ref="BU30:BU31" si="110">_xlfn.CONCAT(E30, "_",F30)</f>
        <v>carriage_RAIL</v>
      </c>
      <c r="BV30" t="str">
        <f>VLOOKUP($BU30, Constants!$M:$N, 2, FALSE)</f>
        <v/>
      </c>
      <c r="BW30" t="str">
        <f t="shared" ref="BW30:BW31" si="111">IF(J30&gt;1,_xlfn.CONCAT("{BLACK}Cars: {GOLD}", J30),"")</f>
        <v/>
      </c>
      <c r="BX30" t="s">
        <v>340</v>
      </c>
      <c r="BY30" t="str">
        <f t="shared" ref="BY30:BY31" si="112">IF(BQ30="BRAKE","{YELLOW}Speed bonus for slow wagons{}",IF(BP30="NGPassengers", "{YELLOW}Preserved railway bonus: passengers pay more when hauled by old locomotives{}", IF(BO30&gt;190,CONCATENATE("{YELLOW}",INT((BO30-185)/1.85),"% Bonus for long distance travel{}"),IF(AND(BO30&lt;180,BO30&lt;&gt;0),CONCATENATE("{YELLOW}",INT((185-BO30)/1.85),"% Penalty for long distance travel{}"),""))))</f>
        <v>{YELLOW}Preserved railway bonus: passengers pay more when hauled by old locomotives{}</v>
      </c>
      <c r="BZ30" t="str">
        <f t="shared" ref="BZ30:BZ31" si="113">_xlfn.CONCAT(BV30,IF(BV30 &lt;&gt; "", " ", ""),BW30,IF(OR(BW30&lt;&gt;"", BV30&lt;&gt;""), "{}",""), BY30,"{SILVER}", BX30)</f>
        <v>{YELLOW}Preserved railway bonus: passengers pay more when hauled by old locomotives{}{SILVER}The first standard gauge preservation railway in the UK was the Bluebell Railway, opened in 1960. Preservation lines are limited to 25mph.</v>
      </c>
    </row>
    <row r="31" spans="1:78" x14ac:dyDescent="0.25">
      <c r="A31" t="s">
        <v>338</v>
      </c>
      <c r="B31" t="s">
        <v>339</v>
      </c>
      <c r="C31">
        <v>1751</v>
      </c>
      <c r="D31" t="s">
        <v>32</v>
      </c>
      <c r="E31" t="s">
        <v>161</v>
      </c>
      <c r="F31" t="s">
        <v>28</v>
      </c>
      <c r="G31">
        <v>1979</v>
      </c>
      <c r="H31">
        <v>1963</v>
      </c>
      <c r="T31">
        <v>32.5</v>
      </c>
      <c r="V31">
        <v>5</v>
      </c>
      <c r="X31" s="4" t="str">
        <f t="shared" si="93"/>
        <v/>
      </c>
      <c r="Y31">
        <v>25</v>
      </c>
      <c r="AA31">
        <v>19.3</v>
      </c>
      <c r="AB31">
        <v>20</v>
      </c>
      <c r="AE31" s="10">
        <v>54</v>
      </c>
      <c r="AF31" t="s">
        <v>344</v>
      </c>
      <c r="AG31">
        <f t="shared" si="1"/>
        <v>12</v>
      </c>
      <c r="AI31" t="str">
        <f>CONCATENATE(VLOOKUP(AG31,Constants!$A$2:$C$16,IF(AH31&lt;&gt;"", 3, 2), FALSE),IF(AH31&lt;&gt;"",CONCATENATE(",",VLOOKUP(AH31,$B:$AI,34,FALSE)),""))</f>
        <v>4,4,4</v>
      </c>
      <c r="AS31">
        <v>30</v>
      </c>
      <c r="AT31" t="str">
        <f t="shared" si="94"/>
        <v/>
      </c>
      <c r="AU31">
        <v>76</v>
      </c>
      <c r="AV31">
        <f>23*3</f>
        <v>69</v>
      </c>
      <c r="AW31">
        <f t="shared" si="95"/>
        <v>5</v>
      </c>
      <c r="AX31">
        <f t="shared" si="96"/>
        <v>0</v>
      </c>
      <c r="AY31">
        <f t="shared" si="97"/>
        <v>0</v>
      </c>
      <c r="AZ31" s="4">
        <f t="shared" si="105"/>
        <v>0.89466666666666672</v>
      </c>
      <c r="BA31">
        <f t="shared" si="106"/>
        <v>9</v>
      </c>
      <c r="BB31">
        <f>VLOOKUP($E31,Constants!$I:$K, 2, FALSE)</f>
        <v>1.2</v>
      </c>
      <c r="BC31">
        <f>VLOOKUP($E31,Constants!$I:$K, 3, FALSE)*IF(AND(D31="multiple_unit",Y31&lt;110),0.75,1)</f>
        <v>0.6</v>
      </c>
      <c r="BD31">
        <f>INT(POWER(((Constants!$G$2+$AW31+$AX31+$AY31+$BA31)*$AZ31)*$BC31, 1.05))+$AV31</f>
        <v>80</v>
      </c>
      <c r="BE31">
        <f>INT(POWER((((Constants!$G$1+$AW31+$AX31+$AY31+$BA31)*($AZ31))*$BB31),IF($D31="wagon",1,1.2)))+$AU31</f>
        <v>107</v>
      </c>
      <c r="BF31" s="13">
        <f t="shared" si="107"/>
        <v>5000</v>
      </c>
      <c r="BG31" s="13">
        <f t="shared" si="108"/>
        <v>292.11</v>
      </c>
      <c r="BN31">
        <v>1</v>
      </c>
      <c r="BO31">
        <v>74</v>
      </c>
      <c r="BP31" t="s">
        <v>278</v>
      </c>
      <c r="BQ31" t="s">
        <v>34</v>
      </c>
      <c r="BR31" t="str">
        <f>VLOOKUP(G31,Eras!$A$2:$C$10, 2, TRUE)</f>
        <v>lbr</v>
      </c>
      <c r="BS31" t="s">
        <v>70</v>
      </c>
      <c r="BT31" t="str">
        <f t="shared" si="109"/>
        <v>lbr_Carriage</v>
      </c>
      <c r="BU31" t="str">
        <f t="shared" si="110"/>
        <v>carriage_RAIL</v>
      </c>
      <c r="BV31" t="str">
        <f>VLOOKUP($BU31, Constants!$M:$N, 2, FALSE)</f>
        <v/>
      </c>
      <c r="BW31" t="str">
        <f t="shared" si="111"/>
        <v/>
      </c>
      <c r="BX31" t="s">
        <v>341</v>
      </c>
      <c r="BY31" t="str">
        <f t="shared" si="112"/>
        <v>{YELLOW}Preserved railway bonus: passengers pay more when hauled by old locomotives{}</v>
      </c>
      <c r="BZ31" t="str">
        <f t="shared" si="113"/>
        <v>{YELLOW}Preserved railway bonus: passengers pay more when hauled by old locomotives{}{SILVER}The ubiquity of the BR Mk1 carriage has made it a mainstay of preserved railways across the UK.</v>
      </c>
    </row>
    <row r="32" spans="1:78" x14ac:dyDescent="0.25">
      <c r="A32" t="s">
        <v>240</v>
      </c>
      <c r="B32" t="s">
        <v>241</v>
      </c>
      <c r="C32">
        <v>991</v>
      </c>
      <c r="D32" t="s">
        <v>239</v>
      </c>
      <c r="E32" t="s">
        <v>25</v>
      </c>
      <c r="F32" t="s">
        <v>28</v>
      </c>
      <c r="G32">
        <v>1899</v>
      </c>
      <c r="I32">
        <v>1933</v>
      </c>
      <c r="K32">
        <v>180</v>
      </c>
      <c r="M32" s="6">
        <v>11.5</v>
      </c>
      <c r="N32" s="6">
        <v>18</v>
      </c>
      <c r="O32" s="6">
        <v>2</v>
      </c>
      <c r="P32" s="6">
        <v>175</v>
      </c>
      <c r="Q32" s="14">
        <f>((($Y32/2)/60)*5280)/($R32*3.2*PI())</f>
        <v>128.72826279491534</v>
      </c>
      <c r="R32" s="6">
        <v>1.7</v>
      </c>
      <c r="S32" s="6">
        <f>((($M32*$M32/4)*PI())*($N32/12)*$O32*$P32*$Q32)/(33000*1.1)</f>
        <v>193.38026403743311</v>
      </c>
      <c r="T32">
        <v>38</v>
      </c>
      <c r="V32">
        <v>5</v>
      </c>
      <c r="W32">
        <v>24</v>
      </c>
      <c r="X32" s="4">
        <f t="shared" si="93"/>
        <v>6.3157894736842107E-2</v>
      </c>
      <c r="Y32">
        <v>50</v>
      </c>
      <c r="AA32">
        <v>10.9</v>
      </c>
      <c r="AB32">
        <v>12</v>
      </c>
      <c r="AE32" s="10">
        <v>12</v>
      </c>
      <c r="AF32" t="str">
        <f>CONCATENATE(VLOOKUP(AG32, 'Voxel Sizes'!$A$2:$B$18,2,FALSE),"x",INT(AC32*15), "x", INT(AD32*15))</f>
        <v>120x0x0</v>
      </c>
      <c r="AG32">
        <f t="shared" si="1"/>
        <v>7</v>
      </c>
      <c r="AI32" t="str">
        <f>CONCATENATE(VLOOKUP(AG32,Constants!$A$2:$C$16,IF(AH32&lt;&gt;"", 3, 2), FALSE),IF(AH32&lt;&gt;"",CONCATENATE(",",VLOOKUP(AH32,$B:$AI,34,FALSE)),""))</f>
        <v>2,3,2</v>
      </c>
      <c r="AQ32">
        <v>1</v>
      </c>
      <c r="AS32">
        <v>26</v>
      </c>
      <c r="AT32">
        <f t="shared" si="94"/>
        <v>30</v>
      </c>
      <c r="AU32">
        <v>-14</v>
      </c>
      <c r="AV32">
        <v>-4</v>
      </c>
      <c r="AW32">
        <f t="shared" si="95"/>
        <v>10</v>
      </c>
      <c r="AX32">
        <f t="shared" si="96"/>
        <v>0.89999999999999991</v>
      </c>
      <c r="AY32">
        <f t="shared" si="97"/>
        <v>1.2</v>
      </c>
      <c r="AZ32" s="4">
        <f t="shared" si="98"/>
        <v>1</v>
      </c>
      <c r="BA32">
        <f t="shared" si="99"/>
        <v>0.4</v>
      </c>
      <c r="BB32">
        <f>VLOOKUP($E32,Constants!$I:$K, 2, FALSE)</f>
        <v>1.1499999999999999</v>
      </c>
      <c r="BC32">
        <f>VLOOKUP($E32,Constants!$I:$K, 3, FALSE)*IF(AND(D32="multiple_unit",Y32&lt;110),0.75,1)</f>
        <v>1.7</v>
      </c>
      <c r="BD32">
        <f>INT(POWER(((Constants!$G$2+$AW32+$AX32+$AY32+$BA32)*$AZ32)*$BC32, 1.05))+$AV32</f>
        <v>31</v>
      </c>
      <c r="BE32">
        <f>INT(POWER((((Constants!$G$1+$AW32+$AX32+$AY32+$BA32)*($AZ32))*$BB32),IF($D32="wagon",1,1.2)))+$AU32</f>
        <v>49</v>
      </c>
      <c r="BF32" s="13">
        <f t="shared" ref="BF32" si="114">BD32*IF($D32="wagon",62.5,781.25)</f>
        <v>24218.75</v>
      </c>
      <c r="BG32" s="13">
        <f t="shared" si="9"/>
        <v>3981.25</v>
      </c>
      <c r="BN32">
        <v>4</v>
      </c>
      <c r="BP32" t="s">
        <v>144</v>
      </c>
      <c r="BQ32" t="s">
        <v>34</v>
      </c>
      <c r="BR32" t="str">
        <f>VLOOKUP(G32,Eras!$A$2:$C$10, 2, TRUE)</f>
        <v>vct</v>
      </c>
      <c r="BS32" t="s">
        <v>61</v>
      </c>
      <c r="BT32" t="str">
        <f t="shared" si="101"/>
        <v>vct_Cheap</v>
      </c>
      <c r="BU32" t="str">
        <f t="shared" si="102"/>
        <v>steam_RAIL</v>
      </c>
      <c r="BV32" t="str">
        <f>VLOOKUP($BU32, Constants!$M:$N, 2, FALSE)</f>
        <v>{BLACK}Powered by: {GOLD}Steam</v>
      </c>
      <c r="BW32" t="str">
        <f t="shared" si="103"/>
        <v/>
      </c>
      <c r="BX32" t="s">
        <v>242</v>
      </c>
      <c r="BY32" t="str">
        <f t="shared" si="13"/>
        <v/>
      </c>
      <c r="BZ32" t="str">
        <f t="shared" si="104"/>
        <v>{BLACK}Powered by: {GOLD}Steam {}{SILVER}The F9 was Dugald Drummond's personal locomotive, allowing him to travel across the LSWR for inspections. After Drummond it only saw occasional use at Southampton Docks.</v>
      </c>
    </row>
    <row r="33" spans="1:78" x14ac:dyDescent="0.25">
      <c r="A33" t="s">
        <v>235</v>
      </c>
      <c r="B33" t="s">
        <v>236</v>
      </c>
      <c r="C33">
        <v>3591</v>
      </c>
      <c r="D33" t="s">
        <v>234</v>
      </c>
      <c r="E33" t="s">
        <v>26</v>
      </c>
      <c r="F33" t="s">
        <v>28</v>
      </c>
      <c r="G33">
        <v>1959</v>
      </c>
      <c r="H33">
        <v>1961</v>
      </c>
      <c r="I33">
        <v>1999</v>
      </c>
      <c r="J33">
        <v>3</v>
      </c>
      <c r="K33">
        <v>600</v>
      </c>
      <c r="T33">
        <f>36.6+36.6+30.5</f>
        <v>103.7</v>
      </c>
      <c r="V33">
        <v>6</v>
      </c>
      <c r="W33">
        <v>83</v>
      </c>
      <c r="X33" s="4">
        <f t="shared" si="93"/>
        <v>8.0038572806171646E-2</v>
      </c>
      <c r="Y33">
        <v>70</v>
      </c>
      <c r="AA33">
        <v>19.5</v>
      </c>
      <c r="AB33">
        <v>19.5</v>
      </c>
      <c r="AD33">
        <v>3.77</v>
      </c>
      <c r="AE33" s="10">
        <v>60</v>
      </c>
      <c r="AF33" t="str">
        <f>CONCATENATE(VLOOKUP(AG33, 'Voxel Sizes'!$A$2:$B$18,2,FALSE),"x",INT(AC33*15), "x", INT(AD33*15))</f>
        <v>186x0x56</v>
      </c>
      <c r="AG33">
        <f t="shared" si="1"/>
        <v>11</v>
      </c>
      <c r="AI33" t="str">
        <f>CONCATENATE(VLOOKUP(AG33,Constants!$A$2:$C$16,IF(AH33&lt;&gt;"", 3, 2), FALSE),IF(AH33&lt;&gt;"",CONCATENATE(",",VLOOKUP(AH33,$B:$AI,34,FALSE)),""))</f>
        <v>4,3,4</v>
      </c>
      <c r="AM33" t="s">
        <v>237</v>
      </c>
      <c r="AO33" t="s">
        <v>37</v>
      </c>
      <c r="AS33">
        <v>42</v>
      </c>
      <c r="AT33">
        <f t="shared" si="94"/>
        <v>36</v>
      </c>
      <c r="AU33">
        <v>-10</v>
      </c>
      <c r="AV33">
        <v>-15</v>
      </c>
      <c r="AW33">
        <f t="shared" si="95"/>
        <v>14</v>
      </c>
      <c r="AX33">
        <f t="shared" si="96"/>
        <v>3</v>
      </c>
      <c r="AY33">
        <f t="shared" si="97"/>
        <v>4.1499999999999995</v>
      </c>
      <c r="AZ33" s="4">
        <f t="shared" si="98"/>
        <v>0.92133333333333334</v>
      </c>
      <c r="BA33">
        <f t="shared" si="99"/>
        <v>6.0000000000000009</v>
      </c>
      <c r="BB33">
        <v>1</v>
      </c>
      <c r="BC33">
        <v>1.5</v>
      </c>
      <c r="BD33">
        <f>INT(POWER(((Constants!$G$2+$AW33+$AX33+$AY33+$BA33)*$AZ33)*$BC33, 1.05))+$AV33</f>
        <v>38</v>
      </c>
      <c r="BE33">
        <f>INT(POWER((((Constants!$G$1+$AW33+$AX33+$AY33+$BA33)*($AZ33))*$BB33),IF($D33="wagon",1,1.2)))+$AU33</f>
        <v>70</v>
      </c>
      <c r="BF33" s="13">
        <f t="shared" si="100"/>
        <v>29687.5</v>
      </c>
      <c r="BG33" s="13">
        <f t="shared" si="9"/>
        <v>5687.5</v>
      </c>
      <c r="BN33">
        <v>5</v>
      </c>
      <c r="BP33" t="s">
        <v>144</v>
      </c>
      <c r="BQ33" t="s">
        <v>34</v>
      </c>
      <c r="BR33" t="str">
        <f>VLOOKUP(G33,Eras!$A$2:$C$10, 2, TRUE)</f>
        <v>dsl</v>
      </c>
      <c r="BS33" t="s">
        <v>66</v>
      </c>
      <c r="BT33" t="str">
        <f t="shared" si="101"/>
        <v>dsl_DMU</v>
      </c>
      <c r="BU33" t="str">
        <f t="shared" si="102"/>
        <v>diesel_RAIL</v>
      </c>
      <c r="BV33" t="str">
        <f>VLOOKUP($BU33, Constants!$M:$N, 2, FALSE)</f>
        <v>{BLACK}Powered by: {GOLD}Diesel</v>
      </c>
      <c r="BW33" t="str">
        <f t="shared" si="103"/>
        <v>{BLACK}Cars: {GOLD}3</v>
      </c>
      <c r="BX33" t="s">
        <v>238</v>
      </c>
      <c r="BY33" t="str">
        <f t="shared" si="13"/>
        <v/>
      </c>
      <c r="BZ33" t="str">
        <f t="shared" si="104"/>
        <v>{BLACK}Powered by: {GOLD}Diesel {BLACK}Cars: {GOLD}3{}{SILVER}The Class 117 was built under licence by Pressed Steel, being a variant of the Class 116 built by BRCW Derby.</v>
      </c>
    </row>
    <row r="34" spans="1:78" x14ac:dyDescent="0.25">
      <c r="A34" t="s">
        <v>351</v>
      </c>
      <c r="B34" t="s">
        <v>353</v>
      </c>
      <c r="C34">
        <v>2611</v>
      </c>
      <c r="D34" t="s">
        <v>239</v>
      </c>
      <c r="E34" t="s">
        <v>26</v>
      </c>
      <c r="F34" t="s">
        <v>28</v>
      </c>
      <c r="G34">
        <v>1961</v>
      </c>
      <c r="I34">
        <v>1978</v>
      </c>
      <c r="K34">
        <v>2880</v>
      </c>
      <c r="T34">
        <v>117</v>
      </c>
      <c r="W34">
        <v>266</v>
      </c>
      <c r="X34" s="4">
        <f t="shared" ref="X34" si="115">IF(AND(T34&gt;0,W34&gt;0),(W34/((T34+U34)*10)),"")</f>
        <v>0.22735042735042735</v>
      </c>
      <c r="Y34">
        <v>100</v>
      </c>
      <c r="AA34">
        <v>20.98</v>
      </c>
      <c r="AB34">
        <v>20.98</v>
      </c>
      <c r="AC34">
        <v>2.69</v>
      </c>
      <c r="AD34">
        <v>3.91</v>
      </c>
      <c r="AF34" t="str">
        <f>CONCATENATE(VLOOKUP(AG34, 'Voxel Sizes'!$A$2:$B$18,2,FALSE),"x",INT(AC34*15), "x", INT(AD34*15))</f>
        <v>198x40x58</v>
      </c>
      <c r="AG34">
        <f t="shared" si="1"/>
        <v>12</v>
      </c>
      <c r="AI34" t="str">
        <f>CONCATENATE(VLOOKUP(AG34,Constants!$A$2:$C$16,IF(AH34&lt;&gt;"", 3, 2), FALSE),IF(AH34&lt;&gt;"",CONCATENATE(",",VLOOKUP(AH34,$B:$AI,34,FALSE)),""))</f>
        <v>4,4,4</v>
      </c>
      <c r="AS34">
        <v>22</v>
      </c>
      <c r="AT34">
        <f t="shared" si="94"/>
        <v>13</v>
      </c>
      <c r="AU34">
        <v>2</v>
      </c>
      <c r="AV34">
        <v>3</v>
      </c>
      <c r="AW34">
        <f t="shared" si="95"/>
        <v>20</v>
      </c>
      <c r="AX34">
        <f t="shared" si="96"/>
        <v>14.399999999999999</v>
      </c>
      <c r="AY34">
        <f t="shared" si="97"/>
        <v>13.3</v>
      </c>
      <c r="AZ34" s="4">
        <f t="shared" si="98"/>
        <v>0.91866666666666663</v>
      </c>
      <c r="BA34">
        <f t="shared" si="99"/>
        <v>0</v>
      </c>
      <c r="BB34">
        <v>1</v>
      </c>
      <c r="BC34">
        <v>1.5</v>
      </c>
      <c r="BD34">
        <f>INT(POWER(((Constants!$G$2+$AW34+$AX34+$AY34+$BA34)*$AZ34)*$BC34, 1.05))+$AV34</f>
        <v>92</v>
      </c>
      <c r="BE34">
        <f>INT(POWER((((Constants!$G$1+$AW34+$AX34+$AY34+$BA34)*($AZ34))*$BB34),IF($D34="wagon",1,1.2)))+$AU34</f>
        <v>131</v>
      </c>
      <c r="BF34" s="13">
        <f t="shared" si="100"/>
        <v>71875</v>
      </c>
      <c r="BG34" s="13">
        <f t="shared" si="9"/>
        <v>10643.75</v>
      </c>
      <c r="BN34">
        <v>6</v>
      </c>
      <c r="BR34" t="str">
        <f>VLOOKUP(G34,Eras!$A$2:$C$10, 2, TRUE)</f>
        <v>dsl</v>
      </c>
      <c r="BS34" t="s">
        <v>64</v>
      </c>
      <c r="BT34" t="str">
        <f t="shared" si="101"/>
        <v>dsl_Freight</v>
      </c>
      <c r="BU34" t="str">
        <f t="shared" si="102"/>
        <v>diesel_RAIL</v>
      </c>
      <c r="BV34" t="str">
        <f>VLOOKUP($BU34, Constants!$M:$N, 2, FALSE)</f>
        <v>{BLACK}Powered by: {GOLD}Diesel</v>
      </c>
      <c r="BW34" t="str">
        <f t="shared" si="103"/>
        <v/>
      </c>
      <c r="BX34" t="s">
        <v>352</v>
      </c>
      <c r="BY34" t="str">
        <f t="shared" si="13"/>
        <v/>
      </c>
      <c r="BZ34" t="str">
        <f t="shared" si="104"/>
        <v>{BLACK}Powered by: {GOLD}Diesel {}{SILVER}Brush's "Falcon" was a prototype for a new generation of Type 4 locomotives, but advances in single-engined diesel made the Falcon with its two Maybach diesels obsolete at the point of introduction.</v>
      </c>
    </row>
    <row r="35" spans="1:78" x14ac:dyDescent="0.25">
      <c r="A35" t="s">
        <v>346</v>
      </c>
      <c r="B35" t="s">
        <v>316</v>
      </c>
      <c r="C35">
        <v>2671</v>
      </c>
      <c r="D35" t="s">
        <v>239</v>
      </c>
      <c r="E35" t="s">
        <v>26</v>
      </c>
      <c r="F35" t="s">
        <v>28</v>
      </c>
      <c r="G35">
        <v>1967</v>
      </c>
      <c r="I35">
        <v>1982</v>
      </c>
      <c r="K35">
        <v>4000</v>
      </c>
      <c r="T35">
        <v>126</v>
      </c>
      <c r="W35">
        <v>270</v>
      </c>
      <c r="X35" s="4">
        <f t="shared" si="93"/>
        <v>0.21428571428571427</v>
      </c>
      <c r="Y35">
        <v>110</v>
      </c>
      <c r="AA35">
        <v>20.27</v>
      </c>
      <c r="AB35">
        <v>20.27</v>
      </c>
      <c r="AC35">
        <v>2.69</v>
      </c>
      <c r="AD35">
        <v>3.91</v>
      </c>
      <c r="AF35" t="str">
        <f>CONCATENATE(VLOOKUP(AG35, 'Voxel Sizes'!$A$2:$B$18,2,FALSE),"x",INT(AC35*15), "x", INT(AD35*15))</f>
        <v>198x40x58</v>
      </c>
      <c r="AG35">
        <f t="shared" ref="AG35:AG37" si="116">ROUND(15*((AB35*10)/256),0)</f>
        <v>12</v>
      </c>
      <c r="AI35" t="str">
        <f>CONCATENATE(VLOOKUP(AG35,Constants!$A$2:$C$16,IF(AH35&lt;&gt;"", 3, 2), FALSE),IF(AH35&lt;&gt;"",CONCATENATE(",",VLOOKUP(AH35,$B:$AI,34,FALSE)),""))</f>
        <v>4,4,4</v>
      </c>
      <c r="AS35">
        <v>21</v>
      </c>
      <c r="AT35">
        <f t="shared" ref="AT35:AT37" si="117">IF(I35&lt;&gt;"",MAX(8,(I35-G35)-4),"")</f>
        <v>11</v>
      </c>
      <c r="AV35">
        <v>2</v>
      </c>
      <c r="AW35">
        <f t="shared" ref="AW35:AW37" si="118">MIN(Y35/150, 1)*30</f>
        <v>22</v>
      </c>
      <c r="AX35">
        <f t="shared" ref="AX35:AX37" si="119">MIN(K35/4000, 1)*20</f>
        <v>20</v>
      </c>
      <c r="AY35">
        <f t="shared" ref="AY35:AY37" si="120">MIN(W35/400,1)*20</f>
        <v>13.5</v>
      </c>
      <c r="AZ35" s="4">
        <f t="shared" ref="AZ35:AZ37" si="121">1-(MAX(G35-1900, 0)/750)</f>
        <v>0.91066666666666662</v>
      </c>
      <c r="BA35">
        <f t="shared" ref="BA35:BA37" si="122">((MAX($J35,1)*MIN($AE35/300,1)))*IF(D35="Wagon",50,10)</f>
        <v>0</v>
      </c>
      <c r="BB35">
        <v>1</v>
      </c>
      <c r="BC35">
        <v>1.5</v>
      </c>
      <c r="BD35">
        <f>INT(POWER(((Constants!$G$2+$AW35+$AX35+$AY35+$BA35)*$AZ35)*$BC35, 1.05))+$AV35</f>
        <v>105</v>
      </c>
      <c r="BE35">
        <f>INT(POWER((((Constants!$G$1+$AW35+$AX35+$AY35+$BA35)*($AZ35))*$BB35),IF($D35="wagon",1,1.2)))+$AU35</f>
        <v>147</v>
      </c>
      <c r="BF35" s="13">
        <f t="shared" ref="BF35:BF37" si="123">BD35*IF($D35="wagon",62.5,781.25)</f>
        <v>82031.25</v>
      </c>
      <c r="BG35" s="13">
        <f t="shared" ref="BG35:BG37" si="124">BE35*IF($D35="wagon",2.73,81.25)</f>
        <v>11943.75</v>
      </c>
      <c r="BN35">
        <v>6</v>
      </c>
      <c r="BR35" t="str">
        <f>VLOOKUP(G35,Eras!$A$2:$C$10, 2, TRUE)</f>
        <v>dsl</v>
      </c>
      <c r="BS35" t="s">
        <v>64</v>
      </c>
      <c r="BT35" t="str">
        <f t="shared" ref="BT35:BT37" si="125">CONCATENATE(BR35,"_",BS35)</f>
        <v>dsl_Freight</v>
      </c>
      <c r="BU35" t="str">
        <f t="shared" ref="BU35:BU37" si="126">_xlfn.CONCAT(E35, "_",F35)</f>
        <v>diesel_RAIL</v>
      </c>
      <c r="BV35" t="str">
        <f>VLOOKUP($BU35, Constants!$M:$N, 2, FALSE)</f>
        <v>{BLACK}Powered by: {GOLD}Diesel</v>
      </c>
      <c r="BW35" t="str">
        <f t="shared" ref="BW35:BW37" si="127">IF(J35&gt;1,_xlfn.CONCAT("{BLACK}Cars: {GOLD}", J35),"")</f>
        <v/>
      </c>
      <c r="BX35" t="s">
        <v>350</v>
      </c>
      <c r="BY35" t="str">
        <f t="shared" ref="BY35:BY37" si="128">IF(BQ35="BRAKE","{YELLOW}Speed bonus for slow wagons{}",IF(BP35="NGPassengers", "{YELLOW}Preserved railway bonus: passengers pay more when hauled by old locomotives{}", IF(BO35&gt;190,CONCATENATE("{YELLOW}",INT((BO35-185)/1.85),"% Bonus for long distance travel{}"),IF(AND(BO35&lt;180,BO35&lt;&gt;0),CONCATENATE("{YELLOW}",INT((185-BO35)/1.85),"% Penalty for long distance travel{}"),""))))</f>
        <v/>
      </c>
      <c r="BZ35" t="str">
        <f t="shared" ref="BZ35:BZ37" si="129">_xlfn.CONCAT(BV35,IF(BV35 &lt;&gt; "", " ", ""),BW35,IF(OR(BW35&lt;&gt;"", BV35&lt;&gt;""), "{}",""), BY35,"{SILVER}", BX35)</f>
        <v>{BLACK}Powered by: {GOLD}Diesel {}{SILVER}The Brush "Kestrel" was a prototype high speed diesel locomotive. After a brief period of service in the UK it was sold to the Soviet Union, where it was re-gauged and used for testing.</v>
      </c>
    </row>
    <row r="36" spans="1:78" x14ac:dyDescent="0.25">
      <c r="A36" t="s">
        <v>317</v>
      </c>
      <c r="B36" t="s">
        <v>318</v>
      </c>
      <c r="D36" t="s">
        <v>15</v>
      </c>
      <c r="E36" t="s">
        <v>32</v>
      </c>
      <c r="F36" t="s">
        <v>28</v>
      </c>
      <c r="X36" s="4" t="str">
        <f t="shared" si="93"/>
        <v/>
      </c>
      <c r="AF36" t="str">
        <f>CONCATENATE(VLOOKUP(AG36, 'Voxel Sizes'!$A$2:$B$18,2,FALSE),"x",INT(AC36*15), "x", INT(AD36*15))</f>
        <v>0x0x0</v>
      </c>
      <c r="AG36">
        <f t="shared" si="116"/>
        <v>0</v>
      </c>
      <c r="AI36" t="str">
        <f>CONCATENATE(VLOOKUP(AG36,Constants!$A$2:$C$16,IF(AH36&lt;&gt;"", 3, 2), FALSE),IF(AH36&lt;&gt;"",CONCATENATE(",",VLOOKUP(AH36,$B:$AI,34,FALSE)),""))</f>
        <v>na</v>
      </c>
      <c r="AT36" t="str">
        <f t="shared" si="117"/>
        <v/>
      </c>
      <c r="AW36">
        <f t="shared" si="118"/>
        <v>0</v>
      </c>
      <c r="AX36">
        <f t="shared" si="119"/>
        <v>0</v>
      </c>
      <c r="AY36">
        <f t="shared" si="120"/>
        <v>0</v>
      </c>
      <c r="AZ36" s="4">
        <f t="shared" si="121"/>
        <v>1</v>
      </c>
      <c r="BA36">
        <f t="shared" si="122"/>
        <v>0</v>
      </c>
      <c r="BB36">
        <v>1</v>
      </c>
      <c r="BC36">
        <v>1.5</v>
      </c>
      <c r="BD36">
        <f>INT(POWER(((Constants!$G$2+$AW36+$AX36+$AY36+$BA36)*$AZ36)*$BC36, 1.05))+$AV36</f>
        <v>8</v>
      </c>
      <c r="BE36">
        <f>INT(POWER((((Constants!$G$1+$AW36+$AX36+$AY36+$BA36)*($AZ36))*$BB36),IF($D36="wagon",1,1.2)))+$AU36</f>
        <v>25</v>
      </c>
      <c r="BF36" s="13">
        <f t="shared" si="123"/>
        <v>6250</v>
      </c>
      <c r="BG36" s="13">
        <f t="shared" si="124"/>
        <v>2031.25</v>
      </c>
      <c r="BN36">
        <v>7</v>
      </c>
      <c r="BR36" t="e">
        <f>VLOOKUP(G36,Eras!$A$2:$C$10, 2, TRUE)</f>
        <v>#N/A</v>
      </c>
      <c r="BS36" t="s">
        <v>66</v>
      </c>
      <c r="BT36" t="e">
        <f t="shared" si="125"/>
        <v>#N/A</v>
      </c>
      <c r="BU36" t="str">
        <f t="shared" si="126"/>
        <v>wagon_RAIL</v>
      </c>
      <c r="BV36" t="str">
        <f>VLOOKUP($BU36, Constants!$M:$N, 2, FALSE)</f>
        <v/>
      </c>
      <c r="BW36" t="str">
        <f t="shared" si="127"/>
        <v/>
      </c>
      <c r="BY36" t="str">
        <f t="shared" si="128"/>
        <v/>
      </c>
      <c r="BZ36" t="str">
        <f t="shared" si="129"/>
        <v>{SILVER}</v>
      </c>
    </row>
    <row r="37" spans="1:78" x14ac:dyDescent="0.25">
      <c r="A37" t="s">
        <v>319</v>
      </c>
      <c r="B37" t="s">
        <v>320</v>
      </c>
      <c r="D37" t="s">
        <v>15</v>
      </c>
      <c r="E37" t="s">
        <v>38</v>
      </c>
      <c r="F37" t="s">
        <v>321</v>
      </c>
      <c r="AF37" t="str">
        <f>CONCATENATE(VLOOKUP(AG37, 'Voxel Sizes'!$A$2:$B$18,2,FALSE),"x",INT(AC37*15), "x", INT(AD37*15))</f>
        <v>0x0x0</v>
      </c>
      <c r="AG37">
        <f t="shared" si="116"/>
        <v>0</v>
      </c>
      <c r="AI37" t="str">
        <f>CONCATENATE(VLOOKUP(AG37,Constants!$A$2:$C$16,IF(AH37&lt;&gt;"", 3, 2), FALSE),IF(AH37&lt;&gt;"",CONCATENATE(",",VLOOKUP(AH37,$B:$AI,34,FALSE)),""))</f>
        <v>na</v>
      </c>
      <c r="AT37" t="str">
        <f t="shared" si="117"/>
        <v/>
      </c>
      <c r="AW37">
        <f t="shared" si="118"/>
        <v>0</v>
      </c>
      <c r="AX37">
        <f t="shared" si="119"/>
        <v>0</v>
      </c>
      <c r="AY37">
        <f t="shared" si="120"/>
        <v>0</v>
      </c>
      <c r="AZ37" s="4">
        <f t="shared" si="121"/>
        <v>1</v>
      </c>
      <c r="BA37">
        <f t="shared" si="122"/>
        <v>0</v>
      </c>
      <c r="BB37">
        <v>1</v>
      </c>
      <c r="BC37">
        <v>1.5</v>
      </c>
      <c r="BD37">
        <f>INT(POWER(((Constants!$G$2+$AW37+$AX37+$AY37+$BA37)*$AZ37)*$BC37, 1.05))+$AV37</f>
        <v>8</v>
      </c>
      <c r="BE37">
        <f>INT(POWER((((Constants!$G$1+$AW37+$AX37+$AY37+$BA37)*($AZ37))*$BB37),IF($D37="wagon",1,1.2)))+$AU37</f>
        <v>25</v>
      </c>
      <c r="BF37" s="13">
        <f t="shared" si="123"/>
        <v>6250</v>
      </c>
      <c r="BG37" s="13">
        <f t="shared" si="124"/>
        <v>2031.25</v>
      </c>
      <c r="BN37">
        <v>8</v>
      </c>
      <c r="BR37" t="e">
        <f>VLOOKUP(G37,Eras!$A$2:$C$10, 2, TRUE)</f>
        <v>#N/A</v>
      </c>
      <c r="BS37" t="s">
        <v>66</v>
      </c>
      <c r="BT37" t="e">
        <f t="shared" si="125"/>
        <v>#N/A</v>
      </c>
      <c r="BU37" t="str">
        <f t="shared" si="126"/>
        <v>electric_THIRD_RAIL</v>
      </c>
      <c r="BV37" t="str">
        <f>VLOOKUP($BU37, Constants!$M:$N, 2, FALSE)</f>
        <v>{BLACK}Powered by: {GOLD}750V DC</v>
      </c>
      <c r="BW37" t="str">
        <f t="shared" si="127"/>
        <v/>
      </c>
      <c r="BY37" t="str">
        <f t="shared" si="128"/>
        <v/>
      </c>
      <c r="BZ37" t="str">
        <f t="shared" si="129"/>
        <v>{BLACK}Powered by: {GOLD}750V DC {}{SILVER}</v>
      </c>
    </row>
  </sheetData>
  <autoFilter ref="A1:BX29"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BS28:BS31 BS1 BS38:BS1048576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25">
      <c r="A2" s="1" t="s">
        <v>59</v>
      </c>
      <c r="B2" s="1" t="s">
        <v>60</v>
      </c>
    </row>
    <row r="3" spans="1:23" x14ac:dyDescent="0.25">
      <c r="A3" t="s">
        <v>52</v>
      </c>
      <c r="B3" t="str">
        <f>VLOOKUP(A3, Eras!$B$2:$C$10, 2, FALSE)</f>
        <v>Early (1800-1850)</v>
      </c>
      <c r="C3">
        <f>COUNTIF(Table!$BT:$BT,CONCATENATE($A3,"_",C$1))</f>
        <v>0</v>
      </c>
      <c r="D3">
        <f>COUNTIF(Table!$BT:$BT,CONCATENATE($A3,"_",D$1))</f>
        <v>1</v>
      </c>
      <c r="E3">
        <f>COUNTIF(Table!$BT:$BT,CONCATENATE($A3,"_",E$1))</f>
        <v>1</v>
      </c>
      <c r="F3">
        <f>COUNTIF(Table!$BT:$BT,CONCATENATE($A3,"_",F$1))</f>
        <v>0</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4</v>
      </c>
      <c r="T3">
        <f>COUNTIF(Table!$BT:$BT,CONCATENATE($A3,"_",T$1))</f>
        <v>0</v>
      </c>
      <c r="U3">
        <f>COUNTIF(Table!$BT:$BT,CONCATENATE($A3,"_",U$1))</f>
        <v>0</v>
      </c>
      <c r="V3">
        <f>COUNTIF(Table!$BT:$BT,CONCATENATE($A3,"_",V$1))</f>
        <v>0</v>
      </c>
      <c r="W3">
        <f>COUNTIF(Table!$BT:$BT,CONCATENATE($A3,"_",W$1))</f>
        <v>0</v>
      </c>
    </row>
    <row r="4" spans="1:23" x14ac:dyDescent="0.25">
      <c r="A4" t="s">
        <v>94</v>
      </c>
      <c r="B4" t="str">
        <f>VLOOKUP(A4, Eras!$B$2:$C$10, 2, FALSE)</f>
        <v>Victorian (1850-1900)</v>
      </c>
      <c r="C4">
        <f>COUNTIF(Table!$BT:$BT,CONCATENATE($A4,"_",C$1))</f>
        <v>0</v>
      </c>
      <c r="D4">
        <f>COUNTIF(Table!$BT:$BT,CONCATENATE($A4,"_",D$1))</f>
        <v>0</v>
      </c>
      <c r="E4">
        <f>COUNTIF(Table!$BT:$BT,CONCATENATE($A4,"_",E$1))</f>
        <v>4</v>
      </c>
      <c r="F4">
        <f>COUNTIF(Table!$BT:$BT,CONCATENATE($A4,"_",F$1))</f>
        <v>0</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0</v>
      </c>
      <c r="O4">
        <f>COUNTIF(Table!$BT:$BT,CONCATENATE($A4,"_",O$1))</f>
        <v>0</v>
      </c>
      <c r="P4">
        <f>COUNTIF(Table!$BT:$BT,CONCATENATE($A4,"_",P$1))</f>
        <v>0</v>
      </c>
      <c r="Q4">
        <f>COUNTIF(Table!$BT:$BT,CONCATENATE($A4,"_",Q$1))</f>
        <v>0</v>
      </c>
      <c r="R4">
        <f>COUNTIF(Table!$BT:$BT,CONCATENATE($A4,"_",R$1))</f>
        <v>0</v>
      </c>
      <c r="S4">
        <f>COUNTIF(Table!$BT:$BT,CONCATENATE($A4,"_",S$1))</f>
        <v>8</v>
      </c>
      <c r="T4">
        <f>COUNTIF(Table!$BT:$BT,CONCATENATE($A4,"_",T$1))</f>
        <v>0</v>
      </c>
      <c r="U4">
        <f>COUNTIF(Table!$BT:$BT,CONCATENATE($A4,"_",U$1))</f>
        <v>0</v>
      </c>
      <c r="V4">
        <f>COUNTIF(Table!$BT:$BT,CONCATENATE($A4,"_",V$1))</f>
        <v>0</v>
      </c>
      <c r="W4">
        <f>COUNTIF(Table!$BT:$BT,CONCATENATE($A4,"_",W$1))</f>
        <v>0</v>
      </c>
    </row>
    <row r="5" spans="1:23" x14ac:dyDescent="0.25">
      <c r="A5" t="s">
        <v>53</v>
      </c>
      <c r="B5" t="str">
        <f>VLOOKUP(A5, Eras!$B$2:$C$10, 2, FALSE)</f>
        <v>Edwardian (1900-1920)</v>
      </c>
      <c r="C5">
        <f>COUNTIF(Table!$BT:$BT,CONCATENATE($A5,"_",C$1))</f>
        <v>0</v>
      </c>
      <c r="D5">
        <f>COUNTIF(Table!$BT:$BT,CONCATENATE($A5,"_",D$1))</f>
        <v>0</v>
      </c>
      <c r="E5">
        <f>COUNTIF(Table!$BT:$BT,CONCATENATE($A5,"_",E$1))</f>
        <v>3</v>
      </c>
      <c r="F5">
        <f>COUNTIF(Table!$BT:$BT,CONCATENATE($A5,"_",F$1))</f>
        <v>0</v>
      </c>
      <c r="G5">
        <f>COUNTIF(Table!$BT:$BT,CONCATENATE($A5,"_",G$1))</f>
        <v>0</v>
      </c>
      <c r="H5">
        <f>COUNTIF(Table!$BT:$BT,CONCATENATE($A5,"_",H$1))</f>
        <v>0</v>
      </c>
      <c r="I5">
        <f>COUNTIF(Table!$BT:$BT,CONCATENATE($A5,"_",I$1))</f>
        <v>0</v>
      </c>
      <c r="J5">
        <f>COUNTIF(Table!$BT:$BT,CONCATENATE($A5,"_",J$1))</f>
        <v>0</v>
      </c>
      <c r="K5">
        <f>COUNTIF(Table!$BT:$BT,CONCATENATE($A5,"_",K$1))</f>
        <v>0</v>
      </c>
      <c r="L5">
        <f>COUNTIF(Table!$BT:$BT,CONCATENATE($A5,"_",L$1))</f>
        <v>0</v>
      </c>
      <c r="M5">
        <f>COUNTIF(Table!$BT:$BT,CONCATENATE($A5,"_",M$1))</f>
        <v>0</v>
      </c>
      <c r="N5">
        <f>COUNTIF(Table!$BT:$BT,CONCATENATE($A5,"_",N$1))</f>
        <v>0</v>
      </c>
      <c r="O5">
        <f>COUNTIF(Table!$BT:$BT,CONCATENATE($A5,"_",O$1))</f>
        <v>0</v>
      </c>
      <c r="P5">
        <f>COUNTIF(Table!$BT:$BT,CONCATENATE($A5,"_",P$1))</f>
        <v>0</v>
      </c>
      <c r="Q5">
        <f>COUNTIF(Table!$BT:$BT,CONCATENATE($A5,"_",Q$1))</f>
        <v>1</v>
      </c>
      <c r="R5">
        <f>COUNTIF(Table!$BT:$BT,CONCATENATE($A5,"_",R$1))</f>
        <v>0</v>
      </c>
      <c r="S5">
        <f>COUNTIF(Table!$BT:$BT,CONCATENATE($A5,"_",S$1))</f>
        <v>2</v>
      </c>
      <c r="T5">
        <f>COUNTIF(Table!$BT:$BT,CONCATENATE($A5,"_",T$1))</f>
        <v>0</v>
      </c>
      <c r="U5">
        <f>COUNTIF(Table!$BT:$BT,CONCATENATE($A5,"_",U$1))</f>
        <v>0</v>
      </c>
      <c r="V5">
        <f>COUNTIF(Table!$BT:$BT,CONCATENATE($A5,"_",V$1))</f>
        <v>0</v>
      </c>
      <c r="W5">
        <f>COUNTIF(Table!$BT:$BT,CONCATENATE($A5,"_",W$1))</f>
        <v>0</v>
      </c>
    </row>
    <row r="6" spans="1:23" x14ac:dyDescent="0.25">
      <c r="A6" t="s">
        <v>54</v>
      </c>
      <c r="B6" t="str">
        <f>VLOOKUP(A6, Eras!$B$2:$C$10, 2, FALSE)</f>
        <v>Big Four (1923-1948)</v>
      </c>
      <c r="C6">
        <f>COUNTIF(Table!$BT:$BT,CONCATENATE($A6,"_",C$1))</f>
        <v>0</v>
      </c>
      <c r="D6">
        <f>COUNTIF(Table!$BT:$BT,CONCATENATE($A6,"_",D$1))</f>
        <v>0</v>
      </c>
      <c r="E6">
        <f>COUNTIF(Table!$BT:$BT,CONCATENATE($A6,"_",E$1))</f>
        <v>3</v>
      </c>
      <c r="F6">
        <f>COUNTIF(Table!$BT:$BT,CONCATENATE($A6,"_",F$1))</f>
        <v>0</v>
      </c>
      <c r="G6">
        <f>COUNTIF(Table!$BT:$BT,CONCATENATE($A6,"_",G$1))</f>
        <v>0</v>
      </c>
      <c r="H6">
        <f>COUNTIF(Table!$BT:$BT,CONCATENATE($A6,"_",H$1))</f>
        <v>0</v>
      </c>
      <c r="I6">
        <f>COUNTIF(Table!$BT:$BT,CONCATENATE($A6,"_",I$1))</f>
        <v>0</v>
      </c>
      <c r="J6">
        <f>COUNTIF(Table!$BT:$BT,CONCATENATE($A6,"_",J$1))</f>
        <v>0</v>
      </c>
      <c r="K6">
        <f>COUNTIF(Table!$BT:$BT,CONCATENATE($A6,"_",K$1))</f>
        <v>0</v>
      </c>
      <c r="L6">
        <f>COUNTIF(Table!$BT:$BT,CONCATENATE($A6,"_",L$1))</f>
        <v>0</v>
      </c>
      <c r="M6">
        <f>COUNTIF(Table!$BT:$BT,CONCATENATE($A6,"_",M$1))</f>
        <v>0</v>
      </c>
      <c r="N6">
        <f>COUNTIF(Table!$BT:$BT,CONCATENATE($A6,"_",N$1))</f>
        <v>0</v>
      </c>
      <c r="O6">
        <f>COUNTIF(Table!$BT:$BT,CONCATENATE($A6,"_",O$1))</f>
        <v>0</v>
      </c>
      <c r="P6">
        <f>COUNTIF(Table!$BT:$BT,CONCATENATE($A6,"_",P$1))</f>
        <v>0</v>
      </c>
      <c r="Q6">
        <f>COUNTIF(Table!$BT:$BT,CONCATENATE($A6,"_",Q$1))</f>
        <v>0</v>
      </c>
      <c r="R6">
        <f>COUNTIF(Table!$BT:$BT,CONCATENATE($A6,"_",R$1))</f>
        <v>0</v>
      </c>
      <c r="S6">
        <f>COUNTIF(Table!$BT:$BT,CONCATENATE($A6,"_",S$1))</f>
        <v>0</v>
      </c>
      <c r="T6">
        <f>COUNTIF(Table!$BT:$BT,CONCATENATE($A6,"_",T$1))</f>
        <v>0</v>
      </c>
      <c r="U6">
        <f>COUNTIF(Table!$BT:$BT,CONCATENATE($A6,"_",U$1))</f>
        <v>0</v>
      </c>
      <c r="V6">
        <f>COUNTIF(Table!$BT:$BT,CONCATENATE($A6,"_",V$1))</f>
        <v>0</v>
      </c>
      <c r="W6">
        <f>COUNTIF(Table!$BT:$BT,CONCATENATE($A6,"_",W$1))</f>
        <v>0</v>
      </c>
    </row>
    <row r="7" spans="1:23" x14ac:dyDescent="0.25">
      <c r="A7" t="s">
        <v>105</v>
      </c>
      <c r="B7" t="str">
        <f>VLOOKUP(A7, Eras!$B$2:$C$10, 2, FALSE)</f>
        <v>Early BR (1948-1955)</v>
      </c>
      <c r="C7">
        <f>COUNTIF(Table!$BT:$BT,CONCATENATE($A7,"_",C$1))</f>
        <v>0</v>
      </c>
      <c r="D7">
        <f>COUNTIF(Table!$BT:$BT,CONCATENATE($A7,"_",D$1))</f>
        <v>0</v>
      </c>
      <c r="E7">
        <f>COUNTIF(Table!$BT:$BT,CONCATENATE($A7,"_",E$1))</f>
        <v>0</v>
      </c>
      <c r="F7">
        <f>COUNTIF(Table!$BT:$BT,CONCATENATE($A7,"_",F$1))</f>
        <v>0</v>
      </c>
      <c r="G7">
        <f>COUNTIF(Table!$BT:$BT,CONCATENATE($A7,"_",G$1))</f>
        <v>0</v>
      </c>
      <c r="H7">
        <f>COUNTIF(Table!$BT:$BT,CONCATENATE($A7,"_",H$1))</f>
        <v>0</v>
      </c>
      <c r="I7">
        <f>COUNTIF(Table!$BT:$BT,CONCATENATE($A7,"_",I$1))</f>
        <v>0</v>
      </c>
      <c r="J7">
        <f>COUNTIF(Table!$BT:$BT,CONCATENATE($A7,"_",J$1))</f>
        <v>0</v>
      </c>
      <c r="K7">
        <f>COUNTIF(Table!$BT:$BT,CONCATENATE($A7,"_",K$1))</f>
        <v>0</v>
      </c>
      <c r="L7">
        <f>COUNTIF(Table!$BT:$BT,CONCATENATE($A7,"_",L$1))</f>
        <v>0</v>
      </c>
      <c r="M7">
        <f>COUNTIF(Table!$BT:$BT,CONCATENATE($A7,"_",M$1))</f>
        <v>0</v>
      </c>
      <c r="N7">
        <f>COUNTIF(Table!$BT:$BT,CONCATENATE($A7,"_",N$1))</f>
        <v>0</v>
      </c>
      <c r="O7">
        <f>COUNTIF(Table!$BT:$BT,CONCATENATE($A7,"_",O$1))</f>
        <v>0</v>
      </c>
      <c r="P7">
        <f>COUNTIF(Table!$BT:$BT,CONCATENATE($A7,"_",P$1))</f>
        <v>0</v>
      </c>
      <c r="Q7">
        <f>COUNTIF(Table!$BT:$BT,CONCATENATE($A7,"_",Q$1))</f>
        <v>1</v>
      </c>
      <c r="R7">
        <f>COUNTIF(Table!$BT:$BT,CONCATENATE($A7,"_",R$1))</f>
        <v>0</v>
      </c>
      <c r="S7">
        <f>COUNTIF(Table!$BT:$BT,CONCATENATE($A7,"_",S$1))</f>
        <v>0</v>
      </c>
      <c r="T7">
        <f>COUNTIF(Table!$BT:$BT,CONCATENATE($A7,"_",T$1))</f>
        <v>0</v>
      </c>
      <c r="U7">
        <f>COUNTIF(Table!$BT:$BT,CONCATENATE($A7,"_",U$1))</f>
        <v>0</v>
      </c>
      <c r="V7">
        <f>COUNTIF(Table!$BT:$BT,CONCATENATE($A7,"_",V$1))</f>
        <v>0</v>
      </c>
      <c r="W7">
        <f>COUNTIF(Table!$BT:$BT,CONCATENATE($A7,"_",W$1))</f>
        <v>0</v>
      </c>
    </row>
    <row r="8" spans="1:23" x14ac:dyDescent="0.25">
      <c r="A8" t="s">
        <v>55</v>
      </c>
      <c r="B8" t="str">
        <f>VLOOKUP(A8, Eras!$B$2:$C$10, 2, FALSE)</f>
        <v>Dieselisation (1955-1970)</v>
      </c>
      <c r="C8">
        <f>COUNTIF(Table!$BT:$BT,CONCATENATE($A8,"_",C$1))</f>
        <v>0</v>
      </c>
      <c r="D8">
        <f>COUNTIF(Table!$BT:$BT,CONCATENATE($A8,"_",D$1))</f>
        <v>0</v>
      </c>
      <c r="E8">
        <f>COUNTIF(Table!$BT:$BT,CONCATENATE($A8,"_",E$1))</f>
        <v>0</v>
      </c>
      <c r="F8">
        <f>COUNTIF(Table!$BT:$BT,CONCATENATE($A8,"_",F$1))</f>
        <v>0</v>
      </c>
      <c r="G8">
        <f>COUNTIF(Table!$BT:$BT,CONCATENATE($A8,"_",G$1))</f>
        <v>2</v>
      </c>
      <c r="H8">
        <f>COUNTIF(Table!$BT:$BT,CONCATENATE($A8,"_",H$1))</f>
        <v>0</v>
      </c>
      <c r="I8">
        <f>COUNTIF(Table!$BT:$BT,CONCATENATE($A8,"_",I$1))</f>
        <v>0</v>
      </c>
      <c r="J8">
        <f>COUNTIF(Table!$BT:$BT,CONCATENATE($A8,"_",J$1))</f>
        <v>0</v>
      </c>
      <c r="K8">
        <f>COUNTIF(Table!$BT:$BT,CONCATENATE($A8,"_",K$1))</f>
        <v>0</v>
      </c>
      <c r="L8">
        <f>COUNTIF(Table!$BT:$BT,CONCATENATE($A8,"_",L$1))</f>
        <v>1</v>
      </c>
      <c r="M8">
        <f>COUNTIF(Table!$BT:$BT,CONCATENATE($A8,"_",M$1))</f>
        <v>0</v>
      </c>
      <c r="N8">
        <f>COUNTIF(Table!$BT:$BT,CONCATENATE($A8,"_",N$1))</f>
        <v>0</v>
      </c>
      <c r="O8">
        <f>COUNTIF(Table!$BT:$BT,CONCATENATE($A8,"_",O$1))</f>
        <v>0</v>
      </c>
      <c r="P8">
        <f>COUNTIF(Table!$BT:$BT,CONCATENATE($A8,"_",P$1))</f>
        <v>0</v>
      </c>
      <c r="Q8">
        <f>COUNTIF(Table!$BT:$BT,CONCATENATE($A8,"_",Q$1))</f>
        <v>1</v>
      </c>
      <c r="R8">
        <f>COUNTIF(Table!$BT:$BT,CONCATENATE($A8,"_",R$1))</f>
        <v>0</v>
      </c>
      <c r="S8">
        <f>COUNTIF(Table!$BT:$BT,CONCATENATE($A8,"_",S$1))</f>
        <v>0</v>
      </c>
      <c r="T8">
        <f>COUNTIF(Table!$BT:$BT,CONCATENATE($A8,"_",T$1))</f>
        <v>0</v>
      </c>
      <c r="U8">
        <f>COUNTIF(Table!$BT:$BT,CONCATENATE($A8,"_",U$1))</f>
        <v>0</v>
      </c>
      <c r="V8">
        <f>COUNTIF(Table!$BT:$BT,CONCATENATE($A8,"_",V$1))</f>
        <v>0</v>
      </c>
      <c r="W8">
        <f>COUNTIF(Table!$BT:$BT,CONCATENATE($A8,"_",W$1))</f>
        <v>0</v>
      </c>
    </row>
    <row r="9" spans="1:23" x14ac:dyDescent="0.25">
      <c r="A9" t="s">
        <v>106</v>
      </c>
      <c r="B9" t="str">
        <f>VLOOKUP(A9, Eras!$B$2:$C$10, 2, FALSE)</f>
        <v>Late BR (1970-1995)</v>
      </c>
      <c r="C9">
        <f>COUNTIF(Table!$BT:$BT,CONCATENATE($A9,"_",C$1))</f>
        <v>0</v>
      </c>
      <c r="D9">
        <f>COUNTIF(Table!$BT:$BT,CONCATENATE($A9,"_",D$1))</f>
        <v>0</v>
      </c>
      <c r="E9">
        <f>COUNTIF(Table!$BT:$BT,CONCATENATE($A9,"_",E$1))</f>
        <v>1</v>
      </c>
      <c r="F9">
        <f>COUNTIF(Table!$BT:$BT,CONCATENATE($A9,"_",F$1))</f>
        <v>0</v>
      </c>
      <c r="G9">
        <f>COUNTIF(Table!$BT:$BT,CONCATENATE($A9,"_",G$1))</f>
        <v>0</v>
      </c>
      <c r="H9">
        <f>COUNTIF(Table!$BT:$BT,CONCATENATE($A9,"_",H$1))</f>
        <v>0</v>
      </c>
      <c r="I9">
        <f>COUNTIF(Table!$BT:$BT,CONCATENATE($A9,"_",I$1))</f>
        <v>0</v>
      </c>
      <c r="J9">
        <f>COUNTIF(Table!$BT:$BT,CONCATENATE($A9,"_",J$1))</f>
        <v>0</v>
      </c>
      <c r="K9">
        <f>COUNTIF(Table!$BT:$BT,CONCATENATE($A9,"_",K$1))</f>
        <v>0</v>
      </c>
      <c r="L9">
        <f>COUNTIF(Table!$BT:$BT,CONCATENATE($A9,"_",L$1))</f>
        <v>0</v>
      </c>
      <c r="M9">
        <f>COUNTIF(Table!$BT:$BT,CONCATENATE($A9,"_",M$1))</f>
        <v>0</v>
      </c>
      <c r="N9">
        <f>COUNTIF(Table!$BT:$BT,CONCATENATE($A9,"_",N$1))</f>
        <v>0</v>
      </c>
      <c r="O9">
        <f>COUNTIF(Table!$BT:$BT,CONCATENATE($A9,"_",O$1))</f>
        <v>0</v>
      </c>
      <c r="P9">
        <f>COUNTIF(Table!$BT:$BT,CONCATENATE($A9,"_",P$1))</f>
        <v>0</v>
      </c>
      <c r="Q9">
        <f>COUNTIF(Table!$BT:$BT,CONCATENATE($A9,"_",Q$1))</f>
        <v>1</v>
      </c>
      <c r="R9">
        <f>COUNTIF(Table!$BT:$BT,CONCATENATE($A9,"_",R$1))</f>
        <v>0</v>
      </c>
      <c r="S9">
        <f>COUNTIF(Table!$BT:$BT,CONCATENATE($A9,"_",S$1))</f>
        <v>0</v>
      </c>
      <c r="T9">
        <f>COUNTIF(Table!$BT:$BT,CONCATENATE($A9,"_",T$1))</f>
        <v>0</v>
      </c>
      <c r="U9">
        <f>COUNTIF(Table!$BT:$BT,CONCATENATE($A9,"_",U$1))</f>
        <v>0</v>
      </c>
      <c r="V9">
        <f>COUNTIF(Table!$BT:$BT,CONCATENATE($A9,"_",V$1))</f>
        <v>0</v>
      </c>
      <c r="W9">
        <f>COUNTIF(Table!$BT:$BT,CONCATENATE($A9,"_",W$1))</f>
        <v>0</v>
      </c>
    </row>
    <row r="10" spans="1:23" x14ac:dyDescent="0.25">
      <c r="A10" t="s">
        <v>56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0</v>
      </c>
      <c r="H10">
        <f>COUNTIF(Table!$BT:$BT,CONCATENATE($A10,"_",H$1))</f>
        <v>0</v>
      </c>
      <c r="I10">
        <f>COUNTIF(Table!$BT:$BT,CONCATENATE($A10,"_",I$1))</f>
        <v>0</v>
      </c>
      <c r="J10">
        <f>COUNTIF(Table!$BT:$BT,CONCATENATE($A10,"_",J$1))</f>
        <v>0</v>
      </c>
      <c r="K10">
        <f>COUNTIF(Table!$BT:$BT,CONCATENATE($A10,"_",K$1))</f>
        <v>0</v>
      </c>
      <c r="L10">
        <f>COUNTIF(Table!$BT:$BT,CONCATENATE($A10,"_",L$1))</f>
        <v>0</v>
      </c>
      <c r="M10">
        <f>COUNTIF(Table!$BT:$BT,CONCATENATE($A10,"_",M$1))</f>
        <v>0</v>
      </c>
      <c r="N10">
        <f>COUNTIF(Table!$BT:$BT,CONCATENATE($A10,"_",N$1))</f>
        <v>0</v>
      </c>
      <c r="O10">
        <f>COUNTIF(Table!$BT:$BT,CONCATENATE($A10,"_",O$1))</f>
        <v>0</v>
      </c>
      <c r="P10">
        <f>COUNTIF(Table!$BT:$BT,CONCATENATE($A10,"_",P$1))</f>
        <v>0</v>
      </c>
      <c r="Q10">
        <f>COUNTIF(Table!$BT:$BT,CONCATENATE($A10,"_",Q$1))</f>
        <v>0</v>
      </c>
      <c r="R10">
        <f>COUNTIF(Table!$BT:$BT,CONCATENATE($A10,"_",R$1))</f>
        <v>0</v>
      </c>
      <c r="S10">
        <f>COUNTIF(Table!$BT:$BT,CONCATENATE($A10,"_",S$1))</f>
        <v>0</v>
      </c>
      <c r="T10">
        <f>COUNTIF(Table!$BT:$BT,CONCATENATE($A10,"_",T$1))</f>
        <v>0</v>
      </c>
      <c r="U10">
        <f>COUNTIF(Table!$BT:$BT,CONCATENATE($A10,"_",U$1))</f>
        <v>0</v>
      </c>
      <c r="V10">
        <f>COUNTIF(Table!$BT:$BT,CONCATENATE($A10,"_",V$1))</f>
        <v>0</v>
      </c>
      <c r="W10">
        <f>COUNTIF(Table!$BT:$BT,CONCATENATE($A10,"_",W$1))</f>
        <v>0</v>
      </c>
    </row>
    <row r="11" spans="1:23" x14ac:dyDescent="0.25">
      <c r="A11" t="s">
        <v>57</v>
      </c>
      <c r="B11" t="str">
        <f>VLOOKUP(A11, Eras!$B$2:$C$10, 2, FALSE)</f>
        <v>Modern (2005-)</v>
      </c>
      <c r="C11">
        <f>COUNTIF(Table!$BT:$BT,CONCATENATE($A11,"_",C$1))</f>
        <v>0</v>
      </c>
      <c r="D11">
        <f>COUNTIF(Table!$BT:$BT,CONCATENATE($A11,"_",D$1))</f>
        <v>0</v>
      </c>
      <c r="E11">
        <f>COUNTIF(Table!$BT:$BT,CONCATENATE($A11,"_",E$1))</f>
        <v>0</v>
      </c>
      <c r="F11">
        <f>COUNTIF(Table!$BT:$BT,CONCATENATE($A11,"_",F$1))</f>
        <v>0</v>
      </c>
      <c r="G11">
        <f>COUNTIF(Table!$BT:$BT,CONCATENATE($A11,"_",G$1))</f>
        <v>0</v>
      </c>
      <c r="H11">
        <f>COUNTIF(Table!$BT:$BT,CONCATENATE($A11,"_",H$1))</f>
        <v>0</v>
      </c>
      <c r="I11">
        <f>COUNTIF(Table!$BT:$BT,CONCATENATE($A11,"_",I$1))</f>
        <v>0</v>
      </c>
      <c r="J11">
        <f>COUNTIF(Table!$BT:$BT,CONCATENATE($A11,"_",J$1))</f>
        <v>0</v>
      </c>
      <c r="K11">
        <f>COUNTIF(Table!$BT:$BT,CONCATENATE($A11,"_",K$1))</f>
        <v>0</v>
      </c>
      <c r="L11">
        <f>COUNTIF(Table!$BT:$BT,CONCATENATE($A11,"_",L$1))</f>
        <v>0</v>
      </c>
      <c r="M11">
        <f>COUNTIF(Table!$BT:$BT,CONCATENATE($A11,"_",M$1))</f>
        <v>0</v>
      </c>
      <c r="N11">
        <f>COUNTIF(Table!$BT:$BT,CONCATENATE($A11,"_",N$1))</f>
        <v>0</v>
      </c>
      <c r="O11">
        <f>COUNTIF(Table!$BT:$BT,CONCATENATE($A11,"_",O$1))</f>
        <v>0</v>
      </c>
      <c r="P11">
        <f>COUNTIF(Table!$BT:$BT,CONCATENATE($A11,"_",P$1))</f>
        <v>0</v>
      </c>
      <c r="Q11">
        <f>COUNTIF(Table!$BT:$BT,CONCATENATE($A11,"_",Q$1))</f>
        <v>0</v>
      </c>
      <c r="R11">
        <f>COUNTIF(Table!$BT:$BT,CONCATENATE($A11,"_",R$1))</f>
        <v>0</v>
      </c>
      <c r="S11">
        <f>COUNTIF(Table!$BT:$BT,CONCATENATE($A11,"_",S$1))</f>
        <v>0</v>
      </c>
      <c r="T11">
        <f>COUNTIF(Table!$BT:$BT,CONCATENATE($A11,"_",T$1))</f>
        <v>0</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v>
      </c>
      <c r="B1" s="1" t="s">
        <v>51</v>
      </c>
      <c r="C1" s="1" t="s">
        <v>46</v>
      </c>
    </row>
    <row r="2" spans="1:3" x14ac:dyDescent="0.25">
      <c r="A2">
        <v>1700</v>
      </c>
      <c r="B2" t="s">
        <v>52</v>
      </c>
      <c r="C2" t="s">
        <v>93</v>
      </c>
    </row>
    <row r="3" spans="1:3" x14ac:dyDescent="0.25">
      <c r="A3">
        <v>1850</v>
      </c>
      <c r="B3" t="s">
        <v>94</v>
      </c>
      <c r="C3" t="s">
        <v>92</v>
      </c>
    </row>
    <row r="4" spans="1:3" x14ac:dyDescent="0.25">
      <c r="A4">
        <v>1900</v>
      </c>
      <c r="B4" t="s">
        <v>53</v>
      </c>
      <c r="C4" t="s">
        <v>47</v>
      </c>
    </row>
    <row r="5" spans="1:3" x14ac:dyDescent="0.25">
      <c r="A5">
        <v>1923</v>
      </c>
      <c r="B5" t="s">
        <v>54</v>
      </c>
      <c r="C5" t="s">
        <v>97</v>
      </c>
    </row>
    <row r="6" spans="1:3" x14ac:dyDescent="0.25">
      <c r="A6">
        <v>1948</v>
      </c>
      <c r="B6" t="s">
        <v>105</v>
      </c>
      <c r="C6" t="s">
        <v>48</v>
      </c>
    </row>
    <row r="7" spans="1:3" x14ac:dyDescent="0.25">
      <c r="A7">
        <v>1955</v>
      </c>
      <c r="B7" t="s">
        <v>55</v>
      </c>
      <c r="C7" t="s">
        <v>108</v>
      </c>
    </row>
    <row r="8" spans="1:3" x14ac:dyDescent="0.25">
      <c r="A8">
        <v>1970</v>
      </c>
      <c r="B8" t="s">
        <v>106</v>
      </c>
      <c r="C8" t="s">
        <v>107</v>
      </c>
    </row>
    <row r="9" spans="1:3" x14ac:dyDescent="0.25">
      <c r="A9">
        <v>1995</v>
      </c>
      <c r="B9" t="s">
        <v>56</v>
      </c>
      <c r="C9" t="s">
        <v>49</v>
      </c>
    </row>
    <row r="10" spans="1:3" x14ac:dyDescent="0.2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28"/>
  <sheetViews>
    <sheetView topLeftCell="D7" workbookViewId="0">
      <selection activeCell="M29" sqref="M29"/>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18</v>
      </c>
      <c r="B1" s="1" t="s">
        <v>19</v>
      </c>
      <c r="C1" s="1" t="s">
        <v>99</v>
      </c>
      <c r="F1" s="1" t="s">
        <v>152</v>
      </c>
      <c r="G1">
        <v>15</v>
      </c>
      <c r="I1" s="1" t="s">
        <v>156</v>
      </c>
      <c r="J1" s="1" t="s">
        <v>157</v>
      </c>
      <c r="K1" s="1" t="s">
        <v>158</v>
      </c>
      <c r="M1" s="1" t="s">
        <v>179</v>
      </c>
      <c r="N1" s="1" t="s">
        <v>180</v>
      </c>
      <c r="O1" s="1" t="s">
        <v>8</v>
      </c>
    </row>
    <row r="2" spans="1:15" x14ac:dyDescent="0.25">
      <c r="A2" s="2">
        <v>0</v>
      </c>
      <c r="B2" s="2" t="s">
        <v>15</v>
      </c>
      <c r="F2" s="1" t="s">
        <v>153</v>
      </c>
      <c r="G2">
        <v>5</v>
      </c>
      <c r="I2" t="s">
        <v>26</v>
      </c>
      <c r="J2">
        <v>1</v>
      </c>
      <c r="K2">
        <v>2</v>
      </c>
      <c r="M2" t="s">
        <v>181</v>
      </c>
      <c r="N2" t="str">
        <f>IF(O2&lt;&gt;"", _xlfn.CONCAT("{BLACK}Powered by: {GOLD}",O2), "")</f>
        <v>{BLACK}Powered by: {GOLD}Diesel</v>
      </c>
      <c r="O2" t="s">
        <v>190</v>
      </c>
    </row>
    <row r="3" spans="1:15" x14ac:dyDescent="0.25">
      <c r="A3">
        <v>3</v>
      </c>
      <c r="B3" t="s">
        <v>37</v>
      </c>
      <c r="C3" t="s">
        <v>37</v>
      </c>
      <c r="I3" t="s">
        <v>38</v>
      </c>
      <c r="J3">
        <v>0.85</v>
      </c>
      <c r="K3">
        <v>2.2999999999999998</v>
      </c>
      <c r="M3" t="s">
        <v>182</v>
      </c>
      <c r="N3" t="str">
        <f t="shared" ref="N3:N28" si="0">IF(O3&lt;&gt;"", _xlfn.CONCAT("{BLACK}Powered by: {GOLD}",O3), "")</f>
        <v>{BLACK}Powered by: {GOLD}Steam</v>
      </c>
      <c r="O3" t="s">
        <v>191</v>
      </c>
    </row>
    <row r="4" spans="1:15" x14ac:dyDescent="0.25">
      <c r="A4">
        <v>4</v>
      </c>
      <c r="B4" t="s">
        <v>142</v>
      </c>
      <c r="C4" t="s">
        <v>142</v>
      </c>
      <c r="I4" t="s">
        <v>25</v>
      </c>
      <c r="J4">
        <v>1.1499999999999999</v>
      </c>
      <c r="K4">
        <v>1.7</v>
      </c>
      <c r="M4" t="s">
        <v>183</v>
      </c>
      <c r="N4" t="str">
        <f t="shared" si="0"/>
        <v>{BLACK}Powered by: {GOLD}25kV AC</v>
      </c>
      <c r="O4" t="s">
        <v>192</v>
      </c>
    </row>
    <row r="5" spans="1:15" x14ac:dyDescent="0.25">
      <c r="A5">
        <v>5</v>
      </c>
      <c r="B5" t="s">
        <v>137</v>
      </c>
      <c r="C5" t="s">
        <v>137</v>
      </c>
      <c r="I5" t="s">
        <v>100</v>
      </c>
      <c r="J5">
        <v>0.9</v>
      </c>
      <c r="K5">
        <v>2.5</v>
      </c>
      <c r="M5" t="s">
        <v>194</v>
      </c>
      <c r="N5" t="str">
        <f t="shared" si="0"/>
        <v>{BLACK}Powered by: {GOLD}750V DC</v>
      </c>
      <c r="O5" t="s">
        <v>193</v>
      </c>
    </row>
    <row r="6" spans="1:15" x14ac:dyDescent="0.25">
      <c r="A6">
        <v>6</v>
      </c>
      <c r="B6" t="s">
        <v>43</v>
      </c>
      <c r="C6" t="s">
        <v>43</v>
      </c>
      <c r="I6" t="s">
        <v>102</v>
      </c>
      <c r="J6">
        <v>0.85</v>
      </c>
      <c r="K6">
        <v>2.4</v>
      </c>
      <c r="M6" t="s">
        <v>185</v>
      </c>
      <c r="N6" t="str">
        <f t="shared" si="0"/>
        <v/>
      </c>
    </row>
    <row r="7" spans="1:15" x14ac:dyDescent="0.25">
      <c r="A7">
        <v>7</v>
      </c>
      <c r="B7" t="s">
        <v>135</v>
      </c>
      <c r="C7" t="s">
        <v>135</v>
      </c>
      <c r="I7" t="s">
        <v>161</v>
      </c>
      <c r="J7">
        <v>1.2</v>
      </c>
      <c r="K7">
        <v>0.6</v>
      </c>
      <c r="M7" t="s">
        <v>186</v>
      </c>
      <c r="N7" t="str">
        <f t="shared" si="0"/>
        <v/>
      </c>
    </row>
    <row r="8" spans="1:15" x14ac:dyDescent="0.25">
      <c r="A8">
        <v>8</v>
      </c>
      <c r="B8" t="s">
        <v>132</v>
      </c>
      <c r="C8" t="s">
        <v>132</v>
      </c>
      <c r="I8" t="s">
        <v>162</v>
      </c>
      <c r="J8">
        <v>1.5</v>
      </c>
      <c r="K8">
        <v>0.7</v>
      </c>
      <c r="M8" t="s">
        <v>187</v>
      </c>
      <c r="N8" t="str">
        <f t="shared" si="0"/>
        <v/>
      </c>
    </row>
    <row r="9" spans="1:15" x14ac:dyDescent="0.25">
      <c r="A9">
        <v>9</v>
      </c>
      <c r="B9" t="s">
        <v>134</v>
      </c>
      <c r="C9" t="s">
        <v>134</v>
      </c>
      <c r="I9" t="s">
        <v>32</v>
      </c>
      <c r="J9">
        <v>1</v>
      </c>
      <c r="K9">
        <v>0.45</v>
      </c>
      <c r="M9" t="s">
        <v>188</v>
      </c>
      <c r="N9" t="str">
        <f t="shared" si="0"/>
        <v/>
      </c>
    </row>
    <row r="10" spans="1:15" x14ac:dyDescent="0.25">
      <c r="A10">
        <v>10</v>
      </c>
      <c r="B10" t="s">
        <v>136</v>
      </c>
      <c r="C10" t="s">
        <v>136</v>
      </c>
      <c r="I10" t="s">
        <v>163</v>
      </c>
      <c r="J10">
        <v>1</v>
      </c>
      <c r="K10">
        <v>0.4</v>
      </c>
      <c r="M10" t="s">
        <v>189</v>
      </c>
      <c r="N10" t="str">
        <f t="shared" si="0"/>
        <v>{BLACK}Powered by: {GOLD}Steam</v>
      </c>
      <c r="O10" t="s">
        <v>191</v>
      </c>
    </row>
    <row r="11" spans="1:15" x14ac:dyDescent="0.25">
      <c r="A11">
        <v>11</v>
      </c>
      <c r="B11" t="s">
        <v>138</v>
      </c>
      <c r="C11" t="s">
        <v>138</v>
      </c>
      <c r="I11" t="s">
        <v>164</v>
      </c>
      <c r="J11">
        <v>0.9</v>
      </c>
      <c r="K11">
        <v>1.6</v>
      </c>
      <c r="M11" t="s">
        <v>195</v>
      </c>
      <c r="N11" t="str">
        <f t="shared" si="0"/>
        <v>{BLACK}Powered by: {GOLD}750V DC / Diesel</v>
      </c>
      <c r="O11" t="s">
        <v>196</v>
      </c>
    </row>
    <row r="12" spans="1:15" x14ac:dyDescent="0.25">
      <c r="A12">
        <v>12</v>
      </c>
      <c r="B12" t="s">
        <v>131</v>
      </c>
      <c r="C12" t="s">
        <v>131</v>
      </c>
      <c r="I12" t="s">
        <v>36</v>
      </c>
      <c r="J12">
        <v>0</v>
      </c>
      <c r="K12">
        <v>0</v>
      </c>
      <c r="M12" t="s">
        <v>197</v>
      </c>
      <c r="N12" t="str">
        <f t="shared" si="0"/>
        <v>{BLACK}Powered by: {GOLD}25kV AC / 750V DC</v>
      </c>
      <c r="O12" t="s">
        <v>198</v>
      </c>
    </row>
    <row r="13" spans="1:15" x14ac:dyDescent="0.25">
      <c r="A13">
        <v>13</v>
      </c>
      <c r="B13" t="s">
        <v>139</v>
      </c>
      <c r="C13" t="s">
        <v>139</v>
      </c>
      <c r="I13" t="s">
        <v>202</v>
      </c>
      <c r="J13">
        <v>1.05</v>
      </c>
      <c r="K13">
        <v>1.9</v>
      </c>
      <c r="M13" t="s">
        <v>199</v>
      </c>
      <c r="N13" t="str">
        <f t="shared" si="0"/>
        <v/>
      </c>
    </row>
    <row r="14" spans="1:15" x14ac:dyDescent="0.25">
      <c r="A14">
        <v>14</v>
      </c>
      <c r="B14" t="s">
        <v>133</v>
      </c>
      <c r="C14" t="s">
        <v>133</v>
      </c>
      <c r="I14" t="s">
        <v>215</v>
      </c>
      <c r="J14">
        <v>0.98</v>
      </c>
      <c r="K14">
        <v>1.88</v>
      </c>
      <c r="M14" t="s">
        <v>200</v>
      </c>
      <c r="N14" t="str">
        <f t="shared" si="0"/>
        <v/>
      </c>
    </row>
    <row r="15" spans="1:15" x14ac:dyDescent="0.25">
      <c r="A15">
        <v>15</v>
      </c>
      <c r="B15" t="s">
        <v>140</v>
      </c>
      <c r="C15" t="s">
        <v>140</v>
      </c>
      <c r="I15" t="s">
        <v>221</v>
      </c>
      <c r="J15">
        <v>0.5</v>
      </c>
      <c r="K15">
        <v>0.5</v>
      </c>
      <c r="M15" t="s">
        <v>201</v>
      </c>
      <c r="N15" t="str">
        <f t="shared" si="0"/>
        <v/>
      </c>
    </row>
    <row r="16" spans="1:15" x14ac:dyDescent="0.25">
      <c r="A16">
        <v>16</v>
      </c>
      <c r="B16" t="s">
        <v>141</v>
      </c>
      <c r="C16" t="s">
        <v>141</v>
      </c>
      <c r="M16" t="s">
        <v>203</v>
      </c>
      <c r="N16" t="str">
        <f t="shared" si="0"/>
        <v>{BLACK}Powered by: {GOLD}Petrol</v>
      </c>
      <c r="O16" t="s">
        <v>145</v>
      </c>
    </row>
    <row r="17" spans="13:15" x14ac:dyDescent="0.25">
      <c r="M17" t="s">
        <v>206</v>
      </c>
      <c r="N17" t="str">
        <f t="shared" si="0"/>
        <v>{BLACK}Powered by: {GOLD}25kV AC / Diesel</v>
      </c>
      <c r="O17" t="s">
        <v>207</v>
      </c>
    </row>
    <row r="18" spans="13:15" x14ac:dyDescent="0.25">
      <c r="M18" t="s">
        <v>216</v>
      </c>
      <c r="N18" t="str">
        <f t="shared" si="0"/>
        <v>{BLACK}Powered by: {GOLD}LPG / Flywheel</v>
      </c>
      <c r="O18" t="s">
        <v>217</v>
      </c>
    </row>
    <row r="19" spans="13:15" x14ac:dyDescent="0.25">
      <c r="M19" t="s">
        <v>219</v>
      </c>
      <c r="N19" t="str">
        <f t="shared" si="0"/>
        <v/>
      </c>
    </row>
    <row r="20" spans="13:15" x14ac:dyDescent="0.25">
      <c r="M20" t="s">
        <v>218</v>
      </c>
      <c r="N20" t="str">
        <f t="shared" si="0"/>
        <v>{BLACK}Powered by: {GOLD}Steam</v>
      </c>
      <c r="O20" t="s">
        <v>191</v>
      </c>
    </row>
    <row r="21" spans="13:15" x14ac:dyDescent="0.25">
      <c r="M21" t="s">
        <v>220</v>
      </c>
      <c r="N21" t="str">
        <f t="shared" si="0"/>
        <v/>
      </c>
    </row>
    <row r="22" spans="13:15" x14ac:dyDescent="0.25">
      <c r="M22" t="s">
        <v>223</v>
      </c>
      <c r="N22" t="str">
        <f t="shared" si="0"/>
        <v>{BLACK}Powered by: {GOLD}Grass and hay</v>
      </c>
      <c r="O22" t="s">
        <v>222</v>
      </c>
    </row>
    <row r="23" spans="13:15" x14ac:dyDescent="0.25">
      <c r="M23" t="s">
        <v>224</v>
      </c>
      <c r="N23" t="str">
        <f t="shared" si="0"/>
        <v>{BLACK}Powered by: {GOLD}630V DC</v>
      </c>
      <c r="O23" t="s">
        <v>225</v>
      </c>
    </row>
    <row r="24" spans="13:15" x14ac:dyDescent="0.25">
      <c r="M24" t="s">
        <v>226</v>
      </c>
      <c r="N24" t="str">
        <f t="shared" si="0"/>
        <v/>
      </c>
    </row>
    <row r="25" spans="13:15" x14ac:dyDescent="0.25">
      <c r="M25" t="s">
        <v>227</v>
      </c>
      <c r="N25" t="str">
        <f t="shared" si="0"/>
        <v/>
      </c>
    </row>
    <row r="26" spans="13:15" x14ac:dyDescent="0.25">
      <c r="M26" t="s">
        <v>347</v>
      </c>
      <c r="N26" t="str">
        <f t="shared" si="0"/>
        <v>{BLACK}Powered by: {GOLD}Grass and hay</v>
      </c>
      <c r="O26" t="s">
        <v>222</v>
      </c>
    </row>
    <row r="27" spans="13:15" x14ac:dyDescent="0.25">
      <c r="M27" t="s">
        <v>348</v>
      </c>
      <c r="N27" t="str">
        <f t="shared" si="0"/>
        <v/>
      </c>
    </row>
    <row r="28" spans="13:15" x14ac:dyDescent="0.25">
      <c r="M28" t="s">
        <v>349</v>
      </c>
      <c r="N28" t="str">
        <f t="shared" si="0"/>
        <v>{BLACK}Powered by: {GOLD}Diesel</v>
      </c>
      <c r="O28" t="s">
        <v>190</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A6" sqref="A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v>
      </c>
      <c r="B1" s="1" t="s">
        <v>40</v>
      </c>
      <c r="C1" s="1" t="s">
        <v>41</v>
      </c>
      <c r="D1" s="1" t="s">
        <v>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66</v>
      </c>
      <c r="C6">
        <f t="shared" si="1"/>
        <v>68</v>
      </c>
      <c r="D6">
        <v>66</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113</v>
      </c>
    </row>
    <row r="3" spans="1:21" x14ac:dyDescent="0.2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25">
      <c r="A4" t="s">
        <v>121</v>
      </c>
      <c r="B4">
        <v>1</v>
      </c>
      <c r="C4">
        <v>1</v>
      </c>
      <c r="D4">
        <v>0</v>
      </c>
      <c r="E4">
        <v>0</v>
      </c>
      <c r="F4">
        <v>0</v>
      </c>
      <c r="G4">
        <v>1</v>
      </c>
      <c r="H4">
        <v>1</v>
      </c>
      <c r="I4">
        <v>0</v>
      </c>
      <c r="J4">
        <v>1</v>
      </c>
      <c r="K4">
        <v>0</v>
      </c>
      <c r="L4">
        <v>0</v>
      </c>
      <c r="M4">
        <v>0</v>
      </c>
      <c r="N4">
        <v>0</v>
      </c>
      <c r="O4">
        <v>1</v>
      </c>
    </row>
    <row r="6" spans="1:21" ht="14.25" customHeight="1" x14ac:dyDescent="0.25">
      <c r="B6" t="s">
        <v>119</v>
      </c>
    </row>
    <row r="7" spans="1:21" x14ac:dyDescent="0.2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2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129</v>
      </c>
    </row>
    <row r="19" spans="1:9" x14ac:dyDescent="0.25">
      <c r="A19" t="s">
        <v>120</v>
      </c>
      <c r="B19" t="s">
        <v>109</v>
      </c>
      <c r="C19" t="s">
        <v>125</v>
      </c>
      <c r="D19" t="s">
        <v>124</v>
      </c>
      <c r="E19" t="s">
        <v>126</v>
      </c>
      <c r="F19" t="s">
        <v>124</v>
      </c>
      <c r="G19" t="s">
        <v>126</v>
      </c>
      <c r="H19" t="s">
        <v>127</v>
      </c>
      <c r="I19" t="s">
        <v>128</v>
      </c>
    </row>
    <row r="20" spans="1:9" x14ac:dyDescent="0.25">
      <c r="A20" t="s">
        <v>121</v>
      </c>
      <c r="B20">
        <v>0</v>
      </c>
      <c r="C20">
        <v>0</v>
      </c>
      <c r="D20">
        <v>0</v>
      </c>
      <c r="E20">
        <v>0</v>
      </c>
      <c r="F20">
        <v>0</v>
      </c>
      <c r="G20">
        <v>0</v>
      </c>
      <c r="H20">
        <v>0</v>
      </c>
      <c r="I20">
        <v>0</v>
      </c>
    </row>
    <row r="21" spans="1:9" x14ac:dyDescent="0.25">
      <c r="A21" t="s">
        <v>18</v>
      </c>
      <c r="B21">
        <v>22.15</v>
      </c>
      <c r="C21">
        <v>21.84</v>
      </c>
      <c r="D21">
        <v>18.7</v>
      </c>
      <c r="E21">
        <v>18.7</v>
      </c>
      <c r="F21">
        <v>18.7</v>
      </c>
      <c r="G21">
        <v>18.7</v>
      </c>
      <c r="H21">
        <v>21.84</v>
      </c>
      <c r="I21">
        <v>22.15</v>
      </c>
    </row>
    <row r="22" spans="1:9" x14ac:dyDescent="0.2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204</v>
      </c>
    </row>
    <row r="31" spans="1:9" x14ac:dyDescent="0.25">
      <c r="A31" t="s">
        <v>120</v>
      </c>
      <c r="B31" t="s">
        <v>109</v>
      </c>
      <c r="C31" t="s">
        <v>125</v>
      </c>
      <c r="D31" t="s">
        <v>124</v>
      </c>
      <c r="E31" t="s">
        <v>127</v>
      </c>
      <c r="F31" t="s">
        <v>128</v>
      </c>
    </row>
    <row r="32" spans="1:9" x14ac:dyDescent="0.25">
      <c r="A32" t="s">
        <v>121</v>
      </c>
      <c r="B32">
        <v>0</v>
      </c>
      <c r="C32">
        <v>0</v>
      </c>
      <c r="D32">
        <v>0</v>
      </c>
      <c r="E32">
        <v>0</v>
      </c>
      <c r="F32">
        <v>0</v>
      </c>
    </row>
    <row r="33" spans="1:6" x14ac:dyDescent="0.25">
      <c r="A33" t="s">
        <v>18</v>
      </c>
      <c r="B33">
        <v>22.15</v>
      </c>
      <c r="C33">
        <v>21.84</v>
      </c>
      <c r="D33">
        <v>18.7</v>
      </c>
      <c r="E33">
        <v>21.84</v>
      </c>
      <c r="F33">
        <v>22.15</v>
      </c>
    </row>
    <row r="34" spans="1:6" x14ac:dyDescent="0.25">
      <c r="A34" t="s">
        <v>122</v>
      </c>
      <c r="B34">
        <f t="shared" ref="B34:F34" si="2">ROUND(15*((B33*10)/256),0)</f>
        <v>13</v>
      </c>
      <c r="C34">
        <f t="shared" si="2"/>
        <v>13</v>
      </c>
      <c r="D34">
        <f t="shared" si="2"/>
        <v>11</v>
      </c>
      <c r="E34">
        <f t="shared" si="2"/>
        <v>13</v>
      </c>
      <c r="F34">
        <f t="shared" si="2"/>
        <v>13</v>
      </c>
    </row>
    <row r="35" spans="1:6" x14ac:dyDescent="0.2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209</v>
      </c>
    </row>
    <row r="43" spans="1:6" x14ac:dyDescent="0.25">
      <c r="A43" t="s">
        <v>120</v>
      </c>
      <c r="B43" t="s">
        <v>208</v>
      </c>
      <c r="C43" t="s">
        <v>211</v>
      </c>
      <c r="D43" t="s">
        <v>213</v>
      </c>
      <c r="E43" t="s">
        <v>212</v>
      </c>
      <c r="F43" t="s">
        <v>210</v>
      </c>
    </row>
    <row r="44" spans="1:6" x14ac:dyDescent="0.25">
      <c r="A44" t="s">
        <v>121</v>
      </c>
      <c r="B44">
        <v>1</v>
      </c>
      <c r="C44">
        <v>1</v>
      </c>
      <c r="D44">
        <v>1</v>
      </c>
      <c r="E44">
        <v>1</v>
      </c>
      <c r="F44">
        <v>1</v>
      </c>
    </row>
    <row r="45" spans="1:6" x14ac:dyDescent="0.25">
      <c r="A45" t="s">
        <v>18</v>
      </c>
      <c r="B45">
        <v>20.2</v>
      </c>
      <c r="C45">
        <v>15.7</v>
      </c>
      <c r="D45">
        <v>10</v>
      </c>
      <c r="E45">
        <v>15.7</v>
      </c>
      <c r="F45">
        <v>20.2</v>
      </c>
    </row>
    <row r="46" spans="1:6" x14ac:dyDescent="0.25">
      <c r="A46" t="s">
        <v>122</v>
      </c>
      <c r="B46">
        <f t="shared" ref="B46:F46" si="3">ROUND(15*((B45*10)/256),0)</f>
        <v>12</v>
      </c>
      <c r="C46">
        <f t="shared" si="3"/>
        <v>9</v>
      </c>
      <c r="D46">
        <f t="shared" si="3"/>
        <v>6</v>
      </c>
      <c r="E46">
        <f t="shared" si="3"/>
        <v>9</v>
      </c>
      <c r="F46">
        <f t="shared" si="3"/>
        <v>12</v>
      </c>
    </row>
    <row r="47" spans="1:6" x14ac:dyDescent="0.2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2021-02-04T22:20:30Z</dcterms:modified>
</cp:coreProperties>
</file>