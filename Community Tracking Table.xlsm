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6000A85-7645-47B4-89A0-775E2E6678B0}" xr6:coauthVersionLast="46" xr6:coauthVersionMax="46" xr10:uidLastSave="{00000000-0000-0000-0000-000000000000}"/>
  <bookViews>
    <workbookView xWindow="2400" yWindow="2055" windowWidth="24780" windowHeight="122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Table!$A$1:$BX$29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6" i="1" l="1"/>
  <c r="BW6" i="1"/>
  <c r="BU6" i="1"/>
  <c r="BR6" i="1"/>
  <c r="BT6" i="1" s="1"/>
  <c r="BC6" i="1"/>
  <c r="BB6" i="1"/>
  <c r="BA6" i="1"/>
  <c r="AZ6" i="1"/>
  <c r="AY6" i="1"/>
  <c r="AX6" i="1"/>
  <c r="AW6" i="1"/>
  <c r="AT6" i="1"/>
  <c r="AI6" i="1"/>
  <c r="AG6" i="1"/>
  <c r="AF6" i="1" s="1"/>
  <c r="X6" i="1"/>
  <c r="Q6" i="1"/>
  <c r="S6" i="1" s="1"/>
  <c r="BE6" i="1" l="1"/>
  <c r="BG6" i="1" s="1"/>
  <c r="BD6" i="1"/>
  <c r="BF6" i="1" s="1"/>
  <c r="BY3" i="1"/>
  <c r="BW3" i="1"/>
  <c r="BU3" i="1"/>
  <c r="BR3" i="1"/>
  <c r="BT3" i="1" s="1"/>
  <c r="BC3" i="1"/>
  <c r="BB3" i="1"/>
  <c r="BA3" i="1"/>
  <c r="AZ3" i="1"/>
  <c r="AY3" i="1"/>
  <c r="AX3" i="1"/>
  <c r="AW3" i="1"/>
  <c r="AT3" i="1"/>
  <c r="AG3" i="1"/>
  <c r="AF3" i="1" s="1"/>
  <c r="X3" i="1"/>
  <c r="Q3" i="1"/>
  <c r="S3" i="1" s="1"/>
  <c r="BE3" i="1" l="1"/>
  <c r="BG3" i="1" s="1"/>
  <c r="BD3" i="1"/>
  <c r="BF3" i="1" s="1"/>
  <c r="AI3" i="1"/>
  <c r="N28" i="2"/>
  <c r="BY8" i="1"/>
  <c r="BW8" i="1"/>
  <c r="BU8" i="1"/>
  <c r="BR8" i="1"/>
  <c r="BT8" i="1" s="1"/>
  <c r="BC8" i="1"/>
  <c r="BB8" i="1"/>
  <c r="BA8" i="1"/>
  <c r="AZ8" i="1"/>
  <c r="AY8" i="1"/>
  <c r="AX8" i="1"/>
  <c r="AW8" i="1"/>
  <c r="AT8" i="1"/>
  <c r="AG8" i="1"/>
  <c r="AF8" i="1" s="1"/>
  <c r="X8" i="1"/>
  <c r="Q8" i="1"/>
  <c r="S8" i="1" s="1"/>
  <c r="BY10" i="1"/>
  <c r="BW10" i="1"/>
  <c r="BU10" i="1"/>
  <c r="BR10" i="1"/>
  <c r="BT10" i="1" s="1"/>
  <c r="BC10" i="1"/>
  <c r="BB10" i="1"/>
  <c r="BA10" i="1"/>
  <c r="AZ10" i="1"/>
  <c r="AY10" i="1"/>
  <c r="AX10" i="1"/>
  <c r="AW10" i="1"/>
  <c r="AT10" i="1"/>
  <c r="AG10" i="1"/>
  <c r="AF10" i="1" s="1"/>
  <c r="X10" i="1"/>
  <c r="Q10" i="1"/>
  <c r="S10" i="1" s="1"/>
  <c r="BY7" i="1"/>
  <c r="BW7" i="1"/>
  <c r="BU7" i="1"/>
  <c r="BR7" i="1"/>
  <c r="BT7" i="1" s="1"/>
  <c r="BC7" i="1"/>
  <c r="BB7" i="1"/>
  <c r="BA7" i="1"/>
  <c r="AZ7" i="1"/>
  <c r="AY7" i="1"/>
  <c r="AX7" i="1"/>
  <c r="AW7" i="1"/>
  <c r="AT7" i="1"/>
  <c r="AG7" i="1"/>
  <c r="AF7" i="1" s="1"/>
  <c r="X7" i="1"/>
  <c r="Q7" i="1"/>
  <c r="S7" i="1" s="1"/>
  <c r="BY13" i="1"/>
  <c r="BW13" i="1"/>
  <c r="BU13" i="1"/>
  <c r="BR13" i="1"/>
  <c r="BT13" i="1" s="1"/>
  <c r="BC13" i="1"/>
  <c r="BB13" i="1"/>
  <c r="BA13" i="1"/>
  <c r="AZ13" i="1"/>
  <c r="AY13" i="1"/>
  <c r="AX13" i="1"/>
  <c r="AW13" i="1"/>
  <c r="AT13" i="1"/>
  <c r="AG13" i="1"/>
  <c r="AF13" i="1" s="1"/>
  <c r="X13" i="1"/>
  <c r="Q13" i="1"/>
  <c r="S13" i="1" s="1"/>
  <c r="BY12" i="1"/>
  <c r="BW12" i="1"/>
  <c r="BU12" i="1"/>
  <c r="BV12" i="1" s="1"/>
  <c r="BR12" i="1"/>
  <c r="BT12" i="1" s="1"/>
  <c r="BC12" i="1"/>
  <c r="BB12" i="1"/>
  <c r="BA12" i="1"/>
  <c r="AZ12" i="1"/>
  <c r="AY12" i="1"/>
  <c r="AX12" i="1"/>
  <c r="AW12" i="1"/>
  <c r="AT12" i="1"/>
  <c r="AG12" i="1"/>
  <c r="AF12" i="1" s="1"/>
  <c r="X12" i="1"/>
  <c r="Q12" i="1"/>
  <c r="S12" i="1" s="1"/>
  <c r="BY11" i="1"/>
  <c r="BW11" i="1"/>
  <c r="BU11" i="1"/>
  <c r="BV11" i="1" s="1"/>
  <c r="BR11" i="1"/>
  <c r="BT11" i="1" s="1"/>
  <c r="BC11" i="1"/>
  <c r="BB11" i="1"/>
  <c r="BA11" i="1"/>
  <c r="AZ11" i="1"/>
  <c r="AY11" i="1"/>
  <c r="AX11" i="1"/>
  <c r="AW11" i="1"/>
  <c r="AT11" i="1"/>
  <c r="AG11" i="1"/>
  <c r="AF11" i="1" s="1"/>
  <c r="X11" i="1"/>
  <c r="Q11" i="1"/>
  <c r="S11" i="1" s="1"/>
  <c r="BY9" i="1"/>
  <c r="BW9" i="1"/>
  <c r="BU9" i="1"/>
  <c r="BR9" i="1"/>
  <c r="BT9" i="1" s="1"/>
  <c r="BC9" i="1"/>
  <c r="BB9" i="1"/>
  <c r="BA9" i="1"/>
  <c r="AZ9" i="1"/>
  <c r="AY9" i="1"/>
  <c r="AX9" i="1"/>
  <c r="AW9" i="1"/>
  <c r="AT9" i="1"/>
  <c r="AG9" i="1"/>
  <c r="AF9" i="1" s="1"/>
  <c r="X9" i="1"/>
  <c r="Q9" i="1"/>
  <c r="S9" i="1" s="1"/>
  <c r="BY5" i="1"/>
  <c r="BW5" i="1"/>
  <c r="BU5" i="1"/>
  <c r="BR5" i="1"/>
  <c r="BT5" i="1" s="1"/>
  <c r="BC5" i="1"/>
  <c r="BB5" i="1"/>
  <c r="BA5" i="1"/>
  <c r="AZ5" i="1"/>
  <c r="AY5" i="1"/>
  <c r="AX5" i="1"/>
  <c r="AW5" i="1"/>
  <c r="AT5" i="1"/>
  <c r="AG5" i="1"/>
  <c r="AI5" i="1" s="1"/>
  <c r="X5" i="1"/>
  <c r="Q5" i="1"/>
  <c r="S5" i="1" s="1"/>
  <c r="BY16" i="1"/>
  <c r="BY17" i="1"/>
  <c r="BY18" i="1"/>
  <c r="BY19" i="1"/>
  <c r="BY20" i="1"/>
  <c r="BY21" i="1"/>
  <c r="BY22" i="1"/>
  <c r="BY23" i="1"/>
  <c r="BY24" i="1"/>
  <c r="BY25" i="1"/>
  <c r="BY26" i="1"/>
  <c r="BY27" i="1"/>
  <c r="BY28" i="1"/>
  <c r="BY29" i="1"/>
  <c r="BY30" i="1"/>
  <c r="BY31" i="1"/>
  <c r="BY2" i="1"/>
  <c r="BY4" i="1"/>
  <c r="BY14" i="1"/>
  <c r="BY15" i="1"/>
  <c r="AI8" i="1" l="1"/>
  <c r="BD8" i="1"/>
  <c r="BF8" i="1" s="1"/>
  <c r="BE8" i="1"/>
  <c r="BG8" i="1" s="1"/>
  <c r="BV13" i="1"/>
  <c r="BZ13" i="1" s="1"/>
  <c r="AI10" i="1"/>
  <c r="BD10" i="1"/>
  <c r="BF10" i="1" s="1"/>
  <c r="BE7" i="1"/>
  <c r="BG7" i="1" s="1"/>
  <c r="BE10" i="1"/>
  <c r="BG10" i="1" s="1"/>
  <c r="BZ12" i="1"/>
  <c r="BZ11" i="1"/>
  <c r="AI7" i="1"/>
  <c r="BD7" i="1"/>
  <c r="BF7" i="1" s="1"/>
  <c r="AI13" i="1"/>
  <c r="BE12" i="1"/>
  <c r="BG12" i="1" s="1"/>
  <c r="BE13" i="1"/>
  <c r="BG13" i="1" s="1"/>
  <c r="BD13" i="1"/>
  <c r="BF13" i="1" s="1"/>
  <c r="BE11" i="1"/>
  <c r="BG11" i="1" s="1"/>
  <c r="BD12" i="1"/>
  <c r="BF12" i="1" s="1"/>
  <c r="AI11" i="1"/>
  <c r="BD11" i="1"/>
  <c r="BF11" i="1" s="1"/>
  <c r="AI12" i="1"/>
  <c r="AI9" i="1"/>
  <c r="BE9" i="1"/>
  <c r="BG9" i="1" s="1"/>
  <c r="BD9" i="1"/>
  <c r="BF9" i="1" s="1"/>
  <c r="BE5" i="1"/>
  <c r="BG5" i="1" s="1"/>
  <c r="AF5" i="1"/>
  <c r="BD5" i="1"/>
  <c r="BF5" i="1" s="1"/>
  <c r="BR4" i="1"/>
  <c r="BR14" i="1"/>
  <c r="BT14" i="1" s="1"/>
  <c r="BR15" i="1"/>
  <c r="BT15" i="1" s="1"/>
  <c r="BR16" i="1"/>
  <c r="BT16" i="1" s="1"/>
  <c r="BR17" i="1"/>
  <c r="BT17" i="1" s="1"/>
  <c r="BR18" i="1"/>
  <c r="BT18" i="1" s="1"/>
  <c r="BR19" i="1"/>
  <c r="BR20" i="1"/>
  <c r="BT20" i="1" s="1"/>
  <c r="BR21" i="1"/>
  <c r="BT21" i="1" s="1"/>
  <c r="BR22" i="1"/>
  <c r="BT22" i="1" s="1"/>
  <c r="BR23" i="1"/>
  <c r="BT23" i="1" s="1"/>
  <c r="BR24" i="1"/>
  <c r="BT24" i="1" s="1"/>
  <c r="BR25" i="1"/>
  <c r="BT25" i="1" s="1"/>
  <c r="BR26" i="1"/>
  <c r="BT26" i="1" s="1"/>
  <c r="BR27" i="1"/>
  <c r="BT27" i="1" s="1"/>
  <c r="BR28" i="1"/>
  <c r="BR29" i="1"/>
  <c r="BR30" i="1"/>
  <c r="BR31" i="1"/>
  <c r="BR2" i="1"/>
  <c r="AG30" i="1"/>
  <c r="AF30" i="1" s="1"/>
  <c r="AG31" i="1"/>
  <c r="AF31" i="1" s="1"/>
  <c r="AG4" i="1"/>
  <c r="AF4" i="1" s="1"/>
  <c r="AG14" i="1"/>
  <c r="AF14" i="1" s="1"/>
  <c r="AG15" i="1"/>
  <c r="AF15" i="1" s="1"/>
  <c r="AG16" i="1"/>
  <c r="AF16" i="1" s="1"/>
  <c r="AG17" i="1"/>
  <c r="AF17" i="1" s="1"/>
  <c r="AG18" i="1"/>
  <c r="AF18" i="1" s="1"/>
  <c r="AG19" i="1"/>
  <c r="AF19" i="1" s="1"/>
  <c r="AG20" i="1"/>
  <c r="AF20" i="1" s="1"/>
  <c r="AG21" i="1"/>
  <c r="AF21" i="1" s="1"/>
  <c r="AG22" i="1"/>
  <c r="AF22" i="1" s="1"/>
  <c r="AG23" i="1"/>
  <c r="AF23" i="1" s="1"/>
  <c r="AG24" i="1"/>
  <c r="AF24" i="1" s="1"/>
  <c r="AG25" i="1"/>
  <c r="AI25" i="1" s="1"/>
  <c r="AG26" i="1"/>
  <c r="AF26" i="1" s="1"/>
  <c r="AG27" i="1"/>
  <c r="AF27" i="1" s="1"/>
  <c r="AG28" i="1"/>
  <c r="AF28" i="1" s="1"/>
  <c r="AG29" i="1"/>
  <c r="AF29" i="1" s="1"/>
  <c r="BW14" i="1"/>
  <c r="BU14" i="1"/>
  <c r="BV14" i="1" s="1"/>
  <c r="BC14" i="1"/>
  <c r="BB14" i="1"/>
  <c r="BA14" i="1"/>
  <c r="AZ14" i="1"/>
  <c r="AY14" i="1"/>
  <c r="AX14" i="1"/>
  <c r="AW14" i="1"/>
  <c r="AT14" i="1"/>
  <c r="X14" i="1"/>
  <c r="BW27" i="1"/>
  <c r="BU27" i="1"/>
  <c r="BV27" i="1" s="1"/>
  <c r="BC27" i="1"/>
  <c r="BB27" i="1"/>
  <c r="BA27" i="1"/>
  <c r="AZ27" i="1"/>
  <c r="AY27" i="1"/>
  <c r="AX27" i="1"/>
  <c r="AW27" i="1"/>
  <c r="AT27" i="1"/>
  <c r="X27" i="1"/>
  <c r="BW26" i="1"/>
  <c r="BU26" i="1"/>
  <c r="BV26" i="1" s="1"/>
  <c r="BC26" i="1"/>
  <c r="BB26" i="1"/>
  <c r="BA26" i="1"/>
  <c r="AZ26" i="1"/>
  <c r="AY26" i="1"/>
  <c r="AX26" i="1"/>
  <c r="AW26" i="1"/>
  <c r="AT26" i="1"/>
  <c r="X26" i="1"/>
  <c r="BW25" i="1"/>
  <c r="BU25" i="1"/>
  <c r="BV25" i="1" s="1"/>
  <c r="BC25" i="1"/>
  <c r="BB25" i="1"/>
  <c r="BA25" i="1"/>
  <c r="AZ25" i="1"/>
  <c r="AY25" i="1"/>
  <c r="AX25" i="1"/>
  <c r="AW25" i="1"/>
  <c r="AT25" i="1"/>
  <c r="X25" i="1"/>
  <c r="BW24" i="1"/>
  <c r="BU24" i="1"/>
  <c r="BV24" i="1" s="1"/>
  <c r="BC24" i="1"/>
  <c r="BB24" i="1"/>
  <c r="BA24" i="1"/>
  <c r="AZ24" i="1"/>
  <c r="AY24" i="1"/>
  <c r="AX24" i="1"/>
  <c r="AW24" i="1"/>
  <c r="AT24" i="1"/>
  <c r="X24" i="1"/>
  <c r="BW23" i="1"/>
  <c r="BU23" i="1"/>
  <c r="BV23" i="1" s="1"/>
  <c r="BC23" i="1"/>
  <c r="BB23" i="1"/>
  <c r="BA23" i="1"/>
  <c r="AZ23" i="1"/>
  <c r="AY23" i="1"/>
  <c r="AX23" i="1"/>
  <c r="AW23" i="1"/>
  <c r="AT23" i="1"/>
  <c r="X23" i="1"/>
  <c r="BW22" i="1"/>
  <c r="BU22" i="1"/>
  <c r="BC22" i="1"/>
  <c r="BB22" i="1"/>
  <c r="BA22" i="1"/>
  <c r="AZ22" i="1"/>
  <c r="AY22" i="1"/>
  <c r="AX22" i="1"/>
  <c r="AW22" i="1"/>
  <c r="AT22" i="1"/>
  <c r="X22" i="1"/>
  <c r="BW21" i="1"/>
  <c r="BU21" i="1"/>
  <c r="BV21" i="1" s="1"/>
  <c r="BC21" i="1"/>
  <c r="BB21" i="1"/>
  <c r="BA21" i="1"/>
  <c r="AZ21" i="1"/>
  <c r="AY21" i="1"/>
  <c r="AX21" i="1"/>
  <c r="AW21" i="1"/>
  <c r="AT21" i="1"/>
  <c r="X21" i="1"/>
  <c r="BW20" i="1"/>
  <c r="BU20" i="1"/>
  <c r="BV20" i="1" s="1"/>
  <c r="BC20" i="1"/>
  <c r="BB20" i="1"/>
  <c r="BA20" i="1"/>
  <c r="AZ20" i="1"/>
  <c r="AY20" i="1"/>
  <c r="AX20" i="1"/>
  <c r="AW20" i="1"/>
  <c r="AT20" i="1"/>
  <c r="X20" i="1"/>
  <c r="BW18" i="1"/>
  <c r="BU18" i="1"/>
  <c r="BC18" i="1"/>
  <c r="BB18" i="1"/>
  <c r="BA18" i="1"/>
  <c r="AZ18" i="1"/>
  <c r="AY18" i="1"/>
  <c r="AX18" i="1"/>
  <c r="AW18" i="1"/>
  <c r="AT18" i="1"/>
  <c r="X18" i="1"/>
  <c r="BW17" i="1"/>
  <c r="BU17" i="1"/>
  <c r="BV17" i="1" s="1"/>
  <c r="BC17" i="1"/>
  <c r="BB17" i="1"/>
  <c r="BA17" i="1"/>
  <c r="AZ17" i="1"/>
  <c r="AY17" i="1"/>
  <c r="AX17" i="1"/>
  <c r="AW17" i="1"/>
  <c r="AT17" i="1"/>
  <c r="X17" i="1"/>
  <c r="BW16" i="1"/>
  <c r="BU16" i="1"/>
  <c r="BV16" i="1" s="1"/>
  <c r="BC16" i="1"/>
  <c r="BB16" i="1"/>
  <c r="BA16" i="1"/>
  <c r="AZ16" i="1"/>
  <c r="AY16" i="1"/>
  <c r="AX16" i="1"/>
  <c r="AW16" i="1"/>
  <c r="AT16" i="1"/>
  <c r="X16" i="1"/>
  <c r="BW15" i="1"/>
  <c r="BU15" i="1"/>
  <c r="BV15" i="1" s="1"/>
  <c r="BC15" i="1"/>
  <c r="BB15" i="1"/>
  <c r="BA15" i="1"/>
  <c r="AZ15" i="1"/>
  <c r="AY15" i="1"/>
  <c r="AX15" i="1"/>
  <c r="AW15" i="1"/>
  <c r="X15" i="1"/>
  <c r="AI14" i="1" l="1"/>
  <c r="AI24" i="1"/>
  <c r="AI22" i="1"/>
  <c r="AI21" i="1"/>
  <c r="BV18" i="1"/>
  <c r="BZ18" i="1" s="1"/>
  <c r="BV22" i="1"/>
  <c r="BZ22" i="1" s="1"/>
  <c r="AF25" i="1"/>
  <c r="AI23" i="1"/>
  <c r="AI27" i="1"/>
  <c r="BZ23" i="1"/>
  <c r="AI17" i="1"/>
  <c r="BZ14" i="1"/>
  <c r="AI20" i="1"/>
  <c r="AI18" i="1"/>
  <c r="AI16" i="1"/>
  <c r="AI15" i="1"/>
  <c r="AI26" i="1"/>
  <c r="BE23" i="1"/>
  <c r="BG23" i="1" s="1"/>
  <c r="BE27" i="1"/>
  <c r="BG27" i="1" s="1"/>
  <c r="BZ16" i="1"/>
  <c r="BE21" i="1"/>
  <c r="BG21" i="1" s="1"/>
  <c r="BZ21" i="1"/>
  <c r="BE25" i="1"/>
  <c r="BG25" i="1" s="1"/>
  <c r="BZ26" i="1"/>
  <c r="BZ27" i="1"/>
  <c r="BZ24" i="1"/>
  <c r="BZ25" i="1"/>
  <c r="BD14" i="1"/>
  <c r="BF14" i="1" s="1"/>
  <c r="BE14" i="1"/>
  <c r="BG14" i="1" s="1"/>
  <c r="BE17" i="1"/>
  <c r="BG17" i="1" s="1"/>
  <c r="BE18" i="1"/>
  <c r="BG18" i="1" s="1"/>
  <c r="BZ20" i="1"/>
  <c r="BZ15" i="1"/>
  <c r="BZ17" i="1"/>
  <c r="BD16" i="1"/>
  <c r="BF16" i="1" s="1"/>
  <c r="BE26" i="1"/>
  <c r="BG26" i="1" s="1"/>
  <c r="BE24" i="1"/>
  <c r="BG24" i="1" s="1"/>
  <c r="BE22" i="1"/>
  <c r="BG22" i="1" s="1"/>
  <c r="BE20" i="1"/>
  <c r="BG20" i="1" s="1"/>
  <c r="BD26" i="1"/>
  <c r="BF26" i="1" s="1"/>
  <c r="BD23" i="1"/>
  <c r="BF23" i="1" s="1"/>
  <c r="BD21" i="1"/>
  <c r="BF21" i="1" s="1"/>
  <c r="BD20" i="1"/>
  <c r="BF20" i="1" s="1"/>
  <c r="BD18" i="1"/>
  <c r="BF18" i="1" s="1"/>
  <c r="BE16" i="1"/>
  <c r="BG16" i="1" s="1"/>
  <c r="BD27" i="1"/>
  <c r="BF27" i="1" s="1"/>
  <c r="BD25" i="1"/>
  <c r="BF25" i="1" s="1"/>
  <c r="BD24" i="1"/>
  <c r="BF24" i="1" s="1"/>
  <c r="BD22" i="1"/>
  <c r="BF22" i="1" s="1"/>
  <c r="BD17" i="1"/>
  <c r="BF17" i="1" s="1"/>
  <c r="BE15" i="1"/>
  <c r="BG15" i="1" s="1"/>
  <c r="BD15" i="1"/>
  <c r="BF15" i="1" s="1"/>
  <c r="N27" i="2" l="1"/>
  <c r="BW4" i="1"/>
  <c r="BU4" i="1"/>
  <c r="BT4" i="1"/>
  <c r="BC4" i="1"/>
  <c r="BB4" i="1"/>
  <c r="BA4" i="1"/>
  <c r="AZ4" i="1"/>
  <c r="AY4" i="1"/>
  <c r="AX4" i="1"/>
  <c r="AW4" i="1"/>
  <c r="AT4" i="1"/>
  <c r="X4" i="1"/>
  <c r="Q4" i="1"/>
  <c r="BC19" i="1"/>
  <c r="BB19" i="1"/>
  <c r="AI19" i="1"/>
  <c r="BW19" i="1"/>
  <c r="BU19" i="1"/>
  <c r="BV19" i="1" s="1"/>
  <c r="BT19" i="1"/>
  <c r="BA19" i="1"/>
  <c r="AZ19" i="1"/>
  <c r="AY19" i="1"/>
  <c r="AX19" i="1"/>
  <c r="AW19" i="1"/>
  <c r="AT19" i="1"/>
  <c r="X19" i="1"/>
  <c r="N26" i="2"/>
  <c r="BC2" i="1"/>
  <c r="BB2" i="1"/>
  <c r="BA2" i="1"/>
  <c r="AZ2" i="1"/>
  <c r="AY2" i="1"/>
  <c r="AX2" i="1"/>
  <c r="BW2" i="1"/>
  <c r="BU2" i="1"/>
  <c r="BV2" i="1" s="1"/>
  <c r="BT2" i="1"/>
  <c r="AW2" i="1"/>
  <c r="AT2" i="1"/>
  <c r="AG2" i="1"/>
  <c r="X2" i="1"/>
  <c r="AI2" i="1" l="1"/>
  <c r="AF2" i="1"/>
  <c r="BE4" i="1"/>
  <c r="BG4" i="1" s="1"/>
  <c r="BE19" i="1"/>
  <c r="BG19" i="1" s="1"/>
  <c r="BD4" i="1"/>
  <c r="BF4" i="1" s="1"/>
  <c r="S4" i="1"/>
  <c r="AI4" i="1"/>
  <c r="BD19" i="1"/>
  <c r="BF19" i="1" s="1"/>
  <c r="BZ19" i="1"/>
  <c r="BE2" i="1"/>
  <c r="BG2" i="1" s="1"/>
  <c r="BZ2" i="1"/>
  <c r="BD2" i="1"/>
  <c r="BF2" i="1" s="1"/>
  <c r="BT30" i="1" l="1"/>
  <c r="BC30" i="1"/>
  <c r="BB30" i="1"/>
  <c r="BW30" i="1"/>
  <c r="BU30" i="1"/>
  <c r="BV30" i="1" s="1"/>
  <c r="BA30" i="1"/>
  <c r="AZ30" i="1"/>
  <c r="AY30" i="1"/>
  <c r="AX30" i="1"/>
  <c r="AW30" i="1"/>
  <c r="AT30" i="1"/>
  <c r="X30" i="1"/>
  <c r="Q30" i="1"/>
  <c r="S30" i="1" s="1"/>
  <c r="T31" i="1"/>
  <c r="X31" i="1" s="1"/>
  <c r="BW31" i="1"/>
  <c r="BU31" i="1"/>
  <c r="BV31" i="1" s="1"/>
  <c r="BT31" i="1"/>
  <c r="BC31" i="1"/>
  <c r="BB31" i="1"/>
  <c r="BA31" i="1"/>
  <c r="AZ31" i="1"/>
  <c r="AY31" i="1"/>
  <c r="AX31" i="1"/>
  <c r="AW31" i="1"/>
  <c r="AT31" i="1"/>
  <c r="AI31" i="1"/>
  <c r="AI30" i="1" l="1"/>
  <c r="BE30" i="1"/>
  <c r="BG30" i="1" s="1"/>
  <c r="BD30" i="1"/>
  <c r="BF30" i="1" s="1"/>
  <c r="BZ30" i="1"/>
  <c r="BE31" i="1"/>
  <c r="BG31" i="1" s="1"/>
  <c r="BZ31" i="1"/>
  <c r="BD31" i="1"/>
  <c r="BF31" i="1" s="1"/>
  <c r="X28" i="1" l="1"/>
  <c r="AT28" i="1"/>
  <c r="AV28" i="1"/>
  <c r="AW28" i="1"/>
  <c r="AX28" i="1"/>
  <c r="AY28" i="1"/>
  <c r="AZ28" i="1"/>
  <c r="BA28" i="1"/>
  <c r="BB28" i="1"/>
  <c r="BC28" i="1"/>
  <c r="BT28" i="1"/>
  <c r="BU28" i="1"/>
  <c r="BV28" i="1" s="1"/>
  <c r="BW28" i="1"/>
  <c r="BZ28" i="1" l="1"/>
  <c r="BE28" i="1"/>
  <c r="BG28" i="1" s="1"/>
  <c r="BD28" i="1"/>
  <c r="BF28" i="1" s="1"/>
  <c r="AI28" i="1"/>
  <c r="N25" i="2" l="1"/>
  <c r="N24" i="2" l="1"/>
  <c r="N23" i="2" l="1"/>
  <c r="N22" i="2" l="1"/>
  <c r="N21" i="2"/>
  <c r="N20" i="2"/>
  <c r="N19" i="2" l="1"/>
  <c r="N18" i="2" l="1"/>
  <c r="AZ29"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29" i="1"/>
  <c r="BU29" i="1"/>
  <c r="BV29" i="1" s="1"/>
  <c r="BV6" i="1" l="1"/>
  <c r="BZ6" i="1" s="1"/>
  <c r="BV3" i="1"/>
  <c r="BZ3" i="1" s="1"/>
  <c r="BV9" i="1"/>
  <c r="BZ9" i="1" s="1"/>
  <c r="BV5" i="1"/>
  <c r="BZ5" i="1" s="1"/>
  <c r="BV8" i="1"/>
  <c r="BZ8" i="1" s="1"/>
  <c r="BV10" i="1"/>
  <c r="BZ10" i="1" s="1"/>
  <c r="BV7" i="1"/>
  <c r="BZ7" i="1" s="1"/>
  <c r="BV4" i="1"/>
  <c r="BZ4" i="1" s="1"/>
  <c r="BZ29" i="1"/>
  <c r="AV29" i="1" l="1"/>
  <c r="AT29" i="1" l="1"/>
  <c r="BC29" i="1" l="1"/>
  <c r="BA29" i="1"/>
  <c r="AW29" i="1"/>
  <c r="AX29" i="1"/>
  <c r="AY29" i="1"/>
  <c r="BB29" i="1"/>
  <c r="BE29" i="1" l="1"/>
  <c r="BG29" i="1" s="1"/>
  <c r="BD29" i="1"/>
  <c r="BF29"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29" i="1" l="1"/>
  <c r="B4" i="4" l="1"/>
  <c r="B5" i="4"/>
  <c r="B6" i="4"/>
  <c r="B7" i="4"/>
  <c r="B8" i="4"/>
  <c r="B9" i="4"/>
  <c r="B10" i="4"/>
  <c r="B11" i="4"/>
  <c r="B3" i="4"/>
  <c r="BT29"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I29" i="1" l="1"/>
</calcChain>
</file>

<file path=xl/sharedStrings.xml><?xml version="1.0" encoding="utf-8"?>
<sst xmlns="http://schemas.openxmlformats.org/spreadsheetml/2006/main" count="568" uniqueCount="341">
  <si>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</si>
  <si>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</si>
  <si>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</si>
  <si>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</si>
  <si>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</si>
  <si>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</si>
  <si>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</si>
  <si>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</si>
  <si>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</si>
  <si>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</si>
  <si>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</si>
  <si>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</si>
  <si>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</si>
  <si>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</si>
  <si>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</si>
  <si>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</si>
  <si>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</si>
  <si>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</si>
  <si>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</si>
  <si>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</si>
  <si>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</si>
  <si>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</si>
  <si>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</si>
  <si>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</si>
  <si>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</si>
  <si>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</si>
  <si>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</si>
  <si>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</si>
  <si>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</si>
  <si>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</si>
  <si>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</si>
  <si>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</si>
  <si>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</si>
  <si>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</si>
  <si>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</si>
  <si>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</si>
  <si>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</si>
  <si>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</si>
  <si>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</si>
  <si>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</si>
  <si>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</si>
  <si>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</si>
  <si>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</si>
  <si>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</si>
  <si>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</si>
  <si>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</si>
  <si>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</si>
  <si>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</si>
  <si>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</si>
  <si>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</si>
  <si>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</si>
  <si>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</si>
  <si>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</si>
  <si>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</si>
  <si>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</si>
  <si>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</si>
  <si>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</si>
  <si>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</si>
  <si>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</si>
  <si>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</si>
  <si>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</si>
  <si>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</si>
  <si>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</si>
  <si>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</si>
  <si>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</si>
  <si>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</si>
  <si>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</si>
  <si>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</si>
  <si>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</si>
  <si>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</si>
  <si>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</si>
  <si>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</si>
  <si>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</si>
  <si>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</si>
  <si>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</si>
  <si>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</si>
  <si>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</si>
  <si>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</si>
  <si>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</si>
  <si>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</si>
  <si>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</si>
  <si>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</si>
  <si>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</si>
  <si>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</si>
  <si>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</si>
  <si>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</si>
  <si>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</si>
  <si>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</si>
  <si>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</si>
  <si>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</si>
  <si>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</si>
  <si>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</si>
  <si>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</si>
  <si>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</si>
  <si>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</si>
  <si>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</si>
  <si>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</si>
  <si>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</si>
  <si>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</si>
  <si>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</si>
  <si>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</si>
  <si>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</si>
  <si>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</si>
  <si>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</si>
  <si>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</si>
  <si>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</si>
  <si>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</si>
  <si>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</si>
  <si>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</si>
  <si>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</si>
  <si>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</si>
  <si>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</si>
  <si>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</si>
  <si>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</si>
  <si>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</si>
  <si>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</si>
  <si>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</si>
  <si>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</si>
  <si>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</si>
  <si>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</si>
  <si>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</si>
  <si>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</si>
  <si>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</si>
  <si>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</si>
  <si>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</si>
  <si>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</si>
  <si>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</si>
  <si>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</si>
  <si>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</si>
  <si>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</si>
  <si>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</si>
  <si>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</si>
  <si>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</si>
  <si>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</si>
  <si>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</si>
  <si>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</si>
  <si>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</si>
  <si>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</si>
  <si>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</si>
  <si>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</si>
  <si>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</si>
  <si>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</si>
  <si>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</si>
  <si>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</si>
  <si>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</si>
  <si>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</si>
  <si>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</si>
  <si>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</si>
  <si>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</si>
  <si>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</si>
  <si>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</si>
  <si>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</si>
  <si>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</si>
  <si>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</si>
  <si>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</si>
  <si>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</si>
  <si>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</si>
  <si>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</si>
  <si>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</si>
  <si>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</si>
  <si>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</si>
  <si>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</si>
  <si>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</si>
  <si>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</si>
  <si>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</si>
  <si>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</si>
  <si>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</si>
  <si>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</si>
  <si>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</si>
  <si>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</si>
  <si>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</si>
  <si>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</si>
  <si>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</si>
  <si>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</si>
  <si>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</si>
  <si>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</si>
  <si>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</si>
  <si>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</si>
  <si>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</si>
  <si>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</si>
  <si>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</si>
  <si>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</si>
  <si>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</si>
  <si>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</si>
  <si>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</si>
  <si>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</si>
  <si>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</si>
  <si>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</si>
  <si>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</si>
  <si>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</si>
  <si>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</si>
  <si>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</si>
  <si>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</si>
  <si>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</si>
  <si>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</si>
  <si>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</si>
  <si>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</si>
  <si>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</si>
  <si>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</si>
  <si>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</si>
  <si>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</si>
  <si>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</si>
  <si>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</si>
  <si>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</si>
  <si>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</si>
  <si>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</si>
  <si>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</si>
  <si>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</si>
  <si>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</si>
  <si>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</si>
  <si>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</si>
  <si>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</si>
  <si>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</si>
  <si>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</si>
  <si>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</si>
  <si>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</si>
  <si>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</si>
  <si>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</si>
  <si>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</si>
  <si>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</si>
  <si>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</si>
  <si>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</si>
  <si>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</si>
  <si>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</si>
  <si>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</si>
  <si>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</si>
  <si>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</si>
  <si>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</si>
  <si>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</si>
  <si>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</si>
  <si>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</si>
  <si>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</si>
  <si>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</si>
  <si>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</si>
  <si>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</si>
  <si>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</si>
  <si>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</si>
  <si>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</si>
  <si>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</si>
  <si>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</si>
  <si>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</si>
  <si>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</si>
  <si>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</si>
  <si>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</si>
  <si>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</si>
  <si>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NGRL</t>
  </si>
  <si>
    <t>horses_NGRL</t>
  </si>
  <si>
    <t>A smaller horse for a smaller railway.</t>
  </si>
  <si>
    <t>Open wagon</t>
  </si>
  <si>
    <t>EarlyOpen</t>
  </si>
  <si>
    <t>COAL</t>
  </si>
  <si>
    <t>open_wagon_ng</t>
  </si>
  <si>
    <t>An open wagon for carrying bulk cargo on narrow gauge railways.</t>
  </si>
  <si>
    <t>Fletcher Jennings "Talyllyn"</t>
  </si>
  <si>
    <t>talyllyn</t>
  </si>
  <si>
    <t>wagon_NGRL</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</si>
  <si>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</si>
  <si>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</si>
  <si>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</si>
  <si>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</si>
  <si>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</si>
  <si>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</si>
  <si>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</si>
  <si>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</si>
  <si>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</si>
  <si>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</si>
  <si>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</si>
  <si>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</si>
  <si>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</si>
  <si>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</si>
  <si>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</si>
  <si>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</si>
  <si>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</si>
  <si>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</si>
  <si>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</si>
  <si>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</si>
  <si>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</si>
  <si>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</si>
  <si>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</si>
  <si>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</si>
  <si>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</si>
  <si>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</si>
  <si>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</si>
  <si>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</si>
  <si>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</si>
  <si>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</si>
  <si>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</si>
  <si>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</si>
  <si>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</si>
  <si>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</si>
  <si>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</si>
  <si>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Passenger van</t>
  </si>
  <si>
    <t>passenger_van</t>
  </si>
  <si>
    <t>Early narrow gauge railways were used solely for freight, until the Ffestiniog Railway began carrying passengers in the 1860s. Hastily converting a van could have provided a way to carry people.</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</si>
  <si>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</si>
  <si>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</si>
  <si>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</si>
  <si>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</si>
  <si>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</si>
  <si>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</si>
  <si>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</si>
  <si>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</si>
  <si>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</si>
  <si>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</si>
  <si>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</si>
  <si>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</si>
  <si>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</si>
  <si>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</si>
  <si>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</si>
  <si>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</si>
  <si>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</si>
  <si>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</si>
  <si>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</si>
  <si>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</si>
  <si>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</si>
  <si>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</si>
  <si>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</si>
  <si>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</si>
  <si>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diesel_NGRL</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</si>
  <si>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</si>
  <si>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</si>
  <si>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</si>
  <si>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</si>
  <si>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 Kestrel</t>
  </si>
  <si>
    <t>brush_kestrel</t>
  </si>
  <si>
    <t>Cartic</t>
  </si>
  <si>
    <t>cartic</t>
  </si>
  <si>
    <t>SR 4CC Double Decker</t>
  </si>
  <si>
    <t>sr_4cc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</si>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</sst>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64" fontId="0" fillId="0" borderId="0" xfId="0" applyNumberFormat="1"/>
    <xf numFmtId="1" fontId="0" fillId="2" borderId="1" xfId="0" applyNumberFormat="1"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refreshError="1"/>
      <sheetData sheetId="1" refreshError="1"/>
      <sheetData sheetId="2" refreshError="1"/>
      <sheetData sheetId="3">
        <row r="1">
          <cell r="G1">
            <v>15</v>
          </cell>
          <cell r="I1" t="str">
            <v>Type</v>
          </cell>
          <cell r="J1" t="str">
            <v>Running cost factor</v>
          </cell>
          <cell r="K1" t="str">
            <v>Purchase cost factor</v>
          </cell>
        </row>
        <row r="2">
          <cell r="A2">
            <v>0</v>
          </cell>
          <cell r="B2" t="str">
            <v>na</v>
          </cell>
          <cell r="G2">
            <v>5</v>
          </cell>
          <cell r="I2" t="str">
            <v>diesel</v>
          </cell>
          <cell r="J2">
            <v>1</v>
          </cell>
          <cell r="K2">
            <v>2</v>
          </cell>
        </row>
        <row r="3">
          <cell r="A3">
            <v>3</v>
          </cell>
          <cell r="B3" t="str">
            <v>1,1,1</v>
          </cell>
          <cell r="C3" t="str">
            <v>1,1,1</v>
          </cell>
          <cell r="I3" t="str">
            <v>electric</v>
          </cell>
          <cell r="J3">
            <v>0.85</v>
          </cell>
          <cell r="K3">
            <v>2.2999999999999998</v>
          </cell>
        </row>
        <row r="4">
          <cell r="A4">
            <v>4</v>
          </cell>
          <cell r="B4" t="str">
            <v>1,2,1</v>
          </cell>
          <cell r="C4" t="str">
            <v>1,2,1</v>
          </cell>
          <cell r="I4" t="str">
            <v>steam</v>
          </cell>
          <cell r="J4">
            <v>1.1499999999999999</v>
          </cell>
          <cell r="K4">
            <v>1.7</v>
          </cell>
        </row>
        <row r="5">
          <cell r="A5">
            <v>5</v>
          </cell>
          <cell r="B5" t="str">
            <v>2,1,2</v>
          </cell>
          <cell r="C5" t="str">
            <v>2,1,2</v>
          </cell>
          <cell r="I5" t="str">
            <v>dual_power</v>
          </cell>
          <cell r="J5">
            <v>0.9</v>
          </cell>
          <cell r="K5">
            <v>2.5</v>
          </cell>
        </row>
        <row r="6">
          <cell r="A6">
            <v>6</v>
          </cell>
          <cell r="B6" t="str">
            <v>2,2,2</v>
          </cell>
          <cell r="C6" t="str">
            <v>2,2,2</v>
          </cell>
          <cell r="I6" t="str">
            <v>dual_electric</v>
          </cell>
          <cell r="J6">
            <v>0.85</v>
          </cell>
          <cell r="K6">
            <v>2.4</v>
          </cell>
        </row>
        <row r="7">
          <cell r="A7">
            <v>7</v>
          </cell>
          <cell r="B7" t="str">
            <v>2,3,2</v>
          </cell>
          <cell r="C7" t="str">
            <v>2,3,2</v>
          </cell>
          <cell r="I7" t="str">
            <v>carriage</v>
          </cell>
          <cell r="J7">
            <v>1.2</v>
          </cell>
          <cell r="K7">
            <v>0.6</v>
          </cell>
        </row>
        <row r="8">
          <cell r="A8">
            <v>8</v>
          </cell>
          <cell r="B8" t="str">
            <v>2,4,2</v>
          </cell>
          <cell r="C8" t="str">
            <v>2,4,2</v>
          </cell>
          <cell r="I8" t="str">
            <v>luxury_carriage</v>
          </cell>
          <cell r="J8">
            <v>1.5</v>
          </cell>
          <cell r="K8">
            <v>0.7</v>
          </cell>
        </row>
        <row r="9">
          <cell r="A9">
            <v>9</v>
          </cell>
          <cell r="B9" t="str">
            <v>2,5,2</v>
          </cell>
          <cell r="C9" t="str">
            <v>2,5,2</v>
          </cell>
          <cell r="I9" t="str">
            <v>wagon</v>
          </cell>
          <cell r="J9">
            <v>1</v>
          </cell>
          <cell r="K9">
            <v>0.45</v>
          </cell>
        </row>
        <row r="10">
          <cell r="A10">
            <v>10</v>
          </cell>
          <cell r="B10" t="str">
            <v>4,2,4</v>
          </cell>
          <cell r="C10" t="str">
            <v>4,2,4</v>
          </cell>
          <cell r="I10" t="str">
            <v>brake</v>
          </cell>
          <cell r="J10">
            <v>1</v>
          </cell>
          <cell r="K10">
            <v>0.4</v>
          </cell>
        </row>
        <row r="11">
          <cell r="A11">
            <v>11</v>
          </cell>
          <cell r="B11" t="str">
            <v>4,3,4</v>
          </cell>
          <cell r="C11" t="str">
            <v>4,3,4</v>
          </cell>
          <cell r="I11" t="str">
            <v>tube</v>
          </cell>
          <cell r="J11">
            <v>0.9</v>
          </cell>
          <cell r="K11">
            <v>1.6</v>
          </cell>
        </row>
        <row r="12">
          <cell r="A12">
            <v>12</v>
          </cell>
          <cell r="B12" t="str">
            <v>4,4,4</v>
          </cell>
          <cell r="C12" t="str">
            <v>4,4,4</v>
          </cell>
          <cell r="I12" t="str">
            <v>tender</v>
          </cell>
          <cell r="J12">
            <v>0</v>
          </cell>
          <cell r="K12">
            <v>0</v>
          </cell>
        </row>
        <row r="13">
          <cell r="A13">
            <v>13</v>
          </cell>
          <cell r="B13" t="str">
            <v>4,5,4</v>
          </cell>
          <cell r="C13" t="str">
            <v>4,5,4</v>
          </cell>
          <cell r="I13" t="str">
            <v>petrol</v>
          </cell>
          <cell r="J13">
            <v>1.05</v>
          </cell>
          <cell r="K13">
            <v>1.9</v>
          </cell>
        </row>
        <row r="14">
          <cell r="A14">
            <v>14</v>
          </cell>
          <cell r="B14" t="str">
            <v>4,6,4</v>
          </cell>
          <cell r="C14" t="str">
            <v>4,6,4</v>
          </cell>
          <cell r="I14" t="str">
            <v>lpgflywheel</v>
          </cell>
          <cell r="J14">
            <v>0.98</v>
          </cell>
          <cell r="K14">
            <v>1.88</v>
          </cell>
        </row>
        <row r="15">
          <cell r="A15">
            <v>15</v>
          </cell>
          <cell r="B15" t="str">
            <v>4,7,4</v>
          </cell>
          <cell r="C15" t="str">
            <v>4,7,4</v>
          </cell>
          <cell r="I15" t="str">
            <v>horses</v>
          </cell>
          <cell r="J15">
            <v>0.5</v>
          </cell>
          <cell r="K15">
            <v>0.5</v>
          </cell>
        </row>
        <row r="16">
          <cell r="A16">
            <v>16</v>
          </cell>
          <cell r="B16" t="str">
            <v>4,8,4</v>
          </cell>
          <cell r="C16" t="str">
            <v>4,8,4</v>
          </cell>
          <cell r="I16" t="str">
            <v>none</v>
          </cell>
          <cell r="J16">
            <v>0.85</v>
          </cell>
          <cell r="K16">
            <v>2.2999999999999998</v>
          </cell>
        </row>
      </sheetData>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4"/>
  <sheetViews>
    <sheetView tabSelected="1" workbookViewId="0">
      <pane xSplit="1" ySplit="1" topLeftCell="B2" activePane="bottomRight" state="frozenSplit"/>
      <selection pane="topRight" activeCell="B1" sqref="B1"/>
      <selection pane="bottomLeft" activeCell="A2" sqref="A2"/>
      <selection pane="bottomRight" activeCell="B13" sqref="B13"/>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8"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 t="s">
        <v>3</v>
      </c>
      <c r="AG1" s="1" t="s">
        <v>22</v>
      </c>
      <c r="AH1" s="1" t="s">
        <v>36</v>
      </c>
      <c r="AI1" s="1" t="s">
        <v>17</v>
      </c>
      <c r="AJ1" s="1" t="s">
        <v>214</v>
      </c>
      <c r="AK1" s="11" t="s">
        <v>118</v>
      </c>
      <c r="AL1" s="11" t="s">
        <v>205</v>
      </c>
      <c r="AM1" s="1" t="s">
        <v>95</v>
      </c>
      <c r="AN1" s="1" t="s">
        <v>103</v>
      </c>
      <c r="AO1" s="1" t="s">
        <v>96</v>
      </c>
      <c r="AP1" s="1" t="s">
        <v>98</v>
      </c>
      <c r="AQ1" s="1" t="s">
        <v>23</v>
      </c>
      <c r="AR1" s="1" t="s">
        <v>175</v>
      </c>
      <c r="AS1" s="1" t="s">
        <v>147</v>
      </c>
      <c r="AT1" s="1" t="s">
        <v>167</v>
      </c>
      <c r="AU1" s="1" t="s">
        <v>148</v>
      </c>
      <c r="AV1" s="1" t="s">
        <v>165</v>
      </c>
      <c r="AW1" s="1" t="s">
        <v>149</v>
      </c>
      <c r="AX1" s="1" t="s">
        <v>150</v>
      </c>
      <c r="AY1" s="1" t="s">
        <v>151</v>
      </c>
      <c r="AZ1" s="1" t="s">
        <v>154</v>
      </c>
      <c r="BA1" s="1" t="s">
        <v>160</v>
      </c>
      <c r="BB1" s="1" t="s">
        <v>155</v>
      </c>
      <c r="BC1" s="1" t="s">
        <v>159</v>
      </c>
      <c r="BD1" s="1" t="s">
        <v>30</v>
      </c>
      <c r="BE1" s="1" t="s">
        <v>31</v>
      </c>
      <c r="BF1" s="1" t="s">
        <v>176</v>
      </c>
      <c r="BG1" s="1" t="s">
        <v>177</v>
      </c>
      <c r="BH1" s="1" t="s">
        <v>44</v>
      </c>
      <c r="BI1" s="1" t="s">
        <v>104</v>
      </c>
      <c r="BJ1" s="1" t="s">
        <v>110</v>
      </c>
      <c r="BK1" s="1" t="s">
        <v>166</v>
      </c>
      <c r="BL1" s="1" t="s">
        <v>169</v>
      </c>
      <c r="BM1" s="1" t="s">
        <v>170</v>
      </c>
      <c r="BN1" s="1" t="s">
        <v>173</v>
      </c>
      <c r="BO1" s="1" t="s">
        <v>174</v>
      </c>
      <c r="BP1" s="1" t="s">
        <v>146</v>
      </c>
      <c r="BQ1" s="1" t="s">
        <v>33</v>
      </c>
      <c r="BR1" s="1" t="s">
        <v>58</v>
      </c>
      <c r="BS1" s="1" t="s">
        <v>79</v>
      </c>
      <c r="BT1" s="1" t="s">
        <v>81</v>
      </c>
      <c r="BU1" s="1" t="s">
        <v>184</v>
      </c>
      <c r="BV1" s="1" t="s">
        <v>178</v>
      </c>
      <c r="BW1" s="1" t="s">
        <v>171</v>
      </c>
      <c r="BX1" s="1" t="s">
        <v>168</v>
      </c>
      <c r="BY1" s="1" t="s">
        <v>172</v>
      </c>
      <c r="BZ1" s="1" t="s">
        <v>82</v>
      </c>
    </row>
    <row r="2" spans="1:78" x14ac:dyDescent="0.25">
      <c r="A2" t="s">
        <v>244</v>
      </c>
      <c r="B2" t="s">
        <v>243</v>
      </c>
      <c r="C2">
        <v>1</v>
      </c>
      <c r="D2" t="s">
        <v>221</v>
      </c>
      <c r="E2" t="s">
        <v>221</v>
      </c>
      <c r="F2" t="s">
        <v>245</v>
      </c>
      <c r="G2">
        <v>1800</v>
      </c>
      <c r="I2">
        <v>1880</v>
      </c>
      <c r="K2">
        <v>5</v>
      </c>
      <c r="Q2" s="14"/>
      <c r="T2">
        <v>1</v>
      </c>
      <c r="W2">
        <v>4</v>
      </c>
      <c r="X2" s="4">
        <f t="shared" ref="X2" si="0">IF(AND(T2&gt;0,W2&gt;0),(W2/((T2+U2)*10)),"")</f>
        <v>0.4</v>
      </c>
      <c r="Y2">
        <v>15</v>
      </c>
      <c r="AB2">
        <v>6</v>
      </c>
      <c r="AE2" s="10">
        <v>0</v>
      </c>
      <c r="AF2" t="str">
        <f>CONCATENATE(VLOOKUP(AG2, 'Voxel Sizes'!$A$2:$B$18,2,FALSE),"x",INT(AC2*15), "x", INT(AD2*15))</f>
        <v>66x0x0</v>
      </c>
      <c r="AG2">
        <f t="shared" ref="AG2:AG31" si="1">ROUND(15*((AB2*10)/256),0)</f>
        <v>4</v>
      </c>
      <c r="AI2" t="str">
        <f>CONCATENATE(VLOOKUP(AG2,Constants!$A$2:$C$16,IF(AH2&lt;&gt;"", 3, 2), FALSE),IF(AH2&lt;&gt;"",CONCATENATE(",",VLOOKUP(AH2,$B:$AI,34,FALSE)),""))</f>
        <v>1,2,1</v>
      </c>
      <c r="AQ2">
        <v>1</v>
      </c>
      <c r="AS2">
        <v>14</v>
      </c>
      <c r="AT2">
        <f t="shared" ref="AT2" si="2">IF(I2&lt;&gt;"",MAX(8,(I2-G2)-4),"")</f>
        <v>76</v>
      </c>
      <c r="AU2">
        <v>-10</v>
      </c>
      <c r="AV2">
        <v>-3</v>
      </c>
      <c r="AW2">
        <f t="shared" ref="AW2" si="3">MIN(Y2/150, 1)*30</f>
        <v>3</v>
      </c>
      <c r="AX2">
        <f t="shared" ref="AX2" si="4">MIN(K2/4000, 1)*20</f>
        <v>2.5000000000000001E-2</v>
      </c>
      <c r="AY2">
        <f t="shared" ref="AY2" si="5">MIN(W2/400,1)*20</f>
        <v>0.2</v>
      </c>
      <c r="AZ2" s="4">
        <f t="shared" ref="AZ2" si="6">1-(MAX(G2-1900, 0)/750)</f>
        <v>1</v>
      </c>
      <c r="BA2">
        <f t="shared" ref="BA2" si="7">((MAX($J2,1)*MIN($AE2/300,1)))*IF(D2="Wagon",50,10)</f>
        <v>0</v>
      </c>
      <c r="BB2">
        <f>VLOOKUP($E2,Constants!$I:$K, 2, FALSE)</f>
        <v>0.5</v>
      </c>
      <c r="BC2">
        <f>VLOOKUP($E2,Constants!$I:$K, 3, FALSE)*IF(AND(D2="multiple_unit",Y2&lt;110),0.75,1)</f>
        <v>0.5</v>
      </c>
      <c r="BD2">
        <f>INT(POWER(((Constants!$G$2+$AW2+$AX2+$AY2+$BA2)*$AZ2)*$BC2, 1.05))+$AV2</f>
        <v>1</v>
      </c>
      <c r="BE2">
        <f>INT(POWER((((Constants!$G$1+$AW2+$AX2+$AY2+$BA2)*($AZ2))*$BB2),IF($D2="wagon",1,1.2)))+$AU2</f>
        <v>4</v>
      </c>
      <c r="BF2" s="13">
        <f t="shared" ref="BF2" si="8">BD2*IF($D2="wagon",62.5,781.25)</f>
        <v>781.25</v>
      </c>
      <c r="BG2" s="13">
        <f t="shared" ref="BG2:BG31" si="9">BE2*IF($D2="wagon",2.73,81.25)</f>
        <v>325</v>
      </c>
      <c r="BN2">
        <v>1</v>
      </c>
      <c r="BR2" t="str">
        <f>VLOOKUP(G2,Eras!$A$2:$C$10, 2, TRUE)</f>
        <v>early</v>
      </c>
      <c r="BS2" t="s">
        <v>62</v>
      </c>
      <c r="BT2" t="str">
        <f t="shared" ref="BT2" si="10">CONCATENATE(BR2,"_",BS2)</f>
        <v>early_Mixed Traffic</v>
      </c>
      <c r="BU2" t="str">
        <f t="shared" ref="BU2" si="11">_xlfn.CONCAT(E2, "_",F2)</f>
        <v>horses_NGRL</v>
      </c>
      <c r="BV2" t="str">
        <f>VLOOKUP($BU2, Constants!$M:$N, 2, FALSE)</f>
        <v>{BLACK}Powered by: {GOLD}Grass and hay</v>
      </c>
      <c r="BW2" t="str">
        <f t="shared" ref="BW2" si="12">IF(J2&gt;1,_xlfn.CONCAT("{BLACK}Cars: {GOLD}", J2),"")</f>
        <v/>
      </c>
      <c r="BX2" t="s">
        <v>247</v>
      </c>
      <c r="BY2" t="str">
        <f t="shared" ref="BY2:BY31"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t="str">
        <f t="shared" ref="BZ2" si="14">_xlfn.CONCAT(BV2,IF(BV2 &lt;&gt; "", " ", ""),BW2,IF(OR(BW2&lt;&gt;"", BV2&lt;&gt;""), "{}",""), BY2,"{SILVER}", BX2)</f>
        <v>{BLACK}Powered by: {GOLD}Grass and hay {}{SILVER}A smaller horse for a smaller railway.</v>
      </c>
    </row>
    <row r="3" spans="1:78" x14ac:dyDescent="0.25">
      <c r="A3" t="s">
        <v>330</v>
      </c>
      <c r="B3" t="s">
        <v>331</v>
      </c>
      <c r="C3">
        <v>2</v>
      </c>
      <c r="D3" t="s">
        <v>15</v>
      </c>
      <c r="E3" t="s">
        <v>25</v>
      </c>
      <c r="F3" t="s">
        <v>245</v>
      </c>
      <c r="G3">
        <v>1802</v>
      </c>
      <c r="I3">
        <v>1830</v>
      </c>
      <c r="K3">
        <v>10</v>
      </c>
      <c r="M3" s="6">
        <v>8.6</v>
      </c>
      <c r="N3" s="6">
        <v>16</v>
      </c>
      <c r="O3" s="6">
        <v>1</v>
      </c>
      <c r="P3" s="6">
        <v>160</v>
      </c>
      <c r="Q3" s="14">
        <f>((($Y3/2)/60)*5280)/($R3*3.2*PI())</f>
        <v>87.535218700542444</v>
      </c>
      <c r="R3" s="6">
        <v>0.7</v>
      </c>
      <c r="S3" s="6">
        <f>((($M3*$M3/4)*PI())*($N3/12)*$O3*$P3*$Q3)/(33000*1.1)</f>
        <v>29.882828282828278</v>
      </c>
      <c r="T3">
        <v>5</v>
      </c>
      <c r="V3">
        <v>5</v>
      </c>
      <c r="W3">
        <v>8</v>
      </c>
      <c r="X3" s="4">
        <f>IF(AND(T3&gt;0,W3&gt;0),(W3/((T3+U3)*10)),"")</f>
        <v>0.16</v>
      </c>
      <c r="Y3">
        <v>14</v>
      </c>
      <c r="AA3">
        <v>5.5</v>
      </c>
      <c r="AB3">
        <v>6</v>
      </c>
      <c r="AE3" s="10">
        <v>0</v>
      </c>
      <c r="AF3" t="str">
        <f>CONCATENATE(VLOOKUP(AG3, 'Voxel Sizes'!$A$2:$B$18,2,FALSE),"x",INT(AC3*15), "x", INT(AD3*15))</f>
        <v>66x0x0</v>
      </c>
      <c r="AG3">
        <f t="shared" ref="AG3" si="15">ROUND(15*((AB3*10)/256),0)</f>
        <v>4</v>
      </c>
      <c r="AI3" t="str">
        <f>CONCATENATE(VLOOKUP(AG3,Constants!$A$2:$C$16,IF(AH3&lt;&gt;"", 3, 2), FALSE),IF(AH3&lt;&gt;"",CONCATENATE(",",VLOOKUP(AH3,$B:$AI,34,FALSE)),""))</f>
        <v>1,2,1</v>
      </c>
      <c r="AQ3">
        <v>1</v>
      </c>
      <c r="AS3">
        <v>28</v>
      </c>
      <c r="AT3">
        <f>IF(I3&lt;&gt;"",MAX(8,(I3-G3)-4),"")</f>
        <v>24</v>
      </c>
      <c r="AU3">
        <v>-28</v>
      </c>
      <c r="AV3">
        <v>-12</v>
      </c>
      <c r="AW3">
        <f>MIN(Y3/150, 1)*30</f>
        <v>2.8000000000000003</v>
      </c>
      <c r="AX3">
        <f>MIN(K3/4000, 1)*20</f>
        <v>0.05</v>
      </c>
      <c r="AY3">
        <f>MIN(W3/400,1)*20</f>
        <v>0.4</v>
      </c>
      <c r="AZ3" s="4">
        <f>1-(MAX(G3-1900, 0)/750)</f>
        <v>1</v>
      </c>
      <c r="BA3">
        <f>((MAX($J3,1)*MIN($AE3/300,1)))*IF(D3="Wagon",50,10)</f>
        <v>0</v>
      </c>
      <c r="BB3">
        <f>VLOOKUP($E3,Constants!$I:$K, 2, FALSE)</f>
        <v>1.1499999999999999</v>
      </c>
      <c r="BC3">
        <f>VLOOKUP($E3,Constants!$I:$K, 3, FALSE)*IF(AND(D3="multiple_unit",Y3&lt;110),0.75,1)</f>
        <v>1.7</v>
      </c>
      <c r="BD3">
        <f>INT(POWER(((Constants!$G$2+$AW3+$AX3+$AY3+$BA3)*$AZ3)*$BC3, 1.05))+$AV3</f>
        <v>4</v>
      </c>
      <c r="BE3">
        <f>INT(POWER((((Constants!$G$1+$AW3+$AX3+$AY3+$BA3)*($AZ3))*$BB3),IF($D3="wagon",1,1.2)))+$AU3</f>
        <v>10</v>
      </c>
      <c r="BF3" s="13">
        <f>BD3*IF($D3="wagon",62.5,781.25)</f>
        <v>3125</v>
      </c>
      <c r="BG3" s="13">
        <f t="shared" ref="BG3" si="16">BE3*IF($D3="wagon",2.73,81.25)</f>
        <v>812.5</v>
      </c>
      <c r="BN3">
        <v>12</v>
      </c>
      <c r="BR3" t="str">
        <f>VLOOKUP(G3,Eras!$A$2:$C$10, 2, TRUE)</f>
        <v>early</v>
      </c>
      <c r="BS3" t="s">
        <v>61</v>
      </c>
      <c r="BT3" t="str">
        <f>CONCATENATE(BR3,"_",BS3)</f>
        <v>early_Cheap</v>
      </c>
      <c r="BU3" t="str">
        <f>_xlfn.CONCAT(E3, "_",F3)</f>
        <v>steam_NGRL</v>
      </c>
      <c r="BV3" t="str">
        <f>VLOOKUP($BU3, Constants!$M:$N, 2, FALSE)</f>
        <v>{BLACK}Powered by: {GOLD}Steam</v>
      </c>
      <c r="BW3" t="str">
        <f>IF(J3&gt;1,_xlfn.CONCAT("{BLACK}Cars: {GOLD}", J3),"")</f>
        <v/>
      </c>
      <c r="BX3" t="s">
        <v>332</v>
      </c>
      <c r="BY3" t="str">
        <f t="shared" ref="BY3" si="17">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t="str">
        <f>_xlfn.CONCAT(BV3,IF(BV3 &lt;&gt; "", " ", ""),BW3,IF(OR(BW3&lt;&gt;"", BV3&lt;&gt;""), "{}",""), BY3,"{SILVER}", BX3)</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4" spans="1:78" x14ac:dyDescent="0.25">
      <c r="A4" t="s">
        <v>253</v>
      </c>
      <c r="B4" t="s">
        <v>254</v>
      </c>
      <c r="C4">
        <v>5</v>
      </c>
      <c r="D4" t="s">
        <v>239</v>
      </c>
      <c r="E4" t="s">
        <v>25</v>
      </c>
      <c r="F4" t="s">
        <v>245</v>
      </c>
      <c r="G4">
        <v>1864</v>
      </c>
      <c r="I4">
        <v>1945</v>
      </c>
      <c r="K4">
        <v>110</v>
      </c>
      <c r="M4" s="6">
        <v>8.6</v>
      </c>
      <c r="N4" s="6">
        <v>16</v>
      </c>
      <c r="O4" s="6">
        <v>2</v>
      </c>
      <c r="P4" s="6">
        <v>160</v>
      </c>
      <c r="Q4" s="14">
        <f>((($Y4/2)/60)*5280)/($R4*3.2*PI())</f>
        <v>156.31289053668294</v>
      </c>
      <c r="R4" s="6">
        <v>0.7</v>
      </c>
      <c r="S4" s="6">
        <f>((($M4*$M4/4)*PI())*($N4/12)*$O4*$P4*$Q4)/(33000*1.1)</f>
        <v>106.72438672438672</v>
      </c>
      <c r="T4">
        <v>13</v>
      </c>
      <c r="V4">
        <v>5</v>
      </c>
      <c r="W4">
        <v>26</v>
      </c>
      <c r="X4" s="4">
        <f>IF(AND(T4&gt;0,W4&gt;0),(W4/((T4+U4)*10)),"")</f>
        <v>0.2</v>
      </c>
      <c r="Y4">
        <v>25</v>
      </c>
      <c r="AA4">
        <v>5.5</v>
      </c>
      <c r="AB4">
        <v>6</v>
      </c>
      <c r="AE4" s="10">
        <v>0</v>
      </c>
      <c r="AF4" t="str">
        <f>CONCATENATE(VLOOKUP(AG4, 'Voxel Sizes'!$A$2:$B$18,2,FALSE),"x",INT(AC4*15), "x", INT(AD4*15))</f>
        <v>66x0x0</v>
      </c>
      <c r="AG4">
        <f t="shared" si="1"/>
        <v>4</v>
      </c>
      <c r="AI4" t="str">
        <f>CONCATENATE(VLOOKUP(AG4,Constants!$A$2:$C$16,IF(AH4&lt;&gt;"", 3, 2), FALSE),IF(AH4&lt;&gt;"",CONCATENATE(",",VLOOKUP(AH4,$B:$AI,34,FALSE)),""))</f>
        <v>1,2,1</v>
      </c>
      <c r="AQ4">
        <v>1</v>
      </c>
      <c r="AS4">
        <v>250</v>
      </c>
      <c r="AT4">
        <f>IF(I4&lt;&gt;"",MAX(8,(I4-G4)-4),"")</f>
        <v>77</v>
      </c>
      <c r="AU4">
        <v>-5</v>
      </c>
      <c r="AV4">
        <v>-2</v>
      </c>
      <c r="AW4">
        <f>MIN(Y4/150, 1)*30</f>
        <v>5</v>
      </c>
      <c r="AX4">
        <f>MIN(K4/4000, 1)*20</f>
        <v>0.55000000000000004</v>
      </c>
      <c r="AY4">
        <f>MIN(W4/400,1)*20</f>
        <v>1.3</v>
      </c>
      <c r="AZ4" s="4">
        <f>1-(MAX(G4-1900, 0)/750)</f>
        <v>1</v>
      </c>
      <c r="BA4">
        <f>((MAX($J4,1)*MIN($AE4/300,1)))*IF(D4="Wagon",50,10)</f>
        <v>0</v>
      </c>
      <c r="BB4">
        <f>VLOOKUP($E4,Constants!$I:$K, 2, FALSE)</f>
        <v>1.1499999999999999</v>
      </c>
      <c r="BC4">
        <f>VLOOKUP($E4,Constants!$I:$K, 3, FALSE)*IF(AND(D4="multiple_unit",Y4&lt;110),0.75,1)</f>
        <v>1.7</v>
      </c>
      <c r="BD4">
        <f>INT(POWER(((Constants!$G$2+$AW4+$AX4+$AY4+$BA4)*$AZ4)*$BC4, 1.05))+$AV4</f>
        <v>21</v>
      </c>
      <c r="BE4">
        <f>INT(POWER((((Constants!$G$1+$AW4+$AX4+$AY4+$BA4)*($AZ4))*$BB4),IF($D4="wagon",1,1.2)))+$AU4</f>
        <v>42</v>
      </c>
      <c r="BF4" s="13">
        <f>BD4*IF($D4="wagon",62.5,781.25)</f>
        <v>16406.25</v>
      </c>
      <c r="BG4" s="13">
        <f t="shared" si="9"/>
        <v>3412.5</v>
      </c>
      <c r="BN4">
        <v>12</v>
      </c>
      <c r="BR4" t="str">
        <f>VLOOKUP(G4,Eras!$A$2:$C$10, 2, TRUE)</f>
        <v>vct</v>
      </c>
      <c r="BS4" t="s">
        <v>61</v>
      </c>
      <c r="BT4" t="str">
        <f>CONCATENATE(BR4,"_",BS4)</f>
        <v>vct_Cheap</v>
      </c>
      <c r="BU4" t="str">
        <f>_xlfn.CONCAT(E4, "_",F4)</f>
        <v>steam_NGRL</v>
      </c>
      <c r="BV4" t="str">
        <f>VLOOKUP($BU4, Constants!$M:$N, 2, FALSE)</f>
        <v>{BLACK}Powered by: {GOLD}Steam</v>
      </c>
      <c r="BW4" t="str">
        <f>IF(J4&gt;1,_xlfn.CONCAT("{BLACK}Cars: {GOLD}", J4),"")</f>
        <v/>
      </c>
      <c r="BX4" t="s">
        <v>256</v>
      </c>
      <c r="BY4" t="str">
        <f t="shared" si="13"/>
        <v/>
      </c>
      <c r="BZ4" t="str">
        <f>_xlfn.CONCAT(BV4,IF(BV4 &lt;&gt; "", " ", ""),BW4,IF(OR(BW4&lt;&gt;"", BV4&lt;&gt;""), "{}",""), BY4,"{SILVER}", BX4)</f>
        <v>{BLACK}Powered by: {GOLD}Steam {}{SILVER}"Talyllyn" was delivered to the Talyllyn railway as an 0-4-0, but converted to 0-4-2 after a few years to improve riding quality. It was retired in 1945, but refurbished in the late 1950s and returned to preservation service.</v>
      </c>
    </row>
    <row r="5" spans="1:78" x14ac:dyDescent="0.25">
      <c r="A5" t="s">
        <v>306</v>
      </c>
      <c r="B5" t="s">
        <v>307</v>
      </c>
      <c r="C5">
        <v>10</v>
      </c>
      <c r="D5" t="s">
        <v>239</v>
      </c>
      <c r="E5" t="s">
        <v>25</v>
      </c>
      <c r="F5" t="s">
        <v>245</v>
      </c>
      <c r="G5">
        <v>1866</v>
      </c>
      <c r="I5">
        <v>1945</v>
      </c>
      <c r="K5">
        <v>85</v>
      </c>
      <c r="M5" s="6">
        <v>7.6</v>
      </c>
      <c r="N5" s="6">
        <v>16</v>
      </c>
      <c r="O5" s="6">
        <v>2</v>
      </c>
      <c r="P5" s="6">
        <v>150</v>
      </c>
      <c r="Q5" s="14">
        <f>((($Y5/2)/60)*5280)/($R5*3.2*PI())</f>
        <v>156.31289053668294</v>
      </c>
      <c r="R5" s="6">
        <v>0.7</v>
      </c>
      <c r="S5" s="6">
        <f>((($M5*$M5/4)*PI())*($N5/12)*$O5*$P5*$Q5)/(33000*1.1)</f>
        <v>78.13852813852813</v>
      </c>
      <c r="T5">
        <v>10</v>
      </c>
      <c r="V5">
        <v>5</v>
      </c>
      <c r="W5">
        <v>18</v>
      </c>
      <c r="X5" s="4">
        <f>IF(AND(T5&gt;0,W5&gt;0),(W5/((T5+U5)*10)),"")</f>
        <v>0.18</v>
      </c>
      <c r="Y5">
        <v>25</v>
      </c>
      <c r="AA5">
        <v>5.5</v>
      </c>
      <c r="AB5">
        <v>6</v>
      </c>
      <c r="AE5" s="10">
        <v>0</v>
      </c>
      <c r="AF5" t="str">
        <f>CONCATENATE(VLOOKUP(AG5, 'Voxel Sizes'!$A$2:$B$18,2,FALSE),"x",INT(AC5*15), "x", INT(AD5*15))</f>
        <v>66x0x0</v>
      </c>
      <c r="AG5">
        <f t="shared" ref="AG5" si="18">ROUND(15*((AB5*10)/256),0)</f>
        <v>4</v>
      </c>
      <c r="AI5" t="str">
        <f>CONCATENATE(VLOOKUP(AG5,Constants!$A$2:$C$16,IF(AH5&lt;&gt;"", 3, 2), FALSE),IF(AH5&lt;&gt;"",CONCATENATE(",",VLOOKUP(AH5,$B:$AI,34,FALSE)),""))</f>
        <v>1,2,1</v>
      </c>
      <c r="AQ5">
        <v>1</v>
      </c>
      <c r="AS5">
        <v>250</v>
      </c>
      <c r="AT5">
        <f>IF(I5&lt;&gt;"",MAX(8,(I5-G5)-4),"")</f>
        <v>75</v>
      </c>
      <c r="AU5">
        <v>-5</v>
      </c>
      <c r="AV5">
        <v>-5</v>
      </c>
      <c r="AW5">
        <f>MIN(Y5/150, 1)*30</f>
        <v>5</v>
      </c>
      <c r="AX5">
        <f>MIN(K5/4000, 1)*20</f>
        <v>0.42500000000000004</v>
      </c>
      <c r="AY5">
        <f>MIN(W5/400,1)*20</f>
        <v>0.89999999999999991</v>
      </c>
      <c r="AZ5" s="4">
        <f>1-(MAX(G5-1900, 0)/750)</f>
        <v>1</v>
      </c>
      <c r="BA5">
        <f>((MAX($J5,1)*MIN($AE5/300,1)))*IF(D5="Wagon",50,10)</f>
        <v>0</v>
      </c>
      <c r="BB5">
        <f>VLOOKUP($E5,Constants!$I:$K, 2, FALSE)</f>
        <v>1.1499999999999999</v>
      </c>
      <c r="BC5">
        <f>VLOOKUP($E5,Constants!$I:$K, 3, FALSE)*IF(AND(D5="multiple_unit",Y5&lt;110),0.75,1)</f>
        <v>1.7</v>
      </c>
      <c r="BD5">
        <f>INT(POWER(((Constants!$G$2+$AW5+$AX5+$AY5+$BA5)*$AZ5)*$BC5, 1.05))+$AV5</f>
        <v>17</v>
      </c>
      <c r="BE5">
        <f>INT(POWER((((Constants!$G$1+$AW5+$AX5+$AY5+$BA5)*($AZ5))*$BB5),IF($D5="wagon",1,1.2)))+$AU5</f>
        <v>41</v>
      </c>
      <c r="BF5" s="13">
        <f>BD5*IF($D5="wagon",62.5,781.25)</f>
        <v>13281.25</v>
      </c>
      <c r="BG5" s="13">
        <f t="shared" ref="BG5" si="19">BE5*IF($D5="wagon",2.73,81.25)</f>
        <v>3331.25</v>
      </c>
      <c r="BN5">
        <v>11</v>
      </c>
      <c r="BR5" t="str">
        <f>VLOOKUP(G5,Eras!$A$2:$C$10, 2, TRUE)</f>
        <v>vct</v>
      </c>
      <c r="BS5" t="s">
        <v>61</v>
      </c>
      <c r="BT5" t="str">
        <f>CONCATENATE(BR5,"_",BS5)</f>
        <v>vct_Cheap</v>
      </c>
      <c r="BU5" t="str">
        <f>_xlfn.CONCAT(E5, "_",F5)</f>
        <v>steam_NGRL</v>
      </c>
      <c r="BV5" t="str">
        <f>VLOOKUP($BU5, Constants!$M:$N, 2, FALSE)</f>
        <v>{BLACK}Powered by: {GOLD}Steam</v>
      </c>
      <c r="BW5" t="str">
        <f>IF(J5&gt;1,_xlfn.CONCAT("{BLACK}Cars: {GOLD}", J5),"")</f>
        <v/>
      </c>
      <c r="BX5" t="s">
        <v>319</v>
      </c>
      <c r="BY5" t="str">
        <f t="shared" ref="BY5" si="20">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t="str">
        <f>_xlfn.CONCAT(BV5,IF(BV5 &lt;&gt; "", " ", ""),BW5,IF(OR(BW5&lt;&gt;"", BV5&lt;&gt;""), "{}",""), BY5,"{SILVER}", BX5)</f>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6" spans="1:78" x14ac:dyDescent="0.25">
      <c r="A6" t="s">
        <v>334</v>
      </c>
      <c r="B6" t="s">
        <v>335</v>
      </c>
      <c r="C6">
        <v>12</v>
      </c>
      <c r="D6" t="s">
        <v>239</v>
      </c>
      <c r="E6" t="s">
        <v>25</v>
      </c>
      <c r="F6" t="s">
        <v>245</v>
      </c>
      <c r="G6">
        <v>1869</v>
      </c>
      <c r="K6">
        <v>275</v>
      </c>
      <c r="M6" s="6">
        <v>8.25</v>
      </c>
      <c r="N6" s="6">
        <v>13</v>
      </c>
      <c r="O6" s="6">
        <v>4</v>
      </c>
      <c r="P6" s="6">
        <v>160</v>
      </c>
      <c r="Q6" s="14">
        <f>((($Y6/2)/60)*5280)/($R6*3.2*PI())</f>
        <v>218.83804675135613</v>
      </c>
      <c r="R6" s="6">
        <v>0.7</v>
      </c>
      <c r="S6" s="6">
        <f>((($M6*$M6/4)*PI())*($N6/12)*$O6*$P6*$Q6)/(33000*1.1)</f>
        <v>223.43750000000003</v>
      </c>
      <c r="T6">
        <v>10</v>
      </c>
      <c r="V6">
        <v>5</v>
      </c>
      <c r="W6">
        <v>38</v>
      </c>
      <c r="X6" s="4">
        <f>IF(AND(T6&gt;0,W6&gt;0),(W6/((T6+U6)*10)),"")</f>
        <v>0.38</v>
      </c>
      <c r="Y6">
        <v>35</v>
      </c>
      <c r="AB6">
        <v>12</v>
      </c>
      <c r="AE6" s="10">
        <v>0</v>
      </c>
      <c r="AF6" t="str">
        <f>CONCATENATE(VLOOKUP(AG6, 'Voxel Sizes'!$A$2:$B$18,2,FALSE),"x",INT(AC6*15), "x", INT(AD6*15))</f>
        <v>120x0x0</v>
      </c>
      <c r="AG6">
        <f t="shared" ref="AG6" si="21">ROUND(15*((AB6*10)/256),0)</f>
        <v>7</v>
      </c>
      <c r="AI6" t="str">
        <f>CONCATENATE(VLOOKUP(AG6,Constants!$A$2:$C$16,IF(AH6&lt;&gt;"", 3, 2), FALSE),IF(AH6&lt;&gt;"",CONCATENATE(",",VLOOKUP(AH6,$B:$AI,34,FALSE)),""))</f>
        <v>2,3,2</v>
      </c>
      <c r="AQ6">
        <v>1</v>
      </c>
      <c r="AS6">
        <v>250</v>
      </c>
      <c r="AT6" t="str">
        <f>IF(I6&lt;&gt;"",MAX(8,(I6-G6)-4),"")</f>
        <v/>
      </c>
      <c r="AU6">
        <v>-5</v>
      </c>
      <c r="AV6">
        <v>-5</v>
      </c>
      <c r="AW6">
        <f>MIN(Y6/150, 1)*30</f>
        <v>7</v>
      </c>
      <c r="AX6">
        <f>MIN(K6/4000, 1)*20</f>
        <v>1.375</v>
      </c>
      <c r="AY6">
        <f>MIN(W6/400,1)*20</f>
        <v>1.9</v>
      </c>
      <c r="AZ6" s="4">
        <f>1-(MAX(G6-1900, 0)/750)</f>
        <v>1</v>
      </c>
      <c r="BA6">
        <f>((MAX($J6,1)*MIN($AE6/300,1)))*IF(D6="Wagon",50,10)</f>
        <v>0</v>
      </c>
      <c r="BB6">
        <f>VLOOKUP($E6,Constants!$I:$K, 2, FALSE)</f>
        <v>1.1499999999999999</v>
      </c>
      <c r="BC6">
        <f>VLOOKUP($E6,Constants!$I:$K, 3, FALSE)*IF(AND(D6="multiple_unit",Y6&lt;110),0.75,1)</f>
        <v>1.7</v>
      </c>
      <c r="BD6">
        <f>INT(POWER(((Constants!$G$2+$AW6+$AX6+$AY6+$BA6)*$AZ6)*$BC6, 1.05))+$AV6</f>
        <v>25</v>
      </c>
      <c r="BE6">
        <f>INT(POWER((((Constants!$G$1+$AW6+$AX6+$AY6+$BA6)*($AZ6))*$BB6),IF($D6="wagon",1,1.2)))+$AU6</f>
        <v>52</v>
      </c>
      <c r="BF6" s="13">
        <f>BD6*IF($D6="wagon",62.5,781.25)</f>
        <v>19531.25</v>
      </c>
      <c r="BG6" s="13">
        <f t="shared" ref="BG6" si="22">BE6*IF($D6="wagon",2.73,81.25)</f>
        <v>4225</v>
      </c>
      <c r="BN6">
        <v>11</v>
      </c>
      <c r="BR6" t="str">
        <f>VLOOKUP(G6,Eras!$A$2:$C$10, 2, TRUE)</f>
        <v>vct</v>
      </c>
      <c r="BS6" t="s">
        <v>61</v>
      </c>
      <c r="BT6" t="str">
        <f>CONCATENATE(BR6,"_",BS6)</f>
        <v>vct_Cheap</v>
      </c>
      <c r="BU6" t="str">
        <f>_xlfn.CONCAT(E6, "_",F6)</f>
        <v>steam_NGRL</v>
      </c>
      <c r="BV6" t="str">
        <f>VLOOKUP($BU6, Constants!$M:$N, 2, FALSE)</f>
        <v>{BLACK}Powered by: {GOLD}Steam</v>
      </c>
      <c r="BW6" t="str">
        <f>IF(J6&gt;1,_xlfn.CONCAT("{BLACK}Cars: {GOLD}", J6),"")</f>
        <v/>
      </c>
      <c r="BX6" t="s">
        <v>336</v>
      </c>
      <c r="BY6" t="str">
        <f t="shared" ref="BY6" si="23">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t="str">
        <f>_xlfn.CONCAT(BV6,IF(BV6 &lt;&gt; "", " ", ""),BW6,IF(OR(BW6&lt;&gt;"", BV6&lt;&gt;""), "{}",""), BY6,"{SILVER}", BX6)</f>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7" spans="1:78" x14ac:dyDescent="0.25">
      <c r="A7" t="s">
        <v>313</v>
      </c>
      <c r="B7" t="s">
        <v>312</v>
      </c>
      <c r="C7">
        <v>15</v>
      </c>
      <c r="D7" t="s">
        <v>15</v>
      </c>
      <c r="E7" t="s">
        <v>25</v>
      </c>
      <c r="F7" t="s">
        <v>245</v>
      </c>
      <c r="G7">
        <v>1903</v>
      </c>
      <c r="I7">
        <v>1951</v>
      </c>
      <c r="Q7" s="14">
        <f>((($Y7/2)/60)*5280)/($R7*3.2*PI())</f>
        <v>0</v>
      </c>
      <c r="R7" s="6">
        <v>0.7</v>
      </c>
      <c r="S7" s="6">
        <f>((($M7*$M7/4)*PI())*($N7/12)*$O7*$P7*$Q7)/(33000*1.1)</f>
        <v>0</v>
      </c>
      <c r="V7">
        <v>5</v>
      </c>
      <c r="X7" s="4" t="str">
        <f>IF(AND(T7&gt;0,W7&gt;0),(W7/((T7+U7)*10)),"")</f>
        <v/>
      </c>
      <c r="AE7" s="10">
        <v>0</v>
      </c>
      <c r="AF7" t="str">
        <f>CONCATENATE(VLOOKUP(AG7, 'Voxel Sizes'!$A$2:$B$18,2,FALSE),"x",INT(AC7*15), "x", INT(AD7*15))</f>
        <v>0x0x0</v>
      </c>
      <c r="AG7">
        <f t="shared" ref="AG7" si="24">ROUND(15*((AB7*10)/256),0)</f>
        <v>0</v>
      </c>
      <c r="AI7" t="str">
        <f>CONCATENATE(VLOOKUP(AG7,Constants!$A$2:$C$16,IF(AH7&lt;&gt;"", 3, 2), FALSE),IF(AH7&lt;&gt;"",CONCATENATE(",",VLOOKUP(AH7,$B:$AI,34,FALSE)),""))</f>
        <v>na</v>
      </c>
      <c r="AQ7">
        <v>1</v>
      </c>
      <c r="AS7">
        <v>250</v>
      </c>
      <c r="AT7">
        <f>IF(I7&lt;&gt;"",MAX(8,(I7-G7)-4),"")</f>
        <v>44</v>
      </c>
      <c r="AU7">
        <v>-5</v>
      </c>
      <c r="AV7">
        <v>-5</v>
      </c>
      <c r="AW7">
        <f>MIN(Y7/150, 1)*30</f>
        <v>0</v>
      </c>
      <c r="AX7">
        <f>MIN(K7/4000, 1)*20</f>
        <v>0</v>
      </c>
      <c r="AY7">
        <f>MIN(W7/400,1)*20</f>
        <v>0</v>
      </c>
      <c r="AZ7" s="4">
        <f>1-(MAX(G7-1900, 0)/750)</f>
        <v>0.996</v>
      </c>
      <c r="BA7">
        <f>((MAX($J7,1)*MIN($AE7/300,1)))*IF(D7="Wagon",50,10)</f>
        <v>0</v>
      </c>
      <c r="BB7">
        <f>VLOOKUP($E7,Constants!$I:$K, 2, FALSE)</f>
        <v>1.1499999999999999</v>
      </c>
      <c r="BC7">
        <f>VLOOKUP($E7,Constants!$I:$K, 3, FALSE)*IF(AND(D7="multiple_unit",Y7&lt;110),0.75,1)</f>
        <v>1.7</v>
      </c>
      <c r="BD7">
        <f>INT(POWER(((Constants!$G$2+$AW7+$AX7+$AY7+$BA7)*$AZ7)*$BC7, 1.05))+$AV7</f>
        <v>4</v>
      </c>
      <c r="BE7">
        <f>INT(POWER((((Constants!$G$1+$AW7+$AX7+$AY7+$BA7)*($AZ7))*$BB7),IF($D7="wagon",1,1.2)))+$AU7</f>
        <v>25</v>
      </c>
      <c r="BF7" s="13">
        <f>BD7*IF($D7="wagon",62.5,781.25)</f>
        <v>3125</v>
      </c>
      <c r="BG7" s="13">
        <f t="shared" ref="BG7" si="25">BE7*IF($D7="wagon",2.73,81.25)</f>
        <v>2031.25</v>
      </c>
      <c r="BN7">
        <v>10</v>
      </c>
      <c r="BR7" t="str">
        <f>VLOOKUP(G7,Eras!$A$2:$C$10, 2, TRUE)</f>
        <v>edw</v>
      </c>
      <c r="BS7" t="s">
        <v>61</v>
      </c>
      <c r="BT7" t="str">
        <f>CONCATENATE(BR7,"_",BS7)</f>
        <v>edw_Cheap</v>
      </c>
      <c r="BU7" t="str">
        <f>_xlfn.CONCAT(E7, "_",F7)</f>
        <v>steam_NGRL</v>
      </c>
      <c r="BV7" t="str">
        <f>VLOOKUP($BU7, Constants!$M:$N, 2, FALSE)</f>
        <v>{BLACK}Powered by: {GOLD}Steam</v>
      </c>
      <c r="BW7" t="str">
        <f>IF(J7&gt;1,_xlfn.CONCAT("{BLACK}Cars: {GOLD}", J7),"")</f>
        <v/>
      </c>
      <c r="BY7" t="str">
        <f t="shared" ref="BY7" si="26">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t="str">
        <f>_xlfn.CONCAT(BV7,IF(BV7 &lt;&gt; "", " ", ""),BW7,IF(OR(BW7&lt;&gt;"", BV7&lt;&gt;""), "{}",""), BY7,"{SILVER}", BX7)</f>
        <v>{BLACK}Powered by: {GOLD}Steam {}{SILVER}</v>
      </c>
    </row>
    <row r="8" spans="1:78" x14ac:dyDescent="0.25">
      <c r="A8" t="s">
        <v>316</v>
      </c>
      <c r="B8" t="s">
        <v>317</v>
      </c>
      <c r="C8">
        <v>20</v>
      </c>
      <c r="D8" t="s">
        <v>15</v>
      </c>
      <c r="E8" t="s">
        <v>25</v>
      </c>
      <c r="F8" t="s">
        <v>245</v>
      </c>
      <c r="G8">
        <v>1903</v>
      </c>
      <c r="I8">
        <v>1951</v>
      </c>
      <c r="Q8" s="14">
        <f>((($Y8/2)/60)*5280)/($R8*3.2*PI())</f>
        <v>0</v>
      </c>
      <c r="R8" s="6">
        <v>0.7</v>
      </c>
      <c r="S8" s="6">
        <f>((($M8*$M8/4)*PI())*($N8/12)*$O8*$P8*$Q8)/(33000*1.1)</f>
        <v>0</v>
      </c>
      <c r="V8">
        <v>5</v>
      </c>
      <c r="X8" s="4" t="str">
        <f>IF(AND(T8&gt;0,W8&gt;0),(W8/((T8+U8)*10)),"")</f>
        <v/>
      </c>
      <c r="AE8" s="10">
        <v>0</v>
      </c>
      <c r="AF8" t="str">
        <f>CONCATENATE(VLOOKUP(AG8, 'Voxel Sizes'!$A$2:$B$18,2,FALSE),"x",INT(AC8*15), "x", INT(AD8*15))</f>
        <v>0x0x0</v>
      </c>
      <c r="AG8">
        <f t="shared" ref="AG8" si="27">ROUND(15*((AB8*10)/256),0)</f>
        <v>0</v>
      </c>
      <c r="AI8" t="str">
        <f>CONCATENATE(VLOOKUP(AG8,Constants!$A$2:$C$16,IF(AH8&lt;&gt;"", 3, 2), FALSE),IF(AH8&lt;&gt;"",CONCATENATE(",",VLOOKUP(AH8,$B:$AI,34,FALSE)),""))</f>
        <v>na</v>
      </c>
      <c r="AQ8">
        <v>1</v>
      </c>
      <c r="AS8">
        <v>250</v>
      </c>
      <c r="AT8">
        <f>IF(I8&lt;&gt;"",MAX(8,(I8-G8)-4),"")</f>
        <v>44</v>
      </c>
      <c r="AU8">
        <v>-5</v>
      </c>
      <c r="AV8">
        <v>-5</v>
      </c>
      <c r="AW8">
        <f>MIN(Y8/150, 1)*30</f>
        <v>0</v>
      </c>
      <c r="AX8">
        <f>MIN(K8/4000, 1)*20</f>
        <v>0</v>
      </c>
      <c r="AY8">
        <f>MIN(W8/400,1)*20</f>
        <v>0</v>
      </c>
      <c r="AZ8" s="4">
        <f>1-(MAX(G8-1900, 0)/750)</f>
        <v>0.996</v>
      </c>
      <c r="BA8">
        <f>((MAX($J8,1)*MIN($AE8/300,1)))*IF(D8="Wagon",50,10)</f>
        <v>0</v>
      </c>
      <c r="BB8">
        <f>VLOOKUP($E8,Constants!$I:$K, 2, FALSE)</f>
        <v>1.1499999999999999</v>
      </c>
      <c r="BC8">
        <f>VLOOKUP($E8,Constants!$I:$K, 3, FALSE)*IF(AND(D8="multiple_unit",Y8&lt;110),0.75,1)</f>
        <v>1.7</v>
      </c>
      <c r="BD8">
        <f>INT(POWER(((Constants!$G$2+$AW8+$AX8+$AY8+$BA8)*$AZ8)*$BC8, 1.05))+$AV8</f>
        <v>4</v>
      </c>
      <c r="BE8">
        <f>INT(POWER((((Constants!$G$1+$AW8+$AX8+$AY8+$BA8)*($AZ8))*$BB8),IF($D8="wagon",1,1.2)))+$AU8</f>
        <v>25</v>
      </c>
      <c r="BF8" s="13">
        <f>BD8*IF($D8="wagon",62.5,781.25)</f>
        <v>3125</v>
      </c>
      <c r="BG8" s="13">
        <f t="shared" ref="BG8" si="28">BE8*IF($D8="wagon",2.73,81.25)</f>
        <v>2031.25</v>
      </c>
      <c r="BN8">
        <v>9</v>
      </c>
      <c r="BR8" t="str">
        <f>VLOOKUP(G8,Eras!$A$2:$C$10, 2, TRUE)</f>
        <v>edw</v>
      </c>
      <c r="BS8" t="s">
        <v>61</v>
      </c>
      <c r="BT8" t="str">
        <f>CONCATENATE(BR8,"_",BS8)</f>
        <v>edw_Cheap</v>
      </c>
      <c r="BU8" t="str">
        <f>_xlfn.CONCAT(E8, "_",F8)</f>
        <v>steam_NGRL</v>
      </c>
      <c r="BV8" t="str">
        <f>VLOOKUP($BU8, Constants!$M:$N, 2, FALSE)</f>
        <v>{BLACK}Powered by: {GOLD}Steam</v>
      </c>
      <c r="BW8" t="str">
        <f>IF(J8&gt;1,_xlfn.CONCAT("{BLACK}Cars: {GOLD}", J8),"")</f>
        <v/>
      </c>
      <c r="BY8" t="str">
        <f t="shared" ref="BY8" si="29">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t="str">
        <f>_xlfn.CONCAT(BV8,IF(BV8 &lt;&gt; "", " ", ""),BW8,IF(OR(BW8&lt;&gt;"", BV8&lt;&gt;""), "{}",""), BY8,"{SILVER}", BX8)</f>
        <v>{BLACK}Powered by: {GOLD}Steam {}{SILVER}</v>
      </c>
    </row>
    <row r="9" spans="1:78" x14ac:dyDescent="0.25">
      <c r="A9" t="s">
        <v>320</v>
      </c>
      <c r="B9" t="s">
        <v>321</v>
      </c>
      <c r="C9">
        <v>25</v>
      </c>
      <c r="D9" t="s">
        <v>239</v>
      </c>
      <c r="E9" t="s">
        <v>25</v>
      </c>
      <c r="F9" t="s">
        <v>245</v>
      </c>
      <c r="G9">
        <v>1918</v>
      </c>
      <c r="I9">
        <v>1955</v>
      </c>
      <c r="K9">
        <v>65</v>
      </c>
      <c r="M9" s="6">
        <v>6.8</v>
      </c>
      <c r="N9" s="6">
        <v>10.75</v>
      </c>
      <c r="O9" s="6">
        <v>2</v>
      </c>
      <c r="P9" s="6">
        <v>160</v>
      </c>
      <c r="Q9" s="14">
        <f>((($Y9/2)/60)*5280)/($R9*3.2*PI())</f>
        <v>218.8380467513561</v>
      </c>
      <c r="R9" s="6">
        <v>0.6</v>
      </c>
      <c r="S9" s="6">
        <f>((($M9*$M9/4)*PI())*($N9/12)*$O9*$P9*$Q9)/(33000*1.1)</f>
        <v>62.76262626262627</v>
      </c>
      <c r="T9">
        <v>8</v>
      </c>
      <c r="V9">
        <v>5</v>
      </c>
      <c r="W9">
        <v>15</v>
      </c>
      <c r="X9" s="4">
        <f>IF(AND(T9&gt;0,W9&gt;0),(W9/((T9+U9)*10)),"")</f>
        <v>0.1875</v>
      </c>
      <c r="Y9">
        <v>30</v>
      </c>
      <c r="AA9">
        <v>4.7</v>
      </c>
      <c r="AB9">
        <v>6</v>
      </c>
      <c r="AE9" s="10">
        <v>0</v>
      </c>
      <c r="AF9" t="str">
        <f>CONCATENATE(VLOOKUP(AG9, 'Voxel Sizes'!$A$2:$B$18,2,FALSE),"x",INT(AC9*15), "x", INT(AD9*15))</f>
        <v>66x0x0</v>
      </c>
      <c r="AG9">
        <f t="shared" ref="AG9" si="30">ROUND(15*((AB9*10)/256),0)</f>
        <v>4</v>
      </c>
      <c r="AI9" t="str">
        <f>CONCATENATE(VLOOKUP(AG9,Constants!$A$2:$C$16,IF(AH9&lt;&gt;"", 3, 2), FALSE),IF(AH9&lt;&gt;"",CONCATENATE(",",VLOOKUP(AH9,$B:$AI,34,FALSE)),""))</f>
        <v>1,2,1</v>
      </c>
      <c r="AQ9">
        <v>1</v>
      </c>
      <c r="AS9">
        <v>250</v>
      </c>
      <c r="AT9">
        <f>IF(I9&lt;&gt;"",MAX(8,(I9-G9)-4),"")</f>
        <v>33</v>
      </c>
      <c r="AU9">
        <v>-5</v>
      </c>
      <c r="AV9">
        <v>-7</v>
      </c>
      <c r="AW9">
        <f>MIN(Y9/150, 1)*30</f>
        <v>6</v>
      </c>
      <c r="AX9">
        <f>MIN(K9/4000, 1)*20</f>
        <v>0.32500000000000001</v>
      </c>
      <c r="AY9">
        <f>MIN(W9/400,1)*20</f>
        <v>0.75</v>
      </c>
      <c r="AZ9" s="4">
        <f>1-(MAX(G9-1900, 0)/750)</f>
        <v>0.97599999999999998</v>
      </c>
      <c r="BA9">
        <f>((MAX($J9,1)*MIN($AE9/300,1)))*IF(D9="Wagon",50,10)</f>
        <v>0</v>
      </c>
      <c r="BB9">
        <f>VLOOKUP($E9,Constants!$I:$K, 2, FALSE)</f>
        <v>1.1499999999999999</v>
      </c>
      <c r="BC9">
        <f>VLOOKUP($E9,Constants!$I:$K, 3, FALSE)*IF(AND(D9="multiple_unit",Y9&lt;110),0.75,1)</f>
        <v>1.7</v>
      </c>
      <c r="BD9">
        <f>INT(POWER(((Constants!$G$2+$AW9+$AX9+$AY9+$BA9)*$AZ9)*$BC9, 1.05))+$AV9</f>
        <v>16</v>
      </c>
      <c r="BE9">
        <f>INT(POWER((((Constants!$G$1+$AW9+$AX9+$AY9+$BA9)*($AZ9))*$BB9),IF($D9="wagon",1,1.2)))+$AU9</f>
        <v>42</v>
      </c>
      <c r="BF9" s="13">
        <f>BD9*IF($D9="wagon",62.5,781.25)</f>
        <v>12500</v>
      </c>
      <c r="BG9" s="13">
        <f>BE9*IF($D9="wagon",2.73,81.25)</f>
        <v>3412.5</v>
      </c>
      <c r="BN9">
        <v>8</v>
      </c>
      <c r="BR9" t="str">
        <f>VLOOKUP(G9,Eras!$A$2:$C$10, 2, TRUE)</f>
        <v>edw</v>
      </c>
      <c r="BS9" t="s">
        <v>61</v>
      </c>
      <c r="BT9" t="str">
        <f>CONCATENATE(BR9,"_",BS9)</f>
        <v>edw_Cheap</v>
      </c>
      <c r="BU9" t="str">
        <f>_xlfn.CONCAT(E9, "_",F9)</f>
        <v>steam_NGRL</v>
      </c>
      <c r="BV9" t="str">
        <f>VLOOKUP($BU9, Constants!$M:$N, 2, FALSE)</f>
        <v>{BLACK}Powered by: {GOLD}Steam</v>
      </c>
      <c r="BW9" t="str">
        <f>IF(J9&gt;1,_xlfn.CONCAT("{BLACK}Cars: {GOLD}", J9),"")</f>
        <v/>
      </c>
      <c r="BX9" t="s">
        <v>322</v>
      </c>
      <c r="BY9" t="str">
        <f t="shared" ref="BY9" si="31">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t="str">
        <f>_xlfn.CONCAT(BV9,IF(BV9 &lt;&gt; "", " ", ""),BW9,IF(OR(BW9&lt;&gt;"", BV9&lt;&gt;""), "{}",""), BY9,"{SILVER}", BX9)</f>
        <v>{BLACK}Powered by: {GOLD}Steam {}{SILVER}The E Class is a small 0-4-0 well tank. One used by the RAF is preserved on the Talyllyn railway as "Douglas", named after second owner Douglas Abelson who donated it from his engineering firm.</v>
      </c>
    </row>
    <row r="10" spans="1:78" x14ac:dyDescent="0.25">
      <c r="A10" t="s">
        <v>314</v>
      </c>
      <c r="B10" t="s">
        <v>315</v>
      </c>
      <c r="C10">
        <v>30</v>
      </c>
      <c r="D10" t="s">
        <v>239</v>
      </c>
      <c r="E10" t="s">
        <v>25</v>
      </c>
      <c r="F10" t="s">
        <v>245</v>
      </c>
      <c r="G10">
        <v>1923</v>
      </c>
      <c r="I10">
        <v>1968</v>
      </c>
      <c r="K10">
        <v>250</v>
      </c>
      <c r="M10" s="6">
        <v>11.5</v>
      </c>
      <c r="N10" s="6">
        <v>17</v>
      </c>
      <c r="O10" s="6">
        <v>2</v>
      </c>
      <c r="P10" s="6">
        <v>165</v>
      </c>
      <c r="Q10" s="14">
        <f>((($Y10/2)/60)*5280)/($R10*3.2*PI())</f>
        <v>153.18663272594927</v>
      </c>
      <c r="R10" s="6">
        <v>1</v>
      </c>
      <c r="S10" s="6">
        <f>((($M10*$M10/4)*PI())*($N10/12)*$O10*$P10*$Q10)/(33000*1.1)</f>
        <v>204.91861979166666</v>
      </c>
      <c r="T10">
        <v>25</v>
      </c>
      <c r="V10">
        <v>5</v>
      </c>
      <c r="W10">
        <v>44</v>
      </c>
      <c r="X10" s="4">
        <f>IF(AND(T10&gt;0,W10&gt;0),(W10/((T10+U10)*10)),"")</f>
        <v>0.17599999999999999</v>
      </c>
      <c r="Y10">
        <v>35</v>
      </c>
      <c r="AB10">
        <v>8</v>
      </c>
      <c r="AE10" s="10">
        <v>0</v>
      </c>
      <c r="AF10" t="str">
        <f>CONCATENATE(VLOOKUP(AG10, 'Voxel Sizes'!$A$2:$B$18,2,FALSE),"x",INT(AC10*15), "x", INT(AD10*15))</f>
        <v>82x0x0</v>
      </c>
      <c r="AG10">
        <f t="shared" ref="AG10" si="32">ROUND(15*((AB10*10)/256),0)</f>
        <v>5</v>
      </c>
      <c r="AI10" t="str">
        <f>CONCATENATE(VLOOKUP(AG10,Constants!$A$2:$C$16,IF(AH10&lt;&gt;"", 3, 2), FALSE),IF(AH10&lt;&gt;"",CONCATENATE(",",VLOOKUP(AH10,$B:$AI,34,FALSE)),""))</f>
        <v>2,1,2</v>
      </c>
      <c r="AQ10">
        <v>1</v>
      </c>
      <c r="AS10">
        <v>250</v>
      </c>
      <c r="AT10">
        <f>IF(I10&lt;&gt;"",MAX(8,(I10-G10)-4),"")</f>
        <v>41</v>
      </c>
      <c r="AU10">
        <v>-10</v>
      </c>
      <c r="AV10">
        <v>-5</v>
      </c>
      <c r="AW10">
        <f>MIN(Y10/150, 1)*30</f>
        <v>7</v>
      </c>
      <c r="AX10">
        <f>MIN(K10/4000, 1)*20</f>
        <v>1.25</v>
      </c>
      <c r="AY10">
        <f>MIN(W10/400,1)*20</f>
        <v>2.2000000000000002</v>
      </c>
      <c r="AZ10" s="4">
        <f>1-(MAX(G10-1900, 0)/750)</f>
        <v>0.96933333333333338</v>
      </c>
      <c r="BA10">
        <f>((MAX($J10,1)*MIN($AE10/300,1)))*IF(D10="Wagon",50,10)</f>
        <v>0</v>
      </c>
      <c r="BB10">
        <f>VLOOKUP($E10,Constants!$I:$K, 2, FALSE)</f>
        <v>1.1499999999999999</v>
      </c>
      <c r="BC10">
        <f>VLOOKUP($E10,Constants!$I:$K, 3, FALSE)*IF(AND(D10="multiple_unit",Y10&lt;110),0.75,1)</f>
        <v>1.7</v>
      </c>
      <c r="BD10">
        <f>INT(POWER(((Constants!$G$2+$AW10+$AX10+$AY10+$BA10)*$AZ10)*$BC10, 1.05))+$AV10</f>
        <v>24</v>
      </c>
      <c r="BE10">
        <f>INT(POWER((((Constants!$G$1+$AW10+$AX10+$AY10+$BA10)*($AZ10))*$BB10),IF($D10="wagon",1,1.2)))+$AU10</f>
        <v>45</v>
      </c>
      <c r="BF10" s="13">
        <f>BD10*IF($D10="wagon",62.5,781.25)</f>
        <v>18750</v>
      </c>
      <c r="BG10" s="13">
        <f t="shared" ref="BG10" si="33">BE10*IF($D10="wagon",2.73,81.25)</f>
        <v>3656.25</v>
      </c>
      <c r="BN10">
        <v>7</v>
      </c>
      <c r="BR10" t="str">
        <f>VLOOKUP(G10,Eras!$A$2:$C$10, 2, TRUE)</f>
        <v>big4</v>
      </c>
      <c r="BS10" t="s">
        <v>61</v>
      </c>
      <c r="BT10" t="str">
        <f>CONCATENATE(BR10,"_",BS10)</f>
        <v>big4_Cheap</v>
      </c>
      <c r="BU10" t="str">
        <f>_xlfn.CONCAT(E10, "_",F10)</f>
        <v>steam_NGRL</v>
      </c>
      <c r="BV10" t="str">
        <f>VLOOKUP($BU10, Constants!$M:$N, 2, FALSE)</f>
        <v>{BLACK}Powered by: {GOLD}Steam</v>
      </c>
      <c r="BW10" t="str">
        <f>IF(J10&gt;1,_xlfn.CONCAT("{BLACK}Cars: {GOLD}", J10),"")</f>
        <v/>
      </c>
      <c r="BX10" t="s">
        <v>333</v>
      </c>
      <c r="BY10" t="str">
        <f t="shared" ref="BY10" si="34">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t="str">
        <f>_xlfn.CONCAT(BV10,IF(BV10 &lt;&gt; "", " ", ""),BW10,IF(OR(BW10&lt;&gt;"", BV10&lt;&gt;""), "{}",""), BY10,"{SILVER}", BX10)</f>
        <v>{BLACK}Powered by: {GOLD}Steam {}{SILVER}Charles Collett designed these tank locomotives to replace worn-out engines on the Vale of Rheidol line. They became the last steam locomotives running on British Railways, up until the line became a heritage railway in 1989.</v>
      </c>
    </row>
    <row r="11" spans="1:78" x14ac:dyDescent="0.25">
      <c r="A11" t="s">
        <v>338</v>
      </c>
      <c r="B11" t="s">
        <v>308</v>
      </c>
      <c r="C11">
        <v>35</v>
      </c>
      <c r="D11" t="s">
        <v>15</v>
      </c>
      <c r="E11" t="s">
        <v>26</v>
      </c>
      <c r="F11" t="s">
        <v>245</v>
      </c>
      <c r="G11">
        <v>1940</v>
      </c>
      <c r="I11">
        <v>1980</v>
      </c>
      <c r="K11">
        <v>40</v>
      </c>
      <c r="Q11" s="14">
        <f>((($Y11/2)/60)*5280)/($R11*3.2*PI())</f>
        <v>0</v>
      </c>
      <c r="R11" s="6">
        <v>0.7</v>
      </c>
      <c r="S11" s="6">
        <f>((($M11*$M11/4)*PI())*($N11/12)*$O11*$P11*$Q11)/(33000*1.1)</f>
        <v>0</v>
      </c>
      <c r="V11">
        <v>5</v>
      </c>
      <c r="X11" s="4" t="str">
        <f>IF(AND(T11&gt;0,W11&gt;0),(W11/((T11+U11)*10)),"")</f>
        <v/>
      </c>
      <c r="AE11" s="10">
        <v>0</v>
      </c>
      <c r="AF11" t="str">
        <f>CONCATENATE(VLOOKUP(AG11, 'Voxel Sizes'!$A$2:$B$18,2,FALSE),"x",INT(AC11*15), "x", INT(AD11*15))</f>
        <v>0x0x0</v>
      </c>
      <c r="AG11">
        <f t="shared" ref="AG11" si="35">ROUND(15*((AB11*10)/256),0)</f>
        <v>0</v>
      </c>
      <c r="AI11" t="str">
        <f>CONCATENATE(VLOOKUP(AG11,Constants!$A$2:$C$16,IF(AH11&lt;&gt;"", 3, 2), FALSE),IF(AH11&lt;&gt;"",CONCATENATE(",",VLOOKUP(AH11,$B:$AI,34,FALSE)),""))</f>
        <v>na</v>
      </c>
      <c r="AQ11">
        <v>1</v>
      </c>
      <c r="AS11">
        <v>250</v>
      </c>
      <c r="AT11">
        <f>IF(I11&lt;&gt;"",MAX(8,(I11-G11)-4),"")</f>
        <v>36</v>
      </c>
      <c r="AU11">
        <v>-5</v>
      </c>
      <c r="AV11">
        <v>-2</v>
      </c>
      <c r="AW11">
        <f>MIN(Y11/150, 1)*30</f>
        <v>0</v>
      </c>
      <c r="AX11">
        <f>MIN(K11/4000, 1)*20</f>
        <v>0.2</v>
      </c>
      <c r="AY11">
        <f>MIN(W11/400,1)*20</f>
        <v>0</v>
      </c>
      <c r="AZ11" s="4">
        <f>1-(MAX(G11-1900, 0)/750)</f>
        <v>0.94666666666666666</v>
      </c>
      <c r="BA11">
        <f>((MAX($J11,1)*MIN($AE11/300,1)))*IF(D11="Wagon",50,10)</f>
        <v>0</v>
      </c>
      <c r="BB11">
        <f>VLOOKUP($E11,Constants!$I:$K, 2, FALSE)</f>
        <v>1</v>
      </c>
      <c r="BC11">
        <f>VLOOKUP($E11,Constants!$I:$K, 3, FALSE)*IF(AND(D11="multiple_unit",Y11&lt;110),0.75,1)</f>
        <v>2</v>
      </c>
      <c r="BD11">
        <f>INT(POWER(((Constants!$G$2+$AW11+$AX11+$AY11+$BA11)*$AZ11)*$BC11, 1.05))+$AV11</f>
        <v>9</v>
      </c>
      <c r="BE11">
        <f>INT(POWER((((Constants!$G$1+$AW11+$AX11+$AY11+$BA11)*($AZ11))*$BB11),IF($D11="wagon",1,1.2)))+$AU11</f>
        <v>19</v>
      </c>
      <c r="BF11" s="13">
        <f>BD11*IF($D11="wagon",62.5,781.25)</f>
        <v>7031.25</v>
      </c>
      <c r="BG11" s="13">
        <f t="shared" ref="BG11" si="36">BE11*IF($D11="wagon",2.73,81.25)</f>
        <v>1543.75</v>
      </c>
      <c r="BN11">
        <v>6</v>
      </c>
      <c r="BR11" t="str">
        <f>VLOOKUP(G11,Eras!$A$2:$C$10, 2, TRUE)</f>
        <v>big4</v>
      </c>
      <c r="BS11" t="s">
        <v>61</v>
      </c>
      <c r="BT11" t="str">
        <f>CONCATENATE(BR11,"_",BS11)</f>
        <v>big4_Cheap</v>
      </c>
      <c r="BU11" t="str">
        <f>_xlfn.CONCAT(E11, "_",F11)</f>
        <v>diesel_NGRL</v>
      </c>
      <c r="BV11" t="str">
        <f>VLOOKUP($BU11, Constants!$M:$N, 2, FALSE)</f>
        <v>{BLACK}Powered by: {GOLD}Diesel</v>
      </c>
      <c r="BW11" t="str">
        <f>IF(J11&gt;1,_xlfn.CONCAT("{BLACK}Cars: {GOLD}", J11),"")</f>
        <v/>
      </c>
      <c r="BY11" t="str">
        <f t="shared" ref="BY11" si="37">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t="str">
        <f>_xlfn.CONCAT(BV11,IF(BV11 &lt;&gt; "", " ", ""),BW11,IF(OR(BW11&lt;&gt;"", BV11&lt;&gt;""), "{}",""), BY11,"{SILVER}", BX11)</f>
        <v>{BLACK}Powered by: {GOLD}Diesel {}{SILVER}</v>
      </c>
    </row>
    <row r="12" spans="1:78" x14ac:dyDescent="0.25">
      <c r="A12" t="s">
        <v>337</v>
      </c>
      <c r="B12" t="s">
        <v>309</v>
      </c>
      <c r="C12">
        <v>40</v>
      </c>
      <c r="D12" t="s">
        <v>239</v>
      </c>
      <c r="E12" t="s">
        <v>26</v>
      </c>
      <c r="F12" t="s">
        <v>245</v>
      </c>
      <c r="G12">
        <v>1941</v>
      </c>
      <c r="I12">
        <v>1985</v>
      </c>
      <c r="K12">
        <v>50</v>
      </c>
      <c r="Q12" s="14">
        <f>((($Y12/2)/60)*5280)/($R12*3.2*PI())</f>
        <v>187.57546864401954</v>
      </c>
      <c r="R12" s="6">
        <v>0.7</v>
      </c>
      <c r="S12" s="6">
        <f>((($M12*$M12/4)*PI())*($N12/12)*$O12*$P12*$Q12)/(33000*1.1)</f>
        <v>0</v>
      </c>
      <c r="T12">
        <v>7</v>
      </c>
      <c r="V12">
        <v>5</v>
      </c>
      <c r="W12">
        <v>22</v>
      </c>
      <c r="X12" s="4">
        <f>IF(AND(T12&gt;0,W12&gt;0),(W12/((T12+U12)*10)),"")</f>
        <v>0.31428571428571428</v>
      </c>
      <c r="Y12">
        <v>30</v>
      </c>
      <c r="AB12">
        <v>6</v>
      </c>
      <c r="AE12" s="10">
        <v>0</v>
      </c>
      <c r="AF12" t="str">
        <f>CONCATENATE(VLOOKUP(AG12, 'Voxel Sizes'!$A$2:$B$18,2,FALSE),"x",INT(AC12*15), "x", INT(AD12*15))</f>
        <v>66x0x0</v>
      </c>
      <c r="AG12">
        <f t="shared" ref="AG12" si="38">ROUND(15*((AB12*10)/256),0)</f>
        <v>4</v>
      </c>
      <c r="AI12" t="str">
        <f>CONCATENATE(VLOOKUP(AG12,Constants!$A$2:$C$16,IF(AH12&lt;&gt;"", 3, 2), FALSE),IF(AH12&lt;&gt;"",CONCATENATE(",",VLOOKUP(AH12,$B:$AI,34,FALSE)),""))</f>
        <v>1,2,1</v>
      </c>
      <c r="AS12">
        <v>125</v>
      </c>
      <c r="AT12">
        <f>IF(I12&lt;&gt;"",MAX(8,(I12-G12)-4),"")</f>
        <v>40</v>
      </c>
      <c r="AU12">
        <v>-9</v>
      </c>
      <c r="AV12">
        <v>-12</v>
      </c>
      <c r="AW12">
        <f>MIN(Y12/150, 1)*30</f>
        <v>6</v>
      </c>
      <c r="AX12">
        <f>MIN(K12/4000, 1)*20</f>
        <v>0.25</v>
      </c>
      <c r="AY12">
        <f>MIN(W12/400,1)*20</f>
        <v>1.1000000000000001</v>
      </c>
      <c r="AZ12" s="4">
        <f>1-(MAX(G12-1900, 0)/750)</f>
        <v>0.94533333333333336</v>
      </c>
      <c r="BA12">
        <f>((MAX($J12,1)*MIN($AE12/300,1)))*IF(D12="Wagon",50,10)</f>
        <v>0</v>
      </c>
      <c r="BB12">
        <f>VLOOKUP($E12,Constants!$I:$K, 2, FALSE)</f>
        <v>1</v>
      </c>
      <c r="BC12">
        <f>VLOOKUP($E12,Constants!$I:$K, 3, FALSE)*IF(AND(D12="multiple_unit",Y12&lt;110),0.75,1)</f>
        <v>2</v>
      </c>
      <c r="BD12">
        <f>INT(POWER(((Constants!$G$2+$AW12+$AX12+$AY12+$BA12)*$AZ12)*$BC12, 1.05))+$AV12</f>
        <v>15</v>
      </c>
      <c r="BE12">
        <f>INT(POWER((((Constants!$G$1+$AW12+$AX12+$AY12+$BA12)*($AZ12))*$BB12),IF($D12="wagon",1,1.2)))+$AU12</f>
        <v>29</v>
      </c>
      <c r="BF12" s="13">
        <f>BD12*IF($D12="wagon",62.5,781.25)</f>
        <v>11718.75</v>
      </c>
      <c r="BG12" s="13">
        <f t="shared" ref="BG12" si="39">BE12*IF($D12="wagon",2.73,81.25)</f>
        <v>2356.25</v>
      </c>
      <c r="BN12">
        <v>5</v>
      </c>
      <c r="BR12" t="str">
        <f>VLOOKUP(G12,Eras!$A$2:$C$10, 2, TRUE)</f>
        <v>big4</v>
      </c>
      <c r="BS12" t="s">
        <v>61</v>
      </c>
      <c r="BT12" t="str">
        <f>CONCATENATE(BR12,"_",BS12)</f>
        <v>big4_Cheap</v>
      </c>
      <c r="BU12" t="str">
        <f>_xlfn.CONCAT(E12, "_",F12)</f>
        <v>diesel_NGRL</v>
      </c>
      <c r="BV12" t="str">
        <f>VLOOKUP($BU12, Constants!$M:$N, 2, FALSE)</f>
        <v>{BLACK}Powered by: {GOLD}Diesel</v>
      </c>
      <c r="BW12" t="str">
        <f>IF(J12&gt;1,_xlfn.CONCAT("{BLACK}Cars: {GOLD}", J12),"")</f>
        <v/>
      </c>
      <c r="BX12" t="s">
        <v>339</v>
      </c>
      <c r="BY12" t="str">
        <f t="shared" ref="BY12" si="40">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t="str">
        <f>_xlfn.CONCAT(BV12,IF(BV12 &lt;&gt; "", " ", ""),BW12,IF(OR(BW12&lt;&gt;"", BV12&lt;&gt;""), "{}",""), BY12,"{SILVER}", BX12)</f>
        <v>{BLACK}Powered by: {GOLD}Diesel {}{SILVER}Ruston and Hornsby built diesel locomotives for small industrial lines, which would often only need a small locomotive for hauling goods short distances.</v>
      </c>
    </row>
    <row r="13" spans="1:78" x14ac:dyDescent="0.25">
      <c r="A13" t="s">
        <v>310</v>
      </c>
      <c r="B13" t="s">
        <v>311</v>
      </c>
      <c r="C13">
        <v>45</v>
      </c>
      <c r="D13" t="s">
        <v>239</v>
      </c>
      <c r="E13" t="s">
        <v>26</v>
      </c>
      <c r="F13" t="s">
        <v>245</v>
      </c>
      <c r="G13">
        <v>1982</v>
      </c>
      <c r="K13">
        <v>100</v>
      </c>
      <c r="Q13" s="14">
        <f>((($Y13/2)/60)*5280)/($R13*3.2*PI())</f>
        <v>218.83804675135613</v>
      </c>
      <c r="R13" s="6">
        <v>0.7</v>
      </c>
      <c r="S13" s="6">
        <f>((($M13*$M13/4)*PI())*($N13/12)*$O13*$P13*$Q13)/(33000*1.1)</f>
        <v>0</v>
      </c>
      <c r="T13">
        <v>10</v>
      </c>
      <c r="V13">
        <v>5</v>
      </c>
      <c r="W13">
        <v>36</v>
      </c>
      <c r="X13" s="4">
        <f>IF(AND(T13&gt;0,W13&gt;0),(W13/((T13+U13)*10)),"")</f>
        <v>0.36</v>
      </c>
      <c r="Y13">
        <v>35</v>
      </c>
      <c r="AB13">
        <v>7</v>
      </c>
      <c r="AE13" s="10">
        <v>0</v>
      </c>
      <c r="AF13" t="str">
        <f>CONCATENATE(VLOOKUP(AG13, 'Voxel Sizes'!$A$2:$B$18,2,FALSE),"x",INT(AC13*15), "x", INT(AD13*15))</f>
        <v>66x0x0</v>
      </c>
      <c r="AG13">
        <f t="shared" ref="AG13" si="41">ROUND(15*((AB13*10)/256),0)</f>
        <v>4</v>
      </c>
      <c r="AI13" t="str">
        <f>CONCATENATE(VLOOKUP(AG13,Constants!$A$2:$C$16,IF(AH13&lt;&gt;"", 3, 2), FALSE),IF(AH13&lt;&gt;"",CONCATENATE(",",VLOOKUP(AH13,$B:$AI,34,FALSE)),""))</f>
        <v>1,2,1</v>
      </c>
      <c r="AS13">
        <v>250</v>
      </c>
      <c r="AT13" t="str">
        <f>IF(I13&lt;&gt;"",MAX(8,(I13-G13)-4),"")</f>
        <v/>
      </c>
      <c r="AU13">
        <v>-7</v>
      </c>
      <c r="AV13">
        <v>-6</v>
      </c>
      <c r="AW13">
        <f>MIN(Y13/150, 1)*30</f>
        <v>7</v>
      </c>
      <c r="AX13">
        <f>MIN(K13/4000, 1)*20</f>
        <v>0.5</v>
      </c>
      <c r="AY13">
        <f>MIN(W13/400,1)*20</f>
        <v>1.7999999999999998</v>
      </c>
      <c r="AZ13" s="4">
        <f>1-(MAX(G13-1900, 0)/750)</f>
        <v>0.89066666666666672</v>
      </c>
      <c r="BA13">
        <f>((MAX($J13,1)*MIN($AE13/300,1)))*IF(D13="Wagon",50,10)</f>
        <v>0</v>
      </c>
      <c r="BB13">
        <f>VLOOKUP($E13,Constants!$I:$K, 2, FALSE)</f>
        <v>1</v>
      </c>
      <c r="BC13">
        <f>VLOOKUP($E13,Constants!$I:$K, 3, FALSE)*IF(AND(D13="multiple_unit",Y13&lt;110),0.75,1)</f>
        <v>2</v>
      </c>
      <c r="BD13">
        <f>INT(POWER(((Constants!$G$2+$AW13+$AX13+$AY13+$BA13)*$AZ13)*$BC13, 1.05))+$AV13</f>
        <v>23</v>
      </c>
      <c r="BE13">
        <f>INT(POWER((((Constants!$G$1+$AW13+$AX13+$AY13+$BA13)*($AZ13))*$BB13),IF($D13="wagon",1,1.2)))+$AU13</f>
        <v>33</v>
      </c>
      <c r="BF13" s="13">
        <f>BD13*IF($D13="wagon",62.5,781.25)</f>
        <v>17968.75</v>
      </c>
      <c r="BG13" s="13">
        <f t="shared" ref="BG13" si="42">BE13*IF($D13="wagon",2.73,81.25)</f>
        <v>2681.25</v>
      </c>
      <c r="BN13">
        <v>4</v>
      </c>
      <c r="BR13" t="str">
        <f>VLOOKUP(G13,Eras!$A$2:$C$10, 2, TRUE)</f>
        <v>lbr</v>
      </c>
      <c r="BS13" t="s">
        <v>61</v>
      </c>
      <c r="BT13" t="str">
        <f>CONCATENATE(BR13,"_",BS13)</f>
        <v>lbr_Cheap</v>
      </c>
      <c r="BU13" t="str">
        <f>_xlfn.CONCAT(E13, "_",F13)</f>
        <v>diesel_NGRL</v>
      </c>
      <c r="BV13" t="str">
        <f>VLOOKUP($BU13, Constants!$M:$N, 2, FALSE)</f>
        <v>{BLACK}Powered by: {GOLD}Diesel</v>
      </c>
      <c r="BW13" t="str">
        <f>IF(J13&gt;1,_xlfn.CONCAT("{BLACK}Cars: {GOLD}", J13),"")</f>
        <v/>
      </c>
      <c r="BX13" t="s">
        <v>340</v>
      </c>
      <c r="BY13" t="str">
        <f t="shared" ref="BY13" si="43">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t="str">
        <f>_xlfn.CONCAT(BV13,IF(BV13 &lt;&gt; "", " ", ""),BW13,IF(OR(BW13&lt;&gt;"", BV13&lt;&gt;""), "{}",""), BY13,"{SILVER}", BX13)</f>
        <v>{BLACK}Powered by: {GOLD}Diesel {}{SILVER}Larger and more powerful diesel shunters displaced steam from industrial lines as they were more economical to run. Even preservation railways keep some around for utility duties.</v>
      </c>
    </row>
    <row r="14" spans="1:78" x14ac:dyDescent="0.25">
      <c r="A14" t="s">
        <v>291</v>
      </c>
      <c r="B14" t="s">
        <v>292</v>
      </c>
      <c r="C14">
        <v>80</v>
      </c>
      <c r="D14" t="s">
        <v>15</v>
      </c>
      <c r="E14" t="s">
        <v>32</v>
      </c>
      <c r="F14" t="s">
        <v>245</v>
      </c>
      <c r="G14">
        <v>1800</v>
      </c>
      <c r="I14">
        <v>1880</v>
      </c>
      <c r="T14">
        <v>4</v>
      </c>
      <c r="V14">
        <v>3</v>
      </c>
      <c r="X14" s="4" t="str">
        <f t="shared" ref="X14" si="44">IF(AND(T14&gt;0,W14&gt;0),(W14/((T14+U14)*10)),"")</f>
        <v/>
      </c>
      <c r="Y14">
        <v>25</v>
      </c>
      <c r="AA14">
        <v>6</v>
      </c>
      <c r="AB14">
        <v>6</v>
      </c>
      <c r="AE14" s="10">
        <v>12</v>
      </c>
      <c r="AF14" t="str">
        <f>CONCATENATE(VLOOKUP(AG14, 'Voxel Sizes'!$A$2:$B$18,2,FALSE),"x",INT(AC14*15), "x", INT(AD14*15))</f>
        <v>66x0x0</v>
      </c>
      <c r="AG14">
        <f t="shared" si="1"/>
        <v>4</v>
      </c>
      <c r="AI14" t="str">
        <f>CONCATENATE(VLOOKUP(AG14,Constants!$A$2:$C$16,IF(AH14&lt;&gt;"", 3, 2), FALSE),IF(AH14&lt;&gt;"",CONCATENATE(",",VLOOKUP(AH14,$B:$AI,34,FALSE)),""))</f>
        <v>1,2,1</v>
      </c>
      <c r="AS14">
        <v>80</v>
      </c>
      <c r="AT14">
        <f t="shared" ref="AT14" si="45">IF(I14&lt;&gt;"",MAX(8,(I14-G14)-4),"")</f>
        <v>76</v>
      </c>
      <c r="AW14">
        <f t="shared" ref="AW14" si="46">MIN(Y14/150, 1)*30</f>
        <v>5</v>
      </c>
      <c r="AX14">
        <f t="shared" ref="AX14" si="47">MIN(K14/4000, 1)*20</f>
        <v>0</v>
      </c>
      <c r="AY14">
        <f t="shared" ref="AY14" si="48">MIN(W14/400,1)*20</f>
        <v>0</v>
      </c>
      <c r="AZ14" s="4">
        <f t="shared" ref="AZ14" si="49">1-(MAX(G14-1900, 0)/750)</f>
        <v>1</v>
      </c>
      <c r="BA14">
        <f t="shared" ref="BA14" si="50">((MAX($J14,1)*MIN($AE14/300,1)))*IF(D14="Wagon",50,10)</f>
        <v>0.4</v>
      </c>
      <c r="BB14">
        <f>VLOOKUP($E14,Constants!$I:$K, 2, FALSE)</f>
        <v>1</v>
      </c>
      <c r="BC14">
        <f>VLOOKUP($E14,Constants!$I:$K, 3, FALSE)*IF(AND(D14="multiple_unit",Y14&lt;110),0.75,1)</f>
        <v>0.45</v>
      </c>
      <c r="BD14">
        <f>INT(POWER(((Constants!$G$2+$AW14+$AX14+$AY14+$BA14)*$AZ14)*$BC14, 1.05))+$AV14</f>
        <v>5</v>
      </c>
      <c r="BE14">
        <f>INT(POWER((((Constants!$G$1+$AW14+$AX14+$AY14+$BA14)*($AZ14))*$BB14),IF($D14="wagon",1,1.2)))+$AU14</f>
        <v>37</v>
      </c>
      <c r="BF14" s="13">
        <f t="shared" ref="BF14" si="51">BD14*IF($D14="wagon",62.5,781.25)</f>
        <v>3906.25</v>
      </c>
      <c r="BG14" s="13">
        <f>BE14*IF($D14="wagon",2.73,81.25)</f>
        <v>3006.25</v>
      </c>
      <c r="BN14">
        <v>1</v>
      </c>
      <c r="BO14">
        <v>74</v>
      </c>
      <c r="BP14" t="s">
        <v>144</v>
      </c>
      <c r="BQ14" t="s">
        <v>34</v>
      </c>
      <c r="BR14" t="str">
        <f>VLOOKUP(G14,Eras!$A$2:$C$10, 2, TRUE)</f>
        <v>early</v>
      </c>
      <c r="BS14" t="s">
        <v>75</v>
      </c>
      <c r="BT14" t="str">
        <f t="shared" ref="BT14" si="52">CONCATENATE(BR14,"_",BS14)</f>
        <v>early_Open Wagon</v>
      </c>
      <c r="BU14" t="str">
        <f t="shared" ref="BU14" si="53">_xlfn.CONCAT(E14, "_",F14)</f>
        <v>wagon_NGRL</v>
      </c>
      <c r="BV14" t="str">
        <f>VLOOKUP($BU14, Constants!$M:$N, 2, FALSE)</f>
        <v/>
      </c>
      <c r="BW14" t="str">
        <f t="shared" ref="BW14" si="54">IF(J14&gt;1,_xlfn.CONCAT("{BLACK}Cars: {GOLD}", J14),"")</f>
        <v/>
      </c>
      <c r="BX14" t="s">
        <v>293</v>
      </c>
      <c r="BY14" t="str">
        <f t="shared" si="13"/>
        <v>{YELLOW}60% Penalty for long distance travel{}</v>
      </c>
      <c r="BZ14" t="str">
        <f t="shared" ref="BZ14" si="55">_xlfn.CONCAT(BV14,IF(BV14 &lt;&gt; "", " ", ""),BW14,IF(OR(BW14&lt;&gt;"", BV14&lt;&gt;""), "{}",""), BY14,"{SILVER}", BX14)</f>
        <v>{YELLOW}60% Penalty for long distance travel{}{SILVER}Early narrow gauge railways were used solely for freight, until the Ffestiniog Railway began carrying passengers in the 1860s. Hastily converting a van could have provided a way to carry people.</v>
      </c>
    </row>
    <row r="15" spans="1:78" x14ac:dyDescent="0.25">
      <c r="A15" t="s">
        <v>257</v>
      </c>
      <c r="B15" t="s">
        <v>259</v>
      </c>
      <c r="C15">
        <v>81</v>
      </c>
      <c r="D15" t="s">
        <v>32</v>
      </c>
      <c r="E15" t="s">
        <v>32</v>
      </c>
      <c r="F15" t="s">
        <v>245</v>
      </c>
      <c r="G15">
        <v>1863</v>
      </c>
      <c r="T15">
        <v>6</v>
      </c>
      <c r="V15">
        <v>4</v>
      </c>
      <c r="X15" s="4" t="str">
        <f t="shared" ref="X15" si="56">IF(AND(T15&gt;0,W15&gt;0),(W15/((T15+U15)*10)),"")</f>
        <v/>
      </c>
      <c r="Y15">
        <v>35</v>
      </c>
      <c r="AA15">
        <v>8</v>
      </c>
      <c r="AB15">
        <v>8</v>
      </c>
      <c r="AE15" s="10">
        <v>18</v>
      </c>
      <c r="AF15" t="str">
        <f>CONCATENATE(VLOOKUP(AG15, 'Voxel Sizes'!$A$2:$B$18,2,FALSE),"x",INT(AC15*15), "x", INT(AD15*15))</f>
        <v>82x0x0</v>
      </c>
      <c r="AG15">
        <f t="shared" si="1"/>
        <v>5</v>
      </c>
      <c r="AI15" t="str">
        <f>CONCATENATE(VLOOKUP(AG15,Constants!$A$2:$C$16,IF(AH15&lt;&gt;"", 3, 2), FALSE),IF(AH15&lt;&gt;"",CONCATENATE(",",VLOOKUP(AH15,$B:$AI,34,FALSE)),""))</f>
        <v>2,1,2</v>
      </c>
      <c r="AS15">
        <v>80</v>
      </c>
      <c r="AU15">
        <v>40</v>
      </c>
      <c r="AV15">
        <v>30</v>
      </c>
      <c r="AW15">
        <f t="shared" ref="AW15" si="57">MIN(Y15/150, 1)*30</f>
        <v>7</v>
      </c>
      <c r="AX15">
        <f t="shared" ref="AX15" si="58">MIN(K15/4000, 1)*20</f>
        <v>0</v>
      </c>
      <c r="AY15">
        <f t="shared" ref="AY15" si="59">MIN(W15/400,1)*20</f>
        <v>0</v>
      </c>
      <c r="AZ15" s="4">
        <f t="shared" ref="AZ15" si="60">1-(MAX(G15-1900, 0)/750)</f>
        <v>1</v>
      </c>
      <c r="BA15">
        <f t="shared" ref="BA15" si="61">((MAX($J15,1)*MIN($AE15/300,1)))*IF(D15="Wagon",50,10)</f>
        <v>3</v>
      </c>
      <c r="BB15">
        <f>VLOOKUP($E15,Constants!$I:$K, 2, FALSE)</f>
        <v>1</v>
      </c>
      <c r="BC15">
        <f>VLOOKUP($E15,Constants!$I:$K, 3, FALSE)*IF(AND(D15="multiple_unit",Y15&lt;110),0.75,1)</f>
        <v>0.45</v>
      </c>
      <c r="BD15">
        <f>INT(POWER(((Constants!$G$2+$AW15+$AX15+$AY15+$BA15)*$AZ15)*$BC15, 1.05))+$AV15</f>
        <v>37</v>
      </c>
      <c r="BE15">
        <f>INT(POWER((((Constants!$G$1+$AW15+$AX15+$AY15+$BA15)*($AZ15))*$BB15),IF($D15="wagon",1,1.2)))+$AU15</f>
        <v>65</v>
      </c>
      <c r="BF15" s="13">
        <f t="shared" ref="BF15" si="62">BD15*IF($D15="wagon",62.5,781.25)</f>
        <v>2312.5</v>
      </c>
      <c r="BG15" s="13">
        <f t="shared" si="9"/>
        <v>177.45</v>
      </c>
      <c r="BN15">
        <v>1</v>
      </c>
      <c r="BO15">
        <v>74</v>
      </c>
      <c r="BP15" t="s">
        <v>281</v>
      </c>
      <c r="BQ15" t="s">
        <v>34</v>
      </c>
      <c r="BR15" t="str">
        <f>VLOOKUP(G15,Eras!$A$2:$C$10, 2, TRUE)</f>
        <v>vct</v>
      </c>
      <c r="BS15" t="s">
        <v>75</v>
      </c>
      <c r="BT15" t="str">
        <f t="shared" ref="BT15" si="63">CONCATENATE(BR15,"_",BS15)</f>
        <v>vct_Open Wagon</v>
      </c>
      <c r="BU15" t="str">
        <f t="shared" ref="BU15" si="64">_xlfn.CONCAT(E15, "_",F15)</f>
        <v>wagon_NGRL</v>
      </c>
      <c r="BV15" t="str">
        <f>VLOOKUP($BU15, Constants!$M:$N, 2, FALSE)</f>
        <v/>
      </c>
      <c r="BW15" t="str">
        <f t="shared" ref="BW15" si="65">IF(J15&gt;1,_xlfn.CONCAT("{BLACK}Cars: {GOLD}", J15),"")</f>
        <v/>
      </c>
      <c r="BX15" t="s">
        <v>294</v>
      </c>
      <c r="BY15" t="str">
        <f>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{YELLOW}Preserved railway bonus: passengers pay more when hauled by old locomotives{}</v>
      </c>
      <c r="BZ15" t="str">
        <f t="shared" ref="BZ15" si="66">_xlfn.CONCAT(BV15,IF(BV15 &lt;&gt; "", " ", ""),BW15,IF(OR(BW15&lt;&gt;"", BV15&lt;&gt;""), "{}",""), BY15,"{SILVER}", BX15)</f>
        <v>{YELLOW}Preserved railway bonus: passengers pay more when hauled by old locomotives{}{SILVER}When narrow gauge began operating passenger services, carriages were simple, flat-sided vehicles build around wooden frames on a four-wheel chassis.</v>
      </c>
    </row>
    <row r="16" spans="1:78" x14ac:dyDescent="0.25">
      <c r="A16" t="s">
        <v>258</v>
      </c>
      <c r="B16" t="s">
        <v>260</v>
      </c>
      <c r="C16">
        <v>82</v>
      </c>
      <c r="D16" t="s">
        <v>32</v>
      </c>
      <c r="E16" t="s">
        <v>32</v>
      </c>
      <c r="F16" t="s">
        <v>245</v>
      </c>
      <c r="G16">
        <v>1900</v>
      </c>
      <c r="T16">
        <v>8</v>
      </c>
      <c r="V16">
        <v>4</v>
      </c>
      <c r="X16" s="4" t="str">
        <f t="shared" ref="X16:X27" si="67">IF(AND(T16&gt;0,W16&gt;0),(W16/((T16+U16)*10)),"")</f>
        <v/>
      </c>
      <c r="Y16">
        <v>45</v>
      </c>
      <c r="AA16">
        <v>12</v>
      </c>
      <c r="AB16">
        <v>12</v>
      </c>
      <c r="AE16" s="10">
        <v>36</v>
      </c>
      <c r="AF16" t="str">
        <f>CONCATENATE(VLOOKUP(AG16, 'Voxel Sizes'!$A$2:$B$18,2,FALSE),"x",INT(AC16*15), "x", INT(AD16*15))</f>
        <v>120x0x0</v>
      </c>
      <c r="AG16">
        <f t="shared" si="1"/>
        <v>7</v>
      </c>
      <c r="AI16" t="str">
        <f>CONCATENATE(VLOOKUP(AG16,Constants!$A$2:$C$16,IF(AH16&lt;&gt;"", 3, 2), FALSE),IF(AH16&lt;&gt;"",CONCATENATE(",",VLOOKUP(AH16,$B:$AI,34,FALSE)),""))</f>
        <v>2,3,2</v>
      </c>
      <c r="AS16">
        <v>80</v>
      </c>
      <c r="AT16" t="str">
        <f t="shared" ref="AT16:AT27" si="68">IF(I16&lt;&gt;"",MAX(8,(I16-G16)-4),"")</f>
        <v/>
      </c>
      <c r="AU16">
        <v>50</v>
      </c>
      <c r="AV16">
        <v>40</v>
      </c>
      <c r="AW16">
        <f t="shared" ref="AW16:AW27" si="69">MIN(Y16/150, 1)*30</f>
        <v>9</v>
      </c>
      <c r="AX16">
        <f t="shared" ref="AX16:AX27" si="70">MIN(K16/4000, 1)*20</f>
        <v>0</v>
      </c>
      <c r="AY16">
        <f t="shared" ref="AY16:AY27" si="71">MIN(W16/400,1)*20</f>
        <v>0</v>
      </c>
      <c r="AZ16" s="4">
        <f t="shared" ref="AZ16:AZ27" si="72">1-(MAX(G16-1900, 0)/750)</f>
        <v>1</v>
      </c>
      <c r="BA16">
        <f t="shared" ref="BA16:BA27" si="73">((MAX($J16,1)*MIN($AE16/300,1)))*IF(D16="Wagon",50,10)</f>
        <v>6</v>
      </c>
      <c r="BB16">
        <f>VLOOKUP($E16,Constants!$I:$K, 2, FALSE)</f>
        <v>1</v>
      </c>
      <c r="BC16">
        <f>VLOOKUP($E16,Constants!$I:$K, 3, FALSE)*IF(AND(D16="multiple_unit",Y16&lt;110),0.75,1)</f>
        <v>0.45</v>
      </c>
      <c r="BD16">
        <f>INT(POWER(((Constants!$G$2+$AW16+$AX16+$AY16+$BA16)*$AZ16)*$BC16, 1.05))+$AV16</f>
        <v>50</v>
      </c>
      <c r="BE16">
        <f>INT(POWER((((Constants!$G$1+$AW16+$AX16+$AY16+$BA16)*($AZ16))*$BB16),IF($D16="wagon",1,1.2)))+$AU16</f>
        <v>80</v>
      </c>
      <c r="BF16" s="13">
        <f t="shared" ref="BF16:BF27" si="74">BD16*IF($D16="wagon",62.5,781.25)</f>
        <v>3125</v>
      </c>
      <c r="BG16" s="13">
        <f t="shared" si="9"/>
        <v>218.4</v>
      </c>
      <c r="BN16">
        <v>1</v>
      </c>
      <c r="BO16">
        <v>74</v>
      </c>
      <c r="BP16" t="s">
        <v>281</v>
      </c>
      <c r="BQ16" t="s">
        <v>34</v>
      </c>
      <c r="BR16" t="str">
        <f>VLOOKUP(G16,Eras!$A$2:$C$10, 2, TRUE)</f>
        <v>edw</v>
      </c>
      <c r="BS16" t="s">
        <v>75</v>
      </c>
      <c r="BT16" t="str">
        <f t="shared" ref="BT16:BT27" si="75">CONCATENATE(BR16,"_",BS16)</f>
        <v>edw_Open Wagon</v>
      </c>
      <c r="BU16" t="str">
        <f t="shared" ref="BU16:BU27" si="76">_xlfn.CONCAT(E16, "_",F16)</f>
        <v>wagon_NGRL</v>
      </c>
      <c r="BV16" t="str">
        <f>VLOOKUP($BU16, Constants!$M:$N, 2, FALSE)</f>
        <v/>
      </c>
      <c r="BW16" t="str">
        <f t="shared" ref="BW16:BW27" si="77">IF(J16&gt;1,_xlfn.CONCAT("{BLACK}Cars: {GOLD}", J16),"")</f>
        <v/>
      </c>
      <c r="BX16" t="s">
        <v>296</v>
      </c>
      <c r="BY16" t="str">
        <f t="shared" si="13"/>
        <v>{YELLOW}Preserved railway bonus: passengers pay more when hauled by old locomotives{}</v>
      </c>
      <c r="BZ16" t="str">
        <f t="shared" ref="BZ16:BZ27" si="78">_xlfn.CONCAT(BV16,IF(BV16 &lt;&gt; "", " ", ""),BW16,IF(OR(BW16&lt;&gt;"", BV16&lt;&gt;""), "{}",""), BY16,"{SILVER}", BX16)</f>
        <v>{YELLOW}Preserved railway bonus: passengers pay more when hauled by old locomotives{}{SILVER}Later narrow gauge carriages increased in length where loading gauges allowed, using bogies to help negotiate tight curves.</v>
      </c>
    </row>
    <row r="17" spans="1:78" x14ac:dyDescent="0.25">
      <c r="A17" t="s">
        <v>261</v>
      </c>
      <c r="B17" t="s">
        <v>263</v>
      </c>
      <c r="C17">
        <v>84</v>
      </c>
      <c r="D17" t="s">
        <v>15</v>
      </c>
      <c r="E17" t="s">
        <v>32</v>
      </c>
      <c r="F17" t="s">
        <v>245</v>
      </c>
      <c r="G17">
        <v>1863</v>
      </c>
      <c r="T17">
        <v>5</v>
      </c>
      <c r="V17">
        <v>4</v>
      </c>
      <c r="X17" s="4" t="str">
        <f t="shared" si="67"/>
        <v/>
      </c>
      <c r="Y17">
        <v>35</v>
      </c>
      <c r="AA17">
        <v>8</v>
      </c>
      <c r="AB17">
        <v>8</v>
      </c>
      <c r="AE17" s="10">
        <v>24</v>
      </c>
      <c r="AF17" t="str">
        <f>CONCATENATE(VLOOKUP(AG17, 'Voxel Sizes'!$A$2:$B$18,2,FALSE),"x",INT(AC17*15), "x", INT(AD17*15))</f>
        <v>82x0x0</v>
      </c>
      <c r="AG17">
        <f t="shared" si="1"/>
        <v>5</v>
      </c>
      <c r="AI17" t="str">
        <f>CONCATENATE(VLOOKUP(AG17,Constants!$A$2:$C$16,IF(AH17&lt;&gt;"", 3, 2), FALSE),IF(AH17&lt;&gt;"",CONCATENATE(",",VLOOKUP(AH17,$B:$AI,34,FALSE)),""))</f>
        <v>2,1,2</v>
      </c>
      <c r="AS17">
        <v>80</v>
      </c>
      <c r="AT17" t="str">
        <f t="shared" si="68"/>
        <v/>
      </c>
      <c r="AU17">
        <v>40</v>
      </c>
      <c r="AV17">
        <v>30</v>
      </c>
      <c r="AW17">
        <f t="shared" si="69"/>
        <v>7</v>
      </c>
      <c r="AX17">
        <f t="shared" si="70"/>
        <v>0</v>
      </c>
      <c r="AY17">
        <f t="shared" si="71"/>
        <v>0</v>
      </c>
      <c r="AZ17" s="4">
        <f t="shared" si="72"/>
        <v>1</v>
      </c>
      <c r="BA17">
        <f t="shared" si="73"/>
        <v>0.8</v>
      </c>
      <c r="BB17">
        <f>VLOOKUP($E17,Constants!$I:$K, 2, FALSE)</f>
        <v>1</v>
      </c>
      <c r="BC17">
        <f>VLOOKUP($E17,Constants!$I:$K, 3, FALSE)*IF(AND(D17="multiple_unit",Y17&lt;110),0.75,1)</f>
        <v>0.45</v>
      </c>
      <c r="BD17">
        <f>INT(POWER(((Constants!$G$2+$AW17+$AX17+$AY17+$BA17)*$AZ17)*$BC17, 1.05))+$AV17</f>
        <v>36</v>
      </c>
      <c r="BE17">
        <f>INT(POWER((((Constants!$G$1+$AW17+$AX17+$AY17+$BA17)*($AZ17))*$BB17),IF($D17="wagon",1,1.2)))+$AU17</f>
        <v>82</v>
      </c>
      <c r="BF17" s="13">
        <f t="shared" si="74"/>
        <v>28125</v>
      </c>
      <c r="BG17" s="13">
        <f t="shared" si="9"/>
        <v>6662.5</v>
      </c>
      <c r="BN17">
        <v>1</v>
      </c>
      <c r="BO17">
        <v>185</v>
      </c>
      <c r="BP17" t="s">
        <v>282</v>
      </c>
      <c r="BQ17" t="s">
        <v>286</v>
      </c>
      <c r="BR17" t="str">
        <f>VLOOKUP(G17,Eras!$A$2:$C$10, 2, TRUE)</f>
        <v>vct</v>
      </c>
      <c r="BS17" t="s">
        <v>75</v>
      </c>
      <c r="BT17" t="str">
        <f t="shared" si="75"/>
        <v>vct_Open Wagon</v>
      </c>
      <c r="BU17" t="str">
        <f t="shared" si="76"/>
        <v>wagon_NGRL</v>
      </c>
      <c r="BV17" t="str">
        <f>VLOOKUP($BU17, Constants!$M:$N, 2, FALSE)</f>
        <v/>
      </c>
      <c r="BW17" t="str">
        <f t="shared" si="77"/>
        <v/>
      </c>
      <c r="BX17" t="s">
        <v>295</v>
      </c>
      <c r="BY17" t="str">
        <f t="shared" si="13"/>
        <v/>
      </c>
      <c r="BZ17" t="str">
        <f t="shared" si="78"/>
        <v>{SILVER}Brake vans were rarer on narrow gauge railways, but passenger services would typically have a guard's wagon which could also carry parcels.</v>
      </c>
    </row>
    <row r="18" spans="1:78" x14ac:dyDescent="0.25">
      <c r="A18" t="s">
        <v>262</v>
      </c>
      <c r="B18" t="s">
        <v>264</v>
      </c>
      <c r="C18">
        <v>85</v>
      </c>
      <c r="D18" t="s">
        <v>15</v>
      </c>
      <c r="E18" t="s">
        <v>32</v>
      </c>
      <c r="F18" t="s">
        <v>245</v>
      </c>
      <c r="G18">
        <v>1900</v>
      </c>
      <c r="T18">
        <v>7</v>
      </c>
      <c r="V18">
        <v>4</v>
      </c>
      <c r="X18" s="4" t="str">
        <f t="shared" si="67"/>
        <v/>
      </c>
      <c r="Y18">
        <v>45</v>
      </c>
      <c r="AA18">
        <v>12</v>
      </c>
      <c r="AB18">
        <v>12</v>
      </c>
      <c r="AE18" s="10">
        <v>42</v>
      </c>
      <c r="AF18" t="str">
        <f>CONCATENATE(VLOOKUP(AG18, 'Voxel Sizes'!$A$2:$B$18,2,FALSE),"x",INT(AC18*15), "x", INT(AD18*15))</f>
        <v>120x0x0</v>
      </c>
      <c r="AG18">
        <f t="shared" si="1"/>
        <v>7</v>
      </c>
      <c r="AI18" t="str">
        <f>CONCATENATE(VLOOKUP(AG18,Constants!$A$2:$C$16,IF(AH18&lt;&gt;"", 3, 2), FALSE),IF(AH18&lt;&gt;"",CONCATENATE(",",VLOOKUP(AH18,$B:$AI,34,FALSE)),""))</f>
        <v>2,3,2</v>
      </c>
      <c r="AS18">
        <v>80</v>
      </c>
      <c r="AT18" t="str">
        <f t="shared" si="68"/>
        <v/>
      </c>
      <c r="AU18">
        <v>50</v>
      </c>
      <c r="AV18">
        <v>40</v>
      </c>
      <c r="AW18">
        <f t="shared" si="69"/>
        <v>9</v>
      </c>
      <c r="AX18">
        <f t="shared" si="70"/>
        <v>0</v>
      </c>
      <c r="AY18">
        <f t="shared" si="71"/>
        <v>0</v>
      </c>
      <c r="AZ18" s="4">
        <f t="shared" si="72"/>
        <v>1</v>
      </c>
      <c r="BA18">
        <f t="shared" si="73"/>
        <v>1.4000000000000001</v>
      </c>
      <c r="BB18">
        <f>VLOOKUP($E18,Constants!$I:$K, 2, FALSE)</f>
        <v>1</v>
      </c>
      <c r="BC18">
        <f>VLOOKUP($E18,Constants!$I:$K, 3, FALSE)*IF(AND(D18="multiple_unit",Y18&lt;110),0.75,1)</f>
        <v>0.45</v>
      </c>
      <c r="BD18">
        <f>INT(POWER(((Constants!$G$2+$AW18+$AX18+$AY18+$BA18)*$AZ18)*$BC18, 1.05))+$AV18</f>
        <v>47</v>
      </c>
      <c r="BE18">
        <f>INT(POWER((((Constants!$G$1+$AW18+$AX18+$AY18+$BA18)*($AZ18))*$BB18),IF($D18="wagon",1,1.2)))+$AU18</f>
        <v>98</v>
      </c>
      <c r="BF18" s="13">
        <f t="shared" si="74"/>
        <v>36718.75</v>
      </c>
      <c r="BG18" s="13">
        <f t="shared" si="9"/>
        <v>7962.5</v>
      </c>
      <c r="BN18">
        <v>1</v>
      </c>
      <c r="BO18">
        <v>185</v>
      </c>
      <c r="BP18" t="s">
        <v>282</v>
      </c>
      <c r="BQ18" t="s">
        <v>286</v>
      </c>
      <c r="BR18" t="str">
        <f>VLOOKUP(G18,Eras!$A$2:$C$10, 2, TRUE)</f>
        <v>edw</v>
      </c>
      <c r="BS18" t="s">
        <v>75</v>
      </c>
      <c r="BT18" t="str">
        <f t="shared" si="75"/>
        <v>edw_Open Wagon</v>
      </c>
      <c r="BU18" t="str">
        <f t="shared" si="76"/>
        <v>wagon_NGRL</v>
      </c>
      <c r="BV18" t="str">
        <f>VLOOKUP($BU18, Constants!$M:$N, 2, FALSE)</f>
        <v/>
      </c>
      <c r="BW18" t="str">
        <f t="shared" si="77"/>
        <v/>
      </c>
      <c r="BX18" t="s">
        <v>297</v>
      </c>
      <c r="BY18" t="str">
        <f t="shared" si="13"/>
        <v/>
      </c>
      <c r="BZ18" t="str">
        <f t="shared" si="78"/>
        <v>{SILVER}Larger and heavier carriages also meant larger and heavier guard's vans.</v>
      </c>
    </row>
    <row r="19" spans="1:78" x14ac:dyDescent="0.25">
      <c r="A19" t="s">
        <v>248</v>
      </c>
      <c r="B19" t="s">
        <v>251</v>
      </c>
      <c r="C19">
        <v>86</v>
      </c>
      <c r="D19" t="s">
        <v>32</v>
      </c>
      <c r="E19" t="s">
        <v>32</v>
      </c>
      <c r="F19" t="s">
        <v>245</v>
      </c>
      <c r="G19">
        <v>1800</v>
      </c>
      <c r="I19">
        <v>1900</v>
      </c>
      <c r="T19">
        <v>2</v>
      </c>
      <c r="V19">
        <v>3</v>
      </c>
      <c r="X19" s="4" t="str">
        <f t="shared" si="67"/>
        <v/>
      </c>
      <c r="Y19">
        <v>25</v>
      </c>
      <c r="AA19">
        <v>4.9000000000000004</v>
      </c>
      <c r="AB19">
        <v>6</v>
      </c>
      <c r="AE19" s="10">
        <v>9</v>
      </c>
      <c r="AF19" t="str">
        <f>CONCATENATE(VLOOKUP(AG19, 'Voxel Sizes'!$A$2:$B$18,2,FALSE),"x",INT(AC19*15), "x", INT(AD19*15))</f>
        <v>66x0x0</v>
      </c>
      <c r="AG19">
        <f t="shared" si="1"/>
        <v>4</v>
      </c>
      <c r="AI19" t="str">
        <f>CONCATENATE(VLOOKUP(AG19,Constants!$A$2:$C$16,IF(AH19&lt;&gt;"", 3, 2), FALSE),IF(AH19&lt;&gt;"",CONCATENATE(",",VLOOKUP(AH19,$B:$AI,34,FALSE)),""))</f>
        <v>1,2,1</v>
      </c>
      <c r="AS19">
        <v>80</v>
      </c>
      <c r="AT19">
        <f t="shared" si="68"/>
        <v>96</v>
      </c>
      <c r="AW19">
        <f t="shared" si="69"/>
        <v>5</v>
      </c>
      <c r="AX19">
        <f t="shared" si="70"/>
        <v>0</v>
      </c>
      <c r="AY19">
        <f t="shared" si="71"/>
        <v>0</v>
      </c>
      <c r="AZ19" s="4">
        <f t="shared" si="72"/>
        <v>1</v>
      </c>
      <c r="BA19">
        <f t="shared" si="73"/>
        <v>1.5</v>
      </c>
      <c r="BB19">
        <f>VLOOKUP($E19,Constants!$I:$K, 2, FALSE)</f>
        <v>1</v>
      </c>
      <c r="BC19">
        <f>VLOOKUP($E19,Constants!$I:$K, 3, FALSE)*IF(AND(D19="multiple_unit",Y19&lt;110),0.75,1)</f>
        <v>0.45</v>
      </c>
      <c r="BD19">
        <f>INT(POWER(((Constants!$G$2+$AW19+$AX19+$AY19+$BA19)*$AZ19)*$BC19, 1.05))+$AV19</f>
        <v>5</v>
      </c>
      <c r="BE19">
        <f>INT(POWER((((Constants!$G$1+$AW19+$AX19+$AY19+$BA19)*($AZ19))*$BB19),IF($D19="wagon",1,1.2)))+$AU19</f>
        <v>21</v>
      </c>
      <c r="BF19" s="13">
        <f t="shared" si="74"/>
        <v>312.5</v>
      </c>
      <c r="BG19" s="13">
        <f t="shared" si="9"/>
        <v>57.33</v>
      </c>
      <c r="BN19">
        <v>1</v>
      </c>
      <c r="BO19">
        <v>185</v>
      </c>
      <c r="BP19" t="s">
        <v>249</v>
      </c>
      <c r="BQ19" t="s">
        <v>250</v>
      </c>
      <c r="BR19" t="str">
        <f>VLOOKUP(G19,Eras!$A$2:$C$10, 2, TRUE)</f>
        <v>early</v>
      </c>
      <c r="BS19" t="s">
        <v>75</v>
      </c>
      <c r="BT19" t="str">
        <f t="shared" si="75"/>
        <v>early_Open Wagon</v>
      </c>
      <c r="BU19" t="str">
        <f t="shared" si="76"/>
        <v>wagon_NGRL</v>
      </c>
      <c r="BV19" t="str">
        <f>VLOOKUP($BU19, Constants!$M:$N, 2, FALSE)</f>
        <v/>
      </c>
      <c r="BW19" t="str">
        <f t="shared" si="77"/>
        <v/>
      </c>
      <c r="BX19" t="s">
        <v>252</v>
      </c>
      <c r="BY19" t="str">
        <f t="shared" si="13"/>
        <v/>
      </c>
      <c r="BZ19" t="str">
        <f t="shared" si="78"/>
        <v>{SILVER}An open wagon for carrying bulk cargo on narrow gauge railways.</v>
      </c>
    </row>
    <row r="20" spans="1:78" x14ac:dyDescent="0.25">
      <c r="A20" t="s">
        <v>265</v>
      </c>
      <c r="B20" t="s">
        <v>266</v>
      </c>
      <c r="C20">
        <v>87</v>
      </c>
      <c r="D20" t="s">
        <v>15</v>
      </c>
      <c r="E20" t="s">
        <v>32</v>
      </c>
      <c r="F20" t="s">
        <v>245</v>
      </c>
      <c r="G20">
        <v>1870</v>
      </c>
      <c r="T20">
        <v>2</v>
      </c>
      <c r="V20">
        <v>4</v>
      </c>
      <c r="X20" s="4" t="str">
        <f t="shared" si="67"/>
        <v/>
      </c>
      <c r="Y20">
        <v>30</v>
      </c>
      <c r="AA20">
        <v>8</v>
      </c>
      <c r="AB20">
        <v>8</v>
      </c>
      <c r="AE20" s="10">
        <v>12</v>
      </c>
      <c r="AF20" t="str">
        <f>CONCATENATE(VLOOKUP(AG20, 'Voxel Sizes'!$A$2:$B$18,2,FALSE),"x",INT(AC20*15), "x", INT(AD20*15))</f>
        <v>82x0x0</v>
      </c>
      <c r="AG20">
        <f t="shared" si="1"/>
        <v>5</v>
      </c>
      <c r="AI20" t="str">
        <f>CONCATENATE(VLOOKUP(AG20,Constants!$A$2:$C$16,IF(AH20&lt;&gt;"", 3, 2), FALSE),IF(AH20&lt;&gt;"",CONCATENATE(",",VLOOKUP(AH20,$B:$AI,34,FALSE)),""))</f>
        <v>2,1,2</v>
      </c>
      <c r="AS20">
        <v>80</v>
      </c>
      <c r="AT20" t="str">
        <f t="shared" si="68"/>
        <v/>
      </c>
      <c r="AW20">
        <f t="shared" si="69"/>
        <v>6</v>
      </c>
      <c r="AX20">
        <f t="shared" si="70"/>
        <v>0</v>
      </c>
      <c r="AY20">
        <f t="shared" si="71"/>
        <v>0</v>
      </c>
      <c r="AZ20" s="4">
        <f t="shared" si="72"/>
        <v>1</v>
      </c>
      <c r="BA20">
        <f t="shared" si="73"/>
        <v>0.4</v>
      </c>
      <c r="BB20">
        <f>VLOOKUP($E20,Constants!$I:$K, 2, FALSE)</f>
        <v>1</v>
      </c>
      <c r="BC20">
        <f>VLOOKUP($E20,Constants!$I:$K, 3, FALSE)*IF(AND(D20="multiple_unit",Y20&lt;110),0.75,1)</f>
        <v>0.45</v>
      </c>
      <c r="BD20">
        <f>INT(POWER(((Constants!$G$2+$AW20+$AX20+$AY20+$BA20)*$AZ20)*$BC20, 1.05))+$AV20</f>
        <v>5</v>
      </c>
      <c r="BE20">
        <f>INT(POWER((((Constants!$G$1+$AW20+$AX20+$AY20+$BA20)*($AZ20))*$BB20),IF($D20="wagon",1,1.2)))+$AU20</f>
        <v>39</v>
      </c>
      <c r="BF20" s="13">
        <f t="shared" si="74"/>
        <v>3906.25</v>
      </c>
      <c r="BG20" s="13">
        <f t="shared" si="9"/>
        <v>3168.75</v>
      </c>
      <c r="BN20">
        <v>1</v>
      </c>
      <c r="BO20">
        <v>185</v>
      </c>
      <c r="BP20" t="s">
        <v>283</v>
      </c>
      <c r="BQ20" t="s">
        <v>250</v>
      </c>
      <c r="BR20" t="str">
        <f>VLOOKUP(G20,Eras!$A$2:$C$10, 2, TRUE)</f>
        <v>vct</v>
      </c>
      <c r="BS20" t="s">
        <v>75</v>
      </c>
      <c r="BT20" t="str">
        <f t="shared" si="75"/>
        <v>vct_Open Wagon</v>
      </c>
      <c r="BU20" t="str">
        <f t="shared" si="76"/>
        <v>wagon_NGRL</v>
      </c>
      <c r="BV20" t="str">
        <f>VLOOKUP($BU20, Constants!$M:$N, 2, FALSE)</f>
        <v/>
      </c>
      <c r="BW20" t="str">
        <f t="shared" si="77"/>
        <v/>
      </c>
      <c r="BX20" t="s">
        <v>298</v>
      </c>
      <c r="BY20" t="str">
        <f t="shared" si="13"/>
        <v/>
      </c>
      <c r="BZ20" t="str">
        <f t="shared" si="78"/>
        <v>{SILVER}Heavier mineral wagons allowed larger amounts of cargo to be carried.</v>
      </c>
    </row>
    <row r="21" spans="1:78" x14ac:dyDescent="0.25">
      <c r="A21" t="s">
        <v>268</v>
      </c>
      <c r="B21" t="s">
        <v>274</v>
      </c>
      <c r="C21">
        <v>88</v>
      </c>
      <c r="D21" t="s">
        <v>15</v>
      </c>
      <c r="E21" t="s">
        <v>32</v>
      </c>
      <c r="F21" t="s">
        <v>245</v>
      </c>
      <c r="G21">
        <v>1800</v>
      </c>
      <c r="I21">
        <v>1900</v>
      </c>
      <c r="T21">
        <v>2</v>
      </c>
      <c r="V21">
        <v>3</v>
      </c>
      <c r="X21" s="4" t="str">
        <f t="shared" si="67"/>
        <v/>
      </c>
      <c r="Y21">
        <v>25</v>
      </c>
      <c r="AA21">
        <v>4.9000000000000004</v>
      </c>
      <c r="AB21">
        <v>6</v>
      </c>
      <c r="AE21" s="10">
        <v>10</v>
      </c>
      <c r="AF21" t="str">
        <f>CONCATENATE(VLOOKUP(AG21, 'Voxel Sizes'!$A$2:$B$18,2,FALSE),"x",INT(AC21*15), "x", INT(AD21*15))</f>
        <v>66x0x0</v>
      </c>
      <c r="AG21">
        <f t="shared" si="1"/>
        <v>4</v>
      </c>
      <c r="AI21" t="str">
        <f>CONCATENATE(VLOOKUP(AG21,Constants!$A$2:$C$16,IF(AH21&lt;&gt;"", 3, 2), FALSE),IF(AH21&lt;&gt;"",CONCATENATE(",",VLOOKUP(AH21,$B:$AI,34,FALSE)),""))</f>
        <v>1,2,1</v>
      </c>
      <c r="AS21">
        <v>80</v>
      </c>
      <c r="AT21">
        <f t="shared" si="68"/>
        <v>96</v>
      </c>
      <c r="AW21">
        <f t="shared" si="69"/>
        <v>5</v>
      </c>
      <c r="AX21">
        <f t="shared" si="70"/>
        <v>0</v>
      </c>
      <c r="AY21">
        <f t="shared" si="71"/>
        <v>0</v>
      </c>
      <c r="AZ21" s="4">
        <f t="shared" si="72"/>
        <v>1</v>
      </c>
      <c r="BA21">
        <f t="shared" si="73"/>
        <v>0.33333333333333331</v>
      </c>
      <c r="BB21">
        <f>VLOOKUP($E21,Constants!$I:$K, 2, FALSE)</f>
        <v>1</v>
      </c>
      <c r="BC21">
        <f>VLOOKUP($E21,Constants!$I:$K, 3, FALSE)*IF(AND(D21="multiple_unit",Y21&lt;110),0.75,1)</f>
        <v>0.45</v>
      </c>
      <c r="BD21">
        <f>INT(POWER(((Constants!$G$2+$AW21+$AX21+$AY21+$BA21)*$AZ21)*$BC21, 1.05))+$AV21</f>
        <v>5</v>
      </c>
      <c r="BE21">
        <f>INT(POWER((((Constants!$G$1+$AW21+$AX21+$AY21+$BA21)*($AZ21))*$BB21),IF($D21="wagon",1,1.2)))+$AU21</f>
        <v>37</v>
      </c>
      <c r="BF21" s="13">
        <f t="shared" si="74"/>
        <v>3906.25</v>
      </c>
      <c r="BG21" s="13">
        <f t="shared" si="9"/>
        <v>3006.25</v>
      </c>
      <c r="BN21">
        <v>1</v>
      </c>
      <c r="BO21">
        <v>185</v>
      </c>
      <c r="BP21" t="s">
        <v>284</v>
      </c>
      <c r="BQ21" t="s">
        <v>285</v>
      </c>
      <c r="BR21" t="str">
        <f>VLOOKUP(G21,Eras!$A$2:$C$10, 2, TRUE)</f>
        <v>early</v>
      </c>
      <c r="BS21" t="s">
        <v>75</v>
      </c>
      <c r="BT21" t="str">
        <f t="shared" si="75"/>
        <v>early_Open Wagon</v>
      </c>
      <c r="BU21" t="str">
        <f t="shared" si="76"/>
        <v>wagon_NGRL</v>
      </c>
      <c r="BV21" t="str">
        <f>VLOOKUP($BU21, Constants!$M:$N, 2, FALSE)</f>
        <v/>
      </c>
      <c r="BW21" t="str">
        <f t="shared" si="77"/>
        <v/>
      </c>
      <c r="BX21" t="s">
        <v>299</v>
      </c>
      <c r="BY21" t="str">
        <f t="shared" si="13"/>
        <v/>
      </c>
      <c r="BZ21" t="str">
        <f t="shared" si="78"/>
        <v>{SILVER}While many narrow gauge railways were quarry lines carrying bulk goods or slate, flat wagons were used for transporting equipment.</v>
      </c>
    </row>
    <row r="22" spans="1:78" x14ac:dyDescent="0.25">
      <c r="A22" t="s">
        <v>267</v>
      </c>
      <c r="B22" t="s">
        <v>275</v>
      </c>
      <c r="C22">
        <v>89</v>
      </c>
      <c r="D22" t="s">
        <v>15</v>
      </c>
      <c r="E22" t="s">
        <v>32</v>
      </c>
      <c r="F22" t="s">
        <v>245</v>
      </c>
      <c r="G22">
        <v>1870</v>
      </c>
      <c r="T22">
        <v>2</v>
      </c>
      <c r="V22">
        <v>4</v>
      </c>
      <c r="X22" s="4" t="str">
        <f t="shared" si="67"/>
        <v/>
      </c>
      <c r="Y22">
        <v>30</v>
      </c>
      <c r="AA22">
        <v>4.9000000000000004</v>
      </c>
      <c r="AB22">
        <v>6</v>
      </c>
      <c r="AE22" s="10">
        <v>12</v>
      </c>
      <c r="AF22" t="str">
        <f>CONCATENATE(VLOOKUP(AG22, 'Voxel Sizes'!$A$2:$B$18,2,FALSE),"x",INT(AC22*15), "x", INT(AD22*15))</f>
        <v>66x0x0</v>
      </c>
      <c r="AG22">
        <f t="shared" si="1"/>
        <v>4</v>
      </c>
      <c r="AI22" t="str">
        <f>CONCATENATE(VLOOKUP(AG22,Constants!$A$2:$C$16,IF(AH22&lt;&gt;"", 3, 2), FALSE),IF(AH22&lt;&gt;"",CONCATENATE(",",VLOOKUP(AH22,$B:$AI,34,FALSE)),""))</f>
        <v>1,2,1</v>
      </c>
      <c r="AS22">
        <v>80</v>
      </c>
      <c r="AT22" t="str">
        <f t="shared" si="68"/>
        <v/>
      </c>
      <c r="AW22">
        <f t="shared" si="69"/>
        <v>6</v>
      </c>
      <c r="AX22">
        <f t="shared" si="70"/>
        <v>0</v>
      </c>
      <c r="AY22">
        <f t="shared" si="71"/>
        <v>0</v>
      </c>
      <c r="AZ22" s="4">
        <f t="shared" si="72"/>
        <v>1</v>
      </c>
      <c r="BA22">
        <f t="shared" si="73"/>
        <v>0.4</v>
      </c>
      <c r="BB22">
        <f>VLOOKUP($E22,Constants!$I:$K, 2, FALSE)</f>
        <v>1</v>
      </c>
      <c r="BC22">
        <f>VLOOKUP($E22,Constants!$I:$K, 3, FALSE)*IF(AND(D22="multiple_unit",Y22&lt;110),0.75,1)</f>
        <v>0.45</v>
      </c>
      <c r="BD22">
        <f>INT(POWER(((Constants!$G$2+$AW22+$AX22+$AY22+$BA22)*$AZ22)*$BC22, 1.05))+$AV22</f>
        <v>5</v>
      </c>
      <c r="BE22">
        <f>INT(POWER((((Constants!$G$1+$AW22+$AX22+$AY22+$BA22)*($AZ22))*$BB22),IF($D22="wagon",1,1.2)))+$AU22</f>
        <v>39</v>
      </c>
      <c r="BF22" s="13">
        <f t="shared" si="74"/>
        <v>3906.25</v>
      </c>
      <c r="BG22" s="13">
        <f t="shared" si="9"/>
        <v>3168.75</v>
      </c>
      <c r="BN22">
        <v>1</v>
      </c>
      <c r="BO22">
        <v>185</v>
      </c>
      <c r="BP22" t="s">
        <v>284</v>
      </c>
      <c r="BQ22" t="s">
        <v>285</v>
      </c>
      <c r="BR22" t="str">
        <f>VLOOKUP(G22,Eras!$A$2:$C$10, 2, TRUE)</f>
        <v>vct</v>
      </c>
      <c r="BS22" t="s">
        <v>75</v>
      </c>
      <c r="BT22" t="str">
        <f t="shared" si="75"/>
        <v>vct_Open Wagon</v>
      </c>
      <c r="BU22" t="str">
        <f t="shared" si="76"/>
        <v>wagon_NGRL</v>
      </c>
      <c r="BV22" t="str">
        <f>VLOOKUP($BU22, Constants!$M:$N, 2, FALSE)</f>
        <v/>
      </c>
      <c r="BW22" t="str">
        <f t="shared" si="77"/>
        <v/>
      </c>
      <c r="BX22" t="s">
        <v>302</v>
      </c>
      <c r="BY22" t="str">
        <f t="shared" si="13"/>
        <v/>
      </c>
      <c r="BZ22" t="str">
        <f t="shared" si="78"/>
        <v>{SILVER}As per standard gauge practice, bolster wagons were used for carrying long, rigid cargo.</v>
      </c>
    </row>
    <row r="23" spans="1:78" x14ac:dyDescent="0.25">
      <c r="A23" t="s">
        <v>269</v>
      </c>
      <c r="B23" t="s">
        <v>276</v>
      </c>
      <c r="C23">
        <v>90</v>
      </c>
      <c r="D23" t="s">
        <v>15</v>
      </c>
      <c r="E23" t="s">
        <v>32</v>
      </c>
      <c r="F23" t="s">
        <v>245</v>
      </c>
      <c r="G23">
        <v>1870</v>
      </c>
      <c r="T23">
        <v>2</v>
      </c>
      <c r="V23">
        <v>4</v>
      </c>
      <c r="X23" s="4" t="str">
        <f t="shared" si="67"/>
        <v/>
      </c>
      <c r="Y23">
        <v>30</v>
      </c>
      <c r="AA23">
        <v>4.9000000000000004</v>
      </c>
      <c r="AB23">
        <v>6</v>
      </c>
      <c r="AE23" s="10">
        <v>12</v>
      </c>
      <c r="AF23" t="str">
        <f>CONCATENATE(VLOOKUP(AG23, 'Voxel Sizes'!$A$2:$B$18,2,FALSE),"x",INT(AC23*15), "x", INT(AD23*15))</f>
        <v>66x0x0</v>
      </c>
      <c r="AG23">
        <f t="shared" si="1"/>
        <v>4</v>
      </c>
      <c r="AI23" t="str">
        <f>CONCATENATE(VLOOKUP(AG23,Constants!$A$2:$C$16,IF(AH23&lt;&gt;"", 3, 2), FALSE),IF(AH23&lt;&gt;"",CONCATENATE(",",VLOOKUP(AH23,$B:$AI,34,FALSE)),""))</f>
        <v>1,2,1</v>
      </c>
      <c r="AS23">
        <v>80</v>
      </c>
      <c r="AT23" t="str">
        <f t="shared" si="68"/>
        <v/>
      </c>
      <c r="AW23">
        <f t="shared" si="69"/>
        <v>6</v>
      </c>
      <c r="AX23">
        <f t="shared" si="70"/>
        <v>0</v>
      </c>
      <c r="AY23">
        <f t="shared" si="71"/>
        <v>0</v>
      </c>
      <c r="AZ23" s="4">
        <f t="shared" si="72"/>
        <v>1</v>
      </c>
      <c r="BA23">
        <f t="shared" si="73"/>
        <v>0.4</v>
      </c>
      <c r="BB23">
        <f>VLOOKUP($E23,Constants!$I:$K, 2, FALSE)</f>
        <v>1</v>
      </c>
      <c r="BC23">
        <f>VLOOKUP($E23,Constants!$I:$K, 3, FALSE)*IF(AND(D23="multiple_unit",Y23&lt;110),0.75,1)</f>
        <v>0.45</v>
      </c>
      <c r="BD23">
        <f>INT(POWER(((Constants!$G$2+$AW23+$AX23+$AY23+$BA23)*$AZ23)*$BC23, 1.05))+$AV23</f>
        <v>5</v>
      </c>
      <c r="BE23">
        <f>INT(POWER((((Constants!$G$1+$AW23+$AX23+$AY23+$BA23)*($AZ23))*$BB23),IF($D23="wagon",1,1.2)))+$AU23</f>
        <v>39</v>
      </c>
      <c r="BF23" s="13">
        <f t="shared" si="74"/>
        <v>3906.25</v>
      </c>
      <c r="BG23" s="13">
        <f t="shared" si="9"/>
        <v>3168.75</v>
      </c>
      <c r="BN23">
        <v>1</v>
      </c>
      <c r="BO23">
        <v>185</v>
      </c>
      <c r="BP23" t="s">
        <v>78</v>
      </c>
      <c r="BQ23" t="s">
        <v>287</v>
      </c>
      <c r="BR23" t="str">
        <f>VLOOKUP(G23,Eras!$A$2:$C$10, 2, TRUE)</f>
        <v>vct</v>
      </c>
      <c r="BS23" t="s">
        <v>75</v>
      </c>
      <c r="BT23" t="str">
        <f t="shared" si="75"/>
        <v>vct_Open Wagon</v>
      </c>
      <c r="BU23" t="str">
        <f t="shared" si="76"/>
        <v>wagon_NGRL</v>
      </c>
      <c r="BV23" t="str">
        <f>VLOOKUP($BU23, Constants!$M:$N, 2, FALSE)</f>
        <v/>
      </c>
      <c r="BW23" t="str">
        <f t="shared" si="77"/>
        <v/>
      </c>
      <c r="BX23" t="s">
        <v>300</v>
      </c>
      <c r="BY23" t="str">
        <f t="shared" si="13"/>
        <v/>
      </c>
      <c r="BZ23" t="str">
        <f t="shared" si="78"/>
        <v>{SILVER}With specialised equipment at stations, tank wagons made liquid cargo easier to handle than loading drums into open wagons.</v>
      </c>
    </row>
    <row r="24" spans="1:78" x14ac:dyDescent="0.25">
      <c r="A24" t="s">
        <v>270</v>
      </c>
      <c r="B24" t="s">
        <v>277</v>
      </c>
      <c r="C24">
        <v>91</v>
      </c>
      <c r="D24" t="s">
        <v>15</v>
      </c>
      <c r="E24" t="s">
        <v>32</v>
      </c>
      <c r="F24" t="s">
        <v>245</v>
      </c>
      <c r="G24">
        <v>1870</v>
      </c>
      <c r="T24">
        <v>2</v>
      </c>
      <c r="V24">
        <v>4</v>
      </c>
      <c r="X24" s="4" t="str">
        <f t="shared" si="67"/>
        <v/>
      </c>
      <c r="Y24">
        <v>30</v>
      </c>
      <c r="AA24">
        <v>4.9000000000000004</v>
      </c>
      <c r="AB24">
        <v>6</v>
      </c>
      <c r="AE24" s="10">
        <v>12</v>
      </c>
      <c r="AF24" t="str">
        <f>CONCATENATE(VLOOKUP(AG24, 'Voxel Sizes'!$A$2:$B$18,2,FALSE),"x",INT(AC24*15), "x", INT(AD24*15))</f>
        <v>66x0x0</v>
      </c>
      <c r="AG24">
        <f t="shared" si="1"/>
        <v>4</v>
      </c>
      <c r="AI24" t="str">
        <f>CONCATENATE(VLOOKUP(AG24,Constants!$A$2:$C$16,IF(AH24&lt;&gt;"", 3, 2), FALSE),IF(AH24&lt;&gt;"",CONCATENATE(",",VLOOKUP(AH24,$B:$AI,34,FALSE)),""))</f>
        <v>1,2,1</v>
      </c>
      <c r="AS24">
        <v>80</v>
      </c>
      <c r="AT24" t="str">
        <f t="shared" si="68"/>
        <v/>
      </c>
      <c r="AW24">
        <f t="shared" si="69"/>
        <v>6</v>
      </c>
      <c r="AX24">
        <f t="shared" si="70"/>
        <v>0</v>
      </c>
      <c r="AY24">
        <f t="shared" si="71"/>
        <v>0</v>
      </c>
      <c r="AZ24" s="4">
        <f t="shared" si="72"/>
        <v>1</v>
      </c>
      <c r="BA24">
        <f t="shared" si="73"/>
        <v>0.4</v>
      </c>
      <c r="BB24">
        <f>VLOOKUP($E24,Constants!$I:$K, 2, FALSE)</f>
        <v>1</v>
      </c>
      <c r="BC24">
        <f>VLOOKUP($E24,Constants!$I:$K, 3, FALSE)*IF(AND(D24="multiple_unit",Y24&lt;110),0.75,1)</f>
        <v>0.45</v>
      </c>
      <c r="BD24">
        <f>INT(POWER(((Constants!$G$2+$AW24+$AX24+$AY24+$BA24)*$AZ24)*$BC24, 1.05))+$AV24</f>
        <v>5</v>
      </c>
      <c r="BE24">
        <f>INT(POWER((((Constants!$G$1+$AW24+$AX24+$AY24+$BA24)*($AZ24))*$BB24),IF($D24="wagon",1,1.2)))+$AU24</f>
        <v>39</v>
      </c>
      <c r="BF24" s="13">
        <f t="shared" si="74"/>
        <v>3906.25</v>
      </c>
      <c r="BG24" s="13">
        <f t="shared" si="9"/>
        <v>3168.75</v>
      </c>
      <c r="BN24">
        <v>1</v>
      </c>
      <c r="BO24">
        <v>185</v>
      </c>
      <c r="BP24" t="s">
        <v>288</v>
      </c>
      <c r="BQ24" t="s">
        <v>289</v>
      </c>
      <c r="BR24" t="str">
        <f>VLOOKUP(G24,Eras!$A$2:$C$10, 2, TRUE)</f>
        <v>vct</v>
      </c>
      <c r="BS24" t="s">
        <v>75</v>
      </c>
      <c r="BT24" t="str">
        <f t="shared" si="75"/>
        <v>vct_Open Wagon</v>
      </c>
      <c r="BU24" t="str">
        <f t="shared" si="76"/>
        <v>wagon_NGRL</v>
      </c>
      <c r="BV24" t="str">
        <f>VLOOKUP($BU24, Constants!$M:$N, 2, FALSE)</f>
        <v/>
      </c>
      <c r="BW24" t="str">
        <f t="shared" si="77"/>
        <v/>
      </c>
      <c r="BX24" t="s">
        <v>301</v>
      </c>
      <c r="BY24" t="str">
        <f t="shared" si="13"/>
        <v/>
      </c>
      <c r="BZ24" t="str">
        <f t="shared" si="78"/>
        <v>{SILVER}A van for carrying livestock on narrow gauge railways.</v>
      </c>
    </row>
    <row r="25" spans="1:78" x14ac:dyDescent="0.25">
      <c r="A25" t="s">
        <v>271</v>
      </c>
      <c r="B25" t="s">
        <v>279</v>
      </c>
      <c r="C25">
        <v>92</v>
      </c>
      <c r="D25" t="s">
        <v>15</v>
      </c>
      <c r="E25" t="s">
        <v>32</v>
      </c>
      <c r="F25" t="s">
        <v>245</v>
      </c>
      <c r="G25">
        <v>1800</v>
      </c>
      <c r="I25">
        <v>1900</v>
      </c>
      <c r="T25">
        <v>2</v>
      </c>
      <c r="V25">
        <v>3</v>
      </c>
      <c r="X25" s="4" t="str">
        <f t="shared" si="67"/>
        <v/>
      </c>
      <c r="Y25">
        <v>25</v>
      </c>
      <c r="AA25">
        <v>4.9000000000000004</v>
      </c>
      <c r="AB25">
        <v>6</v>
      </c>
      <c r="AE25" s="10">
        <v>12</v>
      </c>
      <c r="AF25" t="str">
        <f>CONCATENATE(VLOOKUP(AG25, 'Voxel Sizes'!$A$2:$B$18,2,FALSE),"x",INT(AC25*15), "x", INT(AD25*15))</f>
        <v>66x0x0</v>
      </c>
      <c r="AG25">
        <f t="shared" si="1"/>
        <v>4</v>
      </c>
      <c r="AI25" t="str">
        <f>CONCATENATE(VLOOKUP(AG25,Constants!$A$2:$C$16,IF(AH25&lt;&gt;"", 3, 2), FALSE),IF(AH25&lt;&gt;"",CONCATENATE(",",VLOOKUP(AH25,$B:$AI,34,FALSE)),""))</f>
        <v>1,2,1</v>
      </c>
      <c r="AS25">
        <v>80</v>
      </c>
      <c r="AT25">
        <f t="shared" si="68"/>
        <v>96</v>
      </c>
      <c r="AW25">
        <f t="shared" si="69"/>
        <v>5</v>
      </c>
      <c r="AX25">
        <f t="shared" si="70"/>
        <v>0</v>
      </c>
      <c r="AY25">
        <f t="shared" si="71"/>
        <v>0</v>
      </c>
      <c r="AZ25" s="4">
        <f t="shared" si="72"/>
        <v>1</v>
      </c>
      <c r="BA25">
        <f t="shared" si="73"/>
        <v>0.4</v>
      </c>
      <c r="BB25">
        <f>VLOOKUP($E25,Constants!$I:$K, 2, FALSE)</f>
        <v>1</v>
      </c>
      <c r="BC25">
        <f>VLOOKUP($E25,Constants!$I:$K, 3, FALSE)*IF(AND(D25="multiple_unit",Y25&lt;110),0.75,1)</f>
        <v>0.45</v>
      </c>
      <c r="BD25">
        <f>INT(POWER(((Constants!$G$2+$AW25+$AX25+$AY25+$BA25)*$AZ25)*$BC25, 1.05))+$AV25</f>
        <v>5</v>
      </c>
      <c r="BE25">
        <f>INT(POWER((((Constants!$G$1+$AW25+$AX25+$AY25+$BA25)*($AZ25))*$BB25),IF($D25="wagon",1,1.2)))+$AU25</f>
        <v>37</v>
      </c>
      <c r="BF25" s="13">
        <f t="shared" si="74"/>
        <v>3906.25</v>
      </c>
      <c r="BG25" s="13">
        <f t="shared" si="9"/>
        <v>3006.25</v>
      </c>
      <c r="BN25">
        <v>1</v>
      </c>
      <c r="BO25">
        <v>185</v>
      </c>
      <c r="BP25" t="s">
        <v>77</v>
      </c>
      <c r="BQ25" t="s">
        <v>290</v>
      </c>
      <c r="BR25" t="str">
        <f>VLOOKUP(G25,Eras!$A$2:$C$10, 2, TRUE)</f>
        <v>early</v>
      </c>
      <c r="BS25" t="s">
        <v>75</v>
      </c>
      <c r="BT25" t="str">
        <f t="shared" si="75"/>
        <v>early_Open Wagon</v>
      </c>
      <c r="BU25" t="str">
        <f t="shared" si="76"/>
        <v>wagon_NGRL</v>
      </c>
      <c r="BV25" t="str">
        <f>VLOOKUP($BU25, Constants!$M:$N, 2, FALSE)</f>
        <v/>
      </c>
      <c r="BW25" t="str">
        <f t="shared" si="77"/>
        <v/>
      </c>
      <c r="BX25" t="s">
        <v>303</v>
      </c>
      <c r="BY25" t="str">
        <f t="shared" si="13"/>
        <v/>
      </c>
      <c r="BZ25" t="str">
        <f t="shared" si="78"/>
        <v>{SILVER}Like their larger counterparts, narrow gauge railways built many vans for carrying piece goods.</v>
      </c>
    </row>
    <row r="26" spans="1:78" x14ac:dyDescent="0.25">
      <c r="A26" t="s">
        <v>272</v>
      </c>
      <c r="B26" t="s">
        <v>278</v>
      </c>
      <c r="C26">
        <v>93</v>
      </c>
      <c r="D26" t="s">
        <v>15</v>
      </c>
      <c r="E26" t="s">
        <v>32</v>
      </c>
      <c r="F26" t="s">
        <v>245</v>
      </c>
      <c r="G26">
        <v>1860</v>
      </c>
      <c r="T26">
        <v>4</v>
      </c>
      <c r="V26">
        <v>4</v>
      </c>
      <c r="X26" s="4" t="str">
        <f t="shared" si="67"/>
        <v/>
      </c>
      <c r="Y26">
        <v>35</v>
      </c>
      <c r="AA26">
        <v>4.9000000000000004</v>
      </c>
      <c r="AB26">
        <v>6</v>
      </c>
      <c r="AE26" s="10">
        <v>15</v>
      </c>
      <c r="AF26" t="str">
        <f>CONCATENATE(VLOOKUP(AG26, 'Voxel Sizes'!$A$2:$B$18,2,FALSE),"x",INT(AC26*15), "x", INT(AD26*15))</f>
        <v>66x0x0</v>
      </c>
      <c r="AG26">
        <f t="shared" si="1"/>
        <v>4</v>
      </c>
      <c r="AI26" t="str">
        <f>CONCATENATE(VLOOKUP(AG26,Constants!$A$2:$C$16,IF(AH26&lt;&gt;"", 3, 2), FALSE),IF(AH26&lt;&gt;"",CONCATENATE(",",VLOOKUP(AH26,$B:$AI,34,FALSE)),""))</f>
        <v>1,2,1</v>
      </c>
      <c r="AS26">
        <v>80</v>
      </c>
      <c r="AT26" t="str">
        <f t="shared" si="68"/>
        <v/>
      </c>
      <c r="AW26">
        <f t="shared" si="69"/>
        <v>7</v>
      </c>
      <c r="AX26">
        <f t="shared" si="70"/>
        <v>0</v>
      </c>
      <c r="AY26">
        <f t="shared" si="71"/>
        <v>0</v>
      </c>
      <c r="AZ26" s="4">
        <f t="shared" si="72"/>
        <v>1</v>
      </c>
      <c r="BA26">
        <f t="shared" si="73"/>
        <v>0.5</v>
      </c>
      <c r="BB26">
        <f>VLOOKUP($E26,Constants!$I:$K, 2, FALSE)</f>
        <v>1</v>
      </c>
      <c r="BC26">
        <f>VLOOKUP($E26,Constants!$I:$K, 3, FALSE)*IF(AND(D26="multiple_unit",Y26&lt;110),0.75,1)</f>
        <v>0.45</v>
      </c>
      <c r="BD26">
        <f>INT(POWER(((Constants!$G$2+$AW26+$AX26+$AY26+$BA26)*$AZ26)*$BC26, 1.05))+$AV26</f>
        <v>6</v>
      </c>
      <c r="BE26">
        <f>INT(POWER((((Constants!$G$1+$AW26+$AX26+$AY26+$BA26)*($AZ26))*$BB26),IF($D26="wagon",1,1.2)))+$AU26</f>
        <v>41</v>
      </c>
      <c r="BF26" s="13">
        <f t="shared" si="74"/>
        <v>4687.5</v>
      </c>
      <c r="BG26" s="13">
        <f t="shared" si="9"/>
        <v>3331.25</v>
      </c>
      <c r="BN26">
        <v>1</v>
      </c>
      <c r="BO26">
        <v>185</v>
      </c>
      <c r="BP26" t="s">
        <v>77</v>
      </c>
      <c r="BQ26" t="s">
        <v>290</v>
      </c>
      <c r="BR26" t="str">
        <f>VLOOKUP(G26,Eras!$A$2:$C$10, 2, TRUE)</f>
        <v>vct</v>
      </c>
      <c r="BS26" t="s">
        <v>75</v>
      </c>
      <c r="BT26" t="str">
        <f t="shared" si="75"/>
        <v>vct_Open Wagon</v>
      </c>
      <c r="BU26" t="str">
        <f t="shared" si="76"/>
        <v>wagon_NGRL</v>
      </c>
      <c r="BV26" t="str">
        <f>VLOOKUP($BU26, Constants!$M:$N, 2, FALSE)</f>
        <v/>
      </c>
      <c r="BW26" t="str">
        <f t="shared" si="77"/>
        <v/>
      </c>
      <c r="BX26" t="s">
        <v>304</v>
      </c>
      <c r="BY26" t="str">
        <f t="shared" si="13"/>
        <v/>
      </c>
      <c r="BZ26" t="str">
        <f t="shared" si="78"/>
        <v>{SILVER}Gunpowder vans carried explosives to the quarries served by narrow gauge railways. This example has solid iron construction.</v>
      </c>
    </row>
    <row r="27" spans="1:78" x14ac:dyDescent="0.25">
      <c r="A27" t="s">
        <v>273</v>
      </c>
      <c r="B27" t="s">
        <v>280</v>
      </c>
      <c r="C27">
        <v>94</v>
      </c>
      <c r="D27" t="s">
        <v>15</v>
      </c>
      <c r="E27" t="s">
        <v>32</v>
      </c>
      <c r="F27" t="s">
        <v>245</v>
      </c>
      <c r="G27">
        <v>1870</v>
      </c>
      <c r="T27">
        <v>2</v>
      </c>
      <c r="V27">
        <v>4</v>
      </c>
      <c r="X27" s="4" t="str">
        <f t="shared" si="67"/>
        <v/>
      </c>
      <c r="Y27">
        <v>35</v>
      </c>
      <c r="AA27">
        <v>4.9000000000000004</v>
      </c>
      <c r="AB27">
        <v>6</v>
      </c>
      <c r="AE27" s="10">
        <v>15</v>
      </c>
      <c r="AF27" t="str">
        <f>CONCATENATE(VLOOKUP(AG27, 'Voxel Sizes'!$A$2:$B$18,2,FALSE),"x",INT(AC27*15), "x", INT(AD27*15))</f>
        <v>66x0x0</v>
      </c>
      <c r="AG27">
        <f t="shared" si="1"/>
        <v>4</v>
      </c>
      <c r="AI27" t="str">
        <f>CONCATENATE(VLOOKUP(AG27,Constants!$A$2:$C$16,IF(AH27&lt;&gt;"", 3, 2), FALSE),IF(AH27&lt;&gt;"",CONCATENATE(",",VLOOKUP(AH27,$B:$AI,34,FALSE)),""))</f>
        <v>1,2,1</v>
      </c>
      <c r="AS27">
        <v>80</v>
      </c>
      <c r="AT27" t="str">
        <f t="shared" si="68"/>
        <v/>
      </c>
      <c r="AW27">
        <f t="shared" si="69"/>
        <v>7</v>
      </c>
      <c r="AX27">
        <f t="shared" si="70"/>
        <v>0</v>
      </c>
      <c r="AY27">
        <f t="shared" si="71"/>
        <v>0</v>
      </c>
      <c r="AZ27" s="4">
        <f t="shared" si="72"/>
        <v>1</v>
      </c>
      <c r="BA27">
        <f t="shared" si="73"/>
        <v>0.5</v>
      </c>
      <c r="BB27">
        <f>VLOOKUP($E27,Constants!$I:$K, 2, FALSE)</f>
        <v>1</v>
      </c>
      <c r="BC27">
        <f>VLOOKUP($E27,Constants!$I:$K, 3, FALSE)*IF(AND(D27="multiple_unit",Y27&lt;110),0.75,1)</f>
        <v>0.45</v>
      </c>
      <c r="BD27">
        <f>INT(POWER(((Constants!$G$2+$AW27+$AX27+$AY27+$BA27)*$AZ27)*$BC27, 1.05))+$AV27</f>
        <v>6</v>
      </c>
      <c r="BE27">
        <f>INT(POWER((((Constants!$G$1+$AW27+$AX27+$AY27+$BA27)*($AZ27))*$BB27),IF($D27="wagon",1,1.2)))+$AU27</f>
        <v>41</v>
      </c>
      <c r="BF27" s="13">
        <f t="shared" si="74"/>
        <v>4687.5</v>
      </c>
      <c r="BG27" s="13">
        <f t="shared" si="9"/>
        <v>3331.25</v>
      </c>
      <c r="BN27">
        <v>1</v>
      </c>
      <c r="BO27">
        <v>185</v>
      </c>
      <c r="BP27" t="s">
        <v>77</v>
      </c>
      <c r="BQ27" t="s">
        <v>290</v>
      </c>
      <c r="BR27" t="str">
        <f>VLOOKUP(G27,Eras!$A$2:$C$10, 2, TRUE)</f>
        <v>vct</v>
      </c>
      <c r="BS27" t="s">
        <v>75</v>
      </c>
      <c r="BT27" t="str">
        <f t="shared" si="75"/>
        <v>vct_Open Wagon</v>
      </c>
      <c r="BU27" t="str">
        <f t="shared" si="76"/>
        <v>wagon_NGRL</v>
      </c>
      <c r="BV27" t="str">
        <f>VLOOKUP($BU27, Constants!$M:$N, 2, FALSE)</f>
        <v/>
      </c>
      <c r="BW27" t="str">
        <f t="shared" si="77"/>
        <v/>
      </c>
      <c r="BX27" t="s">
        <v>305</v>
      </c>
      <c r="BY27" t="str">
        <f t="shared" si="13"/>
        <v/>
      </c>
      <c r="BZ27" t="str">
        <f t="shared" si="78"/>
        <v>{SILVER}Later vans used iron frames to increase their strength and enable running at faster speeds.</v>
      </c>
    </row>
    <row r="28" spans="1:78" x14ac:dyDescent="0.25">
      <c r="A28" t="s">
        <v>233</v>
      </c>
      <c r="B28" t="s">
        <v>228</v>
      </c>
      <c r="C28">
        <v>1061</v>
      </c>
      <c r="D28" t="s">
        <v>32</v>
      </c>
      <c r="E28" t="s">
        <v>161</v>
      </c>
      <c r="F28" t="s">
        <v>28</v>
      </c>
      <c r="G28">
        <v>1906</v>
      </c>
      <c r="I28">
        <v>1955</v>
      </c>
      <c r="T28">
        <v>31</v>
      </c>
      <c r="V28">
        <v>6</v>
      </c>
      <c r="X28" s="4" t="str">
        <f t="shared" ref="X28:X31" si="79">IF(AND(T28&gt;0,W28&gt;0),(W28/((T28+U28)*10)),"")</f>
        <v/>
      </c>
      <c r="Y28">
        <v>100</v>
      </c>
      <c r="AA28">
        <v>17.7</v>
      </c>
      <c r="AB28">
        <v>17.7</v>
      </c>
      <c r="AC28">
        <v>2.83</v>
      </c>
      <c r="AD28">
        <v>3.79</v>
      </c>
      <c r="AE28" s="10">
        <v>57</v>
      </c>
      <c r="AF28" t="str">
        <f>CONCATENATE(VLOOKUP(AG28, 'Voxel Sizes'!$A$2:$B$18,2,FALSE),"x",INT(AC28*15), "x", INT(AD28*15))</f>
        <v>164x42x56</v>
      </c>
      <c r="AG28">
        <f t="shared" si="1"/>
        <v>10</v>
      </c>
      <c r="AI28" t="str">
        <f>CONCATENATE(VLOOKUP(AG28,Constants!$A$2:$C$16,IF(AH28&lt;&gt;"", 3, 2), FALSE),IF(AH28&lt;&gt;"",CONCATENATE(",",VLOOKUP(AH28,$B:$AI,34,FALSE)),""))</f>
        <v>4,2,4</v>
      </c>
      <c r="AS28">
        <v>30</v>
      </c>
      <c r="AT28">
        <f t="shared" ref="AT28:AT31" si="80">IF(I28&lt;&gt;"",MAX(8,(I28-G28)-4),"")</f>
        <v>45</v>
      </c>
      <c r="AU28">
        <v>72</v>
      </c>
      <c r="AV28">
        <f>20*3</f>
        <v>60</v>
      </c>
      <c r="AW28">
        <f t="shared" ref="AW28:AW31" si="81">MIN(Y28/150, 1)*30</f>
        <v>20</v>
      </c>
      <c r="AX28">
        <f t="shared" ref="AX28:AX31" si="82">MIN(K28/4000, 1)*20</f>
        <v>0</v>
      </c>
      <c r="AY28">
        <f t="shared" ref="AY28:AY31" si="83">MIN(W28/400,1)*20</f>
        <v>0</v>
      </c>
      <c r="AZ28" s="4">
        <f t="shared" ref="AZ28:AZ31" si="84">1-(MAX(G28-1900, 0)/750)</f>
        <v>0.99199999999999999</v>
      </c>
      <c r="BA28">
        <f t="shared" ref="BA28:BA31" si="85">((MAX($J28,1)*MIN($AE28/300,1)))*IF(D28="Wagon",50,10)</f>
        <v>9.5</v>
      </c>
      <c r="BB28">
        <f>VLOOKUP($E28,Constants!$I:$K, 2, FALSE)</f>
        <v>1.2</v>
      </c>
      <c r="BC28">
        <f>VLOOKUP($E28,Constants!$I:$K, 3, FALSE)*IF(AND(D28="multiple_unit",Y28&lt;110),0.75,1)</f>
        <v>0.6</v>
      </c>
      <c r="BD28">
        <f>INT(POWER(((Constants!$G$2+$AW28+$AX28+$AY28+$BA28)*$AZ28)*$BC28, 1.05))+$AV28</f>
        <v>83</v>
      </c>
      <c r="BE28">
        <f>INT(POWER((((Constants!$G$1+$AW28+$AX28+$AY28+$BA28)*($AZ28))*$BB28),IF($D28="wagon",1,1.2)))+$AU28</f>
        <v>124</v>
      </c>
      <c r="BF28" s="13">
        <f t="shared" ref="BF28:BF31" si="86">BD28*IF($D28="wagon",62.5,781.25)</f>
        <v>5187.5</v>
      </c>
      <c r="BG28" s="13">
        <f t="shared" si="9"/>
        <v>338.52</v>
      </c>
      <c r="BN28">
        <v>1</v>
      </c>
      <c r="BO28">
        <v>165</v>
      </c>
      <c r="BP28" t="s">
        <v>144</v>
      </c>
      <c r="BQ28" t="s">
        <v>34</v>
      </c>
      <c r="BR28" t="str">
        <f>VLOOKUP(G28,Eras!$A$2:$C$10, 2, TRUE)</f>
        <v>edw</v>
      </c>
      <c r="BS28" t="s">
        <v>70</v>
      </c>
      <c r="BT28" t="str">
        <f t="shared" ref="BT28:BT31" si="87">CONCATENATE(BR28,"_",BS28)</f>
        <v>edw_Carriage</v>
      </c>
      <c r="BU28" t="str">
        <f t="shared" ref="BU28:BU31" si="88">_xlfn.CONCAT(E28, "_",F28)</f>
        <v>carriage_RAIL</v>
      </c>
      <c r="BV28" t="str">
        <f>VLOOKUP($BU28, Constants!$M:$N, 2, FALSE)</f>
        <v/>
      </c>
      <c r="BW28" t="str">
        <f t="shared" ref="BW28:BW31" si="89">IF(J28&gt;1,_xlfn.CONCAT("{BLACK}Cars: {GOLD}", J28),"")</f>
        <v/>
      </c>
      <c r="BX28" t="s">
        <v>231</v>
      </c>
      <c r="BY28" t="str">
        <f t="shared" si="13"/>
        <v>{YELLOW}10% Penalty for long distance travel{}</v>
      </c>
      <c r="BZ28" t="str">
        <f t="shared" ref="BZ28:BZ31" si="90">_xlfn.CONCAT(BV28,IF(BV28 &lt;&gt; "", " ", ""),BW28,IF(OR(BW28&lt;&gt;"", BV28&lt;&gt;""), "{}",""), BY28,"{SILVER}", BX28)</f>
        <v>{YELLOW}10% Penalty for long distance travel{}{SILVER}Non-corridor carriages allow greater seating density, at the cost of passenger comfort.</v>
      </c>
    </row>
    <row r="29" spans="1:78" x14ac:dyDescent="0.25">
      <c r="A29" t="s">
        <v>229</v>
      </c>
      <c r="B29" t="s">
        <v>230</v>
      </c>
      <c r="C29">
        <v>1521</v>
      </c>
      <c r="D29" t="s">
        <v>32</v>
      </c>
      <c r="E29" t="s">
        <v>161</v>
      </c>
      <c r="F29" t="s">
        <v>28</v>
      </c>
      <c r="G29">
        <v>1952</v>
      </c>
      <c r="H29">
        <v>1963</v>
      </c>
      <c r="I29">
        <v>1977</v>
      </c>
      <c r="T29">
        <v>30</v>
      </c>
      <c r="V29">
        <v>6</v>
      </c>
      <c r="X29" s="4" t="str">
        <f t="shared" si="79"/>
        <v/>
      </c>
      <c r="Y29">
        <v>100</v>
      </c>
      <c r="AA29">
        <v>19.3</v>
      </c>
      <c r="AB29">
        <v>20</v>
      </c>
      <c r="AE29" s="10">
        <v>66</v>
      </c>
      <c r="AF29" t="str">
        <f>CONCATENATE(VLOOKUP(AG29, 'Voxel Sizes'!$A$2:$B$18,2,FALSE),"x",INT(AC29*15), "x", INT(AD29*15))</f>
        <v>198x0x0</v>
      </c>
      <c r="AG29">
        <f t="shared" si="1"/>
        <v>12</v>
      </c>
      <c r="AI29" t="str">
        <f>CONCATENATE(VLOOKUP(AG29,Constants!$A$2:$C$16,IF(AH29&lt;&gt;"", 3, 2), FALSE),IF(AH29&lt;&gt;"",CONCATENATE(",",VLOOKUP(AH29,$B:$AI,34,FALSE)),""))</f>
        <v>4,4,4</v>
      </c>
      <c r="AS29">
        <v>30</v>
      </c>
      <c r="AT29">
        <f t="shared" si="80"/>
        <v>21</v>
      </c>
      <c r="AU29">
        <v>76</v>
      </c>
      <c r="AV29">
        <f>23*3</f>
        <v>69</v>
      </c>
      <c r="AW29">
        <f t="shared" si="81"/>
        <v>20</v>
      </c>
      <c r="AX29">
        <f t="shared" si="82"/>
        <v>0</v>
      </c>
      <c r="AY29">
        <f t="shared" si="83"/>
        <v>0</v>
      </c>
      <c r="AZ29" s="4">
        <f t="shared" si="84"/>
        <v>0.93066666666666664</v>
      </c>
      <c r="BA29">
        <f t="shared" si="85"/>
        <v>11</v>
      </c>
      <c r="BB29">
        <f>VLOOKUP($E29,Constants!$I:$K, 2, FALSE)</f>
        <v>1.2</v>
      </c>
      <c r="BC29">
        <f>VLOOKUP($E29,Constants!$I:$K, 3, FALSE)*IF(AND(D29="multiple_unit",Y29&lt;110),0.75,1)</f>
        <v>0.6</v>
      </c>
      <c r="BD29">
        <f>INT(POWER(((Constants!$G$2+$AW29+$AX29+$AY29+$BA29)*$AZ29)*$BC29, 1.05))+$AV29</f>
        <v>92</v>
      </c>
      <c r="BE29">
        <f>INT(POWER((((Constants!$G$1+$AW29+$AX29+$AY29+$BA29)*($AZ29))*$BB29),IF($D29="wagon",1,1.2)))+$AU29</f>
        <v>127</v>
      </c>
      <c r="BF29" s="13">
        <f t="shared" si="86"/>
        <v>5750</v>
      </c>
      <c r="BG29" s="13">
        <f t="shared" si="9"/>
        <v>346.71</v>
      </c>
      <c r="BN29">
        <v>1</v>
      </c>
      <c r="BO29">
        <v>165</v>
      </c>
      <c r="BP29" t="s">
        <v>144</v>
      </c>
      <c r="BQ29" t="s">
        <v>34</v>
      </c>
      <c r="BR29" t="str">
        <f>VLOOKUP(G29,Eras!$A$2:$C$10, 2, TRUE)</f>
        <v>ebr</v>
      </c>
      <c r="BS29" t="s">
        <v>70</v>
      </c>
      <c r="BT29" t="str">
        <f t="shared" si="87"/>
        <v>ebr_Carriage</v>
      </c>
      <c r="BU29" t="str">
        <f t="shared" si="88"/>
        <v>carriage_RAIL</v>
      </c>
      <c r="BV29" t="str">
        <f>VLOOKUP($BU29, Constants!$M:$N, 2, FALSE)</f>
        <v/>
      </c>
      <c r="BW29" t="str">
        <f t="shared" si="89"/>
        <v/>
      </c>
      <c r="BX29" t="s">
        <v>232</v>
      </c>
      <c r="BY29" t="str">
        <f t="shared" si="13"/>
        <v>{YELLOW}10% Penalty for long distance travel{}</v>
      </c>
      <c r="BZ29" t="str">
        <f t="shared" si="90"/>
        <v>{YELLOW}10% Penalty for long distance travel{}{SILVER}BR built many suburban MK1 carriages with no gangways, although typically only one or two would be used per train across most of the country.</v>
      </c>
    </row>
    <row r="30" spans="1:78" x14ac:dyDescent="0.25">
      <c r="A30" t="s">
        <v>240</v>
      </c>
      <c r="B30" t="s">
        <v>241</v>
      </c>
      <c r="C30">
        <v>991</v>
      </c>
      <c r="D30" t="s">
        <v>239</v>
      </c>
      <c r="E30" t="s">
        <v>25</v>
      </c>
      <c r="F30" t="s">
        <v>28</v>
      </c>
      <c r="G30">
        <v>1899</v>
      </c>
      <c r="I30">
        <v>1933</v>
      </c>
      <c r="K30">
        <v>180</v>
      </c>
      <c r="M30" s="6">
        <v>11.5</v>
      </c>
      <c r="N30" s="6">
        <v>18</v>
      </c>
      <c r="O30" s="6">
        <v>2</v>
      </c>
      <c r="P30" s="6">
        <v>175</v>
      </c>
      <c r="Q30" s="14">
        <f>((($Y30/2)/60)*5280)/($R30*3.2*PI())</f>
        <v>128.72826279491534</v>
      </c>
      <c r="R30" s="6">
        <v>1.7</v>
      </c>
      <c r="S30" s="6">
        <f>((($M30*$M30/4)*PI())*($N30/12)*$O30*$P30*$Q30)/(33000*1.1)</f>
        <v>193.38026403743311</v>
      </c>
      <c r="T30">
        <v>38</v>
      </c>
      <c r="V30">
        <v>5</v>
      </c>
      <c r="W30">
        <v>24</v>
      </c>
      <c r="X30" s="4">
        <f t="shared" si="79"/>
        <v>6.3157894736842107E-2</v>
      </c>
      <c r="Y30">
        <v>50</v>
      </c>
      <c r="AA30">
        <v>10.9</v>
      </c>
      <c r="AB30">
        <v>12</v>
      </c>
      <c r="AE30" s="10">
        <v>12</v>
      </c>
      <c r="AF30" t="str">
        <f>CONCATENATE(VLOOKUP(AG30, 'Voxel Sizes'!$A$2:$B$18,2,FALSE),"x",INT(AC30*15), "x", INT(AD30*15))</f>
        <v>120x0x0</v>
      </c>
      <c r="AG30">
        <f t="shared" si="1"/>
        <v>7</v>
      </c>
      <c r="AI30" t="str">
        <f>CONCATENATE(VLOOKUP(AG30,Constants!$A$2:$C$16,IF(AH30&lt;&gt;"", 3, 2), FALSE),IF(AH30&lt;&gt;"",CONCATENATE(",",VLOOKUP(AH30,$B:$AI,34,FALSE)),""))</f>
        <v>2,3,2</v>
      </c>
      <c r="AQ30">
        <v>1</v>
      </c>
      <c r="AS30">
        <v>26</v>
      </c>
      <c r="AT30">
        <f t="shared" si="80"/>
        <v>30</v>
      </c>
      <c r="AU30">
        <v>-14</v>
      </c>
      <c r="AV30">
        <v>-4</v>
      </c>
      <c r="AW30">
        <f t="shared" si="81"/>
        <v>10</v>
      </c>
      <c r="AX30">
        <f t="shared" si="82"/>
        <v>0.89999999999999991</v>
      </c>
      <c r="AY30">
        <f t="shared" si="83"/>
        <v>1.2</v>
      </c>
      <c r="AZ30" s="4">
        <f t="shared" si="84"/>
        <v>1</v>
      </c>
      <c r="BA30">
        <f t="shared" si="85"/>
        <v>0.4</v>
      </c>
      <c r="BB30">
        <f>VLOOKUP($E30,Constants!$I:$K, 2, FALSE)</f>
        <v>1.1499999999999999</v>
      </c>
      <c r="BC30">
        <f>VLOOKUP($E30,Constants!$I:$K, 3, FALSE)*IF(AND(D30="multiple_unit",Y30&lt;110),0.75,1)</f>
        <v>1.7</v>
      </c>
      <c r="BD30">
        <f>INT(POWER(((Constants!$G$2+$AW30+$AX30+$AY30+$BA30)*$AZ30)*$BC30, 1.05))+$AV30</f>
        <v>31</v>
      </c>
      <c r="BE30">
        <f>INT(POWER((((Constants!$G$1+$AW30+$AX30+$AY30+$BA30)*($AZ30))*$BB30),IF($D30="wagon",1,1.2)))+$AU30</f>
        <v>49</v>
      </c>
      <c r="BF30" s="13">
        <f t="shared" ref="BF30" si="91">BD30*IF($D30="wagon",62.5,781.25)</f>
        <v>24218.75</v>
      </c>
      <c r="BG30" s="13">
        <f t="shared" si="9"/>
        <v>3981.25</v>
      </c>
      <c r="BN30">
        <v>4</v>
      </c>
      <c r="BP30" t="s">
        <v>144</v>
      </c>
      <c r="BQ30" t="s">
        <v>34</v>
      </c>
      <c r="BR30" t="str">
        <f>VLOOKUP(G30,Eras!$A$2:$C$10, 2, TRUE)</f>
        <v>vct</v>
      </c>
      <c r="BS30" t="s">
        <v>61</v>
      </c>
      <c r="BT30" t="str">
        <f t="shared" si="87"/>
        <v>vct_Cheap</v>
      </c>
      <c r="BU30" t="str">
        <f t="shared" si="88"/>
        <v>steam_RAIL</v>
      </c>
      <c r="BV30" t="str">
        <f>VLOOKUP($BU30, Constants!$M:$N, 2, FALSE)</f>
        <v>{BLACK}Powered by: {GOLD}Steam</v>
      </c>
      <c r="BW30" t="str">
        <f t="shared" si="89"/>
        <v/>
      </c>
      <c r="BX30" t="s">
        <v>242</v>
      </c>
      <c r="BY30" t="str">
        <f t="shared" si="13"/>
        <v/>
      </c>
      <c r="BZ30" t="str">
        <f t="shared" si="90"/>
        <v>{BLACK}Powered by: {GOLD}Steam {}{SILVER}The F9 was Dugald Drummond's personal locomotive, allowing him to travel across the LSWR for inspections. After Drummond it only saw occasional use at Southampton Docks.</v>
      </c>
    </row>
    <row r="31" spans="1:78" x14ac:dyDescent="0.25">
      <c r="A31" t="s">
        <v>235</v>
      </c>
      <c r="B31" t="s">
        <v>236</v>
      </c>
      <c r="C31">
        <v>3591</v>
      </c>
      <c r="D31" t="s">
        <v>234</v>
      </c>
      <c r="E31" t="s">
        <v>26</v>
      </c>
      <c r="F31" t="s">
        <v>28</v>
      </c>
      <c r="G31">
        <v>1959</v>
      </c>
      <c r="H31">
        <v>1961</v>
      </c>
      <c r="I31">
        <v>1999</v>
      </c>
      <c r="J31">
        <v>3</v>
      </c>
      <c r="K31">
        <v>600</v>
      </c>
      <c r="T31">
        <f>36.6+36.6+30.5</f>
        <v>103.7</v>
      </c>
      <c r="V31">
        <v>6</v>
      </c>
      <c r="W31">
        <v>83</v>
      </c>
      <c r="X31" s="4">
        <f t="shared" si="79"/>
        <v>8.0038572806171646E-2</v>
      </c>
      <c r="Y31">
        <v>70</v>
      </c>
      <c r="AA31">
        <v>19.5</v>
      </c>
      <c r="AB31">
        <v>19.5</v>
      </c>
      <c r="AD31">
        <v>3.77</v>
      </c>
      <c r="AE31" s="10">
        <v>60</v>
      </c>
      <c r="AF31" t="str">
        <f>CONCATENATE(VLOOKUP(AG31, 'Voxel Sizes'!$A$2:$B$18,2,FALSE),"x",INT(AC31*15), "x", INT(AD31*15))</f>
        <v>186x0x56</v>
      </c>
      <c r="AG31">
        <f t="shared" si="1"/>
        <v>11</v>
      </c>
      <c r="AI31" t="str">
        <f>CONCATENATE(VLOOKUP(AG31,[1]Constants!$A$2:$C$16,IF(AH31&lt;&gt;"", 3, 2), FALSE),IF(AH31&lt;&gt;"",CONCATENATE(",",VLOOKUP(AH31,$B:$AI,34,FALSE)),""))</f>
        <v>4,3,4</v>
      </c>
      <c r="AM31" t="s">
        <v>237</v>
      </c>
      <c r="AO31" t="s">
        <v>37</v>
      </c>
      <c r="AS31">
        <v>42</v>
      </c>
      <c r="AT31">
        <f t="shared" si="80"/>
        <v>36</v>
      </c>
      <c r="AU31">
        <v>-10</v>
      </c>
      <c r="AV31">
        <v>-15</v>
      </c>
      <c r="AW31">
        <f t="shared" si="81"/>
        <v>14</v>
      </c>
      <c r="AX31">
        <f t="shared" si="82"/>
        <v>3</v>
      </c>
      <c r="AY31">
        <f t="shared" si="83"/>
        <v>4.1499999999999995</v>
      </c>
      <c r="AZ31" s="4">
        <f t="shared" si="84"/>
        <v>0.92133333333333334</v>
      </c>
      <c r="BA31">
        <f t="shared" si="85"/>
        <v>6.0000000000000009</v>
      </c>
      <c r="BB31">
        <f>VLOOKUP($E31,[1]Constants!$I:$K, 2, FALSE)</f>
        <v>1</v>
      </c>
      <c r="BC31">
        <f>VLOOKUP($E31,[1]Constants!$I:$K, 3, FALSE)*IF(AND(D31="multiple_unit",Y31&lt;110),0.75,1)</f>
        <v>1.5</v>
      </c>
      <c r="BD31">
        <f>INT(POWER((([1]Constants!$G$2+$AW31+$AX31+$AY31+$BA31)*$AZ31)*$BC31, 1.05))+$AV31</f>
        <v>38</v>
      </c>
      <c r="BE31">
        <f>INT(POWER(((([1]Constants!$G$1+$AW31+$AX31+$AY31+$BA31)*($AZ31))*$BB31),IF($D31="wagon",1,1.2)))+$AU31</f>
        <v>70</v>
      </c>
      <c r="BF31" s="13">
        <f t="shared" si="86"/>
        <v>29687.5</v>
      </c>
      <c r="BG31" s="13">
        <f t="shared" si="9"/>
        <v>5687.5</v>
      </c>
      <c r="BN31">
        <v>5</v>
      </c>
      <c r="BP31" t="s">
        <v>144</v>
      </c>
      <c r="BQ31" t="s">
        <v>34</v>
      </c>
      <c r="BR31" t="str">
        <f>VLOOKUP(G31,Eras!$A$2:$C$10, 2, TRUE)</f>
        <v>dsl</v>
      </c>
      <c r="BS31" t="s">
        <v>66</v>
      </c>
      <c r="BT31" t="str">
        <f t="shared" si="87"/>
        <v>dsl_DMU</v>
      </c>
      <c r="BU31" t="str">
        <f t="shared" si="88"/>
        <v>diesel_RAIL</v>
      </c>
      <c r="BV31" t="str">
        <f>VLOOKUP($BU31, Constants!$M:$N, 2, FALSE)</f>
        <v>{BLACK}Powered by: {GOLD}Diesel</v>
      </c>
      <c r="BW31" t="str">
        <f t="shared" si="89"/>
        <v>{BLACK}Cars: {GOLD}3</v>
      </c>
      <c r="BX31" t="s">
        <v>238</v>
      </c>
      <c r="BY31" t="str">
        <f t="shared" si="13"/>
        <v/>
      </c>
      <c r="BZ31" t="str">
        <f t="shared" si="90"/>
        <v>{BLACK}Powered by: {GOLD}Diesel {BLACK}Cars: {GOLD}3{}{SILVER}The Class 117 was built under licence by Pressed Steel, being a variant of the Class 116 built by BRCW Derby.</v>
      </c>
    </row>
    <row r="32" spans="1:78" x14ac:dyDescent="0.25">
      <c r="A32" t="s">
        <v>323</v>
      </c>
      <c r="B32" t="s">
        <v>324</v>
      </c>
      <c r="D32" t="s">
        <v>15</v>
      </c>
      <c r="E32" t="s">
        <v>26</v>
      </c>
    </row>
    <row r="33" spans="1:6" x14ac:dyDescent="0.25">
      <c r="A33" t="s">
        <v>325</v>
      </c>
      <c r="B33" t="s">
        <v>326</v>
      </c>
      <c r="D33" t="s">
        <v>15</v>
      </c>
      <c r="E33" t="s">
        <v>32</v>
      </c>
    </row>
    <row r="34" spans="1:6" x14ac:dyDescent="0.25">
      <c r="A34" t="s">
        <v>327</v>
      </c>
      <c r="B34" t="s">
        <v>328</v>
      </c>
      <c r="D34" t="s">
        <v>15</v>
      </c>
      <c r="E34" t="s">
        <v>38</v>
      </c>
      <c r="F34" t="s">
        <v>329</v>
      </c>
    </row>
  </sheetData>
  <autoFilter ref="A1:BX29" xr:uid="{CF2E8555-48EE-4386-A1B1-369F6A2E644F}"/>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BS32:BS1048576 BS1 BS28:BS29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0</v>
      </c>
      <c r="E4">
        <f>COUNTIF(Table!$BT:$BT,CONCATENATE($A4,"_",E$1))</f>
        <v>4</v>
      </c>
      <c r="F4">
        <f>COUNTIF(Table!$BT:$BT,CONCATENATE($A4,"_",F$1))</f>
        <v>0</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0</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0</v>
      </c>
      <c r="H7">
        <f>COUNTIF(Table!$BT:$BT,CONCATENATE($A7,"_",H$1))</f>
        <v>0</v>
      </c>
      <c r="I7">
        <f>COUNTIF(Table!$BT:$BT,CONCATENATE($A7,"_",I$1))</f>
        <v>0</v>
      </c>
      <c r="J7">
        <f>COUNTIF(Table!$BT:$BT,CONCATENATE($A7,"_",J$1))</f>
        <v>0</v>
      </c>
      <c r="K7">
        <f>COUNTIF(Table!$BT:$BT,CONCATENATE($A7,"_",K$1))</f>
        <v>0</v>
      </c>
      <c r="L7">
        <f>COUNTIF(Table!$BT:$BT,CONCATENATE($A7,"_",L$1))</f>
        <v>0</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0</v>
      </c>
      <c r="H8">
        <f>COUNTIF(Table!$BT:$BT,CONCATENATE($A8,"_",H$1))</f>
        <v>0</v>
      </c>
      <c r="I8">
        <f>COUNTIF(Table!$BT:$BT,CONCATENATE($A8,"_",I$1))</f>
        <v>0</v>
      </c>
      <c r="J8">
        <f>COUNTIF(Table!$BT:$BT,CONCATENATE($A8,"_",J$1))</f>
        <v>0</v>
      </c>
      <c r="K8">
        <f>COUNTIF(Table!$BT:$BT,CONCATENATE($A8,"_",K$1))</f>
        <v>0</v>
      </c>
      <c r="L8">
        <f>COUNTIF(Table!$BT:$BT,CONCATENATE($A8,"_",L$1))</f>
        <v>1</v>
      </c>
      <c r="M8">
        <f>COUNTIF(Table!$BT:$BT,CONCATENATE($A8,"_",M$1))</f>
        <v>0</v>
      </c>
      <c r="N8">
        <f>COUNTIF(Table!$BT:$BT,CONCATENATE($A8,"_",N$1))</f>
        <v>0</v>
      </c>
      <c r="O8">
        <f>COUNTIF(Table!$BT:$BT,CONCATENATE($A8,"_",O$1))</f>
        <v>0</v>
      </c>
      <c r="P8">
        <f>COUNTIF(Table!$BT:$BT,CONCATENATE($A8,"_",P$1))</f>
        <v>0</v>
      </c>
      <c r="Q8">
        <f>COUNTIF(Table!$BT:$BT,CONCATENATE($A8,"_",Q$1))</f>
        <v>0</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0</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0</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0</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0</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28"/>
  <sheetViews>
    <sheetView topLeftCell="C1" workbookViewId="0">
      <selection activeCell="N8" sqref="N8"/>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190</v>
      </c>
    </row>
    <row r="3" spans="1:15" x14ac:dyDescent="0.25">
      <c r="A3">
        <v>3</v>
      </c>
      <c r="B3" t="s">
        <v>37</v>
      </c>
      <c r="C3" t="s">
        <v>37</v>
      </c>
      <c r="I3" t="s">
        <v>38</v>
      </c>
      <c r="J3">
        <v>0.85</v>
      </c>
      <c r="K3">
        <v>2.2999999999999998</v>
      </c>
      <c r="M3" t="s">
        <v>182</v>
      </c>
      <c r="N3" t="str">
        <f t="shared" ref="N3:N28" si="0">IF(O3&lt;&gt;"", _xlfn.CONCAT("{BLACK}Powered by: {GOLD}",O3), "")</f>
        <v>{BLACK}Powered by: {GOLD}Steam</v>
      </c>
      <c r="O3" t="s">
        <v>191</v>
      </c>
    </row>
    <row r="4" spans="1:15" x14ac:dyDescent="0.25">
      <c r="A4">
        <v>4</v>
      </c>
      <c r="B4" t="s">
        <v>142</v>
      </c>
      <c r="C4" t="s">
        <v>142</v>
      </c>
      <c r="I4" t="s">
        <v>25</v>
      </c>
      <c r="J4">
        <v>1.1499999999999999</v>
      </c>
      <c r="K4">
        <v>1.7</v>
      </c>
      <c r="M4" t="s">
        <v>183</v>
      </c>
      <c r="N4" t="str">
        <f t="shared" si="0"/>
        <v>{BLACK}Powered by: {GOLD}25kV AC</v>
      </c>
      <c r="O4" t="s">
        <v>192</v>
      </c>
    </row>
    <row r="5" spans="1:15" x14ac:dyDescent="0.25">
      <c r="A5">
        <v>5</v>
      </c>
      <c r="B5" t="s">
        <v>137</v>
      </c>
      <c r="C5" t="s">
        <v>137</v>
      </c>
      <c r="I5" t="s">
        <v>100</v>
      </c>
      <c r="J5">
        <v>0.9</v>
      </c>
      <c r="K5">
        <v>2.5</v>
      </c>
      <c r="M5" t="s">
        <v>194</v>
      </c>
      <c r="N5" t="str">
        <f t="shared" si="0"/>
        <v>{BLACK}Powered by: {GOLD}750V DC</v>
      </c>
      <c r="O5" t="s">
        <v>193</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189</v>
      </c>
      <c r="N10" t="str">
        <f t="shared" si="0"/>
        <v>{BLACK}Powered by: {GOLD}Steam</v>
      </c>
      <c r="O10" t="s">
        <v>191</v>
      </c>
    </row>
    <row r="11" spans="1:15" x14ac:dyDescent="0.25">
      <c r="A11">
        <v>11</v>
      </c>
      <c r="B11" t="s">
        <v>138</v>
      </c>
      <c r="C11" t="s">
        <v>138</v>
      </c>
      <c r="I11" t="s">
        <v>164</v>
      </c>
      <c r="J11">
        <v>0.9</v>
      </c>
      <c r="K11">
        <v>1.6</v>
      </c>
      <c r="M11" t="s">
        <v>195</v>
      </c>
      <c r="N11" t="str">
        <f t="shared" si="0"/>
        <v>{BLACK}Powered by: {GOLD}750V DC / Diesel</v>
      </c>
      <c r="O11" t="s">
        <v>196</v>
      </c>
    </row>
    <row r="12" spans="1:15" x14ac:dyDescent="0.25">
      <c r="A12">
        <v>12</v>
      </c>
      <c r="B12" t="s">
        <v>131</v>
      </c>
      <c r="C12" t="s">
        <v>131</v>
      </c>
      <c r="I12" t="s">
        <v>36</v>
      </c>
      <c r="J12">
        <v>0</v>
      </c>
      <c r="K12">
        <v>0</v>
      </c>
      <c r="M12" t="s">
        <v>197</v>
      </c>
      <c r="N12" t="str">
        <f t="shared" si="0"/>
        <v>{BLACK}Powered by: {GOLD}25kV AC / 750V DC</v>
      </c>
      <c r="O12" t="s">
        <v>198</v>
      </c>
    </row>
    <row r="13" spans="1:15" x14ac:dyDescent="0.25">
      <c r="A13">
        <v>13</v>
      </c>
      <c r="B13" t="s">
        <v>139</v>
      </c>
      <c r="C13" t="s">
        <v>139</v>
      </c>
      <c r="I13" t="s">
        <v>202</v>
      </c>
      <c r="J13">
        <v>1.05</v>
      </c>
      <c r="K13">
        <v>1.9</v>
      </c>
      <c r="M13" t="s">
        <v>199</v>
      </c>
      <c r="N13" t="str">
        <f t="shared" si="0"/>
        <v/>
      </c>
    </row>
    <row r="14" spans="1:15" x14ac:dyDescent="0.25">
      <c r="A14">
        <v>14</v>
      </c>
      <c r="B14" t="s">
        <v>133</v>
      </c>
      <c r="C14" t="s">
        <v>133</v>
      </c>
      <c r="I14" t="s">
        <v>215</v>
      </c>
      <c r="J14">
        <v>0.98</v>
      </c>
      <c r="K14">
        <v>1.88</v>
      </c>
      <c r="M14" t="s">
        <v>200</v>
      </c>
      <c r="N14" t="str">
        <f t="shared" si="0"/>
        <v/>
      </c>
    </row>
    <row r="15" spans="1:15" x14ac:dyDescent="0.25">
      <c r="A15">
        <v>15</v>
      </c>
      <c r="B15" t="s">
        <v>140</v>
      </c>
      <c r="C15" t="s">
        <v>140</v>
      </c>
      <c r="I15" t="s">
        <v>221</v>
      </c>
      <c r="J15">
        <v>0.5</v>
      </c>
      <c r="K15">
        <v>0.5</v>
      </c>
      <c r="M15" t="s">
        <v>201</v>
      </c>
      <c r="N15" t="str">
        <f t="shared" si="0"/>
        <v/>
      </c>
    </row>
    <row r="16" spans="1:15" x14ac:dyDescent="0.25">
      <c r="A16">
        <v>16</v>
      </c>
      <c r="B16" t="s">
        <v>141</v>
      </c>
      <c r="C16" t="s">
        <v>141</v>
      </c>
      <c r="M16" t="s">
        <v>203</v>
      </c>
      <c r="N16" t="str">
        <f t="shared" si="0"/>
        <v>{BLACK}Powered by: {GOLD}Petrol</v>
      </c>
      <c r="O16" t="s">
        <v>145</v>
      </c>
    </row>
    <row r="17" spans="13:15" x14ac:dyDescent="0.25">
      <c r="M17" t="s">
        <v>206</v>
      </c>
      <c r="N17" t="str">
        <f t="shared" si="0"/>
        <v>{BLACK}Powered by: {GOLD}25kV AC / Diesel</v>
      </c>
      <c r="O17" t="s">
        <v>207</v>
      </c>
    </row>
    <row r="18" spans="13:15" x14ac:dyDescent="0.25">
      <c r="M18" t="s">
        <v>216</v>
      </c>
      <c r="N18" t="str">
        <f t="shared" si="0"/>
        <v>{BLACK}Powered by: {GOLD}LPG / Flywheel</v>
      </c>
      <c r="O18" t="s">
        <v>217</v>
      </c>
    </row>
    <row r="19" spans="13:15" x14ac:dyDescent="0.25">
      <c r="M19" t="s">
        <v>219</v>
      </c>
      <c r="N19" t="str">
        <f t="shared" si="0"/>
        <v/>
      </c>
    </row>
    <row r="20" spans="13:15" x14ac:dyDescent="0.25">
      <c r="M20" t="s">
        <v>218</v>
      </c>
      <c r="N20" t="str">
        <f t="shared" si="0"/>
        <v>{BLACK}Powered by: {GOLD}Steam</v>
      </c>
      <c r="O20" t="s">
        <v>191</v>
      </c>
    </row>
    <row r="21" spans="13:15" x14ac:dyDescent="0.25">
      <c r="M21" t="s">
        <v>220</v>
      </c>
      <c r="N21" t="str">
        <f t="shared" si="0"/>
        <v/>
      </c>
    </row>
    <row r="22" spans="13:15" x14ac:dyDescent="0.25">
      <c r="M22" t="s">
        <v>223</v>
      </c>
      <c r="N22" t="str">
        <f t="shared" si="0"/>
        <v>{BLACK}Powered by: {GOLD}Grass and hay</v>
      </c>
      <c r="O22" t="s">
        <v>222</v>
      </c>
    </row>
    <row r="23" spans="13:15" x14ac:dyDescent="0.25">
      <c r="M23" t="s">
        <v>224</v>
      </c>
      <c r="N23" t="str">
        <f t="shared" si="0"/>
        <v>{BLACK}Powered by: {GOLD}630V DC</v>
      </c>
      <c r="O23" t="s">
        <v>225</v>
      </c>
    </row>
    <row r="24" spans="13:15" x14ac:dyDescent="0.25">
      <c r="M24" t="s">
        <v>226</v>
      </c>
      <c r="N24" t="str">
        <f t="shared" si="0"/>
        <v/>
      </c>
    </row>
    <row r="25" spans="13:15" x14ac:dyDescent="0.25">
      <c r="M25" t="s">
        <v>227</v>
      </c>
      <c r="N25" t="str">
        <f t="shared" si="0"/>
        <v/>
      </c>
    </row>
    <row r="26" spans="13:15" x14ac:dyDescent="0.25">
      <c r="M26" t="s">
        <v>246</v>
      </c>
      <c r="N26" t="str">
        <f t="shared" si="0"/>
        <v>{BLACK}Powered by: {GOLD}Grass and hay</v>
      </c>
      <c r="O26" t="s">
        <v>222</v>
      </c>
    </row>
    <row r="27" spans="13:15" x14ac:dyDescent="0.25">
      <c r="M27" t="s">
        <v>255</v>
      </c>
      <c r="N27" t="str">
        <f t="shared" si="0"/>
        <v/>
      </c>
    </row>
    <row r="28" spans="13:15" x14ac:dyDescent="0.25">
      <c r="M28" t="s">
        <v>318</v>
      </c>
      <c r="N28" t="str">
        <f t="shared" si="0"/>
        <v>{BLACK}Powered by: {GOLD}Diesel</v>
      </c>
      <c r="O28" t="s">
        <v>190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204</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209</v>
      </c>
    </row>
    <row r="43" spans="1:6" x14ac:dyDescent="0.25">
      <c r="A43" t="s">
        <v>120</v>
      </c>
      <c r="B43" t="s">
        <v>208</v>
      </c>
      <c r="C43" t="s">
        <v>211</v>
      </c>
      <c r="D43" t="s">
        <v>213</v>
      </c>
      <c r="E43" t="s">
        <v>212</v>
      </c>
      <c r="F43" t="s">
        <v>210</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2021-01-31T17:25:15Z</dcterms:modified>
</cp:coreProperties>
</file>