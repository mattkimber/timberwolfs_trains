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FBDC0F8D-B56F-4FD4-ACE2-4A408A3FF38D}" xr6:coauthVersionLast="47" xr6:coauthVersionMax="47" xr10:uidLastSave="{00000000-0000-0000-0000-000000000000}"/>
  <bookViews>
    <workbookView xWindow="2160" yWindow="4515" windowWidth="29655" windowHeight="1636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Table!$A$1:$CE$13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B88" i="1" l="1" a="1"/>
  <c r="CB88" i="1" s="1"/>
  <c r="CG88" i="1" s="1"/>
  <c r="CB87" i="1" a="1"/>
  <c r="CB87" i="1" s="1"/>
  <c r="CG87" i="1" s="1"/>
  <c r="CB86" i="1" a="1"/>
  <c r="CB86" i="1" s="1"/>
  <c r="CG86" i="1" s="1"/>
  <c r="CB85" i="1" a="1"/>
  <c r="CB85" i="1" s="1"/>
  <c r="CG85" i="1" s="1"/>
  <c r="CB84" i="1" a="1"/>
  <c r="CB84" i="1" s="1"/>
  <c r="CG84" i="1" s="1"/>
  <c r="CB83" i="1" a="1"/>
  <c r="CB83" i="1" s="1"/>
  <c r="CG83" i="1" s="1"/>
  <c r="CB82" i="1" a="1"/>
  <c r="CB82" i="1" s="1"/>
  <c r="CG82" i="1" s="1"/>
  <c r="CB81" i="1" a="1"/>
  <c r="CB81" i="1" s="1"/>
  <c r="CG81" i="1" s="1"/>
  <c r="CB80" i="1" a="1"/>
  <c r="CB80" i="1" s="1"/>
  <c r="CG80" i="1" s="1"/>
  <c r="CB79" i="1" a="1"/>
  <c r="CB79" i="1" s="1"/>
  <c r="CG79" i="1" s="1"/>
  <c r="CB78" i="1" a="1"/>
  <c r="CB78" i="1" s="1"/>
  <c r="CG78" i="1" s="1"/>
  <c r="CB77" i="1" a="1"/>
  <c r="CB77" i="1" s="1"/>
  <c r="CG77" i="1" s="1"/>
  <c r="CB76" i="1" a="1"/>
  <c r="CB76" i="1" s="1"/>
  <c r="CG76" i="1" s="1"/>
  <c r="CB75" i="1" a="1"/>
  <c r="CB75" i="1" s="1"/>
  <c r="CG75" i="1" s="1"/>
  <c r="CB74" i="1" a="1"/>
  <c r="CB74" i="1" s="1"/>
  <c r="CG74" i="1" s="1"/>
  <c r="CB73" i="1" a="1"/>
  <c r="CB73" i="1" s="1"/>
  <c r="CG73" i="1" s="1"/>
  <c r="CB72" i="1" a="1"/>
  <c r="CB72" i="1" s="1"/>
  <c r="CG72" i="1" s="1"/>
  <c r="CB71" i="1" a="1"/>
  <c r="CB71" i="1" s="1"/>
  <c r="CG71" i="1" s="1"/>
  <c r="CB70" i="1" a="1"/>
  <c r="CB70" i="1" s="1"/>
  <c r="CG70" i="1" s="1"/>
  <c r="CB69" i="1" a="1"/>
  <c r="CB69" i="1" s="1"/>
  <c r="CG69" i="1" s="1"/>
  <c r="CB68" i="1" a="1"/>
  <c r="CB68" i="1" s="1"/>
  <c r="CG68" i="1" s="1"/>
  <c r="CB67" i="1" a="1"/>
  <c r="CB67" i="1" s="1"/>
  <c r="CG67" i="1" s="1"/>
  <c r="CB66" i="1" a="1"/>
  <c r="CB66" i="1" s="1"/>
  <c r="CG66" i="1" s="1"/>
  <c r="CB65" i="1" a="1"/>
  <c r="CB65" i="1" s="1"/>
  <c r="CG65" i="1" s="1"/>
  <c r="CB64" i="1" a="1"/>
  <c r="CB64" i="1" s="1"/>
  <c r="CG64" i="1" s="1"/>
  <c r="CB63" i="1" a="1"/>
  <c r="CB63" i="1" s="1"/>
  <c r="CG63" i="1" s="1"/>
  <c r="CB62" i="1" a="1"/>
  <c r="CB62" i="1" s="1"/>
  <c r="CG62" i="1" s="1"/>
  <c r="CB61" i="1" a="1"/>
  <c r="CB61" i="1" s="1"/>
  <c r="CG61" i="1" s="1"/>
  <c r="CB60" i="1" a="1"/>
  <c r="CB60" i="1" s="1"/>
  <c r="CG60" i="1" s="1"/>
  <c r="CB59" i="1" a="1"/>
  <c r="CB59" i="1" s="1"/>
  <c r="CG59" i="1" s="1"/>
  <c r="CB58" i="1" a="1"/>
  <c r="CB58" i="1" s="1"/>
  <c r="CG58" i="1" s="1"/>
  <c r="CB57" i="1" a="1"/>
  <c r="CB57" i="1" s="1"/>
  <c r="CG57" i="1" s="1"/>
  <c r="CB56" i="1" a="1"/>
  <c r="CB56" i="1" s="1"/>
  <c r="CG56" i="1" s="1"/>
  <c r="CB55" i="1" a="1"/>
  <c r="CB55" i="1" s="1"/>
  <c r="CB54" i="1" a="1"/>
  <c r="CB54" i="1" s="1"/>
  <c r="CG54" i="1" s="1"/>
  <c r="CB53" i="1" a="1"/>
  <c r="CB53" i="1" s="1"/>
  <c r="CG53" i="1" s="1"/>
  <c r="CB52" i="1" a="1"/>
  <c r="CB52" i="1" s="1"/>
  <c r="CG52" i="1" s="1"/>
  <c r="CB51" i="1" a="1"/>
  <c r="CB51" i="1" s="1"/>
  <c r="CG51" i="1" s="1"/>
  <c r="CB50" i="1" a="1"/>
  <c r="CB50" i="1" s="1"/>
  <c r="CG50" i="1" s="1"/>
  <c r="CB49" i="1" a="1"/>
  <c r="CB49" i="1" s="1"/>
  <c r="CG49" i="1" s="1"/>
  <c r="CB48" i="1" a="1"/>
  <c r="CB48" i="1" s="1"/>
  <c r="CG48" i="1" s="1"/>
  <c r="CB47" i="1" a="1"/>
  <c r="CB47" i="1" s="1"/>
  <c r="CG47" i="1" s="1"/>
  <c r="CB46" i="1" a="1"/>
  <c r="CB46" i="1" s="1"/>
  <c r="CG46" i="1" s="1"/>
  <c r="CB45" i="1" a="1"/>
  <c r="CB45" i="1" s="1"/>
  <c r="CG45" i="1" s="1"/>
  <c r="CB44" i="1" a="1"/>
  <c r="CB44" i="1" s="1"/>
  <c r="CG44" i="1" s="1"/>
  <c r="CB43" i="1" a="1"/>
  <c r="CB43" i="1" s="1"/>
  <c r="CG43" i="1" s="1"/>
  <c r="CB42" i="1" a="1"/>
  <c r="CB42" i="1" s="1"/>
  <c r="CG42" i="1" s="1"/>
  <c r="CB41" i="1" a="1"/>
  <c r="CB41" i="1" s="1"/>
  <c r="CG41" i="1" s="1"/>
  <c r="CB40" i="1" a="1"/>
  <c r="CB40" i="1" s="1"/>
  <c r="CG40" i="1" s="1"/>
  <c r="CB39" i="1" a="1"/>
  <c r="CB39" i="1" s="1"/>
  <c r="CG39" i="1" s="1"/>
  <c r="CB38" i="1" a="1"/>
  <c r="CB38" i="1" s="1"/>
  <c r="CG38" i="1" s="1"/>
  <c r="CB37" i="1" a="1"/>
  <c r="CB37" i="1" s="1"/>
  <c r="CG37" i="1" s="1"/>
  <c r="CB36" i="1" a="1"/>
  <c r="CB36" i="1" s="1"/>
  <c r="CG36" i="1" s="1"/>
  <c r="CB35" i="1" a="1"/>
  <c r="CB35" i="1" s="1"/>
  <c r="CG35" i="1" s="1"/>
  <c r="CB34" i="1" a="1"/>
  <c r="CB34" i="1" s="1"/>
  <c r="CG34" i="1" s="1"/>
  <c r="CB33" i="1" a="1"/>
  <c r="CB33" i="1" s="1"/>
  <c r="CG33" i="1" s="1"/>
  <c r="CB32" i="1" a="1"/>
  <c r="CB32" i="1" s="1"/>
  <c r="CG32" i="1" s="1"/>
  <c r="CB31" i="1" a="1"/>
  <c r="CB31" i="1" s="1"/>
  <c r="CG31" i="1" s="1"/>
  <c r="CB30" i="1" a="1"/>
  <c r="CB30" i="1" s="1"/>
  <c r="CG30" i="1" s="1"/>
  <c r="CB29" i="1" a="1"/>
  <c r="CB29" i="1" s="1"/>
  <c r="CG29" i="1" s="1"/>
  <c r="CB28" i="1" a="1"/>
  <c r="CB28" i="1" s="1"/>
  <c r="CG28" i="1" s="1"/>
  <c r="CB27" i="1" a="1"/>
  <c r="CB27" i="1" s="1"/>
  <c r="CG27" i="1" s="1"/>
  <c r="CB26" i="1" a="1"/>
  <c r="CB26" i="1" s="1"/>
  <c r="CG26" i="1" s="1"/>
  <c r="CB25" i="1" a="1"/>
  <c r="CB25" i="1" s="1"/>
  <c r="CG25" i="1" s="1"/>
  <c r="CB24" i="1" a="1"/>
  <c r="CB24" i="1" s="1"/>
  <c r="CG24" i="1" s="1"/>
  <c r="CB23" i="1" a="1"/>
  <c r="CB23" i="1" s="1"/>
  <c r="CG23" i="1" s="1"/>
  <c r="CB22" i="1" a="1"/>
  <c r="CB22" i="1" s="1"/>
  <c r="CG22" i="1" s="1"/>
  <c r="CB21" i="1" a="1"/>
  <c r="CB21" i="1" s="1"/>
  <c r="CG21" i="1" s="1"/>
  <c r="CB20" i="1" a="1"/>
  <c r="CB20" i="1" s="1"/>
  <c r="CG20" i="1" s="1"/>
  <c r="CB19" i="1" a="1"/>
  <c r="CB19" i="1" s="1"/>
  <c r="CG19" i="1" s="1"/>
  <c r="CB18" i="1" a="1"/>
  <c r="CB18" i="1" s="1"/>
  <c r="CG18" i="1" s="1"/>
  <c r="CB17" i="1" a="1"/>
  <c r="CB17" i="1" s="1"/>
  <c r="CG17" i="1" s="1"/>
  <c r="CB16" i="1" a="1"/>
  <c r="CB16" i="1" s="1"/>
  <c r="CG16" i="1" s="1"/>
  <c r="CB15" i="1" a="1"/>
  <c r="CB15" i="1" s="1"/>
  <c r="CG15" i="1" s="1"/>
  <c r="CB14" i="1" a="1"/>
  <c r="CB14" i="1" s="1"/>
  <c r="CG14" i="1" s="1"/>
  <c r="CB13" i="1" a="1"/>
  <c r="CB13" i="1" s="1"/>
  <c r="CG13" i="1" s="1"/>
  <c r="CB12" i="1" a="1"/>
  <c r="CB12" i="1" s="1"/>
  <c r="CG12" i="1" s="1"/>
  <c r="CB11" i="1" a="1"/>
  <c r="CB11" i="1" s="1"/>
  <c r="CG11" i="1" s="1"/>
  <c r="CB10" i="1" a="1"/>
  <c r="CB10" i="1" s="1"/>
  <c r="CG10" i="1" s="1"/>
  <c r="CB9" i="1" a="1"/>
  <c r="CB9" i="1" s="1"/>
  <c r="CG9" i="1" s="1"/>
  <c r="CB8" i="1" a="1"/>
  <c r="CB8" i="1" s="1"/>
  <c r="CG8" i="1" s="1"/>
  <c r="CB7" i="1" a="1"/>
  <c r="CB7" i="1" s="1"/>
  <c r="CG7" i="1" s="1"/>
  <c r="CB6" i="1" a="1"/>
  <c r="CB6" i="1" s="1"/>
  <c r="CG6" i="1" s="1"/>
  <c r="CB5" i="1" a="1"/>
  <c r="CB5" i="1" s="1"/>
  <c r="CG5" i="1" s="1"/>
  <c r="CB4" i="1" a="1"/>
  <c r="CB4" i="1" s="1"/>
  <c r="CG4" i="1" s="1"/>
  <c r="CB3" i="1" a="1"/>
  <c r="CB3" i="1" s="1"/>
  <c r="CG3" i="1" s="1"/>
  <c r="CB2" i="1" a="1"/>
  <c r="CB2" i="1" s="1"/>
  <c r="CG2" i="1" s="1"/>
  <c r="BG52" i="1"/>
  <c r="BF52" i="1"/>
  <c r="BE52" i="1"/>
  <c r="BD52" i="1"/>
  <c r="BC52" i="1"/>
  <c r="BB52" i="1"/>
  <c r="BA52" i="1"/>
  <c r="BI52" i="1" s="1"/>
  <c r="BG11" i="1"/>
  <c r="BF11" i="1"/>
  <c r="BE11" i="1"/>
  <c r="BD11" i="1"/>
  <c r="BC11" i="1"/>
  <c r="BB11" i="1"/>
  <c r="BA11" i="1"/>
  <c r="BI11" i="1" s="1"/>
  <c r="BK11" i="1" s="1"/>
  <c r="CG55" i="1"/>
  <c r="CC55" i="1"/>
  <c r="AM31" i="1"/>
  <c r="CA31" i="1"/>
  <c r="BZ31" i="1"/>
  <c r="BG32" i="1"/>
  <c r="BF32" i="1"/>
  <c r="BE32" i="1"/>
  <c r="BD32" i="1"/>
  <c r="BC32" i="1"/>
  <c r="BB32" i="1"/>
  <c r="BA32" i="1"/>
  <c r="CD11" i="1"/>
  <c r="CD12" i="1"/>
  <c r="CA11" i="1"/>
  <c r="BX11" i="1"/>
  <c r="BZ11" i="1" s="1"/>
  <c r="AK11" i="1"/>
  <c r="AX11" i="1"/>
  <c r="Z11" i="1"/>
  <c r="BH52" i="1" l="1"/>
  <c r="BH11" i="1"/>
  <c r="BJ11" i="1" s="1"/>
  <c r="AM11" i="1"/>
  <c r="BI32" i="1"/>
  <c r="BK32" i="1" s="1"/>
  <c r="BH32" i="1"/>
  <c r="BJ32" i="1" s="1"/>
  <c r="AB32" i="1"/>
  <c r="Z32" i="1"/>
  <c r="S32" i="1"/>
  <c r="U32" i="1" s="1"/>
  <c r="CF32" i="1"/>
  <c r="CD32" i="1"/>
  <c r="BZ32" i="1"/>
  <c r="AX32" i="1"/>
  <c r="AK32" i="1"/>
  <c r="AK39" i="1"/>
  <c r="S39" i="1"/>
  <c r="U39" i="1" s="1"/>
  <c r="CF25" i="1"/>
  <c r="CD25" i="1"/>
  <c r="CA25" i="1"/>
  <c r="BZ25" i="1"/>
  <c r="BG25" i="1"/>
  <c r="BF25" i="1"/>
  <c r="BE25" i="1"/>
  <c r="BD25" i="1"/>
  <c r="BC25" i="1"/>
  <c r="BB25" i="1"/>
  <c r="BA25" i="1"/>
  <c r="AX25" i="1"/>
  <c r="AK25" i="1"/>
  <c r="AB25" i="1"/>
  <c r="Z25" i="1"/>
  <c r="S25" i="1"/>
  <c r="U25" i="1" s="1"/>
  <c r="AK22" i="1"/>
  <c r="BG22" i="1"/>
  <c r="BF22" i="1"/>
  <c r="BE22" i="1"/>
  <c r="BD22" i="1"/>
  <c r="BC22" i="1"/>
  <c r="BB22" i="1"/>
  <c r="BA22" i="1"/>
  <c r="CF22" i="1"/>
  <c r="CD22" i="1"/>
  <c r="CA22" i="1"/>
  <c r="BZ22" i="1"/>
  <c r="CF4" i="1"/>
  <c r="CD4" i="1"/>
  <c r="CA4" i="1"/>
  <c r="BX4" i="1"/>
  <c r="BZ4" i="1" s="1"/>
  <c r="BG4" i="1"/>
  <c r="BF4" i="1"/>
  <c r="BE4" i="1"/>
  <c r="BD4" i="1"/>
  <c r="BC4" i="1"/>
  <c r="BB4" i="1"/>
  <c r="BA4" i="1"/>
  <c r="AX4" i="1"/>
  <c r="AK4" i="1"/>
  <c r="AM4" i="1" s="1"/>
  <c r="Z4" i="1"/>
  <c r="AB22" i="1"/>
  <c r="Z22" i="1"/>
  <c r="S22" i="1"/>
  <c r="U22" i="1" s="1"/>
  <c r="AX22" i="1"/>
  <c r="BI4" i="1" l="1"/>
  <c r="BK4" i="1" s="1"/>
  <c r="AM22" i="1"/>
  <c r="AM32" i="1"/>
  <c r="BI25" i="1"/>
  <c r="BK25" i="1" s="1"/>
  <c r="BH25" i="1"/>
  <c r="BJ25" i="1" s="1"/>
  <c r="BI22" i="1"/>
  <c r="BK22" i="1" s="1"/>
  <c r="BH22" i="1"/>
  <c r="BJ22" i="1" s="1"/>
  <c r="BH4" i="1"/>
  <c r="BJ4" i="1" s="1"/>
  <c r="BE31" i="1"/>
  <c r="CA32" i="1"/>
  <c r="AK15" i="1"/>
  <c r="AJ15" i="1" s="1"/>
  <c r="AX52" i="1"/>
  <c r="CF45" i="1"/>
  <c r="CD45" i="1"/>
  <c r="CA45" i="1"/>
  <c r="BX45" i="1"/>
  <c r="BZ45" i="1" s="1"/>
  <c r="BG45" i="1"/>
  <c r="BF45" i="1"/>
  <c r="BE45" i="1"/>
  <c r="BD45" i="1"/>
  <c r="BC45" i="1"/>
  <c r="BB45" i="1"/>
  <c r="BA45" i="1"/>
  <c r="AX45" i="1"/>
  <c r="AK45" i="1"/>
  <c r="AM45" i="1" s="1"/>
  <c r="AB45" i="1"/>
  <c r="Z45" i="1"/>
  <c r="AK52" i="1"/>
  <c r="AM52" i="1" s="1"/>
  <c r="AB52" i="1"/>
  <c r="Z52" i="1"/>
  <c r="CF52" i="1"/>
  <c r="CD52" i="1"/>
  <c r="CA52" i="1"/>
  <c r="BX52" i="1"/>
  <c r="BZ52" i="1" s="1"/>
  <c r="BJ52" i="1" l="1"/>
  <c r="BK52" i="1"/>
  <c r="AM15" i="1"/>
  <c r="AJ45" i="1"/>
  <c r="AJ52" i="1"/>
  <c r="BI45" i="1"/>
  <c r="BK45" i="1" s="1"/>
  <c r="BH45" i="1"/>
  <c r="BJ45" i="1" s="1"/>
  <c r="CF15" i="1" l="1"/>
  <c r="CD15" i="1"/>
  <c r="CA15" i="1"/>
  <c r="BX15" i="1"/>
  <c r="BZ15" i="1" s="1"/>
  <c r="BG15" i="1"/>
  <c r="BF15" i="1"/>
  <c r="BE15" i="1"/>
  <c r="BD15" i="1"/>
  <c r="BC15" i="1"/>
  <c r="BB15" i="1"/>
  <c r="BA15" i="1"/>
  <c r="AX15" i="1"/>
  <c r="AB15" i="1"/>
  <c r="Z15" i="1"/>
  <c r="CF82" i="1"/>
  <c r="CD82" i="1"/>
  <c r="CA82" i="1"/>
  <c r="BX82" i="1"/>
  <c r="BZ82" i="1" s="1"/>
  <c r="BG82" i="1"/>
  <c r="BF82" i="1"/>
  <c r="BE82" i="1"/>
  <c r="BD82" i="1"/>
  <c r="BC82" i="1"/>
  <c r="BB82" i="1"/>
  <c r="BA82" i="1"/>
  <c r="AX82" i="1"/>
  <c r="AK82" i="1"/>
  <c r="AM82" i="1" s="1"/>
  <c r="AB82" i="1"/>
  <c r="Z82" i="1"/>
  <c r="CD88" i="1"/>
  <c r="CD87" i="1"/>
  <c r="CD86" i="1"/>
  <c r="CD85" i="1"/>
  <c r="CD84" i="1"/>
  <c r="CD83" i="1"/>
  <c r="CD81" i="1"/>
  <c r="CD80" i="1"/>
  <c r="CD79" i="1"/>
  <c r="CD78" i="1"/>
  <c r="CD77" i="1"/>
  <c r="CD76" i="1"/>
  <c r="CD75" i="1"/>
  <c r="CD74" i="1"/>
  <c r="CD73" i="1"/>
  <c r="CD72" i="1"/>
  <c r="CD71" i="1"/>
  <c r="CD70" i="1"/>
  <c r="CD69" i="1"/>
  <c r="CD68" i="1"/>
  <c r="CD67" i="1"/>
  <c r="CD66" i="1"/>
  <c r="CD65" i="1"/>
  <c r="CD64" i="1"/>
  <c r="CD63" i="1"/>
  <c r="CD62" i="1"/>
  <c r="CD61" i="1"/>
  <c r="CD60" i="1"/>
  <c r="CD59" i="1"/>
  <c r="CD58" i="1"/>
  <c r="CD57" i="1"/>
  <c r="CD56" i="1"/>
  <c r="CD55" i="1"/>
  <c r="CD54" i="1"/>
  <c r="CD53" i="1"/>
  <c r="CD51" i="1"/>
  <c r="CD50" i="1"/>
  <c r="CD49" i="1"/>
  <c r="CD48" i="1"/>
  <c r="CD47" i="1"/>
  <c r="CD46" i="1"/>
  <c r="CD44" i="1"/>
  <c r="CD43" i="1"/>
  <c r="CD42" i="1"/>
  <c r="CD41" i="1"/>
  <c r="CD40" i="1"/>
  <c r="CD39" i="1"/>
  <c r="CD38" i="1"/>
  <c r="CD37" i="1"/>
  <c r="CD35" i="1"/>
  <c r="CD34" i="1"/>
  <c r="CD33" i="1"/>
  <c r="CD30" i="1"/>
  <c r="CD29" i="1"/>
  <c r="CD28" i="1"/>
  <c r="CD27" i="1"/>
  <c r="CD26" i="1"/>
  <c r="CD24" i="1"/>
  <c r="CD23" i="1"/>
  <c r="CD21" i="1"/>
  <c r="CD20" i="1"/>
  <c r="CD19" i="1"/>
  <c r="CD18" i="1"/>
  <c r="CD17" i="1"/>
  <c r="CD16" i="1"/>
  <c r="CD14" i="1"/>
  <c r="CD13" i="1"/>
  <c r="CD10" i="1"/>
  <c r="CD9" i="1"/>
  <c r="CD8" i="1"/>
  <c r="CD7" i="1"/>
  <c r="CD6" i="1"/>
  <c r="CD5" i="1"/>
  <c r="CD3" i="1"/>
  <c r="CD2" i="1"/>
  <c r="CD36" i="1"/>
  <c r="CF36" i="1"/>
  <c r="CA36" i="1"/>
  <c r="BX36" i="1"/>
  <c r="BZ36" i="1" s="1"/>
  <c r="BG36" i="1"/>
  <c r="BF36" i="1"/>
  <c r="BE36" i="1"/>
  <c r="BD36" i="1"/>
  <c r="BC36" i="1"/>
  <c r="BB36" i="1"/>
  <c r="BA36" i="1"/>
  <c r="AX36" i="1"/>
  <c r="AK36" i="1"/>
  <c r="AM36" i="1" s="1"/>
  <c r="AB36" i="1"/>
  <c r="Z36" i="1"/>
  <c r="S36" i="1"/>
  <c r="U36" i="1" s="1"/>
  <c r="CF35" i="1"/>
  <c r="CA35" i="1"/>
  <c r="BX35" i="1"/>
  <c r="BZ35" i="1" s="1"/>
  <c r="BG35" i="1"/>
  <c r="BF35" i="1"/>
  <c r="BE35" i="1"/>
  <c r="BD35" i="1"/>
  <c r="BC35" i="1"/>
  <c r="BB35" i="1"/>
  <c r="BA35" i="1"/>
  <c r="AX35" i="1"/>
  <c r="AK35" i="1"/>
  <c r="AB35" i="1"/>
  <c r="Z35" i="1"/>
  <c r="S35" i="1"/>
  <c r="U35" i="1" s="1"/>
  <c r="CF88" i="1"/>
  <c r="CF87" i="1"/>
  <c r="CF86" i="1"/>
  <c r="CF85" i="1"/>
  <c r="CF84" i="1"/>
  <c r="CF83" i="1"/>
  <c r="CF80" i="1"/>
  <c r="CF79" i="1"/>
  <c r="CF78" i="1"/>
  <c r="CF77" i="1"/>
  <c r="CF76" i="1"/>
  <c r="CF75" i="1"/>
  <c r="CF74" i="1"/>
  <c r="CF73" i="1"/>
  <c r="CF72" i="1"/>
  <c r="CF71" i="1"/>
  <c r="CF70" i="1"/>
  <c r="CF69" i="1"/>
  <c r="CF68" i="1"/>
  <c r="CF67" i="1"/>
  <c r="CF66" i="1"/>
  <c r="CF65" i="1"/>
  <c r="CF64" i="1"/>
  <c r="CF63" i="1"/>
  <c r="CF62" i="1"/>
  <c r="CF61" i="1"/>
  <c r="CF60" i="1"/>
  <c r="CF59" i="1"/>
  <c r="CF58" i="1"/>
  <c r="CF57" i="1"/>
  <c r="CF56" i="1"/>
  <c r="CF55" i="1"/>
  <c r="CF54" i="1"/>
  <c r="CF53" i="1"/>
  <c r="CF51" i="1"/>
  <c r="CF50" i="1"/>
  <c r="CF49" i="1"/>
  <c r="CF48" i="1"/>
  <c r="CF47" i="1"/>
  <c r="CF46" i="1"/>
  <c r="CF44" i="1"/>
  <c r="CF43" i="1"/>
  <c r="CF42" i="1"/>
  <c r="CF41" i="1"/>
  <c r="CF40" i="1"/>
  <c r="CF39" i="1"/>
  <c r="CF38" i="1"/>
  <c r="CF37" i="1"/>
  <c r="CF34" i="1"/>
  <c r="CF33" i="1"/>
  <c r="CF30" i="1"/>
  <c r="CF29" i="1"/>
  <c r="CF28" i="1"/>
  <c r="CF27" i="1"/>
  <c r="CF26" i="1"/>
  <c r="CF24" i="1"/>
  <c r="CF23" i="1"/>
  <c r="CF21" i="1"/>
  <c r="CF20" i="1"/>
  <c r="CF19" i="1"/>
  <c r="CF18" i="1"/>
  <c r="CF17" i="1"/>
  <c r="CF16" i="1"/>
  <c r="CF14" i="1"/>
  <c r="CF13" i="1"/>
  <c r="CF12" i="1"/>
  <c r="CF10" i="1"/>
  <c r="CF9" i="1"/>
  <c r="CF8" i="1"/>
  <c r="CF7" i="1"/>
  <c r="CF6" i="1"/>
  <c r="CF5" i="1"/>
  <c r="CF3" i="1"/>
  <c r="CF2" i="1"/>
  <c r="CF81" i="1"/>
  <c r="CA5" i="1"/>
  <c r="BX5" i="1"/>
  <c r="BZ5" i="1" s="1"/>
  <c r="BG5" i="1"/>
  <c r="BF5" i="1"/>
  <c r="BE5" i="1"/>
  <c r="BD5" i="1"/>
  <c r="BC5" i="1"/>
  <c r="BB5" i="1"/>
  <c r="BA5" i="1"/>
  <c r="AX5" i="1"/>
  <c r="AK5" i="1"/>
  <c r="AM5" i="1" s="1"/>
  <c r="Z5" i="1"/>
  <c r="CA60" i="1"/>
  <c r="BX60" i="1"/>
  <c r="BZ60" i="1" s="1"/>
  <c r="BG60" i="1"/>
  <c r="BF60" i="1"/>
  <c r="BE60" i="1"/>
  <c r="BD60" i="1"/>
  <c r="BC60" i="1"/>
  <c r="BB60" i="1"/>
  <c r="BA60" i="1"/>
  <c r="AX60" i="1"/>
  <c r="AK60" i="1"/>
  <c r="AB60" i="1"/>
  <c r="Z60" i="1"/>
  <c r="S60" i="1"/>
  <c r="U60" i="1" s="1"/>
  <c r="CA2" i="1"/>
  <c r="BX2" i="1"/>
  <c r="BZ2" i="1" s="1"/>
  <c r="BG2" i="1"/>
  <c r="BF2" i="1"/>
  <c r="BE2" i="1"/>
  <c r="BD2" i="1"/>
  <c r="BC2" i="1"/>
  <c r="BB2" i="1"/>
  <c r="BA2" i="1"/>
  <c r="AX2" i="1"/>
  <c r="AK2" i="1"/>
  <c r="AM2" i="1" s="1"/>
  <c r="Z2" i="1"/>
  <c r="BI15" i="1" l="1"/>
  <c r="BK15" i="1" s="1"/>
  <c r="BH15" i="1"/>
  <c r="BJ15" i="1" s="1"/>
  <c r="BI82" i="1"/>
  <c r="BK82" i="1" s="1"/>
  <c r="BH82" i="1"/>
  <c r="BJ82" i="1" s="1"/>
  <c r="BH36" i="1"/>
  <c r="BJ36" i="1" s="1"/>
  <c r="BI36" i="1"/>
  <c r="BK36" i="1" s="1"/>
  <c r="AM60" i="1"/>
  <c r="BI35" i="1"/>
  <c r="BK35" i="1" s="1"/>
  <c r="BH35" i="1"/>
  <c r="BJ35" i="1" s="1"/>
  <c r="BI5" i="1"/>
  <c r="BK5" i="1" s="1"/>
  <c r="BH5" i="1"/>
  <c r="BJ5" i="1" s="1"/>
  <c r="BI60" i="1"/>
  <c r="BK60" i="1" s="1"/>
  <c r="BH60" i="1"/>
  <c r="BJ60" i="1" s="1"/>
  <c r="BI2" i="1"/>
  <c r="BK2" i="1" s="1"/>
  <c r="BH2" i="1"/>
  <c r="BJ2" i="1" s="1"/>
  <c r="AB58" i="1"/>
  <c r="AB59" i="1"/>
  <c r="AB61" i="1"/>
  <c r="AB62" i="1"/>
  <c r="AB63" i="1"/>
  <c r="AB64" i="1"/>
  <c r="AB65" i="1"/>
  <c r="AB66" i="1"/>
  <c r="AB67" i="1"/>
  <c r="AB68" i="1"/>
  <c r="AB69" i="1"/>
  <c r="AB70" i="1"/>
  <c r="AB71" i="1"/>
  <c r="AB72" i="1"/>
  <c r="AB73" i="1"/>
  <c r="AB74" i="1"/>
  <c r="AB75" i="1"/>
  <c r="AB76" i="1"/>
  <c r="CA88" i="1"/>
  <c r="BX88" i="1"/>
  <c r="BZ88" i="1" s="1"/>
  <c r="BG88" i="1"/>
  <c r="BF88" i="1"/>
  <c r="BE88" i="1"/>
  <c r="BD88" i="1"/>
  <c r="BC88" i="1"/>
  <c r="BB88" i="1"/>
  <c r="BA88" i="1"/>
  <c r="AX88" i="1"/>
  <c r="AK88" i="1"/>
  <c r="AM88" i="1" s="1"/>
  <c r="AB88" i="1"/>
  <c r="Z88" i="1"/>
  <c r="BH88" i="1" l="1"/>
  <c r="BJ88" i="1" s="1"/>
  <c r="BI88" i="1"/>
  <c r="BK88" i="1" s="1"/>
  <c r="CA19" i="1"/>
  <c r="BX19" i="1"/>
  <c r="BZ19" i="1" s="1"/>
  <c r="BG19" i="1"/>
  <c r="BF19" i="1"/>
  <c r="BE19" i="1"/>
  <c r="BD19" i="1"/>
  <c r="BC19" i="1"/>
  <c r="BB19" i="1"/>
  <c r="BA19" i="1"/>
  <c r="AK20" i="1"/>
  <c r="AK19" i="1"/>
  <c r="AX19" i="1"/>
  <c r="AB19" i="1"/>
  <c r="Z19" i="1"/>
  <c r="S19" i="1"/>
  <c r="U19" i="1" s="1"/>
  <c r="AB57" i="1"/>
  <c r="AB56" i="1"/>
  <c r="AB55" i="1"/>
  <c r="AB54" i="1"/>
  <c r="AB53" i="1"/>
  <c r="AB51" i="1"/>
  <c r="AB44" i="1"/>
  <c r="AB50" i="1"/>
  <c r="AB49" i="1"/>
  <c r="AB46" i="1"/>
  <c r="AB43" i="1"/>
  <c r="AB42" i="1"/>
  <c r="AB48" i="1"/>
  <c r="AB41" i="1"/>
  <c r="AB47" i="1"/>
  <c r="AB40" i="1"/>
  <c r="AB39" i="1"/>
  <c r="AB38" i="1"/>
  <c r="AB37" i="1"/>
  <c r="AB34" i="1"/>
  <c r="AB33" i="1"/>
  <c r="AB30" i="1"/>
  <c r="AB29" i="1"/>
  <c r="AB28" i="1"/>
  <c r="AB27" i="1"/>
  <c r="AB26" i="1"/>
  <c r="AB24" i="1"/>
  <c r="AB23" i="1"/>
  <c r="AB21" i="1"/>
  <c r="AB20" i="1"/>
  <c r="AB18" i="1"/>
  <c r="AB17" i="1"/>
  <c r="AB16" i="1"/>
  <c r="AB14" i="1"/>
  <c r="AB13" i="1"/>
  <c r="AB12" i="1"/>
  <c r="AB87" i="1"/>
  <c r="AB86" i="1"/>
  <c r="AB85" i="1"/>
  <c r="AB84" i="1"/>
  <c r="AB83" i="1"/>
  <c r="AB81" i="1"/>
  <c r="AB80" i="1"/>
  <c r="AB79" i="1"/>
  <c r="AB78" i="1"/>
  <c r="AB77" i="1"/>
  <c r="AZ12" i="1"/>
  <c r="AZ13" i="1"/>
  <c r="BG47" i="1"/>
  <c r="BF47" i="1"/>
  <c r="BE47" i="1"/>
  <c r="BD47" i="1"/>
  <c r="BC47" i="1"/>
  <c r="BB47" i="1"/>
  <c r="BA47" i="1"/>
  <c r="AK47" i="1"/>
  <c r="AK41" i="1"/>
  <c r="BZ41" i="1"/>
  <c r="BG41" i="1"/>
  <c r="BF41" i="1"/>
  <c r="BE41" i="1"/>
  <c r="BD41" i="1"/>
  <c r="BC41" i="1"/>
  <c r="BB41" i="1"/>
  <c r="BA41" i="1"/>
  <c r="Z41" i="1"/>
  <c r="AX41" i="1"/>
  <c r="CA41" i="1"/>
  <c r="CA7" i="1"/>
  <c r="BZ7" i="1"/>
  <c r="BK7" i="1"/>
  <c r="BJ7" i="1"/>
  <c r="BE7" i="1"/>
  <c r="BD7" i="1"/>
  <c r="BC7" i="1"/>
  <c r="BB7" i="1"/>
  <c r="BA7" i="1"/>
  <c r="AX7" i="1"/>
  <c r="AK7" i="1"/>
  <c r="Z7" i="1"/>
  <c r="BA20" i="1"/>
  <c r="BB20" i="1"/>
  <c r="BC20" i="1"/>
  <c r="BD20" i="1"/>
  <c r="BE20" i="1"/>
  <c r="BF20" i="1"/>
  <c r="BG20" i="1"/>
  <c r="BA21" i="1"/>
  <c r="BB21" i="1"/>
  <c r="BC21" i="1"/>
  <c r="BD21" i="1"/>
  <c r="BE21" i="1"/>
  <c r="BF21" i="1"/>
  <c r="BG21" i="1"/>
  <c r="BA23" i="1"/>
  <c r="BB23" i="1"/>
  <c r="BC23" i="1"/>
  <c r="BD23" i="1"/>
  <c r="BE23" i="1"/>
  <c r="BF23" i="1"/>
  <c r="BG23" i="1"/>
  <c r="BA24" i="1"/>
  <c r="BB24" i="1"/>
  <c r="BC24" i="1"/>
  <c r="BD24" i="1"/>
  <c r="BE24" i="1"/>
  <c r="BF24" i="1"/>
  <c r="BG24" i="1"/>
  <c r="BA26" i="1"/>
  <c r="BB26" i="1"/>
  <c r="BC26" i="1"/>
  <c r="BD26" i="1"/>
  <c r="BE26" i="1"/>
  <c r="BF26" i="1"/>
  <c r="BG26" i="1"/>
  <c r="BA27" i="1"/>
  <c r="BB27" i="1"/>
  <c r="BC27" i="1"/>
  <c r="BD27" i="1"/>
  <c r="BE27" i="1"/>
  <c r="BF27" i="1"/>
  <c r="BG27" i="1"/>
  <c r="BA28" i="1"/>
  <c r="BB28" i="1"/>
  <c r="BC28" i="1"/>
  <c r="BD28" i="1"/>
  <c r="BE28" i="1"/>
  <c r="BF28" i="1"/>
  <c r="BG28" i="1"/>
  <c r="BA29" i="1"/>
  <c r="BB29" i="1"/>
  <c r="BC29" i="1"/>
  <c r="BD29" i="1"/>
  <c r="BE29" i="1"/>
  <c r="BF29" i="1"/>
  <c r="BG29" i="1"/>
  <c r="BA30" i="1"/>
  <c r="BB30" i="1"/>
  <c r="BC30" i="1"/>
  <c r="BD30" i="1"/>
  <c r="BE30" i="1"/>
  <c r="BF30" i="1"/>
  <c r="BG30" i="1"/>
  <c r="BA33" i="1"/>
  <c r="BB33" i="1"/>
  <c r="BC33" i="1"/>
  <c r="BD33" i="1"/>
  <c r="BE33" i="1"/>
  <c r="BF33" i="1"/>
  <c r="BG33" i="1"/>
  <c r="AK21" i="1"/>
  <c r="S21" i="1"/>
  <c r="U21" i="1" s="1"/>
  <c r="BI41" i="1" l="1"/>
  <c r="BK41" i="1" s="1"/>
  <c r="AM41" i="1"/>
  <c r="AM19" i="1"/>
  <c r="AM7" i="1"/>
  <c r="AM47" i="1"/>
  <c r="BH19" i="1"/>
  <c r="BJ19" i="1" s="1"/>
  <c r="BI19" i="1"/>
  <c r="BK19" i="1" s="1"/>
  <c r="BI47" i="1"/>
  <c r="BK47" i="1" s="1"/>
  <c r="BH26" i="1"/>
  <c r="BJ26" i="1" s="1"/>
  <c r="BI30" i="1"/>
  <c r="BK30" i="1" s="1"/>
  <c r="BH23" i="1"/>
  <c r="BJ23" i="1" s="1"/>
  <c r="BH30" i="1"/>
  <c r="BJ30" i="1" s="1"/>
  <c r="BH47" i="1"/>
  <c r="BJ47" i="1" s="1"/>
  <c r="BH41" i="1"/>
  <c r="BJ41" i="1" s="1"/>
  <c r="BH27" i="1"/>
  <c r="BJ27" i="1" s="1"/>
  <c r="BI21" i="1"/>
  <c r="BK21" i="1" s="1"/>
  <c r="BI23" i="1"/>
  <c r="BK23" i="1" s="1"/>
  <c r="BH33" i="1"/>
  <c r="BJ33" i="1" s="1"/>
  <c r="BI28" i="1"/>
  <c r="BK28" i="1" s="1"/>
  <c r="BI27" i="1"/>
  <c r="BK27" i="1" s="1"/>
  <c r="BI26" i="1"/>
  <c r="BK26" i="1" s="1"/>
  <c r="BH20" i="1"/>
  <c r="BJ20" i="1" s="1"/>
  <c r="BH29" i="1"/>
  <c r="BJ29" i="1" s="1"/>
  <c r="BH24" i="1"/>
  <c r="BJ24" i="1" s="1"/>
  <c r="BH21" i="1"/>
  <c r="BJ21" i="1" s="1"/>
  <c r="BI33" i="1"/>
  <c r="BK33" i="1" s="1"/>
  <c r="BH28" i="1"/>
  <c r="BJ28" i="1" s="1"/>
  <c r="BI24" i="1"/>
  <c r="BK24" i="1" s="1"/>
  <c r="BI20" i="1"/>
  <c r="BK20" i="1" s="1"/>
  <c r="BI29" i="1"/>
  <c r="BK29" i="1" s="1"/>
  <c r="AM21" i="1" l="1"/>
  <c r="AK6" i="1"/>
  <c r="AM6" i="1" s="1"/>
  <c r="CA6" i="1"/>
  <c r="BZ6" i="1"/>
  <c r="BE6" i="1"/>
  <c r="BD6" i="1"/>
  <c r="BC6" i="1"/>
  <c r="BB6" i="1"/>
  <c r="BA6" i="1"/>
  <c r="AX6" i="1"/>
  <c r="Z6" i="1"/>
  <c r="S20" i="1"/>
  <c r="U20" i="1" s="1"/>
  <c r="AM20" i="1" l="1"/>
  <c r="BK6" i="1"/>
  <c r="BJ6" i="1"/>
  <c r="CA56" i="1" l="1"/>
  <c r="BZ56" i="1"/>
  <c r="BE56" i="1"/>
  <c r="BD56" i="1"/>
  <c r="BC56" i="1"/>
  <c r="BB56" i="1"/>
  <c r="BA56" i="1"/>
  <c r="AX56" i="1"/>
  <c r="AK56" i="1"/>
  <c r="AM56" i="1" s="1"/>
  <c r="Z56" i="1"/>
  <c r="CA57" i="1"/>
  <c r="BZ57" i="1"/>
  <c r="BE57" i="1"/>
  <c r="BD57" i="1"/>
  <c r="BC57" i="1"/>
  <c r="BB57" i="1"/>
  <c r="BA57" i="1"/>
  <c r="AX57" i="1"/>
  <c r="AK57" i="1"/>
  <c r="AM57" i="1" s="1"/>
  <c r="Z57" i="1"/>
  <c r="CA54" i="1"/>
  <c r="BZ54" i="1"/>
  <c r="BE54" i="1"/>
  <c r="BD54" i="1"/>
  <c r="BC54" i="1"/>
  <c r="BB54" i="1"/>
  <c r="BA54" i="1"/>
  <c r="AX54" i="1"/>
  <c r="AK54" i="1"/>
  <c r="AM54" i="1" s="1"/>
  <c r="Z54" i="1"/>
  <c r="CA53" i="1"/>
  <c r="BZ53" i="1"/>
  <c r="BE53" i="1"/>
  <c r="BD53" i="1"/>
  <c r="BC53" i="1"/>
  <c r="BB53" i="1"/>
  <c r="BA53" i="1"/>
  <c r="AX53" i="1"/>
  <c r="AK53" i="1"/>
  <c r="AM53" i="1" s="1"/>
  <c r="Z53" i="1"/>
  <c r="CA55" i="1"/>
  <c r="BZ55" i="1"/>
  <c r="BD55" i="1"/>
  <c r="BC55" i="1"/>
  <c r="BB55" i="1"/>
  <c r="BA55" i="1"/>
  <c r="AX55" i="1"/>
  <c r="AK55" i="1"/>
  <c r="AM55" i="1" s="1"/>
  <c r="AI55" i="1"/>
  <c r="BE55" i="1" s="1"/>
  <c r="Z55" i="1"/>
  <c r="CA47" i="1"/>
  <c r="BZ47" i="1"/>
  <c r="V47" i="1"/>
  <c r="Z47" i="1" s="1"/>
  <c r="CA39" i="1"/>
  <c r="BZ39" i="1"/>
  <c r="BE39" i="1"/>
  <c r="BD39" i="1"/>
  <c r="BC39" i="1"/>
  <c r="BB39" i="1"/>
  <c r="BA39" i="1"/>
  <c r="AX39" i="1"/>
  <c r="Z39" i="1"/>
  <c r="CA38" i="1"/>
  <c r="BZ38" i="1"/>
  <c r="BE38" i="1"/>
  <c r="BD38" i="1"/>
  <c r="BC38" i="1"/>
  <c r="BB38" i="1"/>
  <c r="BA38" i="1"/>
  <c r="AX38" i="1"/>
  <c r="AK38" i="1"/>
  <c r="AM38" i="1" s="1"/>
  <c r="Z38" i="1"/>
  <c r="CA29" i="1"/>
  <c r="BZ29" i="1"/>
  <c r="AX29" i="1"/>
  <c r="AK29" i="1"/>
  <c r="AM29" i="1" s="1"/>
  <c r="Z29" i="1"/>
  <c r="CA27" i="1"/>
  <c r="BZ27" i="1"/>
  <c r="AX27" i="1"/>
  <c r="AK27" i="1"/>
  <c r="AM27" i="1" s="1"/>
  <c r="Z27" i="1"/>
  <c r="CA21" i="1"/>
  <c r="BZ21" i="1"/>
  <c r="AX21" i="1"/>
  <c r="Z21" i="1"/>
  <c r="CA20" i="1"/>
  <c r="BZ20" i="1"/>
  <c r="AX20" i="1"/>
  <c r="Z20" i="1"/>
  <c r="BI39" i="1" l="1"/>
  <c r="BK39" i="1" s="1"/>
  <c r="BH39" i="1"/>
  <c r="BJ39" i="1" s="1"/>
  <c r="BH38" i="1"/>
  <c r="BJ38" i="1" s="1"/>
  <c r="BI38" i="1"/>
  <c r="BK38" i="1" s="1"/>
  <c r="BK56" i="1"/>
  <c r="BK57" i="1"/>
  <c r="BK54" i="1"/>
  <c r="BJ56" i="1"/>
  <c r="BJ53" i="1"/>
  <c r="BJ57" i="1"/>
  <c r="BJ54" i="1"/>
  <c r="BK53" i="1"/>
  <c r="BK55" i="1"/>
  <c r="BJ55" i="1"/>
  <c r="N31" i="2" l="1"/>
  <c r="CA70" i="1"/>
  <c r="BX70" i="1"/>
  <c r="BZ70" i="1" s="1"/>
  <c r="BG70" i="1"/>
  <c r="BF70" i="1"/>
  <c r="BE70" i="1"/>
  <c r="BD70" i="1"/>
  <c r="BC70" i="1"/>
  <c r="BB70" i="1"/>
  <c r="BA70" i="1"/>
  <c r="AX70" i="1"/>
  <c r="AK70" i="1"/>
  <c r="AM70" i="1" s="1"/>
  <c r="Z70" i="1"/>
  <c r="S70" i="1"/>
  <c r="U70" i="1" s="1"/>
  <c r="CA71" i="1"/>
  <c r="CC71" i="1" s="1"/>
  <c r="BX71" i="1"/>
  <c r="BZ71" i="1" s="1"/>
  <c r="BG71" i="1"/>
  <c r="BF71" i="1"/>
  <c r="BE71" i="1"/>
  <c r="BD71" i="1"/>
  <c r="BC71" i="1"/>
  <c r="BB71" i="1"/>
  <c r="BA71" i="1"/>
  <c r="AX71" i="1"/>
  <c r="AK71" i="1"/>
  <c r="AM71" i="1" s="1"/>
  <c r="Z71" i="1"/>
  <c r="S71" i="1"/>
  <c r="U71" i="1" s="1"/>
  <c r="CA8" i="1"/>
  <c r="BX8" i="1"/>
  <c r="BZ8" i="1" s="1"/>
  <c r="BG8" i="1"/>
  <c r="BF8" i="1"/>
  <c r="BE8" i="1"/>
  <c r="BD8" i="1"/>
  <c r="BC8" i="1"/>
  <c r="BB8" i="1"/>
  <c r="BA8" i="1"/>
  <c r="AX8" i="1"/>
  <c r="AK8" i="1"/>
  <c r="AM8" i="1" s="1"/>
  <c r="Z8" i="1"/>
  <c r="CA23" i="1"/>
  <c r="BX23" i="1"/>
  <c r="BZ23" i="1" s="1"/>
  <c r="AX23" i="1"/>
  <c r="AK23" i="1"/>
  <c r="Z23" i="1"/>
  <c r="S23" i="1"/>
  <c r="U23" i="1" s="1"/>
  <c r="BG40" i="1"/>
  <c r="BF40" i="1"/>
  <c r="BE40" i="1"/>
  <c r="BD40" i="1"/>
  <c r="BC40" i="1"/>
  <c r="BB40" i="1"/>
  <c r="BA40" i="1"/>
  <c r="N30" i="2"/>
  <c r="AM23" i="1" l="1"/>
  <c r="BI70" i="1"/>
  <c r="BK70" i="1" s="1"/>
  <c r="BH70" i="1"/>
  <c r="BJ70" i="1" s="1"/>
  <c r="BI71" i="1"/>
  <c r="BK71" i="1" s="1"/>
  <c r="BH71" i="1"/>
  <c r="BJ71" i="1" s="1"/>
  <c r="BI8" i="1"/>
  <c r="BK8" i="1" s="1"/>
  <c r="BH8" i="1"/>
  <c r="BJ8" i="1" s="1"/>
  <c r="BI40" i="1"/>
  <c r="BK40" i="1" s="1"/>
  <c r="BH40" i="1"/>
  <c r="BJ40" i="1" s="1"/>
  <c r="CA40" i="1"/>
  <c r="CC40" i="1" s="1"/>
  <c r="BX40" i="1"/>
  <c r="BZ40" i="1" s="1"/>
  <c r="AX40" i="1"/>
  <c r="AK40" i="1"/>
  <c r="AM40" i="1" s="1"/>
  <c r="Z40" i="1"/>
  <c r="CA51" i="1" l="1"/>
  <c r="BX51" i="1"/>
  <c r="BZ51" i="1" s="1"/>
  <c r="BG51" i="1"/>
  <c r="BF51" i="1"/>
  <c r="BE51" i="1"/>
  <c r="BD51" i="1"/>
  <c r="BC51" i="1"/>
  <c r="BA51" i="1"/>
  <c r="AX51" i="1"/>
  <c r="AK51" i="1"/>
  <c r="AM51" i="1" s="1"/>
  <c r="M51" i="1"/>
  <c r="BB51" i="1" s="1"/>
  <c r="Z51" i="1"/>
  <c r="BI51" i="1" l="1"/>
  <c r="BK51" i="1" s="1"/>
  <c r="BH51" i="1"/>
  <c r="BJ51" i="1" s="1"/>
  <c r="AX9" i="1" l="1"/>
  <c r="AX10" i="1"/>
  <c r="AX58" i="1"/>
  <c r="AX59" i="1"/>
  <c r="AX61" i="1"/>
  <c r="AX62" i="1"/>
  <c r="AX63" i="1"/>
  <c r="AX64" i="1"/>
  <c r="AX65" i="1"/>
  <c r="AX66" i="1"/>
  <c r="AX67" i="1"/>
  <c r="AX68" i="1"/>
  <c r="AX69" i="1"/>
  <c r="AX72" i="1"/>
  <c r="AX73" i="1"/>
  <c r="AX74" i="1"/>
  <c r="AX75" i="1"/>
  <c r="AX76" i="1"/>
  <c r="AX77" i="1"/>
  <c r="AX78" i="1"/>
  <c r="AX79" i="1"/>
  <c r="AX80" i="1"/>
  <c r="AX81" i="1"/>
  <c r="AX83" i="1"/>
  <c r="AX84" i="1"/>
  <c r="AX85" i="1"/>
  <c r="AX86" i="1"/>
  <c r="AX87" i="1"/>
  <c r="AX12" i="1"/>
  <c r="AX13" i="1"/>
  <c r="AX14" i="1"/>
  <c r="AX16" i="1"/>
  <c r="AX17" i="1"/>
  <c r="AX18" i="1"/>
  <c r="AX24" i="1"/>
  <c r="AX26" i="1"/>
  <c r="AX28" i="1"/>
  <c r="AX30" i="1"/>
  <c r="AX33" i="1"/>
  <c r="AX34" i="1"/>
  <c r="AX37" i="1"/>
  <c r="AX48" i="1"/>
  <c r="AX42" i="1"/>
  <c r="AX43" i="1"/>
  <c r="AX46" i="1"/>
  <c r="AX49" i="1"/>
  <c r="AX50" i="1"/>
  <c r="AX44" i="1"/>
  <c r="AX3" i="1"/>
  <c r="Z34" i="1"/>
  <c r="CA37" i="1"/>
  <c r="BX37" i="1"/>
  <c r="BZ37" i="1" s="1"/>
  <c r="BG37" i="1"/>
  <c r="BF37" i="1"/>
  <c r="BE37" i="1"/>
  <c r="BD37" i="1"/>
  <c r="BC37" i="1"/>
  <c r="BB37" i="1"/>
  <c r="BA37" i="1"/>
  <c r="AK37" i="1"/>
  <c r="Z37" i="1"/>
  <c r="S37" i="1"/>
  <c r="U37" i="1" s="1"/>
  <c r="CA10" i="1"/>
  <c r="BX10" i="1"/>
  <c r="BZ10" i="1" s="1"/>
  <c r="BG10" i="1"/>
  <c r="BF10" i="1"/>
  <c r="BE10" i="1"/>
  <c r="BD10" i="1"/>
  <c r="BC10" i="1"/>
  <c r="BB10" i="1"/>
  <c r="BA10" i="1"/>
  <c r="AK10" i="1"/>
  <c r="AM10" i="1" s="1"/>
  <c r="Z10" i="1"/>
  <c r="CA34" i="1"/>
  <c r="BX34" i="1"/>
  <c r="BZ34" i="1" s="1"/>
  <c r="BG34" i="1"/>
  <c r="BF34" i="1"/>
  <c r="BE34" i="1"/>
  <c r="BD34" i="1"/>
  <c r="BC34" i="1"/>
  <c r="BB34" i="1"/>
  <c r="BA34" i="1"/>
  <c r="AK34" i="1"/>
  <c r="S34" i="1"/>
  <c r="U34" i="1" s="1"/>
  <c r="CA9" i="1"/>
  <c r="BX9" i="1"/>
  <c r="BZ9" i="1" s="1"/>
  <c r="BG9" i="1"/>
  <c r="BF9" i="1"/>
  <c r="BE9" i="1"/>
  <c r="BD9" i="1"/>
  <c r="BC9" i="1"/>
  <c r="BB9" i="1"/>
  <c r="BA9" i="1"/>
  <c r="AK9" i="1"/>
  <c r="AM9" i="1" s="1"/>
  <c r="Z9" i="1"/>
  <c r="CA33" i="1"/>
  <c r="BX33" i="1"/>
  <c r="BZ33" i="1" s="1"/>
  <c r="AK33" i="1"/>
  <c r="Z33" i="1"/>
  <c r="S33" i="1"/>
  <c r="U33" i="1" s="1"/>
  <c r="CA30" i="1"/>
  <c r="BX30" i="1"/>
  <c r="BZ30" i="1" s="1"/>
  <c r="AK30" i="1"/>
  <c r="AM30" i="1" s="1"/>
  <c r="Z30" i="1"/>
  <c r="S30" i="1"/>
  <c r="U30" i="1" s="1"/>
  <c r="BZ46" i="1"/>
  <c r="BX50" i="1"/>
  <c r="BZ50" i="1" s="1"/>
  <c r="BX44" i="1"/>
  <c r="BG50" i="1"/>
  <c r="BF50" i="1"/>
  <c r="BE50" i="1"/>
  <c r="CA50" i="1"/>
  <c r="BD50" i="1"/>
  <c r="BC50" i="1"/>
  <c r="BB50" i="1"/>
  <c r="BA50" i="1"/>
  <c r="AK50" i="1"/>
  <c r="AM50" i="1" s="1"/>
  <c r="Z50" i="1"/>
  <c r="AM25" i="1" l="1"/>
  <c r="AM39" i="1"/>
  <c r="AM33" i="1"/>
  <c r="AM37" i="1"/>
  <c r="AM35" i="1"/>
  <c r="AM34" i="1"/>
  <c r="BI37" i="1"/>
  <c r="BK37" i="1" s="1"/>
  <c r="BI10" i="1"/>
  <c r="BK10" i="1" s="1"/>
  <c r="BH37" i="1"/>
  <c r="BJ37" i="1" s="1"/>
  <c r="BH10" i="1"/>
  <c r="BJ10" i="1" s="1"/>
  <c r="BH9" i="1"/>
  <c r="BJ9" i="1" s="1"/>
  <c r="BI34" i="1"/>
  <c r="BK34" i="1" s="1"/>
  <c r="BI9" i="1"/>
  <c r="BK9" i="1" s="1"/>
  <c r="BH34" i="1"/>
  <c r="BJ34" i="1" s="1"/>
  <c r="BH50" i="1"/>
  <c r="BJ50" i="1" s="1"/>
  <c r="BI50" i="1"/>
  <c r="BK50" i="1" s="1"/>
  <c r="CA18" i="1" l="1"/>
  <c r="BX18" i="1"/>
  <c r="BZ18" i="1" s="1"/>
  <c r="BG18" i="1"/>
  <c r="BF18" i="1"/>
  <c r="BE18" i="1"/>
  <c r="BD18" i="1"/>
  <c r="BC18" i="1"/>
  <c r="BB18" i="1"/>
  <c r="AZ17" i="1"/>
  <c r="AK18" i="1" l="1"/>
  <c r="AM18" i="1" s="1"/>
  <c r="BA18" i="1"/>
  <c r="BH18" i="1" s="1"/>
  <c r="BJ18" i="1" s="1"/>
  <c r="AJ18" i="1" l="1"/>
  <c r="BI18" i="1"/>
  <c r="BK18" i="1" s="1"/>
  <c r="Z18" i="1"/>
  <c r="CA26" i="1"/>
  <c r="BX26" i="1"/>
  <c r="BZ26" i="1" s="1"/>
  <c r="AK26" i="1"/>
  <c r="Z26" i="1"/>
  <c r="S26" i="1"/>
  <c r="U26" i="1" s="1"/>
  <c r="CA3" i="1"/>
  <c r="BX3" i="1"/>
  <c r="BZ3" i="1" s="1"/>
  <c r="BG3" i="1"/>
  <c r="BF3" i="1"/>
  <c r="BE3" i="1"/>
  <c r="BD3" i="1"/>
  <c r="AK3" i="1"/>
  <c r="AM3" i="1" s="1"/>
  <c r="BC3" i="1"/>
  <c r="BB3" i="1"/>
  <c r="BA3" i="1"/>
  <c r="Z3" i="1"/>
  <c r="AM26" i="1" l="1"/>
  <c r="BI3" i="1"/>
  <c r="BK3" i="1" s="1"/>
  <c r="BH3" i="1"/>
  <c r="BJ3" i="1" s="1"/>
  <c r="CA24" i="1"/>
  <c r="BX24" i="1"/>
  <c r="BZ24" i="1" s="1"/>
  <c r="AK24" i="1"/>
  <c r="AM24" i="1" s="1"/>
  <c r="Z24" i="1"/>
  <c r="S24" i="1"/>
  <c r="U24" i="1" s="1"/>
  <c r="O29" i="2"/>
  <c r="N29" i="2" s="1"/>
  <c r="CC45" i="1" s="1"/>
  <c r="BZ44" i="1"/>
  <c r="BG44" i="1"/>
  <c r="BG49" i="1"/>
  <c r="BG46" i="1"/>
  <c r="BG43" i="1"/>
  <c r="BG42" i="1"/>
  <c r="BG48" i="1"/>
  <c r="BF44" i="1"/>
  <c r="BF49" i="1"/>
  <c r="BF46" i="1"/>
  <c r="BF43" i="1"/>
  <c r="BF42" i="1"/>
  <c r="BF48" i="1"/>
  <c r="CA44" i="1"/>
  <c r="BE44" i="1"/>
  <c r="BD44" i="1"/>
  <c r="BC44" i="1"/>
  <c r="BB44" i="1"/>
  <c r="BA44" i="1"/>
  <c r="AK44" i="1"/>
  <c r="AM44" i="1" s="1"/>
  <c r="Z44" i="1"/>
  <c r="AZ14" i="1"/>
  <c r="CC44" i="1" l="1"/>
  <c r="BI44" i="1"/>
  <c r="BK44" i="1" s="1"/>
  <c r="BH44" i="1"/>
  <c r="BJ44" i="1" s="1"/>
  <c r="CA14" i="1" l="1"/>
  <c r="BX14" i="1"/>
  <c r="BZ14" i="1" s="1"/>
  <c r="BG14" i="1"/>
  <c r="BF14" i="1"/>
  <c r="BE14" i="1"/>
  <c r="BD14" i="1"/>
  <c r="BC14" i="1"/>
  <c r="BB14" i="1"/>
  <c r="BA14" i="1"/>
  <c r="AK14" i="1"/>
  <c r="AM14" i="1" s="1"/>
  <c r="Z14" i="1"/>
  <c r="BE49" i="1"/>
  <c r="Z46" i="1"/>
  <c r="Z49" i="1"/>
  <c r="CA42" i="1"/>
  <c r="BX42" i="1"/>
  <c r="BZ42" i="1" s="1"/>
  <c r="BE42" i="1"/>
  <c r="BD42" i="1"/>
  <c r="BC42" i="1"/>
  <c r="BB42" i="1"/>
  <c r="BA42" i="1"/>
  <c r="AK42" i="1"/>
  <c r="AM42" i="1" s="1"/>
  <c r="Z42" i="1"/>
  <c r="AK43" i="1"/>
  <c r="AM43" i="1" s="1"/>
  <c r="BA43" i="1"/>
  <c r="BB43" i="1"/>
  <c r="BC43" i="1"/>
  <c r="BD43" i="1"/>
  <c r="BE43" i="1"/>
  <c r="BX43" i="1"/>
  <c r="BZ43" i="1" s="1"/>
  <c r="CA43" i="1"/>
  <c r="AK46" i="1"/>
  <c r="AM46" i="1" s="1"/>
  <c r="BA46" i="1"/>
  <c r="BB46" i="1"/>
  <c r="BC46" i="1"/>
  <c r="BD46" i="1"/>
  <c r="BE46" i="1"/>
  <c r="CA46" i="1"/>
  <c r="AK49" i="1"/>
  <c r="AM49" i="1" s="1"/>
  <c r="BA49" i="1"/>
  <c r="BB49" i="1"/>
  <c r="BC49" i="1"/>
  <c r="BD49" i="1"/>
  <c r="BX49" i="1"/>
  <c r="BZ49" i="1" s="1"/>
  <c r="CA49" i="1"/>
  <c r="Z43" i="1"/>
  <c r="CA17" i="1"/>
  <c r="CA16" i="1"/>
  <c r="BX16" i="1"/>
  <c r="BZ16" i="1" s="1"/>
  <c r="BX17" i="1"/>
  <c r="BZ17" i="1" s="1"/>
  <c r="BG17" i="1"/>
  <c r="BF17" i="1"/>
  <c r="BE17" i="1"/>
  <c r="BD17" i="1"/>
  <c r="BG16" i="1"/>
  <c r="BF16" i="1"/>
  <c r="BE16" i="1"/>
  <c r="BD16" i="1"/>
  <c r="BC17" i="1"/>
  <c r="BB17" i="1"/>
  <c r="BA17" i="1"/>
  <c r="AK17" i="1"/>
  <c r="AM17" i="1" s="1"/>
  <c r="Z17" i="1"/>
  <c r="BC16" i="1"/>
  <c r="BB16" i="1"/>
  <c r="BA16" i="1"/>
  <c r="AK16" i="1"/>
  <c r="AM16" i="1" s="1"/>
  <c r="Z16" i="1"/>
  <c r="BH17" i="1" l="1"/>
  <c r="BJ17" i="1" s="1"/>
  <c r="BI14" i="1"/>
  <c r="BK14" i="1" s="1"/>
  <c r="BH46" i="1"/>
  <c r="BJ46" i="1" s="1"/>
  <c r="BH14" i="1"/>
  <c r="BJ14" i="1" s="1"/>
  <c r="BH16" i="1"/>
  <c r="BJ16" i="1" s="1"/>
  <c r="BH49" i="1"/>
  <c r="BJ49" i="1" s="1"/>
  <c r="BH43" i="1"/>
  <c r="BJ43" i="1" s="1"/>
  <c r="BI42" i="1"/>
  <c r="BK42" i="1" s="1"/>
  <c r="BI17" i="1"/>
  <c r="BK17" i="1" s="1"/>
  <c r="BI16" i="1"/>
  <c r="BK16" i="1" s="1"/>
  <c r="BI43" i="1"/>
  <c r="BK43" i="1" s="1"/>
  <c r="BH42" i="1"/>
  <c r="BJ42" i="1" s="1"/>
  <c r="BI46" i="1"/>
  <c r="BK46" i="1" s="1"/>
  <c r="BI49" i="1"/>
  <c r="BK49" i="1" s="1"/>
  <c r="CA63" i="1" l="1"/>
  <c r="BX63" i="1"/>
  <c r="BZ63" i="1" s="1"/>
  <c r="BG63" i="1"/>
  <c r="BF63" i="1"/>
  <c r="BE63" i="1"/>
  <c r="BD63" i="1"/>
  <c r="BC63" i="1"/>
  <c r="BB63" i="1"/>
  <c r="BA63" i="1"/>
  <c r="AK63" i="1"/>
  <c r="AM63" i="1" s="1"/>
  <c r="Z63" i="1"/>
  <c r="S63" i="1"/>
  <c r="U63" i="1" s="1"/>
  <c r="BI63" i="1" l="1"/>
  <c r="BK63" i="1" s="1"/>
  <c r="BH63" i="1"/>
  <c r="BJ63" i="1" s="1"/>
  <c r="CA59" i="1"/>
  <c r="BX59" i="1"/>
  <c r="BZ59" i="1" s="1"/>
  <c r="BG59" i="1"/>
  <c r="BF59" i="1"/>
  <c r="BE59" i="1"/>
  <c r="BD59" i="1"/>
  <c r="BC59" i="1"/>
  <c r="BB59" i="1"/>
  <c r="BA59" i="1"/>
  <c r="AK59" i="1"/>
  <c r="AM59" i="1" s="1"/>
  <c r="Z59" i="1"/>
  <c r="S59" i="1"/>
  <c r="U59" i="1" s="1"/>
  <c r="BI59" i="1" l="1"/>
  <c r="BK59" i="1" s="1"/>
  <c r="BH59" i="1"/>
  <c r="BJ59" i="1" s="1"/>
  <c r="N28" i="2"/>
  <c r="CC70" i="1" s="1"/>
  <c r="CA65" i="1"/>
  <c r="BX65" i="1"/>
  <c r="BZ65" i="1" s="1"/>
  <c r="BG65" i="1"/>
  <c r="BF65" i="1"/>
  <c r="BE65" i="1"/>
  <c r="BD65" i="1"/>
  <c r="BC65" i="1"/>
  <c r="BB65" i="1"/>
  <c r="BA65" i="1"/>
  <c r="AK65" i="1"/>
  <c r="AM65" i="1" s="1"/>
  <c r="Z65" i="1"/>
  <c r="S65" i="1"/>
  <c r="U65" i="1" s="1"/>
  <c r="CA67" i="1"/>
  <c r="BX67" i="1"/>
  <c r="BZ67" i="1" s="1"/>
  <c r="BG67" i="1"/>
  <c r="BF67" i="1"/>
  <c r="BE67" i="1"/>
  <c r="BD67" i="1"/>
  <c r="BC67" i="1"/>
  <c r="BB67" i="1"/>
  <c r="BA67" i="1"/>
  <c r="AK67" i="1"/>
  <c r="AM67" i="1" s="1"/>
  <c r="Z67" i="1"/>
  <c r="S67" i="1"/>
  <c r="U67" i="1" s="1"/>
  <c r="CA64" i="1"/>
  <c r="BX64" i="1"/>
  <c r="BZ64" i="1" s="1"/>
  <c r="BG64" i="1"/>
  <c r="BF64" i="1"/>
  <c r="BE64" i="1"/>
  <c r="BD64" i="1"/>
  <c r="BC64" i="1"/>
  <c r="BB64" i="1"/>
  <c r="BA64" i="1"/>
  <c r="AK64" i="1"/>
  <c r="AM64" i="1" s="1"/>
  <c r="Z64" i="1"/>
  <c r="S64" i="1"/>
  <c r="U64" i="1" s="1"/>
  <c r="CA72" i="1"/>
  <c r="BX72" i="1"/>
  <c r="BZ72" i="1" s="1"/>
  <c r="BG72" i="1"/>
  <c r="BF72" i="1"/>
  <c r="BE72" i="1"/>
  <c r="BD72" i="1"/>
  <c r="BC72" i="1"/>
  <c r="BB72" i="1"/>
  <c r="BA72" i="1"/>
  <c r="AK72" i="1"/>
  <c r="AM72" i="1" s="1"/>
  <c r="Z72" i="1"/>
  <c r="S72" i="1"/>
  <c r="U72" i="1" s="1"/>
  <c r="CA69" i="1"/>
  <c r="CC69" i="1" s="1"/>
  <c r="BX69" i="1"/>
  <c r="BZ69" i="1" s="1"/>
  <c r="BG69" i="1"/>
  <c r="BF69" i="1"/>
  <c r="BE69" i="1"/>
  <c r="BD69" i="1"/>
  <c r="BC69" i="1"/>
  <c r="BB69" i="1"/>
  <c r="BA69" i="1"/>
  <c r="AK69" i="1"/>
  <c r="AM69" i="1" s="1"/>
  <c r="Z69" i="1"/>
  <c r="S69" i="1"/>
  <c r="U69" i="1" s="1"/>
  <c r="CA68" i="1"/>
  <c r="CC68" i="1" s="1"/>
  <c r="BX68" i="1"/>
  <c r="BZ68" i="1" s="1"/>
  <c r="BG68" i="1"/>
  <c r="BF68" i="1"/>
  <c r="BE68" i="1"/>
  <c r="BD68" i="1"/>
  <c r="BC68" i="1"/>
  <c r="BB68" i="1"/>
  <c r="BA68" i="1"/>
  <c r="AK68" i="1"/>
  <c r="AM68" i="1" s="1"/>
  <c r="Z68" i="1"/>
  <c r="S68" i="1"/>
  <c r="U68" i="1" s="1"/>
  <c r="CA66" i="1"/>
  <c r="BX66" i="1"/>
  <c r="BZ66" i="1" s="1"/>
  <c r="BG66" i="1"/>
  <c r="BF66" i="1"/>
  <c r="BE66" i="1"/>
  <c r="BD66" i="1"/>
  <c r="BC66" i="1"/>
  <c r="BB66" i="1"/>
  <c r="BA66" i="1"/>
  <c r="AK66" i="1"/>
  <c r="AM66" i="1" s="1"/>
  <c r="Z66" i="1"/>
  <c r="S66" i="1"/>
  <c r="U66" i="1" s="1"/>
  <c r="CA62" i="1"/>
  <c r="BX62" i="1"/>
  <c r="BZ62" i="1" s="1"/>
  <c r="BG62" i="1"/>
  <c r="BF62" i="1"/>
  <c r="BE62" i="1"/>
  <c r="BD62" i="1"/>
  <c r="BC62" i="1"/>
  <c r="BB62" i="1"/>
  <c r="BA62" i="1"/>
  <c r="AK62" i="1"/>
  <c r="AM62" i="1" s="1"/>
  <c r="Z62" i="1"/>
  <c r="S62" i="1"/>
  <c r="U62" i="1" s="1"/>
  <c r="CC72" i="1" l="1"/>
  <c r="BH65" i="1"/>
  <c r="BJ65" i="1" s="1"/>
  <c r="BI65" i="1"/>
  <c r="BK65" i="1" s="1"/>
  <c r="BH67" i="1"/>
  <c r="BJ67" i="1" s="1"/>
  <c r="BI64" i="1"/>
  <c r="BK64" i="1" s="1"/>
  <c r="BI67" i="1"/>
  <c r="BK67" i="1" s="1"/>
  <c r="BH64" i="1"/>
  <c r="BJ64" i="1" s="1"/>
  <c r="BI69" i="1"/>
  <c r="BK69" i="1" s="1"/>
  <c r="BI72" i="1"/>
  <c r="BK72" i="1" s="1"/>
  <c r="BH72" i="1"/>
  <c r="BJ72" i="1" s="1"/>
  <c r="BI68" i="1"/>
  <c r="BK68" i="1" s="1"/>
  <c r="BH69" i="1"/>
  <c r="BJ69" i="1" s="1"/>
  <c r="BH68" i="1"/>
  <c r="BJ68" i="1" s="1"/>
  <c r="BI66" i="1"/>
  <c r="BK66" i="1" s="1"/>
  <c r="BH66" i="1"/>
  <c r="BJ66" i="1" s="1"/>
  <c r="BI62" i="1"/>
  <c r="BK62" i="1" s="1"/>
  <c r="BH62" i="1"/>
  <c r="BJ62" i="1" s="1"/>
  <c r="BX61" i="1"/>
  <c r="BX73" i="1"/>
  <c r="BZ73" i="1" s="1"/>
  <c r="BX74" i="1"/>
  <c r="BZ74" i="1" s="1"/>
  <c r="BX75" i="1"/>
  <c r="BZ75" i="1" s="1"/>
  <c r="BX76" i="1"/>
  <c r="BZ76" i="1" s="1"/>
  <c r="BX77" i="1"/>
  <c r="BZ77" i="1" s="1"/>
  <c r="BX78" i="1"/>
  <c r="BX79" i="1"/>
  <c r="BZ79" i="1" s="1"/>
  <c r="BX80" i="1"/>
  <c r="BZ80" i="1" s="1"/>
  <c r="BX81" i="1"/>
  <c r="BZ81" i="1" s="1"/>
  <c r="BX83" i="1"/>
  <c r="BZ83" i="1" s="1"/>
  <c r="BX84" i="1"/>
  <c r="BZ84" i="1" s="1"/>
  <c r="BX85" i="1"/>
  <c r="BZ85" i="1" s="1"/>
  <c r="BX86" i="1"/>
  <c r="BZ86" i="1" s="1"/>
  <c r="BX87" i="1"/>
  <c r="BZ87" i="1" s="1"/>
  <c r="BX12" i="1"/>
  <c r="BX13" i="1"/>
  <c r="BX28" i="1"/>
  <c r="BX48" i="1"/>
  <c r="BX58" i="1"/>
  <c r="AK28" i="1"/>
  <c r="AM28" i="1" s="1"/>
  <c r="AK48" i="1"/>
  <c r="AM48" i="1" s="1"/>
  <c r="AK61" i="1"/>
  <c r="AM61" i="1" s="1"/>
  <c r="AK73" i="1"/>
  <c r="AM73" i="1" s="1"/>
  <c r="AK74" i="1"/>
  <c r="AM74" i="1" s="1"/>
  <c r="AK75" i="1"/>
  <c r="AM75" i="1" s="1"/>
  <c r="AK76" i="1"/>
  <c r="AM76" i="1" s="1"/>
  <c r="AK77" i="1"/>
  <c r="AM77" i="1" s="1"/>
  <c r="AK78" i="1"/>
  <c r="AM78" i="1" s="1"/>
  <c r="AK79" i="1"/>
  <c r="AM79" i="1" s="1"/>
  <c r="AK80" i="1"/>
  <c r="AM80" i="1" s="1"/>
  <c r="AK81" i="1"/>
  <c r="AM81" i="1" s="1"/>
  <c r="AK83" i="1"/>
  <c r="AM83" i="1" s="1"/>
  <c r="AK84" i="1"/>
  <c r="AM84" i="1" s="1"/>
  <c r="AK85" i="1"/>
  <c r="AM85" i="1" s="1"/>
  <c r="AK86" i="1"/>
  <c r="AM86" i="1" s="1"/>
  <c r="AK87" i="1"/>
  <c r="AM87" i="1" s="1"/>
  <c r="AK12" i="1"/>
  <c r="AM12" i="1" s="1"/>
  <c r="AK13" i="1"/>
  <c r="AM13" i="1" s="1"/>
  <c r="CA73" i="1"/>
  <c r="BG73" i="1"/>
  <c r="BF73" i="1"/>
  <c r="BE73" i="1"/>
  <c r="BD73" i="1"/>
  <c r="BC73" i="1"/>
  <c r="BB73" i="1"/>
  <c r="BA73" i="1"/>
  <c r="Z73" i="1"/>
  <c r="CA87" i="1"/>
  <c r="BG87" i="1"/>
  <c r="BF87" i="1"/>
  <c r="BE87" i="1"/>
  <c r="BD87" i="1"/>
  <c r="BC87" i="1"/>
  <c r="BB87" i="1"/>
  <c r="BA87" i="1"/>
  <c r="Z87" i="1"/>
  <c r="CA86" i="1"/>
  <c r="BG86" i="1"/>
  <c r="BF86" i="1"/>
  <c r="BE86" i="1"/>
  <c r="BD86" i="1"/>
  <c r="BC86" i="1"/>
  <c r="BB86" i="1"/>
  <c r="BA86" i="1"/>
  <c r="Z86" i="1"/>
  <c r="CA85" i="1"/>
  <c r="BG85" i="1"/>
  <c r="BF85" i="1"/>
  <c r="BE85" i="1"/>
  <c r="BD85" i="1"/>
  <c r="BC85" i="1"/>
  <c r="BB85" i="1"/>
  <c r="BA85" i="1"/>
  <c r="Z85" i="1"/>
  <c r="CA84" i="1"/>
  <c r="BG84" i="1"/>
  <c r="BF84" i="1"/>
  <c r="BE84" i="1"/>
  <c r="BD84" i="1"/>
  <c r="BC84" i="1"/>
  <c r="BB84" i="1"/>
  <c r="BA84" i="1"/>
  <c r="Z84" i="1"/>
  <c r="CA83" i="1"/>
  <c r="BG83" i="1"/>
  <c r="BF83" i="1"/>
  <c r="BE83" i="1"/>
  <c r="BD83" i="1"/>
  <c r="BC83" i="1"/>
  <c r="BB83" i="1"/>
  <c r="BA83" i="1"/>
  <c r="Z83" i="1"/>
  <c r="CA81" i="1"/>
  <c r="BG81" i="1"/>
  <c r="BF81" i="1"/>
  <c r="BE81" i="1"/>
  <c r="BD81" i="1"/>
  <c r="BC81" i="1"/>
  <c r="BB81" i="1"/>
  <c r="BA81" i="1"/>
  <c r="Z81" i="1"/>
  <c r="CA80" i="1"/>
  <c r="BG80" i="1"/>
  <c r="BF80" i="1"/>
  <c r="BE80" i="1"/>
  <c r="BD80" i="1"/>
  <c r="BC80" i="1"/>
  <c r="BB80" i="1"/>
  <c r="BA80" i="1"/>
  <c r="Z80" i="1"/>
  <c r="CA79" i="1"/>
  <c r="BG79" i="1"/>
  <c r="BF79" i="1"/>
  <c r="BE79" i="1"/>
  <c r="BD79" i="1"/>
  <c r="BC79" i="1"/>
  <c r="BB79" i="1"/>
  <c r="BA79" i="1"/>
  <c r="Z79" i="1"/>
  <c r="CA77" i="1"/>
  <c r="BG77" i="1"/>
  <c r="BF77" i="1"/>
  <c r="BE77" i="1"/>
  <c r="BD77" i="1"/>
  <c r="BC77" i="1"/>
  <c r="BB77" i="1"/>
  <c r="BA77" i="1"/>
  <c r="Z77" i="1"/>
  <c r="CA76" i="1"/>
  <c r="BG76" i="1"/>
  <c r="BF76" i="1"/>
  <c r="BE76" i="1"/>
  <c r="BD76" i="1"/>
  <c r="BC76" i="1"/>
  <c r="BB76" i="1"/>
  <c r="BA76" i="1"/>
  <c r="Z76" i="1"/>
  <c r="CA75" i="1"/>
  <c r="BG75" i="1"/>
  <c r="BF75" i="1"/>
  <c r="BE75" i="1"/>
  <c r="BD75" i="1"/>
  <c r="BC75" i="1"/>
  <c r="BB75" i="1"/>
  <c r="BA75" i="1"/>
  <c r="Z75" i="1"/>
  <c r="CA74" i="1"/>
  <c r="BG74" i="1"/>
  <c r="BF74" i="1"/>
  <c r="BE74" i="1"/>
  <c r="BD74" i="1"/>
  <c r="BC74" i="1"/>
  <c r="BB74" i="1"/>
  <c r="BA74" i="1"/>
  <c r="Z74" i="1"/>
  <c r="BI83" i="1" l="1"/>
  <c r="BK83" i="1" s="1"/>
  <c r="BI87" i="1"/>
  <c r="BK87" i="1" s="1"/>
  <c r="BI80" i="1"/>
  <c r="BK80" i="1" s="1"/>
  <c r="BI85" i="1"/>
  <c r="BK85" i="1" s="1"/>
  <c r="BH73" i="1"/>
  <c r="BJ73" i="1" s="1"/>
  <c r="BI73" i="1"/>
  <c r="BK73" i="1" s="1"/>
  <c r="BI76" i="1"/>
  <c r="BK76" i="1" s="1"/>
  <c r="BI77" i="1"/>
  <c r="BK77" i="1" s="1"/>
  <c r="BH75" i="1"/>
  <c r="BJ75" i="1" s="1"/>
  <c r="BI86" i="1"/>
  <c r="BK86" i="1" s="1"/>
  <c r="BI84" i="1"/>
  <c r="BK84" i="1" s="1"/>
  <c r="BI81" i="1"/>
  <c r="BK81" i="1" s="1"/>
  <c r="BI79" i="1"/>
  <c r="BK79" i="1" s="1"/>
  <c r="BH86" i="1"/>
  <c r="BJ86" i="1" s="1"/>
  <c r="BH83" i="1"/>
  <c r="BJ83" i="1" s="1"/>
  <c r="BH80" i="1"/>
  <c r="BJ80" i="1" s="1"/>
  <c r="BH79" i="1"/>
  <c r="BJ79" i="1" s="1"/>
  <c r="BH77" i="1"/>
  <c r="BJ77" i="1" s="1"/>
  <c r="BI75" i="1"/>
  <c r="BK75" i="1" s="1"/>
  <c r="BH87" i="1"/>
  <c r="BJ87" i="1" s="1"/>
  <c r="BH85" i="1"/>
  <c r="BJ85" i="1" s="1"/>
  <c r="BH84" i="1"/>
  <c r="BJ84" i="1" s="1"/>
  <c r="BH81" i="1"/>
  <c r="BJ81" i="1" s="1"/>
  <c r="BH76" i="1"/>
  <c r="BJ76" i="1" s="1"/>
  <c r="BI74" i="1"/>
  <c r="BK74" i="1" s="1"/>
  <c r="BH74" i="1"/>
  <c r="BJ74" i="1" s="1"/>
  <c r="N27" i="2" l="1"/>
  <c r="CA61" i="1"/>
  <c r="BZ61" i="1"/>
  <c r="BG61" i="1"/>
  <c r="BF61" i="1"/>
  <c r="BE61" i="1"/>
  <c r="BD61" i="1"/>
  <c r="BC61" i="1"/>
  <c r="BB61" i="1"/>
  <c r="BA61" i="1"/>
  <c r="Z61" i="1"/>
  <c r="S61" i="1"/>
  <c r="BG78" i="1"/>
  <c r="BF78" i="1"/>
  <c r="CA78" i="1"/>
  <c r="CC78" i="1" s="1"/>
  <c r="BZ78" i="1"/>
  <c r="BE78" i="1"/>
  <c r="BD78" i="1"/>
  <c r="BC78" i="1"/>
  <c r="BB78" i="1"/>
  <c r="BA78" i="1"/>
  <c r="Z78" i="1"/>
  <c r="N26" i="2"/>
  <c r="BG58" i="1"/>
  <c r="BF58" i="1"/>
  <c r="BE58" i="1"/>
  <c r="BD58" i="1"/>
  <c r="BC58" i="1"/>
  <c r="BB58" i="1"/>
  <c r="CA58" i="1"/>
  <c r="BZ58" i="1"/>
  <c r="BA58" i="1"/>
  <c r="AK58" i="1"/>
  <c r="AM58" i="1" s="1"/>
  <c r="Z58" i="1"/>
  <c r="CC58" i="1" l="1"/>
  <c r="CC82" i="1"/>
  <c r="CC88" i="1"/>
  <c r="CC80" i="1"/>
  <c r="CC73" i="1"/>
  <c r="CC87" i="1"/>
  <c r="CC74" i="1"/>
  <c r="CC83" i="1"/>
  <c r="CC77" i="1"/>
  <c r="CC75" i="1"/>
  <c r="CC85" i="1"/>
  <c r="CC81" i="1"/>
  <c r="CC86" i="1"/>
  <c r="CC84" i="1"/>
  <c r="CC79" i="1"/>
  <c r="CC76" i="1"/>
  <c r="BI61" i="1"/>
  <c r="BK61" i="1" s="1"/>
  <c r="BI78" i="1"/>
  <c r="BK78" i="1" s="1"/>
  <c r="BH61" i="1"/>
  <c r="BJ61" i="1" s="1"/>
  <c r="U61" i="1"/>
  <c r="BH78" i="1"/>
  <c r="BJ78" i="1" s="1"/>
  <c r="BI58" i="1"/>
  <c r="BK58" i="1" s="1"/>
  <c r="BH58" i="1"/>
  <c r="BJ58" i="1" s="1"/>
  <c r="BZ28" i="1" l="1"/>
  <c r="CA28" i="1"/>
  <c r="Z28" i="1"/>
  <c r="S28" i="1"/>
  <c r="U28" i="1" s="1"/>
  <c r="V48" i="1"/>
  <c r="Z48" i="1" s="1"/>
  <c r="CA48" i="1"/>
  <c r="BZ48" i="1"/>
  <c r="BE48" i="1"/>
  <c r="BD48" i="1"/>
  <c r="BC48" i="1"/>
  <c r="BB48" i="1"/>
  <c r="BA48" i="1"/>
  <c r="BH48" i="1" l="1"/>
  <c r="BJ48" i="1" s="1"/>
  <c r="BI48" i="1"/>
  <c r="BK48" i="1" s="1"/>
  <c r="Z12" i="1" l="1"/>
  <c r="BA12" i="1"/>
  <c r="BB12" i="1"/>
  <c r="BC12" i="1"/>
  <c r="BD12" i="1"/>
  <c r="BE12" i="1"/>
  <c r="BF12" i="1"/>
  <c r="BG12" i="1"/>
  <c r="BZ12" i="1"/>
  <c r="CA12" i="1"/>
  <c r="BI12" i="1" l="1"/>
  <c r="BK12" i="1" s="1"/>
  <c r="BH12" i="1"/>
  <c r="BJ12" i="1" s="1"/>
  <c r="N25" i="2" l="1"/>
  <c r="N24" i="2" l="1"/>
  <c r="N23" i="2" l="1"/>
  <c r="N22" i="2" l="1"/>
  <c r="N21" i="2"/>
  <c r="N20" i="2"/>
  <c r="N19" i="2" l="1"/>
  <c r="N18" i="2" l="1"/>
  <c r="BD13" i="1" l="1"/>
  <c r="B50" i="6" l="1"/>
  <c r="B49" i="6"/>
  <c r="F46" i="6"/>
  <c r="F47" i="6" s="1"/>
  <c r="E46" i="6"/>
  <c r="E47" i="6" s="1"/>
  <c r="D46" i="6"/>
  <c r="D47" i="6" s="1"/>
  <c r="C46" i="6"/>
  <c r="C47" i="6" s="1"/>
  <c r="B46" i="6"/>
  <c r="B52" i="6" l="1"/>
  <c r="B47" i="6"/>
  <c r="B51" i="6" s="1"/>
  <c r="N17" i="2"/>
  <c r="C34" i="6" l="1"/>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40" i="6" l="1"/>
  <c r="B39" i="6"/>
  <c r="N13" i="2" l="1"/>
  <c r="N14" i="2"/>
  <c r="N15" i="2"/>
  <c r="CC31" i="1" s="1"/>
  <c r="N16" i="2"/>
  <c r="N3" i="2"/>
  <c r="N4" i="2"/>
  <c r="N5" i="2"/>
  <c r="CC49" i="1" s="1"/>
  <c r="N6" i="2"/>
  <c r="N7" i="2"/>
  <c r="N8" i="2"/>
  <c r="N9" i="2"/>
  <c r="N10" i="2"/>
  <c r="N11" i="2"/>
  <c r="N12" i="2"/>
  <c r="N2" i="2"/>
  <c r="CA13" i="1"/>
  <c r="CC13" i="1" s="1"/>
  <c r="CC52" i="1" l="1"/>
  <c r="CC57" i="1"/>
  <c r="CC11" i="1"/>
  <c r="CC4" i="1"/>
  <c r="CC5" i="1"/>
  <c r="CC2" i="1"/>
  <c r="CC7" i="1"/>
  <c r="CC6" i="1"/>
  <c r="CC8" i="1"/>
  <c r="CC10" i="1"/>
  <c r="CC9" i="1"/>
  <c r="CC3" i="1"/>
  <c r="CC41" i="1"/>
  <c r="CC47" i="1"/>
  <c r="CC51" i="1"/>
  <c r="CC50" i="1"/>
  <c r="CC42" i="1"/>
  <c r="CC43" i="1"/>
  <c r="CC48" i="1"/>
  <c r="CC60" i="1"/>
  <c r="CC63" i="1"/>
  <c r="CC59" i="1"/>
  <c r="CC67" i="1"/>
  <c r="CC64" i="1"/>
  <c r="CC66" i="1"/>
  <c r="CC62" i="1"/>
  <c r="CC65" i="1"/>
  <c r="CC61" i="1"/>
  <c r="CC18" i="1"/>
  <c r="CC46" i="1"/>
  <c r="CC15" i="1"/>
  <c r="CC16" i="1"/>
  <c r="CC17" i="1"/>
  <c r="CC14" i="1"/>
  <c r="CC12" i="1"/>
  <c r="CC22" i="1"/>
  <c r="CC25" i="1"/>
  <c r="CC32" i="1"/>
  <c r="CC36" i="1"/>
  <c r="CC35" i="1"/>
  <c r="CC19" i="1"/>
  <c r="CC39" i="1"/>
  <c r="CC27" i="1"/>
  <c r="CC29" i="1"/>
  <c r="CC20" i="1"/>
  <c r="CC38" i="1"/>
  <c r="CC21" i="1"/>
  <c r="CC23" i="1"/>
  <c r="CC33" i="1"/>
  <c r="CC37" i="1"/>
  <c r="CC34" i="1"/>
  <c r="CC30" i="1"/>
  <c r="CC26" i="1"/>
  <c r="CC24" i="1"/>
  <c r="CC28" i="1"/>
  <c r="CC53" i="1"/>
  <c r="CC54" i="1"/>
  <c r="CC56" i="1"/>
  <c r="BG13" i="1"/>
  <c r="BE13" i="1"/>
  <c r="BA13" i="1"/>
  <c r="BB13" i="1"/>
  <c r="BC13" i="1"/>
  <c r="BF13" i="1"/>
  <c r="BH13" i="1" l="1"/>
  <c r="BJ13" i="1" s="1"/>
  <c r="BI13" i="1"/>
  <c r="BK13" i="1" s="1"/>
  <c r="G23" i="6" l="1"/>
  <c r="B26" i="6"/>
  <c r="B25" i="6"/>
  <c r="I23" i="6"/>
  <c r="H23" i="6"/>
  <c r="F23" i="6"/>
  <c r="E23" i="6"/>
  <c r="D23" i="6"/>
  <c r="C23" i="6"/>
  <c r="B22" i="6"/>
  <c r="B23" i="6" l="1"/>
  <c r="B28" i="6"/>
  <c r="B27" i="6"/>
  <c r="B14" i="6"/>
  <c r="B13" i="6"/>
  <c r="E11" i="6"/>
  <c r="F11" i="6"/>
  <c r="G11" i="6"/>
  <c r="H11" i="6"/>
  <c r="I11" i="6"/>
  <c r="J11" i="6"/>
  <c r="K11" i="6"/>
  <c r="L11" i="6"/>
  <c r="M11" i="6"/>
  <c r="N11" i="6"/>
  <c r="O11" i="6"/>
  <c r="P11" i="6"/>
  <c r="Q11" i="6"/>
  <c r="R11" i="6"/>
  <c r="S11" i="6"/>
  <c r="T11" i="6"/>
  <c r="U11" i="6"/>
  <c r="C11" i="6"/>
  <c r="D11" i="6"/>
  <c r="B10" i="6"/>
  <c r="B11" i="6" l="1"/>
  <c r="B16" i="6"/>
  <c r="B15" i="6"/>
  <c r="Z13" i="1" l="1"/>
  <c r="B4" i="4" l="1"/>
  <c r="B5" i="4"/>
  <c r="B6" i="4"/>
  <c r="B7" i="4"/>
  <c r="B8" i="4"/>
  <c r="B9" i="4"/>
  <c r="B10" i="4"/>
  <c r="B11" i="4"/>
  <c r="B3" i="4"/>
  <c r="BZ13"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AJ16" i="1" s="1"/>
  <c r="B12" i="3"/>
  <c r="B13" i="3"/>
  <c r="B14" i="3"/>
  <c r="C4" i="3"/>
  <c r="B4" i="3" s="1"/>
  <c r="C5" i="3"/>
  <c r="B5" i="3" s="1"/>
  <c r="C6" i="3"/>
  <c r="B6" i="3" s="1"/>
  <c r="C7" i="3"/>
  <c r="C8" i="3"/>
  <c r="C9" i="3"/>
  <c r="C10" i="3"/>
  <c r="C11" i="3"/>
  <c r="C12" i="3"/>
  <c r="C13" i="3"/>
  <c r="C14" i="3"/>
  <c r="C15" i="3"/>
  <c r="C16" i="3"/>
  <c r="B16" i="3" s="1"/>
  <c r="C17" i="3"/>
  <c r="B17" i="3" s="1"/>
  <c r="C18" i="3"/>
  <c r="B18" i="3" s="1"/>
  <c r="C3" i="3"/>
  <c r="B3" i="3" s="1"/>
  <c r="AJ40" i="1" l="1"/>
  <c r="AJ49" i="1"/>
  <c r="AJ48" i="1"/>
  <c r="AJ32" i="1"/>
  <c r="AJ39" i="1"/>
  <c r="AJ35" i="1"/>
  <c r="AJ36" i="1"/>
  <c r="AJ33" i="1"/>
  <c r="AJ30" i="1"/>
  <c r="AJ34" i="1"/>
  <c r="AJ26" i="1"/>
  <c r="AJ24" i="1"/>
  <c r="AJ63" i="1"/>
  <c r="AJ77" i="1"/>
  <c r="AJ75" i="1"/>
  <c r="AJ28" i="1"/>
  <c r="AJ22" i="1"/>
  <c r="AJ25" i="1"/>
  <c r="AJ82" i="1"/>
  <c r="AJ41" i="1"/>
  <c r="AJ23" i="1"/>
  <c r="AJ37" i="1"/>
  <c r="AJ5" i="1"/>
  <c r="AJ2" i="1"/>
  <c r="AJ51" i="1"/>
  <c r="AJ50" i="1"/>
  <c r="AJ44" i="1"/>
  <c r="AJ42" i="1"/>
  <c r="AJ14" i="1"/>
  <c r="AJ17" i="1"/>
  <c r="AJ43" i="1"/>
  <c r="AJ13" i="1"/>
  <c r="AJ11" i="1"/>
  <c r="AJ4" i="1"/>
  <c r="AJ20" i="1"/>
  <c r="AJ21" i="1"/>
  <c r="AJ19" i="1"/>
  <c r="AJ8" i="1"/>
  <c r="AJ10" i="1"/>
  <c r="AJ9" i="1"/>
  <c r="AJ3" i="1"/>
  <c r="AJ59" i="1"/>
  <c r="AJ67" i="1"/>
  <c r="AJ81" i="1"/>
  <c r="AJ74" i="1"/>
  <c r="AJ76" i="1"/>
  <c r="AJ79" i="1"/>
  <c r="AJ60" i="1"/>
  <c r="AJ88" i="1"/>
  <c r="AJ7" i="1"/>
  <c r="AJ6" i="1"/>
  <c r="AJ70" i="1"/>
  <c r="AJ71" i="1"/>
  <c r="AJ72" i="1"/>
  <c r="AJ69" i="1"/>
  <c r="AJ62" i="1"/>
  <c r="AJ66" i="1"/>
  <c r="AJ64" i="1"/>
  <c r="AJ78" i="1"/>
  <c r="AJ87" i="1"/>
  <c r="AJ86" i="1"/>
  <c r="AJ80" i="1"/>
  <c r="AJ85" i="1"/>
  <c r="AJ73" i="1"/>
  <c r="AJ61" i="1"/>
  <c r="AJ83" i="1"/>
  <c r="AJ84" i="1"/>
  <c r="AJ58" i="1"/>
  <c r="AJ47" i="1"/>
  <c r="AJ12" i="1"/>
  <c r="AJ46" i="1"/>
  <c r="AJ68" i="1"/>
  <c r="AJ65"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<sst xmlns="http://schemas.openxmlformats.org/spreadsheetml/2006/main" count="1099" uniqueCount="525">
  <si>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</si>
  <si>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</si>
  <si>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</si>
  <si>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</si>
  <si>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</si>
  <si>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</si>
  <si>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</si>
  <si>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</si>
  <si>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</si>
  <si>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</si>
  <si>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</si>
  <si>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</si>
  <si>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</si>
  <si>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</si>
  <si>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</si>
  <si>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</si>
  <si>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</si>
  <si>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</si>
  <si>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</si>
  <si>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</si>
  <si>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</si>
  <si>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</si>
  <si>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</si>
  <si>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</si>
  <si>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</si>
  <si>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</si>
  <si>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</si>
  <si>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</si>
  <si>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</si>
  <si>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</si>
  <si>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</si>
  <si>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</si>
  <si>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</si>
  <si>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</si>
  <si>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</si>
  <si>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</si>
  <si>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</si>
  <si>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</si>
  <si>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</si>
  <si>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</si>
  <si>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</si>
  <si>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</si>
  <si>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</si>
  <si>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</si>
  <si>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</si>
  <si>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</si>
  <si>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</si>
  <si>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</si>
  <si>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</si>
  <si>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</si>
  <si>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</si>
  <si>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</si>
  <si>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</si>
  <si>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</si>
  <si>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</si>
  <si>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</si>
  <si>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</si>
  <si>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</si>
  <si>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</si>
  <si>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</si>
  <si>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</si>
  <si>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</si>
  <si>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</si>
  <si>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</si>
  <si>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</si>
  <si>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</si>
  <si>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</si>
  <si>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</si>
  <si>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</si>
  <si>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</si>
  <si>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</si>
  <si>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</si>
  <si>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</si>
  <si>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</si>
  <si>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</si>
  <si>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</si>
  <si>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</si>
  <si>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</si>
  <si>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</si>
  <si>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</si>
  <si>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</si>
  <si>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</si>
  <si>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</si>
  <si>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</si>
  <si>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</si>
  <si>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</si>
  <si>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</si>
  <si>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</si>
  <si>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</si>
  <si>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</si>
  <si>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</si>
  <si>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</si>
  <si>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</si>
  <si>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</si>
  <si>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</si>
  <si>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</si>
  <si>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</si>
  <si>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</si>
  <si>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</si>
  <si>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</si>
  <si>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</si>
  <si>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</si>
  <si>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</si>
  <si>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</si>
  <si>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</si>
  <si>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</si>
  <si>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</si>
  <si>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</si>
  <si>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</si>
  <si>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</si>
  <si>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</si>
  <si>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</si>
  <si>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</si>
  <si>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</si>
  <si>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</si>
  <si>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</si>
  <si>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</si>
  <si>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</si>
  <si>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</si>
  <si>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</si>
  <si>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</si>
  <si>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</si>
  <si>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</si>
  <si>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</si>
  <si>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</si>
  <si>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</si>
  <si>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</si>
  <si>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</si>
  <si>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</si>
  <si>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</si>
  <si>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</si>
  <si>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</si>
  <si>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</si>
  <si>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</si>
  <si>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</si>
  <si>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</si>
  <si>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</si>
  <si>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</si>
  <si>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</si>
  <si>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</si>
  <si>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</si>
  <si>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</si>
  <si>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</si>
  <si>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</si>
  <si>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</si>
  <si>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</si>
  <si>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</si>
  <si>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</si>
  <si>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</si>
  <si>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</si>
  <si>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</si>
  <si>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</si>
  <si>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</si>
  <si>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</si>
  <si>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</si>
  <si>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</si>
  <si>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</si>
  <si>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</si>
  <si>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</si>
  <si>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</si>
  <si>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</si>
  <si>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</si>
  <si>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</si>
  <si>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</si>
  <si>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</si>
  <si>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</si>
  <si>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</si>
  <si>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</si>
  <si>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</si>
  <si>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</si>
  <si>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</si>
  <si>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</si>
  <si>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</si>
  <si>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</si>
  <si>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</si>
  <si>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</si>
  <si>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</si>
  <si>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</si>
  <si>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</si>
  <si>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</si>
  <si>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</si>
  <si>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</si>
  <si>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</si>
  <si>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</si>
  <si>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</si>
  <si>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</si>
  <si>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</si>
  <si>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</si>
  <si>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</si>
  <si>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</si>
  <si>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</si>
  <si>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</si>
  <si>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</si>
  <si>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</si>
  <si>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</si>
  <si>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</si>
  <si>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</si>
  <si>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</si>
  <si>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</si>
  <si>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</si>
  <si>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</si>
  <si>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</si>
  <si>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</si>
  <si>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</si>
  <si>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</si>
  <si>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</si>
  <si>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</si>
  <si>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</si>
  <si>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</si>
  <si>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</si>
  <si>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</si>
  <si>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</si>
  <si>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</si>
  <si>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</si>
  <si>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</si>
  <si>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</si>
  <si>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</si>
  <si>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</si>
  <si>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</si>
  <si>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</si>
  <si>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</si>
  <si>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</si>
  <si>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</si>
  <si>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</si>
  <si>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</si>
  <si>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</si>
  <si>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</si>
  <si>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</si>
  <si>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</si>
  <si>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</si>
  <si>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</si>
  <si>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</si>
  <si>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</si>
  <si>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</si>
  <si>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</si>
  <si>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</si>
  <si>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</si>
  <si>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</si>
  <si>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</si>
  <si>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</si>
  <si>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</si>
  <si>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</si>
  <si>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</si>
  <si>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</si>
  <si>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</si>
  <si>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</si>
  <si>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</si>
  <si>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</si>
  <si>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</si>
  <si>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</si>
  <si>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</si>
  <si>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</si>
  <si>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</si>
  <si>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</si>
  <si>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</si>
  <si>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</si>
  <si>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</si>
  <si>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</si>
  <si>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</si>
  <si>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</si>
  <si>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</si>
  <si>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</si>
  <si>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</si>
  <si>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</si>
  <si>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</si>
  <si>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</si>
  <si>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</si>
  <si>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</si>
  <si>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</si>
  <si>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</si>
  <si>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</si>
  <si>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</si>
  <si>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</si>
  <si>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</si>
  <si>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</si>
  <si>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</si>
  <si>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</si>
  <si>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</si>
  <si>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</si>
  <si>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</si>
  <si>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</si>
  <si>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</si>
  <si>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</si>
  <si>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</si>
  <si>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</si>
  <si>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</si>
  <si>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</si>
  <si>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</si>
  <si>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</si>
  <si>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</si>
  <si>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</si>
  <si>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</si>
  <si>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</si>
  <si>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</si>
  <si>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</si>
  <si>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</si>
  <si>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</si>
  <si>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</si>
  <si>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</si>
  <si>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</si>
  <si>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</si>
  <si>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</si>
  <si>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</si>
  <si>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</si>
  <si>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</si>
  <si>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</si>
  <si>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</si>
  <si>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</si>
  <si>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</si>
  <si>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</si>
  <si>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</si>
  <si>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</si>
  <si>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</si>
  <si>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</si>
  <si>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</si>
  <si>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</si>
  <si>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</si>
  <si>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</si>
  <si>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</si>
  <si>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</si>
  <si>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</si>
  <si>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</si>
  <si>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</si>
  <si>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</si>
  <si>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</si>
  <si>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</si>
  <si>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</si>
  <si>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</si>
  <si>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</si>
  <si>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</si>
  <si>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</si>
  <si>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</si>
  <si>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</si>
  <si>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</si>
  <si>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</si>
  <si>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</si>
  <si>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</si>
  <si>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</si>
  <si>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</si>
  <si>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</si>
  <si>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</si>
  <si>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</si>
  <si>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</si>
  <si>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</si>
  <si>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</si>
  <si>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</si>
  <si>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</si>
  <si>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</si>
  <si>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</si>
  <si>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</si>
  <si>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</si>
  <si>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</si>
  <si>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</si>
  <si>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</si>
  <si>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</si>
  <si>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</si>
  <si>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</si>
  <si>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</si>
  <si>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</si>
  <si>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</si>
  <si>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</si>
  <si>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</si>
  <si>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</si>
  <si>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</si>
  <si>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</si>
  <si>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</si>
  <si>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</si>
  <si>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</si>
  <si>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</si>
  <si>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</si>
  <si>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</si>
  <si>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</si>
  <si>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</si>
  <si>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</si>
  <si>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</si>
  <si>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</si>
  <si>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</si>
  <si>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</si>
  <si>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</si>
  <si>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</si>
  <si>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</si>
  <si>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</si>
  <si>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</si>
  <si>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</si>
  <si>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</si>
  <si>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</si>
  <si>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</si>
  <si>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</si>
  <si>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</si>
  <si>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</si>
  <si>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</si>
  <si>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</si>
  <si>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</si>
  <si>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</si>
  <si>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</si>
  <si>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</si>
  <si>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</si>
  <si>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</si>
  <si>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</si>
  <si>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</si>
  <si>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</si>
  <si>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</si>
  <si>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</si>
  <si>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</si>
  <si>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</si>
  <si>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</si>
  <si>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</si>
  <si>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</si>
  <si>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</si>
  <si>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</si>
  <si>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</si>
  <si>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</si>
  <si>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</si>
  <si>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</si>
  <si>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</si>
  <si>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</si>
  <si>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</si>
  <si>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</si>
  <si>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</si>
  <si>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</si>
  <si>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</si>
  <si>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</si>
  <si>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</si>
  <si>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</si>
  <si>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</si>
  <si>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</si>
  <si>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</si>
  <si>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</si>
  <si>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</si>
  <si>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</si>
  <si>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</si>
  <si>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</si>
  <si>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</si>
  <si>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</si>
  <si>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</si>
  <si>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</si>
  <si>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</si>
  <si>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</si>
  <si>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</si>
  <si>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</si>
  <si>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</si>
  <si>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</si>
  <si>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</si>
  <si>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</si>
  <si>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</si>
  <si>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</si>
  <si>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102x0x0</t>
  </si>
  <si>
    <t>0x0x0</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</si>
  <si>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</si>
  <si>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</si>
  <si>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</si>
  <si>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</si>
  <si>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</si>
  <si>
    <t>BR Class 03</t>
  </si>
  <si>
    <t>br_class_03</t>
  </si>
  <si>
    <t>The Class 03 is a diesel-mechanical shunter, with a five speed manual gearbox driven through a fluid coupling. They were most useful in areas where the Class 08 was too large and heavy to operate.</t>
  </si>
  <si>
    <t>The Class 105 had a long and hard life on British Railways, mostly around the Eastern Region. Sadly this meant few survived in a viable condition for preservation.</t>
  </si>
  <si>
    <t>class_105,class_105_rev</t>
  </si>
  <si>
    <t>class_105</t>
  </si>
  <si>
    <t>kmhish_speed</t>
  </si>
  <si>
    <t>secondary_speed</t>
  </si>
  <si>
    <t>Forrester Single</t>
  </si>
  <si>
    <t>forrester_single</t>
  </si>
  <si>
    <t>George Forrester and Company built the first passenger tank locomotive to enter service. They were supplied to multiple railways in both tank and tender forms.</t>
  </si>
  <si>
    <t>Dandy wagon</t>
  </si>
  <si>
    <t>DANDY</t>
  </si>
  <si>
    <t>Early gravity railways sent cargo downhill with horses riding in dandy wagons. At the bottom the horses would be unloaded and used to haul the empty train back up the hill.</t>
  </si>
  <si>
    <t>dandy_wagon_ng</t>
  </si>
  <si>
    <t>DandyWagon</t>
  </si>
  <si>
    <t>Trevithick Tender</t>
  </si>
  <si>
    <t>trevithick_tender</t>
  </si>
  <si>
    <t>George England "Princess"</t>
  </si>
  <si>
    <t>princess</t>
  </si>
  <si>
    <t>princess_tender</t>
  </si>
  <si>
    <t>Princess Tender</t>
  </si>
  <si>
    <t>"Princess" was the first locomotive on the Ffestiniog Railway, going through multiple rebuilds and serving on the railway until its eventual closure in 1946.</t>
  </si>
  <si>
    <t>sort_order</t>
  </si>
  <si>
    <t>sort_feature</t>
  </si>
  <si>
    <t>LMS Beyer Garratt</t>
  </si>
  <si>
    <t>lms_beyer_garratt</t>
  </si>
  <si>
    <t>lms_beyer_garratt,lms_beyer_garratt_mid,lms_beyer_garratt_rear</t>
  </si>
  <si>
    <t>The LMS Beyer Garratt was the most-produced Garratt type locomotive, designed for hauling heavy freight. While they suffered from poor fuel efficiency and high maintenance requirements, they survived in service to the late 1950s.</t>
  </si>
  <si>
    <t>use_mu_engine_logic</t>
  </si>
  <si>
    <t>1,0,1</t>
  </si>
  <si>
    <t>purchase_length</t>
  </si>
  <si>
    <t>LNER U1</t>
  </si>
  <si>
    <t>lner_u1</t>
  </si>
  <si>
    <t>lner_u1,lner_u1_mid,lner_u1_rear</t>
  </si>
  <si>
    <t>FEAT_TRAINS</t>
  </si>
  <si>
    <t>23,26</t>
  </si>
  <si>
    <t>21,22</t>
  </si>
  <si>
    <t>The largest British steam locomotive ever built, the one-off U1 was designed by Sir Nigel Gresley as a banking engine for the Woodhead line. Although powerful it struggled to find a use after the Woodhead line was electrified, being scrapped in 1955.</t>
  </si>
  <si>
    <t>Hunslet 0-4-0ST "Alice"</t>
  </si>
  <si>
    <t>These small Hunslet tank engines were used as quarry locomotives. "Alice" worked at Dinorwic, being used as a source of spare parts afterward, before being restored in the late '80s and early '90s and now running on the Bala Lake Railway.</t>
  </si>
  <si>
    <t>Long Bolster</t>
  </si>
  <si>
    <t>long_bolster_ng</t>
  </si>
  <si>
    <t>Narrow gauge railways tend to use smaller vehicles capable of traversing tight turns, but the occasional larger wagon can be found on straighter routes.</t>
  </si>
  <si>
    <t>has_aged_variant</t>
  </si>
  <si>
    <t>CAF Mk5A carriage</t>
  </si>
  <si>
    <t>passenger_coach_mk5a</t>
  </si>
  <si>
    <t>The Mark 5A was built for loco-hauled services on the TransPennine Express, but was withdrawn barely four years after introduction.</t>
  </si>
  <si>
    <t>class_730_aventra</t>
  </si>
  <si>
    <t>class_730_aventra,class_730_aventra_mid_1,class_730_aventra_mid_2,class_730_aventra_power,class_730_aventra_rear</t>
  </si>
  <si>
    <t>1,1,1,1,1</t>
  </si>
  <si>
    <t>Bombardier Class 730/2 "Aventra"</t>
  </si>
  <si>
    <t>The 730/2 is the longer and faster variant of the Class 730 units built for West Midlands Trains, serving on their London Northwestern Railway routes over the West Coast Main Line.</t>
  </si>
  <si>
    <t>CAF Mk5A DVT</t>
  </si>
  <si>
    <t>passenger_coach_mk5a_dvt</t>
  </si>
  <si>
    <t>Mark 5A carriage sets include a driving van trailer, enabling loco-hauled trains to be driven from both ends.</t>
  </si>
  <si>
    <t>GWR "Great Bear"</t>
  </si>
  <si>
    <t>gwr_great_bear</t>
  </si>
  <si>
    <t>GWR 3700 "City" Class</t>
  </si>
  <si>
    <t>gwr_3700_class</t>
  </si>
  <si>
    <t>LNWR Precedent Class</t>
  </si>
  <si>
    <t>lnwr_precedent</t>
  </si>
  <si>
    <t>LNWR Improved Precedent Class</t>
  </si>
  <si>
    <t>lnwr_improved_precedent</t>
  </si>
  <si>
    <t>lnwr_early_tender</t>
  </si>
  <si>
    <t>LNWR Early Tender</t>
  </si>
  <si>
    <t>F.W. Webb's Precedent class was an express passenger locomotive. A large part of the class was given numbers and names of previously withdrawn locomotives, giving it a fragmented numbering scheme.</t>
  </si>
  <si>
    <t>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</si>
  <si>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LNER's B2 was a mixed traffic locomotive, the early examples of which were named after breeds of antelope, with 61018 "Gnu" having the record for shortest name given to a British locomotive. </t>
  </si>
  <si>
    <t>The Great Bear was a single locomotive, the first 4-6-2 "Pacific" type built in the UK, which served as the GWR's flagship until 1922 despite disappointing performance and low route availability.</t>
  </si>
  <si>
    <t>GWR Tender</t>
  </si>
  <si>
    <t>length_text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</si>
</sst>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2">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rgb="FFFFFF00"/>
        <bgColor indexed="64"/>
      </patternFill>
    </fill>
    <fill>
      <patternFill patternType="solid">
        <fgColor theme="0" tint="-0.14999847407452621"/>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xf numFmtId="0" fontId="0" fillId="10" borderId="0" xfId="0" applyFill="1"/>
    <xf numFmtId="0" fontId="0" fillId="11" borderId="0" xfId="0" applyFill="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H88"/>
  <sheetViews>
    <sheetView tabSelected="1" workbookViewId="0">
      <pane xSplit="1" ySplit="1" topLeftCell="BX2" activePane="bottomRight" state="frozenSplit"/>
      <selection pane="topRight" activeCell="B1" sqref="B1"/>
      <selection pane="bottomLeft" activeCell="A2" sqref="A2"/>
      <selection pane="bottomRight" activeCell="CB9" sqref="CB9"/>
    </sheetView>
  </sheetViews>
  <sheetFormatPr defaultRowHeight="15" x14ac:dyDescent="0.25"/>
  <cols>
    <col min="1" max="1" width="37.140625" bestFit="1" customWidth="1"/>
    <col min="2" max="2" width="28.28515625" bestFit="1" customWidth="1"/>
    <col min="3" max="3" width="13.28515625" bestFit="1" customWidth="1"/>
    <col min="4" max="5" width="13.28515625" customWidth="1"/>
    <col min="6" max="6" width="13.28515625" bestFit="1" customWidth="1"/>
    <col min="7" max="7" width="14.7109375" bestFit="1" customWidth="1"/>
    <col min="8" max="8" width="19.140625" customWidth="1"/>
    <col min="13" max="13" width="10.85546875" bestFit="1" customWidth="1"/>
    <col min="14" max="14" width="10.85546875" style="7" customWidth="1"/>
    <col min="15" max="15" width="5.140625" style="5" bestFit="1" customWidth="1"/>
    <col min="16" max="16" width="7.28515625" style="5" bestFit="1" customWidth="1"/>
    <col min="17" max="17" width="5.5703125" style="5" bestFit="1" customWidth="1"/>
    <col min="18" max="18" width="10" style="5" bestFit="1" customWidth="1"/>
    <col min="19" max="19" width="7.7109375" style="5" bestFit="1" customWidth="1"/>
    <col min="20" max="20" width="11" style="5" bestFit="1" customWidth="1"/>
    <col min="21" max="21" width="7.7109375" style="5" customWidth="1"/>
    <col min="22" max="22" width="10" bestFit="1" customWidth="1"/>
    <col min="23" max="23" width="16.5703125" style="7" bestFit="1" customWidth="1"/>
    <col min="24" max="24" width="13.28515625" customWidth="1"/>
    <col min="25" max="25" width="18" bestFit="1" customWidth="1"/>
    <col min="26" max="26" width="8.42578125" style="3" bestFit="1" customWidth="1"/>
    <col min="27" max="27" width="12.42578125" bestFit="1" customWidth="1"/>
    <col min="28" max="30" width="12.42578125" customWidth="1"/>
    <col min="31" max="31" width="10.5703125" bestFit="1" customWidth="1"/>
    <col min="32" max="32" width="9.28515625" bestFit="1" customWidth="1"/>
    <col min="33" max="33" width="10.5703125" customWidth="1"/>
    <col min="34" max="34" width="10.42578125" bestFit="1" customWidth="1"/>
    <col min="35" max="35" width="9.140625" style="9"/>
    <col min="36" max="36" width="10.28515625" style="14" bestFit="1" customWidth="1"/>
    <col min="37" max="37" width="10.28515625" style="14" customWidth="1"/>
    <col min="38" max="38" width="26.85546875" customWidth="1"/>
    <col min="39" max="39" width="18.42578125" style="14" bestFit="1" customWidth="1"/>
    <col min="40" max="40" width="18.42578125" customWidth="1"/>
    <col min="41" max="42" width="18.42578125" style="11" customWidth="1"/>
    <col min="43" max="43" width="31.140625" customWidth="1"/>
    <col min="44" max="44" width="17" customWidth="1"/>
    <col min="45" max="45" width="11.85546875" bestFit="1" customWidth="1"/>
    <col min="46" max="46" width="13.140625" bestFit="1" customWidth="1"/>
    <col min="47" max="47" width="9.42578125" bestFit="1" customWidth="1"/>
    <col min="48" max="48" width="9.42578125" customWidth="1"/>
    <col min="49" max="49" width="12.42578125" customWidth="1"/>
    <col min="50" max="50" width="9.42578125" style="14" customWidth="1"/>
    <col min="51" max="51" width="18.7109375" bestFit="1" customWidth="1"/>
    <col min="52" max="52" width="19.140625" bestFit="1" customWidth="1"/>
    <col min="53" max="53" width="15" style="16" hidden="1" customWidth="1"/>
    <col min="54" max="54" width="10" style="16" hidden="1" customWidth="1"/>
    <col min="55" max="55" width="9.140625" style="16" hidden="1" customWidth="1"/>
    <col min="56" max="56" width="9.7109375" style="16" hidden="1" customWidth="1"/>
    <col min="57" max="57" width="12.42578125" style="16" hidden="1" customWidth="1"/>
    <col min="58" max="59" width="16" style="16" hidden="1" customWidth="1"/>
    <col min="60" max="60" width="8.85546875" style="16" customWidth="1"/>
    <col min="61" max="61" width="11" style="16" customWidth="1"/>
    <col min="62" max="63" width="11" style="20" customWidth="1"/>
    <col min="71" max="71" width="31.140625" customWidth="1"/>
    <col min="73" max="73" width="19.140625" bestFit="1" customWidth="1"/>
    <col min="74" max="74" width="16.85546875" bestFit="1" customWidth="1"/>
    <col min="75" max="75" width="15.5703125" bestFit="1" customWidth="1"/>
    <col min="76" max="76" width="9.140625" style="22"/>
    <col min="77" max="77" width="15.7109375" bestFit="1" customWidth="1"/>
    <col min="78" max="78" width="21.7109375" style="22" bestFit="1" customWidth="1"/>
    <col min="79" max="79" width="26.28515625" style="22" bestFit="1" customWidth="1"/>
    <col min="80" max="80" width="26.28515625" style="22" customWidth="1"/>
    <col min="81" max="81" width="29" style="22" customWidth="1"/>
    <col min="82" max="82" width="38.42578125" style="22" customWidth="1"/>
    <col min="83" max="83" width="255.7109375" bestFit="1" customWidth="1"/>
    <col min="84" max="85" width="9.140625" style="22"/>
  </cols>
  <sheetData>
    <row r="1" spans="1:86" s="1" customFormat="1" x14ac:dyDescent="0.25">
      <c r="A1" s="1" t="s">
        <v>1</v>
      </c>
      <c r="B1" s="1" t="s">
        <v>2</v>
      </c>
      <c r="C1" s="1" t="s">
        <v>141</v>
      </c>
      <c r="D1" s="1" t="s">
        <v>476</v>
      </c>
      <c r="E1" s="1" t="s">
        <v>477</v>
      </c>
      <c r="F1" s="1" t="s">
        <v>0</v>
      </c>
      <c r="G1" s="1" t="s">
        <v>24</v>
      </c>
      <c r="H1" s="1" t="s">
        <v>27</v>
      </c>
      <c r="I1" s="1" t="s">
        <v>4</v>
      </c>
      <c r="J1" s="1" t="s">
        <v>5</v>
      </c>
      <c r="K1" s="1" t="s">
        <v>6</v>
      </c>
      <c r="L1" s="1" t="s">
        <v>7</v>
      </c>
      <c r="M1" s="1" t="s">
        <v>8</v>
      </c>
      <c r="N1" s="6" t="s">
        <v>101</v>
      </c>
      <c r="O1" s="4" t="s">
        <v>88</v>
      </c>
      <c r="P1" s="4" t="s">
        <v>85</v>
      </c>
      <c r="Q1" s="4" t="s">
        <v>86</v>
      </c>
      <c r="R1" s="4" t="s">
        <v>83</v>
      </c>
      <c r="S1" s="4" t="s">
        <v>84</v>
      </c>
      <c r="T1" s="4" t="s">
        <v>89</v>
      </c>
      <c r="U1" s="4" t="s">
        <v>87</v>
      </c>
      <c r="V1" s="1" t="s">
        <v>9</v>
      </c>
      <c r="W1" s="6" t="s">
        <v>10</v>
      </c>
      <c r="X1" s="1" t="s">
        <v>29</v>
      </c>
      <c r="Y1" s="1" t="s">
        <v>11</v>
      </c>
      <c r="Z1" s="2" t="s">
        <v>21</v>
      </c>
      <c r="AA1" s="1" t="s">
        <v>12</v>
      </c>
      <c r="AB1" s="1" t="s">
        <v>459</v>
      </c>
      <c r="AC1" s="1" t="s">
        <v>460</v>
      </c>
      <c r="AD1" s="1" t="s">
        <v>91</v>
      </c>
      <c r="AE1" s="1" t="s">
        <v>13</v>
      </c>
      <c r="AF1" s="1" t="s">
        <v>35</v>
      </c>
      <c r="AG1" s="1" t="s">
        <v>16</v>
      </c>
      <c r="AH1" s="1" t="s">
        <v>14</v>
      </c>
      <c r="AI1" s="8" t="s">
        <v>20</v>
      </c>
      <c r="AJ1" s="13" t="s">
        <v>3</v>
      </c>
      <c r="AK1" s="13" t="s">
        <v>22</v>
      </c>
      <c r="AL1" s="1" t="s">
        <v>36</v>
      </c>
      <c r="AM1" s="13" t="s">
        <v>17</v>
      </c>
      <c r="AN1" s="1" t="s">
        <v>211</v>
      </c>
      <c r="AO1" s="10" t="s">
        <v>118</v>
      </c>
      <c r="AP1" s="10" t="s">
        <v>202</v>
      </c>
      <c r="AQ1" s="1" t="s">
        <v>95</v>
      </c>
      <c r="AR1" s="1" t="s">
        <v>103</v>
      </c>
      <c r="AS1" s="1" t="s">
        <v>96</v>
      </c>
      <c r="AT1" s="1" t="s">
        <v>98</v>
      </c>
      <c r="AU1" s="1" t="s">
        <v>23</v>
      </c>
      <c r="AV1" s="1" t="s">
        <v>173</v>
      </c>
      <c r="AW1" s="1" t="s">
        <v>145</v>
      </c>
      <c r="AX1" s="13" t="s">
        <v>165</v>
      </c>
      <c r="AY1" s="1" t="s">
        <v>146</v>
      </c>
      <c r="AZ1" s="1" t="s">
        <v>163</v>
      </c>
      <c r="BA1" s="15" t="s">
        <v>147</v>
      </c>
      <c r="BB1" s="15" t="s">
        <v>148</v>
      </c>
      <c r="BC1" s="15" t="s">
        <v>149</v>
      </c>
      <c r="BD1" s="15" t="s">
        <v>152</v>
      </c>
      <c r="BE1" s="15" t="s">
        <v>158</v>
      </c>
      <c r="BF1" s="15" t="s">
        <v>153</v>
      </c>
      <c r="BG1" s="15" t="s">
        <v>157</v>
      </c>
      <c r="BH1" s="15" t="s">
        <v>30</v>
      </c>
      <c r="BI1" s="15" t="s">
        <v>31</v>
      </c>
      <c r="BJ1" s="18" t="s">
        <v>174</v>
      </c>
      <c r="BK1" s="18" t="s">
        <v>175</v>
      </c>
      <c r="BL1" s="1" t="s">
        <v>44</v>
      </c>
      <c r="BM1" s="1" t="s">
        <v>104</v>
      </c>
      <c r="BN1" s="1" t="s">
        <v>482</v>
      </c>
      <c r="BO1" s="1" t="s">
        <v>110</v>
      </c>
      <c r="BP1" s="1" t="s">
        <v>164</v>
      </c>
      <c r="BQ1" s="1" t="s">
        <v>167</v>
      </c>
      <c r="BR1" s="1" t="s">
        <v>484</v>
      </c>
      <c r="BS1" s="1" t="s">
        <v>168</v>
      </c>
      <c r="BT1" s="1" t="s">
        <v>171</v>
      </c>
      <c r="BU1" s="1" t="s">
        <v>172</v>
      </c>
      <c r="BV1" s="1" t="s">
        <v>144</v>
      </c>
      <c r="BW1" s="1" t="s">
        <v>33</v>
      </c>
      <c r="BX1" s="21" t="s">
        <v>58</v>
      </c>
      <c r="BY1" s="1" t="s">
        <v>79</v>
      </c>
      <c r="BZ1" s="21" t="s">
        <v>81</v>
      </c>
      <c r="CA1" s="21" t="s">
        <v>182</v>
      </c>
      <c r="CB1" s="21" t="s">
        <v>524</v>
      </c>
      <c r="CC1" s="21" t="s">
        <v>176</v>
      </c>
      <c r="CD1" s="21" t="s">
        <v>169</v>
      </c>
      <c r="CE1" s="1" t="s">
        <v>166</v>
      </c>
      <c r="CF1" s="21" t="s">
        <v>170</v>
      </c>
      <c r="CG1" s="21" t="s">
        <v>82</v>
      </c>
      <c r="CH1" s="1" t="s">
        <v>497</v>
      </c>
    </row>
    <row r="2" spans="1:86" ht="13.9" customHeight="1" x14ac:dyDescent="0.25">
      <c r="A2" t="s">
        <v>469</v>
      </c>
      <c r="B2" t="s">
        <v>470</v>
      </c>
      <c r="C2">
        <v>-1</v>
      </c>
      <c r="D2">
        <v>-1</v>
      </c>
      <c r="F2" t="s">
        <v>36</v>
      </c>
      <c r="G2" t="s">
        <v>36</v>
      </c>
      <c r="H2" t="s">
        <v>28</v>
      </c>
      <c r="I2">
        <v>1804</v>
      </c>
      <c r="V2">
        <v>2</v>
      </c>
      <c r="Z2" s="3" t="str">
        <f t="shared" ref="Z2" si="0">IF(AND(V2&gt;0,Y2&gt;0),(Y2/((V2+W2)*10)),"")</f>
        <v/>
      </c>
      <c r="AE2">
        <v>7.5</v>
      </c>
      <c r="AF2">
        <v>5</v>
      </c>
      <c r="AI2" s="9">
        <v>0</v>
      </c>
      <c r="AJ2" s="14" t="str">
        <f>CONCATENATE(VLOOKUP(AK2, 'Voxel Sizes'!$A$2:$B$18,2,FALSE),"x",INT(AG2*15), "x", INT(AH2*15))</f>
        <v>51x0x0</v>
      </c>
      <c r="AK2" s="14">
        <f t="shared" ref="AK2" si="1">ROUND(15*((AF2*10)/256),0)</f>
        <v>3</v>
      </c>
      <c r="AM2" s="14" t="str">
        <f>CONCATENATE(VLOOKUP(AK2,Constants!$A$2:$C$16,IF(AL2&lt;&gt;"", 3, 2), FALSE),IF(AL2&lt;&gt;"",CONCATENATE(",",VLOOKUP(AL2,$B:$AM,38,FALSE)),""))</f>
        <v>1,1,1</v>
      </c>
      <c r="AW2">
        <v>30</v>
      </c>
      <c r="AX2" s="14" t="str">
        <f t="shared" ref="AX2" si="2">IF(K2&lt;&gt;"",MAX(16,(K2-I2)+8),"")</f>
        <v/>
      </c>
      <c r="BA2" s="16">
        <f t="shared" ref="BA2" si="3">MIN(AA2/150, 1)*30</f>
        <v>0</v>
      </c>
      <c r="BB2" s="16">
        <f t="shared" ref="BB2" si="4">MIN(M2/4000, 1)*20</f>
        <v>0</v>
      </c>
      <c r="BC2" s="16">
        <f t="shared" ref="BC2" si="5">MIN(Y2/400,1)*20</f>
        <v>0</v>
      </c>
      <c r="BD2" s="17">
        <f t="shared" ref="BD2" si="6">1-(MAX(I2-1900, 0)/750)</f>
        <v>1</v>
      </c>
      <c r="BE2" s="16">
        <f t="shared" ref="BE2" si="7">((MAX($L2,1)*MIN($AI2/300,1)))*IF(F2="Wagon",50,10)</f>
        <v>0</v>
      </c>
      <c r="BF2" s="16">
        <f>VLOOKUP($G2,Constants!$I:$K, 2, FALSE)</f>
        <v>0</v>
      </c>
      <c r="BG2" s="16">
        <f>VLOOKUP($G2,Constants!$I:$K, 3, FALSE)*IF(AND(F2="multiple_unit",AA2&lt;110),0.75,1)</f>
        <v>0</v>
      </c>
      <c r="BH2" s="16">
        <f>INT(POWER(((Constants!$G$2+$BA2+$BB2+$BC2+$BE2)*$BD2)*$BG2, 1.05))+$AZ2</f>
        <v>0</v>
      </c>
      <c r="BI2" s="16">
        <f>INT(POWER((((Constants!$G$1+$BA2+$BB2+$BC2+$BE2)*($BD2))*$BF2),IF($F2="wagon",1,1.2)))+$AY2</f>
        <v>0</v>
      </c>
      <c r="BJ2" s="19">
        <f t="shared" ref="BJ2" si="8">BH2*IF($F2="wagon",62.5,781.25)</f>
        <v>0</v>
      </c>
      <c r="BK2" s="19">
        <f t="shared" ref="BK2" si="9">BI2*IF($F2="wagon",2.73,81.25)</f>
        <v>0</v>
      </c>
      <c r="BX2" s="22" t="str">
        <f>VLOOKUP(I2,Eras!$A$2:$C$10, 2, TRUE)</f>
        <v>early</v>
      </c>
      <c r="BY2" t="s">
        <v>62</v>
      </c>
      <c r="BZ2" s="22" t="str">
        <f t="shared" ref="BZ2" si="10">CONCATENATE(BX2,"_",BY2)</f>
        <v>early_Mixed Traffic</v>
      </c>
      <c r="CA2" s="22" t="str">
        <f t="shared" ref="CA2" si="11">_xlfn.CONCAT(G2, "_",H2)</f>
        <v>tender_RAIL</v>
      </c>
      <c r="CB2" s="25" t="str" cm="1">
        <f t="array" ref="CB2">IF(AM2&lt;&gt;"na", _xlfn.CONCAT("{BLACK}Length: {GOLD}", TEXT(ROUNDUP(IF(AP2&lt;&gt;"",SUM(VALUE(_xlfn.TEXTSPLIT(AP2, ","))), SUM(VALUE(_xlfn.TEXTSPLIT(AM2, ",")))*IF(L2, L2, 1))/16, 1),"#,##0.0"), " tiles{}"), "")</f>
        <v>{BLACK}Length: {GOLD}0.2 tiles{}</v>
      </c>
      <c r="CC2" s="22" t="str">
        <f>VLOOKUP($CA2, Constants!$M:$N, 2, FALSE)</f>
        <v/>
      </c>
      <c r="CD2" s="22" t="str">
        <f t="shared" ref="CD2:CD35" si="12">IF(AND(L2&gt;1,BN2&lt;&gt;1),_xlfn.CONCAT("{BLACK}Cars: {GOLD}", L2),"")</f>
        <v/>
      </c>
      <c r="CF2" s="22" t="str">
        <f t="shared" ref="CF2:CF76" si="13">IF(BW2="DANDY","{YELLOW}Faster downhill speeds for horse-drawn trains (1 required per 2 horses){}",IF(BW2="BRAKE","{YELLOW}Speed bonus for slow wagons{}",IF(BV2="NGPassengers","{YELLOW}Preserved railway bonus: passengers pay more when hauled by old locomotives{}",IF(AND(BU2&gt;190,NOT(AND(H2="NARROW_GAUGE",BW2&lt;&gt;"PASS"))),CONCATENATE("{YELLOW}",INT((BU2-185)/1.85),"% Bonus for long distance travel{}"),IF(AND(BU2&lt;180,BU2&lt;&gt;0),CONCATENATE("{YELLOW}",INT((185-BU2)/1.85),"% Penalty for long distance travel{}"),"")))))</f>
        <v/>
      </c>
      <c r="CG2" s="22" t="str">
        <f>_xlfn.CONCAT(CC2,IF(CC2 &lt;&gt; "", " ", ""),CD2,IF(OR(CD2&lt;&gt;"", CC2&lt;&gt;""), "{}",""), CB2, CF2, "{SILVER}", CE2)</f>
        <v>{BLACK}Length: {GOLD}0.2 tiles{}{SILVER}</v>
      </c>
    </row>
    <row r="3" spans="1:86" ht="13.9" customHeight="1" x14ac:dyDescent="0.25">
      <c r="A3" t="s">
        <v>362</v>
      </c>
      <c r="B3" t="s">
        <v>363</v>
      </c>
      <c r="C3">
        <v>-1</v>
      </c>
      <c r="D3">
        <v>-1</v>
      </c>
      <c r="F3" t="s">
        <v>36</v>
      </c>
      <c r="G3" t="s">
        <v>36</v>
      </c>
      <c r="H3" t="s">
        <v>28</v>
      </c>
      <c r="I3">
        <v>1870</v>
      </c>
      <c r="V3">
        <v>20</v>
      </c>
      <c r="Z3" s="3" t="str">
        <f t="shared" ref="Z3:Z13" si="14">IF(AND(V3&gt;0,Y3&gt;0),(Y3/((V3+W3)*10)),"")</f>
        <v/>
      </c>
      <c r="AE3">
        <v>7.5</v>
      </c>
      <c r="AF3">
        <v>8</v>
      </c>
      <c r="AI3" s="9">
        <v>0</v>
      </c>
      <c r="AJ3" s="14" t="str">
        <f>CONCATENATE(VLOOKUP(AK3, 'Voxel Sizes'!$A$2:$B$18,2,FALSE),"x",INT(AG3*15), "x", INT(AH3*15))</f>
        <v>82x0x0</v>
      </c>
      <c r="AK3" s="14">
        <f t="shared" ref="AK3:AK13" si="15">ROUND(15*((AF3*10)/256),0)</f>
        <v>5</v>
      </c>
      <c r="AM3" s="14" t="str">
        <f>CONCATENATE(VLOOKUP(AK3,Constants!$A$2:$C$16,IF(AL3&lt;&gt;"", 3, 2), FALSE),IF(AL3&lt;&gt;"",CONCATENATE(",",VLOOKUP(AL3,$B:$AM,38,FALSE)),""))</f>
        <v>2,1,2</v>
      </c>
      <c r="AW3">
        <v>30</v>
      </c>
      <c r="AX3" s="14" t="str">
        <f t="shared" ref="AX3:AX13" si="16">IF(K3&lt;&gt;"",MAX(16,(K3-I3)+8),"")</f>
        <v/>
      </c>
      <c r="BA3" s="16">
        <f t="shared" ref="BA3:BA13" si="17">MIN(AA3/150, 1)*30</f>
        <v>0</v>
      </c>
      <c r="BB3" s="16">
        <f t="shared" ref="BB3:BB13" si="18">MIN(M3/4000, 1)*20</f>
        <v>0</v>
      </c>
      <c r="BC3" s="16">
        <f t="shared" ref="BC3:BC13" si="19">MIN(Y3/400,1)*20</f>
        <v>0</v>
      </c>
      <c r="BD3" s="17">
        <f t="shared" ref="BD3:BD13" si="20">1-(MAX(I3-1900, 0)/750)</f>
        <v>1</v>
      </c>
      <c r="BE3" s="16">
        <f t="shared" ref="BE3:BE13" si="21">((MAX($L3,1)*MIN($AI3/300,1)))*IF(F3="Wagon",50,10)</f>
        <v>0</v>
      </c>
      <c r="BF3" s="16">
        <f>VLOOKUP($G3,Constants!$I:$K, 2, FALSE)</f>
        <v>0</v>
      </c>
      <c r="BG3" s="16">
        <f>VLOOKUP($G3,Constants!$I:$K, 3, FALSE)*IF(AND(F3="multiple_unit",AA3&lt;110),0.75,1)</f>
        <v>0</v>
      </c>
      <c r="BH3" s="16">
        <f>INT(POWER(((Constants!$G$2+$BA3+$BB3+$BC3+$BE3)*$BD3)*$BG3, 1.05))+$AZ3</f>
        <v>0</v>
      </c>
      <c r="BI3" s="16">
        <f>INT(POWER((((Constants!$G$1+$BA3+$BB3+$BC3+$BE3)*($BD3))*$BF3),IF($F3="wagon",1,1.2)))+$AY3</f>
        <v>0</v>
      </c>
      <c r="BJ3" s="19">
        <f t="shared" ref="BJ3:BJ13" si="22">BH3*IF($F3="wagon",62.5,781.25)</f>
        <v>0</v>
      </c>
      <c r="BK3" s="19">
        <f t="shared" ref="BK3:BK13" si="23">BI3*IF($F3="wagon",2.73,81.25)</f>
        <v>0</v>
      </c>
      <c r="BX3" s="22" t="str">
        <f>VLOOKUP(I3,Eras!$A$2:$C$10, 2, TRUE)</f>
        <v>vct</v>
      </c>
      <c r="BY3" t="s">
        <v>62</v>
      </c>
      <c r="BZ3" s="22" t="str">
        <f t="shared" ref="BZ3:BZ13" si="24">CONCATENATE(BX3,"_",BY3)</f>
        <v>vct_Mixed Traffic</v>
      </c>
      <c r="CA3" s="22" t="str">
        <f t="shared" ref="CA3:CA13" si="25">_xlfn.CONCAT(G3, "_",H3)</f>
        <v>tender_RAIL</v>
      </c>
      <c r="CB3" s="25" t="str" cm="1">
        <f t="array" ref="CB3">IF(AM3&lt;&gt;"na", _xlfn.CONCAT("{BLACK}Length: {GOLD}", TEXT(ROUNDUP(IF(AP3&lt;&gt;"",SUM(VALUE(_xlfn.TEXTSPLIT(AP3, ","))), SUM(VALUE(_xlfn.TEXTSPLIT(AM3, ",")))*IF(L3, L3, 1))/16, 1),"#,##0.0"), " tiles{}"), "")</f>
        <v>{BLACK}Length: {GOLD}0.4 tiles{}</v>
      </c>
      <c r="CC3" s="22" t="str">
        <f>VLOOKUP($CA3, Constants!$M:$N, 2, FALSE)</f>
        <v/>
      </c>
      <c r="CD3" s="22" t="str">
        <f t="shared" si="12"/>
        <v/>
      </c>
      <c r="CF3" s="22" t="str">
        <f t="shared" si="13"/>
        <v/>
      </c>
      <c r="CG3" s="22" t="str">
        <f t="shared" ref="CG3:CG66" si="26">_xlfn.CONCAT(CC3,IF(CC3 &lt;&gt; "", " ", ""),CD3,IF(OR(CD3&lt;&gt;"", CC3&lt;&gt;""), "{}",""), CB3, CF3, "{SILVER}", CE3)</f>
        <v>{BLACK}Length: {GOLD}0.4 tiles{}{SILVER}</v>
      </c>
    </row>
    <row r="4" spans="1:86" ht="13.9" customHeight="1" x14ac:dyDescent="0.25">
      <c r="A4" t="s">
        <v>518</v>
      </c>
      <c r="B4" t="s">
        <v>517</v>
      </c>
      <c r="C4">
        <v>-1</v>
      </c>
      <c r="D4">
        <v>-1</v>
      </c>
      <c r="F4" t="s">
        <v>36</v>
      </c>
      <c r="G4" t="s">
        <v>36</v>
      </c>
      <c r="H4" t="s">
        <v>28</v>
      </c>
      <c r="I4">
        <v>1874</v>
      </c>
      <c r="V4">
        <v>20</v>
      </c>
      <c r="Z4" s="3" t="str">
        <f t="shared" ref="Z4" si="27">IF(AND(V4&gt;0,Y4&gt;0),(Y4/((V4+W4)*10)),"")</f>
        <v/>
      </c>
      <c r="AE4">
        <v>7.5</v>
      </c>
      <c r="AF4">
        <v>8</v>
      </c>
      <c r="AI4" s="9">
        <v>0</v>
      </c>
      <c r="AJ4" s="14" t="str">
        <f>CONCATENATE(VLOOKUP(AK4, 'Voxel Sizes'!$A$2:$B$18,2,FALSE),"x",INT(AG4*15), "x", INT(AH4*15))</f>
        <v>82x0x0</v>
      </c>
      <c r="AK4" s="14">
        <f t="shared" ref="AK4" si="28">ROUND(15*((AF4*10)/256),0)</f>
        <v>5</v>
      </c>
      <c r="AM4" s="14" t="str">
        <f>CONCATENATE(VLOOKUP(AK4,Constants!$A$2:$C$16,IF(AL4&lt;&gt;"", 3, 2), FALSE),IF(AL4&lt;&gt;"",CONCATENATE(",",VLOOKUP(AL4,$B:$AM,38,FALSE)),""))</f>
        <v>2,1,2</v>
      </c>
      <c r="AW4">
        <v>30</v>
      </c>
      <c r="AX4" s="14" t="str">
        <f t="shared" ref="AX4" si="29">IF(K4&lt;&gt;"",MAX(16,(K4-I4)+8),"")</f>
        <v/>
      </c>
      <c r="BA4" s="16">
        <f t="shared" ref="BA4" si="30">MIN(AA4/150, 1)*30</f>
        <v>0</v>
      </c>
      <c r="BB4" s="16">
        <f t="shared" ref="BB4" si="31">MIN(M4/4000, 1)*20</f>
        <v>0</v>
      </c>
      <c r="BC4" s="16">
        <f t="shared" ref="BC4" si="32">MIN(Y4/400,1)*20</f>
        <v>0</v>
      </c>
      <c r="BD4" s="17">
        <f t="shared" ref="BD4" si="33">1-(MAX(I4-1900, 0)/750)</f>
        <v>1</v>
      </c>
      <c r="BE4" s="16">
        <f t="shared" ref="BE4" si="34">((MAX($L4,1)*MIN($AI4/300,1)))*IF(F4="Wagon",50,10)</f>
        <v>0</v>
      </c>
      <c r="BF4" s="16">
        <f>VLOOKUP($G4,Constants!$I:$K, 2, FALSE)</f>
        <v>0</v>
      </c>
      <c r="BG4" s="16">
        <f>VLOOKUP($G4,Constants!$I:$K, 3, FALSE)*IF(AND(F4="multiple_unit",AA4&lt;110),0.75,1)</f>
        <v>0</v>
      </c>
      <c r="BH4" s="16">
        <f>INT(POWER(((Constants!$G$2+$BA4+$BB4+$BC4+$BE4)*$BD4)*$BG4, 1.05))+$AZ4</f>
        <v>0</v>
      </c>
      <c r="BI4" s="16">
        <f>INT(POWER((((Constants!$G$1+$BA4+$BB4+$BC4+$BE4)*($BD4))*$BF4),IF($F4="wagon",1,1.2)))+$AY4</f>
        <v>0</v>
      </c>
      <c r="BJ4" s="19">
        <f t="shared" ref="BJ4" si="35">BH4*IF($F4="wagon",62.5,781.25)</f>
        <v>0</v>
      </c>
      <c r="BK4" s="19">
        <f t="shared" ref="BK4" si="36">BI4*IF($F4="wagon",2.73,81.25)</f>
        <v>0</v>
      </c>
      <c r="BX4" s="22" t="str">
        <f>VLOOKUP(I4,Eras!$A$2:$C$10, 2, TRUE)</f>
        <v>vct</v>
      </c>
      <c r="BY4" t="s">
        <v>62</v>
      </c>
      <c r="BZ4" s="22" t="str">
        <f t="shared" ref="BZ4" si="37">CONCATENATE(BX4,"_",BY4)</f>
        <v>vct_Mixed Traffic</v>
      </c>
      <c r="CA4" s="22" t="str">
        <f t="shared" ref="CA4" si="38">_xlfn.CONCAT(G4, "_",H4)</f>
        <v>tender_RAIL</v>
      </c>
      <c r="CB4" s="25" t="str" cm="1">
        <f t="array" ref="CB4">IF(AM4&lt;&gt;"na", _xlfn.CONCAT("{BLACK}Length: {GOLD}", TEXT(ROUNDUP(IF(AP4&lt;&gt;"",SUM(VALUE(_xlfn.TEXTSPLIT(AP4, ","))), SUM(VALUE(_xlfn.TEXTSPLIT(AM4, ",")))*IF(L4, L4, 1))/16, 1),"#,##0.0"), " tiles{}"), "")</f>
        <v>{BLACK}Length: {GOLD}0.4 tiles{}</v>
      </c>
      <c r="CC4" s="22" t="str">
        <f>VLOOKUP($CA4, Constants!$M:$N, 2, FALSE)</f>
        <v/>
      </c>
      <c r="CD4" s="22" t="str">
        <f t="shared" ref="CD4" si="39">IF(AND(L4&gt;1,BN4&lt;&gt;1),_xlfn.CONCAT("{BLACK}Cars: {GOLD}", L4),"")</f>
        <v/>
      </c>
      <c r="CF4" s="22" t="str">
        <f t="shared" ref="CF4" si="40">IF(BW4="DANDY","{YELLOW}Faster downhill speeds for horse-drawn trains (1 required per 2 horses){}",IF(BW4="BRAKE","{YELLOW}Speed bonus for slow wagons{}",IF(BV4="NGPassengers","{YELLOW}Preserved railway bonus: passengers pay more when hauled by old locomotives{}",IF(AND(BU4&gt;190,NOT(AND(H4="NARROW_GAUGE",BW4&lt;&gt;"PASS"))),CONCATENATE("{YELLOW}",INT((BU4-185)/1.85),"% Bonus for long distance travel{}"),IF(AND(BU4&lt;180,BU4&lt;&gt;0),CONCATENATE("{YELLOW}",INT((185-BU4)/1.85),"% Penalty for long distance travel{}"),"")))))</f>
        <v/>
      </c>
      <c r="CG4" s="22" t="str">
        <f t="shared" si="26"/>
        <v>{BLACK}Length: {GOLD}0.4 tiles{}{SILVER}</v>
      </c>
    </row>
    <row r="5" spans="1:86" ht="13.9" customHeight="1" x14ac:dyDescent="0.25">
      <c r="A5" t="s">
        <v>474</v>
      </c>
      <c r="B5" t="s">
        <v>473</v>
      </c>
      <c r="C5">
        <v>-1</v>
      </c>
      <c r="D5">
        <v>-1</v>
      </c>
      <c r="F5" t="s">
        <v>36</v>
      </c>
      <c r="G5" t="s">
        <v>36</v>
      </c>
      <c r="H5" t="s">
        <v>28</v>
      </c>
      <c r="I5">
        <v>1863</v>
      </c>
      <c r="V5">
        <v>4</v>
      </c>
      <c r="Z5" s="3" t="str">
        <f t="shared" si="14"/>
        <v/>
      </c>
      <c r="AE5">
        <v>7.5</v>
      </c>
      <c r="AF5">
        <v>5</v>
      </c>
      <c r="AI5" s="9">
        <v>0</v>
      </c>
      <c r="AJ5" s="14" t="str">
        <f>CONCATENATE(VLOOKUP(AK5, 'Voxel Sizes'!$A$2:$B$18,2,FALSE),"x",INT(AG5*15), "x", INT(AH5*15))</f>
        <v>51x0x0</v>
      </c>
      <c r="AK5" s="14">
        <f t="shared" si="15"/>
        <v>3</v>
      </c>
      <c r="AM5" s="14" t="str">
        <f>CONCATENATE(VLOOKUP(AK5,Constants!$A$2:$C$16,IF(AL5&lt;&gt;"", 3, 2), FALSE),IF(AL5&lt;&gt;"",CONCATENATE(",",VLOOKUP(AL5,$B:$AM,38,FALSE)),""))</f>
        <v>1,1,1</v>
      </c>
      <c r="AW5">
        <v>30</v>
      </c>
      <c r="AX5" s="14" t="str">
        <f t="shared" si="16"/>
        <v/>
      </c>
      <c r="BA5" s="16">
        <f t="shared" si="17"/>
        <v>0</v>
      </c>
      <c r="BB5" s="16">
        <f t="shared" si="18"/>
        <v>0</v>
      </c>
      <c r="BC5" s="16">
        <f t="shared" si="19"/>
        <v>0</v>
      </c>
      <c r="BD5" s="17">
        <f t="shared" si="20"/>
        <v>1</v>
      </c>
      <c r="BE5" s="16">
        <f t="shared" si="21"/>
        <v>0</v>
      </c>
      <c r="BF5" s="16">
        <f>VLOOKUP($G5,Constants!$I:$K, 2, FALSE)</f>
        <v>0</v>
      </c>
      <c r="BG5" s="16">
        <f>VLOOKUP($G5,Constants!$I:$K, 3, FALSE)*IF(AND(F5="multiple_unit",AA5&lt;110),0.75,1)</f>
        <v>0</v>
      </c>
      <c r="BH5" s="16">
        <f>INT(POWER(((Constants!$G$2+$BA5+$BB5+$BC5+$BE5)*$BD5)*$BG5, 1.05))+$AZ5</f>
        <v>0</v>
      </c>
      <c r="BI5" s="16">
        <f>INT(POWER((((Constants!$G$1+$BA5+$BB5+$BC5+$BE5)*($BD5))*$BF5),IF($F5="wagon",1,1.2)))+$AY5</f>
        <v>0</v>
      </c>
      <c r="BJ5" s="19">
        <f t="shared" si="22"/>
        <v>0</v>
      </c>
      <c r="BK5" s="19">
        <f t="shared" si="23"/>
        <v>0</v>
      </c>
      <c r="BX5" s="22" t="str">
        <f>VLOOKUP(I5,Eras!$A$2:$C$10, 2, TRUE)</f>
        <v>vct</v>
      </c>
      <c r="BY5" t="s">
        <v>62</v>
      </c>
      <c r="BZ5" s="22" t="str">
        <f t="shared" si="24"/>
        <v>vct_Mixed Traffic</v>
      </c>
      <c r="CA5" s="22" t="str">
        <f t="shared" si="25"/>
        <v>tender_RAIL</v>
      </c>
      <c r="CB5" s="25" t="str" cm="1">
        <f t="array" ref="CB5">IF(AM5&lt;&gt;"na", _xlfn.CONCAT("{BLACK}Length: {GOLD}", TEXT(ROUNDUP(IF(AP5&lt;&gt;"",SUM(VALUE(_xlfn.TEXTSPLIT(AP5, ","))), SUM(VALUE(_xlfn.TEXTSPLIT(AM5, ",")))*IF(L5, L5, 1))/16, 1),"#,##0.0"), " tiles{}"), "")</f>
        <v>{BLACK}Length: {GOLD}0.2 tiles{}</v>
      </c>
      <c r="CC5" s="22" t="str">
        <f>VLOOKUP($CA5, Constants!$M:$N, 2, FALSE)</f>
        <v/>
      </c>
      <c r="CD5" s="22" t="str">
        <f t="shared" si="12"/>
        <v/>
      </c>
      <c r="CF5" s="22" t="str">
        <f t="shared" si="13"/>
        <v/>
      </c>
      <c r="CG5" s="22" t="str">
        <f t="shared" si="26"/>
        <v>{BLACK}Length: {GOLD}0.2 tiles{}{SILVER}</v>
      </c>
    </row>
    <row r="6" spans="1:86" x14ac:dyDescent="0.25">
      <c r="A6" t="s">
        <v>444</v>
      </c>
      <c r="B6" t="s">
        <v>445</v>
      </c>
      <c r="C6">
        <v>-1</v>
      </c>
      <c r="D6">
        <v>-1</v>
      </c>
      <c r="F6" t="s">
        <v>36</v>
      </c>
      <c r="G6" t="s">
        <v>36</v>
      </c>
      <c r="H6" t="s">
        <v>28</v>
      </c>
      <c r="I6">
        <v>1840</v>
      </c>
      <c r="V6">
        <v>5</v>
      </c>
      <c r="Z6" s="3" t="str">
        <f t="shared" si="14"/>
        <v/>
      </c>
      <c r="AE6">
        <v>7.5</v>
      </c>
      <c r="AF6">
        <v>6</v>
      </c>
      <c r="AI6" s="9">
        <v>0</v>
      </c>
      <c r="AJ6" s="14" t="str">
        <f>CONCATENATE(VLOOKUP(AK6, 'Voxel Sizes'!$A$2:$B$18,2,FALSE),"x",INT(AG6*15), "x", INT(AH6*15))</f>
        <v>66x0x0</v>
      </c>
      <c r="AK6" s="14">
        <f t="shared" ref="AK6" si="41">ROUND(15*((AF6*10)/256),0)</f>
        <v>4</v>
      </c>
      <c r="AM6" s="14" t="str">
        <f>CONCATENATE(VLOOKUP(AK6,Constants!$A$2:$C$16,IF(AL6&lt;&gt;"", 3, 2), FALSE),IF(AL6&lt;&gt;"",CONCATENATE(",",VLOOKUP(AL6,$B:$AM,38,FALSE)),""))</f>
        <v>1,2,1</v>
      </c>
      <c r="AW6">
        <v>30</v>
      </c>
      <c r="AX6" s="14" t="str">
        <f t="shared" si="16"/>
        <v/>
      </c>
      <c r="BA6">
        <f t="shared" si="17"/>
        <v>0</v>
      </c>
      <c r="BB6">
        <f t="shared" si="18"/>
        <v>0</v>
      </c>
      <c r="BC6">
        <f t="shared" si="19"/>
        <v>0</v>
      </c>
      <c r="BD6" s="3">
        <f t="shared" si="20"/>
        <v>1</v>
      </c>
      <c r="BE6">
        <f t="shared" si="21"/>
        <v>0</v>
      </c>
      <c r="BF6">
        <v>0</v>
      </c>
      <c r="BG6">
        <v>0</v>
      </c>
      <c r="BH6">
        <v>0</v>
      </c>
      <c r="BI6">
        <v>0</v>
      </c>
      <c r="BJ6" s="23">
        <f t="shared" si="22"/>
        <v>0</v>
      </c>
      <c r="BK6" s="23">
        <f t="shared" si="23"/>
        <v>0</v>
      </c>
      <c r="BX6" t="s">
        <v>52</v>
      </c>
      <c r="BZ6" t="str">
        <f t="shared" si="24"/>
        <v>early_</v>
      </c>
      <c r="CA6" t="str">
        <f t="shared" si="25"/>
        <v>tender_RAIL</v>
      </c>
      <c r="CB6" s="25" t="str" cm="1">
        <f t="array" ref="CB6">IF(AM6&lt;&gt;"na", _xlfn.CONCAT("{BLACK}Length: {GOLD}", TEXT(ROUNDUP(IF(AP6&lt;&gt;"",SUM(VALUE(_xlfn.TEXTSPLIT(AP6, ","))), SUM(VALUE(_xlfn.TEXTSPLIT(AM6, ",")))*IF(L6, L6, 1))/16, 1),"#,##0.0"), " tiles{}"), "")</f>
        <v>{BLACK}Length: {GOLD}0.3 tiles{}</v>
      </c>
      <c r="CC6" s="22" t="str">
        <f>VLOOKUP($CA6, Constants!$M:$N, 2, FALSE)</f>
        <v/>
      </c>
      <c r="CD6" s="22" t="str">
        <f t="shared" si="12"/>
        <v/>
      </c>
      <c r="CF6" s="22" t="str">
        <f t="shared" si="13"/>
        <v/>
      </c>
      <c r="CG6" s="22" t="str">
        <f t="shared" si="26"/>
        <v>{BLACK}Length: {GOLD}0.3 tiles{}{SILVER}</v>
      </c>
    </row>
    <row r="7" spans="1:86" x14ac:dyDescent="0.25">
      <c r="A7" t="s">
        <v>450</v>
      </c>
      <c r="B7" t="s">
        <v>451</v>
      </c>
      <c r="C7">
        <v>-1</v>
      </c>
      <c r="D7">
        <v>-1</v>
      </c>
      <c r="F7" t="s">
        <v>36</v>
      </c>
      <c r="G7" t="s">
        <v>36</v>
      </c>
      <c r="H7" t="s">
        <v>28</v>
      </c>
      <c r="I7">
        <v>1848</v>
      </c>
      <c r="V7">
        <v>20</v>
      </c>
      <c r="Z7" s="3" t="str">
        <f t="shared" ref="Z7" si="42">IF(AND(V7&gt;0,Y7&gt;0),(Y7/((V7+W7)*10)),"")</f>
        <v/>
      </c>
      <c r="AE7">
        <v>7.5</v>
      </c>
      <c r="AF7">
        <v>6</v>
      </c>
      <c r="AI7" s="9">
        <v>0</v>
      </c>
      <c r="AJ7" s="14" t="str">
        <f>CONCATENATE(VLOOKUP(AK7, 'Voxel Sizes'!$A$2:$B$18,2,FALSE),"x",INT(AG7*15), "x", INT(AH7*15))</f>
        <v>66x0x0</v>
      </c>
      <c r="AK7" s="14">
        <f t="shared" ref="AK7" si="43">ROUND(15*((AF7*10)/256),0)</f>
        <v>4</v>
      </c>
      <c r="AM7" s="14" t="str">
        <f>CONCATENATE(VLOOKUP(AK7,Constants!$A$2:$C$16,IF(AL7&lt;&gt;"", 3, 2), FALSE),IF(AL7&lt;&gt;"",CONCATENATE(",",VLOOKUP(AL7,$B:$AM,38,FALSE)),""))</f>
        <v>1,2,1</v>
      </c>
      <c r="AW7">
        <v>30</v>
      </c>
      <c r="AX7" s="14" t="str">
        <f t="shared" ref="AX7" si="44">IF(K7&lt;&gt;"",MAX(16,(K7-I7)+8),"")</f>
        <v/>
      </c>
      <c r="BA7">
        <f t="shared" ref="BA7" si="45">MIN(AA7/150, 1)*30</f>
        <v>0</v>
      </c>
      <c r="BB7">
        <f t="shared" ref="BB7" si="46">MIN(M7/4000, 1)*20</f>
        <v>0</v>
      </c>
      <c r="BC7">
        <f t="shared" ref="BC7" si="47">MIN(Y7/400,1)*20</f>
        <v>0</v>
      </c>
      <c r="BD7" s="3">
        <f t="shared" ref="BD7" si="48">1-(MAX(I7-1900, 0)/750)</f>
        <v>1</v>
      </c>
      <c r="BE7">
        <f t="shared" ref="BE7" si="49">((MAX($L7,1)*MIN($AI7/300,1)))*IF(F7="Wagon",50,10)</f>
        <v>0</v>
      </c>
      <c r="BF7">
        <v>0</v>
      </c>
      <c r="BG7">
        <v>0</v>
      </c>
      <c r="BH7">
        <v>0</v>
      </c>
      <c r="BI7">
        <v>0</v>
      </c>
      <c r="BJ7" s="23">
        <f t="shared" ref="BJ7" si="50">BH7*IF($F7="wagon",62.5,781.25)</f>
        <v>0</v>
      </c>
      <c r="BK7" s="23">
        <f t="shared" ref="BK7" si="51">BI7*IF($F7="wagon",2.73,81.25)</f>
        <v>0</v>
      </c>
      <c r="BX7" t="s">
        <v>52</v>
      </c>
      <c r="BZ7" t="str">
        <f t="shared" ref="BZ7" si="52">CONCATENATE(BX7,"_",BY7)</f>
        <v>early_</v>
      </c>
      <c r="CA7" t="str">
        <f t="shared" ref="CA7" si="53">_xlfn.CONCAT(G7, "_",H7)</f>
        <v>tender_RAIL</v>
      </c>
      <c r="CB7" s="25" t="str" cm="1">
        <f t="array" ref="CB7">IF(AM7&lt;&gt;"na", _xlfn.CONCAT("{BLACK}Length: {GOLD}", TEXT(ROUNDUP(IF(AP7&lt;&gt;"",SUM(VALUE(_xlfn.TEXTSPLIT(AP7, ","))), SUM(VALUE(_xlfn.TEXTSPLIT(AM7, ",")))*IF(L7, L7, 1))/16, 1),"#,##0.0"), " tiles{}"), "")</f>
        <v>{BLACK}Length: {GOLD}0.3 tiles{}</v>
      </c>
      <c r="CC7" s="22" t="str">
        <f>VLOOKUP($CA7, Constants!$M:$N, 2, FALSE)</f>
        <v/>
      </c>
      <c r="CD7" s="22" t="str">
        <f t="shared" si="12"/>
        <v/>
      </c>
      <c r="CF7" s="22" t="str">
        <f t="shared" si="13"/>
        <v/>
      </c>
      <c r="CG7" s="22" t="str">
        <f t="shared" si="26"/>
        <v>{BLACK}Length: {GOLD}0.3 tiles{}{SILVER}</v>
      </c>
    </row>
    <row r="8" spans="1:86" x14ac:dyDescent="0.25">
      <c r="A8" t="s">
        <v>404</v>
      </c>
      <c r="B8" t="s">
        <v>405</v>
      </c>
      <c r="C8">
        <v>-1</v>
      </c>
      <c r="D8">
        <v>-1</v>
      </c>
      <c r="F8" t="s">
        <v>36</v>
      </c>
      <c r="G8" t="s">
        <v>36</v>
      </c>
      <c r="H8" t="s">
        <v>28</v>
      </c>
      <c r="I8">
        <v>1870</v>
      </c>
      <c r="V8">
        <v>42</v>
      </c>
      <c r="Z8" s="3" t="str">
        <f t="shared" si="14"/>
        <v/>
      </c>
      <c r="AE8">
        <v>7.5</v>
      </c>
      <c r="AF8">
        <v>8</v>
      </c>
      <c r="AI8" s="9">
        <v>0</v>
      </c>
      <c r="AJ8" s="14" t="str">
        <f>CONCATENATE(VLOOKUP(AK8, 'Voxel Sizes'!$A$2:$B$18,2,FALSE),"x",INT(AG8*15), "x", INT(AH8*15))</f>
        <v>82x0x0</v>
      </c>
      <c r="AK8" s="14">
        <f t="shared" si="15"/>
        <v>5</v>
      </c>
      <c r="AM8" s="14" t="str">
        <f>CONCATENATE(VLOOKUP(AK8,Constants!$A$2:$C$16,IF(AL8&lt;&gt;"", 3, 2), FALSE),IF(AL8&lt;&gt;"",CONCATENATE(",",VLOOKUP(AL8,$B:$AM,38,FALSE)),""))</f>
        <v>2,1,2</v>
      </c>
      <c r="AW8">
        <v>30</v>
      </c>
      <c r="AX8" s="14" t="str">
        <f t="shared" si="16"/>
        <v/>
      </c>
      <c r="BA8" s="16">
        <f t="shared" si="17"/>
        <v>0</v>
      </c>
      <c r="BB8" s="16">
        <f t="shared" si="18"/>
        <v>0</v>
      </c>
      <c r="BC8" s="16">
        <f t="shared" si="19"/>
        <v>0</v>
      </c>
      <c r="BD8" s="17">
        <f t="shared" si="20"/>
        <v>1</v>
      </c>
      <c r="BE8" s="16">
        <f t="shared" si="21"/>
        <v>0</v>
      </c>
      <c r="BF8" s="16">
        <f>VLOOKUP($G8,Constants!$I:$K, 2, FALSE)</f>
        <v>0</v>
      </c>
      <c r="BG8" s="16">
        <f>VLOOKUP($G8,Constants!$I:$K, 3, FALSE)*IF(AND(F8="multiple_unit",AA8&lt;110),0.75,1)</f>
        <v>0</v>
      </c>
      <c r="BH8" s="16">
        <f>INT(POWER(((Constants!$G$2+$BA8+$BB8+$BC8+$BE8)*$BD8)*$BG8, 1.05))+$AZ8</f>
        <v>0</v>
      </c>
      <c r="BI8" s="16">
        <f>INT(POWER((((Constants!$G$1+$BA8+$BB8+$BC8+$BE8)*($BD8))*$BF8),IF($F8="wagon",1,1.2)))+$AY8</f>
        <v>0</v>
      </c>
      <c r="BJ8" s="19">
        <f t="shared" si="22"/>
        <v>0</v>
      </c>
      <c r="BK8" s="19">
        <f t="shared" si="23"/>
        <v>0</v>
      </c>
      <c r="BX8" s="22" t="str">
        <f>VLOOKUP(I8,Eras!$A$2:$C$10, 2, TRUE)</f>
        <v>vct</v>
      </c>
      <c r="BY8" t="s">
        <v>62</v>
      </c>
      <c r="BZ8" s="22" t="str">
        <f t="shared" si="24"/>
        <v>vct_Mixed Traffic</v>
      </c>
      <c r="CA8" s="22" t="str">
        <f t="shared" si="25"/>
        <v>tender_RAIL</v>
      </c>
      <c r="CB8" s="25" t="str" cm="1">
        <f t="array" ref="CB8">IF(AM8&lt;&gt;"na", _xlfn.CONCAT("{BLACK}Length: {GOLD}", TEXT(ROUNDUP(IF(AP8&lt;&gt;"",SUM(VALUE(_xlfn.TEXTSPLIT(AP8, ","))), SUM(VALUE(_xlfn.TEXTSPLIT(AM8, ",")))*IF(L8, L8, 1))/16, 1),"#,##0.0"), " tiles{}"), "")</f>
        <v>{BLACK}Length: {GOLD}0.4 tiles{}</v>
      </c>
      <c r="CC8" s="22" t="str">
        <f>VLOOKUP($CA8, Constants!$M:$N, 2, FALSE)</f>
        <v/>
      </c>
      <c r="CD8" s="22" t="str">
        <f t="shared" si="12"/>
        <v/>
      </c>
      <c r="CF8" s="22" t="str">
        <f t="shared" si="13"/>
        <v/>
      </c>
      <c r="CG8" s="22" t="str">
        <f t="shared" si="26"/>
        <v>{BLACK}Length: {GOLD}0.4 tiles{}{SILVER}</v>
      </c>
    </row>
    <row r="9" spans="1:86" x14ac:dyDescent="0.25">
      <c r="A9" t="s">
        <v>381</v>
      </c>
      <c r="B9" t="s">
        <v>382</v>
      </c>
      <c r="C9">
        <v>-1</v>
      </c>
      <c r="D9">
        <v>-1</v>
      </c>
      <c r="F9" t="s">
        <v>36</v>
      </c>
      <c r="G9" t="s">
        <v>36</v>
      </c>
      <c r="H9" t="s">
        <v>28</v>
      </c>
      <c r="I9">
        <v>1870</v>
      </c>
      <c r="V9">
        <v>42</v>
      </c>
      <c r="Z9" s="3" t="str">
        <f t="shared" si="14"/>
        <v/>
      </c>
      <c r="AE9">
        <v>7.5</v>
      </c>
      <c r="AF9">
        <v>8</v>
      </c>
      <c r="AI9" s="9">
        <v>0</v>
      </c>
      <c r="AJ9" s="14" t="str">
        <f>CONCATENATE(VLOOKUP(AK9, 'Voxel Sizes'!$A$2:$B$18,2,FALSE),"x",INT(AG9*15), "x", INT(AH9*15))</f>
        <v>82x0x0</v>
      </c>
      <c r="AK9" s="14">
        <f t="shared" si="15"/>
        <v>5</v>
      </c>
      <c r="AM9" s="14" t="str">
        <f>CONCATENATE(VLOOKUP(AK9,Constants!$A$2:$C$16,IF(AL9&lt;&gt;"", 3, 2), FALSE),IF(AL9&lt;&gt;"",CONCATENATE(",",VLOOKUP(AL9,$B:$AM,38,FALSE)),""))</f>
        <v>2,1,2</v>
      </c>
      <c r="AW9">
        <v>30</v>
      </c>
      <c r="AX9" s="14" t="str">
        <f t="shared" si="16"/>
        <v/>
      </c>
      <c r="BA9" s="16">
        <f t="shared" si="17"/>
        <v>0</v>
      </c>
      <c r="BB9" s="16">
        <f t="shared" si="18"/>
        <v>0</v>
      </c>
      <c r="BC9" s="16">
        <f t="shared" si="19"/>
        <v>0</v>
      </c>
      <c r="BD9" s="17">
        <f t="shared" si="20"/>
        <v>1</v>
      </c>
      <c r="BE9" s="16">
        <f t="shared" si="21"/>
        <v>0</v>
      </c>
      <c r="BF9" s="16">
        <f>VLOOKUP($G9,Constants!$I:$K, 2, FALSE)</f>
        <v>0</v>
      </c>
      <c r="BG9" s="16">
        <f>VLOOKUP($G9,Constants!$I:$K, 3, FALSE)*IF(AND(F9="multiple_unit",AA9&lt;110),0.75,1)</f>
        <v>0</v>
      </c>
      <c r="BH9" s="16">
        <f>INT(POWER(((Constants!$G$2+$BA9+$BB9+$BC9+$BE9)*$BD9)*$BG9, 1.05))+$AZ9</f>
        <v>0</v>
      </c>
      <c r="BI9" s="16">
        <f>INT(POWER((((Constants!$G$1+$BA9+$BB9+$BC9+$BE9)*($BD9))*$BF9),IF($F9="wagon",1,1.2)))+$AY9</f>
        <v>0</v>
      </c>
      <c r="BJ9" s="19">
        <f t="shared" si="22"/>
        <v>0</v>
      </c>
      <c r="BK9" s="19">
        <f t="shared" si="23"/>
        <v>0</v>
      </c>
      <c r="BX9" s="22" t="str">
        <f>VLOOKUP(I9,Eras!$A$2:$C$10, 2, TRUE)</f>
        <v>vct</v>
      </c>
      <c r="BY9" t="s">
        <v>62</v>
      </c>
      <c r="BZ9" s="22" t="str">
        <f t="shared" si="24"/>
        <v>vct_Mixed Traffic</v>
      </c>
      <c r="CA9" s="22" t="str">
        <f t="shared" si="25"/>
        <v>tender_RAIL</v>
      </c>
      <c r="CB9" s="25" t="str" cm="1">
        <f t="array" ref="CB9">IF(AM9&lt;&gt;"na", _xlfn.CONCAT("{BLACK}Length: {GOLD}", TEXT(ROUNDUP(IF(AP9&lt;&gt;"",SUM(VALUE(_xlfn.TEXTSPLIT(AP9, ","))), SUM(VALUE(_xlfn.TEXTSPLIT(AM9, ",")))*IF(L9, L9, 1))/16, 1),"#,##0.0"), " tiles{}"), "")</f>
        <v>{BLACK}Length: {GOLD}0.4 tiles{}</v>
      </c>
      <c r="CC9" s="22" t="str">
        <f>VLOOKUP($CA9, Constants!$M:$N, 2, FALSE)</f>
        <v/>
      </c>
      <c r="CD9" s="22" t="str">
        <f t="shared" si="12"/>
        <v/>
      </c>
      <c r="CF9" s="22" t="str">
        <f t="shared" si="13"/>
        <v/>
      </c>
      <c r="CG9" s="22" t="str">
        <f t="shared" si="26"/>
        <v>{BLACK}Length: {GOLD}0.4 tiles{}{SILVER}</v>
      </c>
    </row>
    <row r="10" spans="1:86" x14ac:dyDescent="0.25">
      <c r="A10" t="s">
        <v>386</v>
      </c>
      <c r="B10" t="s">
        <v>385</v>
      </c>
      <c r="C10">
        <v>-1</v>
      </c>
      <c r="D10">
        <v>-1</v>
      </c>
      <c r="F10" t="s">
        <v>36</v>
      </c>
      <c r="G10" t="s">
        <v>36</v>
      </c>
      <c r="H10" t="s">
        <v>28</v>
      </c>
      <c r="I10">
        <v>1870</v>
      </c>
      <c r="V10">
        <v>42</v>
      </c>
      <c r="Z10" s="3" t="str">
        <f t="shared" si="14"/>
        <v/>
      </c>
      <c r="AE10">
        <v>7.5</v>
      </c>
      <c r="AF10">
        <v>8</v>
      </c>
      <c r="AI10" s="9">
        <v>0</v>
      </c>
      <c r="AJ10" s="14" t="str">
        <f>CONCATENATE(VLOOKUP(AK10, 'Voxel Sizes'!$A$2:$B$18,2,FALSE),"x",INT(AG10*15), "x", INT(AH10*15))</f>
        <v>82x0x0</v>
      </c>
      <c r="AK10" s="14">
        <f t="shared" si="15"/>
        <v>5</v>
      </c>
      <c r="AM10" s="14" t="str">
        <f>CONCATENATE(VLOOKUP(AK10,Constants!$A$2:$C$16,IF(AL10&lt;&gt;"", 3, 2), FALSE),IF(AL10&lt;&gt;"",CONCATENATE(",",VLOOKUP(AL10,$B:$AM,38,FALSE)),""))</f>
        <v>2,1,2</v>
      </c>
      <c r="AW10">
        <v>30</v>
      </c>
      <c r="AX10" s="14" t="str">
        <f t="shared" si="16"/>
        <v/>
      </c>
      <c r="BA10" s="16">
        <f t="shared" si="17"/>
        <v>0</v>
      </c>
      <c r="BB10" s="16">
        <f t="shared" si="18"/>
        <v>0</v>
      </c>
      <c r="BC10" s="16">
        <f t="shared" si="19"/>
        <v>0</v>
      </c>
      <c r="BD10" s="17">
        <f t="shared" si="20"/>
        <v>1</v>
      </c>
      <c r="BE10" s="16">
        <f t="shared" si="21"/>
        <v>0</v>
      </c>
      <c r="BF10" s="16">
        <f>VLOOKUP($G10,Constants!$I:$K, 2, FALSE)</f>
        <v>0</v>
      </c>
      <c r="BG10" s="16">
        <f>VLOOKUP($G10,Constants!$I:$K, 3, FALSE)*IF(AND(F10="multiple_unit",AA10&lt;110),0.75,1)</f>
        <v>0</v>
      </c>
      <c r="BH10" s="16">
        <f>INT(POWER(((Constants!$G$2+$BA10+$BB10+$BC10+$BE10)*$BD10)*$BG10, 1.05))+$AZ10</f>
        <v>0</v>
      </c>
      <c r="BI10" s="16">
        <f>INT(POWER((((Constants!$G$1+$BA10+$BB10+$BC10+$BE10)*($BD10))*$BF10),IF($F10="wagon",1,1.2)))+$AY10</f>
        <v>0</v>
      </c>
      <c r="BJ10" s="19">
        <f t="shared" si="22"/>
        <v>0</v>
      </c>
      <c r="BK10" s="19">
        <f t="shared" si="23"/>
        <v>0</v>
      </c>
      <c r="BX10" s="22" t="str">
        <f>VLOOKUP(I10,Eras!$A$2:$C$10, 2, TRUE)</f>
        <v>vct</v>
      </c>
      <c r="BY10" t="s">
        <v>62</v>
      </c>
      <c r="BZ10" s="22" t="str">
        <f t="shared" si="24"/>
        <v>vct_Mixed Traffic</v>
      </c>
      <c r="CA10" s="22" t="str">
        <f t="shared" si="25"/>
        <v>tender_RAIL</v>
      </c>
      <c r="CB10" s="25" t="str" cm="1">
        <f t="array" ref="CB10">IF(AM10&lt;&gt;"na", _xlfn.CONCAT("{BLACK}Length: {GOLD}", TEXT(ROUNDUP(IF(AP10&lt;&gt;"",SUM(VALUE(_xlfn.TEXTSPLIT(AP10, ","))), SUM(VALUE(_xlfn.TEXTSPLIT(AM10, ",")))*IF(L10, L10, 1))/16, 1),"#,##0.0"), " tiles{}"), "")</f>
        <v>{BLACK}Length: {GOLD}0.4 tiles{}</v>
      </c>
      <c r="CC10" s="22" t="str">
        <f>VLOOKUP($CA10, Constants!$M:$N, 2, FALSE)</f>
        <v/>
      </c>
      <c r="CD10" s="22" t="str">
        <f t="shared" si="12"/>
        <v/>
      </c>
      <c r="CF10" s="22" t="str">
        <f t="shared" si="13"/>
        <v/>
      </c>
      <c r="CG10" s="22" t="str">
        <f t="shared" si="26"/>
        <v>{BLACK}Length: {GOLD}0.4 tiles{}{SILVER}</v>
      </c>
    </row>
    <row r="11" spans="1:86" x14ac:dyDescent="0.25">
      <c r="A11" t="s">
        <v>523</v>
      </c>
      <c r="B11" t="s">
        <v>419</v>
      </c>
      <c r="C11">
        <v>-1</v>
      </c>
      <c r="D11">
        <v>-1</v>
      </c>
      <c r="F11" t="s">
        <v>36</v>
      </c>
      <c r="G11" t="s">
        <v>36</v>
      </c>
      <c r="H11" t="s">
        <v>28</v>
      </c>
      <c r="I11">
        <v>1900</v>
      </c>
      <c r="V11">
        <v>42</v>
      </c>
      <c r="Z11" s="3" t="str">
        <f t="shared" si="14"/>
        <v/>
      </c>
      <c r="AE11">
        <v>7.5</v>
      </c>
      <c r="AF11">
        <v>8</v>
      </c>
      <c r="AI11" s="9">
        <v>0</v>
      </c>
      <c r="AJ11" s="14" t="str">
        <f>CONCATENATE(VLOOKUP(AK11, 'Voxel Sizes'!$A$2:$B$18,2,FALSE),"x",INT(AG11*15), "x", INT(AH11*15))</f>
        <v>82x0x0</v>
      </c>
      <c r="AK11" s="14">
        <f t="shared" ref="AK11" si="54">ROUND(15*((AF11*10)/256),0)</f>
        <v>5</v>
      </c>
      <c r="AM11" s="14" t="str">
        <f>CONCATENATE(VLOOKUP(AK11,Constants!$A$2:$C$16,IF(AL11&lt;&gt;"", 3, 2), FALSE),IF(AL11&lt;&gt;"",CONCATENATE(",",VLOOKUP(AL11,$B:$AM,38,FALSE)),""))</f>
        <v>2,1,2</v>
      </c>
      <c r="AW11">
        <v>30</v>
      </c>
      <c r="AX11" s="14" t="str">
        <f t="shared" si="16"/>
        <v/>
      </c>
      <c r="BA11" s="16">
        <f t="shared" ref="BA11" si="55">MIN(AA11/150, 1)*30</f>
        <v>0</v>
      </c>
      <c r="BB11" s="16">
        <f t="shared" ref="BB11" si="56">MIN(M11/4000, 1)*20</f>
        <v>0</v>
      </c>
      <c r="BC11" s="16">
        <f t="shared" ref="BC11" si="57">MIN(Y11/400,1)*20</f>
        <v>0</v>
      </c>
      <c r="BD11" s="17">
        <f t="shared" ref="BD11" si="58">1-(MAX(I11-1900, 0)/750)</f>
        <v>1</v>
      </c>
      <c r="BE11" s="16">
        <f t="shared" ref="BE11" si="59">((MAX($L11,1)*MIN($AI11/300,1)))*IF(F11="Wagon",50,10)</f>
        <v>0</v>
      </c>
      <c r="BF11" s="16">
        <f>VLOOKUP($G11,Constants!$I:$K, 2, FALSE)</f>
        <v>0</v>
      </c>
      <c r="BG11" s="16">
        <f>VLOOKUP($G11,Constants!$I:$K, 3, FALSE)*IF(AND(F11="multiple_unit",AA11&lt;110),0.75,1)</f>
        <v>0</v>
      </c>
      <c r="BH11" s="16">
        <f>INT(POWER(((Constants!$G$2+$BA11+$BB11+$BC11+$BE11)*$BD11)*$BG11, 1.05))+$AZ11</f>
        <v>0</v>
      </c>
      <c r="BI11" s="16">
        <f>INT(POWER((((Constants!$G$1+$BA11+$BB11+$BC11+$BE11)*($BD11))*$BF11),IF($F11="wagon",1,1.2)))+$AY11</f>
        <v>0</v>
      </c>
      <c r="BJ11" s="19">
        <f t="shared" ref="BJ11" si="60">BH11*IF($F11="wagon",62.5,781.25)</f>
        <v>0</v>
      </c>
      <c r="BK11" s="19">
        <f t="shared" ref="BK11" si="61">BI11*IF($F11="wagon",2.73,81.25)</f>
        <v>0</v>
      </c>
      <c r="BX11" s="22" t="str">
        <f>VLOOKUP(I11,Eras!$A$2:$C$10, 2, TRUE)</f>
        <v>edw</v>
      </c>
      <c r="BY11" t="s">
        <v>62</v>
      </c>
      <c r="BZ11" s="22" t="str">
        <f t="shared" ref="BZ11" si="62">CONCATENATE(BX11,"_",BY11)</f>
        <v>edw_Mixed Traffic</v>
      </c>
      <c r="CA11" s="22" t="str">
        <f t="shared" ref="CA11" si="63">_xlfn.CONCAT(G11, "_",H11)</f>
        <v>tender_RAIL</v>
      </c>
      <c r="CB11" s="25" t="str" cm="1">
        <f t="array" ref="CB11">IF(AM11&lt;&gt;"na", _xlfn.CONCAT("{BLACK}Length: {GOLD}", TEXT(ROUNDUP(IF(AP11&lt;&gt;"",SUM(VALUE(_xlfn.TEXTSPLIT(AP11, ","))), SUM(VALUE(_xlfn.TEXTSPLIT(AM11, ",")))*IF(L11, L11, 1))/16, 1),"#,##0.0"), " tiles{}"), "")</f>
        <v>{BLACK}Length: {GOLD}0.4 tiles{}</v>
      </c>
      <c r="CC11" s="22" t="str">
        <f>VLOOKUP($CA11, Constants!$M:$N, 2, FALSE)</f>
        <v/>
      </c>
      <c r="CD11" s="22" t="str">
        <f t="shared" si="12"/>
        <v/>
      </c>
      <c r="CF11"/>
      <c r="CG11" s="22" t="str">
        <f t="shared" si="26"/>
        <v>{BLACK}Length: {GOLD}0.4 tiles{}{SILVER}</v>
      </c>
    </row>
    <row r="12" spans="1:86" x14ac:dyDescent="0.25">
      <c r="A12" t="s">
        <v>230</v>
      </c>
      <c r="B12" t="s">
        <v>225</v>
      </c>
      <c r="C12">
        <v>1061</v>
      </c>
      <c r="D12">
        <v>1000</v>
      </c>
      <c r="E12" t="s">
        <v>488</v>
      </c>
      <c r="F12" t="s">
        <v>32</v>
      </c>
      <c r="G12" t="s">
        <v>159</v>
      </c>
      <c r="H12" t="s">
        <v>28</v>
      </c>
      <c r="I12">
        <v>1906</v>
      </c>
      <c r="K12">
        <v>1955</v>
      </c>
      <c r="V12">
        <v>31</v>
      </c>
      <c r="X12">
        <v>6</v>
      </c>
      <c r="Z12" s="3" t="str">
        <f t="shared" si="14"/>
        <v/>
      </c>
      <c r="AA12">
        <v>100</v>
      </c>
      <c r="AB12">
        <f t="shared" ref="AB12:AB57" si="64">ROUND(AA12*1.6, 0)</f>
        <v>160</v>
      </c>
      <c r="AE12">
        <v>17.7</v>
      </c>
      <c r="AF12">
        <v>17.7</v>
      </c>
      <c r="AG12">
        <v>2.83</v>
      </c>
      <c r="AH12">
        <v>3.79</v>
      </c>
      <c r="AI12" s="9">
        <v>57</v>
      </c>
      <c r="AJ12" s="14" t="str">
        <f>CONCATENATE(VLOOKUP(AK12, 'Voxel Sizes'!$A$2:$B$18,2,FALSE),"x",INT(AG12*15), "x", INT(AH12*15))</f>
        <v>164x42x56</v>
      </c>
      <c r="AK12" s="14">
        <f t="shared" si="15"/>
        <v>10</v>
      </c>
      <c r="AM12" s="14" t="str">
        <f>CONCATENATE(VLOOKUP(AK12,Constants!$A$2:$C$16,IF(AL12&lt;&gt;"", 3, 2), FALSE),IF(AL12&lt;&gt;"",CONCATENATE(",",VLOOKUP(AL12,$B:$AM,38,FALSE)),""))</f>
        <v>4,2,4</v>
      </c>
      <c r="AW12">
        <v>30</v>
      </c>
      <c r="AX12" s="14">
        <f t="shared" si="16"/>
        <v>57</v>
      </c>
      <c r="AY12">
        <v>72</v>
      </c>
      <c r="AZ12">
        <f>20*3</f>
        <v>60</v>
      </c>
      <c r="BA12" s="16">
        <f t="shared" si="17"/>
        <v>20</v>
      </c>
      <c r="BB12" s="16">
        <f t="shared" si="18"/>
        <v>0</v>
      </c>
      <c r="BC12" s="16">
        <f t="shared" si="19"/>
        <v>0</v>
      </c>
      <c r="BD12" s="17">
        <f t="shared" si="20"/>
        <v>0.99199999999999999</v>
      </c>
      <c r="BE12" s="16">
        <f t="shared" si="21"/>
        <v>9.5</v>
      </c>
      <c r="BF12" s="16">
        <f>VLOOKUP($G12,Constants!$I:$K, 2, FALSE)</f>
        <v>1.2</v>
      </c>
      <c r="BG12" s="16">
        <f>VLOOKUP($G12,Constants!$I:$K, 3, FALSE)*IF(AND(F12="multiple_unit",AA12&lt;110),0.75,1)</f>
        <v>0.6</v>
      </c>
      <c r="BH12" s="16">
        <f>INT(POWER(((Constants!$G$2+$BA12+$BB12+$BC12+$BE12)*$BD12)*$BG12, 1.05))+$AZ12</f>
        <v>83</v>
      </c>
      <c r="BI12" s="16">
        <f>INT(POWER((((Constants!$G$1+$BA12+$BB12+$BC12+$BE12)*($BD12))*$BF12),IF($F12="wagon",1,1.2)))+$AY12</f>
        <v>124</v>
      </c>
      <c r="BJ12" s="19">
        <f t="shared" si="22"/>
        <v>5187.5</v>
      </c>
      <c r="BK12" s="19">
        <f t="shared" si="23"/>
        <v>338.52</v>
      </c>
      <c r="BT12">
        <v>1</v>
      </c>
      <c r="BU12">
        <v>165</v>
      </c>
      <c r="BV12" t="s">
        <v>142</v>
      </c>
      <c r="BW12" t="s">
        <v>34</v>
      </c>
      <c r="BX12" s="22" t="str">
        <f>VLOOKUP(I12,Eras!$A$2:$C$10, 2, TRUE)</f>
        <v>edw</v>
      </c>
      <c r="BY12" t="s">
        <v>70</v>
      </c>
      <c r="BZ12" s="22" t="str">
        <f t="shared" si="24"/>
        <v>edw_Carriage</v>
      </c>
      <c r="CA12" s="22" t="str">
        <f t="shared" si="25"/>
        <v>carriage_RAIL</v>
      </c>
      <c r="CB12" s="25" t="str" cm="1">
        <f t="array" ref="CB12">IF(AM12&lt;&gt;"na", _xlfn.CONCAT("{BLACK}Length: {GOLD}", TEXT(ROUNDUP(IF(AP12&lt;&gt;"",SUM(VALUE(_xlfn.TEXTSPLIT(AP12, ","))), SUM(VALUE(_xlfn.TEXTSPLIT(AM12, ",")))*IF(L12, L12, 1))/16, 1),"#,##0.0"), " tiles{}"), "")</f>
        <v>{BLACK}Length: {GOLD}0.7 tiles{}</v>
      </c>
      <c r="CC12" s="22" t="str">
        <f>VLOOKUP($CA12, Constants!$M:$N, 2, FALSE)</f>
        <v/>
      </c>
      <c r="CD12" s="22" t="str">
        <f t="shared" si="12"/>
        <v/>
      </c>
      <c r="CE12" t="s">
        <v>228</v>
      </c>
      <c r="CF12" s="22" t="str">
        <f t="shared" si="13"/>
        <v>{YELLOW}10% Penalty for long distance travel{}</v>
      </c>
      <c r="CG12" s="22" t="str">
        <f t="shared" si="26"/>
        <v>{BLACK}Length: {GOLD}0.7 tiles{}{YELLOW}10% Penalty for long distance travel{}{SILVER}Non-corridor carriages allow greater seating density, at the cost of passenger comfort.</v>
      </c>
    </row>
    <row r="13" spans="1:86" x14ac:dyDescent="0.25">
      <c r="A13" t="s">
        <v>226</v>
      </c>
      <c r="B13" t="s">
        <v>227</v>
      </c>
      <c r="C13">
        <v>1521</v>
      </c>
      <c r="D13">
        <v>1001</v>
      </c>
      <c r="E13" t="s">
        <v>488</v>
      </c>
      <c r="F13" t="s">
        <v>32</v>
      </c>
      <c r="G13" t="s">
        <v>159</v>
      </c>
      <c r="H13" t="s">
        <v>28</v>
      </c>
      <c r="I13">
        <v>1952</v>
      </c>
      <c r="J13">
        <v>1963</v>
      </c>
      <c r="K13">
        <v>1977</v>
      </c>
      <c r="V13">
        <v>30</v>
      </c>
      <c r="X13">
        <v>6</v>
      </c>
      <c r="Z13" s="3" t="str">
        <f t="shared" si="14"/>
        <v/>
      </c>
      <c r="AA13">
        <v>100</v>
      </c>
      <c r="AB13">
        <f t="shared" si="64"/>
        <v>160</v>
      </c>
      <c r="AE13">
        <v>19.3</v>
      </c>
      <c r="AF13">
        <v>20</v>
      </c>
      <c r="AI13" s="9">
        <v>66</v>
      </c>
      <c r="AJ13" s="14" t="str">
        <f>CONCATENATE(VLOOKUP(AK13, 'Voxel Sizes'!$A$2:$B$18,2,FALSE),"x",INT(AG13*15), "x", INT(AH13*15))</f>
        <v>198x0x0</v>
      </c>
      <c r="AK13" s="14">
        <f t="shared" si="15"/>
        <v>12</v>
      </c>
      <c r="AM13" s="14" t="str">
        <f>CONCATENATE(VLOOKUP(AK13,Constants!$A$2:$C$16,IF(AL13&lt;&gt;"", 3, 2), FALSE),IF(AL13&lt;&gt;"",CONCATENATE(",",VLOOKUP(AL13,$B:$AM,38,FALSE)),""))</f>
        <v>4,4,4</v>
      </c>
      <c r="AW13">
        <v>30</v>
      </c>
      <c r="AX13" s="14">
        <f t="shared" si="16"/>
        <v>33</v>
      </c>
      <c r="AY13">
        <v>76</v>
      </c>
      <c r="AZ13">
        <f>23*3</f>
        <v>69</v>
      </c>
      <c r="BA13" s="16">
        <f t="shared" si="17"/>
        <v>20</v>
      </c>
      <c r="BB13" s="16">
        <f t="shared" si="18"/>
        <v>0</v>
      </c>
      <c r="BC13" s="16">
        <f t="shared" si="19"/>
        <v>0</v>
      </c>
      <c r="BD13" s="17">
        <f t="shared" si="20"/>
        <v>0.93066666666666664</v>
      </c>
      <c r="BE13" s="16">
        <f t="shared" si="21"/>
        <v>11</v>
      </c>
      <c r="BF13" s="16">
        <f>VLOOKUP($G13,Constants!$I:$K, 2, FALSE)</f>
        <v>1.2</v>
      </c>
      <c r="BG13" s="16">
        <f>VLOOKUP($G13,Constants!$I:$K, 3, FALSE)*IF(AND(F13="multiple_unit",AA13&lt;110),0.75,1)</f>
        <v>0.6</v>
      </c>
      <c r="BH13" s="16">
        <f>INT(POWER(((Constants!$G$2+$BA13+$BB13+$BC13+$BE13)*$BD13)*$BG13, 1.05))+$AZ13</f>
        <v>92</v>
      </c>
      <c r="BI13" s="16">
        <f>INT(POWER((((Constants!$G$1+$BA13+$BB13+$BC13+$BE13)*($BD13))*$BF13),IF($F13="wagon",1,1.2)))+$AY13</f>
        <v>127</v>
      </c>
      <c r="BJ13" s="19">
        <f t="shared" si="22"/>
        <v>5750</v>
      </c>
      <c r="BK13" s="19">
        <f t="shared" si="23"/>
        <v>346.71</v>
      </c>
      <c r="BT13">
        <v>1</v>
      </c>
      <c r="BU13">
        <v>165</v>
      </c>
      <c r="BV13" t="s">
        <v>142</v>
      </c>
      <c r="BW13" t="s">
        <v>34</v>
      </c>
      <c r="BX13" s="22" t="str">
        <f>VLOOKUP(I13,Eras!$A$2:$C$10, 2, TRUE)</f>
        <v>ebr</v>
      </c>
      <c r="BY13" t="s">
        <v>70</v>
      </c>
      <c r="BZ13" s="22" t="str">
        <f t="shared" si="24"/>
        <v>ebr_Carriage</v>
      </c>
      <c r="CA13" s="22" t="str">
        <f t="shared" si="25"/>
        <v>carriage_RAIL</v>
      </c>
      <c r="CB13" s="25" t="str" cm="1">
        <f t="array" ref="CB13">IF(AM13&lt;&gt;"na", _xlfn.CONCAT("{BLACK}Length: {GOLD}", TEXT(ROUNDUP(IF(AP13&lt;&gt;"",SUM(VALUE(_xlfn.TEXTSPLIT(AP13, ","))), SUM(VALUE(_xlfn.TEXTSPLIT(AM13, ",")))*IF(L13, L13, 1))/16, 1),"#,##0.0"), " tiles{}"), "")</f>
        <v>{BLACK}Length: {GOLD}0.8 tiles{}</v>
      </c>
      <c r="CC13" s="22" t="str">
        <f>VLOOKUP($CA13, Constants!$M:$N, 2, FALSE)</f>
        <v/>
      </c>
      <c r="CD13" s="22" t="str">
        <f t="shared" si="12"/>
        <v/>
      </c>
      <c r="CE13" t="s">
        <v>229</v>
      </c>
      <c r="CF13" s="22" t="str">
        <f t="shared" si="13"/>
        <v>{YELLOW}10% Penalty for long distance travel{}</v>
      </c>
      <c r="CG13" s="22" t="str">
        <f t="shared" si="26"/>
        <v>{BLACK}Length: {GOLD}0.8 tiles{}{YELLOW}10% Penalty for long distance travel{}{SILVER}BR built many suburban MK1 carriages with no gangways, although typically only one or two would be used per train across most of the country.</v>
      </c>
    </row>
    <row r="14" spans="1:86" x14ac:dyDescent="0.25">
      <c r="A14" t="s">
        <v>351</v>
      </c>
      <c r="B14" t="s">
        <v>352</v>
      </c>
      <c r="C14">
        <v>1731</v>
      </c>
      <c r="D14">
        <v>1002</v>
      </c>
      <c r="E14" t="s">
        <v>488</v>
      </c>
      <c r="F14" t="s">
        <v>32</v>
      </c>
      <c r="G14" t="s">
        <v>159</v>
      </c>
      <c r="H14" t="s">
        <v>28</v>
      </c>
      <c r="I14">
        <v>1973</v>
      </c>
      <c r="V14">
        <v>40</v>
      </c>
      <c r="X14">
        <v>5</v>
      </c>
      <c r="Z14" s="3" t="str">
        <f t="shared" ref="Z14:Z52" si="65">IF(AND(V14&gt;0,Y14&gt;0),(Y14/((V14+W14)*10)),"")</f>
        <v/>
      </c>
      <c r="AA14">
        <v>110</v>
      </c>
      <c r="AB14">
        <f t="shared" si="64"/>
        <v>176</v>
      </c>
      <c r="AE14">
        <v>19.66</v>
      </c>
      <c r="AF14">
        <v>19.66</v>
      </c>
      <c r="AI14" s="9">
        <v>60</v>
      </c>
      <c r="AJ14" s="14" t="str">
        <f>CONCATENATE(VLOOKUP(AK14, 'Voxel Sizes'!$A$2:$B$18,2,FALSE),"x",INT(AG14*15), "x", INT(AH14*15))</f>
        <v>198x0x0</v>
      </c>
      <c r="AK14" s="14">
        <f t="shared" ref="AK14:AK51" si="66">ROUND(15*((AF14*10)/256),0)</f>
        <v>12</v>
      </c>
      <c r="AM14" s="14" t="str">
        <f>CONCATENATE(VLOOKUP(AK14,Constants!$A$2:$C$16,IF(AL14&lt;&gt;"", 3, 2), FALSE),IF(AL14&lt;&gt;"",CONCATENATE(",",VLOOKUP(AL14,$B:$AM,38,FALSE)),""))</f>
        <v>4,4,4</v>
      </c>
      <c r="AW14">
        <v>30</v>
      </c>
      <c r="AX14" s="14" t="str">
        <f t="shared" ref="AX14:AX52" si="67">IF(K14&lt;&gt;"",MAX(16,(K14-I14)+8),"")</f>
        <v/>
      </c>
      <c r="AY14">
        <v>79</v>
      </c>
      <c r="AZ14">
        <f>25*3</f>
        <v>75</v>
      </c>
      <c r="BA14" s="16">
        <f t="shared" ref="BA14:BA51" si="68">MIN(AA14/150, 1)*30</f>
        <v>22</v>
      </c>
      <c r="BB14" s="16">
        <f t="shared" ref="BB14:BB51" si="69">MIN(M14/4000, 1)*20</f>
        <v>0</v>
      </c>
      <c r="BC14" s="16">
        <f t="shared" ref="BC14:BC51" si="70">MIN(Y14/400,1)*20</f>
        <v>0</v>
      </c>
      <c r="BD14" s="17">
        <f t="shared" ref="BD14:BD51" si="71">1-(MAX(I14-1900, 0)/750)</f>
        <v>0.90266666666666673</v>
      </c>
      <c r="BE14" s="16">
        <f t="shared" ref="BE14:BE51" si="72">((MAX($L14,1)*MIN($AI14/300,1)))*IF(F14="Wagon",50,10)</f>
        <v>10</v>
      </c>
      <c r="BF14" s="16">
        <f>VLOOKUP($G14,Constants!$I:$K, 2, FALSE)</f>
        <v>1.2</v>
      </c>
      <c r="BG14" s="16">
        <f>VLOOKUP($G14,Constants!$I:$K, 3, FALSE)*IF(AND(F14="multiple_unit",AA14&lt;110),0.75,1)</f>
        <v>0.6</v>
      </c>
      <c r="BH14" s="16">
        <f>INT(POWER(((Constants!$G$2+$BA14+$BB14+$BC14+$BE14)*$BD14)*$BG14, 1.05))+$AZ14</f>
        <v>98</v>
      </c>
      <c r="BI14" s="16">
        <f>INT(POWER((((Constants!$G$1+$BA14+$BB14+$BC14+$BE14)*($BD14))*$BF14),IF($F14="wagon",1,1.2)))+$AY14</f>
        <v>129</v>
      </c>
      <c r="BJ14" s="19">
        <f t="shared" ref="BJ14:BJ51" si="73">BH14*IF($F14="wagon",62.5,781.25)</f>
        <v>6125</v>
      </c>
      <c r="BK14" s="19">
        <f t="shared" ref="BK14:BK51" si="74">BI14*IF($F14="wagon",2.73,81.25)</f>
        <v>352.17</v>
      </c>
      <c r="BT14">
        <v>1</v>
      </c>
      <c r="BV14" t="s">
        <v>142</v>
      </c>
      <c r="BW14" t="s">
        <v>34</v>
      </c>
      <c r="BX14" s="22" t="str">
        <f>VLOOKUP(I14,Eras!$A$2:$C$10, 2, TRUE)</f>
        <v>lbr</v>
      </c>
      <c r="BY14" t="s">
        <v>70</v>
      </c>
      <c r="BZ14" s="22" t="str">
        <f t="shared" ref="BZ14:BZ51" si="75">CONCATENATE(BX14,"_",BY14)</f>
        <v>lbr_Carriage</v>
      </c>
      <c r="CA14" s="22" t="str">
        <f t="shared" ref="CA14:CA51" si="76">_xlfn.CONCAT(G14, "_",H14)</f>
        <v>carriage_RAIL</v>
      </c>
      <c r="CB14" s="25" t="str" cm="1">
        <f t="array" ref="CB14">IF(AM14&lt;&gt;"na", _xlfn.CONCAT("{BLACK}Length: {GOLD}", TEXT(ROUNDUP(IF(AP14&lt;&gt;"",SUM(VALUE(_xlfn.TEXTSPLIT(AP14, ","))), SUM(VALUE(_xlfn.TEXTSPLIT(AM14, ",")))*IF(L14, L14, 1))/16, 1),"#,##0.0"), " tiles{}"), "")</f>
        <v>{BLACK}Length: {GOLD}0.8 tiles{}</v>
      </c>
      <c r="CC14" s="22" t="str">
        <f>VLOOKUP($CA14, Constants!$M:$N, 2, FALSE)</f>
        <v/>
      </c>
      <c r="CD14" s="22" t="str">
        <f t="shared" si="12"/>
        <v/>
      </c>
      <c r="CE14" t="s">
        <v>353</v>
      </c>
      <c r="CF14" s="22" t="str">
        <f t="shared" si="13"/>
        <v/>
      </c>
      <c r="CG14" s="22" t="str">
        <f t="shared" si="26"/>
        <v>{BLACK}Length: {GOLD}0.8 tiles{}{SILVER}The Mark 2F was the final development of the Mark 2 carriage, introducing many features which would be used on the Mark 3 Intercity carriages.</v>
      </c>
    </row>
    <row r="15" spans="1:86" x14ac:dyDescent="0.25">
      <c r="A15" t="s">
        <v>498</v>
      </c>
      <c r="B15" t="s">
        <v>499</v>
      </c>
      <c r="C15">
        <v>1172</v>
      </c>
      <c r="D15">
        <v>1003</v>
      </c>
      <c r="E15" t="s">
        <v>488</v>
      </c>
      <c r="F15" t="s">
        <v>32</v>
      </c>
      <c r="G15" t="s">
        <v>159</v>
      </c>
      <c r="H15" t="s">
        <v>28</v>
      </c>
      <c r="I15">
        <v>2017</v>
      </c>
      <c r="V15">
        <v>40</v>
      </c>
      <c r="X15">
        <v>5</v>
      </c>
      <c r="Z15" s="3" t="str">
        <f t="shared" ref="Z15" si="77">IF(AND(V15&gt;0,Y15&gt;0),(Y15/((V15+W15)*10)),"")</f>
        <v/>
      </c>
      <c r="AA15">
        <v>125</v>
      </c>
      <c r="AB15">
        <f t="shared" ref="AB15" si="78">ROUND(AA15*1.6, 0)</f>
        <v>200</v>
      </c>
      <c r="AE15">
        <v>23</v>
      </c>
      <c r="AF15">
        <v>23</v>
      </c>
      <c r="AI15" s="9">
        <v>57</v>
      </c>
      <c r="AJ15" s="14" t="str">
        <f>CONCATENATE(VLOOKUP(AK15, 'Voxel Sizes'!$A$2:$B$18,2,FALSE),"x",INT(AG15*15), "x", INT(AH15*15))</f>
        <v>214x0x0</v>
      </c>
      <c r="AK15" s="14">
        <f t="shared" ref="AK15" si="79">ROUND(15*((AF15*10)/256),0)</f>
        <v>13</v>
      </c>
      <c r="AM15" s="14" t="str">
        <f>CONCATENATE(VLOOKUP(AK15,Constants!$A$2:$C$16,IF(AL15&lt;&gt;"", 3, 2), FALSE),IF(AL15&lt;&gt;"",CONCATENATE(",",VLOOKUP(AL15,$B:$AM,38,FALSE)),""))</f>
        <v>4,5,4</v>
      </c>
      <c r="AW15">
        <v>30</v>
      </c>
      <c r="AX15" s="14" t="str">
        <f t="shared" ref="AX15" si="80">IF(K15&lt;&gt;"",MAX(16,(K15-I15)+8),"")</f>
        <v/>
      </c>
      <c r="AY15">
        <v>85</v>
      </c>
      <c r="AZ15">
        <v>85</v>
      </c>
      <c r="BA15" s="16">
        <f t="shared" ref="BA15" si="81">MIN(AA15/150, 1)*30</f>
        <v>25</v>
      </c>
      <c r="BB15" s="16">
        <f t="shared" ref="BB15" si="82">MIN(M15/4000, 1)*20</f>
        <v>0</v>
      </c>
      <c r="BC15" s="16">
        <f t="shared" ref="BC15" si="83">MIN(Y15/400,1)*20</f>
        <v>0</v>
      </c>
      <c r="BD15" s="17">
        <f t="shared" ref="BD15" si="84">1-(MAX(I15-1900, 0)/750)</f>
        <v>0.84399999999999997</v>
      </c>
      <c r="BE15" s="16">
        <f t="shared" ref="BE15" si="85">((MAX($L15,1)*MIN($AI15/300,1)))*IF(F15="Wagon",50,10)</f>
        <v>9.5</v>
      </c>
      <c r="BF15" s="16">
        <f>VLOOKUP($G15,Constants!$I:$K, 2, FALSE)</f>
        <v>1.2</v>
      </c>
      <c r="BG15" s="16">
        <f>VLOOKUP($G15,Constants!$I:$K, 3, FALSE)*IF(AND(F15="multiple_unit",AA15&lt;110),0.75,1)</f>
        <v>0.6</v>
      </c>
      <c r="BH15" s="16">
        <f>INT(POWER(((Constants!$G$2+$BA15+$BB15+$BC15+$BE15)*$BD15)*$BG15, 1.05))+$AZ15</f>
        <v>108</v>
      </c>
      <c r="BI15" s="16">
        <f>INT(POWER((((Constants!$G$1+$BA15+$BB15+$BC15+$BE15)*($BD15))*$BF15),IF($F15="wagon",1,1.2)))+$AY15</f>
        <v>135</v>
      </c>
      <c r="BJ15" s="19">
        <f t="shared" ref="BJ15" si="86">BH15*IF($F15="wagon",62.5,781.25)</f>
        <v>6750</v>
      </c>
      <c r="BK15" s="19">
        <f t="shared" ref="BK15" si="87">BI15*IF($F15="wagon",2.73,81.25)</f>
        <v>368.55</v>
      </c>
      <c r="BT15">
        <v>1</v>
      </c>
      <c r="BU15">
        <v>222</v>
      </c>
      <c r="BV15" t="s">
        <v>142</v>
      </c>
      <c r="BW15" t="s">
        <v>34</v>
      </c>
      <c r="BX15" s="22" t="str">
        <f>VLOOKUP(I15,Eras!$A$2:$C$10, 2, TRUE)</f>
        <v>mod</v>
      </c>
      <c r="BY15" t="s">
        <v>70</v>
      </c>
      <c r="BZ15" s="22" t="str">
        <f t="shared" ref="BZ15" si="88">CONCATENATE(BX15,"_",BY15)</f>
        <v>mod_Carriage</v>
      </c>
      <c r="CA15" s="22" t="str">
        <f t="shared" ref="CA15" si="89">_xlfn.CONCAT(G15, "_",H15)</f>
        <v>carriage_RAIL</v>
      </c>
      <c r="CB15" s="25" t="str" cm="1">
        <f t="array" ref="CB15">IF(AM15&lt;&gt;"na", _xlfn.CONCAT("{BLACK}Length: {GOLD}", TEXT(ROUNDUP(IF(AP15&lt;&gt;"",SUM(VALUE(_xlfn.TEXTSPLIT(AP15, ","))), SUM(VALUE(_xlfn.TEXTSPLIT(AM15, ",")))*IF(L15, L15, 1))/16, 1),"#,##0.0"), " tiles{}"), "")</f>
        <v>{BLACK}Length: {GOLD}0.9 tiles{}</v>
      </c>
      <c r="CC15" s="22" t="str">
        <f>VLOOKUP($CA15, Constants!$M:$N, 2, FALSE)</f>
        <v/>
      </c>
      <c r="CD15" s="22" t="str">
        <f t="shared" ref="CD15" si="90">IF(AND(L15&gt;1,BN15&lt;&gt;1),_xlfn.CONCAT("{BLACK}Cars: {GOLD}", L15),"")</f>
        <v/>
      </c>
      <c r="CE15" t="s">
        <v>500</v>
      </c>
      <c r="CF15" s="22" t="str">
        <f t="shared" ref="CF15" si="91">IF(BW15="DANDY","{YELLOW}Faster downhill speeds for horse-drawn trains (1 required per 2 horses){}",IF(BW15="BRAKE","{YELLOW}Speed bonus for slow wagons{}",IF(BV15="NGPassengers","{YELLOW}Preserved railway bonus: passengers pay more when hauled by old locomotives{}",IF(AND(BU15&gt;190,NOT(AND(H15="NARROW_GAUGE",BW15&lt;&gt;"PASS"))),CONCATENATE("{YELLOW}",INT((BU15-185)/1.85),"% Bonus for long distance travel{}"),IF(AND(BU15&lt;180,BU15&lt;&gt;0),CONCATENATE("{YELLOW}",INT((185-BU15)/1.85),"% Penalty for long distance travel{}"),"")))))</f>
        <v>{YELLOW}20% Bonus for long distance travel{}</v>
      </c>
      <c r="CG15" s="22" t="str">
        <f t="shared" si="26"/>
        <v>{BLACK}Length: {GOLD}0.9 tiles{}{YELLOW}20% Bonus for long distance travel{}{SILVER}The Mark 5A was built for loco-hauled services on the TransPennine Express, but was withdrawn barely four years after introduction.</v>
      </c>
    </row>
    <row r="16" spans="1:86" x14ac:dyDescent="0.25">
      <c r="A16" t="s">
        <v>331</v>
      </c>
      <c r="B16" t="s">
        <v>336</v>
      </c>
      <c r="C16">
        <v>1601</v>
      </c>
      <c r="D16">
        <v>1004</v>
      </c>
      <c r="E16" t="s">
        <v>488</v>
      </c>
      <c r="F16" t="s">
        <v>32</v>
      </c>
      <c r="G16" t="s">
        <v>159</v>
      </c>
      <c r="H16" t="s">
        <v>28</v>
      </c>
      <c r="I16">
        <v>1960</v>
      </c>
      <c r="V16">
        <v>28</v>
      </c>
      <c r="X16">
        <v>4</v>
      </c>
      <c r="Z16" s="3" t="str">
        <f t="shared" si="65"/>
        <v/>
      </c>
      <c r="AA16">
        <v>25</v>
      </c>
      <c r="AB16">
        <f t="shared" si="64"/>
        <v>40</v>
      </c>
      <c r="AE16">
        <v>16.2</v>
      </c>
      <c r="AF16">
        <v>16.2</v>
      </c>
      <c r="AG16">
        <v>2.8</v>
      </c>
      <c r="AI16" s="9">
        <v>42</v>
      </c>
      <c r="AJ16" s="14" t="str">
        <f>CONCATENATE(VLOOKUP(AK16, 'Voxel Sizes'!$A$2:$B$18,2,FALSE),"x",INT(AG16*15), "x", INT(AH16*15))</f>
        <v>152x42x0</v>
      </c>
      <c r="AK16" s="14">
        <f t="shared" si="66"/>
        <v>9</v>
      </c>
      <c r="AM16" s="14" t="str">
        <f>CONCATENATE(VLOOKUP(AK16,Constants!$A$2:$C$16,IF(AL16&lt;&gt;"", 3, 2), FALSE),IF(AL16&lt;&gt;"",CONCATENATE(",",VLOOKUP(AL16,$B:$AM,38,FALSE)),""))</f>
        <v>2,5,2</v>
      </c>
      <c r="AW16">
        <v>30</v>
      </c>
      <c r="AX16" s="14" t="str">
        <f t="shared" si="67"/>
        <v/>
      </c>
      <c r="AY16">
        <v>69</v>
      </c>
      <c r="AZ16">
        <v>57</v>
      </c>
      <c r="BA16" s="16">
        <f t="shared" si="68"/>
        <v>5</v>
      </c>
      <c r="BB16" s="16">
        <f t="shared" si="69"/>
        <v>0</v>
      </c>
      <c r="BC16" s="16">
        <f t="shared" si="70"/>
        <v>0</v>
      </c>
      <c r="BD16" s="17">
        <f t="shared" si="71"/>
        <v>0.92</v>
      </c>
      <c r="BE16" s="16">
        <f t="shared" si="72"/>
        <v>7.0000000000000009</v>
      </c>
      <c r="BF16" s="16">
        <f>VLOOKUP($G16,Constants!$I:$K, 2, FALSE)</f>
        <v>1.2</v>
      </c>
      <c r="BG16" s="16">
        <f>VLOOKUP($G16,Constants!$I:$K, 3, FALSE)*IF(AND(F16="multiple_unit",AA16&lt;110),0.75,1)</f>
        <v>0.6</v>
      </c>
      <c r="BH16" s="16">
        <f>INT(POWER(((Constants!$G$2+$BA16+$BB16+$BC16+$BE16)*$BD16)*$BG16, 1.05))+$AZ16</f>
        <v>67</v>
      </c>
      <c r="BI16" s="16">
        <f>INT(POWER((((Constants!$G$1+$BA16+$BB16+$BC16+$BE16)*($BD16))*$BF16),IF($F16="wagon",1,1.2)))+$AY16</f>
        <v>98</v>
      </c>
      <c r="BJ16" s="19">
        <f t="shared" si="73"/>
        <v>4187.5</v>
      </c>
      <c r="BK16" s="19">
        <f t="shared" si="74"/>
        <v>267.54000000000002</v>
      </c>
      <c r="BT16">
        <v>1</v>
      </c>
      <c r="BU16">
        <v>74</v>
      </c>
      <c r="BV16" t="s">
        <v>275</v>
      </c>
      <c r="BW16" t="s">
        <v>34</v>
      </c>
      <c r="BX16" s="22" t="str">
        <f>VLOOKUP(I16,Eras!$A$2:$C$10, 2, TRUE)</f>
        <v>dsl</v>
      </c>
      <c r="BY16" t="s">
        <v>70</v>
      </c>
      <c r="BZ16" s="22" t="str">
        <f t="shared" si="75"/>
        <v>dsl_Carriage</v>
      </c>
      <c r="CA16" s="22" t="str">
        <f t="shared" si="76"/>
        <v>carriage_RAIL</v>
      </c>
      <c r="CB16" s="25" t="str" cm="1">
        <f t="array" ref="CB16">IF(AM16&lt;&gt;"na", _xlfn.CONCAT("{BLACK}Length: {GOLD}", TEXT(ROUNDUP(IF(AP16&lt;&gt;"",SUM(VALUE(_xlfn.TEXTSPLIT(AP16, ","))), SUM(VALUE(_xlfn.TEXTSPLIT(AM16, ",")))*IF(L16, L16, 1))/16, 1),"#,##0.0"), " tiles{}"), "")</f>
        <v>{BLACK}Length: {GOLD}0.6 tiles{}</v>
      </c>
      <c r="CC16" s="22" t="str">
        <f>VLOOKUP($CA16, Constants!$M:$N, 2, FALSE)</f>
        <v/>
      </c>
      <c r="CD16" s="22" t="str">
        <f t="shared" si="12"/>
        <v/>
      </c>
      <c r="CE16" t="s">
        <v>334</v>
      </c>
      <c r="CF16" s="22" t="str">
        <f t="shared" si="13"/>
        <v>{YELLOW}Preserved railway bonus: passengers pay more when hauled by old locomotives{}</v>
      </c>
      <c r="CG16" s="22" t="str">
        <f t="shared" si="26"/>
        <v>{BLACK}Length: {GOLD}0.6 tiles{}{YELLOW}Preserved railway bonus: passengers pay more when hauled by old locomotives{}{SILVER}The first standard gauge preservation railway in the UK was the Bluebell Railway, opened in 1960. Preservation lines are limited to 25mph.</v>
      </c>
    </row>
    <row r="17" spans="1:85" x14ac:dyDescent="0.25">
      <c r="A17" t="s">
        <v>332</v>
      </c>
      <c r="B17" t="s">
        <v>333</v>
      </c>
      <c r="C17">
        <v>1751</v>
      </c>
      <c r="D17">
        <v>1005</v>
      </c>
      <c r="E17" t="s">
        <v>488</v>
      </c>
      <c r="F17" t="s">
        <v>32</v>
      </c>
      <c r="G17" t="s">
        <v>159</v>
      </c>
      <c r="H17" t="s">
        <v>28</v>
      </c>
      <c r="I17">
        <v>1979</v>
      </c>
      <c r="V17">
        <v>32.5</v>
      </c>
      <c r="X17">
        <v>5</v>
      </c>
      <c r="Z17" s="3" t="str">
        <f t="shared" si="65"/>
        <v/>
      </c>
      <c r="AA17">
        <v>25</v>
      </c>
      <c r="AB17">
        <f t="shared" si="64"/>
        <v>40</v>
      </c>
      <c r="AE17">
        <v>19.3</v>
      </c>
      <c r="AF17">
        <v>20</v>
      </c>
      <c r="AI17" s="9">
        <v>54</v>
      </c>
      <c r="AJ17" s="14" t="str">
        <f>CONCATENATE(VLOOKUP(AK17, 'Voxel Sizes'!$A$2:$B$18,2,FALSE),"x",INT(AG17*15), "x", INT(AH17*15))</f>
        <v>198x0x0</v>
      </c>
      <c r="AK17" s="14">
        <f t="shared" si="66"/>
        <v>12</v>
      </c>
      <c r="AM17" s="14" t="str">
        <f>CONCATENATE(VLOOKUP(AK17,Constants!$A$2:$C$16,IF(AL17&lt;&gt;"", 3, 2), FALSE),IF(AL17&lt;&gt;"",CONCATENATE(",",VLOOKUP(AL17,$B:$AM,38,FALSE)),""))</f>
        <v>4,4,4</v>
      </c>
      <c r="AW17">
        <v>30</v>
      </c>
      <c r="AX17" s="14" t="str">
        <f t="shared" si="67"/>
        <v/>
      </c>
      <c r="AY17">
        <v>76</v>
      </c>
      <c r="AZ17">
        <f>23*3</f>
        <v>69</v>
      </c>
      <c r="BA17" s="16">
        <f t="shared" si="68"/>
        <v>5</v>
      </c>
      <c r="BB17" s="16">
        <f t="shared" si="69"/>
        <v>0</v>
      </c>
      <c r="BC17" s="16">
        <f t="shared" si="70"/>
        <v>0</v>
      </c>
      <c r="BD17" s="17">
        <f t="shared" si="71"/>
        <v>0.89466666666666672</v>
      </c>
      <c r="BE17" s="16">
        <f t="shared" si="72"/>
        <v>9</v>
      </c>
      <c r="BF17" s="16">
        <f>VLOOKUP($G17,Constants!$I:$K, 2, FALSE)</f>
        <v>1.2</v>
      </c>
      <c r="BG17" s="16">
        <f>VLOOKUP($G17,Constants!$I:$K, 3, FALSE)*IF(AND(F17="multiple_unit",AA17&lt;110),0.75,1)</f>
        <v>0.6</v>
      </c>
      <c r="BH17" s="16">
        <f>INT(POWER(((Constants!$G$2+$BA17+$BB17+$BC17+$BE17)*$BD17)*$BG17, 1.05))+$AZ17</f>
        <v>80</v>
      </c>
      <c r="BI17" s="16">
        <f>INT(POWER((((Constants!$G$1+$BA17+$BB17+$BC17+$BE17)*($BD17))*$BF17),IF($F17="wagon",1,1.2)))+$AY17</f>
        <v>107</v>
      </c>
      <c r="BJ17" s="19">
        <f t="shared" si="73"/>
        <v>5000</v>
      </c>
      <c r="BK17" s="19">
        <f t="shared" si="74"/>
        <v>292.11</v>
      </c>
      <c r="BT17">
        <v>1</v>
      </c>
      <c r="BU17">
        <v>74</v>
      </c>
      <c r="BV17" t="s">
        <v>275</v>
      </c>
      <c r="BW17" t="s">
        <v>34</v>
      </c>
      <c r="BX17" s="22" t="str">
        <f>VLOOKUP(I17,Eras!$A$2:$C$10, 2, TRUE)</f>
        <v>lbr</v>
      </c>
      <c r="BY17" t="s">
        <v>70</v>
      </c>
      <c r="BZ17" s="22" t="str">
        <f t="shared" si="75"/>
        <v>lbr_Carriage</v>
      </c>
      <c r="CA17" s="22" t="str">
        <f t="shared" si="76"/>
        <v>carriage_RAIL</v>
      </c>
      <c r="CB17" s="25" t="str" cm="1">
        <f t="array" ref="CB17">IF(AM17&lt;&gt;"na", _xlfn.CONCAT("{BLACK}Length: {GOLD}", TEXT(ROUNDUP(IF(AP17&lt;&gt;"",SUM(VALUE(_xlfn.TEXTSPLIT(AP17, ","))), SUM(VALUE(_xlfn.TEXTSPLIT(AM17, ",")))*IF(L17, L17, 1))/16, 1),"#,##0.0"), " tiles{}"), "")</f>
        <v>{BLACK}Length: {GOLD}0.8 tiles{}</v>
      </c>
      <c r="CC17" s="22" t="str">
        <f>VLOOKUP($CA17, Constants!$M:$N, 2, FALSE)</f>
        <v/>
      </c>
      <c r="CD17" s="22" t="str">
        <f t="shared" si="12"/>
        <v/>
      </c>
      <c r="CE17" t="s">
        <v>335</v>
      </c>
      <c r="CF17" s="22" t="str">
        <f t="shared" si="13"/>
        <v>{YELLOW}Preserved railway bonus: passengers pay more when hauled by old locomotives{}</v>
      </c>
      <c r="CG17" s="22" t="str">
        <f t="shared" si="26"/>
        <v>{BLACK}Length: {GOLD}0.8 tiles{}{YELLOW}Preserved railway bonus: passengers pay more when hauled by old locomotives{}{SILVER}The ubiquity of the BR Mk1 carriage has made it a mainstay of preserved railways across the UK.</v>
      </c>
    </row>
    <row r="18" spans="1:85" x14ac:dyDescent="0.25">
      <c r="A18" t="s">
        <v>368</v>
      </c>
      <c r="B18" t="s">
        <v>369</v>
      </c>
      <c r="C18">
        <v>1691</v>
      </c>
      <c r="D18">
        <v>1006</v>
      </c>
      <c r="E18" t="s">
        <v>488</v>
      </c>
      <c r="F18" t="s">
        <v>32</v>
      </c>
      <c r="G18" t="s">
        <v>32</v>
      </c>
      <c r="H18" t="s">
        <v>28</v>
      </c>
      <c r="I18">
        <v>1969</v>
      </c>
      <c r="V18">
        <v>160</v>
      </c>
      <c r="X18">
        <v>5</v>
      </c>
      <c r="Z18" s="3" t="str">
        <f>IF(AND(V18&gt;0,Y18&gt;0),(Y18/((V18+W18)*10)),"")</f>
        <v/>
      </c>
      <c r="AA18">
        <v>65</v>
      </c>
      <c r="AB18">
        <f t="shared" si="64"/>
        <v>104</v>
      </c>
      <c r="AE18">
        <v>25</v>
      </c>
      <c r="AF18">
        <v>22</v>
      </c>
      <c r="AI18" s="9">
        <v>81</v>
      </c>
      <c r="AJ18" s="14" t="str">
        <f>CONCATENATE(VLOOKUP(AK18, 'Voxel Sizes'!$A$2:$B$18,2,FALSE),"x",INT(AG18*15), "x", INT(AH18*15))</f>
        <v>214x0x0</v>
      </c>
      <c r="AK18" s="14">
        <f t="shared" si="66"/>
        <v>13</v>
      </c>
      <c r="AM18" s="14" t="str">
        <f>CONCATENATE(VLOOKUP(AK18,Constants!$A$2:$C$16,IF(AL18&lt;&gt;"", 3, 2), FALSE),IF(AL18&lt;&gt;"",CONCATENATE(",",VLOOKUP(AL18,$B:$AM,38,FALSE)),""))</f>
        <v>4,5,4</v>
      </c>
      <c r="AW18">
        <v>30</v>
      </c>
      <c r="AX18" s="14" t="str">
        <f t="shared" si="67"/>
        <v/>
      </c>
      <c r="BA18" s="16">
        <f t="shared" si="68"/>
        <v>13</v>
      </c>
      <c r="BB18" s="16">
        <f t="shared" si="69"/>
        <v>0</v>
      </c>
      <c r="BC18" s="16">
        <f>MIN(Y18/400,1)*20</f>
        <v>0</v>
      </c>
      <c r="BD18" s="17">
        <f t="shared" si="71"/>
        <v>0.90800000000000003</v>
      </c>
      <c r="BE18" s="16">
        <f t="shared" si="72"/>
        <v>13.5</v>
      </c>
      <c r="BF18" s="16">
        <f>VLOOKUP($G18,Constants!$I:$K, 2, FALSE)</f>
        <v>1</v>
      </c>
      <c r="BG18" s="16">
        <f>VLOOKUP($G18,Constants!$I:$K, 3, FALSE)*IF(AND(F18="multiple_unit",AA18&lt;110),0.75,1)</f>
        <v>0.45</v>
      </c>
      <c r="BH18" s="16">
        <f>INT(POWER(((Constants!$G$2+$BA18+$BB18+$BC18+$BE18)*$BD18)*$BG18, 1.05))+$AZ18</f>
        <v>14</v>
      </c>
      <c r="BI18" s="16">
        <f>INT(POWER((((Constants!$G$1+$BA18+$BB18+$BC18+$BE18)*($BD18))*$BF18),IF($F18="wagon",1,1.2)))+$AY18</f>
        <v>37</v>
      </c>
      <c r="BJ18" s="19">
        <f t="shared" si="73"/>
        <v>875</v>
      </c>
      <c r="BK18" s="19">
        <f t="shared" si="74"/>
        <v>101.01</v>
      </c>
      <c r="BT18">
        <v>1</v>
      </c>
      <c r="BU18">
        <v>205</v>
      </c>
      <c r="BV18" t="s">
        <v>371</v>
      </c>
      <c r="BW18" t="s">
        <v>34</v>
      </c>
      <c r="BX18" s="22" t="str">
        <f>VLOOKUP(I18,Eras!$A$2:$C$10, 2, TRUE)</f>
        <v>dsl</v>
      </c>
      <c r="BY18" t="s">
        <v>130</v>
      </c>
      <c r="BZ18" s="22" t="str">
        <f t="shared" si="75"/>
        <v>dsl_Extra</v>
      </c>
      <c r="CA18" s="22" t="str">
        <f t="shared" si="76"/>
        <v>wagon_RAIL</v>
      </c>
      <c r="CB18" s="25" t="str" cm="1">
        <f t="array" ref="CB18">IF(AM18&lt;&gt;"na", _xlfn.CONCAT("{BLACK}Length: {GOLD}", TEXT(ROUNDUP(IF(AP18&lt;&gt;"",SUM(VALUE(_xlfn.TEXTSPLIT(AP18, ","))), SUM(VALUE(_xlfn.TEXTSPLIT(AM18, ",")))*IF(L18, L18, 1))/16, 1),"#,##0.0"), " tiles{}"), "")</f>
        <v>{BLACK}Length: {GOLD}0.9 tiles{}</v>
      </c>
      <c r="CC18" s="22" t="str">
        <f>VLOOKUP($CA18, Constants!$M:$N, 2, FALSE)</f>
        <v/>
      </c>
      <c r="CD18" s="22" t="str">
        <f t="shared" si="12"/>
        <v/>
      </c>
      <c r="CE18" t="s">
        <v>370</v>
      </c>
      <c r="CF18" s="22" t="str">
        <f t="shared" si="13"/>
        <v>{YELLOW}10% Bonus for long distance travel{}</v>
      </c>
      <c r="CG18" s="22" t="str">
        <f t="shared" si="26"/>
        <v>{BLACK}Length: {GOLD}0.9 tiles{}{YELLOW}10% Bonus for long distance travel{}{SILVER}Torpedo cars haul molten metal directly from furnaces, meaning it does not have to be processed to an intermediate form and melted again.</v>
      </c>
    </row>
    <row r="19" spans="1:85" x14ac:dyDescent="0.25">
      <c r="A19" t="s">
        <v>461</v>
      </c>
      <c r="B19" t="s">
        <v>462</v>
      </c>
      <c r="C19">
        <v>341</v>
      </c>
      <c r="D19">
        <v>1</v>
      </c>
      <c r="E19" t="s">
        <v>488</v>
      </c>
      <c r="F19" t="s">
        <v>236</v>
      </c>
      <c r="G19" t="s">
        <v>25</v>
      </c>
      <c r="H19" t="s">
        <v>28</v>
      </c>
      <c r="I19">
        <v>1834</v>
      </c>
      <c r="K19">
        <v>1860</v>
      </c>
      <c r="M19">
        <v>85</v>
      </c>
      <c r="O19" s="5">
        <v>11</v>
      </c>
      <c r="P19" s="5">
        <v>16</v>
      </c>
      <c r="Q19" s="5">
        <v>2</v>
      </c>
      <c r="R19" s="5">
        <v>50</v>
      </c>
      <c r="S19" s="12">
        <f t="shared" ref="S19" si="92">((($AA19/2)/60)*5280)/($T19*3.2*PI())</f>
        <v>106.75026670797857</v>
      </c>
      <c r="T19" s="5">
        <v>1.4350000000000001</v>
      </c>
      <c r="U19" s="5">
        <f t="shared" ref="U19" si="93">((($O19*$O19/4)*PI())*($P19/12)*$Q19*$R19*$S19)/(33000*1.1)</f>
        <v>37.262872628726278</v>
      </c>
      <c r="V19">
        <v>6</v>
      </c>
      <c r="W19" s="7">
        <v>4</v>
      </c>
      <c r="Y19">
        <v>15</v>
      </c>
      <c r="Z19" s="3">
        <f t="shared" ref="Z19" si="94">IF(AND(V19&gt;0,Y19&gt;0),(Y19/((V19+W19)*10)),"")</f>
        <v>0.15</v>
      </c>
      <c r="AA19">
        <v>35</v>
      </c>
      <c r="AB19">
        <f t="shared" si="64"/>
        <v>56</v>
      </c>
      <c r="AF19">
        <v>8</v>
      </c>
      <c r="AI19" s="9">
        <v>0</v>
      </c>
      <c r="AJ19" s="14" t="str">
        <f>CONCATENATE(VLOOKUP(AK19, 'Voxel Sizes'!$A$2:$B$18,2,FALSE),"x",INT(AG19*15), "x", INT(AH19*15))</f>
        <v>82x0x0</v>
      </c>
      <c r="AK19" s="14">
        <f t="shared" ref="AK19:AK20" si="95">ROUND(15*((AF19*10)/256),0)</f>
        <v>5</v>
      </c>
      <c r="AM19" s="14" t="str">
        <f>CONCATENATE(VLOOKUP(AK19,Constants!$A$2:$C$16,IF(AL19&lt;&gt;"", 3, 2), FALSE),IF(AL19&lt;&gt;"",CONCATENATE(",",VLOOKUP(AL19,$B:$AM,38,FALSE)),""))</f>
        <v>2,1,2</v>
      </c>
      <c r="AU19">
        <v>1</v>
      </c>
      <c r="AW19">
        <v>29</v>
      </c>
      <c r="AX19" s="14">
        <f t="shared" si="67"/>
        <v>34</v>
      </c>
      <c r="AY19">
        <v>-16</v>
      </c>
      <c r="AZ19">
        <v>-8</v>
      </c>
      <c r="BA19" s="16">
        <f t="shared" ref="BA19" si="96">MIN(AA19/150, 1)*30</f>
        <v>7</v>
      </c>
      <c r="BB19" s="16">
        <f t="shared" ref="BB19" si="97">MIN(M19/4000, 1)*20</f>
        <v>0.42500000000000004</v>
      </c>
      <c r="BC19" s="16">
        <f>MIN(Y19/400,1)*20</f>
        <v>0.75</v>
      </c>
      <c r="BD19" s="17">
        <f t="shared" ref="BD19" si="98">1-(MAX(I19-1900, 0)/750)</f>
        <v>1</v>
      </c>
      <c r="BE19" s="16">
        <f t="shared" ref="BE19" si="99">((MAX($L19,1)*MIN($AI19/300,1)))*IF(F19="Wagon",50,10)</f>
        <v>0</v>
      </c>
      <c r="BF19" s="16">
        <f>VLOOKUP($G19,Constants!$I:$K, 2, FALSE)</f>
        <v>1.1499999999999999</v>
      </c>
      <c r="BG19" s="16">
        <f>VLOOKUP($G19,Constants!$I:$K, 3, FALSE)*IF(AND(F19="multiple_unit",AA19&lt;110),0.75,1)</f>
        <v>1.7</v>
      </c>
      <c r="BH19" s="16">
        <f>INT(POWER(((Constants!$G$2+$BA19+$BB19+$BC19+$BE19)*$BD19)*$BG19, 1.05))+$AZ19</f>
        <v>18</v>
      </c>
      <c r="BI19" s="16">
        <f>INT(POWER((((Constants!$G$1+$BA19+$BB19+$BC19+$BE19)*($BD19))*$BF19),IF($F19="wagon",1,1.2)))+$AY19</f>
        <v>35</v>
      </c>
      <c r="BJ19" s="19">
        <f t="shared" ref="BJ19" si="100">BH19*IF($F19="wagon",62.5,781.25)</f>
        <v>14062.5</v>
      </c>
      <c r="BK19" s="19">
        <f t="shared" ref="BK19" si="101">BI19*IF($F19="wagon",2.73,81.25)</f>
        <v>2843.75</v>
      </c>
      <c r="BT19">
        <v>5</v>
      </c>
      <c r="BX19" s="22" t="str">
        <f>VLOOKUP(I19,Eras!$A$2:$C$10, 2, TRUE)</f>
        <v>early</v>
      </c>
      <c r="BY19" t="s">
        <v>130</v>
      </c>
      <c r="BZ19" s="22" t="str">
        <f t="shared" ref="BZ19" si="102">CONCATENATE(BX19,"_",BY19)</f>
        <v>early_Extra</v>
      </c>
      <c r="CA19" s="22" t="str">
        <f t="shared" ref="CA19" si="103">_xlfn.CONCAT(G19, "_",H19)</f>
        <v>steam_RAIL</v>
      </c>
      <c r="CB19" s="25" t="str" cm="1">
        <f t="array" ref="CB19">IF(AM19&lt;&gt;"na", _xlfn.CONCAT("{BLACK}Length: {GOLD}", TEXT(ROUNDUP(IF(AP19&lt;&gt;"",SUM(VALUE(_xlfn.TEXTSPLIT(AP19, ","))), SUM(VALUE(_xlfn.TEXTSPLIT(AM19, ",")))*IF(L19, L19, 1))/16, 1),"#,##0.0"), " tiles{}"), "")</f>
        <v>{BLACK}Length: {GOLD}0.4 tiles{}</v>
      </c>
      <c r="CC19" s="22" t="str">
        <f>VLOOKUP($CA19, Constants!$M:$N, 2, FALSE)</f>
        <v>{BLACK}Powered by: {GOLD}Steam</v>
      </c>
      <c r="CD19" s="22" t="str">
        <f t="shared" si="12"/>
        <v/>
      </c>
      <c r="CE19" t="s">
        <v>463</v>
      </c>
      <c r="CF19" s="22" t="str">
        <f t="shared" si="13"/>
        <v/>
      </c>
      <c r="CG19" s="22" t="str">
        <f t="shared" si="26"/>
        <v>{BLACK}Powered by: {GOLD}Steam {}{BLACK}Length: {GOLD}0.4 tiles{}{SILVER}George Forrester and Company built the first passenger tank locomotive to enter service. They were supplied to multiple railways in both tank and tender forms.</v>
      </c>
    </row>
    <row r="20" spans="1:85" x14ac:dyDescent="0.25">
      <c r="A20" t="s">
        <v>415</v>
      </c>
      <c r="B20" t="s">
        <v>443</v>
      </c>
      <c r="C20">
        <v>381</v>
      </c>
      <c r="D20">
        <v>2</v>
      </c>
      <c r="E20" t="s">
        <v>488</v>
      </c>
      <c r="F20" t="s">
        <v>236</v>
      </c>
      <c r="G20" t="s">
        <v>25</v>
      </c>
      <c r="H20" t="s">
        <v>28</v>
      </c>
      <c r="I20">
        <v>1841</v>
      </c>
      <c r="K20">
        <v>1871</v>
      </c>
      <c r="M20">
        <v>220</v>
      </c>
      <c r="O20" s="5">
        <v>16</v>
      </c>
      <c r="P20" s="5">
        <v>16</v>
      </c>
      <c r="Q20" s="5">
        <v>2</v>
      </c>
      <c r="R20" s="5">
        <v>140</v>
      </c>
      <c r="S20" s="12">
        <f t="shared" ref="S20:S39" si="104">((($AA20/2)/60)*5280)/($T20*3.2*PI())</f>
        <v>104.20859369112195</v>
      </c>
      <c r="T20" s="5">
        <v>2.1</v>
      </c>
      <c r="U20" s="5">
        <f t="shared" ref="U20:U39" si="105">((($O20*$O20/4)*PI())*($P20/12)*$Q20*$R20*$S20)/(33000*1.1)</f>
        <v>215.48821548821545</v>
      </c>
      <c r="V20">
        <v>11</v>
      </c>
      <c r="Y20">
        <v>16</v>
      </c>
      <c r="Z20" s="3">
        <f>IF(AND(V20&gt;0,Y20&gt;0),(Y20/((V20+W20)*10)),"")</f>
        <v>0.14545454545454545</v>
      </c>
      <c r="AA20">
        <v>50</v>
      </c>
      <c r="AB20">
        <f t="shared" si="64"/>
        <v>80</v>
      </c>
      <c r="AE20">
        <v>8</v>
      </c>
      <c r="AF20">
        <v>8</v>
      </c>
      <c r="AI20" s="9">
        <v>0</v>
      </c>
      <c r="AJ20" s="14" t="str">
        <f>CONCATENATE(VLOOKUP(AK20, 'Voxel Sizes'!$A$2:$B$18,2,FALSE),"x",INT(AG20*15), "x", INT(AH20*15))</f>
        <v>82x0x0</v>
      </c>
      <c r="AK20" s="14">
        <f t="shared" si="95"/>
        <v>5</v>
      </c>
      <c r="AL20" t="s">
        <v>445</v>
      </c>
      <c r="AM20" s="14" t="str">
        <f>CONCATENATE(VLOOKUP(AK20,Constants!$A$2:$C$16,IF(AL20&lt;&gt;"", 3, 2), FALSE),IF(AL20&lt;&gt;"",CONCATENATE(",",VLOOKUP(AL20,$B:$AM,38,FALSE)),""))</f>
        <v>2,1,2,1,2,1</v>
      </c>
      <c r="AW20">
        <v>30</v>
      </c>
      <c r="AX20" s="14">
        <f>IF(K20&lt;&gt;"",MAX(16,(K20-I20)+8),"")</f>
        <v>38</v>
      </c>
      <c r="BA20" s="16">
        <f t="shared" ref="BA20:BA33" si="106">MIN(AA20/150, 1)*30</f>
        <v>10</v>
      </c>
      <c r="BB20" s="16">
        <f t="shared" ref="BB20:BB33" si="107">MIN(M20/4000, 1)*20</f>
        <v>1.1000000000000001</v>
      </c>
      <c r="BC20" s="16">
        <f t="shared" ref="BC20:BC33" si="108">MIN(Y20/400,1)*20</f>
        <v>0.8</v>
      </c>
      <c r="BD20" s="17">
        <f t="shared" ref="BD20:BD33" si="109">1-(MAX(I20-1900, 0)/750)</f>
        <v>1</v>
      </c>
      <c r="BE20" s="16">
        <f t="shared" ref="BE20:BE33" si="110">((MAX($L20,1)*MIN($AI20/300,1)))*IF(F20="Wagon",50,10)</f>
        <v>0</v>
      </c>
      <c r="BF20" s="16">
        <f>VLOOKUP($G20,Constants!$I:$K, 2, FALSE)</f>
        <v>1.1499999999999999</v>
      </c>
      <c r="BG20" s="16">
        <f>VLOOKUP($G20,Constants!$I:$K, 3, FALSE)*IF(AND(F20="multiple_unit",AA20&lt;110),0.75,1)</f>
        <v>1.7</v>
      </c>
      <c r="BH20" s="16">
        <f>INT(POWER(((Constants!$G$2+$BA20+$BB20+$BC20+$BE20)*$BD20)*$BG20, 1.05))+$AZ20</f>
        <v>33</v>
      </c>
      <c r="BI20" s="16">
        <f>INT(POWER((((Constants!$G$1+$BA20+$BB20+$BC20+$BE20)*($BD20))*$BF20),IF($F20="wagon",1,1.2)))+$AY20</f>
        <v>61</v>
      </c>
      <c r="BJ20" s="19">
        <f t="shared" ref="BJ20:BJ33" si="111">BH20*IF($F20="wagon",62.5,781.25)</f>
        <v>25781.25</v>
      </c>
      <c r="BK20" s="19">
        <f t="shared" ref="BK20:BK33" si="112">BI20*IF($F20="wagon",2.73,81.25)</f>
        <v>4956.25</v>
      </c>
      <c r="BT20">
        <v>3</v>
      </c>
      <c r="BX20" t="s">
        <v>52</v>
      </c>
      <c r="BY20" t="s">
        <v>63</v>
      </c>
      <c r="BZ20" t="str">
        <f>CONCATENATE(BX20,"_",BY20)</f>
        <v>early_Express</v>
      </c>
      <c r="CA20" t="str">
        <f>_xlfn.CONCAT(G20, "_",H20)</f>
        <v>steam_RAIL</v>
      </c>
      <c r="CB20" s="25" t="str" cm="1">
        <f t="array" ref="CB20">IF(AM20&lt;&gt;"na", _xlfn.CONCAT("{BLACK}Length: {GOLD}", TEXT(ROUNDUP(IF(AP20&lt;&gt;"",SUM(VALUE(_xlfn.TEXTSPLIT(AP20, ","))), SUM(VALUE(_xlfn.TEXTSPLIT(AM20, ",")))*IF(L20, L20, 1))/16, 1),"#,##0.0"), " tiles{}"), "")</f>
        <v>{BLACK}Length: {GOLD}0.6 tiles{}</v>
      </c>
      <c r="CC20" s="22" t="str">
        <f>VLOOKUP($CA20, Constants!$M:$N, 2, FALSE)</f>
        <v>{BLACK}Powered by: {GOLD}Steam</v>
      </c>
      <c r="CD20" s="22" t="str">
        <f t="shared" si="12"/>
        <v/>
      </c>
      <c r="CE20" t="s">
        <v>442</v>
      </c>
      <c r="CF20" s="22" t="str">
        <f t="shared" si="13"/>
        <v/>
      </c>
      <c r="CG20" s="22" t="str">
        <f t="shared" si="26"/>
        <v>{BLACK}Powered by: {GOLD}Steam {}{BLACK}Length: {GOLD}0.6 tiles{}{SILVER}The first GWR Star class was typical of a 2-2-2 "single" passenger locomotive. They were given common names of stars, such as "Dog Star" and "Shooting Star"</v>
      </c>
    </row>
    <row r="21" spans="1:85" ht="13.9" customHeight="1" x14ac:dyDescent="0.25">
      <c r="A21" t="s">
        <v>452</v>
      </c>
      <c r="B21" t="s">
        <v>416</v>
      </c>
      <c r="C21">
        <v>461</v>
      </c>
      <c r="D21">
        <v>3</v>
      </c>
      <c r="E21" t="s">
        <v>488</v>
      </c>
      <c r="F21" t="s">
        <v>236</v>
      </c>
      <c r="G21" t="s">
        <v>25</v>
      </c>
      <c r="H21" t="s">
        <v>28</v>
      </c>
      <c r="I21">
        <v>1847</v>
      </c>
      <c r="K21">
        <v>1884</v>
      </c>
      <c r="M21">
        <v>400</v>
      </c>
      <c r="O21" s="5">
        <v>21</v>
      </c>
      <c r="P21" s="5">
        <v>26</v>
      </c>
      <c r="Q21" s="5">
        <v>2</v>
      </c>
      <c r="R21" s="5">
        <v>115</v>
      </c>
      <c r="S21" s="12">
        <f t="shared" si="104"/>
        <v>140.48862260580884</v>
      </c>
      <c r="T21" s="5">
        <v>2.4300000000000002</v>
      </c>
      <c r="U21" s="5">
        <f t="shared" si="105"/>
        <v>668.009960718294</v>
      </c>
      <c r="V21">
        <v>42</v>
      </c>
      <c r="Y21">
        <v>35</v>
      </c>
      <c r="Z21" s="3">
        <f>IF(AND(V21&gt;0,Y21&gt;0),(Y21/((V21+W21)*10)),"")</f>
        <v>8.3333333333333329E-2</v>
      </c>
      <c r="AA21">
        <v>78</v>
      </c>
      <c r="AB21">
        <f t="shared" si="64"/>
        <v>125</v>
      </c>
      <c r="AE21">
        <v>9</v>
      </c>
      <c r="AF21">
        <v>9</v>
      </c>
      <c r="AI21" s="9">
        <v>0</v>
      </c>
      <c r="AJ21" s="14" t="str">
        <f>CONCATENATE(VLOOKUP(AK21, 'Voxel Sizes'!$A$2:$B$18,2,FALSE),"x",INT(AG21*15), "x", INT(AH21*15))</f>
        <v>82x0x0</v>
      </c>
      <c r="AK21" s="14">
        <f t="shared" ref="AK21:AK22" si="113">ROUND(15*((AF21*10)/256),0)</f>
        <v>5</v>
      </c>
      <c r="AL21" t="s">
        <v>451</v>
      </c>
      <c r="AM21" s="14" t="str">
        <f>CONCATENATE(VLOOKUP(AK21,Constants!$A$2:$C$16,IF(AL21&lt;&gt;"", 3, 2), FALSE),IF(AL21&lt;&gt;"",CONCATENATE(",",VLOOKUP(AL21,$B:$AM,38,FALSE)),""))</f>
        <v>2,1,2,1,2,1</v>
      </c>
      <c r="AW21">
        <v>31</v>
      </c>
      <c r="AX21" s="14">
        <f>IF(K21&lt;&gt;"",MAX(16,(K21-I21)+8),"")</f>
        <v>45</v>
      </c>
      <c r="AY21">
        <v>15</v>
      </c>
      <c r="AZ21">
        <v>20</v>
      </c>
      <c r="BA21" s="16">
        <f t="shared" si="106"/>
        <v>15.600000000000001</v>
      </c>
      <c r="BB21" s="16">
        <f t="shared" si="107"/>
        <v>2</v>
      </c>
      <c r="BC21" s="16">
        <f t="shared" si="108"/>
        <v>1.75</v>
      </c>
      <c r="BD21" s="17">
        <f t="shared" si="109"/>
        <v>1</v>
      </c>
      <c r="BE21" s="16">
        <f t="shared" si="110"/>
        <v>0</v>
      </c>
      <c r="BF21" s="16">
        <f>VLOOKUP($G21,Constants!$I:$K, 2, FALSE)</f>
        <v>1.1499999999999999</v>
      </c>
      <c r="BG21" s="16">
        <f>VLOOKUP($G21,Constants!$I:$K, 3, FALSE)*IF(AND(F21="multiple_unit",AA21&lt;110),0.75,1)</f>
        <v>1.7</v>
      </c>
      <c r="BH21" s="16">
        <f>INT(POWER(((Constants!$G$2+$BA21+$BB21+$BC21+$BE21)*$BD21)*$BG21, 1.05))+$AZ21</f>
        <v>69</v>
      </c>
      <c r="BI21" s="16">
        <f>INT(POWER((((Constants!$G$1+$BA21+$BB21+$BC21+$BE21)*($BD21))*$BF21),IF($F21="wagon",1,1.2)))+$AY21</f>
        <v>97</v>
      </c>
      <c r="BJ21" s="19">
        <f t="shared" si="111"/>
        <v>53906.25</v>
      </c>
      <c r="BK21" s="19">
        <f t="shared" si="112"/>
        <v>7881.25</v>
      </c>
      <c r="BT21">
        <v>7</v>
      </c>
      <c r="BX21" t="s">
        <v>52</v>
      </c>
      <c r="BY21" t="s">
        <v>63</v>
      </c>
      <c r="BZ21" t="str">
        <f>CONCATENATE(BX21,"_",BY21)</f>
        <v>early_Express</v>
      </c>
      <c r="CA21" t="str">
        <f>_xlfn.CONCAT(G21, "_",H21)</f>
        <v>steam_RAIL</v>
      </c>
      <c r="CB21" s="25" t="str" cm="1">
        <f t="array" ref="CB21">IF(AM21&lt;&gt;"na", _xlfn.CONCAT("{BLACK}Length: {GOLD}", TEXT(ROUNDUP(IF(AP21&lt;&gt;"",SUM(VALUE(_xlfn.TEXTSPLIT(AP21, ","))), SUM(VALUE(_xlfn.TEXTSPLIT(AM21, ",")))*IF(L21, L21, 1))/16, 1),"#,##0.0"), " tiles{}"), "")</f>
        <v>{BLACK}Length: {GOLD}0.6 tiles{}</v>
      </c>
      <c r="CC21" s="22" t="str">
        <f>VLOOKUP($CA21, Constants!$M:$N, 2, FALSE)</f>
        <v>{BLACK}Powered by: {GOLD}Steam</v>
      </c>
      <c r="CD21" s="22" t="str">
        <f t="shared" si="12"/>
        <v/>
      </c>
      <c r="CE21" t="s">
        <v>449</v>
      </c>
      <c r="CF21" s="22" t="str">
        <f t="shared" si="13"/>
        <v/>
      </c>
      <c r="CG21" s="22" t="str">
        <f t="shared" si="26"/>
        <v>{BLACK}Powered by: {GOLD}Steam {}{BLACK}Length: {GOLD}0.6 tiles{}{SILVER}The Iron Duke class was powerful and very fast for its time. Although both leading axles were rigidly mounted, the wide curves and broad gauge of the GWR's track made this less of a problem.</v>
      </c>
    </row>
    <row r="22" spans="1:85" ht="13.9" customHeight="1" x14ac:dyDescent="0.25">
      <c r="A22" t="s">
        <v>513</v>
      </c>
      <c r="B22" t="s">
        <v>514</v>
      </c>
      <c r="C22">
        <v>741</v>
      </c>
      <c r="D22">
        <v>4</v>
      </c>
      <c r="E22" t="s">
        <v>488</v>
      </c>
      <c r="F22" t="s">
        <v>236</v>
      </c>
      <c r="G22" t="s">
        <v>25</v>
      </c>
      <c r="H22" t="s">
        <v>28</v>
      </c>
      <c r="I22">
        <v>1874</v>
      </c>
      <c r="K22">
        <v>1923</v>
      </c>
      <c r="M22">
        <v>550</v>
      </c>
      <c r="O22" s="5">
        <v>17</v>
      </c>
      <c r="P22" s="5">
        <v>24</v>
      </c>
      <c r="Q22" s="5">
        <v>2</v>
      </c>
      <c r="R22" s="5">
        <v>140</v>
      </c>
      <c r="S22" s="12">
        <f t="shared" si="104"/>
        <v>154.65586342852018</v>
      </c>
      <c r="T22" s="5">
        <v>1.9810000000000001</v>
      </c>
      <c r="U22" s="5">
        <f t="shared" si="105"/>
        <v>541.54620409037364</v>
      </c>
      <c r="V22">
        <v>34</v>
      </c>
      <c r="W22" s="7">
        <v>30</v>
      </c>
      <c r="Y22">
        <v>49</v>
      </c>
      <c r="Z22" s="3">
        <f>IF(AND(V22&gt;0,Y22&gt;0),(Y22/((V22+W22)*10)),"")</f>
        <v>7.6562500000000006E-2</v>
      </c>
      <c r="AA22">
        <v>70</v>
      </c>
      <c r="AB22">
        <f t="shared" si="64"/>
        <v>112</v>
      </c>
      <c r="AE22">
        <v>10</v>
      </c>
      <c r="AF22">
        <v>10</v>
      </c>
      <c r="AJ22" s="14" t="str">
        <f>CONCATENATE(VLOOKUP(AK22, 'Voxel Sizes'!$A$2:$B$18,2,FALSE),"x",INT(AG22*15), "x", INT(AH22*15))</f>
        <v>102x0x0</v>
      </c>
      <c r="AK22" s="14">
        <f t="shared" si="113"/>
        <v>6</v>
      </c>
      <c r="AL22" t="s">
        <v>517</v>
      </c>
      <c r="AM22" s="14" t="str">
        <f>CONCATENATE(VLOOKUP(AK22,Constants!$A$2:$C$16,IF(AL22&lt;&gt;"", 3, 2), FALSE),IF(AL22&lt;&gt;"",CONCATENATE(",",VLOOKUP(AL22,$B:$AM,38,FALSE)),""))</f>
        <v>2,2,2,2,1,2</v>
      </c>
      <c r="AU22">
        <v>1</v>
      </c>
      <c r="AW22">
        <v>32</v>
      </c>
      <c r="AX22" s="14">
        <f>IF(K22&lt;&gt;"",MAX(16,(K22-I22)+8),"")</f>
        <v>57</v>
      </c>
      <c r="BA22" s="16">
        <f t="shared" ref="BA22" si="114">MIN(AA22/150, 1)*30</f>
        <v>14</v>
      </c>
      <c r="BB22" s="16">
        <f t="shared" ref="BB22" si="115">MIN(M22/4000, 1)*20</f>
        <v>2.75</v>
      </c>
      <c r="BC22" s="16">
        <f t="shared" ref="BC22" si="116">MIN(Y22/400,1)*20</f>
        <v>2.4500000000000002</v>
      </c>
      <c r="BD22" s="17">
        <f t="shared" ref="BD22" si="117">1-(MAX(I22-1900, 0)/750)</f>
        <v>1</v>
      </c>
      <c r="BE22" s="16">
        <f t="shared" ref="BE22" si="118">((MAX($L22,1)*MIN($AI22/300,1)))*IF(F22="Wagon",50,10)</f>
        <v>0</v>
      </c>
      <c r="BF22" s="16">
        <f>VLOOKUP($G22,Constants!$I:$K, 2, FALSE)</f>
        <v>1.1499999999999999</v>
      </c>
      <c r="BG22" s="16">
        <f>VLOOKUP($G22,Constants!$I:$K, 3, FALSE)*IF(AND(F22="multiple_unit",AA22&lt;110),0.75,1)</f>
        <v>1.7</v>
      </c>
      <c r="BH22" s="16">
        <f>INT(POWER(((Constants!$G$2+$BA22+$BB22+$BC22+$BE22)*$BD22)*$BG22, 1.05))+$AZ22</f>
        <v>49</v>
      </c>
      <c r="BI22" s="16">
        <f>INT(POWER((((Constants!$G$1+$BA22+$BB22+$BC22+$BE22)*($BD22))*$BF22),IF($F22="wagon",1,1.2)))+$AY22</f>
        <v>81</v>
      </c>
      <c r="BJ22" s="19">
        <f t="shared" ref="BJ22" si="119">BH22*IF($F22="wagon",62.5,781.25)</f>
        <v>38281.25</v>
      </c>
      <c r="BK22" s="19">
        <f t="shared" ref="BK22" si="120">BI22*IF($F22="wagon",2.73,81.25)</f>
        <v>6581.25</v>
      </c>
      <c r="BT22">
        <v>7</v>
      </c>
      <c r="BX22" t="s">
        <v>52</v>
      </c>
      <c r="BY22" t="s">
        <v>63</v>
      </c>
      <c r="BZ22" t="str">
        <f>CONCATENATE(BX22,"_",BY22)</f>
        <v>early_Express</v>
      </c>
      <c r="CA22" t="str">
        <f>_xlfn.CONCAT(G22, "_",H22)</f>
        <v>steam_RAIL</v>
      </c>
      <c r="CB22" s="25" t="str" cm="1">
        <f t="array" ref="CB22">IF(AM22&lt;&gt;"na", _xlfn.CONCAT("{BLACK}Length: {GOLD}", TEXT(ROUNDUP(IF(AP22&lt;&gt;"",SUM(VALUE(_xlfn.TEXTSPLIT(AP22, ","))), SUM(VALUE(_xlfn.TEXTSPLIT(AM22, ",")))*IF(L22, L22, 1))/16, 1),"#,##0.0"), " tiles{}"), "")</f>
        <v>{BLACK}Length: {GOLD}0.7 tiles{}</v>
      </c>
      <c r="CC22" s="22" t="str">
        <f>VLOOKUP($CA22, Constants!$M:$N, 2, FALSE)</f>
        <v>{BLACK}Powered by: {GOLD}Steam</v>
      </c>
      <c r="CD22" s="22" t="str">
        <f t="shared" ref="CD22" si="121">IF(AND(L22&gt;1,BN22&lt;&gt;1),_xlfn.CONCAT("{BLACK}Cars: {GOLD}", L22),"")</f>
        <v/>
      </c>
      <c r="CE22" t="s">
        <v>519</v>
      </c>
      <c r="CF22" s="22" t="str">
        <f t="shared" ref="CF22" si="122">IF(BW22="DANDY","{YELLOW}Faster downhill speeds for horse-drawn trains (1 required per 2 horses){}",IF(BW22="BRAKE","{YELLOW}Speed bonus for slow wagons{}",IF(BV22="NGPassengers","{YELLOW}Preserved railway bonus: passengers pay more when hauled by old locomotives{}",IF(AND(BU22&gt;190,NOT(AND(H22="NARROW_GAUGE",BW22&lt;&gt;"PASS"))),CONCATENATE("{YELLOW}",INT((BU22-185)/1.85),"% Bonus for long distance travel{}"),IF(AND(BU22&lt;180,BU22&lt;&gt;0),CONCATENATE("{YELLOW}",INT((185-BU22)/1.85),"% Penalty for long distance travel{}"),"")))))</f>
        <v/>
      </c>
      <c r="CG22" s="22" t="str">
        <f t="shared" si="26"/>
        <v>{BLACK}Powered by: {GOLD}Steam {}{BLACK}Length: {GOLD}0.7 tiles{}{SILVER}F.W. Webb's Precedent class was an express passenger locomotive. A large part of the class was given numbers and names of previously withdrawn locomotives, giving it a fragmented numbering scheme.</v>
      </c>
    </row>
    <row r="23" spans="1:85" x14ac:dyDescent="0.25">
      <c r="A23" t="s">
        <v>401</v>
      </c>
      <c r="B23" t="s">
        <v>403</v>
      </c>
      <c r="C23">
        <v>661</v>
      </c>
      <c r="D23">
        <v>5</v>
      </c>
      <c r="E23" t="s">
        <v>488</v>
      </c>
      <c r="F23" t="s">
        <v>236</v>
      </c>
      <c r="G23" t="s">
        <v>25</v>
      </c>
      <c r="H23" t="s">
        <v>28</v>
      </c>
      <c r="I23">
        <v>1866</v>
      </c>
      <c r="K23">
        <v>1947</v>
      </c>
      <c r="M23">
        <v>500</v>
      </c>
      <c r="O23" s="5">
        <v>17</v>
      </c>
      <c r="P23" s="5">
        <v>24</v>
      </c>
      <c r="Q23" s="5">
        <v>2</v>
      </c>
      <c r="R23" s="5">
        <v>140</v>
      </c>
      <c r="S23" s="12">
        <f t="shared" si="104"/>
        <v>150.36440844437786</v>
      </c>
      <c r="T23" s="5">
        <v>1.8919999999999999</v>
      </c>
      <c r="U23" s="5">
        <f t="shared" si="105"/>
        <v>526.51915561535009</v>
      </c>
      <c r="V23">
        <v>38</v>
      </c>
      <c r="W23" s="7">
        <v>30</v>
      </c>
      <c r="X23">
        <v>5</v>
      </c>
      <c r="Y23">
        <v>50</v>
      </c>
      <c r="Z23" s="3">
        <f t="shared" si="65"/>
        <v>7.3529411764705885E-2</v>
      </c>
      <c r="AA23">
        <v>65</v>
      </c>
      <c r="AB23">
        <f t="shared" si="64"/>
        <v>104</v>
      </c>
      <c r="AE23">
        <v>10</v>
      </c>
      <c r="AF23">
        <v>10</v>
      </c>
      <c r="AJ23" s="14" t="str">
        <f>CONCATENATE(VLOOKUP(AK23, 'Voxel Sizes'!$A$2:$B$18,2,FALSE),"x",INT(AG23*15), "x", INT(AH23*15))</f>
        <v>102x0x0</v>
      </c>
      <c r="AK23" s="14">
        <f t="shared" si="66"/>
        <v>6</v>
      </c>
      <c r="AL23" t="s">
        <v>405</v>
      </c>
      <c r="AM23" s="14" t="str">
        <f>CONCATENATE(VLOOKUP(AK23,Constants!$A$2:$C$16,IF(AL23&lt;&gt;"", 3, 2), FALSE),IF(AL23&lt;&gt;"",CONCATENATE(",",VLOOKUP(AL23,$B:$AM,38,FALSE)),""))</f>
        <v>2,2,2,2,1,2</v>
      </c>
      <c r="AU23">
        <v>1</v>
      </c>
      <c r="AW23">
        <v>34</v>
      </c>
      <c r="AX23" s="14">
        <f t="shared" si="67"/>
        <v>89</v>
      </c>
      <c r="BA23" s="16">
        <f t="shared" si="106"/>
        <v>13</v>
      </c>
      <c r="BB23" s="16">
        <f t="shared" si="107"/>
        <v>2.5</v>
      </c>
      <c r="BC23" s="16">
        <f t="shared" si="108"/>
        <v>2.5</v>
      </c>
      <c r="BD23" s="17">
        <f t="shared" si="109"/>
        <v>1</v>
      </c>
      <c r="BE23" s="16">
        <f t="shared" si="110"/>
        <v>0</v>
      </c>
      <c r="BF23" s="16">
        <f>VLOOKUP($G23,Constants!$I:$K, 2, FALSE)</f>
        <v>1.1499999999999999</v>
      </c>
      <c r="BG23" s="16">
        <f>VLOOKUP($G23,Constants!$I:$K, 3, FALSE)*IF(AND(F23="multiple_unit",AA23&lt;110),0.75,1)</f>
        <v>1.7</v>
      </c>
      <c r="BH23" s="16">
        <f>INT(POWER(((Constants!$G$2+$BA23+$BB23+$BC23+$BE23)*$BD23)*$BG23, 1.05))+$AZ23</f>
        <v>46</v>
      </c>
      <c r="BI23" s="16">
        <f>INT(POWER((((Constants!$G$1+$BA23+$BB23+$BC23+$BE23)*($BD23))*$BF23),IF($F23="wagon",1,1.2)))+$AY23</f>
        <v>78</v>
      </c>
      <c r="BJ23" s="19">
        <f t="shared" si="111"/>
        <v>35937.5</v>
      </c>
      <c r="BK23" s="19">
        <f t="shared" si="112"/>
        <v>6337.5</v>
      </c>
      <c r="BT23">
        <v>9</v>
      </c>
      <c r="BX23" s="22" t="str">
        <f>VLOOKUP(I23,Eras!$A$2:$C$10, 2, TRUE)</f>
        <v>vct</v>
      </c>
      <c r="BY23" t="s">
        <v>63</v>
      </c>
      <c r="BZ23" s="22" t="str">
        <f t="shared" si="75"/>
        <v>vct_Express</v>
      </c>
      <c r="CA23" s="22" t="str">
        <f t="shared" si="76"/>
        <v>steam_RAIL</v>
      </c>
      <c r="CB23" s="25" t="str" cm="1">
        <f t="array" ref="CB23">IF(AM23&lt;&gt;"na", _xlfn.CONCAT("{BLACK}Length: {GOLD}", TEXT(ROUNDUP(IF(AP23&lt;&gt;"",SUM(VALUE(_xlfn.TEXTSPLIT(AP23, ","))), SUM(VALUE(_xlfn.TEXTSPLIT(AM23, ",")))*IF(L23, L23, 1))/16, 1),"#,##0.0"), " tiles{}"), "")</f>
        <v>{BLACK}Length: {GOLD}0.7 tiles{}</v>
      </c>
      <c r="CC23" s="22" t="str">
        <f>VLOOKUP($CA23, Constants!$M:$N, 2, FALSE)</f>
        <v>{BLACK}Powered by: {GOLD}Steam</v>
      </c>
      <c r="CD23" s="22" t="str">
        <f t="shared" si="12"/>
        <v/>
      </c>
      <c r="CE23" t="s">
        <v>402</v>
      </c>
      <c r="CF23" s="22" t="str">
        <f t="shared" si="13"/>
        <v/>
      </c>
      <c r="CG23" s="22" t="str">
        <f t="shared" si="26"/>
        <v>{BLACK}Powered by: {GOLD}Steam {}{BLACK}Length: {GOLD}0.7 tiles{}{SILVER}The Midland 156 class had a long career. It started as an express engine but as power outputs and speeds on the mainline increased it was relegated to increasingly minor duties, ending up being used on small branch lines.</v>
      </c>
    </row>
    <row r="24" spans="1:85" x14ac:dyDescent="0.25">
      <c r="A24" t="s">
        <v>360</v>
      </c>
      <c r="B24" t="s">
        <v>361</v>
      </c>
      <c r="C24">
        <v>871</v>
      </c>
      <c r="D24">
        <v>6</v>
      </c>
      <c r="E24" t="s">
        <v>488</v>
      </c>
      <c r="F24" t="s">
        <v>236</v>
      </c>
      <c r="G24" t="s">
        <v>25</v>
      </c>
      <c r="H24" t="s">
        <v>28</v>
      </c>
      <c r="I24">
        <v>1870</v>
      </c>
      <c r="K24">
        <v>1916</v>
      </c>
      <c r="M24">
        <v>650</v>
      </c>
      <c r="O24" s="5">
        <v>18</v>
      </c>
      <c r="P24" s="5">
        <v>28</v>
      </c>
      <c r="Q24" s="5">
        <v>2</v>
      </c>
      <c r="R24" s="5">
        <v>140</v>
      </c>
      <c r="S24" s="12">
        <f t="shared" si="104"/>
        <v>151.22954450296965</v>
      </c>
      <c r="T24" s="5">
        <v>2.46</v>
      </c>
      <c r="U24" s="5">
        <f t="shared" si="105"/>
        <v>692.62749445676275</v>
      </c>
      <c r="V24">
        <v>40</v>
      </c>
      <c r="W24" s="7">
        <v>30</v>
      </c>
      <c r="X24">
        <v>5</v>
      </c>
      <c r="Y24">
        <v>50</v>
      </c>
      <c r="Z24" s="3">
        <f t="shared" si="65"/>
        <v>7.1428571428571425E-2</v>
      </c>
      <c r="AA24">
        <v>85</v>
      </c>
      <c r="AB24">
        <f t="shared" si="64"/>
        <v>136</v>
      </c>
      <c r="AE24">
        <v>15.4</v>
      </c>
      <c r="AF24">
        <v>12</v>
      </c>
      <c r="AJ24" s="14" t="str">
        <f>CONCATENATE(VLOOKUP(AK24, 'Voxel Sizes'!$A$2:$B$18,2,FALSE),"x",INT(AG24*15), "x", INT(AH24*15))</f>
        <v>120x0x0</v>
      </c>
      <c r="AK24" s="14">
        <f t="shared" si="66"/>
        <v>7</v>
      </c>
      <c r="AL24" t="s">
        <v>363</v>
      </c>
      <c r="AM24" s="14" t="str">
        <f>CONCATENATE(VLOOKUP(AK24,Constants!$A$2:$C$16,IF(AL24&lt;&gt;"", 3, 2), FALSE),IF(AL24&lt;&gt;"",CONCATENATE(",",VLOOKUP(AL24,$B:$AM,38,FALSE)),""))</f>
        <v>2,3,2,2,1,2</v>
      </c>
      <c r="AU24">
        <v>1</v>
      </c>
      <c r="AW24">
        <v>31</v>
      </c>
      <c r="AX24" s="14">
        <f t="shared" si="67"/>
        <v>54</v>
      </c>
      <c r="BA24" s="16">
        <f t="shared" si="106"/>
        <v>17</v>
      </c>
      <c r="BB24" s="16">
        <f t="shared" si="107"/>
        <v>3.25</v>
      </c>
      <c r="BC24" s="16">
        <f t="shared" si="108"/>
        <v>2.5</v>
      </c>
      <c r="BD24" s="17">
        <f t="shared" si="109"/>
        <v>1</v>
      </c>
      <c r="BE24" s="16">
        <f t="shared" si="110"/>
        <v>0</v>
      </c>
      <c r="BF24" s="16">
        <f>VLOOKUP($G24,Constants!$I:$K, 2, FALSE)</f>
        <v>1.1499999999999999</v>
      </c>
      <c r="BG24" s="16">
        <f>VLOOKUP($G24,Constants!$I:$K, 3, FALSE)*IF(AND(F24="multiple_unit",AA24&lt;110),0.75,1)</f>
        <v>1.7</v>
      </c>
      <c r="BH24" s="16">
        <f>INT(POWER(((Constants!$G$2+$BA24+$BB24+$BC24+$BE24)*$BD24)*$BG24, 1.05))+$AZ24</f>
        <v>57</v>
      </c>
      <c r="BI24" s="16">
        <f>INT(POWER((((Constants!$G$1+$BA24+$BB24+$BC24+$BE24)*($BD24))*$BF24),IF($F24="wagon",1,1.2)))+$AY24</f>
        <v>92</v>
      </c>
      <c r="BJ24" s="19">
        <f t="shared" si="111"/>
        <v>44531.25</v>
      </c>
      <c r="BK24" s="19">
        <f t="shared" si="112"/>
        <v>7475</v>
      </c>
      <c r="BT24">
        <v>4</v>
      </c>
      <c r="BX24" s="22" t="str">
        <f>VLOOKUP(I24,Eras!$A$2:$C$10, 2, TRUE)</f>
        <v>vct</v>
      </c>
      <c r="BY24" t="s">
        <v>63</v>
      </c>
      <c r="BZ24" s="22" t="str">
        <f t="shared" si="75"/>
        <v>vct_Express</v>
      </c>
      <c r="CA24" s="22" t="str">
        <f t="shared" si="76"/>
        <v>steam_RAIL</v>
      </c>
      <c r="CB24" s="25" t="str" cm="1">
        <f t="array" ref="CB24">IF(AM24&lt;&gt;"na", _xlfn.CONCAT("{BLACK}Length: {GOLD}", TEXT(ROUNDUP(IF(AP24&lt;&gt;"",SUM(VALUE(_xlfn.TEXTSPLIT(AP24, ","))), SUM(VALUE(_xlfn.TEXTSPLIT(AM24, ",")))*IF(L24, L24, 1))/16, 1),"#,##0.0"), " tiles{}"), "")</f>
        <v>{BLACK}Length: {GOLD}0.8 tiles{}</v>
      </c>
      <c r="CC24" s="22" t="str">
        <f>VLOOKUP($CA24, Constants!$M:$N, 2, FALSE)</f>
        <v>{BLACK}Powered by: {GOLD}Steam</v>
      </c>
      <c r="CD24" s="22" t="str">
        <f t="shared" si="12"/>
        <v/>
      </c>
      <c r="CE24" t="s">
        <v>364</v>
      </c>
      <c r="CF24" s="22" t="str">
        <f t="shared" si="13"/>
        <v/>
      </c>
      <c r="CG24" s="22" t="str">
        <f t="shared" si="26"/>
        <v>{BLACK}Powered by: {GOLD}Steam {}{BLACK}Length: {GOLD}0.8 tiles{}{SILVER}Patrick Stirling's "singles" (also known as "eight footers" due to the large driving wheels) were designed to haul heavy express trains.</v>
      </c>
    </row>
    <row r="25" spans="1:85" ht="13.9" customHeight="1" x14ac:dyDescent="0.25">
      <c r="A25" t="s">
        <v>515</v>
      </c>
      <c r="B25" t="s">
        <v>516</v>
      </c>
      <c r="C25">
        <v>872</v>
      </c>
      <c r="D25">
        <v>7</v>
      </c>
      <c r="E25" t="s">
        <v>488</v>
      </c>
      <c r="F25" t="s">
        <v>236</v>
      </c>
      <c r="G25" t="s">
        <v>25</v>
      </c>
      <c r="H25" t="s">
        <v>28</v>
      </c>
      <c r="I25">
        <v>1887</v>
      </c>
      <c r="K25">
        <v>1934</v>
      </c>
      <c r="M25">
        <v>620</v>
      </c>
      <c r="O25" s="5">
        <v>17</v>
      </c>
      <c r="P25" s="5">
        <v>24</v>
      </c>
      <c r="Q25" s="5">
        <v>2</v>
      </c>
      <c r="R25" s="5">
        <v>150</v>
      </c>
      <c r="S25" s="12">
        <f t="shared" si="104"/>
        <v>165.7027108162716</v>
      </c>
      <c r="T25" s="5">
        <v>1.9810000000000001</v>
      </c>
      <c r="U25" s="5">
        <f t="shared" si="105"/>
        <v>621.67293836905128</v>
      </c>
      <c r="V25">
        <v>34</v>
      </c>
      <c r="W25" s="7">
        <v>30</v>
      </c>
      <c r="Y25">
        <v>49</v>
      </c>
      <c r="Z25" s="3">
        <f>IF(AND(V25&gt;0,Y25&gt;0),(Y25/((V25+W25)*10)),"")</f>
        <v>7.6562500000000006E-2</v>
      </c>
      <c r="AA25">
        <v>75</v>
      </c>
      <c r="AB25">
        <f t="shared" ref="AB25" si="123">ROUND(AA25*1.6, 0)</f>
        <v>120</v>
      </c>
      <c r="AE25">
        <v>10</v>
      </c>
      <c r="AF25">
        <v>10</v>
      </c>
      <c r="AJ25" s="14" t="str">
        <f>CONCATENATE(VLOOKUP(AK25, 'Voxel Sizes'!$A$2:$B$18,2,FALSE),"x",INT(AG25*15), "x", INT(AH25*15))</f>
        <v>102x0x0</v>
      </c>
      <c r="AK25" s="14">
        <f t="shared" si="66"/>
        <v>6</v>
      </c>
      <c r="AL25" t="s">
        <v>382</v>
      </c>
      <c r="AM25" s="14" t="str">
        <f>CONCATENATE(VLOOKUP(AK25,Constants!$A$2:$C$16,IF(AL25&lt;&gt;"", 3, 2), FALSE),IF(AL25&lt;&gt;"",CONCATENATE(",",VLOOKUP(AL25,$B:$AM,38,FALSE)),""))</f>
        <v>2,2,2,2,1,2</v>
      </c>
      <c r="AU25">
        <v>1</v>
      </c>
      <c r="AW25">
        <v>32</v>
      </c>
      <c r="AX25" s="14">
        <f>IF(K25&lt;&gt;"",MAX(16,(K25-I25)+8),"")</f>
        <v>55</v>
      </c>
      <c r="BA25" s="16">
        <f t="shared" si="106"/>
        <v>15</v>
      </c>
      <c r="BB25" s="16">
        <f t="shared" si="107"/>
        <v>3.1</v>
      </c>
      <c r="BC25" s="16">
        <f t="shared" si="108"/>
        <v>2.4500000000000002</v>
      </c>
      <c r="BD25" s="17">
        <f t="shared" si="109"/>
        <v>1</v>
      </c>
      <c r="BE25" s="16">
        <f t="shared" si="110"/>
        <v>0</v>
      </c>
      <c r="BF25" s="16">
        <f>VLOOKUP($G25,Constants!$I:$K, 2, FALSE)</f>
        <v>1.1499999999999999</v>
      </c>
      <c r="BG25" s="16">
        <f>VLOOKUP($G25,Constants!$I:$K, 3, FALSE)*IF(AND(F25="multiple_unit",AA25&lt;110),0.75,1)</f>
        <v>1.7</v>
      </c>
      <c r="BH25" s="16">
        <f>INT(POWER(((Constants!$G$2+$BA25+$BB25+$BC25+$BE25)*$BD25)*$BG25, 1.05))+$AZ25</f>
        <v>52</v>
      </c>
      <c r="BI25" s="16">
        <f>INT(POWER((((Constants!$G$1+$BA25+$BB25+$BC25+$BE25)*($BD25))*$BF25),IF($F25="wagon",1,1.2)))+$AY25</f>
        <v>85</v>
      </c>
      <c r="BJ25" s="19">
        <f t="shared" si="111"/>
        <v>40625</v>
      </c>
      <c r="BK25" s="19">
        <f t="shared" si="112"/>
        <v>6906.25</v>
      </c>
      <c r="BT25">
        <v>7</v>
      </c>
      <c r="BX25" t="s">
        <v>52</v>
      </c>
      <c r="BY25" t="s">
        <v>63</v>
      </c>
      <c r="BZ25" t="str">
        <f>CONCATENATE(BX25,"_",BY25)</f>
        <v>early_Express</v>
      </c>
      <c r="CA25" t="str">
        <f>_xlfn.CONCAT(G25, "_",H25)</f>
        <v>steam_RAIL</v>
      </c>
      <c r="CB25" s="25" t="str" cm="1">
        <f t="array" ref="CB25">IF(AM25&lt;&gt;"na", _xlfn.CONCAT("{BLACK}Length: {GOLD}", TEXT(ROUNDUP(IF(AP25&lt;&gt;"",SUM(VALUE(_xlfn.TEXTSPLIT(AP25, ","))), SUM(VALUE(_xlfn.TEXTSPLIT(AM25, ",")))*IF(L25, L25, 1))/16, 1),"#,##0.0"), " tiles{}"), "")</f>
        <v>{BLACK}Length: {GOLD}0.7 tiles{}</v>
      </c>
      <c r="CC25" s="22" t="str">
        <f>VLOOKUP($CA25, Constants!$M:$N, 2, FALSE)</f>
        <v>{BLACK}Powered by: {GOLD}Steam</v>
      </c>
      <c r="CD25" s="22" t="str">
        <f t="shared" si="12"/>
        <v/>
      </c>
      <c r="CE25" t="s">
        <v>520</v>
      </c>
      <c r="CF25" s="22" t="str">
        <f t="shared" si="13"/>
        <v/>
      </c>
      <c r="CG25" s="22" t="str">
        <f t="shared" si="26"/>
        <v>{BLACK}Powered by: {GOLD}Steam {}{BLACK}Length: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26" spans="1:85" x14ac:dyDescent="0.25">
      <c r="A26" t="s">
        <v>366</v>
      </c>
      <c r="B26" t="s">
        <v>365</v>
      </c>
      <c r="C26">
        <v>981</v>
      </c>
      <c r="D26">
        <v>8</v>
      </c>
      <c r="E26" t="s">
        <v>488</v>
      </c>
      <c r="F26" t="s">
        <v>236</v>
      </c>
      <c r="G26" t="s">
        <v>25</v>
      </c>
      <c r="H26" t="s">
        <v>28</v>
      </c>
      <c r="I26">
        <v>1898</v>
      </c>
      <c r="K26">
        <v>1946</v>
      </c>
      <c r="M26">
        <v>950</v>
      </c>
      <c r="O26" s="5">
        <v>18.75</v>
      </c>
      <c r="P26" s="5">
        <v>24</v>
      </c>
      <c r="Q26" s="5">
        <v>2</v>
      </c>
      <c r="R26" s="5">
        <v>170</v>
      </c>
      <c r="S26" s="12">
        <f t="shared" si="104"/>
        <v>196.95424207622048</v>
      </c>
      <c r="T26" s="5">
        <v>2</v>
      </c>
      <c r="U26" s="5">
        <f t="shared" si="105"/>
        <v>1018.732244318182</v>
      </c>
      <c r="V26">
        <v>60</v>
      </c>
      <c r="W26" s="7">
        <v>30</v>
      </c>
      <c r="X26">
        <v>5</v>
      </c>
      <c r="Y26">
        <v>68</v>
      </c>
      <c r="Z26" s="3">
        <f t="shared" si="65"/>
        <v>7.5555555555555556E-2</v>
      </c>
      <c r="AA26">
        <v>90</v>
      </c>
      <c r="AB26">
        <f t="shared" si="64"/>
        <v>144</v>
      </c>
      <c r="AE26">
        <v>15.4</v>
      </c>
      <c r="AF26">
        <v>12</v>
      </c>
      <c r="AJ26" s="14" t="str">
        <f>CONCATENATE(VLOOKUP(AK26, 'Voxel Sizes'!$A$2:$B$18,2,FALSE),"x",INT(AG26*15), "x", INT(AH26*15))</f>
        <v>120x0x0</v>
      </c>
      <c r="AK26" s="14">
        <f t="shared" si="66"/>
        <v>7</v>
      </c>
      <c r="AL26" t="s">
        <v>363</v>
      </c>
      <c r="AM26" s="14" t="str">
        <f>CONCATENATE(VLOOKUP(AK26,Constants!$A$2:$C$16,IF(AL26&lt;&gt;"", 3, 2), FALSE),IF(AL26&lt;&gt;"",CONCATENATE(",",VLOOKUP(AL26,$B:$AM,38,FALSE)),""))</f>
        <v>2,3,2,2,1,2</v>
      </c>
      <c r="AU26">
        <v>1</v>
      </c>
      <c r="AW26">
        <v>29</v>
      </c>
      <c r="AX26" s="14">
        <f t="shared" si="67"/>
        <v>56</v>
      </c>
      <c r="BA26" s="16">
        <f t="shared" si="106"/>
        <v>18</v>
      </c>
      <c r="BB26" s="16">
        <f t="shared" si="107"/>
        <v>4.75</v>
      </c>
      <c r="BC26" s="16">
        <f t="shared" si="108"/>
        <v>3.4000000000000004</v>
      </c>
      <c r="BD26" s="17">
        <f t="shared" si="109"/>
        <v>1</v>
      </c>
      <c r="BE26" s="16">
        <f t="shared" si="110"/>
        <v>0</v>
      </c>
      <c r="BF26" s="16">
        <f>VLOOKUP($G26,Constants!$I:$K, 2, FALSE)</f>
        <v>1.1499999999999999</v>
      </c>
      <c r="BG26" s="16">
        <f>VLOOKUP($G26,Constants!$I:$K, 3, FALSE)*IF(AND(F26="multiple_unit",AA26&lt;110),0.75,1)</f>
        <v>1.7</v>
      </c>
      <c r="BH26" s="16">
        <f>INT(POWER(((Constants!$G$2+$BA26+$BB26+$BC26+$BE26)*$BD26)*$BG26, 1.05))+$AZ26</f>
        <v>64</v>
      </c>
      <c r="BI26" s="16">
        <f>INT(POWER((((Constants!$G$1+$BA26+$BB26+$BC26+$BE26)*($BD26))*$BF26),IF($F26="wagon",1,1.2)))+$AY26</f>
        <v>102</v>
      </c>
      <c r="BJ26" s="19">
        <f t="shared" si="111"/>
        <v>50000</v>
      </c>
      <c r="BK26" s="19">
        <f t="shared" si="112"/>
        <v>8287.5</v>
      </c>
      <c r="BT26">
        <v>3</v>
      </c>
      <c r="BX26" s="22" t="str">
        <f>VLOOKUP(I26,Eras!$A$2:$C$10, 2, TRUE)</f>
        <v>vct</v>
      </c>
      <c r="BY26" t="s">
        <v>63</v>
      </c>
      <c r="BZ26" s="22" t="str">
        <f t="shared" si="75"/>
        <v>vct_Express</v>
      </c>
      <c r="CA26" s="22" t="str">
        <f t="shared" si="76"/>
        <v>steam_RAIL</v>
      </c>
      <c r="CB26" s="25" t="str" cm="1">
        <f t="array" ref="CB26">IF(AM26&lt;&gt;"na", _xlfn.CONCAT("{BLACK}Length: {GOLD}", TEXT(ROUNDUP(IF(AP26&lt;&gt;"",SUM(VALUE(_xlfn.TEXTSPLIT(AP26, ","))), SUM(VALUE(_xlfn.TEXTSPLIT(AM26, ",")))*IF(L26, L26, 1))/16, 1),"#,##0.0"), " tiles{}"), "")</f>
        <v>{BLACK}Length: {GOLD}0.8 tiles{}</v>
      </c>
      <c r="CC26" s="22" t="str">
        <f>VLOOKUP($CA26, Constants!$M:$N, 2, FALSE)</f>
        <v>{BLACK}Powered by: {GOLD}Steam</v>
      </c>
      <c r="CD26" s="22" t="str">
        <f t="shared" si="12"/>
        <v/>
      </c>
      <c r="CE26" t="s">
        <v>367</v>
      </c>
      <c r="CF26" s="22" t="str">
        <f t="shared" si="13"/>
        <v/>
      </c>
      <c r="CG26" s="22" t="str">
        <f t="shared" si="26"/>
        <v>{BLACK}Powered by: {GOLD}Steam {}{BLACK}Length: {GOLD}0.8 tiles{}{SILVER}Henry Ivatt introduced the 4-4-2 Atlantic type to the UK with this design, nicknamed "Klondyke" after the peak of the Klondike Gold Rush of the previous year.</v>
      </c>
    </row>
    <row r="27" spans="1:85" x14ac:dyDescent="0.25">
      <c r="A27" t="s">
        <v>417</v>
      </c>
      <c r="B27" t="s">
        <v>418</v>
      </c>
      <c r="C27">
        <v>180</v>
      </c>
      <c r="D27">
        <v>9</v>
      </c>
      <c r="F27" t="s">
        <v>15</v>
      </c>
      <c r="G27" t="s">
        <v>25</v>
      </c>
      <c r="H27" t="s">
        <v>28</v>
      </c>
      <c r="I27">
        <v>1891</v>
      </c>
      <c r="K27">
        <v>1915</v>
      </c>
      <c r="M27">
        <v>800</v>
      </c>
      <c r="S27" s="12"/>
      <c r="V27">
        <v>46</v>
      </c>
      <c r="W27" s="7">
        <v>41</v>
      </c>
      <c r="Y27">
        <v>75</v>
      </c>
      <c r="Z27" s="3">
        <f>IF(AND(V27&gt;0,Y27&gt;0),(Y27/((V27+W27)*10)),"")</f>
        <v>8.6206896551724144E-2</v>
      </c>
      <c r="AA27">
        <v>80</v>
      </c>
      <c r="AB27">
        <f t="shared" si="64"/>
        <v>128</v>
      </c>
      <c r="AE27">
        <v>11</v>
      </c>
      <c r="AF27">
        <v>11</v>
      </c>
      <c r="AI27" s="9">
        <v>0</v>
      </c>
      <c r="AJ27" t="s">
        <v>446</v>
      </c>
      <c r="AK27">
        <f>ROUND(15*((AF27*10)/256),0)</f>
        <v>6</v>
      </c>
      <c r="AL27" t="s">
        <v>419</v>
      </c>
      <c r="AM27" s="14" t="str">
        <f>CONCATENATE(VLOOKUP(AK27,Constants!$A$2:$C$16,IF(AL27&lt;&gt;"", 3, 2), FALSE),IF(AL27&lt;&gt;"",CONCATENATE(",",VLOOKUP(AL27,$B:$AM,38,FALSE)),""))</f>
        <v>2,2,2,2,1,2</v>
      </c>
      <c r="AW27">
        <v>24</v>
      </c>
      <c r="AX27" s="14">
        <f>IF(K27&lt;&gt;"",MAX(16,(K27-I27)+8),"")</f>
        <v>32</v>
      </c>
      <c r="BA27" s="16">
        <f t="shared" si="106"/>
        <v>16</v>
      </c>
      <c r="BB27" s="16">
        <f t="shared" si="107"/>
        <v>4</v>
      </c>
      <c r="BC27" s="16">
        <f t="shared" si="108"/>
        <v>3.75</v>
      </c>
      <c r="BD27" s="17">
        <f t="shared" si="109"/>
        <v>1</v>
      </c>
      <c r="BE27" s="16">
        <f t="shared" si="110"/>
        <v>0</v>
      </c>
      <c r="BF27" s="16">
        <f>VLOOKUP($G27,Constants!$I:$K, 2, FALSE)</f>
        <v>1.1499999999999999</v>
      </c>
      <c r="BG27" s="16">
        <f>VLOOKUP($G27,Constants!$I:$K, 3, FALSE)*IF(AND(F27="multiple_unit",AA27&lt;110),0.75,1)</f>
        <v>1.7</v>
      </c>
      <c r="BH27" s="16">
        <f>INT(POWER(((Constants!$G$2+$BA27+$BB27+$BC27+$BE27)*$BD27)*$BG27, 1.05))+$AZ27</f>
        <v>59</v>
      </c>
      <c r="BI27" s="16">
        <f>INT(POWER((((Constants!$G$1+$BA27+$BB27+$BC27+$BE27)*($BD27))*$BF27),IF($F27="wagon",1,1.2)))+$AY27</f>
        <v>95</v>
      </c>
      <c r="BJ27" s="19">
        <f t="shared" si="111"/>
        <v>46093.75</v>
      </c>
      <c r="BK27" s="19">
        <f t="shared" si="112"/>
        <v>7718.75</v>
      </c>
      <c r="BT27">
        <v>5</v>
      </c>
      <c r="BX27" t="s">
        <v>94</v>
      </c>
      <c r="BY27" t="s">
        <v>63</v>
      </c>
      <c r="BZ27" t="str">
        <f>CONCATENATE(BX27,"_",BY27)</f>
        <v>vct_Express</v>
      </c>
      <c r="CA27" t="str">
        <f>_xlfn.CONCAT(G27, "_",H27)</f>
        <v>steam_RAIL</v>
      </c>
      <c r="CB27" s="25" t="str" cm="1">
        <f t="array" ref="CB27">IF(AM27&lt;&gt;"na", _xlfn.CONCAT("{BLACK}Length: {GOLD}", TEXT(ROUNDUP(IF(AP27&lt;&gt;"",SUM(VALUE(_xlfn.TEXTSPLIT(AP27, ","))), SUM(VALUE(_xlfn.TEXTSPLIT(AM27, ",")))*IF(L27, L27, 1))/16, 1),"#,##0.0"), " tiles{}"), "")</f>
        <v>{BLACK}Length: {GOLD}0.7 tiles{}</v>
      </c>
      <c r="CC27" s="22" t="str">
        <f>VLOOKUP($CA27, Constants!$M:$N, 2, FALSE)</f>
        <v>{BLACK}Powered by: {GOLD}Steam</v>
      </c>
      <c r="CD27" s="22" t="str">
        <f t="shared" si="12"/>
        <v/>
      </c>
      <c r="CE27" t="s">
        <v>420</v>
      </c>
      <c r="CF27" s="22" t="str">
        <f t="shared" si="13"/>
        <v/>
      </c>
      <c r="CG27" s="22" t="str">
        <f t="shared" si="26"/>
        <v>{BLACK}Powered by: {GOLD}Steam {}{BLACK}Length: {GOLD}0.7 tiles{}{SILVER}William Dean's 3001 class was the last of the GWR's 2-2-2 singles. They were rebuilt early on with a 4-2-2 layout to prevent derailments caused by the heavy front axle load.</v>
      </c>
    </row>
    <row r="28" spans="1:85" x14ac:dyDescent="0.25">
      <c r="A28" t="s">
        <v>237</v>
      </c>
      <c r="B28" t="s">
        <v>238</v>
      </c>
      <c r="C28">
        <v>991</v>
      </c>
      <c r="D28">
        <v>10</v>
      </c>
      <c r="E28" t="s">
        <v>488</v>
      </c>
      <c r="F28" t="s">
        <v>236</v>
      </c>
      <c r="G28" t="s">
        <v>25</v>
      </c>
      <c r="H28" t="s">
        <v>28</v>
      </c>
      <c r="I28">
        <v>1899</v>
      </c>
      <c r="K28">
        <v>1933</v>
      </c>
      <c r="M28">
        <v>180</v>
      </c>
      <c r="O28" s="5">
        <v>11.5</v>
      </c>
      <c r="P28" s="5">
        <v>18</v>
      </c>
      <c r="Q28" s="5">
        <v>2</v>
      </c>
      <c r="R28" s="5">
        <v>175</v>
      </c>
      <c r="S28" s="12">
        <f t="shared" si="104"/>
        <v>128.72826279491534</v>
      </c>
      <c r="T28" s="5">
        <v>1.7</v>
      </c>
      <c r="U28" s="5">
        <f t="shared" si="105"/>
        <v>193.38026403743311</v>
      </c>
      <c r="V28">
        <v>38</v>
      </c>
      <c r="X28">
        <v>5</v>
      </c>
      <c r="Y28">
        <v>24</v>
      </c>
      <c r="Z28" s="3">
        <f t="shared" si="65"/>
        <v>6.3157894736842107E-2</v>
      </c>
      <c r="AA28">
        <v>50</v>
      </c>
      <c r="AB28">
        <f t="shared" si="64"/>
        <v>80</v>
      </c>
      <c r="AE28">
        <v>10.9</v>
      </c>
      <c r="AF28">
        <v>12</v>
      </c>
      <c r="AI28" s="9">
        <v>12</v>
      </c>
      <c r="AJ28" s="14" t="str">
        <f>CONCATENATE(VLOOKUP(AK28, 'Voxel Sizes'!$A$2:$B$18,2,FALSE),"x",INT(AG28*15), "x", INT(AH28*15))</f>
        <v>120x0x0</v>
      </c>
      <c r="AK28" s="14">
        <f t="shared" si="66"/>
        <v>7</v>
      </c>
      <c r="AM28" s="14" t="str">
        <f>CONCATENATE(VLOOKUP(AK28,Constants!$A$2:$C$16,IF(AL28&lt;&gt;"", 3, 2), FALSE),IF(AL28&lt;&gt;"",CONCATENATE(",",VLOOKUP(AL28,$B:$AM,38,FALSE)),""))</f>
        <v>2,3,2</v>
      </c>
      <c r="AU28">
        <v>1</v>
      </c>
      <c r="AW28">
        <v>26</v>
      </c>
      <c r="AX28" s="14">
        <f t="shared" si="67"/>
        <v>42</v>
      </c>
      <c r="AY28">
        <v>-14</v>
      </c>
      <c r="AZ28">
        <v>-4</v>
      </c>
      <c r="BA28" s="16">
        <f t="shared" si="106"/>
        <v>10</v>
      </c>
      <c r="BB28" s="16">
        <f t="shared" si="107"/>
        <v>0.89999999999999991</v>
      </c>
      <c r="BC28" s="16">
        <f t="shared" si="108"/>
        <v>1.2</v>
      </c>
      <c r="BD28" s="17">
        <f t="shared" si="109"/>
        <v>1</v>
      </c>
      <c r="BE28" s="16">
        <f t="shared" si="110"/>
        <v>0.4</v>
      </c>
      <c r="BF28" s="16">
        <f>VLOOKUP($G28,Constants!$I:$K, 2, FALSE)</f>
        <v>1.1499999999999999</v>
      </c>
      <c r="BG28" s="16">
        <f>VLOOKUP($G28,Constants!$I:$K, 3, FALSE)*IF(AND(F28="multiple_unit",AA28&lt;110),0.75,1)</f>
        <v>1.7</v>
      </c>
      <c r="BH28" s="16">
        <f>INT(POWER(((Constants!$G$2+$BA28+$BB28+$BC28+$BE28)*$BD28)*$BG28, 1.05))+$AZ28</f>
        <v>31</v>
      </c>
      <c r="BI28" s="16">
        <f>INT(POWER((((Constants!$G$1+$BA28+$BB28+$BC28+$BE28)*($BD28))*$BF28),IF($F28="wagon",1,1.2)))+$AY28</f>
        <v>49</v>
      </c>
      <c r="BJ28" s="19">
        <f t="shared" si="111"/>
        <v>24218.75</v>
      </c>
      <c r="BK28" s="19">
        <f t="shared" si="112"/>
        <v>3981.25</v>
      </c>
      <c r="BT28">
        <v>4</v>
      </c>
      <c r="BV28" t="s">
        <v>142</v>
      </c>
      <c r="BW28" t="s">
        <v>34</v>
      </c>
      <c r="BX28" s="22" t="str">
        <f>VLOOKUP(I28,Eras!$A$2:$C$10, 2, TRUE)</f>
        <v>vct</v>
      </c>
      <c r="BY28" t="s">
        <v>61</v>
      </c>
      <c r="BZ28" s="22" t="str">
        <f t="shared" si="75"/>
        <v>vct_Cheap</v>
      </c>
      <c r="CA28" s="22" t="str">
        <f t="shared" si="76"/>
        <v>steam_RAIL</v>
      </c>
      <c r="CB28" s="25" t="str" cm="1">
        <f t="array" ref="CB28">IF(AM28&lt;&gt;"na", _xlfn.CONCAT("{BLACK}Length: {GOLD}", TEXT(ROUNDUP(IF(AP28&lt;&gt;"",SUM(VALUE(_xlfn.TEXTSPLIT(AP28, ","))), SUM(VALUE(_xlfn.TEXTSPLIT(AM28, ",")))*IF(L28, L28, 1))/16, 1),"#,##0.0"), " tiles{}"), "")</f>
        <v>{BLACK}Length: {GOLD}0.5 tiles{}</v>
      </c>
      <c r="CC28" s="22" t="str">
        <f>VLOOKUP($CA28, Constants!$M:$N, 2, FALSE)</f>
        <v>{BLACK}Powered by: {GOLD}Steam</v>
      </c>
      <c r="CD28" s="22" t="str">
        <f t="shared" si="12"/>
        <v/>
      </c>
      <c r="CE28" t="s">
        <v>239</v>
      </c>
      <c r="CF28" s="22" t="str">
        <f t="shared" si="13"/>
        <v/>
      </c>
      <c r="CG28" s="22" t="str">
        <f t="shared" si="26"/>
        <v>{BLACK}Powered by: {GOLD}Steam {}{BLACK}Length: {GOLD}0.5 tiles{}{SILVER}The F9 was Dugald Drummond's personal locomotive, allowing him to travel across the LSWR for inspections. After Drummond it only saw occasional use at Southampton Docks.</v>
      </c>
    </row>
    <row r="29" spans="1:85" x14ac:dyDescent="0.25">
      <c r="A29" t="s">
        <v>421</v>
      </c>
      <c r="B29" t="s">
        <v>422</v>
      </c>
      <c r="C29">
        <v>992</v>
      </c>
      <c r="D29">
        <v>11</v>
      </c>
      <c r="F29" t="s">
        <v>15</v>
      </c>
      <c r="G29" t="s">
        <v>25</v>
      </c>
      <c r="H29" t="s">
        <v>28</v>
      </c>
      <c r="I29">
        <v>1899</v>
      </c>
      <c r="Z29" s="3" t="str">
        <f>IF(AND(V29&gt;0,Y29&gt;0),(Y29/((V29+W29)*10)),"")</f>
        <v/>
      </c>
      <c r="AB29">
        <f t="shared" si="64"/>
        <v>0</v>
      </c>
      <c r="AI29" s="9">
        <v>0</v>
      </c>
      <c r="AJ29" t="s">
        <v>447</v>
      </c>
      <c r="AK29">
        <f>ROUND(15*((AF29*10)/256),0)</f>
        <v>0</v>
      </c>
      <c r="AM29" s="14" t="str">
        <f>CONCATENATE(VLOOKUP(AK29,Constants!$A$2:$C$16,IF(AL29&lt;&gt;"", 3, 2), FALSE),IF(AL29&lt;&gt;"",CONCATENATE(",",VLOOKUP(AL29,$B:$AM,38,FALSE)),""))</f>
        <v>na</v>
      </c>
      <c r="AW29">
        <v>30</v>
      </c>
      <c r="AX29" s="14" t="str">
        <f>IF(K29&lt;&gt;"",MAX(16,(K29-I29)+8),"")</f>
        <v/>
      </c>
      <c r="BA29" s="16">
        <f t="shared" si="106"/>
        <v>0</v>
      </c>
      <c r="BB29" s="16">
        <f t="shared" si="107"/>
        <v>0</v>
      </c>
      <c r="BC29" s="16">
        <f t="shared" si="108"/>
        <v>0</v>
      </c>
      <c r="BD29" s="17">
        <f t="shared" si="109"/>
        <v>1</v>
      </c>
      <c r="BE29" s="16">
        <f t="shared" si="110"/>
        <v>0</v>
      </c>
      <c r="BF29" s="16">
        <f>VLOOKUP($G29,Constants!$I:$K, 2, FALSE)</f>
        <v>1.1499999999999999</v>
      </c>
      <c r="BG29" s="16">
        <f>VLOOKUP($G29,Constants!$I:$K, 3, FALSE)*IF(AND(F29="multiple_unit",AA29&lt;110),0.75,1)</f>
        <v>1.7</v>
      </c>
      <c r="BH29" s="16">
        <f>INT(POWER(((Constants!$G$2+$BA29+$BB29+$BC29+$BE29)*$BD29)*$BG29, 1.05))+$AZ29</f>
        <v>9</v>
      </c>
      <c r="BI29" s="16">
        <f>INT(POWER((((Constants!$G$1+$BA29+$BB29+$BC29+$BE29)*($BD29))*$BF29),IF($F29="wagon",1,1.2)))+$AY29</f>
        <v>30</v>
      </c>
      <c r="BJ29" s="19">
        <f t="shared" si="111"/>
        <v>7031.25</v>
      </c>
      <c r="BK29" s="19">
        <f t="shared" si="112"/>
        <v>2437.5</v>
      </c>
      <c r="BT29">
        <v>8</v>
      </c>
      <c r="BX29" t="s">
        <v>94</v>
      </c>
      <c r="BZ29" t="str">
        <f>CONCATENATE(BX29,"_",BY29)</f>
        <v>vct_</v>
      </c>
      <c r="CA29" t="str">
        <f>_xlfn.CONCAT(G29, "_",H29)</f>
        <v>steam_RAIL</v>
      </c>
      <c r="CB29" s="25" t="str" cm="1">
        <f t="array" ref="CB29">IF(AM29&lt;&gt;"na", _xlfn.CONCAT("{BLACK}Length: {GOLD}", TEXT(ROUNDUP(IF(AP29&lt;&gt;"",SUM(VALUE(_xlfn.TEXTSPLIT(AP29, ","))), SUM(VALUE(_xlfn.TEXTSPLIT(AM29, ",")))*IF(L29, L29, 1))/16, 1),"#,##0.0"), " tiles{}"), "")</f>
        <v/>
      </c>
      <c r="CC29" s="22" t="str">
        <f>VLOOKUP($CA29, Constants!$M:$N, 2, FALSE)</f>
        <v>{BLACK}Powered by: {GOLD}Steam</v>
      </c>
      <c r="CD29" s="22" t="str">
        <f t="shared" si="12"/>
        <v/>
      </c>
      <c r="CF29" s="22" t="str">
        <f t="shared" si="13"/>
        <v/>
      </c>
      <c r="CG29" s="22" t="str">
        <f t="shared" si="26"/>
        <v>{BLACK}Powered by: {GOLD}Steam {}{SILVER}</v>
      </c>
    </row>
    <row r="30" spans="1:85" x14ac:dyDescent="0.25">
      <c r="A30" t="s">
        <v>375</v>
      </c>
      <c r="B30" t="s">
        <v>376</v>
      </c>
      <c r="C30">
        <v>1021</v>
      </c>
      <c r="D30">
        <v>12</v>
      </c>
      <c r="E30" t="s">
        <v>488</v>
      </c>
      <c r="F30" t="s">
        <v>236</v>
      </c>
      <c r="G30" t="s">
        <v>25</v>
      </c>
      <c r="H30" t="s">
        <v>28</v>
      </c>
      <c r="I30">
        <v>1902</v>
      </c>
      <c r="K30">
        <v>1924</v>
      </c>
      <c r="M30">
        <v>1000</v>
      </c>
      <c r="O30" s="5">
        <v>18.5</v>
      </c>
      <c r="P30" s="5">
        <v>24</v>
      </c>
      <c r="Q30" s="5">
        <v>3</v>
      </c>
      <c r="R30" s="5">
        <v>200</v>
      </c>
      <c r="S30" s="12">
        <f t="shared" si="104"/>
        <v>111.81506038390457</v>
      </c>
      <c r="T30" s="5">
        <v>1.37</v>
      </c>
      <c r="U30" s="5">
        <f t="shared" si="105"/>
        <v>993.59240212342422</v>
      </c>
      <c r="V30">
        <v>81</v>
      </c>
      <c r="X30">
        <v>5</v>
      </c>
      <c r="Y30">
        <v>173</v>
      </c>
      <c r="Z30" s="3">
        <f t="shared" si="65"/>
        <v>0.21358024691358024</v>
      </c>
      <c r="AA30">
        <v>35</v>
      </c>
      <c r="AB30">
        <f t="shared" si="64"/>
        <v>56</v>
      </c>
      <c r="AE30">
        <v>12</v>
      </c>
      <c r="AF30">
        <v>12</v>
      </c>
      <c r="AJ30" s="14" t="str">
        <f>CONCATENATE(VLOOKUP(AK30, 'Voxel Sizes'!$A$2:$B$18,2,FALSE),"x",INT(AG30*15), "x", INT(AH30*15))</f>
        <v>120x0x0</v>
      </c>
      <c r="AK30" s="14">
        <f t="shared" si="66"/>
        <v>7</v>
      </c>
      <c r="AM30" s="14" t="str">
        <f>CONCATENATE(VLOOKUP(AK30,Constants!$A$2:$C$16,IF(AL30&lt;&gt;"", 3, 2), FALSE),IF(AL30&lt;&gt;"",CONCATENATE(",",VLOOKUP(AL30,$B:$AM,38,FALSE)),""))</f>
        <v>2,3,2</v>
      </c>
      <c r="AU30">
        <v>1</v>
      </c>
      <c r="AW30">
        <v>18</v>
      </c>
      <c r="AX30" s="14">
        <f t="shared" si="67"/>
        <v>30</v>
      </c>
      <c r="AY30">
        <v>4</v>
      </c>
      <c r="BA30" s="16">
        <f t="shared" si="106"/>
        <v>7</v>
      </c>
      <c r="BB30" s="16">
        <f t="shared" si="107"/>
        <v>5</v>
      </c>
      <c r="BC30" s="16">
        <f t="shared" si="108"/>
        <v>8.65</v>
      </c>
      <c r="BD30" s="17">
        <f t="shared" si="109"/>
        <v>0.99733333333333329</v>
      </c>
      <c r="BE30" s="16">
        <f t="shared" si="110"/>
        <v>0</v>
      </c>
      <c r="BF30" s="16">
        <f>VLOOKUP($G30,Constants!$I:$K, 2, FALSE)</f>
        <v>1.1499999999999999</v>
      </c>
      <c r="BG30" s="16">
        <f>VLOOKUP($G30,Constants!$I:$K, 3, FALSE)*IF(AND(F30="multiple_unit",AA30&lt;110),0.75,1)</f>
        <v>1.7</v>
      </c>
      <c r="BH30" s="16">
        <f>INT(POWER(((Constants!$G$2+$BA30+$BB30+$BC30+$BE30)*$BD30)*$BG30, 1.05))+$AZ30</f>
        <v>52</v>
      </c>
      <c r="BI30" s="16">
        <f>INT(POWER((((Constants!$G$1+$BA30+$BB30+$BC30+$BE30)*($BD30))*$BF30),IF($F30="wagon",1,1.2)))+$AY30</f>
        <v>89</v>
      </c>
      <c r="BJ30" s="19">
        <f t="shared" si="111"/>
        <v>40625</v>
      </c>
      <c r="BK30" s="19">
        <f t="shared" si="112"/>
        <v>7231.25</v>
      </c>
      <c r="BT30">
        <v>3</v>
      </c>
      <c r="BX30" s="22" t="str">
        <f>VLOOKUP(I30,Eras!$A$2:$C$10, 2, TRUE)</f>
        <v>edw</v>
      </c>
      <c r="BY30" t="s">
        <v>63</v>
      </c>
      <c r="BZ30" s="22" t="str">
        <f t="shared" si="75"/>
        <v>edw_Express</v>
      </c>
      <c r="CA30" s="22" t="str">
        <f t="shared" si="76"/>
        <v>steam_RAIL</v>
      </c>
      <c r="CB30" s="25" t="str" cm="1">
        <f t="array" ref="CB30">IF(AM30&lt;&gt;"na", _xlfn.CONCAT("{BLACK}Length: {GOLD}", TEXT(ROUNDUP(IF(AP30&lt;&gt;"",SUM(VALUE(_xlfn.TEXTSPLIT(AP30, ","))), SUM(VALUE(_xlfn.TEXTSPLIT(AM30, ",")))*IF(L30, L30, 1))/16, 1),"#,##0.0"), " tiles{}"), "")</f>
        <v>{BLACK}Length: {GOLD}0.5 tiles{}</v>
      </c>
      <c r="CC30" s="22" t="str">
        <f>VLOOKUP($CA30, Constants!$M:$N, 2, FALSE)</f>
        <v>{BLACK}Powered by: {GOLD}Steam</v>
      </c>
      <c r="CD30" s="22" t="str">
        <f t="shared" si="12"/>
        <v/>
      </c>
      <c r="CE30" t="s">
        <v>377</v>
      </c>
      <c r="CF30" s="22" t="str">
        <f t="shared" si="13"/>
        <v/>
      </c>
      <c r="CG30" s="22" t="str">
        <f t="shared" si="26"/>
        <v>{BLACK}Powered by: {GOLD}Steam {}{BLACK}Length: {GOLD}0.5 tiles{}{SILVER}GER's prototype Decapod was built to outperform low speed acceleration of electric locomotives, to prevent a rival electric railway being approved by Parliament.</v>
      </c>
    </row>
    <row r="31" spans="1:85" x14ac:dyDescent="0.25">
      <c r="A31" s="24" t="s">
        <v>511</v>
      </c>
      <c r="B31" s="24" t="s">
        <v>512</v>
      </c>
      <c r="D31">
        <v>-1</v>
      </c>
      <c r="E31" t="s">
        <v>488</v>
      </c>
      <c r="F31" t="s">
        <v>15</v>
      </c>
      <c r="S31" s="12"/>
      <c r="AM31" s="14" t="str">
        <f>CONCATENATE(VLOOKUP(AK31,Constants!$A$2:$C$16,IF(AL31&lt;&gt;"", 3, 2), FALSE),IF(AL31&lt;&gt;"",CONCATENATE(",",VLOOKUP(AL31,$B:$AM,38,FALSE)),""))</f>
        <v>na</v>
      </c>
      <c r="BD31" s="17"/>
      <c r="BE31" s="16">
        <f t="shared" si="110"/>
        <v>0</v>
      </c>
      <c r="BJ31" s="19"/>
      <c r="BK31" s="19"/>
      <c r="BX31" s="22" t="s">
        <v>53</v>
      </c>
      <c r="BY31" t="s">
        <v>63</v>
      </c>
      <c r="BZ31" s="22" t="str">
        <f t="shared" si="75"/>
        <v>edw_Express</v>
      </c>
      <c r="CA31" s="22" t="str">
        <f t="shared" si="76"/>
        <v>_</v>
      </c>
      <c r="CB31" s="25" t="str" cm="1">
        <f t="array" ref="CB31">IF(AM31&lt;&gt;"na", _xlfn.CONCAT("{BLACK}Length: {GOLD}", TEXT(ROUNDUP(IF(AP31&lt;&gt;"",SUM(VALUE(_xlfn.TEXTSPLIT(AP31, ","))), SUM(VALUE(_xlfn.TEXTSPLIT(AM31, ",")))*IF(L31, L31, 1))/16, 1),"#,##0.0"), " tiles{}"), "")</f>
        <v/>
      </c>
      <c r="CC31" s="22" t="str">
        <f>VLOOKUP($CA31, Constants!$M:$N, 2, FALSE)</f>
        <v/>
      </c>
      <c r="CG31" s="22" t="str">
        <f t="shared" si="26"/>
        <v>{SILVER}</v>
      </c>
    </row>
    <row r="32" spans="1:85" x14ac:dyDescent="0.25">
      <c r="A32" t="s">
        <v>509</v>
      </c>
      <c r="B32" t="s">
        <v>510</v>
      </c>
      <c r="C32">
        <v>1081</v>
      </c>
      <c r="D32">
        <v>14</v>
      </c>
      <c r="E32" t="s">
        <v>488</v>
      </c>
      <c r="F32" t="s">
        <v>236</v>
      </c>
      <c r="G32" t="s">
        <v>25</v>
      </c>
      <c r="H32" t="s">
        <v>28</v>
      </c>
      <c r="I32">
        <v>1908</v>
      </c>
      <c r="K32">
        <v>1953</v>
      </c>
      <c r="M32">
        <v>1975</v>
      </c>
      <c r="O32" s="5">
        <v>15</v>
      </c>
      <c r="P32" s="5">
        <v>26</v>
      </c>
      <c r="Q32" s="5">
        <v>4</v>
      </c>
      <c r="R32" s="5">
        <v>225</v>
      </c>
      <c r="S32" s="12">
        <f t="shared" si="104"/>
        <v>207.65654071296561</v>
      </c>
      <c r="T32" s="5">
        <v>1.37</v>
      </c>
      <c r="U32" s="5">
        <f t="shared" si="105"/>
        <v>1971.2694923689444</v>
      </c>
      <c r="V32">
        <v>99</v>
      </c>
      <c r="W32" s="7">
        <v>46</v>
      </c>
      <c r="Y32">
        <v>124</v>
      </c>
      <c r="Z32" s="3">
        <f t="shared" si="65"/>
        <v>8.5517241379310341E-2</v>
      </c>
      <c r="AA32">
        <v>65</v>
      </c>
      <c r="AB32">
        <f t="shared" si="64"/>
        <v>104</v>
      </c>
      <c r="AE32">
        <v>23</v>
      </c>
      <c r="AF32">
        <v>14</v>
      </c>
      <c r="AJ32" s="14" t="str">
        <f>CONCATENATE(VLOOKUP(AK32, 'Voxel Sizes'!$A$2:$B$18,2,FALSE),"x",INT(AG32*15), "x", INT(AH32*15))</f>
        <v>136x0x0</v>
      </c>
      <c r="AK32" s="14">
        <f t="shared" ref="AK32" si="124">ROUND(15*((AF32*10)/256),0)</f>
        <v>8</v>
      </c>
      <c r="AL32" t="s">
        <v>419</v>
      </c>
      <c r="AM32" s="14" t="str">
        <f>CONCATENATE(VLOOKUP(AK32,Constants!$A$2:$C$16,IF(AL32&lt;&gt;"", 3, 2), FALSE),IF(AL32&lt;&gt;"",CONCATENATE(",",VLOOKUP(AL32,$B:$AM,38,FALSE)),""))</f>
        <v>2,4,2,2,1,2</v>
      </c>
      <c r="AU32">
        <v>1</v>
      </c>
      <c r="AW32">
        <v>26</v>
      </c>
      <c r="AX32" s="14">
        <f t="shared" si="67"/>
        <v>53</v>
      </c>
      <c r="AY32">
        <v>10</v>
      </c>
      <c r="AZ32">
        <v>10</v>
      </c>
      <c r="BA32" s="16">
        <f t="shared" ref="BA32" si="125">MIN(AA32/150, 1)*30</f>
        <v>13</v>
      </c>
      <c r="BB32" s="16">
        <f t="shared" ref="BB32" si="126">MIN(M32/4000, 1)*20</f>
        <v>9.875</v>
      </c>
      <c r="BC32" s="16">
        <f t="shared" ref="BC32" si="127">MIN(Y32/400,1)*20</f>
        <v>6.2</v>
      </c>
      <c r="BD32" s="17">
        <f t="shared" ref="BD32" si="128">1-(MAX(I32-1900, 0)/750)</f>
        <v>0.98933333333333329</v>
      </c>
      <c r="BE32" s="16">
        <f t="shared" ref="BE32" si="129">((MAX($L32,1)*MIN($AI32/300,1)))*IF(F32="Wagon",50,10)</f>
        <v>0</v>
      </c>
      <c r="BF32" s="16">
        <f>VLOOKUP($G32,Constants!$I:$K, 2, FALSE)</f>
        <v>1.1499999999999999</v>
      </c>
      <c r="BG32" s="16">
        <f>VLOOKUP($G32,Constants!$I:$K, 3, FALSE)*IF(AND(F32="multiple_unit",AA32&lt;110),0.75,1)</f>
        <v>1.7</v>
      </c>
      <c r="BH32" s="16">
        <f>INT(POWER(((Constants!$G$2+$BA32+$BB32+$BC32+$BE32)*$BD32)*$BG32, 1.05))+$AZ32</f>
        <v>80</v>
      </c>
      <c r="BI32" s="16">
        <f>INT(POWER((((Constants!$G$1+$BA32+$BB32+$BC32+$BE32)*($BD32))*$BF32),IF($F32="wagon",1,1.2)))+$AY32</f>
        <v>119</v>
      </c>
      <c r="BJ32" s="19">
        <f t="shared" ref="BJ32" si="130">BH32*IF($F32="wagon",62.5,781.25)</f>
        <v>62500</v>
      </c>
      <c r="BK32" s="19">
        <f t="shared" ref="BK32" si="131">BI32*IF($F32="wagon",2.73,81.25)</f>
        <v>9668.75</v>
      </c>
      <c r="BT32">
        <v>2</v>
      </c>
      <c r="BX32" s="22" t="s">
        <v>53</v>
      </c>
      <c r="BY32" t="s">
        <v>63</v>
      </c>
      <c r="BZ32" s="22" t="str">
        <f t="shared" si="75"/>
        <v>edw_Express</v>
      </c>
      <c r="CA32" s="22" t="str">
        <f t="shared" si="76"/>
        <v>steam_RAIL</v>
      </c>
      <c r="CB32" s="25" t="str" cm="1">
        <f t="array" ref="CB32">IF(AM32&lt;&gt;"na", _xlfn.CONCAT("{BLACK}Length: {GOLD}", TEXT(ROUNDUP(IF(AP32&lt;&gt;"",SUM(VALUE(_xlfn.TEXTSPLIT(AP32, ","))), SUM(VALUE(_xlfn.TEXTSPLIT(AM32, ",")))*IF(L32, L32, 1))/16, 1),"#,##0.0"), " tiles{}"), "")</f>
        <v>{BLACK}Length: {GOLD}0.9 tiles{}</v>
      </c>
      <c r="CC32" s="22" t="str">
        <f>VLOOKUP($CA32, Constants!$M:$N, 2, FALSE)</f>
        <v>{BLACK}Powered by: {GOLD}Steam</v>
      </c>
      <c r="CD32" s="22" t="str">
        <f t="shared" si="12"/>
        <v/>
      </c>
      <c r="CE32" t="s">
        <v>522</v>
      </c>
      <c r="CF32" s="22" t="str">
        <f t="shared" si="13"/>
        <v/>
      </c>
      <c r="CG32" s="22" t="str">
        <f t="shared" si="26"/>
        <v>{BLACK}Powered by: {GOLD}Steam {}{BLACK}Length: {GOLD}0.9 tiles{}{SILVER}The Great Bear was a single locomotive, the first 4-6-2 "Pacific" type built in the UK, which served as the GWR's flagship until 1922 despite disappointing performance and low route availability.</v>
      </c>
    </row>
    <row r="33" spans="1:85" x14ac:dyDescent="0.25">
      <c r="A33" t="s">
        <v>378</v>
      </c>
      <c r="B33" t="s">
        <v>379</v>
      </c>
      <c r="C33">
        <v>1131</v>
      </c>
      <c r="D33">
        <v>15</v>
      </c>
      <c r="E33" t="s">
        <v>488</v>
      </c>
      <c r="F33" t="s">
        <v>236</v>
      </c>
      <c r="G33" t="s">
        <v>25</v>
      </c>
      <c r="H33" t="s">
        <v>28</v>
      </c>
      <c r="I33">
        <v>1913</v>
      </c>
      <c r="K33">
        <v>1949</v>
      </c>
      <c r="M33">
        <v>1600</v>
      </c>
      <c r="O33" s="5">
        <v>15.75</v>
      </c>
      <c r="P33" s="5">
        <v>26</v>
      </c>
      <c r="Q33" s="5">
        <v>4</v>
      </c>
      <c r="R33" s="5">
        <v>175</v>
      </c>
      <c r="S33" s="12">
        <f t="shared" si="104"/>
        <v>177.20544273524447</v>
      </c>
      <c r="T33" s="5">
        <v>2.0499999999999998</v>
      </c>
      <c r="U33" s="5">
        <f t="shared" si="105"/>
        <v>1442.4858820676277</v>
      </c>
      <c r="V33">
        <v>79</v>
      </c>
      <c r="W33" s="7">
        <v>35</v>
      </c>
      <c r="X33">
        <v>5</v>
      </c>
      <c r="Y33">
        <v>120</v>
      </c>
      <c r="Z33" s="3">
        <f t="shared" si="65"/>
        <v>0.10526315789473684</v>
      </c>
      <c r="AA33">
        <v>83</v>
      </c>
      <c r="AB33">
        <f t="shared" si="64"/>
        <v>133</v>
      </c>
      <c r="AE33">
        <v>12</v>
      </c>
      <c r="AF33">
        <v>12</v>
      </c>
      <c r="AJ33" s="14" t="str">
        <f>CONCATENATE(VLOOKUP(AK33, 'Voxel Sizes'!$A$2:$B$18,2,FALSE),"x",INT(AG33*15), "x", INT(AH33*15))</f>
        <v>120x0x0</v>
      </c>
      <c r="AK33" s="14">
        <f t="shared" si="66"/>
        <v>7</v>
      </c>
      <c r="AL33" t="s">
        <v>382</v>
      </c>
      <c r="AM33" s="14" t="str">
        <f>CONCATENATE(VLOOKUP(AK33,Constants!$A$2:$C$16,IF(AL33&lt;&gt;"", 3, 2), FALSE),IF(AL33&lt;&gt;"",CONCATENATE(",",VLOOKUP(AL33,$B:$AM,38,FALSE)),""))</f>
        <v>2,3,2,2,1,2</v>
      </c>
      <c r="AU33">
        <v>1</v>
      </c>
      <c r="AW33">
        <v>26</v>
      </c>
      <c r="AX33" s="14">
        <f t="shared" si="67"/>
        <v>44</v>
      </c>
      <c r="AY33">
        <v>3</v>
      </c>
      <c r="BA33" s="16">
        <f t="shared" si="106"/>
        <v>16.600000000000001</v>
      </c>
      <c r="BB33" s="16">
        <f t="shared" si="107"/>
        <v>8</v>
      </c>
      <c r="BC33" s="16">
        <f t="shared" si="108"/>
        <v>6</v>
      </c>
      <c r="BD33" s="17">
        <f t="shared" si="109"/>
        <v>0.98266666666666669</v>
      </c>
      <c r="BE33" s="16">
        <f t="shared" si="110"/>
        <v>0</v>
      </c>
      <c r="BF33" s="16">
        <f>VLOOKUP($G33,Constants!$I:$K, 2, FALSE)</f>
        <v>1.1499999999999999</v>
      </c>
      <c r="BG33" s="16">
        <f>VLOOKUP($G33,Constants!$I:$K, 3, FALSE)*IF(AND(F33="multiple_unit",AA33&lt;110),0.75,1)</f>
        <v>1.7</v>
      </c>
      <c r="BH33" s="16">
        <f>INT(POWER(((Constants!$G$2+$BA33+$BB33+$BC33+$BE33)*$BD33)*$BG33, 1.05))+$AZ33</f>
        <v>72</v>
      </c>
      <c r="BI33" s="16">
        <f>INT(POWER((((Constants!$G$1+$BA33+$BB33+$BC33+$BE33)*($BD33))*$BF33),IF($F33="wagon",1,1.2)))+$AY33</f>
        <v>116</v>
      </c>
      <c r="BJ33" s="19">
        <f t="shared" si="111"/>
        <v>56250</v>
      </c>
      <c r="BK33" s="19">
        <f t="shared" si="112"/>
        <v>9425</v>
      </c>
      <c r="BT33">
        <v>3</v>
      </c>
      <c r="BX33" s="22" t="str">
        <f>VLOOKUP(I33,Eras!$A$2:$C$10, 2, TRUE)</f>
        <v>edw</v>
      </c>
      <c r="BY33" t="s">
        <v>63</v>
      </c>
      <c r="BZ33" s="22" t="str">
        <f t="shared" si="75"/>
        <v>edw_Express</v>
      </c>
      <c r="CA33" s="22" t="str">
        <f t="shared" si="76"/>
        <v>steam_RAIL</v>
      </c>
      <c r="CB33" s="25" t="str" cm="1">
        <f t="array" ref="CB33">IF(AM33&lt;&gt;"na", _xlfn.CONCAT("{BLACK}Length: {GOLD}", TEXT(ROUNDUP(IF(AP33&lt;&gt;"",SUM(VALUE(_xlfn.TEXTSPLIT(AP33, ","))), SUM(VALUE(_xlfn.TEXTSPLIT(AM33, ",")))*IF(L33, L33, 1))/16, 1),"#,##0.0"), " tiles{}"), "")</f>
        <v>{BLACK}Length: {GOLD}0.8 tiles{}</v>
      </c>
      <c r="CC33" s="22" t="str">
        <f>VLOOKUP($CA33, Constants!$M:$N, 2, FALSE)</f>
        <v>{BLACK}Powered by: {GOLD}Steam</v>
      </c>
      <c r="CD33" s="22" t="str">
        <f t="shared" si="12"/>
        <v/>
      </c>
      <c r="CE33" t="s">
        <v>380</v>
      </c>
      <c r="CF33" s="22" t="str">
        <f t="shared" si="13"/>
        <v/>
      </c>
      <c r="CG33" s="22" t="str">
        <f t="shared" si="26"/>
        <v>{BLACK}Powered by: {GOLD}Steam {}{BLACK}Length: {GOLD}0.8 tiles{}{SILVER}The Claughton Class, named after the LNWR's chairman at the time, was unfortunately compromised by the Crewe works being unable to build a large boiler.</v>
      </c>
    </row>
    <row r="34" spans="1:85" x14ac:dyDescent="0.25">
      <c r="A34" t="s">
        <v>383</v>
      </c>
      <c r="B34" t="s">
        <v>384</v>
      </c>
      <c r="C34">
        <v>1171</v>
      </c>
      <c r="D34">
        <v>16</v>
      </c>
      <c r="E34" t="s">
        <v>488</v>
      </c>
      <c r="F34" t="s">
        <v>236</v>
      </c>
      <c r="G34" t="s">
        <v>25</v>
      </c>
      <c r="H34" t="s">
        <v>28</v>
      </c>
      <c r="I34">
        <v>1917</v>
      </c>
      <c r="K34">
        <v>1949</v>
      </c>
      <c r="M34">
        <v>1650</v>
      </c>
      <c r="O34" s="5">
        <v>16</v>
      </c>
      <c r="P34" s="5">
        <v>26</v>
      </c>
      <c r="Q34" s="5">
        <v>4</v>
      </c>
      <c r="R34" s="5">
        <v>180</v>
      </c>
      <c r="S34" s="12">
        <f t="shared" si="104"/>
        <v>191.2177107536121</v>
      </c>
      <c r="T34" s="5">
        <v>2.06</v>
      </c>
      <c r="U34" s="5">
        <f t="shared" si="105"/>
        <v>1652.2506619593996</v>
      </c>
      <c r="V34">
        <v>86</v>
      </c>
      <c r="W34" s="7">
        <v>35</v>
      </c>
      <c r="X34">
        <v>5</v>
      </c>
      <c r="Y34">
        <v>112</v>
      </c>
      <c r="Z34" s="3">
        <f t="shared" si="65"/>
        <v>9.2561983471074374E-2</v>
      </c>
      <c r="AA34">
        <v>90</v>
      </c>
      <c r="AB34">
        <f t="shared" si="64"/>
        <v>144</v>
      </c>
      <c r="AE34">
        <v>12</v>
      </c>
      <c r="AF34">
        <v>12</v>
      </c>
      <c r="AJ34" s="14" t="str">
        <f>CONCATENATE(VLOOKUP(AK34, 'Voxel Sizes'!$A$2:$B$18,2,FALSE),"x",INT(AG34*15), "x", INT(AH34*15))</f>
        <v>120x0x0</v>
      </c>
      <c r="AK34" s="14">
        <f t="shared" si="66"/>
        <v>7</v>
      </c>
      <c r="AL34" t="s">
        <v>385</v>
      </c>
      <c r="AM34" s="14" t="str">
        <f>CONCATENATE(VLOOKUP(AK34,Constants!$A$2:$C$16,IF(AL34&lt;&gt;"", 3, 2), FALSE),IF(AL34&lt;&gt;"",CONCATENATE(",",VLOOKUP(AL34,$B:$AM,38,FALSE)),""))</f>
        <v>2,3,2,2,1,2</v>
      </c>
      <c r="AU34">
        <v>1</v>
      </c>
      <c r="AW34">
        <v>27</v>
      </c>
      <c r="AX34" s="14">
        <f t="shared" si="67"/>
        <v>40</v>
      </c>
      <c r="AY34">
        <v>7</v>
      </c>
      <c r="AZ34">
        <v>4</v>
      </c>
      <c r="BA34" s="16">
        <f t="shared" si="68"/>
        <v>18</v>
      </c>
      <c r="BB34" s="16">
        <f t="shared" si="69"/>
        <v>8.25</v>
      </c>
      <c r="BC34" s="16">
        <f t="shared" si="70"/>
        <v>5.6000000000000005</v>
      </c>
      <c r="BD34" s="17">
        <f t="shared" si="71"/>
        <v>0.97733333333333339</v>
      </c>
      <c r="BE34" s="16">
        <f t="shared" si="72"/>
        <v>0</v>
      </c>
      <c r="BF34" s="16">
        <f>VLOOKUP($G34,Constants!$I:$K, 2, FALSE)</f>
        <v>1.1499999999999999</v>
      </c>
      <c r="BG34" s="16">
        <f>VLOOKUP($G34,Constants!$I:$K, 3, FALSE)*IF(AND(F34="multiple_unit",AA34&lt;110),0.75,1)</f>
        <v>1.7</v>
      </c>
      <c r="BH34" s="16">
        <f>INT(POWER(((Constants!$G$2+$BA34+$BB34+$BC34+$BE34)*$BD34)*$BG34, 1.05))+$AZ34</f>
        <v>79</v>
      </c>
      <c r="BI34" s="16">
        <f>INT(POWER((((Constants!$G$1+$BA34+$BB34+$BC34+$BE34)*($BD34))*$BF34),IF($F34="wagon",1,1.2)))+$AY34</f>
        <v>123</v>
      </c>
      <c r="BJ34" s="19">
        <f t="shared" si="73"/>
        <v>61718.75</v>
      </c>
      <c r="BK34" s="19">
        <f t="shared" si="74"/>
        <v>9993.75</v>
      </c>
      <c r="BT34">
        <v>3</v>
      </c>
      <c r="BX34" s="22" t="str">
        <f>VLOOKUP(I34,Eras!$A$2:$C$10, 2, TRUE)</f>
        <v>edw</v>
      </c>
      <c r="BY34" t="s">
        <v>63</v>
      </c>
      <c r="BZ34" s="22" t="str">
        <f t="shared" si="75"/>
        <v>edw_Express</v>
      </c>
      <c r="CA34" s="22" t="str">
        <f t="shared" si="76"/>
        <v>steam_RAIL</v>
      </c>
      <c r="CB34" s="25" t="str" cm="1">
        <f t="array" ref="CB34">IF(AM34&lt;&gt;"na", _xlfn.CONCAT("{BLACK}Length: {GOLD}", TEXT(ROUNDUP(IF(AP34&lt;&gt;"",SUM(VALUE(_xlfn.TEXTSPLIT(AP34, ","))), SUM(VALUE(_xlfn.TEXTSPLIT(AM34, ",")))*IF(L34, L34, 1))/16, 1),"#,##0.0"), " tiles{}"), "")</f>
        <v>{BLACK}Length: {GOLD}0.8 tiles{}</v>
      </c>
      <c r="CC34" s="22" t="str">
        <f>VLOOKUP($CA34, Constants!$M:$N, 2, FALSE)</f>
        <v>{BLACK}Powered by: {GOLD}Steam</v>
      </c>
      <c r="CD34" s="22" t="str">
        <f t="shared" si="12"/>
        <v/>
      </c>
      <c r="CE34" t="s">
        <v>387</v>
      </c>
      <c r="CF34" s="22" t="str">
        <f t="shared" si="13"/>
        <v/>
      </c>
      <c r="CG34" s="22" t="str">
        <f t="shared" si="26"/>
        <v>{BLACK}Powered by: {GOLD}Steam {}{BLACK}Length: {GOLD}0.8 tiles{}{SILVER}Robinson's 9P was a four-cylinder express locotive introduced toward the end of his time at the GCR. Early versions suffered from high coal consumption due to narrow steam passages.</v>
      </c>
    </row>
    <row r="35" spans="1:85" x14ac:dyDescent="0.25">
      <c r="A35" t="s">
        <v>388</v>
      </c>
      <c r="B35" t="s">
        <v>389</v>
      </c>
      <c r="C35">
        <v>1211</v>
      </c>
      <c r="D35">
        <v>17</v>
      </c>
      <c r="E35" t="s">
        <v>488</v>
      </c>
      <c r="F35" t="s">
        <v>236</v>
      </c>
      <c r="G35" t="s">
        <v>25</v>
      </c>
      <c r="H35" t="s">
        <v>28</v>
      </c>
      <c r="I35">
        <v>1921</v>
      </c>
      <c r="K35">
        <v>1950</v>
      </c>
      <c r="M35">
        <v>1650</v>
      </c>
      <c r="O35" s="5">
        <v>16</v>
      </c>
      <c r="P35" s="5">
        <v>26</v>
      </c>
      <c r="Q35" s="5">
        <v>4</v>
      </c>
      <c r="R35" s="5">
        <v>180</v>
      </c>
      <c r="S35" s="12">
        <f t="shared" si="104"/>
        <v>165.40084928881564</v>
      </c>
      <c r="T35" s="5">
        <v>1.72</v>
      </c>
      <c r="U35" s="5">
        <f t="shared" si="105"/>
        <v>1429.1754756871035</v>
      </c>
      <c r="V35">
        <v>94</v>
      </c>
      <c r="W35" s="7">
        <v>35</v>
      </c>
      <c r="X35">
        <v>5</v>
      </c>
      <c r="Y35">
        <v>133</v>
      </c>
      <c r="Z35" s="3">
        <f t="shared" ref="Z35:Z36" si="132">IF(AND(V35&gt;0,Y35&gt;0),(Y35/((V35+W35)*10)),"")</f>
        <v>0.10310077519379846</v>
      </c>
      <c r="AA35">
        <v>65</v>
      </c>
      <c r="AB35">
        <f t="shared" ref="AB35:AB36" si="133">ROUND(AA35*1.6, 0)</f>
        <v>104</v>
      </c>
      <c r="AE35">
        <v>12</v>
      </c>
      <c r="AF35">
        <v>12</v>
      </c>
      <c r="AJ35" s="14" t="str">
        <f>CONCATENATE(VLOOKUP(AK35, 'Voxel Sizes'!$A$2:$B$18,2,FALSE),"x",INT(AG35*15), "x", INT(AH35*15))</f>
        <v>120x0x0</v>
      </c>
      <c r="AK35" s="14">
        <f t="shared" ref="AK35:AK36" si="134">ROUND(15*((AF35*10)/256),0)</f>
        <v>7</v>
      </c>
      <c r="AL35" t="s">
        <v>385</v>
      </c>
      <c r="AM35" s="14" t="str">
        <f>CONCATENATE(VLOOKUP(AK35,Constants!$A$2:$C$16,IF(AL35&lt;&gt;"", 3, 2), FALSE),IF(AL35&lt;&gt;"",CONCATENATE(",",VLOOKUP(AL35,$B:$AM,38,FALSE)),""))</f>
        <v>2,3,2,2,1,2</v>
      </c>
      <c r="AU35">
        <v>1</v>
      </c>
      <c r="AW35">
        <v>26</v>
      </c>
      <c r="AX35" s="14">
        <f t="shared" ref="AX35:AX36" si="135">IF(K35&lt;&gt;"",MAX(16,(K35-I35)+8),"")</f>
        <v>37</v>
      </c>
      <c r="AY35">
        <v>14</v>
      </c>
      <c r="AZ35">
        <v>11</v>
      </c>
      <c r="BA35" s="16">
        <f t="shared" ref="BA35:BA36" si="136">MIN(AA35/150, 1)*30</f>
        <v>13</v>
      </c>
      <c r="BB35" s="16">
        <f t="shared" ref="BB35:BB36" si="137">MIN(M35/4000, 1)*20</f>
        <v>8.25</v>
      </c>
      <c r="BC35" s="16">
        <f t="shared" ref="BC35:BC36" si="138">MIN(Y35/400,1)*20</f>
        <v>6.65</v>
      </c>
      <c r="BD35" s="17">
        <f t="shared" ref="BD35:BD36" si="139">1-(MAX(I35-1900, 0)/750)</f>
        <v>0.97199999999999998</v>
      </c>
      <c r="BE35" s="16">
        <f t="shared" ref="BE35:BE36" si="140">((MAX($L35,1)*MIN($AI35/300,1)))*IF(F35="Wagon",50,10)</f>
        <v>0</v>
      </c>
      <c r="BF35" s="16">
        <f>VLOOKUP($G35,Constants!$I:$K, 2, FALSE)</f>
        <v>1.1499999999999999</v>
      </c>
      <c r="BG35" s="16">
        <f>VLOOKUP($G35,Constants!$I:$K, 3, FALSE)*IF(AND(F35="multiple_unit",AA35&lt;110),0.75,1)</f>
        <v>1.7</v>
      </c>
      <c r="BH35" s="16">
        <f>INT(POWER(((Constants!$G$2+$BA35+$BB35+$BC35+$BE35)*$BD35)*$BG35, 1.05))+$AZ35</f>
        <v>77</v>
      </c>
      <c r="BI35" s="16">
        <f>INT(POWER((((Constants!$G$1+$BA35+$BB35+$BC35+$BE35)*($BD35))*$BF35),IF($F35="wagon",1,1.2)))+$AY35</f>
        <v>117</v>
      </c>
      <c r="BJ35" s="19">
        <f t="shared" ref="BJ35:BJ36" si="141">BH35*IF($F35="wagon",62.5,781.25)</f>
        <v>60156.25</v>
      </c>
      <c r="BK35" s="19">
        <f t="shared" ref="BK35:BK36" si="142">BI35*IF($F35="wagon",2.73,81.25)</f>
        <v>9506.25</v>
      </c>
      <c r="BT35">
        <v>3</v>
      </c>
      <c r="BX35" s="22" t="str">
        <f>VLOOKUP(I35,Eras!$A$2:$C$10, 2, TRUE)</f>
        <v>edw</v>
      </c>
      <c r="BY35" t="s">
        <v>63</v>
      </c>
      <c r="BZ35" s="22" t="str">
        <f t="shared" ref="BZ35:BZ36" si="143">CONCATENATE(BX35,"_",BY35)</f>
        <v>edw_Express</v>
      </c>
      <c r="CA35" s="22" t="str">
        <f t="shared" ref="CA35:CA36" si="144">_xlfn.CONCAT(G35, "_",H35)</f>
        <v>steam_RAIL</v>
      </c>
      <c r="CB35" s="25" t="str" cm="1">
        <f t="array" ref="CB35">IF(AM35&lt;&gt;"na", _xlfn.CONCAT("{BLACK}Length: {GOLD}", TEXT(ROUNDUP(IF(AP35&lt;&gt;"",SUM(VALUE(_xlfn.TEXTSPLIT(AP35, ","))), SUM(VALUE(_xlfn.TEXTSPLIT(AM35, ",")))*IF(L35, L35, 1))/16, 1),"#,##0.0"), " tiles{}"), "")</f>
        <v>{BLACK}Length: {GOLD}0.8 tiles{}</v>
      </c>
      <c r="CC35" s="22" t="str">
        <f>VLOOKUP($CA35, Constants!$M:$N, 2, FALSE)</f>
        <v>{BLACK}Powered by: {GOLD}Steam</v>
      </c>
      <c r="CD35" s="22" t="str">
        <f t="shared" si="12"/>
        <v/>
      </c>
      <c r="CE35" t="s">
        <v>390</v>
      </c>
      <c r="CF35" s="22" t="str">
        <f t="shared" ref="CF35:CF36" si="145">IF(BW35="DANDY","{YELLOW}Faster downhill speeds for horse-drawn trains (1 required per 2 horses){}",IF(BW35="BRAKE","{YELLOW}Speed bonus for slow wagons{}",IF(BV35="NGPassengers","{YELLOW}Preserved railway bonus: passengers pay more when hauled by old locomotives{}",IF(AND(BU35&gt;190,NOT(AND(H35="NARROW_GAUGE",BW35&lt;&gt;"PASS"))),CONCATENATE("{YELLOW}",INT((BU35-185)/1.85),"% Bonus for long distance travel{}"),IF(AND(BU35&lt;180,BU35&lt;&gt;0),CONCATENATE("{YELLOW}",INT((185-BU35)/1.85),"% Penalty for long distance travel{}"),"")))))</f>
        <v/>
      </c>
      <c r="CG35" s="22" t="str">
        <f t="shared" si="26"/>
        <v>{BLACK}Powered by: {GOLD}Steam {}{BLACK}Length: {GOLD}0.8 tiles{}{SILVER}The 9Q is a freight adaptation of the 9P, which had an exceptional turn of speed for a high tractive effort engine. It earnt the name "Black Pig" for its heavy coal consumption.</v>
      </c>
    </row>
    <row r="36" spans="1:85" x14ac:dyDescent="0.25">
      <c r="A36" t="s">
        <v>485</v>
      </c>
      <c r="B36" t="s">
        <v>486</v>
      </c>
      <c r="C36">
        <v>1213</v>
      </c>
      <c r="D36">
        <v>18</v>
      </c>
      <c r="E36" t="s">
        <v>488</v>
      </c>
      <c r="F36" t="s">
        <v>231</v>
      </c>
      <c r="G36" t="s">
        <v>25</v>
      </c>
      <c r="H36" t="s">
        <v>28</v>
      </c>
      <c r="I36">
        <v>1925</v>
      </c>
      <c r="K36">
        <v>1955</v>
      </c>
      <c r="L36">
        <v>3</v>
      </c>
      <c r="M36">
        <v>2500</v>
      </c>
      <c r="O36" s="5">
        <v>18.5</v>
      </c>
      <c r="P36" s="5">
        <v>26</v>
      </c>
      <c r="Q36" s="5">
        <v>6</v>
      </c>
      <c r="R36" s="5">
        <v>190</v>
      </c>
      <c r="S36" s="12">
        <f t="shared" si="104"/>
        <v>138.50509288060513</v>
      </c>
      <c r="T36" s="5">
        <v>1.4219999999999999</v>
      </c>
      <c r="U36" s="5">
        <f t="shared" si="105"/>
        <v>2533.3162519179132</v>
      </c>
      <c r="V36">
        <v>181</v>
      </c>
      <c r="X36">
        <v>5</v>
      </c>
      <c r="Y36">
        <v>324</v>
      </c>
      <c r="Z36" s="3">
        <f t="shared" si="132"/>
        <v>0.17900552486187846</v>
      </c>
      <c r="AA36">
        <v>45</v>
      </c>
      <c r="AB36">
        <f t="shared" si="133"/>
        <v>72</v>
      </c>
      <c r="AE36">
        <v>12</v>
      </c>
      <c r="AF36">
        <v>12</v>
      </c>
      <c r="AJ36" s="14" t="str">
        <f>CONCATENATE(VLOOKUP(AK36, 'Voxel Sizes'!$A$2:$B$18,2,FALSE),"x",INT(AG36*15), "x", INT(AH36*15))</f>
        <v>120x0x0</v>
      </c>
      <c r="AK36" s="14">
        <f t="shared" si="134"/>
        <v>7</v>
      </c>
      <c r="AM36" s="14" t="str">
        <f>CONCATENATE(VLOOKUP(AK36,Constants!$A$2:$C$16,IF(AL36&lt;&gt;"", 3, 2), FALSE),IF(AL36&lt;&gt;"",CONCATENATE(",",VLOOKUP(AL36,$B:$AM,38,FALSE)),""))</f>
        <v>2,3,2</v>
      </c>
      <c r="AQ36" t="s">
        <v>487</v>
      </c>
      <c r="AS36" t="s">
        <v>37</v>
      </c>
      <c r="AU36" t="s">
        <v>483</v>
      </c>
      <c r="AW36">
        <v>24</v>
      </c>
      <c r="AX36" s="14">
        <f t="shared" si="135"/>
        <v>38</v>
      </c>
      <c r="BA36" s="16">
        <f t="shared" si="136"/>
        <v>9</v>
      </c>
      <c r="BB36" s="16">
        <f t="shared" si="137"/>
        <v>12.5</v>
      </c>
      <c r="BC36" s="16">
        <f t="shared" si="138"/>
        <v>16.200000000000003</v>
      </c>
      <c r="BD36" s="17">
        <f t="shared" si="139"/>
        <v>0.96666666666666667</v>
      </c>
      <c r="BE36" s="16">
        <f t="shared" si="140"/>
        <v>0</v>
      </c>
      <c r="BF36" s="16">
        <f>VLOOKUP($G36,Constants!$I:$K, 2, FALSE)</f>
        <v>1.1499999999999999</v>
      </c>
      <c r="BG36" s="16">
        <f>VLOOKUP($G36,Constants!$I:$K, 3, FALSE)*IF(AND(F36="multiple_unit",AA36&lt;110),0.75,1)</f>
        <v>1.2749999999999999</v>
      </c>
      <c r="BH36" s="16">
        <f>INT(POWER(((Constants!$G$2+$BA36+$BB36+$BC36+$BE36)*$BD36)*$BG36, 1.05))+$AZ36</f>
        <v>64</v>
      </c>
      <c r="BI36" s="16">
        <f>INT(POWER((((Constants!$G$1+$BA36+$BB36+$BC36+$BE36)*($BD36))*$BF36),IF($F36="wagon",1,1.2)))+$AY36</f>
        <v>132</v>
      </c>
      <c r="BJ36" s="19">
        <f t="shared" si="141"/>
        <v>50000</v>
      </c>
      <c r="BK36" s="19">
        <f t="shared" si="142"/>
        <v>10725</v>
      </c>
      <c r="BN36">
        <v>1</v>
      </c>
      <c r="BR36" t="s">
        <v>489</v>
      </c>
      <c r="BT36">
        <v>5</v>
      </c>
      <c r="BX36" s="22" t="str">
        <f>VLOOKUP(I36,Eras!$A$2:$C$10, 2, TRUE)</f>
        <v>big4</v>
      </c>
      <c r="BY36" t="s">
        <v>64</v>
      </c>
      <c r="BZ36" s="22" t="str">
        <f t="shared" si="143"/>
        <v>big4_Freight</v>
      </c>
      <c r="CA36" s="22" t="str">
        <f t="shared" si="144"/>
        <v>steam_RAIL</v>
      </c>
      <c r="CB36" s="25" t="str" cm="1">
        <f t="array" ref="CB36">IF(AM36&lt;&gt;"na", _xlfn.CONCAT("{BLACK}Length: {GOLD}", TEXT(ROUNDUP(IF(AP36&lt;&gt;"",SUM(VALUE(_xlfn.TEXTSPLIT(AP36, ","))), SUM(VALUE(_xlfn.TEXTSPLIT(AM36, ",")))*IF(L36, L36, 1))/16, 1),"#,##0.0"), " tiles{}"), "")</f>
        <v>{BLACK}Length: {GOLD}1.4 tiles{}</v>
      </c>
      <c r="CC36" s="22" t="str">
        <f>VLOOKUP($CA36, Constants!$M:$N, 2, FALSE)</f>
        <v>{BLACK}Powered by: {GOLD}Steam</v>
      </c>
      <c r="CD36" s="22" t="str">
        <f>IF(AND(L36&gt;1,BN36&lt;&gt;1),_xlfn.CONCAT("{BLACK}Cars: {GOLD}", L36),"")</f>
        <v/>
      </c>
      <c r="CE36" t="s">
        <v>491</v>
      </c>
      <c r="CF36" s="22" t="str">
        <f t="shared" si="145"/>
        <v/>
      </c>
      <c r="CG36" s="22" t="str">
        <f t="shared" si="26"/>
        <v>{BLACK}Powered by: {GOLD}Steam {}{BLACK}Length: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37" spans="1:85" x14ac:dyDescent="0.25">
      <c r="A37" t="s">
        <v>478</v>
      </c>
      <c r="B37" t="s">
        <v>479</v>
      </c>
      <c r="C37">
        <v>1212</v>
      </c>
      <c r="D37">
        <v>19</v>
      </c>
      <c r="E37" t="s">
        <v>488</v>
      </c>
      <c r="F37" t="s">
        <v>231</v>
      </c>
      <c r="G37" t="s">
        <v>25</v>
      </c>
      <c r="H37" t="s">
        <v>28</v>
      </c>
      <c r="I37">
        <v>1927</v>
      </c>
      <c r="K37">
        <v>1958</v>
      </c>
      <c r="L37">
        <v>3</v>
      </c>
      <c r="M37">
        <v>2000</v>
      </c>
      <c r="O37" s="5">
        <v>18.5</v>
      </c>
      <c r="P37" s="5">
        <v>26</v>
      </c>
      <c r="Q37" s="5">
        <v>4</v>
      </c>
      <c r="R37" s="5">
        <v>190</v>
      </c>
      <c r="S37" s="12">
        <f t="shared" si="104"/>
        <v>127.23142252985819</v>
      </c>
      <c r="T37" s="5">
        <v>1.72</v>
      </c>
      <c r="U37" s="5">
        <f t="shared" si="105"/>
        <v>1551.4107279187222</v>
      </c>
      <c r="V37">
        <v>148</v>
      </c>
      <c r="X37">
        <v>5</v>
      </c>
      <c r="Y37">
        <v>203</v>
      </c>
      <c r="Z37" s="3">
        <f t="shared" si="65"/>
        <v>0.13716216216216215</v>
      </c>
      <c r="AA37">
        <v>50</v>
      </c>
      <c r="AB37">
        <f t="shared" si="64"/>
        <v>80</v>
      </c>
      <c r="AE37">
        <v>10</v>
      </c>
      <c r="AF37">
        <v>10</v>
      </c>
      <c r="AJ37" s="14" t="str">
        <f>CONCATENATE(VLOOKUP(AK37, 'Voxel Sizes'!$A$2:$B$18,2,FALSE),"x",INT(AG37*15), "x", INT(AH37*15))</f>
        <v>102x0x0</v>
      </c>
      <c r="AK37" s="14">
        <f t="shared" si="66"/>
        <v>6</v>
      </c>
      <c r="AM37" s="14" t="str">
        <f>CONCATENATE(VLOOKUP(AK37,Constants!$A$2:$C$16,IF(AL37&lt;&gt;"", 3, 2), FALSE),IF(AL37&lt;&gt;"",CONCATENATE(",",VLOOKUP(AL37,$B:$AM,38,FALSE)),""))</f>
        <v>2,2,2</v>
      </c>
      <c r="AQ37" t="s">
        <v>480</v>
      </c>
      <c r="AS37" t="s">
        <v>37</v>
      </c>
      <c r="AU37" t="s">
        <v>483</v>
      </c>
      <c r="AW37">
        <v>26</v>
      </c>
      <c r="AX37" s="14">
        <f t="shared" si="67"/>
        <v>39</v>
      </c>
      <c r="BA37" s="16">
        <f t="shared" si="68"/>
        <v>10</v>
      </c>
      <c r="BB37" s="16">
        <f t="shared" si="69"/>
        <v>10</v>
      </c>
      <c r="BC37" s="16">
        <f t="shared" si="70"/>
        <v>10.149999999999999</v>
      </c>
      <c r="BD37" s="17">
        <f t="shared" si="71"/>
        <v>0.96399999999999997</v>
      </c>
      <c r="BE37" s="16">
        <f t="shared" si="72"/>
        <v>0</v>
      </c>
      <c r="BF37" s="16">
        <f>VLOOKUP($G37,Constants!$I:$K, 2, FALSE)</f>
        <v>1.1499999999999999</v>
      </c>
      <c r="BG37" s="16">
        <f>VLOOKUP($G37,Constants!$I:$K, 3, FALSE)*IF(AND(F37="multiple_unit",AA37&lt;110),0.75,1)</f>
        <v>1.2749999999999999</v>
      </c>
      <c r="BH37" s="16">
        <f>INT(POWER(((Constants!$G$2+$BA37+$BB37+$BC37+$BE37)*$BD37)*$BG37, 1.05))+$AZ37</f>
        <v>52</v>
      </c>
      <c r="BI37" s="16">
        <f>INT(POWER((((Constants!$G$1+$BA37+$BB37+$BC37+$BE37)*($BD37))*$BF37),IF($F37="wagon",1,1.2)))+$AY37</f>
        <v>109</v>
      </c>
      <c r="BJ37" s="19">
        <f t="shared" si="73"/>
        <v>40625</v>
      </c>
      <c r="BK37" s="19">
        <f t="shared" si="74"/>
        <v>8856.25</v>
      </c>
      <c r="BN37">
        <v>1</v>
      </c>
      <c r="BR37" t="s">
        <v>490</v>
      </c>
      <c r="BT37">
        <v>5</v>
      </c>
      <c r="BX37" s="22" t="str">
        <f>VLOOKUP(I37,Eras!$A$2:$C$10, 2, TRUE)</f>
        <v>big4</v>
      </c>
      <c r="BY37" t="s">
        <v>64</v>
      </c>
      <c r="BZ37" s="22" t="str">
        <f t="shared" si="75"/>
        <v>big4_Freight</v>
      </c>
      <c r="CA37" s="22" t="str">
        <f t="shared" si="76"/>
        <v>steam_RAIL</v>
      </c>
      <c r="CB37" s="25" t="str" cm="1">
        <f t="array" ref="CB37">IF(AM37&lt;&gt;"na", _xlfn.CONCAT("{BLACK}Length: {GOLD}", TEXT(ROUNDUP(IF(AP37&lt;&gt;"",SUM(VALUE(_xlfn.TEXTSPLIT(AP37, ","))), SUM(VALUE(_xlfn.TEXTSPLIT(AM37, ",")))*IF(L37, L37, 1))/16, 1),"#,##0.0"), " tiles{}"), "")</f>
        <v>{BLACK}Length: {GOLD}1.2 tiles{}</v>
      </c>
      <c r="CC37" s="22" t="str">
        <f>VLOOKUP($CA37, Constants!$M:$N, 2, FALSE)</f>
        <v>{BLACK}Powered by: {GOLD}Steam</v>
      </c>
      <c r="CD37" s="22" t="str">
        <f t="shared" ref="CD37:CD88" si="146">IF(AND(L37&gt;1,BN37&lt;&gt;1),_xlfn.CONCAT("{BLACK}Cars: {GOLD}", L37),"")</f>
        <v/>
      </c>
      <c r="CE37" t="s">
        <v>481</v>
      </c>
      <c r="CF37" s="22" t="str">
        <f t="shared" si="13"/>
        <v/>
      </c>
      <c r="CG37" s="22" t="str">
        <f t="shared" si="26"/>
        <v>{BLACK}Powered by: {GOLD}Steam {}{BLACK}Length: {GOLD}1.2 tiles{}{SILVER}The LMS Beyer Garratt was the most-produced Garratt type locomotive, designed for hauling heavy freight. While they suffered from poor fuel efficiency and high maintenance requirements, they survived in service to the late 1950s.</v>
      </c>
    </row>
    <row r="38" spans="1:85" x14ac:dyDescent="0.25">
      <c r="A38" s="24" t="s">
        <v>423</v>
      </c>
      <c r="B38" t="s">
        <v>424</v>
      </c>
      <c r="C38">
        <v>1221</v>
      </c>
      <c r="D38">
        <v>-1</v>
      </c>
      <c r="F38" t="s">
        <v>15</v>
      </c>
      <c r="G38" t="s">
        <v>25</v>
      </c>
      <c r="H38" t="s">
        <v>28</v>
      </c>
      <c r="I38">
        <v>1922</v>
      </c>
      <c r="J38">
        <v>1924</v>
      </c>
      <c r="Y38">
        <v>119</v>
      </c>
      <c r="Z38" s="3" t="str">
        <f>IF(AND(V38&gt;0,Y38&gt;0),(Y38/((V38+W38)*10)),"")</f>
        <v/>
      </c>
      <c r="AB38">
        <f t="shared" si="64"/>
        <v>0</v>
      </c>
      <c r="AJ38" t="s">
        <v>447</v>
      </c>
      <c r="AK38">
        <f>ROUND(15*((AF38*10)/256),0)</f>
        <v>0</v>
      </c>
      <c r="AM38" s="14" t="str">
        <f>CONCATENATE(VLOOKUP(AK38,Constants!$A$2:$C$16,IF(AL38&lt;&gt;"", 3, 2), FALSE),IF(AL38&lt;&gt;"",CONCATENATE(",",VLOOKUP(AL38,$B:$AM,38,FALSE)),""))</f>
        <v>na</v>
      </c>
      <c r="AU38">
        <v>1</v>
      </c>
      <c r="AW38">
        <v>30</v>
      </c>
      <c r="AX38" s="14" t="str">
        <f>IF(K38&lt;&gt;"",MAX(16,(K38-I38)+8),"")</f>
        <v/>
      </c>
      <c r="BA38">
        <f>MIN(AA38/150, 1)*30</f>
        <v>0</v>
      </c>
      <c r="BB38">
        <f>MIN(M38/4000, 1)*20</f>
        <v>0</v>
      </c>
      <c r="BC38">
        <f>MIN(Y38/400,1)*20</f>
        <v>5.9499999999999993</v>
      </c>
      <c r="BD38" s="3">
        <f>1-(MAX(I38-1900, 0)/750)</f>
        <v>0.97066666666666668</v>
      </c>
      <c r="BE38">
        <f>((MAX($L38,1)*MIN($AI38/300,1)))*IF(F38="Wagon",50,10)</f>
        <v>0</v>
      </c>
      <c r="BF38">
        <v>1.1499999999999999</v>
      </c>
      <c r="BG38">
        <v>1.7</v>
      </c>
      <c r="BH38" s="16">
        <f>INT(POWER(((Constants!$G$2+$BA38+$BB38+$BC38+$BE38)*$BD38)*$BG38, 1.05))+$AZ38</f>
        <v>20</v>
      </c>
      <c r="BI38" s="16">
        <f>INT(POWER((((Constants!$G$1+$BA38+$BB38+$BC38+$BE38)*($BD38))*$BF38),IF($F38="wagon",1,1.2)))+$AY38</f>
        <v>43</v>
      </c>
      <c r="BJ38" s="19">
        <f t="shared" ref="BJ38:BJ39" si="147">BH38*IF($F38="wagon",62.5,781.25)</f>
        <v>15625</v>
      </c>
      <c r="BK38" s="19">
        <f t="shared" ref="BK38:BK39" si="148">BI38*IF($F38="wagon",2.73,81.25)</f>
        <v>3493.75</v>
      </c>
      <c r="BT38">
        <v>8</v>
      </c>
      <c r="BX38" t="s">
        <v>53</v>
      </c>
      <c r="BZ38" t="str">
        <f>CONCATENATE(BX38,"_",BY38)</f>
        <v>edw_</v>
      </c>
      <c r="CA38" t="str">
        <f>_xlfn.CONCAT(G38, "_",H38)</f>
        <v>steam_RAIL</v>
      </c>
      <c r="CB38" s="25" t="str" cm="1">
        <f t="array" ref="CB38">IF(AM38&lt;&gt;"na", _xlfn.CONCAT("{BLACK}Length: {GOLD}", TEXT(ROUNDUP(IF(AP38&lt;&gt;"",SUM(VALUE(_xlfn.TEXTSPLIT(AP38, ","))), SUM(VALUE(_xlfn.TEXTSPLIT(AM38, ",")))*IF(L38, L38, 1))/16, 1),"#,##0.0"), " tiles{}"), "")</f>
        <v/>
      </c>
      <c r="CC38" s="22" t="str">
        <f>VLOOKUP($CA38, Constants!$M:$N, 2, FALSE)</f>
        <v>{BLACK}Powered by: {GOLD}Steam</v>
      </c>
      <c r="CD38" s="22" t="str">
        <f t="shared" si="146"/>
        <v/>
      </c>
      <c r="CF38" s="22" t="str">
        <f t="shared" si="13"/>
        <v/>
      </c>
      <c r="CG38" s="22" t="str">
        <f t="shared" si="26"/>
        <v>{BLACK}Powered by: {GOLD}Steam {}{SILVER}</v>
      </c>
    </row>
    <row r="39" spans="1:85" x14ac:dyDescent="0.25">
      <c r="A39" t="s">
        <v>425</v>
      </c>
      <c r="B39" t="s">
        <v>426</v>
      </c>
      <c r="C39">
        <v>1421</v>
      </c>
      <c r="D39">
        <v>20</v>
      </c>
      <c r="E39" t="s">
        <v>488</v>
      </c>
      <c r="F39" t="s">
        <v>236</v>
      </c>
      <c r="G39" t="s">
        <v>25</v>
      </c>
      <c r="H39" t="s">
        <v>28</v>
      </c>
      <c r="I39">
        <v>1942</v>
      </c>
      <c r="K39">
        <v>1967</v>
      </c>
      <c r="M39">
        <v>1700</v>
      </c>
      <c r="O39" s="5">
        <v>20</v>
      </c>
      <c r="P39" s="5">
        <v>26</v>
      </c>
      <c r="Q39" s="5">
        <v>2</v>
      </c>
      <c r="R39" s="5">
        <v>225</v>
      </c>
      <c r="S39" s="12">
        <f t="shared" si="104"/>
        <v>197.8854678070773</v>
      </c>
      <c r="T39" s="5">
        <v>1.88</v>
      </c>
      <c r="U39" s="5">
        <f t="shared" si="105"/>
        <v>1669.7896518375242</v>
      </c>
      <c r="V39">
        <v>72</v>
      </c>
      <c r="Y39">
        <v>119</v>
      </c>
      <c r="Z39" s="3">
        <f>IF(AND(V39&gt;0,Y39&gt;0),(Y39/((V39+W39)*10)),"")</f>
        <v>0.16527777777777777</v>
      </c>
      <c r="AA39">
        <v>85</v>
      </c>
      <c r="AB39">
        <f t="shared" si="64"/>
        <v>136</v>
      </c>
      <c r="AE39">
        <v>18.7</v>
      </c>
      <c r="AF39">
        <v>14</v>
      </c>
      <c r="AJ39" s="14" t="str">
        <f>CONCATENATE(VLOOKUP(AK39, 'Voxel Sizes'!$A$2:$B$18,2,FALSE),"x",INT(AG39*15), "x", INT(AH39*15))</f>
        <v>136x0x0</v>
      </c>
      <c r="AK39" s="14">
        <f t="shared" si="66"/>
        <v>8</v>
      </c>
      <c r="AL39" t="s">
        <v>385</v>
      </c>
      <c r="AM39" s="14" t="str">
        <f>CONCATENATE(VLOOKUP(AK39,Constants!$A$2:$C$16,IF(AL39&lt;&gt;"", 3, 2), FALSE),IF(AL39&lt;&gt;"",CONCATENATE(",",VLOOKUP(AL39,$B:$AM,38,FALSE)),""))</f>
        <v>2,4,2,2,1,2</v>
      </c>
      <c r="AU39">
        <v>1</v>
      </c>
      <c r="AW39">
        <v>31</v>
      </c>
      <c r="AX39" s="14">
        <f>IF(K39&lt;&gt;"",MAX(16,(K39-I39)+8),"")</f>
        <v>33</v>
      </c>
      <c r="BA39">
        <f>MIN(AA39/150, 1)*30</f>
        <v>17</v>
      </c>
      <c r="BB39">
        <f>MIN(M39/4000, 1)*20</f>
        <v>8.5</v>
      </c>
      <c r="BC39">
        <f>MIN(Y39/400,1)*20</f>
        <v>5.9499999999999993</v>
      </c>
      <c r="BD39" s="3">
        <f>1-(MAX(I39-1900, 0)/750)</f>
        <v>0.94399999999999995</v>
      </c>
      <c r="BE39">
        <f>((MAX($L39,1)*MIN($AI39/300,1)))*IF(F39="Wagon",50,10)</f>
        <v>0</v>
      </c>
      <c r="BF39">
        <v>1.1499999999999999</v>
      </c>
      <c r="BG39">
        <v>1.7</v>
      </c>
      <c r="BH39" s="16">
        <f>INT(POWER(((Constants!$G$2+$BA39+$BB39+$BC39+$BE39)*$BD39)*$BG39, 1.05))+$AZ39</f>
        <v>71</v>
      </c>
      <c r="BI39" s="16">
        <f>INT(POWER((((Constants!$G$1+$BA39+$BB39+$BC39+$BE39)*($BD39))*$BF39),IF($F39="wagon",1,1.2)))+$AY39</f>
        <v>110</v>
      </c>
      <c r="BJ39" s="19">
        <f t="shared" si="147"/>
        <v>55468.75</v>
      </c>
      <c r="BK39" s="19">
        <f t="shared" si="148"/>
        <v>8937.5</v>
      </c>
      <c r="BT39">
        <v>7</v>
      </c>
      <c r="BX39" t="s">
        <v>54</v>
      </c>
      <c r="BY39" t="s">
        <v>62</v>
      </c>
      <c r="BZ39" t="str">
        <f>CONCATENATE(BX39,"_",BY39)</f>
        <v>big4_Mixed Traffic</v>
      </c>
      <c r="CA39" t="str">
        <f>_xlfn.CONCAT(G39, "_",H39)</f>
        <v>steam_RAIL</v>
      </c>
      <c r="CB39" s="25" t="str" cm="1">
        <f t="array" ref="CB39">IF(AM39&lt;&gt;"na", _xlfn.CONCAT("{BLACK}Length: {GOLD}", TEXT(ROUNDUP(IF(AP39&lt;&gt;"",SUM(VALUE(_xlfn.TEXTSPLIT(AP39, ","))), SUM(VALUE(_xlfn.TEXTSPLIT(AM39, ",")))*IF(L39, L39, 1))/16, 1),"#,##0.0"), " tiles{}"), "")</f>
        <v>{BLACK}Length: {GOLD}0.9 tiles{}</v>
      </c>
      <c r="CC39" s="22" t="str">
        <f>VLOOKUP($CA39, Constants!$M:$N, 2, FALSE)</f>
        <v>{BLACK}Powered by: {GOLD}Steam</v>
      </c>
      <c r="CD39" s="22" t="str">
        <f t="shared" si="146"/>
        <v/>
      </c>
      <c r="CE39" t="s">
        <v>521</v>
      </c>
      <c r="CF39" s="22" t="str">
        <f t="shared" si="13"/>
        <v/>
      </c>
      <c r="CG39" s="22" t="str">
        <f t="shared" si="26"/>
        <v xml:space="preserve">{BLACK}Powered by: {GOLD}Steam {}{BLACK}Length: {GOLD}0.9 tiles{}{SILVER}LNER's B2 was a mixed traffic locomotive, the early examples of which were named after breeds of antelope, with 61018 "Gnu" having the record for shortest name given to a British locomotive. </v>
      </c>
    </row>
    <row r="40" spans="1:85" x14ac:dyDescent="0.25">
      <c r="A40" t="s">
        <v>395</v>
      </c>
      <c r="B40" t="s">
        <v>396</v>
      </c>
      <c r="C40">
        <v>1491</v>
      </c>
      <c r="D40">
        <v>21</v>
      </c>
      <c r="E40" t="s">
        <v>488</v>
      </c>
      <c r="F40" t="s">
        <v>236</v>
      </c>
      <c r="G40" t="s">
        <v>399</v>
      </c>
      <c r="H40" t="s">
        <v>28</v>
      </c>
      <c r="I40">
        <v>1949</v>
      </c>
      <c r="K40">
        <v>1964</v>
      </c>
      <c r="M40">
        <v>2500</v>
      </c>
      <c r="V40">
        <v>117</v>
      </c>
      <c r="Y40">
        <v>140</v>
      </c>
      <c r="Z40" s="3">
        <f t="shared" si="65"/>
        <v>0.11965811965811966</v>
      </c>
      <c r="AA40">
        <v>90</v>
      </c>
      <c r="AB40">
        <f t="shared" si="64"/>
        <v>144</v>
      </c>
      <c r="AF40">
        <v>18</v>
      </c>
      <c r="AJ40" s="14" t="str">
        <f>CONCATENATE(VLOOKUP(AK40, 'Voxel Sizes'!$A$2:$B$18,2,FALSE),"x",INT(AG40*15), "x", INT(AH40*15))</f>
        <v>186x0x0</v>
      </c>
      <c r="AK40" s="14">
        <f t="shared" si="66"/>
        <v>11</v>
      </c>
      <c r="AM40" s="14" t="str">
        <f>CONCATENATE(VLOOKUP(AK40,Constants!$A$2:$C$16,IF(AL40&lt;&gt;"", 3, 2), FALSE),IF(AL40&lt;&gt;"",CONCATENATE(",",VLOOKUP(AL40,$B:$AM,38,FALSE)),""))</f>
        <v>4,3,4</v>
      </c>
      <c r="AW40">
        <v>22</v>
      </c>
      <c r="AX40" s="14">
        <f t="shared" si="67"/>
        <v>23</v>
      </c>
      <c r="AY40">
        <v>9</v>
      </c>
      <c r="AZ40">
        <v>2</v>
      </c>
      <c r="BA40" s="16">
        <f t="shared" si="68"/>
        <v>18</v>
      </c>
      <c r="BB40" s="16">
        <f t="shared" si="69"/>
        <v>12.5</v>
      </c>
      <c r="BC40" s="16">
        <f t="shared" si="70"/>
        <v>7</v>
      </c>
      <c r="BD40" s="17">
        <f t="shared" si="71"/>
        <v>0.93466666666666665</v>
      </c>
      <c r="BE40" s="16">
        <f t="shared" si="72"/>
        <v>0</v>
      </c>
      <c r="BF40" s="16">
        <f>VLOOKUP($G40,Constants!$I:$K, 2, FALSE)</f>
        <v>1</v>
      </c>
      <c r="BG40" s="16">
        <f>VLOOKUP($G40,Constants!$I:$K, 3, FALSE)*IF(AND(F40="multiple_unit",AA40&lt;110),0.75,1)</f>
        <v>2</v>
      </c>
      <c r="BH40" s="16">
        <f>INT(POWER(((Constants!$G$2+$BA40+$BB40+$BC40+$BE40)*$BD40)*$BG40, 1.05))+$AZ40</f>
        <v>100</v>
      </c>
      <c r="BI40" s="16">
        <f>INT(POWER((((Constants!$G$1+$BA40+$BB40+$BC40+$BE40)*($BD40))*$BF40),IF($F40="wagon",1,1.2)))+$AY40</f>
        <v>115</v>
      </c>
      <c r="BJ40" s="19">
        <f t="shared" si="73"/>
        <v>78125</v>
      </c>
      <c r="BK40" s="19">
        <f t="shared" si="74"/>
        <v>9343.75</v>
      </c>
      <c r="BT40">
        <v>6</v>
      </c>
      <c r="BX40" s="22" t="str">
        <f>VLOOKUP(I40,Eras!$A$2:$C$10, 2, TRUE)</f>
        <v>ebr</v>
      </c>
      <c r="BY40" t="s">
        <v>64</v>
      </c>
      <c r="BZ40" s="22" t="str">
        <f t="shared" si="75"/>
        <v>ebr_Freight</v>
      </c>
      <c r="CA40" s="22" t="str">
        <f t="shared" si="76"/>
        <v>gas_turbine_RAIL</v>
      </c>
      <c r="CB40" s="25" t="str" cm="1">
        <f t="array" ref="CB40">IF(AM40&lt;&gt;"na", _xlfn.CONCAT("{BLACK}Length: {GOLD}", TEXT(ROUNDUP(IF(AP40&lt;&gt;"",SUM(VALUE(_xlfn.TEXTSPLIT(AP40, ","))), SUM(VALUE(_xlfn.TEXTSPLIT(AM40, ",")))*IF(L40, L40, 1))/16, 1),"#,##0.0"), " tiles{}"), "")</f>
        <v>{BLACK}Length: {GOLD}0.7 tiles{}</v>
      </c>
      <c r="CC40" s="22" t="str">
        <f>VLOOKUP($CA40, Constants!$M:$N, 2, FALSE)</f>
        <v>{BLACK}Powered by: {GOLD}Gas Turbine</v>
      </c>
      <c r="CD40" s="22" t="str">
        <f t="shared" si="146"/>
        <v/>
      </c>
      <c r="CE40" t="s">
        <v>400</v>
      </c>
      <c r="CF40" s="22" t="str">
        <f t="shared" si="13"/>
        <v/>
      </c>
      <c r="CG40" s="22" t="str">
        <f t="shared" si="26"/>
        <v>{BLACK}Powered by: {GOLD}Gas Turbine {}{BLACK}Length: {GOLD}0.7 tiles{}{SILVER}Originally ordered by the GWR, the 18000 used a gas turbine to match the power output of the King Class. This resulted in it being unreliable and expensive to run.</v>
      </c>
    </row>
    <row r="41" spans="1:85" x14ac:dyDescent="0.25">
      <c r="A41" t="s">
        <v>453</v>
      </c>
      <c r="B41" t="s">
        <v>454</v>
      </c>
      <c r="C41">
        <v>1571</v>
      </c>
      <c r="D41">
        <v>22</v>
      </c>
      <c r="E41" t="s">
        <v>488</v>
      </c>
      <c r="F41" t="s">
        <v>236</v>
      </c>
      <c r="G41" t="s">
        <v>26</v>
      </c>
      <c r="H41" t="s">
        <v>28</v>
      </c>
      <c r="I41">
        <v>1957</v>
      </c>
      <c r="J41">
        <v>1961</v>
      </c>
      <c r="K41">
        <v>1993</v>
      </c>
      <c r="M41">
        <v>200</v>
      </c>
      <c r="V41">
        <v>30</v>
      </c>
      <c r="Y41">
        <v>70</v>
      </c>
      <c r="Z41" s="3">
        <f t="shared" si="65"/>
        <v>0.23333333333333334</v>
      </c>
      <c r="AA41">
        <v>28</v>
      </c>
      <c r="AB41">
        <f t="shared" si="64"/>
        <v>45</v>
      </c>
      <c r="AE41">
        <v>8</v>
      </c>
      <c r="AF41">
        <v>9.5</v>
      </c>
      <c r="AJ41" s="14" t="str">
        <f>CONCATENATE(VLOOKUP(AK41, 'Voxel Sizes'!$A$2:$B$18,2,FALSE),"x",INT(AG41*15), "x", INT(AH41*15))</f>
        <v>102x0x0</v>
      </c>
      <c r="AK41" s="14">
        <f t="shared" si="66"/>
        <v>6</v>
      </c>
      <c r="AM41" s="14" t="str">
        <f>CONCATENATE(VLOOKUP(AK41,Constants!$A$2:$C$16,IF(AL41&lt;&gt;"", 3, 2), FALSE),IF(AL41&lt;&gt;"",CONCATENATE(",",VLOOKUP(AL41,$B:$AM,38,FALSE)),""))</f>
        <v>2,2,2</v>
      </c>
      <c r="AU41">
        <v>1</v>
      </c>
      <c r="AW41">
        <v>40</v>
      </c>
      <c r="AX41" s="14">
        <f>IF(K41&lt;&gt;"",MAX(16,(K41-I41)+8),"")</f>
        <v>44</v>
      </c>
      <c r="BA41" s="16">
        <f t="shared" ref="BA41" si="149">MIN(AA41/150, 1)*30</f>
        <v>5.6000000000000005</v>
      </c>
      <c r="BB41" s="16">
        <f t="shared" ref="BB41" si="150">MIN(M41/4000, 1)*20</f>
        <v>1</v>
      </c>
      <c r="BC41" s="16">
        <f t="shared" ref="BC41" si="151">MIN(Y41/400,1)*20</f>
        <v>3.5</v>
      </c>
      <c r="BD41" s="17">
        <f t="shared" ref="BD41" si="152">1-(MAX(I41-1900, 0)/750)</f>
        <v>0.92400000000000004</v>
      </c>
      <c r="BE41" s="16">
        <f t="shared" ref="BE41" si="153">((MAX($L41,1)*MIN($AI41/300,1)))*IF(F41="Wagon",50,10)</f>
        <v>0</v>
      </c>
      <c r="BF41" s="16">
        <f>VLOOKUP($G41,Constants!$I:$K, 2, FALSE)</f>
        <v>1</v>
      </c>
      <c r="BG41" s="16">
        <f>VLOOKUP($G41,Constants!$I:$K, 3, FALSE)*IF(AND(F41="multiple_unit",AA41&lt;110),0.75,1)</f>
        <v>2</v>
      </c>
      <c r="BH41" s="16">
        <f>INT(POWER(((Constants!$G$2+$BA41+$BB41+$BC41+$BE41)*$BD41)*$BG41, 1.05))+$AZ41</f>
        <v>32</v>
      </c>
      <c r="BI41" s="16">
        <f>INT(POWER((((Constants!$G$1+$BA41+$BB41+$BC41+$BE41)*($BD41))*$BF41),IF($F41="wagon",1,1.2)))+$AY41</f>
        <v>43</v>
      </c>
      <c r="BJ41" s="19">
        <f t="shared" ref="BJ41" si="154">BH41*IF($F41="wagon",62.5,781.25)</f>
        <v>25000</v>
      </c>
      <c r="BK41" s="19">
        <f t="shared" ref="BK41" si="155">BI41*IF($F41="wagon",2.73,81.25)</f>
        <v>3493.75</v>
      </c>
      <c r="BT41">
        <v>8</v>
      </c>
      <c r="BX41" t="s">
        <v>55</v>
      </c>
      <c r="BY41" t="s">
        <v>61</v>
      </c>
      <c r="BZ41" t="str">
        <f>CONCATENATE(BX41,"_",BY41)</f>
        <v>dsl_Cheap</v>
      </c>
      <c r="CA41" t="str">
        <f>_xlfn.CONCAT(G41, "_",H41)</f>
        <v>diesel_RAIL</v>
      </c>
      <c r="CB41" s="25" t="str" cm="1">
        <f t="array" ref="CB41">IF(AM41&lt;&gt;"na", _xlfn.CONCAT("{BLACK}Length: {GOLD}", TEXT(ROUNDUP(IF(AP41&lt;&gt;"",SUM(VALUE(_xlfn.TEXTSPLIT(AP41, ","))), SUM(VALUE(_xlfn.TEXTSPLIT(AM41, ",")))*IF(L41, L41, 1))/16, 1),"#,##0.0"), " tiles{}"), "")</f>
        <v>{BLACK}Length: {GOLD}0.4 tiles{}</v>
      </c>
      <c r="CC41" s="22" t="str">
        <f>VLOOKUP($CA41, Constants!$M:$N, 2, FALSE)</f>
        <v>{BLACK}Powered by: {GOLD}Diesel</v>
      </c>
      <c r="CD41" s="22" t="str">
        <f t="shared" si="146"/>
        <v/>
      </c>
      <c r="CE41" t="s">
        <v>455</v>
      </c>
      <c r="CF41" s="22" t="str">
        <f t="shared" si="13"/>
        <v/>
      </c>
      <c r="CG41" s="22" t="str">
        <f t="shared" si="26"/>
        <v>{BLACK}Powered by: {GOLD}Diesel {}{BLACK}Length: {GOLD}0.4 tiles{}{SILVER}The Class 03 is a diesel-mechanical shunter, with a five speed manual gearbox driven through a fluid coupling. They were most useful in areas where the Class 08 was too large and heavy to operate.</v>
      </c>
    </row>
    <row r="42" spans="1:85" x14ac:dyDescent="0.25">
      <c r="A42" t="s">
        <v>343</v>
      </c>
      <c r="B42" t="s">
        <v>345</v>
      </c>
      <c r="C42">
        <v>2611</v>
      </c>
      <c r="D42">
        <v>23</v>
      </c>
      <c r="E42" t="s">
        <v>488</v>
      </c>
      <c r="F42" t="s">
        <v>236</v>
      </c>
      <c r="G42" t="s">
        <v>26</v>
      </c>
      <c r="H42" t="s">
        <v>28</v>
      </c>
      <c r="I42">
        <v>1961</v>
      </c>
      <c r="K42">
        <v>1978</v>
      </c>
      <c r="M42">
        <v>2880</v>
      </c>
      <c r="V42">
        <v>117</v>
      </c>
      <c r="Y42">
        <v>266</v>
      </c>
      <c r="Z42" s="3">
        <f t="shared" si="65"/>
        <v>0.22735042735042735</v>
      </c>
      <c r="AA42">
        <v>100</v>
      </c>
      <c r="AB42">
        <f t="shared" si="64"/>
        <v>160</v>
      </c>
      <c r="AE42">
        <v>20.98</v>
      </c>
      <c r="AF42">
        <v>20.98</v>
      </c>
      <c r="AG42">
        <v>2.69</v>
      </c>
      <c r="AH42">
        <v>3.91</v>
      </c>
      <c r="AJ42" s="14" t="str">
        <f>CONCATENATE(VLOOKUP(AK42, 'Voxel Sizes'!$A$2:$B$18,2,FALSE),"x",INT(AG42*15), "x", INT(AH42*15))</f>
        <v>198x40x58</v>
      </c>
      <c r="AK42" s="14">
        <f t="shared" si="66"/>
        <v>12</v>
      </c>
      <c r="AM42" s="14" t="str">
        <f>CONCATENATE(VLOOKUP(AK42,Constants!$A$2:$C$16,IF(AL42&lt;&gt;"", 3, 2), FALSE),IF(AL42&lt;&gt;"",CONCATENATE(",",VLOOKUP(AL42,$B:$AM,38,FALSE)),""))</f>
        <v>4,4,4</v>
      </c>
      <c r="AW42">
        <v>22</v>
      </c>
      <c r="AX42" s="14">
        <f t="shared" si="67"/>
        <v>25</v>
      </c>
      <c r="AY42">
        <v>2</v>
      </c>
      <c r="AZ42">
        <v>3</v>
      </c>
      <c r="BA42" s="16">
        <f t="shared" si="68"/>
        <v>20</v>
      </c>
      <c r="BB42" s="16">
        <f t="shared" si="69"/>
        <v>14.399999999999999</v>
      </c>
      <c r="BC42" s="16">
        <f t="shared" si="70"/>
        <v>13.3</v>
      </c>
      <c r="BD42" s="17">
        <f t="shared" si="71"/>
        <v>0.91866666666666663</v>
      </c>
      <c r="BE42" s="16">
        <f t="shared" si="72"/>
        <v>0</v>
      </c>
      <c r="BF42" s="16">
        <f>VLOOKUP($G42,Constants!$I:$K, 2, FALSE)</f>
        <v>1</v>
      </c>
      <c r="BG42" s="16">
        <f>VLOOKUP($G42,Constants!$I:$K, 3, FALSE)*IF(AND(F42="multiple_unit",AA42&lt;110),0.75,1)</f>
        <v>2</v>
      </c>
      <c r="BH42" s="16">
        <f>INT(POWER(((Constants!$G$2+$BA42+$BB42+$BC42+$BE42)*$BD42)*$BG42, 1.05))+$AZ42</f>
        <v>124</v>
      </c>
      <c r="BI42" s="16">
        <f>INT(POWER((((Constants!$G$1+$BA42+$BB42+$BC42+$BE42)*($BD42))*$BF42),IF($F42="wagon",1,1.2)))+$AY42</f>
        <v>131</v>
      </c>
      <c r="BJ42" s="19">
        <f t="shared" si="73"/>
        <v>96875</v>
      </c>
      <c r="BK42" s="19">
        <f t="shared" si="74"/>
        <v>10643.75</v>
      </c>
      <c r="BT42">
        <v>6</v>
      </c>
      <c r="BX42" s="22" t="str">
        <f>VLOOKUP(I42,Eras!$A$2:$C$10, 2, TRUE)</f>
        <v>dsl</v>
      </c>
      <c r="BY42" t="s">
        <v>64</v>
      </c>
      <c r="BZ42" s="22" t="str">
        <f t="shared" si="75"/>
        <v>dsl_Freight</v>
      </c>
      <c r="CA42" s="22" t="str">
        <f t="shared" si="76"/>
        <v>diesel_RAIL</v>
      </c>
      <c r="CB42" s="25" t="str" cm="1">
        <f t="array" ref="CB42">IF(AM42&lt;&gt;"na", _xlfn.CONCAT("{BLACK}Length: {GOLD}", TEXT(ROUNDUP(IF(AP42&lt;&gt;"",SUM(VALUE(_xlfn.TEXTSPLIT(AP42, ","))), SUM(VALUE(_xlfn.TEXTSPLIT(AM42, ",")))*IF(L42, L42, 1))/16, 1),"#,##0.0"), " tiles{}"), "")</f>
        <v>{BLACK}Length: {GOLD}0.8 tiles{}</v>
      </c>
      <c r="CC42" s="22" t="str">
        <f>VLOOKUP($CA42, Constants!$M:$N, 2, FALSE)</f>
        <v>{BLACK}Powered by: {GOLD}Diesel</v>
      </c>
      <c r="CD42" s="22" t="str">
        <f t="shared" si="146"/>
        <v/>
      </c>
      <c r="CE42" t="s">
        <v>344</v>
      </c>
      <c r="CF42" s="22" t="str">
        <f t="shared" si="13"/>
        <v/>
      </c>
      <c r="CG42" s="22" t="str">
        <f t="shared" si="26"/>
        <v>{BLACK}Powered by: {GOLD}Diesel {}{BLACK}Length: {GOLD}0.8 tiles{}{SILVER}Brush's "Falcon" was a prototype for a new generation of Type 4 locomotives, but advances in single-engined diesel made the Falcon with its two Maybach diesels obsolete at the point of introduction.</v>
      </c>
    </row>
    <row r="43" spans="1:85" x14ac:dyDescent="0.25">
      <c r="A43" t="s">
        <v>338</v>
      </c>
      <c r="B43" t="s">
        <v>312</v>
      </c>
      <c r="C43">
        <v>2671</v>
      </c>
      <c r="D43">
        <v>24</v>
      </c>
      <c r="E43" t="s">
        <v>488</v>
      </c>
      <c r="F43" t="s">
        <v>236</v>
      </c>
      <c r="G43" t="s">
        <v>26</v>
      </c>
      <c r="H43" t="s">
        <v>28</v>
      </c>
      <c r="I43">
        <v>1967</v>
      </c>
      <c r="K43">
        <v>1982</v>
      </c>
      <c r="M43">
        <v>4000</v>
      </c>
      <c r="V43">
        <v>126</v>
      </c>
      <c r="Y43">
        <v>270</v>
      </c>
      <c r="Z43" s="3">
        <f t="shared" si="65"/>
        <v>0.21428571428571427</v>
      </c>
      <c r="AA43">
        <v>110</v>
      </c>
      <c r="AB43">
        <f t="shared" si="64"/>
        <v>176</v>
      </c>
      <c r="AE43">
        <v>20.27</v>
      </c>
      <c r="AF43">
        <v>20.27</v>
      </c>
      <c r="AG43">
        <v>2.69</v>
      </c>
      <c r="AH43">
        <v>3.91</v>
      </c>
      <c r="AJ43" s="14" t="str">
        <f>CONCATENATE(VLOOKUP(AK43, 'Voxel Sizes'!$A$2:$B$18,2,FALSE),"x",INT(AG43*15), "x", INT(AH43*15))</f>
        <v>198x40x58</v>
      </c>
      <c r="AK43" s="14">
        <f t="shared" si="66"/>
        <v>12</v>
      </c>
      <c r="AM43" s="14" t="str">
        <f>CONCATENATE(VLOOKUP(AK43,Constants!$A$2:$C$16,IF(AL43&lt;&gt;"", 3, 2), FALSE),IF(AL43&lt;&gt;"",CONCATENATE(",",VLOOKUP(AL43,$B:$AM,38,FALSE)),""))</f>
        <v>4,4,4</v>
      </c>
      <c r="AW43">
        <v>21</v>
      </c>
      <c r="AX43" s="14">
        <f t="shared" si="67"/>
        <v>23</v>
      </c>
      <c r="AZ43">
        <v>2</v>
      </c>
      <c r="BA43" s="16">
        <f t="shared" si="68"/>
        <v>22</v>
      </c>
      <c r="BB43" s="16">
        <f t="shared" si="69"/>
        <v>20</v>
      </c>
      <c r="BC43" s="16">
        <f t="shared" si="70"/>
        <v>13.5</v>
      </c>
      <c r="BD43" s="17">
        <f t="shared" si="71"/>
        <v>0.91066666666666662</v>
      </c>
      <c r="BE43" s="16">
        <f t="shared" si="72"/>
        <v>0</v>
      </c>
      <c r="BF43" s="16">
        <f>VLOOKUP($G43,Constants!$I:$K, 2, FALSE)</f>
        <v>1</v>
      </c>
      <c r="BG43" s="16">
        <f>VLOOKUP($G43,Constants!$I:$K, 3, FALSE)*IF(AND(F43="multiple_unit",AA43&lt;110),0.75,1)</f>
        <v>2</v>
      </c>
      <c r="BH43" s="16">
        <f>INT(POWER(((Constants!$G$2+$BA43+$BB43+$BC43+$BE43)*$BD43)*$BG43, 1.05))+$AZ43</f>
        <v>141</v>
      </c>
      <c r="BI43" s="16">
        <f>INT(POWER((((Constants!$G$1+$BA43+$BB43+$BC43+$BE43)*($BD43))*$BF43),IF($F43="wagon",1,1.2)))+$AY43</f>
        <v>147</v>
      </c>
      <c r="BJ43" s="19">
        <f t="shared" si="73"/>
        <v>110156.25</v>
      </c>
      <c r="BK43" s="19">
        <f t="shared" si="74"/>
        <v>11943.75</v>
      </c>
      <c r="BT43">
        <v>6</v>
      </c>
      <c r="BX43" s="22" t="str">
        <f>VLOOKUP(I43,Eras!$A$2:$C$10, 2, TRUE)</f>
        <v>dsl</v>
      </c>
      <c r="BY43" t="s">
        <v>64</v>
      </c>
      <c r="BZ43" s="22" t="str">
        <f t="shared" si="75"/>
        <v>dsl_Freight</v>
      </c>
      <c r="CA43" s="22" t="str">
        <f t="shared" si="76"/>
        <v>diesel_RAIL</v>
      </c>
      <c r="CB43" s="25" t="str" cm="1">
        <f t="array" ref="CB43">IF(AM43&lt;&gt;"na", _xlfn.CONCAT("{BLACK}Length: {GOLD}", TEXT(ROUNDUP(IF(AP43&lt;&gt;"",SUM(VALUE(_xlfn.TEXTSPLIT(AP43, ","))), SUM(VALUE(_xlfn.TEXTSPLIT(AM43, ",")))*IF(L43, L43, 1))/16, 1),"#,##0.0"), " tiles{}"), "")</f>
        <v>{BLACK}Length: {GOLD}0.8 tiles{}</v>
      </c>
      <c r="CC43" s="22" t="str">
        <f>VLOOKUP($CA43, Constants!$M:$N, 2, FALSE)</f>
        <v>{BLACK}Powered by: {GOLD}Diesel</v>
      </c>
      <c r="CD43" s="22" t="str">
        <f t="shared" si="146"/>
        <v/>
      </c>
      <c r="CE43" t="s">
        <v>342</v>
      </c>
      <c r="CF43" s="22" t="str">
        <f t="shared" si="13"/>
        <v/>
      </c>
      <c r="CG43" s="22" t="str">
        <f t="shared" si="26"/>
        <v>{BLACK}Powered by: {GOLD}Diesel {}{BLACK}Length: {GOLD}0.8 tiles{}{SILVER}The Brush "Kestrel" was a prototype high speed diesel locomotive. After a brief period of service in the UK it was sold to the Soviet Union, where it was re-gauged and used for testing.</v>
      </c>
    </row>
    <row r="44" spans="1:85" x14ac:dyDescent="0.25">
      <c r="A44" t="s">
        <v>356</v>
      </c>
      <c r="B44" t="s">
        <v>355</v>
      </c>
      <c r="C44">
        <v>2791</v>
      </c>
      <c r="D44">
        <v>500</v>
      </c>
      <c r="E44" t="s">
        <v>488</v>
      </c>
      <c r="F44" t="s">
        <v>236</v>
      </c>
      <c r="G44" t="s">
        <v>354</v>
      </c>
      <c r="H44" t="s">
        <v>28</v>
      </c>
      <c r="I44">
        <v>1979</v>
      </c>
      <c r="M44">
        <v>50</v>
      </c>
      <c r="V44">
        <v>33</v>
      </c>
      <c r="X44">
        <v>5</v>
      </c>
      <c r="Y44">
        <v>5</v>
      </c>
      <c r="Z44" s="3">
        <f>IF(AND(V44&gt;0,Y44&gt;0),(Y44/((V44+W44)*10)),"")</f>
        <v>1.5151515151515152E-2</v>
      </c>
      <c r="AA44">
        <v>100</v>
      </c>
      <c r="AB44">
        <f>ROUND(AA44*1.6, 0)</f>
        <v>160</v>
      </c>
      <c r="AE44">
        <v>20.12</v>
      </c>
      <c r="AF44">
        <v>20.12</v>
      </c>
      <c r="AI44" s="9">
        <v>36</v>
      </c>
      <c r="AJ44" s="14" t="str">
        <f>CONCATENATE(VLOOKUP(AK44, 'Voxel Sizes'!$A$2:$B$18,2,FALSE),"x",INT(AG44*15), "x", INT(AH44*15))</f>
        <v>198x0x0</v>
      </c>
      <c r="AK44" s="14">
        <f>ROUND(15*((AF44*10)/256),0)</f>
        <v>12</v>
      </c>
      <c r="AM44" s="14" t="str">
        <f>CONCATENATE(VLOOKUP(AK44,Constants!$A$2:$C$16,IF(AL44&lt;&gt;"", 3, 2), FALSE),IF(AL44&lt;&gt;"",CONCATENATE(",",VLOOKUP(AL44,$B:$AM,38,FALSE)),""))</f>
        <v>4,4,4</v>
      </c>
      <c r="AW44">
        <v>33</v>
      </c>
      <c r="AX44" s="14" t="str">
        <f>IF(K44&lt;&gt;"",MAX(16,(K44-I44)+8),"")</f>
        <v/>
      </c>
      <c r="AY44">
        <v>-35</v>
      </c>
      <c r="AZ44">
        <v>-52</v>
      </c>
      <c r="BA44" s="16">
        <f>MIN(AA44/150, 1)*30</f>
        <v>20</v>
      </c>
      <c r="BB44" s="16">
        <f>MIN(M44/4000, 1)*20</f>
        <v>0.25</v>
      </c>
      <c r="BC44" s="16">
        <f>MIN(Y44/400,1)*20</f>
        <v>0.25</v>
      </c>
      <c r="BD44" s="17">
        <f>1-(MAX(I44-1900, 0)/750)</f>
        <v>0.89466666666666672</v>
      </c>
      <c r="BE44" s="16">
        <f>((MAX($L44,1)*MIN($AI44/300,1)))*IF(F44="Wagon",50,10)</f>
        <v>1.2</v>
      </c>
      <c r="BF44" s="16">
        <f>VLOOKUP($G44,Constants!$I:$K, 2, FALSE)</f>
        <v>0.85</v>
      </c>
      <c r="BG44" s="16">
        <f>VLOOKUP($G44,Constants!$I:$K, 3, FALSE)*IF(AND(F44="multiple_unit",AA44&lt;110),0.75,1)</f>
        <v>2.2999999999999998</v>
      </c>
      <c r="BH44" s="16">
        <f>INT(POWER(((Constants!$G$2+$BA44+$BB44+$BC44+$BE44)*$BD44)*$BG44, 1.05))+$AZ44</f>
        <v>15</v>
      </c>
      <c r="BI44" s="16">
        <f>INT(POWER((((Constants!$G$1+$BA44+$BB44+$BC44+$BE44)*($BD44))*$BF44),IF($F44="wagon",1,1.2)))+$AY44</f>
        <v>19</v>
      </c>
      <c r="BJ44" s="19">
        <f>BH44*IF($F44="wagon",62.5,781.25)</f>
        <v>11718.75</v>
      </c>
      <c r="BK44" s="19">
        <f>BI44*IF($F44="wagon",2.73,81.25)</f>
        <v>1543.75</v>
      </c>
      <c r="BL44">
        <v>1</v>
      </c>
      <c r="BM44">
        <v>1</v>
      </c>
      <c r="BT44">
        <v>7</v>
      </c>
      <c r="BV44" t="s">
        <v>142</v>
      </c>
      <c r="BW44" t="s">
        <v>34</v>
      </c>
      <c r="BX44" s="22" t="str">
        <f>VLOOKUP(I44,Eras!$A$2:$C$10, 2, TRUE)</f>
        <v>lbr</v>
      </c>
      <c r="BY44" t="s">
        <v>73</v>
      </c>
      <c r="BZ44" s="22" t="str">
        <f>CONCATENATE(BX44,"_",BY44)</f>
        <v>lbr_Express (Electric)</v>
      </c>
      <c r="CA44" s="22" t="str">
        <f>_xlfn.CONCAT(G44, "_",H44)</f>
        <v>none_RAIL</v>
      </c>
      <c r="CB44" s="25" t="str" cm="1">
        <f t="array" ref="CB44">IF(AM44&lt;&gt;"na", _xlfn.CONCAT("{BLACK}Length: {GOLD}", TEXT(ROUNDUP(IF(AP44&lt;&gt;"",SUM(VALUE(_xlfn.TEXTSPLIT(AP44, ","))), SUM(VALUE(_xlfn.TEXTSPLIT(AM44, ",")))*IF(L44, L44, 1))/16, 1),"#,##0.0"), " tiles{}"), "")</f>
        <v>{BLACK}Length: {GOLD}0.8 tiles{}</v>
      </c>
      <c r="CC44" s="22" t="str">
        <f>VLOOKUP($CA44, Constants!$M:$N, 2, FALSE)</f>
        <v/>
      </c>
      <c r="CD44" s="22" t="str">
        <f t="shared" si="146"/>
        <v/>
      </c>
      <c r="CE44" t="s">
        <v>357</v>
      </c>
      <c r="CF44" s="22" t="str">
        <f t="shared" si="13"/>
        <v/>
      </c>
      <c r="CG44" s="22" t="str">
        <f t="shared" si="26"/>
        <v>{BLACK}Length: {GOLD}0.8 tiles{}{SILVER}The DBSO is a driving trailer built from a converted Mk2F carriage. They were first used with Class 47 locomotives for a push-pull service that could be driven from either end.</v>
      </c>
    </row>
    <row r="45" spans="1:85" x14ac:dyDescent="0.25">
      <c r="A45" t="s">
        <v>506</v>
      </c>
      <c r="B45" t="s">
        <v>507</v>
      </c>
      <c r="C45">
        <v>2171</v>
      </c>
      <c r="D45">
        <v>501</v>
      </c>
      <c r="E45" t="s">
        <v>488</v>
      </c>
      <c r="F45" t="s">
        <v>236</v>
      </c>
      <c r="G45" t="s">
        <v>354</v>
      </c>
      <c r="H45" t="s">
        <v>28</v>
      </c>
      <c r="I45">
        <v>2017</v>
      </c>
      <c r="M45">
        <v>50</v>
      </c>
      <c r="V45">
        <v>40</v>
      </c>
      <c r="X45">
        <v>5</v>
      </c>
      <c r="Y45">
        <v>5</v>
      </c>
      <c r="Z45" s="3">
        <f t="shared" ref="Z45" si="156">IF(AND(V45&gt;0,Y45&gt;0),(Y45/((V45+W45)*10)),"")</f>
        <v>1.2500000000000001E-2</v>
      </c>
      <c r="AA45">
        <v>125</v>
      </c>
      <c r="AB45">
        <f t="shared" ref="AB45" si="157">ROUND(AA45*1.6, 0)</f>
        <v>200</v>
      </c>
      <c r="AE45">
        <v>23</v>
      </c>
      <c r="AF45">
        <v>23</v>
      </c>
      <c r="AI45" s="9">
        <v>57</v>
      </c>
      <c r="AJ45" s="14" t="str">
        <f>CONCATENATE(VLOOKUP(AK45, 'Voxel Sizes'!$A$2:$B$18,2,FALSE),"x",INT(AG45*15), "x", INT(AH45*15))</f>
        <v>214x0x0</v>
      </c>
      <c r="AK45" s="14">
        <f t="shared" ref="AK45" si="158">ROUND(15*((AF45*10)/256),0)</f>
        <v>13</v>
      </c>
      <c r="AM45" s="14" t="str">
        <f>CONCATENATE(VLOOKUP(AK45,Constants!$A$2:$C$16,IF(AL45&lt;&gt;"", 3, 2), FALSE),IF(AL45&lt;&gt;"",CONCATENATE(",",VLOOKUP(AL45,$B:$AM,38,FALSE)),""))</f>
        <v>4,5,4</v>
      </c>
      <c r="AW45">
        <v>30</v>
      </c>
      <c r="AX45" s="14" t="str">
        <f t="shared" ref="AX45" si="159">IF(K45&lt;&gt;"",MAX(16,(K45-I45)+8),"")</f>
        <v/>
      </c>
      <c r="AY45">
        <v>-35</v>
      </c>
      <c r="AZ45">
        <v>-57</v>
      </c>
      <c r="BA45" s="16">
        <f t="shared" ref="BA45" si="160">MIN(AA45/150, 1)*30</f>
        <v>25</v>
      </c>
      <c r="BB45" s="16">
        <f t="shared" ref="BB45" si="161">MIN(M45/4000, 1)*20</f>
        <v>0.25</v>
      </c>
      <c r="BC45" s="16">
        <f t="shared" ref="BC45" si="162">MIN(Y45/400,1)*20</f>
        <v>0.25</v>
      </c>
      <c r="BD45" s="17">
        <f t="shared" ref="BD45" si="163">1-(MAX(I45-1900, 0)/750)</f>
        <v>0.84399999999999997</v>
      </c>
      <c r="BE45" s="16">
        <f t="shared" ref="BE45" si="164">((MAX($L45,1)*MIN($AI45/300,1)))*IF(F45="Wagon",50,10)</f>
        <v>1.9</v>
      </c>
      <c r="BF45" s="16">
        <f>VLOOKUP($G45,Constants!$I:$K, 2, FALSE)</f>
        <v>0.85</v>
      </c>
      <c r="BG45" s="16">
        <f>VLOOKUP($G45,Constants!$I:$K, 3, FALSE)*IF(AND(F45="multiple_unit",AA45&lt;110),0.75,1)</f>
        <v>2.2999999999999998</v>
      </c>
      <c r="BH45" s="16">
        <f>INT(POWER(((Constants!$G$2+$BA45+$BB45+$BC45+$BE45)*$BD45)*$BG45, 1.05))+$AZ45</f>
        <v>20</v>
      </c>
      <c r="BI45" s="16">
        <f>INT(POWER((((Constants!$G$1+$BA45+$BB45+$BC45+$BE45)*($BD45))*$BF45),IF($F45="wagon",1,1.2)))+$AY45</f>
        <v>25</v>
      </c>
      <c r="BJ45" s="19">
        <f t="shared" ref="BJ45" si="165">BH45*IF($F45="wagon",62.5,781.25)</f>
        <v>15625</v>
      </c>
      <c r="BK45" s="19">
        <f t="shared" ref="BK45" si="166">BI45*IF($F45="wagon",2.73,81.25)</f>
        <v>2031.25</v>
      </c>
      <c r="BL45">
        <v>1</v>
      </c>
      <c r="BM45">
        <v>1</v>
      </c>
      <c r="BT45">
        <v>1</v>
      </c>
      <c r="BU45">
        <v>222</v>
      </c>
      <c r="BV45" t="s">
        <v>142</v>
      </c>
      <c r="BW45" t="s">
        <v>34</v>
      </c>
      <c r="BX45" s="22" t="str">
        <f>VLOOKUP(I45,Eras!$A$2:$C$10, 2, TRUE)</f>
        <v>mod</v>
      </c>
      <c r="BY45" t="s">
        <v>73</v>
      </c>
      <c r="BZ45" s="22" t="str">
        <f t="shared" ref="BZ45" si="167">CONCATENATE(BX45,"_",BY45)</f>
        <v>mod_Express (Electric)</v>
      </c>
      <c r="CA45" s="22" t="str">
        <f t="shared" ref="CA45" si="168">_xlfn.CONCAT(G45, "_",H45)</f>
        <v>none_RAIL</v>
      </c>
      <c r="CB45" s="25" t="str" cm="1">
        <f t="array" ref="CB45">IF(AM45&lt;&gt;"na", _xlfn.CONCAT("{BLACK}Length: {GOLD}", TEXT(ROUNDUP(IF(AP45&lt;&gt;"",SUM(VALUE(_xlfn.TEXTSPLIT(AP45, ","))), SUM(VALUE(_xlfn.TEXTSPLIT(AM45, ",")))*IF(L45, L45, 1))/16, 1),"#,##0.0"), " tiles{}"), "")</f>
        <v>{BLACK}Length: {GOLD}0.9 tiles{}</v>
      </c>
      <c r="CC45" s="22" t="str">
        <f>VLOOKUP($CA45, Constants!$M:$N, 2, FALSE)</f>
        <v/>
      </c>
      <c r="CD45" s="22" t="str">
        <f t="shared" si="146"/>
        <v/>
      </c>
      <c r="CE45" t="s">
        <v>508</v>
      </c>
      <c r="CF45" s="22" t="str">
        <f t="shared" si="13"/>
        <v>{YELLOW}20% Bonus for long distance travel{}</v>
      </c>
      <c r="CG45" s="22" t="str">
        <f t="shared" si="26"/>
        <v>{BLACK}Length: {GOLD}0.9 tiles{}{YELLOW}20% Bonus for long distance travel{}{SILVER}Mark 5A carriage sets include a driving van trailer, enabling loco-hauled trains to be driven from both ends.</v>
      </c>
    </row>
    <row r="46" spans="1:85" x14ac:dyDescent="0.25">
      <c r="A46" t="s">
        <v>313</v>
      </c>
      <c r="B46" t="s">
        <v>314</v>
      </c>
      <c r="D46">
        <v>-1</v>
      </c>
      <c r="F46" t="s">
        <v>15</v>
      </c>
      <c r="G46" t="s">
        <v>32</v>
      </c>
      <c r="H46" t="s">
        <v>28</v>
      </c>
      <c r="Z46" s="3" t="str">
        <f t="shared" si="65"/>
        <v/>
      </c>
      <c r="AB46">
        <f t="shared" si="64"/>
        <v>0</v>
      </c>
      <c r="AJ46" s="14" t="str">
        <f>CONCATENATE(VLOOKUP(AK46, 'Voxel Sizes'!$A$2:$B$18,2,FALSE),"x",INT(AG46*15), "x", INT(AH46*15))</f>
        <v>0x0x0</v>
      </c>
      <c r="AK46" s="14">
        <f t="shared" si="66"/>
        <v>0</v>
      </c>
      <c r="AM46" s="14" t="str">
        <f>CONCATENATE(VLOOKUP(AK46,Constants!$A$2:$C$16,IF(AL46&lt;&gt;"", 3, 2), FALSE),IF(AL46&lt;&gt;"",CONCATENATE(",",VLOOKUP(AL46,$B:$AM,38,FALSE)),""))</f>
        <v>na</v>
      </c>
      <c r="AX46" s="14" t="str">
        <f t="shared" si="67"/>
        <v/>
      </c>
      <c r="BA46" s="16">
        <f t="shared" si="68"/>
        <v>0</v>
      </c>
      <c r="BB46" s="16">
        <f t="shared" si="69"/>
        <v>0</v>
      </c>
      <c r="BC46" s="16">
        <f t="shared" si="70"/>
        <v>0</v>
      </c>
      <c r="BD46" s="17">
        <f t="shared" si="71"/>
        <v>1</v>
      </c>
      <c r="BE46" s="16">
        <f t="shared" si="72"/>
        <v>0</v>
      </c>
      <c r="BF46" s="16">
        <f>VLOOKUP($G46,Constants!$I:$K, 2, FALSE)</f>
        <v>1</v>
      </c>
      <c r="BG46" s="16">
        <f>VLOOKUP($G46,Constants!$I:$K, 3, FALSE)*IF(AND(F46="multiple_unit",AA46&lt;110),0.75,1)</f>
        <v>0.45</v>
      </c>
      <c r="BH46" s="16">
        <f>INT(POWER(((Constants!$G$2+$BA46+$BB46+$BC46+$BE46)*$BD46)*$BG46, 1.05))+$AZ46</f>
        <v>2</v>
      </c>
      <c r="BI46" s="16">
        <f>INT(POWER((((Constants!$G$1+$BA46+$BB46+$BC46+$BE46)*($BD46))*$BF46),IF($F46="wagon",1,1.2)))+$AY46</f>
        <v>25</v>
      </c>
      <c r="BJ46" s="19">
        <f t="shared" si="73"/>
        <v>1562.5</v>
      </c>
      <c r="BK46" s="19">
        <f t="shared" si="74"/>
        <v>2031.25</v>
      </c>
      <c r="BT46">
        <v>7</v>
      </c>
      <c r="BX46" s="22" t="s">
        <v>55</v>
      </c>
      <c r="BY46" t="s">
        <v>66</v>
      </c>
      <c r="BZ46" s="22" t="str">
        <f t="shared" si="75"/>
        <v>dsl_DMU</v>
      </c>
      <c r="CA46" s="22" t="str">
        <f t="shared" si="76"/>
        <v>wagon_RAIL</v>
      </c>
      <c r="CB46" s="25" t="str" cm="1">
        <f t="array" ref="CB46">IF(AM46&lt;&gt;"na", _xlfn.CONCAT("{BLACK}Length: {GOLD}", TEXT(ROUNDUP(IF(AP46&lt;&gt;"",SUM(VALUE(_xlfn.TEXTSPLIT(AP46, ","))), SUM(VALUE(_xlfn.TEXTSPLIT(AM46, ",")))*IF(L46, L46, 1))/16, 1),"#,##0.0"), " tiles{}"), "")</f>
        <v/>
      </c>
      <c r="CC46" s="22" t="str">
        <f>VLOOKUP($CA46, Constants!$M:$N, 2, FALSE)</f>
        <v/>
      </c>
      <c r="CD46" s="22" t="str">
        <f t="shared" si="146"/>
        <v/>
      </c>
      <c r="CF46" s="22" t="str">
        <f t="shared" si="13"/>
        <v/>
      </c>
      <c r="CG46" s="22" t="str">
        <f t="shared" si="26"/>
        <v>{SILVER}</v>
      </c>
    </row>
    <row r="47" spans="1:85" x14ac:dyDescent="0.25">
      <c r="A47" t="s">
        <v>427</v>
      </c>
      <c r="B47" t="s">
        <v>458</v>
      </c>
      <c r="C47">
        <v>3562</v>
      </c>
      <c r="D47">
        <v>25</v>
      </c>
      <c r="E47" t="s">
        <v>488</v>
      </c>
      <c r="F47" t="s">
        <v>231</v>
      </c>
      <c r="G47" t="s">
        <v>26</v>
      </c>
      <c r="H47" t="s">
        <v>28</v>
      </c>
      <c r="I47">
        <v>1956</v>
      </c>
      <c r="J47">
        <v>1959</v>
      </c>
      <c r="K47">
        <v>1988</v>
      </c>
      <c r="L47">
        <v>2</v>
      </c>
      <c r="M47">
        <v>300</v>
      </c>
      <c r="V47">
        <f>30.5*2</f>
        <v>61</v>
      </c>
      <c r="X47">
        <v>5</v>
      </c>
      <c r="Y47">
        <v>65</v>
      </c>
      <c r="Z47" s="3">
        <f>IF(AND(V47&gt;0,Y47&gt;0),(Y47/((V47+W47)*10)),"")</f>
        <v>0.10655737704918032</v>
      </c>
      <c r="AA47">
        <v>70</v>
      </c>
      <c r="AB47">
        <f>ROUND(AA47*1.6, 0)</f>
        <v>112</v>
      </c>
      <c r="AE47">
        <v>17.53</v>
      </c>
      <c r="AF47">
        <v>17.53</v>
      </c>
      <c r="AH47">
        <v>3.84</v>
      </c>
      <c r="AI47" s="9">
        <v>54</v>
      </c>
      <c r="AJ47" s="14" t="str">
        <f>CONCATENATE(VLOOKUP(AK47, 'Voxel Sizes'!$A$2:$B$18,2,FALSE),"x",INT(AG47*15), "x", INT(AH47*15))</f>
        <v>164x0x57</v>
      </c>
      <c r="AK47" s="14">
        <f t="shared" ref="AK47" si="169">ROUND(15*((AF47*10)/256),0)</f>
        <v>10</v>
      </c>
      <c r="AM47" s="14" t="str">
        <f>CONCATENATE(VLOOKUP(AK47,Constants!$A$2:$C$16,IF(AL47&lt;&gt;"", 3, 2), FALSE),IF(AL47&lt;&gt;"",CONCATENATE(",",VLOOKUP(AL47,$B:$AM,38,FALSE)),""))</f>
        <v>4,2,4</v>
      </c>
      <c r="AQ47" t="s">
        <v>457</v>
      </c>
      <c r="AS47" t="s">
        <v>431</v>
      </c>
      <c r="AW47">
        <v>45</v>
      </c>
      <c r="AX47" s="14">
        <v>45</v>
      </c>
      <c r="AY47">
        <v>-13</v>
      </c>
      <c r="AZ47">
        <v>-22</v>
      </c>
      <c r="BA47" s="16">
        <f>MIN(AA47/150, 1)*30</f>
        <v>14</v>
      </c>
      <c r="BB47" s="16">
        <f>MIN(M47/4000, 1)*20</f>
        <v>1.5</v>
      </c>
      <c r="BC47" s="16">
        <f>MIN(Y47/400,1)*20</f>
        <v>3.25</v>
      </c>
      <c r="BD47" s="17">
        <f>1-(MAX(I47-1900, 0)/750)</f>
        <v>0.92533333333333334</v>
      </c>
      <c r="BE47" s="16">
        <f>((MAX($L47,1)*MIN($AI47/300,1)))*IF(F47="Wagon",50,10)</f>
        <v>3.5999999999999996</v>
      </c>
      <c r="BF47" s="16">
        <f>VLOOKUP($G47,Constants!$I:$K, 2, FALSE)</f>
        <v>1</v>
      </c>
      <c r="BG47" s="16">
        <f>VLOOKUP($G47,Constants!$I:$K, 3, FALSE)*IF(AND(F47="multiple_unit",AA47&lt;110),0.75,1)</f>
        <v>1.5</v>
      </c>
      <c r="BH47" s="16">
        <f>INT(POWER(((Constants!$G$2+$BA47+$BB47+$BC47+$BE47)*$BD47)*$BG47, 1.05))+$AZ47</f>
        <v>23</v>
      </c>
      <c r="BI47" s="16">
        <f>INT(POWER((((Constants!$G$1+$BA47+$BB47+$BC47+$BE47)*($BD47))*$BF47),IF($F47="wagon",1,1.2)))+$AY47</f>
        <v>57</v>
      </c>
      <c r="BJ47" s="19">
        <f>BH47*IF($F47="wagon",62.5,781.25)</f>
        <v>17968.75</v>
      </c>
      <c r="BK47" s="19">
        <f>BI47*IF($F47="wagon",2.73,81.25)</f>
        <v>4631.25</v>
      </c>
      <c r="BT47">
        <v>11</v>
      </c>
      <c r="BU47">
        <v>185</v>
      </c>
      <c r="BV47" t="s">
        <v>142</v>
      </c>
      <c r="BW47" t="s">
        <v>34</v>
      </c>
      <c r="BX47" t="s">
        <v>55</v>
      </c>
      <c r="BY47" t="s">
        <v>66</v>
      </c>
      <c r="BZ47" t="str">
        <f>CONCATENATE(BX47,"_",BY47)</f>
        <v>dsl_DMU</v>
      </c>
      <c r="CA47" t="str">
        <f>_xlfn.CONCAT(G47, "_",H47)</f>
        <v>diesel_RAIL</v>
      </c>
      <c r="CB47" s="25" t="str" cm="1">
        <f t="array" ref="CB47">IF(AM47&lt;&gt;"na", _xlfn.CONCAT("{BLACK}Length: {GOLD}", TEXT(ROUNDUP(IF(AP47&lt;&gt;"",SUM(VALUE(_xlfn.TEXTSPLIT(AP47, ","))), SUM(VALUE(_xlfn.TEXTSPLIT(AM47, ",")))*IF(L47, L47, 1))/16, 1),"#,##0.0"), " tiles{}"), "")</f>
        <v>{BLACK}Length: {GOLD}1.3 tiles{}</v>
      </c>
      <c r="CC47" s="22" t="str">
        <f>VLOOKUP($CA47, Constants!$M:$N, 2, FALSE)</f>
        <v>{BLACK}Powered by: {GOLD}Diesel</v>
      </c>
      <c r="CD47" s="22" t="str">
        <f t="shared" si="146"/>
        <v>{BLACK}Cars: {GOLD}2</v>
      </c>
      <c r="CE47" t="s">
        <v>456</v>
      </c>
      <c r="CF47" s="22" t="str">
        <f t="shared" si="13"/>
        <v/>
      </c>
      <c r="CG47" s="22" t="str">
        <f t="shared" si="26"/>
        <v>{BLACK}Powered by: {GOLD}Diesel {BLACK}Cars: {GOLD}2{}{BLACK}Length: {GOLD}1.3 tiles{}{SILVER}The Class 105 had a long and hard life on British Railways, mostly around the Eastern Region. Sadly this meant few survived in a viable condition for preservation.</v>
      </c>
    </row>
    <row r="48" spans="1:85" x14ac:dyDescent="0.25">
      <c r="A48" t="s">
        <v>232</v>
      </c>
      <c r="B48" t="s">
        <v>233</v>
      </c>
      <c r="C48">
        <v>3592</v>
      </c>
      <c r="D48">
        <v>26</v>
      </c>
      <c r="E48" t="s">
        <v>488</v>
      </c>
      <c r="F48" t="s">
        <v>231</v>
      </c>
      <c r="G48" t="s">
        <v>26</v>
      </c>
      <c r="H48" t="s">
        <v>28</v>
      </c>
      <c r="I48">
        <v>1959</v>
      </c>
      <c r="J48">
        <v>1961</v>
      </c>
      <c r="K48">
        <v>1999</v>
      </c>
      <c r="L48">
        <v>3</v>
      </c>
      <c r="M48">
        <v>600</v>
      </c>
      <c r="V48">
        <f>36.6+36.6+30.5</f>
        <v>103.7</v>
      </c>
      <c r="X48">
        <v>6</v>
      </c>
      <c r="Y48">
        <v>83</v>
      </c>
      <c r="Z48" s="3">
        <f>IF(AND(V48&gt;0,Y48&gt;0),(Y48/((V48+W48)*10)),"")</f>
        <v>8.0038572806171646E-2</v>
      </c>
      <c r="AA48">
        <v>70</v>
      </c>
      <c r="AB48">
        <f>ROUND(AA48*1.6, 0)</f>
        <v>112</v>
      </c>
      <c r="AE48">
        <v>19.5</v>
      </c>
      <c r="AF48">
        <v>19.5</v>
      </c>
      <c r="AH48">
        <v>3.77</v>
      </c>
      <c r="AI48" s="9">
        <v>60</v>
      </c>
      <c r="AJ48" s="14" t="str">
        <f>CONCATENATE(VLOOKUP(AK48, 'Voxel Sizes'!$A$2:$B$18,2,FALSE),"x",INT(AG48*15), "x", INT(AH48*15))</f>
        <v>186x0x56</v>
      </c>
      <c r="AK48" s="14">
        <f>ROUND(15*((AF48*10)/256),0)</f>
        <v>11</v>
      </c>
      <c r="AM48" s="14" t="str">
        <f>CONCATENATE(VLOOKUP(AK48,Constants!$A$2:$C$16,IF(AL48&lt;&gt;"", 3, 2), FALSE),IF(AL48&lt;&gt;"",CONCATENATE(",",VLOOKUP(AL48,$B:$AM,38,FALSE)),""))</f>
        <v>4,3,4</v>
      </c>
      <c r="AQ48" t="s">
        <v>234</v>
      </c>
      <c r="AS48" t="s">
        <v>37</v>
      </c>
      <c r="AW48">
        <v>42</v>
      </c>
      <c r="AX48" s="14">
        <f>IF(K48&lt;&gt;"",MAX(16,(K48-I48)+8),"")</f>
        <v>48</v>
      </c>
      <c r="AY48">
        <v>-10</v>
      </c>
      <c r="AZ48">
        <v>-15</v>
      </c>
      <c r="BA48" s="16">
        <f>MIN(AA48/150, 1)*30</f>
        <v>14</v>
      </c>
      <c r="BB48" s="16">
        <f>MIN(M48/4000, 1)*20</f>
        <v>3</v>
      </c>
      <c r="BC48" s="16">
        <f>MIN(Y48/400,1)*20</f>
        <v>4.1499999999999995</v>
      </c>
      <c r="BD48" s="17">
        <f>1-(MAX(I48-1900, 0)/750)</f>
        <v>0.92133333333333334</v>
      </c>
      <c r="BE48" s="16">
        <f>((MAX($L48,1)*MIN($AI48/300,1)))*IF(F48="Wagon",50,10)</f>
        <v>6.0000000000000009</v>
      </c>
      <c r="BF48" s="16">
        <f>VLOOKUP($G48,Constants!$I:$K, 2, FALSE)</f>
        <v>1</v>
      </c>
      <c r="BG48" s="16">
        <f>VLOOKUP($G48,Constants!$I:$K, 3, FALSE)*IF(AND(F48="multiple_unit",AA48&lt;110),0.75,1)</f>
        <v>1.5</v>
      </c>
      <c r="BH48" s="16">
        <f>INT(POWER(((Constants!$G$2+$BA48+$BB48+$BC48+$BE48)*$BD48)*$BG48, 1.05))+$AZ48</f>
        <v>38</v>
      </c>
      <c r="BI48" s="16">
        <f>INT(POWER((((Constants!$G$1+$BA48+$BB48+$BC48+$BE48)*($BD48))*$BF48),IF($F48="wagon",1,1.2)))+$AY48</f>
        <v>70</v>
      </c>
      <c r="BJ48" s="19">
        <f>BH48*IF($F48="wagon",62.5,781.25)</f>
        <v>29687.5</v>
      </c>
      <c r="BK48" s="19">
        <f>BI48*IF($F48="wagon",2.73,81.25)</f>
        <v>5687.5</v>
      </c>
      <c r="BT48">
        <v>5</v>
      </c>
      <c r="BV48" t="s">
        <v>142</v>
      </c>
      <c r="BW48" t="s">
        <v>34</v>
      </c>
      <c r="BX48" s="22" t="str">
        <f>VLOOKUP(I48,Eras!$A$2:$C$10, 2, TRUE)</f>
        <v>dsl</v>
      </c>
      <c r="BY48" t="s">
        <v>66</v>
      </c>
      <c r="BZ48" s="22" t="str">
        <f>CONCATENATE(BX48,"_",BY48)</f>
        <v>dsl_DMU</v>
      </c>
      <c r="CA48" s="22" t="str">
        <f>_xlfn.CONCAT(G48, "_",H48)</f>
        <v>diesel_RAIL</v>
      </c>
      <c r="CB48" s="25" t="str" cm="1">
        <f t="array" ref="CB48">IF(AM48&lt;&gt;"na", _xlfn.CONCAT("{BLACK}Length: {GOLD}", TEXT(ROUNDUP(IF(AP48&lt;&gt;"",SUM(VALUE(_xlfn.TEXTSPLIT(AP48, ","))), SUM(VALUE(_xlfn.TEXTSPLIT(AM48, ",")))*IF(L48, L48, 1))/16, 1),"#,##0.0"), " tiles{}"), "")</f>
        <v>{BLACK}Length: {GOLD}2.1 tiles{}</v>
      </c>
      <c r="CC48" s="22" t="str">
        <f>VLOOKUP($CA48, Constants!$M:$N, 2, FALSE)</f>
        <v>{BLACK}Powered by: {GOLD}Diesel</v>
      </c>
      <c r="CD48" s="22" t="str">
        <f t="shared" si="146"/>
        <v>{BLACK}Cars: {GOLD}3</v>
      </c>
      <c r="CE48" t="s">
        <v>235</v>
      </c>
      <c r="CF48" s="22" t="str">
        <f t="shared" si="13"/>
        <v/>
      </c>
      <c r="CG48" s="22" t="str">
        <f t="shared" si="26"/>
        <v>{BLACK}Powered by: {GOLD}Diesel {BLACK}Cars: {GOLD}3{}{BLACK}Length: {GOLD}2.1 tiles{}{SILVER}The Class 117 was built under licence by Pressed Steel, being a variant of the Class 116 built by BRCW Derby.</v>
      </c>
    </row>
    <row r="49" spans="1:85" ht="13.15" customHeight="1" x14ac:dyDescent="0.25">
      <c r="A49" t="s">
        <v>346</v>
      </c>
      <c r="B49" t="s">
        <v>347</v>
      </c>
      <c r="C49">
        <v>3491</v>
      </c>
      <c r="D49">
        <v>27</v>
      </c>
      <c r="E49" t="s">
        <v>488</v>
      </c>
      <c r="F49" t="s">
        <v>231</v>
      </c>
      <c r="G49" t="s">
        <v>38</v>
      </c>
      <c r="H49" t="s">
        <v>315</v>
      </c>
      <c r="I49">
        <v>1949</v>
      </c>
      <c r="K49">
        <v>1971</v>
      </c>
      <c r="L49">
        <v>4</v>
      </c>
      <c r="M49">
        <v>900</v>
      </c>
      <c r="V49">
        <v>135</v>
      </c>
      <c r="X49">
        <v>3</v>
      </c>
      <c r="Y49">
        <v>120</v>
      </c>
      <c r="Z49" s="3">
        <f t="shared" si="65"/>
        <v>8.8888888888888892E-2</v>
      </c>
      <c r="AA49">
        <v>75</v>
      </c>
      <c r="AB49">
        <f t="shared" si="64"/>
        <v>120</v>
      </c>
      <c r="AE49">
        <v>19.600000000000001</v>
      </c>
      <c r="AF49">
        <v>19.600000000000001</v>
      </c>
      <c r="AG49">
        <v>2.82</v>
      </c>
      <c r="AI49" s="9">
        <v>69</v>
      </c>
      <c r="AJ49" s="14" t="str">
        <f>CONCATENATE(VLOOKUP(AK49, 'Voxel Sizes'!$A$2:$B$18,2,FALSE),"x",INT(AG49*15), "x", INT(AH49*15))</f>
        <v>186x42x0</v>
      </c>
      <c r="AK49" s="14">
        <f t="shared" si="66"/>
        <v>11</v>
      </c>
      <c r="AM49" s="14" t="str">
        <f>CONCATENATE(VLOOKUP(AK49,Constants!$A$2:$C$16,IF(AL49&lt;&gt;"", 3, 2), FALSE),IF(AL49&lt;&gt;"",CONCATENATE(",",VLOOKUP(AL49,$B:$AM,38,FALSE)),""))</f>
        <v>4,3,4</v>
      </c>
      <c r="AQ49" t="s">
        <v>348</v>
      </c>
      <c r="AS49" t="s">
        <v>349</v>
      </c>
      <c r="AW49">
        <v>23</v>
      </c>
      <c r="AX49" s="14">
        <f t="shared" si="67"/>
        <v>30</v>
      </c>
      <c r="AY49">
        <v>-10</v>
      </c>
      <c r="AZ49">
        <v>-15</v>
      </c>
      <c r="BA49" s="16">
        <f t="shared" si="68"/>
        <v>15</v>
      </c>
      <c r="BB49" s="16">
        <f t="shared" si="69"/>
        <v>4.5</v>
      </c>
      <c r="BC49" s="16">
        <f t="shared" si="70"/>
        <v>6</v>
      </c>
      <c r="BD49" s="17">
        <f t="shared" si="71"/>
        <v>0.93466666666666665</v>
      </c>
      <c r="BE49" s="16">
        <f t="shared" si="72"/>
        <v>9.2000000000000011</v>
      </c>
      <c r="BF49" s="16">
        <f>VLOOKUP($G49,Constants!$I:$K, 2, FALSE)</f>
        <v>0.85</v>
      </c>
      <c r="BG49" s="16">
        <f>VLOOKUP($G49,Constants!$I:$K, 3, FALSE)*IF(AND(F49="multiple_unit",AA49&lt;110),0.75,1)</f>
        <v>1.7249999999999999</v>
      </c>
      <c r="BH49" s="16">
        <f>INT(POWER(((Constants!$G$2+$BA49+$BB49+$BC49+$BE49)*$BD49)*$BG49, 1.05))+$AZ49</f>
        <v>63</v>
      </c>
      <c r="BI49" s="16">
        <f>INT(POWER((((Constants!$G$1+$BA49+$BB49+$BC49+$BE49)*($BD49))*$BF49),IF($F49="wagon",1,1.2)))+$AY49</f>
        <v>72</v>
      </c>
      <c r="BJ49" s="19">
        <f t="shared" si="73"/>
        <v>49218.75</v>
      </c>
      <c r="BK49" s="19">
        <f t="shared" si="74"/>
        <v>5850</v>
      </c>
      <c r="BT49">
        <v>8</v>
      </c>
      <c r="BU49">
        <v>165</v>
      </c>
      <c r="BV49" t="s">
        <v>142</v>
      </c>
      <c r="BW49" t="s">
        <v>34</v>
      </c>
      <c r="BX49" s="22" t="str">
        <f>VLOOKUP(I49,Eras!$A$2:$C$10, 2, TRUE)</f>
        <v>ebr</v>
      </c>
      <c r="BY49" t="s">
        <v>66</v>
      </c>
      <c r="BZ49" s="22" t="str">
        <f t="shared" si="75"/>
        <v>ebr_DMU</v>
      </c>
      <c r="CA49" s="22" t="str">
        <f t="shared" si="76"/>
        <v>electric_THIRD_RAIL</v>
      </c>
      <c r="CB49" s="25" t="str" cm="1">
        <f t="array" ref="CB49">IF(AM49&lt;&gt;"na", _xlfn.CONCAT("{BLACK}Length: {GOLD}", TEXT(ROUNDUP(IF(AP49&lt;&gt;"",SUM(VALUE(_xlfn.TEXTSPLIT(AP49, ","))), SUM(VALUE(_xlfn.TEXTSPLIT(AM49, ",")))*IF(L49, L49, 1))/16, 1),"#,##0.0"), " tiles{}"), "")</f>
        <v>{BLACK}Length: {GOLD}2.8 tiles{}</v>
      </c>
      <c r="CC49" s="22" t="str">
        <f>VLOOKUP($CA49, Constants!$M:$N, 2, FALSE)</f>
        <v>{BLACK}Powered by: {GOLD}750V DC</v>
      </c>
      <c r="CD49" s="22" t="str">
        <f t="shared" si="146"/>
        <v>{BLACK}Cars: {GOLD}4</v>
      </c>
      <c r="CE49" t="s">
        <v>350</v>
      </c>
      <c r="CF49" s="22" t="str">
        <f t="shared" si="13"/>
        <v>{YELLOW}10% Penalty for long distance travel{}</v>
      </c>
      <c r="CG49" s="22" t="str">
        <f t="shared" si="26"/>
        <v>{BLACK}Powered by: {GOLD}750V DC {BLACK}Cars: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50" spans="1:85" x14ac:dyDescent="0.25">
      <c r="A50" t="s">
        <v>374</v>
      </c>
      <c r="B50" t="s">
        <v>372</v>
      </c>
      <c r="C50">
        <v>3591</v>
      </c>
      <c r="D50">
        <v>28</v>
      </c>
      <c r="E50" t="s">
        <v>488</v>
      </c>
      <c r="F50" t="s">
        <v>231</v>
      </c>
      <c r="G50" t="s">
        <v>26</v>
      </c>
      <c r="H50" t="s">
        <v>28</v>
      </c>
      <c r="I50">
        <v>1959</v>
      </c>
      <c r="K50">
        <v>1991</v>
      </c>
      <c r="L50">
        <v>1</v>
      </c>
      <c r="M50">
        <v>460</v>
      </c>
      <c r="V50">
        <v>41</v>
      </c>
      <c r="X50">
        <v>6</v>
      </c>
      <c r="Y50">
        <v>65</v>
      </c>
      <c r="Z50" s="3">
        <f t="shared" si="65"/>
        <v>0.15853658536585366</v>
      </c>
      <c r="AA50">
        <v>70</v>
      </c>
      <c r="AB50">
        <f t="shared" si="64"/>
        <v>112</v>
      </c>
      <c r="AD50">
        <v>1</v>
      </c>
      <c r="AE50">
        <v>19.66</v>
      </c>
      <c r="AF50">
        <v>19.66</v>
      </c>
      <c r="AH50">
        <v>3.77</v>
      </c>
      <c r="AI50" s="9">
        <v>72</v>
      </c>
      <c r="AJ50" s="14" t="str">
        <f>CONCATENATE(VLOOKUP(AK50, 'Voxel Sizes'!$A$2:$B$18,2,FALSE),"x",INT(AG50*15), "x", INT(AH50*15))</f>
        <v>198x0x56</v>
      </c>
      <c r="AK50" s="14">
        <f t="shared" si="66"/>
        <v>12</v>
      </c>
      <c r="AM50" s="14" t="str">
        <f>CONCATENATE(VLOOKUP(AK50,Constants!$A$2:$C$16,IF(AL50&lt;&gt;"", 3, 2), FALSE),IF(AL50&lt;&gt;"",CONCATENATE(",",VLOOKUP(AL50,$B:$AM,38,FALSE)),""))</f>
        <v>4,4,4</v>
      </c>
      <c r="AQ50" t="s">
        <v>372</v>
      </c>
      <c r="AS50">
        <v>1</v>
      </c>
      <c r="AW50">
        <v>45</v>
      </c>
      <c r="AX50" s="14">
        <f t="shared" si="67"/>
        <v>40</v>
      </c>
      <c r="AY50">
        <v>-10</v>
      </c>
      <c r="AZ50">
        <v>-15</v>
      </c>
      <c r="BA50" s="16">
        <f t="shared" si="68"/>
        <v>14</v>
      </c>
      <c r="BB50" s="16">
        <f t="shared" si="69"/>
        <v>2.3000000000000003</v>
      </c>
      <c r="BC50" s="16">
        <f t="shared" si="70"/>
        <v>3.25</v>
      </c>
      <c r="BD50" s="17">
        <f t="shared" si="71"/>
        <v>0.92133333333333334</v>
      </c>
      <c r="BE50" s="16">
        <f t="shared" si="72"/>
        <v>2.4</v>
      </c>
      <c r="BF50" s="16">
        <f>VLOOKUP($G50,Constants!$I:$K, 2, FALSE)</f>
        <v>1</v>
      </c>
      <c r="BG50" s="16">
        <f>VLOOKUP($G50,Constants!$I:$K, 3, FALSE)*IF(AND(F50="multiple_unit",AA50&lt;110),0.75,1)</f>
        <v>1.5</v>
      </c>
      <c r="BH50" s="16">
        <f>INT(POWER(((Constants!$G$2+$BA50+$BB50+$BC50+$BE50)*$BD50)*$BG50, 1.05))+$AZ50</f>
        <v>29</v>
      </c>
      <c r="BI50" s="16">
        <f>INT(POWER((((Constants!$G$1+$BA50+$BB50+$BC50+$BE50)*($BD50))*$BF50),IF($F50="wagon",1,1.2)))+$AY50</f>
        <v>58</v>
      </c>
      <c r="BJ50" s="19">
        <f t="shared" si="73"/>
        <v>22656.25</v>
      </c>
      <c r="BK50" s="19">
        <f t="shared" si="74"/>
        <v>4712.5</v>
      </c>
      <c r="BT50">
        <v>4</v>
      </c>
      <c r="BU50">
        <v>185</v>
      </c>
      <c r="BW50" t="s">
        <v>280</v>
      </c>
      <c r="BX50" s="22" t="str">
        <f>VLOOKUP(I50,Eras!$A$2:$C$10, 2, TRUE)</f>
        <v>dsl</v>
      </c>
      <c r="BY50" t="s">
        <v>66</v>
      </c>
      <c r="BZ50" s="22" t="str">
        <f t="shared" si="75"/>
        <v>dsl_DMU</v>
      </c>
      <c r="CA50" s="22" t="str">
        <f t="shared" si="76"/>
        <v>diesel_RAIL</v>
      </c>
      <c r="CB50" s="25" t="str" cm="1">
        <f t="array" ref="CB50">IF(AM50&lt;&gt;"na", _xlfn.CONCAT("{BLACK}Length: {GOLD}", TEXT(ROUNDUP(IF(AP50&lt;&gt;"",SUM(VALUE(_xlfn.TEXTSPLIT(AP50, ","))), SUM(VALUE(_xlfn.TEXTSPLIT(AM50, ",")))*IF(L50, L50, 1))/16, 1),"#,##0.0"), " tiles{}"), "")</f>
        <v>{BLACK}Length: {GOLD}0.8 tiles{}</v>
      </c>
      <c r="CC50" s="22" t="str">
        <f>VLOOKUP($CA50, Constants!$M:$N, 2, FALSE)</f>
        <v>{BLACK}Powered by: {GOLD}Diesel</v>
      </c>
      <c r="CD50" s="22" t="str">
        <f t="shared" si="146"/>
        <v/>
      </c>
      <c r="CE50" t="s">
        <v>373</v>
      </c>
      <c r="CF50" s="22" t="str">
        <f t="shared" si="13"/>
        <v/>
      </c>
      <c r="CG50" s="22" t="str">
        <f t="shared" si="26"/>
        <v>{BLACK}Powered by: {GOLD}Diesel {}{BLACK}Length: {GOLD}0.8 tiles{}{SILVER}The Class 128 was built specifically for carrying parcels by the Gloucester Railway Carriage and Wagon Company.</v>
      </c>
    </row>
    <row r="51" spans="1:85" x14ac:dyDescent="0.25">
      <c r="A51" t="s">
        <v>392</v>
      </c>
      <c r="B51" t="s">
        <v>393</v>
      </c>
      <c r="C51">
        <v>4051</v>
      </c>
      <c r="D51">
        <v>29</v>
      </c>
      <c r="E51" t="s">
        <v>488</v>
      </c>
      <c r="F51" t="s">
        <v>231</v>
      </c>
      <c r="G51" t="s">
        <v>26</v>
      </c>
      <c r="H51" t="s">
        <v>28</v>
      </c>
      <c r="I51">
        <v>2005</v>
      </c>
      <c r="J51">
        <v>2006</v>
      </c>
      <c r="L51">
        <v>3</v>
      </c>
      <c r="M51">
        <f>750*3</f>
        <v>2250</v>
      </c>
      <c r="V51">
        <v>169</v>
      </c>
      <c r="X51">
        <v>5</v>
      </c>
      <c r="Y51">
        <v>185</v>
      </c>
      <c r="Z51" s="3">
        <f t="shared" si="65"/>
        <v>0.10946745562130178</v>
      </c>
      <c r="AA51">
        <v>100</v>
      </c>
      <c r="AB51">
        <f t="shared" si="64"/>
        <v>160</v>
      </c>
      <c r="AE51">
        <v>20.399999999999999</v>
      </c>
      <c r="AF51">
        <v>20.399999999999999</v>
      </c>
      <c r="AG51">
        <v>2.8</v>
      </c>
      <c r="AI51" s="9">
        <v>60</v>
      </c>
      <c r="AJ51" s="14" t="str">
        <f>CONCATENATE(VLOOKUP(AK51, 'Voxel Sizes'!$A$2:$B$18,2,FALSE),"x",INT(AG51*15), "x", INT(AH51*15))</f>
        <v>198x42x0</v>
      </c>
      <c r="AK51" s="14">
        <f t="shared" si="66"/>
        <v>12</v>
      </c>
      <c r="AM51" s="14" t="str">
        <f>CONCATENATE(VLOOKUP(AK51,Constants!$A$2:$C$16,IF(AL51&lt;&gt;"", 3, 2), FALSE),IF(AL51&lt;&gt;"",CONCATENATE(",",VLOOKUP(AL51,$B:$AM,38,FALSE)),""))</f>
        <v>4,4,4</v>
      </c>
      <c r="AN51">
        <v>4</v>
      </c>
      <c r="AQ51" t="s">
        <v>391</v>
      </c>
      <c r="AS51" t="s">
        <v>37</v>
      </c>
      <c r="AW51">
        <v>28</v>
      </c>
      <c r="AX51" s="14" t="str">
        <f t="shared" si="67"/>
        <v/>
      </c>
      <c r="AY51">
        <v>-12</v>
      </c>
      <c r="AZ51">
        <v>-30</v>
      </c>
      <c r="BA51" s="16">
        <f t="shared" si="68"/>
        <v>20</v>
      </c>
      <c r="BB51" s="16">
        <f t="shared" si="69"/>
        <v>11.25</v>
      </c>
      <c r="BC51" s="16">
        <f t="shared" si="70"/>
        <v>9.25</v>
      </c>
      <c r="BD51" s="17">
        <f t="shared" si="71"/>
        <v>0.86</v>
      </c>
      <c r="BE51" s="16">
        <f t="shared" si="72"/>
        <v>6.0000000000000009</v>
      </c>
      <c r="BF51" s="16">
        <f>VLOOKUP($G51,Constants!$I:$K, 2, FALSE)</f>
        <v>1</v>
      </c>
      <c r="BG51" s="16">
        <f>VLOOKUP($G51,Constants!$I:$K, 3, FALSE)*IF(AND(F51="multiple_unit",AA51&lt;110),0.75,1)</f>
        <v>1.5</v>
      </c>
      <c r="BH51" s="16">
        <f>INT(POWER(((Constants!$G$2+$BA51+$BB51+$BC51+$BE51)*$BD51)*$BG51, 1.05))+$AZ51</f>
        <v>51</v>
      </c>
      <c r="BI51" s="16">
        <f>INT(POWER((((Constants!$G$1+$BA51+$BB51+$BC51+$BE51)*($BD51))*$BF51),IF($F51="wagon",1,1.2)))+$AY51</f>
        <v>104</v>
      </c>
      <c r="BJ51" s="19">
        <f t="shared" si="73"/>
        <v>39843.75</v>
      </c>
      <c r="BK51" s="19">
        <f t="shared" si="74"/>
        <v>8450</v>
      </c>
      <c r="BT51">
        <v>3</v>
      </c>
      <c r="BU51">
        <v>185</v>
      </c>
      <c r="BV51" t="s">
        <v>142</v>
      </c>
      <c r="BW51" t="s">
        <v>34</v>
      </c>
      <c r="BX51" s="22" t="str">
        <f>VLOOKUP(I51,Eras!$A$2:$C$10, 2, TRUE)</f>
        <v>mod</v>
      </c>
      <c r="BY51" t="s">
        <v>68</v>
      </c>
      <c r="BZ51" s="22" t="str">
        <f t="shared" si="75"/>
        <v>mod_EMU</v>
      </c>
      <c r="CA51" s="22" t="str">
        <f t="shared" si="76"/>
        <v>diesel_RAIL</v>
      </c>
      <c r="CB51" s="25" t="str" cm="1">
        <f t="array" ref="CB51">IF(AM51&lt;&gt;"na", _xlfn.CONCAT("{BLACK}Length: {GOLD}", TEXT(ROUNDUP(IF(AP51&lt;&gt;"",SUM(VALUE(_xlfn.TEXTSPLIT(AP51, ","))), SUM(VALUE(_xlfn.TEXTSPLIT(AM51, ",")))*IF(L51, L51, 1))/16, 1),"#,##0.0"), " tiles{}"), "")</f>
        <v>{BLACK}Length: {GOLD}2.3 tiles{}</v>
      </c>
      <c r="CC51" s="22" t="str">
        <f>VLOOKUP($CA51, Constants!$M:$N, 2, FALSE)</f>
        <v>{BLACK}Powered by: {GOLD}Diesel</v>
      </c>
      <c r="CD51" s="22" t="str">
        <f t="shared" si="146"/>
        <v>{BLACK}Cars: {GOLD}3</v>
      </c>
      <c r="CE51" t="s">
        <v>394</v>
      </c>
      <c r="CF51" s="22" t="str">
        <f t="shared" si="13"/>
        <v/>
      </c>
      <c r="CG51" s="22" t="str">
        <f t="shared" si="26"/>
        <v>{BLACK}Powered by: {GOLD}Diesel {BLACK}Cars: {GOLD}3{}{BLACK}Length: {GOLD}2.3 tiles{}{SILVER}The Class 185 is a diesel version of the Siemens Desiro family. Each car has its own 6 cylinder engine, giving the unit high acceleration.</v>
      </c>
    </row>
    <row r="52" spans="1:85" x14ac:dyDescent="0.25">
      <c r="A52" t="s">
        <v>504</v>
      </c>
      <c r="B52" t="s">
        <v>501</v>
      </c>
      <c r="C52">
        <v>4231</v>
      </c>
      <c r="D52">
        <v>30</v>
      </c>
      <c r="E52" t="s">
        <v>488</v>
      </c>
      <c r="F52" t="s">
        <v>231</v>
      </c>
      <c r="G52" t="s">
        <v>38</v>
      </c>
      <c r="H52" t="s">
        <v>439</v>
      </c>
      <c r="I52">
        <v>2023</v>
      </c>
      <c r="L52">
        <v>5</v>
      </c>
      <c r="M52">
        <v>1800</v>
      </c>
      <c r="V52">
        <v>250</v>
      </c>
      <c r="X52">
        <v>5</v>
      </c>
      <c r="Y52">
        <v>190</v>
      </c>
      <c r="Z52" s="3">
        <f t="shared" si="65"/>
        <v>7.5999999999999998E-2</v>
      </c>
      <c r="AA52">
        <v>110</v>
      </c>
      <c r="AB52">
        <f t="shared" si="64"/>
        <v>176</v>
      </c>
      <c r="AE52">
        <v>22.7</v>
      </c>
      <c r="AF52">
        <v>22.7</v>
      </c>
      <c r="AI52" s="9">
        <v>81</v>
      </c>
      <c r="AJ52" s="14" t="str">
        <f>CONCATENATE(VLOOKUP(AK52, 'Voxel Sizes'!$A$2:$B$18,2,FALSE),"x",INT(AG52*15), "x", INT(AH52*15))</f>
        <v>214x0x0</v>
      </c>
      <c r="AK52" s="14">
        <f t="shared" ref="AK52" si="170">ROUND(15*((AF52*10)/256),0)</f>
        <v>13</v>
      </c>
      <c r="AM52" s="14" t="str">
        <f>CONCATENATE(VLOOKUP(AK52,Constants!$A$2:$C$16,IF(AL52&lt;&gt;"", 3, 2), FALSE),IF(AL52&lt;&gt;"",CONCATENATE(",",VLOOKUP(AL52,$B:$AM,38,FALSE)),""))</f>
        <v>4,5,4</v>
      </c>
      <c r="AN52">
        <v>4</v>
      </c>
      <c r="AQ52" t="s">
        <v>502</v>
      </c>
      <c r="AS52" t="s">
        <v>503</v>
      </c>
      <c r="AW52">
        <v>31</v>
      </c>
      <c r="AX52" s="14" t="str">
        <f t="shared" si="67"/>
        <v/>
      </c>
      <c r="AY52">
        <v>-12</v>
      </c>
      <c r="AZ52">
        <v>-30</v>
      </c>
      <c r="BA52" s="16">
        <f t="shared" ref="BA52" si="171">MIN(AA52/150, 1)*30</f>
        <v>22</v>
      </c>
      <c r="BB52" s="16">
        <f t="shared" ref="BB52" si="172">MIN(M52/4000, 1)*20</f>
        <v>9</v>
      </c>
      <c r="BC52" s="16">
        <f t="shared" ref="BC52" si="173">MIN(Y52/400,1)*20</f>
        <v>9.5</v>
      </c>
      <c r="BD52" s="17">
        <f t="shared" ref="BD52" si="174">1-(MAX(I52-1900, 0)/750)</f>
        <v>0.83599999999999997</v>
      </c>
      <c r="BE52" s="16">
        <f t="shared" ref="BE52" si="175">((MAX($L52,1)*MIN($AI52/300,1)))*IF(F52="Wagon",50,10)</f>
        <v>13.5</v>
      </c>
      <c r="BF52" s="16">
        <f>VLOOKUP($G52,Constants!$I:$K, 2, FALSE)</f>
        <v>0.85</v>
      </c>
      <c r="BG52" s="16">
        <f>VLOOKUP($G52,Constants!$I:$K, 3, FALSE)*IF(AND(F52="multiple_unit",AA52&lt;110),0.75,1)</f>
        <v>2.2999999999999998</v>
      </c>
      <c r="BH52" s="16">
        <f>INT(POWER(((Constants!$G$2+$BA52+$BB52+$BC52+$BE52)*$BD52)*$BG52, 1.05))+$AZ52</f>
        <v>113</v>
      </c>
      <c r="BI52" s="16">
        <f>INT(POWER((((Constants!$G$1+$BA52+$BB52+$BC52+$BE52)*($BD52))*$BF52),IF($F52="wagon",1,1.2)))+$AY52</f>
        <v>94</v>
      </c>
      <c r="BJ52" s="19">
        <f t="shared" ref="BJ52" si="176">BH52*IF($F52="wagon",62.5,781.25)</f>
        <v>88281.25</v>
      </c>
      <c r="BK52" s="19">
        <f t="shared" ref="BK52" si="177">BI52*IF($F52="wagon",2.73,81.25)</f>
        <v>7637.5</v>
      </c>
      <c r="BT52">
        <v>11</v>
      </c>
      <c r="BU52">
        <v>185</v>
      </c>
      <c r="BV52" t="s">
        <v>142</v>
      </c>
      <c r="BW52" t="s">
        <v>34</v>
      </c>
      <c r="BX52" s="22" t="str">
        <f>VLOOKUP(I52,Eras!$A$2:$C$10, 2, TRUE)</f>
        <v>mod</v>
      </c>
      <c r="BY52" t="s">
        <v>68</v>
      </c>
      <c r="BZ52" s="22" t="str">
        <f t="shared" ref="BZ52" si="178">CONCATENATE(BX52,"_",BY52)</f>
        <v>mod_EMU</v>
      </c>
      <c r="CA52" s="22" t="str">
        <f t="shared" ref="CA52" si="179">_xlfn.CONCAT(G52, "_",H52)</f>
        <v>electric_ELRL</v>
      </c>
      <c r="CB52" s="25" t="str" cm="1">
        <f t="array" ref="CB52">IF(AM52&lt;&gt;"na", _xlfn.CONCAT("{BLACK}Length: {GOLD}", TEXT(ROUNDUP(IF(AP52&lt;&gt;"",SUM(VALUE(_xlfn.TEXTSPLIT(AP52, ","))), SUM(VALUE(_xlfn.TEXTSPLIT(AM52, ",")))*IF(L52, L52, 1))/16, 1),"#,##0.0"), " tiles{}"), "")</f>
        <v>{BLACK}Length: {GOLD}4.1 tiles{}</v>
      </c>
      <c r="CC52" s="22" t="str">
        <f>VLOOKUP($CA52, Constants!$M:$N, 2, FALSE)</f>
        <v>{BLACK}Powered by: {GOLD}25kV AC</v>
      </c>
      <c r="CD52" s="22" t="str">
        <f t="shared" ref="CD52" si="180">IF(AND(L52&gt;1,BN52&lt;&gt;1),_xlfn.CONCAT("{BLACK}Cars: {GOLD}", L52),"")</f>
        <v>{BLACK}Cars: {GOLD}5</v>
      </c>
      <c r="CE52" t="s">
        <v>505</v>
      </c>
      <c r="CF52" s="22" t="str">
        <f t="shared" ref="CF52" si="181">IF(BW52="DANDY","{YELLOW}Faster downhill speeds for horse-drawn trains (1 required per 2 horses){}",IF(BW52="BRAKE","{YELLOW}Speed bonus for slow wagons{}",IF(BV52="NGPassengers","{YELLOW}Preserved railway bonus: passengers pay more when hauled by old locomotives{}",IF(AND(BU52&gt;190,NOT(AND(H52="NARROW_GAUGE",BW52&lt;&gt;"PASS"))),CONCATENATE("{YELLOW}",INT((BU52-185)/1.85),"% Bonus for long distance travel{}"),IF(AND(BU52&lt;180,BU52&lt;&gt;0),CONCATENATE("{YELLOW}",INT((185-BU52)/1.85),"% Penalty for long distance travel{}"),"")))))</f>
        <v/>
      </c>
      <c r="CG52" s="22" t="str">
        <f t="shared" si="26"/>
        <v>{BLACK}Powered by: {GOLD}25kV AC {BLACK}Cars: {GOLD}5{}{BLACK}Length: {GOLD}4.1 tiles{}{SILVER}The 730/2 is the longer and faster variant of the Class 730 units built for West Midlands Trains, serving on their London Northwestern Railway routes over the West Coast Main Line.</v>
      </c>
    </row>
    <row r="53" spans="1:85" x14ac:dyDescent="0.25">
      <c r="A53" t="s">
        <v>433</v>
      </c>
      <c r="B53" t="s">
        <v>434</v>
      </c>
      <c r="C53">
        <v>706</v>
      </c>
      <c r="D53">
        <v>-1</v>
      </c>
      <c r="F53" t="s">
        <v>15</v>
      </c>
      <c r="G53" t="s">
        <v>162</v>
      </c>
      <c r="H53" t="s">
        <v>28</v>
      </c>
      <c r="Z53" s="3" t="str">
        <f t="shared" ref="Z53:Z59" si="182">IF(AND(V53&gt;0,Y53&gt;0),(Y53/((V53+W53)*10)),"")</f>
        <v/>
      </c>
      <c r="AB53">
        <f t="shared" si="64"/>
        <v>0</v>
      </c>
      <c r="AJ53" t="s">
        <v>447</v>
      </c>
      <c r="AK53">
        <f t="shared" ref="AK53:AK59" si="183">ROUND(15*((AF53*10)/256),0)</f>
        <v>0</v>
      </c>
      <c r="AM53" s="14" t="str">
        <f>CONCATENATE(VLOOKUP(AK53,Constants!$A$2:$C$16,IF(AL53&lt;&gt;"", 3, 2), FALSE),IF(AL53&lt;&gt;"",CONCATENATE(",",VLOOKUP(AL53,$B:$AM,38,FALSE)),""))</f>
        <v>na</v>
      </c>
      <c r="AW53">
        <v>30</v>
      </c>
      <c r="AX53" s="14" t="str">
        <f t="shared" ref="AX53:AX59" si="184">IF(K53&lt;&gt;"",MAX(16,(K53-I53)+8),"")</f>
        <v/>
      </c>
      <c r="BA53">
        <f t="shared" ref="BA53:BA59" si="185">MIN(AA53/150, 1)*30</f>
        <v>0</v>
      </c>
      <c r="BB53">
        <f t="shared" ref="BB53:BB59" si="186">MIN(M53/4000, 1)*20</f>
        <v>0</v>
      </c>
      <c r="BC53">
        <f t="shared" ref="BC53:BC59" si="187">MIN(Y53/400,1)*20</f>
        <v>0</v>
      </c>
      <c r="BD53" s="3">
        <f t="shared" ref="BD53:BD59" si="188">1-(MAX(I53-1900, 0)/750)</f>
        <v>1</v>
      </c>
      <c r="BE53">
        <f t="shared" ref="BE53:BE88" si="189">((MAX($L53,1)*MIN($AI53/300,1)))*IF(F53="Wagon",50,10)</f>
        <v>0</v>
      </c>
      <c r="BF53">
        <v>0.9</v>
      </c>
      <c r="BG53">
        <v>1.6</v>
      </c>
      <c r="BH53">
        <v>8</v>
      </c>
      <c r="BI53">
        <v>22</v>
      </c>
      <c r="BJ53" s="23">
        <f t="shared" ref="BJ53:BJ88" si="190">BH53*IF($F53="wagon",62.5,781.25)</f>
        <v>6250</v>
      </c>
      <c r="BK53" s="23">
        <f t="shared" ref="BK53:BK88" si="191">BI53*IF($F53="wagon",2.73,81.25)</f>
        <v>1787.5</v>
      </c>
      <c r="BT53">
        <v>4</v>
      </c>
      <c r="BX53" t="s">
        <v>55</v>
      </c>
      <c r="BZ53" t="str">
        <f t="shared" ref="BZ53:BZ59" si="192">CONCATENATE(BX53,"_",BY53)</f>
        <v>dsl_</v>
      </c>
      <c r="CA53" t="str">
        <f t="shared" ref="CA53:CA59" si="193">_xlfn.CONCAT(G53, "_",H53)</f>
        <v>tube_RAIL</v>
      </c>
      <c r="CB53" s="25" t="str" cm="1">
        <f t="array" ref="CB53">IF(AM53&lt;&gt;"na", _xlfn.CONCAT("{BLACK}Length: {GOLD}", TEXT(ROUNDUP(IF(AP53&lt;&gt;"",SUM(VALUE(_xlfn.TEXTSPLIT(AP53, ","))), SUM(VALUE(_xlfn.TEXTSPLIT(AM53, ",")))*IF(L53, L53, 1))/16, 1),"#,##0.0"), " tiles{}"), "")</f>
        <v/>
      </c>
      <c r="CC53" s="22" t="str">
        <f>VLOOKUP($CA53, Constants!$M:$N, 2, FALSE)</f>
        <v/>
      </c>
      <c r="CD53" s="22" t="str">
        <f t="shared" si="146"/>
        <v/>
      </c>
      <c r="CF53" s="22" t="str">
        <f t="shared" si="13"/>
        <v/>
      </c>
      <c r="CG53" s="22" t="str">
        <f t="shared" si="26"/>
        <v>{SILVER}</v>
      </c>
    </row>
    <row r="54" spans="1:85" x14ac:dyDescent="0.25">
      <c r="A54" t="s">
        <v>435</v>
      </c>
      <c r="B54" t="s">
        <v>436</v>
      </c>
      <c r="C54">
        <v>710</v>
      </c>
      <c r="D54">
        <v>-1</v>
      </c>
      <c r="F54" t="s">
        <v>15</v>
      </c>
      <c r="G54" t="s">
        <v>162</v>
      </c>
      <c r="H54" t="s">
        <v>28</v>
      </c>
      <c r="Z54" s="3" t="str">
        <f t="shared" si="182"/>
        <v/>
      </c>
      <c r="AB54">
        <f t="shared" si="64"/>
        <v>0</v>
      </c>
      <c r="AJ54" t="s">
        <v>447</v>
      </c>
      <c r="AK54">
        <f t="shared" si="183"/>
        <v>0</v>
      </c>
      <c r="AM54" s="14" t="str">
        <f>CONCATENATE(VLOOKUP(AK54,Constants!$A$2:$C$16,IF(AL54&lt;&gt;"", 3, 2), FALSE),IF(AL54&lt;&gt;"",CONCATENATE(",",VLOOKUP(AL54,$B:$AM,38,FALSE)),""))</f>
        <v>na</v>
      </c>
      <c r="AW54">
        <v>30</v>
      </c>
      <c r="AX54" s="14" t="str">
        <f t="shared" si="184"/>
        <v/>
      </c>
      <c r="BA54">
        <f t="shared" si="185"/>
        <v>0</v>
      </c>
      <c r="BB54">
        <f t="shared" si="186"/>
        <v>0</v>
      </c>
      <c r="BC54">
        <f t="shared" si="187"/>
        <v>0</v>
      </c>
      <c r="BD54" s="3">
        <f t="shared" si="188"/>
        <v>1</v>
      </c>
      <c r="BE54">
        <f t="shared" si="189"/>
        <v>0</v>
      </c>
      <c r="BF54">
        <v>0.9</v>
      </c>
      <c r="BG54">
        <v>1.6</v>
      </c>
      <c r="BH54">
        <v>8</v>
      </c>
      <c r="BI54">
        <v>22</v>
      </c>
      <c r="BJ54" s="23">
        <f t="shared" si="190"/>
        <v>6250</v>
      </c>
      <c r="BK54" s="23">
        <f t="shared" si="191"/>
        <v>1787.5</v>
      </c>
      <c r="BT54">
        <v>6</v>
      </c>
      <c r="BU54">
        <v>120</v>
      </c>
      <c r="BX54" t="s">
        <v>94</v>
      </c>
      <c r="BY54" t="s">
        <v>80</v>
      </c>
      <c r="BZ54" t="str">
        <f t="shared" si="192"/>
        <v>vct_LU</v>
      </c>
      <c r="CA54" t="str">
        <f t="shared" si="193"/>
        <v>tube_RAIL</v>
      </c>
      <c r="CB54" s="25" t="str" cm="1">
        <f t="array" ref="CB54">IF(AM54&lt;&gt;"na", _xlfn.CONCAT("{BLACK}Length: {GOLD}", TEXT(ROUNDUP(IF(AP54&lt;&gt;"",SUM(VALUE(_xlfn.TEXTSPLIT(AP54, ","))), SUM(VALUE(_xlfn.TEXTSPLIT(AM54, ",")))*IF(L54, L54, 1))/16, 1),"#,##0.0"), " tiles{}"), "")</f>
        <v/>
      </c>
      <c r="CC54" s="22" t="str">
        <f>VLOOKUP($CA54, Constants!$M:$N, 2, FALSE)</f>
        <v/>
      </c>
      <c r="CD54" s="22" t="str">
        <f t="shared" si="146"/>
        <v/>
      </c>
      <c r="CF54" s="22" t="str">
        <f t="shared" si="13"/>
        <v>{YELLOW}35% Penalty for long distance travel{}</v>
      </c>
      <c r="CG54" s="22" t="str">
        <f t="shared" si="26"/>
        <v>{YELLOW}35% Penalty for long distance travel{}{SILVER}</v>
      </c>
    </row>
    <row r="55" spans="1:85" x14ac:dyDescent="0.25">
      <c r="A55" t="s">
        <v>428</v>
      </c>
      <c r="B55" t="s">
        <v>429</v>
      </c>
      <c r="C55">
        <v>718</v>
      </c>
      <c r="D55">
        <v>-1</v>
      </c>
      <c r="F55" t="s">
        <v>15</v>
      </c>
      <c r="G55" t="s">
        <v>15</v>
      </c>
      <c r="H55" t="s">
        <v>315</v>
      </c>
      <c r="I55">
        <v>1893</v>
      </c>
      <c r="J55">
        <v>1896</v>
      </c>
      <c r="K55">
        <v>1956</v>
      </c>
      <c r="L55">
        <v>2</v>
      </c>
      <c r="M55">
        <v>120</v>
      </c>
      <c r="V55">
        <v>10</v>
      </c>
      <c r="X55">
        <v>7</v>
      </c>
      <c r="Y55">
        <v>30</v>
      </c>
      <c r="Z55" s="3">
        <f t="shared" si="182"/>
        <v>0.3</v>
      </c>
      <c r="AA55">
        <v>35</v>
      </c>
      <c r="AB55">
        <f t="shared" si="64"/>
        <v>56</v>
      </c>
      <c r="AE55">
        <v>14</v>
      </c>
      <c r="AF55">
        <v>14</v>
      </c>
      <c r="AG55">
        <v>2.59</v>
      </c>
      <c r="AI55" s="9">
        <f>41+16</f>
        <v>57</v>
      </c>
      <c r="AJ55" t="s">
        <v>448</v>
      </c>
      <c r="AK55">
        <f t="shared" si="183"/>
        <v>8</v>
      </c>
      <c r="AM55" s="14" t="str">
        <f>CONCATENATE(VLOOKUP(AK55,Constants!$A$2:$C$16,IF(AL55&lt;&gt;"", 3, 2), FALSE),IF(AL55&lt;&gt;"",CONCATENATE(",",VLOOKUP(AL55,$B:$AM,38,FALSE)),""))</f>
        <v>2,4,2</v>
      </c>
      <c r="AQ55" t="s">
        <v>430</v>
      </c>
      <c r="AS55" t="s">
        <v>431</v>
      </c>
      <c r="AW55">
        <v>25</v>
      </c>
      <c r="AX55" s="14">
        <f t="shared" si="184"/>
        <v>71</v>
      </c>
      <c r="BA55">
        <f t="shared" si="185"/>
        <v>7</v>
      </c>
      <c r="BB55">
        <f t="shared" si="186"/>
        <v>0.6</v>
      </c>
      <c r="BC55">
        <f t="shared" si="187"/>
        <v>1.5</v>
      </c>
      <c r="BD55" s="3">
        <f t="shared" si="188"/>
        <v>1</v>
      </c>
      <c r="BE55">
        <f t="shared" si="189"/>
        <v>3.8</v>
      </c>
      <c r="BF55" t="e">
        <v>#N/A</v>
      </c>
      <c r="BG55" t="e">
        <v>#N/A</v>
      </c>
      <c r="BH55" t="e">
        <v>#N/A</v>
      </c>
      <c r="BI55" t="e">
        <v>#N/A</v>
      </c>
      <c r="BJ55" s="23" t="e">
        <f t="shared" si="190"/>
        <v>#N/A</v>
      </c>
      <c r="BK55" s="23" t="e">
        <f t="shared" si="191"/>
        <v>#N/A</v>
      </c>
      <c r="BT55">
        <v>2</v>
      </c>
      <c r="BW55" t="s">
        <v>34</v>
      </c>
      <c r="BX55" t="s">
        <v>94</v>
      </c>
      <c r="BY55" t="s">
        <v>68</v>
      </c>
      <c r="BZ55" t="str">
        <f t="shared" si="192"/>
        <v>vct_EMU</v>
      </c>
      <c r="CA55" t="str">
        <f t="shared" si="193"/>
        <v>na_THIRD_RAIL</v>
      </c>
      <c r="CB55" s="25" t="str" cm="1">
        <f t="array" ref="CB55">IF(AM55&lt;&gt;"na", _xlfn.CONCAT("{BLACK}Length: {GOLD}", TEXT(ROUNDUP(IF(AP55&lt;&gt;"",SUM(VALUE(_xlfn.TEXTSPLIT(AP55, ","))), SUM(VALUE(_xlfn.TEXTSPLIT(AM55, ",")))*IF(L55, L55, 1))/16, 1),"#,##0.0"), " tiles{}"), "")</f>
        <v>{BLACK}Length: {GOLD}1.0 tiles{}</v>
      </c>
      <c r="CC55" s="22" t="e">
        <f>VLOOKUP($CA55, Constants!$M:$N, 2, FALSE)</f>
        <v>#N/A</v>
      </c>
      <c r="CD55" s="22" t="str">
        <f t="shared" si="146"/>
        <v>{BLACK}Cars: {GOLD}2</v>
      </c>
      <c r="CE55" t="s">
        <v>432</v>
      </c>
      <c r="CF55" s="22" t="str">
        <f t="shared" si="13"/>
        <v/>
      </c>
      <c r="CG55" s="22" t="e">
        <f t="shared" si="26"/>
        <v>#N/A</v>
      </c>
    </row>
    <row r="56" spans="1:85" x14ac:dyDescent="0.25">
      <c r="A56" t="s">
        <v>440</v>
      </c>
      <c r="B56" t="s">
        <v>441</v>
      </c>
      <c r="C56">
        <v>734</v>
      </c>
      <c r="D56">
        <v>-1</v>
      </c>
      <c r="F56" t="s">
        <v>15</v>
      </c>
      <c r="G56" t="s">
        <v>162</v>
      </c>
      <c r="H56" t="s">
        <v>28</v>
      </c>
      <c r="I56">
        <v>1983</v>
      </c>
      <c r="Z56" s="3" t="str">
        <f t="shared" si="182"/>
        <v/>
      </c>
      <c r="AB56">
        <f t="shared" si="64"/>
        <v>0</v>
      </c>
      <c r="AJ56" t="s">
        <v>447</v>
      </c>
      <c r="AK56">
        <f t="shared" si="183"/>
        <v>0</v>
      </c>
      <c r="AM56" s="14" t="str">
        <f>CONCATENATE(VLOOKUP(AK56,Constants!$A$2:$C$16,IF(AL56&lt;&gt;"", 3, 2), FALSE),IF(AL56&lt;&gt;"",CONCATENATE(",",VLOOKUP(AL56,$B:$AM,38,FALSE)),""))</f>
        <v>na</v>
      </c>
      <c r="AW56">
        <v>30</v>
      </c>
      <c r="AX56" s="14" t="str">
        <f t="shared" si="184"/>
        <v/>
      </c>
      <c r="BA56">
        <f t="shared" si="185"/>
        <v>0</v>
      </c>
      <c r="BB56">
        <f t="shared" si="186"/>
        <v>0</v>
      </c>
      <c r="BC56">
        <f t="shared" si="187"/>
        <v>0</v>
      </c>
      <c r="BD56" s="3">
        <f t="shared" si="188"/>
        <v>0.88933333333333331</v>
      </c>
      <c r="BE56">
        <f t="shared" si="189"/>
        <v>0</v>
      </c>
      <c r="BF56">
        <v>0.9</v>
      </c>
      <c r="BG56">
        <v>1.6</v>
      </c>
      <c r="BH56">
        <v>7</v>
      </c>
      <c r="BI56">
        <v>19</v>
      </c>
      <c r="BJ56" s="23">
        <f t="shared" si="190"/>
        <v>5468.75</v>
      </c>
      <c r="BK56" s="23">
        <f t="shared" si="191"/>
        <v>1543.75</v>
      </c>
      <c r="BT56">
        <v>10</v>
      </c>
      <c r="BU56">
        <v>120</v>
      </c>
      <c r="BW56" t="s">
        <v>34</v>
      </c>
      <c r="BX56" t="s">
        <v>106</v>
      </c>
      <c r="BY56" t="s">
        <v>80</v>
      </c>
      <c r="BZ56" t="str">
        <f t="shared" si="192"/>
        <v>lbr_LU</v>
      </c>
      <c r="CA56" t="str">
        <f t="shared" si="193"/>
        <v>tube_RAIL</v>
      </c>
      <c r="CB56" s="25" t="str" cm="1">
        <f t="array" ref="CB56">IF(AM56&lt;&gt;"na", _xlfn.CONCAT("{BLACK}Length: {GOLD}", TEXT(ROUNDUP(IF(AP56&lt;&gt;"",SUM(VALUE(_xlfn.TEXTSPLIT(AP56, ","))), SUM(VALUE(_xlfn.TEXTSPLIT(AM56, ",")))*IF(L56, L56, 1))/16, 1),"#,##0.0"), " tiles{}"), "")</f>
        <v/>
      </c>
      <c r="CC56" s="22" t="str">
        <f>VLOOKUP($CA56, Constants!$M:$N, 2, FALSE)</f>
        <v/>
      </c>
      <c r="CD56" s="22" t="str">
        <f t="shared" si="146"/>
        <v/>
      </c>
      <c r="CF56" s="22" t="str">
        <f t="shared" si="13"/>
        <v>{YELLOW}35% Penalty for long distance travel{}</v>
      </c>
      <c r="CG56" s="22" t="str">
        <f t="shared" si="26"/>
        <v>{YELLOW}35% Penalty for long distance travel{}{SILVER}</v>
      </c>
    </row>
    <row r="57" spans="1:85" x14ac:dyDescent="0.25">
      <c r="A57" s="24" t="s">
        <v>437</v>
      </c>
      <c r="B57" t="s">
        <v>438</v>
      </c>
      <c r="C57">
        <v>714</v>
      </c>
      <c r="D57">
        <v>-1</v>
      </c>
      <c r="F57" t="s">
        <v>15</v>
      </c>
      <c r="G57" t="s">
        <v>38</v>
      </c>
      <c r="H57" t="s">
        <v>439</v>
      </c>
      <c r="Z57" s="3" t="str">
        <f t="shared" si="182"/>
        <v/>
      </c>
      <c r="AB57">
        <f t="shared" si="64"/>
        <v>0</v>
      </c>
      <c r="AJ57" t="s">
        <v>447</v>
      </c>
      <c r="AK57">
        <f t="shared" si="183"/>
        <v>0</v>
      </c>
      <c r="AM57" s="14" t="str">
        <f>CONCATENATE(VLOOKUP(AK57,Constants!$A$2:$C$16,IF(AL57&lt;&gt;"", 3, 2), FALSE),IF(AL57&lt;&gt;"",CONCATENATE(",",VLOOKUP(AL57,$B:$AM,38,FALSE)),""))</f>
        <v>na</v>
      </c>
      <c r="AW57">
        <v>30</v>
      </c>
      <c r="AX57" s="14" t="str">
        <f t="shared" si="184"/>
        <v/>
      </c>
      <c r="BA57">
        <f t="shared" si="185"/>
        <v>0</v>
      </c>
      <c r="BB57">
        <f t="shared" si="186"/>
        <v>0</v>
      </c>
      <c r="BC57">
        <f t="shared" si="187"/>
        <v>0</v>
      </c>
      <c r="BD57" s="3">
        <f t="shared" si="188"/>
        <v>1</v>
      </c>
      <c r="BE57">
        <f t="shared" si="189"/>
        <v>0</v>
      </c>
      <c r="BF57">
        <v>0.85</v>
      </c>
      <c r="BG57">
        <v>2.2999999999999998</v>
      </c>
      <c r="BH57">
        <v>12</v>
      </c>
      <c r="BI57">
        <v>21</v>
      </c>
      <c r="BJ57" s="23">
        <f t="shared" si="190"/>
        <v>9375</v>
      </c>
      <c r="BK57" s="23">
        <f t="shared" si="191"/>
        <v>1706.25</v>
      </c>
      <c r="BT57">
        <v>8</v>
      </c>
      <c r="BX57" t="e">
        <v>#N/A</v>
      </c>
      <c r="BZ57" t="e">
        <f t="shared" si="192"/>
        <v>#N/A</v>
      </c>
      <c r="CA57" t="str">
        <f t="shared" si="193"/>
        <v>electric_ELRL</v>
      </c>
      <c r="CB57" s="25" t="str" cm="1">
        <f t="array" ref="CB57">IF(AM57&lt;&gt;"na", _xlfn.CONCAT("{BLACK}Length: {GOLD}", TEXT(ROUNDUP(IF(AP57&lt;&gt;"",SUM(VALUE(_xlfn.TEXTSPLIT(AP57, ","))), SUM(VALUE(_xlfn.TEXTSPLIT(AM57, ",")))*IF(L57, L57, 1))/16, 1),"#,##0.0"), " tiles{}"), "")</f>
        <v/>
      </c>
      <c r="CC57" s="22" t="str">
        <f>VLOOKUP($CA57, Constants!$M:$N, 2, FALSE)</f>
        <v>{BLACK}Powered by: {GOLD}25kV AC</v>
      </c>
      <c r="CD57" s="22" t="str">
        <f t="shared" si="146"/>
        <v/>
      </c>
      <c r="CF57" s="22" t="str">
        <f t="shared" si="13"/>
        <v/>
      </c>
      <c r="CG57" s="22" t="str">
        <f t="shared" si="26"/>
        <v>{BLACK}Powered by: {GOLD}25kV AC {}{SILVER}</v>
      </c>
    </row>
    <row r="58" spans="1:85" x14ac:dyDescent="0.25">
      <c r="A58" t="s">
        <v>241</v>
      </c>
      <c r="B58" t="s">
        <v>240</v>
      </c>
      <c r="C58">
        <v>1</v>
      </c>
      <c r="D58">
        <v>2000</v>
      </c>
      <c r="E58" t="s">
        <v>488</v>
      </c>
      <c r="F58" t="s">
        <v>218</v>
      </c>
      <c r="G58" t="s">
        <v>218</v>
      </c>
      <c r="H58" t="s">
        <v>337</v>
      </c>
      <c r="I58">
        <v>1800</v>
      </c>
      <c r="K58">
        <v>1880</v>
      </c>
      <c r="M58">
        <v>5</v>
      </c>
      <c r="S58" s="12"/>
      <c r="V58">
        <v>1</v>
      </c>
      <c r="Y58">
        <v>4</v>
      </c>
      <c r="Z58" s="3">
        <f t="shared" si="182"/>
        <v>0.4</v>
      </c>
      <c r="AA58">
        <v>15</v>
      </c>
      <c r="AB58">
        <f t="shared" ref="AB58:AB65" si="194">ROUND(AA58*1.6, 0)</f>
        <v>24</v>
      </c>
      <c r="AF58">
        <v>6</v>
      </c>
      <c r="AI58" s="9">
        <v>0</v>
      </c>
      <c r="AJ58" s="14" t="str">
        <f>CONCATENATE(VLOOKUP(AK58, 'Voxel Sizes'!$A$2:$B$18,2,FALSE),"x",INT(AG58*15), "x", INT(AH58*15))</f>
        <v>66x0x0</v>
      </c>
      <c r="AK58" s="14">
        <f t="shared" si="183"/>
        <v>4</v>
      </c>
      <c r="AM58" s="14" t="str">
        <f>CONCATENATE(VLOOKUP(AK58,Constants!$A$2:$C$16,IF(AL58&lt;&gt;"", 3, 2), FALSE),IF(AL58&lt;&gt;"",CONCATENATE(",",VLOOKUP(AL58,$B:$AM,38,FALSE)),""))</f>
        <v>1,2,1</v>
      </c>
      <c r="AU58">
        <v>1</v>
      </c>
      <c r="AW58">
        <v>14</v>
      </c>
      <c r="AX58" s="14">
        <f t="shared" si="184"/>
        <v>88</v>
      </c>
      <c r="AY58">
        <v>-13</v>
      </c>
      <c r="AZ58">
        <v>-3</v>
      </c>
      <c r="BA58" s="16">
        <f t="shared" si="185"/>
        <v>3</v>
      </c>
      <c r="BB58" s="16">
        <f t="shared" si="186"/>
        <v>2.5000000000000001E-2</v>
      </c>
      <c r="BC58" s="16">
        <f t="shared" si="187"/>
        <v>0.2</v>
      </c>
      <c r="BD58" s="17">
        <f t="shared" si="188"/>
        <v>1</v>
      </c>
      <c r="BE58" s="16">
        <f t="shared" si="189"/>
        <v>0</v>
      </c>
      <c r="BF58" s="16">
        <f>VLOOKUP($G58,Constants!$I:$K, 2, FALSE)</f>
        <v>0.5</v>
      </c>
      <c r="BG58" s="16">
        <f>VLOOKUP($G58,Constants!$I:$K, 3, FALSE)*IF(AND(F58="multiple_unit",AA58&lt;110),0.75,1)</f>
        <v>0.5</v>
      </c>
      <c r="BH58" s="16">
        <f>INT(POWER(((Constants!$G$2+$BA58+$BB58+$BC58+$BE58)*$BD58)*$BG58, 1.05))+$AZ58</f>
        <v>1</v>
      </c>
      <c r="BI58" s="16">
        <f>INT(POWER((((Constants!$G$1+$BA58+$BB58+$BC58+$BE58)*($BD58))*$BF58),IF($F58="wagon",1,1.2)))+$AY58</f>
        <v>1</v>
      </c>
      <c r="BJ58" s="19">
        <f t="shared" si="190"/>
        <v>781.25</v>
      </c>
      <c r="BK58" s="19">
        <f t="shared" si="191"/>
        <v>81.25</v>
      </c>
      <c r="BT58">
        <v>1</v>
      </c>
      <c r="BX58" s="22" t="str">
        <f>VLOOKUP(I58,Eras!$A$2:$C$10, 2, TRUE)</f>
        <v>early</v>
      </c>
      <c r="BY58" t="s">
        <v>62</v>
      </c>
      <c r="BZ58" s="22" t="str">
        <f t="shared" si="192"/>
        <v>early_Mixed Traffic</v>
      </c>
      <c r="CA58" s="22" t="str">
        <f t="shared" si="193"/>
        <v>horses_NARROW_GAUGE</v>
      </c>
      <c r="CB58" s="25" t="str" cm="1">
        <f t="array" ref="CB58">IF(AM58&lt;&gt;"na", _xlfn.CONCAT("{BLACK}Length: {GOLD}", TEXT(ROUNDUP(IF(AP58&lt;&gt;"",SUM(VALUE(_xlfn.TEXTSPLIT(AP58, ","))), SUM(VALUE(_xlfn.TEXTSPLIT(AM58, ",")))*IF(L58, L58, 1))/16, 1),"#,##0.0"), " tiles{}"), "")</f>
        <v>{BLACK}Length: {GOLD}0.3 tiles{}</v>
      </c>
      <c r="CC58" s="22" t="str">
        <f>VLOOKUP($CA58, Constants!$M:$N, 2, FALSE)</f>
        <v>{BLACK}Powered by: {GOLD}Grass and hay</v>
      </c>
      <c r="CD58" s="22" t="str">
        <f t="shared" si="146"/>
        <v/>
      </c>
      <c r="CE58" t="s">
        <v>242</v>
      </c>
      <c r="CF58" s="22" t="str">
        <f t="shared" si="13"/>
        <v/>
      </c>
      <c r="CG58" s="22" t="str">
        <f t="shared" si="26"/>
        <v>{BLACK}Powered by: {GOLD}Grass and hay {}{BLACK}Length: {GOLD}0.3 tiles{}{SILVER}A smaller horse for a smaller railway.</v>
      </c>
    </row>
    <row r="59" spans="1:85" x14ac:dyDescent="0.25">
      <c r="A59" t="s">
        <v>316</v>
      </c>
      <c r="B59" t="s">
        <v>317</v>
      </c>
      <c r="C59">
        <v>2</v>
      </c>
      <c r="D59">
        <v>2001</v>
      </c>
      <c r="E59" t="s">
        <v>488</v>
      </c>
      <c r="F59" t="s">
        <v>236</v>
      </c>
      <c r="G59" t="s">
        <v>25</v>
      </c>
      <c r="H59" t="s">
        <v>337</v>
      </c>
      <c r="I59">
        <v>1804</v>
      </c>
      <c r="K59">
        <v>1840</v>
      </c>
      <c r="M59">
        <v>10</v>
      </c>
      <c r="O59" s="5">
        <v>8.6</v>
      </c>
      <c r="P59" s="5">
        <v>16</v>
      </c>
      <c r="Q59" s="5">
        <v>1</v>
      </c>
      <c r="R59" s="5">
        <v>160</v>
      </c>
      <c r="S59" s="12">
        <f t="shared" ref="S59:S72" si="195">((($AA59/2)/60)*5280)/($T59*3.2*PI())</f>
        <v>87.535218700542444</v>
      </c>
      <c r="T59" s="5">
        <v>0.7</v>
      </c>
      <c r="U59" s="5">
        <f t="shared" ref="U59:U72" si="196">((($O59*$O59/4)*PI())*($P59/12)*$Q59*$R59*$S59)/(33000*1.1)</f>
        <v>29.882828282828278</v>
      </c>
      <c r="V59">
        <v>5</v>
      </c>
      <c r="X59">
        <v>5</v>
      </c>
      <c r="Y59">
        <v>12</v>
      </c>
      <c r="Z59" s="3">
        <f t="shared" si="182"/>
        <v>0.24</v>
      </c>
      <c r="AA59">
        <v>14</v>
      </c>
      <c r="AB59">
        <f t="shared" si="194"/>
        <v>22</v>
      </c>
      <c r="AE59">
        <v>5.5</v>
      </c>
      <c r="AF59">
        <v>8</v>
      </c>
      <c r="AI59" s="9">
        <v>0</v>
      </c>
      <c r="AJ59" s="14" t="str">
        <f>CONCATENATE(VLOOKUP(AK59, 'Voxel Sizes'!$A$2:$B$18,2,FALSE),"x",INT(AG59*15), "x", INT(AH59*15))</f>
        <v>82x0x0</v>
      </c>
      <c r="AK59" s="14">
        <f t="shared" si="183"/>
        <v>5</v>
      </c>
      <c r="AL59" t="s">
        <v>470</v>
      </c>
      <c r="AM59" s="14" t="str">
        <f>CONCATENATE(VLOOKUP(AK59,Constants!$A$2:$C$16,IF(AL59&lt;&gt;"", 3, 2), FALSE),IF(AL59&lt;&gt;"",CONCATENATE(",",VLOOKUP(AL59,$B:$AM,38,FALSE)),""))</f>
        <v>2,1,2,1,1,1</v>
      </c>
      <c r="AU59">
        <v>1</v>
      </c>
      <c r="AW59">
        <v>28</v>
      </c>
      <c r="AX59" s="14">
        <f t="shared" si="184"/>
        <v>44</v>
      </c>
      <c r="AY59">
        <v>-34</v>
      </c>
      <c r="AZ59">
        <v>-13</v>
      </c>
      <c r="BA59" s="16">
        <f t="shared" si="185"/>
        <v>2.8000000000000003</v>
      </c>
      <c r="BB59" s="16">
        <f t="shared" si="186"/>
        <v>0.05</v>
      </c>
      <c r="BC59" s="16">
        <f t="shared" si="187"/>
        <v>0.6</v>
      </c>
      <c r="BD59" s="17">
        <f t="shared" si="188"/>
        <v>1</v>
      </c>
      <c r="BE59" s="16">
        <f t="shared" si="189"/>
        <v>0</v>
      </c>
      <c r="BF59" s="16">
        <f>VLOOKUP($G59,Constants!$I:$K, 2, FALSE)</f>
        <v>1.1499999999999999</v>
      </c>
      <c r="BG59" s="16">
        <f>VLOOKUP($G59,Constants!$I:$K, 3, FALSE)*IF(AND(F59="multiple_unit",AA59&lt;110),0.75,1)</f>
        <v>1.7</v>
      </c>
      <c r="BH59" s="16">
        <f>INT(POWER(((Constants!$G$2+$BA59+$BB59+$BC59+$BE59)*$BD59)*$BG59, 1.05))+$AZ59</f>
        <v>3</v>
      </c>
      <c r="BI59" s="16">
        <f>INT(POWER((((Constants!$G$1+$BA59+$BB59+$BC59+$BE59)*($BD59))*$BF59),IF($F59="wagon",1,1.2)))+$AY59</f>
        <v>5</v>
      </c>
      <c r="BJ59" s="19">
        <f t="shared" si="190"/>
        <v>2343.75</v>
      </c>
      <c r="BK59" s="19">
        <f t="shared" si="191"/>
        <v>406.25</v>
      </c>
      <c r="BT59">
        <v>2</v>
      </c>
      <c r="BX59" s="22" t="str">
        <f>VLOOKUP(I59,Eras!$A$2:$C$10, 2, TRUE)</f>
        <v>early</v>
      </c>
      <c r="BY59" t="s">
        <v>61</v>
      </c>
      <c r="BZ59" s="22" t="str">
        <f t="shared" si="192"/>
        <v>early_Cheap</v>
      </c>
      <c r="CA59" s="22" t="str">
        <f t="shared" si="193"/>
        <v>steam_NARROW_GAUGE</v>
      </c>
      <c r="CB59" s="25" t="str" cm="1">
        <f t="array" ref="CB59">IF(AM59&lt;&gt;"na", _xlfn.CONCAT("{BLACK}Length: {GOLD}", TEXT(ROUNDUP(IF(AP59&lt;&gt;"",SUM(VALUE(_xlfn.TEXTSPLIT(AP59, ","))), SUM(VALUE(_xlfn.TEXTSPLIT(AM59, ",")))*IF(L59, L59, 1))/16, 1),"#,##0.0"), " tiles{}"), "")</f>
        <v>{BLACK}Length: {GOLD}0.5 tiles{}</v>
      </c>
      <c r="CC59" s="22" t="str">
        <f>VLOOKUP($CA59, Constants!$M:$N, 2, FALSE)</f>
        <v>{BLACK}Powered by: {GOLD}Steam</v>
      </c>
      <c r="CD59" s="22" t="str">
        <f t="shared" si="146"/>
        <v/>
      </c>
      <c r="CE59" t="s">
        <v>318</v>
      </c>
      <c r="CF59" s="22" t="str">
        <f t="shared" si="13"/>
        <v/>
      </c>
      <c r="CG59" s="22" t="str">
        <f t="shared" si="26"/>
        <v>{BLACK}Powered by: {GOLD}Steam {}{BLACK}Length: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60" spans="1:85" x14ac:dyDescent="0.25">
      <c r="A60" t="s">
        <v>471</v>
      </c>
      <c r="B60" t="s">
        <v>472</v>
      </c>
      <c r="C60">
        <v>4</v>
      </c>
      <c r="D60">
        <v>2002</v>
      </c>
      <c r="E60" t="s">
        <v>488</v>
      </c>
      <c r="F60" t="s">
        <v>236</v>
      </c>
      <c r="G60" t="s">
        <v>25</v>
      </c>
      <c r="H60" t="s">
        <v>337</v>
      </c>
      <c r="I60">
        <v>1863</v>
      </c>
      <c r="K60">
        <v>1946</v>
      </c>
      <c r="M60">
        <v>90</v>
      </c>
      <c r="O60" s="5">
        <v>8.25</v>
      </c>
      <c r="P60" s="5">
        <v>12</v>
      </c>
      <c r="Q60" s="5">
        <v>2</v>
      </c>
      <c r="R60" s="5">
        <v>160</v>
      </c>
      <c r="S60" s="12">
        <f t="shared" si="195"/>
        <v>165.02541230430134</v>
      </c>
      <c r="T60" s="5">
        <v>0.61</v>
      </c>
      <c r="U60" s="5">
        <f t="shared" si="196"/>
        <v>77.76639344262297</v>
      </c>
      <c r="V60">
        <v>15</v>
      </c>
      <c r="X60">
        <v>5</v>
      </c>
      <c r="Y60">
        <v>29</v>
      </c>
      <c r="Z60" s="3">
        <f t="shared" ref="Z60" si="197">IF(AND(V60&gt;0,Y60&gt;0),(Y60/((V60+W60)*10)),"")</f>
        <v>0.19333333333333333</v>
      </c>
      <c r="AA60">
        <v>23</v>
      </c>
      <c r="AB60">
        <f t="shared" ref="AB60" si="198">ROUND(AA60*1.6, 0)</f>
        <v>37</v>
      </c>
      <c r="AE60">
        <v>5.5</v>
      </c>
      <c r="AF60">
        <v>6</v>
      </c>
      <c r="AI60" s="9">
        <v>0</v>
      </c>
      <c r="AJ60" s="14" t="str">
        <f>CONCATENATE(VLOOKUP(AK60, 'Voxel Sizes'!$A$2:$B$18,2,FALSE),"x",INT(AG60*15), "x", INT(AH60*15))</f>
        <v>66x0x0</v>
      </c>
      <c r="AK60" s="14">
        <f t="shared" ref="AK60" si="199">ROUND(15*((AF60*10)/256),0)</f>
        <v>4</v>
      </c>
      <c r="AL60" t="s">
        <v>473</v>
      </c>
      <c r="AM60" s="14" t="str">
        <f>CONCATENATE(VLOOKUP(AK60,Constants!$A$2:$C$16,IF(AL60&lt;&gt;"", 3, 2), FALSE),IF(AL60&lt;&gt;"",CONCATENATE(",",VLOOKUP(AL60,$B:$AM,38,FALSE)),""))</f>
        <v>1,2,1,1,1,1</v>
      </c>
      <c r="AU60">
        <v>1</v>
      </c>
      <c r="AW60">
        <v>250</v>
      </c>
      <c r="AX60" s="14">
        <f t="shared" ref="AX60" si="200">IF(K60&lt;&gt;"",MAX(16,(K60-I60)+8),"")</f>
        <v>91</v>
      </c>
      <c r="AY60">
        <v>-5</v>
      </c>
      <c r="AZ60">
        <v>-3</v>
      </c>
      <c r="BA60" s="16">
        <f t="shared" ref="BA60" si="201">MIN(AA60/150, 1)*30</f>
        <v>4.5999999999999996</v>
      </c>
      <c r="BB60" s="16">
        <f t="shared" ref="BB60" si="202">MIN(M60/4000, 1)*20</f>
        <v>0.44999999999999996</v>
      </c>
      <c r="BC60" s="16">
        <f t="shared" ref="BC60" si="203">MIN(Y60/400,1)*20</f>
        <v>1.45</v>
      </c>
      <c r="BD60" s="17">
        <f t="shared" ref="BD60" si="204">1-(MAX(I60-1900, 0)/750)</f>
        <v>1</v>
      </c>
      <c r="BE60" s="16">
        <f t="shared" si="189"/>
        <v>0</v>
      </c>
      <c r="BF60" s="16">
        <f>VLOOKUP($G60,Constants!$I:$K, 2, FALSE)</f>
        <v>1.1499999999999999</v>
      </c>
      <c r="BG60" s="16">
        <f>VLOOKUP($G60,Constants!$I:$K, 3, FALSE)*IF(AND(F60="multiple_unit",AA60&lt;110),0.75,1)</f>
        <v>1.7</v>
      </c>
      <c r="BH60" s="16">
        <f>INT(POWER(((Constants!$G$2+$BA60+$BB60+$BC60+$BE60)*$BD60)*$BG60, 1.05))+$AZ60</f>
        <v>19</v>
      </c>
      <c r="BI60" s="16">
        <f>INT(POWER((((Constants!$G$1+$BA60+$BB60+$BC60+$BE60)*($BD60))*$BF60),IF($F60="wagon",1,1.2)))+$AY60</f>
        <v>41</v>
      </c>
      <c r="BJ60" s="19">
        <f t="shared" si="190"/>
        <v>14843.75</v>
      </c>
      <c r="BK60" s="19">
        <f t="shared" si="191"/>
        <v>3331.25</v>
      </c>
      <c r="BT60">
        <v>9</v>
      </c>
      <c r="BX60" s="22" t="str">
        <f>VLOOKUP(I60,Eras!$A$2:$C$10, 2, TRUE)</f>
        <v>vct</v>
      </c>
      <c r="BY60" t="s">
        <v>61</v>
      </c>
      <c r="BZ60" s="22" t="str">
        <f t="shared" ref="BZ60" si="205">CONCATENATE(BX60,"_",BY60)</f>
        <v>vct_Cheap</v>
      </c>
      <c r="CA60" s="22" t="str">
        <f t="shared" ref="CA60" si="206">_xlfn.CONCAT(G60, "_",H60)</f>
        <v>steam_NARROW_GAUGE</v>
      </c>
      <c r="CB60" s="25" t="str" cm="1">
        <f t="array" ref="CB60">IF(AM60&lt;&gt;"na", _xlfn.CONCAT("{BLACK}Length: {GOLD}", TEXT(ROUNDUP(IF(AP60&lt;&gt;"",SUM(VALUE(_xlfn.TEXTSPLIT(AP60, ","))), SUM(VALUE(_xlfn.TEXTSPLIT(AM60, ",")))*IF(L60, L60, 1))/16, 1),"#,##0.0"), " tiles{}"), "")</f>
        <v>{BLACK}Length: {GOLD}0.5 tiles{}</v>
      </c>
      <c r="CC60" s="22" t="str">
        <f>VLOOKUP($CA60, Constants!$M:$N, 2, FALSE)</f>
        <v>{BLACK}Powered by: {GOLD}Steam</v>
      </c>
      <c r="CD60" s="22" t="str">
        <f t="shared" si="146"/>
        <v/>
      </c>
      <c r="CE60" t="s">
        <v>475</v>
      </c>
      <c r="CF60" s="22" t="str">
        <f t="shared" si="13"/>
        <v/>
      </c>
      <c r="CG60" s="22" t="str">
        <f t="shared" si="26"/>
        <v>{BLACK}Powered by: {GOLD}Steam {}{BLACK}Length: {GOLD}0.5 tiles{}{SILVER}"Princess" was the first locomotive on the Ffestiniog Railway, going through multiple rebuilds and serving on the railway until its eventual closure in 1946.</v>
      </c>
    </row>
    <row r="61" spans="1:85" x14ac:dyDescent="0.25">
      <c r="A61" t="s">
        <v>248</v>
      </c>
      <c r="B61" t="s">
        <v>249</v>
      </c>
      <c r="C61">
        <v>5</v>
      </c>
      <c r="D61">
        <v>2003</v>
      </c>
      <c r="E61" t="s">
        <v>488</v>
      </c>
      <c r="F61" t="s">
        <v>236</v>
      </c>
      <c r="G61" t="s">
        <v>25</v>
      </c>
      <c r="H61" t="s">
        <v>337</v>
      </c>
      <c r="I61">
        <v>1864</v>
      </c>
      <c r="K61">
        <v>1945</v>
      </c>
      <c r="M61">
        <v>110</v>
      </c>
      <c r="O61" s="5">
        <v>8.6</v>
      </c>
      <c r="P61" s="5">
        <v>16</v>
      </c>
      <c r="Q61" s="5">
        <v>2</v>
      </c>
      <c r="R61" s="5">
        <v>160</v>
      </c>
      <c r="S61" s="12">
        <f t="shared" si="195"/>
        <v>156.31289053668294</v>
      </c>
      <c r="T61" s="5">
        <v>0.7</v>
      </c>
      <c r="U61" s="5">
        <f t="shared" si="196"/>
        <v>106.72438672438672</v>
      </c>
      <c r="V61">
        <v>13</v>
      </c>
      <c r="X61">
        <v>5</v>
      </c>
      <c r="Y61">
        <v>26</v>
      </c>
      <c r="Z61" s="3">
        <f t="shared" ref="Z61:Z70" si="207">IF(AND(V61&gt;0,Y61&gt;0),(Y61/((V61+W61)*10)),"")</f>
        <v>0.2</v>
      </c>
      <c r="AA61">
        <v>25</v>
      </c>
      <c r="AB61">
        <f t="shared" si="194"/>
        <v>40</v>
      </c>
      <c r="AE61">
        <v>5.5</v>
      </c>
      <c r="AF61">
        <v>6</v>
      </c>
      <c r="AI61" s="9">
        <v>0</v>
      </c>
      <c r="AJ61" s="14" t="str">
        <f>CONCATENATE(VLOOKUP(AK61, 'Voxel Sizes'!$A$2:$B$18,2,FALSE),"x",INT(AG61*15), "x", INT(AH61*15))</f>
        <v>66x0x0</v>
      </c>
      <c r="AK61" s="14">
        <f t="shared" ref="AK61:AK70" si="208">ROUND(15*((AF61*10)/256),0)</f>
        <v>4</v>
      </c>
      <c r="AM61" s="14" t="str">
        <f>CONCATENATE(VLOOKUP(AK61,Constants!$A$2:$C$16,IF(AL61&lt;&gt;"", 3, 2), FALSE),IF(AL61&lt;&gt;"",CONCATENATE(",",VLOOKUP(AL61,$B:$AM,38,FALSE)),""))</f>
        <v>1,2,1</v>
      </c>
      <c r="AU61">
        <v>1</v>
      </c>
      <c r="AW61">
        <v>250</v>
      </c>
      <c r="AX61" s="14">
        <f t="shared" ref="AX61:AX70" si="209">IF(K61&lt;&gt;"",MAX(16,(K61-I61)+8),"")</f>
        <v>89</v>
      </c>
      <c r="AY61">
        <v>-5</v>
      </c>
      <c r="AZ61">
        <v>-3</v>
      </c>
      <c r="BA61" s="16">
        <f t="shared" ref="BA61:BA70" si="210">MIN(AA61/150, 1)*30</f>
        <v>5</v>
      </c>
      <c r="BB61" s="16">
        <f t="shared" ref="BB61:BB70" si="211">MIN(M61/4000, 1)*20</f>
        <v>0.55000000000000004</v>
      </c>
      <c r="BC61" s="16">
        <f t="shared" ref="BC61:BC70" si="212">MIN(Y61/400,1)*20</f>
        <v>1.3</v>
      </c>
      <c r="BD61" s="17">
        <f t="shared" ref="BD61:BD70" si="213">1-(MAX(I61-1900, 0)/750)</f>
        <v>1</v>
      </c>
      <c r="BE61" s="16">
        <f t="shared" si="189"/>
        <v>0</v>
      </c>
      <c r="BF61" s="16">
        <f>VLOOKUP($G61,Constants!$I:$K, 2, FALSE)</f>
        <v>1.1499999999999999</v>
      </c>
      <c r="BG61" s="16">
        <f>VLOOKUP($G61,Constants!$I:$K, 3, FALSE)*IF(AND(F61="multiple_unit",AA61&lt;110),0.75,1)</f>
        <v>1.7</v>
      </c>
      <c r="BH61" s="16">
        <f>INT(POWER(((Constants!$G$2+$BA61+$BB61+$BC61+$BE61)*$BD61)*$BG61, 1.05))+$AZ61</f>
        <v>20</v>
      </c>
      <c r="BI61" s="16">
        <f>INT(POWER((((Constants!$G$1+$BA61+$BB61+$BC61+$BE61)*($BD61))*$BF61),IF($F61="wagon",1,1.2)))+$AY61</f>
        <v>42</v>
      </c>
      <c r="BJ61" s="19">
        <f t="shared" si="190"/>
        <v>15625</v>
      </c>
      <c r="BK61" s="19">
        <f t="shared" si="191"/>
        <v>3412.5</v>
      </c>
      <c r="BT61">
        <v>12</v>
      </c>
      <c r="BX61" s="22" t="str">
        <f>VLOOKUP(I61,Eras!$A$2:$C$10, 2, TRUE)</f>
        <v>vct</v>
      </c>
      <c r="BY61" t="s">
        <v>61</v>
      </c>
      <c r="BZ61" s="22" t="str">
        <f t="shared" ref="BZ61:BZ70" si="214">CONCATENATE(BX61,"_",BY61)</f>
        <v>vct_Cheap</v>
      </c>
      <c r="CA61" s="22" t="str">
        <f t="shared" ref="CA61:CA70" si="215">_xlfn.CONCAT(G61, "_",H61)</f>
        <v>steam_NARROW_GAUGE</v>
      </c>
      <c r="CB61" s="25" t="str" cm="1">
        <f t="array" ref="CB61">IF(AM61&lt;&gt;"na", _xlfn.CONCAT("{BLACK}Length: {GOLD}", TEXT(ROUNDUP(IF(AP61&lt;&gt;"",SUM(VALUE(_xlfn.TEXTSPLIT(AP61, ","))), SUM(VALUE(_xlfn.TEXTSPLIT(AM61, ",")))*IF(L61, L61, 1))/16, 1),"#,##0.0"), " tiles{}"), "")</f>
        <v>{BLACK}Length: {GOLD}0.3 tiles{}</v>
      </c>
      <c r="CC61" s="22" t="str">
        <f>VLOOKUP($CA61, Constants!$M:$N, 2, FALSE)</f>
        <v>{BLACK}Powered by: {GOLD}Steam</v>
      </c>
      <c r="CD61" s="22" t="str">
        <f t="shared" si="146"/>
        <v/>
      </c>
      <c r="CE61" t="s">
        <v>250</v>
      </c>
      <c r="CF61" s="22" t="str">
        <f t="shared" si="13"/>
        <v/>
      </c>
      <c r="CG61" s="22" t="str">
        <f t="shared" si="26"/>
        <v>{BLACK}Powered by: {GOLD}Steam {}{BLACK}Length: {GOLD}0.3 tiles{}{SILVER}"Talyllyn" was delivered to the Talyllyn railway as an 0-4-0, but converted to 0-4-2 after a few years to improve riding quality. It was retired in 1945, but refurbished in the late 1950s and returned to preservation service.</v>
      </c>
    </row>
    <row r="62" spans="1:85" x14ac:dyDescent="0.25">
      <c r="A62" t="s">
        <v>297</v>
      </c>
      <c r="B62" t="s">
        <v>298</v>
      </c>
      <c r="C62">
        <v>10</v>
      </c>
      <c r="D62">
        <v>2004</v>
      </c>
      <c r="E62" t="s">
        <v>488</v>
      </c>
      <c r="F62" t="s">
        <v>236</v>
      </c>
      <c r="G62" t="s">
        <v>25</v>
      </c>
      <c r="H62" t="s">
        <v>337</v>
      </c>
      <c r="I62">
        <v>1866</v>
      </c>
      <c r="K62">
        <v>1945</v>
      </c>
      <c r="M62">
        <v>85</v>
      </c>
      <c r="O62" s="5">
        <v>7.6</v>
      </c>
      <c r="P62" s="5">
        <v>16</v>
      </c>
      <c r="Q62" s="5">
        <v>2</v>
      </c>
      <c r="R62" s="5">
        <v>150</v>
      </c>
      <c r="S62" s="12">
        <f t="shared" si="195"/>
        <v>156.31289053668294</v>
      </c>
      <c r="T62" s="5">
        <v>0.7</v>
      </c>
      <c r="U62" s="5">
        <f t="shared" si="196"/>
        <v>78.13852813852813</v>
      </c>
      <c r="V62">
        <v>10</v>
      </c>
      <c r="X62">
        <v>5</v>
      </c>
      <c r="Y62">
        <v>18</v>
      </c>
      <c r="Z62" s="3">
        <f t="shared" si="207"/>
        <v>0.18</v>
      </c>
      <c r="AA62">
        <v>25</v>
      </c>
      <c r="AB62">
        <f t="shared" si="194"/>
        <v>40</v>
      </c>
      <c r="AE62">
        <v>5.5</v>
      </c>
      <c r="AF62">
        <v>6</v>
      </c>
      <c r="AI62" s="9">
        <v>0</v>
      </c>
      <c r="AJ62" s="14" t="str">
        <f>CONCATENATE(VLOOKUP(AK62, 'Voxel Sizes'!$A$2:$B$18,2,FALSE),"x",INT(AG62*15), "x", INT(AH62*15))</f>
        <v>66x0x0</v>
      </c>
      <c r="AK62" s="14">
        <f t="shared" si="208"/>
        <v>4</v>
      </c>
      <c r="AM62" s="14" t="str">
        <f>CONCATENATE(VLOOKUP(AK62,Constants!$A$2:$C$16,IF(AL62&lt;&gt;"", 3, 2), FALSE),IF(AL62&lt;&gt;"",CONCATENATE(",",VLOOKUP(AL62,$B:$AM,38,FALSE)),""))</f>
        <v>1,2,1</v>
      </c>
      <c r="AU62">
        <v>1</v>
      </c>
      <c r="AW62">
        <v>250</v>
      </c>
      <c r="AX62" s="14">
        <f t="shared" si="209"/>
        <v>87</v>
      </c>
      <c r="AY62">
        <v>-5</v>
      </c>
      <c r="AZ62">
        <v>-6</v>
      </c>
      <c r="BA62" s="16">
        <f t="shared" si="210"/>
        <v>5</v>
      </c>
      <c r="BB62" s="16">
        <f t="shared" si="211"/>
        <v>0.42500000000000004</v>
      </c>
      <c r="BC62" s="16">
        <f t="shared" si="212"/>
        <v>0.89999999999999991</v>
      </c>
      <c r="BD62" s="17">
        <f t="shared" si="213"/>
        <v>1</v>
      </c>
      <c r="BE62" s="16">
        <f t="shared" si="189"/>
        <v>0</v>
      </c>
      <c r="BF62" s="16">
        <f>VLOOKUP($G62,Constants!$I:$K, 2, FALSE)</f>
        <v>1.1499999999999999</v>
      </c>
      <c r="BG62" s="16">
        <f>VLOOKUP($G62,Constants!$I:$K, 3, FALSE)*IF(AND(F62="multiple_unit",AA62&lt;110),0.75,1)</f>
        <v>1.7</v>
      </c>
      <c r="BH62" s="16">
        <f>INT(POWER(((Constants!$G$2+$BA62+$BB62+$BC62+$BE62)*$BD62)*$BG62, 1.05))+$AZ62</f>
        <v>16</v>
      </c>
      <c r="BI62" s="16">
        <f>INT(POWER((((Constants!$G$1+$BA62+$BB62+$BC62+$BE62)*($BD62))*$BF62),IF($F62="wagon",1,1.2)))+$AY62</f>
        <v>41</v>
      </c>
      <c r="BJ62" s="19">
        <f t="shared" si="190"/>
        <v>12500</v>
      </c>
      <c r="BK62" s="19">
        <f t="shared" si="191"/>
        <v>3331.25</v>
      </c>
      <c r="BT62">
        <v>11</v>
      </c>
      <c r="BX62" s="22" t="str">
        <f>VLOOKUP(I62,Eras!$A$2:$C$10, 2, TRUE)</f>
        <v>vct</v>
      </c>
      <c r="BY62" t="s">
        <v>61</v>
      </c>
      <c r="BZ62" s="22" t="str">
        <f t="shared" si="214"/>
        <v>vct_Cheap</v>
      </c>
      <c r="CA62" s="22" t="str">
        <f t="shared" si="215"/>
        <v>steam_NARROW_GAUGE</v>
      </c>
      <c r="CB62" s="25" t="str" cm="1">
        <f t="array" ref="CB62">IF(AM62&lt;&gt;"na", _xlfn.CONCAT("{BLACK}Length: {GOLD}", TEXT(ROUNDUP(IF(AP62&lt;&gt;"",SUM(VALUE(_xlfn.TEXTSPLIT(AP62, ","))), SUM(VALUE(_xlfn.TEXTSPLIT(AM62, ",")))*IF(L62, L62, 1))/16, 1),"#,##0.0"), " tiles{}"), "")</f>
        <v>{BLACK}Length: {GOLD}0.3 tiles{}</v>
      </c>
      <c r="CC62" s="22" t="str">
        <f>VLOOKUP($CA62, Constants!$M:$N, 2, FALSE)</f>
        <v>{BLACK}Powered by: {GOLD}Steam</v>
      </c>
      <c r="CD62" s="22" t="str">
        <f t="shared" si="146"/>
        <v/>
      </c>
      <c r="CE62" t="s">
        <v>308</v>
      </c>
      <c r="CF62" s="22" t="str">
        <f t="shared" si="13"/>
        <v/>
      </c>
      <c r="CG62" s="22" t="str">
        <f t="shared" si="26"/>
        <v>{BLACK}Powered by: {GOLD}Steam {}{BLACK}Length: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63" spans="1:85" x14ac:dyDescent="0.25">
      <c r="A63" t="s">
        <v>320</v>
      </c>
      <c r="B63" t="s">
        <v>321</v>
      </c>
      <c r="C63">
        <v>12</v>
      </c>
      <c r="D63">
        <v>2005</v>
      </c>
      <c r="E63" t="s">
        <v>488</v>
      </c>
      <c r="F63" t="s">
        <v>236</v>
      </c>
      <c r="G63" t="s">
        <v>25</v>
      </c>
      <c r="H63" t="s">
        <v>337</v>
      </c>
      <c r="I63">
        <v>1869</v>
      </c>
      <c r="M63">
        <v>275</v>
      </c>
      <c r="O63" s="5">
        <v>8.25</v>
      </c>
      <c r="P63" s="5">
        <v>13</v>
      </c>
      <c r="Q63" s="5">
        <v>4</v>
      </c>
      <c r="R63" s="5">
        <v>160</v>
      </c>
      <c r="S63" s="12">
        <f t="shared" si="195"/>
        <v>218.83804675135613</v>
      </c>
      <c r="T63" s="5">
        <v>0.7</v>
      </c>
      <c r="U63" s="5">
        <f t="shared" si="196"/>
        <v>223.43750000000003</v>
      </c>
      <c r="V63">
        <v>10</v>
      </c>
      <c r="X63">
        <v>5</v>
      </c>
      <c r="Y63">
        <v>38</v>
      </c>
      <c r="Z63" s="3">
        <f t="shared" si="207"/>
        <v>0.38</v>
      </c>
      <c r="AA63">
        <v>35</v>
      </c>
      <c r="AB63">
        <f t="shared" si="194"/>
        <v>56</v>
      </c>
      <c r="AF63">
        <v>12</v>
      </c>
      <c r="AI63" s="9">
        <v>0</v>
      </c>
      <c r="AJ63" s="14" t="str">
        <f>CONCATENATE(VLOOKUP(AK63, 'Voxel Sizes'!$A$2:$B$18,2,FALSE),"x",INT(AG63*15), "x", INT(AH63*15))</f>
        <v>120x0x0</v>
      </c>
      <c r="AK63" s="14">
        <f t="shared" si="208"/>
        <v>7</v>
      </c>
      <c r="AM63" s="14" t="str">
        <f>CONCATENATE(VLOOKUP(AK63,Constants!$A$2:$C$16,IF(AL63&lt;&gt;"", 3, 2), FALSE),IF(AL63&lt;&gt;"",CONCATENATE(",",VLOOKUP(AL63,$B:$AM,38,FALSE)),""))</f>
        <v>2,3,2</v>
      </c>
      <c r="AU63">
        <v>1</v>
      </c>
      <c r="AW63">
        <v>250</v>
      </c>
      <c r="AX63" s="14" t="str">
        <f t="shared" si="209"/>
        <v/>
      </c>
      <c r="AY63">
        <v>-5</v>
      </c>
      <c r="AZ63">
        <v>-6</v>
      </c>
      <c r="BA63" s="16">
        <f t="shared" si="210"/>
        <v>7</v>
      </c>
      <c r="BB63" s="16">
        <f t="shared" si="211"/>
        <v>1.375</v>
      </c>
      <c r="BC63" s="16">
        <f t="shared" si="212"/>
        <v>1.9</v>
      </c>
      <c r="BD63" s="17">
        <f t="shared" si="213"/>
        <v>1</v>
      </c>
      <c r="BE63" s="16">
        <f t="shared" si="189"/>
        <v>0</v>
      </c>
      <c r="BF63" s="16">
        <f>VLOOKUP($G63,Constants!$I:$K, 2, FALSE)</f>
        <v>1.1499999999999999</v>
      </c>
      <c r="BG63" s="16">
        <f>VLOOKUP($G63,Constants!$I:$K, 3, FALSE)*IF(AND(F63="multiple_unit",AA63&lt;110),0.75,1)</f>
        <v>1.7</v>
      </c>
      <c r="BH63" s="16">
        <f>INT(POWER(((Constants!$G$2+$BA63+$BB63+$BC63+$BE63)*$BD63)*$BG63, 1.05))+$AZ63</f>
        <v>24</v>
      </c>
      <c r="BI63" s="16">
        <f>INT(POWER((((Constants!$G$1+$BA63+$BB63+$BC63+$BE63)*($BD63))*$BF63),IF($F63="wagon",1,1.2)))+$AY63</f>
        <v>52</v>
      </c>
      <c r="BJ63" s="19">
        <f t="shared" si="190"/>
        <v>18750</v>
      </c>
      <c r="BK63" s="19">
        <f t="shared" si="191"/>
        <v>4225</v>
      </c>
      <c r="BT63">
        <v>11</v>
      </c>
      <c r="BX63" s="22" t="str">
        <f>VLOOKUP(I63,Eras!$A$2:$C$10, 2, TRUE)</f>
        <v>vct</v>
      </c>
      <c r="BY63" t="s">
        <v>61</v>
      </c>
      <c r="BZ63" s="22" t="str">
        <f t="shared" si="214"/>
        <v>vct_Cheap</v>
      </c>
      <c r="CA63" s="22" t="str">
        <f t="shared" si="215"/>
        <v>steam_NARROW_GAUGE</v>
      </c>
      <c r="CB63" s="25" t="str" cm="1">
        <f t="array" ref="CB63">IF(AM63&lt;&gt;"na", _xlfn.CONCAT("{BLACK}Length: {GOLD}", TEXT(ROUNDUP(IF(AP63&lt;&gt;"",SUM(VALUE(_xlfn.TEXTSPLIT(AP63, ","))), SUM(VALUE(_xlfn.TEXTSPLIT(AM63, ",")))*IF(L63, L63, 1))/16, 1),"#,##0.0"), " tiles{}"), "")</f>
        <v>{BLACK}Length: {GOLD}0.5 tiles{}</v>
      </c>
      <c r="CC63" s="22" t="str">
        <f>VLOOKUP($CA63, Constants!$M:$N, 2, FALSE)</f>
        <v>{BLACK}Powered by: {GOLD}Steam</v>
      </c>
      <c r="CD63" s="22" t="str">
        <f t="shared" si="146"/>
        <v/>
      </c>
      <c r="CE63" t="s">
        <v>322</v>
      </c>
      <c r="CF63" s="22" t="str">
        <f t="shared" si="13"/>
        <v/>
      </c>
      <c r="CG63" s="22" t="str">
        <f t="shared" si="26"/>
        <v>{BLACK}Powered by: {GOLD}Steam {}{BLACK}Length: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64" spans="1:85" x14ac:dyDescent="0.25">
      <c r="A64" t="s">
        <v>492</v>
      </c>
      <c r="B64" t="s">
        <v>303</v>
      </c>
      <c r="C64">
        <v>15</v>
      </c>
      <c r="D64">
        <v>2006</v>
      </c>
      <c r="E64" t="s">
        <v>488</v>
      </c>
      <c r="F64" t="s">
        <v>236</v>
      </c>
      <c r="G64" t="s">
        <v>25</v>
      </c>
      <c r="H64" t="s">
        <v>337</v>
      </c>
      <c r="I64">
        <v>1903</v>
      </c>
      <c r="K64">
        <v>1960</v>
      </c>
      <c r="M64">
        <v>55</v>
      </c>
      <c r="O64" s="5">
        <v>7</v>
      </c>
      <c r="P64" s="5">
        <v>10</v>
      </c>
      <c r="Q64" s="5">
        <v>2</v>
      </c>
      <c r="R64" s="5">
        <v>160</v>
      </c>
      <c r="S64" s="12">
        <f t="shared" si="195"/>
        <v>187.57546864401954</v>
      </c>
      <c r="T64" s="5">
        <v>0.7</v>
      </c>
      <c r="U64" s="5">
        <f t="shared" si="196"/>
        <v>53.030303030303038</v>
      </c>
      <c r="V64">
        <v>7</v>
      </c>
      <c r="X64">
        <v>5</v>
      </c>
      <c r="Y64">
        <v>12</v>
      </c>
      <c r="Z64" s="3">
        <f t="shared" si="207"/>
        <v>0.17142857142857143</v>
      </c>
      <c r="AA64">
        <v>30</v>
      </c>
      <c r="AB64">
        <f t="shared" si="194"/>
        <v>48</v>
      </c>
      <c r="AE64">
        <v>4</v>
      </c>
      <c r="AF64">
        <v>6</v>
      </c>
      <c r="AI64" s="9">
        <v>0</v>
      </c>
      <c r="AJ64" s="14" t="str">
        <f>CONCATENATE(VLOOKUP(AK64, 'Voxel Sizes'!$A$2:$B$18,2,FALSE),"x",INT(AG64*15), "x", INT(AH64*15))</f>
        <v>66x0x0</v>
      </c>
      <c r="AK64" s="14">
        <f t="shared" si="208"/>
        <v>4</v>
      </c>
      <c r="AM64" s="14" t="str">
        <f>CONCATENATE(VLOOKUP(AK64,Constants!$A$2:$C$16,IF(AL64&lt;&gt;"", 3, 2), FALSE),IF(AL64&lt;&gt;"",CONCATENATE(",",VLOOKUP(AL64,$B:$AM,38,FALSE)),""))</f>
        <v>1,2,1</v>
      </c>
      <c r="AU64">
        <v>1</v>
      </c>
      <c r="AW64">
        <v>250</v>
      </c>
      <c r="AX64" s="14">
        <f t="shared" si="209"/>
        <v>65</v>
      </c>
      <c r="AY64">
        <v>-5</v>
      </c>
      <c r="AZ64">
        <v>-5</v>
      </c>
      <c r="BA64" s="16">
        <f t="shared" si="210"/>
        <v>6</v>
      </c>
      <c r="BB64" s="16">
        <f t="shared" si="211"/>
        <v>0.27500000000000002</v>
      </c>
      <c r="BC64" s="16">
        <f t="shared" si="212"/>
        <v>0.6</v>
      </c>
      <c r="BD64" s="17">
        <f t="shared" si="213"/>
        <v>0.996</v>
      </c>
      <c r="BE64" s="16">
        <f t="shared" si="189"/>
        <v>0</v>
      </c>
      <c r="BF64" s="16">
        <f>VLOOKUP($G64,Constants!$I:$K, 2, FALSE)</f>
        <v>1.1499999999999999</v>
      </c>
      <c r="BG64" s="16">
        <f>VLOOKUP($G64,Constants!$I:$K, 3, FALSE)*IF(AND(F64="multiple_unit",AA64&lt;110),0.75,1)</f>
        <v>1.7</v>
      </c>
      <c r="BH64" s="16">
        <f>INT(POWER(((Constants!$G$2+$BA64+$BB64+$BC64+$BE64)*$BD64)*$BG64, 1.05))+$AZ64</f>
        <v>18</v>
      </c>
      <c r="BI64" s="16">
        <f>INT(POWER((((Constants!$G$1+$BA64+$BB64+$BC64+$BE64)*($BD64))*$BF64),IF($F64="wagon",1,1.2)))+$AY64</f>
        <v>42</v>
      </c>
      <c r="BJ64" s="19">
        <f t="shared" si="190"/>
        <v>14062.5</v>
      </c>
      <c r="BK64" s="19">
        <f t="shared" si="191"/>
        <v>3412.5</v>
      </c>
      <c r="BT64">
        <v>10</v>
      </c>
      <c r="BX64" s="22" t="str">
        <f>VLOOKUP(I64,Eras!$A$2:$C$10, 2, TRUE)</f>
        <v>edw</v>
      </c>
      <c r="BY64" t="s">
        <v>61</v>
      </c>
      <c r="BZ64" s="22" t="str">
        <f t="shared" si="214"/>
        <v>edw_Cheap</v>
      </c>
      <c r="CA64" s="22" t="str">
        <f t="shared" si="215"/>
        <v>steam_NARROW_GAUGE</v>
      </c>
      <c r="CB64" s="25" t="str" cm="1">
        <f t="array" ref="CB64">IF(AM64&lt;&gt;"na", _xlfn.CONCAT("{BLACK}Length: {GOLD}", TEXT(ROUNDUP(IF(AP64&lt;&gt;"",SUM(VALUE(_xlfn.TEXTSPLIT(AP64, ","))), SUM(VALUE(_xlfn.TEXTSPLIT(AM64, ",")))*IF(L64, L64, 1))/16, 1),"#,##0.0"), " tiles{}"), "")</f>
        <v>{BLACK}Length: {GOLD}0.3 tiles{}</v>
      </c>
      <c r="CC64" s="22" t="str">
        <f>VLOOKUP($CA64, Constants!$M:$N, 2, FALSE)</f>
        <v>{BLACK}Powered by: {GOLD}Steam</v>
      </c>
      <c r="CD64" s="22" t="str">
        <f t="shared" si="146"/>
        <v/>
      </c>
      <c r="CE64" t="s">
        <v>493</v>
      </c>
      <c r="CF64" s="22" t="str">
        <f t="shared" si="13"/>
        <v/>
      </c>
      <c r="CG64" s="22" t="str">
        <f t="shared" si="26"/>
        <v>{BLACK}Powered by: {GOLD}Steam {}{BLACK}Length: {GOLD}0.3 tiles{}{SILVER}These small Hunslet tank engines were used as quarry locomotives. "Alice" worked at Dinorwic, being used as a source of spare parts afterward, before being restored in the late '80s and early '90s and now running on the Bala Lake Railway.</v>
      </c>
    </row>
    <row r="65" spans="1:85" x14ac:dyDescent="0.25">
      <c r="A65" t="s">
        <v>306</v>
      </c>
      <c r="B65" t="s">
        <v>307</v>
      </c>
      <c r="C65">
        <v>20</v>
      </c>
      <c r="D65">
        <v>-1</v>
      </c>
      <c r="F65" t="s">
        <v>15</v>
      </c>
      <c r="G65" t="s">
        <v>25</v>
      </c>
      <c r="H65" t="s">
        <v>337</v>
      </c>
      <c r="I65">
        <v>1903</v>
      </c>
      <c r="K65">
        <v>1951</v>
      </c>
      <c r="S65" s="12">
        <f t="shared" si="195"/>
        <v>0</v>
      </c>
      <c r="T65" s="5">
        <v>0.7</v>
      </c>
      <c r="U65" s="5">
        <f t="shared" si="196"/>
        <v>0</v>
      </c>
      <c r="X65">
        <v>5</v>
      </c>
      <c r="Z65" s="3" t="str">
        <f t="shared" si="207"/>
        <v/>
      </c>
      <c r="AB65">
        <f t="shared" si="194"/>
        <v>0</v>
      </c>
      <c r="AI65" s="9">
        <v>0</v>
      </c>
      <c r="AJ65" s="14" t="str">
        <f>CONCATENATE(VLOOKUP(AK65, 'Voxel Sizes'!$A$2:$B$18,2,FALSE),"x",INT(AG65*15), "x", INT(AH65*15))</f>
        <v>0x0x0</v>
      </c>
      <c r="AK65" s="14">
        <f t="shared" si="208"/>
        <v>0</v>
      </c>
      <c r="AM65" s="14" t="str">
        <f>CONCATENATE(VLOOKUP(AK65,Constants!$A$2:$C$16,IF(AL65&lt;&gt;"", 3, 2), FALSE),IF(AL65&lt;&gt;"",CONCATENATE(",",VLOOKUP(AL65,$B:$AM,38,FALSE)),""))</f>
        <v>na</v>
      </c>
      <c r="AU65">
        <v>1</v>
      </c>
      <c r="AW65">
        <v>250</v>
      </c>
      <c r="AX65" s="14">
        <f t="shared" si="209"/>
        <v>56</v>
      </c>
      <c r="AY65">
        <v>-5</v>
      </c>
      <c r="AZ65">
        <v>-5</v>
      </c>
      <c r="BA65" s="16">
        <f t="shared" si="210"/>
        <v>0</v>
      </c>
      <c r="BB65" s="16">
        <f t="shared" si="211"/>
        <v>0</v>
      </c>
      <c r="BC65" s="16">
        <f t="shared" si="212"/>
        <v>0</v>
      </c>
      <c r="BD65" s="17">
        <f t="shared" si="213"/>
        <v>0.996</v>
      </c>
      <c r="BE65" s="16">
        <f t="shared" si="189"/>
        <v>0</v>
      </c>
      <c r="BF65" s="16">
        <f>VLOOKUP($G65,Constants!$I:$K, 2, FALSE)</f>
        <v>1.1499999999999999</v>
      </c>
      <c r="BG65" s="16">
        <f>VLOOKUP($G65,Constants!$I:$K, 3, FALSE)*IF(AND(F65="multiple_unit",AA65&lt;110),0.75,1)</f>
        <v>1.7</v>
      </c>
      <c r="BH65" s="16">
        <f>INT(POWER(((Constants!$G$2+$BA65+$BB65+$BC65+$BE65)*$BD65)*$BG65, 1.05))+$AZ65</f>
        <v>4</v>
      </c>
      <c r="BI65" s="16">
        <f>INT(POWER((((Constants!$G$1+$BA65+$BB65+$BC65+$BE65)*($BD65))*$BF65),IF($F65="wagon",1,1.2)))+$AY65</f>
        <v>25</v>
      </c>
      <c r="BJ65" s="19">
        <f t="shared" si="190"/>
        <v>3125</v>
      </c>
      <c r="BK65" s="19">
        <f t="shared" si="191"/>
        <v>2031.25</v>
      </c>
      <c r="BT65">
        <v>9</v>
      </c>
      <c r="BX65" s="22" t="str">
        <f>VLOOKUP(I65,Eras!$A$2:$C$10, 2, TRUE)</f>
        <v>edw</v>
      </c>
      <c r="BY65" t="s">
        <v>61</v>
      </c>
      <c r="BZ65" s="22" t="str">
        <f t="shared" si="214"/>
        <v>edw_Cheap</v>
      </c>
      <c r="CA65" s="22" t="str">
        <f t="shared" si="215"/>
        <v>steam_NARROW_GAUGE</v>
      </c>
      <c r="CB65" s="25" t="str" cm="1">
        <f t="array" ref="CB65">IF(AM65&lt;&gt;"na", _xlfn.CONCAT("{BLACK}Length: {GOLD}", TEXT(ROUNDUP(IF(AP65&lt;&gt;"",SUM(VALUE(_xlfn.TEXTSPLIT(AP65, ","))), SUM(VALUE(_xlfn.TEXTSPLIT(AM65, ",")))*IF(L65, L65, 1))/16, 1),"#,##0.0"), " tiles{}"), "")</f>
        <v/>
      </c>
      <c r="CC65" s="22" t="str">
        <f>VLOOKUP($CA65, Constants!$M:$N, 2, FALSE)</f>
        <v>{BLACK}Powered by: {GOLD}Steam</v>
      </c>
      <c r="CD65" s="22" t="str">
        <f t="shared" si="146"/>
        <v/>
      </c>
      <c r="CF65" s="22" t="str">
        <f t="shared" si="13"/>
        <v/>
      </c>
      <c r="CG65" s="22" t="str">
        <f t="shared" si="26"/>
        <v>{BLACK}Powered by: {GOLD}Steam {}{SILVER}</v>
      </c>
    </row>
    <row r="66" spans="1:85" x14ac:dyDescent="0.25">
      <c r="A66" t="s">
        <v>309</v>
      </c>
      <c r="B66" t="s">
        <v>310</v>
      </c>
      <c r="C66">
        <v>25</v>
      </c>
      <c r="D66">
        <v>2007</v>
      </c>
      <c r="E66" t="s">
        <v>488</v>
      </c>
      <c r="F66" t="s">
        <v>236</v>
      </c>
      <c r="G66" t="s">
        <v>25</v>
      </c>
      <c r="H66" t="s">
        <v>337</v>
      </c>
      <c r="I66">
        <v>1918</v>
      </c>
      <c r="K66">
        <v>1955</v>
      </c>
      <c r="M66">
        <v>65</v>
      </c>
      <c r="O66" s="5">
        <v>6.8</v>
      </c>
      <c r="P66" s="5">
        <v>10.75</v>
      </c>
      <c r="Q66" s="5">
        <v>2</v>
      </c>
      <c r="R66" s="5">
        <v>160</v>
      </c>
      <c r="S66" s="12">
        <f t="shared" si="195"/>
        <v>218.8380467513561</v>
      </c>
      <c r="T66" s="5">
        <v>0.6</v>
      </c>
      <c r="U66" s="5">
        <f t="shared" si="196"/>
        <v>62.76262626262627</v>
      </c>
      <c r="V66">
        <v>8</v>
      </c>
      <c r="X66">
        <v>5</v>
      </c>
      <c r="Y66">
        <v>15</v>
      </c>
      <c r="Z66" s="3">
        <f t="shared" si="207"/>
        <v>0.1875</v>
      </c>
      <c r="AA66">
        <v>30</v>
      </c>
      <c r="AB66">
        <f t="shared" ref="AB66:AB76" si="216">ROUND(AA66*1.6, 0)</f>
        <v>48</v>
      </c>
      <c r="AE66">
        <v>4.7</v>
      </c>
      <c r="AF66">
        <v>6</v>
      </c>
      <c r="AI66" s="9">
        <v>0</v>
      </c>
      <c r="AJ66" s="14" t="str">
        <f>CONCATENATE(VLOOKUP(AK66, 'Voxel Sizes'!$A$2:$B$18,2,FALSE),"x",INT(AG66*15), "x", INT(AH66*15))</f>
        <v>66x0x0</v>
      </c>
      <c r="AK66" s="14">
        <f t="shared" si="208"/>
        <v>4</v>
      </c>
      <c r="AM66" s="14" t="str">
        <f>CONCATENATE(VLOOKUP(AK66,Constants!$A$2:$C$16,IF(AL66&lt;&gt;"", 3, 2), FALSE),IF(AL66&lt;&gt;"",CONCATENATE(",",VLOOKUP(AL66,$B:$AM,38,FALSE)),""))</f>
        <v>1,2,1</v>
      </c>
      <c r="AU66">
        <v>1</v>
      </c>
      <c r="AW66">
        <v>250</v>
      </c>
      <c r="AX66" s="14">
        <f t="shared" si="209"/>
        <v>45</v>
      </c>
      <c r="AY66">
        <v>-5</v>
      </c>
      <c r="AZ66">
        <v>-7</v>
      </c>
      <c r="BA66" s="16">
        <f t="shared" si="210"/>
        <v>6</v>
      </c>
      <c r="BB66" s="16">
        <f t="shared" si="211"/>
        <v>0.32500000000000001</v>
      </c>
      <c r="BC66" s="16">
        <f t="shared" si="212"/>
        <v>0.75</v>
      </c>
      <c r="BD66" s="17">
        <f t="shared" si="213"/>
        <v>0.97599999999999998</v>
      </c>
      <c r="BE66" s="16">
        <f t="shared" si="189"/>
        <v>0</v>
      </c>
      <c r="BF66" s="16">
        <f>VLOOKUP($G66,Constants!$I:$K, 2, FALSE)</f>
        <v>1.1499999999999999</v>
      </c>
      <c r="BG66" s="16">
        <f>VLOOKUP($G66,Constants!$I:$K, 3, FALSE)*IF(AND(F66="multiple_unit",AA66&lt;110),0.75,1)</f>
        <v>1.7</v>
      </c>
      <c r="BH66" s="16">
        <f>INT(POWER(((Constants!$G$2+$BA66+$BB66+$BC66+$BE66)*$BD66)*$BG66, 1.05))+$AZ66</f>
        <v>16</v>
      </c>
      <c r="BI66" s="16">
        <f>INT(POWER((((Constants!$G$1+$BA66+$BB66+$BC66+$BE66)*($BD66))*$BF66),IF($F66="wagon",1,1.2)))+$AY66</f>
        <v>42</v>
      </c>
      <c r="BJ66" s="19">
        <f t="shared" si="190"/>
        <v>12500</v>
      </c>
      <c r="BK66" s="19">
        <f t="shared" si="191"/>
        <v>3412.5</v>
      </c>
      <c r="BT66">
        <v>8</v>
      </c>
      <c r="BX66" s="22" t="str">
        <f>VLOOKUP(I66,Eras!$A$2:$C$10, 2, TRUE)</f>
        <v>edw</v>
      </c>
      <c r="BY66" t="s">
        <v>61</v>
      </c>
      <c r="BZ66" s="22" t="str">
        <f t="shared" si="214"/>
        <v>edw_Cheap</v>
      </c>
      <c r="CA66" s="22" t="str">
        <f t="shared" si="215"/>
        <v>steam_NARROW_GAUGE</v>
      </c>
      <c r="CB66" s="25" t="str" cm="1">
        <f t="array" ref="CB66">IF(AM66&lt;&gt;"na", _xlfn.CONCAT("{BLACK}Length: {GOLD}", TEXT(ROUNDUP(IF(AP66&lt;&gt;"",SUM(VALUE(_xlfn.TEXTSPLIT(AP66, ","))), SUM(VALUE(_xlfn.TEXTSPLIT(AM66, ",")))*IF(L66, L66, 1))/16, 1),"#,##0.0"), " tiles{}"), "")</f>
        <v>{BLACK}Length: {GOLD}0.3 tiles{}</v>
      </c>
      <c r="CC66" s="22" t="str">
        <f>VLOOKUP($CA66, Constants!$M:$N, 2, FALSE)</f>
        <v>{BLACK}Powered by: {GOLD}Steam</v>
      </c>
      <c r="CD66" s="22" t="str">
        <f t="shared" si="146"/>
        <v/>
      </c>
      <c r="CE66" t="s">
        <v>311</v>
      </c>
      <c r="CF66" s="22" t="str">
        <f t="shared" si="13"/>
        <v/>
      </c>
      <c r="CG66" s="22" t="str">
        <f t="shared" si="26"/>
        <v>{BLACK}Powered by: {GOLD}Steam {}{BLACK}Length: {GOLD}0.3 tiles{}{SILVER}The E Class is a small 0-4-0 well tank. One used by the RAF is preserved on the Talyllyn railway as "Douglas", named after second owner Douglas Abelson who donated it from his engineering firm.</v>
      </c>
    </row>
    <row r="67" spans="1:85" x14ac:dyDescent="0.25">
      <c r="A67" t="s">
        <v>304</v>
      </c>
      <c r="B67" t="s">
        <v>305</v>
      </c>
      <c r="C67">
        <v>30</v>
      </c>
      <c r="D67">
        <v>2008</v>
      </c>
      <c r="E67" t="s">
        <v>488</v>
      </c>
      <c r="F67" t="s">
        <v>236</v>
      </c>
      <c r="G67" t="s">
        <v>25</v>
      </c>
      <c r="H67" t="s">
        <v>337</v>
      </c>
      <c r="I67">
        <v>1923</v>
      </c>
      <c r="K67">
        <v>1968</v>
      </c>
      <c r="M67">
        <v>250</v>
      </c>
      <c r="O67" s="5">
        <v>11.5</v>
      </c>
      <c r="P67" s="5">
        <v>17</v>
      </c>
      <c r="Q67" s="5">
        <v>2</v>
      </c>
      <c r="R67" s="5">
        <v>165</v>
      </c>
      <c r="S67" s="12">
        <f t="shared" si="195"/>
        <v>153.18663272594927</v>
      </c>
      <c r="T67" s="5">
        <v>1</v>
      </c>
      <c r="U67" s="5">
        <f t="shared" si="196"/>
        <v>204.91861979166666</v>
      </c>
      <c r="V67">
        <v>25</v>
      </c>
      <c r="X67">
        <v>5</v>
      </c>
      <c r="Y67">
        <v>44</v>
      </c>
      <c r="Z67" s="3">
        <f t="shared" si="207"/>
        <v>0.17599999999999999</v>
      </c>
      <c r="AA67">
        <v>35</v>
      </c>
      <c r="AB67">
        <f t="shared" si="216"/>
        <v>56</v>
      </c>
      <c r="AF67">
        <v>8</v>
      </c>
      <c r="AI67" s="9">
        <v>0</v>
      </c>
      <c r="AJ67" s="14" t="str">
        <f>CONCATENATE(VLOOKUP(AK67, 'Voxel Sizes'!$A$2:$B$18,2,FALSE),"x",INT(AG67*15), "x", INT(AH67*15))</f>
        <v>82x0x0</v>
      </c>
      <c r="AK67" s="14">
        <f t="shared" si="208"/>
        <v>5</v>
      </c>
      <c r="AM67" s="14" t="str">
        <f>CONCATENATE(VLOOKUP(AK67,Constants!$A$2:$C$16,IF(AL67&lt;&gt;"", 3, 2), FALSE),IF(AL67&lt;&gt;"",CONCATENATE(",",VLOOKUP(AL67,$B:$AM,38,FALSE)),""))</f>
        <v>2,1,2</v>
      </c>
      <c r="AU67">
        <v>1</v>
      </c>
      <c r="AW67">
        <v>250</v>
      </c>
      <c r="AX67" s="14">
        <f t="shared" si="209"/>
        <v>53</v>
      </c>
      <c r="AY67">
        <v>-10</v>
      </c>
      <c r="AZ67">
        <v>-5</v>
      </c>
      <c r="BA67" s="16">
        <f t="shared" si="210"/>
        <v>7</v>
      </c>
      <c r="BB67" s="16">
        <f t="shared" si="211"/>
        <v>1.25</v>
      </c>
      <c r="BC67" s="16">
        <f t="shared" si="212"/>
        <v>2.2000000000000002</v>
      </c>
      <c r="BD67" s="17">
        <f t="shared" si="213"/>
        <v>0.96933333333333338</v>
      </c>
      <c r="BE67" s="16">
        <f t="shared" si="189"/>
        <v>0</v>
      </c>
      <c r="BF67" s="16">
        <f>VLOOKUP($G67,Constants!$I:$K, 2, FALSE)</f>
        <v>1.1499999999999999</v>
      </c>
      <c r="BG67" s="16">
        <f>VLOOKUP($G67,Constants!$I:$K, 3, FALSE)*IF(AND(F67="multiple_unit",AA67&lt;110),0.75,1)</f>
        <v>1.7</v>
      </c>
      <c r="BH67" s="16">
        <f>INT(POWER(((Constants!$G$2+$BA67+$BB67+$BC67+$BE67)*$BD67)*$BG67, 1.05))+$AZ67</f>
        <v>24</v>
      </c>
      <c r="BI67" s="16">
        <f>INT(POWER((((Constants!$G$1+$BA67+$BB67+$BC67+$BE67)*($BD67))*$BF67),IF($F67="wagon",1,1.2)))+$AY67</f>
        <v>45</v>
      </c>
      <c r="BJ67" s="19">
        <f t="shared" si="190"/>
        <v>18750</v>
      </c>
      <c r="BK67" s="19">
        <f t="shared" si="191"/>
        <v>3656.25</v>
      </c>
      <c r="BT67">
        <v>7</v>
      </c>
      <c r="BX67" s="22" t="str">
        <f>VLOOKUP(I67,Eras!$A$2:$C$10, 2, TRUE)</f>
        <v>big4</v>
      </c>
      <c r="BY67" t="s">
        <v>61</v>
      </c>
      <c r="BZ67" s="22" t="str">
        <f t="shared" si="214"/>
        <v>big4_Cheap</v>
      </c>
      <c r="CA67" s="22" t="str">
        <f t="shared" si="215"/>
        <v>steam_NARROW_GAUGE</v>
      </c>
      <c r="CB67" s="25" t="str" cm="1">
        <f t="array" ref="CB67">IF(AM67&lt;&gt;"na", _xlfn.CONCAT("{BLACK}Length: {GOLD}", TEXT(ROUNDUP(IF(AP67&lt;&gt;"",SUM(VALUE(_xlfn.TEXTSPLIT(AP67, ","))), SUM(VALUE(_xlfn.TEXTSPLIT(AM67, ",")))*IF(L67, L67, 1))/16, 1),"#,##0.0"), " tiles{}"), "")</f>
        <v>{BLACK}Length: {GOLD}0.4 tiles{}</v>
      </c>
      <c r="CC67" s="22" t="str">
        <f>VLOOKUP($CA67, Constants!$M:$N, 2, FALSE)</f>
        <v>{BLACK}Powered by: {GOLD}Steam</v>
      </c>
      <c r="CD67" s="22" t="str">
        <f t="shared" si="146"/>
        <v/>
      </c>
      <c r="CE67" t="s">
        <v>319</v>
      </c>
      <c r="CF67" s="22" t="str">
        <f t="shared" si="13"/>
        <v/>
      </c>
      <c r="CG67" s="22" t="str">
        <f t="shared" ref="CG67:CG88" si="217">_xlfn.CONCAT(CC67,IF(CC67 &lt;&gt; "", " ", ""),CD67,IF(OR(CD67&lt;&gt;"", CC67&lt;&gt;""), "{}",""), CB67, CF67, "{SILVER}", CE67)</f>
        <v>{BLACK}Powered by: {GOLD}Steam {}{BLACK}Length: {GOLD}0.4 tiles{}{SILVER}Charles Collett designed these tank locomotives to replace worn-out engines on the Vale of Rheidol line. They became the last steam locomotives running on British Railways, up until the line became a heritage railway in 1989.</v>
      </c>
    </row>
    <row r="68" spans="1:85" x14ac:dyDescent="0.25">
      <c r="A68" t="s">
        <v>324</v>
      </c>
      <c r="B68" t="s">
        <v>299</v>
      </c>
      <c r="C68">
        <v>35</v>
      </c>
      <c r="D68">
        <v>-1</v>
      </c>
      <c r="F68" t="s">
        <v>15</v>
      </c>
      <c r="G68" t="s">
        <v>26</v>
      </c>
      <c r="H68" t="s">
        <v>337</v>
      </c>
      <c r="I68">
        <v>1940</v>
      </c>
      <c r="K68">
        <v>1980</v>
      </c>
      <c r="M68">
        <v>40</v>
      </c>
      <c r="S68" s="12">
        <f t="shared" si="195"/>
        <v>0</v>
      </c>
      <c r="T68" s="5">
        <v>0.7</v>
      </c>
      <c r="U68" s="5">
        <f t="shared" si="196"/>
        <v>0</v>
      </c>
      <c r="X68">
        <v>5</v>
      </c>
      <c r="Z68" s="3" t="str">
        <f t="shared" si="207"/>
        <v/>
      </c>
      <c r="AB68">
        <f t="shared" si="216"/>
        <v>0</v>
      </c>
      <c r="AI68" s="9">
        <v>0</v>
      </c>
      <c r="AJ68" s="14" t="str">
        <f>CONCATENATE(VLOOKUP(AK68, 'Voxel Sizes'!$A$2:$B$18,2,FALSE),"x",INT(AG68*15), "x", INT(AH68*15))</f>
        <v>0x0x0</v>
      </c>
      <c r="AK68" s="14">
        <f t="shared" si="208"/>
        <v>0</v>
      </c>
      <c r="AM68" s="14" t="str">
        <f>CONCATENATE(VLOOKUP(AK68,Constants!$A$2:$C$16,IF(AL68&lt;&gt;"", 3, 2), FALSE),IF(AL68&lt;&gt;"",CONCATENATE(",",VLOOKUP(AL68,$B:$AM,38,FALSE)),""))</f>
        <v>na</v>
      </c>
      <c r="AU68">
        <v>1</v>
      </c>
      <c r="AW68">
        <v>250</v>
      </c>
      <c r="AX68" s="14">
        <f t="shared" si="209"/>
        <v>48</v>
      </c>
      <c r="AY68">
        <v>-5</v>
      </c>
      <c r="AZ68">
        <v>-2</v>
      </c>
      <c r="BA68" s="16">
        <f t="shared" si="210"/>
        <v>0</v>
      </c>
      <c r="BB68" s="16">
        <f t="shared" si="211"/>
        <v>0.2</v>
      </c>
      <c r="BC68" s="16">
        <f t="shared" si="212"/>
        <v>0</v>
      </c>
      <c r="BD68" s="17">
        <f t="shared" si="213"/>
        <v>0.94666666666666666</v>
      </c>
      <c r="BE68" s="16">
        <f t="shared" si="189"/>
        <v>0</v>
      </c>
      <c r="BF68" s="16">
        <f>VLOOKUP($G68,Constants!$I:$K, 2, FALSE)</f>
        <v>1</v>
      </c>
      <c r="BG68" s="16">
        <f>VLOOKUP($G68,Constants!$I:$K, 3, FALSE)*IF(AND(F68="multiple_unit",AA68&lt;110),0.75,1)</f>
        <v>2</v>
      </c>
      <c r="BH68" s="16">
        <f>INT(POWER(((Constants!$G$2+$BA68+$BB68+$BC68+$BE68)*$BD68)*$BG68, 1.05))+$AZ68</f>
        <v>9</v>
      </c>
      <c r="BI68" s="16">
        <f>INT(POWER((((Constants!$G$1+$BA68+$BB68+$BC68+$BE68)*($BD68))*$BF68),IF($F68="wagon",1,1.2)))+$AY68</f>
        <v>19</v>
      </c>
      <c r="BJ68" s="19">
        <f t="shared" si="190"/>
        <v>7031.25</v>
      </c>
      <c r="BK68" s="19">
        <f t="shared" si="191"/>
        <v>1543.75</v>
      </c>
      <c r="BT68">
        <v>6</v>
      </c>
      <c r="BX68" s="22" t="str">
        <f>VLOOKUP(I68,Eras!$A$2:$C$10, 2, TRUE)</f>
        <v>big4</v>
      </c>
      <c r="BY68" t="s">
        <v>61</v>
      </c>
      <c r="BZ68" s="22" t="str">
        <f t="shared" si="214"/>
        <v>big4_Cheap</v>
      </c>
      <c r="CA68" s="22" t="str">
        <f t="shared" si="215"/>
        <v>diesel_NARROW_GAUGE</v>
      </c>
      <c r="CB68" s="25" t="str" cm="1">
        <f t="array" ref="CB68">IF(AM68&lt;&gt;"na", _xlfn.CONCAT("{BLACK}Length: {GOLD}", TEXT(ROUNDUP(IF(AP68&lt;&gt;"",SUM(VALUE(_xlfn.TEXTSPLIT(AP68, ","))), SUM(VALUE(_xlfn.TEXTSPLIT(AM68, ",")))*IF(L68, L68, 1))/16, 1),"#,##0.0"), " tiles{}"), "")</f>
        <v/>
      </c>
      <c r="CC68" s="22" t="str">
        <f>VLOOKUP($CA68, Constants!$M:$N, 2, FALSE)</f>
        <v>{BLACK}Powered by: {GOLD}Diesel</v>
      </c>
      <c r="CD68" s="22" t="str">
        <f t="shared" si="146"/>
        <v/>
      </c>
      <c r="CF68" s="22" t="str">
        <f t="shared" si="13"/>
        <v/>
      </c>
      <c r="CG68" s="22" t="str">
        <f t="shared" si="217"/>
        <v>{BLACK}Powered by: {GOLD}Diesel {}{SILVER}</v>
      </c>
    </row>
    <row r="69" spans="1:85" x14ac:dyDescent="0.25">
      <c r="A69" t="s">
        <v>323</v>
      </c>
      <c r="B69" t="s">
        <v>300</v>
      </c>
      <c r="C69">
        <v>40</v>
      </c>
      <c r="D69">
        <v>2009</v>
      </c>
      <c r="E69" t="s">
        <v>488</v>
      </c>
      <c r="F69" t="s">
        <v>236</v>
      </c>
      <c r="G69" t="s">
        <v>26</v>
      </c>
      <c r="H69" t="s">
        <v>337</v>
      </c>
      <c r="I69">
        <v>1941</v>
      </c>
      <c r="K69">
        <v>1985</v>
      </c>
      <c r="M69">
        <v>50</v>
      </c>
      <c r="S69" s="12">
        <f t="shared" si="195"/>
        <v>187.57546864401954</v>
      </c>
      <c r="T69" s="5">
        <v>0.7</v>
      </c>
      <c r="U69" s="5">
        <f t="shared" si="196"/>
        <v>0</v>
      </c>
      <c r="V69">
        <v>7</v>
      </c>
      <c r="X69">
        <v>5</v>
      </c>
      <c r="Y69">
        <v>22</v>
      </c>
      <c r="Z69" s="3">
        <f t="shared" si="207"/>
        <v>0.31428571428571428</v>
      </c>
      <c r="AA69">
        <v>30</v>
      </c>
      <c r="AB69">
        <f t="shared" si="216"/>
        <v>48</v>
      </c>
      <c r="AF69">
        <v>6</v>
      </c>
      <c r="AI69" s="9">
        <v>0</v>
      </c>
      <c r="AJ69" s="14" t="str">
        <f>CONCATENATE(VLOOKUP(AK69, 'Voxel Sizes'!$A$2:$B$18,2,FALSE),"x",INT(AG69*15), "x", INT(AH69*15))</f>
        <v>66x0x0</v>
      </c>
      <c r="AK69" s="14">
        <f t="shared" si="208"/>
        <v>4</v>
      </c>
      <c r="AM69" s="14" t="str">
        <f>CONCATENATE(VLOOKUP(AK69,Constants!$A$2:$C$16,IF(AL69&lt;&gt;"", 3, 2), FALSE),IF(AL69&lt;&gt;"",CONCATENATE(",",VLOOKUP(AL69,$B:$AM,38,FALSE)),""))</f>
        <v>1,2,1</v>
      </c>
      <c r="AW69">
        <v>125</v>
      </c>
      <c r="AX69" s="14">
        <f t="shared" si="209"/>
        <v>52</v>
      </c>
      <c r="AY69">
        <v>-9</v>
      </c>
      <c r="AZ69">
        <v>-12</v>
      </c>
      <c r="BA69" s="16">
        <f t="shared" si="210"/>
        <v>6</v>
      </c>
      <c r="BB69" s="16">
        <f t="shared" si="211"/>
        <v>0.25</v>
      </c>
      <c r="BC69" s="16">
        <f t="shared" si="212"/>
        <v>1.1000000000000001</v>
      </c>
      <c r="BD69" s="17">
        <f t="shared" si="213"/>
        <v>0.94533333333333336</v>
      </c>
      <c r="BE69" s="16">
        <f t="shared" si="189"/>
        <v>0</v>
      </c>
      <c r="BF69" s="16">
        <f>VLOOKUP($G69,Constants!$I:$K, 2, FALSE)</f>
        <v>1</v>
      </c>
      <c r="BG69" s="16">
        <f>VLOOKUP($G69,Constants!$I:$K, 3, FALSE)*IF(AND(F69="multiple_unit",AA69&lt;110),0.75,1)</f>
        <v>2</v>
      </c>
      <c r="BH69" s="16">
        <f>INT(POWER(((Constants!$G$2+$BA69+$BB69+$BC69+$BE69)*$BD69)*$BG69, 1.05))+$AZ69</f>
        <v>15</v>
      </c>
      <c r="BI69" s="16">
        <f>INT(POWER((((Constants!$G$1+$BA69+$BB69+$BC69+$BE69)*($BD69))*$BF69),IF($F69="wagon",1,1.2)))+$AY69</f>
        <v>29</v>
      </c>
      <c r="BJ69" s="19">
        <f t="shared" si="190"/>
        <v>11718.75</v>
      </c>
      <c r="BK69" s="19">
        <f t="shared" si="191"/>
        <v>2356.25</v>
      </c>
      <c r="BT69">
        <v>5</v>
      </c>
      <c r="BX69" s="22" t="str">
        <f>VLOOKUP(I69,Eras!$A$2:$C$10, 2, TRUE)</f>
        <v>big4</v>
      </c>
      <c r="BY69" t="s">
        <v>61</v>
      </c>
      <c r="BZ69" s="22" t="str">
        <f t="shared" si="214"/>
        <v>big4_Cheap</v>
      </c>
      <c r="CA69" s="22" t="str">
        <f t="shared" si="215"/>
        <v>diesel_NARROW_GAUGE</v>
      </c>
      <c r="CB69" s="25" t="str" cm="1">
        <f t="array" ref="CB69">IF(AM69&lt;&gt;"na", _xlfn.CONCAT("{BLACK}Length: {GOLD}", TEXT(ROUNDUP(IF(AP69&lt;&gt;"",SUM(VALUE(_xlfn.TEXTSPLIT(AP69, ","))), SUM(VALUE(_xlfn.TEXTSPLIT(AM69, ",")))*IF(L69, L69, 1))/16, 1),"#,##0.0"), " tiles{}"), "")</f>
        <v>{BLACK}Length: {GOLD}0.3 tiles{}</v>
      </c>
      <c r="CC69" s="22" t="str">
        <f>VLOOKUP($CA69, Constants!$M:$N, 2, FALSE)</f>
        <v>{BLACK}Powered by: {GOLD}Diesel</v>
      </c>
      <c r="CD69" s="22" t="str">
        <f t="shared" si="146"/>
        <v/>
      </c>
      <c r="CE69" t="s">
        <v>325</v>
      </c>
      <c r="CF69" s="22" t="str">
        <f t="shared" si="13"/>
        <v/>
      </c>
      <c r="CG69" s="22" t="str">
        <f t="shared" si="217"/>
        <v>{BLACK}Powered by: {GOLD}Diesel {}{BLACK}Length: {GOLD}0.3 tiles{}{SILVER}Ruston and Hornsby built diesel locomotives for small industrial lines, which would often only need a small locomotive for hauling goods short distances.</v>
      </c>
    </row>
    <row r="70" spans="1:85" x14ac:dyDescent="0.25">
      <c r="A70" t="s">
        <v>410</v>
      </c>
      <c r="B70" t="s">
        <v>411</v>
      </c>
      <c r="C70">
        <v>41</v>
      </c>
      <c r="D70">
        <v>2010</v>
      </c>
      <c r="E70" t="s">
        <v>488</v>
      </c>
      <c r="F70" t="s">
        <v>236</v>
      </c>
      <c r="G70" t="s">
        <v>26</v>
      </c>
      <c r="H70" t="s">
        <v>337</v>
      </c>
      <c r="I70">
        <v>1950</v>
      </c>
      <c r="M70">
        <v>75</v>
      </c>
      <c r="S70" s="12">
        <f t="shared" si="195"/>
        <v>200.08049988695416</v>
      </c>
      <c r="T70" s="5">
        <v>0.7</v>
      </c>
      <c r="U70" s="5">
        <f t="shared" si="196"/>
        <v>0</v>
      </c>
      <c r="V70">
        <v>10</v>
      </c>
      <c r="X70">
        <v>5</v>
      </c>
      <c r="Y70">
        <v>28</v>
      </c>
      <c r="Z70" s="3">
        <f t="shared" si="207"/>
        <v>0.28000000000000003</v>
      </c>
      <c r="AA70">
        <v>32</v>
      </c>
      <c r="AB70">
        <f t="shared" si="216"/>
        <v>51</v>
      </c>
      <c r="AF70">
        <v>6</v>
      </c>
      <c r="AI70" s="9">
        <v>0</v>
      </c>
      <c r="AJ70" s="14" t="str">
        <f>CONCATENATE(VLOOKUP(AK70, 'Voxel Sizes'!$A$2:$B$18,2,FALSE),"x",INT(AG70*15), "x", INT(AH70*15))</f>
        <v>66x0x0</v>
      </c>
      <c r="AK70" s="14">
        <f t="shared" si="208"/>
        <v>4</v>
      </c>
      <c r="AM70" s="14" t="str">
        <f>CONCATENATE(VLOOKUP(AK70,Constants!$A$2:$C$16,IF(AL70&lt;&gt;"", 3, 2), FALSE),IF(AL70&lt;&gt;"",CONCATENATE(",",VLOOKUP(AL70,$B:$AM,38,FALSE)),""))</f>
        <v>1,2,1</v>
      </c>
      <c r="AU70">
        <v>1</v>
      </c>
      <c r="AW70">
        <v>125</v>
      </c>
      <c r="AX70" s="14" t="str">
        <f t="shared" si="209"/>
        <v/>
      </c>
      <c r="AY70">
        <v>-9</v>
      </c>
      <c r="AZ70">
        <v>-12</v>
      </c>
      <c r="BA70" s="16">
        <f t="shared" si="210"/>
        <v>6.4</v>
      </c>
      <c r="BB70" s="16">
        <f t="shared" si="211"/>
        <v>0.375</v>
      </c>
      <c r="BC70" s="16">
        <f t="shared" si="212"/>
        <v>1.4000000000000001</v>
      </c>
      <c r="BD70" s="17">
        <f t="shared" si="213"/>
        <v>0.93333333333333335</v>
      </c>
      <c r="BE70" s="16">
        <f t="shared" si="189"/>
        <v>0</v>
      </c>
      <c r="BF70" s="16">
        <f>VLOOKUP($G70,Constants!$I:$K, 2, FALSE)</f>
        <v>1</v>
      </c>
      <c r="BG70" s="16">
        <f>VLOOKUP($G70,Constants!$I:$K, 3, FALSE)*IF(AND(F70="multiple_unit",AA70&lt;110),0.75,1)</f>
        <v>2</v>
      </c>
      <c r="BH70" s="16">
        <f>INT(POWER(((Constants!$G$2+$BA70+$BB70+$BC70+$BE70)*$BD70)*$BG70, 1.05))+$AZ70</f>
        <v>16</v>
      </c>
      <c r="BI70" s="16">
        <f>INT(POWER((((Constants!$G$1+$BA70+$BB70+$BC70+$BE70)*($BD70))*$BF70),IF($F70="wagon",1,1.2)))+$AY70</f>
        <v>31</v>
      </c>
      <c r="BJ70" s="19">
        <f t="shared" si="190"/>
        <v>12500</v>
      </c>
      <c r="BK70" s="19">
        <f t="shared" si="191"/>
        <v>2518.75</v>
      </c>
      <c r="BT70">
        <v>3</v>
      </c>
      <c r="BX70" s="22" t="str">
        <f>VLOOKUP(I70,Eras!$A$2:$C$10, 2, TRUE)</f>
        <v>ebr</v>
      </c>
      <c r="BY70" t="s">
        <v>61</v>
      </c>
      <c r="BZ70" s="22" t="str">
        <f t="shared" si="214"/>
        <v>ebr_Cheap</v>
      </c>
      <c r="CA70" s="22" t="str">
        <f t="shared" si="215"/>
        <v>diesel_NARROW_GAUGE</v>
      </c>
      <c r="CB70" s="25" t="str" cm="1">
        <f t="array" ref="CB70">IF(AM70&lt;&gt;"na", _xlfn.CONCAT("{BLACK}Length: {GOLD}", TEXT(ROUNDUP(IF(AP70&lt;&gt;"",SUM(VALUE(_xlfn.TEXTSPLIT(AP70, ","))), SUM(VALUE(_xlfn.TEXTSPLIT(AM70, ",")))*IF(L70, L70, 1))/16, 1),"#,##0.0"), " tiles{}"), "")</f>
        <v>{BLACK}Length: {GOLD}0.3 tiles{}</v>
      </c>
      <c r="CC70" s="22" t="str">
        <f>VLOOKUP($CA70, Constants!$M:$N, 2, FALSE)</f>
        <v>{BLACK}Powered by: {GOLD}Diesel</v>
      </c>
      <c r="CD70" s="22" t="str">
        <f t="shared" si="146"/>
        <v/>
      </c>
      <c r="CE70" t="s">
        <v>413</v>
      </c>
      <c r="CF70" s="22" t="str">
        <f t="shared" si="13"/>
        <v/>
      </c>
      <c r="CG70" s="22" t="str">
        <f t="shared" si="217"/>
        <v>{BLACK}Powered by: {GOLD}Diesel {}{BLACK}Length: {GOLD}0.3 tiles{}{SILVER}The Hunslet 0-4-0DM is powered by a Gardner 4LW engine and is typical of a narrow gauge locomotive used for engineering duties.</v>
      </c>
    </row>
    <row r="71" spans="1:85" x14ac:dyDescent="0.25">
      <c r="A71" t="s">
        <v>408</v>
      </c>
      <c r="B71" t="s">
        <v>409</v>
      </c>
      <c r="C71">
        <v>42</v>
      </c>
      <c r="D71">
        <v>2011</v>
      </c>
      <c r="E71" t="s">
        <v>488</v>
      </c>
      <c r="F71" t="s">
        <v>236</v>
      </c>
      <c r="G71" t="s">
        <v>199</v>
      </c>
      <c r="H71" t="s">
        <v>337</v>
      </c>
      <c r="I71">
        <v>1954</v>
      </c>
      <c r="M71">
        <v>30</v>
      </c>
      <c r="S71" s="12">
        <f t="shared" si="195"/>
        <v>150.06037491521562</v>
      </c>
      <c r="T71" s="5">
        <v>0.7</v>
      </c>
      <c r="U71" s="5">
        <f t="shared" si="196"/>
        <v>0</v>
      </c>
      <c r="V71">
        <v>5</v>
      </c>
      <c r="X71">
        <v>5</v>
      </c>
      <c r="Y71">
        <v>16</v>
      </c>
      <c r="Z71" s="3">
        <f t="shared" ref="Z71" si="218">IF(AND(V71&gt;0,Y71&gt;0),(Y71/((V71+W71)*10)),"")</f>
        <v>0.32</v>
      </c>
      <c r="AA71">
        <v>24</v>
      </c>
      <c r="AB71">
        <f t="shared" si="216"/>
        <v>38</v>
      </c>
      <c r="AF71">
        <v>6</v>
      </c>
      <c r="AI71" s="9">
        <v>0</v>
      </c>
      <c r="AJ71" s="14" t="str">
        <f>CONCATENATE(VLOOKUP(AK71, 'Voxel Sizes'!$A$2:$B$18,2,FALSE),"x",INT(AG71*15), "x", INT(AH71*15))</f>
        <v>66x0x0</v>
      </c>
      <c r="AK71" s="14">
        <f t="shared" ref="AK71" si="219">ROUND(15*((AF71*10)/256),0)</f>
        <v>4</v>
      </c>
      <c r="AM71" s="14" t="str">
        <f>CONCATENATE(VLOOKUP(AK71,Constants!$A$2:$C$16,IF(AL71&lt;&gt;"", 3, 2), FALSE),IF(AL71&lt;&gt;"",CONCATENATE(",",VLOOKUP(AL71,$B:$AM,38,FALSE)),""))</f>
        <v>1,2,1</v>
      </c>
      <c r="AW71">
        <v>125</v>
      </c>
      <c r="AX71" s="14" t="str">
        <f t="shared" ref="AX71" si="220">IF(K71&lt;&gt;"",MAX(16,(K71-I71)+8),"")</f>
        <v/>
      </c>
      <c r="AY71">
        <v>-9</v>
      </c>
      <c r="AZ71">
        <v>-12</v>
      </c>
      <c r="BA71" s="16">
        <f t="shared" ref="BA71" si="221">MIN(AA71/150, 1)*30</f>
        <v>4.8</v>
      </c>
      <c r="BB71" s="16">
        <f t="shared" ref="BB71" si="222">MIN(M71/4000, 1)*20</f>
        <v>0.15</v>
      </c>
      <c r="BC71" s="16">
        <f t="shared" ref="BC71" si="223">MIN(Y71/400,1)*20</f>
        <v>0.8</v>
      </c>
      <c r="BD71" s="17">
        <f t="shared" ref="BD71" si="224">1-(MAX(I71-1900, 0)/750)</f>
        <v>0.92800000000000005</v>
      </c>
      <c r="BE71" s="16">
        <f t="shared" si="189"/>
        <v>0</v>
      </c>
      <c r="BF71" s="16">
        <f>VLOOKUP($G71,Constants!$I:$K, 2, FALSE)</f>
        <v>1.05</v>
      </c>
      <c r="BG71" s="16">
        <f>VLOOKUP($G71,Constants!$I:$K, 3, FALSE)*IF(AND(F71="multiple_unit",AA71&lt;110),0.75,1)</f>
        <v>1.9</v>
      </c>
      <c r="BH71" s="16">
        <f>INT(POWER(((Constants!$G$2+$BA71+$BB71+$BC71+$BE71)*$BD71)*$BG71, 1.05))+$AZ71</f>
        <v>9</v>
      </c>
      <c r="BI71" s="16">
        <f>INT(POWER((((Constants!$G$1+$BA71+$BB71+$BC71+$BE71)*($BD71))*$BF71),IF($F71="wagon",1,1.2)))+$AY71</f>
        <v>27</v>
      </c>
      <c r="BJ71" s="19">
        <f t="shared" si="190"/>
        <v>7031.25</v>
      </c>
      <c r="BK71" s="19">
        <f t="shared" si="191"/>
        <v>2193.75</v>
      </c>
      <c r="BT71">
        <v>7</v>
      </c>
      <c r="BX71" s="22" t="str">
        <f>VLOOKUP(I71,Eras!$A$2:$C$10, 2, TRUE)</f>
        <v>ebr</v>
      </c>
      <c r="BY71" t="s">
        <v>61</v>
      </c>
      <c r="BZ71" s="22" t="str">
        <f t="shared" ref="BZ71" si="225">CONCATENATE(BX71,"_",BY71)</f>
        <v>ebr_Cheap</v>
      </c>
      <c r="CA71" s="22" t="str">
        <f t="shared" ref="CA71" si="226">_xlfn.CONCAT(G71, "_",H71)</f>
        <v>petrol_NARROW_GAUGE</v>
      </c>
      <c r="CB71" s="25" t="str" cm="1">
        <f t="array" ref="CB71">IF(AM71&lt;&gt;"na", _xlfn.CONCAT("{BLACK}Length: {GOLD}", TEXT(ROUNDUP(IF(AP71&lt;&gt;"",SUM(VALUE(_xlfn.TEXTSPLIT(AP71, ","))), SUM(VALUE(_xlfn.TEXTSPLIT(AM71, ",")))*IF(L71, L71, 1))/16, 1),"#,##0.0"), " tiles{}"), "")</f>
        <v>{BLACK}Length: {GOLD}0.3 tiles{}</v>
      </c>
      <c r="CC71" s="22" t="str">
        <f>VLOOKUP($CA71, Constants!$M:$N, 2, FALSE)</f>
        <v>{BLACK}Powered by: {GOLD}Petrol</v>
      </c>
      <c r="CD71" s="22" t="str">
        <f t="shared" si="146"/>
        <v/>
      </c>
      <c r="CE71" t="s">
        <v>414</v>
      </c>
      <c r="CF71" s="22" t="str">
        <f t="shared" si="13"/>
        <v/>
      </c>
      <c r="CG71" s="22" t="str">
        <f t="shared" si="217"/>
        <v>{BLACK}Powered by: {GOLD}Petrol {}{BLACK}Length: {GOLD}0.3 tiles{}{SILVER}Talyllyn Railway volunteer John Bate built this small locomotive using the engine from a Austin Seven. The canopy was added later.</v>
      </c>
    </row>
    <row r="72" spans="1:85" x14ac:dyDescent="0.25">
      <c r="A72" t="s">
        <v>301</v>
      </c>
      <c r="B72" t="s">
        <v>302</v>
      </c>
      <c r="C72">
        <v>45</v>
      </c>
      <c r="D72">
        <v>2012</v>
      </c>
      <c r="E72" t="s">
        <v>488</v>
      </c>
      <c r="F72" t="s">
        <v>236</v>
      </c>
      <c r="G72" t="s">
        <v>26</v>
      </c>
      <c r="H72" t="s">
        <v>337</v>
      </c>
      <c r="I72">
        <v>1982</v>
      </c>
      <c r="M72">
        <v>100</v>
      </c>
      <c r="S72" s="12">
        <f t="shared" si="195"/>
        <v>218.83804675135613</v>
      </c>
      <c r="T72" s="5">
        <v>0.7</v>
      </c>
      <c r="U72" s="5">
        <f t="shared" si="196"/>
        <v>0</v>
      </c>
      <c r="V72">
        <v>10</v>
      </c>
      <c r="X72">
        <v>5</v>
      </c>
      <c r="Y72">
        <v>36</v>
      </c>
      <c r="Z72" s="3">
        <f t="shared" ref="Z72:Z87" si="227">IF(AND(V72&gt;0,Y72&gt;0),(Y72/((V72+W72)*10)),"")</f>
        <v>0.36</v>
      </c>
      <c r="AA72">
        <v>35</v>
      </c>
      <c r="AB72">
        <f t="shared" si="216"/>
        <v>56</v>
      </c>
      <c r="AF72">
        <v>7</v>
      </c>
      <c r="AI72" s="9">
        <v>0</v>
      </c>
      <c r="AJ72" s="14" t="str">
        <f>CONCATENATE(VLOOKUP(AK72, 'Voxel Sizes'!$A$2:$B$18,2,FALSE),"x",INT(AG72*15), "x", INT(AH72*15))</f>
        <v>66x0x0</v>
      </c>
      <c r="AK72" s="14">
        <f t="shared" ref="AK72:AK87" si="228">ROUND(15*((AF72*10)/256),0)</f>
        <v>4</v>
      </c>
      <c r="AM72" s="14" t="str">
        <f>CONCATENATE(VLOOKUP(AK72,Constants!$A$2:$C$16,IF(AL72&lt;&gt;"", 3, 2), FALSE),IF(AL72&lt;&gt;"",CONCATENATE(",",VLOOKUP(AL72,$B:$AM,38,FALSE)),""))</f>
        <v>1,2,1</v>
      </c>
      <c r="AW72">
        <v>125</v>
      </c>
      <c r="AX72" s="14" t="str">
        <f t="shared" ref="AX72:AX87" si="229">IF(K72&lt;&gt;"",MAX(16,(K72-I72)+8),"")</f>
        <v/>
      </c>
      <c r="AY72">
        <v>-7</v>
      </c>
      <c r="AZ72">
        <v>-6</v>
      </c>
      <c r="BA72" s="16">
        <f t="shared" ref="BA72:BA87" si="230">MIN(AA72/150, 1)*30</f>
        <v>7</v>
      </c>
      <c r="BB72" s="16">
        <f t="shared" ref="BB72:BB87" si="231">MIN(M72/4000, 1)*20</f>
        <v>0.5</v>
      </c>
      <c r="BC72" s="16">
        <f t="shared" ref="BC72:BC87" si="232">MIN(Y72/400,1)*20</f>
        <v>1.7999999999999998</v>
      </c>
      <c r="BD72" s="17">
        <f t="shared" ref="BD72:BD87" si="233">1-(MAX(I72-1900, 0)/750)</f>
        <v>0.89066666666666672</v>
      </c>
      <c r="BE72" s="16">
        <f t="shared" si="189"/>
        <v>0</v>
      </c>
      <c r="BF72" s="16">
        <f>VLOOKUP($G72,Constants!$I:$K, 2, FALSE)</f>
        <v>1</v>
      </c>
      <c r="BG72" s="16">
        <f>VLOOKUP($G72,Constants!$I:$K, 3, FALSE)*IF(AND(F72="multiple_unit",AA72&lt;110),0.75,1)</f>
        <v>2</v>
      </c>
      <c r="BH72" s="16">
        <f>INT(POWER(((Constants!$G$2+$BA72+$BB72+$BC72+$BE72)*$BD72)*$BG72, 1.05))+$AZ72</f>
        <v>23</v>
      </c>
      <c r="BI72" s="16">
        <f>INT(POWER((((Constants!$G$1+$BA72+$BB72+$BC72+$BE72)*($BD72))*$BF72),IF($F72="wagon",1,1.2)))+$AY72</f>
        <v>33</v>
      </c>
      <c r="BJ72" s="19">
        <f t="shared" si="190"/>
        <v>17968.75</v>
      </c>
      <c r="BK72" s="19">
        <f t="shared" si="191"/>
        <v>2681.25</v>
      </c>
      <c r="BT72">
        <v>4</v>
      </c>
      <c r="BX72" s="22" t="str">
        <f>VLOOKUP(I72,Eras!$A$2:$C$10, 2, TRUE)</f>
        <v>lbr</v>
      </c>
      <c r="BY72" t="s">
        <v>61</v>
      </c>
      <c r="BZ72" s="22" t="str">
        <f t="shared" ref="BZ72:BZ87" si="234">CONCATENATE(BX72,"_",BY72)</f>
        <v>lbr_Cheap</v>
      </c>
      <c r="CA72" s="22" t="str">
        <f t="shared" ref="CA72:CA87" si="235">_xlfn.CONCAT(G72, "_",H72)</f>
        <v>diesel_NARROW_GAUGE</v>
      </c>
      <c r="CB72" s="25" t="str" cm="1">
        <f t="array" ref="CB72">IF(AM72&lt;&gt;"na", _xlfn.CONCAT("{BLACK}Length: {GOLD}", TEXT(ROUNDUP(IF(AP72&lt;&gt;"",SUM(VALUE(_xlfn.TEXTSPLIT(AP72, ","))), SUM(VALUE(_xlfn.TEXTSPLIT(AM72, ",")))*IF(L72, L72, 1))/16, 1),"#,##0.0"), " tiles{}"), "")</f>
        <v>{BLACK}Length: {GOLD}0.3 tiles{}</v>
      </c>
      <c r="CC72" s="22" t="str">
        <f>VLOOKUP($CA72, Constants!$M:$N, 2, FALSE)</f>
        <v>{BLACK}Powered by: {GOLD}Diesel</v>
      </c>
      <c r="CD72" s="22" t="str">
        <f t="shared" si="146"/>
        <v/>
      </c>
      <c r="CE72" t="s">
        <v>326</v>
      </c>
      <c r="CF72" s="22" t="str">
        <f t="shared" si="13"/>
        <v/>
      </c>
      <c r="CG72" s="22" t="str">
        <f t="shared" si="217"/>
        <v>{BLACK}Powered by: {GOLD}Diesel {}{BLACK}Length: {GOLD}0.3 tiles{}{SILVER}Larger and more powerful diesel shunters displaced steam from industrial lines as they were more economical to run. Even preservation railways keep some around for utility duties.</v>
      </c>
    </row>
    <row r="73" spans="1:85" x14ac:dyDescent="0.25">
      <c r="A73" t="s">
        <v>327</v>
      </c>
      <c r="B73" t="s">
        <v>328</v>
      </c>
      <c r="C73">
        <v>80</v>
      </c>
      <c r="D73">
        <v>-1</v>
      </c>
      <c r="F73" t="s">
        <v>15</v>
      </c>
      <c r="G73" t="s">
        <v>32</v>
      </c>
      <c r="H73" t="s">
        <v>337</v>
      </c>
      <c r="I73">
        <v>1800</v>
      </c>
      <c r="K73">
        <v>1880</v>
      </c>
      <c r="V73">
        <v>3</v>
      </c>
      <c r="X73">
        <v>3</v>
      </c>
      <c r="Z73" s="3" t="str">
        <f t="shared" si="227"/>
        <v/>
      </c>
      <c r="AA73">
        <v>25</v>
      </c>
      <c r="AB73">
        <f t="shared" si="216"/>
        <v>40</v>
      </c>
      <c r="AE73">
        <v>6</v>
      </c>
      <c r="AF73">
        <v>6</v>
      </c>
      <c r="AI73" s="9">
        <v>12</v>
      </c>
      <c r="AJ73" s="14" t="str">
        <f>CONCATENATE(VLOOKUP(AK73, 'Voxel Sizes'!$A$2:$B$18,2,FALSE),"x",INT(AG73*15), "x", INT(AH73*15))</f>
        <v>66x0x0</v>
      </c>
      <c r="AK73" s="14">
        <f t="shared" si="228"/>
        <v>4</v>
      </c>
      <c r="AM73" s="14" t="str">
        <f>CONCATENATE(VLOOKUP(AK73,Constants!$A$2:$C$16,IF(AL73&lt;&gt;"", 3, 2), FALSE),IF(AL73&lt;&gt;"",CONCATENATE(",",VLOOKUP(AL73,$B:$AM,38,FALSE)),""))</f>
        <v>1,2,1</v>
      </c>
      <c r="AW73">
        <v>80</v>
      </c>
      <c r="AX73" s="14">
        <f t="shared" si="229"/>
        <v>88</v>
      </c>
      <c r="BA73" s="16">
        <f t="shared" si="230"/>
        <v>5</v>
      </c>
      <c r="BB73" s="16">
        <f t="shared" si="231"/>
        <v>0</v>
      </c>
      <c r="BC73" s="16">
        <f t="shared" si="232"/>
        <v>0</v>
      </c>
      <c r="BD73" s="17">
        <f t="shared" si="233"/>
        <v>1</v>
      </c>
      <c r="BE73" s="16">
        <f t="shared" si="189"/>
        <v>0.4</v>
      </c>
      <c r="BF73" s="16">
        <f>VLOOKUP($G73,Constants!$I:$K, 2, FALSE)</f>
        <v>1</v>
      </c>
      <c r="BG73" s="16">
        <f>VLOOKUP($G73,Constants!$I:$K, 3, FALSE)*IF(AND(F73="multiple_unit",AA73&lt;110),0.75,1)</f>
        <v>0.45</v>
      </c>
      <c r="BH73" s="16">
        <f>INT(POWER(((Constants!$G$2+$BA73+$BB73+$BC73+$BE73)*$BD73)*$BG73, 1.05))+$AZ73</f>
        <v>5</v>
      </c>
      <c r="BI73" s="16">
        <f>INT(POWER((((Constants!$G$1+$BA73+$BB73+$BC73+$BE73)*($BD73))*$BF73),IF($F73="wagon",1,1.2)))+$AY73</f>
        <v>37</v>
      </c>
      <c r="BJ73" s="19">
        <f t="shared" si="190"/>
        <v>3906.25</v>
      </c>
      <c r="BK73" s="19">
        <f t="shared" si="191"/>
        <v>3006.25</v>
      </c>
      <c r="BT73">
        <v>1</v>
      </c>
      <c r="BU73">
        <v>74</v>
      </c>
      <c r="BV73" t="s">
        <v>275</v>
      </c>
      <c r="BW73" t="s">
        <v>34</v>
      </c>
      <c r="BX73" s="22" t="str">
        <f>VLOOKUP(I73,Eras!$A$2:$C$10, 2, TRUE)</f>
        <v>early</v>
      </c>
      <c r="BY73" t="s">
        <v>75</v>
      </c>
      <c r="BZ73" s="22" t="str">
        <f t="shared" si="234"/>
        <v>early_Open Wagon</v>
      </c>
      <c r="CA73" s="22" t="str">
        <f t="shared" si="235"/>
        <v>wagon_NARROW_GAUGE</v>
      </c>
      <c r="CB73" s="25" t="str" cm="1">
        <f t="array" ref="CB73">IF(AM73&lt;&gt;"na", _xlfn.CONCAT("{BLACK}Length: {GOLD}", TEXT(ROUNDUP(IF(AP73&lt;&gt;"",SUM(VALUE(_xlfn.TEXTSPLIT(AP73, ","))), SUM(VALUE(_xlfn.TEXTSPLIT(AM73, ",")))*IF(L73, L73, 1))/16, 1),"#,##0.0"), " tiles{}"), "")</f>
        <v>{BLACK}Length: {GOLD}0.3 tiles{}</v>
      </c>
      <c r="CC73" s="22" t="str">
        <f>VLOOKUP($CA73, Constants!$M:$N, 2, FALSE)</f>
        <v/>
      </c>
      <c r="CD73" s="22" t="str">
        <f t="shared" si="146"/>
        <v/>
      </c>
      <c r="CE73" t="s">
        <v>329</v>
      </c>
      <c r="CF73" s="22" t="str">
        <f t="shared" si="13"/>
        <v>{YELLOW}Preserved railway bonus: passengers pay more when hauled by old locomotives{}</v>
      </c>
      <c r="CG73" s="22" t="str">
        <f t="shared" si="217"/>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74" spans="1:85" x14ac:dyDescent="0.25">
      <c r="A74" t="s">
        <v>251</v>
      </c>
      <c r="B74" t="s">
        <v>253</v>
      </c>
      <c r="C74">
        <v>81</v>
      </c>
      <c r="D74">
        <v>3001</v>
      </c>
      <c r="E74" t="s">
        <v>488</v>
      </c>
      <c r="F74" t="s">
        <v>32</v>
      </c>
      <c r="G74" t="s">
        <v>32</v>
      </c>
      <c r="H74" t="s">
        <v>337</v>
      </c>
      <c r="I74">
        <v>1863</v>
      </c>
      <c r="V74">
        <v>5</v>
      </c>
      <c r="X74">
        <v>4</v>
      </c>
      <c r="Z74" s="3" t="str">
        <f t="shared" si="227"/>
        <v/>
      </c>
      <c r="AA74">
        <v>35</v>
      </c>
      <c r="AB74">
        <f t="shared" si="216"/>
        <v>56</v>
      </c>
      <c r="AE74">
        <v>8</v>
      </c>
      <c r="AF74">
        <v>8</v>
      </c>
      <c r="AI74" s="9">
        <v>18</v>
      </c>
      <c r="AJ74" s="14" t="str">
        <f>CONCATENATE(VLOOKUP(AK74, 'Voxel Sizes'!$A$2:$B$18,2,FALSE),"x",INT(AG74*15), "x", INT(AH74*15))</f>
        <v>82x0x0</v>
      </c>
      <c r="AK74" s="14">
        <f t="shared" si="228"/>
        <v>5</v>
      </c>
      <c r="AM74" s="14" t="str">
        <f>CONCATENATE(VLOOKUP(AK74,Constants!$A$2:$C$16,IF(AL74&lt;&gt;"", 3, 2), FALSE),IF(AL74&lt;&gt;"",CONCATENATE(",",VLOOKUP(AL74,$B:$AM,38,FALSE)),""))</f>
        <v>2,1,2</v>
      </c>
      <c r="AW74">
        <v>80</v>
      </c>
      <c r="AX74" s="14" t="str">
        <f t="shared" si="229"/>
        <v/>
      </c>
      <c r="AY74">
        <v>5</v>
      </c>
      <c r="AZ74">
        <v>10</v>
      </c>
      <c r="BA74" s="16">
        <f t="shared" si="230"/>
        <v>7</v>
      </c>
      <c r="BB74" s="16">
        <f t="shared" si="231"/>
        <v>0</v>
      </c>
      <c r="BC74" s="16">
        <f t="shared" si="232"/>
        <v>0</v>
      </c>
      <c r="BD74" s="17">
        <f t="shared" si="233"/>
        <v>1</v>
      </c>
      <c r="BE74" s="16">
        <f t="shared" si="189"/>
        <v>3</v>
      </c>
      <c r="BF74" s="16">
        <f>VLOOKUP($G74,Constants!$I:$K, 2, FALSE)</f>
        <v>1</v>
      </c>
      <c r="BG74" s="16">
        <f>VLOOKUP($G74,Constants!$I:$K, 3, FALSE)*IF(AND(F74="multiple_unit",AA74&lt;110),0.75,1)</f>
        <v>0.45</v>
      </c>
      <c r="BH74" s="16">
        <f>INT(POWER(((Constants!$G$2+$BA74+$BB74+$BC74+$BE74)*$BD74)*$BG74, 1.05))+$AZ74</f>
        <v>17</v>
      </c>
      <c r="BI74" s="16">
        <f>INT(POWER((((Constants!$G$1+$BA74+$BB74+$BC74+$BE74)*($BD74))*$BF74),IF($F74="wagon",1,1.2)))+$AY74</f>
        <v>30</v>
      </c>
      <c r="BJ74" s="19">
        <f t="shared" si="190"/>
        <v>1062.5</v>
      </c>
      <c r="BK74" s="19">
        <f t="shared" si="191"/>
        <v>81.900000000000006</v>
      </c>
      <c r="BT74">
        <v>1</v>
      </c>
      <c r="BU74">
        <v>74</v>
      </c>
      <c r="BV74" t="s">
        <v>275</v>
      </c>
      <c r="BW74" t="s">
        <v>34</v>
      </c>
      <c r="BX74" s="22" t="str">
        <f>VLOOKUP(I74,Eras!$A$2:$C$10, 2, TRUE)</f>
        <v>vct</v>
      </c>
      <c r="BY74" t="s">
        <v>75</v>
      </c>
      <c r="BZ74" s="22" t="str">
        <f t="shared" si="234"/>
        <v>vct_Open Wagon</v>
      </c>
      <c r="CA74" s="22" t="str">
        <f t="shared" si="235"/>
        <v>wagon_NARROW_GAUGE</v>
      </c>
      <c r="CB74" s="25" t="str" cm="1">
        <f t="array" ref="CB74">IF(AM74&lt;&gt;"na", _xlfn.CONCAT("{BLACK}Length: {GOLD}", TEXT(ROUNDUP(IF(AP74&lt;&gt;"",SUM(VALUE(_xlfn.TEXTSPLIT(AP74, ","))), SUM(VALUE(_xlfn.TEXTSPLIT(AM74, ",")))*IF(L74, L74, 1))/16, 1),"#,##0.0"), " tiles{}"), "")</f>
        <v>{BLACK}Length: {GOLD}0.4 tiles{}</v>
      </c>
      <c r="CC74" s="22" t="str">
        <f>VLOOKUP($CA74, Constants!$M:$N, 2, FALSE)</f>
        <v/>
      </c>
      <c r="CD74" s="22" t="str">
        <f t="shared" si="146"/>
        <v/>
      </c>
      <c r="CE74" t="s">
        <v>285</v>
      </c>
      <c r="CF74" s="22" t="str">
        <f t="shared" si="13"/>
        <v>{YELLOW}Preserved railway bonus: passengers pay more when hauled by old locomotives{}</v>
      </c>
      <c r="CG74" s="22" t="str">
        <f t="shared" si="217"/>
        <v>{BLACK}Length: {GOLD}0.4 tiles{}{YELLOW}Preserved railway bonus: passengers pay more when hauled by old locomotives{}{SILVER}When narrow gauge began operating passenger services, carriages were simple, flat-sided vehicles build around wooden frames on a four-wheel chassis.</v>
      </c>
    </row>
    <row r="75" spans="1:85" x14ac:dyDescent="0.25">
      <c r="A75" t="s">
        <v>252</v>
      </c>
      <c r="B75" t="s">
        <v>254</v>
      </c>
      <c r="C75">
        <v>82</v>
      </c>
      <c r="D75">
        <v>3002</v>
      </c>
      <c r="E75" t="s">
        <v>488</v>
      </c>
      <c r="F75" t="s">
        <v>32</v>
      </c>
      <c r="G75" t="s">
        <v>32</v>
      </c>
      <c r="H75" t="s">
        <v>337</v>
      </c>
      <c r="I75">
        <v>1900</v>
      </c>
      <c r="V75">
        <v>7</v>
      </c>
      <c r="X75">
        <v>4</v>
      </c>
      <c r="Z75" s="3" t="str">
        <f t="shared" si="227"/>
        <v/>
      </c>
      <c r="AA75">
        <v>45</v>
      </c>
      <c r="AB75">
        <f t="shared" si="216"/>
        <v>72</v>
      </c>
      <c r="AE75">
        <v>12</v>
      </c>
      <c r="AF75">
        <v>12</v>
      </c>
      <c r="AI75" s="9">
        <v>36</v>
      </c>
      <c r="AJ75" s="14" t="str">
        <f>CONCATENATE(VLOOKUP(AK75, 'Voxel Sizes'!$A$2:$B$18,2,FALSE),"x",INT(AG75*15), "x", INT(AH75*15))</f>
        <v>120x0x0</v>
      </c>
      <c r="AK75" s="14">
        <f t="shared" si="228"/>
        <v>7</v>
      </c>
      <c r="AM75" s="14" t="str">
        <f>CONCATENATE(VLOOKUP(AK75,Constants!$A$2:$C$16,IF(AL75&lt;&gt;"", 3, 2), FALSE),IF(AL75&lt;&gt;"",CONCATENATE(",",VLOOKUP(AL75,$B:$AM,38,FALSE)),""))</f>
        <v>2,3,2</v>
      </c>
      <c r="AW75">
        <v>80</v>
      </c>
      <c r="AX75" s="14" t="str">
        <f t="shared" si="229"/>
        <v/>
      </c>
      <c r="AY75">
        <v>10</v>
      </c>
      <c r="AZ75">
        <v>20</v>
      </c>
      <c r="BA75" s="16">
        <f t="shared" si="230"/>
        <v>9</v>
      </c>
      <c r="BB75" s="16">
        <f t="shared" si="231"/>
        <v>0</v>
      </c>
      <c r="BC75" s="16">
        <f t="shared" si="232"/>
        <v>0</v>
      </c>
      <c r="BD75" s="17">
        <f t="shared" si="233"/>
        <v>1</v>
      </c>
      <c r="BE75" s="16">
        <f t="shared" si="189"/>
        <v>6</v>
      </c>
      <c r="BF75" s="16">
        <f>VLOOKUP($G75,Constants!$I:$K, 2, FALSE)</f>
        <v>1</v>
      </c>
      <c r="BG75" s="16">
        <f>VLOOKUP($G75,Constants!$I:$K, 3, FALSE)*IF(AND(F75="multiple_unit",AA75&lt;110),0.75,1)</f>
        <v>0.45</v>
      </c>
      <c r="BH75" s="16">
        <f>INT(POWER(((Constants!$G$2+$BA75+$BB75+$BC75+$BE75)*$BD75)*$BG75, 1.05))+$AZ75</f>
        <v>30</v>
      </c>
      <c r="BI75" s="16">
        <f>INT(POWER((((Constants!$G$1+$BA75+$BB75+$BC75+$BE75)*($BD75))*$BF75),IF($F75="wagon",1,1.2)))+$AY75</f>
        <v>40</v>
      </c>
      <c r="BJ75" s="19">
        <f t="shared" si="190"/>
        <v>1875</v>
      </c>
      <c r="BK75" s="19">
        <f t="shared" si="191"/>
        <v>109.2</v>
      </c>
      <c r="BT75">
        <v>1</v>
      </c>
      <c r="BU75">
        <v>74</v>
      </c>
      <c r="BV75" t="s">
        <v>275</v>
      </c>
      <c r="BW75" t="s">
        <v>34</v>
      </c>
      <c r="BX75" s="22" t="str">
        <f>VLOOKUP(I75,Eras!$A$2:$C$10, 2, TRUE)</f>
        <v>edw</v>
      </c>
      <c r="BY75" t="s">
        <v>75</v>
      </c>
      <c r="BZ75" s="22" t="str">
        <f t="shared" si="234"/>
        <v>edw_Open Wagon</v>
      </c>
      <c r="CA75" s="22" t="str">
        <f t="shared" si="235"/>
        <v>wagon_NARROW_GAUGE</v>
      </c>
      <c r="CB75" s="25" t="str" cm="1">
        <f t="array" ref="CB75">IF(AM75&lt;&gt;"na", _xlfn.CONCAT("{BLACK}Length: {GOLD}", TEXT(ROUNDUP(IF(AP75&lt;&gt;"",SUM(VALUE(_xlfn.TEXTSPLIT(AP75, ","))), SUM(VALUE(_xlfn.TEXTSPLIT(AM75, ",")))*IF(L75, L75, 1))/16, 1),"#,##0.0"), " tiles{}"), "")</f>
        <v>{BLACK}Length: {GOLD}0.5 tiles{}</v>
      </c>
      <c r="CC75" s="22" t="str">
        <f>VLOOKUP($CA75, Constants!$M:$N, 2, FALSE)</f>
        <v/>
      </c>
      <c r="CD75" s="22" t="str">
        <f t="shared" si="146"/>
        <v/>
      </c>
      <c r="CE75" t="s">
        <v>287</v>
      </c>
      <c r="CF75" s="22" t="str">
        <f t="shared" si="13"/>
        <v>{YELLOW}Preserved railway bonus: passengers pay more when hauled by old locomotives{}</v>
      </c>
      <c r="CG75" s="22" t="str">
        <f t="shared" si="217"/>
        <v>{BLACK}Length: {GOLD}0.5 tiles{}{YELLOW}Preserved railway bonus: passengers pay more when hauled by old locomotives{}{SILVER}Later narrow gauge carriages increased in length where loading gauges allowed, using bogies to help negotiate tight curves.</v>
      </c>
    </row>
    <row r="76" spans="1:85" x14ac:dyDescent="0.25">
      <c r="A76" t="s">
        <v>255</v>
      </c>
      <c r="B76" t="s">
        <v>257</v>
      </c>
      <c r="C76">
        <v>84</v>
      </c>
      <c r="D76">
        <v>3003</v>
      </c>
      <c r="E76" t="s">
        <v>488</v>
      </c>
      <c r="F76" t="s">
        <v>32</v>
      </c>
      <c r="G76" t="s">
        <v>32</v>
      </c>
      <c r="H76" t="s">
        <v>337</v>
      </c>
      <c r="I76">
        <v>1863</v>
      </c>
      <c r="V76">
        <v>4</v>
      </c>
      <c r="X76">
        <v>4</v>
      </c>
      <c r="Z76" s="3" t="str">
        <f t="shared" si="227"/>
        <v/>
      </c>
      <c r="AA76">
        <v>35</v>
      </c>
      <c r="AB76">
        <f t="shared" si="216"/>
        <v>56</v>
      </c>
      <c r="AE76">
        <v>8</v>
      </c>
      <c r="AF76">
        <v>8</v>
      </c>
      <c r="AI76" s="9">
        <v>24</v>
      </c>
      <c r="AJ76" s="14" t="str">
        <f>CONCATENATE(VLOOKUP(AK76, 'Voxel Sizes'!$A$2:$B$18,2,FALSE),"x",INT(AG76*15), "x", INT(AH76*15))</f>
        <v>82x0x0</v>
      </c>
      <c r="AK76" s="14">
        <f t="shared" si="228"/>
        <v>5</v>
      </c>
      <c r="AM76" s="14" t="str">
        <f>CONCATENATE(VLOOKUP(AK76,Constants!$A$2:$C$16,IF(AL76&lt;&gt;"", 3, 2), FALSE),IF(AL76&lt;&gt;"",CONCATENATE(",",VLOOKUP(AL76,$B:$AM,38,FALSE)),""))</f>
        <v>2,1,2</v>
      </c>
      <c r="AW76">
        <v>80</v>
      </c>
      <c r="AX76" s="14" t="str">
        <f t="shared" si="229"/>
        <v/>
      </c>
      <c r="AY76">
        <v>5</v>
      </c>
      <c r="AZ76">
        <v>10</v>
      </c>
      <c r="BA76" s="16">
        <f t="shared" si="230"/>
        <v>7</v>
      </c>
      <c r="BB76" s="16">
        <f t="shared" si="231"/>
        <v>0</v>
      </c>
      <c r="BC76" s="16">
        <f t="shared" si="232"/>
        <v>0</v>
      </c>
      <c r="BD76" s="17">
        <f t="shared" si="233"/>
        <v>1</v>
      </c>
      <c r="BE76" s="16">
        <f t="shared" si="189"/>
        <v>4</v>
      </c>
      <c r="BF76" s="16">
        <f>VLOOKUP($G76,Constants!$I:$K, 2, FALSE)</f>
        <v>1</v>
      </c>
      <c r="BG76" s="16">
        <f>VLOOKUP($G76,Constants!$I:$K, 3, FALSE)*IF(AND(F76="multiple_unit",AA76&lt;110),0.75,1)</f>
        <v>0.45</v>
      </c>
      <c r="BH76" s="16">
        <f>INT(POWER(((Constants!$G$2+$BA76+$BB76+$BC76+$BE76)*$BD76)*$BG76, 1.05))+$AZ76</f>
        <v>17</v>
      </c>
      <c r="BI76" s="16">
        <f>INT(POWER((((Constants!$G$1+$BA76+$BB76+$BC76+$BE76)*($BD76))*$BF76),IF($F76="wagon",1,1.2)))+$AY76</f>
        <v>31</v>
      </c>
      <c r="BJ76" s="19">
        <f t="shared" si="190"/>
        <v>1062.5</v>
      </c>
      <c r="BK76" s="19">
        <f t="shared" si="191"/>
        <v>84.63</v>
      </c>
      <c r="BT76">
        <v>1</v>
      </c>
      <c r="BU76">
        <v>225</v>
      </c>
      <c r="BV76" t="s">
        <v>276</v>
      </c>
      <c r="BW76" t="s">
        <v>280</v>
      </c>
      <c r="BX76" s="22" t="str">
        <f>VLOOKUP(I76,Eras!$A$2:$C$10, 2, TRUE)</f>
        <v>vct</v>
      </c>
      <c r="BY76" t="s">
        <v>75</v>
      </c>
      <c r="BZ76" s="22" t="str">
        <f t="shared" si="234"/>
        <v>vct_Open Wagon</v>
      </c>
      <c r="CA76" s="22" t="str">
        <f t="shared" si="235"/>
        <v>wagon_NARROW_GAUGE</v>
      </c>
      <c r="CB76" s="25" t="str" cm="1">
        <f t="array" ref="CB76">IF(AM76&lt;&gt;"na", _xlfn.CONCAT("{BLACK}Length: {GOLD}", TEXT(ROUNDUP(IF(AP76&lt;&gt;"",SUM(VALUE(_xlfn.TEXTSPLIT(AP76, ","))), SUM(VALUE(_xlfn.TEXTSPLIT(AM76, ",")))*IF(L76, L76, 1))/16, 1),"#,##0.0"), " tiles{}"), "")</f>
        <v>{BLACK}Length: {GOLD}0.4 tiles{}</v>
      </c>
      <c r="CC76" s="22" t="str">
        <f>VLOOKUP($CA76, Constants!$M:$N, 2, FALSE)</f>
        <v/>
      </c>
      <c r="CD76" s="22" t="str">
        <f t="shared" si="146"/>
        <v/>
      </c>
      <c r="CE76" t="s">
        <v>286</v>
      </c>
      <c r="CF76" s="22" t="str">
        <f t="shared" si="13"/>
        <v/>
      </c>
      <c r="CG76" s="22" t="str">
        <f t="shared" si="217"/>
        <v>{BLACK}Length: {GOLD}0.4 tiles{}{SILVER}Brake vans were rarer on narrow gauge railways, but passenger services would typically have a guard's wagon which could also carry parcels.</v>
      </c>
    </row>
    <row r="77" spans="1:85" x14ac:dyDescent="0.25">
      <c r="A77" t="s">
        <v>256</v>
      </c>
      <c r="B77" t="s">
        <v>258</v>
      </c>
      <c r="C77">
        <v>85</v>
      </c>
      <c r="D77">
        <v>3004</v>
      </c>
      <c r="E77" t="s">
        <v>488</v>
      </c>
      <c r="F77" t="s">
        <v>32</v>
      </c>
      <c r="G77" t="s">
        <v>32</v>
      </c>
      <c r="H77" t="s">
        <v>337</v>
      </c>
      <c r="I77">
        <v>1900</v>
      </c>
      <c r="V77">
        <v>6</v>
      </c>
      <c r="X77">
        <v>4</v>
      </c>
      <c r="Z77" s="3" t="str">
        <f t="shared" si="227"/>
        <v/>
      </c>
      <c r="AA77">
        <v>45</v>
      </c>
      <c r="AB77">
        <f t="shared" ref="AB77:AB87" si="236">ROUND(AA77*1.6, 0)</f>
        <v>72</v>
      </c>
      <c r="AE77">
        <v>12</v>
      </c>
      <c r="AF77">
        <v>12</v>
      </c>
      <c r="AI77" s="9">
        <v>42</v>
      </c>
      <c r="AJ77" s="14" t="str">
        <f>CONCATENATE(VLOOKUP(AK77, 'Voxel Sizes'!$A$2:$B$18,2,FALSE),"x",INT(AG77*15), "x", INT(AH77*15))</f>
        <v>120x0x0</v>
      </c>
      <c r="AK77" s="14">
        <f t="shared" si="228"/>
        <v>7</v>
      </c>
      <c r="AM77" s="14" t="str">
        <f>CONCATENATE(VLOOKUP(AK77,Constants!$A$2:$C$16,IF(AL77&lt;&gt;"", 3, 2), FALSE),IF(AL77&lt;&gt;"",CONCATENATE(",",VLOOKUP(AL77,$B:$AM,38,FALSE)),""))</f>
        <v>2,3,2</v>
      </c>
      <c r="AW77">
        <v>80</v>
      </c>
      <c r="AX77" s="14" t="str">
        <f t="shared" si="229"/>
        <v/>
      </c>
      <c r="AY77">
        <v>10</v>
      </c>
      <c r="AZ77">
        <v>20</v>
      </c>
      <c r="BA77" s="16">
        <f t="shared" si="230"/>
        <v>9</v>
      </c>
      <c r="BB77" s="16">
        <f t="shared" si="231"/>
        <v>0</v>
      </c>
      <c r="BC77" s="16">
        <f t="shared" si="232"/>
        <v>0</v>
      </c>
      <c r="BD77" s="17">
        <f t="shared" si="233"/>
        <v>1</v>
      </c>
      <c r="BE77" s="16">
        <f t="shared" si="189"/>
        <v>7.0000000000000009</v>
      </c>
      <c r="BF77" s="16">
        <f>VLOOKUP($G77,Constants!$I:$K, 2, FALSE)</f>
        <v>1</v>
      </c>
      <c r="BG77" s="16">
        <f>VLOOKUP($G77,Constants!$I:$K, 3, FALSE)*IF(AND(F77="multiple_unit",AA77&lt;110),0.75,1)</f>
        <v>0.45</v>
      </c>
      <c r="BH77" s="16">
        <f>INT(POWER(((Constants!$G$2+$BA77+$BB77+$BC77+$BE77)*$BD77)*$BG77, 1.05))+$AZ77</f>
        <v>30</v>
      </c>
      <c r="BI77" s="16">
        <f>INT(POWER((((Constants!$G$1+$BA77+$BB77+$BC77+$BE77)*($BD77))*$BF77),IF($F77="wagon",1,1.2)))+$AY77</f>
        <v>41</v>
      </c>
      <c r="BJ77" s="19">
        <f t="shared" si="190"/>
        <v>1875</v>
      </c>
      <c r="BK77" s="19">
        <f t="shared" si="191"/>
        <v>111.92999999999999</v>
      </c>
      <c r="BT77">
        <v>1</v>
      </c>
      <c r="BU77">
        <v>225</v>
      </c>
      <c r="BV77" t="s">
        <v>276</v>
      </c>
      <c r="BW77" t="s">
        <v>280</v>
      </c>
      <c r="BX77" s="22" t="str">
        <f>VLOOKUP(I77,Eras!$A$2:$C$10, 2, TRUE)</f>
        <v>edw</v>
      </c>
      <c r="BY77" t="s">
        <v>75</v>
      </c>
      <c r="BZ77" s="22" t="str">
        <f t="shared" si="234"/>
        <v>edw_Open Wagon</v>
      </c>
      <c r="CA77" s="22" t="str">
        <f t="shared" si="235"/>
        <v>wagon_NARROW_GAUGE</v>
      </c>
      <c r="CB77" s="25" t="str" cm="1">
        <f t="array" ref="CB77">IF(AM77&lt;&gt;"na", _xlfn.CONCAT("{BLACK}Length: {GOLD}", TEXT(ROUNDUP(IF(AP77&lt;&gt;"",SUM(VALUE(_xlfn.TEXTSPLIT(AP77, ","))), SUM(VALUE(_xlfn.TEXTSPLIT(AM77, ",")))*IF(L77, L77, 1))/16, 1),"#,##0.0"), " tiles{}"), "")</f>
        <v>{BLACK}Length: {GOLD}0.5 tiles{}</v>
      </c>
      <c r="CC77" s="22" t="str">
        <f>VLOOKUP($CA77, Constants!$M:$N, 2, FALSE)</f>
        <v/>
      </c>
      <c r="CD77" s="22" t="str">
        <f t="shared" si="146"/>
        <v/>
      </c>
      <c r="CE77" t="s">
        <v>288</v>
      </c>
      <c r="CF77" s="22" t="str">
        <f t="shared" ref="CF77:CF80" si="237">IF(BW77="DANDY","{YELLOW}Faster downhill speeds for horse-drawn trains (1 required per 2 horses){}",IF(BW77="BRAKE","{YELLOW}Speed bonus for slow wagons{}",IF(BV77="NGPassengers","{YELLOW}Preserved railway bonus: passengers pay more when hauled by old locomotives{}",IF(AND(BU77&gt;190,NOT(AND(H77="NARROW_GAUGE",BW77&lt;&gt;"PASS"))),CONCATENATE("{YELLOW}",INT((BU77-185)/1.85),"% Bonus for long distance travel{}"),IF(AND(BU77&lt;180,BU77&lt;&gt;0),CONCATENATE("{YELLOW}",INT((185-BU77)/1.85),"% Penalty for long distance travel{}"),"")))))</f>
        <v/>
      </c>
      <c r="CG77" s="22" t="str">
        <f t="shared" si="217"/>
        <v>{BLACK}Length: {GOLD}0.5 tiles{}{SILVER}Larger and heavier carriages also meant larger and heavier guard's vans.</v>
      </c>
    </row>
    <row r="78" spans="1:85" x14ac:dyDescent="0.25">
      <c r="A78" t="s">
        <v>243</v>
      </c>
      <c r="B78" t="s">
        <v>246</v>
      </c>
      <c r="C78">
        <v>86</v>
      </c>
      <c r="D78">
        <v>3005</v>
      </c>
      <c r="E78" t="s">
        <v>488</v>
      </c>
      <c r="F78" t="s">
        <v>32</v>
      </c>
      <c r="G78" t="s">
        <v>32</v>
      </c>
      <c r="H78" t="s">
        <v>337</v>
      </c>
      <c r="I78">
        <v>1800</v>
      </c>
      <c r="K78">
        <v>1900</v>
      </c>
      <c r="V78">
        <v>1</v>
      </c>
      <c r="X78">
        <v>3</v>
      </c>
      <c r="Z78" s="3" t="str">
        <f t="shared" si="227"/>
        <v/>
      </c>
      <c r="AA78">
        <v>25</v>
      </c>
      <c r="AB78">
        <f t="shared" si="236"/>
        <v>40</v>
      </c>
      <c r="AE78">
        <v>4.9000000000000004</v>
      </c>
      <c r="AF78">
        <v>6</v>
      </c>
      <c r="AI78" s="9">
        <v>9</v>
      </c>
      <c r="AJ78" s="14" t="str">
        <f>CONCATENATE(VLOOKUP(AK78, 'Voxel Sizes'!$A$2:$B$18,2,FALSE),"x",INT(AG78*15), "x", INT(AH78*15))</f>
        <v>66x0x0</v>
      </c>
      <c r="AK78" s="14">
        <f t="shared" si="228"/>
        <v>4</v>
      </c>
      <c r="AM78" s="14" t="str">
        <f>CONCATENATE(VLOOKUP(AK78,Constants!$A$2:$C$16,IF(AL78&lt;&gt;"", 3, 2), FALSE),IF(AL78&lt;&gt;"",CONCATENATE(",",VLOOKUP(AL78,$B:$AM,38,FALSE)),""))</f>
        <v>1,2,1</v>
      </c>
      <c r="AW78">
        <v>80</v>
      </c>
      <c r="AX78" s="14">
        <f t="shared" si="229"/>
        <v>108</v>
      </c>
      <c r="AY78">
        <v>-15</v>
      </c>
      <c r="AZ78">
        <v>-3</v>
      </c>
      <c r="BA78" s="16">
        <f t="shared" si="230"/>
        <v>5</v>
      </c>
      <c r="BB78" s="16">
        <f t="shared" si="231"/>
        <v>0</v>
      </c>
      <c r="BC78" s="16">
        <f t="shared" si="232"/>
        <v>0</v>
      </c>
      <c r="BD78" s="17">
        <f t="shared" si="233"/>
        <v>1</v>
      </c>
      <c r="BE78" s="16">
        <f t="shared" si="189"/>
        <v>1.5</v>
      </c>
      <c r="BF78" s="16">
        <f>VLOOKUP($G78,Constants!$I:$K, 2, FALSE)</f>
        <v>1</v>
      </c>
      <c r="BG78" s="16">
        <f>VLOOKUP($G78,Constants!$I:$K, 3, FALSE)*IF(AND(F78="multiple_unit",AA78&lt;110),0.75,1)</f>
        <v>0.45</v>
      </c>
      <c r="BH78" s="16">
        <f>INT(POWER(((Constants!$G$2+$BA78+$BB78+$BC78+$BE78)*$BD78)*$BG78, 1.05))+$AZ78</f>
        <v>2</v>
      </c>
      <c r="BI78" s="16">
        <f>INT(POWER((((Constants!$G$1+$BA78+$BB78+$BC78+$BE78)*($BD78))*$BF78),IF($F78="wagon",1,1.2)))+$AY78</f>
        <v>6</v>
      </c>
      <c r="BJ78" s="19">
        <f t="shared" si="190"/>
        <v>125</v>
      </c>
      <c r="BK78" s="19">
        <f t="shared" si="191"/>
        <v>16.38</v>
      </c>
      <c r="BT78">
        <v>1</v>
      </c>
      <c r="BU78">
        <v>225</v>
      </c>
      <c r="BV78" t="s">
        <v>244</v>
      </c>
      <c r="BW78" t="s">
        <v>245</v>
      </c>
      <c r="BX78" s="22" t="str">
        <f>VLOOKUP(I78,Eras!$A$2:$C$10, 2, TRUE)</f>
        <v>early</v>
      </c>
      <c r="BY78" t="s">
        <v>75</v>
      </c>
      <c r="BZ78" s="22" t="str">
        <f t="shared" si="234"/>
        <v>early_Open Wagon</v>
      </c>
      <c r="CA78" s="22" t="str">
        <f t="shared" si="235"/>
        <v>wagon_NARROW_GAUGE</v>
      </c>
      <c r="CB78" s="25" t="str" cm="1">
        <f t="array" ref="CB78">IF(AM78&lt;&gt;"na", _xlfn.CONCAT("{BLACK}Length: {GOLD}", TEXT(ROUNDUP(IF(AP78&lt;&gt;"",SUM(VALUE(_xlfn.TEXTSPLIT(AP78, ","))), SUM(VALUE(_xlfn.TEXTSPLIT(AM78, ",")))*IF(L78, L78, 1))/16, 1),"#,##0.0"), " tiles{}"), "")</f>
        <v>{BLACK}Length: {GOLD}0.3 tiles{}</v>
      </c>
      <c r="CC78" s="22" t="str">
        <f>VLOOKUP($CA78, Constants!$M:$N, 2, FALSE)</f>
        <v/>
      </c>
      <c r="CD78" s="22" t="str">
        <f t="shared" si="146"/>
        <v/>
      </c>
      <c r="CE78" t="s">
        <v>247</v>
      </c>
      <c r="CF78" s="22" t="str">
        <f t="shared" si="237"/>
        <v/>
      </c>
      <c r="CG78" s="22" t="str">
        <f t="shared" si="217"/>
        <v>{BLACK}Length: {GOLD}0.3 tiles{}{SILVER}An open wagon for carrying bulk cargo on narrow gauge railways.</v>
      </c>
    </row>
    <row r="79" spans="1:85" x14ac:dyDescent="0.25">
      <c r="A79" t="s">
        <v>259</v>
      </c>
      <c r="B79" t="s">
        <v>260</v>
      </c>
      <c r="C79">
        <v>87</v>
      </c>
      <c r="D79">
        <v>3006</v>
      </c>
      <c r="E79" t="s">
        <v>488</v>
      </c>
      <c r="F79" t="s">
        <v>32</v>
      </c>
      <c r="G79" t="s">
        <v>32</v>
      </c>
      <c r="H79" t="s">
        <v>337</v>
      </c>
      <c r="I79">
        <v>1870</v>
      </c>
      <c r="V79">
        <v>1</v>
      </c>
      <c r="X79">
        <v>4</v>
      </c>
      <c r="Z79" s="3" t="str">
        <f t="shared" si="227"/>
        <v/>
      </c>
      <c r="AA79">
        <v>30</v>
      </c>
      <c r="AB79">
        <f t="shared" si="236"/>
        <v>48</v>
      </c>
      <c r="AE79">
        <v>8</v>
      </c>
      <c r="AF79">
        <v>8</v>
      </c>
      <c r="AI79" s="9">
        <v>12</v>
      </c>
      <c r="AJ79" s="14" t="str">
        <f>CONCATENATE(VLOOKUP(AK79, 'Voxel Sizes'!$A$2:$B$18,2,FALSE),"x",INT(AG79*15), "x", INT(AH79*15))</f>
        <v>82x0x0</v>
      </c>
      <c r="AK79" s="14">
        <f t="shared" si="228"/>
        <v>5</v>
      </c>
      <c r="AM79" s="14" t="str">
        <f>CONCATENATE(VLOOKUP(AK79,Constants!$A$2:$C$16,IF(AL79&lt;&gt;"", 3, 2), FALSE),IF(AL79&lt;&gt;"",CONCATENATE(",",VLOOKUP(AL79,$B:$AM,38,FALSE)),""))</f>
        <v>2,1,2</v>
      </c>
      <c r="AW79">
        <v>80</v>
      </c>
      <c r="AX79" s="14" t="str">
        <f t="shared" si="229"/>
        <v/>
      </c>
      <c r="AY79">
        <v>-15</v>
      </c>
      <c r="AZ79">
        <v>-3</v>
      </c>
      <c r="BA79" s="16">
        <f t="shared" si="230"/>
        <v>6</v>
      </c>
      <c r="BB79" s="16">
        <f t="shared" si="231"/>
        <v>0</v>
      </c>
      <c r="BC79" s="16">
        <f t="shared" si="232"/>
        <v>0</v>
      </c>
      <c r="BD79" s="17">
        <f t="shared" si="233"/>
        <v>1</v>
      </c>
      <c r="BE79" s="16">
        <f t="shared" si="189"/>
        <v>2</v>
      </c>
      <c r="BF79" s="16">
        <f>VLOOKUP($G79,Constants!$I:$K, 2, FALSE)</f>
        <v>1</v>
      </c>
      <c r="BG79" s="16">
        <f>VLOOKUP($G79,Constants!$I:$K, 3, FALSE)*IF(AND(F79="multiple_unit",AA79&lt;110),0.75,1)</f>
        <v>0.45</v>
      </c>
      <c r="BH79" s="16">
        <f>INT(POWER(((Constants!$G$2+$BA79+$BB79+$BC79+$BE79)*$BD79)*$BG79, 1.05))+$AZ79</f>
        <v>3</v>
      </c>
      <c r="BI79" s="16">
        <f>INT(POWER((((Constants!$G$1+$BA79+$BB79+$BC79+$BE79)*($BD79))*$BF79),IF($F79="wagon",1,1.2)))+$AY79</f>
        <v>8</v>
      </c>
      <c r="BJ79" s="19">
        <f t="shared" si="190"/>
        <v>187.5</v>
      </c>
      <c r="BK79" s="19">
        <f t="shared" si="191"/>
        <v>21.84</v>
      </c>
      <c r="BT79">
        <v>1</v>
      </c>
      <c r="BU79">
        <v>225</v>
      </c>
      <c r="BV79" t="s">
        <v>277</v>
      </c>
      <c r="BW79" t="s">
        <v>245</v>
      </c>
      <c r="BX79" s="22" t="str">
        <f>VLOOKUP(I79,Eras!$A$2:$C$10, 2, TRUE)</f>
        <v>vct</v>
      </c>
      <c r="BY79" t="s">
        <v>75</v>
      </c>
      <c r="BZ79" s="22" t="str">
        <f t="shared" si="234"/>
        <v>vct_Open Wagon</v>
      </c>
      <c r="CA79" s="22" t="str">
        <f t="shared" si="235"/>
        <v>wagon_NARROW_GAUGE</v>
      </c>
      <c r="CB79" s="25" t="str" cm="1">
        <f t="array" ref="CB79">IF(AM79&lt;&gt;"na", _xlfn.CONCAT("{BLACK}Length: {GOLD}", TEXT(ROUNDUP(IF(AP79&lt;&gt;"",SUM(VALUE(_xlfn.TEXTSPLIT(AP79, ","))), SUM(VALUE(_xlfn.TEXTSPLIT(AM79, ",")))*IF(L79, L79, 1))/16, 1),"#,##0.0"), " tiles{}"), "")</f>
        <v>{BLACK}Length: {GOLD}0.4 tiles{}</v>
      </c>
      <c r="CC79" s="22" t="str">
        <f>VLOOKUP($CA79, Constants!$M:$N, 2, FALSE)</f>
        <v/>
      </c>
      <c r="CD79" s="22" t="str">
        <f t="shared" si="146"/>
        <v/>
      </c>
      <c r="CE79" t="s">
        <v>289</v>
      </c>
      <c r="CF79" s="22" t="str">
        <f t="shared" si="237"/>
        <v/>
      </c>
      <c r="CG79" s="22" t="str">
        <f t="shared" si="217"/>
        <v>{BLACK}Length: {GOLD}0.4 tiles{}{SILVER}Heavier mineral wagons allowed larger amounts of cargo to be carried.</v>
      </c>
    </row>
    <row r="80" spans="1:85" x14ac:dyDescent="0.25">
      <c r="A80" t="s">
        <v>262</v>
      </c>
      <c r="B80" t="s">
        <v>268</v>
      </c>
      <c r="C80">
        <v>88</v>
      </c>
      <c r="D80">
        <v>3007</v>
      </c>
      <c r="E80" t="s">
        <v>488</v>
      </c>
      <c r="F80" t="s">
        <v>32</v>
      </c>
      <c r="G80" t="s">
        <v>32</v>
      </c>
      <c r="H80" t="s">
        <v>337</v>
      </c>
      <c r="I80">
        <v>1800</v>
      </c>
      <c r="K80">
        <v>1900</v>
      </c>
      <c r="V80">
        <v>1</v>
      </c>
      <c r="X80">
        <v>3</v>
      </c>
      <c r="Z80" s="3" t="str">
        <f t="shared" si="227"/>
        <v/>
      </c>
      <c r="AA80">
        <v>25</v>
      </c>
      <c r="AB80">
        <f t="shared" si="236"/>
        <v>40</v>
      </c>
      <c r="AE80">
        <v>4.9000000000000004</v>
      </c>
      <c r="AF80">
        <v>6</v>
      </c>
      <c r="AI80" s="9">
        <v>10</v>
      </c>
      <c r="AJ80" s="14" t="str">
        <f>CONCATENATE(VLOOKUP(AK80, 'Voxel Sizes'!$A$2:$B$18,2,FALSE),"x",INT(AG80*15), "x", INT(AH80*15))</f>
        <v>66x0x0</v>
      </c>
      <c r="AK80" s="14">
        <f t="shared" si="228"/>
        <v>4</v>
      </c>
      <c r="AM80" s="14" t="str">
        <f>CONCATENATE(VLOOKUP(AK80,Constants!$A$2:$C$16,IF(AL80&lt;&gt;"", 3, 2), FALSE),IF(AL80&lt;&gt;"",CONCATENATE(",",VLOOKUP(AL80,$B:$AM,38,FALSE)),""))</f>
        <v>1,2,1</v>
      </c>
      <c r="AW80">
        <v>80</v>
      </c>
      <c r="AX80" s="14">
        <f t="shared" si="229"/>
        <v>108</v>
      </c>
      <c r="AY80">
        <v>-15</v>
      </c>
      <c r="AZ80">
        <v>-3</v>
      </c>
      <c r="BA80" s="16">
        <f t="shared" si="230"/>
        <v>5</v>
      </c>
      <c r="BB80" s="16">
        <f t="shared" si="231"/>
        <v>0</v>
      </c>
      <c r="BC80" s="16">
        <f t="shared" si="232"/>
        <v>0</v>
      </c>
      <c r="BD80" s="17">
        <f t="shared" si="233"/>
        <v>1</v>
      </c>
      <c r="BE80" s="16">
        <f t="shared" si="189"/>
        <v>1.6666666666666667</v>
      </c>
      <c r="BF80" s="16">
        <f>VLOOKUP($G80,Constants!$I:$K, 2, FALSE)</f>
        <v>1</v>
      </c>
      <c r="BG80" s="16">
        <f>VLOOKUP($G80,Constants!$I:$K, 3, FALSE)*IF(AND(F80="multiple_unit",AA80&lt;110),0.75,1)</f>
        <v>0.45</v>
      </c>
      <c r="BH80" s="16">
        <f>INT(POWER(((Constants!$G$2+$BA80+$BB80+$BC80+$BE80)*$BD80)*$BG80, 1.05))+$AZ80</f>
        <v>2</v>
      </c>
      <c r="BI80" s="16">
        <f>INT(POWER((((Constants!$G$1+$BA80+$BB80+$BC80+$BE80)*($BD80))*$BF80),IF($F80="wagon",1,1.2)))+$AY80</f>
        <v>6</v>
      </c>
      <c r="BJ80" s="19">
        <f t="shared" si="190"/>
        <v>125</v>
      </c>
      <c r="BK80" s="19">
        <f t="shared" si="191"/>
        <v>16.38</v>
      </c>
      <c r="BT80">
        <v>1</v>
      </c>
      <c r="BU80">
        <v>225</v>
      </c>
      <c r="BV80" t="s">
        <v>278</v>
      </c>
      <c r="BW80" t="s">
        <v>279</v>
      </c>
      <c r="BX80" s="22" t="str">
        <f>VLOOKUP(I80,Eras!$A$2:$C$10, 2, TRUE)</f>
        <v>early</v>
      </c>
      <c r="BY80" t="s">
        <v>75</v>
      </c>
      <c r="BZ80" s="22" t="str">
        <f t="shared" si="234"/>
        <v>early_Open Wagon</v>
      </c>
      <c r="CA80" s="22" t="str">
        <f t="shared" si="235"/>
        <v>wagon_NARROW_GAUGE</v>
      </c>
      <c r="CB80" s="25" t="str" cm="1">
        <f t="array" ref="CB80">IF(AM80&lt;&gt;"na", _xlfn.CONCAT("{BLACK}Length: {GOLD}", TEXT(ROUNDUP(IF(AP80&lt;&gt;"",SUM(VALUE(_xlfn.TEXTSPLIT(AP80, ","))), SUM(VALUE(_xlfn.TEXTSPLIT(AM80, ",")))*IF(L80, L80, 1))/16, 1),"#,##0.0"), " tiles{}"), "")</f>
        <v>{BLACK}Length: {GOLD}0.3 tiles{}</v>
      </c>
      <c r="CC80" s="22" t="str">
        <f>VLOOKUP($CA80, Constants!$M:$N, 2, FALSE)</f>
        <v/>
      </c>
      <c r="CD80" s="22" t="str">
        <f t="shared" si="146"/>
        <v/>
      </c>
      <c r="CE80" t="s">
        <v>290</v>
      </c>
      <c r="CF80" s="22" t="str">
        <f t="shared" si="237"/>
        <v/>
      </c>
      <c r="CG80" s="22" t="str">
        <f t="shared" si="217"/>
        <v>{BLACK}Length: {GOLD}0.3 tiles{}{SILVER}While many narrow gauge railways were quarry lines carrying bulk goods or slate, flat wagons were used for transporting equipment.</v>
      </c>
    </row>
    <row r="81" spans="1:85" x14ac:dyDescent="0.25">
      <c r="A81" t="s">
        <v>261</v>
      </c>
      <c r="B81" t="s">
        <v>269</v>
      </c>
      <c r="C81">
        <v>89</v>
      </c>
      <c r="D81">
        <v>3008</v>
      </c>
      <c r="E81" t="s">
        <v>488</v>
      </c>
      <c r="F81" t="s">
        <v>32</v>
      </c>
      <c r="G81" t="s">
        <v>32</v>
      </c>
      <c r="H81" t="s">
        <v>337</v>
      </c>
      <c r="I81">
        <v>1870</v>
      </c>
      <c r="V81">
        <v>1</v>
      </c>
      <c r="X81">
        <v>4</v>
      </c>
      <c r="Z81" s="3" t="str">
        <f t="shared" si="227"/>
        <v/>
      </c>
      <c r="AA81">
        <v>30</v>
      </c>
      <c r="AB81">
        <f t="shared" si="236"/>
        <v>48</v>
      </c>
      <c r="AE81">
        <v>4.9000000000000004</v>
      </c>
      <c r="AF81">
        <v>8</v>
      </c>
      <c r="AI81" s="9">
        <v>12</v>
      </c>
      <c r="AJ81" s="14" t="str">
        <f>CONCATENATE(VLOOKUP(AK81, 'Voxel Sizes'!$A$2:$B$18,2,FALSE),"x",INT(AG81*15), "x", INT(AH81*15))</f>
        <v>82x0x0</v>
      </c>
      <c r="AK81" s="14">
        <f t="shared" si="228"/>
        <v>5</v>
      </c>
      <c r="AM81" s="14" t="str">
        <f>CONCATENATE(VLOOKUP(AK81,Constants!$A$2:$C$16,IF(AL81&lt;&gt;"", 3, 2), FALSE),IF(AL81&lt;&gt;"",CONCATENATE(",",VLOOKUP(AL81,$B:$AM,38,FALSE)),""))</f>
        <v>2,1,2</v>
      </c>
      <c r="AW81">
        <v>80</v>
      </c>
      <c r="AX81" s="14" t="str">
        <f t="shared" si="229"/>
        <v/>
      </c>
      <c r="AY81">
        <v>-15</v>
      </c>
      <c r="AZ81">
        <v>-3</v>
      </c>
      <c r="BA81" s="16">
        <f t="shared" si="230"/>
        <v>6</v>
      </c>
      <c r="BB81" s="16">
        <f t="shared" si="231"/>
        <v>0</v>
      </c>
      <c r="BC81" s="16">
        <f t="shared" si="232"/>
        <v>0</v>
      </c>
      <c r="BD81" s="17">
        <f t="shared" si="233"/>
        <v>1</v>
      </c>
      <c r="BE81" s="16">
        <f t="shared" si="189"/>
        <v>2</v>
      </c>
      <c r="BF81" s="16">
        <f>VLOOKUP($G81,Constants!$I:$K, 2, FALSE)</f>
        <v>1</v>
      </c>
      <c r="BG81" s="16">
        <f>VLOOKUP($G81,Constants!$I:$K, 3, FALSE)*IF(AND(F81="multiple_unit",AA81&lt;110),0.75,1)</f>
        <v>0.45</v>
      </c>
      <c r="BH81" s="16">
        <f>INT(POWER(((Constants!$G$2+$BA81+$BB81+$BC81+$BE81)*$BD81)*$BG81, 1.05))+$AZ81</f>
        <v>3</v>
      </c>
      <c r="BI81" s="16">
        <f>INT(POWER((((Constants!$G$1+$BA81+$BB81+$BC81+$BE81)*($BD81))*$BF81),IF($F81="wagon",1,1.2)))+$AY81</f>
        <v>8</v>
      </c>
      <c r="BJ81" s="19">
        <f t="shared" si="190"/>
        <v>187.5</v>
      </c>
      <c r="BK81" s="19">
        <f t="shared" si="191"/>
        <v>21.84</v>
      </c>
      <c r="BT81">
        <v>1</v>
      </c>
      <c r="BU81">
        <v>225</v>
      </c>
      <c r="BV81" t="s">
        <v>278</v>
      </c>
      <c r="BW81" t="s">
        <v>279</v>
      </c>
      <c r="BX81" s="22" t="str">
        <f>VLOOKUP(I81,Eras!$A$2:$C$10, 2, TRUE)</f>
        <v>vct</v>
      </c>
      <c r="BY81" t="s">
        <v>75</v>
      </c>
      <c r="BZ81" s="22" t="str">
        <f t="shared" si="234"/>
        <v>vct_Open Wagon</v>
      </c>
      <c r="CA81" s="22" t="str">
        <f t="shared" si="235"/>
        <v>wagon_NARROW_GAUGE</v>
      </c>
      <c r="CB81" s="25" t="str" cm="1">
        <f t="array" ref="CB81">IF(AM81&lt;&gt;"na", _xlfn.CONCAT("{BLACK}Length: {GOLD}", TEXT(ROUNDUP(IF(AP81&lt;&gt;"",SUM(VALUE(_xlfn.TEXTSPLIT(AP81, ","))), SUM(VALUE(_xlfn.TEXTSPLIT(AM81, ",")))*IF(L81, L81, 1))/16, 1),"#,##0.0"), " tiles{}"), "")</f>
        <v>{BLACK}Length: {GOLD}0.4 tiles{}</v>
      </c>
      <c r="CC81" s="22" t="str">
        <f>VLOOKUP($CA81, Constants!$M:$N, 2, FALSE)</f>
        <v/>
      </c>
      <c r="CD81" s="22" t="str">
        <f t="shared" si="146"/>
        <v/>
      </c>
      <c r="CE81" t="s">
        <v>293</v>
      </c>
      <c r="CF81" s="22" t="str">
        <f>IF(BW81="DANDY","{YELLOW}Faster downhill speeds for horse-drawn trains (1 required per 2 horses){}",IF(BW81="BRAKE","{YELLOW}Speed bonus for slow wagons{}",IF(BV81="NGPassengers","{YELLOW}Preserved railway bonus: passengers pay more when hauled by old locomotives{}",IF(AND(BU81&gt;190,NOT(AND(H81="NARROW_GAUGE",BW81&lt;&gt;"PASS"))),CONCATENATE("{YELLOW}",INT((BU81-185)/1.85),"% Bonus for long distance travel{}"),IF(AND(BU81&lt;180,BU81&lt;&gt;0),CONCATENATE("{YELLOW}",INT((185-BU81)/1.85),"% Penalty for long distance travel{}"),"")))))</f>
        <v/>
      </c>
      <c r="CG81" s="22" t="str">
        <f t="shared" si="217"/>
        <v>{BLACK}Length: {GOLD}0.4 tiles{}{SILVER}As per standard gauge practice, bolster wagons were used for carrying long, rigid cargo.</v>
      </c>
    </row>
    <row r="82" spans="1:85" x14ac:dyDescent="0.25">
      <c r="A82" t="s">
        <v>494</v>
      </c>
      <c r="B82" t="s">
        <v>495</v>
      </c>
      <c r="C82">
        <v>96</v>
      </c>
      <c r="D82">
        <v>3009</v>
      </c>
      <c r="E82" t="s">
        <v>488</v>
      </c>
      <c r="F82" t="s">
        <v>32</v>
      </c>
      <c r="G82" t="s">
        <v>32</v>
      </c>
      <c r="H82" t="s">
        <v>337</v>
      </c>
      <c r="I82">
        <v>1890</v>
      </c>
      <c r="V82">
        <v>2</v>
      </c>
      <c r="X82">
        <v>4</v>
      </c>
      <c r="Z82" s="3" t="str">
        <f t="shared" ref="Z82" si="238">IF(AND(V82&gt;0,Y82&gt;0),(Y82/((V82+W82)*10)),"")</f>
        <v/>
      </c>
      <c r="AA82">
        <v>30</v>
      </c>
      <c r="AB82">
        <f t="shared" ref="AB82" si="239">ROUND(AA82*1.6, 0)</f>
        <v>48</v>
      </c>
      <c r="AE82">
        <v>10</v>
      </c>
      <c r="AF82">
        <v>10</v>
      </c>
      <c r="AI82" s="9">
        <v>18</v>
      </c>
      <c r="AJ82" s="14" t="str">
        <f>CONCATENATE(VLOOKUP(AK82, 'Voxel Sizes'!$A$2:$B$18,2,FALSE),"x",INT(AG82*15), "x", INT(AH82*15))</f>
        <v>102x0x0</v>
      </c>
      <c r="AK82" s="14">
        <f t="shared" ref="AK82" si="240">ROUND(15*((AF82*10)/256),0)</f>
        <v>6</v>
      </c>
      <c r="AM82" s="14" t="str">
        <f>CONCATENATE(VLOOKUP(AK82,Constants!$A$2:$C$16,IF(AL82&lt;&gt;"", 3, 2), FALSE),IF(AL82&lt;&gt;"",CONCATENATE(",",VLOOKUP(AL82,$B:$AM,38,FALSE)),""))</f>
        <v>2,2,2</v>
      </c>
      <c r="AW82">
        <v>80</v>
      </c>
      <c r="AX82" s="14" t="str">
        <f t="shared" ref="AX82" si="241">IF(K82&lt;&gt;"",MAX(16,(K82-I82)+8),"")</f>
        <v/>
      </c>
      <c r="AY82">
        <v>-15</v>
      </c>
      <c r="AZ82">
        <v>-2</v>
      </c>
      <c r="BA82" s="16">
        <f t="shared" ref="BA82" si="242">MIN(AA82/150, 1)*30</f>
        <v>6</v>
      </c>
      <c r="BB82" s="16">
        <f t="shared" ref="BB82" si="243">MIN(M82/4000, 1)*20</f>
        <v>0</v>
      </c>
      <c r="BC82" s="16">
        <f t="shared" ref="BC82" si="244">MIN(Y82/400,1)*20</f>
        <v>0</v>
      </c>
      <c r="BD82" s="17">
        <f t="shared" ref="BD82" si="245">1-(MAX(I82-1900, 0)/750)</f>
        <v>1</v>
      </c>
      <c r="BE82" s="16">
        <f t="shared" ref="BE82" si="246">((MAX($L82,1)*MIN($AI82/300,1)))*IF(F82="Wagon",50,10)</f>
        <v>3</v>
      </c>
      <c r="BF82" s="16">
        <f>VLOOKUP($G82,Constants!$I:$K, 2, FALSE)</f>
        <v>1</v>
      </c>
      <c r="BG82" s="16">
        <f>VLOOKUP($G82,Constants!$I:$K, 3, FALSE)*IF(AND(F82="multiple_unit",AA82&lt;110),0.75,1)</f>
        <v>0.45</v>
      </c>
      <c r="BH82" s="16">
        <f>INT(POWER(((Constants!$G$2+$BA82+$BB82+$BC82+$BE82)*$BD82)*$BG82, 1.05))+$AZ82</f>
        <v>4</v>
      </c>
      <c r="BI82" s="16">
        <f>INT(POWER((((Constants!$G$1+$BA82+$BB82+$BC82+$BE82)*($BD82))*$BF82),IF($F82="wagon",1,1.2)))+$AY82</f>
        <v>9</v>
      </c>
      <c r="BJ82" s="19">
        <f t="shared" ref="BJ82" si="247">BH82*IF($F82="wagon",62.5,781.25)</f>
        <v>250</v>
      </c>
      <c r="BK82" s="19">
        <f t="shared" ref="BK82" si="248">BI82*IF($F82="wagon",2.73,81.25)</f>
        <v>24.57</v>
      </c>
      <c r="BT82">
        <v>1</v>
      </c>
      <c r="BU82">
        <v>225</v>
      </c>
      <c r="BV82" t="s">
        <v>278</v>
      </c>
      <c r="BW82" t="s">
        <v>279</v>
      </c>
      <c r="BX82" s="22" t="str">
        <f>VLOOKUP(I82,Eras!$A$2:$C$10, 2, TRUE)</f>
        <v>vct</v>
      </c>
      <c r="BY82" t="s">
        <v>75</v>
      </c>
      <c r="BZ82" s="22" t="str">
        <f t="shared" ref="BZ82" si="249">CONCATENATE(BX82,"_",BY82)</f>
        <v>vct_Open Wagon</v>
      </c>
      <c r="CA82" s="22" t="str">
        <f t="shared" ref="CA82" si="250">_xlfn.CONCAT(G82, "_",H82)</f>
        <v>wagon_NARROW_GAUGE</v>
      </c>
      <c r="CB82" s="25" t="str" cm="1">
        <f t="array" ref="CB82">IF(AM82&lt;&gt;"na", _xlfn.CONCAT("{BLACK}Length: {GOLD}", TEXT(ROUNDUP(IF(AP82&lt;&gt;"",SUM(VALUE(_xlfn.TEXTSPLIT(AP82, ","))), SUM(VALUE(_xlfn.TEXTSPLIT(AM82, ",")))*IF(L82, L82, 1))/16, 1),"#,##0.0"), " tiles{}"), "")</f>
        <v>{BLACK}Length: {GOLD}0.4 tiles{}</v>
      </c>
      <c r="CC82" s="22" t="str">
        <f>VLOOKUP($CA82, Constants!$M:$N, 2, FALSE)</f>
        <v/>
      </c>
      <c r="CD82" s="22" t="str">
        <f t="shared" ref="CD82" si="251">IF(AND(L82&gt;1,BN82&lt;&gt;1),_xlfn.CONCAT("{BLACK}Cars: {GOLD}", L82),"")</f>
        <v/>
      </c>
      <c r="CE82" t="s">
        <v>496</v>
      </c>
      <c r="CF82" s="22" t="str">
        <f>IF(BW82="DANDY","{YELLOW}Faster downhill speeds for horse-drawn trains (1 required per 2 horses){}",IF(BW82="BRAKE","{YELLOW}Speed bonus for slow wagons{}",IF(BV82="NGPassengers","{YELLOW}Preserved railway bonus: passengers pay more when hauled by old locomotives{}",IF(AND(BU82&gt;190,NOT(AND(H82="NARROW_GAUGE",BW82&lt;&gt;"PASS"))),CONCATENATE("{YELLOW}",INT((BU82-185)/1.85),"% Bonus for long distance travel{}"),IF(AND(BU82&lt;180,BU82&lt;&gt;0),CONCATENATE("{YELLOW}",INT((185-BU82)/1.85),"% Penalty for long distance travel{}"),"")))))</f>
        <v/>
      </c>
      <c r="CG82" s="22" t="str">
        <f t="shared" si="217"/>
        <v>{BLACK}Length: {GOLD}0.4 tiles{}{SILVER}Narrow gauge railways tend to use smaller vehicles capable of traversing tight turns, but the occasional larger wagon can be found on straighter routes.</v>
      </c>
    </row>
    <row r="83" spans="1:85" x14ac:dyDescent="0.25">
      <c r="A83" t="s">
        <v>263</v>
      </c>
      <c r="B83" t="s">
        <v>270</v>
      </c>
      <c r="C83">
        <v>90</v>
      </c>
      <c r="D83">
        <v>3010</v>
      </c>
      <c r="E83" t="s">
        <v>488</v>
      </c>
      <c r="F83" t="s">
        <v>32</v>
      </c>
      <c r="G83" t="s">
        <v>32</v>
      </c>
      <c r="H83" t="s">
        <v>337</v>
      </c>
      <c r="I83">
        <v>1870</v>
      </c>
      <c r="V83">
        <v>1</v>
      </c>
      <c r="X83">
        <v>4</v>
      </c>
      <c r="Z83" s="3" t="str">
        <f t="shared" si="227"/>
        <v/>
      </c>
      <c r="AA83">
        <v>30</v>
      </c>
      <c r="AB83">
        <f t="shared" si="236"/>
        <v>48</v>
      </c>
      <c r="AE83">
        <v>4.9000000000000004</v>
      </c>
      <c r="AF83">
        <v>6</v>
      </c>
      <c r="AI83" s="9">
        <v>12</v>
      </c>
      <c r="AJ83" s="14" t="str">
        <f>CONCATENATE(VLOOKUP(AK83, 'Voxel Sizes'!$A$2:$B$18,2,FALSE),"x",INT(AG83*15), "x", INT(AH83*15))</f>
        <v>66x0x0</v>
      </c>
      <c r="AK83" s="14">
        <f t="shared" si="228"/>
        <v>4</v>
      </c>
      <c r="AM83" s="14" t="str">
        <f>CONCATENATE(VLOOKUP(AK83,Constants!$A$2:$C$16,IF(AL83&lt;&gt;"", 3, 2), FALSE),IF(AL83&lt;&gt;"",CONCATENATE(",",VLOOKUP(AL83,$B:$AM,38,FALSE)),""))</f>
        <v>1,2,1</v>
      </c>
      <c r="AW83">
        <v>80</v>
      </c>
      <c r="AX83" s="14" t="str">
        <f t="shared" si="229"/>
        <v/>
      </c>
      <c r="AY83">
        <v>-15</v>
      </c>
      <c r="AZ83">
        <v>-3</v>
      </c>
      <c r="BA83" s="16">
        <f t="shared" si="230"/>
        <v>6</v>
      </c>
      <c r="BB83" s="16">
        <f t="shared" si="231"/>
        <v>0</v>
      </c>
      <c r="BC83" s="16">
        <f t="shared" si="232"/>
        <v>0</v>
      </c>
      <c r="BD83" s="17">
        <f t="shared" si="233"/>
        <v>1</v>
      </c>
      <c r="BE83" s="16">
        <f t="shared" si="189"/>
        <v>2</v>
      </c>
      <c r="BF83" s="16">
        <f>VLOOKUP($G83,Constants!$I:$K, 2, FALSE)</f>
        <v>1</v>
      </c>
      <c r="BG83" s="16">
        <f>VLOOKUP($G83,Constants!$I:$K, 3, FALSE)*IF(AND(F83="multiple_unit",AA83&lt;110),0.75,1)</f>
        <v>0.45</v>
      </c>
      <c r="BH83" s="16">
        <f>INT(POWER(((Constants!$G$2+$BA83+$BB83+$BC83+$BE83)*$BD83)*$BG83, 1.05))+$AZ83</f>
        <v>3</v>
      </c>
      <c r="BI83" s="16">
        <f>INT(POWER((((Constants!$G$1+$BA83+$BB83+$BC83+$BE83)*($BD83))*$BF83),IF($F83="wagon",1,1.2)))+$AY83</f>
        <v>8</v>
      </c>
      <c r="BJ83" s="19">
        <f t="shared" si="190"/>
        <v>187.5</v>
      </c>
      <c r="BK83" s="19">
        <f t="shared" si="191"/>
        <v>21.84</v>
      </c>
      <c r="BT83">
        <v>1</v>
      </c>
      <c r="BU83">
        <v>225</v>
      </c>
      <c r="BV83" t="s">
        <v>78</v>
      </c>
      <c r="BW83" t="s">
        <v>281</v>
      </c>
      <c r="BX83" s="22" t="str">
        <f>VLOOKUP(I83,Eras!$A$2:$C$10, 2, TRUE)</f>
        <v>vct</v>
      </c>
      <c r="BY83" t="s">
        <v>75</v>
      </c>
      <c r="BZ83" s="22" t="str">
        <f t="shared" si="234"/>
        <v>vct_Open Wagon</v>
      </c>
      <c r="CA83" s="22" t="str">
        <f t="shared" si="235"/>
        <v>wagon_NARROW_GAUGE</v>
      </c>
      <c r="CB83" s="25" t="str" cm="1">
        <f t="array" ref="CB83">IF(AM83&lt;&gt;"na", _xlfn.CONCAT("{BLACK}Length: {GOLD}", TEXT(ROUNDUP(IF(AP83&lt;&gt;"",SUM(VALUE(_xlfn.TEXTSPLIT(AP83, ","))), SUM(VALUE(_xlfn.TEXTSPLIT(AM83, ",")))*IF(L83, L83, 1))/16, 1),"#,##0.0"), " tiles{}"), "")</f>
        <v>{BLACK}Length: {GOLD}0.3 tiles{}</v>
      </c>
      <c r="CC83" s="22" t="str">
        <f>VLOOKUP($CA83, Constants!$M:$N, 2, FALSE)</f>
        <v/>
      </c>
      <c r="CD83" s="22" t="str">
        <f t="shared" si="146"/>
        <v/>
      </c>
      <c r="CE83" t="s">
        <v>291</v>
      </c>
      <c r="CF83" s="22" t="str">
        <f t="shared" ref="CF83:CF88" si="252">IF(BW83="DANDY","{YELLOW}Faster downhill speeds for horse-drawn trains (1 required per 2 horses){}",IF(BW83="BRAKE","{YELLOW}Speed bonus for slow wagons{}",IF(BV83="NGPassengers","{YELLOW}Preserved railway bonus: passengers pay more when hauled by old locomotives{}",IF(AND(BU83&gt;190,NOT(AND(H83="NARROW_GAUGE",BW83&lt;&gt;"PASS"))),CONCATENATE("{YELLOW}",INT((BU83-185)/1.85),"% Bonus for long distance travel{}"),IF(AND(BU83&lt;180,BU83&lt;&gt;0),CONCATENATE("{YELLOW}",INT((185-BU83)/1.85),"% Penalty for long distance travel{}"),"")))))</f>
        <v/>
      </c>
      <c r="CG83" s="22" t="str">
        <f t="shared" si="217"/>
        <v>{BLACK}Length: {GOLD}0.3 tiles{}{SILVER}With specialised equipment at stations, tank wagons made liquid cargo easier to handle than loading drums into open wagons.</v>
      </c>
    </row>
    <row r="84" spans="1:85" x14ac:dyDescent="0.25">
      <c r="A84" t="s">
        <v>264</v>
      </c>
      <c r="B84" t="s">
        <v>271</v>
      </c>
      <c r="C84">
        <v>91</v>
      </c>
      <c r="D84">
        <v>3011</v>
      </c>
      <c r="E84" t="s">
        <v>488</v>
      </c>
      <c r="F84" t="s">
        <v>32</v>
      </c>
      <c r="G84" t="s">
        <v>32</v>
      </c>
      <c r="H84" t="s">
        <v>337</v>
      </c>
      <c r="I84">
        <v>1870</v>
      </c>
      <c r="V84">
        <v>1</v>
      </c>
      <c r="X84">
        <v>4</v>
      </c>
      <c r="Z84" s="3" t="str">
        <f t="shared" si="227"/>
        <v/>
      </c>
      <c r="AA84">
        <v>30</v>
      </c>
      <c r="AB84">
        <f t="shared" si="236"/>
        <v>48</v>
      </c>
      <c r="AE84">
        <v>4.9000000000000004</v>
      </c>
      <c r="AF84">
        <v>6</v>
      </c>
      <c r="AI84" s="9">
        <v>12</v>
      </c>
      <c r="AJ84" s="14" t="str">
        <f>CONCATENATE(VLOOKUP(AK84, 'Voxel Sizes'!$A$2:$B$18,2,FALSE),"x",INT(AG84*15), "x", INT(AH84*15))</f>
        <v>66x0x0</v>
      </c>
      <c r="AK84" s="14">
        <f t="shared" si="228"/>
        <v>4</v>
      </c>
      <c r="AM84" s="14" t="str">
        <f>CONCATENATE(VLOOKUP(AK84,Constants!$A$2:$C$16,IF(AL84&lt;&gt;"", 3, 2), FALSE),IF(AL84&lt;&gt;"",CONCATENATE(",",VLOOKUP(AL84,$B:$AM,38,FALSE)),""))</f>
        <v>1,2,1</v>
      </c>
      <c r="AW84">
        <v>80</v>
      </c>
      <c r="AX84" s="14" t="str">
        <f t="shared" si="229"/>
        <v/>
      </c>
      <c r="AY84">
        <v>-15</v>
      </c>
      <c r="AZ84">
        <v>-3</v>
      </c>
      <c r="BA84" s="16">
        <f t="shared" si="230"/>
        <v>6</v>
      </c>
      <c r="BB84" s="16">
        <f t="shared" si="231"/>
        <v>0</v>
      </c>
      <c r="BC84" s="16">
        <f t="shared" si="232"/>
        <v>0</v>
      </c>
      <c r="BD84" s="17">
        <f t="shared" si="233"/>
        <v>1</v>
      </c>
      <c r="BE84" s="16">
        <f t="shared" si="189"/>
        <v>2</v>
      </c>
      <c r="BF84" s="16">
        <f>VLOOKUP($G84,Constants!$I:$K, 2, FALSE)</f>
        <v>1</v>
      </c>
      <c r="BG84" s="16">
        <f>VLOOKUP($G84,Constants!$I:$K, 3, FALSE)*IF(AND(F84="multiple_unit",AA84&lt;110),0.75,1)</f>
        <v>0.45</v>
      </c>
      <c r="BH84" s="16">
        <f>INT(POWER(((Constants!$G$2+$BA84+$BB84+$BC84+$BE84)*$BD84)*$BG84, 1.05))+$AZ84</f>
        <v>3</v>
      </c>
      <c r="BI84" s="16">
        <f>INT(POWER((((Constants!$G$1+$BA84+$BB84+$BC84+$BE84)*($BD84))*$BF84),IF($F84="wagon",1,1.2)))+$AY84</f>
        <v>8</v>
      </c>
      <c r="BJ84" s="19">
        <f t="shared" si="190"/>
        <v>187.5</v>
      </c>
      <c r="BK84" s="19">
        <f t="shared" si="191"/>
        <v>21.84</v>
      </c>
      <c r="BT84">
        <v>1</v>
      </c>
      <c r="BU84">
        <v>225</v>
      </c>
      <c r="BV84" t="s">
        <v>282</v>
      </c>
      <c r="BW84" t="s">
        <v>283</v>
      </c>
      <c r="BX84" s="22" t="str">
        <f>VLOOKUP(I84,Eras!$A$2:$C$10, 2, TRUE)</f>
        <v>vct</v>
      </c>
      <c r="BY84" t="s">
        <v>75</v>
      </c>
      <c r="BZ84" s="22" t="str">
        <f t="shared" si="234"/>
        <v>vct_Open Wagon</v>
      </c>
      <c r="CA84" s="22" t="str">
        <f t="shared" si="235"/>
        <v>wagon_NARROW_GAUGE</v>
      </c>
      <c r="CB84" s="25" t="str" cm="1">
        <f t="array" ref="CB84">IF(AM84&lt;&gt;"na", _xlfn.CONCAT("{BLACK}Length: {GOLD}", TEXT(ROUNDUP(IF(AP84&lt;&gt;"",SUM(VALUE(_xlfn.TEXTSPLIT(AP84, ","))), SUM(VALUE(_xlfn.TEXTSPLIT(AM84, ",")))*IF(L84, L84, 1))/16, 1),"#,##0.0"), " tiles{}"), "")</f>
        <v>{BLACK}Length: {GOLD}0.3 tiles{}</v>
      </c>
      <c r="CC84" s="22" t="str">
        <f>VLOOKUP($CA84, Constants!$M:$N, 2, FALSE)</f>
        <v/>
      </c>
      <c r="CD84" s="22" t="str">
        <f t="shared" si="146"/>
        <v/>
      </c>
      <c r="CE84" t="s">
        <v>292</v>
      </c>
      <c r="CF84" s="22" t="str">
        <f t="shared" si="252"/>
        <v/>
      </c>
      <c r="CG84" s="22" t="str">
        <f t="shared" si="217"/>
        <v>{BLACK}Length: {GOLD}0.3 tiles{}{SILVER}A van for carrying livestock on narrow gauge railways.</v>
      </c>
    </row>
    <row r="85" spans="1:85" x14ac:dyDescent="0.25">
      <c r="A85" t="s">
        <v>265</v>
      </c>
      <c r="B85" t="s">
        <v>273</v>
      </c>
      <c r="C85">
        <v>92</v>
      </c>
      <c r="D85">
        <v>3012</v>
      </c>
      <c r="E85" t="s">
        <v>488</v>
      </c>
      <c r="F85" t="s">
        <v>32</v>
      </c>
      <c r="G85" t="s">
        <v>32</v>
      </c>
      <c r="H85" t="s">
        <v>337</v>
      </c>
      <c r="I85">
        <v>1800</v>
      </c>
      <c r="K85">
        <v>1900</v>
      </c>
      <c r="V85">
        <v>1</v>
      </c>
      <c r="X85">
        <v>3</v>
      </c>
      <c r="Z85" s="3" t="str">
        <f t="shared" si="227"/>
        <v/>
      </c>
      <c r="AA85">
        <v>25</v>
      </c>
      <c r="AB85">
        <f t="shared" si="236"/>
        <v>40</v>
      </c>
      <c r="AE85">
        <v>4.9000000000000004</v>
      </c>
      <c r="AF85">
        <v>6</v>
      </c>
      <c r="AI85" s="9">
        <v>12</v>
      </c>
      <c r="AJ85" s="14" t="str">
        <f>CONCATENATE(VLOOKUP(AK85, 'Voxel Sizes'!$A$2:$B$18,2,FALSE),"x",INT(AG85*15), "x", INT(AH85*15))</f>
        <v>66x0x0</v>
      </c>
      <c r="AK85" s="14">
        <f t="shared" si="228"/>
        <v>4</v>
      </c>
      <c r="AM85" s="14" t="str">
        <f>CONCATENATE(VLOOKUP(AK85,Constants!$A$2:$C$16,IF(AL85&lt;&gt;"", 3, 2), FALSE),IF(AL85&lt;&gt;"",CONCATENATE(",",VLOOKUP(AL85,$B:$AM,38,FALSE)),""))</f>
        <v>1,2,1</v>
      </c>
      <c r="AW85">
        <v>80</v>
      </c>
      <c r="AX85" s="14">
        <f t="shared" si="229"/>
        <v>108</v>
      </c>
      <c r="AY85">
        <v>-15</v>
      </c>
      <c r="AZ85">
        <v>-3</v>
      </c>
      <c r="BA85" s="16">
        <f t="shared" si="230"/>
        <v>5</v>
      </c>
      <c r="BB85" s="16">
        <f t="shared" si="231"/>
        <v>0</v>
      </c>
      <c r="BC85" s="16">
        <f t="shared" si="232"/>
        <v>0</v>
      </c>
      <c r="BD85" s="17">
        <f t="shared" si="233"/>
        <v>1</v>
      </c>
      <c r="BE85" s="16">
        <f t="shared" si="189"/>
        <v>2</v>
      </c>
      <c r="BF85" s="16">
        <f>VLOOKUP($G85,Constants!$I:$K, 2, FALSE)</f>
        <v>1</v>
      </c>
      <c r="BG85" s="16">
        <f>VLOOKUP($G85,Constants!$I:$K, 3, FALSE)*IF(AND(F85="multiple_unit",AA85&lt;110),0.75,1)</f>
        <v>0.45</v>
      </c>
      <c r="BH85" s="16">
        <f>INT(POWER(((Constants!$G$2+$BA85+$BB85+$BC85+$BE85)*$BD85)*$BG85, 1.05))+$AZ85</f>
        <v>2</v>
      </c>
      <c r="BI85" s="16">
        <f>INT(POWER((((Constants!$G$1+$BA85+$BB85+$BC85+$BE85)*($BD85))*$BF85),IF($F85="wagon",1,1.2)))+$AY85</f>
        <v>7</v>
      </c>
      <c r="BJ85" s="19">
        <f t="shared" si="190"/>
        <v>125</v>
      </c>
      <c r="BK85" s="19">
        <f t="shared" si="191"/>
        <v>19.11</v>
      </c>
      <c r="BT85">
        <v>1</v>
      </c>
      <c r="BU85">
        <v>225</v>
      </c>
      <c r="BV85" t="s">
        <v>77</v>
      </c>
      <c r="BW85" t="s">
        <v>284</v>
      </c>
      <c r="BX85" s="22" t="str">
        <f>VLOOKUP(I85,Eras!$A$2:$C$10, 2, TRUE)</f>
        <v>early</v>
      </c>
      <c r="BY85" t="s">
        <v>75</v>
      </c>
      <c r="BZ85" s="22" t="str">
        <f t="shared" si="234"/>
        <v>early_Open Wagon</v>
      </c>
      <c r="CA85" s="22" t="str">
        <f t="shared" si="235"/>
        <v>wagon_NARROW_GAUGE</v>
      </c>
      <c r="CB85" s="25" t="str" cm="1">
        <f t="array" ref="CB85">IF(AM85&lt;&gt;"na", _xlfn.CONCAT("{BLACK}Length: {GOLD}", TEXT(ROUNDUP(IF(AP85&lt;&gt;"",SUM(VALUE(_xlfn.TEXTSPLIT(AP85, ","))), SUM(VALUE(_xlfn.TEXTSPLIT(AM85, ",")))*IF(L85, L85, 1))/16, 1),"#,##0.0"), " tiles{}"), "")</f>
        <v>{BLACK}Length: {GOLD}0.3 tiles{}</v>
      </c>
      <c r="CC85" s="22" t="str">
        <f>VLOOKUP($CA85, Constants!$M:$N, 2, FALSE)</f>
        <v/>
      </c>
      <c r="CD85" s="22" t="str">
        <f t="shared" si="146"/>
        <v/>
      </c>
      <c r="CE85" t="s">
        <v>294</v>
      </c>
      <c r="CF85" s="22" t="str">
        <f t="shared" si="252"/>
        <v/>
      </c>
      <c r="CG85" s="22" t="str">
        <f t="shared" si="217"/>
        <v>{BLACK}Length: {GOLD}0.3 tiles{}{SILVER}Like their larger counterparts, narrow gauge railways built many vans for carrying piece goods.</v>
      </c>
    </row>
    <row r="86" spans="1:85" x14ac:dyDescent="0.25">
      <c r="A86" t="s">
        <v>266</v>
      </c>
      <c r="B86" t="s">
        <v>272</v>
      </c>
      <c r="C86">
        <v>93</v>
      </c>
      <c r="D86">
        <v>3013</v>
      </c>
      <c r="E86" t="s">
        <v>488</v>
      </c>
      <c r="F86" t="s">
        <v>32</v>
      </c>
      <c r="G86" t="s">
        <v>32</v>
      </c>
      <c r="H86" t="s">
        <v>337</v>
      </c>
      <c r="I86">
        <v>1860</v>
      </c>
      <c r="V86">
        <v>3</v>
      </c>
      <c r="X86">
        <v>4</v>
      </c>
      <c r="Z86" s="3" t="str">
        <f t="shared" si="227"/>
        <v/>
      </c>
      <c r="AA86">
        <v>35</v>
      </c>
      <c r="AB86">
        <f t="shared" si="236"/>
        <v>56</v>
      </c>
      <c r="AE86">
        <v>4.9000000000000004</v>
      </c>
      <c r="AF86">
        <v>6</v>
      </c>
      <c r="AI86" s="9">
        <v>15</v>
      </c>
      <c r="AJ86" s="14" t="str">
        <f>CONCATENATE(VLOOKUP(AK86, 'Voxel Sizes'!$A$2:$B$18,2,FALSE),"x",INT(AG86*15), "x", INT(AH86*15))</f>
        <v>66x0x0</v>
      </c>
      <c r="AK86" s="14">
        <f t="shared" si="228"/>
        <v>4</v>
      </c>
      <c r="AM86" s="14" t="str">
        <f>CONCATENATE(VLOOKUP(AK86,Constants!$A$2:$C$16,IF(AL86&lt;&gt;"", 3, 2), FALSE),IF(AL86&lt;&gt;"",CONCATENATE(",",VLOOKUP(AL86,$B:$AM,38,FALSE)),""))</f>
        <v>1,2,1</v>
      </c>
      <c r="AW86">
        <v>80</v>
      </c>
      <c r="AX86" s="14" t="str">
        <f t="shared" si="229"/>
        <v/>
      </c>
      <c r="AY86">
        <v>-14</v>
      </c>
      <c r="AZ86">
        <v>-3</v>
      </c>
      <c r="BA86" s="16">
        <f t="shared" si="230"/>
        <v>7</v>
      </c>
      <c r="BB86" s="16">
        <f t="shared" si="231"/>
        <v>0</v>
      </c>
      <c r="BC86" s="16">
        <f t="shared" si="232"/>
        <v>0</v>
      </c>
      <c r="BD86" s="17">
        <f t="shared" si="233"/>
        <v>1</v>
      </c>
      <c r="BE86" s="16">
        <f t="shared" si="189"/>
        <v>2.5</v>
      </c>
      <c r="BF86" s="16">
        <f>VLOOKUP($G86,Constants!$I:$K, 2, FALSE)</f>
        <v>1</v>
      </c>
      <c r="BG86" s="16">
        <f>VLOOKUP($G86,Constants!$I:$K, 3, FALSE)*IF(AND(F86="multiple_unit",AA86&lt;110),0.75,1)</f>
        <v>0.45</v>
      </c>
      <c r="BH86" s="16">
        <f>INT(POWER(((Constants!$G$2+$BA86+$BB86+$BC86+$BE86)*$BD86)*$BG86, 1.05))+$AZ86</f>
        <v>4</v>
      </c>
      <c r="BI86" s="16">
        <f>INT(POWER((((Constants!$G$1+$BA86+$BB86+$BC86+$BE86)*($BD86))*$BF86),IF($F86="wagon",1,1.2)))+$AY86</f>
        <v>10</v>
      </c>
      <c r="BJ86" s="19">
        <f t="shared" si="190"/>
        <v>250</v>
      </c>
      <c r="BK86" s="19">
        <f t="shared" si="191"/>
        <v>27.3</v>
      </c>
      <c r="BT86">
        <v>1</v>
      </c>
      <c r="BU86">
        <v>225</v>
      </c>
      <c r="BV86" t="s">
        <v>77</v>
      </c>
      <c r="BW86" t="s">
        <v>330</v>
      </c>
      <c r="BX86" s="22" t="str">
        <f>VLOOKUP(I86,Eras!$A$2:$C$10, 2, TRUE)</f>
        <v>vct</v>
      </c>
      <c r="BY86" t="s">
        <v>75</v>
      </c>
      <c r="BZ86" s="22" t="str">
        <f t="shared" si="234"/>
        <v>vct_Open Wagon</v>
      </c>
      <c r="CA86" s="22" t="str">
        <f t="shared" si="235"/>
        <v>wagon_NARROW_GAUGE</v>
      </c>
      <c r="CB86" s="25" t="str" cm="1">
        <f t="array" ref="CB86">IF(AM86&lt;&gt;"na", _xlfn.CONCAT("{BLACK}Length: {GOLD}", TEXT(ROUNDUP(IF(AP86&lt;&gt;"",SUM(VALUE(_xlfn.TEXTSPLIT(AP86, ","))), SUM(VALUE(_xlfn.TEXTSPLIT(AM86, ",")))*IF(L86, L86, 1))/16, 1),"#,##0.0"), " tiles{}"), "")</f>
        <v>{BLACK}Length: {GOLD}0.3 tiles{}</v>
      </c>
      <c r="CC86" s="22" t="str">
        <f>VLOOKUP($CA86, Constants!$M:$N, 2, FALSE)</f>
        <v/>
      </c>
      <c r="CD86" s="22" t="str">
        <f t="shared" si="146"/>
        <v/>
      </c>
      <c r="CE86" t="s">
        <v>295</v>
      </c>
      <c r="CF86" s="22" t="str">
        <f t="shared" si="252"/>
        <v/>
      </c>
      <c r="CG86" s="22" t="str">
        <f t="shared" si="217"/>
        <v>{BLACK}Length: {GOLD}0.3 tiles{}{SILVER}Gunpowder vans carried explosives to the quarries served by narrow gauge railways. This example has solid iron construction.</v>
      </c>
    </row>
    <row r="87" spans="1:85" x14ac:dyDescent="0.25">
      <c r="A87" t="s">
        <v>267</v>
      </c>
      <c r="B87" t="s">
        <v>274</v>
      </c>
      <c r="C87">
        <v>94</v>
      </c>
      <c r="D87">
        <v>3014</v>
      </c>
      <c r="E87" t="s">
        <v>488</v>
      </c>
      <c r="F87" t="s">
        <v>32</v>
      </c>
      <c r="G87" t="s">
        <v>32</v>
      </c>
      <c r="H87" t="s">
        <v>337</v>
      </c>
      <c r="I87">
        <v>1870</v>
      </c>
      <c r="V87">
        <v>2</v>
      </c>
      <c r="X87">
        <v>4</v>
      </c>
      <c r="Z87" s="3" t="str">
        <f t="shared" si="227"/>
        <v/>
      </c>
      <c r="AA87">
        <v>35</v>
      </c>
      <c r="AB87">
        <f t="shared" si="236"/>
        <v>56</v>
      </c>
      <c r="AE87">
        <v>4.9000000000000004</v>
      </c>
      <c r="AF87">
        <v>6</v>
      </c>
      <c r="AI87" s="9">
        <v>15</v>
      </c>
      <c r="AJ87" s="14" t="str">
        <f>CONCATENATE(VLOOKUP(AK87, 'Voxel Sizes'!$A$2:$B$18,2,FALSE),"x",INT(AG87*15), "x", INT(AH87*15))</f>
        <v>66x0x0</v>
      </c>
      <c r="AK87" s="14">
        <f t="shared" si="228"/>
        <v>4</v>
      </c>
      <c r="AM87" s="14" t="str">
        <f>CONCATENATE(VLOOKUP(AK87,Constants!$A$2:$C$16,IF(AL87&lt;&gt;"", 3, 2), FALSE),IF(AL87&lt;&gt;"",CONCATENATE(",",VLOOKUP(AL87,$B:$AM,38,FALSE)),""))</f>
        <v>1,2,1</v>
      </c>
      <c r="AW87">
        <v>80</v>
      </c>
      <c r="AX87" s="14" t="str">
        <f t="shared" si="229"/>
        <v/>
      </c>
      <c r="AY87">
        <v>-15</v>
      </c>
      <c r="AZ87">
        <v>-3</v>
      </c>
      <c r="BA87" s="16">
        <f t="shared" si="230"/>
        <v>7</v>
      </c>
      <c r="BB87" s="16">
        <f t="shared" si="231"/>
        <v>0</v>
      </c>
      <c r="BC87" s="16">
        <f t="shared" si="232"/>
        <v>0</v>
      </c>
      <c r="BD87" s="17">
        <f t="shared" si="233"/>
        <v>1</v>
      </c>
      <c r="BE87" s="16">
        <f t="shared" si="189"/>
        <v>2.5</v>
      </c>
      <c r="BF87" s="16">
        <f>VLOOKUP($G87,Constants!$I:$K, 2, FALSE)</f>
        <v>1</v>
      </c>
      <c r="BG87" s="16">
        <f>VLOOKUP($G87,Constants!$I:$K, 3, FALSE)*IF(AND(F87="multiple_unit",AA87&lt;110),0.75,1)</f>
        <v>0.45</v>
      </c>
      <c r="BH87" s="16">
        <f>INT(POWER(((Constants!$G$2+$BA87+$BB87+$BC87+$BE87)*$BD87)*$BG87, 1.05))+$AZ87</f>
        <v>4</v>
      </c>
      <c r="BI87" s="16">
        <f>INT(POWER((((Constants!$G$1+$BA87+$BB87+$BC87+$BE87)*($BD87))*$BF87),IF($F87="wagon",1,1.2)))+$AY87</f>
        <v>9</v>
      </c>
      <c r="BJ87" s="19">
        <f t="shared" si="190"/>
        <v>250</v>
      </c>
      <c r="BK87" s="19">
        <f t="shared" si="191"/>
        <v>24.57</v>
      </c>
      <c r="BT87">
        <v>1</v>
      </c>
      <c r="BU87">
        <v>225</v>
      </c>
      <c r="BV87" t="s">
        <v>77</v>
      </c>
      <c r="BW87" t="s">
        <v>284</v>
      </c>
      <c r="BX87" s="22" t="str">
        <f>VLOOKUP(I87,Eras!$A$2:$C$10, 2, TRUE)</f>
        <v>vct</v>
      </c>
      <c r="BY87" t="s">
        <v>75</v>
      </c>
      <c r="BZ87" s="22" t="str">
        <f t="shared" si="234"/>
        <v>vct_Open Wagon</v>
      </c>
      <c r="CA87" s="22" t="str">
        <f t="shared" si="235"/>
        <v>wagon_NARROW_GAUGE</v>
      </c>
      <c r="CB87" s="25" t="str" cm="1">
        <f t="array" ref="CB87">IF(AM87&lt;&gt;"na", _xlfn.CONCAT("{BLACK}Length: {GOLD}", TEXT(ROUNDUP(IF(AP87&lt;&gt;"",SUM(VALUE(_xlfn.TEXTSPLIT(AP87, ","))), SUM(VALUE(_xlfn.TEXTSPLIT(AM87, ",")))*IF(L87, L87, 1))/16, 1),"#,##0.0"), " tiles{}"), "")</f>
        <v>{BLACK}Length: {GOLD}0.3 tiles{}</v>
      </c>
      <c r="CC87" s="22" t="str">
        <f>VLOOKUP($CA87, Constants!$M:$N, 2, FALSE)</f>
        <v/>
      </c>
      <c r="CD87" s="22" t="str">
        <f t="shared" si="146"/>
        <v/>
      </c>
      <c r="CE87" t="s">
        <v>296</v>
      </c>
      <c r="CF87" s="22" t="str">
        <f t="shared" si="252"/>
        <v/>
      </c>
      <c r="CG87" s="22" t="str">
        <f t="shared" si="217"/>
        <v>{BLACK}Length: {GOLD}0.3 tiles{}{SILVER}Later vans used iron frames to increase their strength and enable running at faster speeds.</v>
      </c>
    </row>
    <row r="88" spans="1:85" x14ac:dyDescent="0.25">
      <c r="A88" t="s">
        <v>464</v>
      </c>
      <c r="B88" t="s">
        <v>467</v>
      </c>
      <c r="C88">
        <v>95</v>
      </c>
      <c r="D88">
        <v>3015</v>
      </c>
      <c r="E88" t="s">
        <v>488</v>
      </c>
      <c r="F88" t="s">
        <v>32</v>
      </c>
      <c r="G88" t="s">
        <v>32</v>
      </c>
      <c r="H88" t="s">
        <v>337</v>
      </c>
      <c r="I88">
        <v>1800</v>
      </c>
      <c r="K88">
        <v>1880</v>
      </c>
      <c r="V88">
        <v>1</v>
      </c>
      <c r="X88">
        <v>3</v>
      </c>
      <c r="Z88" s="3" t="str">
        <f t="shared" ref="Z88" si="253">IF(AND(V88&gt;0,Y88&gt;0),(Y88/((V88+W88)*10)),"")</f>
        <v/>
      </c>
      <c r="AA88">
        <v>45</v>
      </c>
      <c r="AB88">
        <f t="shared" ref="AB88" si="254">ROUND(AA88*1.6, 0)</f>
        <v>72</v>
      </c>
      <c r="AE88">
        <v>4.9000000000000004</v>
      </c>
      <c r="AF88">
        <v>6</v>
      </c>
      <c r="AI88" s="9">
        <v>0</v>
      </c>
      <c r="AJ88" s="14" t="str">
        <f>CONCATENATE(VLOOKUP(AK88, 'Voxel Sizes'!$A$2:$B$18,2,FALSE),"x",INT(AG88*15), "x", INT(AH88*15))</f>
        <v>66x0x0</v>
      </c>
      <c r="AK88" s="14">
        <f t="shared" ref="AK88" si="255">ROUND(15*((AF88*10)/256),0)</f>
        <v>4</v>
      </c>
      <c r="AM88" s="14" t="str">
        <f>CONCATENATE(VLOOKUP(AK88,Constants!$A$2:$C$16,IF(AL88&lt;&gt;"", 3, 2), FALSE),IF(AL88&lt;&gt;"",CONCATENATE(",",VLOOKUP(AL88,$B:$AM,38,FALSE)),""))</f>
        <v>1,2,1</v>
      </c>
      <c r="AW88">
        <v>80</v>
      </c>
      <c r="AX88" s="14">
        <f t="shared" ref="AX88" si="256">IF(K88&lt;&gt;"",MAX(16,(K88-I88)+8),"")</f>
        <v>88</v>
      </c>
      <c r="AY88">
        <v>-5</v>
      </c>
      <c r="AZ88">
        <v>-2</v>
      </c>
      <c r="BA88" s="16">
        <f t="shared" ref="BA88" si="257">MIN(AA88/150, 1)*30</f>
        <v>9</v>
      </c>
      <c r="BB88" s="16">
        <f t="shared" ref="BB88" si="258">MIN(M88/4000, 1)*20</f>
        <v>0</v>
      </c>
      <c r="BC88" s="16">
        <f t="shared" ref="BC88" si="259">MIN(Y88/400,1)*20</f>
        <v>0</v>
      </c>
      <c r="BD88" s="17">
        <f t="shared" ref="BD88" si="260">1-(MAX(I88-1900, 0)/750)</f>
        <v>1</v>
      </c>
      <c r="BE88" s="16">
        <f t="shared" si="189"/>
        <v>0</v>
      </c>
      <c r="BF88" s="16">
        <f>VLOOKUP($G88,Constants!$I:$K, 2, FALSE)</f>
        <v>1</v>
      </c>
      <c r="BG88" s="16">
        <f>VLOOKUP($G88,Constants!$I:$K, 3, FALSE)*IF(AND(F88="multiple_unit",AA88&lt;110),0.75,1)</f>
        <v>0.45</v>
      </c>
      <c r="BH88" s="16">
        <f>INT(POWER(((Constants!$G$2+$BA88+$BB88+$BC88+$BE88)*$BD88)*$BG88, 1.05))+$AZ88</f>
        <v>4</v>
      </c>
      <c r="BI88" s="16">
        <f>INT(POWER((((Constants!$G$1+$BA88+$BB88+$BC88+$BE88)*($BD88))*$BF88),IF($F88="wagon",1,1.2)))+$AY88</f>
        <v>19</v>
      </c>
      <c r="BJ88" s="19">
        <f t="shared" si="190"/>
        <v>250</v>
      </c>
      <c r="BK88" s="19">
        <f t="shared" si="191"/>
        <v>51.87</v>
      </c>
      <c r="BT88">
        <v>1</v>
      </c>
      <c r="BV88" t="s">
        <v>468</v>
      </c>
      <c r="BW88" t="s">
        <v>465</v>
      </c>
      <c r="BX88" s="22" t="str">
        <f>VLOOKUP(I88,Eras!$A$2:$C$10, 2, TRUE)</f>
        <v>early</v>
      </c>
      <c r="BY88" t="s">
        <v>75</v>
      </c>
      <c r="BZ88" s="22" t="str">
        <f t="shared" ref="BZ88" si="261">CONCATENATE(BX88,"_",BY88)</f>
        <v>early_Open Wagon</v>
      </c>
      <c r="CA88" s="22" t="str">
        <f t="shared" ref="CA88" si="262">_xlfn.CONCAT(G88, "_",H88)</f>
        <v>wagon_NARROW_GAUGE</v>
      </c>
      <c r="CB88" s="25" t="str" cm="1">
        <f t="array" ref="CB88">IF(AM88&lt;&gt;"na", _xlfn.CONCAT("{BLACK}Length: {GOLD}", TEXT(ROUNDUP(IF(AP88&lt;&gt;"",SUM(VALUE(_xlfn.TEXTSPLIT(AP88, ","))), SUM(VALUE(_xlfn.TEXTSPLIT(AM88, ",")))*IF(L88, L88, 1))/16, 1),"#,##0.0"), " tiles{}"), "")</f>
        <v>{BLACK}Length: {GOLD}0.3 tiles{}</v>
      </c>
      <c r="CC88" s="22" t="str">
        <f>VLOOKUP($CA88, Constants!$M:$N, 2, FALSE)</f>
        <v/>
      </c>
      <c r="CD88" s="22" t="str">
        <f t="shared" si="146"/>
        <v/>
      </c>
      <c r="CE88" t="s">
        <v>466</v>
      </c>
      <c r="CF88" s="22" t="str">
        <f t="shared" si="252"/>
        <v>{YELLOW}Faster downhill speeds for horse-drawn trains (1 required per 2 horses){}</v>
      </c>
      <c r="CG88" s="22" t="str">
        <f t="shared" si="217"/>
        <v>{BLACK}Length: {GOLD}0.3 tiles{}{YELLOW}Faster downhill speeds for horse-drawn trains (1 required per 2 horses){}{SILVER}Early gravity railways sent cargo downhill with horses riding in dandy wagons. At the bottom the horses would be unloaded and used to haul the empty train back up the hill.</v>
      </c>
    </row>
  </sheetData>
  <autoFilter ref="A1:CE13"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BY89:BY1048576 BY1 BY12:BY19 BY45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25">
      <c r="A2" s="1" t="s">
        <v>59</v>
      </c>
      <c r="B2" s="1" t="s">
        <v>60</v>
      </c>
    </row>
    <row r="3" spans="1:23" x14ac:dyDescent="0.25">
      <c r="A3" t="s">
        <v>52</v>
      </c>
      <c r="B3" t="str">
        <f>VLOOKUP(A3, Eras!$B$2:$C$10, 2, FALSE)</f>
        <v>Early (1800-1850)</v>
      </c>
      <c r="C3">
        <f>COUNTIF(Table!$BZ:$BZ,CONCATENATE($A3,"_",C$1))</f>
        <v>0</v>
      </c>
      <c r="D3">
        <f>COUNTIF(Table!$BZ:$BZ,CONCATENATE($A3,"_",D$1))</f>
        <v>2</v>
      </c>
      <c r="E3">
        <f>COUNTIF(Table!$BZ:$BZ,CONCATENATE($A3,"_",E$1))</f>
        <v>1</v>
      </c>
      <c r="F3">
        <f>COUNTIF(Table!$BZ:$BZ,CONCATENATE($A3,"_",F$1))</f>
        <v>4</v>
      </c>
      <c r="G3">
        <f>COUNTIF(Table!$BZ:$BZ,CONCATENATE($A3,"_",G$1))</f>
        <v>0</v>
      </c>
      <c r="H3">
        <f>COUNTIF(Table!$BZ:$BZ,CONCATENATE($A3,"_",H$1))</f>
        <v>0</v>
      </c>
      <c r="I3">
        <f>COUNTIF(Table!$BZ:$BZ,CONCATENATE($A3,"_",I$1))</f>
        <v>0</v>
      </c>
      <c r="J3">
        <f>COUNTIF(Table!$BZ:$BZ,CONCATENATE($A3,"_",J$1))</f>
        <v>0</v>
      </c>
      <c r="K3">
        <f>COUNTIF(Table!$BZ:$BZ,CONCATENATE($A3,"_",K$1))</f>
        <v>0</v>
      </c>
      <c r="L3">
        <f>COUNTIF(Table!$BZ:$BZ,CONCATENATE($A3,"_",L$1))</f>
        <v>0</v>
      </c>
      <c r="M3">
        <f>COUNTIF(Table!$BZ:$BZ,CONCATENATE($A3,"_",M$1))</f>
        <v>0</v>
      </c>
      <c r="N3">
        <f>COUNTIF(Table!$BZ:$BZ,CONCATENATE($A3,"_",N$1))</f>
        <v>0</v>
      </c>
      <c r="O3">
        <f>COUNTIF(Table!$BZ:$BZ,CONCATENATE($A3,"_",O$1))</f>
        <v>0</v>
      </c>
      <c r="P3">
        <f>COUNTIF(Table!$BZ:$BZ,CONCATENATE($A3,"_",P$1))</f>
        <v>0</v>
      </c>
      <c r="Q3">
        <f>COUNTIF(Table!$BZ:$BZ,CONCATENATE($A3,"_",Q$1))</f>
        <v>0</v>
      </c>
      <c r="R3">
        <f>COUNTIF(Table!$BZ:$BZ,CONCATENATE($A3,"_",R$1))</f>
        <v>0</v>
      </c>
      <c r="S3">
        <f>COUNTIF(Table!$BZ:$BZ,CONCATENATE($A3,"_",S$1))</f>
        <v>5</v>
      </c>
      <c r="T3">
        <f>COUNTIF(Table!$BZ:$BZ,CONCATENATE($A3,"_",T$1))</f>
        <v>0</v>
      </c>
      <c r="U3">
        <f>COUNTIF(Table!$BZ:$BZ,CONCATENATE($A3,"_",U$1))</f>
        <v>0</v>
      </c>
      <c r="V3">
        <f>COUNTIF(Table!$BZ:$BZ,CONCATENATE($A3,"_",V$1))</f>
        <v>0</v>
      </c>
      <c r="W3">
        <f>COUNTIF(Table!$BZ:$BZ,CONCATENATE($A3,"_",W$1))</f>
        <v>1</v>
      </c>
    </row>
    <row r="4" spans="1:23" x14ac:dyDescent="0.25">
      <c r="A4" t="s">
        <v>94</v>
      </c>
      <c r="B4" t="str">
        <f>VLOOKUP(A4, Eras!$B$2:$C$10, 2, FALSE)</f>
        <v>Victorian (1850-1900)</v>
      </c>
      <c r="C4">
        <f>COUNTIF(Table!$BZ:$BZ,CONCATENATE($A4,"_",C$1))</f>
        <v>0</v>
      </c>
      <c r="D4">
        <f>COUNTIF(Table!$BZ:$BZ,CONCATENATE($A4,"_",D$1))</f>
        <v>6</v>
      </c>
      <c r="E4">
        <f>COUNTIF(Table!$BZ:$BZ,CONCATENATE($A4,"_",E$1))</f>
        <v>5</v>
      </c>
      <c r="F4">
        <f>COUNTIF(Table!$BZ:$BZ,CONCATENATE($A4,"_",F$1))</f>
        <v>4</v>
      </c>
      <c r="G4">
        <f>COUNTIF(Table!$BZ:$BZ,CONCATENATE($A4,"_",G$1))</f>
        <v>0</v>
      </c>
      <c r="H4">
        <f>COUNTIF(Table!$BZ:$BZ,CONCATENATE($A4,"_",H$1))</f>
        <v>0</v>
      </c>
      <c r="I4">
        <f>COUNTIF(Table!$BZ:$BZ,CONCATENATE($A4,"_",I$1))</f>
        <v>0</v>
      </c>
      <c r="J4">
        <f>COUNTIF(Table!$BZ:$BZ,CONCATENATE($A4,"_",J$1))</f>
        <v>0</v>
      </c>
      <c r="K4">
        <f>COUNTIF(Table!$BZ:$BZ,CONCATENATE($A4,"_",K$1))</f>
        <v>0</v>
      </c>
      <c r="L4">
        <f>COUNTIF(Table!$BZ:$BZ,CONCATENATE($A4,"_",L$1))</f>
        <v>0</v>
      </c>
      <c r="M4">
        <f>COUNTIF(Table!$BZ:$BZ,CONCATENATE($A4,"_",M$1))</f>
        <v>0</v>
      </c>
      <c r="N4">
        <f>COUNTIF(Table!$BZ:$BZ,CONCATENATE($A4,"_",N$1))</f>
        <v>1</v>
      </c>
      <c r="O4">
        <f>COUNTIF(Table!$BZ:$BZ,CONCATENATE($A4,"_",O$1))</f>
        <v>0</v>
      </c>
      <c r="P4">
        <f>COUNTIF(Table!$BZ:$BZ,CONCATENATE($A4,"_",P$1))</f>
        <v>1</v>
      </c>
      <c r="Q4">
        <f>COUNTIF(Table!$BZ:$BZ,CONCATENATE($A4,"_",Q$1))</f>
        <v>0</v>
      </c>
      <c r="R4">
        <f>COUNTIF(Table!$BZ:$BZ,CONCATENATE($A4,"_",R$1))</f>
        <v>0</v>
      </c>
      <c r="S4">
        <f>COUNTIF(Table!$BZ:$BZ,CONCATENATE($A4,"_",S$1))</f>
        <v>9</v>
      </c>
      <c r="T4">
        <f>COUNTIF(Table!$BZ:$BZ,CONCATENATE($A4,"_",T$1))</f>
        <v>0</v>
      </c>
      <c r="U4">
        <f>COUNTIF(Table!$BZ:$BZ,CONCATENATE($A4,"_",U$1))</f>
        <v>0</v>
      </c>
      <c r="V4">
        <f>COUNTIF(Table!$BZ:$BZ,CONCATENATE($A4,"_",V$1))</f>
        <v>0</v>
      </c>
      <c r="W4">
        <f>COUNTIF(Table!$BZ:$BZ,CONCATENATE($A4,"_",W$1))</f>
        <v>0</v>
      </c>
    </row>
    <row r="5" spans="1:23" x14ac:dyDescent="0.25">
      <c r="A5" t="s">
        <v>53</v>
      </c>
      <c r="B5" t="str">
        <f>VLOOKUP(A5, Eras!$B$2:$C$10, 2, FALSE)</f>
        <v>Edwardian (1900-1920)</v>
      </c>
      <c r="C5">
        <f>COUNTIF(Table!$BZ:$BZ,CONCATENATE($A5,"_",C$1))</f>
        <v>0</v>
      </c>
      <c r="D5">
        <f>COUNTIF(Table!$BZ:$BZ,CONCATENATE($A5,"_",D$1))</f>
        <v>1</v>
      </c>
      <c r="E5">
        <f>COUNTIF(Table!$BZ:$BZ,CONCATENATE($A5,"_",E$1))</f>
        <v>3</v>
      </c>
      <c r="F5">
        <f>COUNTIF(Table!$BZ:$BZ,CONCATENATE($A5,"_",F$1))</f>
        <v>6</v>
      </c>
      <c r="G5">
        <f>COUNTIF(Table!$BZ:$BZ,CONCATENATE($A5,"_",G$1))</f>
        <v>0</v>
      </c>
      <c r="H5">
        <f>COUNTIF(Table!$BZ:$BZ,CONCATENATE($A5,"_",H$1))</f>
        <v>0</v>
      </c>
      <c r="I5">
        <f>COUNTIF(Table!$BZ:$BZ,CONCATENATE($A5,"_",I$1))</f>
        <v>0</v>
      </c>
      <c r="J5">
        <f>COUNTIF(Table!$BZ:$BZ,CONCATENATE($A5,"_",J$1))</f>
        <v>0</v>
      </c>
      <c r="K5">
        <f>COUNTIF(Table!$BZ:$BZ,CONCATENATE($A5,"_",K$1))</f>
        <v>0</v>
      </c>
      <c r="L5">
        <f>COUNTIF(Table!$BZ:$BZ,CONCATENATE($A5,"_",L$1))</f>
        <v>0</v>
      </c>
      <c r="M5">
        <f>COUNTIF(Table!$BZ:$BZ,CONCATENATE($A5,"_",M$1))</f>
        <v>0</v>
      </c>
      <c r="N5">
        <f>COUNTIF(Table!$BZ:$BZ,CONCATENATE($A5,"_",N$1))</f>
        <v>0</v>
      </c>
      <c r="O5">
        <f>COUNTIF(Table!$BZ:$BZ,CONCATENATE($A5,"_",O$1))</f>
        <v>0</v>
      </c>
      <c r="P5">
        <f>COUNTIF(Table!$BZ:$BZ,CONCATENATE($A5,"_",P$1))</f>
        <v>0</v>
      </c>
      <c r="Q5">
        <f>COUNTIF(Table!$BZ:$BZ,CONCATENATE($A5,"_",Q$1))</f>
        <v>1</v>
      </c>
      <c r="R5">
        <f>COUNTIF(Table!$BZ:$BZ,CONCATENATE($A5,"_",R$1))</f>
        <v>0</v>
      </c>
      <c r="S5">
        <f>COUNTIF(Table!$BZ:$BZ,CONCATENATE($A5,"_",S$1))</f>
        <v>2</v>
      </c>
      <c r="T5">
        <f>COUNTIF(Table!$BZ:$BZ,CONCATENATE($A5,"_",T$1))</f>
        <v>0</v>
      </c>
      <c r="U5">
        <f>COUNTIF(Table!$BZ:$BZ,CONCATENATE($A5,"_",U$1))</f>
        <v>0</v>
      </c>
      <c r="V5">
        <f>COUNTIF(Table!$BZ:$BZ,CONCATENATE($A5,"_",V$1))</f>
        <v>0</v>
      </c>
      <c r="W5">
        <f>COUNTIF(Table!$BZ:$BZ,CONCATENATE($A5,"_",W$1))</f>
        <v>0</v>
      </c>
    </row>
    <row r="6" spans="1:23" x14ac:dyDescent="0.25">
      <c r="A6" t="s">
        <v>54</v>
      </c>
      <c r="B6" t="str">
        <f>VLOOKUP(A6, Eras!$B$2:$C$10, 2, FALSE)</f>
        <v>Big Four (1923-1948)</v>
      </c>
      <c r="C6">
        <f>COUNTIF(Table!$BZ:$BZ,CONCATENATE($A6,"_",C$1))</f>
        <v>0</v>
      </c>
      <c r="D6">
        <f>COUNTIF(Table!$BZ:$BZ,CONCATENATE($A6,"_",D$1))</f>
        <v>1</v>
      </c>
      <c r="E6">
        <f>COUNTIF(Table!$BZ:$BZ,CONCATENATE($A6,"_",E$1))</f>
        <v>3</v>
      </c>
      <c r="F6">
        <f>COUNTIF(Table!$BZ:$BZ,CONCATENATE($A6,"_",F$1))</f>
        <v>0</v>
      </c>
      <c r="G6">
        <f>COUNTIF(Table!$BZ:$BZ,CONCATENATE($A6,"_",G$1))</f>
        <v>2</v>
      </c>
      <c r="H6">
        <f>COUNTIF(Table!$BZ:$BZ,CONCATENATE($A6,"_",H$1))</f>
        <v>0</v>
      </c>
      <c r="I6">
        <f>COUNTIF(Table!$BZ:$BZ,CONCATENATE($A6,"_",I$1))</f>
        <v>0</v>
      </c>
      <c r="J6">
        <f>COUNTIF(Table!$BZ:$BZ,CONCATENATE($A6,"_",J$1))</f>
        <v>0</v>
      </c>
      <c r="K6">
        <f>COUNTIF(Table!$BZ:$BZ,CONCATENATE($A6,"_",K$1))</f>
        <v>0</v>
      </c>
      <c r="L6">
        <f>COUNTIF(Table!$BZ:$BZ,CONCATENATE($A6,"_",L$1))</f>
        <v>0</v>
      </c>
      <c r="M6">
        <f>COUNTIF(Table!$BZ:$BZ,CONCATENATE($A6,"_",M$1))</f>
        <v>0</v>
      </c>
      <c r="N6">
        <f>COUNTIF(Table!$BZ:$BZ,CONCATENATE($A6,"_",N$1))</f>
        <v>0</v>
      </c>
      <c r="O6">
        <f>COUNTIF(Table!$BZ:$BZ,CONCATENATE($A6,"_",O$1))</f>
        <v>0</v>
      </c>
      <c r="P6">
        <f>COUNTIF(Table!$BZ:$BZ,CONCATENATE($A6,"_",P$1))</f>
        <v>0</v>
      </c>
      <c r="Q6">
        <f>COUNTIF(Table!$BZ:$BZ,CONCATENATE($A6,"_",Q$1))</f>
        <v>0</v>
      </c>
      <c r="R6">
        <f>COUNTIF(Table!$BZ:$BZ,CONCATENATE($A6,"_",R$1))</f>
        <v>0</v>
      </c>
      <c r="S6">
        <f>COUNTIF(Table!$BZ:$BZ,CONCATENATE($A6,"_",S$1))</f>
        <v>0</v>
      </c>
      <c r="T6">
        <f>COUNTIF(Table!$BZ:$BZ,CONCATENATE($A6,"_",T$1))</f>
        <v>0</v>
      </c>
      <c r="U6">
        <f>COUNTIF(Table!$BZ:$BZ,CONCATENATE($A6,"_",U$1))</f>
        <v>0</v>
      </c>
      <c r="V6">
        <f>COUNTIF(Table!$BZ:$BZ,CONCATENATE($A6,"_",V$1))</f>
        <v>0</v>
      </c>
      <c r="W6">
        <f>COUNTIF(Table!$BZ:$BZ,CONCATENATE($A6,"_",W$1))</f>
        <v>0</v>
      </c>
    </row>
    <row r="7" spans="1:23" x14ac:dyDescent="0.25">
      <c r="A7" t="s">
        <v>105</v>
      </c>
      <c r="B7" t="str">
        <f>VLOOKUP(A7, Eras!$B$2:$C$10, 2, FALSE)</f>
        <v>Early BR (1948-1955)</v>
      </c>
      <c r="C7">
        <f>COUNTIF(Table!$BZ:$BZ,CONCATENATE($A7,"_",C$1))</f>
        <v>0</v>
      </c>
      <c r="D7">
        <f>COUNTIF(Table!$BZ:$BZ,CONCATENATE($A7,"_",D$1))</f>
        <v>0</v>
      </c>
      <c r="E7">
        <f>COUNTIF(Table!$BZ:$BZ,CONCATENATE($A7,"_",E$1))</f>
        <v>2</v>
      </c>
      <c r="F7">
        <f>COUNTIF(Table!$BZ:$BZ,CONCATENATE($A7,"_",F$1))</f>
        <v>0</v>
      </c>
      <c r="G7">
        <f>COUNTIF(Table!$BZ:$BZ,CONCATENATE($A7,"_",G$1))</f>
        <v>1</v>
      </c>
      <c r="H7">
        <f>COUNTIF(Table!$BZ:$BZ,CONCATENATE($A7,"_",H$1))</f>
        <v>0</v>
      </c>
      <c r="I7">
        <f>COUNTIF(Table!$BZ:$BZ,CONCATENATE($A7,"_",I$1))</f>
        <v>0</v>
      </c>
      <c r="J7">
        <f>COUNTIF(Table!$BZ:$BZ,CONCATENATE($A7,"_",J$1))</f>
        <v>0</v>
      </c>
      <c r="K7">
        <f>COUNTIF(Table!$BZ:$BZ,CONCATENATE($A7,"_",K$1))</f>
        <v>0</v>
      </c>
      <c r="L7">
        <f>COUNTIF(Table!$BZ:$BZ,CONCATENATE($A7,"_",L$1))</f>
        <v>1</v>
      </c>
      <c r="M7">
        <f>COUNTIF(Table!$BZ:$BZ,CONCATENATE($A7,"_",M$1))</f>
        <v>0</v>
      </c>
      <c r="N7">
        <f>COUNTIF(Table!$BZ:$BZ,CONCATENATE($A7,"_",N$1))</f>
        <v>0</v>
      </c>
      <c r="O7">
        <f>COUNTIF(Table!$BZ:$BZ,CONCATENATE($A7,"_",O$1))</f>
        <v>0</v>
      </c>
      <c r="P7">
        <f>COUNTIF(Table!$BZ:$BZ,CONCATENATE($A7,"_",P$1))</f>
        <v>0</v>
      </c>
      <c r="Q7">
        <f>COUNTIF(Table!$BZ:$BZ,CONCATENATE($A7,"_",Q$1))</f>
        <v>1</v>
      </c>
      <c r="R7">
        <f>COUNTIF(Table!$BZ:$BZ,CONCATENATE($A7,"_",R$1))</f>
        <v>0</v>
      </c>
      <c r="S7">
        <f>COUNTIF(Table!$BZ:$BZ,CONCATENATE($A7,"_",S$1))</f>
        <v>0</v>
      </c>
      <c r="T7">
        <f>COUNTIF(Table!$BZ:$BZ,CONCATENATE($A7,"_",T$1))</f>
        <v>0</v>
      </c>
      <c r="U7">
        <f>COUNTIF(Table!$BZ:$BZ,CONCATENATE($A7,"_",U$1))</f>
        <v>0</v>
      </c>
      <c r="V7">
        <f>COUNTIF(Table!$BZ:$BZ,CONCATENATE($A7,"_",V$1))</f>
        <v>0</v>
      </c>
      <c r="W7">
        <f>COUNTIF(Table!$BZ:$BZ,CONCATENATE($A7,"_",W$1))</f>
        <v>0</v>
      </c>
    </row>
    <row r="8" spans="1:23" x14ac:dyDescent="0.25">
      <c r="A8" t="s">
        <v>55</v>
      </c>
      <c r="B8" t="str">
        <f>VLOOKUP(A8, Eras!$B$2:$C$10, 2, FALSE)</f>
        <v>Dieselisation (1955-1970)</v>
      </c>
      <c r="C8">
        <f>COUNTIF(Table!$BZ:$BZ,CONCATENATE($A8,"_",C$1))</f>
        <v>0</v>
      </c>
      <c r="D8">
        <f>COUNTIF(Table!$BZ:$BZ,CONCATENATE($A8,"_",D$1))</f>
        <v>0</v>
      </c>
      <c r="E8">
        <f>COUNTIF(Table!$BZ:$BZ,CONCATENATE($A8,"_",E$1))</f>
        <v>1</v>
      </c>
      <c r="F8">
        <f>COUNTIF(Table!$BZ:$BZ,CONCATENATE($A8,"_",F$1))</f>
        <v>0</v>
      </c>
      <c r="G8">
        <f>COUNTIF(Table!$BZ:$BZ,CONCATENATE($A8,"_",G$1))</f>
        <v>2</v>
      </c>
      <c r="H8">
        <f>COUNTIF(Table!$BZ:$BZ,CONCATENATE($A8,"_",H$1))</f>
        <v>0</v>
      </c>
      <c r="I8">
        <f>COUNTIF(Table!$BZ:$BZ,CONCATENATE($A8,"_",I$1))</f>
        <v>0</v>
      </c>
      <c r="J8">
        <f>COUNTIF(Table!$BZ:$BZ,CONCATENATE($A8,"_",J$1))</f>
        <v>0</v>
      </c>
      <c r="K8">
        <f>COUNTIF(Table!$BZ:$BZ,CONCATENATE($A8,"_",K$1))</f>
        <v>0</v>
      </c>
      <c r="L8">
        <f>COUNTIF(Table!$BZ:$BZ,CONCATENATE($A8,"_",L$1))</f>
        <v>4</v>
      </c>
      <c r="M8">
        <f>COUNTIF(Table!$BZ:$BZ,CONCATENATE($A8,"_",M$1))</f>
        <v>0</v>
      </c>
      <c r="N8">
        <f>COUNTIF(Table!$BZ:$BZ,CONCATENATE($A8,"_",N$1))</f>
        <v>0</v>
      </c>
      <c r="O8">
        <f>COUNTIF(Table!$BZ:$BZ,CONCATENATE($A8,"_",O$1))</f>
        <v>0</v>
      </c>
      <c r="P8">
        <f>COUNTIF(Table!$BZ:$BZ,CONCATENATE($A8,"_",P$1))</f>
        <v>0</v>
      </c>
      <c r="Q8">
        <f>COUNTIF(Table!$BZ:$BZ,CONCATENATE($A8,"_",Q$1))</f>
        <v>1</v>
      </c>
      <c r="R8">
        <f>COUNTIF(Table!$BZ:$BZ,CONCATENATE($A8,"_",R$1))</f>
        <v>0</v>
      </c>
      <c r="S8">
        <f>COUNTIF(Table!$BZ:$BZ,CONCATENATE($A8,"_",S$1))</f>
        <v>0</v>
      </c>
      <c r="T8">
        <f>COUNTIF(Table!$BZ:$BZ,CONCATENATE($A8,"_",T$1))</f>
        <v>0</v>
      </c>
      <c r="U8">
        <f>COUNTIF(Table!$BZ:$BZ,CONCATENATE($A8,"_",U$1))</f>
        <v>0</v>
      </c>
      <c r="V8">
        <f>COUNTIF(Table!$BZ:$BZ,CONCATENATE($A8,"_",V$1))</f>
        <v>0</v>
      </c>
      <c r="W8">
        <f>COUNTIF(Table!$BZ:$BZ,CONCATENATE($A8,"_",W$1))</f>
        <v>1</v>
      </c>
    </row>
    <row r="9" spans="1:23" x14ac:dyDescent="0.25">
      <c r="A9" t="s">
        <v>106</v>
      </c>
      <c r="B9" t="str">
        <f>VLOOKUP(A9, Eras!$B$2:$C$10, 2, FALSE)</f>
        <v>Late BR (1970-1995)</v>
      </c>
      <c r="C9">
        <f>COUNTIF(Table!$BZ:$BZ,CONCATENATE($A9,"_",C$1))</f>
        <v>0</v>
      </c>
      <c r="D9">
        <f>COUNTIF(Table!$BZ:$BZ,CONCATENATE($A9,"_",D$1))</f>
        <v>0</v>
      </c>
      <c r="E9">
        <f>COUNTIF(Table!$BZ:$BZ,CONCATENATE($A9,"_",E$1))</f>
        <v>1</v>
      </c>
      <c r="F9">
        <f>COUNTIF(Table!$BZ:$BZ,CONCATENATE($A9,"_",F$1))</f>
        <v>0</v>
      </c>
      <c r="G9">
        <f>COUNTIF(Table!$BZ:$BZ,CONCATENATE($A9,"_",G$1))</f>
        <v>0</v>
      </c>
      <c r="H9">
        <f>COUNTIF(Table!$BZ:$BZ,CONCATENATE($A9,"_",H$1))</f>
        <v>0</v>
      </c>
      <c r="I9">
        <f>COUNTIF(Table!$BZ:$BZ,CONCATENATE($A9,"_",I$1))</f>
        <v>1</v>
      </c>
      <c r="J9">
        <f>COUNTIF(Table!$BZ:$BZ,CONCATENATE($A9,"_",J$1))</f>
        <v>0</v>
      </c>
      <c r="K9">
        <f>COUNTIF(Table!$BZ:$BZ,CONCATENATE($A9,"_",K$1))</f>
        <v>0</v>
      </c>
      <c r="L9">
        <f>COUNTIF(Table!$BZ:$BZ,CONCATENATE($A9,"_",L$1))</f>
        <v>0</v>
      </c>
      <c r="M9">
        <f>COUNTIF(Table!$BZ:$BZ,CONCATENATE($A9,"_",M$1))</f>
        <v>0</v>
      </c>
      <c r="N9">
        <f>COUNTIF(Table!$BZ:$BZ,CONCATENATE($A9,"_",N$1))</f>
        <v>0</v>
      </c>
      <c r="O9">
        <f>COUNTIF(Table!$BZ:$BZ,CONCATENATE($A9,"_",O$1))</f>
        <v>0</v>
      </c>
      <c r="P9">
        <f>COUNTIF(Table!$BZ:$BZ,CONCATENATE($A9,"_",P$1))</f>
        <v>1</v>
      </c>
      <c r="Q9">
        <f>COUNTIF(Table!$BZ:$BZ,CONCATENATE($A9,"_",Q$1))</f>
        <v>2</v>
      </c>
      <c r="R9">
        <f>COUNTIF(Table!$BZ:$BZ,CONCATENATE($A9,"_",R$1))</f>
        <v>0</v>
      </c>
      <c r="S9">
        <f>COUNTIF(Table!$BZ:$BZ,CONCATENATE($A9,"_",S$1))</f>
        <v>0</v>
      </c>
      <c r="T9">
        <f>COUNTIF(Table!$BZ:$BZ,CONCATENATE($A9,"_",T$1))</f>
        <v>0</v>
      </c>
      <c r="U9">
        <f>COUNTIF(Table!$BZ:$BZ,CONCATENATE($A9,"_",U$1))</f>
        <v>0</v>
      </c>
      <c r="V9">
        <f>COUNTIF(Table!$BZ:$BZ,CONCATENATE($A9,"_",V$1))</f>
        <v>0</v>
      </c>
      <c r="W9">
        <f>COUNTIF(Table!$BZ:$BZ,CONCATENATE($A9,"_",W$1))</f>
        <v>0</v>
      </c>
    </row>
    <row r="10" spans="1:23" x14ac:dyDescent="0.25">
      <c r="A10" t="s">
        <v>56</v>
      </c>
      <c r="B10" t="str">
        <f>VLOOKUP(A10, Eras!$B$2:$C$10, 2, FALSE)</f>
        <v>Privatisation (1995-2005)</v>
      </c>
      <c r="C10">
        <f>COUNTIF(Table!$BZ:$BZ,CONCATENATE($A10,"_",C$1))</f>
        <v>0</v>
      </c>
      <c r="D10">
        <f>COUNTIF(Table!$BZ:$BZ,CONCATENATE($A10,"_",D$1))</f>
        <v>0</v>
      </c>
      <c r="E10">
        <f>COUNTIF(Table!$BZ:$BZ,CONCATENATE($A10,"_",E$1))</f>
        <v>0</v>
      </c>
      <c r="F10">
        <f>COUNTIF(Table!$BZ:$BZ,CONCATENATE($A10,"_",F$1))</f>
        <v>0</v>
      </c>
      <c r="G10">
        <f>COUNTIF(Table!$BZ:$BZ,CONCATENATE($A10,"_",G$1))</f>
        <v>0</v>
      </c>
      <c r="H10">
        <f>COUNTIF(Table!$BZ:$BZ,CONCATENATE($A10,"_",H$1))</f>
        <v>0</v>
      </c>
      <c r="I10">
        <f>COUNTIF(Table!$BZ:$BZ,CONCATENATE($A10,"_",I$1))</f>
        <v>0</v>
      </c>
      <c r="J10">
        <f>COUNTIF(Table!$BZ:$BZ,CONCATENATE($A10,"_",J$1))</f>
        <v>0</v>
      </c>
      <c r="K10">
        <f>COUNTIF(Table!$BZ:$BZ,CONCATENATE($A10,"_",K$1))</f>
        <v>0</v>
      </c>
      <c r="L10">
        <f>COUNTIF(Table!$BZ:$BZ,CONCATENATE($A10,"_",L$1))</f>
        <v>0</v>
      </c>
      <c r="M10">
        <f>COUNTIF(Table!$BZ:$BZ,CONCATENATE($A10,"_",M$1))</f>
        <v>0</v>
      </c>
      <c r="N10">
        <f>COUNTIF(Table!$BZ:$BZ,CONCATENATE($A10,"_",N$1))</f>
        <v>0</v>
      </c>
      <c r="O10">
        <f>COUNTIF(Table!$BZ:$BZ,CONCATENATE($A10,"_",O$1))</f>
        <v>0</v>
      </c>
      <c r="P10">
        <f>COUNTIF(Table!$BZ:$BZ,CONCATENATE($A10,"_",P$1))</f>
        <v>0</v>
      </c>
      <c r="Q10">
        <f>COUNTIF(Table!$BZ:$BZ,CONCATENATE($A10,"_",Q$1))</f>
        <v>0</v>
      </c>
      <c r="R10">
        <f>COUNTIF(Table!$BZ:$BZ,CONCATENATE($A10,"_",R$1))</f>
        <v>0</v>
      </c>
      <c r="S10">
        <f>COUNTIF(Table!$BZ:$BZ,CONCATENATE($A10,"_",S$1))</f>
        <v>0</v>
      </c>
      <c r="T10">
        <f>COUNTIF(Table!$BZ:$BZ,CONCATENATE($A10,"_",T$1))</f>
        <v>0</v>
      </c>
      <c r="U10">
        <f>COUNTIF(Table!$BZ:$BZ,CONCATENATE($A10,"_",U$1))</f>
        <v>0</v>
      </c>
      <c r="V10">
        <f>COUNTIF(Table!$BZ:$BZ,CONCATENATE($A10,"_",V$1))</f>
        <v>0</v>
      </c>
      <c r="W10">
        <f>COUNTIF(Table!$BZ:$BZ,CONCATENATE($A10,"_",W$1))</f>
        <v>0</v>
      </c>
    </row>
    <row r="11" spans="1:23" x14ac:dyDescent="0.25">
      <c r="A11" t="s">
        <v>57</v>
      </c>
      <c r="B11" t="str">
        <f>VLOOKUP(A11, Eras!$B$2:$C$10, 2, FALSE)</f>
        <v>Modern (2005-)</v>
      </c>
      <c r="C11">
        <f>COUNTIF(Table!$BZ:$BZ,CONCATENATE($A11,"_",C$1))</f>
        <v>0</v>
      </c>
      <c r="D11">
        <f>COUNTIF(Table!$BZ:$BZ,CONCATENATE($A11,"_",D$1))</f>
        <v>0</v>
      </c>
      <c r="E11">
        <f>COUNTIF(Table!$BZ:$BZ,CONCATENATE($A11,"_",E$1))</f>
        <v>0</v>
      </c>
      <c r="F11">
        <f>COUNTIF(Table!$BZ:$BZ,CONCATENATE($A11,"_",F$1))</f>
        <v>0</v>
      </c>
      <c r="G11">
        <f>COUNTIF(Table!$BZ:$BZ,CONCATENATE($A11,"_",G$1))</f>
        <v>0</v>
      </c>
      <c r="H11">
        <f>COUNTIF(Table!$BZ:$BZ,CONCATENATE($A11,"_",H$1))</f>
        <v>0</v>
      </c>
      <c r="I11">
        <f>COUNTIF(Table!$BZ:$BZ,CONCATENATE($A11,"_",I$1))</f>
        <v>1</v>
      </c>
      <c r="J11">
        <f>COUNTIF(Table!$BZ:$BZ,CONCATENATE($A11,"_",J$1))</f>
        <v>0</v>
      </c>
      <c r="K11">
        <f>COUNTIF(Table!$BZ:$BZ,CONCATENATE($A11,"_",K$1))</f>
        <v>0</v>
      </c>
      <c r="L11">
        <f>COUNTIF(Table!$BZ:$BZ,CONCATENATE($A11,"_",L$1))</f>
        <v>0</v>
      </c>
      <c r="M11">
        <f>COUNTIF(Table!$BZ:$BZ,CONCATENATE($A11,"_",M$1))</f>
        <v>0</v>
      </c>
      <c r="N11">
        <f>COUNTIF(Table!$BZ:$BZ,CONCATENATE($A11,"_",N$1))</f>
        <v>2</v>
      </c>
      <c r="O11">
        <f>COUNTIF(Table!$BZ:$BZ,CONCATENATE($A11,"_",O$1))</f>
        <v>0</v>
      </c>
      <c r="P11">
        <f>COUNTIF(Table!$BZ:$BZ,CONCATENATE($A11,"_",P$1))</f>
        <v>0</v>
      </c>
      <c r="Q11">
        <f>COUNTIF(Table!$BZ:$BZ,CONCATENATE($A11,"_",Q$1))</f>
        <v>1</v>
      </c>
      <c r="R11">
        <f>COUNTIF(Table!$BZ:$BZ,CONCATENATE($A11,"_",R$1))</f>
        <v>0</v>
      </c>
      <c r="S11">
        <f>COUNTIF(Table!$BZ:$BZ,CONCATENATE($A11,"_",S$1))</f>
        <v>0</v>
      </c>
      <c r="T11">
        <f>COUNTIF(Table!$BZ:$BZ,CONCATENATE($A11,"_",T$1))</f>
        <v>0</v>
      </c>
      <c r="U11">
        <f>COUNTIF(Table!$BZ:$BZ,CONCATENATE($A11,"_",U$1))</f>
        <v>0</v>
      </c>
      <c r="V11">
        <f>COUNTIF(Table!$BZ:$BZ,CONCATENATE($A11,"_",V$1))</f>
        <v>0</v>
      </c>
      <c r="W11">
        <f>COUNTIF(Table!$BZ:$BZ,CONCATENATE($A11,"_",W$1))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45</v>
      </c>
      <c r="B1" s="1" t="s">
        <v>51</v>
      </c>
      <c r="C1" s="1" t="s">
        <v>46</v>
      </c>
    </row>
    <row r="2" spans="1:3" x14ac:dyDescent="0.25">
      <c r="A2">
        <v>1700</v>
      </c>
      <c r="B2" t="s">
        <v>52</v>
      </c>
      <c r="C2" t="s">
        <v>93</v>
      </c>
    </row>
    <row r="3" spans="1:3" x14ac:dyDescent="0.25">
      <c r="A3">
        <v>1850</v>
      </c>
      <c r="B3" t="s">
        <v>94</v>
      </c>
      <c r="C3" t="s">
        <v>92</v>
      </c>
    </row>
    <row r="4" spans="1:3" x14ac:dyDescent="0.25">
      <c r="A4">
        <v>1900</v>
      </c>
      <c r="B4" t="s">
        <v>53</v>
      </c>
      <c r="C4" t="s">
        <v>47</v>
      </c>
    </row>
    <row r="5" spans="1:3" x14ac:dyDescent="0.25">
      <c r="A5">
        <v>1923</v>
      </c>
      <c r="B5" t="s">
        <v>54</v>
      </c>
      <c r="C5" t="s">
        <v>97</v>
      </c>
    </row>
    <row r="6" spans="1:3" x14ac:dyDescent="0.25">
      <c r="A6">
        <v>1948</v>
      </c>
      <c r="B6" t="s">
        <v>105</v>
      </c>
      <c r="C6" t="s">
        <v>48</v>
      </c>
    </row>
    <row r="7" spans="1:3" x14ac:dyDescent="0.25">
      <c r="A7">
        <v>1955</v>
      </c>
      <c r="B7" t="s">
        <v>55</v>
      </c>
      <c r="C7" t="s">
        <v>108</v>
      </c>
    </row>
    <row r="8" spans="1:3" x14ac:dyDescent="0.25">
      <c r="A8">
        <v>1970</v>
      </c>
      <c r="B8" t="s">
        <v>106</v>
      </c>
      <c r="C8" t="s">
        <v>107</v>
      </c>
    </row>
    <row r="9" spans="1:3" x14ac:dyDescent="0.25">
      <c r="A9">
        <v>1995</v>
      </c>
      <c r="B9" t="s">
        <v>56</v>
      </c>
      <c r="C9" t="s">
        <v>49</v>
      </c>
    </row>
    <row r="10" spans="1:3" x14ac:dyDescent="0.25">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18</v>
      </c>
      <c r="B1" s="1" t="s">
        <v>19</v>
      </c>
      <c r="C1" s="1" t="s">
        <v>99</v>
      </c>
      <c r="F1" s="1" t="s">
        <v>150</v>
      </c>
      <c r="G1">
        <v>15</v>
      </c>
      <c r="I1" s="1" t="s">
        <v>154</v>
      </c>
      <c r="J1" s="1" t="s">
        <v>155</v>
      </c>
      <c r="K1" s="1" t="s">
        <v>156</v>
      </c>
      <c r="M1" s="1" t="s">
        <v>177</v>
      </c>
      <c r="N1" s="1" t="s">
        <v>178</v>
      </c>
      <c r="O1" s="1" t="s">
        <v>8</v>
      </c>
    </row>
    <row r="2" spans="1:15" x14ac:dyDescent="0.25">
      <c r="A2">
        <v>0</v>
      </c>
      <c r="B2" t="s">
        <v>15</v>
      </c>
      <c r="F2" s="1" t="s">
        <v>151</v>
      </c>
      <c r="G2">
        <v>5</v>
      </c>
      <c r="I2" t="s">
        <v>26</v>
      </c>
      <c r="J2">
        <v>1</v>
      </c>
      <c r="K2">
        <v>2</v>
      </c>
      <c r="M2" t="s">
        <v>179</v>
      </c>
      <c r="N2" t="str">
        <f>IF(O2&lt;&gt;"", _xlfn.CONCAT("{BLACK}Powered by: {GOLD}",O2), "")</f>
        <v>{BLACK}Powered by: {GOLD}Diesel</v>
      </c>
      <c r="O2" t="s">
        <v>187</v>
      </c>
    </row>
    <row r="3" spans="1:15" x14ac:dyDescent="0.25">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25">
      <c r="A4">
        <v>4</v>
      </c>
      <c r="B4" t="s">
        <v>140</v>
      </c>
      <c r="C4" t="s">
        <v>140</v>
      </c>
      <c r="I4" t="s">
        <v>25</v>
      </c>
      <c r="J4">
        <v>1.1499999999999999</v>
      </c>
      <c r="K4">
        <v>1.7</v>
      </c>
      <c r="M4" t="s">
        <v>181</v>
      </c>
      <c r="N4" t="str">
        <f t="shared" si="0"/>
        <v>{BLACK}Powered by: {GOLD}25kV AC</v>
      </c>
      <c r="O4" t="s">
        <v>189</v>
      </c>
    </row>
    <row r="5" spans="1:15" x14ac:dyDescent="0.25">
      <c r="A5">
        <v>5</v>
      </c>
      <c r="B5" t="s">
        <v>136</v>
      </c>
      <c r="C5" t="s">
        <v>136</v>
      </c>
      <c r="I5" t="s">
        <v>100</v>
      </c>
      <c r="J5">
        <v>0.9</v>
      </c>
      <c r="K5">
        <v>2.5</v>
      </c>
      <c r="M5" t="s">
        <v>191</v>
      </c>
      <c r="N5" t="str">
        <f t="shared" si="0"/>
        <v>{BLACK}Powered by: {GOLD}750V DC</v>
      </c>
      <c r="O5" t="s">
        <v>190</v>
      </c>
    </row>
    <row r="6" spans="1:15" x14ac:dyDescent="0.25">
      <c r="A6">
        <v>6</v>
      </c>
      <c r="B6" t="s">
        <v>43</v>
      </c>
      <c r="C6" t="s">
        <v>43</v>
      </c>
      <c r="I6" t="s">
        <v>102</v>
      </c>
      <c r="J6">
        <v>0.85</v>
      </c>
      <c r="K6">
        <v>2.4</v>
      </c>
      <c r="M6" t="s">
        <v>183</v>
      </c>
      <c r="N6" t="str">
        <f t="shared" si="0"/>
        <v/>
      </c>
    </row>
    <row r="7" spans="1:15" x14ac:dyDescent="0.25">
      <c r="A7">
        <v>7</v>
      </c>
      <c r="B7" t="s">
        <v>135</v>
      </c>
      <c r="C7" t="s">
        <v>135</v>
      </c>
      <c r="I7" t="s">
        <v>159</v>
      </c>
      <c r="J7">
        <v>1.2</v>
      </c>
      <c r="K7">
        <v>0.6</v>
      </c>
      <c r="M7" t="s">
        <v>184</v>
      </c>
      <c r="N7" t="str">
        <f t="shared" si="0"/>
        <v/>
      </c>
    </row>
    <row r="8" spans="1:15" x14ac:dyDescent="0.25">
      <c r="A8">
        <v>8</v>
      </c>
      <c r="B8" t="s">
        <v>132</v>
      </c>
      <c r="C8" t="s">
        <v>132</v>
      </c>
      <c r="I8" t="s">
        <v>160</v>
      </c>
      <c r="J8">
        <v>1.5</v>
      </c>
      <c r="K8">
        <v>0.7</v>
      </c>
      <c r="M8" t="s">
        <v>185</v>
      </c>
      <c r="N8" t="str">
        <f t="shared" si="0"/>
        <v/>
      </c>
    </row>
    <row r="9" spans="1:15" x14ac:dyDescent="0.25">
      <c r="A9">
        <v>9</v>
      </c>
      <c r="B9" t="s">
        <v>134</v>
      </c>
      <c r="C9" t="s">
        <v>134</v>
      </c>
      <c r="I9" t="s">
        <v>32</v>
      </c>
      <c r="J9">
        <v>1</v>
      </c>
      <c r="K9">
        <v>0.45</v>
      </c>
      <c r="M9" t="s">
        <v>186</v>
      </c>
      <c r="N9" t="str">
        <f t="shared" si="0"/>
        <v/>
      </c>
    </row>
    <row r="10" spans="1:15" x14ac:dyDescent="0.25">
      <c r="A10">
        <v>10</v>
      </c>
      <c r="B10" t="s">
        <v>406</v>
      </c>
      <c r="C10" t="s">
        <v>406</v>
      </c>
      <c r="I10" t="s">
        <v>161</v>
      </c>
      <c r="J10">
        <v>1</v>
      </c>
      <c r="K10">
        <v>0.4</v>
      </c>
      <c r="M10" t="s">
        <v>359</v>
      </c>
      <c r="N10" t="str">
        <f t="shared" si="0"/>
        <v>{BLACK}Powered by: {GOLD}Steam</v>
      </c>
      <c r="O10" t="s">
        <v>188</v>
      </c>
    </row>
    <row r="11" spans="1:15" x14ac:dyDescent="0.25">
      <c r="A11">
        <v>11</v>
      </c>
      <c r="B11" t="s">
        <v>407</v>
      </c>
      <c r="C11" t="s">
        <v>407</v>
      </c>
      <c r="I11" t="s">
        <v>162</v>
      </c>
      <c r="J11">
        <v>0.9</v>
      </c>
      <c r="K11">
        <v>1.6</v>
      </c>
      <c r="M11" t="s">
        <v>192</v>
      </c>
      <c r="N11" t="str">
        <f t="shared" si="0"/>
        <v>{BLACK}Powered by: {GOLD}750V DC / Diesel</v>
      </c>
      <c r="O11" t="s">
        <v>193</v>
      </c>
    </row>
    <row r="12" spans="1:15" x14ac:dyDescent="0.25">
      <c r="A12">
        <v>12</v>
      </c>
      <c r="B12" t="s">
        <v>131</v>
      </c>
      <c r="C12" t="s">
        <v>131</v>
      </c>
      <c r="I12" t="s">
        <v>36</v>
      </c>
      <c r="J12">
        <v>0</v>
      </c>
      <c r="K12">
        <v>0</v>
      </c>
      <c r="M12" t="s">
        <v>194</v>
      </c>
      <c r="N12" t="str">
        <f t="shared" si="0"/>
        <v>{BLACK}Powered by: {GOLD}25kV AC / 750V DC</v>
      </c>
      <c r="O12" t="s">
        <v>195</v>
      </c>
    </row>
    <row r="13" spans="1:15" x14ac:dyDescent="0.25">
      <c r="A13">
        <v>13</v>
      </c>
      <c r="B13" t="s">
        <v>137</v>
      </c>
      <c r="C13" t="s">
        <v>137</v>
      </c>
      <c r="I13" t="s">
        <v>199</v>
      </c>
      <c r="J13">
        <v>1.05</v>
      </c>
      <c r="K13">
        <v>1.9</v>
      </c>
      <c r="M13" t="s">
        <v>196</v>
      </c>
      <c r="N13" t="str">
        <f t="shared" si="0"/>
        <v/>
      </c>
    </row>
    <row r="14" spans="1:15" x14ac:dyDescent="0.25">
      <c r="A14">
        <v>14</v>
      </c>
      <c r="B14" t="s">
        <v>133</v>
      </c>
      <c r="C14" t="s">
        <v>133</v>
      </c>
      <c r="I14" t="s">
        <v>212</v>
      </c>
      <c r="J14">
        <v>0.98</v>
      </c>
      <c r="K14">
        <v>1.88</v>
      </c>
      <c r="M14" t="s">
        <v>197</v>
      </c>
      <c r="N14" t="str">
        <f t="shared" si="0"/>
        <v/>
      </c>
    </row>
    <row r="15" spans="1:15" x14ac:dyDescent="0.25">
      <c r="A15">
        <v>15</v>
      </c>
      <c r="B15" t="s">
        <v>138</v>
      </c>
      <c r="C15" t="s">
        <v>138</v>
      </c>
      <c r="I15" t="s">
        <v>218</v>
      </c>
      <c r="J15">
        <v>0.5</v>
      </c>
      <c r="K15">
        <v>0.5</v>
      </c>
      <c r="M15" t="s">
        <v>198</v>
      </c>
      <c r="N15" t="str">
        <f t="shared" si="0"/>
        <v/>
      </c>
    </row>
    <row r="16" spans="1:15" x14ac:dyDescent="0.25">
      <c r="A16">
        <v>16</v>
      </c>
      <c r="B16" t="s">
        <v>139</v>
      </c>
      <c r="C16" t="s">
        <v>139</v>
      </c>
      <c r="I16" t="s">
        <v>354</v>
      </c>
      <c r="J16">
        <v>0.85</v>
      </c>
      <c r="K16">
        <v>2.2999999999999998</v>
      </c>
      <c r="M16" t="s">
        <v>200</v>
      </c>
      <c r="N16" t="str">
        <f t="shared" si="0"/>
        <v>{BLACK}Powered by: {GOLD}Petrol</v>
      </c>
      <c r="O16" t="s">
        <v>143</v>
      </c>
    </row>
    <row r="17" spans="9:15" x14ac:dyDescent="0.25">
      <c r="I17" t="s">
        <v>399</v>
      </c>
      <c r="J17">
        <v>1</v>
      </c>
      <c r="K17">
        <v>2</v>
      </c>
      <c r="M17" t="s">
        <v>203</v>
      </c>
      <c r="N17" t="str">
        <f t="shared" si="0"/>
        <v>{BLACK}Powered by: {GOLD}25kV AC / Diesel</v>
      </c>
      <c r="O17" t="s">
        <v>204</v>
      </c>
    </row>
    <row r="18" spans="9:15" x14ac:dyDescent="0.25">
      <c r="M18" t="s">
        <v>213</v>
      </c>
      <c r="N18" t="str">
        <f t="shared" si="0"/>
        <v>{BLACK}Powered by: {GOLD}LPG / Flywheel</v>
      </c>
      <c r="O18" t="s">
        <v>214</v>
      </c>
    </row>
    <row r="19" spans="9:15" x14ac:dyDescent="0.25">
      <c r="M19" t="s">
        <v>216</v>
      </c>
      <c r="N19" t="str">
        <f t="shared" si="0"/>
        <v/>
      </c>
    </row>
    <row r="20" spans="9:15" x14ac:dyDescent="0.25">
      <c r="M20" t="s">
        <v>215</v>
      </c>
      <c r="N20" t="str">
        <f t="shared" si="0"/>
        <v>{BLACK}Powered by: {GOLD}Steam</v>
      </c>
      <c r="O20" t="s">
        <v>188</v>
      </c>
    </row>
    <row r="21" spans="9:15" x14ac:dyDescent="0.25">
      <c r="M21" t="s">
        <v>217</v>
      </c>
      <c r="N21" t="str">
        <f t="shared" si="0"/>
        <v/>
      </c>
    </row>
    <row r="22" spans="9:15" x14ac:dyDescent="0.25">
      <c r="M22" t="s">
        <v>220</v>
      </c>
      <c r="N22" t="str">
        <f t="shared" si="0"/>
        <v>{BLACK}Powered by: {GOLD}Grass and hay</v>
      </c>
      <c r="O22" t="s">
        <v>219</v>
      </c>
    </row>
    <row r="23" spans="9:15" x14ac:dyDescent="0.25">
      <c r="M23" t="s">
        <v>221</v>
      </c>
      <c r="N23" t="str">
        <f t="shared" si="0"/>
        <v>{BLACK}Powered by: {GOLD}630V DC</v>
      </c>
      <c r="O23" t="s">
        <v>222</v>
      </c>
    </row>
    <row r="24" spans="9:15" x14ac:dyDescent="0.25">
      <c r="M24" t="s">
        <v>223</v>
      </c>
      <c r="N24" t="str">
        <f t="shared" si="0"/>
        <v/>
      </c>
    </row>
    <row r="25" spans="9:15" x14ac:dyDescent="0.25">
      <c r="M25" t="s">
        <v>224</v>
      </c>
      <c r="N25" t="str">
        <f t="shared" si="0"/>
        <v/>
      </c>
    </row>
    <row r="26" spans="9:15" x14ac:dyDescent="0.25">
      <c r="M26" t="s">
        <v>339</v>
      </c>
      <c r="N26" t="str">
        <f t="shared" si="0"/>
        <v>{BLACK}Powered by: {GOLD}Grass and hay</v>
      </c>
      <c r="O26" t="s">
        <v>219</v>
      </c>
    </row>
    <row r="27" spans="9:15" x14ac:dyDescent="0.25">
      <c r="M27" t="s">
        <v>340</v>
      </c>
      <c r="N27" t="str">
        <f t="shared" si="0"/>
        <v/>
      </c>
    </row>
    <row r="28" spans="9:15" x14ac:dyDescent="0.25">
      <c r="M28" t="s">
        <v>341</v>
      </c>
      <c r="N28" t="str">
        <f t="shared" si="0"/>
        <v>{BLACK}Powered by: {GOLD}Diesel</v>
      </c>
      <c r="O28" t="s">
        <v>187</v>
      </c>
    </row>
    <row r="29" spans="9:15" x14ac:dyDescent="0.25">
      <c r="M29" t="s">
        <v>358</v>
      </c>
      <c r="N29" t="str">
        <f t="shared" si="0"/>
        <v/>
      </c>
      <c r="O29" t="str">
        <f t="shared" si="0"/>
        <v/>
      </c>
    </row>
    <row r="30" spans="9:15" x14ac:dyDescent="0.25">
      <c r="M30" t="s">
        <v>397</v>
      </c>
      <c r="N30" t="str">
        <f t="shared" ref="N30:N31" si="1">IF(O30&lt;&gt;"", _xlfn.CONCAT("{BLACK}Powered by: {GOLD}",O30), "")</f>
        <v>{BLACK}Powered by: {GOLD}Gas Turbine</v>
      </c>
      <c r="O30" t="s">
        <v>398</v>
      </c>
    </row>
    <row r="31" spans="9:15" x14ac:dyDescent="0.25">
      <c r="M31" t="s">
        <v>412</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v>
      </c>
      <c r="B1" s="1" t="s">
        <v>40</v>
      </c>
      <c r="C1" s="1" t="s">
        <v>41</v>
      </c>
      <c r="D1" s="1" t="s">
        <v>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66</v>
      </c>
      <c r="C6">
        <f t="shared" si="1"/>
        <v>68</v>
      </c>
      <c r="D6">
        <v>66</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113</v>
      </c>
    </row>
    <row r="3" spans="1:21" x14ac:dyDescent="0.25">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25">
      <c r="A4" t="s">
        <v>121</v>
      </c>
      <c r="B4">
        <v>1</v>
      </c>
      <c r="C4">
        <v>1</v>
      </c>
      <c r="D4">
        <v>0</v>
      </c>
      <c r="E4">
        <v>0</v>
      </c>
      <c r="F4">
        <v>0</v>
      </c>
      <c r="G4">
        <v>1</v>
      </c>
      <c r="H4">
        <v>1</v>
      </c>
      <c r="I4">
        <v>0</v>
      </c>
      <c r="J4">
        <v>1</v>
      </c>
      <c r="K4">
        <v>0</v>
      </c>
      <c r="L4">
        <v>0</v>
      </c>
      <c r="M4">
        <v>0</v>
      </c>
      <c r="N4">
        <v>0</v>
      </c>
      <c r="O4">
        <v>1</v>
      </c>
    </row>
    <row r="6" spans="1:21" ht="14.25" customHeight="1" x14ac:dyDescent="0.25">
      <c r="B6" t="s">
        <v>119</v>
      </c>
    </row>
    <row r="7" spans="1:21" x14ac:dyDescent="0.25">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25">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t="str">
        <f>_xlfn.TEXTJOIN(",",TRUE,  B8:U8)</f>
        <v>1,1,1,0,0,0,1,0,0,0,0,0,0,0,0,0,0,0,1,1</v>
      </c>
    </row>
    <row r="15" spans="1:21" x14ac:dyDescent="0.25">
      <c r="B15" t="str">
        <f>_xlfn.TEXTJOIN(",",TRUE,  B11:U11)</f>
        <v>4,5,4,4,5,4,4,3,4,4,3,4,4,3,4,4,3,4,4,3,4,4,3,4,4,3,4,4,3,4,4,3,4,4,3,4,4,3,4,4,3,4,4,3,4,4,3,4,4,3,4,4,3,4,4,5,4,4,5,4</v>
      </c>
    </row>
    <row r="16" spans="1:21" x14ac:dyDescent="0.25">
      <c r="B16" t="str">
        <f>_xlfn.TEXTJOIN(",",TRUE,  B10:U10)</f>
        <v>13,13,11,11,11,11,11,11,11,11,11,11,11,11,11,11,11,11,13,13</v>
      </c>
    </row>
    <row r="18" spans="1:9" x14ac:dyDescent="0.25">
      <c r="B18" t="s">
        <v>129</v>
      </c>
    </row>
    <row r="19" spans="1:9" x14ac:dyDescent="0.25">
      <c r="A19" t="s">
        <v>120</v>
      </c>
      <c r="B19" t="s">
        <v>109</v>
      </c>
      <c r="C19" t="s">
        <v>125</v>
      </c>
      <c r="D19" t="s">
        <v>124</v>
      </c>
      <c r="E19" t="s">
        <v>126</v>
      </c>
      <c r="F19" t="s">
        <v>124</v>
      </c>
      <c r="G19" t="s">
        <v>126</v>
      </c>
      <c r="H19" t="s">
        <v>127</v>
      </c>
      <c r="I19" t="s">
        <v>128</v>
      </c>
    </row>
    <row r="20" spans="1:9" x14ac:dyDescent="0.25">
      <c r="A20" t="s">
        <v>121</v>
      </c>
      <c r="B20">
        <v>0</v>
      </c>
      <c r="C20">
        <v>0</v>
      </c>
      <c r="D20">
        <v>0</v>
      </c>
      <c r="E20">
        <v>0</v>
      </c>
      <c r="F20">
        <v>0</v>
      </c>
      <c r="G20">
        <v>0</v>
      </c>
      <c r="H20">
        <v>0</v>
      </c>
      <c r="I20">
        <v>0</v>
      </c>
    </row>
    <row r="21" spans="1:9" x14ac:dyDescent="0.25">
      <c r="A21" t="s">
        <v>18</v>
      </c>
      <c r="B21">
        <v>22.15</v>
      </c>
      <c r="C21">
        <v>21.84</v>
      </c>
      <c r="D21">
        <v>18.7</v>
      </c>
      <c r="E21">
        <v>18.7</v>
      </c>
      <c r="F21">
        <v>18.7</v>
      </c>
      <c r="G21">
        <v>18.7</v>
      </c>
      <c r="H21">
        <v>21.84</v>
      </c>
      <c r="I21">
        <v>22.15</v>
      </c>
    </row>
    <row r="22" spans="1:9" x14ac:dyDescent="0.25">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t="str">
        <f>_xlfn.TEXTJOIN(",",TRUE,  B19:P19)</f>
        <v>eurostar,eurostar_motor,eurostar_mid,eurostar_tbk,eurostar_mid,eurostar_tbk,eurostar_motor_rev,eurostar_rear</v>
      </c>
    </row>
    <row r="26" spans="1:9" x14ac:dyDescent="0.25">
      <c r="B26" t="str">
        <f>_xlfn.TEXTJOIN(",",TRUE,  B20:P20)</f>
        <v>0,0,0,0,0,0,0,0</v>
      </c>
    </row>
    <row r="27" spans="1:9" x14ac:dyDescent="0.25">
      <c r="B27" t="str">
        <f>_xlfn.TEXTJOIN(",",TRUE,  B23:P23)</f>
        <v>4,5,4,4,5,4,4,3,4,4,3,4,4,3,4,4,3,4,4,5,4,4,5,4</v>
      </c>
    </row>
    <row r="28" spans="1:9" x14ac:dyDescent="0.25">
      <c r="B28" t="str">
        <f>_xlfn.TEXTJOIN(",",TRUE,  B22:U22)</f>
        <v>13,13,11,11,11,11,13,13</v>
      </c>
    </row>
    <row r="30" spans="1:9" x14ac:dyDescent="0.25">
      <c r="B30" t="s">
        <v>201</v>
      </c>
    </row>
    <row r="31" spans="1:9" x14ac:dyDescent="0.25">
      <c r="A31" t="s">
        <v>120</v>
      </c>
      <c r="B31" t="s">
        <v>109</v>
      </c>
      <c r="C31" t="s">
        <v>125</v>
      </c>
      <c r="D31" t="s">
        <v>124</v>
      </c>
      <c r="E31" t="s">
        <v>127</v>
      </c>
      <c r="F31" t="s">
        <v>128</v>
      </c>
    </row>
    <row r="32" spans="1:9" x14ac:dyDescent="0.25">
      <c r="A32" t="s">
        <v>121</v>
      </c>
      <c r="B32">
        <v>0</v>
      </c>
      <c r="C32">
        <v>0</v>
      </c>
      <c r="D32">
        <v>0</v>
      </c>
      <c r="E32">
        <v>0</v>
      </c>
      <c r="F32">
        <v>0</v>
      </c>
    </row>
    <row r="33" spans="1:6" x14ac:dyDescent="0.25">
      <c r="A33" t="s">
        <v>18</v>
      </c>
      <c r="B33">
        <v>22.15</v>
      </c>
      <c r="C33">
        <v>21.84</v>
      </c>
      <c r="D33">
        <v>18.7</v>
      </c>
      <c r="E33">
        <v>21.84</v>
      </c>
      <c r="F33">
        <v>22.15</v>
      </c>
    </row>
    <row r="34" spans="1:6" x14ac:dyDescent="0.25">
      <c r="A34" t="s">
        <v>122</v>
      </c>
      <c r="B34">
        <f t="shared" ref="B34:F34" si="2">ROUND(15*((B33*10)/256),0)</f>
        <v>13</v>
      </c>
      <c r="C34">
        <f t="shared" si="2"/>
        <v>13</v>
      </c>
      <c r="D34">
        <f t="shared" si="2"/>
        <v>11</v>
      </c>
      <c r="E34">
        <f t="shared" si="2"/>
        <v>13</v>
      </c>
      <c r="F34">
        <f t="shared" si="2"/>
        <v>13</v>
      </c>
    </row>
    <row r="35" spans="1:6" x14ac:dyDescent="0.25">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t="str">
        <f>_xlfn.TEXTJOIN(",",TRUE,  B31:P31)</f>
        <v>eurostar,eurostar_motor,eurostar_mid,eurostar_motor_rev,eurostar_rear</v>
      </c>
    </row>
    <row r="38" spans="1:6" x14ac:dyDescent="0.25">
      <c r="B38" t="str">
        <f>_xlfn.TEXTJOIN(",",TRUE,  B32:P32)</f>
        <v>0,0,0,0,0</v>
      </c>
    </row>
    <row r="39" spans="1:6" x14ac:dyDescent="0.25">
      <c r="B39" t="str">
        <f>_xlfn.TEXTJOIN(",",TRUE,  B35:P35)</f>
        <v>4,5,4,4,5,4,4,3,4,4,5,4,4,5,4</v>
      </c>
    </row>
    <row r="40" spans="1:6" x14ac:dyDescent="0.25">
      <c r="B40" t="str">
        <f>_xlfn.TEXTJOIN(",",TRUE,  B34:U34)</f>
        <v>13,13,11,13,13</v>
      </c>
    </row>
    <row r="42" spans="1:6" x14ac:dyDescent="0.25">
      <c r="B42" t="s">
        <v>206</v>
      </c>
    </row>
    <row r="43" spans="1:6" x14ac:dyDescent="0.25">
      <c r="A43" t="s">
        <v>120</v>
      </c>
      <c r="B43" t="s">
        <v>205</v>
      </c>
      <c r="C43" t="s">
        <v>208</v>
      </c>
      <c r="D43" t="s">
        <v>210</v>
      </c>
      <c r="E43" t="s">
        <v>209</v>
      </c>
      <c r="F43" t="s">
        <v>207</v>
      </c>
    </row>
    <row r="44" spans="1:6" x14ac:dyDescent="0.25">
      <c r="A44" t="s">
        <v>121</v>
      </c>
      <c r="B44">
        <v>1</v>
      </c>
      <c r="C44">
        <v>1</v>
      </c>
      <c r="D44">
        <v>1</v>
      </c>
      <c r="E44">
        <v>1</v>
      </c>
      <c r="F44">
        <v>1</v>
      </c>
    </row>
    <row r="45" spans="1:6" x14ac:dyDescent="0.25">
      <c r="A45" t="s">
        <v>18</v>
      </c>
      <c r="B45">
        <v>20.2</v>
      </c>
      <c r="C45">
        <v>15.7</v>
      </c>
      <c r="D45">
        <v>10</v>
      </c>
      <c r="E45">
        <v>15.7</v>
      </c>
      <c r="F45">
        <v>20.2</v>
      </c>
    </row>
    <row r="46" spans="1:6" x14ac:dyDescent="0.25">
      <c r="A46" t="s">
        <v>122</v>
      </c>
      <c r="B46">
        <f t="shared" ref="B46:F46" si="3">ROUND(15*((B45*10)/256),0)</f>
        <v>12</v>
      </c>
      <c r="C46">
        <f t="shared" si="3"/>
        <v>9</v>
      </c>
      <c r="D46">
        <f t="shared" si="3"/>
        <v>6</v>
      </c>
      <c r="E46">
        <f t="shared" si="3"/>
        <v>9</v>
      </c>
      <c r="F46">
        <f t="shared" si="3"/>
        <v>12</v>
      </c>
    </row>
    <row r="47" spans="1:6" x14ac:dyDescent="0.25">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t="str">
        <f>_xlfn.TEXTJOIN(",",TRUE,  B43:P43)</f>
        <v>stadler_class_755,stadler_class_755_mid,stadler_class_755_motor,stadler_class_755_mid_rev,stadler_class_755_rear</v>
      </c>
    </row>
    <row r="50" spans="2:2" x14ac:dyDescent="0.25">
      <c r="B50" t="str">
        <f>_xlfn.TEXTJOIN(",",TRUE,  B44:P44)</f>
        <v>1,1,1,1,1</v>
      </c>
    </row>
    <row r="51" spans="2:2" x14ac:dyDescent="0.25">
      <c r="B51" t="str">
        <f>_xlfn.TEXTJOIN(",",TRUE,  B47:P47)</f>
        <v>4,4,4,2,5,2,2,2,2,2,5,2,4,4,4</v>
      </c>
    </row>
    <row r="52" spans="2:2" x14ac:dyDescent="0.25">
      <c r="B5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2023-12-29T15:34:48Z</dcterms:modified>
</cp:coreProperties>
</file>