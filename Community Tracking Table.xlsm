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A43957C-098E-47A7-8F88-13BDC026A66F}" xr6:coauthVersionLast="47" xr6:coauthVersionMax="47" xr10:uidLastSave="{00000000-0000-0000-0000-000000000000}"/>
  <bookViews>
    <workbookView xWindow="2175" yWindow="2400" windowWidth="21600" windowHeight="1129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Table!$A$1:$BZ$38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A73" i="1" l="1"/>
  <c r="CA72" i="1"/>
  <c r="CA71" i="1"/>
  <c r="CA70" i="1"/>
  <c r="CA69" i="1"/>
  <c r="CA68" i="1"/>
  <c r="CA67" i="1"/>
  <c r="CA66" i="1"/>
  <c r="CA65" i="1"/>
  <c r="CA64" i="1"/>
  <c r="CA63" i="1"/>
  <c r="CA62" i="1"/>
  <c r="CA61" i="1"/>
  <c r="CA60" i="1"/>
  <c r="CA59" i="1"/>
  <c r="CA58" i="1"/>
  <c r="CA57" i="1"/>
  <c r="CA56" i="1"/>
  <c r="CA55" i="1"/>
  <c r="CA54" i="1"/>
  <c r="CA53" i="1"/>
  <c r="CA52" i="1"/>
  <c r="CA51" i="1"/>
  <c r="CA50" i="1"/>
  <c r="CA49" i="1"/>
  <c r="CA48" i="1"/>
  <c r="CA47" i="1"/>
  <c r="CA46" i="1"/>
  <c r="CA45" i="1"/>
  <c r="CA44" i="1"/>
  <c r="CA43" i="1"/>
  <c r="CA42" i="1"/>
  <c r="CA41" i="1"/>
  <c r="CA40" i="1"/>
  <c r="CA39" i="1"/>
  <c r="CA38" i="1"/>
  <c r="CA37" i="1"/>
  <c r="CA35" i="1"/>
  <c r="CA34" i="1"/>
  <c r="CA33" i="1"/>
  <c r="CA32" i="1"/>
  <c r="CA31" i="1"/>
  <c r="CA30" i="1"/>
  <c r="CA29" i="1"/>
  <c r="CA28" i="1"/>
  <c r="CA27" i="1"/>
  <c r="CA26" i="1"/>
  <c r="CA25" i="1"/>
  <c r="CA24" i="1"/>
  <c r="CA23" i="1"/>
  <c r="CA22" i="1"/>
  <c r="CA21" i="1"/>
  <c r="CA20" i="1"/>
  <c r="CA19" i="1"/>
  <c r="CA18" i="1"/>
  <c r="CA17" i="1"/>
  <c r="CA16" i="1"/>
  <c r="CA15" i="1"/>
  <c r="CA14" i="1"/>
  <c r="CA13" i="1"/>
  <c r="CA12" i="1"/>
  <c r="CA11" i="1"/>
  <c r="CA10" i="1"/>
  <c r="CA9" i="1"/>
  <c r="CA8" i="1"/>
  <c r="CA7" i="1"/>
  <c r="CA6" i="1"/>
  <c r="CA5" i="1"/>
  <c r="CA4" i="1"/>
  <c r="CA3" i="1"/>
  <c r="CA2" i="1"/>
  <c r="CA36" i="1"/>
  <c r="Z8" i="1"/>
  <c r="Z9" i="1"/>
  <c r="Z10" i="1"/>
  <c r="Z11" i="1"/>
  <c r="Z12" i="1"/>
  <c r="Z13" i="1"/>
  <c r="Z14" i="1"/>
  <c r="Z15" i="1"/>
  <c r="Z16" i="1"/>
  <c r="Z17" i="1"/>
  <c r="Z18" i="1"/>
  <c r="Z19" i="1"/>
  <c r="Z20" i="1"/>
  <c r="Z21" i="1"/>
  <c r="Z22" i="1"/>
  <c r="Z23" i="1"/>
  <c r="Z24" i="1"/>
  <c r="Z25" i="1"/>
  <c r="BY36" i="1"/>
  <c r="BW36" i="1"/>
  <c r="BX36" i="1" s="1"/>
  <c r="CB36" i="1" s="1"/>
  <c r="BT36" i="1"/>
  <c r="BV36" i="1" s="1"/>
  <c r="BE36" i="1"/>
  <c r="BD36" i="1"/>
  <c r="BC36" i="1"/>
  <c r="BB36" i="1"/>
  <c r="BA36" i="1"/>
  <c r="AZ36" i="1"/>
  <c r="AY36" i="1"/>
  <c r="BF36" i="1" s="1"/>
  <c r="BH36" i="1" s="1"/>
  <c r="AV36" i="1"/>
  <c r="AI36" i="1"/>
  <c r="AK36" i="1" s="1"/>
  <c r="AH36" i="1"/>
  <c r="Z36" i="1"/>
  <c r="X36" i="1"/>
  <c r="BG36" i="1" l="1"/>
  <c r="BI36" i="1" s="1"/>
  <c r="BW43" i="1"/>
  <c r="BX43" i="1" s="1"/>
  <c r="BT43" i="1"/>
  <c r="BV43" i="1" s="1"/>
  <c r="BY43" i="1"/>
  <c r="BE43" i="1"/>
  <c r="BD43" i="1"/>
  <c r="BC43" i="1"/>
  <c r="BB43" i="1"/>
  <c r="BA43" i="1"/>
  <c r="AZ43" i="1"/>
  <c r="AY43" i="1"/>
  <c r="AI44" i="1"/>
  <c r="AH44" i="1"/>
  <c r="AI43" i="1"/>
  <c r="AH43" i="1" s="1"/>
  <c r="AV43" i="1"/>
  <c r="Z43" i="1"/>
  <c r="X43" i="1"/>
  <c r="Q43" i="1"/>
  <c r="S43" i="1" s="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2" i="1"/>
  <c r="Z41" i="1"/>
  <c r="Z40" i="1"/>
  <c r="Z39" i="1"/>
  <c r="Z38" i="1"/>
  <c r="Z37" i="1"/>
  <c r="Z35" i="1"/>
  <c r="Z34" i="1"/>
  <c r="Z33" i="1"/>
  <c r="Z32" i="1"/>
  <c r="Z31" i="1"/>
  <c r="Z30" i="1"/>
  <c r="Z29" i="1"/>
  <c r="Z28" i="1"/>
  <c r="Z27" i="1"/>
  <c r="Z26" i="1"/>
  <c r="AX37" i="1"/>
  <c r="AX38" i="1"/>
  <c r="BE59" i="1"/>
  <c r="BD59" i="1"/>
  <c r="BC59" i="1"/>
  <c r="BB59" i="1"/>
  <c r="BA59" i="1"/>
  <c r="AZ59" i="1"/>
  <c r="AY59" i="1"/>
  <c r="AI59" i="1"/>
  <c r="AH59" i="1" s="1"/>
  <c r="AI60" i="1"/>
  <c r="AH60" i="1" s="1"/>
  <c r="CB60" i="1"/>
  <c r="BV60" i="1"/>
  <c r="BE60" i="1"/>
  <c r="BD60" i="1"/>
  <c r="BC60" i="1"/>
  <c r="BB60" i="1"/>
  <c r="BA60" i="1"/>
  <c r="AZ60" i="1"/>
  <c r="AY60" i="1"/>
  <c r="BG60" i="1" s="1"/>
  <c r="BI60" i="1" s="1"/>
  <c r="X60" i="1"/>
  <c r="AV60" i="1"/>
  <c r="BW60" i="1"/>
  <c r="BY4" i="1"/>
  <c r="BW4" i="1"/>
  <c r="BV4" i="1"/>
  <c r="BI4" i="1"/>
  <c r="BH4" i="1"/>
  <c r="BC4" i="1"/>
  <c r="BB4" i="1"/>
  <c r="BA4" i="1"/>
  <c r="AZ4" i="1"/>
  <c r="AY4" i="1"/>
  <c r="AV4" i="1"/>
  <c r="AI4" i="1"/>
  <c r="AH4" i="1" s="1"/>
  <c r="X4" i="1"/>
  <c r="AY44" i="1"/>
  <c r="AZ44" i="1"/>
  <c r="BA44" i="1"/>
  <c r="BB44" i="1"/>
  <c r="BC44" i="1"/>
  <c r="BD44" i="1"/>
  <c r="BE44" i="1"/>
  <c r="AY45" i="1"/>
  <c r="AZ45" i="1"/>
  <c r="BA45" i="1"/>
  <c r="BB45" i="1"/>
  <c r="BC45" i="1"/>
  <c r="BD45" i="1"/>
  <c r="BE45" i="1"/>
  <c r="AY46" i="1"/>
  <c r="AZ46" i="1"/>
  <c r="BA46" i="1"/>
  <c r="BB46" i="1"/>
  <c r="BC46" i="1"/>
  <c r="BD46" i="1"/>
  <c r="BE46" i="1"/>
  <c r="AY47" i="1"/>
  <c r="AZ47" i="1"/>
  <c r="BA47" i="1"/>
  <c r="BB47" i="1"/>
  <c r="BC47" i="1"/>
  <c r="BD47" i="1"/>
  <c r="BE47" i="1"/>
  <c r="AY48" i="1"/>
  <c r="AZ48" i="1"/>
  <c r="BA48" i="1"/>
  <c r="BB48" i="1"/>
  <c r="BC48" i="1"/>
  <c r="BD48" i="1"/>
  <c r="BE48" i="1"/>
  <c r="AY49" i="1"/>
  <c r="AZ49" i="1"/>
  <c r="BA49" i="1"/>
  <c r="BB49" i="1"/>
  <c r="BC49" i="1"/>
  <c r="BD49" i="1"/>
  <c r="BE49" i="1"/>
  <c r="AY50" i="1"/>
  <c r="AZ50" i="1"/>
  <c r="BA50" i="1"/>
  <c r="BB50" i="1"/>
  <c r="BC50" i="1"/>
  <c r="BD50" i="1"/>
  <c r="BE50" i="1"/>
  <c r="AY51" i="1"/>
  <c r="AZ51" i="1"/>
  <c r="BA51" i="1"/>
  <c r="BB51" i="1"/>
  <c r="BC51" i="1"/>
  <c r="BD51" i="1"/>
  <c r="BE51" i="1"/>
  <c r="AY52" i="1"/>
  <c r="AZ52" i="1"/>
  <c r="BA52" i="1"/>
  <c r="BB52" i="1"/>
  <c r="BC52" i="1"/>
  <c r="BD52" i="1"/>
  <c r="BE52" i="1"/>
  <c r="AY53" i="1"/>
  <c r="AZ53" i="1"/>
  <c r="BA53" i="1"/>
  <c r="BB53" i="1"/>
  <c r="BC53" i="1"/>
  <c r="BD53" i="1"/>
  <c r="BE53" i="1"/>
  <c r="AI45" i="1"/>
  <c r="AH45" i="1" s="1"/>
  <c r="Q45" i="1"/>
  <c r="S45" i="1" s="1"/>
  <c r="BF43" i="1" l="1"/>
  <c r="BH43" i="1" s="1"/>
  <c r="CB43" i="1"/>
  <c r="BG43" i="1"/>
  <c r="BI43" i="1" s="1"/>
  <c r="AK59" i="1"/>
  <c r="AK60" i="1"/>
  <c r="CB4" i="1"/>
  <c r="BG59" i="1"/>
  <c r="BI59" i="1" s="1"/>
  <c r="AK4" i="1"/>
  <c r="BF48" i="1"/>
  <c r="BH48" i="1" s="1"/>
  <c r="BG52" i="1"/>
  <c r="BI52" i="1" s="1"/>
  <c r="BF46" i="1"/>
  <c r="BH46" i="1" s="1"/>
  <c r="BF52" i="1"/>
  <c r="BH52" i="1" s="1"/>
  <c r="BF59" i="1"/>
  <c r="BH59" i="1" s="1"/>
  <c r="BF60" i="1"/>
  <c r="BH60" i="1" s="1"/>
  <c r="BF49" i="1"/>
  <c r="BH49" i="1" s="1"/>
  <c r="BG45" i="1"/>
  <c r="BI45" i="1" s="1"/>
  <c r="BG46" i="1"/>
  <c r="BI46" i="1" s="1"/>
  <c r="BF53" i="1"/>
  <c r="BH53" i="1" s="1"/>
  <c r="BG50" i="1"/>
  <c r="BI50" i="1" s="1"/>
  <c r="BG49" i="1"/>
  <c r="BI49" i="1" s="1"/>
  <c r="BG48" i="1"/>
  <c r="BI48" i="1" s="1"/>
  <c r="BF44" i="1"/>
  <c r="BH44" i="1" s="1"/>
  <c r="BF51" i="1"/>
  <c r="BH51" i="1" s="1"/>
  <c r="BF47" i="1"/>
  <c r="BH47" i="1" s="1"/>
  <c r="BF45" i="1"/>
  <c r="BH45" i="1" s="1"/>
  <c r="BG53" i="1"/>
  <c r="BI53" i="1" s="1"/>
  <c r="BF50" i="1"/>
  <c r="BH50" i="1" s="1"/>
  <c r="BG47" i="1"/>
  <c r="BI47" i="1" s="1"/>
  <c r="BG44" i="1"/>
  <c r="BI44" i="1" s="1"/>
  <c r="BG51" i="1"/>
  <c r="BI51" i="1" s="1"/>
  <c r="AK45" i="1" l="1"/>
  <c r="AI3" i="1"/>
  <c r="BY3" i="1"/>
  <c r="BW3" i="1"/>
  <c r="CB3" i="1" s="1"/>
  <c r="BV3" i="1"/>
  <c r="BC3" i="1"/>
  <c r="BB3" i="1"/>
  <c r="BA3" i="1"/>
  <c r="AZ3" i="1"/>
  <c r="AY3" i="1"/>
  <c r="AV3" i="1"/>
  <c r="X3" i="1"/>
  <c r="Q44" i="1"/>
  <c r="S44" i="1" s="1"/>
  <c r="AH3" i="1" l="1"/>
  <c r="AK3" i="1"/>
  <c r="AK44" i="1" s="1"/>
  <c r="BI3" i="1"/>
  <c r="BH3" i="1"/>
  <c r="AK43" i="1" l="1"/>
  <c r="BY72" i="1"/>
  <c r="BW72" i="1"/>
  <c r="BV72" i="1"/>
  <c r="BC72" i="1"/>
  <c r="BB72" i="1"/>
  <c r="BA72" i="1"/>
  <c r="AZ72" i="1"/>
  <c r="AY72" i="1"/>
  <c r="AV72" i="1"/>
  <c r="AI72" i="1"/>
  <c r="AK72" i="1" s="1"/>
  <c r="X72" i="1"/>
  <c r="BY73" i="1"/>
  <c r="BW73" i="1"/>
  <c r="BV73" i="1"/>
  <c r="BC73" i="1"/>
  <c r="BB73" i="1"/>
  <c r="BA73" i="1"/>
  <c r="AZ73" i="1"/>
  <c r="AY73" i="1"/>
  <c r="AV73" i="1"/>
  <c r="AI73" i="1"/>
  <c r="AK73" i="1" s="1"/>
  <c r="X73" i="1"/>
  <c r="BY70" i="1"/>
  <c r="BW70" i="1"/>
  <c r="BV70" i="1"/>
  <c r="BC70" i="1"/>
  <c r="BB70" i="1"/>
  <c r="BA70" i="1"/>
  <c r="AZ70" i="1"/>
  <c r="AY70" i="1"/>
  <c r="AV70" i="1"/>
  <c r="AI70" i="1"/>
  <c r="AK70" i="1" s="1"/>
  <c r="X70" i="1"/>
  <c r="BY69" i="1"/>
  <c r="BW69" i="1"/>
  <c r="BV69" i="1"/>
  <c r="BC69" i="1"/>
  <c r="BB69" i="1"/>
  <c r="BA69" i="1"/>
  <c r="AZ69" i="1"/>
  <c r="AY69" i="1"/>
  <c r="AV69" i="1"/>
  <c r="AI69" i="1"/>
  <c r="AK69" i="1" s="1"/>
  <c r="X69" i="1"/>
  <c r="BY71" i="1"/>
  <c r="BW71" i="1"/>
  <c r="BV71" i="1"/>
  <c r="BB71" i="1"/>
  <c r="BA71" i="1"/>
  <c r="AZ71" i="1"/>
  <c r="AY71" i="1"/>
  <c r="AV71" i="1"/>
  <c r="AI71" i="1"/>
  <c r="AK71" i="1" s="1"/>
  <c r="AG71" i="1"/>
  <c r="BC71" i="1" s="1"/>
  <c r="X71" i="1"/>
  <c r="BY59" i="1"/>
  <c r="BW59" i="1"/>
  <c r="BV59" i="1"/>
  <c r="T59" i="1"/>
  <c r="X59" i="1" s="1"/>
  <c r="BY57" i="1"/>
  <c r="BW57" i="1"/>
  <c r="BV57" i="1"/>
  <c r="BC57" i="1"/>
  <c r="BB57" i="1"/>
  <c r="BA57" i="1"/>
  <c r="AZ57" i="1"/>
  <c r="AY57" i="1"/>
  <c r="AV57" i="1"/>
  <c r="AI57" i="1"/>
  <c r="AK57" i="1" s="1"/>
  <c r="X57" i="1"/>
  <c r="BY56" i="1"/>
  <c r="BW56" i="1"/>
  <c r="BV56" i="1"/>
  <c r="BC56" i="1"/>
  <c r="BB56" i="1"/>
  <c r="BA56" i="1"/>
  <c r="AZ56" i="1"/>
  <c r="AY56" i="1"/>
  <c r="AV56" i="1"/>
  <c r="AI56" i="1"/>
  <c r="AK56" i="1" s="1"/>
  <c r="X56" i="1"/>
  <c r="BY51" i="1"/>
  <c r="CB51" i="1" s="1"/>
  <c r="BW51" i="1"/>
  <c r="BV51" i="1"/>
  <c r="AV51" i="1"/>
  <c r="AI51" i="1"/>
  <c r="AK51" i="1" s="1"/>
  <c r="X51" i="1"/>
  <c r="BY49" i="1"/>
  <c r="CB49" i="1" s="1"/>
  <c r="BW49" i="1"/>
  <c r="BV49" i="1"/>
  <c r="AV49" i="1"/>
  <c r="AI49" i="1"/>
  <c r="AK49" i="1" s="1"/>
  <c r="X49" i="1"/>
  <c r="BY45" i="1"/>
  <c r="CB45" i="1" s="1"/>
  <c r="BW45" i="1"/>
  <c r="BV45" i="1"/>
  <c r="AV45" i="1"/>
  <c r="X45" i="1"/>
  <c r="BY44" i="1"/>
  <c r="CB44" i="1" s="1"/>
  <c r="BW44" i="1"/>
  <c r="BV44" i="1"/>
  <c r="AV44" i="1"/>
  <c r="X44" i="1"/>
  <c r="CB70" i="1" l="1"/>
  <c r="CB72" i="1"/>
  <c r="CB73" i="1"/>
  <c r="CB71" i="1"/>
  <c r="CB59" i="1"/>
  <c r="CB69" i="1"/>
  <c r="CB57" i="1"/>
  <c r="BI72" i="1"/>
  <c r="CB56" i="1"/>
  <c r="BI73" i="1"/>
  <c r="BI70" i="1"/>
  <c r="BH72" i="1"/>
  <c r="BH69" i="1"/>
  <c r="BH73" i="1"/>
  <c r="BH70" i="1"/>
  <c r="BI69" i="1"/>
  <c r="BI71" i="1"/>
  <c r="BI56" i="1"/>
  <c r="BH71" i="1"/>
  <c r="BI57" i="1"/>
  <c r="BH57" i="1"/>
  <c r="BH56" i="1"/>
  <c r="N31" i="2" l="1"/>
  <c r="BY19" i="1"/>
  <c r="BW19" i="1"/>
  <c r="BX19" i="1" s="1"/>
  <c r="BT19" i="1"/>
  <c r="BV19" i="1" s="1"/>
  <c r="BE19" i="1"/>
  <c r="BD19" i="1"/>
  <c r="BC19" i="1"/>
  <c r="BB19" i="1"/>
  <c r="BA19" i="1"/>
  <c r="AZ19" i="1"/>
  <c r="AY19" i="1"/>
  <c r="AV19" i="1"/>
  <c r="AI19" i="1"/>
  <c r="AK19" i="1" s="1"/>
  <c r="X19" i="1"/>
  <c r="Q19" i="1"/>
  <c r="S19" i="1" s="1"/>
  <c r="BY20" i="1"/>
  <c r="BW20" i="1"/>
  <c r="BX20" i="1" s="1"/>
  <c r="BT20" i="1"/>
  <c r="BV20" i="1" s="1"/>
  <c r="BE20" i="1"/>
  <c r="BD20" i="1"/>
  <c r="BC20" i="1"/>
  <c r="BB20" i="1"/>
  <c r="BA20" i="1"/>
  <c r="AZ20" i="1"/>
  <c r="AY20" i="1"/>
  <c r="AV20" i="1"/>
  <c r="AI20" i="1"/>
  <c r="AK20" i="1" s="1"/>
  <c r="X20" i="1"/>
  <c r="Q20" i="1"/>
  <c r="S20" i="1" s="1"/>
  <c r="BY5" i="1"/>
  <c r="BW5" i="1"/>
  <c r="BX5" i="1" s="1"/>
  <c r="BT5" i="1"/>
  <c r="BV5" i="1" s="1"/>
  <c r="BE5" i="1"/>
  <c r="BD5" i="1"/>
  <c r="BC5" i="1"/>
  <c r="BB5" i="1"/>
  <c r="BA5" i="1"/>
  <c r="AZ5" i="1"/>
  <c r="AY5" i="1"/>
  <c r="AV5" i="1"/>
  <c r="AI5" i="1"/>
  <c r="X5" i="1"/>
  <c r="BY46" i="1"/>
  <c r="BW46" i="1"/>
  <c r="BX46" i="1" s="1"/>
  <c r="BT46" i="1"/>
  <c r="BV46" i="1" s="1"/>
  <c r="AV46" i="1"/>
  <c r="AI46" i="1"/>
  <c r="AH46" i="1" s="1"/>
  <c r="X46" i="1"/>
  <c r="Q46" i="1"/>
  <c r="S46" i="1" s="1"/>
  <c r="BE58" i="1"/>
  <c r="BD58" i="1"/>
  <c r="BC58" i="1"/>
  <c r="BB58" i="1"/>
  <c r="BA58" i="1"/>
  <c r="AZ58" i="1"/>
  <c r="AY58" i="1"/>
  <c r="N30" i="2"/>
  <c r="AH5" i="1" l="1"/>
  <c r="AK5" i="1"/>
  <c r="AK46" i="1" s="1"/>
  <c r="CB19" i="1"/>
  <c r="CB20" i="1"/>
  <c r="CB5" i="1"/>
  <c r="AH19" i="1"/>
  <c r="AH20" i="1"/>
  <c r="BG19" i="1"/>
  <c r="BI19" i="1" s="1"/>
  <c r="BF19" i="1"/>
  <c r="BH19" i="1" s="1"/>
  <c r="BG20" i="1"/>
  <c r="BI20" i="1" s="1"/>
  <c r="BF20" i="1"/>
  <c r="BH20" i="1" s="1"/>
  <c r="BG5" i="1"/>
  <c r="BI5" i="1" s="1"/>
  <c r="CB46" i="1"/>
  <c r="BF5" i="1"/>
  <c r="BH5" i="1" s="1"/>
  <c r="BG58" i="1"/>
  <c r="BI58" i="1" s="1"/>
  <c r="BF58" i="1"/>
  <c r="BH58" i="1" s="1"/>
  <c r="BY58" i="1"/>
  <c r="BW58" i="1"/>
  <c r="BX58" i="1" s="1"/>
  <c r="BT58" i="1"/>
  <c r="BV58" i="1" s="1"/>
  <c r="AV58" i="1"/>
  <c r="AI58" i="1"/>
  <c r="AK58" i="1" s="1"/>
  <c r="X58" i="1"/>
  <c r="CB58" i="1" l="1"/>
  <c r="AH58" i="1"/>
  <c r="BY68" i="1"/>
  <c r="BW68" i="1"/>
  <c r="BX68" i="1" s="1"/>
  <c r="BT68" i="1"/>
  <c r="BV68" i="1" s="1"/>
  <c r="BE68" i="1"/>
  <c r="BD68" i="1"/>
  <c r="BC68" i="1"/>
  <c r="BB68" i="1"/>
  <c r="BA68" i="1"/>
  <c r="AY68" i="1"/>
  <c r="AV68" i="1"/>
  <c r="AI68" i="1"/>
  <c r="K68" i="1"/>
  <c r="AZ68" i="1" s="1"/>
  <c r="X68" i="1"/>
  <c r="AH68" i="1" l="1"/>
  <c r="AK68" i="1"/>
  <c r="CB68" i="1"/>
  <c r="BG68" i="1"/>
  <c r="BI68" i="1" s="1"/>
  <c r="BF68" i="1"/>
  <c r="BH68" i="1" s="1"/>
  <c r="AV6" i="1" l="1"/>
  <c r="AV7" i="1"/>
  <c r="AV8" i="1"/>
  <c r="AV9" i="1"/>
  <c r="AV10" i="1"/>
  <c r="AV11" i="1"/>
  <c r="AV12" i="1"/>
  <c r="AV13" i="1"/>
  <c r="AV14" i="1"/>
  <c r="AV15" i="1"/>
  <c r="AV16" i="1"/>
  <c r="AV17" i="1"/>
  <c r="AV18" i="1"/>
  <c r="AV21" i="1"/>
  <c r="AV22" i="1"/>
  <c r="AV23" i="1"/>
  <c r="AV24" i="1"/>
  <c r="AV25" i="1"/>
  <c r="AV26" i="1"/>
  <c r="AV27" i="1"/>
  <c r="AV28" i="1"/>
  <c r="AV29" i="1"/>
  <c r="AV30" i="1"/>
  <c r="AV31" i="1"/>
  <c r="AV32" i="1"/>
  <c r="AV33" i="1"/>
  <c r="AV34" i="1"/>
  <c r="AV35" i="1"/>
  <c r="AV37" i="1"/>
  <c r="AV38" i="1"/>
  <c r="AV39" i="1"/>
  <c r="AV40" i="1"/>
  <c r="AV41" i="1"/>
  <c r="AV42" i="1"/>
  <c r="AV47" i="1"/>
  <c r="AV48" i="1"/>
  <c r="AV50" i="1"/>
  <c r="AV52" i="1"/>
  <c r="AV53" i="1"/>
  <c r="AV54" i="1"/>
  <c r="AV55" i="1"/>
  <c r="AV61" i="1"/>
  <c r="AV62" i="1"/>
  <c r="AV63" i="1"/>
  <c r="AV64" i="1"/>
  <c r="AV65" i="1"/>
  <c r="AV66" i="1"/>
  <c r="AV67" i="1"/>
  <c r="AV2" i="1"/>
  <c r="X54" i="1"/>
  <c r="BY55" i="1"/>
  <c r="BW55" i="1"/>
  <c r="BX55" i="1" s="1"/>
  <c r="BT55" i="1"/>
  <c r="BV55" i="1" s="1"/>
  <c r="BE55" i="1"/>
  <c r="BD55" i="1"/>
  <c r="BC55" i="1"/>
  <c r="BB55" i="1"/>
  <c r="BA55" i="1"/>
  <c r="AZ55" i="1"/>
  <c r="AY55" i="1"/>
  <c r="AI55" i="1"/>
  <c r="X55" i="1"/>
  <c r="Q55" i="1"/>
  <c r="S55" i="1" s="1"/>
  <c r="BY7" i="1"/>
  <c r="BW7" i="1"/>
  <c r="BX7" i="1" s="1"/>
  <c r="BT7" i="1"/>
  <c r="BV7" i="1" s="1"/>
  <c r="BE7" i="1"/>
  <c r="BD7" i="1"/>
  <c r="BC7" i="1"/>
  <c r="BB7" i="1"/>
  <c r="BA7" i="1"/>
  <c r="AZ7" i="1"/>
  <c r="AY7" i="1"/>
  <c r="AI7" i="1"/>
  <c r="AK7" i="1" s="1"/>
  <c r="AK54" i="1" s="1"/>
  <c r="X7" i="1"/>
  <c r="BY54" i="1"/>
  <c r="BW54" i="1"/>
  <c r="BX54" i="1" s="1"/>
  <c r="BT54" i="1"/>
  <c r="BV54" i="1" s="1"/>
  <c r="BE54" i="1"/>
  <c r="BD54" i="1"/>
  <c r="BC54" i="1"/>
  <c r="BB54" i="1"/>
  <c r="BA54" i="1"/>
  <c r="AZ54" i="1"/>
  <c r="AY54" i="1"/>
  <c r="AI54" i="1"/>
  <c r="AH54" i="1" s="1"/>
  <c r="Q54" i="1"/>
  <c r="S54" i="1" s="1"/>
  <c r="BY6" i="1"/>
  <c r="BW6" i="1"/>
  <c r="BX6" i="1" s="1"/>
  <c r="BT6" i="1"/>
  <c r="BV6" i="1" s="1"/>
  <c r="BE6" i="1"/>
  <c r="BD6" i="1"/>
  <c r="BC6" i="1"/>
  <c r="BB6" i="1"/>
  <c r="BA6" i="1"/>
  <c r="AZ6" i="1"/>
  <c r="AY6" i="1"/>
  <c r="AI6" i="1"/>
  <c r="AK6" i="1" s="1"/>
  <c r="X6" i="1"/>
  <c r="BY53" i="1"/>
  <c r="BW53" i="1"/>
  <c r="BX53" i="1" s="1"/>
  <c r="BT53" i="1"/>
  <c r="BV53" i="1" s="1"/>
  <c r="AI53" i="1"/>
  <c r="X53" i="1"/>
  <c r="Q53" i="1"/>
  <c r="S53" i="1" s="1"/>
  <c r="BY52" i="1"/>
  <c r="BW52" i="1"/>
  <c r="BX52" i="1" s="1"/>
  <c r="BT52" i="1"/>
  <c r="BV52" i="1" s="1"/>
  <c r="AI52" i="1"/>
  <c r="X52" i="1"/>
  <c r="Q52" i="1"/>
  <c r="S52" i="1" s="1"/>
  <c r="BT64" i="1"/>
  <c r="BV64" i="1" s="1"/>
  <c r="BT66" i="1"/>
  <c r="BV66" i="1" s="1"/>
  <c r="BT67" i="1"/>
  <c r="BE66" i="1"/>
  <c r="BD66" i="1"/>
  <c r="BC66" i="1"/>
  <c r="BY66" i="1"/>
  <c r="BW66" i="1"/>
  <c r="BX66" i="1" s="1"/>
  <c r="BB66" i="1"/>
  <c r="BA66" i="1"/>
  <c r="AZ66" i="1"/>
  <c r="AY66" i="1"/>
  <c r="AI66" i="1"/>
  <c r="AK66" i="1" s="1"/>
  <c r="X66" i="1"/>
  <c r="AK55" i="1" l="1"/>
  <c r="AK53" i="1"/>
  <c r="AH52" i="1"/>
  <c r="AK52" i="1"/>
  <c r="CB7" i="1"/>
  <c r="CB55" i="1"/>
  <c r="CB6" i="1"/>
  <c r="BG55" i="1"/>
  <c r="BI55" i="1" s="1"/>
  <c r="AH55" i="1"/>
  <c r="BG7" i="1"/>
  <c r="BI7" i="1" s="1"/>
  <c r="BF55" i="1"/>
  <c r="BH55" i="1" s="1"/>
  <c r="AH7" i="1"/>
  <c r="BF7" i="1"/>
  <c r="BH7" i="1" s="1"/>
  <c r="CB52" i="1"/>
  <c r="CB54" i="1"/>
  <c r="BF6" i="1"/>
  <c r="BH6" i="1" s="1"/>
  <c r="BG54" i="1"/>
  <c r="BI54" i="1" s="1"/>
  <c r="CB53" i="1"/>
  <c r="BG6" i="1"/>
  <c r="BI6" i="1" s="1"/>
  <c r="BF54" i="1"/>
  <c r="BH54" i="1" s="1"/>
  <c r="AH6" i="1"/>
  <c r="AH53" i="1"/>
  <c r="BF66" i="1"/>
  <c r="BH66" i="1" s="1"/>
  <c r="AH66" i="1"/>
  <c r="CB66" i="1"/>
  <c r="BG66" i="1"/>
  <c r="BI66" i="1" s="1"/>
  <c r="BY42" i="1" l="1"/>
  <c r="BW42" i="1"/>
  <c r="BX42" i="1" s="1"/>
  <c r="BT42" i="1"/>
  <c r="BV42" i="1" s="1"/>
  <c r="BE42" i="1"/>
  <c r="BD42" i="1"/>
  <c r="BC42" i="1"/>
  <c r="BB42" i="1"/>
  <c r="BA42" i="1"/>
  <c r="AZ42" i="1"/>
  <c r="AX41" i="1"/>
  <c r="CB42" i="1" l="1"/>
  <c r="AI42" i="1"/>
  <c r="AY42" i="1"/>
  <c r="BF42" i="1" s="1"/>
  <c r="BH42" i="1" s="1"/>
  <c r="AH42" i="1" l="1"/>
  <c r="AK42" i="1"/>
  <c r="BG42" i="1"/>
  <c r="BI42" i="1" s="1"/>
  <c r="X42" i="1"/>
  <c r="BY48" i="1"/>
  <c r="BW48" i="1"/>
  <c r="BX48" i="1" s="1"/>
  <c r="BT48" i="1"/>
  <c r="BV48" i="1" s="1"/>
  <c r="AI48" i="1"/>
  <c r="AH48" i="1" s="1"/>
  <c r="X48" i="1"/>
  <c r="Q48" i="1"/>
  <c r="S48" i="1" s="1"/>
  <c r="BY2" i="1"/>
  <c r="BW2" i="1"/>
  <c r="BX2" i="1" s="1"/>
  <c r="BT2" i="1"/>
  <c r="BV2" i="1" s="1"/>
  <c r="BE2" i="1"/>
  <c r="BD2" i="1"/>
  <c r="BC2" i="1"/>
  <c r="BB2" i="1"/>
  <c r="AI2" i="1"/>
  <c r="AK2" i="1" s="1"/>
  <c r="BA2" i="1"/>
  <c r="AZ2" i="1"/>
  <c r="AY2" i="1"/>
  <c r="X2" i="1"/>
  <c r="AK48" i="1" l="1"/>
  <c r="AH2" i="1"/>
  <c r="CB48" i="1"/>
  <c r="CB2" i="1"/>
  <c r="BG2" i="1"/>
  <c r="BI2" i="1" s="1"/>
  <c r="BF2" i="1"/>
  <c r="BH2" i="1" s="1"/>
  <c r="BY47" i="1"/>
  <c r="BW47" i="1"/>
  <c r="BX47" i="1" s="1"/>
  <c r="BT47" i="1"/>
  <c r="BV47" i="1" s="1"/>
  <c r="AI47" i="1"/>
  <c r="X47" i="1"/>
  <c r="Q47" i="1"/>
  <c r="S47" i="1" s="1"/>
  <c r="O29" i="2"/>
  <c r="N29" i="2" s="1"/>
  <c r="BV67" i="1"/>
  <c r="BE67" i="1"/>
  <c r="BE65" i="1"/>
  <c r="BE64" i="1"/>
  <c r="BE63" i="1"/>
  <c r="BE62" i="1"/>
  <c r="BE61" i="1"/>
  <c r="BD67" i="1"/>
  <c r="BD65" i="1"/>
  <c r="BD64" i="1"/>
  <c r="BD63" i="1"/>
  <c r="BD62" i="1"/>
  <c r="BD61" i="1"/>
  <c r="BY67" i="1"/>
  <c r="BW67" i="1"/>
  <c r="BX67" i="1" s="1"/>
  <c r="BC67" i="1"/>
  <c r="BB67" i="1"/>
  <c r="BA67" i="1"/>
  <c r="AZ67" i="1"/>
  <c r="AY67" i="1"/>
  <c r="AI67" i="1"/>
  <c r="X67" i="1"/>
  <c r="AX39" i="1"/>
  <c r="AH67" i="1" l="1"/>
  <c r="AK67" i="1"/>
  <c r="AH47" i="1"/>
  <c r="AK47" i="1"/>
  <c r="BG67" i="1"/>
  <c r="BI67" i="1" s="1"/>
  <c r="BF67" i="1"/>
  <c r="BH67" i="1" s="1"/>
  <c r="CB47" i="1"/>
  <c r="CB67" i="1"/>
  <c r="BY39" i="1" l="1"/>
  <c r="BW39" i="1"/>
  <c r="BX39" i="1" s="1"/>
  <c r="BT39" i="1"/>
  <c r="BV39" i="1" s="1"/>
  <c r="BE39" i="1"/>
  <c r="BD39" i="1"/>
  <c r="BC39" i="1"/>
  <c r="BB39" i="1"/>
  <c r="BA39" i="1"/>
  <c r="AZ39" i="1"/>
  <c r="AY39" i="1"/>
  <c r="AI39" i="1"/>
  <c r="X39" i="1"/>
  <c r="BC65" i="1"/>
  <c r="X64" i="1"/>
  <c r="X65" i="1"/>
  <c r="BY62" i="1"/>
  <c r="BW62" i="1"/>
  <c r="BX62" i="1" s="1"/>
  <c r="BT62" i="1"/>
  <c r="BV62" i="1" s="1"/>
  <c r="BC62" i="1"/>
  <c r="BB62" i="1"/>
  <c r="BA62" i="1"/>
  <c r="AZ62" i="1"/>
  <c r="AY62" i="1"/>
  <c r="AI62" i="1"/>
  <c r="AK62" i="1" s="1"/>
  <c r="X62" i="1"/>
  <c r="AI63" i="1"/>
  <c r="AY63" i="1"/>
  <c r="AZ63" i="1"/>
  <c r="BA63" i="1"/>
  <c r="BB63" i="1"/>
  <c r="BC63" i="1"/>
  <c r="BT63" i="1"/>
  <c r="BV63" i="1" s="1"/>
  <c r="BW63" i="1"/>
  <c r="BX63" i="1" s="1"/>
  <c r="BY63" i="1"/>
  <c r="AI64" i="1"/>
  <c r="AY64" i="1"/>
  <c r="AZ64" i="1"/>
  <c r="BA64" i="1"/>
  <c r="BB64" i="1"/>
  <c r="BC64" i="1"/>
  <c r="BW64" i="1"/>
  <c r="BX64" i="1" s="1"/>
  <c r="BY64" i="1"/>
  <c r="AI65" i="1"/>
  <c r="AY65" i="1"/>
  <c r="AZ65" i="1"/>
  <c r="BA65" i="1"/>
  <c r="BB65" i="1"/>
  <c r="BT65" i="1"/>
  <c r="BV65" i="1" s="1"/>
  <c r="BW65" i="1"/>
  <c r="BX65" i="1" s="1"/>
  <c r="BY65" i="1"/>
  <c r="X63" i="1"/>
  <c r="BY41" i="1"/>
  <c r="BW41" i="1"/>
  <c r="BX41" i="1" s="1"/>
  <c r="BY40" i="1"/>
  <c r="BW40" i="1"/>
  <c r="BX40" i="1" s="1"/>
  <c r="BT40" i="1"/>
  <c r="BV40" i="1" s="1"/>
  <c r="BT41" i="1"/>
  <c r="BV41" i="1" s="1"/>
  <c r="BE41" i="1"/>
  <c r="BD41" i="1"/>
  <c r="BC41" i="1"/>
  <c r="BB41" i="1"/>
  <c r="BE40" i="1"/>
  <c r="BD40" i="1"/>
  <c r="BC40" i="1"/>
  <c r="BB40" i="1"/>
  <c r="BA41" i="1"/>
  <c r="AZ41" i="1"/>
  <c r="AY41" i="1"/>
  <c r="AI41" i="1"/>
  <c r="AK41" i="1" s="1"/>
  <c r="X41" i="1"/>
  <c r="BA40" i="1"/>
  <c r="AZ40" i="1"/>
  <c r="AY40" i="1"/>
  <c r="AI40" i="1"/>
  <c r="AK40" i="1" s="1"/>
  <c r="X40" i="1"/>
  <c r="AH63" i="1" l="1"/>
  <c r="AK63" i="1"/>
  <c r="AH65" i="1"/>
  <c r="AK65" i="1"/>
  <c r="AH39" i="1"/>
  <c r="AK39" i="1"/>
  <c r="AH64" i="1"/>
  <c r="AK64" i="1"/>
  <c r="AH62" i="1"/>
  <c r="AH40" i="1"/>
  <c r="AH41" i="1"/>
  <c r="BF41" i="1"/>
  <c r="BH41" i="1" s="1"/>
  <c r="CB39" i="1"/>
  <c r="BG39" i="1"/>
  <c r="BI39" i="1" s="1"/>
  <c r="BF64" i="1"/>
  <c r="BH64" i="1" s="1"/>
  <c r="CB40" i="1"/>
  <c r="CB62" i="1"/>
  <c r="BF39" i="1"/>
  <c r="BH39" i="1" s="1"/>
  <c r="BF40" i="1"/>
  <c r="BH40" i="1" s="1"/>
  <c r="BF65" i="1"/>
  <c r="BH65" i="1" s="1"/>
  <c r="BF63" i="1"/>
  <c r="BH63" i="1" s="1"/>
  <c r="BG62" i="1"/>
  <c r="BI62" i="1" s="1"/>
  <c r="BG41" i="1"/>
  <c r="BI41" i="1" s="1"/>
  <c r="BG40" i="1"/>
  <c r="BI40" i="1" s="1"/>
  <c r="CB65" i="1"/>
  <c r="CB41" i="1"/>
  <c r="BG63" i="1"/>
  <c r="BI63" i="1" s="1"/>
  <c r="BF62" i="1"/>
  <c r="BH62" i="1" s="1"/>
  <c r="BG64" i="1"/>
  <c r="BI64" i="1" s="1"/>
  <c r="CB63" i="1"/>
  <c r="BG65" i="1"/>
  <c r="BI65" i="1" s="1"/>
  <c r="CB64" i="1"/>
  <c r="BY12" i="1" l="1"/>
  <c r="BW12" i="1"/>
  <c r="BT12" i="1"/>
  <c r="BV12" i="1" s="1"/>
  <c r="BE12" i="1"/>
  <c r="BD12" i="1"/>
  <c r="BC12" i="1"/>
  <c r="BB12" i="1"/>
  <c r="BA12" i="1"/>
  <c r="AZ12" i="1"/>
  <c r="AY12" i="1"/>
  <c r="AI12" i="1"/>
  <c r="X12" i="1"/>
  <c r="Q12" i="1"/>
  <c r="S12" i="1" s="1"/>
  <c r="AH12" i="1" l="1"/>
  <c r="AK12" i="1"/>
  <c r="BG12" i="1"/>
  <c r="BI12" i="1" s="1"/>
  <c r="BF12" i="1"/>
  <c r="BH12" i="1" s="1"/>
  <c r="BY9" i="1"/>
  <c r="BW9" i="1"/>
  <c r="BT9" i="1"/>
  <c r="BV9" i="1" s="1"/>
  <c r="BE9" i="1"/>
  <c r="BD9" i="1"/>
  <c r="BC9" i="1"/>
  <c r="BB9" i="1"/>
  <c r="BA9" i="1"/>
  <c r="AZ9" i="1"/>
  <c r="AY9" i="1"/>
  <c r="AI9" i="1"/>
  <c r="X9" i="1"/>
  <c r="Q9" i="1"/>
  <c r="S9" i="1" s="1"/>
  <c r="AH9" i="1" l="1"/>
  <c r="AK9" i="1"/>
  <c r="BG9" i="1"/>
  <c r="BI9" i="1" s="1"/>
  <c r="BF9" i="1"/>
  <c r="BH9" i="1" s="1"/>
  <c r="N28" i="2"/>
  <c r="BY14" i="1"/>
  <c r="BW14" i="1"/>
  <c r="BT14" i="1"/>
  <c r="BV14" i="1" s="1"/>
  <c r="BE14" i="1"/>
  <c r="BD14" i="1"/>
  <c r="BC14" i="1"/>
  <c r="BB14" i="1"/>
  <c r="BA14" i="1"/>
  <c r="AZ14" i="1"/>
  <c r="AY14" i="1"/>
  <c r="AI14" i="1"/>
  <c r="X14" i="1"/>
  <c r="Q14" i="1"/>
  <c r="S14" i="1" s="1"/>
  <c r="BY16" i="1"/>
  <c r="BW16" i="1"/>
  <c r="BT16" i="1"/>
  <c r="BV16" i="1" s="1"/>
  <c r="BE16" i="1"/>
  <c r="BD16" i="1"/>
  <c r="BC16" i="1"/>
  <c r="BB16" i="1"/>
  <c r="BA16" i="1"/>
  <c r="AZ16" i="1"/>
  <c r="AY16" i="1"/>
  <c r="AI16" i="1"/>
  <c r="X16" i="1"/>
  <c r="Q16" i="1"/>
  <c r="S16" i="1" s="1"/>
  <c r="BY13" i="1"/>
  <c r="BW13" i="1"/>
  <c r="BT13" i="1"/>
  <c r="BV13" i="1" s="1"/>
  <c r="BE13" i="1"/>
  <c r="BD13" i="1"/>
  <c r="BC13" i="1"/>
  <c r="BB13" i="1"/>
  <c r="BA13" i="1"/>
  <c r="AZ13" i="1"/>
  <c r="AY13" i="1"/>
  <c r="AI13" i="1"/>
  <c r="X13" i="1"/>
  <c r="Q13" i="1"/>
  <c r="S13" i="1" s="1"/>
  <c r="BY21" i="1"/>
  <c r="BW21" i="1"/>
  <c r="BT21" i="1"/>
  <c r="BV21" i="1" s="1"/>
  <c r="BE21" i="1"/>
  <c r="BD21" i="1"/>
  <c r="BC21" i="1"/>
  <c r="BB21" i="1"/>
  <c r="BA21" i="1"/>
  <c r="AZ21" i="1"/>
  <c r="AY21" i="1"/>
  <c r="AI21" i="1"/>
  <c r="X21" i="1"/>
  <c r="Q21" i="1"/>
  <c r="S21" i="1" s="1"/>
  <c r="BY18" i="1"/>
  <c r="BW18" i="1"/>
  <c r="BX18" i="1" s="1"/>
  <c r="BT18" i="1"/>
  <c r="BV18" i="1" s="1"/>
  <c r="BE18" i="1"/>
  <c r="BD18" i="1"/>
  <c r="BC18" i="1"/>
  <c r="BB18" i="1"/>
  <c r="BA18" i="1"/>
  <c r="AZ18" i="1"/>
  <c r="AY18" i="1"/>
  <c r="AI18" i="1"/>
  <c r="X18" i="1"/>
  <c r="Q18" i="1"/>
  <c r="S18" i="1" s="1"/>
  <c r="BY17" i="1"/>
  <c r="BW17" i="1"/>
  <c r="BX17" i="1" s="1"/>
  <c r="BT17" i="1"/>
  <c r="BV17" i="1" s="1"/>
  <c r="BE17" i="1"/>
  <c r="BD17" i="1"/>
  <c r="BC17" i="1"/>
  <c r="BB17" i="1"/>
  <c r="BA17" i="1"/>
  <c r="AZ17" i="1"/>
  <c r="AY17" i="1"/>
  <c r="AI17" i="1"/>
  <c r="X17" i="1"/>
  <c r="Q17" i="1"/>
  <c r="S17" i="1" s="1"/>
  <c r="BY15" i="1"/>
  <c r="BW15" i="1"/>
  <c r="BT15" i="1"/>
  <c r="BV15" i="1" s="1"/>
  <c r="BE15" i="1"/>
  <c r="BD15" i="1"/>
  <c r="BC15" i="1"/>
  <c r="BB15" i="1"/>
  <c r="BA15" i="1"/>
  <c r="AZ15" i="1"/>
  <c r="AY15" i="1"/>
  <c r="AI15" i="1"/>
  <c r="X15" i="1"/>
  <c r="Q15" i="1"/>
  <c r="S15" i="1" s="1"/>
  <c r="BY11" i="1"/>
  <c r="BW11" i="1"/>
  <c r="BT11" i="1"/>
  <c r="BV11" i="1" s="1"/>
  <c r="BE11" i="1"/>
  <c r="BD11" i="1"/>
  <c r="BC11" i="1"/>
  <c r="BB11" i="1"/>
  <c r="BA11" i="1"/>
  <c r="AZ11" i="1"/>
  <c r="AY11" i="1"/>
  <c r="AI11" i="1"/>
  <c r="AK11" i="1" s="1"/>
  <c r="X11" i="1"/>
  <c r="Q11" i="1"/>
  <c r="S11" i="1" s="1"/>
  <c r="AH16" i="1" l="1"/>
  <c r="AK16" i="1"/>
  <c r="AH21" i="1"/>
  <c r="AK21" i="1"/>
  <c r="AH18" i="1"/>
  <c r="AK18" i="1"/>
  <c r="AH17" i="1"/>
  <c r="AK17" i="1"/>
  <c r="AH15" i="1"/>
  <c r="AK15" i="1"/>
  <c r="AH13" i="1"/>
  <c r="AK13" i="1"/>
  <c r="AH14" i="1"/>
  <c r="AK14" i="1"/>
  <c r="BF14" i="1"/>
  <c r="BH14" i="1" s="1"/>
  <c r="BG14" i="1"/>
  <c r="BI14" i="1" s="1"/>
  <c r="BX21" i="1"/>
  <c r="CB21" i="1" s="1"/>
  <c r="BF16" i="1"/>
  <c r="BH16" i="1" s="1"/>
  <c r="BG13" i="1"/>
  <c r="BI13" i="1" s="1"/>
  <c r="BG16" i="1"/>
  <c r="BI16" i="1" s="1"/>
  <c r="CB18" i="1"/>
  <c r="CB17" i="1"/>
  <c r="BF13" i="1"/>
  <c r="BH13" i="1" s="1"/>
  <c r="BG18" i="1"/>
  <c r="BI18" i="1" s="1"/>
  <c r="BG21" i="1"/>
  <c r="BI21" i="1" s="1"/>
  <c r="BF21" i="1"/>
  <c r="BH21" i="1" s="1"/>
  <c r="BG17" i="1"/>
  <c r="BI17" i="1" s="1"/>
  <c r="BF18" i="1"/>
  <c r="BH18" i="1" s="1"/>
  <c r="BF17" i="1"/>
  <c r="BH17" i="1" s="1"/>
  <c r="BG15" i="1"/>
  <c r="BI15" i="1" s="1"/>
  <c r="BF15" i="1"/>
  <c r="BH15" i="1" s="1"/>
  <c r="BG11" i="1"/>
  <c r="BI11" i="1" s="1"/>
  <c r="AH11" i="1"/>
  <c r="BF11" i="1"/>
  <c r="BH11" i="1" s="1"/>
  <c r="BT10" i="1"/>
  <c r="BT22" i="1"/>
  <c r="BV22" i="1" s="1"/>
  <c r="BT23" i="1"/>
  <c r="BV23" i="1" s="1"/>
  <c r="BT24" i="1"/>
  <c r="BV24" i="1" s="1"/>
  <c r="BT25" i="1"/>
  <c r="BV25" i="1" s="1"/>
  <c r="BT26" i="1"/>
  <c r="BV26" i="1" s="1"/>
  <c r="BT27" i="1"/>
  <c r="BT28" i="1"/>
  <c r="BV28" i="1" s="1"/>
  <c r="BT29" i="1"/>
  <c r="BV29" i="1" s="1"/>
  <c r="BT30" i="1"/>
  <c r="BV30" i="1" s="1"/>
  <c r="BT31" i="1"/>
  <c r="BV31" i="1" s="1"/>
  <c r="BT32" i="1"/>
  <c r="BV32" i="1" s="1"/>
  <c r="BT33" i="1"/>
  <c r="BV33" i="1" s="1"/>
  <c r="BT34" i="1"/>
  <c r="BV34" i="1" s="1"/>
  <c r="BT35" i="1"/>
  <c r="BV35" i="1" s="1"/>
  <c r="BT37" i="1"/>
  <c r="BT38" i="1"/>
  <c r="BT50" i="1"/>
  <c r="BT61" i="1"/>
  <c r="BT8" i="1"/>
  <c r="AI50" i="1"/>
  <c r="AK50" i="1" s="1"/>
  <c r="AI61" i="1"/>
  <c r="AI10" i="1"/>
  <c r="AI22" i="1"/>
  <c r="AI23" i="1"/>
  <c r="AI24" i="1"/>
  <c r="AI25" i="1"/>
  <c r="AI26" i="1"/>
  <c r="AI27" i="1"/>
  <c r="AI28" i="1"/>
  <c r="AI29" i="1"/>
  <c r="AI30" i="1"/>
  <c r="AI31" i="1"/>
  <c r="AI32" i="1"/>
  <c r="AI33" i="1"/>
  <c r="AK33" i="1" s="1"/>
  <c r="AI34" i="1"/>
  <c r="AI35" i="1"/>
  <c r="AI37" i="1"/>
  <c r="AI38" i="1"/>
  <c r="BY22" i="1"/>
  <c r="BW22" i="1"/>
  <c r="BX22" i="1" s="1"/>
  <c r="BE22" i="1"/>
  <c r="BD22" i="1"/>
  <c r="BC22" i="1"/>
  <c r="BB22" i="1"/>
  <c r="BA22" i="1"/>
  <c r="AZ22" i="1"/>
  <c r="AY22" i="1"/>
  <c r="X22" i="1"/>
  <c r="BY35" i="1"/>
  <c r="BW35" i="1"/>
  <c r="BX35" i="1" s="1"/>
  <c r="BE35" i="1"/>
  <c r="BD35" i="1"/>
  <c r="BC35" i="1"/>
  <c r="BB35" i="1"/>
  <c r="BA35" i="1"/>
  <c r="AZ35" i="1"/>
  <c r="AY35" i="1"/>
  <c r="X35" i="1"/>
  <c r="BY34" i="1"/>
  <c r="BW34" i="1"/>
  <c r="BX34" i="1" s="1"/>
  <c r="BE34" i="1"/>
  <c r="BD34" i="1"/>
  <c r="BC34" i="1"/>
  <c r="BB34" i="1"/>
  <c r="BA34" i="1"/>
  <c r="AZ34" i="1"/>
  <c r="AY34" i="1"/>
  <c r="X34" i="1"/>
  <c r="BY33" i="1"/>
  <c r="BW33" i="1"/>
  <c r="BX33" i="1" s="1"/>
  <c r="BE33" i="1"/>
  <c r="BD33" i="1"/>
  <c r="BC33" i="1"/>
  <c r="BB33" i="1"/>
  <c r="BA33" i="1"/>
  <c r="AZ33" i="1"/>
  <c r="AY33" i="1"/>
  <c r="X33" i="1"/>
  <c r="BY32" i="1"/>
  <c r="BW32" i="1"/>
  <c r="BX32" i="1" s="1"/>
  <c r="BE32" i="1"/>
  <c r="BD32" i="1"/>
  <c r="BC32" i="1"/>
  <c r="BB32" i="1"/>
  <c r="BA32" i="1"/>
  <c r="AZ32" i="1"/>
  <c r="AY32" i="1"/>
  <c r="X32" i="1"/>
  <c r="BY31" i="1"/>
  <c r="BW31" i="1"/>
  <c r="BX31" i="1" s="1"/>
  <c r="BE31" i="1"/>
  <c r="BD31" i="1"/>
  <c r="BC31" i="1"/>
  <c r="BB31" i="1"/>
  <c r="BA31" i="1"/>
  <c r="AZ31" i="1"/>
  <c r="AY31" i="1"/>
  <c r="X31" i="1"/>
  <c r="BY30" i="1"/>
  <c r="BW30" i="1"/>
  <c r="BE30" i="1"/>
  <c r="BD30" i="1"/>
  <c r="BC30" i="1"/>
  <c r="BB30" i="1"/>
  <c r="BA30" i="1"/>
  <c r="AZ30" i="1"/>
  <c r="AY30" i="1"/>
  <c r="X30" i="1"/>
  <c r="BY29" i="1"/>
  <c r="BW29" i="1"/>
  <c r="BX29" i="1" s="1"/>
  <c r="BE29" i="1"/>
  <c r="BD29" i="1"/>
  <c r="BC29" i="1"/>
  <c r="BB29" i="1"/>
  <c r="BA29" i="1"/>
  <c r="AZ29" i="1"/>
  <c r="AY29" i="1"/>
  <c r="X29" i="1"/>
  <c r="BY28" i="1"/>
  <c r="BW28" i="1"/>
  <c r="BX28" i="1" s="1"/>
  <c r="BE28" i="1"/>
  <c r="BD28" i="1"/>
  <c r="BC28" i="1"/>
  <c r="BB28" i="1"/>
  <c r="BA28" i="1"/>
  <c r="AZ28" i="1"/>
  <c r="AY28" i="1"/>
  <c r="X28" i="1"/>
  <c r="BY26" i="1"/>
  <c r="BW26" i="1"/>
  <c r="BE26" i="1"/>
  <c r="BD26" i="1"/>
  <c r="BC26" i="1"/>
  <c r="BB26" i="1"/>
  <c r="BA26" i="1"/>
  <c r="AZ26" i="1"/>
  <c r="AY26" i="1"/>
  <c r="X26" i="1"/>
  <c r="BY25" i="1"/>
  <c r="BW25" i="1"/>
  <c r="BX25" i="1" s="1"/>
  <c r="BE25" i="1"/>
  <c r="BD25" i="1"/>
  <c r="BC25" i="1"/>
  <c r="BB25" i="1"/>
  <c r="BA25" i="1"/>
  <c r="AZ25" i="1"/>
  <c r="AY25" i="1"/>
  <c r="X25" i="1"/>
  <c r="BY24" i="1"/>
  <c r="BW24" i="1"/>
  <c r="BX24" i="1" s="1"/>
  <c r="BE24" i="1"/>
  <c r="BD24" i="1"/>
  <c r="BC24" i="1"/>
  <c r="BB24" i="1"/>
  <c r="BA24" i="1"/>
  <c r="AZ24" i="1"/>
  <c r="AY24" i="1"/>
  <c r="X24" i="1"/>
  <c r="BY23" i="1"/>
  <c r="BW23" i="1"/>
  <c r="BX23" i="1" s="1"/>
  <c r="BE23" i="1"/>
  <c r="BD23" i="1"/>
  <c r="BC23" i="1"/>
  <c r="BB23" i="1"/>
  <c r="BA23" i="1"/>
  <c r="AZ23" i="1"/>
  <c r="AY23" i="1"/>
  <c r="X23" i="1"/>
  <c r="AH28" i="1" l="1"/>
  <c r="AK28" i="1"/>
  <c r="AH26" i="1"/>
  <c r="AK26" i="1"/>
  <c r="AH25" i="1"/>
  <c r="AK25" i="1"/>
  <c r="AH10" i="1"/>
  <c r="AK10" i="1"/>
  <c r="AH61" i="1"/>
  <c r="AK61" i="1"/>
  <c r="AH32" i="1"/>
  <c r="AK32" i="1"/>
  <c r="AH31" i="1"/>
  <c r="AK31" i="1"/>
  <c r="AH30" i="1"/>
  <c r="AK30" i="1"/>
  <c r="AH27" i="1"/>
  <c r="AK27" i="1"/>
  <c r="AH24" i="1"/>
  <c r="AK24" i="1"/>
  <c r="AH23" i="1"/>
  <c r="AK23" i="1"/>
  <c r="AH22" i="1"/>
  <c r="AK22" i="1"/>
  <c r="AH38" i="1"/>
  <c r="AK38" i="1"/>
  <c r="AH37" i="1"/>
  <c r="AK37" i="1"/>
  <c r="AH35" i="1"/>
  <c r="AK35" i="1"/>
  <c r="AH34" i="1"/>
  <c r="AK34" i="1"/>
  <c r="AH29" i="1"/>
  <c r="AK29" i="1"/>
  <c r="AH50" i="1"/>
  <c r="BX26" i="1"/>
  <c r="CB26" i="1" s="1"/>
  <c r="BX30" i="1"/>
  <c r="CB30" i="1" s="1"/>
  <c r="AH33" i="1"/>
  <c r="CB31" i="1"/>
  <c r="CB22" i="1"/>
  <c r="BG31" i="1"/>
  <c r="BI31" i="1" s="1"/>
  <c r="BG35" i="1"/>
  <c r="BI35" i="1" s="1"/>
  <c r="CB24" i="1"/>
  <c r="BG29" i="1"/>
  <c r="BI29" i="1" s="1"/>
  <c r="CB29" i="1"/>
  <c r="BG33" i="1"/>
  <c r="BI33" i="1" s="1"/>
  <c r="CB34" i="1"/>
  <c r="CB35" i="1"/>
  <c r="CB32" i="1"/>
  <c r="CB33" i="1"/>
  <c r="BF22" i="1"/>
  <c r="BH22" i="1" s="1"/>
  <c r="BG22" i="1"/>
  <c r="BI22" i="1" s="1"/>
  <c r="BG25" i="1"/>
  <c r="BI25" i="1" s="1"/>
  <c r="BG26" i="1"/>
  <c r="BI26" i="1" s="1"/>
  <c r="CB28" i="1"/>
  <c r="CB23" i="1"/>
  <c r="CB25" i="1"/>
  <c r="BF24" i="1"/>
  <c r="BH24" i="1" s="1"/>
  <c r="BG34" i="1"/>
  <c r="BI34" i="1" s="1"/>
  <c r="BG32" i="1"/>
  <c r="BI32" i="1" s="1"/>
  <c r="BG30" i="1"/>
  <c r="BI30" i="1" s="1"/>
  <c r="BG28" i="1"/>
  <c r="BI28" i="1" s="1"/>
  <c r="BF34" i="1"/>
  <c r="BH34" i="1" s="1"/>
  <c r="BF31" i="1"/>
  <c r="BH31" i="1" s="1"/>
  <c r="BF29" i="1"/>
  <c r="BH29" i="1" s="1"/>
  <c r="BF28" i="1"/>
  <c r="BH28" i="1" s="1"/>
  <c r="BF26" i="1"/>
  <c r="BH26" i="1" s="1"/>
  <c r="BG24" i="1"/>
  <c r="BI24" i="1" s="1"/>
  <c r="BF35" i="1"/>
  <c r="BH35" i="1" s="1"/>
  <c r="BF33" i="1"/>
  <c r="BH33" i="1" s="1"/>
  <c r="BF32" i="1"/>
  <c r="BH32" i="1" s="1"/>
  <c r="BF30" i="1"/>
  <c r="BH30" i="1" s="1"/>
  <c r="BF25" i="1"/>
  <c r="BH25" i="1" s="1"/>
  <c r="BG23" i="1"/>
  <c r="BI23" i="1" s="1"/>
  <c r="BF23" i="1"/>
  <c r="BH23" i="1" s="1"/>
  <c r="N27" i="2" l="1"/>
  <c r="BY10" i="1"/>
  <c r="BW10" i="1"/>
  <c r="BV10" i="1"/>
  <c r="BE10" i="1"/>
  <c r="BD10" i="1"/>
  <c r="BC10" i="1"/>
  <c r="BB10" i="1"/>
  <c r="BA10" i="1"/>
  <c r="AZ10" i="1"/>
  <c r="AY10" i="1"/>
  <c r="X10" i="1"/>
  <c r="Q10" i="1"/>
  <c r="BE27" i="1"/>
  <c r="BD27" i="1"/>
  <c r="BY27" i="1"/>
  <c r="BW27" i="1"/>
  <c r="BX27" i="1" s="1"/>
  <c r="BV27" i="1"/>
  <c r="BC27" i="1"/>
  <c r="BB27" i="1"/>
  <c r="BA27" i="1"/>
  <c r="AZ27" i="1"/>
  <c r="AY27" i="1"/>
  <c r="X27" i="1"/>
  <c r="N26" i="2"/>
  <c r="BE8" i="1"/>
  <c r="BD8" i="1"/>
  <c r="BC8" i="1"/>
  <c r="BB8" i="1"/>
  <c r="BA8" i="1"/>
  <c r="AZ8" i="1"/>
  <c r="BY8" i="1"/>
  <c r="BW8" i="1"/>
  <c r="BX8" i="1" s="1"/>
  <c r="BV8" i="1"/>
  <c r="AY8" i="1"/>
  <c r="AI8" i="1"/>
  <c r="AK8" i="1" s="1"/>
  <c r="X8" i="1"/>
  <c r="AH8" i="1" l="1"/>
  <c r="BG10" i="1"/>
  <c r="BI10" i="1" s="1"/>
  <c r="BG27" i="1"/>
  <c r="BI27" i="1" s="1"/>
  <c r="BF10" i="1"/>
  <c r="BH10" i="1" s="1"/>
  <c r="S10" i="1"/>
  <c r="BF27" i="1"/>
  <c r="BH27" i="1" s="1"/>
  <c r="CB27" i="1"/>
  <c r="BG8" i="1"/>
  <c r="BI8" i="1" s="1"/>
  <c r="CB8" i="1"/>
  <c r="BF8" i="1"/>
  <c r="BH8" i="1" s="1"/>
  <c r="BV50" i="1" l="1"/>
  <c r="BY50" i="1"/>
  <c r="BW50" i="1"/>
  <c r="BX50" i="1" s="1"/>
  <c r="CB50" i="1" s="1"/>
  <c r="X50" i="1"/>
  <c r="Q50" i="1"/>
  <c r="S50" i="1" s="1"/>
  <c r="T61" i="1"/>
  <c r="X61" i="1" s="1"/>
  <c r="BY61" i="1"/>
  <c r="BW61" i="1"/>
  <c r="BX61" i="1" s="1"/>
  <c r="BV61" i="1"/>
  <c r="BC61" i="1"/>
  <c r="BB61" i="1"/>
  <c r="BA61" i="1"/>
  <c r="AZ61" i="1"/>
  <c r="AY61" i="1"/>
  <c r="BF61" i="1" l="1"/>
  <c r="BH61" i="1" s="1"/>
  <c r="BG61" i="1"/>
  <c r="BI61" i="1" s="1"/>
  <c r="CB61" i="1"/>
  <c r="X37" i="1" l="1"/>
  <c r="AY37" i="1"/>
  <c r="AZ37" i="1"/>
  <c r="BA37" i="1"/>
  <c r="BB37" i="1"/>
  <c r="BC37" i="1"/>
  <c r="BD37" i="1"/>
  <c r="BE37" i="1"/>
  <c r="BV37" i="1"/>
  <c r="BW37" i="1"/>
  <c r="BX37" i="1" s="1"/>
  <c r="BY37" i="1"/>
  <c r="CB37" i="1" l="1"/>
  <c r="BG37" i="1"/>
  <c r="BI37" i="1" s="1"/>
  <c r="BF37" i="1"/>
  <c r="BH37" i="1" s="1"/>
  <c r="N25" i="2" l="1"/>
  <c r="N24" i="2" l="1"/>
  <c r="N23" i="2" l="1"/>
  <c r="N22" i="2" l="1"/>
  <c r="N21" i="2"/>
  <c r="N20" i="2"/>
  <c r="N19" i="2" l="1"/>
  <c r="N18" i="2" l="1"/>
  <c r="BB38"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Y38" i="1"/>
  <c r="BW38" i="1"/>
  <c r="BX38" i="1" s="1"/>
  <c r="BX12" i="1" l="1"/>
  <c r="CB12" i="1" s="1"/>
  <c r="BX9" i="1"/>
  <c r="CB9" i="1" s="1"/>
  <c r="BX15" i="1"/>
  <c r="CB15" i="1" s="1"/>
  <c r="BX11" i="1"/>
  <c r="CB11" i="1" s="1"/>
  <c r="BX14" i="1"/>
  <c r="CB14" i="1" s="1"/>
  <c r="BX16" i="1"/>
  <c r="CB16" i="1" s="1"/>
  <c r="BX13" i="1"/>
  <c r="CB13" i="1" s="1"/>
  <c r="BX10" i="1"/>
  <c r="CB10" i="1" s="1"/>
  <c r="CB38" i="1"/>
  <c r="BE38" i="1" l="1"/>
  <c r="BC38" i="1"/>
  <c r="AY38" i="1"/>
  <c r="AZ38" i="1"/>
  <c r="BA38" i="1"/>
  <c r="BD38" i="1"/>
  <c r="BF38" i="1" l="1"/>
  <c r="BH38" i="1" s="1"/>
  <c r="BG38" i="1"/>
  <c r="BI38"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8" i="1" l="1"/>
  <c r="B4" i="4" l="1"/>
  <c r="B5" i="4"/>
  <c r="B6" i="4"/>
  <c r="B7" i="4"/>
  <c r="B8" i="4"/>
  <c r="B9" i="4"/>
  <c r="B10" i="4"/>
  <c r="B11" i="4"/>
  <c r="B3" i="4"/>
  <c r="BV38"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<sst xmlns="http://schemas.openxmlformats.org/spreadsheetml/2006/main" count="911" uniqueCount="474">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</sst>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73"/>
  <sheetViews>
    <sheetView tabSelected="1" workbookViewId="0">
      <pane xSplit="1" ySplit="1" topLeftCell="Q5" activePane="bottomRight" state="frozenSplit"/>
      <selection pane="topRight" activeCell="B1" sqref="B1"/>
      <selection pane="bottomLeft" activeCell="A2" sqref="A2"/>
      <selection pane="bottomRight" activeCell="T37" sqref="T37"/>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7" customWidth="1"/>
    <col min="13" max="13" width="5.140625" style="5" bestFit="1" customWidth="1"/>
    <col min="14" max="14" width="7.28515625" style="5" bestFit="1" customWidth="1"/>
    <col min="15" max="15" width="5.5703125" style="5" bestFit="1" customWidth="1"/>
    <col min="16" max="16" width="10" style="5" bestFit="1" customWidth="1"/>
    <col min="17" max="17" width="7.7109375" style="5" bestFit="1" customWidth="1"/>
    <col min="18" max="18" width="11" style="5" bestFit="1" customWidth="1"/>
    <col min="19" max="19" width="7.7109375" style="5" customWidth="1"/>
    <col min="20" max="20" width="10" bestFit="1" customWidth="1"/>
    <col min="21" max="21" width="16.5703125" style="7" bestFit="1" customWidth="1"/>
    <col min="22" max="22" width="13.28515625" customWidth="1"/>
    <col min="23" max="23" width="18" bestFit="1" customWidth="1"/>
    <col min="24" max="24" width="8.42578125" style="3" bestFit="1" customWidth="1"/>
    <col min="25" max="25" width="12.42578125" bestFit="1" customWidth="1"/>
    <col min="26" max="28" width="12.42578125" customWidth="1"/>
    <col min="29" max="29" width="10.5703125" bestFit="1" customWidth="1"/>
    <col min="30" max="30" width="9.28515625" bestFit="1" customWidth="1"/>
    <col min="31" max="31" width="10.5703125" customWidth="1"/>
    <col min="32" max="32" width="10.42578125" bestFit="1" customWidth="1"/>
    <col min="33" max="33" width="9.140625" style="9"/>
    <col min="34" max="34" width="10.28515625" style="14" bestFit="1" customWidth="1"/>
    <col min="35" max="35" width="10.28515625" style="14" customWidth="1"/>
    <col min="36" max="36" width="26.85546875" customWidth="1"/>
    <col min="37" max="37" width="18.42578125" style="14" bestFit="1" customWidth="1"/>
    <col min="38" max="38" width="18.42578125" customWidth="1"/>
    <col min="39" max="40" width="18.42578125" style="11" customWidth="1"/>
    <col min="41" max="41" width="31.140625" customWidth="1"/>
    <col min="42" max="42" width="17" customWidth="1"/>
    <col min="43" max="43" width="11.85546875" bestFit="1" customWidth="1"/>
    <col min="44" max="44" width="13.140625" bestFit="1" customWidth="1"/>
    <col min="45" max="45" width="9.42578125" bestFit="1" customWidth="1"/>
    <col min="46" max="46" width="9.42578125" customWidth="1"/>
    <col min="47" max="47" width="12.42578125" customWidth="1"/>
    <col min="48" max="48" width="9.42578125" style="14" customWidth="1"/>
    <col min="49" max="49" width="18.7109375" bestFit="1" customWidth="1"/>
    <col min="50" max="50" width="19.140625" bestFit="1" customWidth="1"/>
    <col min="51" max="51" width="15" style="16" hidden="1" customWidth="1"/>
    <col min="52" max="52" width="10" style="16" hidden="1" customWidth="1"/>
    <col min="53" max="53" width="9.140625" style="16" hidden="1" customWidth="1"/>
    <col min="54" max="54" width="9.7109375" style="16" hidden="1" customWidth="1"/>
    <col min="55" max="55" width="12.42578125" style="16" hidden="1" customWidth="1"/>
    <col min="56" max="57" width="16" style="16" hidden="1" customWidth="1"/>
    <col min="58" max="58" width="8.85546875" style="16" customWidth="1"/>
    <col min="59" max="59" width="11" style="16" customWidth="1"/>
    <col min="60" max="61" width="11" style="20" customWidth="1"/>
    <col min="67" max="67" width="31.140625" customWidth="1"/>
    <col min="69" max="69" width="19.140625" bestFit="1" customWidth="1"/>
    <col min="70" max="70" width="16.85546875" bestFit="1" customWidth="1"/>
    <col min="71" max="71" width="15.5703125" bestFit="1" customWidth="1"/>
    <col min="72" max="72" width="9.140625" style="22"/>
    <col min="73" max="73" width="15.7109375" bestFit="1" customWidth="1"/>
    <col min="74" max="74" width="21.7109375" style="22" bestFit="1" customWidth="1"/>
    <col min="75" max="75" width="26.28515625" style="22" bestFit="1" customWidth="1"/>
    <col min="76" max="76" width="29" style="22" customWidth="1"/>
    <col min="77" max="77" width="38.42578125" style="22" customWidth="1"/>
    <col min="78" max="78" width="255.7109375" bestFit="1" customWidth="1"/>
    <col min="79" max="80" width="9.140625" style="22"/>
  </cols>
  <sheetData>
    <row r="1" spans="1:80" s="1" customFormat="1" x14ac:dyDescent="0.25">
      <c r="A1" s="1" t="s">
        <v>1</v>
      </c>
      <c r="B1" s="1" t="s">
        <v>2</v>
      </c>
      <c r="C1" s="1" t="s">
        <v>141</v>
      </c>
      <c r="D1" s="1" t="s">
        <v>0</v>
      </c>
      <c r="E1" s="1" t="s">
        <v>24</v>
      </c>
      <c r="F1" s="1" t="s">
        <v>27</v>
      </c>
      <c r="G1" s="1" t="s">
        <v>4</v>
      </c>
      <c r="H1" s="1" t="s">
        <v>5</v>
      </c>
      <c r="I1" s="1" t="s">
        <v>6</v>
      </c>
      <c r="J1" s="1" t="s">
        <v>7</v>
      </c>
      <c r="K1" s="1" t="s">
        <v>8</v>
      </c>
      <c r="L1" s="6" t="s">
        <v>101</v>
      </c>
      <c r="M1" s="4" t="s">
        <v>88</v>
      </c>
      <c r="N1" s="4" t="s">
        <v>85</v>
      </c>
      <c r="O1" s="4" t="s">
        <v>86</v>
      </c>
      <c r="P1" s="4" t="s">
        <v>83</v>
      </c>
      <c r="Q1" s="4" t="s">
        <v>84</v>
      </c>
      <c r="R1" s="4" t="s">
        <v>89</v>
      </c>
      <c r="S1" s="4" t="s">
        <v>87</v>
      </c>
      <c r="T1" s="1" t="s">
        <v>9</v>
      </c>
      <c r="U1" s="6" t="s">
        <v>10</v>
      </c>
      <c r="V1" s="1" t="s">
        <v>29</v>
      </c>
      <c r="W1" s="1" t="s">
        <v>11</v>
      </c>
      <c r="X1" s="2" t="s">
        <v>21</v>
      </c>
      <c r="Y1" s="1" t="s">
        <v>12</v>
      </c>
      <c r="Z1" s="1" t="s">
        <v>464</v>
      </c>
      <c r="AA1" s="1" t="s">
        <v>465</v>
      </c>
      <c r="AB1" s="1" t="s">
        <v>91</v>
      </c>
      <c r="AC1" s="1" t="s">
        <v>13</v>
      </c>
      <c r="AD1" s="1" t="s">
        <v>35</v>
      </c>
      <c r="AE1" s="1" t="s">
        <v>16</v>
      </c>
      <c r="AF1" s="1" t="s">
        <v>14</v>
      </c>
      <c r="AG1" s="8" t="s">
        <v>20</v>
      </c>
      <c r="AH1" s="13" t="s">
        <v>3</v>
      </c>
      <c r="AI1" s="13" t="s">
        <v>22</v>
      </c>
      <c r="AJ1" s="1" t="s">
        <v>36</v>
      </c>
      <c r="AK1" s="13" t="s">
        <v>17</v>
      </c>
      <c r="AL1" s="1" t="s">
        <v>211</v>
      </c>
      <c r="AM1" s="10" t="s">
        <v>118</v>
      </c>
      <c r="AN1" s="10" t="s">
        <v>202</v>
      </c>
      <c r="AO1" s="1" t="s">
        <v>95</v>
      </c>
      <c r="AP1" s="1" t="s">
        <v>103</v>
      </c>
      <c r="AQ1" s="1" t="s">
        <v>96</v>
      </c>
      <c r="AR1" s="1" t="s">
        <v>98</v>
      </c>
      <c r="AS1" s="1" t="s">
        <v>23</v>
      </c>
      <c r="AT1" s="1" t="s">
        <v>173</v>
      </c>
      <c r="AU1" s="1" t="s">
        <v>145</v>
      </c>
      <c r="AV1" s="13" t="s">
        <v>165</v>
      </c>
      <c r="AW1" s="1" t="s">
        <v>146</v>
      </c>
      <c r="AX1" s="1" t="s">
        <v>163</v>
      </c>
      <c r="AY1" s="15" t="s">
        <v>147</v>
      </c>
      <c r="AZ1" s="15" t="s">
        <v>148</v>
      </c>
      <c r="BA1" s="15" t="s">
        <v>149</v>
      </c>
      <c r="BB1" s="15" t="s">
        <v>152</v>
      </c>
      <c r="BC1" s="15" t="s">
        <v>158</v>
      </c>
      <c r="BD1" s="15" t="s">
        <v>153</v>
      </c>
      <c r="BE1" s="15" t="s">
        <v>157</v>
      </c>
      <c r="BF1" s="15" t="s">
        <v>30</v>
      </c>
      <c r="BG1" s="15" t="s">
        <v>31</v>
      </c>
      <c r="BH1" s="18" t="s">
        <v>174</v>
      </c>
      <c r="BI1" s="18" t="s">
        <v>175</v>
      </c>
      <c r="BJ1" s="1" t="s">
        <v>44</v>
      </c>
      <c r="BK1" s="1" t="s">
        <v>104</v>
      </c>
      <c r="BL1" s="1" t="s">
        <v>110</v>
      </c>
      <c r="BM1" s="1" t="s">
        <v>164</v>
      </c>
      <c r="BN1" s="1" t="s">
        <v>167</v>
      </c>
      <c r="BO1" s="1" t="s">
        <v>168</v>
      </c>
      <c r="BP1" s="1" t="s">
        <v>171</v>
      </c>
      <c r="BQ1" s="1" t="s">
        <v>172</v>
      </c>
      <c r="BR1" s="1" t="s">
        <v>144</v>
      </c>
      <c r="BS1" s="1" t="s">
        <v>33</v>
      </c>
      <c r="BT1" s="21" t="s">
        <v>58</v>
      </c>
      <c r="BU1" s="1" t="s">
        <v>79</v>
      </c>
      <c r="BV1" s="21" t="s">
        <v>81</v>
      </c>
      <c r="BW1" s="21" t="s">
        <v>182</v>
      </c>
      <c r="BX1" s="21" t="s">
        <v>176</v>
      </c>
      <c r="BY1" s="21" t="s">
        <v>169</v>
      </c>
      <c r="BZ1" s="1" t="s">
        <v>166</v>
      </c>
      <c r="CA1" s="21" t="s">
        <v>170</v>
      </c>
      <c r="CB1" s="21" t="s">
        <v>82</v>
      </c>
    </row>
    <row r="2" spans="1:80" x14ac:dyDescent="0.25">
      <c r="A2" t="s">
        <v>363</v>
      </c>
      <c r="B2" t="s">
        <v>364</v>
      </c>
      <c r="C2">
        <v>-1</v>
      </c>
      <c r="D2" t="s">
        <v>36</v>
      </c>
      <c r="E2" t="s">
        <v>36</v>
      </c>
      <c r="F2" t="s">
        <v>28</v>
      </c>
      <c r="G2">
        <v>1870</v>
      </c>
      <c r="T2">
        <v>42</v>
      </c>
      <c r="X2" s="3" t="str">
        <f t="shared" ref="X2:X38" si="0">IF(AND(T2&gt;0,W2&gt;0),(W2/((T2+U2)*10)),"")</f>
        <v/>
      </c>
      <c r="AC2">
        <v>7.5</v>
      </c>
      <c r="AD2">
        <v>8</v>
      </c>
      <c r="AG2" s="9">
        <v>0</v>
      </c>
      <c r="AH2" s="14" t="str">
        <f>CONCATENATE(VLOOKUP(AI2, 'Voxel Sizes'!$A$2:$B$18,2,FALSE),"x",INT(AE2*15), "x", INT(AF2*15))</f>
        <v>82x0x0</v>
      </c>
      <c r="AI2" s="14">
        <f t="shared" ref="AI2:AI38" si="1">ROUND(15*((AD2*10)/256),0)</f>
        <v>5</v>
      </c>
      <c r="AK2" s="14" t="str">
        <f>CONCATENATE(VLOOKUP(AI2,Constants!$A$2:$C$16,IF(AJ2&lt;&gt;"", 3, 2), FALSE),IF(AJ2&lt;&gt;"",CONCATENATE(",",VLOOKUP(AJ2,$B:$AK,36,FALSE)),""))</f>
        <v>2,1,2</v>
      </c>
      <c r="AU2">
        <v>30</v>
      </c>
      <c r="AV2" s="14" t="str">
        <f t="shared" ref="AV2:AV38" si="2">IF(I2&lt;&gt;"",MAX(16,(I2-G2)+8),"")</f>
        <v/>
      </c>
      <c r="AY2" s="16">
        <f t="shared" ref="AY2:AY38" si="3">MIN(Y2/150, 1)*30</f>
        <v>0</v>
      </c>
      <c r="AZ2" s="16">
        <f t="shared" ref="AZ2:AZ38" si="4">MIN(K2/4000, 1)*20</f>
        <v>0</v>
      </c>
      <c r="BA2" s="16">
        <f t="shared" ref="BA2:BA38" si="5">MIN(W2/400,1)*20</f>
        <v>0</v>
      </c>
      <c r="BB2" s="17">
        <f t="shared" ref="BB2:BB38" si="6">1-(MAX(G2-1900, 0)/750)</f>
        <v>1</v>
      </c>
      <c r="BC2" s="16">
        <f t="shared" ref="BC2:BC38" si="7">((MAX($J2,1)*MIN($AG2/300,1)))*IF(D2="Wagon",50,10)</f>
        <v>0</v>
      </c>
      <c r="BD2" s="16">
        <f>VLOOKUP($E2,Constants!$I:$K, 2, FALSE)</f>
        <v>0</v>
      </c>
      <c r="BE2" s="16">
        <f>VLOOKUP($E2,Constants!$I:$K, 3, FALSE)*IF(AND(D2="multiple_unit",Y2&lt;110),0.75,1)</f>
        <v>0</v>
      </c>
      <c r="BF2" s="16">
        <f>INT(POWER(((Constants!$G$2+$AY2+$AZ2+$BA2+$BC2)*$BB2)*$BE2, 1.05))+$AX2</f>
        <v>0</v>
      </c>
      <c r="BG2" s="16">
        <f>INT(POWER((((Constants!$G$1+$AY2+$AZ2+$BA2+$BC2)*($BB2))*$BD2),IF($D2="wagon",1,1.2)))+$AW2</f>
        <v>0</v>
      </c>
      <c r="BH2" s="19">
        <f t="shared" ref="BH2:BH38" si="8">BF2*IF($D2="wagon",62.5,781.25)</f>
        <v>0</v>
      </c>
      <c r="BI2" s="19">
        <f t="shared" ref="BI2:BI38" si="9">BG2*IF($D2="wagon",2.73,81.25)</f>
        <v>0</v>
      </c>
      <c r="BT2" s="22" t="str">
        <f>VLOOKUP(G2,Eras!$A$2:$C$10, 2, TRUE)</f>
        <v>vct</v>
      </c>
      <c r="BU2" t="s">
        <v>62</v>
      </c>
      <c r="BV2" s="22" t="str">
        <f t="shared" ref="BV2:BV38" si="10">CONCATENATE(BT2,"_",BU2)</f>
        <v>vct_Mixed Traffic</v>
      </c>
      <c r="BW2" s="22" t="str">
        <f t="shared" ref="BW2:BW38" si="11">_xlfn.CONCAT(E2, "_",F2)</f>
        <v>tender_RAIL</v>
      </c>
      <c r="BX2" s="22" t="str">
        <f>VLOOKUP($BW2, Constants!$M:$N, 2, FALSE)</f>
        <v/>
      </c>
      <c r="BY2" s="22" t="str">
        <f t="shared" ref="BY2:BY38" si="12">IF(J2&gt;1,_xlfn.CONCAT("{BLACK}Cars: {GOLD}", J2),"")</f>
        <v/>
      </c>
      <c r="CA2" s="22" t="str">
        <f t="shared" ref="CA2:CA35" si="13">IF(BS2="DANDY","{YELLOW}Faster downhill speeds for horse-drawn trains (1 required per 2 horses){}",IF(BS2="BRAKE","{YELLOW}Speed bonus for slow wagons{}",IF(BR2="NGPassengers","{YELLOW}Preserved railway bonus: passengers pay more when hauled by old locomotives{}",IF(BQ2&gt;190,CONCATENATE("{YELLOW}",INT((BQ2-185)/1.85),"% Bonus for long distance travel{}"),IF(AND(BQ2&lt;180,BQ2&lt;&gt;0),CONCATENATE("{YELLOW}",INT((185-BQ2)/1.85),"% Penalty for long distance travel{}"),"")))))</f>
        <v/>
      </c>
      <c r="CB2" s="22" t="str">
        <f t="shared" ref="CB2:CB38" si="14">_xlfn.CONCAT(BX2,IF(BX2 &lt;&gt; "", " ", ""),BY2,IF(OR(BY2&lt;&gt;"", BX2&lt;&gt;""), "{}",""), CA2,"{SILVER}", BZ2)</f>
        <v>{SILVER}</v>
      </c>
    </row>
    <row r="3" spans="1:80" x14ac:dyDescent="0.25">
      <c r="A3" t="s">
        <v>445</v>
      </c>
      <c r="B3" t="s">
        <v>446</v>
      </c>
      <c r="C3">
        <v>-1</v>
      </c>
      <c r="D3" t="s">
        <v>36</v>
      </c>
      <c r="E3" t="s">
        <v>36</v>
      </c>
      <c r="F3" t="s">
        <v>28</v>
      </c>
      <c r="G3">
        <v>1840</v>
      </c>
      <c r="T3">
        <v>42</v>
      </c>
      <c r="X3" s="3" t="str">
        <f t="shared" si="0"/>
        <v/>
      </c>
      <c r="AC3">
        <v>7.5</v>
      </c>
      <c r="AD3">
        <v>6</v>
      </c>
      <c r="AG3" s="9">
        <v>0</v>
      </c>
      <c r="AH3" s="14" t="str">
        <f>CONCATENATE(VLOOKUP(AI3, 'Voxel Sizes'!$A$2:$B$18,2,FALSE),"x",INT(AE3*15), "x", INT(AF3*15))</f>
        <v>66x0x0</v>
      </c>
      <c r="AI3" s="14">
        <f t="shared" ref="AI3" si="15">ROUND(15*((AD3*10)/256),0)</f>
        <v>4</v>
      </c>
      <c r="AK3" s="14" t="str">
        <f>CONCATENATE(VLOOKUP(AI3,Constants!$A$2:$C$16,IF(AJ3&lt;&gt;"", 3, 2), FALSE),IF(AJ3&lt;&gt;"",CONCATENATE(",",VLOOKUP(AJ3,$B:$AK,36,FALSE)),""))</f>
        <v>1,2,1</v>
      </c>
      <c r="AU3">
        <v>30</v>
      </c>
      <c r="AV3" s="14" t="str">
        <f t="shared" si="2"/>
        <v/>
      </c>
      <c r="AY3">
        <f t="shared" si="3"/>
        <v>0</v>
      </c>
      <c r="AZ3">
        <f t="shared" si="4"/>
        <v>0</v>
      </c>
      <c r="BA3">
        <f t="shared" si="5"/>
        <v>0</v>
      </c>
      <c r="BB3" s="3">
        <f t="shared" si="6"/>
        <v>1</v>
      </c>
      <c r="BC3">
        <f t="shared" si="7"/>
        <v>0</v>
      </c>
      <c r="BD3">
        <v>0</v>
      </c>
      <c r="BE3">
        <v>0</v>
      </c>
      <c r="BF3">
        <v>0</v>
      </c>
      <c r="BG3">
        <v>0</v>
      </c>
      <c r="BH3" s="23">
        <f t="shared" si="8"/>
        <v>0</v>
      </c>
      <c r="BI3" s="23">
        <f t="shared" si="9"/>
        <v>0</v>
      </c>
      <c r="BT3" t="s">
        <v>52</v>
      </c>
      <c r="BV3" t="str">
        <f t="shared" si="10"/>
        <v>early_</v>
      </c>
      <c r="BW3" t="str">
        <f t="shared" si="11"/>
        <v>tender_RAIL</v>
      </c>
      <c r="BX3" t="s">
        <v>447</v>
      </c>
      <c r="BY3" t="str">
        <f t="shared" si="12"/>
        <v/>
      </c>
      <c r="CA3" s="22" t="str">
        <f t="shared" si="13"/>
        <v/>
      </c>
      <c r="CB3" t="str">
        <f t="shared" si="14"/>
        <v>{SILVER}</v>
      </c>
    </row>
    <row r="4" spans="1:80" x14ac:dyDescent="0.25">
      <c r="A4" t="s">
        <v>455</v>
      </c>
      <c r="B4" t="s">
        <v>456</v>
      </c>
      <c r="C4">
        <v>-1</v>
      </c>
      <c r="D4" t="s">
        <v>36</v>
      </c>
      <c r="E4" t="s">
        <v>36</v>
      </c>
      <c r="F4" t="s">
        <v>28</v>
      </c>
      <c r="G4">
        <v>1848</v>
      </c>
      <c r="T4">
        <v>42</v>
      </c>
      <c r="X4" s="3" t="str">
        <f t="shared" ref="X4" si="16">IF(AND(T4&gt;0,W4&gt;0),(W4/((T4+U4)*10)),"")</f>
        <v/>
      </c>
      <c r="AC4">
        <v>7.5</v>
      </c>
      <c r="AD4">
        <v>6</v>
      </c>
      <c r="AG4" s="9">
        <v>0</v>
      </c>
      <c r="AH4" s="14" t="str">
        <f>CONCATENATE(VLOOKUP(AI4, 'Voxel Sizes'!$A$2:$B$18,2,FALSE),"x",INT(AE4*15), "x", INT(AF4*15))</f>
        <v>66x0x0</v>
      </c>
      <c r="AI4" s="14">
        <f t="shared" ref="AI4" si="17">ROUND(15*((AD4*10)/256),0)</f>
        <v>4</v>
      </c>
      <c r="AK4" s="14" t="str">
        <f>CONCATENATE(VLOOKUP(AI4,Constants!$A$2:$C$16,IF(AJ4&lt;&gt;"", 3, 2), FALSE),IF(AJ4&lt;&gt;"",CONCATENATE(",",VLOOKUP(AJ4,$B:$AK,36,FALSE)),""))</f>
        <v>1,2,1</v>
      </c>
      <c r="AU4">
        <v>30</v>
      </c>
      <c r="AV4" s="14" t="str">
        <f t="shared" ref="AV4" si="18">IF(I4&lt;&gt;"",MAX(16,(I4-G4)+8),"")</f>
        <v/>
      </c>
      <c r="AY4">
        <f t="shared" ref="AY4" si="19">MIN(Y4/150, 1)*30</f>
        <v>0</v>
      </c>
      <c r="AZ4">
        <f t="shared" ref="AZ4" si="20">MIN(K4/4000, 1)*20</f>
        <v>0</v>
      </c>
      <c r="BA4">
        <f t="shared" ref="BA4" si="21">MIN(W4/400,1)*20</f>
        <v>0</v>
      </c>
      <c r="BB4" s="3">
        <f t="shared" ref="BB4" si="22">1-(MAX(G4-1900, 0)/750)</f>
        <v>1</v>
      </c>
      <c r="BC4">
        <f t="shared" ref="BC4" si="23">((MAX($J4,1)*MIN($AG4/300,1)))*IF(D4="Wagon",50,10)</f>
        <v>0</v>
      </c>
      <c r="BD4">
        <v>0</v>
      </c>
      <c r="BE4">
        <v>0</v>
      </c>
      <c r="BF4">
        <v>0</v>
      </c>
      <c r="BG4">
        <v>0</v>
      </c>
      <c r="BH4" s="23">
        <f t="shared" ref="BH4" si="24">BF4*IF($D4="wagon",62.5,781.25)</f>
        <v>0</v>
      </c>
      <c r="BI4" s="23">
        <f t="shared" ref="BI4" si="25">BG4*IF($D4="wagon",2.73,81.25)</f>
        <v>0</v>
      </c>
      <c r="BT4" t="s">
        <v>52</v>
      </c>
      <c r="BV4" t="str">
        <f t="shared" ref="BV4" si="26">CONCATENATE(BT4,"_",BU4)</f>
        <v>early_</v>
      </c>
      <c r="BW4" t="str">
        <f t="shared" ref="BW4" si="27">_xlfn.CONCAT(E4, "_",F4)</f>
        <v>tender_RAIL</v>
      </c>
      <c r="BX4" t="s">
        <v>447</v>
      </c>
      <c r="BY4" t="str">
        <f t="shared" ref="BY4" si="28">IF(J4&gt;1,_xlfn.CONCAT("{BLACK}Cars: {GOLD}", J4),"")</f>
        <v/>
      </c>
      <c r="CA4" s="22" t="str">
        <f t="shared" si="13"/>
        <v/>
      </c>
      <c r="CB4" t="str">
        <f t="shared" ref="CB4" si="29">_xlfn.CONCAT(BX4,IF(BX4 &lt;&gt; "", " ", ""),BY4,IF(OR(BY4&lt;&gt;"", BX4&lt;&gt;""), "{}",""), CA4,"{SILVER}", BZ4)</f>
        <v>{SILVER}</v>
      </c>
    </row>
    <row r="5" spans="1:80" x14ac:dyDescent="0.25">
      <c r="A5" t="s">
        <v>405</v>
      </c>
      <c r="B5" t="s">
        <v>406</v>
      </c>
      <c r="C5">
        <v>-1</v>
      </c>
      <c r="D5" t="s">
        <v>36</v>
      </c>
      <c r="E5" t="s">
        <v>36</v>
      </c>
      <c r="F5" t="s">
        <v>28</v>
      </c>
      <c r="G5">
        <v>1870</v>
      </c>
      <c r="T5">
        <v>42</v>
      </c>
      <c r="X5" s="3" t="str">
        <f t="shared" si="0"/>
        <v/>
      </c>
      <c r="AC5">
        <v>7.5</v>
      </c>
      <c r="AD5">
        <v>8</v>
      </c>
      <c r="AG5" s="9">
        <v>0</v>
      </c>
      <c r="AH5" s="14" t="str">
        <f>CONCATENATE(VLOOKUP(AI5, 'Voxel Sizes'!$A$2:$B$18,2,FALSE),"x",INT(AE5*15), "x", INT(AF5*15))</f>
        <v>82x0x0</v>
      </c>
      <c r="AI5" s="14">
        <f t="shared" si="1"/>
        <v>5</v>
      </c>
      <c r="AK5" s="14" t="str">
        <f>CONCATENATE(VLOOKUP(AI5,Constants!$A$2:$C$16,IF(AJ5&lt;&gt;"", 3, 2), FALSE),IF(AJ5&lt;&gt;"",CONCATENATE(",",VLOOKUP(AJ5,$B:$AK,36,FALSE)),""))</f>
        <v>2,1,2</v>
      </c>
      <c r="AU5">
        <v>30</v>
      </c>
      <c r="AV5" s="14" t="str">
        <f t="shared" si="2"/>
        <v/>
      </c>
      <c r="AY5" s="16">
        <f t="shared" si="3"/>
        <v>0</v>
      </c>
      <c r="AZ5" s="16">
        <f t="shared" si="4"/>
        <v>0</v>
      </c>
      <c r="BA5" s="16">
        <f t="shared" si="5"/>
        <v>0</v>
      </c>
      <c r="BB5" s="17">
        <f t="shared" si="6"/>
        <v>1</v>
      </c>
      <c r="BC5" s="16">
        <f t="shared" si="7"/>
        <v>0</v>
      </c>
      <c r="BD5" s="16">
        <f>VLOOKUP($E5,Constants!$I:$K, 2, FALSE)</f>
        <v>0</v>
      </c>
      <c r="BE5" s="16">
        <f>VLOOKUP($E5,Constants!$I:$K, 3, FALSE)*IF(AND(D5="multiple_unit",Y5&lt;110),0.75,1)</f>
        <v>0</v>
      </c>
      <c r="BF5" s="16">
        <f>INT(POWER(((Constants!$G$2+$AY5+$AZ5+$BA5+$BC5)*$BB5)*$BE5, 1.05))+$AX5</f>
        <v>0</v>
      </c>
      <c r="BG5" s="16">
        <f>INT(POWER((((Constants!$G$1+$AY5+$AZ5+$BA5+$BC5)*($BB5))*$BD5),IF($D5="wagon",1,1.2)))+$AW5</f>
        <v>0</v>
      </c>
      <c r="BH5" s="19">
        <f t="shared" si="8"/>
        <v>0</v>
      </c>
      <c r="BI5" s="19">
        <f t="shared" si="9"/>
        <v>0</v>
      </c>
      <c r="BT5" s="22" t="str">
        <f>VLOOKUP(G5,Eras!$A$2:$C$10, 2, TRUE)</f>
        <v>vct</v>
      </c>
      <c r="BU5" t="s">
        <v>62</v>
      </c>
      <c r="BV5" s="22" t="str">
        <f t="shared" si="10"/>
        <v>vct_Mixed Traffic</v>
      </c>
      <c r="BW5" s="22" t="str">
        <f t="shared" si="11"/>
        <v>tender_RAIL</v>
      </c>
      <c r="BX5" s="22" t="str">
        <f>VLOOKUP($BW5, Constants!$M:$N, 2, FALSE)</f>
        <v/>
      </c>
      <c r="BY5" s="22" t="str">
        <f t="shared" si="12"/>
        <v/>
      </c>
      <c r="CA5" s="22" t="str">
        <f t="shared" si="13"/>
        <v/>
      </c>
      <c r="CB5" s="22" t="str">
        <f t="shared" si="14"/>
        <v>{SILVER}</v>
      </c>
    </row>
    <row r="6" spans="1:80" x14ac:dyDescent="0.25">
      <c r="A6" t="s">
        <v>382</v>
      </c>
      <c r="B6" t="s">
        <v>383</v>
      </c>
      <c r="C6">
        <v>-1</v>
      </c>
      <c r="D6" t="s">
        <v>36</v>
      </c>
      <c r="E6" t="s">
        <v>36</v>
      </c>
      <c r="F6" t="s">
        <v>28</v>
      </c>
      <c r="G6">
        <v>1870</v>
      </c>
      <c r="T6">
        <v>42</v>
      </c>
      <c r="X6" s="3" t="str">
        <f t="shared" si="0"/>
        <v/>
      </c>
      <c r="AC6">
        <v>7.5</v>
      </c>
      <c r="AD6">
        <v>8</v>
      </c>
      <c r="AG6" s="9">
        <v>0</v>
      </c>
      <c r="AH6" s="14" t="str">
        <f>CONCATENATE(VLOOKUP(AI6, 'Voxel Sizes'!$A$2:$B$18,2,FALSE),"x",INT(AE6*15), "x", INT(AF6*15))</f>
        <v>82x0x0</v>
      </c>
      <c r="AI6" s="14">
        <f t="shared" si="1"/>
        <v>5</v>
      </c>
      <c r="AK6" s="14" t="str">
        <f>CONCATENATE(VLOOKUP(AI6,Constants!$A$2:$C$16,IF(AJ6&lt;&gt;"", 3, 2), FALSE),IF(AJ6&lt;&gt;"",CONCATENATE(",",VLOOKUP(AJ6,$B:$AK,36,FALSE)),""))</f>
        <v>2,1,2</v>
      </c>
      <c r="AU6">
        <v>30</v>
      </c>
      <c r="AV6" s="14" t="str">
        <f t="shared" si="2"/>
        <v/>
      </c>
      <c r="AY6" s="16">
        <f t="shared" si="3"/>
        <v>0</v>
      </c>
      <c r="AZ6" s="16">
        <f t="shared" si="4"/>
        <v>0</v>
      </c>
      <c r="BA6" s="16">
        <f t="shared" si="5"/>
        <v>0</v>
      </c>
      <c r="BB6" s="17">
        <f t="shared" si="6"/>
        <v>1</v>
      </c>
      <c r="BC6" s="16">
        <f t="shared" si="7"/>
        <v>0</v>
      </c>
      <c r="BD6" s="16">
        <f>VLOOKUP($E6,Constants!$I:$K, 2, FALSE)</f>
        <v>0</v>
      </c>
      <c r="BE6" s="16">
        <f>VLOOKUP($E6,Constants!$I:$K, 3, FALSE)*IF(AND(D6="multiple_unit",Y6&lt;110),0.75,1)</f>
        <v>0</v>
      </c>
      <c r="BF6" s="16">
        <f>INT(POWER(((Constants!$G$2+$AY6+$AZ6+$BA6+$BC6)*$BB6)*$BE6, 1.05))+$AX6</f>
        <v>0</v>
      </c>
      <c r="BG6" s="16">
        <f>INT(POWER((((Constants!$G$1+$AY6+$AZ6+$BA6+$BC6)*($BB6))*$BD6),IF($D6="wagon",1,1.2)))+$AW6</f>
        <v>0</v>
      </c>
      <c r="BH6" s="19">
        <f t="shared" si="8"/>
        <v>0</v>
      </c>
      <c r="BI6" s="19">
        <f t="shared" si="9"/>
        <v>0</v>
      </c>
      <c r="BT6" s="22" t="str">
        <f>VLOOKUP(G6,Eras!$A$2:$C$10, 2, TRUE)</f>
        <v>vct</v>
      </c>
      <c r="BU6" t="s">
        <v>62</v>
      </c>
      <c r="BV6" s="22" t="str">
        <f t="shared" si="10"/>
        <v>vct_Mixed Traffic</v>
      </c>
      <c r="BW6" s="22" t="str">
        <f t="shared" si="11"/>
        <v>tender_RAIL</v>
      </c>
      <c r="BX6" s="22" t="str">
        <f>VLOOKUP($BW6, Constants!$M:$N, 2, FALSE)</f>
        <v/>
      </c>
      <c r="BY6" s="22" t="str">
        <f t="shared" si="12"/>
        <v/>
      </c>
      <c r="CA6" s="22" t="str">
        <f t="shared" si="13"/>
        <v/>
      </c>
      <c r="CB6" s="22" t="str">
        <f t="shared" si="14"/>
        <v>{SILVER}</v>
      </c>
    </row>
    <row r="7" spans="1:80" x14ac:dyDescent="0.25">
      <c r="A7" t="s">
        <v>387</v>
      </c>
      <c r="B7" t="s">
        <v>386</v>
      </c>
      <c r="C7">
        <v>-1</v>
      </c>
      <c r="D7" t="s">
        <v>36</v>
      </c>
      <c r="E7" t="s">
        <v>36</v>
      </c>
      <c r="F7" t="s">
        <v>28</v>
      </c>
      <c r="G7">
        <v>1870</v>
      </c>
      <c r="T7">
        <v>42</v>
      </c>
      <c r="X7" s="3" t="str">
        <f t="shared" si="0"/>
        <v/>
      </c>
      <c r="AC7">
        <v>7.5</v>
      </c>
      <c r="AD7">
        <v>8</v>
      </c>
      <c r="AG7" s="9">
        <v>0</v>
      </c>
      <c r="AH7" s="14" t="str">
        <f>CONCATENATE(VLOOKUP(AI7, 'Voxel Sizes'!$A$2:$B$18,2,FALSE),"x",INT(AE7*15), "x", INT(AF7*15))</f>
        <v>82x0x0</v>
      </c>
      <c r="AI7" s="14">
        <f t="shared" si="1"/>
        <v>5</v>
      </c>
      <c r="AK7" s="14" t="str">
        <f>CONCATENATE(VLOOKUP(AI7,Constants!$A$2:$C$16,IF(AJ7&lt;&gt;"", 3, 2), FALSE),IF(AJ7&lt;&gt;"",CONCATENATE(",",VLOOKUP(AJ7,$B:$AK,36,FALSE)),""))</f>
        <v>2,1,2</v>
      </c>
      <c r="AU7">
        <v>30</v>
      </c>
      <c r="AV7" s="14" t="str">
        <f t="shared" si="2"/>
        <v/>
      </c>
      <c r="AY7" s="16">
        <f t="shared" si="3"/>
        <v>0</v>
      </c>
      <c r="AZ7" s="16">
        <f t="shared" si="4"/>
        <v>0</v>
      </c>
      <c r="BA7" s="16">
        <f t="shared" si="5"/>
        <v>0</v>
      </c>
      <c r="BB7" s="17">
        <f t="shared" si="6"/>
        <v>1</v>
      </c>
      <c r="BC7" s="16">
        <f t="shared" si="7"/>
        <v>0</v>
      </c>
      <c r="BD7" s="16">
        <f>VLOOKUP($E7,Constants!$I:$K, 2, FALSE)</f>
        <v>0</v>
      </c>
      <c r="BE7" s="16">
        <f>VLOOKUP($E7,Constants!$I:$K, 3, FALSE)*IF(AND(D7="multiple_unit",Y7&lt;110),0.75,1)</f>
        <v>0</v>
      </c>
      <c r="BF7" s="16">
        <f>INT(POWER(((Constants!$G$2+$AY7+$AZ7+$BA7+$BC7)*$BB7)*$BE7, 1.05))+$AX7</f>
        <v>0</v>
      </c>
      <c r="BG7" s="16">
        <f>INT(POWER((((Constants!$G$1+$AY7+$AZ7+$BA7+$BC7)*($BB7))*$BD7),IF($D7="wagon",1,1.2)))+$AW7</f>
        <v>0</v>
      </c>
      <c r="BH7" s="19">
        <f t="shared" si="8"/>
        <v>0</v>
      </c>
      <c r="BI7" s="19">
        <f t="shared" si="9"/>
        <v>0</v>
      </c>
      <c r="BT7" s="22" t="str">
        <f>VLOOKUP(G7,Eras!$A$2:$C$10, 2, TRUE)</f>
        <v>vct</v>
      </c>
      <c r="BU7" t="s">
        <v>62</v>
      </c>
      <c r="BV7" s="22" t="str">
        <f t="shared" si="10"/>
        <v>vct_Mixed Traffic</v>
      </c>
      <c r="BW7" s="22" t="str">
        <f t="shared" si="11"/>
        <v>tender_RAIL</v>
      </c>
      <c r="BX7" s="22" t="str">
        <f>VLOOKUP($BW7, Constants!$M:$N, 2, FALSE)</f>
        <v/>
      </c>
      <c r="BY7" s="22" t="str">
        <f t="shared" si="12"/>
        <v/>
      </c>
      <c r="CA7" s="22" t="str">
        <f t="shared" si="13"/>
        <v/>
      </c>
      <c r="CB7" s="22" t="str">
        <f t="shared" si="14"/>
        <v>{SILVER}</v>
      </c>
    </row>
    <row r="8" spans="1:80" x14ac:dyDescent="0.25">
      <c r="A8" t="s">
        <v>241</v>
      </c>
      <c r="B8" t="s">
        <v>240</v>
      </c>
      <c r="C8">
        <v>1</v>
      </c>
      <c r="D8" t="s">
        <v>218</v>
      </c>
      <c r="E8" t="s">
        <v>218</v>
      </c>
      <c r="F8" t="s">
        <v>338</v>
      </c>
      <c r="G8">
        <v>1800</v>
      </c>
      <c r="I8">
        <v>1880</v>
      </c>
      <c r="K8">
        <v>5</v>
      </c>
      <c r="Q8" s="12"/>
      <c r="T8">
        <v>1</v>
      </c>
      <c r="W8">
        <v>4</v>
      </c>
      <c r="X8" s="3">
        <f t="shared" si="0"/>
        <v>0.4</v>
      </c>
      <c r="Y8">
        <v>15</v>
      </c>
      <c r="Z8">
        <f t="shared" ref="Z8:Z14" si="30">ROUND(Y8*1.6, 0)</f>
        <v>24</v>
      </c>
      <c r="AD8">
        <v>6</v>
      </c>
      <c r="AG8" s="9">
        <v>0</v>
      </c>
      <c r="AH8" s="14" t="str">
        <f>CONCATENATE(VLOOKUP(AI8, 'Voxel Sizes'!$A$2:$B$18,2,FALSE),"x",INT(AE8*15), "x", INT(AF8*15))</f>
        <v>66x0x0</v>
      </c>
      <c r="AI8" s="14">
        <f t="shared" si="1"/>
        <v>4</v>
      </c>
      <c r="AK8" s="14" t="str">
        <f>CONCATENATE(VLOOKUP(AI8,Constants!$A$2:$C$16,IF(AJ8&lt;&gt;"", 3, 2), FALSE),IF(AJ8&lt;&gt;"",CONCATENATE(",",VLOOKUP(AJ8,$B:$AK,36,FALSE)),""))</f>
        <v>1,2,1</v>
      </c>
      <c r="AS8">
        <v>1</v>
      </c>
      <c r="AU8">
        <v>14</v>
      </c>
      <c r="AV8" s="14">
        <f t="shared" si="2"/>
        <v>88</v>
      </c>
      <c r="AW8">
        <v>-13</v>
      </c>
      <c r="AX8">
        <v>-3</v>
      </c>
      <c r="AY8" s="16">
        <f t="shared" si="3"/>
        <v>3</v>
      </c>
      <c r="AZ8" s="16">
        <f t="shared" si="4"/>
        <v>2.5000000000000001E-2</v>
      </c>
      <c r="BA8" s="16">
        <f t="shared" si="5"/>
        <v>0.2</v>
      </c>
      <c r="BB8" s="17">
        <f t="shared" si="6"/>
        <v>1</v>
      </c>
      <c r="BC8" s="16">
        <f t="shared" si="7"/>
        <v>0</v>
      </c>
      <c r="BD8" s="16">
        <f>VLOOKUP($E8,Constants!$I:$K, 2, FALSE)</f>
        <v>0.5</v>
      </c>
      <c r="BE8" s="16">
        <f>VLOOKUP($E8,Constants!$I:$K, 3, FALSE)*IF(AND(D8="multiple_unit",Y8&lt;110),0.75,1)</f>
        <v>0.5</v>
      </c>
      <c r="BF8" s="16">
        <f>INT(POWER(((Constants!$G$2+$AY8+$AZ8+$BA8+$BC8)*$BB8)*$BE8, 1.05))+$AX8</f>
        <v>1</v>
      </c>
      <c r="BG8" s="16">
        <f>INT(POWER((((Constants!$G$1+$AY8+$AZ8+$BA8+$BC8)*($BB8))*$BD8),IF($D8="wagon",1,1.2)))+$AW8</f>
        <v>1</v>
      </c>
      <c r="BH8" s="19">
        <f t="shared" si="8"/>
        <v>781.25</v>
      </c>
      <c r="BI8" s="19">
        <f t="shared" si="9"/>
        <v>81.25</v>
      </c>
      <c r="BP8">
        <v>1</v>
      </c>
      <c r="BT8" s="22" t="str">
        <f>VLOOKUP(G8,Eras!$A$2:$C$10, 2, TRUE)</f>
        <v>early</v>
      </c>
      <c r="BU8" t="s">
        <v>62</v>
      </c>
      <c r="BV8" s="22" t="str">
        <f t="shared" si="10"/>
        <v>early_Mixed Traffic</v>
      </c>
      <c r="BW8" s="22" t="str">
        <f t="shared" si="11"/>
        <v>horses_NARROW_GAUGE</v>
      </c>
      <c r="BX8" s="22" t="str">
        <f>VLOOKUP($BW8, Constants!$M:$N, 2, FALSE)</f>
        <v>{BLACK}Powered by: {GOLD}Grass and hay</v>
      </c>
      <c r="BY8" s="22" t="str">
        <f t="shared" si="12"/>
        <v/>
      </c>
      <c r="BZ8" t="s">
        <v>242</v>
      </c>
      <c r="CA8" s="22" t="str">
        <f t="shared" si="13"/>
        <v/>
      </c>
      <c r="CB8" s="22" t="str">
        <f t="shared" si="14"/>
        <v>{BLACK}Powered by: {GOLD}Grass and hay {}{SILVER}A smaller horse for a smaller railway.</v>
      </c>
    </row>
    <row r="9" spans="1:80" x14ac:dyDescent="0.25">
      <c r="A9" t="s">
        <v>317</v>
      </c>
      <c r="B9" t="s">
        <v>318</v>
      </c>
      <c r="C9">
        <v>2</v>
      </c>
      <c r="D9" t="s">
        <v>15</v>
      </c>
      <c r="E9" t="s">
        <v>25</v>
      </c>
      <c r="F9" t="s">
        <v>338</v>
      </c>
      <c r="G9">
        <v>1802</v>
      </c>
      <c r="I9">
        <v>1830</v>
      </c>
      <c r="K9">
        <v>10</v>
      </c>
      <c r="M9" s="5">
        <v>8.6</v>
      </c>
      <c r="N9" s="5">
        <v>16</v>
      </c>
      <c r="O9" s="5">
        <v>1</v>
      </c>
      <c r="P9" s="5">
        <v>160</v>
      </c>
      <c r="Q9" s="12">
        <f t="shared" ref="Q9:Q21" si="31">((($Y9/2)/60)*5280)/($R9*3.2*PI())</f>
        <v>87.535218700542444</v>
      </c>
      <c r="R9" s="5">
        <v>0.7</v>
      </c>
      <c r="S9" s="5">
        <f t="shared" ref="S9:S21" si="32">((($M9*$M9/4)*PI())*($N9/12)*$O9*$P9*$Q9)/(33000*1.1)</f>
        <v>29.882828282828278</v>
      </c>
      <c r="T9">
        <v>5</v>
      </c>
      <c r="V9">
        <v>5</v>
      </c>
      <c r="W9">
        <v>8</v>
      </c>
      <c r="X9" s="3">
        <f t="shared" si="0"/>
        <v>0.16</v>
      </c>
      <c r="Y9">
        <v>14</v>
      </c>
      <c r="Z9">
        <f t="shared" si="30"/>
        <v>22</v>
      </c>
      <c r="AC9">
        <v>5.5</v>
      </c>
      <c r="AD9">
        <v>6</v>
      </c>
      <c r="AG9" s="9">
        <v>0</v>
      </c>
      <c r="AH9" s="14" t="str">
        <f>CONCATENATE(VLOOKUP(AI9, 'Voxel Sizes'!$A$2:$B$18,2,FALSE),"x",INT(AE9*15), "x", INT(AF9*15))</f>
        <v>66x0x0</v>
      </c>
      <c r="AI9" s="14">
        <f t="shared" si="1"/>
        <v>4</v>
      </c>
      <c r="AK9" s="14" t="str">
        <f>CONCATENATE(VLOOKUP(AI9,Constants!$A$2:$C$16,IF(AJ9&lt;&gt;"", 3, 2), FALSE),IF(AJ9&lt;&gt;"",CONCATENATE(",",VLOOKUP(AJ9,$B:$AK,36,FALSE)),""))</f>
        <v>1,2,1</v>
      </c>
      <c r="AS9">
        <v>1</v>
      </c>
      <c r="AU9">
        <v>28</v>
      </c>
      <c r="AV9" s="14">
        <f t="shared" si="2"/>
        <v>36</v>
      </c>
      <c r="AW9">
        <v>-34</v>
      </c>
      <c r="AX9">
        <v>-13</v>
      </c>
      <c r="AY9" s="16">
        <f t="shared" si="3"/>
        <v>2.8000000000000003</v>
      </c>
      <c r="AZ9" s="16">
        <f t="shared" si="4"/>
        <v>0.05</v>
      </c>
      <c r="BA9" s="16">
        <f t="shared" si="5"/>
        <v>0.4</v>
      </c>
      <c r="BB9" s="17">
        <f t="shared" si="6"/>
        <v>1</v>
      </c>
      <c r="BC9" s="16">
        <f t="shared" si="7"/>
        <v>0</v>
      </c>
      <c r="BD9" s="16">
        <f>VLOOKUP($E9,Constants!$I:$K, 2, FALSE)</f>
        <v>1.1499999999999999</v>
      </c>
      <c r="BE9" s="16">
        <f>VLOOKUP($E9,Constants!$I:$K, 3, FALSE)*IF(AND(D9="multiple_unit",Y9&lt;110),0.75,1)</f>
        <v>1.7</v>
      </c>
      <c r="BF9" s="16">
        <f>INT(POWER(((Constants!$G$2+$AY9+$AZ9+$BA9+$BC9)*$BB9)*$BE9, 1.05))+$AX9</f>
        <v>3</v>
      </c>
      <c r="BG9" s="16">
        <f>INT(POWER((((Constants!$G$1+$AY9+$AZ9+$BA9+$BC9)*($BB9))*$BD9),IF($D9="wagon",1,1.2)))+$AW9</f>
        <v>4</v>
      </c>
      <c r="BH9" s="19">
        <f t="shared" si="8"/>
        <v>2343.75</v>
      </c>
      <c r="BI9" s="19">
        <f t="shared" si="9"/>
        <v>325</v>
      </c>
      <c r="BP9">
        <v>12</v>
      </c>
      <c r="BT9" s="22" t="str">
        <f>VLOOKUP(G9,Eras!$A$2:$C$10, 2, TRUE)</f>
        <v>early</v>
      </c>
      <c r="BU9" t="s">
        <v>61</v>
      </c>
      <c r="BV9" s="22" t="str">
        <f t="shared" si="10"/>
        <v>early_Cheap</v>
      </c>
      <c r="BW9" s="22" t="str">
        <f t="shared" si="11"/>
        <v>steam_NARROW_GAUGE</v>
      </c>
      <c r="BX9" s="22" t="str">
        <f>VLOOKUP($BW9, Constants!$M:$N, 2, FALSE)</f>
        <v>{BLACK}Powered by: {GOLD}Steam</v>
      </c>
      <c r="BY9" s="22" t="str">
        <f t="shared" si="12"/>
        <v/>
      </c>
      <c r="BZ9" t="s">
        <v>319</v>
      </c>
      <c r="CA9" s="22" t="str">
        <f t="shared" si="13"/>
        <v/>
      </c>
      <c r="CB9" s="22" t="str">
        <f t="shared" si="1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10" spans="1:80" x14ac:dyDescent="0.25">
      <c r="A10" t="s">
        <v>248</v>
      </c>
      <c r="B10" t="s">
        <v>249</v>
      </c>
      <c r="C10">
        <v>5</v>
      </c>
      <c r="D10" t="s">
        <v>236</v>
      </c>
      <c r="E10" t="s">
        <v>25</v>
      </c>
      <c r="F10" t="s">
        <v>338</v>
      </c>
      <c r="G10">
        <v>1864</v>
      </c>
      <c r="I10">
        <v>1945</v>
      </c>
      <c r="K10">
        <v>110</v>
      </c>
      <c r="M10" s="5">
        <v>8.6</v>
      </c>
      <c r="N10" s="5">
        <v>16</v>
      </c>
      <c r="O10" s="5">
        <v>2</v>
      </c>
      <c r="P10" s="5">
        <v>160</v>
      </c>
      <c r="Q10" s="12">
        <f t="shared" si="31"/>
        <v>156.31289053668294</v>
      </c>
      <c r="R10" s="5">
        <v>0.7</v>
      </c>
      <c r="S10" s="5">
        <f t="shared" si="32"/>
        <v>106.72438672438672</v>
      </c>
      <c r="T10">
        <v>13</v>
      </c>
      <c r="V10">
        <v>5</v>
      </c>
      <c r="W10">
        <v>26</v>
      </c>
      <c r="X10" s="3">
        <f t="shared" si="0"/>
        <v>0.2</v>
      </c>
      <c r="Y10">
        <v>25</v>
      </c>
      <c r="Z10">
        <f t="shared" si="30"/>
        <v>40</v>
      </c>
      <c r="AC10">
        <v>5.5</v>
      </c>
      <c r="AD10">
        <v>6</v>
      </c>
      <c r="AG10" s="9">
        <v>0</v>
      </c>
      <c r="AH10" s="14" t="str">
        <f>CONCATENATE(VLOOKUP(AI10, 'Voxel Sizes'!$A$2:$B$18,2,FALSE),"x",INT(AE10*15), "x", INT(AF10*15))</f>
        <v>66x0x0</v>
      </c>
      <c r="AI10" s="14">
        <f t="shared" si="1"/>
        <v>4</v>
      </c>
      <c r="AK10" s="14" t="str">
        <f>CONCATENATE(VLOOKUP(AI10,Constants!$A$2:$C$16,IF(AJ10&lt;&gt;"", 3, 2), FALSE),IF(AJ10&lt;&gt;"",CONCATENATE(",",VLOOKUP(AJ10,$B:$AK,36,FALSE)),""))</f>
        <v>1,2,1</v>
      </c>
      <c r="AS10">
        <v>1</v>
      </c>
      <c r="AU10">
        <v>250</v>
      </c>
      <c r="AV10" s="14">
        <f t="shared" si="2"/>
        <v>89</v>
      </c>
      <c r="AW10">
        <v>-5</v>
      </c>
      <c r="AX10">
        <v>-3</v>
      </c>
      <c r="AY10" s="16">
        <f t="shared" si="3"/>
        <v>5</v>
      </c>
      <c r="AZ10" s="16">
        <f t="shared" si="4"/>
        <v>0.55000000000000004</v>
      </c>
      <c r="BA10" s="16">
        <f t="shared" si="5"/>
        <v>1.3</v>
      </c>
      <c r="BB10" s="17">
        <f t="shared" si="6"/>
        <v>1</v>
      </c>
      <c r="BC10" s="16">
        <f t="shared" si="7"/>
        <v>0</v>
      </c>
      <c r="BD10" s="16">
        <f>VLOOKUP($E10,Constants!$I:$K, 2, FALSE)</f>
        <v>1.1499999999999999</v>
      </c>
      <c r="BE10" s="16">
        <f>VLOOKUP($E10,Constants!$I:$K, 3, FALSE)*IF(AND(D10="multiple_unit",Y10&lt;110),0.75,1)</f>
        <v>1.7</v>
      </c>
      <c r="BF10" s="16">
        <f>INT(POWER(((Constants!$G$2+$AY10+$AZ10+$BA10+$BC10)*$BB10)*$BE10, 1.05))+$AX10</f>
        <v>20</v>
      </c>
      <c r="BG10" s="16">
        <f>INT(POWER((((Constants!$G$1+$AY10+$AZ10+$BA10+$BC10)*($BB10))*$BD10),IF($D10="wagon",1,1.2)))+$AW10</f>
        <v>42</v>
      </c>
      <c r="BH10" s="19">
        <f t="shared" si="8"/>
        <v>15625</v>
      </c>
      <c r="BI10" s="19">
        <f t="shared" si="9"/>
        <v>3412.5</v>
      </c>
      <c r="BP10">
        <v>12</v>
      </c>
      <c r="BT10" s="22" t="str">
        <f>VLOOKUP(G10,Eras!$A$2:$C$10, 2, TRUE)</f>
        <v>vct</v>
      </c>
      <c r="BU10" t="s">
        <v>61</v>
      </c>
      <c r="BV10" s="22" t="str">
        <f t="shared" si="10"/>
        <v>vct_Cheap</v>
      </c>
      <c r="BW10" s="22" t="str">
        <f t="shared" si="11"/>
        <v>steam_NARROW_GAUGE</v>
      </c>
      <c r="BX10" s="22" t="str">
        <f>VLOOKUP($BW10, Constants!$M:$N, 2, FALSE)</f>
        <v>{BLACK}Powered by: {GOLD}Steam</v>
      </c>
      <c r="BY10" s="22" t="str">
        <f t="shared" si="12"/>
        <v/>
      </c>
      <c r="BZ10" t="s">
        <v>250</v>
      </c>
      <c r="CA10" s="22" t="str">
        <f t="shared" si="13"/>
        <v/>
      </c>
      <c r="CB10" s="22" t="str">
        <f t="shared" si="14"/>
        <v>{BLACK}Powered by: {GOLD}Steam {}{SILVER}"Talyllyn" was delivered to the Talyllyn railway as an 0-4-0, but converted to 0-4-2 after a few years to improve riding quality. It was retired in 1945, but refurbished in the late 1950s and returned to preservation service.</v>
      </c>
    </row>
    <row r="11" spans="1:80" x14ac:dyDescent="0.25">
      <c r="A11" t="s">
        <v>297</v>
      </c>
      <c r="B11" t="s">
        <v>298</v>
      </c>
      <c r="C11">
        <v>10</v>
      </c>
      <c r="D11" t="s">
        <v>236</v>
      </c>
      <c r="E11" t="s">
        <v>25</v>
      </c>
      <c r="F11" t="s">
        <v>338</v>
      </c>
      <c r="G11">
        <v>1866</v>
      </c>
      <c r="I11">
        <v>1945</v>
      </c>
      <c r="K11">
        <v>85</v>
      </c>
      <c r="M11" s="5">
        <v>7.6</v>
      </c>
      <c r="N11" s="5">
        <v>16</v>
      </c>
      <c r="O11" s="5">
        <v>2</v>
      </c>
      <c r="P11" s="5">
        <v>150</v>
      </c>
      <c r="Q11" s="12">
        <f t="shared" si="31"/>
        <v>156.31289053668294</v>
      </c>
      <c r="R11" s="5">
        <v>0.7</v>
      </c>
      <c r="S11" s="5">
        <f t="shared" si="32"/>
        <v>78.13852813852813</v>
      </c>
      <c r="T11">
        <v>10</v>
      </c>
      <c r="V11">
        <v>5</v>
      </c>
      <c r="W11">
        <v>18</v>
      </c>
      <c r="X11" s="3">
        <f t="shared" si="0"/>
        <v>0.18</v>
      </c>
      <c r="Y11">
        <v>25</v>
      </c>
      <c r="Z11">
        <f t="shared" si="30"/>
        <v>40</v>
      </c>
      <c r="AC11">
        <v>5.5</v>
      </c>
      <c r="AD11">
        <v>6</v>
      </c>
      <c r="AG11" s="9">
        <v>0</v>
      </c>
      <c r="AH11" s="14" t="str">
        <f>CONCATENATE(VLOOKUP(AI11, 'Voxel Sizes'!$A$2:$B$18,2,FALSE),"x",INT(AE11*15), "x", INT(AF11*15))</f>
        <v>66x0x0</v>
      </c>
      <c r="AI11" s="14">
        <f t="shared" si="1"/>
        <v>4</v>
      </c>
      <c r="AK11" s="14" t="str">
        <f>CONCATENATE(VLOOKUP(AI11,Constants!$A$2:$C$16,IF(AJ11&lt;&gt;"", 3, 2), FALSE),IF(AJ11&lt;&gt;"",CONCATENATE(",",VLOOKUP(AJ11,$B:$AK,36,FALSE)),""))</f>
        <v>1,2,1</v>
      </c>
      <c r="AS11">
        <v>1</v>
      </c>
      <c r="AU11">
        <v>250</v>
      </c>
      <c r="AV11" s="14">
        <f t="shared" si="2"/>
        <v>87</v>
      </c>
      <c r="AW11">
        <v>-5</v>
      </c>
      <c r="AX11">
        <v>-6</v>
      </c>
      <c r="AY11" s="16">
        <f t="shared" si="3"/>
        <v>5</v>
      </c>
      <c r="AZ11" s="16">
        <f t="shared" si="4"/>
        <v>0.42500000000000004</v>
      </c>
      <c r="BA11" s="16">
        <f t="shared" si="5"/>
        <v>0.89999999999999991</v>
      </c>
      <c r="BB11" s="17">
        <f t="shared" si="6"/>
        <v>1</v>
      </c>
      <c r="BC11" s="16">
        <f t="shared" si="7"/>
        <v>0</v>
      </c>
      <c r="BD11" s="16">
        <f>VLOOKUP($E11,Constants!$I:$K, 2, FALSE)</f>
        <v>1.1499999999999999</v>
      </c>
      <c r="BE11" s="16">
        <f>VLOOKUP($E11,Constants!$I:$K, 3, FALSE)*IF(AND(D11="multiple_unit",Y11&lt;110),0.75,1)</f>
        <v>1.7</v>
      </c>
      <c r="BF11" s="16">
        <f>INT(POWER(((Constants!$G$2+$AY11+$AZ11+$BA11+$BC11)*$BB11)*$BE11, 1.05))+$AX11</f>
        <v>16</v>
      </c>
      <c r="BG11" s="16">
        <f>INT(POWER((((Constants!$G$1+$AY11+$AZ11+$BA11+$BC11)*($BB11))*$BD11),IF($D11="wagon",1,1.2)))+$AW11</f>
        <v>41</v>
      </c>
      <c r="BH11" s="19">
        <f t="shared" si="8"/>
        <v>12500</v>
      </c>
      <c r="BI11" s="19">
        <f t="shared" si="9"/>
        <v>3331.25</v>
      </c>
      <c r="BP11">
        <v>11</v>
      </c>
      <c r="BT11" s="22" t="str">
        <f>VLOOKUP(G11,Eras!$A$2:$C$10, 2, TRUE)</f>
        <v>vct</v>
      </c>
      <c r="BU11" t="s">
        <v>61</v>
      </c>
      <c r="BV11" s="22" t="str">
        <f t="shared" si="10"/>
        <v>vct_Cheap</v>
      </c>
      <c r="BW11" s="22" t="str">
        <f t="shared" si="11"/>
        <v>steam_NARROW_GAUGE</v>
      </c>
      <c r="BX11" s="22" t="str">
        <f>VLOOKUP($BW11, Constants!$M:$N, 2, FALSE)</f>
        <v>{BLACK}Powered by: {GOLD}Steam</v>
      </c>
      <c r="BY11" s="22" t="str">
        <f t="shared" si="12"/>
        <v/>
      </c>
      <c r="BZ11" t="s">
        <v>309</v>
      </c>
      <c r="CA11" s="22" t="str">
        <f t="shared" si="13"/>
        <v/>
      </c>
      <c r="CB11" s="22" t="str">
        <f t="shared" si="14"/>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2" spans="1:80" x14ac:dyDescent="0.25">
      <c r="A12" t="s">
        <v>321</v>
      </c>
      <c r="B12" t="s">
        <v>322</v>
      </c>
      <c r="C12">
        <v>12</v>
      </c>
      <c r="D12" t="s">
        <v>236</v>
      </c>
      <c r="E12" t="s">
        <v>25</v>
      </c>
      <c r="F12" t="s">
        <v>338</v>
      </c>
      <c r="G12">
        <v>1869</v>
      </c>
      <c r="K12">
        <v>275</v>
      </c>
      <c r="M12" s="5">
        <v>8.25</v>
      </c>
      <c r="N12" s="5">
        <v>13</v>
      </c>
      <c r="O12" s="5">
        <v>4</v>
      </c>
      <c r="P12" s="5">
        <v>160</v>
      </c>
      <c r="Q12" s="12">
        <f t="shared" si="31"/>
        <v>218.83804675135613</v>
      </c>
      <c r="R12" s="5">
        <v>0.7</v>
      </c>
      <c r="S12" s="5">
        <f t="shared" si="32"/>
        <v>223.43750000000003</v>
      </c>
      <c r="T12">
        <v>10</v>
      </c>
      <c r="V12">
        <v>5</v>
      </c>
      <c r="W12">
        <v>38</v>
      </c>
      <c r="X12" s="3">
        <f t="shared" si="0"/>
        <v>0.38</v>
      </c>
      <c r="Y12">
        <v>35</v>
      </c>
      <c r="Z12">
        <f t="shared" si="30"/>
        <v>56</v>
      </c>
      <c r="AD12">
        <v>12</v>
      </c>
      <c r="AG12" s="9">
        <v>0</v>
      </c>
      <c r="AH12" s="14" t="str">
        <f>CONCATENATE(VLOOKUP(AI12, 'Voxel Sizes'!$A$2:$B$18,2,FALSE),"x",INT(AE12*15), "x", INT(AF12*15))</f>
        <v>120x0x0</v>
      </c>
      <c r="AI12" s="14">
        <f t="shared" si="1"/>
        <v>7</v>
      </c>
      <c r="AK12" s="14" t="str">
        <f>CONCATENATE(VLOOKUP(AI12,Constants!$A$2:$C$16,IF(AJ12&lt;&gt;"", 3, 2), FALSE),IF(AJ12&lt;&gt;"",CONCATENATE(",",VLOOKUP(AJ12,$B:$AK,36,FALSE)),""))</f>
        <v>2,3,2</v>
      </c>
      <c r="AS12">
        <v>1</v>
      </c>
      <c r="AU12">
        <v>250</v>
      </c>
      <c r="AV12" s="14" t="str">
        <f t="shared" si="2"/>
        <v/>
      </c>
      <c r="AW12">
        <v>-5</v>
      </c>
      <c r="AX12">
        <v>-6</v>
      </c>
      <c r="AY12" s="16">
        <f t="shared" si="3"/>
        <v>7</v>
      </c>
      <c r="AZ12" s="16">
        <f t="shared" si="4"/>
        <v>1.375</v>
      </c>
      <c r="BA12" s="16">
        <f t="shared" si="5"/>
        <v>1.9</v>
      </c>
      <c r="BB12" s="17">
        <f t="shared" si="6"/>
        <v>1</v>
      </c>
      <c r="BC12" s="16">
        <f t="shared" si="7"/>
        <v>0</v>
      </c>
      <c r="BD12" s="16">
        <f>VLOOKUP($E12,Constants!$I:$K, 2, FALSE)</f>
        <v>1.1499999999999999</v>
      </c>
      <c r="BE12" s="16">
        <f>VLOOKUP($E12,Constants!$I:$K, 3, FALSE)*IF(AND(D12="multiple_unit",Y12&lt;110),0.75,1)</f>
        <v>1.7</v>
      </c>
      <c r="BF12" s="16">
        <f>INT(POWER(((Constants!$G$2+$AY12+$AZ12+$BA12+$BC12)*$BB12)*$BE12, 1.05))+$AX12</f>
        <v>24</v>
      </c>
      <c r="BG12" s="16">
        <f>INT(POWER((((Constants!$G$1+$AY12+$AZ12+$BA12+$BC12)*($BB12))*$BD12),IF($D12="wagon",1,1.2)))+$AW12</f>
        <v>52</v>
      </c>
      <c r="BH12" s="19">
        <f t="shared" si="8"/>
        <v>18750</v>
      </c>
      <c r="BI12" s="19">
        <f t="shared" si="9"/>
        <v>4225</v>
      </c>
      <c r="BP12">
        <v>11</v>
      </c>
      <c r="BT12" s="22" t="str">
        <f>VLOOKUP(G12,Eras!$A$2:$C$10, 2, TRUE)</f>
        <v>vct</v>
      </c>
      <c r="BU12" t="s">
        <v>61</v>
      </c>
      <c r="BV12" s="22" t="str">
        <f t="shared" si="10"/>
        <v>vct_Cheap</v>
      </c>
      <c r="BW12" s="22" t="str">
        <f t="shared" si="11"/>
        <v>steam_NARROW_GAUGE</v>
      </c>
      <c r="BX12" s="22" t="str">
        <f>VLOOKUP($BW12, Constants!$M:$N, 2, FALSE)</f>
        <v>{BLACK}Powered by: {GOLD}Steam</v>
      </c>
      <c r="BY12" s="22" t="str">
        <f t="shared" si="12"/>
        <v/>
      </c>
      <c r="BZ12" t="s">
        <v>323</v>
      </c>
      <c r="CA12" s="22" t="str">
        <f t="shared" si="13"/>
        <v/>
      </c>
      <c r="CB12" s="22" t="str">
        <f t="shared" si="14"/>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3" spans="1:80" x14ac:dyDescent="0.25">
      <c r="A13" t="s">
        <v>304</v>
      </c>
      <c r="B13" t="s">
        <v>303</v>
      </c>
      <c r="C13">
        <v>15</v>
      </c>
      <c r="D13" t="s">
        <v>15</v>
      </c>
      <c r="E13" t="s">
        <v>25</v>
      </c>
      <c r="F13" t="s">
        <v>338</v>
      </c>
      <c r="G13">
        <v>1903</v>
      </c>
      <c r="I13">
        <v>1951</v>
      </c>
      <c r="Q13" s="12">
        <f t="shared" si="31"/>
        <v>0</v>
      </c>
      <c r="R13" s="5">
        <v>0.7</v>
      </c>
      <c r="S13" s="5">
        <f t="shared" si="32"/>
        <v>0</v>
      </c>
      <c r="V13">
        <v>5</v>
      </c>
      <c r="X13" s="3" t="str">
        <f t="shared" si="0"/>
        <v/>
      </c>
      <c r="Z13">
        <f t="shared" si="30"/>
        <v>0</v>
      </c>
      <c r="AG13" s="9">
        <v>0</v>
      </c>
      <c r="AH13" s="14" t="str">
        <f>CONCATENATE(VLOOKUP(AI13, 'Voxel Sizes'!$A$2:$B$18,2,FALSE),"x",INT(AE13*15), "x", INT(AF13*15))</f>
        <v>0x0x0</v>
      </c>
      <c r="AI13" s="14">
        <f t="shared" si="1"/>
        <v>0</v>
      </c>
      <c r="AK13" s="14" t="str">
        <f>CONCATENATE(VLOOKUP(AI13,Constants!$A$2:$C$16,IF(AJ13&lt;&gt;"", 3, 2), FALSE),IF(AJ13&lt;&gt;"",CONCATENATE(",",VLOOKUP(AJ13,$B:$AK,36,FALSE)),""))</f>
        <v>na</v>
      </c>
      <c r="AS13">
        <v>1</v>
      </c>
      <c r="AU13">
        <v>250</v>
      </c>
      <c r="AV13" s="14">
        <f t="shared" si="2"/>
        <v>56</v>
      </c>
      <c r="AW13">
        <v>-5</v>
      </c>
      <c r="AX13">
        <v>-5</v>
      </c>
      <c r="AY13" s="16">
        <f t="shared" si="3"/>
        <v>0</v>
      </c>
      <c r="AZ13" s="16">
        <f t="shared" si="4"/>
        <v>0</v>
      </c>
      <c r="BA13" s="16">
        <f t="shared" si="5"/>
        <v>0</v>
      </c>
      <c r="BB13" s="17">
        <f t="shared" si="6"/>
        <v>0.996</v>
      </c>
      <c r="BC13" s="16">
        <f t="shared" si="7"/>
        <v>0</v>
      </c>
      <c r="BD13" s="16">
        <f>VLOOKUP($E13,Constants!$I:$K, 2, FALSE)</f>
        <v>1.1499999999999999</v>
      </c>
      <c r="BE13" s="16">
        <f>VLOOKUP($E13,Constants!$I:$K, 3, FALSE)*IF(AND(D13="multiple_unit",Y13&lt;110),0.75,1)</f>
        <v>1.7</v>
      </c>
      <c r="BF13" s="16">
        <f>INT(POWER(((Constants!$G$2+$AY13+$AZ13+$BA13+$BC13)*$BB13)*$BE13, 1.05))+$AX13</f>
        <v>4</v>
      </c>
      <c r="BG13" s="16">
        <f>INT(POWER((((Constants!$G$1+$AY13+$AZ13+$BA13+$BC13)*($BB13))*$BD13),IF($D13="wagon",1,1.2)))+$AW13</f>
        <v>25</v>
      </c>
      <c r="BH13" s="19">
        <f t="shared" si="8"/>
        <v>3125</v>
      </c>
      <c r="BI13" s="19">
        <f t="shared" si="9"/>
        <v>2031.25</v>
      </c>
      <c r="BP13">
        <v>10</v>
      </c>
      <c r="BT13" s="22" t="str">
        <f>VLOOKUP(G13,Eras!$A$2:$C$10, 2, TRUE)</f>
        <v>edw</v>
      </c>
      <c r="BU13" t="s">
        <v>61</v>
      </c>
      <c r="BV13" s="22" t="str">
        <f t="shared" si="10"/>
        <v>edw_Cheap</v>
      </c>
      <c r="BW13" s="22" t="str">
        <f t="shared" si="11"/>
        <v>steam_NARROW_GAUGE</v>
      </c>
      <c r="BX13" s="22" t="str">
        <f>VLOOKUP($BW13, Constants!$M:$N, 2, FALSE)</f>
        <v>{BLACK}Powered by: {GOLD}Steam</v>
      </c>
      <c r="BY13" s="22" t="str">
        <f t="shared" si="12"/>
        <v/>
      </c>
      <c r="CA13" s="22" t="str">
        <f t="shared" si="13"/>
        <v/>
      </c>
      <c r="CB13" s="22" t="str">
        <f t="shared" si="14"/>
        <v>{BLACK}Powered by: {GOLD}Steam {}{SILVER}</v>
      </c>
    </row>
    <row r="14" spans="1:80" x14ac:dyDescent="0.25">
      <c r="A14" t="s">
        <v>307</v>
      </c>
      <c r="B14" t="s">
        <v>308</v>
      </c>
      <c r="C14">
        <v>20</v>
      </c>
      <c r="D14" t="s">
        <v>15</v>
      </c>
      <c r="E14" t="s">
        <v>25</v>
      </c>
      <c r="F14" t="s">
        <v>338</v>
      </c>
      <c r="G14">
        <v>1903</v>
      </c>
      <c r="I14">
        <v>1951</v>
      </c>
      <c r="Q14" s="12">
        <f t="shared" si="31"/>
        <v>0</v>
      </c>
      <c r="R14" s="5">
        <v>0.7</v>
      </c>
      <c r="S14" s="5">
        <f t="shared" si="32"/>
        <v>0</v>
      </c>
      <c r="V14">
        <v>5</v>
      </c>
      <c r="X14" s="3" t="str">
        <f t="shared" si="0"/>
        <v/>
      </c>
      <c r="Z14">
        <f t="shared" si="30"/>
        <v>0</v>
      </c>
      <c r="AG14" s="9">
        <v>0</v>
      </c>
      <c r="AH14" s="14" t="str">
        <f>CONCATENATE(VLOOKUP(AI14, 'Voxel Sizes'!$A$2:$B$18,2,FALSE),"x",INT(AE14*15), "x", INT(AF14*15))</f>
        <v>0x0x0</v>
      </c>
      <c r="AI14" s="14">
        <f t="shared" si="1"/>
        <v>0</v>
      </c>
      <c r="AK14" s="14" t="str">
        <f>CONCATENATE(VLOOKUP(AI14,Constants!$A$2:$C$16,IF(AJ14&lt;&gt;"", 3, 2), FALSE),IF(AJ14&lt;&gt;"",CONCATENATE(",",VLOOKUP(AJ14,$B:$AK,36,FALSE)),""))</f>
        <v>na</v>
      </c>
      <c r="AS14">
        <v>1</v>
      </c>
      <c r="AU14">
        <v>250</v>
      </c>
      <c r="AV14" s="14">
        <f t="shared" si="2"/>
        <v>56</v>
      </c>
      <c r="AW14">
        <v>-5</v>
      </c>
      <c r="AX14">
        <v>-5</v>
      </c>
      <c r="AY14" s="16">
        <f t="shared" si="3"/>
        <v>0</v>
      </c>
      <c r="AZ14" s="16">
        <f t="shared" si="4"/>
        <v>0</v>
      </c>
      <c r="BA14" s="16">
        <f t="shared" si="5"/>
        <v>0</v>
      </c>
      <c r="BB14" s="17">
        <f t="shared" si="6"/>
        <v>0.996</v>
      </c>
      <c r="BC14" s="16">
        <f t="shared" si="7"/>
        <v>0</v>
      </c>
      <c r="BD14" s="16">
        <f>VLOOKUP($E14,Constants!$I:$K, 2, FALSE)</f>
        <v>1.1499999999999999</v>
      </c>
      <c r="BE14" s="16">
        <f>VLOOKUP($E14,Constants!$I:$K, 3, FALSE)*IF(AND(D14="multiple_unit",Y14&lt;110),0.75,1)</f>
        <v>1.7</v>
      </c>
      <c r="BF14" s="16">
        <f>INT(POWER(((Constants!$G$2+$AY14+$AZ14+$BA14+$BC14)*$BB14)*$BE14, 1.05))+$AX14</f>
        <v>4</v>
      </c>
      <c r="BG14" s="16">
        <f>INT(POWER((((Constants!$G$1+$AY14+$AZ14+$BA14+$BC14)*($BB14))*$BD14),IF($D14="wagon",1,1.2)))+$AW14</f>
        <v>25</v>
      </c>
      <c r="BH14" s="19">
        <f t="shared" si="8"/>
        <v>3125</v>
      </c>
      <c r="BI14" s="19">
        <f t="shared" si="9"/>
        <v>2031.25</v>
      </c>
      <c r="BP14">
        <v>9</v>
      </c>
      <c r="BT14" s="22" t="str">
        <f>VLOOKUP(G14,Eras!$A$2:$C$10, 2, TRUE)</f>
        <v>edw</v>
      </c>
      <c r="BU14" t="s">
        <v>61</v>
      </c>
      <c r="BV14" s="22" t="str">
        <f t="shared" si="10"/>
        <v>edw_Cheap</v>
      </c>
      <c r="BW14" s="22" t="str">
        <f t="shared" si="11"/>
        <v>steam_NARROW_GAUGE</v>
      </c>
      <c r="BX14" s="22" t="str">
        <f>VLOOKUP($BW14, Constants!$M:$N, 2, FALSE)</f>
        <v>{BLACK}Powered by: {GOLD}Steam</v>
      </c>
      <c r="BY14" s="22" t="str">
        <f t="shared" si="12"/>
        <v/>
      </c>
      <c r="CA14" s="22" t="str">
        <f t="shared" si="13"/>
        <v/>
      </c>
      <c r="CB14" s="22" t="str">
        <f t="shared" si="14"/>
        <v>{BLACK}Powered by: {GOLD}Steam {}{SILVER}</v>
      </c>
    </row>
    <row r="15" spans="1:80" x14ac:dyDescent="0.25">
      <c r="A15" t="s">
        <v>310</v>
      </c>
      <c r="B15" t="s">
        <v>311</v>
      </c>
      <c r="C15">
        <v>25</v>
      </c>
      <c r="D15" t="s">
        <v>236</v>
      </c>
      <c r="E15" t="s">
        <v>25</v>
      </c>
      <c r="F15" t="s">
        <v>338</v>
      </c>
      <c r="G15">
        <v>1918</v>
      </c>
      <c r="I15">
        <v>1955</v>
      </c>
      <c r="K15">
        <v>65</v>
      </c>
      <c r="M15" s="5">
        <v>6.8</v>
      </c>
      <c r="N15" s="5">
        <v>10.75</v>
      </c>
      <c r="O15" s="5">
        <v>2</v>
      </c>
      <c r="P15" s="5">
        <v>160</v>
      </c>
      <c r="Q15" s="12">
        <f t="shared" si="31"/>
        <v>218.8380467513561</v>
      </c>
      <c r="R15" s="5">
        <v>0.6</v>
      </c>
      <c r="S15" s="5">
        <f t="shared" si="32"/>
        <v>62.76262626262627</v>
      </c>
      <c r="T15">
        <v>8</v>
      </c>
      <c r="V15">
        <v>5</v>
      </c>
      <c r="W15">
        <v>15</v>
      </c>
      <c r="X15" s="3">
        <f t="shared" si="0"/>
        <v>0.1875</v>
      </c>
      <c r="Y15">
        <v>30</v>
      </c>
      <c r="Z15">
        <f t="shared" ref="Z15:Z25" si="33">ROUND(Y15*1.6, 0)</f>
        <v>48</v>
      </c>
      <c r="AC15">
        <v>4.7</v>
      </c>
      <c r="AD15">
        <v>6</v>
      </c>
      <c r="AG15" s="9">
        <v>0</v>
      </c>
      <c r="AH15" s="14" t="str">
        <f>CONCATENATE(VLOOKUP(AI15, 'Voxel Sizes'!$A$2:$B$18,2,FALSE),"x",INT(AE15*15), "x", INT(AF15*15))</f>
        <v>66x0x0</v>
      </c>
      <c r="AI15" s="14">
        <f t="shared" si="1"/>
        <v>4</v>
      </c>
      <c r="AK15" s="14" t="str">
        <f>CONCATENATE(VLOOKUP(AI15,Constants!$A$2:$C$16,IF(AJ15&lt;&gt;"", 3, 2), FALSE),IF(AJ15&lt;&gt;"",CONCATENATE(",",VLOOKUP(AJ15,$B:$AK,36,FALSE)),""))</f>
        <v>1,2,1</v>
      </c>
      <c r="AS15">
        <v>1</v>
      </c>
      <c r="AU15">
        <v>250</v>
      </c>
      <c r="AV15" s="14">
        <f t="shared" si="2"/>
        <v>45</v>
      </c>
      <c r="AW15">
        <v>-5</v>
      </c>
      <c r="AX15">
        <v>-7</v>
      </c>
      <c r="AY15" s="16">
        <f t="shared" si="3"/>
        <v>6</v>
      </c>
      <c r="AZ15" s="16">
        <f t="shared" si="4"/>
        <v>0.32500000000000001</v>
      </c>
      <c r="BA15" s="16">
        <f t="shared" si="5"/>
        <v>0.75</v>
      </c>
      <c r="BB15" s="17">
        <f t="shared" si="6"/>
        <v>0.97599999999999998</v>
      </c>
      <c r="BC15" s="16">
        <f t="shared" si="7"/>
        <v>0</v>
      </c>
      <c r="BD15" s="16">
        <f>VLOOKUP($E15,Constants!$I:$K, 2, FALSE)</f>
        <v>1.1499999999999999</v>
      </c>
      <c r="BE15" s="16">
        <f>VLOOKUP($E15,Constants!$I:$K, 3, FALSE)*IF(AND(D15="multiple_unit",Y15&lt;110),0.75,1)</f>
        <v>1.7</v>
      </c>
      <c r="BF15" s="16">
        <f>INT(POWER(((Constants!$G$2+$AY15+$AZ15+$BA15+$BC15)*$BB15)*$BE15, 1.05))+$AX15</f>
        <v>16</v>
      </c>
      <c r="BG15" s="16">
        <f>INT(POWER((((Constants!$G$1+$AY15+$AZ15+$BA15+$BC15)*($BB15))*$BD15),IF($D15="wagon",1,1.2)))+$AW15</f>
        <v>42</v>
      </c>
      <c r="BH15" s="19">
        <f t="shared" si="8"/>
        <v>12500</v>
      </c>
      <c r="BI15" s="19">
        <f t="shared" si="9"/>
        <v>3412.5</v>
      </c>
      <c r="BP15">
        <v>8</v>
      </c>
      <c r="BT15" s="22" t="str">
        <f>VLOOKUP(G15,Eras!$A$2:$C$10, 2, TRUE)</f>
        <v>edw</v>
      </c>
      <c r="BU15" t="s">
        <v>61</v>
      </c>
      <c r="BV15" s="22" t="str">
        <f t="shared" si="10"/>
        <v>edw_Cheap</v>
      </c>
      <c r="BW15" s="22" t="str">
        <f t="shared" si="11"/>
        <v>steam_NARROW_GAUGE</v>
      </c>
      <c r="BX15" s="22" t="str">
        <f>VLOOKUP($BW15, Constants!$M:$N, 2, FALSE)</f>
        <v>{BLACK}Powered by: {GOLD}Steam</v>
      </c>
      <c r="BY15" s="22" t="str">
        <f t="shared" si="12"/>
        <v/>
      </c>
      <c r="BZ15" t="s">
        <v>312</v>
      </c>
      <c r="CA15" s="22" t="str">
        <f t="shared" si="13"/>
        <v/>
      </c>
      <c r="CB15" s="22" t="str">
        <f t="shared" si="14"/>
        <v>{BLACK}Powered by: {GOLD}Steam {}{SILVER}The E Class is a small 0-4-0 well tank. One used by the RAF is preserved on the Talyllyn railway as "Douglas", named after second owner Douglas Abelson who donated it from his engineering firm.</v>
      </c>
    </row>
    <row r="16" spans="1:80" x14ac:dyDescent="0.25">
      <c r="A16" t="s">
        <v>305</v>
      </c>
      <c r="B16" t="s">
        <v>306</v>
      </c>
      <c r="C16">
        <v>30</v>
      </c>
      <c r="D16" t="s">
        <v>236</v>
      </c>
      <c r="E16" t="s">
        <v>25</v>
      </c>
      <c r="F16" t="s">
        <v>338</v>
      </c>
      <c r="G16">
        <v>1923</v>
      </c>
      <c r="I16">
        <v>1968</v>
      </c>
      <c r="K16">
        <v>250</v>
      </c>
      <c r="M16" s="5">
        <v>11.5</v>
      </c>
      <c r="N16" s="5">
        <v>17</v>
      </c>
      <c r="O16" s="5">
        <v>2</v>
      </c>
      <c r="P16" s="5">
        <v>165</v>
      </c>
      <c r="Q16" s="12">
        <f t="shared" si="31"/>
        <v>153.18663272594927</v>
      </c>
      <c r="R16" s="5">
        <v>1</v>
      </c>
      <c r="S16" s="5">
        <f t="shared" si="32"/>
        <v>204.91861979166666</v>
      </c>
      <c r="T16">
        <v>25</v>
      </c>
      <c r="V16">
        <v>5</v>
      </c>
      <c r="W16">
        <v>44</v>
      </c>
      <c r="X16" s="3">
        <f t="shared" si="0"/>
        <v>0.17599999999999999</v>
      </c>
      <c r="Y16">
        <v>35</v>
      </c>
      <c r="Z16">
        <f t="shared" si="33"/>
        <v>56</v>
      </c>
      <c r="AD16">
        <v>8</v>
      </c>
      <c r="AG16" s="9">
        <v>0</v>
      </c>
      <c r="AH16" s="14" t="str">
        <f>CONCATENATE(VLOOKUP(AI16, 'Voxel Sizes'!$A$2:$B$18,2,FALSE),"x",INT(AE16*15), "x", INT(AF16*15))</f>
        <v>82x0x0</v>
      </c>
      <c r="AI16" s="14">
        <f t="shared" si="1"/>
        <v>5</v>
      </c>
      <c r="AK16" s="14" t="str">
        <f>CONCATENATE(VLOOKUP(AI16,Constants!$A$2:$C$16,IF(AJ16&lt;&gt;"", 3, 2), FALSE),IF(AJ16&lt;&gt;"",CONCATENATE(",",VLOOKUP(AJ16,$B:$AK,36,FALSE)),""))</f>
        <v>2,1,2</v>
      </c>
      <c r="AS16">
        <v>1</v>
      </c>
      <c r="AU16">
        <v>250</v>
      </c>
      <c r="AV16" s="14">
        <f t="shared" si="2"/>
        <v>53</v>
      </c>
      <c r="AW16">
        <v>-10</v>
      </c>
      <c r="AX16">
        <v>-5</v>
      </c>
      <c r="AY16" s="16">
        <f t="shared" si="3"/>
        <v>7</v>
      </c>
      <c r="AZ16" s="16">
        <f t="shared" si="4"/>
        <v>1.25</v>
      </c>
      <c r="BA16" s="16">
        <f t="shared" si="5"/>
        <v>2.2000000000000002</v>
      </c>
      <c r="BB16" s="17">
        <f t="shared" si="6"/>
        <v>0.96933333333333338</v>
      </c>
      <c r="BC16" s="16">
        <f t="shared" si="7"/>
        <v>0</v>
      </c>
      <c r="BD16" s="16">
        <f>VLOOKUP($E16,Constants!$I:$K, 2, FALSE)</f>
        <v>1.1499999999999999</v>
      </c>
      <c r="BE16" s="16">
        <f>VLOOKUP($E16,Constants!$I:$K, 3, FALSE)*IF(AND(D16="multiple_unit",Y16&lt;110),0.75,1)</f>
        <v>1.7</v>
      </c>
      <c r="BF16" s="16">
        <f>INT(POWER(((Constants!$G$2+$AY16+$AZ16+$BA16+$BC16)*$BB16)*$BE16, 1.05))+$AX16</f>
        <v>24</v>
      </c>
      <c r="BG16" s="16">
        <f>INT(POWER((((Constants!$G$1+$AY16+$AZ16+$BA16+$BC16)*($BB16))*$BD16),IF($D16="wagon",1,1.2)))+$AW16</f>
        <v>45</v>
      </c>
      <c r="BH16" s="19">
        <f t="shared" si="8"/>
        <v>18750</v>
      </c>
      <c r="BI16" s="19">
        <f t="shared" si="9"/>
        <v>3656.25</v>
      </c>
      <c r="BP16">
        <v>7</v>
      </c>
      <c r="BT16" s="22" t="str">
        <f>VLOOKUP(G16,Eras!$A$2:$C$10, 2, TRUE)</f>
        <v>big4</v>
      </c>
      <c r="BU16" t="s">
        <v>61</v>
      </c>
      <c r="BV16" s="22" t="str">
        <f t="shared" si="10"/>
        <v>big4_Cheap</v>
      </c>
      <c r="BW16" s="22" t="str">
        <f t="shared" si="11"/>
        <v>steam_NARROW_GAUGE</v>
      </c>
      <c r="BX16" s="22" t="str">
        <f>VLOOKUP($BW16, Constants!$M:$N, 2, FALSE)</f>
        <v>{BLACK}Powered by: {GOLD}Steam</v>
      </c>
      <c r="BY16" s="22" t="str">
        <f t="shared" si="12"/>
        <v/>
      </c>
      <c r="BZ16" t="s">
        <v>320</v>
      </c>
      <c r="CA16" s="22" t="str">
        <f t="shared" si="13"/>
        <v/>
      </c>
      <c r="CB16" s="22" t="str">
        <f t="shared" si="14"/>
        <v>{BLACK}Powered by: {GOLD}Steam {}{SILVER}Charles Collett designed these tank locomotives to replace worn-out engines on the Vale of Rheidol line. They became the last steam locomotives running on British Railways, up until the line became a heritage railway in 1989.</v>
      </c>
    </row>
    <row r="17" spans="1:80" x14ac:dyDescent="0.25">
      <c r="A17" t="s">
        <v>325</v>
      </c>
      <c r="B17" t="s">
        <v>299</v>
      </c>
      <c r="C17">
        <v>35</v>
      </c>
      <c r="D17" t="s">
        <v>15</v>
      </c>
      <c r="E17" t="s">
        <v>26</v>
      </c>
      <c r="F17" t="s">
        <v>338</v>
      </c>
      <c r="G17">
        <v>1940</v>
      </c>
      <c r="I17">
        <v>1980</v>
      </c>
      <c r="K17">
        <v>40</v>
      </c>
      <c r="Q17" s="12">
        <f t="shared" si="31"/>
        <v>0</v>
      </c>
      <c r="R17" s="5">
        <v>0.7</v>
      </c>
      <c r="S17" s="5">
        <f t="shared" si="32"/>
        <v>0</v>
      </c>
      <c r="V17">
        <v>5</v>
      </c>
      <c r="X17" s="3" t="str">
        <f t="shared" si="0"/>
        <v/>
      </c>
      <c r="Z17">
        <f t="shared" si="33"/>
        <v>0</v>
      </c>
      <c r="AG17" s="9">
        <v>0</v>
      </c>
      <c r="AH17" s="14" t="str">
        <f>CONCATENATE(VLOOKUP(AI17, 'Voxel Sizes'!$A$2:$B$18,2,FALSE),"x",INT(AE17*15), "x", INT(AF17*15))</f>
        <v>0x0x0</v>
      </c>
      <c r="AI17" s="14">
        <f t="shared" si="1"/>
        <v>0</v>
      </c>
      <c r="AK17" s="14" t="str">
        <f>CONCATENATE(VLOOKUP(AI17,Constants!$A$2:$C$16,IF(AJ17&lt;&gt;"", 3, 2), FALSE),IF(AJ17&lt;&gt;"",CONCATENATE(",",VLOOKUP(AJ17,$B:$AK,36,FALSE)),""))</f>
        <v>na</v>
      </c>
      <c r="AS17">
        <v>1</v>
      </c>
      <c r="AU17">
        <v>250</v>
      </c>
      <c r="AV17" s="14">
        <f t="shared" si="2"/>
        <v>48</v>
      </c>
      <c r="AW17">
        <v>-5</v>
      </c>
      <c r="AX17">
        <v>-2</v>
      </c>
      <c r="AY17" s="16">
        <f t="shared" si="3"/>
        <v>0</v>
      </c>
      <c r="AZ17" s="16">
        <f t="shared" si="4"/>
        <v>0.2</v>
      </c>
      <c r="BA17" s="16">
        <f t="shared" si="5"/>
        <v>0</v>
      </c>
      <c r="BB17" s="17">
        <f t="shared" si="6"/>
        <v>0.94666666666666666</v>
      </c>
      <c r="BC17" s="16">
        <f t="shared" si="7"/>
        <v>0</v>
      </c>
      <c r="BD17" s="16">
        <f>VLOOKUP($E17,Constants!$I:$K, 2, FALSE)</f>
        <v>1</v>
      </c>
      <c r="BE17" s="16">
        <f>VLOOKUP($E17,Constants!$I:$K, 3, FALSE)*IF(AND(D17="multiple_unit",Y17&lt;110),0.75,1)</f>
        <v>2</v>
      </c>
      <c r="BF17" s="16">
        <f>INT(POWER(((Constants!$G$2+$AY17+$AZ17+$BA17+$BC17)*$BB17)*$BE17, 1.05))+$AX17</f>
        <v>9</v>
      </c>
      <c r="BG17" s="16">
        <f>INT(POWER((((Constants!$G$1+$AY17+$AZ17+$BA17+$BC17)*($BB17))*$BD17),IF($D17="wagon",1,1.2)))+$AW17</f>
        <v>19</v>
      </c>
      <c r="BH17" s="19">
        <f t="shared" si="8"/>
        <v>7031.25</v>
      </c>
      <c r="BI17" s="19">
        <f t="shared" si="9"/>
        <v>1543.75</v>
      </c>
      <c r="BP17">
        <v>6</v>
      </c>
      <c r="BT17" s="22" t="str">
        <f>VLOOKUP(G17,Eras!$A$2:$C$10, 2, TRUE)</f>
        <v>big4</v>
      </c>
      <c r="BU17" t="s">
        <v>61</v>
      </c>
      <c r="BV17" s="22" t="str">
        <f t="shared" si="10"/>
        <v>big4_Cheap</v>
      </c>
      <c r="BW17" s="22" t="str">
        <f t="shared" si="11"/>
        <v>diesel_NARROW_GAUGE</v>
      </c>
      <c r="BX17" s="22" t="str">
        <f>VLOOKUP($BW17, Constants!$M:$N, 2, FALSE)</f>
        <v>{BLACK}Powered by: {GOLD}Diesel</v>
      </c>
      <c r="BY17" s="22" t="str">
        <f t="shared" si="12"/>
        <v/>
      </c>
      <c r="CA17" s="22" t="str">
        <f t="shared" si="13"/>
        <v/>
      </c>
      <c r="CB17" s="22" t="str">
        <f t="shared" si="14"/>
        <v>{BLACK}Powered by: {GOLD}Diesel {}{SILVER}</v>
      </c>
    </row>
    <row r="18" spans="1:80" x14ac:dyDescent="0.25">
      <c r="A18" t="s">
        <v>324</v>
      </c>
      <c r="B18" t="s">
        <v>300</v>
      </c>
      <c r="C18">
        <v>40</v>
      </c>
      <c r="D18" t="s">
        <v>236</v>
      </c>
      <c r="E18" t="s">
        <v>26</v>
      </c>
      <c r="F18" t="s">
        <v>338</v>
      </c>
      <c r="G18">
        <v>1941</v>
      </c>
      <c r="I18">
        <v>1985</v>
      </c>
      <c r="K18">
        <v>50</v>
      </c>
      <c r="Q18" s="12">
        <f t="shared" si="31"/>
        <v>187.57546864401954</v>
      </c>
      <c r="R18" s="5">
        <v>0.7</v>
      </c>
      <c r="S18" s="5">
        <f t="shared" si="32"/>
        <v>0</v>
      </c>
      <c r="T18">
        <v>7</v>
      </c>
      <c r="V18">
        <v>5</v>
      </c>
      <c r="W18">
        <v>22</v>
      </c>
      <c r="X18" s="3">
        <f t="shared" si="0"/>
        <v>0.31428571428571428</v>
      </c>
      <c r="Y18">
        <v>30</v>
      </c>
      <c r="Z18">
        <f t="shared" si="33"/>
        <v>48</v>
      </c>
      <c r="AD18">
        <v>6</v>
      </c>
      <c r="AG18" s="9">
        <v>0</v>
      </c>
      <c r="AH18" s="14" t="str">
        <f>CONCATENATE(VLOOKUP(AI18, 'Voxel Sizes'!$A$2:$B$18,2,FALSE),"x",INT(AE18*15), "x", INT(AF18*15))</f>
        <v>66x0x0</v>
      </c>
      <c r="AI18" s="14">
        <f t="shared" si="1"/>
        <v>4</v>
      </c>
      <c r="AK18" s="14" t="str">
        <f>CONCATENATE(VLOOKUP(AI18,Constants!$A$2:$C$16,IF(AJ18&lt;&gt;"", 3, 2), FALSE),IF(AJ18&lt;&gt;"",CONCATENATE(",",VLOOKUP(AJ18,$B:$AK,36,FALSE)),""))</f>
        <v>1,2,1</v>
      </c>
      <c r="AU18">
        <v>125</v>
      </c>
      <c r="AV18" s="14">
        <f t="shared" si="2"/>
        <v>52</v>
      </c>
      <c r="AW18">
        <v>-9</v>
      </c>
      <c r="AX18">
        <v>-12</v>
      </c>
      <c r="AY18" s="16">
        <f t="shared" si="3"/>
        <v>6</v>
      </c>
      <c r="AZ18" s="16">
        <f t="shared" si="4"/>
        <v>0.25</v>
      </c>
      <c r="BA18" s="16">
        <f t="shared" si="5"/>
        <v>1.1000000000000001</v>
      </c>
      <c r="BB18" s="17">
        <f t="shared" si="6"/>
        <v>0.94533333333333336</v>
      </c>
      <c r="BC18" s="16">
        <f t="shared" si="7"/>
        <v>0</v>
      </c>
      <c r="BD18" s="16">
        <f>VLOOKUP($E18,Constants!$I:$K, 2, FALSE)</f>
        <v>1</v>
      </c>
      <c r="BE18" s="16">
        <f>VLOOKUP($E18,Constants!$I:$K, 3, FALSE)*IF(AND(D18="multiple_unit",Y18&lt;110),0.75,1)</f>
        <v>2</v>
      </c>
      <c r="BF18" s="16">
        <f>INT(POWER(((Constants!$G$2+$AY18+$AZ18+$BA18+$BC18)*$BB18)*$BE18, 1.05))+$AX18</f>
        <v>15</v>
      </c>
      <c r="BG18" s="16">
        <f>INT(POWER((((Constants!$G$1+$AY18+$AZ18+$BA18+$BC18)*($BB18))*$BD18),IF($D18="wagon",1,1.2)))+$AW18</f>
        <v>29</v>
      </c>
      <c r="BH18" s="19">
        <f t="shared" si="8"/>
        <v>11718.75</v>
      </c>
      <c r="BI18" s="19">
        <f t="shared" si="9"/>
        <v>2356.25</v>
      </c>
      <c r="BP18">
        <v>5</v>
      </c>
      <c r="BT18" s="22" t="str">
        <f>VLOOKUP(G18,Eras!$A$2:$C$10, 2, TRUE)</f>
        <v>big4</v>
      </c>
      <c r="BU18" t="s">
        <v>61</v>
      </c>
      <c r="BV18" s="22" t="str">
        <f t="shared" si="10"/>
        <v>big4_Cheap</v>
      </c>
      <c r="BW18" s="22" t="str">
        <f t="shared" si="11"/>
        <v>diesel_NARROW_GAUGE</v>
      </c>
      <c r="BX18" s="22" t="str">
        <f>VLOOKUP($BW18, Constants!$M:$N, 2, FALSE)</f>
        <v>{BLACK}Powered by: {GOLD}Diesel</v>
      </c>
      <c r="BY18" s="22" t="str">
        <f t="shared" si="12"/>
        <v/>
      </c>
      <c r="BZ18" t="s">
        <v>326</v>
      </c>
      <c r="CA18" s="22" t="str">
        <f t="shared" si="13"/>
        <v/>
      </c>
      <c r="CB18" s="22" t="str">
        <f t="shared" si="14"/>
        <v>{BLACK}Powered by: {GOLD}Diesel {}{SILVER}Ruston and Hornsby built diesel locomotives for small industrial lines, which would often only need a small locomotive for hauling goods short distances.</v>
      </c>
    </row>
    <row r="19" spans="1:80" x14ac:dyDescent="0.25">
      <c r="A19" t="s">
        <v>411</v>
      </c>
      <c r="B19" t="s">
        <v>412</v>
      </c>
      <c r="C19">
        <v>41</v>
      </c>
      <c r="D19" t="s">
        <v>236</v>
      </c>
      <c r="E19" t="s">
        <v>26</v>
      </c>
      <c r="F19" t="s">
        <v>338</v>
      </c>
      <c r="G19">
        <v>1950</v>
      </c>
      <c r="K19">
        <v>75</v>
      </c>
      <c r="Q19" s="12">
        <f t="shared" si="31"/>
        <v>200.08049988695416</v>
      </c>
      <c r="R19" s="5">
        <v>0.7</v>
      </c>
      <c r="S19" s="5">
        <f t="shared" si="32"/>
        <v>0</v>
      </c>
      <c r="T19">
        <v>10</v>
      </c>
      <c r="V19">
        <v>5</v>
      </c>
      <c r="W19">
        <v>28</v>
      </c>
      <c r="X19" s="3">
        <f t="shared" si="0"/>
        <v>0.28000000000000003</v>
      </c>
      <c r="Y19">
        <v>32</v>
      </c>
      <c r="Z19">
        <f t="shared" si="33"/>
        <v>51</v>
      </c>
      <c r="AD19">
        <v>6</v>
      </c>
      <c r="AG19" s="9">
        <v>0</v>
      </c>
      <c r="AH19" s="14" t="str">
        <f>CONCATENATE(VLOOKUP(AI19, 'Voxel Sizes'!$A$2:$B$18,2,FALSE),"x",INT(AE19*15), "x", INT(AF19*15))</f>
        <v>66x0x0</v>
      </c>
      <c r="AI19" s="14">
        <f t="shared" si="1"/>
        <v>4</v>
      </c>
      <c r="AK19" s="14" t="str">
        <f>CONCATENATE(VLOOKUP(AI19,Constants!$A$2:$C$16,IF(AJ19&lt;&gt;"", 3, 2), FALSE),IF(AJ19&lt;&gt;"",CONCATENATE(",",VLOOKUP(AJ19,$B:$AK,36,FALSE)),""))</f>
        <v>1,2,1</v>
      </c>
      <c r="AS19">
        <v>1</v>
      </c>
      <c r="AU19">
        <v>125</v>
      </c>
      <c r="AV19" s="14" t="str">
        <f t="shared" si="2"/>
        <v/>
      </c>
      <c r="AW19">
        <v>-9</v>
      </c>
      <c r="AX19">
        <v>-12</v>
      </c>
      <c r="AY19" s="16">
        <f t="shared" si="3"/>
        <v>6.4</v>
      </c>
      <c r="AZ19" s="16">
        <f t="shared" si="4"/>
        <v>0.375</v>
      </c>
      <c r="BA19" s="16">
        <f t="shared" si="5"/>
        <v>1.4000000000000001</v>
      </c>
      <c r="BB19" s="17">
        <f t="shared" si="6"/>
        <v>0.93333333333333335</v>
      </c>
      <c r="BC19" s="16">
        <f t="shared" si="7"/>
        <v>0</v>
      </c>
      <c r="BD19" s="16">
        <f>VLOOKUP($E19,Constants!$I:$K, 2, FALSE)</f>
        <v>1</v>
      </c>
      <c r="BE19" s="16">
        <f>VLOOKUP($E19,Constants!$I:$K, 3, FALSE)*IF(AND(D19="multiple_unit",Y19&lt;110),0.75,1)</f>
        <v>2</v>
      </c>
      <c r="BF19" s="16">
        <f>INT(POWER(((Constants!$G$2+$AY19+$AZ19+$BA19+$BC19)*$BB19)*$BE19, 1.05))+$AX19</f>
        <v>16</v>
      </c>
      <c r="BG19" s="16">
        <f>INT(POWER((((Constants!$G$1+$AY19+$AZ19+$BA19+$BC19)*($BB19))*$BD19),IF($D19="wagon",1,1.2)))+$AW19</f>
        <v>31</v>
      </c>
      <c r="BH19" s="19">
        <f t="shared" si="8"/>
        <v>12500</v>
      </c>
      <c r="BI19" s="19">
        <f t="shared" si="9"/>
        <v>2518.75</v>
      </c>
      <c r="BP19">
        <v>3</v>
      </c>
      <c r="BT19" s="22" t="str">
        <f>VLOOKUP(G19,Eras!$A$2:$C$10, 2, TRUE)</f>
        <v>ebr</v>
      </c>
      <c r="BU19" t="s">
        <v>61</v>
      </c>
      <c r="BV19" s="22" t="str">
        <f t="shared" si="10"/>
        <v>ebr_Cheap</v>
      </c>
      <c r="BW19" s="22" t="str">
        <f t="shared" si="11"/>
        <v>diesel_NARROW_GAUGE</v>
      </c>
      <c r="BX19" s="22" t="str">
        <f>VLOOKUP($BW19, Constants!$M:$N, 2, FALSE)</f>
        <v>{BLACK}Powered by: {GOLD}Diesel</v>
      </c>
      <c r="BY19" s="22" t="str">
        <f t="shared" si="12"/>
        <v/>
      </c>
      <c r="BZ19" t="s">
        <v>414</v>
      </c>
      <c r="CA19" s="22" t="str">
        <f t="shared" si="13"/>
        <v/>
      </c>
      <c r="CB19" s="22" t="str">
        <f t="shared" si="14"/>
        <v>{BLACK}Powered by: {GOLD}Diesel {}{SILVER}The Hunslet 0-4-0DM is powered by a Gardner 4LW engine and is typical of a narrow gauge locomotive used for engineering duties.</v>
      </c>
    </row>
    <row r="20" spans="1:80" x14ac:dyDescent="0.25">
      <c r="A20" t="s">
        <v>409</v>
      </c>
      <c r="B20" t="s">
        <v>410</v>
      </c>
      <c r="C20">
        <v>42</v>
      </c>
      <c r="D20" t="s">
        <v>236</v>
      </c>
      <c r="E20" t="s">
        <v>199</v>
      </c>
      <c r="F20" t="s">
        <v>338</v>
      </c>
      <c r="G20">
        <v>1954</v>
      </c>
      <c r="K20">
        <v>30</v>
      </c>
      <c r="Q20" s="12">
        <f t="shared" si="31"/>
        <v>150.06037491521562</v>
      </c>
      <c r="R20" s="5">
        <v>0.7</v>
      </c>
      <c r="S20" s="5">
        <f t="shared" si="32"/>
        <v>0</v>
      </c>
      <c r="T20">
        <v>5</v>
      </c>
      <c r="V20">
        <v>5</v>
      </c>
      <c r="W20">
        <v>16</v>
      </c>
      <c r="X20" s="3">
        <f t="shared" ref="X20" si="34">IF(AND(T20&gt;0,W20&gt;0),(W20/((T20+U20)*10)),"")</f>
        <v>0.32</v>
      </c>
      <c r="Y20">
        <v>24</v>
      </c>
      <c r="Z20">
        <f t="shared" si="33"/>
        <v>38</v>
      </c>
      <c r="AD20">
        <v>6</v>
      </c>
      <c r="AG20" s="9">
        <v>0</v>
      </c>
      <c r="AH20" s="14" t="str">
        <f>CONCATENATE(VLOOKUP(AI20, 'Voxel Sizes'!$A$2:$B$18,2,FALSE),"x",INT(AE20*15), "x", INT(AF20*15))</f>
        <v>66x0x0</v>
      </c>
      <c r="AI20" s="14">
        <f t="shared" ref="AI20" si="35">ROUND(15*((AD20*10)/256),0)</f>
        <v>4</v>
      </c>
      <c r="AK20" s="14" t="str">
        <f>CONCATENATE(VLOOKUP(AI20,Constants!$A$2:$C$16,IF(AJ20&lt;&gt;"", 3, 2), FALSE),IF(AJ20&lt;&gt;"",CONCATENATE(",",VLOOKUP(AJ20,$B:$AK,36,FALSE)),""))</f>
        <v>1,2,1</v>
      </c>
      <c r="AU20">
        <v>125</v>
      </c>
      <c r="AV20" s="14" t="str">
        <f t="shared" ref="AV20" si="36">IF(I20&lt;&gt;"",MAX(16,(I20-G20)+8),"")</f>
        <v/>
      </c>
      <c r="AW20">
        <v>-9</v>
      </c>
      <c r="AX20">
        <v>-12</v>
      </c>
      <c r="AY20" s="16">
        <f t="shared" ref="AY20" si="37">MIN(Y20/150, 1)*30</f>
        <v>4.8</v>
      </c>
      <c r="AZ20" s="16">
        <f t="shared" ref="AZ20" si="38">MIN(K20/4000, 1)*20</f>
        <v>0.15</v>
      </c>
      <c r="BA20" s="16">
        <f t="shared" ref="BA20" si="39">MIN(W20/400,1)*20</f>
        <v>0.8</v>
      </c>
      <c r="BB20" s="17">
        <f t="shared" ref="BB20" si="40">1-(MAX(G20-1900, 0)/750)</f>
        <v>0.92800000000000005</v>
      </c>
      <c r="BC20" s="16">
        <f t="shared" ref="BC20" si="41">((MAX($J20,1)*MIN($AG20/300,1)))*IF(D20="Wagon",50,10)</f>
        <v>0</v>
      </c>
      <c r="BD20" s="16">
        <f>VLOOKUP($E20,Constants!$I:$K, 2, FALSE)</f>
        <v>1.05</v>
      </c>
      <c r="BE20" s="16">
        <f>VLOOKUP($E20,Constants!$I:$K, 3, FALSE)*IF(AND(D20="multiple_unit",Y20&lt;110),0.75,1)</f>
        <v>1.9</v>
      </c>
      <c r="BF20" s="16">
        <f>INT(POWER(((Constants!$G$2+$AY20+$AZ20+$BA20+$BC20)*$BB20)*$BE20, 1.05))+$AX20</f>
        <v>9</v>
      </c>
      <c r="BG20" s="16">
        <f>INT(POWER((((Constants!$G$1+$AY20+$AZ20+$BA20+$BC20)*($BB20))*$BD20),IF($D20="wagon",1,1.2)))+$AW20</f>
        <v>27</v>
      </c>
      <c r="BH20" s="19">
        <f t="shared" ref="BH20" si="42">BF20*IF($D20="wagon",62.5,781.25)</f>
        <v>7031.25</v>
      </c>
      <c r="BI20" s="19">
        <f t="shared" ref="BI20" si="43">BG20*IF($D20="wagon",2.73,81.25)</f>
        <v>2193.75</v>
      </c>
      <c r="BP20">
        <v>7</v>
      </c>
      <c r="BT20" s="22" t="str">
        <f>VLOOKUP(G20,Eras!$A$2:$C$10, 2, TRUE)</f>
        <v>ebr</v>
      </c>
      <c r="BU20" t="s">
        <v>61</v>
      </c>
      <c r="BV20" s="22" t="str">
        <f t="shared" ref="BV20" si="44">CONCATENATE(BT20,"_",BU20)</f>
        <v>ebr_Cheap</v>
      </c>
      <c r="BW20" s="22" t="str">
        <f t="shared" ref="BW20" si="45">_xlfn.CONCAT(E20, "_",F20)</f>
        <v>petrol_NARROW_GAUGE</v>
      </c>
      <c r="BX20" s="22" t="str">
        <f>VLOOKUP($BW20, Constants!$M:$N, 2, FALSE)</f>
        <v>{BLACK}Powered by: {GOLD}Petrol</v>
      </c>
      <c r="BY20" s="22" t="str">
        <f t="shared" ref="BY20" si="46">IF(J20&gt;1,_xlfn.CONCAT("{BLACK}Cars: {GOLD}", J20),"")</f>
        <v/>
      </c>
      <c r="BZ20" t="s">
        <v>415</v>
      </c>
      <c r="CA20" s="22" t="str">
        <f t="shared" si="13"/>
        <v/>
      </c>
      <c r="CB20" s="22" t="str">
        <f t="shared" ref="CB20" si="47">_xlfn.CONCAT(BX20,IF(BX20 &lt;&gt; "", " ", ""),BY20,IF(OR(BY20&lt;&gt;"", BX20&lt;&gt;""), "{}",""), CA20,"{SILVER}", BZ20)</f>
        <v>{BLACK}Powered by: {GOLD}Petrol {}{SILVER}Talyllyn Railway volunteer John Bate built this small locomotive using the engine from a Austin Seven. The canopy was added later.</v>
      </c>
    </row>
    <row r="21" spans="1:80" x14ac:dyDescent="0.25">
      <c r="A21" t="s">
        <v>301</v>
      </c>
      <c r="B21" t="s">
        <v>302</v>
      </c>
      <c r="C21">
        <v>45</v>
      </c>
      <c r="D21" t="s">
        <v>236</v>
      </c>
      <c r="E21" t="s">
        <v>26</v>
      </c>
      <c r="F21" t="s">
        <v>338</v>
      </c>
      <c r="G21">
        <v>1982</v>
      </c>
      <c r="K21">
        <v>100</v>
      </c>
      <c r="Q21" s="12">
        <f t="shared" si="31"/>
        <v>218.83804675135613</v>
      </c>
      <c r="R21" s="5">
        <v>0.7</v>
      </c>
      <c r="S21" s="5">
        <f t="shared" si="32"/>
        <v>0</v>
      </c>
      <c r="T21">
        <v>10</v>
      </c>
      <c r="V21">
        <v>5</v>
      </c>
      <c r="W21">
        <v>36</v>
      </c>
      <c r="X21" s="3">
        <f t="shared" si="0"/>
        <v>0.36</v>
      </c>
      <c r="Y21">
        <v>35</v>
      </c>
      <c r="Z21">
        <f t="shared" si="33"/>
        <v>56</v>
      </c>
      <c r="AD21">
        <v>7</v>
      </c>
      <c r="AG21" s="9">
        <v>0</v>
      </c>
      <c r="AH21" s="14" t="str">
        <f>CONCATENATE(VLOOKUP(AI21, 'Voxel Sizes'!$A$2:$B$18,2,FALSE),"x",INT(AE21*15), "x", INT(AF21*15))</f>
        <v>66x0x0</v>
      </c>
      <c r="AI21" s="14">
        <f t="shared" si="1"/>
        <v>4</v>
      </c>
      <c r="AK21" s="14" t="str">
        <f>CONCATENATE(VLOOKUP(AI21,Constants!$A$2:$C$16,IF(AJ21&lt;&gt;"", 3, 2), FALSE),IF(AJ21&lt;&gt;"",CONCATENATE(",",VLOOKUP(AJ21,$B:$AK,36,FALSE)),""))</f>
        <v>1,2,1</v>
      </c>
      <c r="AU21">
        <v>125</v>
      </c>
      <c r="AV21" s="14" t="str">
        <f t="shared" si="2"/>
        <v/>
      </c>
      <c r="AW21">
        <v>-7</v>
      </c>
      <c r="AX21">
        <v>-6</v>
      </c>
      <c r="AY21" s="16">
        <f t="shared" si="3"/>
        <v>7</v>
      </c>
      <c r="AZ21" s="16">
        <f t="shared" si="4"/>
        <v>0.5</v>
      </c>
      <c r="BA21" s="16">
        <f t="shared" si="5"/>
        <v>1.7999999999999998</v>
      </c>
      <c r="BB21" s="17">
        <f t="shared" si="6"/>
        <v>0.89066666666666672</v>
      </c>
      <c r="BC21" s="16">
        <f t="shared" si="7"/>
        <v>0</v>
      </c>
      <c r="BD21" s="16">
        <f>VLOOKUP($E21,Constants!$I:$K, 2, FALSE)</f>
        <v>1</v>
      </c>
      <c r="BE21" s="16">
        <f>VLOOKUP($E21,Constants!$I:$K, 3, FALSE)*IF(AND(D21="multiple_unit",Y21&lt;110),0.75,1)</f>
        <v>2</v>
      </c>
      <c r="BF21" s="16">
        <f>INT(POWER(((Constants!$G$2+$AY21+$AZ21+$BA21+$BC21)*$BB21)*$BE21, 1.05))+$AX21</f>
        <v>23</v>
      </c>
      <c r="BG21" s="16">
        <f>INT(POWER((((Constants!$G$1+$AY21+$AZ21+$BA21+$BC21)*($BB21))*$BD21),IF($D21="wagon",1,1.2)))+$AW21</f>
        <v>33</v>
      </c>
      <c r="BH21" s="19">
        <f t="shared" si="8"/>
        <v>17968.75</v>
      </c>
      <c r="BI21" s="19">
        <f t="shared" si="9"/>
        <v>2681.25</v>
      </c>
      <c r="BP21">
        <v>4</v>
      </c>
      <c r="BT21" s="22" t="str">
        <f>VLOOKUP(G21,Eras!$A$2:$C$10, 2, TRUE)</f>
        <v>lbr</v>
      </c>
      <c r="BU21" t="s">
        <v>61</v>
      </c>
      <c r="BV21" s="22" t="str">
        <f t="shared" si="10"/>
        <v>lbr_Cheap</v>
      </c>
      <c r="BW21" s="22" t="str">
        <f t="shared" si="11"/>
        <v>diesel_NARROW_GAUGE</v>
      </c>
      <c r="BX21" s="22" t="str">
        <f>VLOOKUP($BW21, Constants!$M:$N, 2, FALSE)</f>
        <v>{BLACK}Powered by: {GOLD}Diesel</v>
      </c>
      <c r="BY21" s="22" t="str">
        <f t="shared" si="12"/>
        <v/>
      </c>
      <c r="BZ21" t="s">
        <v>327</v>
      </c>
      <c r="CA21" s="22" t="str">
        <f t="shared" si="13"/>
        <v/>
      </c>
      <c r="CB21" s="22" t="str">
        <f t="shared" si="14"/>
        <v>{BLACK}Powered by: {GOLD}Diesel {}{SILVER}Larger and more powerful diesel shunters displaced steam from industrial lines as they were more economical to run. Even preservation railways keep some around for utility duties.</v>
      </c>
    </row>
    <row r="22" spans="1:80" x14ac:dyDescent="0.25">
      <c r="A22" t="s">
        <v>328</v>
      </c>
      <c r="B22" t="s">
        <v>329</v>
      </c>
      <c r="C22">
        <v>80</v>
      </c>
      <c r="D22" t="s">
        <v>15</v>
      </c>
      <c r="E22" t="s">
        <v>32</v>
      </c>
      <c r="F22" t="s">
        <v>338</v>
      </c>
      <c r="G22">
        <v>1800</v>
      </c>
      <c r="I22">
        <v>1880</v>
      </c>
      <c r="T22">
        <v>3</v>
      </c>
      <c r="V22">
        <v>3</v>
      </c>
      <c r="X22" s="3" t="str">
        <f t="shared" si="0"/>
        <v/>
      </c>
      <c r="Y22">
        <v>25</v>
      </c>
      <c r="Z22">
        <f t="shared" si="33"/>
        <v>40</v>
      </c>
      <c r="AC22">
        <v>6</v>
      </c>
      <c r="AD22">
        <v>6</v>
      </c>
      <c r="AG22" s="9">
        <v>12</v>
      </c>
      <c r="AH22" s="14" t="str">
        <f>CONCATENATE(VLOOKUP(AI22, 'Voxel Sizes'!$A$2:$B$18,2,FALSE),"x",INT(AE22*15), "x", INT(AF22*15))</f>
        <v>66x0x0</v>
      </c>
      <c r="AI22" s="14">
        <f t="shared" si="1"/>
        <v>4</v>
      </c>
      <c r="AK22" s="14" t="str">
        <f>CONCATENATE(VLOOKUP(AI22,Constants!$A$2:$C$16,IF(AJ22&lt;&gt;"", 3, 2), FALSE),IF(AJ22&lt;&gt;"",CONCATENATE(",",VLOOKUP(AJ22,$B:$AK,36,FALSE)),""))</f>
        <v>1,2,1</v>
      </c>
      <c r="AU22">
        <v>80</v>
      </c>
      <c r="AV22" s="14">
        <f t="shared" si="2"/>
        <v>88</v>
      </c>
      <c r="AY22" s="16">
        <f t="shared" si="3"/>
        <v>5</v>
      </c>
      <c r="AZ22" s="16">
        <f t="shared" si="4"/>
        <v>0</v>
      </c>
      <c r="BA22" s="16">
        <f t="shared" si="5"/>
        <v>0</v>
      </c>
      <c r="BB22" s="17">
        <f t="shared" si="6"/>
        <v>1</v>
      </c>
      <c r="BC22" s="16">
        <f t="shared" si="7"/>
        <v>0.4</v>
      </c>
      <c r="BD22" s="16">
        <f>VLOOKUP($E22,Constants!$I:$K, 2, FALSE)</f>
        <v>1</v>
      </c>
      <c r="BE22" s="16">
        <f>VLOOKUP($E22,Constants!$I:$K, 3, FALSE)*IF(AND(D22="multiple_unit",Y22&lt;110),0.75,1)</f>
        <v>0.45</v>
      </c>
      <c r="BF22" s="16">
        <f>INT(POWER(((Constants!$G$2+$AY22+$AZ22+$BA22+$BC22)*$BB22)*$BE22, 1.05))+$AX22</f>
        <v>5</v>
      </c>
      <c r="BG22" s="16">
        <f>INT(POWER((((Constants!$G$1+$AY22+$AZ22+$BA22+$BC22)*($BB22))*$BD22),IF($D22="wagon",1,1.2)))+$AW22</f>
        <v>37</v>
      </c>
      <c r="BH22" s="19">
        <f t="shared" si="8"/>
        <v>3906.25</v>
      </c>
      <c r="BI22" s="19">
        <f t="shared" si="9"/>
        <v>3006.25</v>
      </c>
      <c r="BP22">
        <v>1</v>
      </c>
      <c r="BQ22">
        <v>74</v>
      </c>
      <c r="BR22" t="s">
        <v>142</v>
      </c>
      <c r="BS22" t="s">
        <v>34</v>
      </c>
      <c r="BT22" s="22" t="str">
        <f>VLOOKUP(G22,Eras!$A$2:$C$10, 2, TRUE)</f>
        <v>early</v>
      </c>
      <c r="BU22" t="s">
        <v>75</v>
      </c>
      <c r="BV22" s="22" t="str">
        <f t="shared" si="10"/>
        <v>early_Open Wagon</v>
      </c>
      <c r="BW22" s="22" t="str">
        <f t="shared" si="11"/>
        <v>wagon_NARROW_GAUGE</v>
      </c>
      <c r="BX22" s="22" t="str">
        <f>VLOOKUP($BW22, Constants!$M:$N, 2, FALSE)</f>
        <v/>
      </c>
      <c r="BY22" s="22" t="str">
        <f t="shared" si="12"/>
        <v/>
      </c>
      <c r="BZ22" t="s">
        <v>330</v>
      </c>
      <c r="CA22" s="22" t="str">
        <f t="shared" si="13"/>
        <v>{YELLOW}60% Penalty for long distance travel{}</v>
      </c>
      <c r="CB22" s="22" t="str">
        <f t="shared" si="14"/>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3" spans="1:80" x14ac:dyDescent="0.25">
      <c r="A23" t="s">
        <v>251</v>
      </c>
      <c r="B23" t="s">
        <v>253</v>
      </c>
      <c r="C23">
        <v>81</v>
      </c>
      <c r="D23" t="s">
        <v>32</v>
      </c>
      <c r="E23" t="s">
        <v>32</v>
      </c>
      <c r="F23" t="s">
        <v>338</v>
      </c>
      <c r="G23">
        <v>1863</v>
      </c>
      <c r="T23">
        <v>5</v>
      </c>
      <c r="V23">
        <v>4</v>
      </c>
      <c r="X23" s="3" t="str">
        <f t="shared" si="0"/>
        <v/>
      </c>
      <c r="Y23">
        <v>35</v>
      </c>
      <c r="Z23">
        <f t="shared" si="33"/>
        <v>56</v>
      </c>
      <c r="AC23">
        <v>8</v>
      </c>
      <c r="AD23">
        <v>8</v>
      </c>
      <c r="AG23" s="9">
        <v>18</v>
      </c>
      <c r="AH23" s="14" t="str">
        <f>CONCATENATE(VLOOKUP(AI23, 'Voxel Sizes'!$A$2:$B$18,2,FALSE),"x",INT(AE23*15), "x", INT(AF23*15))</f>
        <v>82x0x0</v>
      </c>
      <c r="AI23" s="14">
        <f t="shared" si="1"/>
        <v>5</v>
      </c>
      <c r="AK23" s="14" t="str">
        <f>CONCATENATE(VLOOKUP(AI23,Constants!$A$2:$C$16,IF(AJ23&lt;&gt;"", 3, 2), FALSE),IF(AJ23&lt;&gt;"",CONCATENATE(",",VLOOKUP(AJ23,$B:$AK,36,FALSE)),""))</f>
        <v>2,1,2</v>
      </c>
      <c r="AU23">
        <v>80</v>
      </c>
      <c r="AV23" s="14" t="str">
        <f t="shared" si="2"/>
        <v/>
      </c>
      <c r="AW23">
        <v>5</v>
      </c>
      <c r="AX23">
        <v>10</v>
      </c>
      <c r="AY23" s="16">
        <f t="shared" si="3"/>
        <v>7</v>
      </c>
      <c r="AZ23" s="16">
        <f t="shared" si="4"/>
        <v>0</v>
      </c>
      <c r="BA23" s="16">
        <f t="shared" si="5"/>
        <v>0</v>
      </c>
      <c r="BB23" s="17">
        <f t="shared" si="6"/>
        <v>1</v>
      </c>
      <c r="BC23" s="16">
        <f t="shared" si="7"/>
        <v>3</v>
      </c>
      <c r="BD23" s="16">
        <f>VLOOKUP($E23,Constants!$I:$K, 2, FALSE)</f>
        <v>1</v>
      </c>
      <c r="BE23" s="16">
        <f>VLOOKUP($E23,Constants!$I:$K, 3, FALSE)*IF(AND(D23="multiple_unit",Y23&lt;110),0.75,1)</f>
        <v>0.45</v>
      </c>
      <c r="BF23" s="16">
        <f>INT(POWER(((Constants!$G$2+$AY23+$AZ23+$BA23+$BC23)*$BB23)*$BE23, 1.05))+$AX23</f>
        <v>17</v>
      </c>
      <c r="BG23" s="16">
        <f>INT(POWER((((Constants!$G$1+$AY23+$AZ23+$BA23+$BC23)*($BB23))*$BD23),IF($D23="wagon",1,1.2)))+$AW23</f>
        <v>30</v>
      </c>
      <c r="BH23" s="19">
        <f t="shared" si="8"/>
        <v>1062.5</v>
      </c>
      <c r="BI23" s="19">
        <f t="shared" si="9"/>
        <v>81.900000000000006</v>
      </c>
      <c r="BP23">
        <v>1</v>
      </c>
      <c r="BQ23">
        <v>74</v>
      </c>
      <c r="BR23" t="s">
        <v>275</v>
      </c>
      <c r="BS23" t="s">
        <v>34</v>
      </c>
      <c r="BT23" s="22" t="str">
        <f>VLOOKUP(G23,Eras!$A$2:$C$10, 2, TRUE)</f>
        <v>vct</v>
      </c>
      <c r="BU23" t="s">
        <v>75</v>
      </c>
      <c r="BV23" s="22" t="str">
        <f t="shared" si="10"/>
        <v>vct_Open Wagon</v>
      </c>
      <c r="BW23" s="22" t="str">
        <f t="shared" si="11"/>
        <v>wagon_NARROW_GAUGE</v>
      </c>
      <c r="BX23" s="22" t="str">
        <f>VLOOKUP($BW23, Constants!$M:$N, 2, FALSE)</f>
        <v/>
      </c>
      <c r="BY23" s="22" t="str">
        <f t="shared" si="12"/>
        <v/>
      </c>
      <c r="BZ23" t="s">
        <v>285</v>
      </c>
      <c r="CA23" s="22" t="str">
        <f t="shared" si="13"/>
        <v>{YELLOW}Preserved railway bonus: passengers pay more when hauled by old locomotives{}</v>
      </c>
      <c r="CB23" s="22" t="str">
        <f t="shared" si="14"/>
        <v>{YELLOW}Preserved railway bonus: passengers pay more when hauled by old locomotives{}{SILVER}When narrow gauge began operating passenger services, carriages were simple, flat-sided vehicles build around wooden frames on a four-wheel chassis.</v>
      </c>
    </row>
    <row r="24" spans="1:80" x14ac:dyDescent="0.25">
      <c r="A24" t="s">
        <v>252</v>
      </c>
      <c r="B24" t="s">
        <v>254</v>
      </c>
      <c r="C24">
        <v>82</v>
      </c>
      <c r="D24" t="s">
        <v>32</v>
      </c>
      <c r="E24" t="s">
        <v>32</v>
      </c>
      <c r="F24" t="s">
        <v>338</v>
      </c>
      <c r="G24">
        <v>1900</v>
      </c>
      <c r="T24">
        <v>7</v>
      </c>
      <c r="V24">
        <v>4</v>
      </c>
      <c r="X24" s="3" t="str">
        <f t="shared" si="0"/>
        <v/>
      </c>
      <c r="Y24">
        <v>45</v>
      </c>
      <c r="Z24">
        <f t="shared" si="33"/>
        <v>72</v>
      </c>
      <c r="AC24">
        <v>12</v>
      </c>
      <c r="AD24">
        <v>12</v>
      </c>
      <c r="AG24" s="9">
        <v>36</v>
      </c>
      <c r="AH24" s="14" t="str">
        <f>CONCATENATE(VLOOKUP(AI24, 'Voxel Sizes'!$A$2:$B$18,2,FALSE),"x",INT(AE24*15), "x", INT(AF24*15))</f>
        <v>120x0x0</v>
      </c>
      <c r="AI24" s="14">
        <f t="shared" si="1"/>
        <v>7</v>
      </c>
      <c r="AK24" s="14" t="str">
        <f>CONCATENATE(VLOOKUP(AI24,Constants!$A$2:$C$16,IF(AJ24&lt;&gt;"", 3, 2), FALSE),IF(AJ24&lt;&gt;"",CONCATENATE(",",VLOOKUP(AJ24,$B:$AK,36,FALSE)),""))</f>
        <v>2,3,2</v>
      </c>
      <c r="AU24">
        <v>80</v>
      </c>
      <c r="AV24" s="14" t="str">
        <f t="shared" si="2"/>
        <v/>
      </c>
      <c r="AW24">
        <v>10</v>
      </c>
      <c r="AX24">
        <v>20</v>
      </c>
      <c r="AY24" s="16">
        <f t="shared" si="3"/>
        <v>9</v>
      </c>
      <c r="AZ24" s="16">
        <f t="shared" si="4"/>
        <v>0</v>
      </c>
      <c r="BA24" s="16">
        <f t="shared" si="5"/>
        <v>0</v>
      </c>
      <c r="BB24" s="17">
        <f t="shared" si="6"/>
        <v>1</v>
      </c>
      <c r="BC24" s="16">
        <f t="shared" si="7"/>
        <v>6</v>
      </c>
      <c r="BD24" s="16">
        <f>VLOOKUP($E24,Constants!$I:$K, 2, FALSE)</f>
        <v>1</v>
      </c>
      <c r="BE24" s="16">
        <f>VLOOKUP($E24,Constants!$I:$K, 3, FALSE)*IF(AND(D24="multiple_unit",Y24&lt;110),0.75,1)</f>
        <v>0.45</v>
      </c>
      <c r="BF24" s="16">
        <f>INT(POWER(((Constants!$G$2+$AY24+$AZ24+$BA24+$BC24)*$BB24)*$BE24, 1.05))+$AX24</f>
        <v>30</v>
      </c>
      <c r="BG24" s="16">
        <f>INT(POWER((((Constants!$G$1+$AY24+$AZ24+$BA24+$BC24)*($BB24))*$BD24),IF($D24="wagon",1,1.2)))+$AW24</f>
        <v>40</v>
      </c>
      <c r="BH24" s="19">
        <f t="shared" si="8"/>
        <v>1875</v>
      </c>
      <c r="BI24" s="19">
        <f t="shared" si="9"/>
        <v>109.2</v>
      </c>
      <c r="BP24">
        <v>1</v>
      </c>
      <c r="BQ24">
        <v>74</v>
      </c>
      <c r="BR24" t="s">
        <v>275</v>
      </c>
      <c r="BS24" t="s">
        <v>34</v>
      </c>
      <c r="BT24" s="22" t="str">
        <f>VLOOKUP(G24,Eras!$A$2:$C$10, 2, TRUE)</f>
        <v>edw</v>
      </c>
      <c r="BU24" t="s">
        <v>75</v>
      </c>
      <c r="BV24" s="22" t="str">
        <f t="shared" si="10"/>
        <v>edw_Open Wagon</v>
      </c>
      <c r="BW24" s="22" t="str">
        <f t="shared" si="11"/>
        <v>wagon_NARROW_GAUGE</v>
      </c>
      <c r="BX24" s="22" t="str">
        <f>VLOOKUP($BW24, Constants!$M:$N, 2, FALSE)</f>
        <v/>
      </c>
      <c r="BY24" s="22" t="str">
        <f t="shared" si="12"/>
        <v/>
      </c>
      <c r="BZ24" t="s">
        <v>287</v>
      </c>
      <c r="CA24" s="22" t="str">
        <f t="shared" si="13"/>
        <v>{YELLOW}Preserved railway bonus: passengers pay more when hauled by old locomotives{}</v>
      </c>
      <c r="CB24" s="22" t="str">
        <f t="shared" si="14"/>
        <v>{YELLOW}Preserved railway bonus: passengers pay more when hauled by old locomotives{}{SILVER}Later narrow gauge carriages increased in length where loading gauges allowed, using bogies to help negotiate tight curves.</v>
      </c>
    </row>
    <row r="25" spans="1:80" x14ac:dyDescent="0.25">
      <c r="A25" t="s">
        <v>255</v>
      </c>
      <c r="B25" t="s">
        <v>257</v>
      </c>
      <c r="C25">
        <v>84</v>
      </c>
      <c r="D25" t="s">
        <v>32</v>
      </c>
      <c r="E25" t="s">
        <v>32</v>
      </c>
      <c r="F25" t="s">
        <v>338</v>
      </c>
      <c r="G25">
        <v>1863</v>
      </c>
      <c r="T25">
        <v>4</v>
      </c>
      <c r="V25">
        <v>4</v>
      </c>
      <c r="X25" s="3" t="str">
        <f t="shared" si="0"/>
        <v/>
      </c>
      <c r="Y25">
        <v>35</v>
      </c>
      <c r="Z25">
        <f t="shared" si="33"/>
        <v>56</v>
      </c>
      <c r="AC25">
        <v>8</v>
      </c>
      <c r="AD25">
        <v>8</v>
      </c>
      <c r="AG25" s="9">
        <v>24</v>
      </c>
      <c r="AH25" s="14" t="str">
        <f>CONCATENATE(VLOOKUP(AI25, 'Voxel Sizes'!$A$2:$B$18,2,FALSE),"x",INT(AE25*15), "x", INT(AF25*15))</f>
        <v>82x0x0</v>
      </c>
      <c r="AI25" s="14">
        <f t="shared" si="1"/>
        <v>5</v>
      </c>
      <c r="AK25" s="14" t="str">
        <f>CONCATENATE(VLOOKUP(AI25,Constants!$A$2:$C$16,IF(AJ25&lt;&gt;"", 3, 2), FALSE),IF(AJ25&lt;&gt;"",CONCATENATE(",",VLOOKUP(AJ25,$B:$AK,36,FALSE)),""))</f>
        <v>2,1,2</v>
      </c>
      <c r="AU25">
        <v>80</v>
      </c>
      <c r="AV25" s="14" t="str">
        <f t="shared" si="2"/>
        <v/>
      </c>
      <c r="AW25">
        <v>5</v>
      </c>
      <c r="AX25">
        <v>10</v>
      </c>
      <c r="AY25" s="16">
        <f t="shared" si="3"/>
        <v>7</v>
      </c>
      <c r="AZ25" s="16">
        <f t="shared" si="4"/>
        <v>0</v>
      </c>
      <c r="BA25" s="16">
        <f t="shared" si="5"/>
        <v>0</v>
      </c>
      <c r="BB25" s="17">
        <f t="shared" si="6"/>
        <v>1</v>
      </c>
      <c r="BC25" s="16">
        <f t="shared" si="7"/>
        <v>4</v>
      </c>
      <c r="BD25" s="16">
        <f>VLOOKUP($E25,Constants!$I:$K, 2, FALSE)</f>
        <v>1</v>
      </c>
      <c r="BE25" s="16">
        <f>VLOOKUP($E25,Constants!$I:$K, 3, FALSE)*IF(AND(D25="multiple_unit",Y25&lt;110),0.75,1)</f>
        <v>0.45</v>
      </c>
      <c r="BF25" s="16">
        <f>INT(POWER(((Constants!$G$2+$AY25+$AZ25+$BA25+$BC25)*$BB25)*$BE25, 1.05))+$AX25</f>
        <v>17</v>
      </c>
      <c r="BG25" s="16">
        <f>INT(POWER((((Constants!$G$1+$AY25+$AZ25+$BA25+$BC25)*($BB25))*$BD25),IF($D25="wagon",1,1.2)))+$AW25</f>
        <v>31</v>
      </c>
      <c r="BH25" s="19">
        <f t="shared" si="8"/>
        <v>1062.5</v>
      </c>
      <c r="BI25" s="19">
        <f t="shared" si="9"/>
        <v>84.63</v>
      </c>
      <c r="BP25">
        <v>1</v>
      </c>
      <c r="BQ25">
        <v>185</v>
      </c>
      <c r="BR25" t="s">
        <v>276</v>
      </c>
      <c r="BS25" t="s">
        <v>280</v>
      </c>
      <c r="BT25" s="22" t="str">
        <f>VLOOKUP(G25,Eras!$A$2:$C$10, 2, TRUE)</f>
        <v>vct</v>
      </c>
      <c r="BU25" t="s">
        <v>75</v>
      </c>
      <c r="BV25" s="22" t="str">
        <f t="shared" si="10"/>
        <v>vct_Open Wagon</v>
      </c>
      <c r="BW25" s="22" t="str">
        <f t="shared" si="11"/>
        <v>wagon_NARROW_GAUGE</v>
      </c>
      <c r="BX25" s="22" t="str">
        <f>VLOOKUP($BW25, Constants!$M:$N, 2, FALSE)</f>
        <v/>
      </c>
      <c r="BY25" s="22" t="str">
        <f t="shared" si="12"/>
        <v/>
      </c>
      <c r="BZ25" t="s">
        <v>286</v>
      </c>
      <c r="CA25" s="22" t="str">
        <f t="shared" si="13"/>
        <v/>
      </c>
      <c r="CB25" s="22" t="str">
        <f t="shared" si="14"/>
        <v>{SILVER}Brake vans were rarer on narrow gauge railways, but passenger services would typically have a guard's wagon which could also carry parcels.</v>
      </c>
    </row>
    <row r="26" spans="1:80" x14ac:dyDescent="0.25">
      <c r="A26" t="s">
        <v>256</v>
      </c>
      <c r="B26" t="s">
        <v>258</v>
      </c>
      <c r="C26">
        <v>85</v>
      </c>
      <c r="D26" t="s">
        <v>32</v>
      </c>
      <c r="E26" t="s">
        <v>32</v>
      </c>
      <c r="F26" t="s">
        <v>338</v>
      </c>
      <c r="G26">
        <v>1900</v>
      </c>
      <c r="T26">
        <v>6</v>
      </c>
      <c r="V26">
        <v>4</v>
      </c>
      <c r="X26" s="3" t="str">
        <f t="shared" si="0"/>
        <v/>
      </c>
      <c r="Y26">
        <v>45</v>
      </c>
      <c r="Z26">
        <f>ROUND(Y26*1.6, 0)</f>
        <v>72</v>
      </c>
      <c r="AC26">
        <v>12</v>
      </c>
      <c r="AD26">
        <v>12</v>
      </c>
      <c r="AG26" s="9">
        <v>42</v>
      </c>
      <c r="AH26" s="14" t="str">
        <f>CONCATENATE(VLOOKUP(AI26, 'Voxel Sizes'!$A$2:$B$18,2,FALSE),"x",INT(AE26*15), "x", INT(AF26*15))</f>
        <v>120x0x0</v>
      </c>
      <c r="AI26" s="14">
        <f t="shared" si="1"/>
        <v>7</v>
      </c>
      <c r="AK26" s="14" t="str">
        <f>CONCATENATE(VLOOKUP(AI26,Constants!$A$2:$C$16,IF(AJ26&lt;&gt;"", 3, 2), FALSE),IF(AJ26&lt;&gt;"",CONCATENATE(",",VLOOKUP(AJ26,$B:$AK,36,FALSE)),""))</f>
        <v>2,3,2</v>
      </c>
      <c r="AU26">
        <v>80</v>
      </c>
      <c r="AV26" s="14" t="str">
        <f t="shared" si="2"/>
        <v/>
      </c>
      <c r="AW26">
        <v>10</v>
      </c>
      <c r="AX26">
        <v>20</v>
      </c>
      <c r="AY26" s="16">
        <f t="shared" si="3"/>
        <v>9</v>
      </c>
      <c r="AZ26" s="16">
        <f t="shared" si="4"/>
        <v>0</v>
      </c>
      <c r="BA26" s="16">
        <f t="shared" si="5"/>
        <v>0</v>
      </c>
      <c r="BB26" s="17">
        <f t="shared" si="6"/>
        <v>1</v>
      </c>
      <c r="BC26" s="16">
        <f t="shared" si="7"/>
        <v>7.0000000000000009</v>
      </c>
      <c r="BD26" s="16">
        <f>VLOOKUP($E26,Constants!$I:$K, 2, FALSE)</f>
        <v>1</v>
      </c>
      <c r="BE26" s="16">
        <f>VLOOKUP($E26,Constants!$I:$K, 3, FALSE)*IF(AND(D26="multiple_unit",Y26&lt;110),0.75,1)</f>
        <v>0.45</v>
      </c>
      <c r="BF26" s="16">
        <f>INT(POWER(((Constants!$G$2+$AY26+$AZ26+$BA26+$BC26)*$BB26)*$BE26, 1.05))+$AX26</f>
        <v>30</v>
      </c>
      <c r="BG26" s="16">
        <f>INT(POWER((((Constants!$G$1+$AY26+$AZ26+$BA26+$BC26)*($BB26))*$BD26),IF($D26="wagon",1,1.2)))+$AW26</f>
        <v>41</v>
      </c>
      <c r="BH26" s="19">
        <f t="shared" si="8"/>
        <v>1875</v>
      </c>
      <c r="BI26" s="19">
        <f t="shared" si="9"/>
        <v>111.92999999999999</v>
      </c>
      <c r="BP26">
        <v>1</v>
      </c>
      <c r="BQ26">
        <v>185</v>
      </c>
      <c r="BR26" t="s">
        <v>276</v>
      </c>
      <c r="BS26" t="s">
        <v>280</v>
      </c>
      <c r="BT26" s="22" t="str">
        <f>VLOOKUP(G26,Eras!$A$2:$C$10, 2, TRUE)</f>
        <v>edw</v>
      </c>
      <c r="BU26" t="s">
        <v>75</v>
      </c>
      <c r="BV26" s="22" t="str">
        <f t="shared" si="10"/>
        <v>edw_Open Wagon</v>
      </c>
      <c r="BW26" s="22" t="str">
        <f t="shared" si="11"/>
        <v>wagon_NARROW_GAUGE</v>
      </c>
      <c r="BX26" s="22" t="str">
        <f>VLOOKUP($BW26, Constants!$M:$N, 2, FALSE)</f>
        <v/>
      </c>
      <c r="BY26" s="22" t="str">
        <f t="shared" si="12"/>
        <v/>
      </c>
      <c r="BZ26" t="s">
        <v>288</v>
      </c>
      <c r="CA26" s="22" t="str">
        <f t="shared" si="13"/>
        <v/>
      </c>
      <c r="CB26" s="22" t="str">
        <f t="shared" si="14"/>
        <v>{SILVER}Larger and heavier carriages also meant larger and heavier guard's vans.</v>
      </c>
    </row>
    <row r="27" spans="1:80" x14ac:dyDescent="0.25">
      <c r="A27" t="s">
        <v>243</v>
      </c>
      <c r="B27" t="s">
        <v>246</v>
      </c>
      <c r="C27">
        <v>86</v>
      </c>
      <c r="D27" t="s">
        <v>32</v>
      </c>
      <c r="E27" t="s">
        <v>32</v>
      </c>
      <c r="F27" t="s">
        <v>338</v>
      </c>
      <c r="G27">
        <v>1800</v>
      </c>
      <c r="I27">
        <v>1900</v>
      </c>
      <c r="T27">
        <v>1</v>
      </c>
      <c r="V27">
        <v>3</v>
      </c>
      <c r="X27" s="3" t="str">
        <f t="shared" si="0"/>
        <v/>
      </c>
      <c r="Y27">
        <v>25</v>
      </c>
      <c r="Z27">
        <f t="shared" ref="Z27:Z73" si="48">ROUND(Y27*1.6, 0)</f>
        <v>40</v>
      </c>
      <c r="AC27">
        <v>4.9000000000000004</v>
      </c>
      <c r="AD27">
        <v>6</v>
      </c>
      <c r="AG27" s="9">
        <v>9</v>
      </c>
      <c r="AH27" s="14" t="str">
        <f>CONCATENATE(VLOOKUP(AI27, 'Voxel Sizes'!$A$2:$B$18,2,FALSE),"x",INT(AE27*15), "x", INT(AF27*15))</f>
        <v>66x0x0</v>
      </c>
      <c r="AI27" s="14">
        <f t="shared" si="1"/>
        <v>4</v>
      </c>
      <c r="AK27" s="14" t="str">
        <f>CONCATENATE(VLOOKUP(AI27,Constants!$A$2:$C$16,IF(AJ27&lt;&gt;"", 3, 2), FALSE),IF(AJ27&lt;&gt;"",CONCATENATE(",",VLOOKUP(AJ27,$B:$AK,36,FALSE)),""))</f>
        <v>1,2,1</v>
      </c>
      <c r="AU27">
        <v>80</v>
      </c>
      <c r="AV27" s="14">
        <f t="shared" si="2"/>
        <v>108</v>
      </c>
      <c r="AW27">
        <v>-15</v>
      </c>
      <c r="AX27">
        <v>-3</v>
      </c>
      <c r="AY27" s="16">
        <f t="shared" si="3"/>
        <v>5</v>
      </c>
      <c r="AZ27" s="16">
        <f t="shared" si="4"/>
        <v>0</v>
      </c>
      <c r="BA27" s="16">
        <f t="shared" si="5"/>
        <v>0</v>
      </c>
      <c r="BB27" s="17">
        <f t="shared" si="6"/>
        <v>1</v>
      </c>
      <c r="BC27" s="16">
        <f t="shared" si="7"/>
        <v>1.5</v>
      </c>
      <c r="BD27" s="16">
        <f>VLOOKUP($E27,Constants!$I:$K, 2, FALSE)</f>
        <v>1</v>
      </c>
      <c r="BE27" s="16">
        <f>VLOOKUP($E27,Constants!$I:$K, 3, FALSE)*IF(AND(D27="multiple_unit",Y27&lt;110),0.75,1)</f>
        <v>0.45</v>
      </c>
      <c r="BF27" s="16">
        <f>INT(POWER(((Constants!$G$2+$AY27+$AZ27+$BA27+$BC27)*$BB27)*$BE27, 1.05))+$AX27</f>
        <v>2</v>
      </c>
      <c r="BG27" s="16">
        <f>INT(POWER((((Constants!$G$1+$AY27+$AZ27+$BA27+$BC27)*($BB27))*$BD27),IF($D27="wagon",1,1.2)))+$AW27</f>
        <v>6</v>
      </c>
      <c r="BH27" s="19">
        <f t="shared" si="8"/>
        <v>125</v>
      </c>
      <c r="BI27" s="19">
        <f t="shared" si="9"/>
        <v>16.38</v>
      </c>
      <c r="BP27">
        <v>1</v>
      </c>
      <c r="BQ27">
        <v>185</v>
      </c>
      <c r="BR27" t="s">
        <v>244</v>
      </c>
      <c r="BS27" t="s">
        <v>245</v>
      </c>
      <c r="BT27" s="22" t="str">
        <f>VLOOKUP(G27,Eras!$A$2:$C$10, 2, TRUE)</f>
        <v>early</v>
      </c>
      <c r="BU27" t="s">
        <v>75</v>
      </c>
      <c r="BV27" s="22" t="str">
        <f t="shared" si="10"/>
        <v>early_Open Wagon</v>
      </c>
      <c r="BW27" s="22" t="str">
        <f t="shared" si="11"/>
        <v>wagon_NARROW_GAUGE</v>
      </c>
      <c r="BX27" s="22" t="str">
        <f>VLOOKUP($BW27, Constants!$M:$N, 2, FALSE)</f>
        <v/>
      </c>
      <c r="BY27" s="22" t="str">
        <f t="shared" si="12"/>
        <v/>
      </c>
      <c r="BZ27" t="s">
        <v>247</v>
      </c>
      <c r="CA27" s="22" t="str">
        <f t="shared" si="13"/>
        <v/>
      </c>
      <c r="CB27" s="22" t="str">
        <f t="shared" si="14"/>
        <v>{SILVER}An open wagon for carrying bulk cargo on narrow gauge railways.</v>
      </c>
    </row>
    <row r="28" spans="1:80" x14ac:dyDescent="0.25">
      <c r="A28" t="s">
        <v>259</v>
      </c>
      <c r="B28" t="s">
        <v>260</v>
      </c>
      <c r="C28">
        <v>87</v>
      </c>
      <c r="D28" t="s">
        <v>32</v>
      </c>
      <c r="E28" t="s">
        <v>32</v>
      </c>
      <c r="F28" t="s">
        <v>338</v>
      </c>
      <c r="G28">
        <v>1870</v>
      </c>
      <c r="T28">
        <v>1</v>
      </c>
      <c r="V28">
        <v>4</v>
      </c>
      <c r="X28" s="3" t="str">
        <f t="shared" si="0"/>
        <v/>
      </c>
      <c r="Y28">
        <v>30</v>
      </c>
      <c r="Z28">
        <f t="shared" si="48"/>
        <v>48</v>
      </c>
      <c r="AC28">
        <v>8</v>
      </c>
      <c r="AD28">
        <v>8</v>
      </c>
      <c r="AG28" s="9">
        <v>12</v>
      </c>
      <c r="AH28" s="14" t="str">
        <f>CONCATENATE(VLOOKUP(AI28, 'Voxel Sizes'!$A$2:$B$18,2,FALSE),"x",INT(AE28*15), "x", INT(AF28*15))</f>
        <v>82x0x0</v>
      </c>
      <c r="AI28" s="14">
        <f t="shared" si="1"/>
        <v>5</v>
      </c>
      <c r="AK28" s="14" t="str">
        <f>CONCATENATE(VLOOKUP(AI28,Constants!$A$2:$C$16,IF(AJ28&lt;&gt;"", 3, 2), FALSE),IF(AJ28&lt;&gt;"",CONCATENATE(",",VLOOKUP(AJ28,$B:$AK,36,FALSE)),""))</f>
        <v>2,1,2</v>
      </c>
      <c r="AU28">
        <v>80</v>
      </c>
      <c r="AV28" s="14" t="str">
        <f t="shared" si="2"/>
        <v/>
      </c>
      <c r="AW28">
        <v>-15</v>
      </c>
      <c r="AX28">
        <v>-3</v>
      </c>
      <c r="AY28" s="16">
        <f t="shared" si="3"/>
        <v>6</v>
      </c>
      <c r="AZ28" s="16">
        <f t="shared" si="4"/>
        <v>0</v>
      </c>
      <c r="BA28" s="16">
        <f t="shared" si="5"/>
        <v>0</v>
      </c>
      <c r="BB28" s="17">
        <f t="shared" si="6"/>
        <v>1</v>
      </c>
      <c r="BC28" s="16">
        <f t="shared" si="7"/>
        <v>2</v>
      </c>
      <c r="BD28" s="16">
        <f>VLOOKUP($E28,Constants!$I:$K, 2, FALSE)</f>
        <v>1</v>
      </c>
      <c r="BE28" s="16">
        <f>VLOOKUP($E28,Constants!$I:$K, 3, FALSE)*IF(AND(D28="multiple_unit",Y28&lt;110),0.75,1)</f>
        <v>0.45</v>
      </c>
      <c r="BF28" s="16">
        <f>INT(POWER(((Constants!$G$2+$AY28+$AZ28+$BA28+$BC28)*$BB28)*$BE28, 1.05))+$AX28</f>
        <v>3</v>
      </c>
      <c r="BG28" s="16">
        <f>INT(POWER((((Constants!$G$1+$AY28+$AZ28+$BA28+$BC28)*($BB28))*$BD28),IF($D28="wagon",1,1.2)))+$AW28</f>
        <v>8</v>
      </c>
      <c r="BH28" s="19">
        <f t="shared" si="8"/>
        <v>187.5</v>
      </c>
      <c r="BI28" s="19">
        <f t="shared" si="9"/>
        <v>21.84</v>
      </c>
      <c r="BP28">
        <v>1</v>
      </c>
      <c r="BQ28">
        <v>185</v>
      </c>
      <c r="BR28" t="s">
        <v>277</v>
      </c>
      <c r="BS28" t="s">
        <v>245</v>
      </c>
      <c r="BT28" s="22" t="str">
        <f>VLOOKUP(G28,Eras!$A$2:$C$10, 2, TRUE)</f>
        <v>vct</v>
      </c>
      <c r="BU28" t="s">
        <v>75</v>
      </c>
      <c r="BV28" s="22" t="str">
        <f t="shared" si="10"/>
        <v>vct_Open Wagon</v>
      </c>
      <c r="BW28" s="22" t="str">
        <f t="shared" si="11"/>
        <v>wagon_NARROW_GAUGE</v>
      </c>
      <c r="BX28" s="22" t="str">
        <f>VLOOKUP($BW28, Constants!$M:$N, 2, FALSE)</f>
        <v/>
      </c>
      <c r="BY28" s="22" t="str">
        <f t="shared" si="12"/>
        <v/>
      </c>
      <c r="BZ28" t="s">
        <v>289</v>
      </c>
      <c r="CA28" s="22" t="str">
        <f t="shared" si="13"/>
        <v/>
      </c>
      <c r="CB28" s="22" t="str">
        <f t="shared" si="14"/>
        <v>{SILVER}Heavier mineral wagons allowed larger amounts of cargo to be carried.</v>
      </c>
    </row>
    <row r="29" spans="1:80" x14ac:dyDescent="0.25">
      <c r="A29" t="s">
        <v>262</v>
      </c>
      <c r="B29" t="s">
        <v>268</v>
      </c>
      <c r="C29">
        <v>88</v>
      </c>
      <c r="D29" t="s">
        <v>32</v>
      </c>
      <c r="E29" t="s">
        <v>32</v>
      </c>
      <c r="F29" t="s">
        <v>338</v>
      </c>
      <c r="G29">
        <v>1800</v>
      </c>
      <c r="I29">
        <v>1900</v>
      </c>
      <c r="T29">
        <v>1</v>
      </c>
      <c r="V29">
        <v>3</v>
      </c>
      <c r="X29" s="3" t="str">
        <f t="shared" si="0"/>
        <v/>
      </c>
      <c r="Y29">
        <v>25</v>
      </c>
      <c r="Z29">
        <f t="shared" si="48"/>
        <v>40</v>
      </c>
      <c r="AC29">
        <v>4.9000000000000004</v>
      </c>
      <c r="AD29">
        <v>6</v>
      </c>
      <c r="AG29" s="9">
        <v>10</v>
      </c>
      <c r="AH29" s="14" t="str">
        <f>CONCATENATE(VLOOKUP(AI29, 'Voxel Sizes'!$A$2:$B$18,2,FALSE),"x",INT(AE29*15), "x", INT(AF29*15))</f>
        <v>66x0x0</v>
      </c>
      <c r="AI29" s="14">
        <f t="shared" si="1"/>
        <v>4</v>
      </c>
      <c r="AK29" s="14" t="str">
        <f>CONCATENATE(VLOOKUP(AI29,Constants!$A$2:$C$16,IF(AJ29&lt;&gt;"", 3, 2), FALSE),IF(AJ29&lt;&gt;"",CONCATENATE(",",VLOOKUP(AJ29,$B:$AK,36,FALSE)),""))</f>
        <v>1,2,1</v>
      </c>
      <c r="AU29">
        <v>80</v>
      </c>
      <c r="AV29" s="14">
        <f t="shared" si="2"/>
        <v>108</v>
      </c>
      <c r="AW29">
        <v>-15</v>
      </c>
      <c r="AX29">
        <v>-3</v>
      </c>
      <c r="AY29" s="16">
        <f t="shared" si="3"/>
        <v>5</v>
      </c>
      <c r="AZ29" s="16">
        <f t="shared" si="4"/>
        <v>0</v>
      </c>
      <c r="BA29" s="16">
        <f t="shared" si="5"/>
        <v>0</v>
      </c>
      <c r="BB29" s="17">
        <f t="shared" si="6"/>
        <v>1</v>
      </c>
      <c r="BC29" s="16">
        <f t="shared" si="7"/>
        <v>1.6666666666666667</v>
      </c>
      <c r="BD29" s="16">
        <f>VLOOKUP($E29,Constants!$I:$K, 2, FALSE)</f>
        <v>1</v>
      </c>
      <c r="BE29" s="16">
        <f>VLOOKUP($E29,Constants!$I:$K, 3, FALSE)*IF(AND(D29="multiple_unit",Y29&lt;110),0.75,1)</f>
        <v>0.45</v>
      </c>
      <c r="BF29" s="16">
        <f>INT(POWER(((Constants!$G$2+$AY29+$AZ29+$BA29+$BC29)*$BB29)*$BE29, 1.05))+$AX29</f>
        <v>2</v>
      </c>
      <c r="BG29" s="16">
        <f>INT(POWER((((Constants!$G$1+$AY29+$AZ29+$BA29+$BC29)*($BB29))*$BD29),IF($D29="wagon",1,1.2)))+$AW29</f>
        <v>6</v>
      </c>
      <c r="BH29" s="19">
        <f t="shared" si="8"/>
        <v>125</v>
      </c>
      <c r="BI29" s="19">
        <f t="shared" si="9"/>
        <v>16.38</v>
      </c>
      <c r="BP29">
        <v>1</v>
      </c>
      <c r="BQ29">
        <v>185</v>
      </c>
      <c r="BR29" t="s">
        <v>278</v>
      </c>
      <c r="BS29" t="s">
        <v>279</v>
      </c>
      <c r="BT29" s="22" t="str">
        <f>VLOOKUP(G29,Eras!$A$2:$C$10, 2, TRUE)</f>
        <v>early</v>
      </c>
      <c r="BU29" t="s">
        <v>75</v>
      </c>
      <c r="BV29" s="22" t="str">
        <f t="shared" si="10"/>
        <v>early_Open Wagon</v>
      </c>
      <c r="BW29" s="22" t="str">
        <f t="shared" si="11"/>
        <v>wagon_NARROW_GAUGE</v>
      </c>
      <c r="BX29" s="22" t="str">
        <f>VLOOKUP($BW29, Constants!$M:$N, 2, FALSE)</f>
        <v/>
      </c>
      <c r="BY29" s="22" t="str">
        <f t="shared" si="12"/>
        <v/>
      </c>
      <c r="BZ29" t="s">
        <v>290</v>
      </c>
      <c r="CA29" s="22" t="str">
        <f t="shared" si="13"/>
        <v/>
      </c>
      <c r="CB29" s="22" t="str">
        <f t="shared" si="14"/>
        <v>{SILVER}While many narrow gauge railways were quarry lines carrying bulk goods or slate, flat wagons were used for transporting equipment.</v>
      </c>
    </row>
    <row r="30" spans="1:80" x14ac:dyDescent="0.25">
      <c r="A30" t="s">
        <v>261</v>
      </c>
      <c r="B30" t="s">
        <v>269</v>
      </c>
      <c r="C30">
        <v>89</v>
      </c>
      <c r="D30" t="s">
        <v>32</v>
      </c>
      <c r="E30" t="s">
        <v>32</v>
      </c>
      <c r="F30" t="s">
        <v>338</v>
      </c>
      <c r="G30">
        <v>1870</v>
      </c>
      <c r="T30">
        <v>1</v>
      </c>
      <c r="V30">
        <v>4</v>
      </c>
      <c r="X30" s="3" t="str">
        <f t="shared" si="0"/>
        <v/>
      </c>
      <c r="Y30">
        <v>30</v>
      </c>
      <c r="Z30">
        <f t="shared" si="48"/>
        <v>48</v>
      </c>
      <c r="AC30">
        <v>4.9000000000000004</v>
      </c>
      <c r="AD30">
        <v>8</v>
      </c>
      <c r="AG30" s="9">
        <v>12</v>
      </c>
      <c r="AH30" s="14" t="str">
        <f>CONCATENATE(VLOOKUP(AI30, 'Voxel Sizes'!$A$2:$B$18,2,FALSE),"x",INT(AE30*15), "x", INT(AF30*15))</f>
        <v>82x0x0</v>
      </c>
      <c r="AI30" s="14">
        <f t="shared" si="1"/>
        <v>5</v>
      </c>
      <c r="AK30" s="14" t="str">
        <f>CONCATENATE(VLOOKUP(AI30,Constants!$A$2:$C$16,IF(AJ30&lt;&gt;"", 3, 2), FALSE),IF(AJ30&lt;&gt;"",CONCATENATE(",",VLOOKUP(AJ30,$B:$AK,36,FALSE)),""))</f>
        <v>2,1,2</v>
      </c>
      <c r="AU30">
        <v>80</v>
      </c>
      <c r="AV30" s="14" t="str">
        <f t="shared" si="2"/>
        <v/>
      </c>
      <c r="AW30">
        <v>-15</v>
      </c>
      <c r="AX30">
        <v>-3</v>
      </c>
      <c r="AY30" s="16">
        <f t="shared" si="3"/>
        <v>6</v>
      </c>
      <c r="AZ30" s="16">
        <f t="shared" si="4"/>
        <v>0</v>
      </c>
      <c r="BA30" s="16">
        <f t="shared" si="5"/>
        <v>0</v>
      </c>
      <c r="BB30" s="17">
        <f t="shared" si="6"/>
        <v>1</v>
      </c>
      <c r="BC30" s="16">
        <f t="shared" si="7"/>
        <v>2</v>
      </c>
      <c r="BD30" s="16">
        <f>VLOOKUP($E30,Constants!$I:$K, 2, FALSE)</f>
        <v>1</v>
      </c>
      <c r="BE30" s="16">
        <f>VLOOKUP($E30,Constants!$I:$K, 3, FALSE)*IF(AND(D30="multiple_unit",Y30&lt;110),0.75,1)</f>
        <v>0.45</v>
      </c>
      <c r="BF30" s="16">
        <f>INT(POWER(((Constants!$G$2+$AY30+$AZ30+$BA30+$BC30)*$BB30)*$BE30, 1.05))+$AX30</f>
        <v>3</v>
      </c>
      <c r="BG30" s="16">
        <f>INT(POWER((((Constants!$G$1+$AY30+$AZ30+$BA30+$BC30)*($BB30))*$BD30),IF($D30="wagon",1,1.2)))+$AW30</f>
        <v>8</v>
      </c>
      <c r="BH30" s="19">
        <f t="shared" si="8"/>
        <v>187.5</v>
      </c>
      <c r="BI30" s="19">
        <f t="shared" si="9"/>
        <v>21.84</v>
      </c>
      <c r="BP30">
        <v>1</v>
      </c>
      <c r="BQ30">
        <v>185</v>
      </c>
      <c r="BR30" t="s">
        <v>278</v>
      </c>
      <c r="BS30" t="s">
        <v>279</v>
      </c>
      <c r="BT30" s="22" t="str">
        <f>VLOOKUP(G30,Eras!$A$2:$C$10, 2, TRUE)</f>
        <v>vct</v>
      </c>
      <c r="BU30" t="s">
        <v>75</v>
      </c>
      <c r="BV30" s="22" t="str">
        <f t="shared" si="10"/>
        <v>vct_Open Wagon</v>
      </c>
      <c r="BW30" s="22" t="str">
        <f t="shared" si="11"/>
        <v>wagon_NARROW_GAUGE</v>
      </c>
      <c r="BX30" s="22" t="str">
        <f>VLOOKUP($BW30, Constants!$M:$N, 2, FALSE)</f>
        <v/>
      </c>
      <c r="BY30" s="22" t="str">
        <f t="shared" si="12"/>
        <v/>
      </c>
      <c r="BZ30" t="s">
        <v>293</v>
      </c>
      <c r="CA30" s="22" t="str">
        <f t="shared" si="13"/>
        <v/>
      </c>
      <c r="CB30" s="22" t="str">
        <f t="shared" si="14"/>
        <v>{SILVER}As per standard gauge practice, bolster wagons were used for carrying long, rigid cargo.</v>
      </c>
    </row>
    <row r="31" spans="1:80" x14ac:dyDescent="0.25">
      <c r="A31" t="s">
        <v>263</v>
      </c>
      <c r="B31" t="s">
        <v>270</v>
      </c>
      <c r="C31">
        <v>90</v>
      </c>
      <c r="D31" t="s">
        <v>32</v>
      </c>
      <c r="E31" t="s">
        <v>32</v>
      </c>
      <c r="F31" t="s">
        <v>338</v>
      </c>
      <c r="G31">
        <v>1870</v>
      </c>
      <c r="T31">
        <v>1</v>
      </c>
      <c r="V31">
        <v>4</v>
      </c>
      <c r="X31" s="3" t="str">
        <f t="shared" si="0"/>
        <v/>
      </c>
      <c r="Y31">
        <v>30</v>
      </c>
      <c r="Z31">
        <f t="shared" si="48"/>
        <v>48</v>
      </c>
      <c r="AC31">
        <v>4.9000000000000004</v>
      </c>
      <c r="AD31">
        <v>6</v>
      </c>
      <c r="AG31" s="9">
        <v>12</v>
      </c>
      <c r="AH31" s="14" t="str">
        <f>CONCATENATE(VLOOKUP(AI31, 'Voxel Sizes'!$A$2:$B$18,2,FALSE),"x",INT(AE31*15), "x", INT(AF31*15))</f>
        <v>66x0x0</v>
      </c>
      <c r="AI31" s="14">
        <f t="shared" si="1"/>
        <v>4</v>
      </c>
      <c r="AK31" s="14" t="str">
        <f>CONCATENATE(VLOOKUP(AI31,Constants!$A$2:$C$16,IF(AJ31&lt;&gt;"", 3, 2), FALSE),IF(AJ31&lt;&gt;"",CONCATENATE(",",VLOOKUP(AJ31,$B:$AK,36,FALSE)),""))</f>
        <v>1,2,1</v>
      </c>
      <c r="AU31">
        <v>80</v>
      </c>
      <c r="AV31" s="14" t="str">
        <f t="shared" si="2"/>
        <v/>
      </c>
      <c r="AW31">
        <v>-15</v>
      </c>
      <c r="AX31">
        <v>-3</v>
      </c>
      <c r="AY31" s="16">
        <f t="shared" si="3"/>
        <v>6</v>
      </c>
      <c r="AZ31" s="16">
        <f t="shared" si="4"/>
        <v>0</v>
      </c>
      <c r="BA31" s="16">
        <f t="shared" si="5"/>
        <v>0</v>
      </c>
      <c r="BB31" s="17">
        <f t="shared" si="6"/>
        <v>1</v>
      </c>
      <c r="BC31" s="16">
        <f t="shared" si="7"/>
        <v>2</v>
      </c>
      <c r="BD31" s="16">
        <f>VLOOKUP($E31,Constants!$I:$K, 2, FALSE)</f>
        <v>1</v>
      </c>
      <c r="BE31" s="16">
        <f>VLOOKUP($E31,Constants!$I:$K, 3, FALSE)*IF(AND(D31="multiple_unit",Y31&lt;110),0.75,1)</f>
        <v>0.45</v>
      </c>
      <c r="BF31" s="16">
        <f>INT(POWER(((Constants!$G$2+$AY31+$AZ31+$BA31+$BC31)*$BB31)*$BE31, 1.05))+$AX31</f>
        <v>3</v>
      </c>
      <c r="BG31" s="16">
        <f>INT(POWER((((Constants!$G$1+$AY31+$AZ31+$BA31+$BC31)*($BB31))*$BD31),IF($D31="wagon",1,1.2)))+$AW31</f>
        <v>8</v>
      </c>
      <c r="BH31" s="19">
        <f t="shared" si="8"/>
        <v>187.5</v>
      </c>
      <c r="BI31" s="19">
        <f t="shared" si="9"/>
        <v>21.84</v>
      </c>
      <c r="BP31">
        <v>1</v>
      </c>
      <c r="BQ31">
        <v>185</v>
      </c>
      <c r="BR31" t="s">
        <v>78</v>
      </c>
      <c r="BS31" t="s">
        <v>281</v>
      </c>
      <c r="BT31" s="22" t="str">
        <f>VLOOKUP(G31,Eras!$A$2:$C$10, 2, TRUE)</f>
        <v>vct</v>
      </c>
      <c r="BU31" t="s">
        <v>75</v>
      </c>
      <c r="BV31" s="22" t="str">
        <f t="shared" si="10"/>
        <v>vct_Open Wagon</v>
      </c>
      <c r="BW31" s="22" t="str">
        <f t="shared" si="11"/>
        <v>wagon_NARROW_GAUGE</v>
      </c>
      <c r="BX31" s="22" t="str">
        <f>VLOOKUP($BW31, Constants!$M:$N, 2, FALSE)</f>
        <v/>
      </c>
      <c r="BY31" s="22" t="str">
        <f t="shared" si="12"/>
        <v/>
      </c>
      <c r="BZ31" t="s">
        <v>291</v>
      </c>
      <c r="CA31" s="22" t="str">
        <f t="shared" si="13"/>
        <v/>
      </c>
      <c r="CB31" s="22" t="str">
        <f t="shared" si="14"/>
        <v>{SILVER}With specialised equipment at stations, tank wagons made liquid cargo easier to handle than loading drums into open wagons.</v>
      </c>
    </row>
    <row r="32" spans="1:80" x14ac:dyDescent="0.25">
      <c r="A32" t="s">
        <v>264</v>
      </c>
      <c r="B32" t="s">
        <v>271</v>
      </c>
      <c r="C32">
        <v>91</v>
      </c>
      <c r="D32" t="s">
        <v>32</v>
      </c>
      <c r="E32" t="s">
        <v>32</v>
      </c>
      <c r="F32" t="s">
        <v>338</v>
      </c>
      <c r="G32">
        <v>1870</v>
      </c>
      <c r="T32">
        <v>1</v>
      </c>
      <c r="V32">
        <v>4</v>
      </c>
      <c r="X32" s="3" t="str">
        <f t="shared" si="0"/>
        <v/>
      </c>
      <c r="Y32">
        <v>30</v>
      </c>
      <c r="Z32">
        <f t="shared" si="48"/>
        <v>48</v>
      </c>
      <c r="AC32">
        <v>4.9000000000000004</v>
      </c>
      <c r="AD32">
        <v>6</v>
      </c>
      <c r="AG32" s="9">
        <v>12</v>
      </c>
      <c r="AH32" s="14" t="str">
        <f>CONCATENATE(VLOOKUP(AI32, 'Voxel Sizes'!$A$2:$B$18,2,FALSE),"x",INT(AE32*15), "x", INT(AF32*15))</f>
        <v>66x0x0</v>
      </c>
      <c r="AI32" s="14">
        <f t="shared" si="1"/>
        <v>4</v>
      </c>
      <c r="AK32" s="14" t="str">
        <f>CONCATENATE(VLOOKUP(AI32,Constants!$A$2:$C$16,IF(AJ32&lt;&gt;"", 3, 2), FALSE),IF(AJ32&lt;&gt;"",CONCATENATE(",",VLOOKUP(AJ32,$B:$AK,36,FALSE)),""))</f>
        <v>1,2,1</v>
      </c>
      <c r="AU32">
        <v>80</v>
      </c>
      <c r="AV32" s="14" t="str">
        <f t="shared" si="2"/>
        <v/>
      </c>
      <c r="AW32">
        <v>-15</v>
      </c>
      <c r="AX32">
        <v>-3</v>
      </c>
      <c r="AY32" s="16">
        <f t="shared" si="3"/>
        <v>6</v>
      </c>
      <c r="AZ32" s="16">
        <f t="shared" si="4"/>
        <v>0</v>
      </c>
      <c r="BA32" s="16">
        <f t="shared" si="5"/>
        <v>0</v>
      </c>
      <c r="BB32" s="17">
        <f t="shared" si="6"/>
        <v>1</v>
      </c>
      <c r="BC32" s="16">
        <f t="shared" si="7"/>
        <v>2</v>
      </c>
      <c r="BD32" s="16">
        <f>VLOOKUP($E32,Constants!$I:$K, 2, FALSE)</f>
        <v>1</v>
      </c>
      <c r="BE32" s="16">
        <f>VLOOKUP($E32,Constants!$I:$K, 3, FALSE)*IF(AND(D32="multiple_unit",Y32&lt;110),0.75,1)</f>
        <v>0.45</v>
      </c>
      <c r="BF32" s="16">
        <f>INT(POWER(((Constants!$G$2+$AY32+$AZ32+$BA32+$BC32)*$BB32)*$BE32, 1.05))+$AX32</f>
        <v>3</v>
      </c>
      <c r="BG32" s="16">
        <f>INT(POWER((((Constants!$G$1+$AY32+$AZ32+$BA32+$BC32)*($BB32))*$BD32),IF($D32="wagon",1,1.2)))+$AW32</f>
        <v>8</v>
      </c>
      <c r="BH32" s="19">
        <f t="shared" si="8"/>
        <v>187.5</v>
      </c>
      <c r="BI32" s="19">
        <f t="shared" si="9"/>
        <v>21.84</v>
      </c>
      <c r="BP32">
        <v>1</v>
      </c>
      <c r="BQ32">
        <v>185</v>
      </c>
      <c r="BR32" t="s">
        <v>282</v>
      </c>
      <c r="BS32" t="s">
        <v>283</v>
      </c>
      <c r="BT32" s="22" t="str">
        <f>VLOOKUP(G32,Eras!$A$2:$C$10, 2, TRUE)</f>
        <v>vct</v>
      </c>
      <c r="BU32" t="s">
        <v>75</v>
      </c>
      <c r="BV32" s="22" t="str">
        <f t="shared" si="10"/>
        <v>vct_Open Wagon</v>
      </c>
      <c r="BW32" s="22" t="str">
        <f t="shared" si="11"/>
        <v>wagon_NARROW_GAUGE</v>
      </c>
      <c r="BX32" s="22" t="str">
        <f>VLOOKUP($BW32, Constants!$M:$N, 2, FALSE)</f>
        <v/>
      </c>
      <c r="BY32" s="22" t="str">
        <f t="shared" si="12"/>
        <v/>
      </c>
      <c r="BZ32" t="s">
        <v>292</v>
      </c>
      <c r="CA32" s="22" t="str">
        <f t="shared" si="13"/>
        <v/>
      </c>
      <c r="CB32" s="22" t="str">
        <f t="shared" si="14"/>
        <v>{SILVER}A van for carrying livestock on narrow gauge railways.</v>
      </c>
    </row>
    <row r="33" spans="1:80" x14ac:dyDescent="0.25">
      <c r="A33" t="s">
        <v>265</v>
      </c>
      <c r="B33" t="s">
        <v>273</v>
      </c>
      <c r="C33">
        <v>92</v>
      </c>
      <c r="D33" t="s">
        <v>32</v>
      </c>
      <c r="E33" t="s">
        <v>32</v>
      </c>
      <c r="F33" t="s">
        <v>338</v>
      </c>
      <c r="G33">
        <v>1800</v>
      </c>
      <c r="I33">
        <v>1900</v>
      </c>
      <c r="T33">
        <v>1</v>
      </c>
      <c r="V33">
        <v>3</v>
      </c>
      <c r="X33" s="3" t="str">
        <f t="shared" si="0"/>
        <v/>
      </c>
      <c r="Y33">
        <v>25</v>
      </c>
      <c r="Z33">
        <f t="shared" si="48"/>
        <v>40</v>
      </c>
      <c r="AC33">
        <v>4.9000000000000004</v>
      </c>
      <c r="AD33">
        <v>6</v>
      </c>
      <c r="AG33" s="9">
        <v>12</v>
      </c>
      <c r="AH33" s="14" t="str">
        <f>CONCATENATE(VLOOKUP(AI33, 'Voxel Sizes'!$A$2:$B$18,2,FALSE),"x",INT(AE33*15), "x", INT(AF33*15))</f>
        <v>66x0x0</v>
      </c>
      <c r="AI33" s="14">
        <f t="shared" si="1"/>
        <v>4</v>
      </c>
      <c r="AK33" s="14" t="str">
        <f>CONCATENATE(VLOOKUP(AI33,Constants!$A$2:$C$16,IF(AJ33&lt;&gt;"", 3, 2), FALSE),IF(AJ33&lt;&gt;"",CONCATENATE(",",VLOOKUP(AJ33,$B:$AK,36,FALSE)),""))</f>
        <v>1,2,1</v>
      </c>
      <c r="AU33">
        <v>80</v>
      </c>
      <c r="AV33" s="14">
        <f t="shared" si="2"/>
        <v>108</v>
      </c>
      <c r="AW33">
        <v>-15</v>
      </c>
      <c r="AX33">
        <v>-3</v>
      </c>
      <c r="AY33" s="16">
        <f t="shared" si="3"/>
        <v>5</v>
      </c>
      <c r="AZ33" s="16">
        <f t="shared" si="4"/>
        <v>0</v>
      </c>
      <c r="BA33" s="16">
        <f t="shared" si="5"/>
        <v>0</v>
      </c>
      <c r="BB33" s="17">
        <f t="shared" si="6"/>
        <v>1</v>
      </c>
      <c r="BC33" s="16">
        <f t="shared" si="7"/>
        <v>2</v>
      </c>
      <c r="BD33" s="16">
        <f>VLOOKUP($E33,Constants!$I:$K, 2, FALSE)</f>
        <v>1</v>
      </c>
      <c r="BE33" s="16">
        <f>VLOOKUP($E33,Constants!$I:$K, 3, FALSE)*IF(AND(D33="multiple_unit",Y33&lt;110),0.75,1)</f>
        <v>0.45</v>
      </c>
      <c r="BF33" s="16">
        <f>INT(POWER(((Constants!$G$2+$AY33+$AZ33+$BA33+$BC33)*$BB33)*$BE33, 1.05))+$AX33</f>
        <v>2</v>
      </c>
      <c r="BG33" s="16">
        <f>INT(POWER((((Constants!$G$1+$AY33+$AZ33+$BA33+$BC33)*($BB33))*$BD33),IF($D33="wagon",1,1.2)))+$AW33</f>
        <v>7</v>
      </c>
      <c r="BH33" s="19">
        <f t="shared" si="8"/>
        <v>125</v>
      </c>
      <c r="BI33" s="19">
        <f t="shared" si="9"/>
        <v>19.11</v>
      </c>
      <c r="BP33">
        <v>1</v>
      </c>
      <c r="BQ33">
        <v>185</v>
      </c>
      <c r="BR33" t="s">
        <v>77</v>
      </c>
      <c r="BS33" t="s">
        <v>284</v>
      </c>
      <c r="BT33" s="22" t="str">
        <f>VLOOKUP(G33,Eras!$A$2:$C$10, 2, TRUE)</f>
        <v>early</v>
      </c>
      <c r="BU33" t="s">
        <v>75</v>
      </c>
      <c r="BV33" s="22" t="str">
        <f t="shared" si="10"/>
        <v>early_Open Wagon</v>
      </c>
      <c r="BW33" s="22" t="str">
        <f t="shared" si="11"/>
        <v>wagon_NARROW_GAUGE</v>
      </c>
      <c r="BX33" s="22" t="str">
        <f>VLOOKUP($BW33, Constants!$M:$N, 2, FALSE)</f>
        <v/>
      </c>
      <c r="BY33" s="22" t="str">
        <f t="shared" si="12"/>
        <v/>
      </c>
      <c r="BZ33" t="s">
        <v>294</v>
      </c>
      <c r="CA33" s="22" t="str">
        <f t="shared" si="13"/>
        <v/>
      </c>
      <c r="CB33" s="22" t="str">
        <f t="shared" si="14"/>
        <v>{SILVER}Like their larger counterparts, narrow gauge railways built many vans for carrying piece goods.</v>
      </c>
    </row>
    <row r="34" spans="1:80" x14ac:dyDescent="0.25">
      <c r="A34" t="s">
        <v>266</v>
      </c>
      <c r="B34" t="s">
        <v>272</v>
      </c>
      <c r="C34">
        <v>93</v>
      </c>
      <c r="D34" t="s">
        <v>32</v>
      </c>
      <c r="E34" t="s">
        <v>32</v>
      </c>
      <c r="F34" t="s">
        <v>338</v>
      </c>
      <c r="G34">
        <v>1860</v>
      </c>
      <c r="T34">
        <v>3</v>
      </c>
      <c r="V34">
        <v>4</v>
      </c>
      <c r="X34" s="3" t="str">
        <f t="shared" si="0"/>
        <v/>
      </c>
      <c r="Y34">
        <v>35</v>
      </c>
      <c r="Z34">
        <f t="shared" si="48"/>
        <v>56</v>
      </c>
      <c r="AC34">
        <v>4.9000000000000004</v>
      </c>
      <c r="AD34">
        <v>6</v>
      </c>
      <c r="AG34" s="9">
        <v>15</v>
      </c>
      <c r="AH34" s="14" t="str">
        <f>CONCATENATE(VLOOKUP(AI34, 'Voxel Sizes'!$A$2:$B$18,2,FALSE),"x",INT(AE34*15), "x", INT(AF34*15))</f>
        <v>66x0x0</v>
      </c>
      <c r="AI34" s="14">
        <f t="shared" si="1"/>
        <v>4</v>
      </c>
      <c r="AK34" s="14" t="str">
        <f>CONCATENATE(VLOOKUP(AI34,Constants!$A$2:$C$16,IF(AJ34&lt;&gt;"", 3, 2), FALSE),IF(AJ34&lt;&gt;"",CONCATENATE(",",VLOOKUP(AJ34,$B:$AK,36,FALSE)),""))</f>
        <v>1,2,1</v>
      </c>
      <c r="AU34">
        <v>80</v>
      </c>
      <c r="AV34" s="14" t="str">
        <f t="shared" si="2"/>
        <v/>
      </c>
      <c r="AW34">
        <v>-14</v>
      </c>
      <c r="AX34">
        <v>-3</v>
      </c>
      <c r="AY34" s="16">
        <f t="shared" si="3"/>
        <v>7</v>
      </c>
      <c r="AZ34" s="16">
        <f t="shared" si="4"/>
        <v>0</v>
      </c>
      <c r="BA34" s="16">
        <f t="shared" si="5"/>
        <v>0</v>
      </c>
      <c r="BB34" s="17">
        <f t="shared" si="6"/>
        <v>1</v>
      </c>
      <c r="BC34" s="16">
        <f t="shared" si="7"/>
        <v>2.5</v>
      </c>
      <c r="BD34" s="16">
        <f>VLOOKUP($E34,Constants!$I:$K, 2, FALSE)</f>
        <v>1</v>
      </c>
      <c r="BE34" s="16">
        <f>VLOOKUP($E34,Constants!$I:$K, 3, FALSE)*IF(AND(D34="multiple_unit",Y34&lt;110),0.75,1)</f>
        <v>0.45</v>
      </c>
      <c r="BF34" s="16">
        <f>INT(POWER(((Constants!$G$2+$AY34+$AZ34+$BA34+$BC34)*$BB34)*$BE34, 1.05))+$AX34</f>
        <v>4</v>
      </c>
      <c r="BG34" s="16">
        <f>INT(POWER((((Constants!$G$1+$AY34+$AZ34+$BA34+$BC34)*($BB34))*$BD34),IF($D34="wagon",1,1.2)))+$AW34</f>
        <v>10</v>
      </c>
      <c r="BH34" s="19">
        <f t="shared" si="8"/>
        <v>250</v>
      </c>
      <c r="BI34" s="19">
        <f t="shared" si="9"/>
        <v>27.3</v>
      </c>
      <c r="BP34">
        <v>1</v>
      </c>
      <c r="BQ34">
        <v>185</v>
      </c>
      <c r="BR34" t="s">
        <v>77</v>
      </c>
      <c r="BS34" t="s">
        <v>331</v>
      </c>
      <c r="BT34" s="22" t="str">
        <f>VLOOKUP(G34,Eras!$A$2:$C$10, 2, TRUE)</f>
        <v>vct</v>
      </c>
      <c r="BU34" t="s">
        <v>75</v>
      </c>
      <c r="BV34" s="22" t="str">
        <f t="shared" si="10"/>
        <v>vct_Open Wagon</v>
      </c>
      <c r="BW34" s="22" t="str">
        <f t="shared" si="11"/>
        <v>wagon_NARROW_GAUGE</v>
      </c>
      <c r="BX34" s="22" t="str">
        <f>VLOOKUP($BW34, Constants!$M:$N, 2, FALSE)</f>
        <v/>
      </c>
      <c r="BY34" s="22" t="str">
        <f t="shared" si="12"/>
        <v/>
      </c>
      <c r="BZ34" t="s">
        <v>295</v>
      </c>
      <c r="CA34" s="22" t="str">
        <f t="shared" si="13"/>
        <v/>
      </c>
      <c r="CB34" s="22" t="str">
        <f t="shared" si="14"/>
        <v>{SILVER}Gunpowder vans carried explosives to the quarries served by narrow gauge railways. This example has solid iron construction.</v>
      </c>
    </row>
    <row r="35" spans="1:80" x14ac:dyDescent="0.25">
      <c r="A35" t="s">
        <v>267</v>
      </c>
      <c r="B35" t="s">
        <v>274</v>
      </c>
      <c r="C35">
        <v>94</v>
      </c>
      <c r="D35" t="s">
        <v>32</v>
      </c>
      <c r="E35" t="s">
        <v>32</v>
      </c>
      <c r="F35" t="s">
        <v>338</v>
      </c>
      <c r="G35">
        <v>1870</v>
      </c>
      <c r="T35">
        <v>2</v>
      </c>
      <c r="V35">
        <v>4</v>
      </c>
      <c r="X35" s="3" t="str">
        <f t="shared" si="0"/>
        <v/>
      </c>
      <c r="Y35">
        <v>35</v>
      </c>
      <c r="Z35">
        <f t="shared" si="48"/>
        <v>56</v>
      </c>
      <c r="AC35">
        <v>4.9000000000000004</v>
      </c>
      <c r="AD35">
        <v>6</v>
      </c>
      <c r="AG35" s="9">
        <v>15</v>
      </c>
      <c r="AH35" s="14" t="str">
        <f>CONCATENATE(VLOOKUP(AI35, 'Voxel Sizes'!$A$2:$B$18,2,FALSE),"x",INT(AE35*15), "x", INT(AF35*15))</f>
        <v>66x0x0</v>
      </c>
      <c r="AI35" s="14">
        <f t="shared" si="1"/>
        <v>4</v>
      </c>
      <c r="AK35" s="14" t="str">
        <f>CONCATENATE(VLOOKUP(AI35,Constants!$A$2:$C$16,IF(AJ35&lt;&gt;"", 3, 2), FALSE),IF(AJ35&lt;&gt;"",CONCATENATE(",",VLOOKUP(AJ35,$B:$AK,36,FALSE)),""))</f>
        <v>1,2,1</v>
      </c>
      <c r="AU35">
        <v>80</v>
      </c>
      <c r="AV35" s="14" t="str">
        <f t="shared" si="2"/>
        <v/>
      </c>
      <c r="AW35">
        <v>-15</v>
      </c>
      <c r="AX35">
        <v>-3</v>
      </c>
      <c r="AY35" s="16">
        <f t="shared" si="3"/>
        <v>7</v>
      </c>
      <c r="AZ35" s="16">
        <f t="shared" si="4"/>
        <v>0</v>
      </c>
      <c r="BA35" s="16">
        <f t="shared" si="5"/>
        <v>0</v>
      </c>
      <c r="BB35" s="17">
        <f t="shared" si="6"/>
        <v>1</v>
      </c>
      <c r="BC35" s="16">
        <f t="shared" si="7"/>
        <v>2.5</v>
      </c>
      <c r="BD35" s="16">
        <f>VLOOKUP($E35,Constants!$I:$K, 2, FALSE)</f>
        <v>1</v>
      </c>
      <c r="BE35" s="16">
        <f>VLOOKUP($E35,Constants!$I:$K, 3, FALSE)*IF(AND(D35="multiple_unit",Y35&lt;110),0.75,1)</f>
        <v>0.45</v>
      </c>
      <c r="BF35" s="16">
        <f>INT(POWER(((Constants!$G$2+$AY35+$AZ35+$BA35+$BC35)*$BB35)*$BE35, 1.05))+$AX35</f>
        <v>4</v>
      </c>
      <c r="BG35" s="16">
        <f>INT(POWER((((Constants!$G$1+$AY35+$AZ35+$BA35+$BC35)*($BB35))*$BD35),IF($D35="wagon",1,1.2)))+$AW35</f>
        <v>9</v>
      </c>
      <c r="BH35" s="19">
        <f t="shared" si="8"/>
        <v>250</v>
      </c>
      <c r="BI35" s="19">
        <f t="shared" si="9"/>
        <v>24.57</v>
      </c>
      <c r="BP35">
        <v>1</v>
      </c>
      <c r="BQ35">
        <v>185</v>
      </c>
      <c r="BR35" t="s">
        <v>77</v>
      </c>
      <c r="BS35" t="s">
        <v>284</v>
      </c>
      <c r="BT35" s="22" t="str">
        <f>VLOOKUP(G35,Eras!$A$2:$C$10, 2, TRUE)</f>
        <v>vct</v>
      </c>
      <c r="BU35" t="s">
        <v>75</v>
      </c>
      <c r="BV35" s="22" t="str">
        <f t="shared" si="10"/>
        <v>vct_Open Wagon</v>
      </c>
      <c r="BW35" s="22" t="str">
        <f t="shared" si="11"/>
        <v>wagon_NARROW_GAUGE</v>
      </c>
      <c r="BX35" s="22" t="str">
        <f>VLOOKUP($BW35, Constants!$M:$N, 2, FALSE)</f>
        <v/>
      </c>
      <c r="BY35" s="22" t="str">
        <f t="shared" si="12"/>
        <v/>
      </c>
      <c r="BZ35" t="s">
        <v>296</v>
      </c>
      <c r="CA35" s="22" t="str">
        <f t="shared" si="13"/>
        <v/>
      </c>
      <c r="CB35" s="22" t="str">
        <f t="shared" si="14"/>
        <v>{SILVER}Later vans used iron frames to increase their strength and enable running at faster speeds.</v>
      </c>
    </row>
    <row r="36" spans="1:80" x14ac:dyDescent="0.25">
      <c r="A36" t="s">
        <v>469</v>
      </c>
      <c r="B36" t="s">
        <v>472</v>
      </c>
      <c r="C36">
        <v>95</v>
      </c>
      <c r="D36" t="s">
        <v>32</v>
      </c>
      <c r="E36" t="s">
        <v>32</v>
      </c>
      <c r="F36" t="s">
        <v>338</v>
      </c>
      <c r="G36">
        <v>1800</v>
      </c>
      <c r="I36">
        <v>1880</v>
      </c>
      <c r="T36">
        <v>1</v>
      </c>
      <c r="V36">
        <v>3</v>
      </c>
      <c r="X36" s="3" t="str">
        <f t="shared" ref="X36" si="49">IF(AND(T36&gt;0,W36&gt;0),(W36/((T36+U36)*10)),"")</f>
        <v/>
      </c>
      <c r="Y36">
        <v>45</v>
      </c>
      <c r="Z36">
        <f t="shared" ref="Z36" si="50">ROUND(Y36*1.6, 0)</f>
        <v>72</v>
      </c>
      <c r="AC36">
        <v>4.9000000000000004</v>
      </c>
      <c r="AD36">
        <v>6</v>
      </c>
      <c r="AG36" s="9">
        <v>0</v>
      </c>
      <c r="AH36" s="14" t="str">
        <f>CONCATENATE(VLOOKUP(AI36, 'Voxel Sizes'!$A$2:$B$18,2,FALSE),"x",INT(AE36*15), "x", INT(AF36*15))</f>
        <v>66x0x0</v>
      </c>
      <c r="AI36" s="14">
        <f t="shared" ref="AI36" si="51">ROUND(15*((AD36*10)/256),0)</f>
        <v>4</v>
      </c>
      <c r="AK36" s="14" t="str">
        <f>CONCATENATE(VLOOKUP(AI36,Constants!$A$2:$C$16,IF(AJ36&lt;&gt;"", 3, 2), FALSE),IF(AJ36&lt;&gt;"",CONCATENATE(",",VLOOKUP(AJ36,$B:$AK,36,FALSE)),""))</f>
        <v>1,2,1</v>
      </c>
      <c r="AU36">
        <v>80</v>
      </c>
      <c r="AV36" s="14">
        <f t="shared" ref="AV36" si="52">IF(I36&lt;&gt;"",MAX(16,(I36-G36)+8),"")</f>
        <v>88</v>
      </c>
      <c r="AW36">
        <v>-5</v>
      </c>
      <c r="AX36">
        <v>-2</v>
      </c>
      <c r="AY36" s="16">
        <f t="shared" ref="AY36" si="53">MIN(Y36/150, 1)*30</f>
        <v>9</v>
      </c>
      <c r="AZ36" s="16">
        <f t="shared" ref="AZ36" si="54">MIN(K36/4000, 1)*20</f>
        <v>0</v>
      </c>
      <c r="BA36" s="16">
        <f t="shared" ref="BA36" si="55">MIN(W36/400,1)*20</f>
        <v>0</v>
      </c>
      <c r="BB36" s="17">
        <f t="shared" ref="BB36" si="56">1-(MAX(G36-1900, 0)/750)</f>
        <v>1</v>
      </c>
      <c r="BC36" s="16">
        <f t="shared" ref="BC36" si="57">((MAX($J36,1)*MIN($AG36/300,1)))*IF(D36="Wagon",50,10)</f>
        <v>0</v>
      </c>
      <c r="BD36" s="16">
        <f>VLOOKUP($E36,Constants!$I:$K, 2, FALSE)</f>
        <v>1</v>
      </c>
      <c r="BE36" s="16">
        <f>VLOOKUP($E36,Constants!$I:$K, 3, FALSE)*IF(AND(D36="multiple_unit",Y36&lt;110),0.75,1)</f>
        <v>0.45</v>
      </c>
      <c r="BF36" s="16">
        <f>INT(POWER(((Constants!$G$2+$AY36+$AZ36+$BA36+$BC36)*$BB36)*$BE36, 1.05))+$AX36</f>
        <v>4</v>
      </c>
      <c r="BG36" s="16">
        <f>INT(POWER((((Constants!$G$1+$AY36+$AZ36+$BA36+$BC36)*($BB36))*$BD36),IF($D36="wagon",1,1.2)))+$AW36</f>
        <v>19</v>
      </c>
      <c r="BH36" s="19">
        <f t="shared" ref="BH36" si="58">BF36*IF($D36="wagon",62.5,781.25)</f>
        <v>250</v>
      </c>
      <c r="BI36" s="19">
        <f t="shared" ref="BI36" si="59">BG36*IF($D36="wagon",2.73,81.25)</f>
        <v>51.87</v>
      </c>
      <c r="BP36">
        <v>1</v>
      </c>
      <c r="BQ36">
        <v>185</v>
      </c>
      <c r="BR36" t="s">
        <v>473</v>
      </c>
      <c r="BS36" t="s">
        <v>470</v>
      </c>
      <c r="BT36" s="22" t="str">
        <f>VLOOKUP(G36,Eras!$A$2:$C$10, 2, TRUE)</f>
        <v>early</v>
      </c>
      <c r="BU36" t="s">
        <v>75</v>
      </c>
      <c r="BV36" s="22" t="str">
        <f t="shared" ref="BV36" si="60">CONCATENATE(BT36,"_",BU36)</f>
        <v>early_Open Wagon</v>
      </c>
      <c r="BW36" s="22" t="str">
        <f t="shared" ref="BW36" si="61">_xlfn.CONCAT(E36, "_",F36)</f>
        <v>wagon_NARROW_GAUGE</v>
      </c>
      <c r="BX36" s="22" t="str">
        <f>VLOOKUP($BW36, Constants!$M:$N, 2, FALSE)</f>
        <v/>
      </c>
      <c r="BY36" s="22" t="str">
        <f t="shared" ref="BY36" si="62">IF(J36&gt;1,_xlfn.CONCAT("{BLACK}Cars: {GOLD}", J36),"")</f>
        <v/>
      </c>
      <c r="BZ36" t="s">
        <v>471</v>
      </c>
      <c r="CA36" s="22" t="str">
        <f>IF(BS36="DANDY","{YELLOW}Faster downhill speeds for horse-drawn trains (1 required per 2 horses){}",IF(BS36="BRAKE","{YELLOW}Speed bonus for slow wagons{}",IF(BR36="NGPassengers","{YELLOW}Preserved railway bonus: passengers pay more when hauled by old locomotives{}",IF(BQ36&gt;190,CONCATENATE("{YELLOW}",INT((BQ36-185)/1.85),"% Bonus for long distance travel{}"),IF(AND(BQ36&lt;180,BQ36&lt;&gt;0),CONCATENATE("{YELLOW}",INT((185-BQ36)/1.85),"% Penalty for long distance travel{}"),"")))))</f>
        <v>{YELLOW}Faster downhill speeds for horse-drawn trains (1 required per 2 horses){}</v>
      </c>
      <c r="CB36" s="22" t="str">
        <f t="shared" ref="CB36" si="63">_xlfn.CONCAT(BX36,IF(BX36 &lt;&gt; "", " ", ""),BY36,IF(OR(BY36&lt;&gt;"", BX36&lt;&gt;""), "{}",""), CA36,"{SILVER}", BZ36)</f>
        <v>{YELLOW}Faster downhill speeds for horse-drawn trains (1 required per 2 horses){}{SILVER}Early gravity railways sent cargo downhill with horses riding in dandy wagons. At the bottom the horses would be unloaded and used to haul the empty train back up the hill.</v>
      </c>
    </row>
    <row r="37" spans="1:80" x14ac:dyDescent="0.25">
      <c r="A37" t="s">
        <v>230</v>
      </c>
      <c r="B37" t="s">
        <v>225</v>
      </c>
      <c r="C37">
        <v>1061</v>
      </c>
      <c r="D37" t="s">
        <v>32</v>
      </c>
      <c r="E37" t="s">
        <v>159</v>
      </c>
      <c r="F37" t="s">
        <v>28</v>
      </c>
      <c r="G37">
        <v>1906</v>
      </c>
      <c r="I37">
        <v>1955</v>
      </c>
      <c r="T37">
        <v>31</v>
      </c>
      <c r="V37">
        <v>6</v>
      </c>
      <c r="X37" s="3" t="str">
        <f t="shared" si="0"/>
        <v/>
      </c>
      <c r="Y37">
        <v>100</v>
      </c>
      <c r="Z37">
        <f t="shared" si="48"/>
        <v>160</v>
      </c>
      <c r="AC37">
        <v>17.7</v>
      </c>
      <c r="AD37">
        <v>17.7</v>
      </c>
      <c r="AE37">
        <v>2.83</v>
      </c>
      <c r="AF37">
        <v>3.79</v>
      </c>
      <c r="AG37" s="9">
        <v>57</v>
      </c>
      <c r="AH37" s="14" t="str">
        <f>CONCATENATE(VLOOKUP(AI37, 'Voxel Sizes'!$A$2:$B$18,2,FALSE),"x",INT(AE37*15), "x", INT(AF37*15))</f>
        <v>164x42x56</v>
      </c>
      <c r="AI37" s="14">
        <f t="shared" si="1"/>
        <v>10</v>
      </c>
      <c r="AK37" s="14" t="str">
        <f>CONCATENATE(VLOOKUP(AI37,Constants!$A$2:$C$16,IF(AJ37&lt;&gt;"", 3, 2), FALSE),IF(AJ37&lt;&gt;"",CONCATENATE(",",VLOOKUP(AJ37,$B:$AK,36,FALSE)),""))</f>
        <v>4,2,4</v>
      </c>
      <c r="AU37">
        <v>30</v>
      </c>
      <c r="AV37" s="14">
        <f t="shared" si="2"/>
        <v>57</v>
      </c>
      <c r="AW37">
        <v>72</v>
      </c>
      <c r="AX37">
        <f>20*3</f>
        <v>60</v>
      </c>
      <c r="AY37" s="16">
        <f t="shared" si="3"/>
        <v>20</v>
      </c>
      <c r="AZ37" s="16">
        <f t="shared" si="4"/>
        <v>0</v>
      </c>
      <c r="BA37" s="16">
        <f t="shared" si="5"/>
        <v>0</v>
      </c>
      <c r="BB37" s="17">
        <f t="shared" si="6"/>
        <v>0.99199999999999999</v>
      </c>
      <c r="BC37" s="16">
        <f t="shared" si="7"/>
        <v>9.5</v>
      </c>
      <c r="BD37" s="16">
        <f>VLOOKUP($E37,Constants!$I:$K, 2, FALSE)</f>
        <v>1.2</v>
      </c>
      <c r="BE37" s="16">
        <f>VLOOKUP($E37,Constants!$I:$K, 3, FALSE)*IF(AND(D37="multiple_unit",Y37&lt;110),0.75,1)</f>
        <v>0.6</v>
      </c>
      <c r="BF37" s="16">
        <f>INT(POWER(((Constants!$G$2+$AY37+$AZ37+$BA37+$BC37)*$BB37)*$BE37, 1.05))+$AX37</f>
        <v>83</v>
      </c>
      <c r="BG37" s="16">
        <f>INT(POWER((((Constants!$G$1+$AY37+$AZ37+$BA37+$BC37)*($BB37))*$BD37),IF($D37="wagon",1,1.2)))+$AW37</f>
        <v>124</v>
      </c>
      <c r="BH37" s="19">
        <f t="shared" si="8"/>
        <v>5187.5</v>
      </c>
      <c r="BI37" s="19">
        <f t="shared" si="9"/>
        <v>338.52</v>
      </c>
      <c r="BP37">
        <v>1</v>
      </c>
      <c r="BQ37">
        <v>165</v>
      </c>
      <c r="BR37" t="s">
        <v>142</v>
      </c>
      <c r="BS37" t="s">
        <v>34</v>
      </c>
      <c r="BT37" s="22" t="str">
        <f>VLOOKUP(G37,Eras!$A$2:$C$10, 2, TRUE)</f>
        <v>edw</v>
      </c>
      <c r="BU37" t="s">
        <v>70</v>
      </c>
      <c r="BV37" s="22" t="str">
        <f t="shared" si="10"/>
        <v>edw_Carriage</v>
      </c>
      <c r="BW37" s="22" t="str">
        <f t="shared" si="11"/>
        <v>carriage_RAIL</v>
      </c>
      <c r="BX37" s="22" t="str">
        <f>VLOOKUP($BW37, Constants!$M:$N, 2, FALSE)</f>
        <v/>
      </c>
      <c r="BY37" s="22" t="str">
        <f t="shared" si="12"/>
        <v/>
      </c>
      <c r="BZ37" t="s">
        <v>228</v>
      </c>
      <c r="CA37" s="22" t="str">
        <f t="shared" ref="CA37:CA73" si="64">IF(BS37="DANDY","{YELLOW}Faster downhill speeds for horse-drawn trains (1 required per 2 horses){}",IF(BS37="BRAKE","{YELLOW}Speed bonus for slow wagons{}",IF(BR37="NGPassengers","{YELLOW}Preserved railway bonus: passengers pay more when hauled by old locomotives{}",IF(BQ37&gt;190,CONCATENATE("{YELLOW}",INT((BQ37-185)/1.85),"% Bonus for long distance travel{}"),IF(AND(BQ37&lt;180,BQ37&lt;&gt;0),CONCATENATE("{YELLOW}",INT((185-BQ37)/1.85),"% Penalty for long distance travel{}"),"")))))</f>
        <v>{YELLOW}10% Penalty for long distance travel{}</v>
      </c>
      <c r="CB37" s="22" t="str">
        <f t="shared" si="14"/>
        <v>{YELLOW}10% Penalty for long distance travel{}{SILVER}Non-corridor carriages allow greater seating density, at the cost of passenger comfort.</v>
      </c>
    </row>
    <row r="38" spans="1:80" x14ac:dyDescent="0.25">
      <c r="A38" t="s">
        <v>226</v>
      </c>
      <c r="B38" t="s">
        <v>227</v>
      </c>
      <c r="C38">
        <v>1521</v>
      </c>
      <c r="D38" t="s">
        <v>32</v>
      </c>
      <c r="E38" t="s">
        <v>159</v>
      </c>
      <c r="F38" t="s">
        <v>28</v>
      </c>
      <c r="G38">
        <v>1952</v>
      </c>
      <c r="H38">
        <v>1963</v>
      </c>
      <c r="I38">
        <v>1977</v>
      </c>
      <c r="T38">
        <v>30</v>
      </c>
      <c r="V38">
        <v>6</v>
      </c>
      <c r="X38" s="3" t="str">
        <f t="shared" si="0"/>
        <v/>
      </c>
      <c r="Y38">
        <v>100</v>
      </c>
      <c r="Z38">
        <f t="shared" si="48"/>
        <v>160</v>
      </c>
      <c r="AC38">
        <v>19.3</v>
      </c>
      <c r="AD38">
        <v>20</v>
      </c>
      <c r="AG38" s="9">
        <v>66</v>
      </c>
      <c r="AH38" s="14" t="str">
        <f>CONCATENATE(VLOOKUP(AI38, 'Voxel Sizes'!$A$2:$B$18,2,FALSE),"x",INT(AE38*15), "x", INT(AF38*15))</f>
        <v>198x0x0</v>
      </c>
      <c r="AI38" s="14">
        <f t="shared" si="1"/>
        <v>12</v>
      </c>
      <c r="AK38" s="14" t="str">
        <f>CONCATENATE(VLOOKUP(AI38,Constants!$A$2:$C$16,IF(AJ38&lt;&gt;"", 3, 2), FALSE),IF(AJ38&lt;&gt;"",CONCATENATE(",",VLOOKUP(AJ38,$B:$AK,36,FALSE)),""))</f>
        <v>4,4,4</v>
      </c>
      <c r="AU38">
        <v>30</v>
      </c>
      <c r="AV38" s="14">
        <f t="shared" si="2"/>
        <v>33</v>
      </c>
      <c r="AW38">
        <v>76</v>
      </c>
      <c r="AX38">
        <f>23*3</f>
        <v>69</v>
      </c>
      <c r="AY38" s="16">
        <f t="shared" si="3"/>
        <v>20</v>
      </c>
      <c r="AZ38" s="16">
        <f t="shared" si="4"/>
        <v>0</v>
      </c>
      <c r="BA38" s="16">
        <f t="shared" si="5"/>
        <v>0</v>
      </c>
      <c r="BB38" s="17">
        <f t="shared" si="6"/>
        <v>0.93066666666666664</v>
      </c>
      <c r="BC38" s="16">
        <f t="shared" si="7"/>
        <v>11</v>
      </c>
      <c r="BD38" s="16">
        <f>VLOOKUP($E38,Constants!$I:$K, 2, FALSE)</f>
        <v>1.2</v>
      </c>
      <c r="BE38" s="16">
        <f>VLOOKUP($E38,Constants!$I:$K, 3, FALSE)*IF(AND(D38="multiple_unit",Y38&lt;110),0.75,1)</f>
        <v>0.6</v>
      </c>
      <c r="BF38" s="16">
        <f>INT(POWER(((Constants!$G$2+$AY38+$AZ38+$BA38+$BC38)*$BB38)*$BE38, 1.05))+$AX38</f>
        <v>92</v>
      </c>
      <c r="BG38" s="16">
        <f>INT(POWER((((Constants!$G$1+$AY38+$AZ38+$BA38+$BC38)*($BB38))*$BD38),IF($D38="wagon",1,1.2)))+$AW38</f>
        <v>127</v>
      </c>
      <c r="BH38" s="19">
        <f t="shared" si="8"/>
        <v>5750</v>
      </c>
      <c r="BI38" s="19">
        <f t="shared" si="9"/>
        <v>346.71</v>
      </c>
      <c r="BP38">
        <v>1</v>
      </c>
      <c r="BQ38">
        <v>165</v>
      </c>
      <c r="BR38" t="s">
        <v>142</v>
      </c>
      <c r="BS38" t="s">
        <v>34</v>
      </c>
      <c r="BT38" s="22" t="str">
        <f>VLOOKUP(G38,Eras!$A$2:$C$10, 2, TRUE)</f>
        <v>ebr</v>
      </c>
      <c r="BU38" t="s">
        <v>70</v>
      </c>
      <c r="BV38" s="22" t="str">
        <f t="shared" si="10"/>
        <v>ebr_Carriage</v>
      </c>
      <c r="BW38" s="22" t="str">
        <f t="shared" si="11"/>
        <v>carriage_RAIL</v>
      </c>
      <c r="BX38" s="22" t="str">
        <f>VLOOKUP($BW38, Constants!$M:$N, 2, FALSE)</f>
        <v/>
      </c>
      <c r="BY38" s="22" t="str">
        <f t="shared" si="12"/>
        <v/>
      </c>
      <c r="BZ38" t="s">
        <v>229</v>
      </c>
      <c r="CA38" s="22" t="str">
        <f t="shared" si="64"/>
        <v>{YELLOW}10% Penalty for long distance travel{}</v>
      </c>
      <c r="CB38" s="22" t="str">
        <f t="shared" si="14"/>
        <v>{YELLOW}10% Penalty for long distance travel{}{SILVER}BR built many suburban MK1 carriages with no gangways, although typically only one or two would be used per train across most of the country.</v>
      </c>
    </row>
    <row r="39" spans="1:80" x14ac:dyDescent="0.25">
      <c r="A39" t="s">
        <v>352</v>
      </c>
      <c r="B39" t="s">
        <v>353</v>
      </c>
      <c r="C39">
        <v>1731</v>
      </c>
      <c r="D39" t="s">
        <v>32</v>
      </c>
      <c r="E39" t="s">
        <v>159</v>
      </c>
      <c r="F39" t="s">
        <v>28</v>
      </c>
      <c r="G39">
        <v>1973</v>
      </c>
      <c r="T39">
        <v>40</v>
      </c>
      <c r="V39">
        <v>5</v>
      </c>
      <c r="X39" s="3" t="str">
        <f t="shared" ref="X39:X68" si="65">IF(AND(T39&gt;0,W39&gt;0),(W39/((T39+U39)*10)),"")</f>
        <v/>
      </c>
      <c r="Y39">
        <v>110</v>
      </c>
      <c r="Z39">
        <f t="shared" si="48"/>
        <v>176</v>
      </c>
      <c r="AC39">
        <v>19.66</v>
      </c>
      <c r="AD39">
        <v>19.66</v>
      </c>
      <c r="AG39" s="9">
        <v>60</v>
      </c>
      <c r="AH39" s="14" t="str">
        <f>CONCATENATE(VLOOKUP(AI39, 'Voxel Sizes'!$A$2:$B$18,2,FALSE),"x",INT(AE39*15), "x", INT(AF39*15))</f>
        <v>198x0x0</v>
      </c>
      <c r="AI39" s="14">
        <f t="shared" ref="AI39:AI68" si="66">ROUND(15*((AD39*10)/256),0)</f>
        <v>12</v>
      </c>
      <c r="AK39" s="14" t="str">
        <f>CONCATENATE(VLOOKUP(AI39,Constants!$A$2:$C$16,IF(AJ39&lt;&gt;"", 3, 2), FALSE),IF(AJ39&lt;&gt;"",CONCATENATE(",",VLOOKUP(AJ39,$B:$AK,36,FALSE)),""))</f>
        <v>4,4,4</v>
      </c>
      <c r="AU39">
        <v>30</v>
      </c>
      <c r="AV39" s="14" t="str">
        <f t="shared" ref="AV39:AV68" si="67">IF(I39&lt;&gt;"",MAX(16,(I39-G39)+8),"")</f>
        <v/>
      </c>
      <c r="AW39">
        <v>79</v>
      </c>
      <c r="AX39">
        <f>25*3</f>
        <v>75</v>
      </c>
      <c r="AY39" s="16">
        <f t="shared" ref="AY39:AY68" si="68">MIN(Y39/150, 1)*30</f>
        <v>22</v>
      </c>
      <c r="AZ39" s="16">
        <f t="shared" ref="AZ39:AZ68" si="69">MIN(K39/4000, 1)*20</f>
        <v>0</v>
      </c>
      <c r="BA39" s="16">
        <f t="shared" ref="BA39:BA68" si="70">MIN(W39/400,1)*20</f>
        <v>0</v>
      </c>
      <c r="BB39" s="17">
        <f t="shared" ref="BB39:BB68" si="71">1-(MAX(G39-1900, 0)/750)</f>
        <v>0.90266666666666673</v>
      </c>
      <c r="BC39" s="16">
        <f t="shared" ref="BC39:BC68" si="72">((MAX($J39,1)*MIN($AG39/300,1)))*IF(D39="Wagon",50,10)</f>
        <v>10</v>
      </c>
      <c r="BD39" s="16">
        <f>VLOOKUP($E39,Constants!$I:$K, 2, FALSE)</f>
        <v>1.2</v>
      </c>
      <c r="BE39" s="16">
        <f>VLOOKUP($E39,Constants!$I:$K, 3, FALSE)*IF(AND(D39="multiple_unit",Y39&lt;110),0.75,1)</f>
        <v>0.6</v>
      </c>
      <c r="BF39" s="16">
        <f>INT(POWER(((Constants!$G$2+$AY39+$AZ39+$BA39+$BC39)*$BB39)*$BE39, 1.05))+$AX39</f>
        <v>98</v>
      </c>
      <c r="BG39" s="16">
        <f>INT(POWER((((Constants!$G$1+$AY39+$AZ39+$BA39+$BC39)*($BB39))*$BD39),IF($D39="wagon",1,1.2)))+$AW39</f>
        <v>129</v>
      </c>
      <c r="BH39" s="19">
        <f t="shared" ref="BH39:BH68" si="73">BF39*IF($D39="wagon",62.5,781.25)</f>
        <v>6125</v>
      </c>
      <c r="BI39" s="19">
        <f t="shared" ref="BI39:BI68" si="74">BG39*IF($D39="wagon",2.73,81.25)</f>
        <v>352.17</v>
      </c>
      <c r="BP39">
        <v>1</v>
      </c>
      <c r="BR39" t="s">
        <v>142</v>
      </c>
      <c r="BS39" t="s">
        <v>34</v>
      </c>
      <c r="BT39" s="22" t="str">
        <f>VLOOKUP(G39,Eras!$A$2:$C$10, 2, TRUE)</f>
        <v>lbr</v>
      </c>
      <c r="BU39" t="s">
        <v>70</v>
      </c>
      <c r="BV39" s="22" t="str">
        <f t="shared" ref="BV39:BV68" si="75">CONCATENATE(BT39,"_",BU39)</f>
        <v>lbr_Carriage</v>
      </c>
      <c r="BW39" s="22" t="str">
        <f t="shared" ref="BW39:BW68" si="76">_xlfn.CONCAT(E39, "_",F39)</f>
        <v>carriage_RAIL</v>
      </c>
      <c r="BX39" s="22" t="str">
        <f>VLOOKUP($BW39, Constants!$M:$N, 2, FALSE)</f>
        <v/>
      </c>
      <c r="BY39" s="22" t="str">
        <f t="shared" ref="BY39:BY68" si="77">IF(J39&gt;1,_xlfn.CONCAT("{BLACK}Cars: {GOLD}", J39),"")</f>
        <v/>
      </c>
      <c r="BZ39" t="s">
        <v>354</v>
      </c>
      <c r="CA39" s="22" t="str">
        <f t="shared" si="64"/>
        <v/>
      </c>
      <c r="CB39" s="22" t="str">
        <f t="shared" ref="CB39:CB68" si="78">_xlfn.CONCAT(BX39,IF(BX39 &lt;&gt; "", " ", ""),BY39,IF(OR(BY39&lt;&gt;"", BX39&lt;&gt;""), "{}",""), CA39,"{SILVER}", BZ39)</f>
        <v>{SILVER}The Mark 2F was the final development of the Mark 2 carriage, introducing many features which would be used on the Mark 3 Intercity carriages.</v>
      </c>
    </row>
    <row r="40" spans="1:80" x14ac:dyDescent="0.25">
      <c r="A40" t="s">
        <v>332</v>
      </c>
      <c r="B40" t="s">
        <v>337</v>
      </c>
      <c r="C40">
        <v>1601</v>
      </c>
      <c r="D40" t="s">
        <v>32</v>
      </c>
      <c r="E40" t="s">
        <v>159</v>
      </c>
      <c r="F40" t="s">
        <v>28</v>
      </c>
      <c r="G40">
        <v>1960</v>
      </c>
      <c r="T40">
        <v>28</v>
      </c>
      <c r="V40">
        <v>4</v>
      </c>
      <c r="X40" s="3" t="str">
        <f t="shared" si="65"/>
        <v/>
      </c>
      <c r="Y40">
        <v>25</v>
      </c>
      <c r="Z40">
        <f t="shared" si="48"/>
        <v>40</v>
      </c>
      <c r="AC40">
        <v>16.2</v>
      </c>
      <c r="AD40">
        <v>16.2</v>
      </c>
      <c r="AE40">
        <v>2.8</v>
      </c>
      <c r="AG40" s="9">
        <v>42</v>
      </c>
      <c r="AH40" s="14" t="str">
        <f>CONCATENATE(VLOOKUP(AI40, 'Voxel Sizes'!$A$2:$B$18,2,FALSE),"x",INT(AE40*15), "x", INT(AF40*15))</f>
        <v>152x42x0</v>
      </c>
      <c r="AI40" s="14">
        <f t="shared" si="66"/>
        <v>9</v>
      </c>
      <c r="AK40" s="14" t="str">
        <f>CONCATENATE(VLOOKUP(AI40,Constants!$A$2:$C$16,IF(AJ40&lt;&gt;"", 3, 2), FALSE),IF(AJ40&lt;&gt;"",CONCATENATE(",",VLOOKUP(AJ40,$B:$AK,36,FALSE)),""))</f>
        <v>2,5,2</v>
      </c>
      <c r="AU40">
        <v>30</v>
      </c>
      <c r="AV40" s="14" t="str">
        <f t="shared" si="67"/>
        <v/>
      </c>
      <c r="AW40">
        <v>69</v>
      </c>
      <c r="AX40">
        <v>57</v>
      </c>
      <c r="AY40" s="16">
        <f t="shared" si="68"/>
        <v>5</v>
      </c>
      <c r="AZ40" s="16">
        <f t="shared" si="69"/>
        <v>0</v>
      </c>
      <c r="BA40" s="16">
        <f t="shared" si="70"/>
        <v>0</v>
      </c>
      <c r="BB40" s="17">
        <f t="shared" si="71"/>
        <v>0.92</v>
      </c>
      <c r="BC40" s="16">
        <f t="shared" si="72"/>
        <v>7.0000000000000009</v>
      </c>
      <c r="BD40" s="16">
        <f>VLOOKUP($E40,Constants!$I:$K, 2, FALSE)</f>
        <v>1.2</v>
      </c>
      <c r="BE40" s="16">
        <f>VLOOKUP($E40,Constants!$I:$K, 3, FALSE)*IF(AND(D40="multiple_unit",Y40&lt;110),0.75,1)</f>
        <v>0.6</v>
      </c>
      <c r="BF40" s="16">
        <f>INT(POWER(((Constants!$G$2+$AY40+$AZ40+$BA40+$BC40)*$BB40)*$BE40, 1.05))+$AX40</f>
        <v>67</v>
      </c>
      <c r="BG40" s="16">
        <f>INT(POWER((((Constants!$G$1+$AY40+$AZ40+$BA40+$BC40)*($BB40))*$BD40),IF($D40="wagon",1,1.2)))+$AW40</f>
        <v>98</v>
      </c>
      <c r="BH40" s="19">
        <f t="shared" si="73"/>
        <v>4187.5</v>
      </c>
      <c r="BI40" s="19">
        <f t="shared" si="74"/>
        <v>267.54000000000002</v>
      </c>
      <c r="BP40">
        <v>1</v>
      </c>
      <c r="BQ40">
        <v>74</v>
      </c>
      <c r="BR40" t="s">
        <v>275</v>
      </c>
      <c r="BS40" t="s">
        <v>34</v>
      </c>
      <c r="BT40" s="22" t="str">
        <f>VLOOKUP(G40,Eras!$A$2:$C$10, 2, TRUE)</f>
        <v>dsl</v>
      </c>
      <c r="BU40" t="s">
        <v>70</v>
      </c>
      <c r="BV40" s="22" t="str">
        <f t="shared" si="75"/>
        <v>dsl_Carriage</v>
      </c>
      <c r="BW40" s="22" t="str">
        <f t="shared" si="76"/>
        <v>carriage_RAIL</v>
      </c>
      <c r="BX40" s="22" t="str">
        <f>VLOOKUP($BW40, Constants!$M:$N, 2, FALSE)</f>
        <v/>
      </c>
      <c r="BY40" s="22" t="str">
        <f t="shared" si="77"/>
        <v/>
      </c>
      <c r="BZ40" t="s">
        <v>335</v>
      </c>
      <c r="CA40" s="22" t="str">
        <f t="shared" si="64"/>
        <v>{YELLOW}Preserved railway bonus: passengers pay more when hauled by old locomotives{}</v>
      </c>
      <c r="CB40" s="22" t="str">
        <f t="shared" si="78"/>
        <v>{YELLOW}Preserved railway bonus: passengers pay more when hauled by old locomotives{}{SILVER}The first standard gauge preservation railway in the UK was the Bluebell Railway, opened in 1960. Preservation lines are limited to 25mph.</v>
      </c>
    </row>
    <row r="41" spans="1:80" x14ac:dyDescent="0.25">
      <c r="A41" t="s">
        <v>333</v>
      </c>
      <c r="B41" t="s">
        <v>334</v>
      </c>
      <c r="C41">
        <v>1751</v>
      </c>
      <c r="D41" t="s">
        <v>32</v>
      </c>
      <c r="E41" t="s">
        <v>159</v>
      </c>
      <c r="F41" t="s">
        <v>28</v>
      </c>
      <c r="G41">
        <v>1979</v>
      </c>
      <c r="T41">
        <v>32.5</v>
      </c>
      <c r="V41">
        <v>5</v>
      </c>
      <c r="X41" s="3" t="str">
        <f t="shared" si="65"/>
        <v/>
      </c>
      <c r="Y41">
        <v>25</v>
      </c>
      <c r="Z41">
        <f t="shared" si="48"/>
        <v>40</v>
      </c>
      <c r="AC41">
        <v>19.3</v>
      </c>
      <c r="AD41">
        <v>20</v>
      </c>
      <c r="AG41" s="9">
        <v>54</v>
      </c>
      <c r="AH41" s="14" t="str">
        <f>CONCATENATE(VLOOKUP(AI41, 'Voxel Sizes'!$A$2:$B$18,2,FALSE),"x",INT(AE41*15), "x", INT(AF41*15))</f>
        <v>198x0x0</v>
      </c>
      <c r="AI41" s="14">
        <f t="shared" si="66"/>
        <v>12</v>
      </c>
      <c r="AK41" s="14" t="str">
        <f>CONCATENATE(VLOOKUP(AI41,Constants!$A$2:$C$16,IF(AJ41&lt;&gt;"", 3, 2), FALSE),IF(AJ41&lt;&gt;"",CONCATENATE(",",VLOOKUP(AJ41,$B:$AK,36,FALSE)),""))</f>
        <v>4,4,4</v>
      </c>
      <c r="AU41">
        <v>30</v>
      </c>
      <c r="AV41" s="14" t="str">
        <f t="shared" si="67"/>
        <v/>
      </c>
      <c r="AW41">
        <v>76</v>
      </c>
      <c r="AX41">
        <f>23*3</f>
        <v>69</v>
      </c>
      <c r="AY41" s="16">
        <f t="shared" si="68"/>
        <v>5</v>
      </c>
      <c r="AZ41" s="16">
        <f t="shared" si="69"/>
        <v>0</v>
      </c>
      <c r="BA41" s="16">
        <f t="shared" si="70"/>
        <v>0</v>
      </c>
      <c r="BB41" s="17">
        <f t="shared" si="71"/>
        <v>0.89466666666666672</v>
      </c>
      <c r="BC41" s="16">
        <f t="shared" si="72"/>
        <v>9</v>
      </c>
      <c r="BD41" s="16">
        <f>VLOOKUP($E41,Constants!$I:$K, 2, FALSE)</f>
        <v>1.2</v>
      </c>
      <c r="BE41" s="16">
        <f>VLOOKUP($E41,Constants!$I:$K, 3, FALSE)*IF(AND(D41="multiple_unit",Y41&lt;110),0.75,1)</f>
        <v>0.6</v>
      </c>
      <c r="BF41" s="16">
        <f>INT(POWER(((Constants!$G$2+$AY41+$AZ41+$BA41+$BC41)*$BB41)*$BE41, 1.05))+$AX41</f>
        <v>80</v>
      </c>
      <c r="BG41" s="16">
        <f>INT(POWER((((Constants!$G$1+$AY41+$AZ41+$BA41+$BC41)*($BB41))*$BD41),IF($D41="wagon",1,1.2)))+$AW41</f>
        <v>107</v>
      </c>
      <c r="BH41" s="19">
        <f t="shared" si="73"/>
        <v>5000</v>
      </c>
      <c r="BI41" s="19">
        <f t="shared" si="74"/>
        <v>292.11</v>
      </c>
      <c r="BP41">
        <v>1</v>
      </c>
      <c r="BQ41">
        <v>74</v>
      </c>
      <c r="BR41" t="s">
        <v>275</v>
      </c>
      <c r="BS41" t="s">
        <v>34</v>
      </c>
      <c r="BT41" s="22" t="str">
        <f>VLOOKUP(G41,Eras!$A$2:$C$10, 2, TRUE)</f>
        <v>lbr</v>
      </c>
      <c r="BU41" t="s">
        <v>70</v>
      </c>
      <c r="BV41" s="22" t="str">
        <f t="shared" si="75"/>
        <v>lbr_Carriage</v>
      </c>
      <c r="BW41" s="22" t="str">
        <f t="shared" si="76"/>
        <v>carriage_RAIL</v>
      </c>
      <c r="BX41" s="22" t="str">
        <f>VLOOKUP($BW41, Constants!$M:$N, 2, FALSE)</f>
        <v/>
      </c>
      <c r="BY41" s="22" t="str">
        <f t="shared" si="77"/>
        <v/>
      </c>
      <c r="BZ41" t="s">
        <v>336</v>
      </c>
      <c r="CA41" s="22" t="str">
        <f t="shared" si="64"/>
        <v>{YELLOW}Preserved railway bonus: passengers pay more when hauled by old locomotives{}</v>
      </c>
      <c r="CB41" s="22" t="str">
        <f t="shared" si="78"/>
        <v>{YELLOW}Preserved railway bonus: passengers pay more when hauled by old locomotives{}{SILVER}The ubiquity of the BR Mk1 carriage has made it a mainstay of preserved railways across the UK.</v>
      </c>
    </row>
    <row r="42" spans="1:80" x14ac:dyDescent="0.25">
      <c r="A42" t="s">
        <v>369</v>
      </c>
      <c r="B42" t="s">
        <v>370</v>
      </c>
      <c r="C42">
        <v>1691</v>
      </c>
      <c r="D42" t="s">
        <v>32</v>
      </c>
      <c r="E42" t="s">
        <v>32</v>
      </c>
      <c r="F42" t="s">
        <v>28</v>
      </c>
      <c r="G42">
        <v>1969</v>
      </c>
      <c r="T42">
        <v>160</v>
      </c>
      <c r="V42">
        <v>5</v>
      </c>
      <c r="X42" s="3" t="str">
        <f>IF(AND(T42&gt;0,W42&gt;0),(W42/((T42+U42)*10)),"")</f>
        <v/>
      </c>
      <c r="Y42">
        <v>65</v>
      </c>
      <c r="Z42">
        <f t="shared" si="48"/>
        <v>104</v>
      </c>
      <c r="AC42">
        <v>25</v>
      </c>
      <c r="AD42">
        <v>22</v>
      </c>
      <c r="AG42" s="9">
        <v>81</v>
      </c>
      <c r="AH42" s="14" t="str">
        <f>CONCATENATE(VLOOKUP(AI42, 'Voxel Sizes'!$A$2:$B$18,2,FALSE),"x",INT(AE42*15), "x", INT(AF42*15))</f>
        <v>214x0x0</v>
      </c>
      <c r="AI42" s="14">
        <f t="shared" si="66"/>
        <v>13</v>
      </c>
      <c r="AK42" s="14" t="str">
        <f>CONCATENATE(VLOOKUP(AI42,Constants!$A$2:$C$16,IF(AJ42&lt;&gt;"", 3, 2), FALSE),IF(AJ42&lt;&gt;"",CONCATENATE(",",VLOOKUP(AJ42,$B:$AK,36,FALSE)),""))</f>
        <v>4,5,4</v>
      </c>
      <c r="AU42">
        <v>30</v>
      </c>
      <c r="AV42" s="14" t="str">
        <f t="shared" si="67"/>
        <v/>
      </c>
      <c r="AY42" s="16">
        <f t="shared" si="68"/>
        <v>13</v>
      </c>
      <c r="AZ42" s="16">
        <f t="shared" si="69"/>
        <v>0</v>
      </c>
      <c r="BA42" s="16">
        <f>MIN(W42/400,1)*20</f>
        <v>0</v>
      </c>
      <c r="BB42" s="17">
        <f t="shared" si="71"/>
        <v>0.90800000000000003</v>
      </c>
      <c r="BC42" s="16">
        <f t="shared" si="72"/>
        <v>13.5</v>
      </c>
      <c r="BD42" s="16">
        <f>VLOOKUP($E42,Constants!$I:$K, 2, FALSE)</f>
        <v>1</v>
      </c>
      <c r="BE42" s="16">
        <f>VLOOKUP($E42,Constants!$I:$K, 3, FALSE)*IF(AND(D42="multiple_unit",Y42&lt;110),0.75,1)</f>
        <v>0.45</v>
      </c>
      <c r="BF42" s="16">
        <f>INT(POWER(((Constants!$G$2+$AY42+$AZ42+$BA42+$BC42)*$BB42)*$BE42, 1.05))+$AX42</f>
        <v>14</v>
      </c>
      <c r="BG42" s="16">
        <f>INT(POWER((((Constants!$G$1+$AY42+$AZ42+$BA42+$BC42)*($BB42))*$BD42),IF($D42="wagon",1,1.2)))+$AW42</f>
        <v>37</v>
      </c>
      <c r="BH42" s="19">
        <f t="shared" si="73"/>
        <v>875</v>
      </c>
      <c r="BI42" s="19">
        <f t="shared" si="74"/>
        <v>101.01</v>
      </c>
      <c r="BP42">
        <v>1</v>
      </c>
      <c r="BQ42">
        <v>205</v>
      </c>
      <c r="BR42" t="s">
        <v>372</v>
      </c>
      <c r="BS42" t="s">
        <v>34</v>
      </c>
      <c r="BT42" s="22" t="str">
        <f>VLOOKUP(G42,Eras!$A$2:$C$10, 2, TRUE)</f>
        <v>dsl</v>
      </c>
      <c r="BU42" t="s">
        <v>130</v>
      </c>
      <c r="BV42" s="22" t="str">
        <f t="shared" si="75"/>
        <v>dsl_Extra</v>
      </c>
      <c r="BW42" s="22" t="str">
        <f t="shared" si="76"/>
        <v>wagon_RAIL</v>
      </c>
      <c r="BX42" s="22" t="str">
        <f>VLOOKUP($BW42, Constants!$M:$N, 2, FALSE)</f>
        <v/>
      </c>
      <c r="BY42" s="22" t="str">
        <f t="shared" si="77"/>
        <v/>
      </c>
      <c r="BZ42" t="s">
        <v>371</v>
      </c>
      <c r="CA42" s="22" t="str">
        <f t="shared" si="64"/>
        <v>{YELLOW}10% Bonus for long distance travel{}</v>
      </c>
      <c r="CB42" s="22" t="str">
        <f t="shared" si="78"/>
        <v>{YELLOW}10% Bonus for long distance travel{}{SILVER}Torpedo cars haul molten metal directly from furnaces, meaning it does not have to be processed to an intermediate form and melted again.</v>
      </c>
    </row>
    <row r="43" spans="1:80" x14ac:dyDescent="0.25">
      <c r="A43" t="s">
        <v>466</v>
      </c>
      <c r="B43" t="s">
        <v>467</v>
      </c>
      <c r="C43">
        <v>341</v>
      </c>
      <c r="D43" t="s">
        <v>236</v>
      </c>
      <c r="E43" t="s">
        <v>25</v>
      </c>
      <c r="F43" t="s">
        <v>28</v>
      </c>
      <c r="G43">
        <v>1834</v>
      </c>
      <c r="I43">
        <v>1860</v>
      </c>
      <c r="K43">
        <v>85</v>
      </c>
      <c r="M43" s="5">
        <v>11</v>
      </c>
      <c r="N43" s="5">
        <v>16</v>
      </c>
      <c r="O43" s="5">
        <v>2</v>
      </c>
      <c r="P43" s="5">
        <v>50</v>
      </c>
      <c r="Q43" s="12">
        <f t="shared" ref="Q43" si="79">((($Y43/2)/60)*5280)/($R43*3.2*PI())</f>
        <v>106.75026670797857</v>
      </c>
      <c r="R43" s="5">
        <v>1.4350000000000001</v>
      </c>
      <c r="S43" s="5">
        <f t="shared" ref="S43" si="80">((($M43*$M43/4)*PI())*($N43/12)*$O43*$P43*$Q43)/(33000*1.1)</f>
        <v>37.262872628726278</v>
      </c>
      <c r="T43">
        <v>6</v>
      </c>
      <c r="U43" s="7">
        <v>4</v>
      </c>
      <c r="W43">
        <v>15</v>
      </c>
      <c r="X43" s="3">
        <f t="shared" ref="X43" si="81">IF(AND(T43&gt;0,W43&gt;0),(W43/((T43+U43)*10)),"")</f>
        <v>0.15</v>
      </c>
      <c r="Y43">
        <v>35</v>
      </c>
      <c r="Z43">
        <f t="shared" si="48"/>
        <v>56</v>
      </c>
      <c r="AD43">
        <v>8</v>
      </c>
      <c r="AG43" s="9">
        <v>0</v>
      </c>
      <c r="AH43" s="14" t="str">
        <f>CONCATENATE(VLOOKUP(AI43, 'Voxel Sizes'!$A$2:$B$18,2,FALSE),"x",INT(AE43*15), "x", INT(AF43*15))</f>
        <v>82x0x0</v>
      </c>
      <c r="AI43" s="14">
        <f t="shared" ref="AI43:AI44" si="82">ROUND(15*((AD43*10)/256),0)</f>
        <v>5</v>
      </c>
      <c r="AK43" s="14" t="str">
        <f>CONCATENATE(VLOOKUP(AI43,Constants!$A$2:$C$16,IF(AJ43&lt;&gt;"", 3, 2), FALSE),IF(AJ43&lt;&gt;"",CONCATENATE(",",VLOOKUP(AJ43,$B:$AK,36,FALSE)),""))</f>
        <v>2,1,2</v>
      </c>
      <c r="AS43">
        <v>1</v>
      </c>
      <c r="AU43">
        <v>29</v>
      </c>
      <c r="AV43" s="14">
        <f t="shared" si="67"/>
        <v>34</v>
      </c>
      <c r="AW43">
        <v>-16</v>
      </c>
      <c r="AX43">
        <v>-8</v>
      </c>
      <c r="AY43" s="16">
        <f t="shared" ref="AY43" si="83">MIN(Y43/150, 1)*30</f>
        <v>7</v>
      </c>
      <c r="AZ43" s="16">
        <f t="shared" ref="AZ43" si="84">MIN(K43/4000, 1)*20</f>
        <v>0.42500000000000004</v>
      </c>
      <c r="BA43" s="16">
        <f>MIN(W43/400,1)*20</f>
        <v>0.75</v>
      </c>
      <c r="BB43" s="17">
        <f t="shared" ref="BB43" si="85">1-(MAX(G43-1900, 0)/750)</f>
        <v>1</v>
      </c>
      <c r="BC43" s="16">
        <f t="shared" ref="BC43" si="86">((MAX($J43,1)*MIN($AG43/300,1)))*IF(D43="Wagon",50,10)</f>
        <v>0</v>
      </c>
      <c r="BD43" s="16">
        <f>VLOOKUP($E43,Constants!$I:$K, 2, FALSE)</f>
        <v>1.1499999999999999</v>
      </c>
      <c r="BE43" s="16">
        <f>VLOOKUP($E43,Constants!$I:$K, 3, FALSE)*IF(AND(D43="multiple_unit",Y43&lt;110),0.75,1)</f>
        <v>1.7</v>
      </c>
      <c r="BF43" s="16">
        <f>INT(POWER(((Constants!$G$2+$AY43+$AZ43+$BA43+$BC43)*$BB43)*$BE43, 1.05))+$AX43</f>
        <v>18</v>
      </c>
      <c r="BG43" s="16">
        <f>INT(POWER((((Constants!$G$1+$AY43+$AZ43+$BA43+$BC43)*($BB43))*$BD43),IF($D43="wagon",1,1.2)))+$AW43</f>
        <v>35</v>
      </c>
      <c r="BH43" s="19">
        <f t="shared" ref="BH43" si="87">BF43*IF($D43="wagon",62.5,781.25)</f>
        <v>14062.5</v>
      </c>
      <c r="BI43" s="19">
        <f t="shared" ref="BI43" si="88">BG43*IF($D43="wagon",2.73,81.25)</f>
        <v>2843.75</v>
      </c>
      <c r="BP43">
        <v>5</v>
      </c>
      <c r="BT43" s="22" t="str">
        <f>VLOOKUP(G43,Eras!$A$2:$C$10, 2, TRUE)</f>
        <v>early</v>
      </c>
      <c r="BU43" t="s">
        <v>130</v>
      </c>
      <c r="BV43" s="22" t="str">
        <f t="shared" ref="BV43" si="89">CONCATENATE(BT43,"_",BU43)</f>
        <v>early_Extra</v>
      </c>
      <c r="BW43" s="22" t="str">
        <f t="shared" ref="BW43" si="90">_xlfn.CONCAT(E43, "_",F43)</f>
        <v>steam_RAIL</v>
      </c>
      <c r="BX43" s="22" t="str">
        <f>VLOOKUP($BW43, Constants!$M:$N, 2, FALSE)</f>
        <v>{BLACK}Powered by: {GOLD}Steam</v>
      </c>
      <c r="BY43" t="str">
        <f t="shared" si="77"/>
        <v/>
      </c>
      <c r="BZ43" t="s">
        <v>468</v>
      </c>
      <c r="CA43" s="22" t="str">
        <f t="shared" si="64"/>
        <v/>
      </c>
      <c r="CB43" s="22" t="str">
        <f t="shared" ref="CB43:CB45" si="91">_xlfn.CONCAT(BX43,IF(BX43 &lt;&gt; "", " ", ""),BY43,IF(OR(BY43&lt;&gt;"", BX43&lt;&gt;""), "{}",""), CA43,"{SILVER}", BZ43)</f>
        <v>{BLACK}Powered by: {GOLD}Steam {}{SILVER}George Forrester and Company built the first passenger tank locomotive to enter service. They were supplied to multiple railways in both tank and tender forms.</v>
      </c>
    </row>
    <row r="44" spans="1:80" x14ac:dyDescent="0.25">
      <c r="A44" t="s">
        <v>416</v>
      </c>
      <c r="B44" t="s">
        <v>444</v>
      </c>
      <c r="C44">
        <v>381</v>
      </c>
      <c r="D44" t="s">
        <v>236</v>
      </c>
      <c r="E44" t="s">
        <v>25</v>
      </c>
      <c r="F44" t="s">
        <v>28</v>
      </c>
      <c r="G44">
        <v>1841</v>
      </c>
      <c r="I44">
        <v>1871</v>
      </c>
      <c r="K44">
        <v>220</v>
      </c>
      <c r="M44" s="5">
        <v>16</v>
      </c>
      <c r="N44" s="5">
        <v>16</v>
      </c>
      <c r="O44" s="5">
        <v>2</v>
      </c>
      <c r="P44" s="5">
        <v>140</v>
      </c>
      <c r="Q44" s="12">
        <f t="shared" ref="Q44:Q55" si="92">((($Y44/2)/60)*5280)/($R44*3.2*PI())</f>
        <v>104.20859369112195</v>
      </c>
      <c r="R44" s="5">
        <v>2.1</v>
      </c>
      <c r="S44" s="5">
        <f t="shared" ref="S44:S55" si="93">((($M44*$M44/4)*PI())*($N44/12)*$O44*$P44*$Q44)/(33000*1.1)</f>
        <v>215.48821548821545</v>
      </c>
      <c r="T44">
        <v>11</v>
      </c>
      <c r="W44">
        <v>16</v>
      </c>
      <c r="X44" s="3">
        <f>IF(AND(T44&gt;0,W44&gt;0),(W44/((T44+U44)*10)),"")</f>
        <v>0.14545454545454545</v>
      </c>
      <c r="Y44">
        <v>50</v>
      </c>
      <c r="Z44">
        <f t="shared" si="48"/>
        <v>80</v>
      </c>
      <c r="AC44">
        <v>8</v>
      </c>
      <c r="AD44">
        <v>8</v>
      </c>
      <c r="AG44" s="9">
        <v>0</v>
      </c>
      <c r="AH44" s="14" t="str">
        <f>CONCATENATE(VLOOKUP(AI44, 'Voxel Sizes'!$A$2:$B$18,2,FALSE),"x",INT(AE44*15), "x", INT(AF44*15))</f>
        <v>82x0x0</v>
      </c>
      <c r="AI44" s="14">
        <f t="shared" si="82"/>
        <v>5</v>
      </c>
      <c r="AJ44" t="s">
        <v>446</v>
      </c>
      <c r="AK44" s="14" t="str">
        <f>CONCATENATE(VLOOKUP(AI44,Constants!$A$2:$C$16,IF(AJ44&lt;&gt;"", 3, 2), FALSE),IF(AJ44&lt;&gt;"",CONCATENATE(",",VLOOKUP(AJ44,$B:$AK,36,FALSE)),""))</f>
        <v>2,1,2,1,2,1</v>
      </c>
      <c r="AU44">
        <v>30</v>
      </c>
      <c r="AV44" s="14">
        <f>IF(I44&lt;&gt;"",MAX(16,(I44-G44)+8),"")</f>
        <v>38</v>
      </c>
      <c r="AY44" s="16">
        <f t="shared" ref="AY44:AY53" si="94">MIN(Y44/150, 1)*30</f>
        <v>10</v>
      </c>
      <c r="AZ44" s="16">
        <f t="shared" ref="AZ44:AZ53" si="95">MIN(K44/4000, 1)*20</f>
        <v>1.1000000000000001</v>
      </c>
      <c r="BA44" s="16">
        <f t="shared" ref="BA44:BA53" si="96">MIN(W44/400,1)*20</f>
        <v>0.8</v>
      </c>
      <c r="BB44" s="17">
        <f t="shared" ref="BB44:BB53" si="97">1-(MAX(G44-1900, 0)/750)</f>
        <v>1</v>
      </c>
      <c r="BC44" s="16">
        <f t="shared" ref="BC44:BC53" si="98">((MAX($J44,1)*MIN($AG44/300,1)))*IF(D44="Wagon",50,10)</f>
        <v>0</v>
      </c>
      <c r="BD44" s="16">
        <f>VLOOKUP($E44,Constants!$I:$K, 2, FALSE)</f>
        <v>1.1499999999999999</v>
      </c>
      <c r="BE44" s="16">
        <f>VLOOKUP($E44,Constants!$I:$K, 3, FALSE)*IF(AND(D44="multiple_unit",Y44&lt;110),0.75,1)</f>
        <v>1.7</v>
      </c>
      <c r="BF44" s="16">
        <f>INT(POWER(((Constants!$G$2+$AY44+$AZ44+$BA44+$BC44)*$BB44)*$BE44, 1.05))+$AX44</f>
        <v>33</v>
      </c>
      <c r="BG44" s="16">
        <f>INT(POWER((((Constants!$G$1+$AY44+$AZ44+$BA44+$BC44)*($BB44))*$BD44),IF($D44="wagon",1,1.2)))+$AW44</f>
        <v>61</v>
      </c>
      <c r="BH44" s="19">
        <f t="shared" ref="BH44:BH53" si="99">BF44*IF($D44="wagon",62.5,781.25)</f>
        <v>25781.25</v>
      </c>
      <c r="BI44" s="19">
        <f t="shared" ref="BI44:BI53" si="100">BG44*IF($D44="wagon",2.73,81.25)</f>
        <v>4956.25</v>
      </c>
      <c r="BP44">
        <v>3</v>
      </c>
      <c r="BT44" t="s">
        <v>52</v>
      </c>
      <c r="BU44" t="s">
        <v>63</v>
      </c>
      <c r="BV44" t="str">
        <f>CONCATENATE(BT44,"_",BU44)</f>
        <v>early_Express</v>
      </c>
      <c r="BW44" t="str">
        <f>_xlfn.CONCAT(E44, "_",F44)</f>
        <v>steam_RAIL</v>
      </c>
      <c r="BX44" t="s">
        <v>448</v>
      </c>
      <c r="BY44" t="str">
        <f>IF(J44&gt;1,_xlfn.CONCAT("{BLACK}Cars: {GOLD}", J44),"")</f>
        <v/>
      </c>
      <c r="BZ44" t="s">
        <v>443</v>
      </c>
      <c r="CA44" s="22" t="str">
        <f t="shared" si="64"/>
        <v/>
      </c>
      <c r="CB44" s="22" t="str">
        <f t="shared" si="91"/>
        <v>{BLACK}Powered by: {GOLD}Steam {}{SILVER}The first GWR Star class was typical of a 2-2-2 "single" passenger locomotive. They were given common names of stars, such as "Dog Star" and "Shooting Star"</v>
      </c>
    </row>
    <row r="45" spans="1:80" ht="13.9" customHeight="1" x14ac:dyDescent="0.25">
      <c r="A45" t="s">
        <v>457</v>
      </c>
      <c r="B45" t="s">
        <v>417</v>
      </c>
      <c r="C45">
        <v>461</v>
      </c>
      <c r="D45" t="s">
        <v>236</v>
      </c>
      <c r="E45" t="s">
        <v>25</v>
      </c>
      <c r="F45" t="s">
        <v>28</v>
      </c>
      <c r="G45">
        <v>1847</v>
      </c>
      <c r="I45">
        <v>1884</v>
      </c>
      <c r="K45">
        <v>400</v>
      </c>
      <c r="M45" s="5">
        <v>21</v>
      </c>
      <c r="N45" s="5">
        <v>26</v>
      </c>
      <c r="O45" s="5">
        <v>2</v>
      </c>
      <c r="P45" s="5">
        <v>115</v>
      </c>
      <c r="Q45" s="12">
        <f t="shared" si="92"/>
        <v>140.48862260580884</v>
      </c>
      <c r="R45" s="5">
        <v>2.4300000000000002</v>
      </c>
      <c r="S45" s="5">
        <f t="shared" si="93"/>
        <v>668.009960718294</v>
      </c>
      <c r="T45">
        <v>42</v>
      </c>
      <c r="W45">
        <v>35</v>
      </c>
      <c r="X45" s="3">
        <f>IF(AND(T45&gt;0,W45&gt;0),(W45/((T45+U45)*10)),"")</f>
        <v>8.3333333333333329E-2</v>
      </c>
      <c r="Y45">
        <v>78</v>
      </c>
      <c r="Z45">
        <f t="shared" si="48"/>
        <v>125</v>
      </c>
      <c r="AC45">
        <v>9</v>
      </c>
      <c r="AD45">
        <v>9</v>
      </c>
      <c r="AG45" s="9">
        <v>0</v>
      </c>
      <c r="AH45" s="14" t="str">
        <f>CONCATENATE(VLOOKUP(AI45, 'Voxel Sizes'!$A$2:$B$18,2,FALSE),"x",INT(AE45*15), "x", INT(AF45*15))</f>
        <v>82x0x0</v>
      </c>
      <c r="AI45" s="14">
        <f t="shared" ref="AI45" si="101">ROUND(15*((AD45*10)/256),0)</f>
        <v>5</v>
      </c>
      <c r="AJ45" t="s">
        <v>456</v>
      </c>
      <c r="AK45" s="14" t="str">
        <f>CONCATENATE(VLOOKUP(AI45,Constants!$A$2:$C$16,IF(AJ45&lt;&gt;"", 3, 2), FALSE),IF(AJ45&lt;&gt;"",CONCATENATE(",",VLOOKUP(AJ45,$B:$AK,36,FALSE)),""))</f>
        <v>2,1,2,1,2,1</v>
      </c>
      <c r="AU45">
        <v>31</v>
      </c>
      <c r="AV45" s="14">
        <f>IF(I45&lt;&gt;"",MAX(16,(I45-G45)+8),"")</f>
        <v>45</v>
      </c>
      <c r="AW45">
        <v>15</v>
      </c>
      <c r="AX45">
        <v>20</v>
      </c>
      <c r="AY45" s="16">
        <f t="shared" si="94"/>
        <v>15.600000000000001</v>
      </c>
      <c r="AZ45" s="16">
        <f t="shared" si="95"/>
        <v>2</v>
      </c>
      <c r="BA45" s="16">
        <f t="shared" si="96"/>
        <v>1.75</v>
      </c>
      <c r="BB45" s="17">
        <f t="shared" si="97"/>
        <v>1</v>
      </c>
      <c r="BC45" s="16">
        <f t="shared" si="98"/>
        <v>0</v>
      </c>
      <c r="BD45" s="16">
        <f>VLOOKUP($E45,Constants!$I:$K, 2, FALSE)</f>
        <v>1.1499999999999999</v>
      </c>
      <c r="BE45" s="16">
        <f>VLOOKUP($E45,Constants!$I:$K, 3, FALSE)*IF(AND(D45="multiple_unit",Y45&lt;110),0.75,1)</f>
        <v>1.7</v>
      </c>
      <c r="BF45" s="16">
        <f>INT(POWER(((Constants!$G$2+$AY45+$AZ45+$BA45+$BC45)*$BB45)*$BE45, 1.05))+$AX45</f>
        <v>69</v>
      </c>
      <c r="BG45" s="16">
        <f>INT(POWER((((Constants!$G$1+$AY45+$AZ45+$BA45+$BC45)*($BB45))*$BD45),IF($D45="wagon",1,1.2)))+$AW45</f>
        <v>97</v>
      </c>
      <c r="BH45" s="19">
        <f t="shared" si="99"/>
        <v>53906.25</v>
      </c>
      <c r="BI45" s="19">
        <f t="shared" si="100"/>
        <v>7881.25</v>
      </c>
      <c r="BP45">
        <v>7</v>
      </c>
      <c r="BT45" t="s">
        <v>52</v>
      </c>
      <c r="BU45" t="s">
        <v>63</v>
      </c>
      <c r="BV45" t="str">
        <f>CONCATENATE(BT45,"_",BU45)</f>
        <v>early_Express</v>
      </c>
      <c r="BW45" t="str">
        <f>_xlfn.CONCAT(E45, "_",F45)</f>
        <v>steam_RAIL</v>
      </c>
      <c r="BX45" t="s">
        <v>448</v>
      </c>
      <c r="BY45" t="str">
        <f>IF(J45&gt;1,_xlfn.CONCAT("{BLACK}Cars: {GOLD}", J45),"")</f>
        <v/>
      </c>
      <c r="BZ45" t="s">
        <v>454</v>
      </c>
      <c r="CA45" s="22" t="str">
        <f t="shared" si="64"/>
        <v/>
      </c>
      <c r="CB45" s="22" t="str">
        <f t="shared" si="91"/>
        <v>{BLACK}Powered by: {GOLD}Steam {}{SILVER}The Iron Duke class was powerful and very fast for its time. Although both leading axles were rigidly mounted, the wide curves and broad gauge of the GWR's track made this less of a problem.</v>
      </c>
    </row>
    <row r="46" spans="1:80" x14ac:dyDescent="0.25">
      <c r="A46" t="s">
        <v>402</v>
      </c>
      <c r="B46" t="s">
        <v>404</v>
      </c>
      <c r="C46">
        <v>661</v>
      </c>
      <c r="D46" t="s">
        <v>236</v>
      </c>
      <c r="E46" t="s">
        <v>25</v>
      </c>
      <c r="F46" t="s">
        <v>28</v>
      </c>
      <c r="G46">
        <v>1866</v>
      </c>
      <c r="I46">
        <v>1947</v>
      </c>
      <c r="K46">
        <v>500</v>
      </c>
      <c r="M46" s="5">
        <v>17</v>
      </c>
      <c r="N46" s="5">
        <v>24</v>
      </c>
      <c r="O46" s="5">
        <v>2</v>
      </c>
      <c r="P46" s="5">
        <v>140</v>
      </c>
      <c r="Q46" s="12">
        <f t="shared" si="92"/>
        <v>150.36440844437786</v>
      </c>
      <c r="R46" s="5">
        <v>1.8919999999999999</v>
      </c>
      <c r="S46" s="5">
        <f t="shared" si="93"/>
        <v>526.51915561535009</v>
      </c>
      <c r="T46">
        <v>38</v>
      </c>
      <c r="U46" s="7">
        <v>30</v>
      </c>
      <c r="V46">
        <v>5</v>
      </c>
      <c r="W46">
        <v>50</v>
      </c>
      <c r="X46" s="3">
        <f t="shared" si="65"/>
        <v>7.3529411764705885E-2</v>
      </c>
      <c r="Y46">
        <v>65</v>
      </c>
      <c r="Z46">
        <f t="shared" si="48"/>
        <v>104</v>
      </c>
      <c r="AC46">
        <v>10</v>
      </c>
      <c r="AD46">
        <v>10</v>
      </c>
      <c r="AH46" s="14" t="str">
        <f>CONCATENATE(VLOOKUP(AI46, 'Voxel Sizes'!$A$2:$B$18,2,FALSE),"x",INT(AE46*15), "x", INT(AF46*15))</f>
        <v>102x0x0</v>
      </c>
      <c r="AI46" s="14">
        <f t="shared" si="66"/>
        <v>6</v>
      </c>
      <c r="AJ46" t="s">
        <v>406</v>
      </c>
      <c r="AK46" s="14" t="str">
        <f>CONCATENATE(VLOOKUP(AI46,Constants!$A$2:$C$16,IF(AJ46&lt;&gt;"", 3, 2), FALSE),IF(AJ46&lt;&gt;"",CONCATENATE(",",VLOOKUP(AJ46,$B:$AK,36,FALSE)),""))</f>
        <v>2,2,2,2,1,2</v>
      </c>
      <c r="AS46">
        <v>1</v>
      </c>
      <c r="AU46">
        <v>34</v>
      </c>
      <c r="AV46" s="14">
        <f t="shared" si="67"/>
        <v>89</v>
      </c>
      <c r="AY46" s="16">
        <f t="shared" si="94"/>
        <v>13</v>
      </c>
      <c r="AZ46" s="16">
        <f t="shared" si="95"/>
        <v>2.5</v>
      </c>
      <c r="BA46" s="16">
        <f t="shared" si="96"/>
        <v>2.5</v>
      </c>
      <c r="BB46" s="17">
        <f t="shared" si="97"/>
        <v>1</v>
      </c>
      <c r="BC46" s="16">
        <f t="shared" si="98"/>
        <v>0</v>
      </c>
      <c r="BD46" s="16">
        <f>VLOOKUP($E46,Constants!$I:$K, 2, FALSE)</f>
        <v>1.1499999999999999</v>
      </c>
      <c r="BE46" s="16">
        <f>VLOOKUP($E46,Constants!$I:$K, 3, FALSE)*IF(AND(D46="multiple_unit",Y46&lt;110),0.75,1)</f>
        <v>1.7</v>
      </c>
      <c r="BF46" s="16">
        <f>INT(POWER(((Constants!$G$2+$AY46+$AZ46+$BA46+$BC46)*$BB46)*$BE46, 1.05))+$AX46</f>
        <v>46</v>
      </c>
      <c r="BG46" s="16">
        <f>INT(POWER((((Constants!$G$1+$AY46+$AZ46+$BA46+$BC46)*($BB46))*$BD46),IF($D46="wagon",1,1.2)))+$AW46</f>
        <v>78</v>
      </c>
      <c r="BH46" s="19">
        <f t="shared" si="99"/>
        <v>35937.5</v>
      </c>
      <c r="BI46" s="19">
        <f t="shared" si="100"/>
        <v>6337.5</v>
      </c>
      <c r="BP46">
        <v>9</v>
      </c>
      <c r="BT46" s="22" t="str">
        <f>VLOOKUP(G46,Eras!$A$2:$C$10, 2, TRUE)</f>
        <v>vct</v>
      </c>
      <c r="BU46" t="s">
        <v>63</v>
      </c>
      <c r="BV46" s="22" t="str">
        <f t="shared" si="75"/>
        <v>vct_Express</v>
      </c>
      <c r="BW46" s="22" t="str">
        <f t="shared" si="76"/>
        <v>steam_RAIL</v>
      </c>
      <c r="BX46" s="22" t="str">
        <f>VLOOKUP($BW46, Constants!$M:$N, 2, FALSE)</f>
        <v>{BLACK}Powered by: {GOLD}Steam</v>
      </c>
      <c r="BY46" s="22" t="str">
        <f t="shared" si="77"/>
        <v/>
      </c>
      <c r="BZ46" t="s">
        <v>403</v>
      </c>
      <c r="CA46" s="22" t="str">
        <f t="shared" si="64"/>
        <v/>
      </c>
      <c r="CB46" s="22" t="str">
        <f t="shared" si="78"/>
        <v>{BLACK}Powered by: {GOLD}Steam {}{SILVER}The Midland 156 class had a long career. It started as an express engine but as power outputs and speeds on the mainline increased it was relegated to increasingly minor duties, ending up being used on small branch lines.</v>
      </c>
    </row>
    <row r="47" spans="1:80" x14ac:dyDescent="0.25">
      <c r="A47" t="s">
        <v>361</v>
      </c>
      <c r="B47" t="s">
        <v>362</v>
      </c>
      <c r="C47">
        <v>871</v>
      </c>
      <c r="D47" t="s">
        <v>236</v>
      </c>
      <c r="E47" t="s">
        <v>25</v>
      </c>
      <c r="F47" t="s">
        <v>28</v>
      </c>
      <c r="G47">
        <v>1870</v>
      </c>
      <c r="I47">
        <v>1916</v>
      </c>
      <c r="K47">
        <v>650</v>
      </c>
      <c r="M47" s="5">
        <v>18</v>
      </c>
      <c r="N47" s="5">
        <v>28</v>
      </c>
      <c r="O47" s="5">
        <v>2</v>
      </c>
      <c r="P47" s="5">
        <v>140</v>
      </c>
      <c r="Q47" s="12">
        <f t="shared" si="92"/>
        <v>151.22954450296965</v>
      </c>
      <c r="R47" s="5">
        <v>2.46</v>
      </c>
      <c r="S47" s="5">
        <f t="shared" si="93"/>
        <v>692.62749445676275</v>
      </c>
      <c r="T47">
        <v>40</v>
      </c>
      <c r="U47" s="7">
        <v>30</v>
      </c>
      <c r="V47">
        <v>5</v>
      </c>
      <c r="W47">
        <v>50</v>
      </c>
      <c r="X47" s="3">
        <f t="shared" si="65"/>
        <v>7.1428571428571425E-2</v>
      </c>
      <c r="Y47">
        <v>85</v>
      </c>
      <c r="Z47">
        <f t="shared" si="48"/>
        <v>136</v>
      </c>
      <c r="AC47">
        <v>15.4</v>
      </c>
      <c r="AD47">
        <v>12</v>
      </c>
      <c r="AH47" s="14" t="str">
        <f>CONCATENATE(VLOOKUP(AI47, 'Voxel Sizes'!$A$2:$B$18,2,FALSE),"x",INT(AE47*15), "x", INT(AF47*15))</f>
        <v>120x0x0</v>
      </c>
      <c r="AI47" s="14">
        <f t="shared" si="66"/>
        <v>7</v>
      </c>
      <c r="AJ47" t="s">
        <v>364</v>
      </c>
      <c r="AK47" s="14" t="str">
        <f>CONCATENATE(VLOOKUP(AI47,Constants!$A$2:$C$16,IF(AJ47&lt;&gt;"", 3, 2), FALSE),IF(AJ47&lt;&gt;"",CONCATENATE(",",VLOOKUP(AJ47,$B:$AK,36,FALSE)),""))</f>
        <v>2,3,2,2,1,2</v>
      </c>
      <c r="AS47">
        <v>1</v>
      </c>
      <c r="AU47">
        <v>31</v>
      </c>
      <c r="AV47" s="14">
        <f t="shared" si="67"/>
        <v>54</v>
      </c>
      <c r="AY47" s="16">
        <f t="shared" si="94"/>
        <v>17</v>
      </c>
      <c r="AZ47" s="16">
        <f t="shared" si="95"/>
        <v>3.25</v>
      </c>
      <c r="BA47" s="16">
        <f t="shared" si="96"/>
        <v>2.5</v>
      </c>
      <c r="BB47" s="17">
        <f t="shared" si="97"/>
        <v>1</v>
      </c>
      <c r="BC47" s="16">
        <f t="shared" si="98"/>
        <v>0</v>
      </c>
      <c r="BD47" s="16">
        <f>VLOOKUP($E47,Constants!$I:$K, 2, FALSE)</f>
        <v>1.1499999999999999</v>
      </c>
      <c r="BE47" s="16">
        <f>VLOOKUP($E47,Constants!$I:$K, 3, FALSE)*IF(AND(D47="multiple_unit",Y47&lt;110),0.75,1)</f>
        <v>1.7</v>
      </c>
      <c r="BF47" s="16">
        <f>INT(POWER(((Constants!$G$2+$AY47+$AZ47+$BA47+$BC47)*$BB47)*$BE47, 1.05))+$AX47</f>
        <v>57</v>
      </c>
      <c r="BG47" s="16">
        <f>INT(POWER((((Constants!$G$1+$AY47+$AZ47+$BA47+$BC47)*($BB47))*$BD47),IF($D47="wagon",1,1.2)))+$AW47</f>
        <v>92</v>
      </c>
      <c r="BH47" s="19">
        <f t="shared" si="99"/>
        <v>44531.25</v>
      </c>
      <c r="BI47" s="19">
        <f t="shared" si="100"/>
        <v>7475</v>
      </c>
      <c r="BP47">
        <v>4</v>
      </c>
      <c r="BT47" s="22" t="str">
        <f>VLOOKUP(G47,Eras!$A$2:$C$10, 2, TRUE)</f>
        <v>vct</v>
      </c>
      <c r="BU47" t="s">
        <v>63</v>
      </c>
      <c r="BV47" s="22" t="str">
        <f t="shared" si="75"/>
        <v>vct_Express</v>
      </c>
      <c r="BW47" s="22" t="str">
        <f t="shared" si="76"/>
        <v>steam_RAIL</v>
      </c>
      <c r="BX47" s="22" t="str">
        <f>VLOOKUP($BW47, Constants!$M:$N, 2, FALSE)</f>
        <v>{BLACK}Powered by: {GOLD}Steam</v>
      </c>
      <c r="BY47" s="22" t="str">
        <f t="shared" si="77"/>
        <v/>
      </c>
      <c r="BZ47" t="s">
        <v>365</v>
      </c>
      <c r="CA47" s="22" t="str">
        <f t="shared" si="64"/>
        <v/>
      </c>
      <c r="CB47" s="22" t="str">
        <f t="shared" si="78"/>
        <v>{BLACK}Powered by: {GOLD}Steam {}{SILVER}Patrick Stirling's "singles" (also known as "eight footers" due to the large driving wheels) were designed to haul heavy express trains.</v>
      </c>
    </row>
    <row r="48" spans="1:80" x14ac:dyDescent="0.25">
      <c r="A48" t="s">
        <v>367</v>
      </c>
      <c r="B48" t="s">
        <v>366</v>
      </c>
      <c r="C48">
        <v>981</v>
      </c>
      <c r="D48" t="s">
        <v>236</v>
      </c>
      <c r="E48" t="s">
        <v>25</v>
      </c>
      <c r="F48" t="s">
        <v>28</v>
      </c>
      <c r="G48">
        <v>1898</v>
      </c>
      <c r="I48">
        <v>1946</v>
      </c>
      <c r="K48">
        <v>950</v>
      </c>
      <c r="M48" s="5">
        <v>18.75</v>
      </c>
      <c r="N48" s="5">
        <v>24</v>
      </c>
      <c r="O48" s="5">
        <v>2</v>
      </c>
      <c r="P48" s="5">
        <v>170</v>
      </c>
      <c r="Q48" s="12">
        <f t="shared" si="92"/>
        <v>196.95424207622048</v>
      </c>
      <c r="R48" s="5">
        <v>2</v>
      </c>
      <c r="S48" s="5">
        <f t="shared" si="93"/>
        <v>1018.732244318182</v>
      </c>
      <c r="T48">
        <v>60</v>
      </c>
      <c r="U48" s="7">
        <v>30</v>
      </c>
      <c r="V48">
        <v>5</v>
      </c>
      <c r="W48">
        <v>68</v>
      </c>
      <c r="X48" s="3">
        <f t="shared" si="65"/>
        <v>7.5555555555555556E-2</v>
      </c>
      <c r="Y48">
        <v>90</v>
      </c>
      <c r="Z48">
        <f t="shared" si="48"/>
        <v>144</v>
      </c>
      <c r="AC48">
        <v>15.4</v>
      </c>
      <c r="AD48">
        <v>12</v>
      </c>
      <c r="AH48" s="14" t="str">
        <f>CONCATENATE(VLOOKUP(AI48, 'Voxel Sizes'!$A$2:$B$18,2,FALSE),"x",INT(AE48*15), "x", INT(AF48*15))</f>
        <v>120x0x0</v>
      </c>
      <c r="AI48" s="14">
        <f t="shared" si="66"/>
        <v>7</v>
      </c>
      <c r="AJ48" t="s">
        <v>364</v>
      </c>
      <c r="AK48" s="14" t="str">
        <f>CONCATENATE(VLOOKUP(AI48,Constants!$A$2:$C$16,IF(AJ48&lt;&gt;"", 3, 2), FALSE),IF(AJ48&lt;&gt;"",CONCATENATE(",",VLOOKUP(AJ48,$B:$AK,36,FALSE)),""))</f>
        <v>2,3,2,2,1,2</v>
      </c>
      <c r="AS48">
        <v>1</v>
      </c>
      <c r="AU48">
        <v>29</v>
      </c>
      <c r="AV48" s="14">
        <f t="shared" si="67"/>
        <v>56</v>
      </c>
      <c r="AY48" s="16">
        <f t="shared" si="94"/>
        <v>18</v>
      </c>
      <c r="AZ48" s="16">
        <f t="shared" si="95"/>
        <v>4.75</v>
      </c>
      <c r="BA48" s="16">
        <f t="shared" si="96"/>
        <v>3.4000000000000004</v>
      </c>
      <c r="BB48" s="17">
        <f t="shared" si="97"/>
        <v>1</v>
      </c>
      <c r="BC48" s="16">
        <f t="shared" si="98"/>
        <v>0</v>
      </c>
      <c r="BD48" s="16">
        <f>VLOOKUP($E48,Constants!$I:$K, 2, FALSE)</f>
        <v>1.1499999999999999</v>
      </c>
      <c r="BE48" s="16">
        <f>VLOOKUP($E48,Constants!$I:$K, 3, FALSE)*IF(AND(D48="multiple_unit",Y48&lt;110),0.75,1)</f>
        <v>1.7</v>
      </c>
      <c r="BF48" s="16">
        <f>INT(POWER(((Constants!$G$2+$AY48+$AZ48+$BA48+$BC48)*$BB48)*$BE48, 1.05))+$AX48</f>
        <v>64</v>
      </c>
      <c r="BG48" s="16">
        <f>INT(POWER((((Constants!$G$1+$AY48+$AZ48+$BA48+$BC48)*($BB48))*$BD48),IF($D48="wagon",1,1.2)))+$AW48</f>
        <v>102</v>
      </c>
      <c r="BH48" s="19">
        <f t="shared" si="99"/>
        <v>50000</v>
      </c>
      <c r="BI48" s="19">
        <f t="shared" si="100"/>
        <v>8287.5</v>
      </c>
      <c r="BP48">
        <v>3</v>
      </c>
      <c r="BT48" s="22" t="str">
        <f>VLOOKUP(G48,Eras!$A$2:$C$10, 2, TRUE)</f>
        <v>vct</v>
      </c>
      <c r="BU48" t="s">
        <v>63</v>
      </c>
      <c r="BV48" s="22" t="str">
        <f t="shared" si="75"/>
        <v>vct_Express</v>
      </c>
      <c r="BW48" s="22" t="str">
        <f t="shared" si="76"/>
        <v>steam_RAIL</v>
      </c>
      <c r="BX48" s="22" t="str">
        <f>VLOOKUP($BW48, Constants!$M:$N, 2, FALSE)</f>
        <v>{BLACK}Powered by: {GOLD}Steam</v>
      </c>
      <c r="BY48" s="22" t="str">
        <f t="shared" si="77"/>
        <v/>
      </c>
      <c r="BZ48" t="s">
        <v>368</v>
      </c>
      <c r="CA48" s="22" t="str">
        <f t="shared" si="64"/>
        <v/>
      </c>
      <c r="CB48" s="22" t="str">
        <f t="shared" si="78"/>
        <v>{BLACK}Powered by: {GOLD}Steam {}{SILVER}Henry Ivatt introduced the 4-4-2 Atlantic type to the UK with this design, nicknamed "Klondyke" after the peak of the Klondike Gold Rush of the previous year.</v>
      </c>
    </row>
    <row r="49" spans="1:80" x14ac:dyDescent="0.25">
      <c r="A49" t="s">
        <v>418</v>
      </c>
      <c r="B49" t="s">
        <v>419</v>
      </c>
      <c r="C49">
        <v>180</v>
      </c>
      <c r="D49" t="s">
        <v>15</v>
      </c>
      <c r="E49" t="s">
        <v>25</v>
      </c>
      <c r="F49" t="s">
        <v>28</v>
      </c>
      <c r="G49">
        <v>1891</v>
      </c>
      <c r="I49">
        <v>1915</v>
      </c>
      <c r="K49">
        <v>800</v>
      </c>
      <c r="Q49" s="12"/>
      <c r="T49">
        <v>46</v>
      </c>
      <c r="U49" s="7">
        <v>41</v>
      </c>
      <c r="W49">
        <v>75</v>
      </c>
      <c r="X49" s="3">
        <f>IF(AND(T49&gt;0,W49&gt;0),(W49/((T49+U49)*10)),"")</f>
        <v>8.6206896551724144E-2</v>
      </c>
      <c r="Y49">
        <v>80</v>
      </c>
      <c r="Z49">
        <f t="shared" si="48"/>
        <v>128</v>
      </c>
      <c r="AC49">
        <v>11</v>
      </c>
      <c r="AD49">
        <v>11</v>
      </c>
      <c r="AG49" s="9">
        <v>0</v>
      </c>
      <c r="AH49" t="s">
        <v>451</v>
      </c>
      <c r="AI49">
        <f>ROUND(15*((AD49*10)/256),0)</f>
        <v>6</v>
      </c>
      <c r="AJ49" t="s">
        <v>420</v>
      </c>
      <c r="AK49" s="14" t="e">
        <f>CONCATENATE(VLOOKUP(AI49,Constants!$A$2:$C$16,IF(AJ49&lt;&gt;"", 3, 2), FALSE),IF(AJ49&lt;&gt;"",CONCATENATE(",",VLOOKUP(AJ49,$B:$AK,36,FALSE)),""))</f>
        <v>#N/A</v>
      </c>
      <c r="AU49">
        <v>24</v>
      </c>
      <c r="AV49" s="14">
        <f>IF(I49&lt;&gt;"",MAX(16,(I49-G49)+8),"")</f>
        <v>32</v>
      </c>
      <c r="AY49" s="16">
        <f t="shared" si="94"/>
        <v>16</v>
      </c>
      <c r="AZ49" s="16">
        <f t="shared" si="95"/>
        <v>4</v>
      </c>
      <c r="BA49" s="16">
        <f t="shared" si="96"/>
        <v>3.75</v>
      </c>
      <c r="BB49" s="17">
        <f t="shared" si="97"/>
        <v>1</v>
      </c>
      <c r="BC49" s="16">
        <f t="shared" si="98"/>
        <v>0</v>
      </c>
      <c r="BD49" s="16">
        <f>VLOOKUP($E49,Constants!$I:$K, 2, FALSE)</f>
        <v>1.1499999999999999</v>
      </c>
      <c r="BE49" s="16">
        <f>VLOOKUP($E49,Constants!$I:$K, 3, FALSE)*IF(AND(D49="multiple_unit",Y49&lt;110),0.75,1)</f>
        <v>1.7</v>
      </c>
      <c r="BF49" s="16">
        <f>INT(POWER(((Constants!$G$2+$AY49+$AZ49+$BA49+$BC49)*$BB49)*$BE49, 1.05))+$AX49</f>
        <v>59</v>
      </c>
      <c r="BG49" s="16">
        <f>INT(POWER((((Constants!$G$1+$AY49+$AZ49+$BA49+$BC49)*($BB49))*$BD49),IF($D49="wagon",1,1.2)))+$AW49</f>
        <v>95</v>
      </c>
      <c r="BH49" s="19">
        <f t="shared" si="99"/>
        <v>46093.75</v>
      </c>
      <c r="BI49" s="19">
        <f t="shared" si="100"/>
        <v>7718.75</v>
      </c>
      <c r="BP49">
        <v>5</v>
      </c>
      <c r="BT49" t="s">
        <v>94</v>
      </c>
      <c r="BU49" t="s">
        <v>63</v>
      </c>
      <c r="BV49" t="str">
        <f>CONCATENATE(BT49,"_",BU49)</f>
        <v>vct_Express</v>
      </c>
      <c r="BW49" t="str">
        <f>_xlfn.CONCAT(E49, "_",F49)</f>
        <v>steam_RAIL</v>
      </c>
      <c r="BX49" t="s">
        <v>448</v>
      </c>
      <c r="BY49" t="str">
        <f>IF(J49&gt;1,_xlfn.CONCAT("{BLACK}Cars: {GOLD}", J49),"")</f>
        <v/>
      </c>
      <c r="BZ49" t="s">
        <v>421</v>
      </c>
      <c r="CA49" s="22" t="str">
        <f t="shared" si="64"/>
        <v/>
      </c>
      <c r="CB49" s="22" t="str">
        <f t="shared" ref="CB49:CB51" si="102">_xlfn.CONCAT(BX49,IF(BX49 &lt;&gt; "", " ", ""),BY49,IF(OR(BY49&lt;&gt;"", BX49&lt;&gt;""), "{}",""), CA49,"{SILVER}", BZ49)</f>
        <v>{BLACK}Powered by: {GOLD}Steam {}{SILVER}William Dean's 3001 class was the last of the GWR's 2-2-2 singles. They were rebuilt early on with a 4-2-2 layout to prevent derailments caused by the heavy front axle load.</v>
      </c>
    </row>
    <row r="50" spans="1:80" x14ac:dyDescent="0.25">
      <c r="A50" t="s">
        <v>237</v>
      </c>
      <c r="B50" t="s">
        <v>238</v>
      </c>
      <c r="C50">
        <v>991</v>
      </c>
      <c r="D50" t="s">
        <v>236</v>
      </c>
      <c r="E50" t="s">
        <v>25</v>
      </c>
      <c r="F50" t="s">
        <v>28</v>
      </c>
      <c r="G50">
        <v>1899</v>
      </c>
      <c r="I50">
        <v>1933</v>
      </c>
      <c r="K50">
        <v>180</v>
      </c>
      <c r="M50" s="5">
        <v>11.5</v>
      </c>
      <c r="N50" s="5">
        <v>18</v>
      </c>
      <c r="O50" s="5">
        <v>2</v>
      </c>
      <c r="P50" s="5">
        <v>175</v>
      </c>
      <c r="Q50" s="12">
        <f t="shared" si="92"/>
        <v>128.72826279491534</v>
      </c>
      <c r="R50" s="5">
        <v>1.7</v>
      </c>
      <c r="S50" s="5">
        <f t="shared" si="93"/>
        <v>193.38026403743311</v>
      </c>
      <c r="T50">
        <v>38</v>
      </c>
      <c r="V50">
        <v>5</v>
      </c>
      <c r="W50">
        <v>24</v>
      </c>
      <c r="X50" s="3">
        <f t="shared" si="65"/>
        <v>6.3157894736842107E-2</v>
      </c>
      <c r="Y50">
        <v>50</v>
      </c>
      <c r="Z50">
        <f t="shared" si="48"/>
        <v>80</v>
      </c>
      <c r="AC50">
        <v>10.9</v>
      </c>
      <c r="AD50">
        <v>12</v>
      </c>
      <c r="AG50" s="9">
        <v>12</v>
      </c>
      <c r="AH50" s="14" t="str">
        <f>CONCATENATE(VLOOKUP(AI50, 'Voxel Sizes'!$A$2:$B$18,2,FALSE),"x",INT(AE50*15), "x", INT(AF50*15))</f>
        <v>120x0x0</v>
      </c>
      <c r="AI50" s="14">
        <f t="shared" si="66"/>
        <v>7</v>
      </c>
      <c r="AK50" s="14" t="str">
        <f>CONCATENATE(VLOOKUP(AI50,Constants!$A$2:$C$16,IF(AJ50&lt;&gt;"", 3, 2), FALSE),IF(AJ50&lt;&gt;"",CONCATENATE(",",VLOOKUP(AJ50,$B:$AK,36,FALSE)),""))</f>
        <v>2,3,2</v>
      </c>
      <c r="AS50">
        <v>1</v>
      </c>
      <c r="AU50">
        <v>26</v>
      </c>
      <c r="AV50" s="14">
        <f t="shared" si="67"/>
        <v>42</v>
      </c>
      <c r="AW50">
        <v>-14</v>
      </c>
      <c r="AX50">
        <v>-4</v>
      </c>
      <c r="AY50" s="16">
        <f t="shared" si="94"/>
        <v>10</v>
      </c>
      <c r="AZ50" s="16">
        <f t="shared" si="95"/>
        <v>0.89999999999999991</v>
      </c>
      <c r="BA50" s="16">
        <f t="shared" si="96"/>
        <v>1.2</v>
      </c>
      <c r="BB50" s="17">
        <f t="shared" si="97"/>
        <v>1</v>
      </c>
      <c r="BC50" s="16">
        <f t="shared" si="98"/>
        <v>0.4</v>
      </c>
      <c r="BD50" s="16">
        <f>VLOOKUP($E50,Constants!$I:$K, 2, FALSE)</f>
        <v>1.1499999999999999</v>
      </c>
      <c r="BE50" s="16">
        <f>VLOOKUP($E50,Constants!$I:$K, 3, FALSE)*IF(AND(D50="multiple_unit",Y50&lt;110),0.75,1)</f>
        <v>1.7</v>
      </c>
      <c r="BF50" s="16">
        <f>INT(POWER(((Constants!$G$2+$AY50+$AZ50+$BA50+$BC50)*$BB50)*$BE50, 1.05))+$AX50</f>
        <v>31</v>
      </c>
      <c r="BG50" s="16">
        <f>INT(POWER((((Constants!$G$1+$AY50+$AZ50+$BA50+$BC50)*($BB50))*$BD50),IF($D50="wagon",1,1.2)))+$AW50</f>
        <v>49</v>
      </c>
      <c r="BH50" s="19">
        <f t="shared" si="99"/>
        <v>24218.75</v>
      </c>
      <c r="BI50" s="19">
        <f t="shared" si="100"/>
        <v>3981.25</v>
      </c>
      <c r="BP50">
        <v>4</v>
      </c>
      <c r="BR50" t="s">
        <v>142</v>
      </c>
      <c r="BS50" t="s">
        <v>34</v>
      </c>
      <c r="BT50" s="22" t="str">
        <f>VLOOKUP(G50,Eras!$A$2:$C$10, 2, TRUE)</f>
        <v>vct</v>
      </c>
      <c r="BU50" t="s">
        <v>61</v>
      </c>
      <c r="BV50" s="22" t="str">
        <f t="shared" si="75"/>
        <v>vct_Cheap</v>
      </c>
      <c r="BW50" s="22" t="str">
        <f t="shared" si="76"/>
        <v>steam_RAIL</v>
      </c>
      <c r="BX50" s="22" t="str">
        <f>VLOOKUP($BW50, Constants!$M:$N, 2, FALSE)</f>
        <v>{BLACK}Powered by: {GOLD}Steam</v>
      </c>
      <c r="BY50" s="22" t="str">
        <f t="shared" si="77"/>
        <v/>
      </c>
      <c r="BZ50" t="s">
        <v>239</v>
      </c>
      <c r="CA50" s="22" t="str">
        <f t="shared" si="64"/>
        <v/>
      </c>
      <c r="CB50" s="22" t="str">
        <f t="shared" si="102"/>
        <v>{BLACK}Powered by: {GOLD}Steam {}{SILVER}The F9 was Dugald Drummond's personal locomotive, allowing him to travel across the LSWR for inspections. After Drummond it only saw occasional use at Southampton Docks.</v>
      </c>
    </row>
    <row r="51" spans="1:80" x14ac:dyDescent="0.25">
      <c r="A51" t="s">
        <v>422</v>
      </c>
      <c r="B51" t="s">
        <v>423</v>
      </c>
      <c r="C51">
        <v>992</v>
      </c>
      <c r="D51" t="s">
        <v>15</v>
      </c>
      <c r="E51" t="s">
        <v>25</v>
      </c>
      <c r="F51" t="s">
        <v>28</v>
      </c>
      <c r="G51">
        <v>1899</v>
      </c>
      <c r="X51" s="3" t="str">
        <f>IF(AND(T51&gt;0,W51&gt;0),(W51/((T51+U51)*10)),"")</f>
        <v/>
      </c>
      <c r="Z51">
        <f t="shared" si="48"/>
        <v>0</v>
      </c>
      <c r="AG51" s="9">
        <v>0</v>
      </c>
      <c r="AH51" t="s">
        <v>452</v>
      </c>
      <c r="AI51">
        <f>ROUND(15*((AD51*10)/256),0)</f>
        <v>0</v>
      </c>
      <c r="AK51" s="14" t="str">
        <f>CONCATENATE(VLOOKUP(AI51,Constants!$A$2:$C$16,IF(AJ51&lt;&gt;"", 3, 2), FALSE),IF(AJ51&lt;&gt;"",CONCATENATE(",",VLOOKUP(AJ51,$B:$AK,36,FALSE)),""))</f>
        <v>na</v>
      </c>
      <c r="AU51">
        <v>30</v>
      </c>
      <c r="AV51" s="14" t="str">
        <f>IF(I51&lt;&gt;"",MAX(16,(I51-G51)+8),"")</f>
        <v/>
      </c>
      <c r="AY51" s="16">
        <f t="shared" si="94"/>
        <v>0</v>
      </c>
      <c r="AZ51" s="16">
        <f t="shared" si="95"/>
        <v>0</v>
      </c>
      <c r="BA51" s="16">
        <f t="shared" si="96"/>
        <v>0</v>
      </c>
      <c r="BB51" s="17">
        <f t="shared" si="97"/>
        <v>1</v>
      </c>
      <c r="BC51" s="16">
        <f t="shared" si="98"/>
        <v>0</v>
      </c>
      <c r="BD51" s="16">
        <f>VLOOKUP($E51,Constants!$I:$K, 2, FALSE)</f>
        <v>1.1499999999999999</v>
      </c>
      <c r="BE51" s="16">
        <f>VLOOKUP($E51,Constants!$I:$K, 3, FALSE)*IF(AND(D51="multiple_unit",Y51&lt;110),0.75,1)</f>
        <v>1.7</v>
      </c>
      <c r="BF51" s="16">
        <f>INT(POWER(((Constants!$G$2+$AY51+$AZ51+$BA51+$BC51)*$BB51)*$BE51, 1.05))+$AX51</f>
        <v>9</v>
      </c>
      <c r="BG51" s="16">
        <f>INT(POWER((((Constants!$G$1+$AY51+$AZ51+$BA51+$BC51)*($BB51))*$BD51),IF($D51="wagon",1,1.2)))+$AW51</f>
        <v>30</v>
      </c>
      <c r="BH51" s="19">
        <f t="shared" si="99"/>
        <v>7031.25</v>
      </c>
      <c r="BI51" s="19">
        <f t="shared" si="100"/>
        <v>2437.5</v>
      </c>
      <c r="BP51">
        <v>8</v>
      </c>
      <c r="BT51" t="s">
        <v>94</v>
      </c>
      <c r="BV51" t="str">
        <f>CONCATENATE(BT51,"_",BU51)</f>
        <v>vct_</v>
      </c>
      <c r="BW51" t="str">
        <f>_xlfn.CONCAT(E51, "_",F51)</f>
        <v>steam_RAIL</v>
      </c>
      <c r="BX51" t="s">
        <v>448</v>
      </c>
      <c r="BY51" t="str">
        <f>IF(J51&gt;1,_xlfn.CONCAT("{BLACK}Cars: {GOLD}", J51),"")</f>
        <v/>
      </c>
      <c r="CA51" s="22" t="str">
        <f t="shared" si="64"/>
        <v/>
      </c>
      <c r="CB51" s="22" t="str">
        <f t="shared" si="102"/>
        <v>{BLACK}Powered by: {GOLD}Steam {}{SILVER}</v>
      </c>
    </row>
    <row r="52" spans="1:80" x14ac:dyDescent="0.25">
      <c r="A52" t="s">
        <v>376</v>
      </c>
      <c r="B52" t="s">
        <v>377</v>
      </c>
      <c r="C52">
        <v>1021</v>
      </c>
      <c r="D52" t="s">
        <v>236</v>
      </c>
      <c r="E52" t="s">
        <v>25</v>
      </c>
      <c r="F52" t="s">
        <v>28</v>
      </c>
      <c r="G52">
        <v>1902</v>
      </c>
      <c r="I52">
        <v>1924</v>
      </c>
      <c r="K52">
        <v>1000</v>
      </c>
      <c r="M52" s="5">
        <v>18.5</v>
      </c>
      <c r="N52" s="5">
        <v>24</v>
      </c>
      <c r="O52" s="5">
        <v>3</v>
      </c>
      <c r="P52" s="5">
        <v>200</v>
      </c>
      <c r="Q52" s="12">
        <f t="shared" si="92"/>
        <v>111.81506038390457</v>
      </c>
      <c r="R52" s="5">
        <v>1.37</v>
      </c>
      <c r="S52" s="5">
        <f t="shared" si="93"/>
        <v>993.59240212342422</v>
      </c>
      <c r="T52">
        <v>81</v>
      </c>
      <c r="V52">
        <v>5</v>
      </c>
      <c r="W52">
        <v>173</v>
      </c>
      <c r="X52" s="3">
        <f t="shared" si="65"/>
        <v>0.21358024691358024</v>
      </c>
      <c r="Y52">
        <v>35</v>
      </c>
      <c r="Z52">
        <f t="shared" si="48"/>
        <v>56</v>
      </c>
      <c r="AC52">
        <v>12</v>
      </c>
      <c r="AD52">
        <v>12</v>
      </c>
      <c r="AH52" s="14" t="str">
        <f>CONCATENATE(VLOOKUP(AI52, 'Voxel Sizes'!$A$2:$B$18,2,FALSE),"x",INT(AE52*15), "x", INT(AF52*15))</f>
        <v>120x0x0</v>
      </c>
      <c r="AI52" s="14">
        <f t="shared" si="66"/>
        <v>7</v>
      </c>
      <c r="AK52" s="14" t="str">
        <f>CONCATENATE(VLOOKUP(AI52,Constants!$A$2:$C$16,IF(AJ52&lt;&gt;"", 3, 2), FALSE),IF(AJ52&lt;&gt;"",CONCATENATE(",",VLOOKUP(AJ52,$B:$AK,36,FALSE)),""))</f>
        <v>2,3,2</v>
      </c>
      <c r="AS52">
        <v>1</v>
      </c>
      <c r="AU52">
        <v>18</v>
      </c>
      <c r="AV52" s="14">
        <f t="shared" si="67"/>
        <v>30</v>
      </c>
      <c r="AW52">
        <v>4</v>
      </c>
      <c r="AY52" s="16">
        <f t="shared" si="94"/>
        <v>7</v>
      </c>
      <c r="AZ52" s="16">
        <f t="shared" si="95"/>
        <v>5</v>
      </c>
      <c r="BA52" s="16">
        <f t="shared" si="96"/>
        <v>8.65</v>
      </c>
      <c r="BB52" s="17">
        <f t="shared" si="97"/>
        <v>0.99733333333333329</v>
      </c>
      <c r="BC52" s="16">
        <f t="shared" si="98"/>
        <v>0</v>
      </c>
      <c r="BD52" s="16">
        <f>VLOOKUP($E52,Constants!$I:$K, 2, FALSE)</f>
        <v>1.1499999999999999</v>
      </c>
      <c r="BE52" s="16">
        <f>VLOOKUP($E52,Constants!$I:$K, 3, FALSE)*IF(AND(D52="multiple_unit",Y52&lt;110),0.75,1)</f>
        <v>1.7</v>
      </c>
      <c r="BF52" s="16">
        <f>INT(POWER(((Constants!$G$2+$AY52+$AZ52+$BA52+$BC52)*$BB52)*$BE52, 1.05))+$AX52</f>
        <v>52</v>
      </c>
      <c r="BG52" s="16">
        <f>INT(POWER((((Constants!$G$1+$AY52+$AZ52+$BA52+$BC52)*($BB52))*$BD52),IF($D52="wagon",1,1.2)))+$AW52</f>
        <v>89</v>
      </c>
      <c r="BH52" s="19">
        <f t="shared" si="99"/>
        <v>40625</v>
      </c>
      <c r="BI52" s="19">
        <f t="shared" si="100"/>
        <v>7231.25</v>
      </c>
      <c r="BP52">
        <v>3</v>
      </c>
      <c r="BT52" s="22" t="str">
        <f>VLOOKUP(G52,Eras!$A$2:$C$10, 2, TRUE)</f>
        <v>edw</v>
      </c>
      <c r="BU52" t="s">
        <v>63</v>
      </c>
      <c r="BV52" s="22" t="str">
        <f t="shared" si="75"/>
        <v>edw_Express</v>
      </c>
      <c r="BW52" s="22" t="str">
        <f t="shared" si="76"/>
        <v>steam_RAIL</v>
      </c>
      <c r="BX52" s="22" t="str">
        <f>VLOOKUP($BW52, Constants!$M:$N, 2, FALSE)</f>
        <v>{BLACK}Powered by: {GOLD}Steam</v>
      </c>
      <c r="BY52" s="22" t="str">
        <f t="shared" si="77"/>
        <v/>
      </c>
      <c r="BZ52" t="s">
        <v>378</v>
      </c>
      <c r="CA52" s="22" t="str">
        <f t="shared" si="64"/>
        <v/>
      </c>
      <c r="CB52" s="22" t="str">
        <f t="shared" si="78"/>
        <v>{BLACK}Powered by: {GOLD}Steam {}{SILVER}GER's prototype Decapod was built to outperform low speed acceleration of electric locomotives, to prevent a rival electric railway being approved by Parliament.</v>
      </c>
    </row>
    <row r="53" spans="1:80" x14ac:dyDescent="0.25">
      <c r="A53" t="s">
        <v>379</v>
      </c>
      <c r="B53" t="s">
        <v>380</v>
      </c>
      <c r="C53">
        <v>1131</v>
      </c>
      <c r="D53" t="s">
        <v>236</v>
      </c>
      <c r="E53" t="s">
        <v>25</v>
      </c>
      <c r="F53" t="s">
        <v>28</v>
      </c>
      <c r="G53">
        <v>1913</v>
      </c>
      <c r="I53">
        <v>1949</v>
      </c>
      <c r="K53">
        <v>1600</v>
      </c>
      <c r="M53" s="5">
        <v>15.75</v>
      </c>
      <c r="N53" s="5">
        <v>26</v>
      </c>
      <c r="O53" s="5">
        <v>4</v>
      </c>
      <c r="P53" s="5">
        <v>175</v>
      </c>
      <c r="Q53" s="12">
        <f t="shared" si="92"/>
        <v>177.20544273524447</v>
      </c>
      <c r="R53" s="5">
        <v>2.0499999999999998</v>
      </c>
      <c r="S53" s="5">
        <f t="shared" si="93"/>
        <v>1442.4858820676277</v>
      </c>
      <c r="T53">
        <v>79</v>
      </c>
      <c r="U53" s="7">
        <v>35</v>
      </c>
      <c r="V53">
        <v>5</v>
      </c>
      <c r="W53">
        <v>120</v>
      </c>
      <c r="X53" s="3">
        <f t="shared" si="65"/>
        <v>0.10526315789473684</v>
      </c>
      <c r="Y53">
        <v>83</v>
      </c>
      <c r="Z53">
        <f t="shared" si="48"/>
        <v>133</v>
      </c>
      <c r="AC53">
        <v>12</v>
      </c>
      <c r="AD53">
        <v>12</v>
      </c>
      <c r="AH53" s="14" t="str">
        <f>CONCATENATE(VLOOKUP(AI53, 'Voxel Sizes'!$A$2:$B$18,2,FALSE),"x",INT(AE53*15), "x", INT(AF53*15))</f>
        <v>120x0x0</v>
      </c>
      <c r="AI53" s="14">
        <f t="shared" si="66"/>
        <v>7</v>
      </c>
      <c r="AJ53" t="s">
        <v>383</v>
      </c>
      <c r="AK53" s="14" t="str">
        <f>CONCATENATE(VLOOKUP(AI53,Constants!$A$2:$C$16,IF(AJ53&lt;&gt;"", 3, 2), FALSE),IF(AJ53&lt;&gt;"",CONCATENATE(",",VLOOKUP(AJ53,$B:$AK,36,FALSE)),""))</f>
        <v>2,3,2,2,1,2</v>
      </c>
      <c r="AS53">
        <v>1</v>
      </c>
      <c r="AU53">
        <v>26</v>
      </c>
      <c r="AV53" s="14">
        <f t="shared" si="67"/>
        <v>44</v>
      </c>
      <c r="AW53">
        <v>3</v>
      </c>
      <c r="AY53" s="16">
        <f t="shared" si="94"/>
        <v>16.600000000000001</v>
      </c>
      <c r="AZ53" s="16">
        <f t="shared" si="95"/>
        <v>8</v>
      </c>
      <c r="BA53" s="16">
        <f t="shared" si="96"/>
        <v>6</v>
      </c>
      <c r="BB53" s="17">
        <f t="shared" si="97"/>
        <v>0.98266666666666669</v>
      </c>
      <c r="BC53" s="16">
        <f t="shared" si="98"/>
        <v>0</v>
      </c>
      <c r="BD53" s="16">
        <f>VLOOKUP($E53,Constants!$I:$K, 2, FALSE)</f>
        <v>1.1499999999999999</v>
      </c>
      <c r="BE53" s="16">
        <f>VLOOKUP($E53,Constants!$I:$K, 3, FALSE)*IF(AND(D53="multiple_unit",Y53&lt;110),0.75,1)</f>
        <v>1.7</v>
      </c>
      <c r="BF53" s="16">
        <f>INT(POWER(((Constants!$G$2+$AY53+$AZ53+$BA53+$BC53)*$BB53)*$BE53, 1.05))+$AX53</f>
        <v>72</v>
      </c>
      <c r="BG53" s="16">
        <f>INT(POWER((((Constants!$G$1+$AY53+$AZ53+$BA53+$BC53)*($BB53))*$BD53),IF($D53="wagon",1,1.2)))+$AW53</f>
        <v>116</v>
      </c>
      <c r="BH53" s="19">
        <f t="shared" si="99"/>
        <v>56250</v>
      </c>
      <c r="BI53" s="19">
        <f t="shared" si="100"/>
        <v>9425</v>
      </c>
      <c r="BP53">
        <v>3</v>
      </c>
      <c r="BT53" s="22" t="str">
        <f>VLOOKUP(G53,Eras!$A$2:$C$10, 2, TRUE)</f>
        <v>edw</v>
      </c>
      <c r="BU53" t="s">
        <v>63</v>
      </c>
      <c r="BV53" s="22" t="str">
        <f t="shared" si="75"/>
        <v>edw_Express</v>
      </c>
      <c r="BW53" s="22" t="str">
        <f t="shared" si="76"/>
        <v>steam_RAIL</v>
      </c>
      <c r="BX53" s="22" t="str">
        <f>VLOOKUP($BW53, Constants!$M:$N, 2, FALSE)</f>
        <v>{BLACK}Powered by: {GOLD}Steam</v>
      </c>
      <c r="BY53" s="22" t="str">
        <f t="shared" si="77"/>
        <v/>
      </c>
      <c r="BZ53" t="s">
        <v>381</v>
      </c>
      <c r="CA53" s="22" t="str">
        <f t="shared" si="64"/>
        <v/>
      </c>
      <c r="CB53" s="22" t="str">
        <f t="shared" si="78"/>
        <v>{BLACK}Powered by: {GOLD}Steam {}{SILVER}The Claughton Class, named after the LNWR's chairman at the time, was unfortunately compromised by the Crewe works being unable to build a large boiler.</v>
      </c>
    </row>
    <row r="54" spans="1:80" x14ac:dyDescent="0.25">
      <c r="A54" t="s">
        <v>384</v>
      </c>
      <c r="B54" t="s">
        <v>385</v>
      </c>
      <c r="C54">
        <v>1171</v>
      </c>
      <c r="D54" t="s">
        <v>236</v>
      </c>
      <c r="E54" t="s">
        <v>25</v>
      </c>
      <c r="F54" t="s">
        <v>28</v>
      </c>
      <c r="G54">
        <v>1917</v>
      </c>
      <c r="I54">
        <v>1949</v>
      </c>
      <c r="K54">
        <v>1650</v>
      </c>
      <c r="M54" s="5">
        <v>16</v>
      </c>
      <c r="N54" s="5">
        <v>26</v>
      </c>
      <c r="O54" s="5">
        <v>4</v>
      </c>
      <c r="P54" s="5">
        <v>180</v>
      </c>
      <c r="Q54" s="12">
        <f t="shared" si="92"/>
        <v>191.2177107536121</v>
      </c>
      <c r="R54" s="5">
        <v>2.06</v>
      </c>
      <c r="S54" s="5">
        <f t="shared" si="93"/>
        <v>1652.2506619593996</v>
      </c>
      <c r="T54">
        <v>86</v>
      </c>
      <c r="U54" s="7">
        <v>35</v>
      </c>
      <c r="V54">
        <v>5</v>
      </c>
      <c r="W54">
        <v>112</v>
      </c>
      <c r="X54" s="3">
        <f t="shared" si="65"/>
        <v>9.2561983471074374E-2</v>
      </c>
      <c r="Y54">
        <v>90</v>
      </c>
      <c r="Z54">
        <f t="shared" si="48"/>
        <v>144</v>
      </c>
      <c r="AC54">
        <v>12</v>
      </c>
      <c r="AD54">
        <v>12</v>
      </c>
      <c r="AH54" s="14" t="str">
        <f>CONCATENATE(VLOOKUP(AI54, 'Voxel Sizes'!$A$2:$B$18,2,FALSE),"x",INT(AE54*15), "x", INT(AF54*15))</f>
        <v>120x0x0</v>
      </c>
      <c r="AI54" s="14">
        <f t="shared" si="66"/>
        <v>7</v>
      </c>
      <c r="AJ54" t="s">
        <v>386</v>
      </c>
      <c r="AK54" s="14" t="str">
        <f>CONCATENATE(VLOOKUP(AI54,Constants!$A$2:$C$16,IF(AJ54&lt;&gt;"", 3, 2), FALSE),IF(AJ54&lt;&gt;"",CONCATENATE(",",VLOOKUP(AJ54,$B:$AK,36,FALSE)),""))</f>
        <v>2,3,2,2,1,2</v>
      </c>
      <c r="AS54">
        <v>1</v>
      </c>
      <c r="AU54">
        <v>27</v>
      </c>
      <c r="AV54" s="14">
        <f t="shared" si="67"/>
        <v>40</v>
      </c>
      <c r="AW54">
        <v>7</v>
      </c>
      <c r="AX54">
        <v>4</v>
      </c>
      <c r="AY54" s="16">
        <f t="shared" si="68"/>
        <v>18</v>
      </c>
      <c r="AZ54" s="16">
        <f t="shared" si="69"/>
        <v>8.25</v>
      </c>
      <c r="BA54" s="16">
        <f t="shared" si="70"/>
        <v>5.6000000000000005</v>
      </c>
      <c r="BB54" s="17">
        <f t="shared" si="71"/>
        <v>0.97733333333333339</v>
      </c>
      <c r="BC54" s="16">
        <f t="shared" si="72"/>
        <v>0</v>
      </c>
      <c r="BD54" s="16">
        <f>VLOOKUP($E54,Constants!$I:$K, 2, FALSE)</f>
        <v>1.1499999999999999</v>
      </c>
      <c r="BE54" s="16">
        <f>VLOOKUP($E54,Constants!$I:$K, 3, FALSE)*IF(AND(D54="multiple_unit",Y54&lt;110),0.75,1)</f>
        <v>1.7</v>
      </c>
      <c r="BF54" s="16">
        <f>INT(POWER(((Constants!$G$2+$AY54+$AZ54+$BA54+$BC54)*$BB54)*$BE54, 1.05))+$AX54</f>
        <v>79</v>
      </c>
      <c r="BG54" s="16">
        <f>INT(POWER((((Constants!$G$1+$AY54+$AZ54+$BA54+$BC54)*($BB54))*$BD54),IF($D54="wagon",1,1.2)))+$AW54</f>
        <v>123</v>
      </c>
      <c r="BH54" s="19">
        <f t="shared" si="73"/>
        <v>61718.75</v>
      </c>
      <c r="BI54" s="19">
        <f t="shared" si="74"/>
        <v>9993.75</v>
      </c>
      <c r="BP54">
        <v>3</v>
      </c>
      <c r="BT54" s="22" t="str">
        <f>VLOOKUP(G54,Eras!$A$2:$C$10, 2, TRUE)</f>
        <v>edw</v>
      </c>
      <c r="BU54" t="s">
        <v>63</v>
      </c>
      <c r="BV54" s="22" t="str">
        <f t="shared" si="75"/>
        <v>edw_Express</v>
      </c>
      <c r="BW54" s="22" t="str">
        <f t="shared" si="76"/>
        <v>steam_RAIL</v>
      </c>
      <c r="BX54" s="22" t="str">
        <f>VLOOKUP($BW54, Constants!$M:$N, 2, FALSE)</f>
        <v>{BLACK}Powered by: {GOLD}Steam</v>
      </c>
      <c r="BY54" s="22" t="str">
        <f t="shared" si="77"/>
        <v/>
      </c>
      <c r="BZ54" t="s">
        <v>388</v>
      </c>
      <c r="CA54" s="22" t="str">
        <f t="shared" si="64"/>
        <v/>
      </c>
      <c r="CB54" s="22" t="str">
        <f t="shared" si="78"/>
        <v>{BLACK}Powered by: {GOLD}Steam {}{SILVER}Robinson's 9P was a four-cylinder express locotive introduced toward the end of his time at the GCR. Early versions suffered from high coal consumption due to narrow steam passages.</v>
      </c>
    </row>
    <row r="55" spans="1:80" x14ac:dyDescent="0.25">
      <c r="A55" t="s">
        <v>389</v>
      </c>
      <c r="B55" t="s">
        <v>390</v>
      </c>
      <c r="C55">
        <v>1211</v>
      </c>
      <c r="D55" t="s">
        <v>236</v>
      </c>
      <c r="E55" t="s">
        <v>25</v>
      </c>
      <c r="F55" t="s">
        <v>28</v>
      </c>
      <c r="G55">
        <v>1921</v>
      </c>
      <c r="I55">
        <v>1950</v>
      </c>
      <c r="K55">
        <v>1650</v>
      </c>
      <c r="M55" s="5">
        <v>16</v>
      </c>
      <c r="N55" s="5">
        <v>26</v>
      </c>
      <c r="O55" s="5">
        <v>4</v>
      </c>
      <c r="P55" s="5">
        <v>180</v>
      </c>
      <c r="Q55" s="12">
        <f t="shared" si="92"/>
        <v>165.40084928881564</v>
      </c>
      <c r="R55" s="5">
        <v>1.72</v>
      </c>
      <c r="S55" s="5">
        <f t="shared" si="93"/>
        <v>1429.1754756871035</v>
      </c>
      <c r="T55">
        <v>94</v>
      </c>
      <c r="U55" s="7">
        <v>35</v>
      </c>
      <c r="V55">
        <v>5</v>
      </c>
      <c r="W55">
        <v>133</v>
      </c>
      <c r="X55" s="3">
        <f t="shared" si="65"/>
        <v>0.10310077519379846</v>
      </c>
      <c r="Y55">
        <v>65</v>
      </c>
      <c r="Z55">
        <f t="shared" si="48"/>
        <v>104</v>
      </c>
      <c r="AC55">
        <v>12</v>
      </c>
      <c r="AD55">
        <v>12</v>
      </c>
      <c r="AH55" s="14" t="str">
        <f>CONCATENATE(VLOOKUP(AI55, 'Voxel Sizes'!$A$2:$B$18,2,FALSE),"x",INT(AE55*15), "x", INT(AF55*15))</f>
        <v>120x0x0</v>
      </c>
      <c r="AI55" s="14">
        <f t="shared" si="66"/>
        <v>7</v>
      </c>
      <c r="AJ55" t="s">
        <v>386</v>
      </c>
      <c r="AK55" s="14" t="str">
        <f>CONCATENATE(VLOOKUP(AI55,Constants!$A$2:$C$16,IF(AJ55&lt;&gt;"", 3, 2), FALSE),IF(AJ55&lt;&gt;"",CONCATENATE(",",VLOOKUP(AJ55,$B:$AK,36,FALSE)),""))</f>
        <v>2,3,2,2,1,2</v>
      </c>
      <c r="AS55">
        <v>1</v>
      </c>
      <c r="AU55">
        <v>26</v>
      </c>
      <c r="AV55" s="14">
        <f t="shared" si="67"/>
        <v>37</v>
      </c>
      <c r="AW55">
        <v>14</v>
      </c>
      <c r="AX55">
        <v>11</v>
      </c>
      <c r="AY55" s="16">
        <f t="shared" si="68"/>
        <v>13</v>
      </c>
      <c r="AZ55" s="16">
        <f t="shared" si="69"/>
        <v>8.25</v>
      </c>
      <c r="BA55" s="16">
        <f t="shared" si="70"/>
        <v>6.65</v>
      </c>
      <c r="BB55" s="17">
        <f t="shared" si="71"/>
        <v>0.97199999999999998</v>
      </c>
      <c r="BC55" s="16">
        <f t="shared" si="72"/>
        <v>0</v>
      </c>
      <c r="BD55" s="16">
        <f>VLOOKUP($E55,Constants!$I:$K, 2, FALSE)</f>
        <v>1.1499999999999999</v>
      </c>
      <c r="BE55" s="16">
        <f>VLOOKUP($E55,Constants!$I:$K, 3, FALSE)*IF(AND(D55="multiple_unit",Y55&lt;110),0.75,1)</f>
        <v>1.7</v>
      </c>
      <c r="BF55" s="16">
        <f>INT(POWER(((Constants!$G$2+$AY55+$AZ55+$BA55+$BC55)*$BB55)*$BE55, 1.05))+$AX55</f>
        <v>77</v>
      </c>
      <c r="BG55" s="16">
        <f>INT(POWER((((Constants!$G$1+$AY55+$AZ55+$BA55+$BC55)*($BB55))*$BD55),IF($D55="wagon",1,1.2)))+$AW55</f>
        <v>117</v>
      </c>
      <c r="BH55" s="19">
        <f t="shared" si="73"/>
        <v>60156.25</v>
      </c>
      <c r="BI55" s="19">
        <f t="shared" si="74"/>
        <v>9506.25</v>
      </c>
      <c r="BP55">
        <v>3</v>
      </c>
      <c r="BT55" s="22" t="str">
        <f>VLOOKUP(G55,Eras!$A$2:$C$10, 2, TRUE)</f>
        <v>edw</v>
      </c>
      <c r="BU55" t="s">
        <v>63</v>
      </c>
      <c r="BV55" s="22" t="str">
        <f t="shared" si="75"/>
        <v>edw_Express</v>
      </c>
      <c r="BW55" s="22" t="str">
        <f t="shared" si="76"/>
        <v>steam_RAIL</v>
      </c>
      <c r="BX55" s="22" t="str">
        <f>VLOOKUP($BW55, Constants!$M:$N, 2, FALSE)</f>
        <v>{BLACK}Powered by: {GOLD}Steam</v>
      </c>
      <c r="BY55" s="22" t="str">
        <f t="shared" si="77"/>
        <v/>
      </c>
      <c r="BZ55" t="s">
        <v>391</v>
      </c>
      <c r="CA55" s="22" t="str">
        <f t="shared" si="64"/>
        <v/>
      </c>
      <c r="CB55" s="22" t="str">
        <f t="shared" si="78"/>
        <v>{BLACK}Powered by: {GOLD}Steam {}{SILVER}The 9Q is a freight adaptation of the 9P, which had an exceptional turn of speed for a high tractive effort engine. It earnt the name "Black Pig" for its heavy coal consumption.</v>
      </c>
    </row>
    <row r="56" spans="1:80" x14ac:dyDescent="0.25">
      <c r="A56" t="s">
        <v>424</v>
      </c>
      <c r="B56" t="s">
        <v>425</v>
      </c>
      <c r="C56">
        <v>1221</v>
      </c>
      <c r="D56" t="s">
        <v>15</v>
      </c>
      <c r="E56" t="s">
        <v>25</v>
      </c>
      <c r="F56" t="s">
        <v>28</v>
      </c>
      <c r="G56">
        <v>1922</v>
      </c>
      <c r="H56">
        <v>1924</v>
      </c>
      <c r="W56">
        <v>119</v>
      </c>
      <c r="X56" s="3" t="str">
        <f>IF(AND(T56&gt;0,W56&gt;0),(W56/((T56+U56)*10)),"")</f>
        <v/>
      </c>
      <c r="Z56">
        <f t="shared" si="48"/>
        <v>0</v>
      </c>
      <c r="AG56" s="9">
        <v>0</v>
      </c>
      <c r="AH56" t="s">
        <v>452</v>
      </c>
      <c r="AI56">
        <f>ROUND(15*((AD56*10)/256),0)</f>
        <v>0</v>
      </c>
      <c r="AK56" s="14" t="str">
        <f>CONCATENATE(VLOOKUP(AI56,Constants!$A$2:$C$16,IF(AJ56&lt;&gt;"", 3, 2), FALSE),IF(AJ56&lt;&gt;"",CONCATENATE(",",VLOOKUP(AJ56,$B:$AK,36,FALSE)),""))</f>
        <v>na</v>
      </c>
      <c r="AS56">
        <v>1</v>
      </c>
      <c r="AU56">
        <v>30</v>
      </c>
      <c r="AV56" s="14" t="str">
        <f>IF(I56&lt;&gt;"",MAX(16,(I56-G56)+8),"")</f>
        <v/>
      </c>
      <c r="AY56">
        <f>MIN(Y56/150, 1)*30</f>
        <v>0</v>
      </c>
      <c r="AZ56">
        <f>MIN(K56/4000, 1)*20</f>
        <v>0</v>
      </c>
      <c r="BA56">
        <f>MIN(W56/400,1)*20</f>
        <v>5.9499999999999993</v>
      </c>
      <c r="BB56" s="3">
        <f>1-(MAX(G56-1900, 0)/750)</f>
        <v>0.97066666666666668</v>
      </c>
      <c r="BC56">
        <f>((MAX($J56,1)*MIN($AG56/300,1)))*IF(D56="Wagon",50,10)</f>
        <v>0</v>
      </c>
      <c r="BD56">
        <v>1.1499999999999999</v>
      </c>
      <c r="BE56">
        <v>1.7</v>
      </c>
      <c r="BF56">
        <v>20</v>
      </c>
      <c r="BG56">
        <v>43</v>
      </c>
      <c r="BH56" s="23">
        <f>BF56*IF($D56="wagon",62.5,781.25)</f>
        <v>15625</v>
      </c>
      <c r="BI56" s="23">
        <f>BG56*IF($D56="wagon",2.73,81.25)</f>
        <v>3493.75</v>
      </c>
      <c r="BP56">
        <v>8</v>
      </c>
      <c r="BT56" t="s">
        <v>53</v>
      </c>
      <c r="BV56" t="str">
        <f>CONCATENATE(BT56,"_",BU56)</f>
        <v>edw_</v>
      </c>
      <c r="BW56" t="str">
        <f>_xlfn.CONCAT(E56, "_",F56)</f>
        <v>steam_RAIL</v>
      </c>
      <c r="BX56" t="s">
        <v>448</v>
      </c>
      <c r="BY56" t="str">
        <f>IF(J56&gt;1,_xlfn.CONCAT("{BLACK}Cars: {GOLD}", J56),"")</f>
        <v/>
      </c>
      <c r="CA56" s="22" t="str">
        <f t="shared" si="64"/>
        <v/>
      </c>
      <c r="CB56" t="str">
        <f>_xlfn.CONCAT(BX56,IF(BX56 &lt;&gt; "", " ", ""),BY56,IF(OR(BY56&lt;&gt;"", BX56&lt;&gt;""), "{}",""), CA56,"{SILVER}", BZ56)</f>
        <v>{BLACK}Powered by: {GOLD}Steam {}{SILVER}</v>
      </c>
    </row>
    <row r="57" spans="1:80" x14ac:dyDescent="0.25">
      <c r="A57" t="s">
        <v>426</v>
      </c>
      <c r="B57" t="s">
        <v>427</v>
      </c>
      <c r="C57">
        <v>254</v>
      </c>
      <c r="D57" t="s">
        <v>15</v>
      </c>
      <c r="E57" t="s">
        <v>25</v>
      </c>
      <c r="F57" t="s">
        <v>28</v>
      </c>
      <c r="G57">
        <v>1942</v>
      </c>
      <c r="T57">
        <v>72</v>
      </c>
      <c r="W57">
        <v>119</v>
      </c>
      <c r="X57" s="3">
        <f>IF(AND(T57&gt;0,W57&gt;0),(W57/((T57+U57)*10)),"")</f>
        <v>0.16527777777777777</v>
      </c>
      <c r="Z57">
        <f t="shared" si="48"/>
        <v>0</v>
      </c>
      <c r="AG57" s="9">
        <v>0</v>
      </c>
      <c r="AH57" t="s">
        <v>452</v>
      </c>
      <c r="AI57">
        <f>ROUND(15*((AD57*10)/256),0)</f>
        <v>0</v>
      </c>
      <c r="AK57" s="14" t="str">
        <f>CONCATENATE(VLOOKUP(AI57,Constants!$A$2:$C$16,IF(AJ57&lt;&gt;"", 3, 2), FALSE),IF(AJ57&lt;&gt;"",CONCATENATE(",",VLOOKUP(AJ57,$B:$AK,36,FALSE)),""))</f>
        <v>na</v>
      </c>
      <c r="AU57">
        <v>30</v>
      </c>
      <c r="AV57" s="14" t="str">
        <f>IF(I57&lt;&gt;"",MAX(16,(I57-G57)+8),"")</f>
        <v/>
      </c>
      <c r="AY57">
        <f>MIN(Y57/150, 1)*30</f>
        <v>0</v>
      </c>
      <c r="AZ57">
        <f>MIN(K57/4000, 1)*20</f>
        <v>0</v>
      </c>
      <c r="BA57">
        <f>MIN(W57/400,1)*20</f>
        <v>5.9499999999999993</v>
      </c>
      <c r="BB57" s="3">
        <f>1-(MAX(G57-1900, 0)/750)</f>
        <v>0.94399999999999995</v>
      </c>
      <c r="BC57">
        <f>((MAX($J57,1)*MIN($AG57/300,1)))*IF(D57="Wagon",50,10)</f>
        <v>0</v>
      </c>
      <c r="BD57">
        <v>1.1499999999999999</v>
      </c>
      <c r="BE57">
        <v>1.7</v>
      </c>
      <c r="BF57">
        <v>20</v>
      </c>
      <c r="BG57">
        <v>42</v>
      </c>
      <c r="BH57" s="23">
        <f>BF57*IF($D57="wagon",62.5,781.25)</f>
        <v>15625</v>
      </c>
      <c r="BI57" s="23">
        <f>BG57*IF($D57="wagon",2.73,81.25)</f>
        <v>3412.5</v>
      </c>
      <c r="BP57">
        <v>7</v>
      </c>
      <c r="BT57" t="s">
        <v>54</v>
      </c>
      <c r="BV57" t="str">
        <f>CONCATENATE(BT57,"_",BU57)</f>
        <v>big4_</v>
      </c>
      <c r="BW57" t="str">
        <f>_xlfn.CONCAT(E57, "_",F57)</f>
        <v>steam_RAIL</v>
      </c>
      <c r="BX57" t="s">
        <v>448</v>
      </c>
      <c r="BY57" t="str">
        <f>IF(J57&gt;1,_xlfn.CONCAT("{BLACK}Cars: {GOLD}", J57),"")</f>
        <v/>
      </c>
      <c r="CA57" s="22" t="str">
        <f t="shared" si="64"/>
        <v/>
      </c>
      <c r="CB57" t="str">
        <f>_xlfn.CONCAT(BX57,IF(BX57 &lt;&gt; "", " ", ""),BY57,IF(OR(BY57&lt;&gt;"", BX57&lt;&gt;""), "{}",""), CA57,"{SILVER}", BZ57)</f>
        <v>{BLACK}Powered by: {GOLD}Steam {}{SILVER}</v>
      </c>
    </row>
    <row r="58" spans="1:80" x14ac:dyDescent="0.25">
      <c r="A58" t="s">
        <v>396</v>
      </c>
      <c r="B58" t="s">
        <v>397</v>
      </c>
      <c r="C58">
        <v>1491</v>
      </c>
      <c r="D58" t="s">
        <v>236</v>
      </c>
      <c r="E58" t="s">
        <v>400</v>
      </c>
      <c r="F58" t="s">
        <v>28</v>
      </c>
      <c r="G58">
        <v>1949</v>
      </c>
      <c r="I58">
        <v>1964</v>
      </c>
      <c r="K58">
        <v>2500</v>
      </c>
      <c r="T58">
        <v>117</v>
      </c>
      <c r="W58">
        <v>140</v>
      </c>
      <c r="X58" s="3">
        <f t="shared" si="65"/>
        <v>0.11965811965811966</v>
      </c>
      <c r="Y58">
        <v>90</v>
      </c>
      <c r="Z58">
        <f t="shared" si="48"/>
        <v>144</v>
      </c>
      <c r="AD58">
        <v>18</v>
      </c>
      <c r="AH58" s="14" t="str">
        <f>CONCATENATE(VLOOKUP(AI58, 'Voxel Sizes'!$A$2:$B$18,2,FALSE),"x",INT(AE58*15), "x", INT(AF58*15))</f>
        <v>186x0x0</v>
      </c>
      <c r="AI58" s="14">
        <f t="shared" si="66"/>
        <v>11</v>
      </c>
      <c r="AK58" s="14" t="str">
        <f>CONCATENATE(VLOOKUP(AI58,Constants!$A$2:$C$16,IF(AJ58&lt;&gt;"", 3, 2), FALSE),IF(AJ58&lt;&gt;"",CONCATENATE(",",VLOOKUP(AJ58,$B:$AK,36,FALSE)),""))</f>
        <v>4,3,4</v>
      </c>
      <c r="AU58">
        <v>22</v>
      </c>
      <c r="AV58" s="14">
        <f t="shared" si="67"/>
        <v>23</v>
      </c>
      <c r="AW58">
        <v>9</v>
      </c>
      <c r="AX58">
        <v>2</v>
      </c>
      <c r="AY58" s="16">
        <f t="shared" si="68"/>
        <v>18</v>
      </c>
      <c r="AZ58" s="16">
        <f t="shared" si="69"/>
        <v>12.5</v>
      </c>
      <c r="BA58" s="16">
        <f t="shared" si="70"/>
        <v>7</v>
      </c>
      <c r="BB58" s="17">
        <f t="shared" si="71"/>
        <v>0.93466666666666665</v>
      </c>
      <c r="BC58" s="16">
        <f t="shared" si="72"/>
        <v>0</v>
      </c>
      <c r="BD58" s="16">
        <f>VLOOKUP($E58,Constants!$I:$K, 2, FALSE)</f>
        <v>1</v>
      </c>
      <c r="BE58" s="16">
        <f>VLOOKUP($E58,Constants!$I:$K, 3, FALSE)*IF(AND(D58="multiple_unit",Y58&lt;110),0.75,1)</f>
        <v>2</v>
      </c>
      <c r="BF58" s="16">
        <f>INT(POWER(((Constants!$G$2+$AY58+$AZ58+$BA58+$BC58)*$BB58)*$BE58, 1.05))+$AX58</f>
        <v>100</v>
      </c>
      <c r="BG58" s="16">
        <f>INT(POWER((((Constants!$G$1+$AY58+$AZ58+$BA58+$BC58)*($BB58))*$BD58),IF($D58="wagon",1,1.2)))+$AW58</f>
        <v>115</v>
      </c>
      <c r="BH58" s="19">
        <f t="shared" si="73"/>
        <v>78125</v>
      </c>
      <c r="BI58" s="19">
        <f t="shared" si="74"/>
        <v>9343.75</v>
      </c>
      <c r="BP58">
        <v>6</v>
      </c>
      <c r="BT58" s="22" t="str">
        <f>VLOOKUP(G58,Eras!$A$2:$C$10, 2, TRUE)</f>
        <v>ebr</v>
      </c>
      <c r="BU58" t="s">
        <v>64</v>
      </c>
      <c r="BV58" s="22" t="str">
        <f t="shared" si="75"/>
        <v>ebr_Freight</v>
      </c>
      <c r="BW58" s="22" t="str">
        <f t="shared" si="76"/>
        <v>gas_turbine_RAIL</v>
      </c>
      <c r="BX58" s="22" t="str">
        <f>VLOOKUP($BW58, Constants!$M:$N, 2, FALSE)</f>
        <v>{BLACK}Powered by: {GOLD}Gas Turbine</v>
      </c>
      <c r="BY58" s="22" t="str">
        <f t="shared" si="77"/>
        <v/>
      </c>
      <c r="BZ58" t="s">
        <v>401</v>
      </c>
      <c r="CA58" s="22" t="str">
        <f t="shared" si="64"/>
        <v/>
      </c>
      <c r="CB58" s="22" t="str">
        <f t="shared" si="78"/>
        <v>{BLACK}Powered by: {GOLD}Gas Turbine {}{SILVER}Originally ordered by the GWR, the 18000 used a gas turbine to match the power output of the King Class. This resulted in it being unreliable and expensive to run.</v>
      </c>
    </row>
    <row r="59" spans="1:80" x14ac:dyDescent="0.25">
      <c r="A59" t="s">
        <v>428</v>
      </c>
      <c r="B59" t="s">
        <v>463</v>
      </c>
      <c r="C59">
        <v>3562</v>
      </c>
      <c r="D59" t="s">
        <v>231</v>
      </c>
      <c r="E59" t="s">
        <v>26</v>
      </c>
      <c r="F59" t="s">
        <v>28</v>
      </c>
      <c r="G59">
        <v>1956</v>
      </c>
      <c r="H59">
        <v>1959</v>
      </c>
      <c r="I59">
        <v>1988</v>
      </c>
      <c r="J59">
        <v>2</v>
      </c>
      <c r="K59">
        <v>300</v>
      </c>
      <c r="T59">
        <f>30.5*2</f>
        <v>61</v>
      </c>
      <c r="V59">
        <v>5</v>
      </c>
      <c r="W59">
        <v>65</v>
      </c>
      <c r="X59" s="3">
        <f>IF(AND(T59&gt;0,W59&gt;0),(W59/((T59+U59)*10)),"")</f>
        <v>0.10655737704918032</v>
      </c>
      <c r="Y59">
        <v>70</v>
      </c>
      <c r="Z59">
        <f t="shared" si="48"/>
        <v>112</v>
      </c>
      <c r="AC59">
        <v>17.53</v>
      </c>
      <c r="AD59">
        <v>17.53</v>
      </c>
      <c r="AF59">
        <v>3.84</v>
      </c>
      <c r="AG59" s="9">
        <v>54</v>
      </c>
      <c r="AH59" s="14" t="str">
        <f>CONCATENATE(VLOOKUP(AI59, 'Voxel Sizes'!$A$2:$B$18,2,FALSE),"x",INT(AE59*15), "x", INT(AF59*15))</f>
        <v>164x0x57</v>
      </c>
      <c r="AI59" s="14">
        <f t="shared" ref="AI59" si="103">ROUND(15*((AD59*10)/256),0)</f>
        <v>10</v>
      </c>
      <c r="AK59" s="14" t="str">
        <f>CONCATENATE(VLOOKUP(AI59,Constants!$A$2:$C$16,IF(AJ59&lt;&gt;"", 3, 2), FALSE),IF(AJ59&lt;&gt;"",CONCATENATE(",",VLOOKUP(AJ59,$B:$AK,36,FALSE)),""))</f>
        <v>4,2,4</v>
      </c>
      <c r="AO59" t="s">
        <v>462</v>
      </c>
      <c r="AQ59" t="s">
        <v>432</v>
      </c>
      <c r="AU59">
        <v>45</v>
      </c>
      <c r="AV59" s="14">
        <v>45</v>
      </c>
      <c r="AW59">
        <v>-13</v>
      </c>
      <c r="AX59">
        <v>-22</v>
      </c>
      <c r="AY59" s="16">
        <f t="shared" si="68"/>
        <v>14</v>
      </c>
      <c r="AZ59" s="16">
        <f t="shared" si="69"/>
        <v>1.5</v>
      </c>
      <c r="BA59" s="16">
        <f t="shared" si="70"/>
        <v>3.25</v>
      </c>
      <c r="BB59" s="17">
        <f t="shared" si="71"/>
        <v>0.92533333333333334</v>
      </c>
      <c r="BC59" s="16">
        <f t="shared" si="72"/>
        <v>3.5999999999999996</v>
      </c>
      <c r="BD59" s="16">
        <f>VLOOKUP($E59,Constants!$I:$K, 2, FALSE)</f>
        <v>1</v>
      </c>
      <c r="BE59" s="16">
        <f>VLOOKUP($E59,Constants!$I:$K, 3, FALSE)*IF(AND(D59="multiple_unit",Y59&lt;110),0.75,1)</f>
        <v>1.5</v>
      </c>
      <c r="BF59" s="16">
        <f>INT(POWER(((Constants!$G$2+$AY59+$AZ59+$BA59+$BC59)*$BB59)*$BE59, 1.05))+$AX59</f>
        <v>23</v>
      </c>
      <c r="BG59" s="16">
        <f>INT(POWER((((Constants!$G$1+$AY59+$AZ59+$BA59+$BC59)*($BB59))*$BD59),IF($D59="wagon",1,1.2)))+$AW59</f>
        <v>57</v>
      </c>
      <c r="BH59" s="19">
        <f t="shared" si="73"/>
        <v>17968.75</v>
      </c>
      <c r="BI59" s="19">
        <f t="shared" si="74"/>
        <v>4631.25</v>
      </c>
      <c r="BP59">
        <v>11</v>
      </c>
      <c r="BQ59">
        <v>185</v>
      </c>
      <c r="BR59" t="s">
        <v>142</v>
      </c>
      <c r="BS59" t="s">
        <v>34</v>
      </c>
      <c r="BT59" t="s">
        <v>55</v>
      </c>
      <c r="BU59" t="s">
        <v>66</v>
      </c>
      <c r="BV59" t="str">
        <f>CONCATENATE(BT59,"_",BU59)</f>
        <v>dsl_DMU</v>
      </c>
      <c r="BW59" t="str">
        <f>_xlfn.CONCAT(E59, "_",F59)</f>
        <v>diesel_RAIL</v>
      </c>
      <c r="BX59" t="s">
        <v>449</v>
      </c>
      <c r="BY59" t="str">
        <f>IF(J59&gt;1,_xlfn.CONCAT("{BLACK}Cars: {GOLD}", J59),"")</f>
        <v>{BLACK}Cars: {GOLD}2</v>
      </c>
      <c r="BZ59" t="s">
        <v>461</v>
      </c>
      <c r="CA59" s="22" t="str">
        <f t="shared" si="64"/>
        <v/>
      </c>
      <c r="CB59" t="str">
        <f>_xlfn.CONCAT(BX59,IF(BX59 &lt;&gt; "", " ", ""),BY59,IF(OR(BY59&lt;&gt;"", BX59&lt;&gt;""), "{}",""), CA59,"{SILVER}", BZ59)</f>
        <v>{BLACK}Powered by: {GOLD}Diesel {BLACK}Cars: {GOLD}2{}{SILVER}The Class 105 had a long and hard life on British Railways, mostly around the Eastern Region. Sadly this meant few survived in a viable condition for preservation.</v>
      </c>
    </row>
    <row r="60" spans="1:80" x14ac:dyDescent="0.25">
      <c r="A60" t="s">
        <v>458</v>
      </c>
      <c r="B60" t="s">
        <v>459</v>
      </c>
      <c r="C60">
        <v>1571</v>
      </c>
      <c r="D60" t="s">
        <v>236</v>
      </c>
      <c r="E60" t="s">
        <v>26</v>
      </c>
      <c r="F60" t="s">
        <v>28</v>
      </c>
      <c r="G60">
        <v>1957</v>
      </c>
      <c r="H60">
        <v>1961</v>
      </c>
      <c r="I60">
        <v>1993</v>
      </c>
      <c r="K60">
        <v>200</v>
      </c>
      <c r="T60">
        <v>30</v>
      </c>
      <c r="W60">
        <v>70</v>
      </c>
      <c r="X60" s="3">
        <f t="shared" si="65"/>
        <v>0.23333333333333334</v>
      </c>
      <c r="Y60">
        <v>28</v>
      </c>
      <c r="Z60">
        <f t="shared" si="48"/>
        <v>45</v>
      </c>
      <c r="AC60">
        <v>8</v>
      </c>
      <c r="AD60">
        <v>9.5</v>
      </c>
      <c r="AH60" s="14" t="str">
        <f>CONCATENATE(VLOOKUP(AI60, 'Voxel Sizes'!$A$2:$B$18,2,FALSE),"x",INT(AE60*15), "x", INT(AF60*15))</f>
        <v>102x0x0</v>
      </c>
      <c r="AI60" s="14">
        <f t="shared" si="66"/>
        <v>6</v>
      </c>
      <c r="AK60" s="14" t="str">
        <f>CONCATENATE(VLOOKUP(AI60,Constants!$A$2:$C$16,IF(AJ60&lt;&gt;"", 3, 2), FALSE),IF(AJ60&lt;&gt;"",CONCATENATE(",",VLOOKUP(AJ60,$B:$AK,36,FALSE)),""))</f>
        <v>2,2,2</v>
      </c>
      <c r="AS60">
        <v>1</v>
      </c>
      <c r="AU60">
        <v>40</v>
      </c>
      <c r="AV60" s="14">
        <f>IF(I60&lt;&gt;"",MAX(16,(I60-G60)+8),"")</f>
        <v>44</v>
      </c>
      <c r="AY60" s="16">
        <f t="shared" ref="AY60" si="104">MIN(Y60/150, 1)*30</f>
        <v>5.6000000000000005</v>
      </c>
      <c r="AZ60" s="16">
        <f t="shared" ref="AZ60" si="105">MIN(K60/4000, 1)*20</f>
        <v>1</v>
      </c>
      <c r="BA60" s="16">
        <f t="shared" ref="BA60" si="106">MIN(W60/400,1)*20</f>
        <v>3.5</v>
      </c>
      <c r="BB60" s="17">
        <f t="shared" ref="BB60" si="107">1-(MAX(G60-1900, 0)/750)</f>
        <v>0.92400000000000004</v>
      </c>
      <c r="BC60" s="16">
        <f t="shared" ref="BC60" si="108">((MAX($J60,1)*MIN($AG60/300,1)))*IF(D60="Wagon",50,10)</f>
        <v>0</v>
      </c>
      <c r="BD60" s="16">
        <f>VLOOKUP($E60,Constants!$I:$K, 2, FALSE)</f>
        <v>1</v>
      </c>
      <c r="BE60" s="16">
        <f>VLOOKUP($E60,Constants!$I:$K, 3, FALSE)*IF(AND(D60="multiple_unit",Y60&lt;110),0.75,1)</f>
        <v>2</v>
      </c>
      <c r="BF60" s="16">
        <f>INT(POWER(((Constants!$G$2+$AY60+$AZ60+$BA60+$BC60)*$BB60)*$BE60, 1.05))+$AX60</f>
        <v>32</v>
      </c>
      <c r="BG60" s="16">
        <f>INT(POWER((((Constants!$G$1+$AY60+$AZ60+$BA60+$BC60)*($BB60))*$BD60),IF($D60="wagon",1,1.2)))+$AW60</f>
        <v>43</v>
      </c>
      <c r="BH60" s="19">
        <f t="shared" ref="BH60" si="109">BF60*IF($D60="wagon",62.5,781.25)</f>
        <v>25000</v>
      </c>
      <c r="BI60" s="19">
        <f t="shared" ref="BI60" si="110">BG60*IF($D60="wagon",2.73,81.25)</f>
        <v>3493.75</v>
      </c>
      <c r="BP60">
        <v>8</v>
      </c>
      <c r="BT60" t="s">
        <v>55</v>
      </c>
      <c r="BU60" t="s">
        <v>61</v>
      </c>
      <c r="BV60" t="str">
        <f>CONCATENATE(BT60,"_",BU60)</f>
        <v>dsl_Cheap</v>
      </c>
      <c r="BW60" t="str">
        <f>_xlfn.CONCAT(E60, "_",F60)</f>
        <v>diesel_RAIL</v>
      </c>
      <c r="BX60" t="s">
        <v>449</v>
      </c>
      <c r="BY60"/>
      <c r="BZ60" t="s">
        <v>460</v>
      </c>
      <c r="CA60" s="22" t="str">
        <f t="shared" si="64"/>
        <v/>
      </c>
      <c r="CB60" t="str">
        <f>_xlfn.CONCAT(BX60,IF(BX60 &lt;&gt; "", " ", ""),BY60,IF(OR(BY60&lt;&gt;"", BX60&lt;&gt;""), "{}",""), CA60,"{SILVER}", BZ60)</f>
        <v>{BLACK}Powered by: {GOLD}Diesel {}{SILVER}The Class 03 is a diesel-mechanical shunter, with a five speed manual gearbox driven through a fluid coupling. They were most useful in areas where the Class 08 was too large and heavy to operate.</v>
      </c>
    </row>
    <row r="61" spans="1:80" x14ac:dyDescent="0.25">
      <c r="A61" t="s">
        <v>232</v>
      </c>
      <c r="B61" t="s">
        <v>233</v>
      </c>
      <c r="C61">
        <v>3592</v>
      </c>
      <c r="D61" t="s">
        <v>231</v>
      </c>
      <c r="E61" t="s">
        <v>26</v>
      </c>
      <c r="F61" t="s">
        <v>28</v>
      </c>
      <c r="G61">
        <v>1959</v>
      </c>
      <c r="H61">
        <v>1961</v>
      </c>
      <c r="I61">
        <v>1999</v>
      </c>
      <c r="J61">
        <v>3</v>
      </c>
      <c r="K61">
        <v>600</v>
      </c>
      <c r="T61">
        <f>36.6+36.6+30.5</f>
        <v>103.7</v>
      </c>
      <c r="V61">
        <v>6</v>
      </c>
      <c r="W61">
        <v>83</v>
      </c>
      <c r="X61" s="3">
        <f t="shared" si="65"/>
        <v>8.0038572806171646E-2</v>
      </c>
      <c r="Y61">
        <v>70</v>
      </c>
      <c r="Z61">
        <f t="shared" si="48"/>
        <v>112</v>
      </c>
      <c r="AC61">
        <v>19.5</v>
      </c>
      <c r="AD61">
        <v>19.5</v>
      </c>
      <c r="AF61">
        <v>3.77</v>
      </c>
      <c r="AG61" s="9">
        <v>60</v>
      </c>
      <c r="AH61" s="14" t="str">
        <f>CONCATENATE(VLOOKUP(AI61, 'Voxel Sizes'!$A$2:$B$18,2,FALSE),"x",INT(AE61*15), "x", INT(AF61*15))</f>
        <v>186x0x56</v>
      </c>
      <c r="AI61" s="14">
        <f t="shared" si="66"/>
        <v>11</v>
      </c>
      <c r="AK61" s="14" t="str">
        <f>CONCATENATE(VLOOKUP(AI61,Constants!$A$2:$C$16,IF(AJ61&lt;&gt;"", 3, 2), FALSE),IF(AJ61&lt;&gt;"",CONCATENATE(",",VLOOKUP(AJ61,$B:$AK,36,FALSE)),""))</f>
        <v>4,3,4</v>
      </c>
      <c r="AO61" t="s">
        <v>234</v>
      </c>
      <c r="AQ61" t="s">
        <v>37</v>
      </c>
      <c r="AU61">
        <v>42</v>
      </c>
      <c r="AV61" s="14">
        <f t="shared" si="67"/>
        <v>48</v>
      </c>
      <c r="AW61">
        <v>-10</v>
      </c>
      <c r="AX61">
        <v>-15</v>
      </c>
      <c r="AY61" s="16">
        <f t="shared" si="68"/>
        <v>14</v>
      </c>
      <c r="AZ61" s="16">
        <f t="shared" si="69"/>
        <v>3</v>
      </c>
      <c r="BA61" s="16">
        <f t="shared" si="70"/>
        <v>4.1499999999999995</v>
      </c>
      <c r="BB61" s="17">
        <f t="shared" si="71"/>
        <v>0.92133333333333334</v>
      </c>
      <c r="BC61" s="16">
        <f t="shared" si="72"/>
        <v>6.0000000000000009</v>
      </c>
      <c r="BD61" s="16">
        <f>VLOOKUP($E61,Constants!$I:$K, 2, FALSE)</f>
        <v>1</v>
      </c>
      <c r="BE61" s="16">
        <f>VLOOKUP($E61,Constants!$I:$K, 3, FALSE)*IF(AND(D61="multiple_unit",Y61&lt;110),0.75,1)</f>
        <v>1.5</v>
      </c>
      <c r="BF61" s="16">
        <f>INT(POWER(((Constants!$G$2+$AY61+$AZ61+$BA61+$BC61)*$BB61)*$BE61, 1.05))+$AX61</f>
        <v>38</v>
      </c>
      <c r="BG61" s="16">
        <f>INT(POWER((((Constants!$G$1+$AY61+$AZ61+$BA61+$BC61)*($BB61))*$BD61),IF($D61="wagon",1,1.2)))+$AW61</f>
        <v>70</v>
      </c>
      <c r="BH61" s="19">
        <f t="shared" si="73"/>
        <v>29687.5</v>
      </c>
      <c r="BI61" s="19">
        <f t="shared" si="74"/>
        <v>5687.5</v>
      </c>
      <c r="BP61">
        <v>5</v>
      </c>
      <c r="BR61" t="s">
        <v>142</v>
      </c>
      <c r="BS61" t="s">
        <v>34</v>
      </c>
      <c r="BT61" s="22" t="str">
        <f>VLOOKUP(G61,Eras!$A$2:$C$10, 2, TRUE)</f>
        <v>dsl</v>
      </c>
      <c r="BU61" t="s">
        <v>66</v>
      </c>
      <c r="BV61" s="22" t="str">
        <f t="shared" si="75"/>
        <v>dsl_DMU</v>
      </c>
      <c r="BW61" s="22" t="str">
        <f t="shared" si="76"/>
        <v>diesel_RAIL</v>
      </c>
      <c r="BX61" s="22" t="str">
        <f>VLOOKUP($BW61, Constants!$M:$N, 2, FALSE)</f>
        <v>{BLACK}Powered by: {GOLD}Diesel</v>
      </c>
      <c r="BY61" s="22" t="str">
        <f t="shared" si="77"/>
        <v>{BLACK}Cars: {GOLD}3</v>
      </c>
      <c r="BZ61" t="s">
        <v>235</v>
      </c>
      <c r="CA61" s="22" t="str">
        <f t="shared" si="64"/>
        <v/>
      </c>
      <c r="CB61" s="22" t="str">
        <f t="shared" si="78"/>
        <v>{BLACK}Powered by: {GOLD}Diesel {BLACK}Cars: {GOLD}3{}{SILVER}The Class 117 was built under licence by Pressed Steel, being a variant of the Class 116 built by BRCW Derby.</v>
      </c>
    </row>
    <row r="62" spans="1:80" x14ac:dyDescent="0.25">
      <c r="A62" t="s">
        <v>344</v>
      </c>
      <c r="B62" t="s">
        <v>346</v>
      </c>
      <c r="C62">
        <v>2611</v>
      </c>
      <c r="D62" t="s">
        <v>236</v>
      </c>
      <c r="E62" t="s">
        <v>26</v>
      </c>
      <c r="F62" t="s">
        <v>28</v>
      </c>
      <c r="G62">
        <v>1961</v>
      </c>
      <c r="I62">
        <v>1978</v>
      </c>
      <c r="K62">
        <v>2880</v>
      </c>
      <c r="T62">
        <v>117</v>
      </c>
      <c r="W62">
        <v>266</v>
      </c>
      <c r="X62" s="3">
        <f t="shared" si="65"/>
        <v>0.22735042735042735</v>
      </c>
      <c r="Y62">
        <v>100</v>
      </c>
      <c r="Z62">
        <f t="shared" si="48"/>
        <v>160</v>
      </c>
      <c r="AC62">
        <v>20.98</v>
      </c>
      <c r="AD62">
        <v>20.98</v>
      </c>
      <c r="AE62">
        <v>2.69</v>
      </c>
      <c r="AF62">
        <v>3.91</v>
      </c>
      <c r="AH62" s="14" t="str">
        <f>CONCATENATE(VLOOKUP(AI62, 'Voxel Sizes'!$A$2:$B$18,2,FALSE),"x",INT(AE62*15), "x", INT(AF62*15))</f>
        <v>198x40x58</v>
      </c>
      <c r="AI62" s="14">
        <f t="shared" si="66"/>
        <v>12</v>
      </c>
      <c r="AK62" s="14" t="str">
        <f>CONCATENATE(VLOOKUP(AI62,Constants!$A$2:$C$16,IF(AJ62&lt;&gt;"", 3, 2), FALSE),IF(AJ62&lt;&gt;"",CONCATENATE(",",VLOOKUP(AJ62,$B:$AK,36,FALSE)),""))</f>
        <v>4,4,4</v>
      </c>
      <c r="AU62">
        <v>22</v>
      </c>
      <c r="AV62" s="14">
        <f t="shared" si="67"/>
        <v>25</v>
      </c>
      <c r="AW62">
        <v>2</v>
      </c>
      <c r="AX62">
        <v>3</v>
      </c>
      <c r="AY62" s="16">
        <f t="shared" si="68"/>
        <v>20</v>
      </c>
      <c r="AZ62" s="16">
        <f t="shared" si="69"/>
        <v>14.399999999999999</v>
      </c>
      <c r="BA62" s="16">
        <f t="shared" si="70"/>
        <v>13.3</v>
      </c>
      <c r="BB62" s="17">
        <f t="shared" si="71"/>
        <v>0.91866666666666663</v>
      </c>
      <c r="BC62" s="16">
        <f t="shared" si="72"/>
        <v>0</v>
      </c>
      <c r="BD62" s="16">
        <f>VLOOKUP($E62,Constants!$I:$K, 2, FALSE)</f>
        <v>1</v>
      </c>
      <c r="BE62" s="16">
        <f>VLOOKUP($E62,Constants!$I:$K, 3, FALSE)*IF(AND(D62="multiple_unit",Y62&lt;110),0.75,1)</f>
        <v>2</v>
      </c>
      <c r="BF62" s="16">
        <f>INT(POWER(((Constants!$G$2+$AY62+$AZ62+$BA62+$BC62)*$BB62)*$BE62, 1.05))+$AX62</f>
        <v>124</v>
      </c>
      <c r="BG62" s="16">
        <f>INT(POWER((((Constants!$G$1+$AY62+$AZ62+$BA62+$BC62)*($BB62))*$BD62),IF($D62="wagon",1,1.2)))+$AW62</f>
        <v>131</v>
      </c>
      <c r="BH62" s="19">
        <f t="shared" si="73"/>
        <v>96875</v>
      </c>
      <c r="BI62" s="19">
        <f t="shared" si="74"/>
        <v>10643.75</v>
      </c>
      <c r="BP62">
        <v>6</v>
      </c>
      <c r="BT62" s="22" t="str">
        <f>VLOOKUP(G62,Eras!$A$2:$C$10, 2, TRUE)</f>
        <v>dsl</v>
      </c>
      <c r="BU62" t="s">
        <v>64</v>
      </c>
      <c r="BV62" s="22" t="str">
        <f t="shared" si="75"/>
        <v>dsl_Freight</v>
      </c>
      <c r="BW62" s="22" t="str">
        <f t="shared" si="76"/>
        <v>diesel_RAIL</v>
      </c>
      <c r="BX62" s="22" t="str">
        <f>VLOOKUP($BW62, Constants!$M:$N, 2, FALSE)</f>
        <v>{BLACK}Powered by: {GOLD}Diesel</v>
      </c>
      <c r="BY62" s="22" t="str">
        <f t="shared" si="77"/>
        <v/>
      </c>
      <c r="BZ62" t="s">
        <v>345</v>
      </c>
      <c r="CA62" s="22" t="str">
        <f t="shared" si="64"/>
        <v/>
      </c>
      <c r="CB62" s="22" t="str">
        <f t="shared" si="78"/>
        <v>{BLACK}Powered by: {GOLD}Diesel {}{SILVER}Brush's "Falcon" was a prototype for a new generation of Type 4 locomotives, but advances in single-engined diesel made the Falcon with its two Maybach diesels obsolete at the point of introduction.</v>
      </c>
    </row>
    <row r="63" spans="1:80" x14ac:dyDescent="0.25">
      <c r="A63" t="s">
        <v>339</v>
      </c>
      <c r="B63" t="s">
        <v>313</v>
      </c>
      <c r="C63">
        <v>2671</v>
      </c>
      <c r="D63" t="s">
        <v>236</v>
      </c>
      <c r="E63" t="s">
        <v>26</v>
      </c>
      <c r="F63" t="s">
        <v>28</v>
      </c>
      <c r="G63">
        <v>1967</v>
      </c>
      <c r="I63">
        <v>1982</v>
      </c>
      <c r="K63">
        <v>4000</v>
      </c>
      <c r="T63">
        <v>126</v>
      </c>
      <c r="W63">
        <v>270</v>
      </c>
      <c r="X63" s="3">
        <f t="shared" si="65"/>
        <v>0.21428571428571427</v>
      </c>
      <c r="Y63">
        <v>110</v>
      </c>
      <c r="Z63">
        <f t="shared" si="48"/>
        <v>176</v>
      </c>
      <c r="AC63">
        <v>20.27</v>
      </c>
      <c r="AD63">
        <v>20.27</v>
      </c>
      <c r="AE63">
        <v>2.69</v>
      </c>
      <c r="AF63">
        <v>3.91</v>
      </c>
      <c r="AH63" s="14" t="str">
        <f>CONCATENATE(VLOOKUP(AI63, 'Voxel Sizes'!$A$2:$B$18,2,FALSE),"x",INT(AE63*15), "x", INT(AF63*15))</f>
        <v>198x40x58</v>
      </c>
      <c r="AI63" s="14">
        <f t="shared" si="66"/>
        <v>12</v>
      </c>
      <c r="AK63" s="14" t="str">
        <f>CONCATENATE(VLOOKUP(AI63,Constants!$A$2:$C$16,IF(AJ63&lt;&gt;"", 3, 2), FALSE),IF(AJ63&lt;&gt;"",CONCATENATE(",",VLOOKUP(AJ63,$B:$AK,36,FALSE)),""))</f>
        <v>4,4,4</v>
      </c>
      <c r="AU63">
        <v>21</v>
      </c>
      <c r="AV63" s="14">
        <f t="shared" si="67"/>
        <v>23</v>
      </c>
      <c r="AX63">
        <v>2</v>
      </c>
      <c r="AY63" s="16">
        <f t="shared" si="68"/>
        <v>22</v>
      </c>
      <c r="AZ63" s="16">
        <f t="shared" si="69"/>
        <v>20</v>
      </c>
      <c r="BA63" s="16">
        <f t="shared" si="70"/>
        <v>13.5</v>
      </c>
      <c r="BB63" s="17">
        <f t="shared" si="71"/>
        <v>0.91066666666666662</v>
      </c>
      <c r="BC63" s="16">
        <f t="shared" si="72"/>
        <v>0</v>
      </c>
      <c r="BD63" s="16">
        <f>VLOOKUP($E63,Constants!$I:$K, 2, FALSE)</f>
        <v>1</v>
      </c>
      <c r="BE63" s="16">
        <f>VLOOKUP($E63,Constants!$I:$K, 3, FALSE)*IF(AND(D63="multiple_unit",Y63&lt;110),0.75,1)</f>
        <v>2</v>
      </c>
      <c r="BF63" s="16">
        <f>INT(POWER(((Constants!$G$2+$AY63+$AZ63+$BA63+$BC63)*$BB63)*$BE63, 1.05))+$AX63</f>
        <v>141</v>
      </c>
      <c r="BG63" s="16">
        <f>INT(POWER((((Constants!$G$1+$AY63+$AZ63+$BA63+$BC63)*($BB63))*$BD63),IF($D63="wagon",1,1.2)))+$AW63</f>
        <v>147</v>
      </c>
      <c r="BH63" s="19">
        <f t="shared" si="73"/>
        <v>110156.25</v>
      </c>
      <c r="BI63" s="19">
        <f t="shared" si="74"/>
        <v>11943.75</v>
      </c>
      <c r="BP63">
        <v>6</v>
      </c>
      <c r="BT63" s="22" t="str">
        <f>VLOOKUP(G63,Eras!$A$2:$C$10, 2, TRUE)</f>
        <v>dsl</v>
      </c>
      <c r="BU63" t="s">
        <v>64</v>
      </c>
      <c r="BV63" s="22" t="str">
        <f t="shared" si="75"/>
        <v>dsl_Freight</v>
      </c>
      <c r="BW63" s="22" t="str">
        <f t="shared" si="76"/>
        <v>diesel_RAIL</v>
      </c>
      <c r="BX63" s="22" t="str">
        <f>VLOOKUP($BW63, Constants!$M:$N, 2, FALSE)</f>
        <v>{BLACK}Powered by: {GOLD}Diesel</v>
      </c>
      <c r="BY63" s="22" t="str">
        <f t="shared" si="77"/>
        <v/>
      </c>
      <c r="BZ63" t="s">
        <v>343</v>
      </c>
      <c r="CA63" s="22" t="str">
        <f t="shared" si="64"/>
        <v/>
      </c>
      <c r="CB63" s="22" t="str">
        <f t="shared" si="78"/>
        <v>{BLACK}Powered by: {GOLD}Diesel {}{SILVER}The Brush "Kestrel" was a prototype high speed diesel locomotive. After a brief period of service in the UK it was sold to the Soviet Union, where it was re-gauged and used for testing.</v>
      </c>
    </row>
    <row r="64" spans="1:80" x14ac:dyDescent="0.25">
      <c r="A64" t="s">
        <v>314</v>
      </c>
      <c r="B64" t="s">
        <v>315</v>
      </c>
      <c r="D64" t="s">
        <v>15</v>
      </c>
      <c r="E64" t="s">
        <v>32</v>
      </c>
      <c r="F64" t="s">
        <v>28</v>
      </c>
      <c r="X64" s="3" t="str">
        <f t="shared" si="65"/>
        <v/>
      </c>
      <c r="Z64">
        <f t="shared" si="48"/>
        <v>0</v>
      </c>
      <c r="AH64" s="14" t="str">
        <f>CONCATENATE(VLOOKUP(AI64, 'Voxel Sizes'!$A$2:$B$18,2,FALSE),"x",INT(AE64*15), "x", INT(AF64*15))</f>
        <v>0x0x0</v>
      </c>
      <c r="AI64" s="14">
        <f t="shared" si="66"/>
        <v>0</v>
      </c>
      <c r="AK64" s="14" t="str">
        <f>CONCATENATE(VLOOKUP(AI64,Constants!$A$2:$C$16,IF(AJ64&lt;&gt;"", 3, 2), FALSE),IF(AJ64&lt;&gt;"",CONCATENATE(",",VLOOKUP(AJ64,$B:$AK,36,FALSE)),""))</f>
        <v>na</v>
      </c>
      <c r="AV64" s="14" t="str">
        <f t="shared" si="67"/>
        <v/>
      </c>
      <c r="AY64" s="16">
        <f t="shared" si="68"/>
        <v>0</v>
      </c>
      <c r="AZ64" s="16">
        <f t="shared" si="69"/>
        <v>0</v>
      </c>
      <c r="BA64" s="16">
        <f t="shared" si="70"/>
        <v>0</v>
      </c>
      <c r="BB64" s="17">
        <f t="shared" si="71"/>
        <v>1</v>
      </c>
      <c r="BC64" s="16">
        <f t="shared" si="72"/>
        <v>0</v>
      </c>
      <c r="BD64" s="16">
        <f>VLOOKUP($E64,Constants!$I:$K, 2, FALSE)</f>
        <v>1</v>
      </c>
      <c r="BE64" s="16">
        <f>VLOOKUP($E64,Constants!$I:$K, 3, FALSE)*IF(AND(D64="multiple_unit",Y64&lt;110),0.75,1)</f>
        <v>0.45</v>
      </c>
      <c r="BF64" s="16">
        <f>INT(POWER(((Constants!$G$2+$AY64+$AZ64+$BA64+$BC64)*$BB64)*$BE64, 1.05))+$AX64</f>
        <v>2</v>
      </c>
      <c r="BG64" s="16">
        <f>INT(POWER((((Constants!$G$1+$AY64+$AZ64+$BA64+$BC64)*($BB64))*$BD64),IF($D64="wagon",1,1.2)))+$AW64</f>
        <v>25</v>
      </c>
      <c r="BH64" s="19">
        <f t="shared" si="73"/>
        <v>1562.5</v>
      </c>
      <c r="BI64" s="19">
        <f t="shared" si="74"/>
        <v>2031.25</v>
      </c>
      <c r="BP64">
        <v>7</v>
      </c>
      <c r="BT64" s="22" t="e">
        <f>VLOOKUP(G64,Eras!$A$2:$C$10, 2, TRUE)</f>
        <v>#N/A</v>
      </c>
      <c r="BU64" t="s">
        <v>66</v>
      </c>
      <c r="BV64" s="22" t="e">
        <f t="shared" si="75"/>
        <v>#N/A</v>
      </c>
      <c r="BW64" s="22" t="str">
        <f t="shared" si="76"/>
        <v>wagon_RAIL</v>
      </c>
      <c r="BX64" s="22" t="str">
        <f>VLOOKUP($BW64, Constants!$M:$N, 2, FALSE)</f>
        <v/>
      </c>
      <c r="BY64" s="22" t="str">
        <f t="shared" si="77"/>
        <v/>
      </c>
      <c r="CA64" s="22" t="str">
        <f t="shared" si="64"/>
        <v/>
      </c>
      <c r="CB64" s="22" t="str">
        <f t="shared" si="78"/>
        <v>{SILVER}</v>
      </c>
    </row>
    <row r="65" spans="1:80" x14ac:dyDescent="0.25">
      <c r="A65" t="s">
        <v>347</v>
      </c>
      <c r="B65" t="s">
        <v>348</v>
      </c>
      <c r="C65">
        <v>3491</v>
      </c>
      <c r="D65" t="s">
        <v>231</v>
      </c>
      <c r="E65" t="s">
        <v>38</v>
      </c>
      <c r="F65" t="s">
        <v>316</v>
      </c>
      <c r="G65">
        <v>1949</v>
      </c>
      <c r="I65">
        <v>1971</v>
      </c>
      <c r="J65">
        <v>4</v>
      </c>
      <c r="K65">
        <v>900</v>
      </c>
      <c r="T65">
        <v>135</v>
      </c>
      <c r="V65">
        <v>3</v>
      </c>
      <c r="W65">
        <v>120</v>
      </c>
      <c r="X65" s="3">
        <f t="shared" si="65"/>
        <v>8.8888888888888892E-2</v>
      </c>
      <c r="Y65">
        <v>75</v>
      </c>
      <c r="Z65">
        <f t="shared" si="48"/>
        <v>120</v>
      </c>
      <c r="AC65">
        <v>19.600000000000001</v>
      </c>
      <c r="AD65">
        <v>19.600000000000001</v>
      </c>
      <c r="AE65">
        <v>2.82</v>
      </c>
      <c r="AG65" s="9">
        <v>69</v>
      </c>
      <c r="AH65" s="14" t="str">
        <f>CONCATENATE(VLOOKUP(AI65, 'Voxel Sizes'!$A$2:$B$18,2,FALSE),"x",INT(AE65*15), "x", INT(AF65*15))</f>
        <v>186x42x0</v>
      </c>
      <c r="AI65" s="14">
        <f t="shared" si="66"/>
        <v>11</v>
      </c>
      <c r="AK65" s="14" t="str">
        <f>CONCATENATE(VLOOKUP(AI65,Constants!$A$2:$C$16,IF(AJ65&lt;&gt;"", 3, 2), FALSE),IF(AJ65&lt;&gt;"",CONCATENATE(",",VLOOKUP(AJ65,$B:$AK,36,FALSE)),""))</f>
        <v>4,3,4</v>
      </c>
      <c r="AO65" t="s">
        <v>349</v>
      </c>
      <c r="AQ65" t="s">
        <v>350</v>
      </c>
      <c r="AU65">
        <v>23</v>
      </c>
      <c r="AV65" s="14">
        <f t="shared" si="67"/>
        <v>30</v>
      </c>
      <c r="AW65">
        <v>-10</v>
      </c>
      <c r="AX65">
        <v>-15</v>
      </c>
      <c r="AY65" s="16">
        <f t="shared" si="68"/>
        <v>15</v>
      </c>
      <c r="AZ65" s="16">
        <f t="shared" si="69"/>
        <v>4.5</v>
      </c>
      <c r="BA65" s="16">
        <f t="shared" si="70"/>
        <v>6</v>
      </c>
      <c r="BB65" s="17">
        <f t="shared" si="71"/>
        <v>0.93466666666666665</v>
      </c>
      <c r="BC65" s="16">
        <f t="shared" si="72"/>
        <v>9.2000000000000011</v>
      </c>
      <c r="BD65" s="16">
        <f>VLOOKUP($E65,Constants!$I:$K, 2, FALSE)</f>
        <v>0.85</v>
      </c>
      <c r="BE65" s="16">
        <f>VLOOKUP($E65,Constants!$I:$K, 3, FALSE)*IF(AND(D65="multiple_unit",Y65&lt;110),0.75,1)</f>
        <v>1.7249999999999999</v>
      </c>
      <c r="BF65" s="16">
        <f>INT(POWER(((Constants!$G$2+$AY65+$AZ65+$BA65+$BC65)*$BB65)*$BE65, 1.05))+$AX65</f>
        <v>63</v>
      </c>
      <c r="BG65" s="16">
        <f>INT(POWER((((Constants!$G$1+$AY65+$AZ65+$BA65+$BC65)*($BB65))*$BD65),IF($D65="wagon",1,1.2)))+$AW65</f>
        <v>72</v>
      </c>
      <c r="BH65" s="19">
        <f t="shared" si="73"/>
        <v>49218.75</v>
      </c>
      <c r="BI65" s="19">
        <f t="shared" si="74"/>
        <v>5850</v>
      </c>
      <c r="BP65">
        <v>8</v>
      </c>
      <c r="BQ65">
        <v>165</v>
      </c>
      <c r="BR65" t="s">
        <v>142</v>
      </c>
      <c r="BS65" t="s">
        <v>34</v>
      </c>
      <c r="BT65" s="22" t="str">
        <f>VLOOKUP(G65,Eras!$A$2:$C$10, 2, TRUE)</f>
        <v>ebr</v>
      </c>
      <c r="BU65" t="s">
        <v>66</v>
      </c>
      <c r="BV65" s="22" t="str">
        <f t="shared" si="75"/>
        <v>ebr_DMU</v>
      </c>
      <c r="BW65" s="22" t="str">
        <f t="shared" si="76"/>
        <v>electric_THIRD_RAIL</v>
      </c>
      <c r="BX65" s="22" t="str">
        <f>VLOOKUP($BW65, Constants!$M:$N, 2, FALSE)</f>
        <v>{BLACK}Powered by: {GOLD}750V DC</v>
      </c>
      <c r="BY65" s="22" t="str">
        <f t="shared" si="77"/>
        <v>{BLACK}Cars: {GOLD}4</v>
      </c>
      <c r="BZ65" t="s">
        <v>351</v>
      </c>
      <c r="CA65" s="22" t="str">
        <f t="shared" si="64"/>
        <v>{YELLOW}10% Penalty for long distance travel{}</v>
      </c>
      <c r="CB65" s="22" t="str">
        <f t="shared" si="78"/>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66" spans="1:80" x14ac:dyDescent="0.25">
      <c r="A66" t="s">
        <v>375</v>
      </c>
      <c r="B66" t="s">
        <v>373</v>
      </c>
      <c r="C66">
        <v>3591</v>
      </c>
      <c r="D66" t="s">
        <v>231</v>
      </c>
      <c r="E66" t="s">
        <v>26</v>
      </c>
      <c r="F66" t="s">
        <v>28</v>
      </c>
      <c r="G66">
        <v>1959</v>
      </c>
      <c r="I66">
        <v>1991</v>
      </c>
      <c r="J66">
        <v>1</v>
      </c>
      <c r="K66">
        <v>460</v>
      </c>
      <c r="T66">
        <v>41</v>
      </c>
      <c r="V66">
        <v>6</v>
      </c>
      <c r="W66">
        <v>65</v>
      </c>
      <c r="X66" s="3">
        <f t="shared" si="65"/>
        <v>0.15853658536585366</v>
      </c>
      <c r="Y66">
        <v>70</v>
      </c>
      <c r="Z66">
        <f t="shared" si="48"/>
        <v>112</v>
      </c>
      <c r="AB66">
        <v>1</v>
      </c>
      <c r="AC66">
        <v>19.66</v>
      </c>
      <c r="AD66">
        <v>19.66</v>
      </c>
      <c r="AF66">
        <v>3.77</v>
      </c>
      <c r="AG66" s="9">
        <v>72</v>
      </c>
      <c r="AH66" s="14" t="str">
        <f>CONCATENATE(VLOOKUP(AI66, 'Voxel Sizes'!$A$2:$B$18,2,FALSE),"x",INT(AE66*15), "x", INT(AF66*15))</f>
        <v>198x0x56</v>
      </c>
      <c r="AI66" s="14">
        <f t="shared" si="66"/>
        <v>12</v>
      </c>
      <c r="AK66" s="14" t="str">
        <f>CONCATENATE(VLOOKUP(AI66,Constants!$A$2:$C$16,IF(AJ66&lt;&gt;"", 3, 2), FALSE),IF(AJ66&lt;&gt;"",CONCATENATE(",",VLOOKUP(AJ66,$B:$AK,36,FALSE)),""))</f>
        <v>4,4,4</v>
      </c>
      <c r="AO66" t="s">
        <v>373</v>
      </c>
      <c r="AQ66">
        <v>1</v>
      </c>
      <c r="AU66">
        <v>45</v>
      </c>
      <c r="AV66" s="14">
        <f t="shared" si="67"/>
        <v>40</v>
      </c>
      <c r="AW66">
        <v>-10</v>
      </c>
      <c r="AX66">
        <v>-15</v>
      </c>
      <c r="AY66" s="16">
        <f t="shared" si="68"/>
        <v>14</v>
      </c>
      <c r="AZ66" s="16">
        <f t="shared" si="69"/>
        <v>2.3000000000000003</v>
      </c>
      <c r="BA66" s="16">
        <f t="shared" si="70"/>
        <v>3.25</v>
      </c>
      <c r="BB66" s="17">
        <f t="shared" si="71"/>
        <v>0.92133333333333334</v>
      </c>
      <c r="BC66" s="16">
        <f t="shared" si="72"/>
        <v>2.4</v>
      </c>
      <c r="BD66" s="16">
        <f>VLOOKUP($E66,Constants!$I:$K, 2, FALSE)</f>
        <v>1</v>
      </c>
      <c r="BE66" s="16">
        <f>VLOOKUP($E66,Constants!$I:$K, 3, FALSE)*IF(AND(D66="multiple_unit",Y66&lt;110),0.75,1)</f>
        <v>1.5</v>
      </c>
      <c r="BF66" s="16">
        <f>INT(POWER(((Constants!$G$2+$AY66+$AZ66+$BA66+$BC66)*$BB66)*$BE66, 1.05))+$AX66</f>
        <v>29</v>
      </c>
      <c r="BG66" s="16">
        <f>INT(POWER((((Constants!$G$1+$AY66+$AZ66+$BA66+$BC66)*($BB66))*$BD66),IF($D66="wagon",1,1.2)))+$AW66</f>
        <v>58</v>
      </c>
      <c r="BH66" s="19">
        <f t="shared" si="73"/>
        <v>22656.25</v>
      </c>
      <c r="BI66" s="19">
        <f t="shared" si="74"/>
        <v>4712.5</v>
      </c>
      <c r="BP66">
        <v>4</v>
      </c>
      <c r="BQ66">
        <v>185</v>
      </c>
      <c r="BS66" t="s">
        <v>280</v>
      </c>
      <c r="BT66" s="22" t="str">
        <f>VLOOKUP(G66,Eras!$A$2:$C$10, 2, TRUE)</f>
        <v>dsl</v>
      </c>
      <c r="BU66" t="s">
        <v>66</v>
      </c>
      <c r="BV66" s="22" t="str">
        <f t="shared" si="75"/>
        <v>dsl_DMU</v>
      </c>
      <c r="BW66" s="22" t="str">
        <f t="shared" si="76"/>
        <v>diesel_RAIL</v>
      </c>
      <c r="BX66" s="22" t="str">
        <f>VLOOKUP($BW66, Constants!$M:$N, 2, FALSE)</f>
        <v>{BLACK}Powered by: {GOLD}Diesel</v>
      </c>
      <c r="BY66" s="22" t="str">
        <f t="shared" si="77"/>
        <v/>
      </c>
      <c r="BZ66" t="s">
        <v>374</v>
      </c>
      <c r="CA66" s="22" t="str">
        <f t="shared" si="64"/>
        <v/>
      </c>
      <c r="CB66" s="22" t="str">
        <f t="shared" si="78"/>
        <v>{BLACK}Powered by: {GOLD}Diesel {}{SILVER}The Class 128 was built specifically for carrying parcels by the Gloucester Railway Carriage and Wagon Company.</v>
      </c>
    </row>
    <row r="67" spans="1:80" x14ac:dyDescent="0.25">
      <c r="A67" t="s">
        <v>357</v>
      </c>
      <c r="B67" t="s">
        <v>356</v>
      </c>
      <c r="C67">
        <v>2791</v>
      </c>
      <c r="D67" t="s">
        <v>236</v>
      </c>
      <c r="E67" t="s">
        <v>355</v>
      </c>
      <c r="F67" t="s">
        <v>28</v>
      </c>
      <c r="G67">
        <v>1979</v>
      </c>
      <c r="K67">
        <v>50</v>
      </c>
      <c r="T67">
        <v>33</v>
      </c>
      <c r="W67">
        <v>5</v>
      </c>
      <c r="X67" s="3">
        <f t="shared" si="65"/>
        <v>1.5151515151515152E-2</v>
      </c>
      <c r="Y67">
        <v>100</v>
      </c>
      <c r="Z67">
        <f t="shared" si="48"/>
        <v>160</v>
      </c>
      <c r="AC67">
        <v>20.12</v>
      </c>
      <c r="AD67">
        <v>20.12</v>
      </c>
      <c r="AG67" s="9">
        <v>36</v>
      </c>
      <c r="AH67" s="14" t="str">
        <f>CONCATENATE(VLOOKUP(AI67, 'Voxel Sizes'!$A$2:$B$18,2,FALSE),"x",INT(AE67*15), "x", INT(AF67*15))</f>
        <v>198x0x0</v>
      </c>
      <c r="AI67" s="14">
        <f t="shared" si="66"/>
        <v>12</v>
      </c>
      <c r="AK67" s="14" t="str">
        <f>CONCATENATE(VLOOKUP(AI67,Constants!$A$2:$C$16,IF(AJ67&lt;&gt;"", 3, 2), FALSE),IF(AJ67&lt;&gt;"",CONCATENATE(",",VLOOKUP(AJ67,$B:$AK,36,FALSE)),""))</f>
        <v>4,4,4</v>
      </c>
      <c r="AU67">
        <v>33</v>
      </c>
      <c r="AV67" s="14" t="str">
        <f t="shared" si="67"/>
        <v/>
      </c>
      <c r="AW67">
        <v>-35</v>
      </c>
      <c r="AX67">
        <v>-52</v>
      </c>
      <c r="AY67" s="16">
        <f t="shared" si="68"/>
        <v>20</v>
      </c>
      <c r="AZ67" s="16">
        <f t="shared" si="69"/>
        <v>0.25</v>
      </c>
      <c r="BA67" s="16">
        <f t="shared" si="70"/>
        <v>0.25</v>
      </c>
      <c r="BB67" s="17">
        <f t="shared" si="71"/>
        <v>0.89466666666666672</v>
      </c>
      <c r="BC67" s="16">
        <f t="shared" si="72"/>
        <v>1.2</v>
      </c>
      <c r="BD67" s="16">
        <f>VLOOKUP($E67,Constants!$I:$K, 2, FALSE)</f>
        <v>0.85</v>
      </c>
      <c r="BE67" s="16">
        <f>VLOOKUP($E67,Constants!$I:$K, 3, FALSE)*IF(AND(D67="multiple_unit",Y67&lt;110),0.75,1)</f>
        <v>2.2999999999999998</v>
      </c>
      <c r="BF67" s="16">
        <f>INT(POWER(((Constants!$G$2+$AY67+$AZ67+$BA67+$BC67)*$BB67)*$BE67, 1.05))+$AX67</f>
        <v>15</v>
      </c>
      <c r="BG67" s="16">
        <f>INT(POWER((((Constants!$G$1+$AY67+$AZ67+$BA67+$BC67)*($BB67))*$BD67),IF($D67="wagon",1,1.2)))+$AW67</f>
        <v>19</v>
      </c>
      <c r="BH67" s="19">
        <f t="shared" si="73"/>
        <v>11718.75</v>
      </c>
      <c r="BI67" s="19">
        <f t="shared" si="74"/>
        <v>1543.75</v>
      </c>
      <c r="BJ67">
        <v>1</v>
      </c>
      <c r="BK67">
        <v>1</v>
      </c>
      <c r="BP67">
        <v>7</v>
      </c>
      <c r="BR67" t="s">
        <v>142</v>
      </c>
      <c r="BS67" t="s">
        <v>34</v>
      </c>
      <c r="BT67" s="22" t="str">
        <f>VLOOKUP(G67,Eras!$A$2:$C$10, 2, TRUE)</f>
        <v>lbr</v>
      </c>
      <c r="BU67" t="s">
        <v>73</v>
      </c>
      <c r="BV67" s="22" t="str">
        <f t="shared" si="75"/>
        <v>lbr_Express (Electric)</v>
      </c>
      <c r="BW67" s="22" t="str">
        <f t="shared" si="76"/>
        <v>none_RAIL</v>
      </c>
      <c r="BX67" s="22" t="str">
        <f>VLOOKUP($BW67, Constants!$M:$N, 2, FALSE)</f>
        <v/>
      </c>
      <c r="BY67" s="22" t="str">
        <f t="shared" si="77"/>
        <v/>
      </c>
      <c r="BZ67" t="s">
        <v>358</v>
      </c>
      <c r="CA67" s="22" t="str">
        <f t="shared" si="64"/>
        <v/>
      </c>
      <c r="CB67" s="22" t="str">
        <f t="shared" si="78"/>
        <v>{SILVER}The DBSO is a driving trailer built from a converted Mk2F carriage. They were first used with Class 47 locomotives for a push-pull service that could be driven from either end.</v>
      </c>
    </row>
    <row r="68" spans="1:80" x14ac:dyDescent="0.25">
      <c r="A68" t="s">
        <v>393</v>
      </c>
      <c r="B68" t="s">
        <v>394</v>
      </c>
      <c r="C68">
        <v>4051</v>
      </c>
      <c r="D68" t="s">
        <v>231</v>
      </c>
      <c r="E68" t="s">
        <v>26</v>
      </c>
      <c r="F68" t="s">
        <v>28</v>
      </c>
      <c r="G68">
        <v>2005</v>
      </c>
      <c r="H68">
        <v>2006</v>
      </c>
      <c r="J68">
        <v>3</v>
      </c>
      <c r="K68">
        <f>750*3</f>
        <v>2250</v>
      </c>
      <c r="T68">
        <v>169</v>
      </c>
      <c r="V68">
        <v>5</v>
      </c>
      <c r="W68">
        <v>185</v>
      </c>
      <c r="X68" s="3">
        <f t="shared" si="65"/>
        <v>0.10946745562130178</v>
      </c>
      <c r="Y68">
        <v>100</v>
      </c>
      <c r="Z68">
        <f t="shared" si="48"/>
        <v>160</v>
      </c>
      <c r="AC68">
        <v>20.399999999999999</v>
      </c>
      <c r="AD68">
        <v>20.399999999999999</v>
      </c>
      <c r="AE68">
        <v>2.8</v>
      </c>
      <c r="AG68" s="9">
        <v>60</v>
      </c>
      <c r="AH68" s="14" t="str">
        <f>CONCATENATE(VLOOKUP(AI68, 'Voxel Sizes'!$A$2:$B$18,2,FALSE),"x",INT(AE68*15), "x", INT(AF68*15))</f>
        <v>198x42x0</v>
      </c>
      <c r="AI68" s="14">
        <f t="shared" si="66"/>
        <v>12</v>
      </c>
      <c r="AK68" s="14" t="str">
        <f>CONCATENATE(VLOOKUP(AI68,Constants!$A$2:$C$16,IF(AJ68&lt;&gt;"", 3, 2), FALSE),IF(AJ68&lt;&gt;"",CONCATENATE(",",VLOOKUP(AJ68,$B:$AK,36,FALSE)),""))</f>
        <v>4,4,4</v>
      </c>
      <c r="AL68">
        <v>4</v>
      </c>
      <c r="AO68" t="s">
        <v>392</v>
      </c>
      <c r="AQ68" t="s">
        <v>37</v>
      </c>
      <c r="AU68">
        <v>28</v>
      </c>
      <c r="AV68" s="14" t="str">
        <f t="shared" si="67"/>
        <v/>
      </c>
      <c r="AW68">
        <v>-12</v>
      </c>
      <c r="AX68">
        <v>-30</v>
      </c>
      <c r="AY68" s="16">
        <f t="shared" si="68"/>
        <v>20</v>
      </c>
      <c r="AZ68" s="16">
        <f t="shared" si="69"/>
        <v>11.25</v>
      </c>
      <c r="BA68" s="16">
        <f t="shared" si="70"/>
        <v>9.25</v>
      </c>
      <c r="BB68" s="17">
        <f t="shared" si="71"/>
        <v>0.86</v>
      </c>
      <c r="BC68" s="16">
        <f t="shared" si="72"/>
        <v>6.0000000000000009</v>
      </c>
      <c r="BD68" s="16">
        <f>VLOOKUP($E68,Constants!$I:$K, 2, FALSE)</f>
        <v>1</v>
      </c>
      <c r="BE68" s="16">
        <f>VLOOKUP($E68,Constants!$I:$K, 3, FALSE)*IF(AND(D68="multiple_unit",Y68&lt;110),0.75,1)</f>
        <v>1.5</v>
      </c>
      <c r="BF68" s="16">
        <f>INT(POWER(((Constants!$G$2+$AY68+$AZ68+$BA68+$BC68)*$BB68)*$BE68, 1.05))+$AX68</f>
        <v>51</v>
      </c>
      <c r="BG68" s="16">
        <f>INT(POWER((((Constants!$G$1+$AY68+$AZ68+$BA68+$BC68)*($BB68))*$BD68),IF($D68="wagon",1,1.2)))+$AW68</f>
        <v>104</v>
      </c>
      <c r="BH68" s="19">
        <f t="shared" si="73"/>
        <v>39843.75</v>
      </c>
      <c r="BI68" s="19">
        <f t="shared" si="74"/>
        <v>8450</v>
      </c>
      <c r="BP68">
        <v>3</v>
      </c>
      <c r="BQ68">
        <v>185</v>
      </c>
      <c r="BR68" t="s">
        <v>142</v>
      </c>
      <c r="BS68" t="s">
        <v>34</v>
      </c>
      <c r="BT68" s="22" t="str">
        <f>VLOOKUP(G68,Eras!$A$2:$C$10, 2, TRUE)</f>
        <v>mod</v>
      </c>
      <c r="BU68" t="s">
        <v>68</v>
      </c>
      <c r="BV68" s="22" t="str">
        <f t="shared" si="75"/>
        <v>mod_EMU</v>
      </c>
      <c r="BW68" s="22" t="str">
        <f t="shared" si="76"/>
        <v>diesel_RAIL</v>
      </c>
      <c r="BX68" s="22" t="str">
        <f>VLOOKUP($BW68, Constants!$M:$N, 2, FALSE)</f>
        <v>{BLACK}Powered by: {GOLD}Diesel</v>
      </c>
      <c r="BY68" s="22" t="str">
        <f t="shared" si="77"/>
        <v>{BLACK}Cars: {GOLD}3</v>
      </c>
      <c r="BZ68" t="s">
        <v>395</v>
      </c>
      <c r="CA68" s="22" t="str">
        <f t="shared" si="64"/>
        <v/>
      </c>
      <c r="CB68" s="22" t="str">
        <f t="shared" si="78"/>
        <v>{BLACK}Powered by: {GOLD}Diesel {BLACK}Cars: {GOLD}3{}{SILVER}The Class 185 is a diesel version of the Siemens Desiro family. Each car has its own 6 cylinder engine, giving the unit high acceleration.</v>
      </c>
    </row>
    <row r="69" spans="1:80" x14ac:dyDescent="0.25">
      <c r="A69" t="s">
        <v>434</v>
      </c>
      <c r="B69" t="s">
        <v>435</v>
      </c>
      <c r="C69">
        <v>706</v>
      </c>
      <c r="D69" t="s">
        <v>15</v>
      </c>
      <c r="E69" t="s">
        <v>162</v>
      </c>
      <c r="F69" t="s">
        <v>28</v>
      </c>
      <c r="X69" s="3" t="str">
        <f>IF(AND(T69&gt;0,W69&gt;0),(W69/((T69+U69)*10)),"")</f>
        <v/>
      </c>
      <c r="Z69">
        <f t="shared" si="48"/>
        <v>0</v>
      </c>
      <c r="AH69" t="s">
        <v>452</v>
      </c>
      <c r="AI69">
        <f>ROUND(15*((AD69*10)/256),0)</f>
        <v>0</v>
      </c>
      <c r="AK69" s="14" t="str">
        <f>CONCATENATE(VLOOKUP(AI69,Constants!$A$2:$C$16,IF(AJ69&lt;&gt;"", 3, 2), FALSE),IF(AJ69&lt;&gt;"",CONCATENATE(",",VLOOKUP(AJ69,$B:$AK,36,FALSE)),""))</f>
        <v>na</v>
      </c>
      <c r="AU69">
        <v>30</v>
      </c>
      <c r="AV69" s="14" t="str">
        <f>IF(I69&lt;&gt;"",MAX(16,(I69-G69)+8),"")</f>
        <v/>
      </c>
      <c r="AY69">
        <f>MIN(Y69/150, 1)*30</f>
        <v>0</v>
      </c>
      <c r="AZ69">
        <f>MIN(K69/4000, 1)*20</f>
        <v>0</v>
      </c>
      <c r="BA69">
        <f>MIN(W69/400,1)*20</f>
        <v>0</v>
      </c>
      <c r="BB69" s="3">
        <f>1-(MAX(G69-1900, 0)/750)</f>
        <v>1</v>
      </c>
      <c r="BC69">
        <f>((MAX($J69,1)*MIN($AG69/300,1)))*IF(D69="Wagon",50,10)</f>
        <v>0</v>
      </c>
      <c r="BD69">
        <v>0.9</v>
      </c>
      <c r="BE69">
        <v>1.6</v>
      </c>
      <c r="BF69">
        <v>8</v>
      </c>
      <c r="BG69">
        <v>22</v>
      </c>
      <c r="BH69" s="23">
        <f>BF69*IF($D69="wagon",62.5,781.25)</f>
        <v>6250</v>
      </c>
      <c r="BI69" s="23">
        <f>BG69*IF($D69="wagon",2.73,81.25)</f>
        <v>1787.5</v>
      </c>
      <c r="BP69">
        <v>4</v>
      </c>
      <c r="BT69" t="e">
        <v>#N/A</v>
      </c>
      <c r="BV69" t="e">
        <f>CONCATENATE(BT69,"_",BU69)</f>
        <v>#N/A</v>
      </c>
      <c r="BW69" t="str">
        <f>_xlfn.CONCAT(E69, "_",F69)</f>
        <v>tube_RAIL</v>
      </c>
      <c r="BX69" t="s">
        <v>447</v>
      </c>
      <c r="BY69" t="str">
        <f>IF(J69&gt;1,_xlfn.CONCAT("{BLACK}Cars: {GOLD}", J69),"")</f>
        <v/>
      </c>
      <c r="CA69" s="22" t="str">
        <f t="shared" si="64"/>
        <v/>
      </c>
      <c r="CB69" t="str">
        <f>_xlfn.CONCAT(BX69,IF(BX69 &lt;&gt; "", " ", ""),BY69,IF(OR(BY69&lt;&gt;"", BX69&lt;&gt;""), "{}",""), CA69,"{SILVER}", BZ69)</f>
        <v>{SILVER}</v>
      </c>
    </row>
    <row r="70" spans="1:80" x14ac:dyDescent="0.25">
      <c r="A70" t="s">
        <v>436</v>
      </c>
      <c r="B70" t="s">
        <v>437</v>
      </c>
      <c r="C70">
        <v>710</v>
      </c>
      <c r="D70" t="s">
        <v>15</v>
      </c>
      <c r="E70" t="s">
        <v>162</v>
      </c>
      <c r="F70" t="s">
        <v>28</v>
      </c>
      <c r="X70" s="3" t="str">
        <f>IF(AND(T70&gt;0,W70&gt;0),(W70/((T70+U70)*10)),"")</f>
        <v/>
      </c>
      <c r="Z70">
        <f t="shared" si="48"/>
        <v>0</v>
      </c>
      <c r="AH70" t="s">
        <v>452</v>
      </c>
      <c r="AI70">
        <f>ROUND(15*((AD70*10)/256),0)</f>
        <v>0</v>
      </c>
      <c r="AK70" s="14" t="str">
        <f>CONCATENATE(VLOOKUP(AI70,Constants!$A$2:$C$16,IF(AJ70&lt;&gt;"", 3, 2), FALSE),IF(AJ70&lt;&gt;"",CONCATENATE(",",VLOOKUP(AJ70,$B:$AK,36,FALSE)),""))</f>
        <v>na</v>
      </c>
      <c r="AU70">
        <v>30</v>
      </c>
      <c r="AV70" s="14" t="str">
        <f>IF(I70&lt;&gt;"",MAX(16,(I70-G70)+8),"")</f>
        <v/>
      </c>
      <c r="AY70">
        <f>MIN(Y70/150, 1)*30</f>
        <v>0</v>
      </c>
      <c r="AZ70">
        <f>MIN(K70/4000, 1)*20</f>
        <v>0</v>
      </c>
      <c r="BA70">
        <f>MIN(W70/400,1)*20</f>
        <v>0</v>
      </c>
      <c r="BB70" s="3">
        <f>1-(MAX(G70-1900, 0)/750)</f>
        <v>1</v>
      </c>
      <c r="BC70">
        <f>((MAX($J70,1)*MIN($AG70/300,1)))*IF(D70="Wagon",50,10)</f>
        <v>0</v>
      </c>
      <c r="BD70">
        <v>0.9</v>
      </c>
      <c r="BE70">
        <v>1.6</v>
      </c>
      <c r="BF70">
        <v>8</v>
      </c>
      <c r="BG70">
        <v>22</v>
      </c>
      <c r="BH70" s="23">
        <f>BF70*IF($D70="wagon",62.5,781.25)</f>
        <v>6250</v>
      </c>
      <c r="BI70" s="23">
        <f>BG70*IF($D70="wagon",2.73,81.25)</f>
        <v>1787.5</v>
      </c>
      <c r="BP70">
        <v>6</v>
      </c>
      <c r="BQ70">
        <v>120</v>
      </c>
      <c r="BT70" t="e">
        <v>#N/A</v>
      </c>
      <c r="BU70" t="s">
        <v>80</v>
      </c>
      <c r="BV70" t="e">
        <f>CONCATENATE(BT70,"_",BU70)</f>
        <v>#N/A</v>
      </c>
      <c r="BW70" t="str">
        <f>_xlfn.CONCAT(E70, "_",F70)</f>
        <v>tube_RAIL</v>
      </c>
      <c r="BX70" t="s">
        <v>447</v>
      </c>
      <c r="BY70" t="str">
        <f>IF(J70&gt;1,_xlfn.CONCAT("{BLACK}Cars: {GOLD}", J70),"")</f>
        <v/>
      </c>
      <c r="CA70" s="22" t="str">
        <f t="shared" si="64"/>
        <v>{YELLOW}35% Penalty for long distance travel{}</v>
      </c>
      <c r="CB70" t="str">
        <f>_xlfn.CONCAT(BX70,IF(BX70 &lt;&gt; "", " ", ""),BY70,IF(OR(BY70&lt;&gt;"", BX70&lt;&gt;""), "{}",""), CA70,"{SILVER}", BZ70)</f>
        <v>{YELLOW}35% Penalty for long distance travel{}{SILVER}</v>
      </c>
    </row>
    <row r="71" spans="1:80" x14ac:dyDescent="0.25">
      <c r="A71" t="s">
        <v>429</v>
      </c>
      <c r="B71" t="s">
        <v>430</v>
      </c>
      <c r="C71">
        <v>718</v>
      </c>
      <c r="D71" t="s">
        <v>15</v>
      </c>
      <c r="E71" t="s">
        <v>15</v>
      </c>
      <c r="F71" t="s">
        <v>316</v>
      </c>
      <c r="G71">
        <v>1893</v>
      </c>
      <c r="H71">
        <v>1896</v>
      </c>
      <c r="I71">
        <v>1956</v>
      </c>
      <c r="J71">
        <v>2</v>
      </c>
      <c r="K71">
        <v>120</v>
      </c>
      <c r="T71">
        <v>10</v>
      </c>
      <c r="V71">
        <v>7</v>
      </c>
      <c r="W71">
        <v>30</v>
      </c>
      <c r="X71" s="3">
        <f>IF(AND(T71&gt;0,W71&gt;0),(W71/((T71+U71)*10)),"")</f>
        <v>0.3</v>
      </c>
      <c r="Y71">
        <v>35</v>
      </c>
      <c r="Z71">
        <f t="shared" si="48"/>
        <v>56</v>
      </c>
      <c r="AC71">
        <v>14</v>
      </c>
      <c r="AD71">
        <v>14</v>
      </c>
      <c r="AE71">
        <v>2.59</v>
      </c>
      <c r="AG71" s="9">
        <f>41+16</f>
        <v>57</v>
      </c>
      <c r="AH71" t="s">
        <v>453</v>
      </c>
      <c r="AI71">
        <f>ROUND(15*((AD71*10)/256),0)</f>
        <v>8</v>
      </c>
      <c r="AK71" s="14" t="str">
        <f>CONCATENATE(VLOOKUP(AI71,Constants!$A$2:$C$16,IF(AJ71&lt;&gt;"", 3, 2), FALSE),IF(AJ71&lt;&gt;"",CONCATENATE(",",VLOOKUP(AJ71,$B:$AK,36,FALSE)),""))</f>
        <v>2,4,2</v>
      </c>
      <c r="AO71" t="s">
        <v>431</v>
      </c>
      <c r="AQ71" t="s">
        <v>432</v>
      </c>
      <c r="AU71">
        <v>25</v>
      </c>
      <c r="AV71" s="14">
        <f>IF(I71&lt;&gt;"",MAX(16,(I71-G71)+8),"")</f>
        <v>71</v>
      </c>
      <c r="AY71">
        <f>MIN(Y71/150, 1)*30</f>
        <v>7</v>
      </c>
      <c r="AZ71">
        <f>MIN(K71/4000, 1)*20</f>
        <v>0.6</v>
      </c>
      <c r="BA71">
        <f>MIN(W71/400,1)*20</f>
        <v>1.5</v>
      </c>
      <c r="BB71" s="3">
        <f>1-(MAX(G71-1900, 0)/750)</f>
        <v>1</v>
      </c>
      <c r="BC71">
        <f>((MAX($J71,1)*MIN($AG71/300,1)))*IF(D71="Wagon",50,10)</f>
        <v>3.8</v>
      </c>
      <c r="BD71" t="e">
        <v>#N/A</v>
      </c>
      <c r="BE71" t="e">
        <v>#N/A</v>
      </c>
      <c r="BF71" t="e">
        <v>#N/A</v>
      </c>
      <c r="BG71" t="e">
        <v>#N/A</v>
      </c>
      <c r="BH71" s="23" t="e">
        <f>BF71*IF($D71="wagon",62.5,781.25)</f>
        <v>#N/A</v>
      </c>
      <c r="BI71" s="23" t="e">
        <f>BG71*IF($D71="wagon",2.73,81.25)</f>
        <v>#N/A</v>
      </c>
      <c r="BP71">
        <v>2</v>
      </c>
      <c r="BS71" t="s">
        <v>34</v>
      </c>
      <c r="BT71" t="s">
        <v>94</v>
      </c>
      <c r="BU71" t="s">
        <v>68</v>
      </c>
      <c r="BV71" t="str">
        <f>CONCATENATE(BT71,"_",BU71)</f>
        <v>vct_EMU</v>
      </c>
      <c r="BW71" t="str">
        <f>_xlfn.CONCAT(E71, "_",F71)</f>
        <v>na_THIRD_RAIL</v>
      </c>
      <c r="BX71" t="e">
        <v>#N/A</v>
      </c>
      <c r="BY71" t="str">
        <f>IF(J71&gt;1,_xlfn.CONCAT("{BLACK}Cars: {GOLD}", J71),"")</f>
        <v>{BLACK}Cars: {GOLD}2</v>
      </c>
      <c r="BZ71" t="s">
        <v>433</v>
      </c>
      <c r="CA71" s="22" t="str">
        <f t="shared" si="64"/>
        <v/>
      </c>
      <c r="CB71" t="e">
        <f>_xlfn.CONCAT(BX71,IF(BX71 &lt;&gt; "", " ", ""),BY71,IF(OR(BY71&lt;&gt;"", BX71&lt;&gt;""), "{}",""), CA71,"{SILVER}", BZ71)</f>
        <v>#N/A</v>
      </c>
    </row>
    <row r="72" spans="1:80" x14ac:dyDescent="0.25">
      <c r="A72" t="s">
        <v>441</v>
      </c>
      <c r="B72" t="s">
        <v>442</v>
      </c>
      <c r="C72">
        <v>734</v>
      </c>
      <c r="D72" t="s">
        <v>15</v>
      </c>
      <c r="E72" t="s">
        <v>162</v>
      </c>
      <c r="F72" t="s">
        <v>28</v>
      </c>
      <c r="G72">
        <v>1983</v>
      </c>
      <c r="X72" s="3" t="str">
        <f>IF(AND(T72&gt;0,W72&gt;0),(W72/((T72+U72)*10)),"")</f>
        <v/>
      </c>
      <c r="Z72">
        <f t="shared" si="48"/>
        <v>0</v>
      </c>
      <c r="AH72" t="s">
        <v>452</v>
      </c>
      <c r="AI72">
        <f>ROUND(15*((AD72*10)/256),0)</f>
        <v>0</v>
      </c>
      <c r="AK72" s="14" t="str">
        <f>CONCATENATE(VLOOKUP(AI72,Constants!$A$2:$C$16,IF(AJ72&lt;&gt;"", 3, 2), FALSE),IF(AJ72&lt;&gt;"",CONCATENATE(",",VLOOKUP(AJ72,$B:$AK,36,FALSE)),""))</f>
        <v>na</v>
      </c>
      <c r="AU72">
        <v>30</v>
      </c>
      <c r="AV72" s="14" t="str">
        <f>IF(I72&lt;&gt;"",MAX(16,(I72-G72)+8),"")</f>
        <v/>
      </c>
      <c r="AY72">
        <f>MIN(Y72/150, 1)*30</f>
        <v>0</v>
      </c>
      <c r="AZ72">
        <f>MIN(K72/4000, 1)*20</f>
        <v>0</v>
      </c>
      <c r="BA72">
        <f>MIN(W72/400,1)*20</f>
        <v>0</v>
      </c>
      <c r="BB72" s="3">
        <f>1-(MAX(G72-1900, 0)/750)</f>
        <v>0.88933333333333331</v>
      </c>
      <c r="BC72">
        <f>((MAX($J72,1)*MIN($AG72/300,1)))*IF(D72="Wagon",50,10)</f>
        <v>0</v>
      </c>
      <c r="BD72">
        <v>0.9</v>
      </c>
      <c r="BE72">
        <v>1.6</v>
      </c>
      <c r="BF72">
        <v>7</v>
      </c>
      <c r="BG72">
        <v>19</v>
      </c>
      <c r="BH72" s="23">
        <f>BF72*IF($D72="wagon",62.5,781.25)</f>
        <v>5468.75</v>
      </c>
      <c r="BI72" s="23">
        <f>BG72*IF($D72="wagon",2.73,81.25)</f>
        <v>1543.75</v>
      </c>
      <c r="BP72">
        <v>10</v>
      </c>
      <c r="BQ72">
        <v>120</v>
      </c>
      <c r="BS72" t="s">
        <v>34</v>
      </c>
      <c r="BT72" t="s">
        <v>106</v>
      </c>
      <c r="BU72" t="s">
        <v>80</v>
      </c>
      <c r="BV72" t="str">
        <f>CONCATENATE(BT72,"_",BU72)</f>
        <v>lbr_LU</v>
      </c>
      <c r="BW72" t="str">
        <f>_xlfn.CONCAT(E72, "_",F72)</f>
        <v>tube_RAIL</v>
      </c>
      <c r="BX72" t="s">
        <v>447</v>
      </c>
      <c r="BY72" t="str">
        <f>IF(J72&gt;1,_xlfn.CONCAT("{BLACK}Cars: {GOLD}", J72),"")</f>
        <v/>
      </c>
      <c r="CA72" s="22" t="str">
        <f t="shared" si="64"/>
        <v>{YELLOW}35% Penalty for long distance travel{}</v>
      </c>
      <c r="CB72" t="str">
        <f>_xlfn.CONCAT(BX72,IF(BX72 &lt;&gt; "", " ", ""),BY72,IF(OR(BY72&lt;&gt;"", BX72&lt;&gt;""), "{}",""), CA72,"{SILVER}", BZ72)</f>
        <v>{YELLOW}35% Penalty for long distance travel{}{SILVER}</v>
      </c>
    </row>
    <row r="73" spans="1:80" x14ac:dyDescent="0.25">
      <c r="A73" t="s">
        <v>438</v>
      </c>
      <c r="B73" t="s">
        <v>439</v>
      </c>
      <c r="C73">
        <v>714</v>
      </c>
      <c r="D73" t="s">
        <v>15</v>
      </c>
      <c r="E73" t="s">
        <v>38</v>
      </c>
      <c r="F73" t="s">
        <v>440</v>
      </c>
      <c r="X73" s="3" t="str">
        <f>IF(AND(T73&gt;0,W73&gt;0),(W73/((T73+U73)*10)),"")</f>
        <v/>
      </c>
      <c r="Z73">
        <f t="shared" si="48"/>
        <v>0</v>
      </c>
      <c r="AH73" t="s">
        <v>452</v>
      </c>
      <c r="AI73">
        <f>ROUND(15*((AD73*10)/256),0)</f>
        <v>0</v>
      </c>
      <c r="AK73" s="14" t="str">
        <f>CONCATENATE(VLOOKUP(AI73,Constants!$A$2:$C$16,IF(AJ73&lt;&gt;"", 3, 2), FALSE),IF(AJ73&lt;&gt;"",CONCATENATE(",",VLOOKUP(AJ73,$B:$AK,36,FALSE)),""))</f>
        <v>na</v>
      </c>
      <c r="AU73">
        <v>30</v>
      </c>
      <c r="AV73" s="14" t="str">
        <f>IF(I73&lt;&gt;"",MAX(16,(I73-G73)+8),"")</f>
        <v/>
      </c>
      <c r="AY73">
        <f>MIN(Y73/150, 1)*30</f>
        <v>0</v>
      </c>
      <c r="AZ73">
        <f>MIN(K73/4000, 1)*20</f>
        <v>0</v>
      </c>
      <c r="BA73">
        <f>MIN(W73/400,1)*20</f>
        <v>0</v>
      </c>
      <c r="BB73" s="3">
        <f>1-(MAX(G73-1900, 0)/750)</f>
        <v>1</v>
      </c>
      <c r="BC73">
        <f>((MAX($J73,1)*MIN($AG73/300,1)))*IF(D73="Wagon",50,10)</f>
        <v>0</v>
      </c>
      <c r="BD73">
        <v>0.85</v>
      </c>
      <c r="BE73">
        <v>2.2999999999999998</v>
      </c>
      <c r="BF73">
        <v>12</v>
      </c>
      <c r="BG73">
        <v>21</v>
      </c>
      <c r="BH73" s="23">
        <f>BF73*IF($D73="wagon",62.5,781.25)</f>
        <v>9375</v>
      </c>
      <c r="BI73" s="23">
        <f>BG73*IF($D73="wagon",2.73,81.25)</f>
        <v>1706.25</v>
      </c>
      <c r="BP73">
        <v>8</v>
      </c>
      <c r="BT73" t="e">
        <v>#N/A</v>
      </c>
      <c r="BV73" t="e">
        <f>CONCATENATE(BT73,"_",BU73)</f>
        <v>#N/A</v>
      </c>
      <c r="BW73" t="str">
        <f>_xlfn.CONCAT(E73, "_",F73)</f>
        <v>electric_ELRL</v>
      </c>
      <c r="BX73" t="s">
        <v>450</v>
      </c>
      <c r="BY73" t="str">
        <f>IF(J73&gt;1,_xlfn.CONCAT("{BLACK}Cars: {GOLD}", J73),"")</f>
        <v/>
      </c>
      <c r="CA73" s="22" t="str">
        <f t="shared" si="64"/>
        <v/>
      </c>
      <c r="CB73" t="str">
        <f>_xlfn.CONCAT(BX73,IF(BX73 &lt;&gt; "", " ", ""),BY73,IF(OR(BY73&lt;&gt;"", BX73&lt;&gt;""), "{}",""), CA73,"{SILVER}", BZ73)</f>
        <v>{BLACK}Powered by: {GOLD}25kV AC {}{SILVER}</v>
      </c>
    </row>
  </sheetData>
  <autoFilter ref="A1:BZ38"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 BU37:BU43 BU74:BU1048576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COUNTIF(Table!$BV:$BV,CONCATENATE($A3,"_",C$1))</f>
        <v>0</v>
      </c>
      <c r="D3">
        <f>COUNTIF(Table!$BV:$BV,CONCATENATE($A3,"_",D$1))</f>
        <v>1</v>
      </c>
      <c r="E3">
        <f>COUNTIF(Table!$BV:$BV,CONCATENATE($A3,"_",E$1))</f>
        <v>1</v>
      </c>
      <c r="F3">
        <f>COUNTIF(Table!$BV:$BV,CONCATENATE($A3,"_",F$1))</f>
        <v>2</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5</v>
      </c>
      <c r="T3">
        <f>COUNTIF(Table!$BV:$BV,CONCATENATE($A3,"_",T$1))</f>
        <v>0</v>
      </c>
      <c r="U3">
        <f>COUNTIF(Table!$BV:$BV,CONCATENATE($A3,"_",U$1))</f>
        <v>0</v>
      </c>
      <c r="V3">
        <f>COUNTIF(Table!$BV:$BV,CONCATENATE($A3,"_",V$1))</f>
        <v>0</v>
      </c>
      <c r="W3">
        <f>COUNTIF(Table!$BV:$BV,CONCATENATE($A3,"_",W$1))</f>
        <v>1</v>
      </c>
    </row>
    <row r="4" spans="1:23" x14ac:dyDescent="0.25">
      <c r="A4" t="s">
        <v>94</v>
      </c>
      <c r="B4" t="str">
        <f>VLOOKUP(A4, Eras!$B$2:$C$10, 2, FALSE)</f>
        <v>Victorian (1850-1900)</v>
      </c>
      <c r="C4">
        <f>COUNTIF(Table!$BV:$BV,CONCATENATE($A4,"_",C$1))</f>
        <v>0</v>
      </c>
      <c r="D4">
        <f>COUNTIF(Table!$BV:$BV,CONCATENATE($A4,"_",D$1))</f>
        <v>4</v>
      </c>
      <c r="E4">
        <f>COUNTIF(Table!$BV:$BV,CONCATENATE($A4,"_",E$1))</f>
        <v>4</v>
      </c>
      <c r="F4">
        <f>COUNTIF(Table!$BV:$BV,CONCATENATE($A4,"_",F$1))</f>
        <v>4</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0</v>
      </c>
      <c r="R4">
        <f>COUNTIF(Table!$BV:$BV,CONCATENATE($A4,"_",R$1))</f>
        <v>0</v>
      </c>
      <c r="S4">
        <f>COUNTIF(Table!$BV:$BV,CONCATENATE($A4,"_",S$1))</f>
        <v>8</v>
      </c>
      <c r="T4">
        <f>COUNTIF(Table!$BV:$BV,CONCATENATE($A4,"_",T$1))</f>
        <v>0</v>
      </c>
      <c r="U4">
        <f>COUNTIF(Table!$BV:$BV,CONCATENATE($A4,"_",U$1))</f>
        <v>0</v>
      </c>
      <c r="V4">
        <f>COUNTIF(Table!$BV:$BV,CONCATENATE($A4,"_",V$1))</f>
        <v>0</v>
      </c>
      <c r="W4">
        <f>COUNTIF(Table!$BV:$BV,CONCATENATE($A4,"_",W$1))</f>
        <v>0</v>
      </c>
    </row>
    <row r="5" spans="1:23" x14ac:dyDescent="0.25">
      <c r="A5" t="s">
        <v>53</v>
      </c>
      <c r="B5" t="str">
        <f>VLOOKUP(A5, Eras!$B$2:$C$10, 2, FALSE)</f>
        <v>Edwardian (1900-1920)</v>
      </c>
      <c r="C5">
        <f>COUNTIF(Table!$BV:$BV,CONCATENATE($A5,"_",C$1))</f>
        <v>0</v>
      </c>
      <c r="D5">
        <f>COUNTIF(Table!$BV:$BV,CONCATENATE($A5,"_",D$1))</f>
        <v>0</v>
      </c>
      <c r="E5">
        <f>COUNTIF(Table!$BV:$BV,CONCATENATE($A5,"_",E$1))</f>
        <v>3</v>
      </c>
      <c r="F5">
        <f>COUNTIF(Table!$BV:$BV,CONCATENATE($A5,"_",F$1))</f>
        <v>4</v>
      </c>
      <c r="G5">
        <f>COUNTIF(Table!$BV:$BV,CONCATENATE($A5,"_",G$1))</f>
        <v>0</v>
      </c>
      <c r="H5">
        <f>COUNTIF(Table!$BV:$BV,CONCATENATE($A5,"_",H$1))</f>
        <v>0</v>
      </c>
      <c r="I5">
        <f>COUNTIF(Table!$BV:$BV,CONCATENATE($A5,"_",I$1))</f>
        <v>0</v>
      </c>
      <c r="J5">
        <f>COUNTIF(Table!$BV:$BV,CONCATENATE($A5,"_",J$1))</f>
        <v>0</v>
      </c>
      <c r="K5">
        <f>COUNTIF(Table!$BV:$BV,CONCATENATE($A5,"_",K$1))</f>
        <v>0</v>
      </c>
      <c r="L5">
        <f>COUNTIF(Table!$BV:$BV,CONCATENATE($A5,"_",L$1))</f>
        <v>0</v>
      </c>
      <c r="M5">
        <f>COUNTIF(Table!$BV:$BV,CONCATENATE($A5,"_",M$1))</f>
        <v>0</v>
      </c>
      <c r="N5">
        <f>COUNTIF(Table!$BV:$BV,CONCATENATE($A5,"_",N$1))</f>
        <v>0</v>
      </c>
      <c r="O5">
        <f>COUNTIF(Table!$BV:$BV,CONCATENATE($A5,"_",O$1))</f>
        <v>0</v>
      </c>
      <c r="P5">
        <f>COUNTIF(Table!$BV:$BV,CONCATENATE($A5,"_",P$1))</f>
        <v>0</v>
      </c>
      <c r="Q5">
        <f>COUNTIF(Table!$BV:$BV,CONCATENATE($A5,"_",Q$1))</f>
        <v>1</v>
      </c>
      <c r="R5">
        <f>COUNTIF(Table!$BV:$BV,CONCATENATE($A5,"_",R$1))</f>
        <v>0</v>
      </c>
      <c r="S5">
        <f>COUNTIF(Table!$BV:$BV,CONCATENATE($A5,"_",S$1))</f>
        <v>2</v>
      </c>
      <c r="T5">
        <f>COUNTIF(Table!$BV:$BV,CONCATENATE($A5,"_",T$1))</f>
        <v>0</v>
      </c>
      <c r="U5">
        <f>COUNTIF(Table!$BV:$BV,CONCATENATE($A5,"_",U$1))</f>
        <v>0</v>
      </c>
      <c r="V5">
        <f>COUNTIF(Table!$BV:$BV,CONCATENATE($A5,"_",V$1))</f>
        <v>0</v>
      </c>
      <c r="W5">
        <f>COUNTIF(Table!$BV:$BV,CONCATENATE($A5,"_",W$1))</f>
        <v>0</v>
      </c>
    </row>
    <row r="6" spans="1:23" x14ac:dyDescent="0.25">
      <c r="A6" t="s">
        <v>54</v>
      </c>
      <c r="B6" t="str">
        <f>VLOOKUP(A6, Eras!$B$2:$C$10, 2, FALSE)</f>
        <v>Big Four (1923-1948)</v>
      </c>
      <c r="C6">
        <f>COUNTIF(Table!$BV:$BV,CONCATENATE($A6,"_",C$1))</f>
        <v>0</v>
      </c>
      <c r="D6">
        <f>COUNTIF(Table!$BV:$BV,CONCATENATE($A6,"_",D$1))</f>
        <v>0</v>
      </c>
      <c r="E6">
        <f>COUNTIF(Table!$BV:$BV,CONCATENATE($A6,"_",E$1))</f>
        <v>3</v>
      </c>
      <c r="F6">
        <f>COUNTIF(Table!$BV:$BV,CONCATENATE($A6,"_",F$1))</f>
        <v>0</v>
      </c>
      <c r="G6">
        <f>COUNTIF(Table!$BV:$BV,CONCATENATE($A6,"_",G$1))</f>
        <v>0</v>
      </c>
      <c r="H6">
        <f>COUNTIF(Table!$BV:$BV,CONCATENATE($A6,"_",H$1))</f>
        <v>0</v>
      </c>
      <c r="I6">
        <f>COUNTIF(Table!$BV:$BV,CONCATENATE($A6,"_",I$1))</f>
        <v>0</v>
      </c>
      <c r="J6">
        <f>COUNTIF(Table!$BV:$BV,CONCATENATE($A6,"_",J$1))</f>
        <v>0</v>
      </c>
      <c r="K6">
        <f>COUNTIF(Table!$BV:$BV,CONCATENATE($A6,"_",K$1))</f>
        <v>0</v>
      </c>
      <c r="L6">
        <f>COUNTIF(Table!$BV:$BV,CONCATENATE($A6,"_",L$1))</f>
        <v>0</v>
      </c>
      <c r="M6">
        <f>COUNTIF(Table!$BV:$BV,CONCATENATE($A6,"_",M$1))</f>
        <v>0</v>
      </c>
      <c r="N6">
        <f>COUNTIF(Table!$BV:$BV,CONCATENATE($A6,"_",N$1))</f>
        <v>0</v>
      </c>
      <c r="O6">
        <f>COUNTIF(Table!$BV:$BV,CONCATENATE($A6,"_",O$1))</f>
        <v>0</v>
      </c>
      <c r="P6">
        <f>COUNTIF(Table!$BV:$BV,CONCATENATE($A6,"_",P$1))</f>
        <v>0</v>
      </c>
      <c r="Q6">
        <f>COUNTIF(Table!$BV:$BV,CONCATENATE($A6,"_",Q$1))</f>
        <v>0</v>
      </c>
      <c r="R6">
        <f>COUNTIF(Table!$BV:$BV,CONCATENATE($A6,"_",R$1))</f>
        <v>0</v>
      </c>
      <c r="S6">
        <f>COUNTIF(Table!$BV:$BV,CONCATENATE($A6,"_",S$1))</f>
        <v>0</v>
      </c>
      <c r="T6">
        <f>COUNTIF(Table!$BV:$BV,CONCATENATE($A6,"_",T$1))</f>
        <v>0</v>
      </c>
      <c r="U6">
        <f>COUNTIF(Table!$BV:$BV,CONCATENATE($A6,"_",U$1))</f>
        <v>0</v>
      </c>
      <c r="V6">
        <f>COUNTIF(Table!$BV:$BV,CONCATENATE($A6,"_",V$1))</f>
        <v>0</v>
      </c>
      <c r="W6">
        <f>COUNTIF(Table!$BV:$BV,CONCATENATE($A6,"_",W$1))</f>
        <v>0</v>
      </c>
    </row>
    <row r="7" spans="1:23" x14ac:dyDescent="0.25">
      <c r="A7" t="s">
        <v>105</v>
      </c>
      <c r="B7" t="str">
        <f>VLOOKUP(A7, Eras!$B$2:$C$10, 2, FALSE)</f>
        <v>Early BR (1948-1955)</v>
      </c>
      <c r="C7">
        <f>COUNTIF(Table!$BV:$BV,CONCATENATE($A7,"_",C$1))</f>
        <v>0</v>
      </c>
      <c r="D7">
        <f>COUNTIF(Table!$BV:$BV,CONCATENATE($A7,"_",D$1))</f>
        <v>0</v>
      </c>
      <c r="E7">
        <f>COUNTIF(Table!$BV:$BV,CONCATENATE($A7,"_",E$1))</f>
        <v>2</v>
      </c>
      <c r="F7">
        <f>COUNTIF(Table!$BV:$BV,CONCATENATE($A7,"_",F$1))</f>
        <v>0</v>
      </c>
      <c r="G7">
        <f>COUNTIF(Table!$BV:$BV,CONCATENATE($A7,"_",G$1))</f>
        <v>1</v>
      </c>
      <c r="H7">
        <f>COUNTIF(Table!$BV:$BV,CONCATENATE($A7,"_",H$1))</f>
        <v>0</v>
      </c>
      <c r="I7">
        <f>COUNTIF(Table!$BV:$BV,CONCATENATE($A7,"_",I$1))</f>
        <v>0</v>
      </c>
      <c r="J7">
        <f>COUNTIF(Table!$BV:$BV,CONCATENATE($A7,"_",J$1))</f>
        <v>0</v>
      </c>
      <c r="K7">
        <f>COUNTIF(Table!$BV:$BV,CONCATENATE($A7,"_",K$1))</f>
        <v>0</v>
      </c>
      <c r="L7">
        <f>COUNTIF(Table!$BV:$BV,CONCATENATE($A7,"_",L$1))</f>
        <v>1</v>
      </c>
      <c r="M7">
        <f>COUNTIF(Table!$BV:$BV,CONCATENATE($A7,"_",M$1))</f>
        <v>0</v>
      </c>
      <c r="N7">
        <f>COUNTIF(Table!$BV:$BV,CONCATENATE($A7,"_",N$1))</f>
        <v>0</v>
      </c>
      <c r="O7">
        <f>COUNTIF(Table!$BV:$BV,CONCATENATE($A7,"_",O$1))</f>
        <v>0</v>
      </c>
      <c r="P7">
        <f>COUNTIF(Table!$BV:$BV,CONCATENATE($A7,"_",P$1))</f>
        <v>0</v>
      </c>
      <c r="Q7">
        <f>COUNTIF(Table!$BV:$BV,CONCATENATE($A7,"_",Q$1))</f>
        <v>1</v>
      </c>
      <c r="R7">
        <f>COUNTIF(Table!$BV:$BV,CONCATENATE($A7,"_",R$1))</f>
        <v>0</v>
      </c>
      <c r="S7">
        <f>COUNTIF(Table!$BV:$BV,CONCATENATE($A7,"_",S$1))</f>
        <v>0</v>
      </c>
      <c r="T7">
        <f>COUNTIF(Table!$BV:$BV,CONCATENATE($A7,"_",T$1))</f>
        <v>0</v>
      </c>
      <c r="U7">
        <f>COUNTIF(Table!$BV:$BV,CONCATENATE($A7,"_",U$1))</f>
        <v>0</v>
      </c>
      <c r="V7">
        <f>COUNTIF(Table!$BV:$BV,CONCATENATE($A7,"_",V$1))</f>
        <v>0</v>
      </c>
      <c r="W7">
        <f>COUNTIF(Table!$BV:$BV,CONCATENATE($A7,"_",W$1))</f>
        <v>0</v>
      </c>
    </row>
    <row r="8" spans="1:23" x14ac:dyDescent="0.25">
      <c r="A8" t="s">
        <v>55</v>
      </c>
      <c r="B8" t="str">
        <f>VLOOKUP(A8, Eras!$B$2:$C$10, 2, FALSE)</f>
        <v>Dieselisation (1955-1970)</v>
      </c>
      <c r="C8">
        <f>COUNTIF(Table!$BV:$BV,CONCATENATE($A8,"_",C$1))</f>
        <v>0</v>
      </c>
      <c r="D8">
        <f>COUNTIF(Table!$BV:$BV,CONCATENATE($A8,"_",D$1))</f>
        <v>0</v>
      </c>
      <c r="E8">
        <f>COUNTIF(Table!$BV:$BV,CONCATENATE($A8,"_",E$1))</f>
        <v>1</v>
      </c>
      <c r="F8">
        <f>COUNTIF(Table!$BV:$BV,CONCATENATE($A8,"_",F$1))</f>
        <v>0</v>
      </c>
      <c r="G8">
        <f>COUNTIF(Table!$BV:$BV,CONCATENATE($A8,"_",G$1))</f>
        <v>2</v>
      </c>
      <c r="H8">
        <f>COUNTIF(Table!$BV:$BV,CONCATENATE($A8,"_",H$1))</f>
        <v>0</v>
      </c>
      <c r="I8">
        <f>COUNTIF(Table!$BV:$BV,CONCATENATE($A8,"_",I$1))</f>
        <v>0</v>
      </c>
      <c r="J8">
        <f>COUNTIF(Table!$BV:$BV,CONCATENATE($A8,"_",J$1))</f>
        <v>0</v>
      </c>
      <c r="K8">
        <f>COUNTIF(Table!$BV:$BV,CONCATENATE($A8,"_",K$1))</f>
        <v>0</v>
      </c>
      <c r="L8">
        <f>COUNTIF(Table!$BV:$BV,CONCATENATE($A8,"_",L$1))</f>
        <v>3</v>
      </c>
      <c r="M8">
        <f>COUNTIF(Table!$BV:$BV,CONCATENATE($A8,"_",M$1))</f>
        <v>0</v>
      </c>
      <c r="N8">
        <f>COUNTIF(Table!$BV:$BV,CONCATENATE($A8,"_",N$1))</f>
        <v>0</v>
      </c>
      <c r="O8">
        <f>COUNTIF(Table!$BV:$BV,CONCATENATE($A8,"_",O$1))</f>
        <v>0</v>
      </c>
      <c r="P8">
        <f>COUNTIF(Table!$BV:$BV,CONCATENATE($A8,"_",P$1))</f>
        <v>0</v>
      </c>
      <c r="Q8">
        <f>COUNTIF(Table!$BV:$BV,CONCATENATE($A8,"_",Q$1))</f>
        <v>1</v>
      </c>
      <c r="R8">
        <f>COUNTIF(Table!$BV:$BV,CONCATENATE($A8,"_",R$1))</f>
        <v>0</v>
      </c>
      <c r="S8">
        <f>COUNTIF(Table!$BV:$BV,CONCATENATE($A8,"_",S$1))</f>
        <v>0</v>
      </c>
      <c r="T8">
        <f>COUNTIF(Table!$BV:$BV,CONCATENATE($A8,"_",T$1))</f>
        <v>0</v>
      </c>
      <c r="U8">
        <f>COUNTIF(Table!$BV:$BV,CONCATENATE($A8,"_",U$1))</f>
        <v>0</v>
      </c>
      <c r="V8">
        <f>COUNTIF(Table!$BV:$BV,CONCATENATE($A8,"_",V$1))</f>
        <v>0</v>
      </c>
      <c r="W8">
        <f>COUNTIF(Table!$BV:$BV,CONCATENATE($A8,"_",W$1))</f>
        <v>1</v>
      </c>
    </row>
    <row r="9" spans="1:23" x14ac:dyDescent="0.25">
      <c r="A9" t="s">
        <v>106</v>
      </c>
      <c r="B9" t="str">
        <f>VLOOKUP(A9, Eras!$B$2:$C$10, 2, FALSE)</f>
        <v>Late BR (1970-1995)</v>
      </c>
      <c r="C9">
        <f>COUNTIF(Table!$BV:$BV,CONCATENATE($A9,"_",C$1))</f>
        <v>0</v>
      </c>
      <c r="D9">
        <f>COUNTIF(Table!$BV:$BV,CONCATENATE($A9,"_",D$1))</f>
        <v>0</v>
      </c>
      <c r="E9">
        <f>COUNTIF(Table!$BV:$BV,CONCATENATE($A9,"_",E$1))</f>
        <v>1</v>
      </c>
      <c r="F9">
        <f>COUNTIF(Table!$BV:$BV,CONCATENATE($A9,"_",F$1))</f>
        <v>0</v>
      </c>
      <c r="G9">
        <f>COUNTIF(Table!$BV:$BV,CONCATENATE($A9,"_",G$1))</f>
        <v>0</v>
      </c>
      <c r="H9">
        <f>COUNTIF(Table!$BV:$BV,CONCATENATE($A9,"_",H$1))</f>
        <v>0</v>
      </c>
      <c r="I9">
        <f>COUNTIF(Table!$BV:$BV,CONCATENATE($A9,"_",I$1))</f>
        <v>1</v>
      </c>
      <c r="J9">
        <f>COUNTIF(Table!$BV:$BV,CONCATENATE($A9,"_",J$1))</f>
        <v>0</v>
      </c>
      <c r="K9">
        <f>COUNTIF(Table!$BV:$BV,CONCATENATE($A9,"_",K$1))</f>
        <v>0</v>
      </c>
      <c r="L9">
        <f>COUNTIF(Table!$BV:$BV,CONCATENATE($A9,"_",L$1))</f>
        <v>0</v>
      </c>
      <c r="M9">
        <f>COUNTIF(Table!$BV:$BV,CONCATENATE($A9,"_",M$1))</f>
        <v>0</v>
      </c>
      <c r="N9">
        <f>COUNTIF(Table!$BV:$BV,CONCATENATE($A9,"_",N$1))</f>
        <v>0</v>
      </c>
      <c r="O9">
        <f>COUNTIF(Table!$BV:$BV,CONCATENATE($A9,"_",O$1))</f>
        <v>0</v>
      </c>
      <c r="P9">
        <f>COUNTIF(Table!$BV:$BV,CONCATENATE($A9,"_",P$1))</f>
        <v>1</v>
      </c>
      <c r="Q9">
        <f>COUNTIF(Table!$BV:$BV,CONCATENATE($A9,"_",Q$1))</f>
        <v>2</v>
      </c>
      <c r="R9">
        <f>COUNTIF(Table!$BV:$BV,CONCATENATE($A9,"_",R$1))</f>
        <v>0</v>
      </c>
      <c r="S9">
        <f>COUNTIF(Table!$BV:$BV,CONCATENATE($A9,"_",S$1))</f>
        <v>0</v>
      </c>
      <c r="T9">
        <f>COUNTIF(Table!$BV:$BV,CONCATENATE($A9,"_",T$1))</f>
        <v>0</v>
      </c>
      <c r="U9">
        <f>COUNTIF(Table!$BV:$BV,CONCATENATE($A9,"_",U$1))</f>
        <v>0</v>
      </c>
      <c r="V9">
        <f>COUNTIF(Table!$BV:$BV,CONCATENATE($A9,"_",V$1))</f>
        <v>0</v>
      </c>
      <c r="W9">
        <f>COUNTIF(Table!$BV:$BV,CONCATENATE($A9,"_",W$1))</f>
        <v>0</v>
      </c>
    </row>
    <row r="10" spans="1:23" x14ac:dyDescent="0.25">
      <c r="A10" t="s">
        <v>56</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0</v>
      </c>
      <c r="H10">
        <f>COUNTIF(Table!$BV:$BV,CONCATENATE($A10,"_",H$1))</f>
        <v>0</v>
      </c>
      <c r="I10">
        <f>COUNTIF(Table!$BV:$BV,CONCATENATE($A10,"_",I$1))</f>
        <v>0</v>
      </c>
      <c r="J10">
        <f>COUNTIF(Table!$BV:$BV,CONCATENATE($A10,"_",J$1))</f>
        <v>0</v>
      </c>
      <c r="K10">
        <f>COUNTIF(Table!$BV:$BV,CONCATENATE($A10,"_",K$1))</f>
        <v>0</v>
      </c>
      <c r="L10">
        <f>COUNTIF(Table!$BV:$BV,CONCATENATE($A10,"_",L$1))</f>
        <v>0</v>
      </c>
      <c r="M10">
        <f>COUNTIF(Table!$BV:$BV,CONCATENATE($A10,"_",M$1))</f>
        <v>0</v>
      </c>
      <c r="N10">
        <f>COUNTIF(Table!$BV:$BV,CONCATENATE($A10,"_",N$1))</f>
        <v>0</v>
      </c>
      <c r="O10">
        <f>COUNTIF(Table!$BV:$BV,CONCATENATE($A10,"_",O$1))</f>
        <v>0</v>
      </c>
      <c r="P10">
        <f>COUNTIF(Table!$BV:$BV,CONCATENATE($A10,"_",P$1))</f>
        <v>0</v>
      </c>
      <c r="Q10">
        <f>COUNTIF(Table!$BV:$BV,CONCATENATE($A10,"_",Q$1))</f>
        <v>0</v>
      </c>
      <c r="R10">
        <f>COUNTIF(Table!$BV:$BV,CONCATENATE($A10,"_",R$1))</f>
        <v>0</v>
      </c>
      <c r="S10">
        <f>COUNTIF(Table!$BV:$BV,CONCATENATE($A10,"_",S$1))</f>
        <v>0</v>
      </c>
      <c r="T10">
        <f>COUNTIF(Table!$BV:$BV,CONCATENATE($A10,"_",T$1))</f>
        <v>0</v>
      </c>
      <c r="U10">
        <f>COUNTIF(Table!$BV:$BV,CONCATENATE($A10,"_",U$1))</f>
        <v>0</v>
      </c>
      <c r="V10">
        <f>COUNTIF(Table!$BV:$BV,CONCATENATE($A10,"_",V$1))</f>
        <v>0</v>
      </c>
      <c r="W10">
        <f>COUNTIF(Table!$BV:$BV,CONCATENATE($A10,"_",W$1))</f>
        <v>0</v>
      </c>
    </row>
    <row r="11" spans="1:23" x14ac:dyDescent="0.25">
      <c r="A11" t="s">
        <v>57</v>
      </c>
      <c r="B11" t="str">
        <f>VLOOKUP(A11, Eras!$B$2:$C$10, 2, FALSE)</f>
        <v>Modern (2005-)</v>
      </c>
      <c r="C11">
        <f>COUNTIF(Table!$BV:$BV,CONCATENATE($A11,"_",C$1))</f>
        <v>0</v>
      </c>
      <c r="D11">
        <f>COUNTIF(Table!$BV:$BV,CONCATENATE($A11,"_",D$1))</f>
        <v>0</v>
      </c>
      <c r="E11">
        <f>COUNTIF(Table!$BV:$BV,CONCATENATE($A11,"_",E$1))</f>
        <v>0</v>
      </c>
      <c r="F11">
        <f>COUNTIF(Table!$BV:$BV,CONCATENATE($A11,"_",F$1))</f>
        <v>0</v>
      </c>
      <c r="G11">
        <f>COUNTIF(Table!$BV:$BV,CONCATENATE($A11,"_",G$1))</f>
        <v>0</v>
      </c>
      <c r="H11">
        <f>COUNTIF(Table!$BV:$BV,CONCATENATE($A11,"_",H$1))</f>
        <v>0</v>
      </c>
      <c r="I11">
        <f>COUNTIF(Table!$BV:$BV,CONCATENATE($A11,"_",I$1))</f>
        <v>0</v>
      </c>
      <c r="J11">
        <f>COUNTIF(Table!$BV:$BV,CONCATENATE($A11,"_",J$1))</f>
        <v>0</v>
      </c>
      <c r="K11">
        <f>COUNTIF(Table!$BV:$BV,CONCATENATE($A11,"_",K$1))</f>
        <v>0</v>
      </c>
      <c r="L11">
        <f>COUNTIF(Table!$BV:$BV,CONCATENATE($A11,"_",L$1))</f>
        <v>0</v>
      </c>
      <c r="M11">
        <f>COUNTIF(Table!$BV:$BV,CONCATENATE($A11,"_",M$1))</f>
        <v>0</v>
      </c>
      <c r="N11">
        <f>COUNTIF(Table!$BV:$BV,CONCATENATE($A11,"_",N$1))</f>
        <v>1</v>
      </c>
      <c r="O11">
        <f>COUNTIF(Table!$BV:$BV,CONCATENATE($A11,"_",O$1))</f>
        <v>0</v>
      </c>
      <c r="P11">
        <f>COUNTIF(Table!$BV:$BV,CONCATENATE($A11,"_",P$1))</f>
        <v>0</v>
      </c>
      <c r="Q11">
        <f>COUNTIF(Table!$BV:$BV,CONCATENATE($A11,"_",Q$1))</f>
        <v>0</v>
      </c>
      <c r="R11">
        <f>COUNTIF(Table!$BV:$BV,CONCATENATE($A11,"_",R$1))</f>
        <v>0</v>
      </c>
      <c r="S11">
        <f>COUNTIF(Table!$BV:$BV,CONCATENATE($A11,"_",S$1))</f>
        <v>0</v>
      </c>
      <c r="T11">
        <f>COUNTIF(Table!$BV:$BV,CONCATENATE($A11,"_",T$1))</f>
        <v>0</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v>0</v>
      </c>
      <c r="B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407</v>
      </c>
      <c r="C10" t="s">
        <v>407</v>
      </c>
      <c r="I10" t="s">
        <v>161</v>
      </c>
      <c r="J10">
        <v>1</v>
      </c>
      <c r="K10">
        <v>0.4</v>
      </c>
      <c r="M10" t="s">
        <v>360</v>
      </c>
      <c r="N10" t="str">
        <f t="shared" si="0"/>
        <v>{BLACK}Powered by: {GOLD}Steam</v>
      </c>
      <c r="O10" t="s">
        <v>188</v>
      </c>
    </row>
    <row r="11" spans="1:15" x14ac:dyDescent="0.25">
      <c r="A11">
        <v>11</v>
      </c>
      <c r="B11" t="s">
        <v>408</v>
      </c>
      <c r="C11" t="s">
        <v>408</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355</v>
      </c>
      <c r="J16">
        <v>0.85</v>
      </c>
      <c r="K16">
        <v>2.2999999999999998</v>
      </c>
      <c r="M16" t="s">
        <v>200</v>
      </c>
      <c r="N16" t="str">
        <f t="shared" si="0"/>
        <v>{BLACK}Powered by: {GOLD}Petrol</v>
      </c>
      <c r="O16" t="s">
        <v>143</v>
      </c>
    </row>
    <row r="17" spans="9:15" x14ac:dyDescent="0.25">
      <c r="I17" t="s">
        <v>400</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340</v>
      </c>
      <c r="N26" t="str">
        <f t="shared" si="0"/>
        <v>{BLACK}Powered by: {GOLD}Grass and hay</v>
      </c>
      <c r="O26" t="s">
        <v>219</v>
      </c>
    </row>
    <row r="27" spans="9:15" x14ac:dyDescent="0.25">
      <c r="M27" t="s">
        <v>341</v>
      </c>
      <c r="N27" t="str">
        <f t="shared" si="0"/>
        <v/>
      </c>
    </row>
    <row r="28" spans="9:15" x14ac:dyDescent="0.25">
      <c r="M28" t="s">
        <v>342</v>
      </c>
      <c r="N28" t="str">
        <f t="shared" si="0"/>
        <v>{BLACK}Powered by: {GOLD}Diesel</v>
      </c>
      <c r="O28" t="s">
        <v>187</v>
      </c>
    </row>
    <row r="29" spans="9:15" x14ac:dyDescent="0.25">
      <c r="M29" t="s">
        <v>359</v>
      </c>
      <c r="N29" t="str">
        <f t="shared" si="0"/>
        <v/>
      </c>
      <c r="O29" t="str">
        <f t="shared" si="0"/>
        <v/>
      </c>
    </row>
    <row r="30" spans="9:15" x14ac:dyDescent="0.25">
      <c r="M30" t="s">
        <v>398</v>
      </c>
      <c r="N30" t="str">
        <f t="shared" ref="N30:N31" si="1">IF(O30&lt;&gt;"", _xlfn.CONCAT("{BLACK}Powered by: {GOLD}",O30), "")</f>
        <v>{BLACK}Powered by: {GOLD}Gas Turbine</v>
      </c>
      <c r="O30" t="s">
        <v>399</v>
      </c>
    </row>
    <row r="31" spans="9:15" x14ac:dyDescent="0.25">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2023-09-02T16:43:04Z</dcterms:modified>
</cp:coreProperties>
</file>