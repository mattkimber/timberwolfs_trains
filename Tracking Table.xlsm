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29" codeName="{4470D2CD-2249-CD33-4A35-6F278624656F}"/>
  <workbookPr codeName="ThisWorkbook" defaultThemeVersion="166925"/>
  <mc:AlternateContent xmlns:mc="http://schemas.openxmlformats.org/markup-compatibility/2006">
    <mc:Choice Requires="x15">
      <x15ac:absPath xmlns:x15ac="http://schemas.microsoft.com/office/spreadsheetml/2010/11/ac" url="F:\Projects\timberwolfs_trains\"/>
    </mc:Choice>
  </mc:AlternateContent>
  <xr:revisionPtr revIDLastSave="0" documentId="13_ncr:1_{547CBC65-2EA6-4C09-92AF-5D8F4FEE8ADC}" xr6:coauthVersionLast="45" xr6:coauthVersionMax="45" xr10:uidLastSave="{00000000-0000-0000-0000-000000000000}"/>
  <bookViews>
    <workbookView xWindow="4665" yWindow="2370" windowWidth="22830" windowHeight="12885"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Table!$A$1:$BX$289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S88" i="1" l="1"/>
  <c r="Q88" i="1"/>
  <c r="Q92" i="1"/>
  <c r="S92" i="1" s="1"/>
  <c r="S91" i="1" l="1"/>
  <c r="Q91" i="1"/>
  <c r="AW91" i="1"/>
  <c r="BZ3" i="1" l="1"/>
  <c r="BZ4" i="1"/>
  <c r="BZ5" i="1"/>
  <c r="BZ6" i="1"/>
  <c r="BZ7" i="1"/>
  <c r="BZ8" i="1"/>
  <c r="BZ9" i="1"/>
  <c r="BZ10" i="1"/>
  <c r="BZ11" i="1"/>
  <c r="BZ12" i="1"/>
  <c r="BZ13" i="1"/>
  <c r="BZ14" i="1"/>
  <c r="BZ15" i="1"/>
  <c r="BZ16" i="1"/>
  <c r="BZ17" i="1"/>
  <c r="BZ18" i="1"/>
  <c r="BZ19" i="1"/>
  <c r="BZ20" i="1"/>
  <c r="BZ21" i="1"/>
  <c r="BZ22" i="1"/>
  <c r="BZ23" i="1"/>
  <c r="BZ24" i="1"/>
  <c r="BZ25" i="1"/>
  <c r="BZ26" i="1"/>
  <c r="BZ27" i="1"/>
  <c r="BZ28" i="1"/>
  <c r="BZ29" i="1"/>
  <c r="BZ30" i="1"/>
  <c r="BZ31" i="1"/>
  <c r="BZ32" i="1"/>
  <c r="BZ33" i="1"/>
  <c r="BZ34" i="1"/>
  <c r="BZ35" i="1"/>
  <c r="BZ36" i="1"/>
  <c r="BZ37" i="1"/>
  <c r="BZ38" i="1"/>
  <c r="BZ39" i="1"/>
  <c r="BZ40" i="1"/>
  <c r="BZ41" i="1"/>
  <c r="BZ42" i="1"/>
  <c r="BZ43" i="1"/>
  <c r="BZ44" i="1"/>
  <c r="BZ45" i="1"/>
  <c r="BZ46" i="1"/>
  <c r="BZ47" i="1"/>
  <c r="BZ48" i="1"/>
  <c r="BZ49" i="1"/>
  <c r="BZ50" i="1"/>
  <c r="BZ51" i="1"/>
  <c r="BZ52" i="1"/>
  <c r="BZ53" i="1"/>
  <c r="BZ54" i="1"/>
  <c r="BZ55" i="1"/>
  <c r="BZ56" i="1"/>
  <c r="BZ57" i="1"/>
  <c r="BZ58" i="1"/>
  <c r="BZ59" i="1"/>
  <c r="BZ60" i="1"/>
  <c r="BZ61" i="1"/>
  <c r="BZ62" i="1"/>
  <c r="BZ63" i="1"/>
  <c r="BZ64" i="1"/>
  <c r="BZ65" i="1"/>
  <c r="BZ66" i="1"/>
  <c r="BZ67" i="1"/>
  <c r="BZ68" i="1"/>
  <c r="BZ69" i="1"/>
  <c r="BZ70" i="1"/>
  <c r="BZ71" i="1"/>
  <c r="BZ72" i="1"/>
  <c r="BZ73" i="1"/>
  <c r="BZ74" i="1"/>
  <c r="BZ75" i="1"/>
  <c r="BZ76" i="1"/>
  <c r="BZ77" i="1"/>
  <c r="BZ78" i="1"/>
  <c r="BZ79" i="1"/>
  <c r="BZ80" i="1"/>
  <c r="BZ81" i="1"/>
  <c r="BZ82" i="1"/>
  <c r="BZ83" i="1"/>
  <c r="BZ84" i="1"/>
  <c r="BZ85" i="1"/>
  <c r="BZ86" i="1"/>
  <c r="BZ87" i="1"/>
  <c r="BZ88" i="1"/>
  <c r="BZ89" i="1"/>
  <c r="BZ90" i="1"/>
  <c r="BZ91" i="1"/>
  <c r="BZ92" i="1"/>
  <c r="BZ93" i="1"/>
  <c r="BZ94" i="1"/>
  <c r="BZ95" i="1"/>
  <c r="BZ96" i="1"/>
  <c r="BZ97" i="1"/>
  <c r="BZ98" i="1"/>
  <c r="BZ99" i="1"/>
  <c r="BZ100" i="1"/>
  <c r="BZ101" i="1"/>
  <c r="BZ102" i="1"/>
  <c r="BZ103" i="1"/>
  <c r="BZ104" i="1"/>
  <c r="BZ105" i="1"/>
  <c r="BZ106" i="1"/>
  <c r="BZ107" i="1"/>
  <c r="BZ108" i="1"/>
  <c r="BZ109" i="1"/>
  <c r="BZ110" i="1"/>
  <c r="BZ111" i="1"/>
  <c r="BZ112" i="1"/>
  <c r="BZ113" i="1"/>
  <c r="BZ114" i="1"/>
  <c r="BZ115" i="1"/>
  <c r="BZ116" i="1"/>
  <c r="BZ117" i="1"/>
  <c r="BZ118" i="1"/>
  <c r="BZ119" i="1"/>
  <c r="BZ120" i="1"/>
  <c r="BZ121" i="1"/>
  <c r="BZ122" i="1"/>
  <c r="BZ123" i="1"/>
  <c r="BZ124" i="1"/>
  <c r="BZ125" i="1"/>
  <c r="BZ126" i="1"/>
  <c r="BZ127" i="1"/>
  <c r="BZ128" i="1"/>
  <c r="BZ129" i="1"/>
  <c r="BZ130" i="1"/>
  <c r="BZ131" i="1"/>
  <c r="BZ132" i="1"/>
  <c r="BZ133" i="1"/>
  <c r="BZ134" i="1"/>
  <c r="BZ135" i="1"/>
  <c r="BZ136" i="1"/>
  <c r="BZ137" i="1"/>
  <c r="BZ138" i="1"/>
  <c r="BZ139" i="1"/>
  <c r="BZ140" i="1"/>
  <c r="BZ141" i="1"/>
  <c r="BZ142" i="1"/>
  <c r="BZ143" i="1"/>
  <c r="BZ144" i="1"/>
  <c r="BZ145" i="1"/>
  <c r="BZ146" i="1"/>
  <c r="BZ147" i="1"/>
  <c r="BZ148" i="1"/>
  <c r="BZ149" i="1"/>
  <c r="BZ150" i="1"/>
  <c r="BZ151" i="1"/>
  <c r="BZ152" i="1"/>
  <c r="BZ153" i="1"/>
  <c r="BZ154" i="1"/>
  <c r="BZ155" i="1"/>
  <c r="BZ156" i="1"/>
  <c r="BZ157" i="1"/>
  <c r="BZ158" i="1"/>
  <c r="BZ159" i="1"/>
  <c r="BZ160" i="1"/>
  <c r="BZ161" i="1"/>
  <c r="BZ162" i="1"/>
  <c r="BZ163" i="1"/>
  <c r="BZ164" i="1"/>
  <c r="BZ165" i="1"/>
  <c r="BZ166" i="1"/>
  <c r="BZ167" i="1"/>
  <c r="BZ168" i="1"/>
  <c r="BZ169" i="1"/>
  <c r="BZ170" i="1"/>
  <c r="BZ171" i="1"/>
  <c r="BZ172" i="1"/>
  <c r="BZ173" i="1"/>
  <c r="BZ174" i="1"/>
  <c r="BZ175" i="1"/>
  <c r="BZ176" i="1"/>
  <c r="BZ177" i="1"/>
  <c r="BZ178" i="1"/>
  <c r="BZ179" i="1"/>
  <c r="BZ180" i="1"/>
  <c r="BZ181" i="1"/>
  <c r="BZ182" i="1"/>
  <c r="BZ183" i="1"/>
  <c r="BZ184" i="1"/>
  <c r="BZ185" i="1"/>
  <c r="BZ186" i="1"/>
  <c r="BZ187" i="1"/>
  <c r="BZ188" i="1"/>
  <c r="BZ189" i="1"/>
  <c r="BZ190" i="1"/>
  <c r="BZ191" i="1"/>
  <c r="BZ192" i="1"/>
  <c r="BZ193" i="1"/>
  <c r="BZ194" i="1"/>
  <c r="BZ195" i="1"/>
  <c r="BZ196" i="1"/>
  <c r="BZ197" i="1"/>
  <c r="BZ198" i="1"/>
  <c r="BZ199" i="1"/>
  <c r="BZ200" i="1"/>
  <c r="BZ201" i="1"/>
  <c r="BZ202" i="1"/>
  <c r="BZ203" i="1"/>
  <c r="BZ204" i="1"/>
  <c r="BZ205" i="1"/>
  <c r="BZ206" i="1"/>
  <c r="BZ207" i="1"/>
  <c r="BZ208" i="1"/>
  <c r="BZ209" i="1"/>
  <c r="BZ210" i="1"/>
  <c r="BZ211" i="1"/>
  <c r="BZ212" i="1"/>
  <c r="BZ213" i="1"/>
  <c r="BZ214" i="1"/>
  <c r="BZ215" i="1"/>
  <c r="BZ216" i="1"/>
  <c r="BZ217" i="1"/>
  <c r="BZ218" i="1"/>
  <c r="BZ219" i="1"/>
  <c r="BZ220" i="1"/>
  <c r="BZ221" i="1"/>
  <c r="BZ222" i="1"/>
  <c r="BZ223" i="1"/>
  <c r="BZ224" i="1"/>
  <c r="BZ225" i="1"/>
  <c r="BZ226" i="1"/>
  <c r="BZ227" i="1"/>
  <c r="BZ228" i="1"/>
  <c r="BZ229" i="1"/>
  <c r="BZ230" i="1"/>
  <c r="BZ231" i="1"/>
  <c r="BZ232" i="1"/>
  <c r="BZ233" i="1"/>
  <c r="BZ234" i="1"/>
  <c r="BZ235" i="1"/>
  <c r="BZ236" i="1"/>
  <c r="BZ237" i="1"/>
  <c r="BZ238" i="1"/>
  <c r="BZ239" i="1"/>
  <c r="BZ240" i="1"/>
  <c r="BZ241" i="1"/>
  <c r="BZ242" i="1"/>
  <c r="BZ243" i="1"/>
  <c r="BZ244" i="1"/>
  <c r="BZ245" i="1"/>
  <c r="BZ246" i="1"/>
  <c r="BZ247" i="1"/>
  <c r="BZ248" i="1"/>
  <c r="BZ249" i="1"/>
  <c r="BZ250" i="1"/>
  <c r="BZ251" i="1"/>
  <c r="BZ252" i="1"/>
  <c r="BZ253" i="1"/>
  <c r="BZ254" i="1"/>
  <c r="BZ255" i="1"/>
  <c r="BZ256" i="1"/>
  <c r="BZ257" i="1"/>
  <c r="BZ258" i="1"/>
  <c r="BZ259" i="1"/>
  <c r="BZ260" i="1"/>
  <c r="BZ261" i="1"/>
  <c r="BZ262" i="1"/>
  <c r="BZ263" i="1"/>
  <c r="BZ264" i="1"/>
  <c r="BZ265" i="1"/>
  <c r="BZ266" i="1"/>
  <c r="BZ267" i="1"/>
  <c r="BZ268" i="1"/>
  <c r="BZ269" i="1"/>
  <c r="BZ270" i="1"/>
  <c r="BZ271" i="1"/>
  <c r="BZ272" i="1"/>
  <c r="BZ273" i="1"/>
  <c r="BZ274" i="1"/>
  <c r="BZ275" i="1"/>
  <c r="BZ276" i="1"/>
  <c r="BZ277" i="1"/>
  <c r="BZ278" i="1"/>
  <c r="BZ279" i="1"/>
  <c r="BZ280" i="1"/>
  <c r="BZ281" i="1"/>
  <c r="BZ282" i="1"/>
  <c r="BZ283" i="1"/>
  <c r="BZ284" i="1"/>
  <c r="BZ285" i="1"/>
  <c r="BZ286" i="1"/>
  <c r="BZ287" i="1"/>
  <c r="BZ288" i="1"/>
  <c r="BZ289" i="1"/>
  <c r="BZ290" i="1"/>
  <c r="BZ291" i="1"/>
  <c r="BZ292" i="1"/>
  <c r="BZ2" i="1"/>
  <c r="BY258" i="1"/>
  <c r="BW258" i="1"/>
  <c r="BU258" i="1"/>
  <c r="BV258" i="1" s="1"/>
  <c r="BR258" i="1"/>
  <c r="BT258" i="1" s="1"/>
  <c r="BC258" i="1"/>
  <c r="BB258" i="1"/>
  <c r="BA258" i="1"/>
  <c r="AZ258" i="1"/>
  <c r="AY258" i="1"/>
  <c r="AX258" i="1"/>
  <c r="AW258" i="1"/>
  <c r="AT258" i="1"/>
  <c r="AG258" i="1"/>
  <c r="AI258" i="1" s="1"/>
  <c r="X258" i="1"/>
  <c r="Q89" i="1"/>
  <c r="S89" i="1" s="1"/>
  <c r="BY71" i="1"/>
  <c r="BW71" i="1"/>
  <c r="BU71" i="1"/>
  <c r="BV71" i="1" s="1"/>
  <c r="BR71" i="1"/>
  <c r="BT71" i="1" s="1"/>
  <c r="BC71" i="1"/>
  <c r="BB71" i="1"/>
  <c r="BA71" i="1"/>
  <c r="AZ71" i="1"/>
  <c r="AY71" i="1"/>
  <c r="AX71" i="1"/>
  <c r="AW71" i="1"/>
  <c r="AT71" i="1"/>
  <c r="AG71" i="1"/>
  <c r="AI71" i="1" s="1"/>
  <c r="X71" i="1"/>
  <c r="BY70" i="1"/>
  <c r="BW70" i="1"/>
  <c r="BU70" i="1"/>
  <c r="BV70" i="1" s="1"/>
  <c r="BR70" i="1"/>
  <c r="BT70" i="1" s="1"/>
  <c r="BC70" i="1"/>
  <c r="BB70" i="1"/>
  <c r="BA70" i="1"/>
  <c r="AZ70" i="1"/>
  <c r="AY70" i="1"/>
  <c r="AX70" i="1"/>
  <c r="AW70" i="1"/>
  <c r="AT70" i="1"/>
  <c r="AG70" i="1"/>
  <c r="AI70" i="1" s="1"/>
  <c r="X70" i="1"/>
  <c r="BY90" i="1"/>
  <c r="BW90" i="1"/>
  <c r="BU90" i="1"/>
  <c r="BV90" i="1" s="1"/>
  <c r="BR90" i="1"/>
  <c r="BT90" i="1" s="1"/>
  <c r="BC90" i="1"/>
  <c r="BB90" i="1"/>
  <c r="BA90" i="1"/>
  <c r="AZ90" i="1"/>
  <c r="AY90" i="1"/>
  <c r="AX90" i="1"/>
  <c r="AW90" i="1"/>
  <c r="AT90" i="1"/>
  <c r="AG90" i="1"/>
  <c r="AF90" i="1" s="1"/>
  <c r="X90" i="1"/>
  <c r="Q90" i="1"/>
  <c r="S90" i="1" s="1"/>
  <c r="BY3" i="1"/>
  <c r="BW3" i="1"/>
  <c r="BU3" i="1"/>
  <c r="BV3" i="1" s="1"/>
  <c r="BR3" i="1"/>
  <c r="BT3" i="1" s="1"/>
  <c r="BC3" i="1"/>
  <c r="BB3" i="1"/>
  <c r="BA3" i="1"/>
  <c r="AZ3" i="1"/>
  <c r="AY3" i="1"/>
  <c r="AX3" i="1"/>
  <c r="AW3" i="1"/>
  <c r="AT3" i="1"/>
  <c r="AG3" i="1"/>
  <c r="AI3" i="1" s="1"/>
  <c r="X3" i="1"/>
  <c r="Q93" i="1"/>
  <c r="S93" i="1" s="1"/>
  <c r="Q95" i="1"/>
  <c r="AI90" i="1" l="1"/>
  <c r="BE258" i="1"/>
  <c r="BG258" i="1" s="1"/>
  <c r="BD258" i="1"/>
  <c r="BF258" i="1" s="1"/>
  <c r="AF258" i="1"/>
  <c r="BE71" i="1"/>
  <c r="BG71" i="1" s="1"/>
  <c r="BE70" i="1"/>
  <c r="BG70" i="1" s="1"/>
  <c r="AF70" i="1"/>
  <c r="AF71" i="1"/>
  <c r="BD70" i="1"/>
  <c r="BF70" i="1" s="1"/>
  <c r="BD71" i="1"/>
  <c r="BF71" i="1" s="1"/>
  <c r="BE90" i="1"/>
  <c r="BG90" i="1" s="1"/>
  <c r="BD90" i="1"/>
  <c r="BF90" i="1" s="1"/>
  <c r="BE3" i="1"/>
  <c r="BG3" i="1" s="1"/>
  <c r="AF3" i="1"/>
  <c r="BD3" i="1"/>
  <c r="BF3" i="1" s="1"/>
  <c r="S95" i="1"/>
  <c r="Q96" i="1"/>
  <c r="S96" i="1" s="1"/>
  <c r="BB292" i="1" l="1"/>
  <c r="AT292" i="1"/>
  <c r="AT277" i="1"/>
  <c r="AT278" i="1"/>
  <c r="AT279" i="1"/>
  <c r="AT280" i="1"/>
  <c r="AT281" i="1"/>
  <c r="AT282" i="1"/>
  <c r="AT283" i="1"/>
  <c r="AT284" i="1"/>
  <c r="AT285" i="1"/>
  <c r="AT286" i="1"/>
  <c r="AT287" i="1"/>
  <c r="AT288" i="1"/>
  <c r="AT289" i="1"/>
  <c r="AT290" i="1"/>
  <c r="AT291" i="1"/>
  <c r="V292" i="1"/>
  <c r="N18" i="2"/>
  <c r="AG292" i="1"/>
  <c r="AF292" i="1" s="1"/>
  <c r="AW292" i="1"/>
  <c r="AX292" i="1"/>
  <c r="AY292" i="1"/>
  <c r="AZ292" i="1"/>
  <c r="BA292" i="1"/>
  <c r="BC292" i="1"/>
  <c r="BR292" i="1"/>
  <c r="BT292" i="1" s="1"/>
  <c r="BU292" i="1"/>
  <c r="BV292" i="1" s="1"/>
  <c r="X292" i="1"/>
  <c r="V157" i="1"/>
  <c r="AI292" i="1" l="1"/>
  <c r="BD292" i="1"/>
  <c r="BF292" i="1" s="1"/>
  <c r="BE292" i="1"/>
  <c r="BG292" i="1" s="1"/>
  <c r="AZ275" i="1"/>
  <c r="AZ264" i="1"/>
  <c r="AZ4" i="1"/>
  <c r="AZ5" i="1"/>
  <c r="AZ6" i="1"/>
  <c r="AZ7" i="1"/>
  <c r="AZ8" i="1"/>
  <c r="AZ9" i="1"/>
  <c r="AZ10" i="1"/>
  <c r="AZ11" i="1"/>
  <c r="AZ12" i="1"/>
  <c r="AZ13" i="1"/>
  <c r="AZ14" i="1"/>
  <c r="AZ15" i="1"/>
  <c r="AZ16" i="1"/>
  <c r="AZ17" i="1"/>
  <c r="AZ18" i="1"/>
  <c r="AZ21" i="1"/>
  <c r="AZ22" i="1"/>
  <c r="AZ23" i="1"/>
  <c r="AZ24" i="1"/>
  <c r="AZ25" i="1"/>
  <c r="AZ26" i="1"/>
  <c r="AZ27" i="1"/>
  <c r="AZ28" i="1"/>
  <c r="AZ29" i="1"/>
  <c r="AZ30" i="1"/>
  <c r="AZ31" i="1"/>
  <c r="AZ32" i="1"/>
  <c r="AZ33" i="1"/>
  <c r="AZ34" i="1"/>
  <c r="AZ35" i="1"/>
  <c r="AZ36" i="1"/>
  <c r="AZ37" i="1"/>
  <c r="AZ38" i="1"/>
  <c r="AZ39" i="1"/>
  <c r="AZ40" i="1"/>
  <c r="AZ41" i="1"/>
  <c r="AZ42" i="1"/>
  <c r="AZ43" i="1"/>
  <c r="AZ44" i="1"/>
  <c r="AZ45" i="1"/>
  <c r="AZ46" i="1"/>
  <c r="AZ47" i="1"/>
  <c r="AZ48" i="1"/>
  <c r="AZ49" i="1"/>
  <c r="AZ50" i="1"/>
  <c r="AZ51" i="1"/>
  <c r="AZ52" i="1"/>
  <c r="AZ53" i="1"/>
  <c r="AZ54" i="1"/>
  <c r="AZ55" i="1"/>
  <c r="AZ56" i="1"/>
  <c r="AZ57" i="1"/>
  <c r="AZ58" i="1"/>
  <c r="AZ59" i="1"/>
  <c r="AZ60" i="1"/>
  <c r="AZ61" i="1"/>
  <c r="AZ62" i="1"/>
  <c r="AZ63" i="1"/>
  <c r="AZ64" i="1"/>
  <c r="AZ65" i="1"/>
  <c r="AZ66" i="1"/>
  <c r="AZ67" i="1"/>
  <c r="AZ68" i="1"/>
  <c r="AZ69" i="1"/>
  <c r="AZ72" i="1"/>
  <c r="AZ73" i="1"/>
  <c r="AZ74" i="1"/>
  <c r="AZ75" i="1"/>
  <c r="AZ76" i="1"/>
  <c r="AZ77" i="1"/>
  <c r="AZ78" i="1"/>
  <c r="AZ79" i="1"/>
  <c r="AZ80" i="1"/>
  <c r="AZ81" i="1"/>
  <c r="AZ82" i="1"/>
  <c r="AZ83" i="1"/>
  <c r="AZ84" i="1"/>
  <c r="AZ85" i="1"/>
  <c r="AZ86" i="1"/>
  <c r="AZ87" i="1"/>
  <c r="AZ88" i="1"/>
  <c r="AZ89" i="1"/>
  <c r="AZ91" i="1"/>
  <c r="AZ92" i="1"/>
  <c r="AZ93" i="1"/>
  <c r="AZ94" i="1"/>
  <c r="AZ95" i="1"/>
  <c r="AZ96" i="1"/>
  <c r="AZ97" i="1"/>
  <c r="AZ98" i="1"/>
  <c r="AZ99" i="1"/>
  <c r="AZ100" i="1"/>
  <c r="AZ101" i="1"/>
  <c r="AZ102" i="1"/>
  <c r="AZ103" i="1"/>
  <c r="AZ104" i="1"/>
  <c r="AZ105" i="1"/>
  <c r="AZ106" i="1"/>
  <c r="AZ107" i="1"/>
  <c r="AZ108" i="1"/>
  <c r="AZ109" i="1"/>
  <c r="AZ110" i="1"/>
  <c r="AZ111" i="1"/>
  <c r="AZ112" i="1"/>
  <c r="AZ113" i="1"/>
  <c r="AZ114" i="1"/>
  <c r="AZ115" i="1"/>
  <c r="AZ116" i="1"/>
  <c r="AZ117" i="1"/>
  <c r="AZ118" i="1"/>
  <c r="AZ119" i="1"/>
  <c r="AZ120" i="1"/>
  <c r="AZ121" i="1"/>
  <c r="AZ122" i="1"/>
  <c r="AZ123" i="1"/>
  <c r="AZ124" i="1"/>
  <c r="AZ125" i="1"/>
  <c r="AZ126" i="1"/>
  <c r="AZ127" i="1"/>
  <c r="AZ128" i="1"/>
  <c r="AZ129" i="1"/>
  <c r="AZ130" i="1"/>
  <c r="AZ131" i="1"/>
  <c r="AZ132" i="1"/>
  <c r="AZ133" i="1"/>
  <c r="AZ134" i="1"/>
  <c r="AZ135" i="1"/>
  <c r="AZ136" i="1"/>
  <c r="AZ137" i="1"/>
  <c r="AZ138" i="1"/>
  <c r="AZ139" i="1"/>
  <c r="AZ140" i="1"/>
  <c r="AZ141" i="1"/>
  <c r="AZ142" i="1"/>
  <c r="AZ143" i="1"/>
  <c r="AZ144" i="1"/>
  <c r="AZ145" i="1"/>
  <c r="AZ146" i="1"/>
  <c r="AZ147" i="1"/>
  <c r="AZ148" i="1"/>
  <c r="AZ149" i="1"/>
  <c r="AZ150" i="1"/>
  <c r="AZ151" i="1"/>
  <c r="AZ152" i="1"/>
  <c r="AZ153" i="1"/>
  <c r="AZ154" i="1"/>
  <c r="AZ155" i="1"/>
  <c r="AZ156" i="1"/>
  <c r="AZ157" i="1"/>
  <c r="AZ158" i="1"/>
  <c r="AZ159" i="1"/>
  <c r="AZ160" i="1"/>
  <c r="AZ161" i="1"/>
  <c r="AZ162" i="1"/>
  <c r="AZ163" i="1"/>
  <c r="AZ164" i="1"/>
  <c r="AZ165" i="1"/>
  <c r="AZ166" i="1"/>
  <c r="AZ167" i="1"/>
  <c r="AZ168" i="1"/>
  <c r="AZ169" i="1"/>
  <c r="AZ170" i="1"/>
  <c r="AZ171" i="1"/>
  <c r="AZ172" i="1"/>
  <c r="AZ173" i="1"/>
  <c r="AZ174" i="1"/>
  <c r="AZ175" i="1"/>
  <c r="AZ176" i="1"/>
  <c r="AZ177" i="1"/>
  <c r="AZ178" i="1"/>
  <c r="AZ179" i="1"/>
  <c r="AZ180" i="1"/>
  <c r="AZ181" i="1"/>
  <c r="AZ182" i="1"/>
  <c r="AZ183" i="1"/>
  <c r="AZ184" i="1"/>
  <c r="AZ185" i="1"/>
  <c r="AZ186" i="1"/>
  <c r="AZ187" i="1"/>
  <c r="AZ188" i="1"/>
  <c r="AZ189" i="1"/>
  <c r="AZ190" i="1"/>
  <c r="AZ191" i="1"/>
  <c r="AZ192" i="1"/>
  <c r="AZ193" i="1"/>
  <c r="AZ194" i="1"/>
  <c r="AZ195" i="1"/>
  <c r="AZ196" i="1"/>
  <c r="AZ197" i="1"/>
  <c r="AZ198" i="1"/>
  <c r="AZ199" i="1"/>
  <c r="AZ200" i="1"/>
  <c r="AZ201" i="1"/>
  <c r="AZ202" i="1"/>
  <c r="AZ203" i="1"/>
  <c r="AZ204" i="1"/>
  <c r="AZ205" i="1"/>
  <c r="AZ206" i="1"/>
  <c r="AZ207" i="1"/>
  <c r="AZ208" i="1"/>
  <c r="AZ209" i="1"/>
  <c r="AZ210" i="1"/>
  <c r="AZ211" i="1"/>
  <c r="AZ212" i="1"/>
  <c r="AZ213" i="1"/>
  <c r="AZ214" i="1"/>
  <c r="AZ215" i="1"/>
  <c r="AZ216" i="1"/>
  <c r="AZ217" i="1"/>
  <c r="AZ218" i="1"/>
  <c r="AZ219" i="1"/>
  <c r="AZ220" i="1"/>
  <c r="AZ221" i="1"/>
  <c r="AZ222" i="1"/>
  <c r="AZ223" i="1"/>
  <c r="AZ224" i="1"/>
  <c r="AZ225" i="1"/>
  <c r="AZ226" i="1"/>
  <c r="AZ227" i="1"/>
  <c r="AZ228" i="1"/>
  <c r="AZ229" i="1"/>
  <c r="AZ230" i="1"/>
  <c r="AZ231" i="1"/>
  <c r="AZ232" i="1"/>
  <c r="AZ233" i="1"/>
  <c r="AZ234" i="1"/>
  <c r="AZ235" i="1"/>
  <c r="AZ236" i="1"/>
  <c r="AZ237" i="1"/>
  <c r="AZ238" i="1"/>
  <c r="AZ239" i="1"/>
  <c r="AZ240" i="1"/>
  <c r="AZ241" i="1"/>
  <c r="AZ242" i="1"/>
  <c r="AZ243" i="1"/>
  <c r="AZ244" i="1"/>
  <c r="AZ245" i="1"/>
  <c r="AZ246" i="1"/>
  <c r="AZ247" i="1"/>
  <c r="AZ248" i="1"/>
  <c r="AZ249" i="1"/>
  <c r="AZ250" i="1"/>
  <c r="AZ251" i="1"/>
  <c r="AZ252" i="1"/>
  <c r="AZ253" i="1"/>
  <c r="AZ254" i="1"/>
  <c r="AZ255" i="1"/>
  <c r="AZ256" i="1"/>
  <c r="AZ257" i="1"/>
  <c r="AZ19" i="1"/>
  <c r="AZ20" i="1"/>
  <c r="AZ259" i="1"/>
  <c r="AZ260" i="1"/>
  <c r="AZ261" i="1"/>
  <c r="AZ262" i="1"/>
  <c r="AZ263" i="1"/>
  <c r="AZ265" i="1"/>
  <c r="AZ266" i="1"/>
  <c r="AZ267" i="1"/>
  <c r="AZ268" i="1"/>
  <c r="AZ269" i="1"/>
  <c r="AZ270" i="1"/>
  <c r="AZ271" i="1"/>
  <c r="AZ272" i="1"/>
  <c r="AZ273" i="1"/>
  <c r="AZ274" i="1"/>
  <c r="AZ276" i="1"/>
  <c r="AZ277" i="1"/>
  <c r="AZ278" i="1"/>
  <c r="AZ279" i="1"/>
  <c r="AZ280" i="1"/>
  <c r="AZ281" i="1"/>
  <c r="AZ282" i="1"/>
  <c r="AZ283" i="1"/>
  <c r="AZ284" i="1"/>
  <c r="AZ285" i="1"/>
  <c r="AZ286" i="1"/>
  <c r="AZ287" i="1"/>
  <c r="AZ288" i="1"/>
  <c r="AZ289" i="1"/>
  <c r="AZ290" i="1"/>
  <c r="AZ291" i="1"/>
  <c r="AZ2" i="1"/>
  <c r="BY249" i="1" l="1"/>
  <c r="BW249" i="1"/>
  <c r="BU249" i="1"/>
  <c r="BV249" i="1" s="1"/>
  <c r="BR249" i="1"/>
  <c r="BT249" i="1" s="1"/>
  <c r="BC249" i="1"/>
  <c r="BB249" i="1"/>
  <c r="BA249" i="1"/>
  <c r="AY249" i="1"/>
  <c r="AW249" i="1"/>
  <c r="AT249" i="1"/>
  <c r="AG249" i="1"/>
  <c r="AF249" i="1" s="1"/>
  <c r="X249" i="1"/>
  <c r="V249" i="1"/>
  <c r="K249" i="1"/>
  <c r="AX249" i="1" s="1"/>
  <c r="BU236" i="1"/>
  <c r="BR236" i="1"/>
  <c r="BT236" i="1" s="1"/>
  <c r="BC236" i="1"/>
  <c r="BB236" i="1"/>
  <c r="BA236" i="1"/>
  <c r="AY236" i="1"/>
  <c r="AW236" i="1"/>
  <c r="AT236" i="1"/>
  <c r="AG236" i="1"/>
  <c r="AI236" i="1" s="1"/>
  <c r="X236" i="1"/>
  <c r="V236" i="1"/>
  <c r="K236" i="1"/>
  <c r="AX236" i="1" s="1"/>
  <c r="BY252" i="1"/>
  <c r="BW252" i="1"/>
  <c r="BU252" i="1"/>
  <c r="BV252" i="1" s="1"/>
  <c r="BR252" i="1"/>
  <c r="BT252" i="1" s="1"/>
  <c r="BC252" i="1"/>
  <c r="BB252" i="1"/>
  <c r="BA252" i="1"/>
  <c r="AY252" i="1"/>
  <c r="AX252" i="1"/>
  <c r="AW252" i="1"/>
  <c r="AT252" i="1"/>
  <c r="AG252" i="1"/>
  <c r="AF252" i="1" s="1"/>
  <c r="X252" i="1"/>
  <c r="V252" i="1"/>
  <c r="BY273" i="1"/>
  <c r="BW273" i="1"/>
  <c r="BU273" i="1"/>
  <c r="BV273" i="1" s="1"/>
  <c r="BR273" i="1"/>
  <c r="BT273" i="1" s="1"/>
  <c r="BC273" i="1"/>
  <c r="BB273" i="1"/>
  <c r="BA273" i="1"/>
  <c r="AY273" i="1"/>
  <c r="AX273" i="1"/>
  <c r="AW273" i="1"/>
  <c r="AT273" i="1"/>
  <c r="AG273" i="1"/>
  <c r="AF273" i="1" s="1"/>
  <c r="X273" i="1"/>
  <c r="V273" i="1"/>
  <c r="BY270" i="1"/>
  <c r="BW270" i="1"/>
  <c r="BU270" i="1"/>
  <c r="BV270" i="1" s="1"/>
  <c r="BR270" i="1"/>
  <c r="BT270" i="1" s="1"/>
  <c r="BC270" i="1"/>
  <c r="BB270" i="1"/>
  <c r="BA270" i="1"/>
  <c r="AY270" i="1"/>
  <c r="AX270" i="1"/>
  <c r="AW270" i="1"/>
  <c r="AT270" i="1"/>
  <c r="AG270" i="1"/>
  <c r="AF270" i="1" s="1"/>
  <c r="X270" i="1"/>
  <c r="V270" i="1"/>
  <c r="BY269" i="1"/>
  <c r="BW269" i="1"/>
  <c r="BU269" i="1"/>
  <c r="BV269" i="1" s="1"/>
  <c r="BR269" i="1"/>
  <c r="BT269" i="1" s="1"/>
  <c r="BC269" i="1"/>
  <c r="BB269" i="1"/>
  <c r="BA269" i="1"/>
  <c r="AY269" i="1"/>
  <c r="AX269" i="1"/>
  <c r="AW269" i="1"/>
  <c r="AT269" i="1"/>
  <c r="AG269" i="1"/>
  <c r="AF269" i="1" s="1"/>
  <c r="X269" i="1"/>
  <c r="V269" i="1"/>
  <c r="V274" i="1"/>
  <c r="V272" i="1"/>
  <c r="AF236" i="1" l="1"/>
  <c r="BE249" i="1"/>
  <c r="BE269" i="1"/>
  <c r="BE273" i="1"/>
  <c r="BG273" i="1" s="1"/>
  <c r="BE252" i="1"/>
  <c r="BG252" i="1" s="1"/>
  <c r="BE236" i="1"/>
  <c r="BG236" i="1" s="1"/>
  <c r="BE270" i="1"/>
  <c r="BG270" i="1" s="1"/>
  <c r="AI249" i="1"/>
  <c r="BD249" i="1"/>
  <c r="BF249" i="1" s="1"/>
  <c r="BG249" i="1"/>
  <c r="BD236" i="1"/>
  <c r="BF236" i="1" s="1"/>
  <c r="AI252" i="1"/>
  <c r="AI273" i="1"/>
  <c r="AI269" i="1"/>
  <c r="AI270" i="1"/>
  <c r="BD252" i="1"/>
  <c r="BF252" i="1" s="1"/>
  <c r="BD273" i="1"/>
  <c r="BF273" i="1" s="1"/>
  <c r="BD270" i="1"/>
  <c r="BF270" i="1" s="1"/>
  <c r="BG269" i="1"/>
  <c r="BD269" i="1"/>
  <c r="BF269" i="1" s="1"/>
  <c r="V271" i="1"/>
  <c r="V268" i="1"/>
  <c r="V255" i="1" l="1"/>
  <c r="K255" i="1"/>
  <c r="V248" i="1"/>
  <c r="V235" i="1"/>
  <c r="V232" i="1"/>
  <c r="V251" i="1"/>
  <c r="V254" i="1"/>
  <c r="K232" i="1" l="1"/>
  <c r="BC232" i="1" l="1"/>
  <c r="BB232" i="1"/>
  <c r="BA232" i="1"/>
  <c r="BC235" i="1"/>
  <c r="BB235" i="1"/>
  <c r="BA235" i="1"/>
  <c r="BU232" i="1"/>
  <c r="BR232" i="1"/>
  <c r="BT232" i="1" s="1"/>
  <c r="AY232" i="1"/>
  <c r="AW232" i="1"/>
  <c r="AT232" i="1"/>
  <c r="AG232" i="1"/>
  <c r="AF232" i="1" s="1"/>
  <c r="X232" i="1"/>
  <c r="AX232" i="1"/>
  <c r="BY274" i="1"/>
  <c r="BW274" i="1"/>
  <c r="BU274" i="1"/>
  <c r="BV274" i="1" s="1"/>
  <c r="BR274" i="1"/>
  <c r="BT274" i="1" s="1"/>
  <c r="BC274" i="1"/>
  <c r="BB274" i="1"/>
  <c r="BA274" i="1"/>
  <c r="AY274" i="1"/>
  <c r="AX274" i="1"/>
  <c r="AW274" i="1"/>
  <c r="AT274" i="1"/>
  <c r="AG274" i="1"/>
  <c r="AF274" i="1" s="1"/>
  <c r="X274" i="1"/>
  <c r="BY272" i="1"/>
  <c r="BW272" i="1"/>
  <c r="BU272" i="1"/>
  <c r="BV272" i="1" s="1"/>
  <c r="BR272" i="1"/>
  <c r="BT272" i="1" s="1"/>
  <c r="BC272" i="1"/>
  <c r="BB272" i="1"/>
  <c r="BA272" i="1"/>
  <c r="AY272" i="1"/>
  <c r="AX272" i="1"/>
  <c r="AW272" i="1"/>
  <c r="AT272" i="1"/>
  <c r="AG272" i="1"/>
  <c r="AF272" i="1" s="1"/>
  <c r="X272" i="1"/>
  <c r="BY271" i="1"/>
  <c r="BW271" i="1"/>
  <c r="BU271" i="1"/>
  <c r="BV271" i="1" s="1"/>
  <c r="BR271" i="1"/>
  <c r="BT271" i="1" s="1"/>
  <c r="BC271" i="1"/>
  <c r="BB271" i="1"/>
  <c r="BA271" i="1"/>
  <c r="AY271" i="1"/>
  <c r="AX271" i="1"/>
  <c r="AW271" i="1"/>
  <c r="AT271" i="1"/>
  <c r="AG271" i="1"/>
  <c r="AF271" i="1" s="1"/>
  <c r="X271" i="1"/>
  <c r="K235" i="1"/>
  <c r="AX235" i="1" s="1"/>
  <c r="X235" i="1"/>
  <c r="AG235" i="1"/>
  <c r="AF235" i="1" s="1"/>
  <c r="AT235" i="1"/>
  <c r="AW235" i="1"/>
  <c r="AY235" i="1"/>
  <c r="BR235" i="1"/>
  <c r="BT235" i="1" s="1"/>
  <c r="BU235" i="1"/>
  <c r="BE274" i="1" l="1"/>
  <c r="BG274" i="1" s="1"/>
  <c r="BE272" i="1"/>
  <c r="BG272" i="1" s="1"/>
  <c r="AI232" i="1"/>
  <c r="BE235" i="1"/>
  <c r="BG235" i="1" s="1"/>
  <c r="BE271" i="1"/>
  <c r="BG271" i="1" s="1"/>
  <c r="BE232" i="1"/>
  <c r="BG232" i="1" s="1"/>
  <c r="AI271" i="1"/>
  <c r="BD235" i="1"/>
  <c r="BF235" i="1" s="1"/>
  <c r="AI235" i="1"/>
  <c r="AI274" i="1"/>
  <c r="BD232" i="1"/>
  <c r="BF232" i="1" s="1"/>
  <c r="BD272" i="1"/>
  <c r="BF272" i="1" s="1"/>
  <c r="BD274" i="1"/>
  <c r="BF274" i="1" s="1"/>
  <c r="AI272" i="1"/>
  <c r="BD271" i="1"/>
  <c r="BF271" i="1" s="1"/>
  <c r="B50" i="6"/>
  <c r="B49" i="6"/>
  <c r="F46" i="6"/>
  <c r="F47" i="6" s="1"/>
  <c r="E46" i="6"/>
  <c r="E47" i="6" s="1"/>
  <c r="D46" i="6"/>
  <c r="D47" i="6" s="1"/>
  <c r="C46" i="6"/>
  <c r="C47" i="6" s="1"/>
  <c r="B46" i="6"/>
  <c r="B52" i="6" s="1"/>
  <c r="B47" i="6" l="1"/>
  <c r="B51" i="6" s="1"/>
  <c r="N17" i="2"/>
  <c r="B40" i="6" l="1"/>
  <c r="B28" i="6"/>
  <c r="B16" i="6"/>
  <c r="C34" i="6"/>
  <c r="C35" i="6" s="1"/>
  <c r="D34" i="6"/>
  <c r="E34" i="6"/>
  <c r="F34" i="6"/>
  <c r="C22" i="6"/>
  <c r="D22" i="6"/>
  <c r="E22" i="6"/>
  <c r="F22" i="6"/>
  <c r="G22" i="6"/>
  <c r="H22" i="6"/>
  <c r="I22" i="6"/>
  <c r="C10" i="6"/>
  <c r="D10" i="6"/>
  <c r="E10" i="6"/>
  <c r="F10" i="6"/>
  <c r="G10" i="6"/>
  <c r="H10" i="6"/>
  <c r="I10" i="6"/>
  <c r="J10" i="6"/>
  <c r="K10" i="6"/>
  <c r="L10" i="6"/>
  <c r="M10" i="6"/>
  <c r="N10" i="6"/>
  <c r="O10" i="6"/>
  <c r="P10" i="6"/>
  <c r="Q10" i="6"/>
  <c r="R10" i="6"/>
  <c r="S10" i="6"/>
  <c r="T10" i="6"/>
  <c r="U10" i="6"/>
  <c r="B38" i="6"/>
  <c r="B37" i="6"/>
  <c r="F35" i="6"/>
  <c r="E35" i="6"/>
  <c r="D35" i="6"/>
  <c r="B34" i="6"/>
  <c r="B35" i="6" s="1"/>
  <c r="BY243" i="1"/>
  <c r="BW243" i="1"/>
  <c r="BU243" i="1"/>
  <c r="BV243" i="1" s="1"/>
  <c r="BR243" i="1"/>
  <c r="BT243" i="1" s="1"/>
  <c r="BC243" i="1"/>
  <c r="BB243" i="1"/>
  <c r="BA243" i="1"/>
  <c r="AY243" i="1"/>
  <c r="AX243" i="1"/>
  <c r="AW243" i="1"/>
  <c r="AT243" i="1"/>
  <c r="AG243" i="1"/>
  <c r="AI243" i="1" s="1"/>
  <c r="X243" i="1"/>
  <c r="V243" i="1"/>
  <c r="BE243" i="1" l="1"/>
  <c r="BG243" i="1" s="1"/>
  <c r="B39" i="6"/>
  <c r="BD243" i="1"/>
  <c r="BF243" i="1" s="1"/>
  <c r="AF243" i="1"/>
  <c r="BR290" i="1"/>
  <c r="BT290" i="1" s="1"/>
  <c r="BR185" i="1"/>
  <c r="BT185" i="1" s="1"/>
  <c r="BR291" i="1"/>
  <c r="BT291" i="1" s="1"/>
  <c r="AW290" i="1"/>
  <c r="AX290" i="1"/>
  <c r="AY290" i="1"/>
  <c r="AW185" i="1"/>
  <c r="AX185" i="1"/>
  <c r="AY185" i="1"/>
  <c r="AW291" i="1"/>
  <c r="AX291" i="1"/>
  <c r="AY291" i="1"/>
  <c r="BU291" i="1"/>
  <c r="BV291" i="1" s="1"/>
  <c r="BC290" i="1"/>
  <c r="BC185" i="1"/>
  <c r="BC291" i="1"/>
  <c r="BB290" i="1"/>
  <c r="BB185" i="1"/>
  <c r="BB291" i="1"/>
  <c r="AT185" i="1"/>
  <c r="AG290" i="1"/>
  <c r="AF290" i="1" s="1"/>
  <c r="AG185" i="1"/>
  <c r="AF185" i="1" s="1"/>
  <c r="AG291" i="1"/>
  <c r="AF291" i="1" s="1"/>
  <c r="X277" i="1"/>
  <c r="X278" i="1"/>
  <c r="X279" i="1"/>
  <c r="X280" i="1"/>
  <c r="X281" i="1"/>
  <c r="X282" i="1"/>
  <c r="X283" i="1"/>
  <c r="X284" i="1"/>
  <c r="X285" i="1"/>
  <c r="X286" i="1"/>
  <c r="X287" i="1"/>
  <c r="X288" i="1"/>
  <c r="X289" i="1"/>
  <c r="X290" i="1"/>
  <c r="X185" i="1"/>
  <c r="X291" i="1"/>
  <c r="AI290" i="1" l="1"/>
  <c r="AI185" i="1"/>
  <c r="AI291" i="1"/>
  <c r="N13" i="2"/>
  <c r="N14" i="2"/>
  <c r="N15" i="2"/>
  <c r="N16" i="2"/>
  <c r="N3" i="2"/>
  <c r="N4" i="2"/>
  <c r="N5" i="2"/>
  <c r="N6" i="2"/>
  <c r="N7" i="2"/>
  <c r="N8" i="2"/>
  <c r="N9" i="2"/>
  <c r="N10" i="2"/>
  <c r="N11" i="2"/>
  <c r="N12" i="2"/>
  <c r="N2" i="2"/>
  <c r="BW4" i="1"/>
  <c r="BW5" i="1"/>
  <c r="BW6" i="1"/>
  <c r="BW7" i="1"/>
  <c r="BW8" i="1"/>
  <c r="BW9" i="1"/>
  <c r="BW10" i="1"/>
  <c r="BW11" i="1"/>
  <c r="BW12" i="1"/>
  <c r="BW13" i="1"/>
  <c r="BW14" i="1"/>
  <c r="BW15" i="1"/>
  <c r="BW16" i="1"/>
  <c r="BW17" i="1"/>
  <c r="BW18"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2" i="1"/>
  <c r="BW73" i="1"/>
  <c r="BW74" i="1"/>
  <c r="BW75" i="1"/>
  <c r="BW76" i="1"/>
  <c r="BW77" i="1"/>
  <c r="BW78" i="1"/>
  <c r="BW79" i="1"/>
  <c r="BW80" i="1"/>
  <c r="BW81" i="1"/>
  <c r="BW82" i="1"/>
  <c r="BW83" i="1"/>
  <c r="BW84" i="1"/>
  <c r="BW85" i="1"/>
  <c r="BW86" i="1"/>
  <c r="BW87" i="1"/>
  <c r="BW88" i="1"/>
  <c r="BW89" i="1"/>
  <c r="BW91" i="1"/>
  <c r="BW92" i="1"/>
  <c r="BW93" i="1"/>
  <c r="BW94" i="1"/>
  <c r="BW95" i="1"/>
  <c r="BW96" i="1"/>
  <c r="BW97" i="1"/>
  <c r="BW98" i="1"/>
  <c r="BW99" i="1"/>
  <c r="BW100" i="1"/>
  <c r="BW101" i="1"/>
  <c r="BW102" i="1"/>
  <c r="BW103" i="1"/>
  <c r="BW104" i="1"/>
  <c r="BW105" i="1"/>
  <c r="BW106" i="1"/>
  <c r="BW108" i="1"/>
  <c r="BW110" i="1"/>
  <c r="BW107" i="1"/>
  <c r="BW109" i="1"/>
  <c r="BW112" i="1"/>
  <c r="BW114" i="1"/>
  <c r="BW116" i="1"/>
  <c r="BW118" i="1"/>
  <c r="BW120" i="1"/>
  <c r="BW111" i="1"/>
  <c r="BW113" i="1"/>
  <c r="BW115" i="1"/>
  <c r="BW117" i="1"/>
  <c r="BW119"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3" i="1"/>
  <c r="BW234" i="1"/>
  <c r="BW237" i="1"/>
  <c r="BW238" i="1"/>
  <c r="BW239" i="1"/>
  <c r="BW240" i="1"/>
  <c r="BW241" i="1"/>
  <c r="BW242" i="1"/>
  <c r="BW244" i="1"/>
  <c r="BW245" i="1"/>
  <c r="BW253" i="1"/>
  <c r="BW246" i="1"/>
  <c r="BW247" i="1"/>
  <c r="BW248" i="1"/>
  <c r="BW250" i="1"/>
  <c r="BW256" i="1"/>
  <c r="BW257" i="1"/>
  <c r="BW19" i="1"/>
  <c r="BW20" i="1"/>
  <c r="BW259" i="1"/>
  <c r="BW260" i="1"/>
  <c r="BW261" i="1"/>
  <c r="BW262" i="1"/>
  <c r="BW263" i="1"/>
  <c r="BW264" i="1"/>
  <c r="BW265" i="1"/>
  <c r="BW266" i="1"/>
  <c r="BW267" i="1"/>
  <c r="BW254" i="1"/>
  <c r="BW251" i="1"/>
  <c r="BW255" i="1"/>
  <c r="BW268" i="1"/>
  <c r="BW275" i="1"/>
  <c r="BW276" i="1"/>
  <c r="BW277" i="1"/>
  <c r="BW278" i="1"/>
  <c r="BW279" i="1"/>
  <c r="BW280" i="1"/>
  <c r="BW281" i="1"/>
  <c r="BW282" i="1"/>
  <c r="BW283" i="1"/>
  <c r="BW284" i="1"/>
  <c r="BW285" i="1"/>
  <c r="BW286" i="1"/>
  <c r="BW287" i="1"/>
  <c r="BW288" i="1"/>
  <c r="BW289" i="1"/>
  <c r="BW290" i="1"/>
  <c r="BW185" i="1"/>
  <c r="BW2" i="1"/>
  <c r="BU4" i="1"/>
  <c r="BU5" i="1"/>
  <c r="BU6" i="1"/>
  <c r="BU7" i="1"/>
  <c r="BU8" i="1"/>
  <c r="BU9" i="1"/>
  <c r="BU10" i="1"/>
  <c r="BU11" i="1"/>
  <c r="BV11" i="1" s="1"/>
  <c r="BU12" i="1"/>
  <c r="BU13" i="1"/>
  <c r="BU14" i="1"/>
  <c r="BU15" i="1"/>
  <c r="BU16" i="1"/>
  <c r="BU17" i="1"/>
  <c r="BU18" i="1"/>
  <c r="BU21" i="1"/>
  <c r="BV21" i="1" s="1"/>
  <c r="BU22" i="1"/>
  <c r="BV22" i="1" s="1"/>
  <c r="BU23" i="1"/>
  <c r="BV23" i="1" s="1"/>
  <c r="BU24" i="1"/>
  <c r="BV24" i="1" s="1"/>
  <c r="BU25" i="1"/>
  <c r="BV25" i="1" s="1"/>
  <c r="BU26" i="1"/>
  <c r="BV26" i="1" s="1"/>
  <c r="BU27" i="1"/>
  <c r="BV27" i="1" s="1"/>
  <c r="BU28" i="1"/>
  <c r="BV28" i="1" s="1"/>
  <c r="BU29" i="1"/>
  <c r="BV29" i="1" s="1"/>
  <c r="BU30" i="1"/>
  <c r="BU31" i="1"/>
  <c r="BU32" i="1"/>
  <c r="BU33" i="1"/>
  <c r="BU34" i="1"/>
  <c r="BU35" i="1"/>
  <c r="BV35" i="1" s="1"/>
  <c r="BU36" i="1"/>
  <c r="BU37" i="1"/>
  <c r="BU38" i="1"/>
  <c r="BU39" i="1"/>
  <c r="BU40" i="1"/>
  <c r="BU41" i="1"/>
  <c r="BU42" i="1"/>
  <c r="BU43" i="1"/>
  <c r="BV43" i="1" s="1"/>
  <c r="BU44" i="1"/>
  <c r="BU45" i="1"/>
  <c r="BU46" i="1"/>
  <c r="BU47" i="1"/>
  <c r="BU48" i="1"/>
  <c r="BU49" i="1"/>
  <c r="BU50" i="1"/>
  <c r="BU51" i="1"/>
  <c r="BV51" i="1" s="1"/>
  <c r="BU52" i="1"/>
  <c r="BU53" i="1"/>
  <c r="BU54" i="1"/>
  <c r="BU55" i="1"/>
  <c r="BU56" i="1"/>
  <c r="BU57" i="1"/>
  <c r="BU58" i="1"/>
  <c r="BU59" i="1"/>
  <c r="BV59" i="1" s="1"/>
  <c r="BU60" i="1"/>
  <c r="BU61" i="1"/>
  <c r="BU62" i="1"/>
  <c r="BU63" i="1"/>
  <c r="BU64" i="1"/>
  <c r="BU65" i="1"/>
  <c r="BU66" i="1"/>
  <c r="BU67" i="1"/>
  <c r="BV67" i="1" s="1"/>
  <c r="BU68" i="1"/>
  <c r="BU69" i="1"/>
  <c r="BU72" i="1"/>
  <c r="BV72" i="1" s="1"/>
  <c r="BU73" i="1"/>
  <c r="BV73" i="1" s="1"/>
  <c r="BU74" i="1"/>
  <c r="BV74" i="1" s="1"/>
  <c r="BU75" i="1"/>
  <c r="BV75" i="1" s="1"/>
  <c r="BU76" i="1"/>
  <c r="BU77" i="1"/>
  <c r="BU78" i="1"/>
  <c r="BV78" i="1" s="1"/>
  <c r="BU79" i="1"/>
  <c r="BV79" i="1" s="1"/>
  <c r="BU80" i="1"/>
  <c r="BV80" i="1" s="1"/>
  <c r="BU81" i="1"/>
  <c r="BV81" i="1" s="1"/>
  <c r="BU82" i="1"/>
  <c r="BV82" i="1" s="1"/>
  <c r="BU83" i="1"/>
  <c r="BV83" i="1" s="1"/>
  <c r="BU84" i="1"/>
  <c r="BV84" i="1" s="1"/>
  <c r="BU85" i="1"/>
  <c r="BV85" i="1" s="1"/>
  <c r="BU86" i="1"/>
  <c r="BV86" i="1" s="1"/>
  <c r="BU87" i="1"/>
  <c r="BV87" i="1" s="1"/>
  <c r="BU88" i="1"/>
  <c r="BV88" i="1" s="1"/>
  <c r="BU89" i="1"/>
  <c r="BV89" i="1" s="1"/>
  <c r="BU91" i="1"/>
  <c r="BV91" i="1" s="1"/>
  <c r="BU92" i="1"/>
  <c r="BV92" i="1" s="1"/>
  <c r="BU93" i="1"/>
  <c r="BV93" i="1" s="1"/>
  <c r="BU94" i="1"/>
  <c r="BV94" i="1" s="1"/>
  <c r="BU95" i="1"/>
  <c r="BV95" i="1" s="1"/>
  <c r="BU96" i="1"/>
  <c r="BV96" i="1" s="1"/>
  <c r="BU97" i="1"/>
  <c r="BV97" i="1" s="1"/>
  <c r="BU98" i="1"/>
  <c r="BV98" i="1" s="1"/>
  <c r="BU99" i="1"/>
  <c r="BV99" i="1" s="1"/>
  <c r="BU100" i="1"/>
  <c r="BV100" i="1" s="1"/>
  <c r="BU101" i="1"/>
  <c r="BV101" i="1" s="1"/>
  <c r="BU102" i="1"/>
  <c r="BV102" i="1" s="1"/>
  <c r="BU103" i="1"/>
  <c r="BV103" i="1" s="1"/>
  <c r="BU104" i="1"/>
  <c r="BV104" i="1" s="1"/>
  <c r="BU105" i="1"/>
  <c r="BV105" i="1" s="1"/>
  <c r="BU106" i="1"/>
  <c r="BV106" i="1" s="1"/>
  <c r="BU108" i="1"/>
  <c r="BV108" i="1" s="1"/>
  <c r="BU110" i="1"/>
  <c r="BV110" i="1" s="1"/>
  <c r="BU107" i="1"/>
  <c r="BV107" i="1" s="1"/>
  <c r="BU109" i="1"/>
  <c r="BV109" i="1" s="1"/>
  <c r="BU112" i="1"/>
  <c r="BV112" i="1" s="1"/>
  <c r="BU114" i="1"/>
  <c r="BV114" i="1" s="1"/>
  <c r="BU116" i="1"/>
  <c r="BV116" i="1" s="1"/>
  <c r="BU118" i="1"/>
  <c r="BV118" i="1" s="1"/>
  <c r="BU120" i="1"/>
  <c r="BV120" i="1" s="1"/>
  <c r="BU111" i="1"/>
  <c r="BV111" i="1" s="1"/>
  <c r="BU113" i="1"/>
  <c r="BV113" i="1" s="1"/>
  <c r="BU115" i="1"/>
  <c r="BV115" i="1" s="1"/>
  <c r="BU117" i="1"/>
  <c r="BV117" i="1" s="1"/>
  <c r="BU119" i="1"/>
  <c r="BV119" i="1" s="1"/>
  <c r="BU121" i="1"/>
  <c r="BV121" i="1" s="1"/>
  <c r="BU122" i="1"/>
  <c r="BV122" i="1" s="1"/>
  <c r="BU123" i="1"/>
  <c r="BV123" i="1" s="1"/>
  <c r="BU124" i="1"/>
  <c r="BV124" i="1" s="1"/>
  <c r="BU125" i="1"/>
  <c r="BV125" i="1" s="1"/>
  <c r="BU126" i="1"/>
  <c r="BV126" i="1" s="1"/>
  <c r="BU127" i="1"/>
  <c r="BV127" i="1" s="1"/>
  <c r="BU128" i="1"/>
  <c r="BV128" i="1" s="1"/>
  <c r="BU129" i="1"/>
  <c r="BV129" i="1" s="1"/>
  <c r="BU130" i="1"/>
  <c r="BV130" i="1" s="1"/>
  <c r="BU131" i="1"/>
  <c r="BV131" i="1" s="1"/>
  <c r="BU132" i="1"/>
  <c r="BV132" i="1" s="1"/>
  <c r="BU133" i="1"/>
  <c r="BV133" i="1" s="1"/>
  <c r="BU134" i="1"/>
  <c r="BV134" i="1" s="1"/>
  <c r="BU135" i="1"/>
  <c r="BV135" i="1" s="1"/>
  <c r="BU136" i="1"/>
  <c r="BV136" i="1" s="1"/>
  <c r="BU137" i="1"/>
  <c r="BV137" i="1" s="1"/>
  <c r="BU138" i="1"/>
  <c r="BV138" i="1" s="1"/>
  <c r="BU139" i="1"/>
  <c r="BV139" i="1" s="1"/>
  <c r="BU140" i="1"/>
  <c r="BV140" i="1" s="1"/>
  <c r="BU141" i="1"/>
  <c r="BV141" i="1" s="1"/>
  <c r="BU142" i="1"/>
  <c r="BV142" i="1" s="1"/>
  <c r="BU143" i="1"/>
  <c r="BV143" i="1" s="1"/>
  <c r="BU144" i="1"/>
  <c r="BV144" i="1" s="1"/>
  <c r="BU145" i="1"/>
  <c r="BV145" i="1" s="1"/>
  <c r="BU146" i="1"/>
  <c r="BV146" i="1" s="1"/>
  <c r="BU147" i="1"/>
  <c r="BV147" i="1" s="1"/>
  <c r="BU148" i="1"/>
  <c r="BV148" i="1" s="1"/>
  <c r="BU149" i="1"/>
  <c r="BV149" i="1" s="1"/>
  <c r="BU150" i="1"/>
  <c r="BV150" i="1" s="1"/>
  <c r="BU151" i="1"/>
  <c r="BV151" i="1" s="1"/>
  <c r="BU152" i="1"/>
  <c r="BV152" i="1" s="1"/>
  <c r="BU153" i="1"/>
  <c r="BV153" i="1" s="1"/>
  <c r="BU154" i="1"/>
  <c r="BV154" i="1" s="1"/>
  <c r="BU155" i="1"/>
  <c r="BV155" i="1" s="1"/>
  <c r="BU156" i="1"/>
  <c r="BV156" i="1" s="1"/>
  <c r="BU157" i="1"/>
  <c r="BV157" i="1" s="1"/>
  <c r="BU158" i="1"/>
  <c r="BV158" i="1" s="1"/>
  <c r="BU159" i="1"/>
  <c r="BV159" i="1" s="1"/>
  <c r="BU160" i="1"/>
  <c r="BV160" i="1" s="1"/>
  <c r="BU161" i="1"/>
  <c r="BV161" i="1" s="1"/>
  <c r="BU162" i="1"/>
  <c r="BV162" i="1" s="1"/>
  <c r="BU163" i="1"/>
  <c r="BV163" i="1" s="1"/>
  <c r="BU164" i="1"/>
  <c r="BV164" i="1" s="1"/>
  <c r="BU165" i="1"/>
  <c r="BV165" i="1" s="1"/>
  <c r="BU166" i="1"/>
  <c r="BV166" i="1" s="1"/>
  <c r="BU167" i="1"/>
  <c r="BV167" i="1" s="1"/>
  <c r="BU168" i="1"/>
  <c r="BV168" i="1" s="1"/>
  <c r="BU169" i="1"/>
  <c r="BV169" i="1" s="1"/>
  <c r="BU170" i="1"/>
  <c r="BV170" i="1" s="1"/>
  <c r="BU171" i="1"/>
  <c r="BV171" i="1" s="1"/>
  <c r="BU172" i="1"/>
  <c r="BV172" i="1" s="1"/>
  <c r="BU173" i="1"/>
  <c r="BV173" i="1" s="1"/>
  <c r="BU174" i="1"/>
  <c r="BV174" i="1" s="1"/>
  <c r="BU175" i="1"/>
  <c r="BV175" i="1" s="1"/>
  <c r="BU176" i="1"/>
  <c r="BV176" i="1" s="1"/>
  <c r="BU177" i="1"/>
  <c r="BV177" i="1" s="1"/>
  <c r="BU178" i="1"/>
  <c r="BV178" i="1" s="1"/>
  <c r="BU179" i="1"/>
  <c r="BV179" i="1" s="1"/>
  <c r="BU180" i="1"/>
  <c r="BV180" i="1" s="1"/>
  <c r="BU181" i="1"/>
  <c r="BV181" i="1" s="1"/>
  <c r="BU182" i="1"/>
  <c r="BV182" i="1" s="1"/>
  <c r="BU183" i="1"/>
  <c r="BV183" i="1" s="1"/>
  <c r="BU184" i="1"/>
  <c r="BV184" i="1" s="1"/>
  <c r="BU186" i="1"/>
  <c r="BV186" i="1" s="1"/>
  <c r="BU187" i="1"/>
  <c r="BV187" i="1" s="1"/>
  <c r="BU188" i="1"/>
  <c r="BV188" i="1" s="1"/>
  <c r="BU189" i="1"/>
  <c r="BV189" i="1" s="1"/>
  <c r="BU190" i="1"/>
  <c r="BV190" i="1" s="1"/>
  <c r="BU191" i="1"/>
  <c r="BV191" i="1" s="1"/>
  <c r="BU192" i="1"/>
  <c r="BV192" i="1" s="1"/>
  <c r="BU193" i="1"/>
  <c r="BV193" i="1" s="1"/>
  <c r="BU194" i="1"/>
  <c r="BV194" i="1" s="1"/>
  <c r="BU195" i="1"/>
  <c r="BV195" i="1" s="1"/>
  <c r="BU196" i="1"/>
  <c r="BV196" i="1" s="1"/>
  <c r="BU197" i="1"/>
  <c r="BV197" i="1" s="1"/>
  <c r="BU198" i="1"/>
  <c r="BV198" i="1" s="1"/>
  <c r="BU199" i="1"/>
  <c r="BV199" i="1" s="1"/>
  <c r="BU200" i="1"/>
  <c r="BV200" i="1" s="1"/>
  <c r="BU201" i="1"/>
  <c r="BV201" i="1" s="1"/>
  <c r="BU202" i="1"/>
  <c r="BV202" i="1" s="1"/>
  <c r="BU203" i="1"/>
  <c r="BV203" i="1" s="1"/>
  <c r="BU204" i="1"/>
  <c r="BV204" i="1" s="1"/>
  <c r="BU205" i="1"/>
  <c r="BV205" i="1" s="1"/>
  <c r="BU206" i="1"/>
  <c r="BV206" i="1" s="1"/>
  <c r="BU207" i="1"/>
  <c r="BV207" i="1" s="1"/>
  <c r="BU208" i="1"/>
  <c r="BV208" i="1" s="1"/>
  <c r="BU209" i="1"/>
  <c r="BV209" i="1" s="1"/>
  <c r="BU210" i="1"/>
  <c r="BV210" i="1" s="1"/>
  <c r="BU211" i="1"/>
  <c r="BV211" i="1" s="1"/>
  <c r="BU212" i="1"/>
  <c r="BV212" i="1" s="1"/>
  <c r="BU213" i="1"/>
  <c r="BV213" i="1" s="1"/>
  <c r="BU214" i="1"/>
  <c r="BV214" i="1" s="1"/>
  <c r="BU215" i="1"/>
  <c r="BV215" i="1" s="1"/>
  <c r="BU216" i="1"/>
  <c r="BV216" i="1" s="1"/>
  <c r="BU217" i="1"/>
  <c r="BV217" i="1" s="1"/>
  <c r="BU218" i="1"/>
  <c r="BV218" i="1" s="1"/>
  <c r="BU219" i="1"/>
  <c r="BV219" i="1" s="1"/>
  <c r="BU220" i="1"/>
  <c r="BV220" i="1" s="1"/>
  <c r="BU221" i="1"/>
  <c r="BV221" i="1" s="1"/>
  <c r="BU222" i="1"/>
  <c r="BV222" i="1" s="1"/>
  <c r="BU223" i="1"/>
  <c r="BV223" i="1" s="1"/>
  <c r="BU224" i="1"/>
  <c r="BV224" i="1" s="1"/>
  <c r="BU225" i="1"/>
  <c r="BV225" i="1" s="1"/>
  <c r="BU226" i="1"/>
  <c r="BV226" i="1" s="1"/>
  <c r="BU227" i="1"/>
  <c r="BV227" i="1" s="1"/>
  <c r="BU228" i="1"/>
  <c r="BV228" i="1" s="1"/>
  <c r="BU229" i="1"/>
  <c r="BV229" i="1" s="1"/>
  <c r="BU230" i="1"/>
  <c r="BV230" i="1" s="1"/>
  <c r="BU231" i="1"/>
  <c r="BV231" i="1" s="1"/>
  <c r="BU233" i="1"/>
  <c r="BV233" i="1" s="1"/>
  <c r="BU234" i="1"/>
  <c r="BV234" i="1" s="1"/>
  <c r="BU237" i="1"/>
  <c r="BV237" i="1" s="1"/>
  <c r="BU238" i="1"/>
  <c r="BV238" i="1" s="1"/>
  <c r="BU239" i="1"/>
  <c r="BV239" i="1" s="1"/>
  <c r="BU240" i="1"/>
  <c r="BV240" i="1" s="1"/>
  <c r="BU241" i="1"/>
  <c r="BV241" i="1" s="1"/>
  <c r="BU242" i="1"/>
  <c r="BV242" i="1" s="1"/>
  <c r="BU244" i="1"/>
  <c r="BV244" i="1" s="1"/>
  <c r="BU245" i="1"/>
  <c r="BV245" i="1" s="1"/>
  <c r="BU253" i="1"/>
  <c r="BV253" i="1" s="1"/>
  <c r="BU246" i="1"/>
  <c r="BV246" i="1" s="1"/>
  <c r="BU247" i="1"/>
  <c r="BV247" i="1" s="1"/>
  <c r="BU248" i="1"/>
  <c r="BV248" i="1" s="1"/>
  <c r="BU250" i="1"/>
  <c r="BV250" i="1" s="1"/>
  <c r="BU256" i="1"/>
  <c r="BV256" i="1" s="1"/>
  <c r="BU257" i="1"/>
  <c r="BV257" i="1" s="1"/>
  <c r="BU19" i="1"/>
  <c r="BV19" i="1" s="1"/>
  <c r="BU20" i="1"/>
  <c r="BV20" i="1" s="1"/>
  <c r="BU259" i="1"/>
  <c r="BV259" i="1" s="1"/>
  <c r="BU260" i="1"/>
  <c r="BV260" i="1" s="1"/>
  <c r="BU261" i="1"/>
  <c r="BV261" i="1" s="1"/>
  <c r="BU262" i="1"/>
  <c r="BU263" i="1"/>
  <c r="BU264" i="1"/>
  <c r="BU265" i="1"/>
  <c r="BU266" i="1"/>
  <c r="BV266" i="1" s="1"/>
  <c r="BU267" i="1"/>
  <c r="BV267" i="1" s="1"/>
  <c r="BU254" i="1"/>
  <c r="BV254" i="1" s="1"/>
  <c r="BU251" i="1"/>
  <c r="BV251" i="1" s="1"/>
  <c r="BU255" i="1"/>
  <c r="BV255" i="1" s="1"/>
  <c r="BU268" i="1"/>
  <c r="BV268" i="1" s="1"/>
  <c r="BU275" i="1"/>
  <c r="BV275" i="1" s="1"/>
  <c r="BU276" i="1"/>
  <c r="BV276" i="1" s="1"/>
  <c r="BU277" i="1"/>
  <c r="BU278" i="1"/>
  <c r="BU279" i="1"/>
  <c r="BU280" i="1"/>
  <c r="BU281" i="1"/>
  <c r="BU282" i="1"/>
  <c r="BU283" i="1"/>
  <c r="BV283" i="1" s="1"/>
  <c r="BU284" i="1"/>
  <c r="BU285" i="1"/>
  <c r="BV285" i="1" s="1"/>
  <c r="BU286" i="1"/>
  <c r="BU287" i="1"/>
  <c r="BU288" i="1"/>
  <c r="BU289" i="1"/>
  <c r="BU290" i="1"/>
  <c r="BV290" i="1" s="1"/>
  <c r="BU185" i="1"/>
  <c r="BV185" i="1" s="1"/>
  <c r="BU2" i="1"/>
  <c r="BV77" i="1" l="1"/>
  <c r="BV263" i="1"/>
  <c r="BV280" i="1"/>
  <c r="BV279" i="1"/>
  <c r="BV289" i="1"/>
  <c r="BV277" i="1"/>
  <c r="BV288" i="1"/>
  <c r="BV264" i="1"/>
  <c r="BV287" i="1"/>
  <c r="BV262" i="1"/>
  <c r="BV281" i="1"/>
  <c r="BV18" i="1"/>
  <c r="BV10" i="1"/>
  <c r="BV286" i="1"/>
  <c r="BV278" i="1"/>
  <c r="BV17" i="1"/>
  <c r="BV9" i="1"/>
  <c r="BV16" i="1"/>
  <c r="BV8" i="1"/>
  <c r="BV2" i="1"/>
  <c r="BV284" i="1"/>
  <c r="BV265" i="1"/>
  <c r="BV15" i="1"/>
  <c r="BV7" i="1"/>
  <c r="BV14" i="1"/>
  <c r="BV6" i="1"/>
  <c r="BV282" i="1"/>
  <c r="BV13" i="1"/>
  <c r="BV5" i="1"/>
  <c r="BV12" i="1"/>
  <c r="BV4" i="1"/>
  <c r="BV68" i="1"/>
  <c r="BV60" i="1"/>
  <c r="BV52" i="1"/>
  <c r="BV44" i="1"/>
  <c r="BV36" i="1"/>
  <c r="BV76" i="1"/>
  <c r="BV66" i="1"/>
  <c r="BV58" i="1"/>
  <c r="BV50" i="1"/>
  <c r="BV42" i="1"/>
  <c r="BV34" i="1"/>
  <c r="BV65" i="1"/>
  <c r="BV57" i="1"/>
  <c r="BV49" i="1"/>
  <c r="BV41" i="1"/>
  <c r="BV33" i="1"/>
  <c r="BV64" i="1"/>
  <c r="BV56" i="1"/>
  <c r="BV48" i="1"/>
  <c r="BV40" i="1"/>
  <c r="BV32" i="1"/>
  <c r="BV63" i="1"/>
  <c r="BV55" i="1"/>
  <c r="BV47" i="1"/>
  <c r="BV39" i="1"/>
  <c r="BV31" i="1"/>
  <c r="BV62" i="1"/>
  <c r="BV54" i="1"/>
  <c r="BV46" i="1"/>
  <c r="BV38" i="1"/>
  <c r="BV30" i="1"/>
  <c r="BV69" i="1"/>
  <c r="BV61" i="1"/>
  <c r="BV53" i="1"/>
  <c r="BV45" i="1"/>
  <c r="BV37" i="1"/>
  <c r="BY5" i="1"/>
  <c r="BR5" i="1"/>
  <c r="BT5" i="1" s="1"/>
  <c r="BC5" i="1"/>
  <c r="BB5" i="1"/>
  <c r="BA5" i="1"/>
  <c r="AY5" i="1"/>
  <c r="AX5" i="1"/>
  <c r="AW5" i="1"/>
  <c r="AT5" i="1"/>
  <c r="AG5" i="1"/>
  <c r="AI5" i="1" s="1"/>
  <c r="X5" i="1"/>
  <c r="BE5" i="1" l="1"/>
  <c r="BG5" i="1" s="1"/>
  <c r="BD5" i="1"/>
  <c r="BF5" i="1" s="1"/>
  <c r="BY104" i="1"/>
  <c r="BR104" i="1"/>
  <c r="BT104" i="1" s="1"/>
  <c r="BC104" i="1"/>
  <c r="BB104" i="1"/>
  <c r="BE104" i="1" s="1"/>
  <c r="BA104" i="1"/>
  <c r="AY104" i="1"/>
  <c r="AX104" i="1"/>
  <c r="AW104" i="1"/>
  <c r="AT104" i="1"/>
  <c r="AG104" i="1"/>
  <c r="X104" i="1"/>
  <c r="Q104" i="1"/>
  <c r="S104" i="1" s="1"/>
  <c r="BG104" i="1" l="1"/>
  <c r="BD104" i="1"/>
  <c r="BF104" i="1" s="1"/>
  <c r="BA291" i="1"/>
  <c r="BE291" i="1" s="1"/>
  <c r="BA185" i="1"/>
  <c r="BE185" i="1" s="1"/>
  <c r="BA290" i="1"/>
  <c r="BE290" i="1" s="1"/>
  <c r="BD185" i="1" l="1"/>
  <c r="BF185" i="1" s="1"/>
  <c r="BG185" i="1"/>
  <c r="BD291" i="1"/>
  <c r="BF291" i="1" s="1"/>
  <c r="BG291" i="1"/>
  <c r="BD290" i="1"/>
  <c r="BF290" i="1" s="1"/>
  <c r="BG290" i="1"/>
  <c r="BY24" i="1" l="1"/>
  <c r="BY25" i="1"/>
  <c r="BY26" i="1"/>
  <c r="BY27" i="1"/>
  <c r="BY28" i="1"/>
  <c r="BY29" i="1"/>
  <c r="BY30" i="1"/>
  <c r="BY31" i="1"/>
  <c r="BY32" i="1"/>
  <c r="BY33" i="1"/>
  <c r="BY34" i="1"/>
  <c r="BY35" i="1"/>
  <c r="BY36" i="1"/>
  <c r="BY37" i="1"/>
  <c r="BY38" i="1"/>
  <c r="BY39" i="1"/>
  <c r="BY40" i="1"/>
  <c r="BY41" i="1"/>
  <c r="BY42" i="1"/>
  <c r="BY43" i="1"/>
  <c r="BY44" i="1"/>
  <c r="BY45" i="1"/>
  <c r="BY46" i="1"/>
  <c r="BY47" i="1"/>
  <c r="BY48" i="1"/>
  <c r="BY49" i="1"/>
  <c r="BY50" i="1"/>
  <c r="BY51" i="1"/>
  <c r="BY52" i="1"/>
  <c r="BY53" i="1"/>
  <c r="BY54" i="1"/>
  <c r="BY55" i="1"/>
  <c r="BY56" i="1"/>
  <c r="BY57" i="1"/>
  <c r="BY58" i="1"/>
  <c r="BY59" i="1"/>
  <c r="BY60" i="1"/>
  <c r="BY61" i="1"/>
  <c r="BY62" i="1"/>
  <c r="BY63" i="1"/>
  <c r="BY64" i="1"/>
  <c r="BY65" i="1"/>
  <c r="BY66" i="1"/>
  <c r="BY67" i="1"/>
  <c r="BY68" i="1"/>
  <c r="BY69" i="1"/>
  <c r="BY72" i="1"/>
  <c r="BY73" i="1"/>
  <c r="BY74" i="1"/>
  <c r="BY75" i="1"/>
  <c r="BY76" i="1"/>
  <c r="BY77" i="1"/>
  <c r="BY78" i="1"/>
  <c r="BY79" i="1"/>
  <c r="BY80" i="1"/>
  <c r="BY81" i="1"/>
  <c r="BY82" i="1"/>
  <c r="BY83" i="1"/>
  <c r="BY84" i="1"/>
  <c r="BY85" i="1"/>
  <c r="BY86" i="1"/>
  <c r="BY87" i="1"/>
  <c r="BY88" i="1"/>
  <c r="BY89" i="1"/>
  <c r="BY91" i="1"/>
  <c r="BY92" i="1"/>
  <c r="BY93" i="1"/>
  <c r="BY94" i="1"/>
  <c r="BY95" i="1"/>
  <c r="BY96" i="1"/>
  <c r="BY97" i="1"/>
  <c r="BY98" i="1"/>
  <c r="BY99" i="1"/>
  <c r="BY100" i="1"/>
  <c r="BY101" i="1"/>
  <c r="BY102" i="1"/>
  <c r="BY103" i="1"/>
  <c r="BY105" i="1"/>
  <c r="BY106" i="1"/>
  <c r="BY108" i="1"/>
  <c r="BY110" i="1"/>
  <c r="BY107" i="1"/>
  <c r="BY109" i="1"/>
  <c r="BY112" i="1"/>
  <c r="BY114" i="1"/>
  <c r="BY116" i="1"/>
  <c r="BY118" i="1"/>
  <c r="BY120" i="1"/>
  <c r="BY111" i="1"/>
  <c r="BY113" i="1"/>
  <c r="BY115" i="1"/>
  <c r="BY117" i="1"/>
  <c r="BY119" i="1"/>
  <c r="BY121" i="1"/>
  <c r="BY122" i="1"/>
  <c r="BY123" i="1"/>
  <c r="BY124" i="1"/>
  <c r="BY125" i="1"/>
  <c r="BY126" i="1"/>
  <c r="BY127" i="1"/>
  <c r="BY128" i="1"/>
  <c r="BY129" i="1"/>
  <c r="BY130" i="1"/>
  <c r="BY131" i="1"/>
  <c r="BY132" i="1"/>
  <c r="BY133" i="1"/>
  <c r="BY134" i="1"/>
  <c r="BY135" i="1"/>
  <c r="BY136" i="1"/>
  <c r="BY137" i="1"/>
  <c r="BY138" i="1"/>
  <c r="BY139" i="1"/>
  <c r="BY140" i="1"/>
  <c r="BY141" i="1"/>
  <c r="BY142" i="1"/>
  <c r="BY143" i="1"/>
  <c r="BY144" i="1"/>
  <c r="BY145" i="1"/>
  <c r="BY146" i="1"/>
  <c r="BY147" i="1"/>
  <c r="BY148" i="1"/>
  <c r="BY149" i="1"/>
  <c r="BY150" i="1"/>
  <c r="BY151" i="1"/>
  <c r="BY152" i="1"/>
  <c r="BY153" i="1"/>
  <c r="BY154" i="1"/>
  <c r="BY155" i="1"/>
  <c r="BY156" i="1"/>
  <c r="BY157" i="1"/>
  <c r="BY158" i="1"/>
  <c r="BY159" i="1"/>
  <c r="BY160" i="1"/>
  <c r="BY161" i="1"/>
  <c r="BY162" i="1"/>
  <c r="BY163" i="1"/>
  <c r="BY164" i="1"/>
  <c r="BY165" i="1"/>
  <c r="BY166" i="1"/>
  <c r="BY167" i="1"/>
  <c r="BY168" i="1"/>
  <c r="BY169" i="1"/>
  <c r="BY170" i="1"/>
  <c r="BY171" i="1"/>
  <c r="BY172" i="1"/>
  <c r="BY173" i="1"/>
  <c r="BY174" i="1"/>
  <c r="BY175" i="1"/>
  <c r="BY176" i="1"/>
  <c r="BY177" i="1"/>
  <c r="BY178" i="1"/>
  <c r="BY179" i="1"/>
  <c r="BY180" i="1"/>
  <c r="BY181" i="1"/>
  <c r="BY182" i="1"/>
  <c r="BY183" i="1"/>
  <c r="BY184" i="1"/>
  <c r="BY186" i="1"/>
  <c r="BY187" i="1"/>
  <c r="BY188" i="1"/>
  <c r="BY189" i="1"/>
  <c r="BY190" i="1"/>
  <c r="BY191" i="1"/>
  <c r="BY192" i="1"/>
  <c r="BY193" i="1"/>
  <c r="BY194" i="1"/>
  <c r="BY195" i="1"/>
  <c r="BY196" i="1"/>
  <c r="BY197" i="1"/>
  <c r="BY198" i="1"/>
  <c r="BY199" i="1"/>
  <c r="BY200" i="1"/>
  <c r="BY201" i="1"/>
  <c r="BY202" i="1"/>
  <c r="BY203" i="1"/>
  <c r="BY204" i="1"/>
  <c r="BY205" i="1"/>
  <c r="BY206" i="1"/>
  <c r="BY207" i="1"/>
  <c r="BY208" i="1"/>
  <c r="BY209" i="1"/>
  <c r="BY210" i="1"/>
  <c r="BY211" i="1"/>
  <c r="BY212" i="1"/>
  <c r="BY213" i="1"/>
  <c r="BY214" i="1"/>
  <c r="BY215" i="1"/>
  <c r="BY216" i="1"/>
  <c r="BY217" i="1"/>
  <c r="BY218" i="1"/>
  <c r="BY219" i="1"/>
  <c r="BY220" i="1"/>
  <c r="BY221" i="1"/>
  <c r="BY222" i="1"/>
  <c r="BY223" i="1"/>
  <c r="BY224" i="1"/>
  <c r="BY225" i="1"/>
  <c r="BY226" i="1"/>
  <c r="BY227" i="1"/>
  <c r="BY228" i="1"/>
  <c r="BY229" i="1"/>
  <c r="BY230" i="1"/>
  <c r="BY231" i="1"/>
  <c r="BY233" i="1"/>
  <c r="BY234" i="1"/>
  <c r="BY237" i="1"/>
  <c r="BY238" i="1"/>
  <c r="BY239" i="1"/>
  <c r="BY240" i="1"/>
  <c r="BY241" i="1"/>
  <c r="BY242" i="1"/>
  <c r="BY244" i="1"/>
  <c r="BY245" i="1"/>
  <c r="BY253" i="1"/>
  <c r="BY246" i="1"/>
  <c r="BY247" i="1"/>
  <c r="BY248" i="1"/>
  <c r="BY250" i="1"/>
  <c r="BY256" i="1"/>
  <c r="BY257" i="1"/>
  <c r="BY19" i="1"/>
  <c r="BY20" i="1"/>
  <c r="BY259" i="1"/>
  <c r="BY260" i="1"/>
  <c r="BY261" i="1"/>
  <c r="BY262" i="1"/>
  <c r="BY263" i="1"/>
  <c r="BY264" i="1"/>
  <c r="BY265" i="1"/>
  <c r="BY266" i="1"/>
  <c r="BY267" i="1"/>
  <c r="BY254" i="1"/>
  <c r="BY251" i="1"/>
  <c r="BY255" i="1"/>
  <c r="BY268" i="1"/>
  <c r="BY275" i="1"/>
  <c r="BY276" i="1"/>
  <c r="BY277" i="1"/>
  <c r="BY278" i="1"/>
  <c r="BY279" i="1"/>
  <c r="BY280" i="1"/>
  <c r="BY281" i="1"/>
  <c r="BY282" i="1"/>
  <c r="BY283" i="1"/>
  <c r="BY284" i="1"/>
  <c r="BY285" i="1"/>
  <c r="BY286" i="1"/>
  <c r="BY287" i="1"/>
  <c r="BY288" i="1"/>
  <c r="BY289" i="1"/>
  <c r="BY2" i="1"/>
  <c r="BY4" i="1"/>
  <c r="BY6" i="1"/>
  <c r="BY7" i="1"/>
  <c r="BY8" i="1"/>
  <c r="BY9" i="1"/>
  <c r="BY10" i="1"/>
  <c r="BY11" i="1"/>
  <c r="BY12" i="1"/>
  <c r="BY13" i="1"/>
  <c r="BY14" i="1"/>
  <c r="BY15" i="1"/>
  <c r="BY16" i="1"/>
  <c r="BY17" i="1"/>
  <c r="BY18" i="1"/>
  <c r="BY21" i="1"/>
  <c r="BY22" i="1"/>
  <c r="BY23" i="1"/>
  <c r="BR6" i="1" l="1"/>
  <c r="BT6" i="1" s="1"/>
  <c r="BC6" i="1"/>
  <c r="BB6" i="1"/>
  <c r="BA6" i="1"/>
  <c r="AY6" i="1"/>
  <c r="AX6" i="1"/>
  <c r="AW6" i="1"/>
  <c r="AT6" i="1"/>
  <c r="AG6" i="1"/>
  <c r="AI6" i="1" s="1"/>
  <c r="X6" i="1"/>
  <c r="BR8" i="1"/>
  <c r="BT8" i="1" s="1"/>
  <c r="BC8" i="1"/>
  <c r="BB8" i="1"/>
  <c r="BA8" i="1"/>
  <c r="AY8" i="1"/>
  <c r="AX8" i="1"/>
  <c r="AW8" i="1"/>
  <c r="AT8" i="1"/>
  <c r="AG8" i="1"/>
  <c r="AI8" i="1" s="1"/>
  <c r="X8" i="1"/>
  <c r="U114" i="1"/>
  <c r="X114" i="1" s="1"/>
  <c r="Q116" i="1"/>
  <c r="S116" i="1" s="1"/>
  <c r="Q114" i="1"/>
  <c r="S114" i="1" s="1"/>
  <c r="U107" i="1"/>
  <c r="X107" i="1" s="1"/>
  <c r="BR114" i="1"/>
  <c r="BT114" i="1" s="1"/>
  <c r="BC114" i="1"/>
  <c r="BB114" i="1"/>
  <c r="BA114" i="1"/>
  <c r="AY114" i="1"/>
  <c r="AX114" i="1"/>
  <c r="AW114" i="1"/>
  <c r="AT114" i="1"/>
  <c r="AG114" i="1"/>
  <c r="BR109" i="1"/>
  <c r="BT109" i="1" s="1"/>
  <c r="BC109" i="1"/>
  <c r="BB109" i="1"/>
  <c r="BA109" i="1"/>
  <c r="AY109" i="1"/>
  <c r="AX109" i="1"/>
  <c r="AW109" i="1"/>
  <c r="AT109" i="1"/>
  <c r="AG109" i="1"/>
  <c r="X109" i="1"/>
  <c r="Q109" i="1"/>
  <c r="S109" i="1" s="1"/>
  <c r="BR118" i="1"/>
  <c r="BT118" i="1" s="1"/>
  <c r="BC118" i="1"/>
  <c r="BB118" i="1"/>
  <c r="BA118" i="1"/>
  <c r="AY118" i="1"/>
  <c r="AX118" i="1"/>
  <c r="AW118" i="1"/>
  <c r="AT118" i="1"/>
  <c r="AG118" i="1"/>
  <c r="X118" i="1"/>
  <c r="Q118" i="1"/>
  <c r="S118" i="1" s="1"/>
  <c r="BR112" i="1"/>
  <c r="BT112" i="1" s="1"/>
  <c r="BC112" i="1"/>
  <c r="BB112" i="1"/>
  <c r="BA112" i="1"/>
  <c r="AY112" i="1"/>
  <c r="AX112" i="1"/>
  <c r="AW112" i="1"/>
  <c r="AT112" i="1"/>
  <c r="AG112" i="1"/>
  <c r="X112" i="1"/>
  <c r="Q112" i="1"/>
  <c r="S112" i="1" s="1"/>
  <c r="BR107" i="1"/>
  <c r="BT107" i="1" s="1"/>
  <c r="BC107" i="1"/>
  <c r="BB107" i="1"/>
  <c r="BA107" i="1"/>
  <c r="AY107" i="1"/>
  <c r="AX107" i="1"/>
  <c r="AW107" i="1"/>
  <c r="AT107" i="1"/>
  <c r="AG107" i="1"/>
  <c r="Q107" i="1"/>
  <c r="S107" i="1" s="1"/>
  <c r="BE114" i="1" l="1"/>
  <c r="BG114" i="1" s="1"/>
  <c r="BE118" i="1"/>
  <c r="BG118" i="1" s="1"/>
  <c r="BE107" i="1"/>
  <c r="BE8" i="1"/>
  <c r="BG8" i="1" s="1"/>
  <c r="BE109" i="1"/>
  <c r="BG109" i="1" s="1"/>
  <c r="BE6" i="1"/>
  <c r="BG6" i="1" s="1"/>
  <c r="BE112" i="1"/>
  <c r="BG112" i="1" s="1"/>
  <c r="BD6" i="1"/>
  <c r="BF6" i="1" s="1"/>
  <c r="BD8" i="1"/>
  <c r="BF8" i="1" s="1"/>
  <c r="BD114" i="1"/>
  <c r="BF114" i="1" s="1"/>
  <c r="BD109" i="1"/>
  <c r="BF109" i="1" s="1"/>
  <c r="BD112" i="1"/>
  <c r="BF112" i="1" s="1"/>
  <c r="BD118" i="1"/>
  <c r="BF118" i="1" s="1"/>
  <c r="BG107" i="1"/>
  <c r="BD107" i="1"/>
  <c r="BF107" i="1" s="1"/>
  <c r="BR75" i="1" l="1"/>
  <c r="BT75" i="1" s="1"/>
  <c r="BC75" i="1"/>
  <c r="BB75" i="1"/>
  <c r="BA75" i="1"/>
  <c r="AY75" i="1"/>
  <c r="AX75" i="1"/>
  <c r="AW75" i="1"/>
  <c r="AT75" i="1"/>
  <c r="AG75" i="1"/>
  <c r="AI75" i="1" s="1"/>
  <c r="X75" i="1"/>
  <c r="BR72" i="1"/>
  <c r="BT72" i="1" s="1"/>
  <c r="BC72" i="1"/>
  <c r="BB72" i="1"/>
  <c r="BA72" i="1"/>
  <c r="AY72" i="1"/>
  <c r="AX72" i="1"/>
  <c r="AW72" i="1"/>
  <c r="AT72" i="1"/>
  <c r="AG72" i="1"/>
  <c r="AI72" i="1" s="1"/>
  <c r="X72" i="1"/>
  <c r="BR74" i="1"/>
  <c r="BT74" i="1" s="1"/>
  <c r="BC74" i="1"/>
  <c r="BB74" i="1"/>
  <c r="BA74" i="1"/>
  <c r="AY74" i="1"/>
  <c r="AX74" i="1"/>
  <c r="AW74" i="1"/>
  <c r="AT74" i="1"/>
  <c r="AG74" i="1"/>
  <c r="AI74" i="1" s="1"/>
  <c r="X74" i="1"/>
  <c r="BR73" i="1"/>
  <c r="BT73" i="1" s="1"/>
  <c r="BC73" i="1"/>
  <c r="BB73" i="1"/>
  <c r="BA73" i="1"/>
  <c r="AY73" i="1"/>
  <c r="AX73" i="1"/>
  <c r="AW73" i="1"/>
  <c r="AT73" i="1"/>
  <c r="AG73" i="1"/>
  <c r="AI73" i="1" s="1"/>
  <c r="X73" i="1"/>
  <c r="V250" i="1"/>
  <c r="V253" i="1"/>
  <c r="V246" i="1"/>
  <c r="V247" i="1"/>
  <c r="V238" i="1"/>
  <c r="V239" i="1"/>
  <c r="V240" i="1"/>
  <c r="V241" i="1"/>
  <c r="V242" i="1"/>
  <c r="V244" i="1"/>
  <c r="V245" i="1"/>
  <c r="V234" i="1"/>
  <c r="V224" i="1"/>
  <c r="V225" i="1"/>
  <c r="V226" i="1"/>
  <c r="V230" i="1"/>
  <c r="V231" i="1"/>
  <c r="V216" i="1"/>
  <c r="V217" i="1"/>
  <c r="V218" i="1"/>
  <c r="V219" i="1"/>
  <c r="V220" i="1"/>
  <c r="V221" i="1"/>
  <c r="V222" i="1"/>
  <c r="V223" i="1"/>
  <c r="V215" i="1"/>
  <c r="V211" i="1"/>
  <c r="V210" i="1"/>
  <c r="V209" i="1"/>
  <c r="V207" i="1"/>
  <c r="V206" i="1"/>
  <c r="V204" i="1"/>
  <c r="V202" i="1"/>
  <c r="V201" i="1"/>
  <c r="V200" i="1"/>
  <c r="V199" i="1"/>
  <c r="V198" i="1"/>
  <c r="AV28" i="1"/>
  <c r="AV27" i="1"/>
  <c r="AV26" i="1"/>
  <c r="AV25" i="1"/>
  <c r="AV24" i="1"/>
  <c r="AV23" i="1"/>
  <c r="AV22" i="1"/>
  <c r="AV21" i="1"/>
  <c r="BE72" i="1" l="1"/>
  <c r="BG72" i="1" s="1"/>
  <c r="BE73" i="1"/>
  <c r="BG73" i="1" s="1"/>
  <c r="BE75" i="1"/>
  <c r="BG75" i="1" s="1"/>
  <c r="BE74" i="1"/>
  <c r="BG74" i="1" s="1"/>
  <c r="BD74" i="1"/>
  <c r="BF74" i="1" s="1"/>
  <c r="BD75" i="1"/>
  <c r="BF75" i="1" s="1"/>
  <c r="BD72" i="1"/>
  <c r="BF72" i="1" s="1"/>
  <c r="BD73" i="1"/>
  <c r="BF73" i="1" s="1"/>
  <c r="Q98" i="1"/>
  <c r="S98" i="1" s="1"/>
  <c r="T239" i="1"/>
  <c r="X239" i="1" s="1"/>
  <c r="BR239" i="1"/>
  <c r="BT239" i="1" s="1"/>
  <c r="BC239" i="1"/>
  <c r="BB239" i="1"/>
  <c r="BA239" i="1"/>
  <c r="AY239" i="1"/>
  <c r="AX239" i="1"/>
  <c r="AW239" i="1"/>
  <c r="AT239" i="1"/>
  <c r="AG239" i="1"/>
  <c r="AI239" i="1" s="1"/>
  <c r="T214" i="1"/>
  <c r="X214" i="1" s="1"/>
  <c r="BR214" i="1"/>
  <c r="BT214" i="1" s="1"/>
  <c r="BC214" i="1"/>
  <c r="BB214" i="1"/>
  <c r="BA214" i="1"/>
  <c r="AY214" i="1"/>
  <c r="AX214" i="1"/>
  <c r="AW214" i="1"/>
  <c r="AT214" i="1"/>
  <c r="AG214" i="1"/>
  <c r="AI214" i="1" s="1"/>
  <c r="T234" i="1"/>
  <c r="BR233" i="1"/>
  <c r="BT233" i="1" s="1"/>
  <c r="BC233" i="1"/>
  <c r="BB233" i="1"/>
  <c r="AY233" i="1"/>
  <c r="AX233" i="1"/>
  <c r="AW233" i="1"/>
  <c r="AT233" i="1"/>
  <c r="AG233" i="1"/>
  <c r="AI233" i="1" s="1"/>
  <c r="AE233" i="1"/>
  <c r="BA233" i="1" s="1"/>
  <c r="X233" i="1"/>
  <c r="T247" i="1"/>
  <c r="BR246" i="1"/>
  <c r="BT246" i="1" s="1"/>
  <c r="BC246" i="1"/>
  <c r="BB246" i="1"/>
  <c r="BA246" i="1"/>
  <c r="AY246" i="1"/>
  <c r="AX246" i="1"/>
  <c r="AW246" i="1"/>
  <c r="AT246" i="1"/>
  <c r="AG246" i="1"/>
  <c r="AI246" i="1" s="1"/>
  <c r="X246" i="1"/>
  <c r="T242" i="1"/>
  <c r="X242" i="1" s="1"/>
  <c r="BR242" i="1"/>
  <c r="BT242" i="1" s="1"/>
  <c r="BC242" i="1"/>
  <c r="BB242" i="1"/>
  <c r="BA242" i="1"/>
  <c r="AY242" i="1"/>
  <c r="AW242" i="1"/>
  <c r="AT242" i="1"/>
  <c r="AG242" i="1"/>
  <c r="AI242" i="1" s="1"/>
  <c r="K242" i="1"/>
  <c r="AX242" i="1" s="1"/>
  <c r="T222" i="1"/>
  <c r="X222" i="1" s="1"/>
  <c r="BR222" i="1"/>
  <c r="BT222" i="1" s="1"/>
  <c r="BC222" i="1"/>
  <c r="BB222" i="1"/>
  <c r="BA222" i="1"/>
  <c r="AY222" i="1"/>
  <c r="AX222" i="1"/>
  <c r="AW222" i="1"/>
  <c r="AT222" i="1"/>
  <c r="AG222" i="1"/>
  <c r="AI222" i="1" s="1"/>
  <c r="T207" i="1"/>
  <c r="X207" i="1" s="1"/>
  <c r="BR207" i="1"/>
  <c r="BT207" i="1" s="1"/>
  <c r="BC207" i="1"/>
  <c r="BB207" i="1"/>
  <c r="BA207" i="1"/>
  <c r="AY207" i="1"/>
  <c r="AX207" i="1"/>
  <c r="AW207" i="1"/>
  <c r="AT207" i="1"/>
  <c r="AG207" i="1"/>
  <c r="AI207" i="1" s="1"/>
  <c r="T229" i="1"/>
  <c r="X229" i="1" s="1"/>
  <c r="T238" i="1"/>
  <c r="X238" i="1" s="1"/>
  <c r="BR238" i="1"/>
  <c r="BT238" i="1" s="1"/>
  <c r="BC238" i="1"/>
  <c r="BB238" i="1"/>
  <c r="BA238" i="1"/>
  <c r="AY238" i="1"/>
  <c r="AX238" i="1"/>
  <c r="AW238" i="1"/>
  <c r="AT238" i="1"/>
  <c r="AG238" i="1"/>
  <c r="AI238" i="1" s="1"/>
  <c r="T213" i="1"/>
  <c r="X213" i="1" s="1"/>
  <c r="BR213" i="1"/>
  <c r="BT213" i="1" s="1"/>
  <c r="BC213" i="1"/>
  <c r="BB213" i="1"/>
  <c r="BA213" i="1"/>
  <c r="AY213" i="1"/>
  <c r="AX213" i="1"/>
  <c r="AW213" i="1"/>
  <c r="AT213" i="1"/>
  <c r="AG213" i="1"/>
  <c r="AI213" i="1" s="1"/>
  <c r="BR229" i="1"/>
  <c r="BT229" i="1" s="1"/>
  <c r="BC229" i="1"/>
  <c r="BB229" i="1"/>
  <c r="BA229" i="1"/>
  <c r="AY229" i="1"/>
  <c r="AX229" i="1"/>
  <c r="AW229" i="1"/>
  <c r="AT229" i="1"/>
  <c r="AG229" i="1"/>
  <c r="AI229" i="1" s="1"/>
  <c r="BE239" i="1" l="1"/>
  <c r="BG239" i="1" s="1"/>
  <c r="BE246" i="1"/>
  <c r="BG246" i="1" s="1"/>
  <c r="BE207" i="1"/>
  <c r="BG207" i="1" s="1"/>
  <c r="BE229" i="1"/>
  <c r="BE222" i="1"/>
  <c r="BG222" i="1" s="1"/>
  <c r="BE233" i="1"/>
  <c r="BG233" i="1" s="1"/>
  <c r="BE213" i="1"/>
  <c r="BG213" i="1" s="1"/>
  <c r="BE242" i="1"/>
  <c r="BG242" i="1" s="1"/>
  <c r="BE214" i="1"/>
  <c r="BG214" i="1" s="1"/>
  <c r="BE238" i="1"/>
  <c r="BG238" i="1" s="1"/>
  <c r="BD246" i="1"/>
  <c r="BF246" i="1" s="1"/>
  <c r="BD233" i="1"/>
  <c r="BF233" i="1" s="1"/>
  <c r="BG229" i="1"/>
  <c r="BD229" i="1"/>
  <c r="BF229" i="1" s="1"/>
  <c r="BD238" i="1"/>
  <c r="BF238" i="1" s="1"/>
  <c r="BD242" i="1"/>
  <c r="BF242" i="1" s="1"/>
  <c r="BD222" i="1"/>
  <c r="BF222" i="1" s="1"/>
  <c r="BD239" i="1"/>
  <c r="BF239" i="1" s="1"/>
  <c r="BD214" i="1"/>
  <c r="BF214" i="1" s="1"/>
  <c r="AF246" i="1"/>
  <c r="AF222" i="1"/>
  <c r="BD207" i="1"/>
  <c r="BF207" i="1" s="1"/>
  <c r="BD213" i="1"/>
  <c r="BF213" i="1" s="1"/>
  <c r="AF229" i="1"/>
  <c r="BR24" i="1"/>
  <c r="BT24" i="1" s="1"/>
  <c r="BC24" i="1"/>
  <c r="BB24" i="1"/>
  <c r="BA24" i="1"/>
  <c r="AY24" i="1"/>
  <c r="AX24" i="1"/>
  <c r="AW24" i="1"/>
  <c r="AT24" i="1"/>
  <c r="AG24" i="1"/>
  <c r="X24" i="1"/>
  <c r="BE24" i="1" l="1"/>
  <c r="BG24" i="1" s="1"/>
  <c r="AI24" i="1"/>
  <c r="BD24" i="1"/>
  <c r="BF24" i="1" s="1"/>
  <c r="AT4" i="1"/>
  <c r="AT7" i="1"/>
  <c r="AT9" i="1"/>
  <c r="AT10" i="1"/>
  <c r="AT11" i="1"/>
  <c r="AT12" i="1"/>
  <c r="AT13" i="1"/>
  <c r="AT14" i="1"/>
  <c r="AT15" i="1"/>
  <c r="AT16" i="1"/>
  <c r="AT17" i="1"/>
  <c r="AT18" i="1"/>
  <c r="AT21" i="1"/>
  <c r="AT22" i="1"/>
  <c r="AT23" i="1"/>
  <c r="AT25" i="1"/>
  <c r="AT26" i="1"/>
  <c r="AT27" i="1"/>
  <c r="AT28" i="1"/>
  <c r="AT29" i="1"/>
  <c r="AT30" i="1"/>
  <c r="AT31" i="1"/>
  <c r="AT32" i="1"/>
  <c r="AT33" i="1"/>
  <c r="AT34" i="1"/>
  <c r="AT35" i="1"/>
  <c r="AT36" i="1"/>
  <c r="AT37" i="1"/>
  <c r="AT38" i="1"/>
  <c r="AT39" i="1"/>
  <c r="AT40" i="1"/>
  <c r="AT41" i="1"/>
  <c r="AT42" i="1"/>
  <c r="AT43" i="1"/>
  <c r="AT44" i="1"/>
  <c r="AT45" i="1"/>
  <c r="AT46" i="1"/>
  <c r="AT47" i="1"/>
  <c r="AT48" i="1"/>
  <c r="AT49" i="1"/>
  <c r="AT50" i="1"/>
  <c r="AT51" i="1"/>
  <c r="AT52" i="1"/>
  <c r="AT53" i="1"/>
  <c r="AT54" i="1"/>
  <c r="AT55" i="1"/>
  <c r="AT56" i="1"/>
  <c r="AT57" i="1"/>
  <c r="AT58" i="1"/>
  <c r="AT59" i="1"/>
  <c r="AT60" i="1"/>
  <c r="AT61" i="1"/>
  <c r="AT62" i="1"/>
  <c r="AT63" i="1"/>
  <c r="AT64" i="1"/>
  <c r="AT65" i="1"/>
  <c r="AT66" i="1"/>
  <c r="AT67" i="1"/>
  <c r="AT68" i="1"/>
  <c r="AT69" i="1"/>
  <c r="AT76" i="1"/>
  <c r="AT77" i="1"/>
  <c r="AT78" i="1"/>
  <c r="AT79" i="1"/>
  <c r="AT80" i="1"/>
  <c r="AT81" i="1"/>
  <c r="AT82" i="1"/>
  <c r="AT83" i="1"/>
  <c r="AT84" i="1"/>
  <c r="AT85" i="1"/>
  <c r="AT86" i="1"/>
  <c r="AT87" i="1"/>
  <c r="AT88" i="1"/>
  <c r="AT89" i="1"/>
  <c r="AT91" i="1"/>
  <c r="AT92" i="1"/>
  <c r="AT93" i="1"/>
  <c r="AT94" i="1"/>
  <c r="AT95" i="1"/>
  <c r="AT96" i="1"/>
  <c r="AT97" i="1"/>
  <c r="AT98" i="1"/>
  <c r="AT116" i="1"/>
  <c r="AT120" i="1"/>
  <c r="AT99" i="1"/>
  <c r="AT100" i="1"/>
  <c r="AT101" i="1"/>
  <c r="AT102" i="1"/>
  <c r="AT103" i="1"/>
  <c r="AT105" i="1"/>
  <c r="AT106" i="1"/>
  <c r="AT108" i="1"/>
  <c r="AT110" i="1"/>
  <c r="AT111" i="1"/>
  <c r="AT113" i="1"/>
  <c r="AT115" i="1"/>
  <c r="AT117" i="1"/>
  <c r="AT119" i="1"/>
  <c r="AT121" i="1"/>
  <c r="AT122" i="1"/>
  <c r="AT123" i="1"/>
  <c r="AT124" i="1"/>
  <c r="AT125" i="1"/>
  <c r="AT126" i="1"/>
  <c r="AT127" i="1"/>
  <c r="AT128" i="1"/>
  <c r="AT129" i="1"/>
  <c r="AT130" i="1"/>
  <c r="AT131" i="1"/>
  <c r="AT132" i="1"/>
  <c r="AT133" i="1"/>
  <c r="AT134" i="1"/>
  <c r="AT135" i="1"/>
  <c r="AT136" i="1"/>
  <c r="AT137" i="1"/>
  <c r="AT138" i="1"/>
  <c r="AT139" i="1"/>
  <c r="AT140" i="1"/>
  <c r="AT141" i="1"/>
  <c r="AT142" i="1"/>
  <c r="AT143" i="1"/>
  <c r="AT144" i="1"/>
  <c r="AT145" i="1"/>
  <c r="AT146" i="1"/>
  <c r="AT147" i="1"/>
  <c r="AT148" i="1"/>
  <c r="AT149" i="1"/>
  <c r="AT150" i="1"/>
  <c r="AT151" i="1"/>
  <c r="AT152" i="1"/>
  <c r="AT153" i="1"/>
  <c r="AT154" i="1"/>
  <c r="AT155" i="1"/>
  <c r="AT156" i="1"/>
  <c r="AT157" i="1"/>
  <c r="AT158" i="1"/>
  <c r="AT159" i="1"/>
  <c r="AT160" i="1"/>
  <c r="AT161" i="1"/>
  <c r="AT162" i="1"/>
  <c r="AT163" i="1"/>
  <c r="AT164" i="1"/>
  <c r="AT165" i="1"/>
  <c r="AT166" i="1"/>
  <c r="AT167" i="1"/>
  <c r="AT168" i="1"/>
  <c r="AT169" i="1"/>
  <c r="AT170" i="1"/>
  <c r="AT171" i="1"/>
  <c r="AT172" i="1"/>
  <c r="AT173" i="1"/>
  <c r="AT174" i="1"/>
  <c r="AT175" i="1"/>
  <c r="AT176" i="1"/>
  <c r="AT177" i="1"/>
  <c r="AT178" i="1"/>
  <c r="AT179" i="1"/>
  <c r="AT180" i="1"/>
  <c r="AT181" i="1"/>
  <c r="AT182" i="1"/>
  <c r="AT183" i="1"/>
  <c r="AT184" i="1"/>
  <c r="AT186" i="1"/>
  <c r="AT187" i="1"/>
  <c r="AT188" i="1"/>
  <c r="AT189" i="1"/>
  <c r="AT190" i="1"/>
  <c r="AT191" i="1"/>
  <c r="AT192" i="1"/>
  <c r="AT193" i="1"/>
  <c r="AT194" i="1"/>
  <c r="AT195" i="1"/>
  <c r="AT196" i="1"/>
  <c r="AT197" i="1"/>
  <c r="AT198" i="1"/>
  <c r="AT199" i="1"/>
  <c r="AT200" i="1"/>
  <c r="AT201" i="1"/>
  <c r="AT202" i="1"/>
  <c r="AT203" i="1"/>
  <c r="AT204" i="1"/>
  <c r="AT205" i="1"/>
  <c r="AT206" i="1"/>
  <c r="AT208" i="1"/>
  <c r="AT209" i="1"/>
  <c r="AT210" i="1"/>
  <c r="AT211" i="1"/>
  <c r="AT212" i="1"/>
  <c r="AT215" i="1"/>
  <c r="AT216" i="1"/>
  <c r="AT217" i="1"/>
  <c r="AT218" i="1"/>
  <c r="AT219" i="1"/>
  <c r="AT220" i="1"/>
  <c r="AT221" i="1"/>
  <c r="AT223" i="1"/>
  <c r="AT224" i="1"/>
  <c r="AT225" i="1"/>
  <c r="AT226" i="1"/>
  <c r="AT227" i="1"/>
  <c r="AT228" i="1"/>
  <c r="AT230" i="1"/>
  <c r="AT231" i="1"/>
  <c r="AT234" i="1"/>
  <c r="AT237" i="1"/>
  <c r="AT240" i="1"/>
  <c r="AT241" i="1"/>
  <c r="AT244" i="1"/>
  <c r="AT245" i="1"/>
  <c r="AT247" i="1"/>
  <c r="AT248" i="1"/>
  <c r="AT250" i="1"/>
  <c r="AT253" i="1"/>
  <c r="AT256" i="1"/>
  <c r="AT257" i="1"/>
  <c r="AT19" i="1"/>
  <c r="AT20" i="1"/>
  <c r="AT259" i="1"/>
  <c r="AT260" i="1"/>
  <c r="AT261" i="1"/>
  <c r="AT262" i="1"/>
  <c r="AT263" i="1"/>
  <c r="AT264" i="1"/>
  <c r="AT265" i="1"/>
  <c r="AT266" i="1"/>
  <c r="AT267" i="1"/>
  <c r="AT254" i="1"/>
  <c r="AT251" i="1"/>
  <c r="AT255" i="1"/>
  <c r="AT268" i="1"/>
  <c r="AT275" i="1"/>
  <c r="AT276" i="1"/>
  <c r="AT2" i="1"/>
  <c r="BC23" i="1" l="1"/>
  <c r="BC21" i="1"/>
  <c r="BC22" i="1"/>
  <c r="BC257" i="1"/>
  <c r="BC61" i="1"/>
  <c r="BC56" i="1"/>
  <c r="BC42" i="1"/>
  <c r="BC29" i="1"/>
  <c r="BC26" i="1"/>
  <c r="BC28" i="1"/>
  <c r="BC27" i="1"/>
  <c r="BC25" i="1"/>
  <c r="BC51" i="1"/>
  <c r="BC68" i="1"/>
  <c r="BC62" i="1"/>
  <c r="BC76" i="1"/>
  <c r="BC30" i="1"/>
  <c r="BC52" i="1"/>
  <c r="BC43" i="1"/>
  <c r="BC57" i="1"/>
  <c r="BC44" i="1"/>
  <c r="BC69" i="1"/>
  <c r="BC38" i="1"/>
  <c r="BC63" i="1"/>
  <c r="BC45" i="1"/>
  <c r="BC53" i="1"/>
  <c r="BC58" i="1"/>
  <c r="BC46" i="1"/>
  <c r="BC31" i="1"/>
  <c r="BC39" i="1"/>
  <c r="BC55" i="1"/>
  <c r="BC32" i="1"/>
  <c r="BC40" i="1"/>
  <c r="BC67" i="1"/>
  <c r="BC65" i="1"/>
  <c r="BC59" i="1"/>
  <c r="BC49" i="1"/>
  <c r="BC33" i="1"/>
  <c r="BC54" i="1"/>
  <c r="BC64" i="1"/>
  <c r="BC50" i="1"/>
  <c r="BC41" i="1"/>
  <c r="BC34" i="1"/>
  <c r="BC47" i="1"/>
  <c r="BC66" i="1"/>
  <c r="BC36" i="1"/>
  <c r="BC35" i="1"/>
  <c r="BC37" i="1"/>
  <c r="BC48" i="1"/>
  <c r="BC60" i="1"/>
  <c r="BC2" i="1"/>
  <c r="BC4" i="1"/>
  <c r="BC7" i="1"/>
  <c r="BC9" i="1"/>
  <c r="BC10" i="1"/>
  <c r="BC11" i="1"/>
  <c r="BC12" i="1"/>
  <c r="BC13" i="1"/>
  <c r="BC14" i="1"/>
  <c r="BC15" i="1"/>
  <c r="BC16" i="1"/>
  <c r="BC17" i="1"/>
  <c r="BC18" i="1"/>
  <c r="BC77" i="1"/>
  <c r="BC78" i="1"/>
  <c r="BC79" i="1"/>
  <c r="BC80" i="1"/>
  <c r="BC81" i="1"/>
  <c r="BC82" i="1"/>
  <c r="BC83" i="1"/>
  <c r="BC84" i="1"/>
  <c r="BC85" i="1"/>
  <c r="BC86" i="1"/>
  <c r="BC87" i="1"/>
  <c r="BC88" i="1"/>
  <c r="BC89" i="1"/>
  <c r="BC91" i="1"/>
  <c r="BC92" i="1"/>
  <c r="BC93" i="1"/>
  <c r="BC94" i="1"/>
  <c r="BC95" i="1"/>
  <c r="BC96" i="1"/>
  <c r="BC97" i="1"/>
  <c r="BC98" i="1"/>
  <c r="BC116" i="1"/>
  <c r="BC120" i="1"/>
  <c r="BC138" i="1"/>
  <c r="BC203" i="1"/>
  <c r="BC205" i="1"/>
  <c r="BC248" i="1"/>
  <c r="BC196" i="1"/>
  <c r="BC19" i="1"/>
  <c r="BC20" i="1"/>
  <c r="BC259" i="1"/>
  <c r="BC260" i="1"/>
  <c r="BC261" i="1"/>
  <c r="BC262" i="1"/>
  <c r="BC263" i="1"/>
  <c r="BC264" i="1"/>
  <c r="BC265" i="1"/>
  <c r="BC266" i="1"/>
  <c r="BC267" i="1"/>
  <c r="BC254" i="1"/>
  <c r="BC251" i="1"/>
  <c r="BC255" i="1"/>
  <c r="BC268" i="1"/>
  <c r="BC275" i="1"/>
  <c r="BC276" i="1"/>
  <c r="BC277" i="1"/>
  <c r="BC278" i="1"/>
  <c r="BC279" i="1"/>
  <c r="BC280" i="1"/>
  <c r="BC281" i="1"/>
  <c r="BC282" i="1"/>
  <c r="BC283" i="1"/>
  <c r="BC284" i="1"/>
  <c r="BC285" i="1"/>
  <c r="BC286" i="1"/>
  <c r="BC287" i="1"/>
  <c r="BC288" i="1"/>
  <c r="BC289" i="1"/>
  <c r="BC198" i="1"/>
  <c r="BC199" i="1"/>
  <c r="BC200" i="1"/>
  <c r="BC201" i="1"/>
  <c r="BC202" i="1"/>
  <c r="BC157" i="1"/>
  <c r="BC204" i="1"/>
  <c r="BC206" i="1"/>
  <c r="BC208" i="1"/>
  <c r="BC209" i="1"/>
  <c r="BC210" i="1"/>
  <c r="BC211" i="1"/>
  <c r="BC212" i="1"/>
  <c r="BC215" i="1"/>
  <c r="BC216" i="1"/>
  <c r="BC217" i="1"/>
  <c r="BC218" i="1"/>
  <c r="BC219" i="1"/>
  <c r="BC220" i="1"/>
  <c r="BC221" i="1"/>
  <c r="BC223" i="1"/>
  <c r="BC224" i="1"/>
  <c r="BC225" i="1"/>
  <c r="BC226" i="1"/>
  <c r="BC227" i="1"/>
  <c r="BC230" i="1"/>
  <c r="BC231" i="1"/>
  <c r="BC234" i="1"/>
  <c r="BC237" i="1"/>
  <c r="BC240" i="1"/>
  <c r="BC241" i="1"/>
  <c r="BC244" i="1"/>
  <c r="BC245" i="1"/>
  <c r="BC247" i="1"/>
  <c r="BC250" i="1"/>
  <c r="BC253" i="1"/>
  <c r="BC228" i="1"/>
  <c r="BC99" i="1"/>
  <c r="BC100" i="1"/>
  <c r="BC101" i="1"/>
  <c r="BC197" i="1"/>
  <c r="BC102" i="1"/>
  <c r="BC103" i="1"/>
  <c r="BC105" i="1"/>
  <c r="BC106" i="1"/>
  <c r="BC108" i="1"/>
  <c r="BC110" i="1"/>
  <c r="BC111" i="1"/>
  <c r="BC113" i="1"/>
  <c r="BC115" i="1"/>
  <c r="BC117" i="1"/>
  <c r="BC119" i="1"/>
  <c r="BC121" i="1"/>
  <c r="BC122" i="1"/>
  <c r="BC123" i="1"/>
  <c r="BC124" i="1"/>
  <c r="BC125" i="1"/>
  <c r="BC126" i="1"/>
  <c r="BC127" i="1"/>
  <c r="BC129" i="1"/>
  <c r="BC128" i="1"/>
  <c r="BC130" i="1"/>
  <c r="BC131" i="1"/>
  <c r="BC132" i="1"/>
  <c r="BC133" i="1"/>
  <c r="BC134" i="1"/>
  <c r="BC135" i="1"/>
  <c r="BC136" i="1"/>
  <c r="BC137" i="1"/>
  <c r="BC139" i="1"/>
  <c r="BC140" i="1"/>
  <c r="BC141" i="1"/>
  <c r="BC142" i="1"/>
  <c r="BC143" i="1"/>
  <c r="BC144" i="1"/>
  <c r="BC145" i="1"/>
  <c r="BC146" i="1"/>
  <c r="BC147" i="1"/>
  <c r="BC148" i="1"/>
  <c r="BC149" i="1"/>
  <c r="BC150" i="1"/>
  <c r="BC151" i="1"/>
  <c r="BC152" i="1"/>
  <c r="BC153" i="1"/>
  <c r="BC154" i="1"/>
  <c r="BC155" i="1"/>
  <c r="BC156" i="1"/>
  <c r="BC158" i="1"/>
  <c r="BC159" i="1"/>
  <c r="BC160" i="1"/>
  <c r="BC161" i="1"/>
  <c r="BC162" i="1"/>
  <c r="BC163" i="1"/>
  <c r="BC164" i="1"/>
  <c r="BC165" i="1"/>
  <c r="BC166" i="1"/>
  <c r="BC167" i="1"/>
  <c r="BC168" i="1"/>
  <c r="BC169" i="1"/>
  <c r="BC170" i="1"/>
  <c r="BC171" i="1"/>
  <c r="BC172" i="1"/>
  <c r="BC173" i="1"/>
  <c r="BC174" i="1"/>
  <c r="BC175" i="1"/>
  <c r="BC176" i="1"/>
  <c r="BC177" i="1"/>
  <c r="BC178" i="1"/>
  <c r="BC179" i="1"/>
  <c r="BC180" i="1"/>
  <c r="BC181" i="1"/>
  <c r="BC182" i="1"/>
  <c r="BC183" i="1"/>
  <c r="BC184" i="1"/>
  <c r="BC186" i="1"/>
  <c r="BC187" i="1"/>
  <c r="BC188" i="1"/>
  <c r="BC189" i="1"/>
  <c r="BC190" i="1"/>
  <c r="BC191" i="1"/>
  <c r="BC192" i="1"/>
  <c r="BC193" i="1"/>
  <c r="BC194" i="1"/>
  <c r="BC195" i="1"/>
  <c r="BC256" i="1"/>
  <c r="BA23" i="1"/>
  <c r="BA21" i="1"/>
  <c r="BA22" i="1"/>
  <c r="BA257" i="1"/>
  <c r="BA61" i="1"/>
  <c r="BA56" i="1"/>
  <c r="BA42" i="1"/>
  <c r="BA29" i="1"/>
  <c r="BA26" i="1"/>
  <c r="BA28" i="1"/>
  <c r="BA27" i="1"/>
  <c r="BA25" i="1"/>
  <c r="BA51" i="1"/>
  <c r="BA68" i="1"/>
  <c r="BA62" i="1"/>
  <c r="BA76" i="1"/>
  <c r="BA30" i="1"/>
  <c r="BA52" i="1"/>
  <c r="BA43" i="1"/>
  <c r="BA57" i="1"/>
  <c r="BA44" i="1"/>
  <c r="BA69" i="1"/>
  <c r="BA38" i="1"/>
  <c r="BA63" i="1"/>
  <c r="BA45" i="1"/>
  <c r="BA53" i="1"/>
  <c r="BA58" i="1"/>
  <c r="BA31" i="1"/>
  <c r="BA39" i="1"/>
  <c r="BA55" i="1"/>
  <c r="BA32" i="1"/>
  <c r="BA40" i="1"/>
  <c r="BA67" i="1"/>
  <c r="BA65" i="1"/>
  <c r="BA59" i="1"/>
  <c r="BA49" i="1"/>
  <c r="BA33" i="1"/>
  <c r="BA54" i="1"/>
  <c r="BA64" i="1"/>
  <c r="BA50" i="1"/>
  <c r="BA41" i="1"/>
  <c r="BA34" i="1"/>
  <c r="BA47" i="1"/>
  <c r="BA66" i="1"/>
  <c r="BA36" i="1"/>
  <c r="BA35" i="1"/>
  <c r="BA37" i="1"/>
  <c r="BA48" i="1"/>
  <c r="BA60" i="1"/>
  <c r="BA2" i="1"/>
  <c r="BA4" i="1"/>
  <c r="BA7" i="1"/>
  <c r="BA9" i="1"/>
  <c r="BA10" i="1"/>
  <c r="BA11" i="1"/>
  <c r="BA12" i="1"/>
  <c r="BA13" i="1"/>
  <c r="BA14" i="1"/>
  <c r="BA15" i="1"/>
  <c r="BA16" i="1"/>
  <c r="BA17" i="1"/>
  <c r="BA18" i="1"/>
  <c r="BA77" i="1"/>
  <c r="BA78" i="1"/>
  <c r="BA79" i="1"/>
  <c r="BA80" i="1"/>
  <c r="BA81" i="1"/>
  <c r="BA82" i="1"/>
  <c r="BA83" i="1"/>
  <c r="BA84" i="1"/>
  <c r="BA85" i="1"/>
  <c r="BA86" i="1"/>
  <c r="BA87" i="1"/>
  <c r="BA88" i="1"/>
  <c r="BA89" i="1"/>
  <c r="BA91" i="1"/>
  <c r="BA92" i="1"/>
  <c r="BA93" i="1"/>
  <c r="BA94" i="1"/>
  <c r="BA95" i="1"/>
  <c r="BA96" i="1"/>
  <c r="BA97" i="1"/>
  <c r="BA98" i="1"/>
  <c r="BA116" i="1"/>
  <c r="BA120" i="1"/>
  <c r="BA138" i="1"/>
  <c r="BA203" i="1"/>
  <c r="BA205" i="1"/>
  <c r="BA248" i="1"/>
  <c r="BA196" i="1"/>
  <c r="BA19" i="1"/>
  <c r="BA20" i="1"/>
  <c r="BA259" i="1"/>
  <c r="BA260" i="1"/>
  <c r="BA261" i="1"/>
  <c r="BA262" i="1"/>
  <c r="BA263" i="1"/>
  <c r="BA264" i="1"/>
  <c r="BA265" i="1"/>
  <c r="BA266" i="1"/>
  <c r="BA267" i="1"/>
  <c r="BA254" i="1"/>
  <c r="BA251" i="1"/>
  <c r="BA255" i="1"/>
  <c r="BA268" i="1"/>
  <c r="BA275" i="1"/>
  <c r="BA277" i="1"/>
  <c r="BA278" i="1"/>
  <c r="BA279" i="1"/>
  <c r="BA280" i="1"/>
  <c r="BA281" i="1"/>
  <c r="BA282" i="1"/>
  <c r="BA283" i="1"/>
  <c r="BA284" i="1"/>
  <c r="BA285" i="1"/>
  <c r="BA286" i="1"/>
  <c r="BA287" i="1"/>
  <c r="BA288" i="1"/>
  <c r="BA289" i="1"/>
  <c r="BA198" i="1"/>
  <c r="BA199" i="1"/>
  <c r="BA200" i="1"/>
  <c r="BA202" i="1"/>
  <c r="BA157" i="1"/>
  <c r="BA204" i="1"/>
  <c r="BA206" i="1"/>
  <c r="BA208" i="1"/>
  <c r="BA209" i="1"/>
  <c r="BA210" i="1"/>
  <c r="BA211" i="1"/>
  <c r="BA212" i="1"/>
  <c r="BA215" i="1"/>
  <c r="BA216" i="1"/>
  <c r="BA217" i="1"/>
  <c r="BA218" i="1"/>
  <c r="BA219" i="1"/>
  <c r="BA220" i="1"/>
  <c r="BA221" i="1"/>
  <c r="BA223" i="1"/>
  <c r="BA224" i="1"/>
  <c r="BA225" i="1"/>
  <c r="BA226" i="1"/>
  <c r="BA227" i="1"/>
  <c r="BA230" i="1"/>
  <c r="BA231" i="1"/>
  <c r="BA237" i="1"/>
  <c r="BA240" i="1"/>
  <c r="BA241" i="1"/>
  <c r="BA244" i="1"/>
  <c r="BA245" i="1"/>
  <c r="BA247" i="1"/>
  <c r="BA250" i="1"/>
  <c r="BA253" i="1"/>
  <c r="BA228" i="1"/>
  <c r="BA99" i="1"/>
  <c r="BA100" i="1"/>
  <c r="BA101" i="1"/>
  <c r="BA197" i="1"/>
  <c r="BA102" i="1"/>
  <c r="BA103" i="1"/>
  <c r="BA105" i="1"/>
  <c r="BA106" i="1"/>
  <c r="BA108" i="1"/>
  <c r="BA110" i="1"/>
  <c r="BA111" i="1"/>
  <c r="BA113" i="1"/>
  <c r="BA115" i="1"/>
  <c r="BA117" i="1"/>
  <c r="BA119" i="1"/>
  <c r="BA121" i="1"/>
  <c r="BA122" i="1"/>
  <c r="BA123" i="1"/>
  <c r="BA124" i="1"/>
  <c r="BA125" i="1"/>
  <c r="BA126" i="1"/>
  <c r="BA127" i="1"/>
  <c r="BA129" i="1"/>
  <c r="BA128" i="1"/>
  <c r="BA130" i="1"/>
  <c r="BA131" i="1"/>
  <c r="BA132" i="1"/>
  <c r="BA133" i="1"/>
  <c r="BA134" i="1"/>
  <c r="BA135" i="1"/>
  <c r="BA136" i="1"/>
  <c r="BA137" i="1"/>
  <c r="BA139" i="1"/>
  <c r="BA140" i="1"/>
  <c r="BA141" i="1"/>
  <c r="BA142" i="1"/>
  <c r="BA143" i="1"/>
  <c r="BA144" i="1"/>
  <c r="BA145" i="1"/>
  <c r="BA146" i="1"/>
  <c r="BA147" i="1"/>
  <c r="BA148" i="1"/>
  <c r="BA149" i="1"/>
  <c r="BA150" i="1"/>
  <c r="BA151" i="1"/>
  <c r="BA152" i="1"/>
  <c r="BA153" i="1"/>
  <c r="BA154" i="1"/>
  <c r="BA155" i="1"/>
  <c r="BA156"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6" i="1"/>
  <c r="BA187" i="1"/>
  <c r="BA188" i="1"/>
  <c r="BA189" i="1"/>
  <c r="BA190" i="1"/>
  <c r="BA191" i="1"/>
  <c r="BA192" i="1"/>
  <c r="BA193" i="1"/>
  <c r="BA194" i="1"/>
  <c r="BA195" i="1"/>
  <c r="BA256" i="1"/>
  <c r="AW23" i="1"/>
  <c r="AX23" i="1"/>
  <c r="AY23" i="1"/>
  <c r="BB23" i="1"/>
  <c r="AW21" i="1"/>
  <c r="AX21" i="1"/>
  <c r="AY21" i="1"/>
  <c r="BB21" i="1"/>
  <c r="AW22" i="1"/>
  <c r="AX22" i="1"/>
  <c r="AY22" i="1"/>
  <c r="BB22" i="1"/>
  <c r="AW257" i="1"/>
  <c r="AX257" i="1"/>
  <c r="AY257" i="1"/>
  <c r="BB257" i="1"/>
  <c r="AW61" i="1"/>
  <c r="AX61" i="1"/>
  <c r="AY61" i="1"/>
  <c r="BB61" i="1"/>
  <c r="AW56" i="1"/>
  <c r="AX56" i="1"/>
  <c r="AY56" i="1"/>
  <c r="BB56" i="1"/>
  <c r="AW42" i="1"/>
  <c r="AX42" i="1"/>
  <c r="AY42" i="1"/>
  <c r="BB42" i="1"/>
  <c r="AW29" i="1"/>
  <c r="AX29" i="1"/>
  <c r="AY29" i="1"/>
  <c r="BB29" i="1"/>
  <c r="AW26" i="1"/>
  <c r="AX26" i="1"/>
  <c r="AY26" i="1"/>
  <c r="BB26" i="1"/>
  <c r="AW28" i="1"/>
  <c r="AX28" i="1"/>
  <c r="AY28" i="1"/>
  <c r="BB28" i="1"/>
  <c r="AW27" i="1"/>
  <c r="AX27" i="1"/>
  <c r="AY27" i="1"/>
  <c r="BB27" i="1"/>
  <c r="AW25" i="1"/>
  <c r="AX25" i="1"/>
  <c r="AY25" i="1"/>
  <c r="BB25" i="1"/>
  <c r="AW51" i="1"/>
  <c r="AX51" i="1"/>
  <c r="AY51" i="1"/>
  <c r="BB51" i="1"/>
  <c r="AW68" i="1"/>
  <c r="AX68" i="1"/>
  <c r="AY68" i="1"/>
  <c r="BB68" i="1"/>
  <c r="AW62" i="1"/>
  <c r="AX62" i="1"/>
  <c r="AY62" i="1"/>
  <c r="BB62" i="1"/>
  <c r="AW76" i="1"/>
  <c r="AX76" i="1"/>
  <c r="AY76" i="1"/>
  <c r="BB76" i="1"/>
  <c r="AW30" i="1"/>
  <c r="AX30" i="1"/>
  <c r="AY30" i="1"/>
  <c r="BB30" i="1"/>
  <c r="AW52" i="1"/>
  <c r="AX52" i="1"/>
  <c r="AY52" i="1"/>
  <c r="BB52" i="1"/>
  <c r="AW43" i="1"/>
  <c r="AX43" i="1"/>
  <c r="AY43" i="1"/>
  <c r="BB43" i="1"/>
  <c r="AW57" i="1"/>
  <c r="AX57" i="1"/>
  <c r="AY57" i="1"/>
  <c r="BB57" i="1"/>
  <c r="AW44" i="1"/>
  <c r="AX44" i="1"/>
  <c r="AY44" i="1"/>
  <c r="BB44" i="1"/>
  <c r="AW69" i="1"/>
  <c r="AX69" i="1"/>
  <c r="AY69" i="1"/>
  <c r="BB69" i="1"/>
  <c r="AW38" i="1"/>
  <c r="AX38" i="1"/>
  <c r="AY38" i="1"/>
  <c r="BB38" i="1"/>
  <c r="AW63" i="1"/>
  <c r="AX63" i="1"/>
  <c r="AY63" i="1"/>
  <c r="BB63" i="1"/>
  <c r="AW45" i="1"/>
  <c r="AX45" i="1"/>
  <c r="AY45" i="1"/>
  <c r="BB45" i="1"/>
  <c r="AW53" i="1"/>
  <c r="AX53" i="1"/>
  <c r="AY53" i="1"/>
  <c r="BB53" i="1"/>
  <c r="AW58" i="1"/>
  <c r="AX58" i="1"/>
  <c r="AY58" i="1"/>
  <c r="BB58" i="1"/>
  <c r="AW46" i="1"/>
  <c r="AX46" i="1"/>
  <c r="AY46" i="1"/>
  <c r="BB46" i="1"/>
  <c r="AW31" i="1"/>
  <c r="AX31" i="1"/>
  <c r="AY31" i="1"/>
  <c r="BB31" i="1"/>
  <c r="AW39" i="1"/>
  <c r="AX39" i="1"/>
  <c r="AY39" i="1"/>
  <c r="BB39" i="1"/>
  <c r="AW55" i="1"/>
  <c r="AX55" i="1"/>
  <c r="AY55" i="1"/>
  <c r="BB55" i="1"/>
  <c r="AW32" i="1"/>
  <c r="AX32" i="1"/>
  <c r="AY32" i="1"/>
  <c r="BB32" i="1"/>
  <c r="AW40" i="1"/>
  <c r="AX40" i="1"/>
  <c r="AY40" i="1"/>
  <c r="BB40" i="1"/>
  <c r="AW67" i="1"/>
  <c r="AX67" i="1"/>
  <c r="AY67" i="1"/>
  <c r="BB67" i="1"/>
  <c r="AW65" i="1"/>
  <c r="AX65" i="1"/>
  <c r="AY65" i="1"/>
  <c r="BB65" i="1"/>
  <c r="AW59" i="1"/>
  <c r="AX59" i="1"/>
  <c r="AY59" i="1"/>
  <c r="BB59" i="1"/>
  <c r="AW49" i="1"/>
  <c r="AX49" i="1"/>
  <c r="AY49" i="1"/>
  <c r="BB49" i="1"/>
  <c r="AW33" i="1"/>
  <c r="AX33" i="1"/>
  <c r="AY33" i="1"/>
  <c r="BB33" i="1"/>
  <c r="AW54" i="1"/>
  <c r="AX54" i="1"/>
  <c r="AY54" i="1"/>
  <c r="BB54" i="1"/>
  <c r="AW64" i="1"/>
  <c r="AX64" i="1"/>
  <c r="AY64" i="1"/>
  <c r="BB64" i="1"/>
  <c r="AW50" i="1"/>
  <c r="AX50" i="1"/>
  <c r="AY50" i="1"/>
  <c r="BB50" i="1"/>
  <c r="AW41" i="1"/>
  <c r="AX41" i="1"/>
  <c r="AY41" i="1"/>
  <c r="BB41" i="1"/>
  <c r="AW34" i="1"/>
  <c r="AX34" i="1"/>
  <c r="AY34" i="1"/>
  <c r="BB34" i="1"/>
  <c r="AW47" i="1"/>
  <c r="AX47" i="1"/>
  <c r="AY47" i="1"/>
  <c r="BB47" i="1"/>
  <c r="AW66" i="1"/>
  <c r="AX66" i="1"/>
  <c r="AY66" i="1"/>
  <c r="BB66" i="1"/>
  <c r="AW36" i="1"/>
  <c r="AX36" i="1"/>
  <c r="AY36" i="1"/>
  <c r="BB36" i="1"/>
  <c r="AW35" i="1"/>
  <c r="AX35" i="1"/>
  <c r="AY35" i="1"/>
  <c r="BB35" i="1"/>
  <c r="AW37" i="1"/>
  <c r="AX37" i="1"/>
  <c r="AY37" i="1"/>
  <c r="BB37" i="1"/>
  <c r="AW48" i="1"/>
  <c r="AX48" i="1"/>
  <c r="AY48" i="1"/>
  <c r="BB48" i="1"/>
  <c r="AW60" i="1"/>
  <c r="AX60" i="1"/>
  <c r="AY60" i="1"/>
  <c r="BB60" i="1"/>
  <c r="AW2" i="1"/>
  <c r="AX2" i="1"/>
  <c r="AY2" i="1"/>
  <c r="BB2" i="1"/>
  <c r="AW4" i="1"/>
  <c r="AX4" i="1"/>
  <c r="AY4" i="1"/>
  <c r="BB4" i="1"/>
  <c r="AW7" i="1"/>
  <c r="AX7" i="1"/>
  <c r="AY7" i="1"/>
  <c r="BB7" i="1"/>
  <c r="AW9" i="1"/>
  <c r="AX9" i="1"/>
  <c r="AY9" i="1"/>
  <c r="BB9" i="1"/>
  <c r="AW10" i="1"/>
  <c r="AX10" i="1"/>
  <c r="AY10" i="1"/>
  <c r="BB10" i="1"/>
  <c r="AW11" i="1"/>
  <c r="AX11" i="1"/>
  <c r="AY11" i="1"/>
  <c r="BB11" i="1"/>
  <c r="AW12" i="1"/>
  <c r="AX12" i="1"/>
  <c r="AY12" i="1"/>
  <c r="BB12" i="1"/>
  <c r="AW13" i="1"/>
  <c r="AX13" i="1"/>
  <c r="AY13" i="1"/>
  <c r="BB13" i="1"/>
  <c r="AW14" i="1"/>
  <c r="AX14" i="1"/>
  <c r="AY14" i="1"/>
  <c r="BB14" i="1"/>
  <c r="AW15" i="1"/>
  <c r="AX15" i="1"/>
  <c r="AY15" i="1"/>
  <c r="BB15" i="1"/>
  <c r="AW16" i="1"/>
  <c r="AX16" i="1"/>
  <c r="AY16" i="1"/>
  <c r="BB16" i="1"/>
  <c r="AW17" i="1"/>
  <c r="AX17" i="1"/>
  <c r="AY17" i="1"/>
  <c r="BB17" i="1"/>
  <c r="AW18" i="1"/>
  <c r="AX18" i="1"/>
  <c r="AY18" i="1"/>
  <c r="BB18" i="1"/>
  <c r="AW77" i="1"/>
  <c r="AX77" i="1"/>
  <c r="AY77" i="1"/>
  <c r="BB77" i="1"/>
  <c r="AW78" i="1"/>
  <c r="AX78" i="1"/>
  <c r="AY78" i="1"/>
  <c r="BB78" i="1"/>
  <c r="AW79" i="1"/>
  <c r="AX79" i="1"/>
  <c r="AY79" i="1"/>
  <c r="BB79" i="1"/>
  <c r="AW80" i="1"/>
  <c r="AX80" i="1"/>
  <c r="AY80" i="1"/>
  <c r="BB80" i="1"/>
  <c r="AW81" i="1"/>
  <c r="AX81" i="1"/>
  <c r="AY81" i="1"/>
  <c r="BB81" i="1"/>
  <c r="AW82" i="1"/>
  <c r="AX82" i="1"/>
  <c r="AY82" i="1"/>
  <c r="BB82" i="1"/>
  <c r="AW83" i="1"/>
  <c r="AX83" i="1"/>
  <c r="AY83" i="1"/>
  <c r="BB83" i="1"/>
  <c r="AW84" i="1"/>
  <c r="AX84" i="1"/>
  <c r="AY84" i="1"/>
  <c r="BB84" i="1"/>
  <c r="AW85" i="1"/>
  <c r="AX85" i="1"/>
  <c r="AY85" i="1"/>
  <c r="BB85" i="1"/>
  <c r="AW86" i="1"/>
  <c r="AX86" i="1"/>
  <c r="AY86" i="1"/>
  <c r="BB86" i="1"/>
  <c r="AW87" i="1"/>
  <c r="AX87" i="1"/>
  <c r="AY87" i="1"/>
  <c r="BB87" i="1"/>
  <c r="AW88" i="1"/>
  <c r="AX88" i="1"/>
  <c r="AY88" i="1"/>
  <c r="BB88" i="1"/>
  <c r="AW89" i="1"/>
  <c r="AX89" i="1"/>
  <c r="AY89" i="1"/>
  <c r="BB89" i="1"/>
  <c r="AX91" i="1"/>
  <c r="AY91" i="1"/>
  <c r="BB91" i="1"/>
  <c r="AW92" i="1"/>
  <c r="AX92" i="1"/>
  <c r="AY92" i="1"/>
  <c r="BB92" i="1"/>
  <c r="AW93" i="1"/>
  <c r="AX93" i="1"/>
  <c r="AY93" i="1"/>
  <c r="BB93" i="1"/>
  <c r="AW94" i="1"/>
  <c r="AX94" i="1"/>
  <c r="AY94" i="1"/>
  <c r="BB94" i="1"/>
  <c r="AW95" i="1"/>
  <c r="AX95" i="1"/>
  <c r="AY95" i="1"/>
  <c r="BB95" i="1"/>
  <c r="AW96" i="1"/>
  <c r="AX96" i="1"/>
  <c r="AY96" i="1"/>
  <c r="BB96" i="1"/>
  <c r="AW97" i="1"/>
  <c r="AX97" i="1"/>
  <c r="AY97" i="1"/>
  <c r="BB97" i="1"/>
  <c r="AW98" i="1"/>
  <c r="AX98" i="1"/>
  <c r="AY98" i="1"/>
  <c r="BB98" i="1"/>
  <c r="AW116" i="1"/>
  <c r="AX116" i="1"/>
  <c r="AY116" i="1"/>
  <c r="BB116" i="1"/>
  <c r="BE116" i="1" s="1"/>
  <c r="AW120" i="1"/>
  <c r="AX120" i="1"/>
  <c r="AY120" i="1"/>
  <c r="BB120" i="1"/>
  <c r="AW138" i="1"/>
  <c r="AX138" i="1"/>
  <c r="AY138" i="1"/>
  <c r="BB138" i="1"/>
  <c r="BE138" i="1" s="1"/>
  <c r="AW203" i="1"/>
  <c r="AX203" i="1"/>
  <c r="AY203" i="1"/>
  <c r="BB203" i="1"/>
  <c r="AW205" i="1"/>
  <c r="AX205" i="1"/>
  <c r="AY205" i="1"/>
  <c r="BB205" i="1"/>
  <c r="AW248" i="1"/>
  <c r="AY248" i="1"/>
  <c r="BB248" i="1"/>
  <c r="AW196" i="1"/>
  <c r="AX196" i="1"/>
  <c r="AY196" i="1"/>
  <c r="BB196" i="1"/>
  <c r="AW19" i="1"/>
  <c r="AX19" i="1"/>
  <c r="AY19" i="1"/>
  <c r="BB19" i="1"/>
  <c r="AW20" i="1"/>
  <c r="AX20" i="1"/>
  <c r="AY20" i="1"/>
  <c r="BB20" i="1"/>
  <c r="AW259" i="1"/>
  <c r="AX259" i="1"/>
  <c r="AY259" i="1"/>
  <c r="BB259" i="1"/>
  <c r="AW260" i="1"/>
  <c r="AX260" i="1"/>
  <c r="AY260" i="1"/>
  <c r="BB260" i="1"/>
  <c r="AW261" i="1"/>
  <c r="AX261" i="1"/>
  <c r="AY261" i="1"/>
  <c r="BB261" i="1"/>
  <c r="AW262" i="1"/>
  <c r="AX262" i="1"/>
  <c r="AY262" i="1"/>
  <c r="BB262" i="1"/>
  <c r="AW263" i="1"/>
  <c r="AX263" i="1"/>
  <c r="AY263" i="1"/>
  <c r="BB263" i="1"/>
  <c r="AW264" i="1"/>
  <c r="AX264" i="1"/>
  <c r="AY264" i="1"/>
  <c r="BB264" i="1"/>
  <c r="AW265" i="1"/>
  <c r="AX265" i="1"/>
  <c r="AY265" i="1"/>
  <c r="BB265" i="1"/>
  <c r="AW266" i="1"/>
  <c r="AX266" i="1"/>
  <c r="AY266" i="1"/>
  <c r="BB266" i="1"/>
  <c r="AW267" i="1"/>
  <c r="AX267" i="1"/>
  <c r="AY267" i="1"/>
  <c r="BB267" i="1"/>
  <c r="AW254" i="1"/>
  <c r="AX254" i="1"/>
  <c r="AY254" i="1"/>
  <c r="BB254" i="1"/>
  <c r="AW251" i="1"/>
  <c r="AX251" i="1"/>
  <c r="AY251" i="1"/>
  <c r="BB251" i="1"/>
  <c r="AW255" i="1"/>
  <c r="AX255" i="1"/>
  <c r="AY255" i="1"/>
  <c r="BB255" i="1"/>
  <c r="AW268" i="1"/>
  <c r="AX268" i="1"/>
  <c r="AY268" i="1"/>
  <c r="BB268" i="1"/>
  <c r="AW275" i="1"/>
  <c r="AX275" i="1"/>
  <c r="AY275" i="1"/>
  <c r="BB275" i="1"/>
  <c r="AW276" i="1"/>
  <c r="AX276" i="1"/>
  <c r="AY276" i="1"/>
  <c r="BB276" i="1"/>
  <c r="AW277" i="1"/>
  <c r="AX277" i="1"/>
  <c r="AY277" i="1"/>
  <c r="BB277" i="1"/>
  <c r="AW278" i="1"/>
  <c r="AX278" i="1"/>
  <c r="AY278" i="1"/>
  <c r="BB278" i="1"/>
  <c r="AW279" i="1"/>
  <c r="AX279" i="1"/>
  <c r="AY279" i="1"/>
  <c r="BB279" i="1"/>
  <c r="AW280" i="1"/>
  <c r="AX280" i="1"/>
  <c r="AY280" i="1"/>
  <c r="BB280" i="1"/>
  <c r="AW281" i="1"/>
  <c r="AX281" i="1"/>
  <c r="AY281" i="1"/>
  <c r="BB281" i="1"/>
  <c r="AW282" i="1"/>
  <c r="AX282" i="1"/>
  <c r="AY282" i="1"/>
  <c r="BB282" i="1"/>
  <c r="AW283" i="1"/>
  <c r="AX283" i="1"/>
  <c r="AY283" i="1"/>
  <c r="BB283" i="1"/>
  <c r="AW284" i="1"/>
  <c r="AX284" i="1"/>
  <c r="AY284" i="1"/>
  <c r="BB284" i="1"/>
  <c r="AW285" i="1"/>
  <c r="AX285" i="1"/>
  <c r="AY285" i="1"/>
  <c r="BB285" i="1"/>
  <c r="AW286" i="1"/>
  <c r="AX286" i="1"/>
  <c r="AY286" i="1"/>
  <c r="BB286" i="1"/>
  <c r="AW287" i="1"/>
  <c r="AX287" i="1"/>
  <c r="AY287" i="1"/>
  <c r="BB287" i="1"/>
  <c r="AW288" i="1"/>
  <c r="AX288" i="1"/>
  <c r="AY288" i="1"/>
  <c r="BB288" i="1"/>
  <c r="AW289" i="1"/>
  <c r="AX289" i="1"/>
  <c r="AY289" i="1"/>
  <c r="BB289" i="1"/>
  <c r="AW198" i="1"/>
  <c r="AX198" i="1"/>
  <c r="AY198" i="1"/>
  <c r="BB198" i="1"/>
  <c r="AW199" i="1"/>
  <c r="AX199" i="1"/>
  <c r="AY199" i="1"/>
  <c r="BB199" i="1"/>
  <c r="AW200" i="1"/>
  <c r="AX200" i="1"/>
  <c r="AY200" i="1"/>
  <c r="BB200" i="1"/>
  <c r="AW201" i="1"/>
  <c r="AX201" i="1"/>
  <c r="AY201" i="1"/>
  <c r="BB201" i="1"/>
  <c r="AW202" i="1"/>
  <c r="AX202" i="1"/>
  <c r="AY202" i="1"/>
  <c r="BB202" i="1"/>
  <c r="AW157" i="1"/>
  <c r="AX157" i="1"/>
  <c r="AY157" i="1"/>
  <c r="BB157" i="1"/>
  <c r="AW204" i="1"/>
  <c r="AX204" i="1"/>
  <c r="AY204" i="1"/>
  <c r="BB204" i="1"/>
  <c r="AW206" i="1"/>
  <c r="AX206" i="1"/>
  <c r="AY206" i="1"/>
  <c r="BB206" i="1"/>
  <c r="AW208" i="1"/>
  <c r="AX208" i="1"/>
  <c r="AY208" i="1"/>
  <c r="BB208" i="1"/>
  <c r="AW209" i="1"/>
  <c r="AX209" i="1"/>
  <c r="AY209" i="1"/>
  <c r="BB209" i="1"/>
  <c r="AW210" i="1"/>
  <c r="AX210" i="1"/>
  <c r="AY210" i="1"/>
  <c r="BB210" i="1"/>
  <c r="AW211" i="1"/>
  <c r="AX211" i="1"/>
  <c r="AY211" i="1"/>
  <c r="BB211" i="1"/>
  <c r="AW212" i="1"/>
  <c r="AX212" i="1"/>
  <c r="AY212" i="1"/>
  <c r="BB212" i="1"/>
  <c r="AW215" i="1"/>
  <c r="AX215" i="1"/>
  <c r="AY215" i="1"/>
  <c r="BB215" i="1"/>
  <c r="AW216" i="1"/>
  <c r="AX216" i="1"/>
  <c r="AY216" i="1"/>
  <c r="BB216" i="1"/>
  <c r="AW217" i="1"/>
  <c r="AY217" i="1"/>
  <c r="BB217" i="1"/>
  <c r="AW218" i="1"/>
  <c r="AX218" i="1"/>
  <c r="AY218" i="1"/>
  <c r="BB218" i="1"/>
  <c r="AW219" i="1"/>
  <c r="AY219" i="1"/>
  <c r="BB219" i="1"/>
  <c r="AW220" i="1"/>
  <c r="AY220" i="1"/>
  <c r="BB220" i="1"/>
  <c r="AW221" i="1"/>
  <c r="AX221" i="1"/>
  <c r="AY221" i="1"/>
  <c r="BB221" i="1"/>
  <c r="BE221" i="1" s="1"/>
  <c r="AW223" i="1"/>
  <c r="AY223" i="1"/>
  <c r="BB223" i="1"/>
  <c r="AW224" i="1"/>
  <c r="AX224" i="1"/>
  <c r="AY224" i="1"/>
  <c r="BB224" i="1"/>
  <c r="AW225" i="1"/>
  <c r="AY225" i="1"/>
  <c r="BB225" i="1"/>
  <c r="AW226" i="1"/>
  <c r="AX226" i="1"/>
  <c r="AY226" i="1"/>
  <c r="BB226" i="1"/>
  <c r="AW227" i="1"/>
  <c r="AX227" i="1"/>
  <c r="AY227" i="1"/>
  <c r="BB227" i="1"/>
  <c r="AW230" i="1"/>
  <c r="AX230" i="1"/>
  <c r="AY230" i="1"/>
  <c r="BB230" i="1"/>
  <c r="AW231" i="1"/>
  <c r="AX231" i="1"/>
  <c r="AY231" i="1"/>
  <c r="BB231" i="1"/>
  <c r="AW234" i="1"/>
  <c r="AX234" i="1"/>
  <c r="AY234" i="1"/>
  <c r="BB234" i="1"/>
  <c r="AW237" i="1"/>
  <c r="AX237" i="1"/>
  <c r="AY237" i="1"/>
  <c r="BB237" i="1"/>
  <c r="AW240" i="1"/>
  <c r="AX240" i="1"/>
  <c r="AY240" i="1"/>
  <c r="BB240" i="1"/>
  <c r="AW241" i="1"/>
  <c r="AY241" i="1"/>
  <c r="BB241" i="1"/>
  <c r="AW244" i="1"/>
  <c r="AX244" i="1"/>
  <c r="AY244" i="1"/>
  <c r="BB244" i="1"/>
  <c r="AW245" i="1"/>
  <c r="AX245" i="1"/>
  <c r="AY245" i="1"/>
  <c r="BB245" i="1"/>
  <c r="AW247" i="1"/>
  <c r="AX247" i="1"/>
  <c r="AY247" i="1"/>
  <c r="BB247" i="1"/>
  <c r="AW250" i="1"/>
  <c r="AY250" i="1"/>
  <c r="BB250" i="1"/>
  <c r="AW253" i="1"/>
  <c r="AY253" i="1"/>
  <c r="BB253" i="1"/>
  <c r="AW228" i="1"/>
  <c r="AX228" i="1"/>
  <c r="AY228" i="1"/>
  <c r="BB228" i="1"/>
  <c r="AW99" i="1"/>
  <c r="AX99" i="1"/>
  <c r="AY99" i="1"/>
  <c r="BB99" i="1"/>
  <c r="AW100" i="1"/>
  <c r="AX100" i="1"/>
  <c r="AY100" i="1"/>
  <c r="BB100" i="1"/>
  <c r="AW101" i="1"/>
  <c r="AX101" i="1"/>
  <c r="AY101" i="1"/>
  <c r="BB101" i="1"/>
  <c r="AW197" i="1"/>
  <c r="AX197" i="1"/>
  <c r="AY197" i="1"/>
  <c r="BB197" i="1"/>
  <c r="AW102" i="1"/>
  <c r="AX102" i="1"/>
  <c r="AY102" i="1"/>
  <c r="BB102" i="1"/>
  <c r="AW103" i="1"/>
  <c r="AX103" i="1"/>
  <c r="AY103" i="1"/>
  <c r="BB103" i="1"/>
  <c r="AW105" i="1"/>
  <c r="AX105" i="1"/>
  <c r="AY105" i="1"/>
  <c r="BB105" i="1"/>
  <c r="AW106" i="1"/>
  <c r="AX106" i="1"/>
  <c r="AY106" i="1"/>
  <c r="BB106" i="1"/>
  <c r="AW108" i="1"/>
  <c r="AX108" i="1"/>
  <c r="AY108" i="1"/>
  <c r="BB108" i="1"/>
  <c r="AW110" i="1"/>
  <c r="AX110" i="1"/>
  <c r="AY110" i="1"/>
  <c r="BB110" i="1"/>
  <c r="AW111" i="1"/>
  <c r="AX111" i="1"/>
  <c r="AY111" i="1"/>
  <c r="BB111" i="1"/>
  <c r="AW113" i="1"/>
  <c r="AX113" i="1"/>
  <c r="AY113" i="1"/>
  <c r="BB113" i="1"/>
  <c r="AW115" i="1"/>
  <c r="AX115" i="1"/>
  <c r="AY115" i="1"/>
  <c r="BB115" i="1"/>
  <c r="AW117" i="1"/>
  <c r="AX117" i="1"/>
  <c r="AY117" i="1"/>
  <c r="BB117" i="1"/>
  <c r="AW119" i="1"/>
  <c r="AX119" i="1"/>
  <c r="AY119" i="1"/>
  <c r="BB119" i="1"/>
  <c r="AW121" i="1"/>
  <c r="AX121" i="1"/>
  <c r="AY121" i="1"/>
  <c r="BB121" i="1"/>
  <c r="AW122" i="1"/>
  <c r="AX122" i="1"/>
  <c r="AY122" i="1"/>
  <c r="BB122" i="1"/>
  <c r="AW123" i="1"/>
  <c r="AX123" i="1"/>
  <c r="AY123" i="1"/>
  <c r="BB123" i="1"/>
  <c r="AW124" i="1"/>
  <c r="AX124" i="1"/>
  <c r="AY124" i="1"/>
  <c r="BB124" i="1"/>
  <c r="AW125" i="1"/>
  <c r="AX125" i="1"/>
  <c r="AY125" i="1"/>
  <c r="BB125" i="1"/>
  <c r="AW126" i="1"/>
  <c r="AX126" i="1"/>
  <c r="AY126" i="1"/>
  <c r="BB126" i="1"/>
  <c r="AW127" i="1"/>
  <c r="AX127" i="1"/>
  <c r="AY127" i="1"/>
  <c r="BB127" i="1"/>
  <c r="AW129" i="1"/>
  <c r="AX129" i="1"/>
  <c r="AY129" i="1"/>
  <c r="BB129" i="1"/>
  <c r="AW128" i="1"/>
  <c r="AX128" i="1"/>
  <c r="AY128" i="1"/>
  <c r="BB128" i="1"/>
  <c r="AW130" i="1"/>
  <c r="AX130" i="1"/>
  <c r="AY130" i="1"/>
  <c r="BB130" i="1"/>
  <c r="AW131" i="1"/>
  <c r="AX131" i="1"/>
  <c r="AY131" i="1"/>
  <c r="BB131" i="1"/>
  <c r="AW132" i="1"/>
  <c r="AX132" i="1"/>
  <c r="AY132" i="1"/>
  <c r="BB132" i="1"/>
  <c r="AW133" i="1"/>
  <c r="AX133" i="1"/>
  <c r="AY133" i="1"/>
  <c r="BB133" i="1"/>
  <c r="AW134" i="1"/>
  <c r="AX134" i="1"/>
  <c r="AY134" i="1"/>
  <c r="BB134" i="1"/>
  <c r="AW135" i="1"/>
  <c r="AX135" i="1"/>
  <c r="AY135" i="1"/>
  <c r="BB135" i="1"/>
  <c r="AW136" i="1"/>
  <c r="AX136" i="1"/>
  <c r="AY136" i="1"/>
  <c r="BB136" i="1"/>
  <c r="AW137" i="1"/>
  <c r="AX137" i="1"/>
  <c r="AY137" i="1"/>
  <c r="BB137" i="1"/>
  <c r="AW139" i="1"/>
  <c r="AX139" i="1"/>
  <c r="AY139" i="1"/>
  <c r="BB139" i="1"/>
  <c r="AW140" i="1"/>
  <c r="AX140" i="1"/>
  <c r="AY140" i="1"/>
  <c r="BB140" i="1"/>
  <c r="AW141" i="1"/>
  <c r="AX141" i="1"/>
  <c r="AY141" i="1"/>
  <c r="BB141" i="1"/>
  <c r="AW142" i="1"/>
  <c r="AX142" i="1"/>
  <c r="AY142" i="1"/>
  <c r="BB142" i="1"/>
  <c r="AW143" i="1"/>
  <c r="AX143" i="1"/>
  <c r="AY143" i="1"/>
  <c r="BB143" i="1"/>
  <c r="AW144" i="1"/>
  <c r="AX144" i="1"/>
  <c r="AY144" i="1"/>
  <c r="BB144" i="1"/>
  <c r="AW145" i="1"/>
  <c r="AX145" i="1"/>
  <c r="AY145" i="1"/>
  <c r="BB145" i="1"/>
  <c r="AW146" i="1"/>
  <c r="AX146" i="1"/>
  <c r="AY146" i="1"/>
  <c r="BB146" i="1"/>
  <c r="AW147" i="1"/>
  <c r="AX147" i="1"/>
  <c r="AY147" i="1"/>
  <c r="BB147" i="1"/>
  <c r="AW148" i="1"/>
  <c r="AX148" i="1"/>
  <c r="AY148" i="1"/>
  <c r="BB148" i="1"/>
  <c r="AW149" i="1"/>
  <c r="AX149" i="1"/>
  <c r="AY149" i="1"/>
  <c r="BB149" i="1"/>
  <c r="AW150" i="1"/>
  <c r="AX150" i="1"/>
  <c r="AY150" i="1"/>
  <c r="BB150" i="1"/>
  <c r="AW151" i="1"/>
  <c r="AX151" i="1"/>
  <c r="AY151" i="1"/>
  <c r="BB151" i="1"/>
  <c r="AW152" i="1"/>
  <c r="AX152" i="1"/>
  <c r="AY152" i="1"/>
  <c r="BB152" i="1"/>
  <c r="AW153" i="1"/>
  <c r="AX153" i="1"/>
  <c r="AY153" i="1"/>
  <c r="BB153" i="1"/>
  <c r="AW154" i="1"/>
  <c r="AX154" i="1"/>
  <c r="AY154" i="1"/>
  <c r="BB154" i="1"/>
  <c r="AW155" i="1"/>
  <c r="AX155" i="1"/>
  <c r="AY155" i="1"/>
  <c r="BB155" i="1"/>
  <c r="AW156" i="1"/>
  <c r="AX156" i="1"/>
  <c r="AY156" i="1"/>
  <c r="BB156" i="1"/>
  <c r="AW158" i="1"/>
  <c r="AX158" i="1"/>
  <c r="AY158" i="1"/>
  <c r="BB158" i="1"/>
  <c r="AW159" i="1"/>
  <c r="AX159" i="1"/>
  <c r="AY159" i="1"/>
  <c r="BB159" i="1"/>
  <c r="AW160" i="1"/>
  <c r="AX160" i="1"/>
  <c r="AY160" i="1"/>
  <c r="BB160" i="1"/>
  <c r="AW161" i="1"/>
  <c r="AY161" i="1"/>
  <c r="BB161" i="1"/>
  <c r="AW162" i="1"/>
  <c r="AX162" i="1"/>
  <c r="AY162" i="1"/>
  <c r="BB162" i="1"/>
  <c r="AW163" i="1"/>
  <c r="AX163" i="1"/>
  <c r="AY163" i="1"/>
  <c r="BB163" i="1"/>
  <c r="AW164" i="1"/>
  <c r="AX164" i="1"/>
  <c r="AY164" i="1"/>
  <c r="BB164" i="1"/>
  <c r="AW165" i="1"/>
  <c r="AX165" i="1"/>
  <c r="AY165" i="1"/>
  <c r="BB165" i="1"/>
  <c r="AW166" i="1"/>
  <c r="AX166" i="1"/>
  <c r="AY166" i="1"/>
  <c r="BB166" i="1"/>
  <c r="AW167" i="1"/>
  <c r="AY167" i="1"/>
  <c r="BB167" i="1"/>
  <c r="AW168" i="1"/>
  <c r="AX168" i="1"/>
  <c r="AY168" i="1"/>
  <c r="BB168" i="1"/>
  <c r="AW169" i="1"/>
  <c r="AX169" i="1"/>
  <c r="AY169" i="1"/>
  <c r="BB169" i="1"/>
  <c r="AW170" i="1"/>
  <c r="AX170" i="1"/>
  <c r="AY170" i="1"/>
  <c r="BB170" i="1"/>
  <c r="AW171" i="1"/>
  <c r="AX171" i="1"/>
  <c r="AY171" i="1"/>
  <c r="BB171" i="1"/>
  <c r="AW172" i="1"/>
  <c r="AX172" i="1"/>
  <c r="AY172" i="1"/>
  <c r="BB172" i="1"/>
  <c r="AW173" i="1"/>
  <c r="AX173" i="1"/>
  <c r="AY173" i="1"/>
  <c r="BB173" i="1"/>
  <c r="AW174" i="1"/>
  <c r="AX174" i="1"/>
  <c r="AY174" i="1"/>
  <c r="BB174" i="1"/>
  <c r="AW175" i="1"/>
  <c r="AX175" i="1"/>
  <c r="AY175" i="1"/>
  <c r="BB175" i="1"/>
  <c r="AW176" i="1"/>
  <c r="AX176" i="1"/>
  <c r="AY176" i="1"/>
  <c r="BB176" i="1"/>
  <c r="AW177" i="1"/>
  <c r="AX177" i="1"/>
  <c r="AY177" i="1"/>
  <c r="BB177" i="1"/>
  <c r="AW178" i="1"/>
  <c r="AX178" i="1"/>
  <c r="AY178" i="1"/>
  <c r="BB178" i="1"/>
  <c r="AW179" i="1"/>
  <c r="AX179" i="1"/>
  <c r="AY179" i="1"/>
  <c r="BB179" i="1"/>
  <c r="AW180" i="1"/>
  <c r="AX180" i="1"/>
  <c r="AY180" i="1"/>
  <c r="BB180" i="1"/>
  <c r="AW181" i="1"/>
  <c r="AX181" i="1"/>
  <c r="AY181" i="1"/>
  <c r="BB181" i="1"/>
  <c r="AW182" i="1"/>
  <c r="AX182" i="1"/>
  <c r="AY182" i="1"/>
  <c r="BB182" i="1"/>
  <c r="AW183" i="1"/>
  <c r="AX183" i="1"/>
  <c r="AY183" i="1"/>
  <c r="BB183" i="1"/>
  <c r="AW184" i="1"/>
  <c r="AX184" i="1"/>
  <c r="AY184" i="1"/>
  <c r="BB184" i="1"/>
  <c r="AW186" i="1"/>
  <c r="AX186" i="1"/>
  <c r="AY186" i="1"/>
  <c r="BB186" i="1"/>
  <c r="AW187" i="1"/>
  <c r="AX187" i="1"/>
  <c r="AY187" i="1"/>
  <c r="BB187" i="1"/>
  <c r="AW188" i="1"/>
  <c r="AX188" i="1"/>
  <c r="AY188" i="1"/>
  <c r="BB188" i="1"/>
  <c r="AW189" i="1"/>
  <c r="AX189" i="1"/>
  <c r="AY189" i="1"/>
  <c r="BB189" i="1"/>
  <c r="AW190" i="1"/>
  <c r="AX190" i="1"/>
  <c r="AY190" i="1"/>
  <c r="BB190" i="1"/>
  <c r="AW191" i="1"/>
  <c r="AX191" i="1"/>
  <c r="AY191" i="1"/>
  <c r="BB191" i="1"/>
  <c r="AW192" i="1"/>
  <c r="AX192" i="1"/>
  <c r="AY192" i="1"/>
  <c r="BB192" i="1"/>
  <c r="AW193" i="1"/>
  <c r="AX193" i="1"/>
  <c r="AY193" i="1"/>
  <c r="BB193" i="1"/>
  <c r="AW194" i="1"/>
  <c r="AX194" i="1"/>
  <c r="AY194" i="1"/>
  <c r="BB194" i="1"/>
  <c r="AW195" i="1"/>
  <c r="AX195" i="1"/>
  <c r="AY195" i="1"/>
  <c r="BB195" i="1"/>
  <c r="AY256" i="1"/>
  <c r="AX256" i="1"/>
  <c r="AW256" i="1"/>
  <c r="BB256" i="1"/>
  <c r="BE91" i="1" l="1"/>
  <c r="BG91" i="1" s="1"/>
  <c r="BE84" i="1"/>
  <c r="BE82" i="1"/>
  <c r="BE18" i="1"/>
  <c r="BG18" i="1" s="1"/>
  <c r="BE16" i="1"/>
  <c r="BE10" i="1"/>
  <c r="BE7" i="1"/>
  <c r="BE35" i="1"/>
  <c r="BG35" i="1" s="1"/>
  <c r="BE66" i="1"/>
  <c r="BE205" i="1"/>
  <c r="BE86" i="1"/>
  <c r="BE78" i="1"/>
  <c r="BG78" i="1" s="1"/>
  <c r="BE12" i="1"/>
  <c r="BE48" i="1"/>
  <c r="BE50" i="1"/>
  <c r="BG50" i="1" s="1"/>
  <c r="BE166" i="1"/>
  <c r="BG166" i="1" s="1"/>
  <c r="BE164" i="1"/>
  <c r="BE237" i="1"/>
  <c r="BE227" i="1"/>
  <c r="BE231" i="1"/>
  <c r="BG231" i="1" s="1"/>
  <c r="BE97" i="1"/>
  <c r="BG97" i="1" s="1"/>
  <c r="BE88" i="1"/>
  <c r="BG88" i="1" s="1"/>
  <c r="BE80" i="1"/>
  <c r="BG80" i="1" s="1"/>
  <c r="BE14" i="1"/>
  <c r="BG14" i="1" s="1"/>
  <c r="BE2" i="1"/>
  <c r="BG2" i="1" s="1"/>
  <c r="BE34" i="1"/>
  <c r="BG34" i="1" s="1"/>
  <c r="BE54" i="1"/>
  <c r="BG54" i="1" s="1"/>
  <c r="BE49" i="1"/>
  <c r="BG49" i="1" s="1"/>
  <c r="BE65" i="1"/>
  <c r="BE40" i="1"/>
  <c r="BE55" i="1"/>
  <c r="BG55" i="1" s="1"/>
  <c r="BE31" i="1"/>
  <c r="BG31" i="1" s="1"/>
  <c r="BE58" i="1"/>
  <c r="BG58" i="1" s="1"/>
  <c r="BE162" i="1"/>
  <c r="BE195" i="1"/>
  <c r="BG195" i="1" s="1"/>
  <c r="BE193" i="1"/>
  <c r="BE191" i="1"/>
  <c r="BG191" i="1" s="1"/>
  <c r="BE189" i="1"/>
  <c r="BE187" i="1"/>
  <c r="BG187" i="1" s="1"/>
  <c r="BE184" i="1"/>
  <c r="BG184" i="1" s="1"/>
  <c r="BE182" i="1"/>
  <c r="BG182" i="1" s="1"/>
  <c r="BE180" i="1"/>
  <c r="BG180" i="1" s="1"/>
  <c r="BE178" i="1"/>
  <c r="BG178" i="1" s="1"/>
  <c r="BE176" i="1"/>
  <c r="BG176" i="1" s="1"/>
  <c r="BE174" i="1"/>
  <c r="BG174" i="1" s="1"/>
  <c r="BE172" i="1"/>
  <c r="BE170" i="1"/>
  <c r="BG170" i="1" s="1"/>
  <c r="BE168" i="1"/>
  <c r="BG168" i="1" s="1"/>
  <c r="BE245" i="1"/>
  <c r="BG245" i="1" s="1"/>
  <c r="BE45" i="1"/>
  <c r="BG45" i="1" s="1"/>
  <c r="BE38" i="1"/>
  <c r="BG38" i="1" s="1"/>
  <c r="BE44" i="1"/>
  <c r="BG44" i="1" s="1"/>
  <c r="BE43" i="1"/>
  <c r="BG43" i="1" s="1"/>
  <c r="BE30" i="1"/>
  <c r="BE62" i="1"/>
  <c r="BG62" i="1" s="1"/>
  <c r="BE51" i="1"/>
  <c r="BG51" i="1" s="1"/>
  <c r="BE27" i="1"/>
  <c r="BG27" i="1" s="1"/>
  <c r="BE26" i="1"/>
  <c r="BE42" i="1"/>
  <c r="BG42" i="1" s="1"/>
  <c r="BE61" i="1"/>
  <c r="BE159" i="1"/>
  <c r="BG159" i="1" s="1"/>
  <c r="BE154" i="1"/>
  <c r="BE150" i="1"/>
  <c r="BG150" i="1" s="1"/>
  <c r="BE146" i="1"/>
  <c r="BG146" i="1" s="1"/>
  <c r="BE142" i="1"/>
  <c r="BG142" i="1" s="1"/>
  <c r="BE137" i="1"/>
  <c r="BG137" i="1" s="1"/>
  <c r="BE133" i="1"/>
  <c r="BG133" i="1" s="1"/>
  <c r="BE128" i="1"/>
  <c r="BE125" i="1"/>
  <c r="BG125" i="1" s="1"/>
  <c r="BE121" i="1"/>
  <c r="BE110" i="1"/>
  <c r="BG110" i="1" s="1"/>
  <c r="BE103" i="1"/>
  <c r="BG103" i="1" s="1"/>
  <c r="BE100" i="1"/>
  <c r="BG100" i="1" s="1"/>
  <c r="BE224" i="1"/>
  <c r="BE216" i="1"/>
  <c r="BG216" i="1" s="1"/>
  <c r="BE212" i="1"/>
  <c r="BG212" i="1" s="1"/>
  <c r="BE210" i="1"/>
  <c r="BE208" i="1"/>
  <c r="BE204" i="1"/>
  <c r="BG204" i="1" s="1"/>
  <c r="BE202" i="1"/>
  <c r="BG202" i="1" s="1"/>
  <c r="BE200" i="1"/>
  <c r="BG200" i="1" s="1"/>
  <c r="BE198" i="1"/>
  <c r="BG198" i="1" s="1"/>
  <c r="BE288" i="1"/>
  <c r="BG288" i="1" s="1"/>
  <c r="BE286" i="1"/>
  <c r="BG286" i="1" s="1"/>
  <c r="BE284" i="1"/>
  <c r="BG284" i="1" s="1"/>
  <c r="BE282" i="1"/>
  <c r="BE280" i="1"/>
  <c r="BG280" i="1" s="1"/>
  <c r="BE278" i="1"/>
  <c r="BG278" i="1" s="1"/>
  <c r="BE268" i="1"/>
  <c r="BG268" i="1" s="1"/>
  <c r="BE251" i="1"/>
  <c r="BG251" i="1" s="1"/>
  <c r="BE267" i="1"/>
  <c r="BG267" i="1" s="1"/>
  <c r="BE265" i="1"/>
  <c r="BG265" i="1" s="1"/>
  <c r="BE263" i="1"/>
  <c r="BG263" i="1" s="1"/>
  <c r="BE261" i="1"/>
  <c r="BE259" i="1"/>
  <c r="BG259" i="1" s="1"/>
  <c r="BE19" i="1"/>
  <c r="BG19" i="1" s="1"/>
  <c r="BE196" i="1"/>
  <c r="BG196" i="1" s="1"/>
  <c r="BE156" i="1"/>
  <c r="BG156" i="1" s="1"/>
  <c r="BE152" i="1"/>
  <c r="BG152" i="1" s="1"/>
  <c r="BE148" i="1"/>
  <c r="BE144" i="1"/>
  <c r="BG144" i="1" s="1"/>
  <c r="BE140" i="1"/>
  <c r="BE135" i="1"/>
  <c r="BG135" i="1" s="1"/>
  <c r="BE131" i="1"/>
  <c r="BG131" i="1" s="1"/>
  <c r="BE127" i="1"/>
  <c r="BG127" i="1" s="1"/>
  <c r="BE123" i="1"/>
  <c r="BE117" i="1"/>
  <c r="BG117" i="1" s="1"/>
  <c r="BE113" i="1"/>
  <c r="BE106" i="1"/>
  <c r="BG106" i="1" s="1"/>
  <c r="BE197" i="1"/>
  <c r="BE228" i="1"/>
  <c r="BG228" i="1" s="1"/>
  <c r="BE165" i="1"/>
  <c r="BG165" i="1" s="1"/>
  <c r="BE163" i="1"/>
  <c r="BG163" i="1" s="1"/>
  <c r="BE240" i="1"/>
  <c r="BE230" i="1"/>
  <c r="BG230" i="1" s="1"/>
  <c r="BE226" i="1"/>
  <c r="BE218" i="1"/>
  <c r="BE256" i="1"/>
  <c r="BE194" i="1"/>
  <c r="BG194" i="1" s="1"/>
  <c r="BE192" i="1"/>
  <c r="BG192" i="1" s="1"/>
  <c r="BE190" i="1"/>
  <c r="BG190" i="1" s="1"/>
  <c r="BE188" i="1"/>
  <c r="BG188" i="1" s="1"/>
  <c r="BE186" i="1"/>
  <c r="BG186" i="1" s="1"/>
  <c r="BE183" i="1"/>
  <c r="BG183" i="1" s="1"/>
  <c r="BE181" i="1"/>
  <c r="BE179" i="1"/>
  <c r="BE177" i="1"/>
  <c r="BG177" i="1" s="1"/>
  <c r="BE175" i="1"/>
  <c r="BG175" i="1" s="1"/>
  <c r="BE173" i="1"/>
  <c r="BG173" i="1" s="1"/>
  <c r="BE171" i="1"/>
  <c r="BG171" i="1" s="1"/>
  <c r="BE169" i="1"/>
  <c r="BG169" i="1" s="1"/>
  <c r="BE247" i="1"/>
  <c r="BG247" i="1" s="1"/>
  <c r="BE244" i="1"/>
  <c r="BE203" i="1"/>
  <c r="BE120" i="1"/>
  <c r="BG120" i="1" s="1"/>
  <c r="BE98" i="1"/>
  <c r="BG98" i="1" s="1"/>
  <c r="BE92" i="1"/>
  <c r="BG92" i="1" s="1"/>
  <c r="BE89" i="1"/>
  <c r="BG89" i="1" s="1"/>
  <c r="BE87" i="1"/>
  <c r="BG87" i="1" s="1"/>
  <c r="BE85" i="1"/>
  <c r="BG85" i="1" s="1"/>
  <c r="BE83" i="1"/>
  <c r="BG83" i="1" s="1"/>
  <c r="BE81" i="1"/>
  <c r="BE79" i="1"/>
  <c r="BG79" i="1" s="1"/>
  <c r="BE77" i="1"/>
  <c r="BG77" i="1" s="1"/>
  <c r="BE17" i="1"/>
  <c r="BG17" i="1" s="1"/>
  <c r="BE15" i="1"/>
  <c r="BG15" i="1" s="1"/>
  <c r="BE13" i="1"/>
  <c r="BG13" i="1" s="1"/>
  <c r="BE11" i="1"/>
  <c r="BG11" i="1" s="1"/>
  <c r="BE9" i="1"/>
  <c r="BE4" i="1"/>
  <c r="BE60" i="1"/>
  <c r="BG60" i="1" s="1"/>
  <c r="BE37" i="1"/>
  <c r="BG37" i="1" s="1"/>
  <c r="BE36" i="1"/>
  <c r="BG36" i="1" s="1"/>
  <c r="BE47" i="1"/>
  <c r="BG47" i="1" s="1"/>
  <c r="BE41" i="1"/>
  <c r="BG41" i="1" s="1"/>
  <c r="BE64" i="1"/>
  <c r="BE33" i="1"/>
  <c r="BG33" i="1" s="1"/>
  <c r="BE59" i="1"/>
  <c r="BE67" i="1"/>
  <c r="BG67" i="1" s="1"/>
  <c r="BE32" i="1"/>
  <c r="BG32" i="1" s="1"/>
  <c r="BE39" i="1"/>
  <c r="BG39" i="1" s="1"/>
  <c r="BE53" i="1"/>
  <c r="BG53" i="1" s="1"/>
  <c r="BE63" i="1"/>
  <c r="BG63" i="1" s="1"/>
  <c r="BE69" i="1"/>
  <c r="BG69" i="1" s="1"/>
  <c r="BE57" i="1"/>
  <c r="BG57" i="1" s="1"/>
  <c r="BE52" i="1"/>
  <c r="BE76" i="1"/>
  <c r="BG76" i="1" s="1"/>
  <c r="BE68" i="1"/>
  <c r="BG68" i="1" s="1"/>
  <c r="BE25" i="1"/>
  <c r="BG25" i="1" s="1"/>
  <c r="BE28" i="1"/>
  <c r="BE29" i="1"/>
  <c r="BG29" i="1" s="1"/>
  <c r="BE56" i="1"/>
  <c r="BE257" i="1"/>
  <c r="BE160" i="1"/>
  <c r="BE158" i="1"/>
  <c r="BG158" i="1" s="1"/>
  <c r="BE155" i="1"/>
  <c r="BG155" i="1" s="1"/>
  <c r="BE153" i="1"/>
  <c r="BG153" i="1" s="1"/>
  <c r="BE151" i="1"/>
  <c r="BG151" i="1" s="1"/>
  <c r="BE149" i="1"/>
  <c r="BG149" i="1" s="1"/>
  <c r="BE147" i="1"/>
  <c r="BG147" i="1" s="1"/>
  <c r="BE145" i="1"/>
  <c r="BE143" i="1"/>
  <c r="BE141" i="1"/>
  <c r="BG141" i="1" s="1"/>
  <c r="BE139" i="1"/>
  <c r="BG139" i="1" s="1"/>
  <c r="BE136" i="1"/>
  <c r="BE134" i="1"/>
  <c r="BG134" i="1" s="1"/>
  <c r="BE132" i="1"/>
  <c r="BG132" i="1" s="1"/>
  <c r="BE130" i="1"/>
  <c r="BG130" i="1" s="1"/>
  <c r="BE129" i="1"/>
  <c r="BE126" i="1"/>
  <c r="BE124" i="1"/>
  <c r="BG124" i="1" s="1"/>
  <c r="BE122" i="1"/>
  <c r="BG122" i="1" s="1"/>
  <c r="BE119" i="1"/>
  <c r="BG119" i="1" s="1"/>
  <c r="BE115" i="1"/>
  <c r="BG115" i="1" s="1"/>
  <c r="BE111" i="1"/>
  <c r="BG111" i="1" s="1"/>
  <c r="BE108" i="1"/>
  <c r="BG108" i="1" s="1"/>
  <c r="BE105" i="1"/>
  <c r="BG105" i="1" s="1"/>
  <c r="BE102" i="1"/>
  <c r="BE101" i="1"/>
  <c r="BG101" i="1" s="1"/>
  <c r="BE99" i="1"/>
  <c r="BG99" i="1" s="1"/>
  <c r="BE215" i="1"/>
  <c r="BG215" i="1" s="1"/>
  <c r="BE211" i="1"/>
  <c r="BG211" i="1" s="1"/>
  <c r="BE209" i="1"/>
  <c r="BG209" i="1" s="1"/>
  <c r="BE206" i="1"/>
  <c r="BE157" i="1"/>
  <c r="BG157" i="1" s="1"/>
  <c r="BE199" i="1"/>
  <c r="BG199" i="1" s="1"/>
  <c r="BE289" i="1"/>
  <c r="BG289" i="1" s="1"/>
  <c r="BE287" i="1"/>
  <c r="BG287" i="1" s="1"/>
  <c r="BE285" i="1"/>
  <c r="BG285" i="1" s="1"/>
  <c r="BE283" i="1"/>
  <c r="BG283" i="1" s="1"/>
  <c r="BE281" i="1"/>
  <c r="BG281" i="1" s="1"/>
  <c r="BE279" i="1"/>
  <c r="BG279" i="1" s="1"/>
  <c r="BE277" i="1"/>
  <c r="BE275" i="1"/>
  <c r="BG275" i="1" s="1"/>
  <c r="BE255" i="1"/>
  <c r="BG255" i="1" s="1"/>
  <c r="BE254" i="1"/>
  <c r="BG254" i="1" s="1"/>
  <c r="BE266" i="1"/>
  <c r="BG266" i="1" s="1"/>
  <c r="BE264" i="1"/>
  <c r="BG264" i="1" s="1"/>
  <c r="BE262" i="1"/>
  <c r="BG262" i="1" s="1"/>
  <c r="BE260" i="1"/>
  <c r="BG260" i="1" s="1"/>
  <c r="BE20" i="1"/>
  <c r="BG20" i="1" s="1"/>
  <c r="BE93" i="1"/>
  <c r="BG93" i="1" s="1"/>
  <c r="BE23" i="1"/>
  <c r="BG23" i="1" s="1"/>
  <c r="BE22" i="1"/>
  <c r="BG22" i="1" s="1"/>
  <c r="BE21" i="1"/>
  <c r="BG21" i="1" s="1"/>
  <c r="BE94" i="1"/>
  <c r="BG94" i="1" s="1"/>
  <c r="BE95" i="1"/>
  <c r="BG95" i="1" s="1"/>
  <c r="BE96" i="1"/>
  <c r="BG96" i="1" s="1"/>
  <c r="BD288" i="1"/>
  <c r="BF288" i="1" s="1"/>
  <c r="BD285" i="1"/>
  <c r="BF285" i="1" s="1"/>
  <c r="BD282" i="1"/>
  <c r="BF282" i="1" s="1"/>
  <c r="BG282" i="1"/>
  <c r="BD278" i="1"/>
  <c r="BF278" i="1" s="1"/>
  <c r="BD268" i="1"/>
  <c r="BF268" i="1" s="1"/>
  <c r="BD254" i="1"/>
  <c r="BF254" i="1" s="1"/>
  <c r="BD265" i="1"/>
  <c r="BF265" i="1" s="1"/>
  <c r="BD262" i="1"/>
  <c r="BF262" i="1" s="1"/>
  <c r="BD259" i="1"/>
  <c r="BF259" i="1" s="1"/>
  <c r="BD237" i="1"/>
  <c r="BF237" i="1" s="1"/>
  <c r="BG237" i="1"/>
  <c r="BD231" i="1"/>
  <c r="BF231" i="1" s="1"/>
  <c r="BD227" i="1"/>
  <c r="BF227" i="1" s="1"/>
  <c r="BD247" i="1"/>
  <c r="BF247" i="1" s="1"/>
  <c r="BD245" i="1"/>
  <c r="BF245" i="1" s="1"/>
  <c r="BD244" i="1"/>
  <c r="BF244" i="1" s="1"/>
  <c r="BG244" i="1"/>
  <c r="BD224" i="1"/>
  <c r="BF224" i="1" s="1"/>
  <c r="BD289" i="1"/>
  <c r="BF289" i="1" s="1"/>
  <c r="BD286" i="1"/>
  <c r="BF286" i="1" s="1"/>
  <c r="BD283" i="1"/>
  <c r="BF283" i="1" s="1"/>
  <c r="BD280" i="1"/>
  <c r="BF280" i="1" s="1"/>
  <c r="BG277" i="1"/>
  <c r="BD277" i="1"/>
  <c r="BF277" i="1" s="1"/>
  <c r="BD275" i="1"/>
  <c r="BF275" i="1" s="1"/>
  <c r="BD251" i="1"/>
  <c r="BF251" i="1" s="1"/>
  <c r="BD266" i="1"/>
  <c r="BF266" i="1" s="1"/>
  <c r="BD263" i="1"/>
  <c r="BF263" i="1" s="1"/>
  <c r="BD260" i="1"/>
  <c r="BF260" i="1" s="1"/>
  <c r="BD19" i="1"/>
  <c r="BF19" i="1" s="1"/>
  <c r="BD240" i="1"/>
  <c r="BF240" i="1" s="1"/>
  <c r="BG221" i="1"/>
  <c r="BD221" i="1"/>
  <c r="BF221" i="1" s="1"/>
  <c r="BD257" i="1"/>
  <c r="BF257" i="1" s="1"/>
  <c r="BG257" i="1"/>
  <c r="BG256" i="1"/>
  <c r="BD256" i="1"/>
  <c r="BF256" i="1" s="1"/>
  <c r="BD228" i="1"/>
  <c r="BF228" i="1" s="1"/>
  <c r="BD287" i="1"/>
  <c r="BF287" i="1" s="1"/>
  <c r="BD284" i="1"/>
  <c r="BF284" i="1" s="1"/>
  <c r="BD281" i="1"/>
  <c r="BF281" i="1" s="1"/>
  <c r="BD279" i="1"/>
  <c r="BF279" i="1" s="1"/>
  <c r="BD255" i="1"/>
  <c r="BF255" i="1" s="1"/>
  <c r="BD267" i="1"/>
  <c r="BF267" i="1" s="1"/>
  <c r="BD264" i="1"/>
  <c r="BF264" i="1" s="1"/>
  <c r="BD261" i="1"/>
  <c r="BF261" i="1" s="1"/>
  <c r="BG261" i="1"/>
  <c r="BD20" i="1"/>
  <c r="BF20" i="1" s="1"/>
  <c r="BD230" i="1"/>
  <c r="BD226" i="1"/>
  <c r="BF226" i="1" s="1"/>
  <c r="BG226" i="1"/>
  <c r="BD218" i="1"/>
  <c r="BF218" i="1" s="1"/>
  <c r="BG218" i="1"/>
  <c r="BG193" i="1"/>
  <c r="BG189" i="1"/>
  <c r="BG181" i="1"/>
  <c r="BG179" i="1"/>
  <c r="BG172" i="1"/>
  <c r="BG205" i="1"/>
  <c r="BG203" i="1"/>
  <c r="BG138" i="1"/>
  <c r="BG116" i="1"/>
  <c r="BG86" i="1"/>
  <c r="BG84" i="1"/>
  <c r="BG82" i="1"/>
  <c r="BG81" i="1"/>
  <c r="BD18" i="1"/>
  <c r="BF18" i="1" s="1"/>
  <c r="BD17" i="1"/>
  <c r="BF17" i="1" s="1"/>
  <c r="BD16" i="1"/>
  <c r="BF16" i="1" s="1"/>
  <c r="BG16" i="1"/>
  <c r="BD15" i="1"/>
  <c r="BF15" i="1" s="1"/>
  <c r="BD14" i="1"/>
  <c r="BF14" i="1" s="1"/>
  <c r="BD13" i="1"/>
  <c r="BF13" i="1" s="1"/>
  <c r="BD12" i="1"/>
  <c r="BF12" i="1" s="1"/>
  <c r="BG12" i="1"/>
  <c r="BD11" i="1"/>
  <c r="BF11" i="1" s="1"/>
  <c r="BG10" i="1"/>
  <c r="BD10" i="1"/>
  <c r="BF10" i="1" s="1"/>
  <c r="BG9" i="1"/>
  <c r="BD9" i="1"/>
  <c r="BF9" i="1" s="1"/>
  <c r="BD7" i="1"/>
  <c r="BF7" i="1" s="1"/>
  <c r="BG7" i="1"/>
  <c r="BG4" i="1"/>
  <c r="BD4" i="1"/>
  <c r="BF4" i="1" s="1"/>
  <c r="BD2" i="1"/>
  <c r="BF2" i="1" s="1"/>
  <c r="BG48" i="1"/>
  <c r="BG66" i="1"/>
  <c r="BG64" i="1"/>
  <c r="BG59" i="1"/>
  <c r="BG65" i="1"/>
  <c r="BG40" i="1"/>
  <c r="BG52" i="1"/>
  <c r="BG30" i="1"/>
  <c r="BG28" i="1"/>
  <c r="BG26" i="1"/>
  <c r="BG56" i="1"/>
  <c r="BG61" i="1"/>
  <c r="BG145" i="1"/>
  <c r="BG143" i="1"/>
  <c r="BG140" i="1"/>
  <c r="BG136" i="1"/>
  <c r="BG128" i="1"/>
  <c r="BG129" i="1"/>
  <c r="BG126" i="1"/>
  <c r="BG123" i="1"/>
  <c r="BG121" i="1"/>
  <c r="BG113" i="1"/>
  <c r="BG102" i="1"/>
  <c r="BG197" i="1"/>
  <c r="BG224" i="1"/>
  <c r="BG210" i="1"/>
  <c r="BG208" i="1"/>
  <c r="BG206" i="1"/>
  <c r="BG160" i="1"/>
  <c r="BG154" i="1"/>
  <c r="BG148" i="1"/>
  <c r="BG164" i="1"/>
  <c r="BG162" i="1"/>
  <c r="BG240" i="1"/>
  <c r="BG227" i="1"/>
  <c r="BD194" i="1"/>
  <c r="BF194" i="1" s="1"/>
  <c r="BD181" i="1"/>
  <c r="BF181" i="1" s="1"/>
  <c r="BD203" i="1"/>
  <c r="BF203" i="1" s="1"/>
  <c r="BD96" i="1"/>
  <c r="BF96" i="1" s="1"/>
  <c r="BD89" i="1"/>
  <c r="BF89" i="1" s="1"/>
  <c r="BD83" i="1"/>
  <c r="BF83" i="1" s="1"/>
  <c r="BD79" i="1"/>
  <c r="BF79" i="1" s="1"/>
  <c r="BD60" i="1"/>
  <c r="BF60" i="1" s="1"/>
  <c r="BD37" i="1"/>
  <c r="BF37" i="1" s="1"/>
  <c r="BD36" i="1"/>
  <c r="BF36" i="1" s="1"/>
  <c r="BD47" i="1"/>
  <c r="BF47" i="1" s="1"/>
  <c r="BD64" i="1"/>
  <c r="BF64" i="1" s="1"/>
  <c r="BD33" i="1"/>
  <c r="BF33" i="1" s="1"/>
  <c r="BD59" i="1"/>
  <c r="BF59" i="1" s="1"/>
  <c r="BD67" i="1"/>
  <c r="BF67" i="1" s="1"/>
  <c r="BD32" i="1"/>
  <c r="BF32" i="1" s="1"/>
  <c r="BD39" i="1"/>
  <c r="BF39" i="1" s="1"/>
  <c r="BD53" i="1"/>
  <c r="BF53" i="1" s="1"/>
  <c r="BD63" i="1"/>
  <c r="BF63" i="1" s="1"/>
  <c r="BD69" i="1"/>
  <c r="BF69" i="1" s="1"/>
  <c r="BD57" i="1"/>
  <c r="BF57" i="1" s="1"/>
  <c r="BD52" i="1"/>
  <c r="BF52" i="1" s="1"/>
  <c r="BD76" i="1"/>
  <c r="BF76" i="1" s="1"/>
  <c r="BD68" i="1"/>
  <c r="BF68" i="1" s="1"/>
  <c r="BD25" i="1"/>
  <c r="BF25" i="1" s="1"/>
  <c r="BD28" i="1"/>
  <c r="BF28" i="1" s="1"/>
  <c r="BD29" i="1"/>
  <c r="BF29" i="1" s="1"/>
  <c r="BD56" i="1"/>
  <c r="BF56" i="1" s="1"/>
  <c r="BD21" i="1"/>
  <c r="BF21" i="1" s="1"/>
  <c r="BD186" i="1"/>
  <c r="BF186" i="1" s="1"/>
  <c r="BD175" i="1"/>
  <c r="BF175" i="1" s="1"/>
  <c r="BD120" i="1"/>
  <c r="BF120" i="1" s="1"/>
  <c r="BD98" i="1"/>
  <c r="BF98" i="1" s="1"/>
  <c r="BD94" i="1"/>
  <c r="BF94" i="1" s="1"/>
  <c r="BD92" i="1"/>
  <c r="BF92" i="1" s="1"/>
  <c r="BD87" i="1"/>
  <c r="BF87" i="1" s="1"/>
  <c r="BD85" i="1"/>
  <c r="BF85" i="1" s="1"/>
  <c r="BD81" i="1"/>
  <c r="BF81" i="1" s="1"/>
  <c r="BD77" i="1"/>
  <c r="BF77" i="1" s="1"/>
  <c r="BD41" i="1"/>
  <c r="BF41" i="1" s="1"/>
  <c r="BD160" i="1"/>
  <c r="BF160" i="1" s="1"/>
  <c r="BD158" i="1"/>
  <c r="BF158" i="1" s="1"/>
  <c r="BD155" i="1"/>
  <c r="BF155" i="1" s="1"/>
  <c r="BD153" i="1"/>
  <c r="BF153" i="1" s="1"/>
  <c r="BD151" i="1"/>
  <c r="BF151" i="1" s="1"/>
  <c r="BD149" i="1"/>
  <c r="BF149" i="1" s="1"/>
  <c r="BD147" i="1"/>
  <c r="BF147" i="1" s="1"/>
  <c r="BD145" i="1"/>
  <c r="BF145" i="1" s="1"/>
  <c r="BD143" i="1"/>
  <c r="BF143" i="1" s="1"/>
  <c r="BD141" i="1"/>
  <c r="BF141" i="1" s="1"/>
  <c r="BD139" i="1"/>
  <c r="BF139" i="1" s="1"/>
  <c r="BD136" i="1"/>
  <c r="BF136" i="1" s="1"/>
  <c r="BD134" i="1"/>
  <c r="BF134" i="1" s="1"/>
  <c r="BD132" i="1"/>
  <c r="BF132" i="1" s="1"/>
  <c r="BD130" i="1"/>
  <c r="BF130" i="1" s="1"/>
  <c r="BD129" i="1"/>
  <c r="BF129" i="1" s="1"/>
  <c r="BD126" i="1"/>
  <c r="BF126" i="1" s="1"/>
  <c r="BD124" i="1"/>
  <c r="BF124" i="1" s="1"/>
  <c r="BD122" i="1"/>
  <c r="BF122" i="1" s="1"/>
  <c r="BD119" i="1"/>
  <c r="BF119" i="1" s="1"/>
  <c r="BD115" i="1"/>
  <c r="BF115" i="1" s="1"/>
  <c r="BD111" i="1"/>
  <c r="BF111" i="1" s="1"/>
  <c r="BD108" i="1"/>
  <c r="BF108" i="1" s="1"/>
  <c r="BD105" i="1"/>
  <c r="BF105" i="1" s="1"/>
  <c r="BD102" i="1"/>
  <c r="BF102" i="1" s="1"/>
  <c r="BD101" i="1"/>
  <c r="BF101" i="1" s="1"/>
  <c r="BD99" i="1"/>
  <c r="BF99" i="1" s="1"/>
  <c r="BD215" i="1"/>
  <c r="BF215" i="1" s="1"/>
  <c r="BD211" i="1"/>
  <c r="BF211" i="1" s="1"/>
  <c r="BD209" i="1"/>
  <c r="BF209" i="1" s="1"/>
  <c r="BD206" i="1"/>
  <c r="BF206" i="1" s="1"/>
  <c r="BD157" i="1"/>
  <c r="BF157" i="1" s="1"/>
  <c r="BD199" i="1"/>
  <c r="BF199" i="1" s="1"/>
  <c r="BD192" i="1"/>
  <c r="BF192" i="1" s="1"/>
  <c r="BD179" i="1"/>
  <c r="BF179" i="1" s="1"/>
  <c r="BD166" i="1"/>
  <c r="BF166" i="1" s="1"/>
  <c r="BD164" i="1"/>
  <c r="BF164" i="1" s="1"/>
  <c r="BD162" i="1"/>
  <c r="BF162" i="1" s="1"/>
  <c r="BD195" i="1"/>
  <c r="BF195" i="1" s="1"/>
  <c r="BD193" i="1"/>
  <c r="BF193" i="1" s="1"/>
  <c r="BD191" i="1"/>
  <c r="BF191" i="1" s="1"/>
  <c r="BD189" i="1"/>
  <c r="BF189" i="1" s="1"/>
  <c r="BD187" i="1"/>
  <c r="BF187" i="1" s="1"/>
  <c r="BD184" i="1"/>
  <c r="BF184" i="1" s="1"/>
  <c r="BD182" i="1"/>
  <c r="BF182" i="1" s="1"/>
  <c r="BD180" i="1"/>
  <c r="BF180" i="1" s="1"/>
  <c r="BD178" i="1"/>
  <c r="BF178" i="1" s="1"/>
  <c r="BD176" i="1"/>
  <c r="BF176" i="1" s="1"/>
  <c r="BD174" i="1"/>
  <c r="BF174" i="1" s="1"/>
  <c r="BD172" i="1"/>
  <c r="BF172" i="1" s="1"/>
  <c r="BD170" i="1"/>
  <c r="BF170" i="1" s="1"/>
  <c r="BD168" i="1"/>
  <c r="BF168" i="1" s="1"/>
  <c r="BD188" i="1"/>
  <c r="BF188" i="1" s="1"/>
  <c r="BD177" i="1"/>
  <c r="BF177" i="1" s="1"/>
  <c r="BD171" i="1"/>
  <c r="BF171" i="1" s="1"/>
  <c r="BD205" i="1"/>
  <c r="BF205" i="1" s="1"/>
  <c r="BD116" i="1"/>
  <c r="BF116" i="1" s="1"/>
  <c r="BD97" i="1"/>
  <c r="BF97" i="1" s="1"/>
  <c r="BD95" i="1"/>
  <c r="BF95" i="1" s="1"/>
  <c r="BD91" i="1"/>
  <c r="BF91" i="1" s="1"/>
  <c r="BD88" i="1"/>
  <c r="BF88" i="1" s="1"/>
  <c r="BD86" i="1"/>
  <c r="BF86" i="1" s="1"/>
  <c r="BD84" i="1"/>
  <c r="BF84" i="1" s="1"/>
  <c r="BD82" i="1"/>
  <c r="BF82" i="1" s="1"/>
  <c r="BD80" i="1"/>
  <c r="BF80" i="1" s="1"/>
  <c r="BD78" i="1"/>
  <c r="BF78" i="1" s="1"/>
  <c r="BD48" i="1"/>
  <c r="BF48" i="1" s="1"/>
  <c r="BD66" i="1"/>
  <c r="BF66" i="1" s="1"/>
  <c r="BD50" i="1"/>
  <c r="BF50" i="1" s="1"/>
  <c r="BD49" i="1"/>
  <c r="BF49" i="1" s="1"/>
  <c r="BD40" i="1"/>
  <c r="BF40" i="1" s="1"/>
  <c r="BD58" i="1"/>
  <c r="BF58" i="1" s="1"/>
  <c r="BD38" i="1"/>
  <c r="BF38" i="1" s="1"/>
  <c r="BD43" i="1"/>
  <c r="BF43" i="1" s="1"/>
  <c r="BD62" i="1"/>
  <c r="BF62" i="1" s="1"/>
  <c r="BD27" i="1"/>
  <c r="BF27" i="1" s="1"/>
  <c r="BD61" i="1"/>
  <c r="BF61" i="1" s="1"/>
  <c r="BD23" i="1"/>
  <c r="BF23" i="1" s="1"/>
  <c r="BD159" i="1"/>
  <c r="BF159" i="1" s="1"/>
  <c r="BD156" i="1"/>
  <c r="BF156" i="1" s="1"/>
  <c r="BD154" i="1"/>
  <c r="BF154" i="1" s="1"/>
  <c r="BD152" i="1"/>
  <c r="BF152" i="1" s="1"/>
  <c r="BD150" i="1"/>
  <c r="BF150" i="1" s="1"/>
  <c r="BD148" i="1"/>
  <c r="BF148" i="1" s="1"/>
  <c r="BD146" i="1"/>
  <c r="BF146" i="1" s="1"/>
  <c r="BD144" i="1"/>
  <c r="BF144" i="1" s="1"/>
  <c r="BD142" i="1"/>
  <c r="BF142" i="1" s="1"/>
  <c r="BD140" i="1"/>
  <c r="BF140" i="1" s="1"/>
  <c r="BD137" i="1"/>
  <c r="BF137" i="1" s="1"/>
  <c r="BD135" i="1"/>
  <c r="BF135" i="1" s="1"/>
  <c r="BD133" i="1"/>
  <c r="BF133" i="1" s="1"/>
  <c r="BD131" i="1"/>
  <c r="BF131" i="1" s="1"/>
  <c r="BD128" i="1"/>
  <c r="BF128" i="1" s="1"/>
  <c r="BD127" i="1"/>
  <c r="BF127" i="1" s="1"/>
  <c r="BD125" i="1"/>
  <c r="BF125" i="1" s="1"/>
  <c r="BD123" i="1"/>
  <c r="BF123" i="1" s="1"/>
  <c r="BD121" i="1"/>
  <c r="BF121" i="1" s="1"/>
  <c r="BD117" i="1"/>
  <c r="BF117" i="1" s="1"/>
  <c r="BD113" i="1"/>
  <c r="BF113" i="1" s="1"/>
  <c r="BD110" i="1"/>
  <c r="BF110" i="1" s="1"/>
  <c r="BD106" i="1"/>
  <c r="BF106" i="1" s="1"/>
  <c r="BD103" i="1"/>
  <c r="BF103" i="1" s="1"/>
  <c r="BD197" i="1"/>
  <c r="BF197" i="1" s="1"/>
  <c r="BD100" i="1"/>
  <c r="BF100" i="1" s="1"/>
  <c r="BD216" i="1"/>
  <c r="BF216" i="1" s="1"/>
  <c r="BD212" i="1"/>
  <c r="BF212" i="1" s="1"/>
  <c r="BD210" i="1"/>
  <c r="BF210" i="1" s="1"/>
  <c r="BD208" i="1"/>
  <c r="BF208" i="1" s="1"/>
  <c r="BD204" i="1"/>
  <c r="BF204" i="1" s="1"/>
  <c r="BD202" i="1"/>
  <c r="BF202" i="1" s="1"/>
  <c r="BD200" i="1"/>
  <c r="BF200" i="1" s="1"/>
  <c r="BD198" i="1"/>
  <c r="BF198" i="1" s="1"/>
  <c r="BD196" i="1"/>
  <c r="BF196" i="1" s="1"/>
  <c r="BD190" i="1"/>
  <c r="BF190" i="1" s="1"/>
  <c r="BD183" i="1"/>
  <c r="BF183" i="1" s="1"/>
  <c r="BD173" i="1"/>
  <c r="BF173" i="1" s="1"/>
  <c r="BD169" i="1"/>
  <c r="BF169" i="1" s="1"/>
  <c r="BD138" i="1"/>
  <c r="BF138" i="1" s="1"/>
  <c r="BD93" i="1"/>
  <c r="BF93" i="1" s="1"/>
  <c r="BD35" i="1"/>
  <c r="BF35" i="1" s="1"/>
  <c r="BD34" i="1"/>
  <c r="BF34" i="1" s="1"/>
  <c r="BD54" i="1"/>
  <c r="BF54" i="1" s="1"/>
  <c r="BD65" i="1"/>
  <c r="BF65" i="1" s="1"/>
  <c r="BD55" i="1"/>
  <c r="BF55" i="1" s="1"/>
  <c r="BD31" i="1"/>
  <c r="BF31" i="1" s="1"/>
  <c r="BD45" i="1"/>
  <c r="BF45" i="1" s="1"/>
  <c r="BD44" i="1"/>
  <c r="BF44" i="1" s="1"/>
  <c r="BD30" i="1"/>
  <c r="BF30" i="1" s="1"/>
  <c r="BD51" i="1"/>
  <c r="BF51" i="1" s="1"/>
  <c r="BD26" i="1"/>
  <c r="BF26" i="1" s="1"/>
  <c r="BD42" i="1"/>
  <c r="BF42" i="1" s="1"/>
  <c r="BD22" i="1"/>
  <c r="BF22" i="1" s="1"/>
  <c r="BD165" i="1"/>
  <c r="BF165" i="1" s="1"/>
  <c r="BD163" i="1"/>
  <c r="BF163" i="1" s="1"/>
  <c r="BF230" i="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R68" i="1" l="1"/>
  <c r="BT68" i="1" s="1"/>
  <c r="AG68" i="1"/>
  <c r="AI68" i="1" s="1"/>
  <c r="X68" i="1"/>
  <c r="BR38" i="1" l="1"/>
  <c r="BT38" i="1" s="1"/>
  <c r="AG38" i="1"/>
  <c r="AI38" i="1" s="1"/>
  <c r="X38" i="1"/>
  <c r="BR69" i="1" l="1"/>
  <c r="BT69" i="1" s="1"/>
  <c r="AG69" i="1"/>
  <c r="AI69" i="1" s="1"/>
  <c r="X69" i="1"/>
  <c r="BR76" i="1"/>
  <c r="BT76" i="1" s="1"/>
  <c r="AG76" i="1"/>
  <c r="AI76" i="1" s="1"/>
  <c r="X76" i="1"/>
  <c r="BR50" i="1"/>
  <c r="BT50" i="1" s="1"/>
  <c r="AG50" i="1"/>
  <c r="AI50" i="1" s="1"/>
  <c r="X50" i="1"/>
  <c r="BR42" i="1"/>
  <c r="BT42" i="1" s="1"/>
  <c r="AG42" i="1"/>
  <c r="AI42" i="1" s="1"/>
  <c r="X42" i="1"/>
  <c r="BR48" i="1"/>
  <c r="BT48" i="1" s="1"/>
  <c r="AG48" i="1"/>
  <c r="AI48" i="1" s="1"/>
  <c r="X48" i="1"/>
  <c r="AE46" i="1"/>
  <c r="BA46" i="1" s="1"/>
  <c r="BR46" i="1"/>
  <c r="BT46" i="1" s="1"/>
  <c r="AG46" i="1"/>
  <c r="AI46" i="1" s="1"/>
  <c r="X46" i="1"/>
  <c r="BR47" i="1"/>
  <c r="BT47" i="1" s="1"/>
  <c r="AG47" i="1"/>
  <c r="X47" i="1"/>
  <c r="BR45" i="1"/>
  <c r="BT45" i="1" s="1"/>
  <c r="AG45" i="1"/>
  <c r="AI45" i="1" s="1"/>
  <c r="X45" i="1"/>
  <c r="BR41" i="1"/>
  <c r="BT41" i="1" s="1"/>
  <c r="AG41" i="1"/>
  <c r="AI41" i="1" s="1"/>
  <c r="X41" i="1"/>
  <c r="BR40" i="1"/>
  <c r="BT40" i="1" s="1"/>
  <c r="AG40" i="1"/>
  <c r="AI40" i="1" s="1"/>
  <c r="X40" i="1"/>
  <c r="BE46" i="1" l="1"/>
  <c r="BG46" i="1" s="1"/>
  <c r="BD46" i="1"/>
  <c r="BF46" i="1" s="1"/>
  <c r="AI47" i="1"/>
  <c r="BR60" i="1"/>
  <c r="BT60" i="1" s="1"/>
  <c r="AG60" i="1"/>
  <c r="X60" i="1"/>
  <c r="BR59" i="1"/>
  <c r="BT59" i="1" s="1"/>
  <c r="AG59" i="1"/>
  <c r="X59" i="1"/>
  <c r="BR58" i="1"/>
  <c r="BT58" i="1" s="1"/>
  <c r="AG58" i="1"/>
  <c r="X58" i="1"/>
  <c r="BR57" i="1"/>
  <c r="BT57" i="1" s="1"/>
  <c r="AG57" i="1"/>
  <c r="X57" i="1"/>
  <c r="BR61" i="1"/>
  <c r="BT61" i="1" s="1"/>
  <c r="AG61" i="1"/>
  <c r="X61" i="1"/>
  <c r="BR67" i="1"/>
  <c r="BT67" i="1" s="1"/>
  <c r="AG67" i="1"/>
  <c r="X67" i="1"/>
  <c r="BR66" i="1"/>
  <c r="BT66" i="1" s="1"/>
  <c r="AG66" i="1"/>
  <c r="AI66" i="1" s="1"/>
  <c r="X66" i="1"/>
  <c r="BR64" i="1"/>
  <c r="BT64" i="1" s="1"/>
  <c r="AG64" i="1"/>
  <c r="X64" i="1"/>
  <c r="AI59" i="1" l="1"/>
  <c r="AI64" i="1"/>
  <c r="AI57" i="1"/>
  <c r="AI61" i="1"/>
  <c r="AI60" i="1"/>
  <c r="AI67" i="1"/>
  <c r="AI58" i="1"/>
  <c r="BR53" i="1"/>
  <c r="BT53" i="1" s="1"/>
  <c r="BR54" i="1"/>
  <c r="AG53" i="1"/>
  <c r="AG54" i="1"/>
  <c r="BR36" i="1"/>
  <c r="BT36" i="1" s="1"/>
  <c r="AG36" i="1"/>
  <c r="AI36" i="1" s="1"/>
  <c r="X36" i="1"/>
  <c r="AI54" i="1" l="1"/>
  <c r="AI53" i="1"/>
  <c r="BR34" i="1"/>
  <c r="BT34" i="1" s="1"/>
  <c r="BR35" i="1"/>
  <c r="BT35" i="1" s="1"/>
  <c r="BR37" i="1"/>
  <c r="AG34" i="1"/>
  <c r="X34" i="1"/>
  <c r="AI34" i="1" l="1"/>
  <c r="AG33" i="1"/>
  <c r="X33" i="1"/>
  <c r="BR32" i="1"/>
  <c r="BT32" i="1" s="1"/>
  <c r="BR33" i="1"/>
  <c r="BT33" i="1" s="1"/>
  <c r="BT37" i="1"/>
  <c r="AG32" i="1"/>
  <c r="AI32" i="1" s="1"/>
  <c r="X32" i="1"/>
  <c r="AI33" i="1" l="1"/>
  <c r="G23" i="6"/>
  <c r="B26" i="6"/>
  <c r="B25" i="6"/>
  <c r="I23" i="6"/>
  <c r="H23" i="6"/>
  <c r="F23" i="6"/>
  <c r="E23" i="6"/>
  <c r="D23" i="6"/>
  <c r="C23" i="6"/>
  <c r="B22" i="6"/>
  <c r="B23" i="6" s="1"/>
  <c r="T228" i="1"/>
  <c r="BR227" i="1"/>
  <c r="BT227" i="1" s="1"/>
  <c r="AG227" i="1"/>
  <c r="AI227" i="1" s="1"/>
  <c r="X227" i="1"/>
  <c r="AF227" i="1" l="1"/>
  <c r="B27" i="6"/>
  <c r="B14" i="6"/>
  <c r="B13" i="6"/>
  <c r="E11" i="6"/>
  <c r="F11" i="6"/>
  <c r="G11" i="6"/>
  <c r="H11" i="6"/>
  <c r="I11" i="6"/>
  <c r="J11" i="6"/>
  <c r="K11" i="6"/>
  <c r="L11" i="6"/>
  <c r="M11" i="6"/>
  <c r="N11" i="6"/>
  <c r="O11" i="6"/>
  <c r="P11" i="6"/>
  <c r="Q11" i="6"/>
  <c r="R11" i="6"/>
  <c r="S11" i="6"/>
  <c r="T11" i="6"/>
  <c r="U11" i="6"/>
  <c r="C11" i="6"/>
  <c r="D11" i="6"/>
  <c r="B10" i="6"/>
  <c r="B11" i="6" s="1"/>
  <c r="AG212" i="1"/>
  <c r="AI212" i="1" s="1"/>
  <c r="BR254" i="1"/>
  <c r="BT254" i="1" s="1"/>
  <c r="BR251" i="1"/>
  <c r="BT251" i="1" s="1"/>
  <c r="BR255" i="1"/>
  <c r="BT255" i="1" s="1"/>
  <c r="BR268" i="1"/>
  <c r="BT268" i="1" s="1"/>
  <c r="BR275" i="1"/>
  <c r="BT275" i="1" s="1"/>
  <c r="BR276" i="1"/>
  <c r="BT276" i="1" s="1"/>
  <c r="AE276" i="1"/>
  <c r="BA276" i="1" s="1"/>
  <c r="BE276" i="1" s="1"/>
  <c r="AG254" i="1"/>
  <c r="AG251" i="1"/>
  <c r="AG255" i="1"/>
  <c r="AG268" i="1"/>
  <c r="AG275" i="1"/>
  <c r="AG276" i="1"/>
  <c r="X276" i="1"/>
  <c r="BD276" i="1" l="1"/>
  <c r="BF276" i="1" s="1"/>
  <c r="BG276" i="1"/>
  <c r="AI276" i="1"/>
  <c r="AI275" i="1"/>
  <c r="AI268" i="1"/>
  <c r="AI255" i="1"/>
  <c r="AI251" i="1"/>
  <c r="AI254" i="1"/>
  <c r="B15" i="6"/>
  <c r="K241" i="1"/>
  <c r="AX241" i="1" s="1"/>
  <c r="BE241" i="1" s="1"/>
  <c r="K253" i="1"/>
  <c r="AX253" i="1" s="1"/>
  <c r="BE253" i="1" s="1"/>
  <c r="BR267" i="1"/>
  <c r="BT267" i="1" s="1"/>
  <c r="AG267" i="1"/>
  <c r="AI267" i="1" s="1"/>
  <c r="X267" i="1"/>
  <c r="BD253" i="1" l="1"/>
  <c r="BF253" i="1" s="1"/>
  <c r="BG253" i="1"/>
  <c r="BD241" i="1"/>
  <c r="BF241" i="1" s="1"/>
  <c r="BG241" i="1"/>
  <c r="T218" i="1"/>
  <c r="K225" i="1"/>
  <c r="AX225" i="1" s="1"/>
  <c r="BE225" i="1" s="1"/>
  <c r="BR18" i="1"/>
  <c r="BT18" i="1" s="1"/>
  <c r="AG18" i="1"/>
  <c r="AI18" i="1" s="1"/>
  <c r="X18" i="1"/>
  <c r="BR223" i="1"/>
  <c r="K223" i="1"/>
  <c r="AX223" i="1" s="1"/>
  <c r="BE223" i="1" s="1"/>
  <c r="T223" i="1"/>
  <c r="BG225" i="1" l="1"/>
  <c r="BD225" i="1"/>
  <c r="BF225" i="1" s="1"/>
  <c r="BG223" i="1"/>
  <c r="BD223" i="1"/>
  <c r="BF223" i="1" s="1"/>
  <c r="K220" i="1"/>
  <c r="AX220" i="1" s="1"/>
  <c r="BE220" i="1" s="1"/>
  <c r="T220" i="1"/>
  <c r="BD220" i="1" l="1"/>
  <c r="BF220" i="1" s="1"/>
  <c r="BG220" i="1"/>
  <c r="K217" i="1"/>
  <c r="AX217" i="1" s="1"/>
  <c r="BE217" i="1" s="1"/>
  <c r="T217" i="1"/>
  <c r="BG217" i="1" l="1"/>
  <c r="BD217" i="1"/>
  <c r="BF217" i="1" s="1"/>
  <c r="AA209" i="1"/>
  <c r="T204" i="1" l="1"/>
  <c r="T202" i="1"/>
  <c r="BR189" i="1"/>
  <c r="BT189" i="1" s="1"/>
  <c r="AG189" i="1"/>
  <c r="X189" i="1"/>
  <c r="AF189" i="1" l="1"/>
  <c r="AI189" i="1"/>
  <c r="K250" i="1"/>
  <c r="AX250" i="1" s="1"/>
  <c r="BE250" i="1" s="1"/>
  <c r="BR196" i="1"/>
  <c r="BT196" i="1" s="1"/>
  <c r="AG196" i="1"/>
  <c r="X196" i="1"/>
  <c r="BD250" i="1" l="1"/>
  <c r="BF250" i="1" s="1"/>
  <c r="BG250" i="1"/>
  <c r="AI196" i="1"/>
  <c r="AE234" i="1"/>
  <c r="BA234" i="1" s="1"/>
  <c r="BE234" i="1" s="1"/>
  <c r="BD234" i="1" l="1"/>
  <c r="BF234" i="1" s="1"/>
  <c r="BG234" i="1"/>
  <c r="BR28" i="1"/>
  <c r="BT28" i="1" s="1"/>
  <c r="AG28" i="1"/>
  <c r="X28" i="1"/>
  <c r="BR187" i="1"/>
  <c r="BT187" i="1" s="1"/>
  <c r="AG187" i="1"/>
  <c r="AI187" i="1" s="1"/>
  <c r="X187" i="1"/>
  <c r="AF28" i="1" l="1"/>
  <c r="AI28" i="1"/>
  <c r="X215" i="1"/>
  <c r="X211" i="1"/>
  <c r="Q155" i="1" l="1"/>
  <c r="S155" i="1" s="1"/>
  <c r="Q151" i="1" l="1"/>
  <c r="S151" i="1" s="1"/>
  <c r="AB151" i="1"/>
  <c r="AB152" i="1"/>
  <c r="Q152" i="1"/>
  <c r="S152" i="1" s="1"/>
  <c r="AB149" i="1" l="1"/>
  <c r="AG149" i="1" s="1"/>
  <c r="BR17" i="1"/>
  <c r="BT17" i="1" s="1"/>
  <c r="AG17" i="1"/>
  <c r="AI17" i="1" s="1"/>
  <c r="X17" i="1"/>
  <c r="AB147" i="1"/>
  <c r="Q147" i="1"/>
  <c r="S147" i="1" s="1"/>
  <c r="Q146" i="1"/>
  <c r="S146" i="1" s="1"/>
  <c r="Q145" i="1" l="1"/>
  <c r="S145" i="1" s="1"/>
  <c r="Q144" i="1"/>
  <c r="S144" i="1" s="1"/>
  <c r="Q143" i="1"/>
  <c r="S143" i="1" s="1"/>
  <c r="BR16" i="1"/>
  <c r="BT16" i="1" s="1"/>
  <c r="AG16" i="1"/>
  <c r="AI16" i="1" s="1"/>
  <c r="X16" i="1"/>
  <c r="Q142" i="1"/>
  <c r="S142" i="1" s="1"/>
  <c r="Q115" i="1"/>
  <c r="S115" i="1" s="1"/>
  <c r="Q141" i="1"/>
  <c r="S141" i="1" s="1"/>
  <c r="BR15" i="1" l="1"/>
  <c r="BT15" i="1" s="1"/>
  <c r="AG15" i="1"/>
  <c r="AI15" i="1" s="1"/>
  <c r="X15" i="1"/>
  <c r="U140" i="1"/>
  <c r="Q140" i="1"/>
  <c r="S140" i="1" s="1"/>
  <c r="BR14" i="1" l="1"/>
  <c r="BT14" i="1" s="1"/>
  <c r="AG14" i="1"/>
  <c r="AI14" i="1" s="1"/>
  <c r="X14" i="1"/>
  <c r="AB137" i="1"/>
  <c r="Q137" i="1"/>
  <c r="S137" i="1" s="1"/>
  <c r="AE201" i="1"/>
  <c r="BA201" i="1" s="1"/>
  <c r="BE201" i="1" l="1"/>
  <c r="BG201" i="1" s="1"/>
  <c r="BD201" i="1"/>
  <c r="BF201" i="1" s="1"/>
  <c r="BR13" i="1"/>
  <c r="BT13" i="1" s="1"/>
  <c r="AG13" i="1"/>
  <c r="AI13" i="1" s="1"/>
  <c r="X13" i="1"/>
  <c r="AB136" i="1"/>
  <c r="AB135" i="1"/>
  <c r="Q135" i="1"/>
  <c r="S135" i="1" s="1"/>
  <c r="AB134" i="1" l="1"/>
  <c r="Q134" i="1"/>
  <c r="S134" i="1" s="1"/>
  <c r="X135" i="1"/>
  <c r="X136" i="1"/>
  <c r="X200" i="1"/>
  <c r="X201" i="1"/>
  <c r="X137" i="1"/>
  <c r="X139" i="1"/>
  <c r="X138" i="1"/>
  <c r="X140" i="1"/>
  <c r="X141" i="1"/>
  <c r="X142" i="1"/>
  <c r="X143" i="1"/>
  <c r="X144" i="1"/>
  <c r="X145" i="1"/>
  <c r="X146" i="1"/>
  <c r="X147" i="1"/>
  <c r="X148" i="1"/>
  <c r="X149" i="1"/>
  <c r="X150" i="1"/>
  <c r="X151" i="1"/>
  <c r="X152" i="1"/>
  <c r="X153" i="1"/>
  <c r="X154" i="1"/>
  <c r="X155" i="1"/>
  <c r="X156" i="1"/>
  <c r="X26" i="1"/>
  <c r="X158" i="1"/>
  <c r="X159" i="1"/>
  <c r="X160" i="1"/>
  <c r="X161" i="1"/>
  <c r="X162" i="1"/>
  <c r="X163" i="1"/>
  <c r="X164" i="1"/>
  <c r="X166" i="1"/>
  <c r="X167" i="1"/>
  <c r="X168" i="1"/>
  <c r="X169" i="1"/>
  <c r="X170" i="1"/>
  <c r="X206" i="1"/>
  <c r="X208" i="1"/>
  <c r="X171" i="1"/>
  <c r="X172" i="1"/>
  <c r="X173" i="1"/>
  <c r="X165" i="1"/>
  <c r="X174" i="1"/>
  <c r="X175" i="1"/>
  <c r="X176" i="1"/>
  <c r="X177" i="1"/>
  <c r="X178" i="1"/>
  <c r="X179" i="1"/>
  <c r="X180" i="1"/>
  <c r="X181" i="1"/>
  <c r="X27" i="1"/>
  <c r="X182" i="1"/>
  <c r="X183" i="1"/>
  <c r="X184" i="1"/>
  <c r="X186" i="1"/>
  <c r="X219" i="1"/>
  <c r="X188" i="1"/>
  <c r="X226" i="1"/>
  <c r="X190" i="1"/>
  <c r="X191" i="1"/>
  <c r="X192" i="1"/>
  <c r="X193" i="1"/>
  <c r="X234" i="1"/>
  <c r="X244" i="1"/>
  <c r="X248" i="1"/>
  <c r="X194" i="1"/>
  <c r="X195" i="1"/>
  <c r="X231" i="1"/>
  <c r="X250" i="1"/>
  <c r="X245" i="1"/>
  <c r="X247" i="1"/>
  <c r="X216" i="1"/>
  <c r="X224" i="1"/>
  <c r="X202" i="1"/>
  <c r="X204" i="1"/>
  <c r="X210" i="1"/>
  <c r="X209" i="1"/>
  <c r="X217" i="1"/>
  <c r="X220" i="1"/>
  <c r="X223" i="1"/>
  <c r="X225" i="1"/>
  <c r="X218" i="1"/>
  <c r="X253" i="1"/>
  <c r="X230" i="1"/>
  <c r="X212" i="1"/>
  <c r="X237" i="1"/>
  <c r="X240" i="1"/>
  <c r="X241" i="1"/>
  <c r="X221" i="1"/>
  <c r="X228" i="1"/>
  <c r="X260" i="1"/>
  <c r="X261" i="1"/>
  <c r="X262" i="1"/>
  <c r="X263" i="1"/>
  <c r="X264" i="1"/>
  <c r="X265" i="1"/>
  <c r="X19" i="1"/>
  <c r="X20" i="1"/>
  <c r="X21" i="1"/>
  <c r="X259" i="1"/>
  <c r="X25" i="1"/>
  <c r="X256" i="1"/>
  <c r="X257" i="1"/>
  <c r="X54" i="1"/>
  <c r="X55" i="1"/>
  <c r="X31" i="1"/>
  <c r="X35" i="1"/>
  <c r="X37" i="1"/>
  <c r="X44" i="1"/>
  <c r="X39" i="1"/>
  <c r="X266" i="1"/>
  <c r="X63" i="1"/>
  <c r="X56" i="1"/>
  <c r="X65" i="1"/>
  <c r="X49" i="1"/>
  <c r="X254" i="1"/>
  <c r="X251" i="1"/>
  <c r="X255" i="1"/>
  <c r="X268" i="1"/>
  <c r="X29" i="1"/>
  <c r="X77" i="1"/>
  <c r="X78" i="1"/>
  <c r="X79" i="1"/>
  <c r="X80" i="1"/>
  <c r="X81" i="1"/>
  <c r="X82" i="1"/>
  <c r="X83" i="1"/>
  <c r="X84" i="1"/>
  <c r="X85" i="1"/>
  <c r="X86" i="1"/>
  <c r="X87" i="1"/>
  <c r="X51" i="1"/>
  <c r="X88" i="1"/>
  <c r="X89" i="1"/>
  <c r="X92" i="1"/>
  <c r="X93" i="1"/>
  <c r="X94" i="1"/>
  <c r="X95" i="1"/>
  <c r="X96" i="1"/>
  <c r="X97" i="1"/>
  <c r="X98" i="1"/>
  <c r="X2" i="1"/>
  <c r="X4" i="1"/>
  <c r="X12" i="1"/>
  <c r="X7" i="1"/>
  <c r="X99" i="1"/>
  <c r="X100" i="1"/>
  <c r="X30" i="1"/>
  <c r="X101" i="1"/>
  <c r="X197" i="1"/>
  <c r="X62" i="1"/>
  <c r="X43" i="1"/>
  <c r="X52" i="1"/>
  <c r="X22" i="1"/>
  <c r="X23" i="1"/>
  <c r="X102" i="1"/>
  <c r="X103" i="1"/>
  <c r="X105" i="1"/>
  <c r="X106" i="1"/>
  <c r="X108" i="1"/>
  <c r="X110" i="1"/>
  <c r="X198" i="1"/>
  <c r="X116" i="1"/>
  <c r="X120" i="1"/>
  <c r="X113" i="1"/>
  <c r="X115" i="1"/>
  <c r="X117" i="1"/>
  <c r="X9" i="1"/>
  <c r="X10" i="1"/>
  <c r="X11" i="1"/>
  <c r="X119" i="1"/>
  <c r="X121" i="1"/>
  <c r="X122" i="1"/>
  <c r="X123" i="1"/>
  <c r="X124" i="1"/>
  <c r="X125" i="1"/>
  <c r="X126" i="1"/>
  <c r="X127" i="1"/>
  <c r="X129" i="1"/>
  <c r="X199" i="1"/>
  <c r="X128" i="1"/>
  <c r="X130" i="1"/>
  <c r="X131" i="1"/>
  <c r="X132" i="1"/>
  <c r="X133" i="1"/>
  <c r="X134" i="1"/>
  <c r="AB133" i="1"/>
  <c r="AB132" i="1" l="1"/>
  <c r="Q129" i="1" l="1"/>
  <c r="S129" i="1" s="1"/>
  <c r="BR9" i="1"/>
  <c r="BT9" i="1" s="1"/>
  <c r="AG9" i="1"/>
  <c r="AI9" i="1" s="1"/>
  <c r="Q127" i="1"/>
  <c r="S127" i="1" s="1"/>
  <c r="AB127" i="1"/>
  <c r="Q126" i="1" l="1"/>
  <c r="S126" i="1" s="1"/>
  <c r="BR12" i="1" l="1"/>
  <c r="BT12" i="1" s="1"/>
  <c r="AG12" i="1"/>
  <c r="AI12" i="1" s="1"/>
  <c r="Q125" i="1"/>
  <c r="S125" i="1" s="1"/>
  <c r="AB125" i="1"/>
  <c r="Q124" i="1"/>
  <c r="S124" i="1" s="1"/>
  <c r="AB124" i="1"/>
  <c r="Q123" i="1"/>
  <c r="S123" i="1" s="1"/>
  <c r="AB122" i="1"/>
  <c r="Q122" i="1"/>
  <c r="S122" i="1" s="1"/>
  <c r="AB121" i="1"/>
  <c r="Q121" i="1"/>
  <c r="S121" i="1" s="1"/>
  <c r="Q119" i="1"/>
  <c r="S119" i="1" s="1"/>
  <c r="AB113" i="1"/>
  <c r="BR2" i="1"/>
  <c r="BT2" i="1" s="1"/>
  <c r="AG2" i="1"/>
  <c r="AI2" i="1" s="1"/>
  <c r="Q113" i="1"/>
  <c r="S113" i="1" s="1"/>
  <c r="Q111" i="1"/>
  <c r="S111" i="1" s="1"/>
  <c r="BR62" i="1"/>
  <c r="BT62" i="1" s="1"/>
  <c r="AG62" i="1"/>
  <c r="AI62" i="1" s="1"/>
  <c r="BR43" i="1"/>
  <c r="BT43" i="1" s="1"/>
  <c r="BR52" i="1"/>
  <c r="BT52" i="1" s="1"/>
  <c r="AG43" i="1"/>
  <c r="AI43" i="1" s="1"/>
  <c r="AG52" i="1"/>
  <c r="AI52" i="1" s="1"/>
  <c r="AI149" i="1" l="1"/>
  <c r="BR99" i="1"/>
  <c r="BT99" i="1" s="1"/>
  <c r="AG99" i="1"/>
  <c r="AI99" i="1" s="1"/>
  <c r="Q99" i="1"/>
  <c r="S99" i="1" s="1"/>
  <c r="BR22" i="1"/>
  <c r="BT22" i="1" s="1"/>
  <c r="AG22" i="1"/>
  <c r="AI22" i="1" s="1"/>
  <c r="BR7" i="1" l="1"/>
  <c r="BT7" i="1" s="1"/>
  <c r="AG7" i="1"/>
  <c r="AI7" i="1" s="1"/>
  <c r="Q106" i="1"/>
  <c r="S106" i="1" s="1"/>
  <c r="Q108" i="1"/>
  <c r="S108" i="1" s="1"/>
  <c r="AI118" i="1" l="1"/>
  <c r="AI109" i="1"/>
  <c r="AI112" i="1"/>
  <c r="Q105" i="1"/>
  <c r="S105" i="1" s="1"/>
  <c r="Q103" i="1"/>
  <c r="S103" i="1" s="1"/>
  <c r="P100" i="1" l="1"/>
  <c r="Q100" i="1"/>
  <c r="Q102" i="1"/>
  <c r="S102" i="1" s="1"/>
  <c r="Q149" i="1"/>
  <c r="S149" i="1" s="1"/>
  <c r="S100" i="1" l="1"/>
  <c r="B4" i="4"/>
  <c r="B5" i="4"/>
  <c r="B6" i="4"/>
  <c r="B7" i="4"/>
  <c r="B8" i="4"/>
  <c r="B9" i="4"/>
  <c r="B10" i="4"/>
  <c r="B11" i="4"/>
  <c r="B3" i="4"/>
  <c r="BR89" i="1"/>
  <c r="BT89" i="1" s="1"/>
  <c r="BR91" i="1"/>
  <c r="BT91" i="1" s="1"/>
  <c r="BR92" i="1"/>
  <c r="BT92" i="1" s="1"/>
  <c r="BR93" i="1"/>
  <c r="BT93" i="1" s="1"/>
  <c r="BR94" i="1"/>
  <c r="BT94" i="1" s="1"/>
  <c r="BR95" i="1"/>
  <c r="BT95" i="1" s="1"/>
  <c r="BR96" i="1"/>
  <c r="BT96" i="1" s="1"/>
  <c r="BR97" i="1"/>
  <c r="BT97" i="1" s="1"/>
  <c r="BR100" i="1"/>
  <c r="BT100" i="1" s="1"/>
  <c r="BR101" i="1"/>
  <c r="BT101" i="1" s="1"/>
  <c r="BR197" i="1"/>
  <c r="BT197" i="1" s="1"/>
  <c r="BR102" i="1"/>
  <c r="BT102" i="1" s="1"/>
  <c r="BR103" i="1"/>
  <c r="BT103" i="1" s="1"/>
  <c r="BR105" i="1"/>
  <c r="BT105" i="1" s="1"/>
  <c r="BR106" i="1"/>
  <c r="BT106" i="1" s="1"/>
  <c r="BR108" i="1"/>
  <c r="BT108" i="1" s="1"/>
  <c r="BR110" i="1"/>
  <c r="BT110" i="1" s="1"/>
  <c r="BR116" i="1"/>
  <c r="BT116" i="1" s="1"/>
  <c r="BR120" i="1"/>
  <c r="BT120" i="1" s="1"/>
  <c r="BR111" i="1"/>
  <c r="BT111" i="1" s="1"/>
  <c r="BR113" i="1"/>
  <c r="BT113" i="1" s="1"/>
  <c r="BR98" i="1"/>
  <c r="BT98" i="1" s="1"/>
  <c r="BR115" i="1"/>
  <c r="BT115" i="1" s="1"/>
  <c r="BR117" i="1"/>
  <c r="BT117" i="1" s="1"/>
  <c r="BR119" i="1"/>
  <c r="BT119" i="1" s="1"/>
  <c r="BR121" i="1"/>
  <c r="BT121" i="1" s="1"/>
  <c r="BR122" i="1"/>
  <c r="BT122" i="1" s="1"/>
  <c r="BR123" i="1"/>
  <c r="BT123" i="1" s="1"/>
  <c r="BR124" i="1"/>
  <c r="BT124" i="1" s="1"/>
  <c r="BR125" i="1"/>
  <c r="BT125" i="1" s="1"/>
  <c r="BR126" i="1"/>
  <c r="BT126" i="1" s="1"/>
  <c r="BR127" i="1"/>
  <c r="BT127" i="1" s="1"/>
  <c r="BR129" i="1"/>
  <c r="BT129" i="1" s="1"/>
  <c r="BR130" i="1"/>
  <c r="BT130" i="1" s="1"/>
  <c r="BR131" i="1"/>
  <c r="BT131" i="1" s="1"/>
  <c r="BR132" i="1"/>
  <c r="BT132" i="1" s="1"/>
  <c r="BR133" i="1"/>
  <c r="BT133" i="1" s="1"/>
  <c r="BR134" i="1"/>
  <c r="BT134" i="1" s="1"/>
  <c r="BR135" i="1"/>
  <c r="BT135" i="1" s="1"/>
  <c r="BR136" i="1"/>
  <c r="BT136" i="1" s="1"/>
  <c r="BR137" i="1"/>
  <c r="BT137" i="1" s="1"/>
  <c r="BR139" i="1"/>
  <c r="BT139" i="1" s="1"/>
  <c r="BR138" i="1"/>
  <c r="BT138" i="1" s="1"/>
  <c r="BR140" i="1"/>
  <c r="BT140" i="1" s="1"/>
  <c r="BR141" i="1"/>
  <c r="BT141" i="1" s="1"/>
  <c r="BR142" i="1"/>
  <c r="BT142" i="1" s="1"/>
  <c r="BR143" i="1"/>
  <c r="BT143" i="1" s="1"/>
  <c r="BR144" i="1"/>
  <c r="BT144" i="1" s="1"/>
  <c r="BR145" i="1"/>
  <c r="BT145" i="1" s="1"/>
  <c r="BR146" i="1"/>
  <c r="BT146" i="1" s="1"/>
  <c r="BR147" i="1"/>
  <c r="BT147" i="1" s="1"/>
  <c r="BR148" i="1"/>
  <c r="BT148" i="1" s="1"/>
  <c r="BR149" i="1"/>
  <c r="BT149" i="1" s="1"/>
  <c r="BR150" i="1"/>
  <c r="BT150" i="1" s="1"/>
  <c r="BR151" i="1"/>
  <c r="BT151" i="1" s="1"/>
  <c r="BR152" i="1"/>
  <c r="BT152" i="1" s="1"/>
  <c r="BR153" i="1"/>
  <c r="BT153" i="1" s="1"/>
  <c r="BR154" i="1"/>
  <c r="BT154" i="1" s="1"/>
  <c r="BR155" i="1"/>
  <c r="BT155" i="1" s="1"/>
  <c r="BR156" i="1"/>
  <c r="BT156" i="1" s="1"/>
  <c r="BR158" i="1"/>
  <c r="BT158" i="1" s="1"/>
  <c r="BR159" i="1"/>
  <c r="BT159" i="1" s="1"/>
  <c r="BR160" i="1"/>
  <c r="BT160" i="1" s="1"/>
  <c r="BR161" i="1"/>
  <c r="BT161" i="1" s="1"/>
  <c r="BR162" i="1"/>
  <c r="BT162" i="1" s="1"/>
  <c r="BR163" i="1"/>
  <c r="BT163" i="1" s="1"/>
  <c r="BR164" i="1"/>
  <c r="BT164" i="1" s="1"/>
  <c r="BR166" i="1"/>
  <c r="BT166" i="1" s="1"/>
  <c r="BR167" i="1"/>
  <c r="BT167" i="1" s="1"/>
  <c r="BR168" i="1"/>
  <c r="BT168" i="1" s="1"/>
  <c r="BR169" i="1"/>
  <c r="BT169" i="1" s="1"/>
  <c r="BR170" i="1"/>
  <c r="BT170" i="1" s="1"/>
  <c r="BR206" i="1"/>
  <c r="BT206" i="1" s="1"/>
  <c r="BR171" i="1"/>
  <c r="BT171" i="1" s="1"/>
  <c r="BR172" i="1"/>
  <c r="BT172" i="1" s="1"/>
  <c r="BR173" i="1"/>
  <c r="BT173" i="1" s="1"/>
  <c r="BR165" i="1"/>
  <c r="BT165" i="1" s="1"/>
  <c r="BR174" i="1"/>
  <c r="BT174" i="1" s="1"/>
  <c r="BR175" i="1"/>
  <c r="BT175" i="1" s="1"/>
  <c r="BR176" i="1"/>
  <c r="BT176" i="1" s="1"/>
  <c r="BR177" i="1"/>
  <c r="BT177" i="1" s="1"/>
  <c r="BR178" i="1"/>
  <c r="BT178" i="1" s="1"/>
  <c r="BR179" i="1"/>
  <c r="BT179" i="1" s="1"/>
  <c r="BR180" i="1"/>
  <c r="BT180" i="1" s="1"/>
  <c r="BR181" i="1"/>
  <c r="BT181" i="1" s="1"/>
  <c r="BR182" i="1"/>
  <c r="BT182" i="1" s="1"/>
  <c r="BR183" i="1"/>
  <c r="BT183" i="1" s="1"/>
  <c r="BR184" i="1"/>
  <c r="BT184" i="1" s="1"/>
  <c r="BR186" i="1"/>
  <c r="BT186" i="1" s="1"/>
  <c r="BR188" i="1"/>
  <c r="BT188" i="1" s="1"/>
  <c r="BR190" i="1"/>
  <c r="BT190" i="1" s="1"/>
  <c r="BR191" i="1"/>
  <c r="BT191" i="1" s="1"/>
  <c r="BR192" i="1"/>
  <c r="BT192" i="1" s="1"/>
  <c r="BR193" i="1"/>
  <c r="BT193" i="1" s="1"/>
  <c r="BR194" i="1"/>
  <c r="BT194" i="1" s="1"/>
  <c r="BR195" i="1"/>
  <c r="BT195" i="1" s="1"/>
  <c r="BR128" i="1"/>
  <c r="BT128" i="1" s="1"/>
  <c r="BR198" i="1"/>
  <c r="BT198" i="1" s="1"/>
  <c r="BR199" i="1"/>
  <c r="BT199" i="1" s="1"/>
  <c r="BR200" i="1"/>
  <c r="BT200" i="1" s="1"/>
  <c r="BR201" i="1"/>
  <c r="BT201" i="1" s="1"/>
  <c r="BR157" i="1"/>
  <c r="BT157" i="1" s="1"/>
  <c r="BR205" i="1"/>
  <c r="BT205" i="1" s="1"/>
  <c r="BR208" i="1"/>
  <c r="BT208" i="1" s="1"/>
  <c r="BR203" i="1"/>
  <c r="BT203" i="1" s="1"/>
  <c r="BR244" i="1"/>
  <c r="BT244" i="1" s="1"/>
  <c r="BR226" i="1"/>
  <c r="BT226" i="1" s="1"/>
  <c r="BR234" i="1"/>
  <c r="BT234" i="1" s="1"/>
  <c r="BR248" i="1"/>
  <c r="BT248" i="1" s="1"/>
  <c r="BR219" i="1"/>
  <c r="BT219" i="1" s="1"/>
  <c r="BR215" i="1"/>
  <c r="BT215" i="1" s="1"/>
  <c r="BR211" i="1"/>
  <c r="BT211" i="1" s="1"/>
  <c r="BR231" i="1"/>
  <c r="BT231" i="1" s="1"/>
  <c r="BR250" i="1"/>
  <c r="BT250" i="1" s="1"/>
  <c r="BR245" i="1"/>
  <c r="BT245" i="1" s="1"/>
  <c r="BR247" i="1"/>
  <c r="BT247" i="1" s="1"/>
  <c r="BR216" i="1"/>
  <c r="BT216" i="1" s="1"/>
  <c r="BR224" i="1"/>
  <c r="BT224" i="1" s="1"/>
  <c r="BR202" i="1"/>
  <c r="BT202" i="1" s="1"/>
  <c r="BR204" i="1"/>
  <c r="BT204" i="1" s="1"/>
  <c r="BR210" i="1"/>
  <c r="BT210" i="1" s="1"/>
  <c r="BR209" i="1"/>
  <c r="BT209" i="1" s="1"/>
  <c r="BR217" i="1"/>
  <c r="BT217" i="1" s="1"/>
  <c r="BR220" i="1"/>
  <c r="BT220" i="1" s="1"/>
  <c r="BT223" i="1"/>
  <c r="BR225" i="1"/>
  <c r="BT225" i="1" s="1"/>
  <c r="BR218" i="1"/>
  <c r="BT218" i="1" s="1"/>
  <c r="BR253" i="1"/>
  <c r="BT253" i="1" s="1"/>
  <c r="BR230" i="1"/>
  <c r="BT230" i="1" s="1"/>
  <c r="BR212" i="1"/>
  <c r="BT212" i="1" s="1"/>
  <c r="BR237" i="1"/>
  <c r="BT237" i="1" s="1"/>
  <c r="BR240" i="1"/>
  <c r="BT240" i="1" s="1"/>
  <c r="BR241" i="1"/>
  <c r="BT241" i="1" s="1"/>
  <c r="BR221" i="1"/>
  <c r="BT221" i="1" s="1"/>
  <c r="BR228" i="1"/>
  <c r="BT228" i="1" s="1"/>
  <c r="BR260" i="1"/>
  <c r="BT260" i="1" s="1"/>
  <c r="BR277" i="1"/>
  <c r="BT277" i="1" s="1"/>
  <c r="BR261" i="1"/>
  <c r="BT261" i="1" s="1"/>
  <c r="BR262" i="1"/>
  <c r="BT262" i="1" s="1"/>
  <c r="BR263" i="1"/>
  <c r="BT263" i="1" s="1"/>
  <c r="BR264" i="1"/>
  <c r="BT264" i="1" s="1"/>
  <c r="BR265" i="1"/>
  <c r="BT265" i="1" s="1"/>
  <c r="BR278" i="1"/>
  <c r="BT278" i="1" s="1"/>
  <c r="BR279" i="1"/>
  <c r="BT279" i="1" s="1"/>
  <c r="BR280" i="1"/>
  <c r="BT280" i="1" s="1"/>
  <c r="BR281" i="1"/>
  <c r="BT281" i="1" s="1"/>
  <c r="BR282" i="1"/>
  <c r="BT282" i="1" s="1"/>
  <c r="BR283" i="1"/>
  <c r="BT283" i="1" s="1"/>
  <c r="BR285" i="1"/>
  <c r="BT285" i="1" s="1"/>
  <c r="BR284" i="1"/>
  <c r="BT284" i="1" s="1"/>
  <c r="BR289" i="1"/>
  <c r="BT289" i="1" s="1"/>
  <c r="BR288" i="1"/>
  <c r="BT288" i="1" s="1"/>
  <c r="BR286" i="1"/>
  <c r="BT286" i="1" s="1"/>
  <c r="BR287" i="1"/>
  <c r="BT287" i="1" s="1"/>
  <c r="BR19" i="1"/>
  <c r="BT19" i="1" s="1"/>
  <c r="BR20" i="1"/>
  <c r="BT20" i="1" s="1"/>
  <c r="BR21" i="1"/>
  <c r="BT21" i="1" s="1"/>
  <c r="BR23" i="1"/>
  <c r="BT23" i="1" s="1"/>
  <c r="BR259" i="1"/>
  <c r="BT259" i="1" s="1"/>
  <c r="BR25" i="1"/>
  <c r="BT25" i="1" s="1"/>
  <c r="BR26" i="1"/>
  <c r="BT26" i="1" s="1"/>
  <c r="BR27" i="1"/>
  <c r="BT27" i="1" s="1"/>
  <c r="BR256" i="1"/>
  <c r="BT256" i="1" s="1"/>
  <c r="BR257" i="1"/>
  <c r="BT257" i="1" s="1"/>
  <c r="BR51" i="1"/>
  <c r="BT51" i="1" s="1"/>
  <c r="BT54" i="1"/>
  <c r="BR55" i="1"/>
  <c r="BT55" i="1" s="1"/>
  <c r="BR29" i="1"/>
  <c r="BT29" i="1" s="1"/>
  <c r="BR30" i="1"/>
  <c r="BT30" i="1" s="1"/>
  <c r="BR31" i="1"/>
  <c r="BT31" i="1" s="1"/>
  <c r="BR44" i="1"/>
  <c r="BT44" i="1" s="1"/>
  <c r="BR39" i="1"/>
  <c r="BT39" i="1" s="1"/>
  <c r="BR266" i="1"/>
  <c r="BT266" i="1" s="1"/>
  <c r="BR63" i="1"/>
  <c r="BT63" i="1" s="1"/>
  <c r="BR56" i="1"/>
  <c r="BT56" i="1" s="1"/>
  <c r="BR65" i="1"/>
  <c r="BT65" i="1" s="1"/>
  <c r="BR49" i="1"/>
  <c r="BT49" i="1" s="1"/>
  <c r="BR11" i="1"/>
  <c r="BT11" i="1" s="1"/>
  <c r="BR4" i="1"/>
  <c r="BT4" i="1" s="1"/>
  <c r="BR77" i="1"/>
  <c r="BT77" i="1" s="1"/>
  <c r="BR78" i="1"/>
  <c r="BT78" i="1" s="1"/>
  <c r="BR79" i="1"/>
  <c r="BT79" i="1" s="1"/>
  <c r="BR80" i="1"/>
  <c r="BT80" i="1" s="1"/>
  <c r="BR81" i="1"/>
  <c r="BT81" i="1" s="1"/>
  <c r="BR82" i="1"/>
  <c r="BT82" i="1" s="1"/>
  <c r="BR83" i="1"/>
  <c r="BT83" i="1" s="1"/>
  <c r="BR84" i="1"/>
  <c r="BT84" i="1" s="1"/>
  <c r="BR85" i="1"/>
  <c r="BT85" i="1" s="1"/>
  <c r="BR86" i="1"/>
  <c r="BT86" i="1" s="1"/>
  <c r="BR87" i="1"/>
  <c r="BT87" i="1" s="1"/>
  <c r="BR88" i="1"/>
  <c r="BT88" i="1" s="1"/>
  <c r="BR10" i="1"/>
  <c r="BT10"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100" i="1"/>
  <c r="AG4" i="1"/>
  <c r="AI4" i="1" l="1"/>
  <c r="AI104" i="1" s="1"/>
  <c r="C2" i="3"/>
  <c r="B2" i="3" s="1"/>
  <c r="B7" i="3"/>
  <c r="B8" i="3"/>
  <c r="B9" i="3"/>
  <c r="B10" i="3"/>
  <c r="B11" i="3"/>
  <c r="B12" i="3"/>
  <c r="B13" i="3"/>
  <c r="B14" i="3"/>
  <c r="C4" i="3"/>
  <c r="B4" i="3" s="1"/>
  <c r="C5" i="3"/>
  <c r="B5" i="3" s="1"/>
  <c r="C6" i="3"/>
  <c r="B6" i="3" s="1"/>
  <c r="C7" i="3"/>
  <c r="C8" i="3"/>
  <c r="C9" i="3"/>
  <c r="C10" i="3"/>
  <c r="C11" i="3"/>
  <c r="C12" i="3"/>
  <c r="C13" i="3"/>
  <c r="C14" i="3"/>
  <c r="C15" i="3"/>
  <c r="C16" i="3"/>
  <c r="B16" i="3" s="1"/>
  <c r="C17" i="3"/>
  <c r="B17" i="3" s="1"/>
  <c r="C18" i="3"/>
  <c r="B18" i="3" s="1"/>
  <c r="C3" i="3"/>
  <c r="B3" i="3" s="1"/>
  <c r="AF73" i="1" l="1"/>
  <c r="AF24" i="1"/>
  <c r="AF22" i="1"/>
  <c r="AF72" i="1"/>
  <c r="AF68" i="1"/>
  <c r="AF47" i="1"/>
  <c r="AF107" i="1"/>
  <c r="AF118" i="1"/>
  <c r="AF67" i="1"/>
  <c r="AF276" i="1"/>
  <c r="AF4" i="1"/>
  <c r="AF42" i="1"/>
  <c r="AF61" i="1"/>
  <c r="AF17" i="1"/>
  <c r="AF16" i="1"/>
  <c r="AF15" i="1"/>
  <c r="AF99" i="1"/>
  <c r="AF104" i="1"/>
  <c r="AF69" i="1"/>
  <c r="AF60" i="1"/>
  <c r="AF114" i="1"/>
  <c r="AF109" i="1"/>
  <c r="AF45" i="1"/>
  <c r="AF59" i="1"/>
  <c r="AF54" i="1"/>
  <c r="AF36" i="1"/>
  <c r="AF34" i="1"/>
  <c r="AF33" i="1"/>
  <c r="AF40" i="1"/>
  <c r="AF50" i="1"/>
  <c r="AF41" i="1"/>
  <c r="AF187" i="1"/>
  <c r="AF5" i="1"/>
  <c r="AF8" i="1"/>
  <c r="AF112" i="1"/>
  <c r="AF6" i="1"/>
  <c r="AF38" i="1"/>
  <c r="AF64" i="1"/>
  <c r="AF58" i="1"/>
  <c r="AF57" i="1"/>
  <c r="AF66" i="1"/>
  <c r="AF53" i="1"/>
  <c r="AF32" i="1"/>
  <c r="AF18" i="1"/>
  <c r="AF14" i="1"/>
  <c r="AF13" i="1"/>
  <c r="AF9" i="1"/>
  <c r="AF2" i="1"/>
  <c r="AF12" i="1"/>
  <c r="AF52" i="1"/>
  <c r="AF62" i="1"/>
  <c r="AF43" i="1"/>
  <c r="AF7" i="1"/>
  <c r="AF239" i="1"/>
  <c r="AF238" i="1"/>
  <c r="AF242" i="1"/>
  <c r="AF75" i="1"/>
  <c r="AF74" i="1"/>
  <c r="AF213" i="1"/>
  <c r="AF214" i="1"/>
  <c r="AF207" i="1"/>
  <c r="AF233" i="1"/>
  <c r="AF46" i="1"/>
  <c r="AF48" i="1"/>
  <c r="AF76" i="1"/>
  <c r="AF196" i="1"/>
  <c r="AF275" i="1"/>
  <c r="AF254" i="1"/>
  <c r="AF268" i="1"/>
  <c r="AF251" i="1"/>
  <c r="AF255" i="1"/>
  <c r="AF267" i="1"/>
  <c r="AI107" i="1"/>
  <c r="AI114" i="1"/>
  <c r="AG154" i="1"/>
  <c r="AI154" i="1" s="1"/>
  <c r="AG155" i="1"/>
  <c r="AI155" i="1" s="1"/>
  <c r="AG11" i="1"/>
  <c r="AI11"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1" i="1"/>
  <c r="AI91" i="1" s="1"/>
  <c r="AG92" i="1"/>
  <c r="AI92" i="1" s="1"/>
  <c r="AG93" i="1"/>
  <c r="AI93" i="1" s="1"/>
  <c r="AG94" i="1"/>
  <c r="AI94" i="1" s="1"/>
  <c r="AG95" i="1"/>
  <c r="AI95" i="1" s="1"/>
  <c r="AG96" i="1"/>
  <c r="AI96" i="1" s="1"/>
  <c r="AG97" i="1"/>
  <c r="AI97" i="1" s="1"/>
  <c r="AG100" i="1"/>
  <c r="AI100" i="1" s="1"/>
  <c r="AG101" i="1"/>
  <c r="AI101" i="1" s="1"/>
  <c r="AG197" i="1"/>
  <c r="AI197" i="1" s="1"/>
  <c r="AG102" i="1"/>
  <c r="AI102" i="1" s="1"/>
  <c r="AG103" i="1"/>
  <c r="AI103" i="1" s="1"/>
  <c r="AG105" i="1"/>
  <c r="AI105" i="1" s="1"/>
  <c r="AG106" i="1"/>
  <c r="AI106" i="1" s="1"/>
  <c r="AG108" i="1"/>
  <c r="AI108" i="1" s="1"/>
  <c r="AG110" i="1"/>
  <c r="AI110" i="1" s="1"/>
  <c r="AG116" i="1"/>
  <c r="AI116" i="1" s="1"/>
  <c r="AG120" i="1"/>
  <c r="AI120" i="1" s="1"/>
  <c r="AG111" i="1"/>
  <c r="AI111" i="1" s="1"/>
  <c r="AG113" i="1"/>
  <c r="AI113" i="1" s="1"/>
  <c r="AG98" i="1"/>
  <c r="AI98" i="1" s="1"/>
  <c r="AG115" i="1"/>
  <c r="AI115" i="1" s="1"/>
  <c r="AG117" i="1"/>
  <c r="AI117" i="1" s="1"/>
  <c r="AG119" i="1"/>
  <c r="AG121" i="1"/>
  <c r="AI121" i="1" s="1"/>
  <c r="AG122" i="1"/>
  <c r="AI122" i="1" s="1"/>
  <c r="AG123" i="1"/>
  <c r="AI123" i="1" s="1"/>
  <c r="AG124" i="1"/>
  <c r="AI124" i="1" s="1"/>
  <c r="AG125" i="1"/>
  <c r="AI125" i="1" s="1"/>
  <c r="AG126" i="1"/>
  <c r="AI126" i="1" s="1"/>
  <c r="AG127" i="1"/>
  <c r="AI127" i="1" s="1"/>
  <c r="AG129" i="1"/>
  <c r="AI129" i="1" s="1"/>
  <c r="AG130" i="1"/>
  <c r="AG131" i="1"/>
  <c r="AG132" i="1"/>
  <c r="AI132" i="1" s="1"/>
  <c r="AG133" i="1"/>
  <c r="AI133" i="1" s="1"/>
  <c r="AG134" i="1"/>
  <c r="AI134" i="1" s="1"/>
  <c r="AG135" i="1"/>
  <c r="AI135" i="1" s="1"/>
  <c r="AG136" i="1"/>
  <c r="AI136" i="1" s="1"/>
  <c r="AG137" i="1"/>
  <c r="AI137" i="1" s="1"/>
  <c r="AG139" i="1"/>
  <c r="AI139" i="1" s="1"/>
  <c r="AG138" i="1"/>
  <c r="AI138" i="1" s="1"/>
  <c r="AG140" i="1"/>
  <c r="AI140" i="1" s="1"/>
  <c r="AG141" i="1"/>
  <c r="AI141" i="1" s="1"/>
  <c r="AG142" i="1"/>
  <c r="AI142" i="1" s="1"/>
  <c r="AG143" i="1"/>
  <c r="AI143" i="1" s="1"/>
  <c r="AG144" i="1"/>
  <c r="AI144" i="1" s="1"/>
  <c r="AG145" i="1"/>
  <c r="AI145" i="1" s="1"/>
  <c r="AG146" i="1"/>
  <c r="AI146" i="1" s="1"/>
  <c r="AG147" i="1"/>
  <c r="AI147" i="1" s="1"/>
  <c r="AG148" i="1"/>
  <c r="AI148" i="1" s="1"/>
  <c r="AG150" i="1"/>
  <c r="AI150" i="1" s="1"/>
  <c r="AG151" i="1"/>
  <c r="AI151" i="1" s="1"/>
  <c r="AG152" i="1"/>
  <c r="AI152" i="1" s="1"/>
  <c r="AG153" i="1"/>
  <c r="AI153" i="1" s="1"/>
  <c r="AG156" i="1"/>
  <c r="AI156" i="1" s="1"/>
  <c r="AG158" i="1"/>
  <c r="AI158" i="1" s="1"/>
  <c r="AG159" i="1"/>
  <c r="AI159" i="1" s="1"/>
  <c r="AG160" i="1"/>
  <c r="AI160" i="1" s="1"/>
  <c r="AG161" i="1"/>
  <c r="AI161" i="1" s="1"/>
  <c r="AG162" i="1"/>
  <c r="AI162" i="1" s="1"/>
  <c r="AG163" i="1"/>
  <c r="AI163" i="1" s="1"/>
  <c r="AG164" i="1"/>
  <c r="AI164" i="1" s="1"/>
  <c r="AG166" i="1"/>
  <c r="AI166" i="1" s="1"/>
  <c r="AG167" i="1"/>
  <c r="AI167" i="1" s="1"/>
  <c r="AG168" i="1"/>
  <c r="AI168" i="1" s="1"/>
  <c r="AG169" i="1"/>
  <c r="AI169" i="1" s="1"/>
  <c r="AG170" i="1"/>
  <c r="AI170" i="1" s="1"/>
  <c r="AG206" i="1"/>
  <c r="AI206" i="1" s="1"/>
  <c r="AG171" i="1"/>
  <c r="AI171" i="1" s="1"/>
  <c r="AG172" i="1"/>
  <c r="AI172" i="1" s="1"/>
  <c r="AG173" i="1"/>
  <c r="AI173" i="1" s="1"/>
  <c r="AG165" i="1"/>
  <c r="AI165" i="1" s="1"/>
  <c r="AG174" i="1"/>
  <c r="AI174" i="1" s="1"/>
  <c r="AG175" i="1"/>
  <c r="AI175" i="1" s="1"/>
  <c r="AG176" i="1"/>
  <c r="AI176" i="1" s="1"/>
  <c r="AG177" i="1"/>
  <c r="AI177" i="1" s="1"/>
  <c r="AG178" i="1"/>
  <c r="AI178" i="1" s="1"/>
  <c r="AG179" i="1"/>
  <c r="AI179" i="1" s="1"/>
  <c r="AG180" i="1"/>
  <c r="AI180" i="1" s="1"/>
  <c r="AG181" i="1"/>
  <c r="AI181" i="1" s="1"/>
  <c r="AG182" i="1"/>
  <c r="AI182" i="1" s="1"/>
  <c r="AG183" i="1"/>
  <c r="AI183" i="1" s="1"/>
  <c r="AG184" i="1"/>
  <c r="AI184" i="1" s="1"/>
  <c r="AG186" i="1"/>
  <c r="AI186" i="1" s="1"/>
  <c r="AG188" i="1"/>
  <c r="AI188" i="1" s="1"/>
  <c r="AG190" i="1"/>
  <c r="AI190" i="1" s="1"/>
  <c r="AG191" i="1"/>
  <c r="AI191" i="1" s="1"/>
  <c r="AG192" i="1"/>
  <c r="AI192" i="1" s="1"/>
  <c r="AG193" i="1"/>
  <c r="AI193" i="1" s="1"/>
  <c r="AG194" i="1"/>
  <c r="AI194" i="1" s="1"/>
  <c r="AG195" i="1"/>
  <c r="AI195" i="1" s="1"/>
  <c r="AG128" i="1"/>
  <c r="AI128" i="1" s="1"/>
  <c r="AG198" i="1"/>
  <c r="AI198" i="1" s="1"/>
  <c r="AG199" i="1"/>
  <c r="AI199" i="1" s="1"/>
  <c r="AG200" i="1"/>
  <c r="AI200" i="1" s="1"/>
  <c r="AG201" i="1"/>
  <c r="AI201" i="1" s="1"/>
  <c r="AG157" i="1"/>
  <c r="AI157" i="1" s="1"/>
  <c r="AG205" i="1"/>
  <c r="AI205" i="1" s="1"/>
  <c r="AG208" i="1"/>
  <c r="AI208" i="1" s="1"/>
  <c r="AG203" i="1"/>
  <c r="AI203" i="1" s="1"/>
  <c r="AG244" i="1"/>
  <c r="AI244" i="1" s="1"/>
  <c r="AG226" i="1"/>
  <c r="AI226" i="1" s="1"/>
  <c r="AG234" i="1"/>
  <c r="AI234" i="1" s="1"/>
  <c r="AG248" i="1"/>
  <c r="AI248" i="1" s="1"/>
  <c r="AG219" i="1"/>
  <c r="AI219" i="1" s="1"/>
  <c r="AG215" i="1"/>
  <c r="AI215" i="1" s="1"/>
  <c r="AG211" i="1"/>
  <c r="AI211" i="1" s="1"/>
  <c r="AG231" i="1"/>
  <c r="AI231" i="1" s="1"/>
  <c r="AG250" i="1"/>
  <c r="AI250" i="1" s="1"/>
  <c r="AG245" i="1"/>
  <c r="AI245" i="1" s="1"/>
  <c r="AG247" i="1"/>
  <c r="AI247" i="1" s="1"/>
  <c r="AG216" i="1"/>
  <c r="AI216" i="1" s="1"/>
  <c r="AG224" i="1"/>
  <c r="AI224" i="1" s="1"/>
  <c r="AG202" i="1"/>
  <c r="AI202" i="1" s="1"/>
  <c r="AG204" i="1"/>
  <c r="AI204" i="1" s="1"/>
  <c r="AG210" i="1"/>
  <c r="AI210" i="1" s="1"/>
  <c r="AG209" i="1"/>
  <c r="AI209" i="1" s="1"/>
  <c r="AG217" i="1"/>
  <c r="AI217" i="1" s="1"/>
  <c r="AG220" i="1"/>
  <c r="AI220" i="1" s="1"/>
  <c r="AG223" i="1"/>
  <c r="AI223" i="1" s="1"/>
  <c r="AG225" i="1"/>
  <c r="AI225" i="1" s="1"/>
  <c r="AG218" i="1"/>
  <c r="AI218" i="1" s="1"/>
  <c r="AG253" i="1"/>
  <c r="AI253" i="1" s="1"/>
  <c r="AG230" i="1"/>
  <c r="AI230" i="1" s="1"/>
  <c r="AG237" i="1"/>
  <c r="AI237" i="1" s="1"/>
  <c r="AG240" i="1"/>
  <c r="AI240" i="1" s="1"/>
  <c r="AG241" i="1"/>
  <c r="AI241" i="1" s="1"/>
  <c r="AG221" i="1"/>
  <c r="AI221" i="1" s="1"/>
  <c r="AG228" i="1"/>
  <c r="AI228" i="1" s="1"/>
  <c r="AG260" i="1"/>
  <c r="AI260" i="1" s="1"/>
  <c r="AG277" i="1"/>
  <c r="AI277" i="1" s="1"/>
  <c r="AG261" i="1"/>
  <c r="AI261" i="1" s="1"/>
  <c r="AG262" i="1"/>
  <c r="AI262" i="1" s="1"/>
  <c r="AG263" i="1"/>
  <c r="AI263" i="1" s="1"/>
  <c r="AG264" i="1"/>
  <c r="AI264" i="1" s="1"/>
  <c r="AG265" i="1"/>
  <c r="AI265" i="1" s="1"/>
  <c r="AG278" i="1"/>
  <c r="AI278" i="1" s="1"/>
  <c r="AG279" i="1"/>
  <c r="AI279" i="1" s="1"/>
  <c r="AG280" i="1"/>
  <c r="AI280" i="1" s="1"/>
  <c r="AG281" i="1"/>
  <c r="AI281" i="1" s="1"/>
  <c r="AG282" i="1"/>
  <c r="AI282" i="1" s="1"/>
  <c r="AG283" i="1"/>
  <c r="AI283" i="1" s="1"/>
  <c r="AG285" i="1"/>
  <c r="AI285" i="1" s="1"/>
  <c r="AG284" i="1"/>
  <c r="AI284" i="1" s="1"/>
  <c r="AG289" i="1"/>
  <c r="AG288" i="1"/>
  <c r="AI288" i="1" s="1"/>
  <c r="AG286" i="1"/>
  <c r="AI286" i="1" s="1"/>
  <c r="AG287" i="1"/>
  <c r="AI287" i="1" s="1"/>
  <c r="AG19" i="1"/>
  <c r="AI19" i="1" s="1"/>
  <c r="AG20" i="1"/>
  <c r="AI20" i="1" s="1"/>
  <c r="AG21" i="1"/>
  <c r="AI21" i="1" s="1"/>
  <c r="AG23" i="1"/>
  <c r="AI23" i="1" s="1"/>
  <c r="AG259" i="1"/>
  <c r="AI259" i="1" s="1"/>
  <c r="AG25" i="1"/>
  <c r="AI25" i="1" s="1"/>
  <c r="AG26" i="1"/>
  <c r="AI26" i="1" s="1"/>
  <c r="AG27" i="1"/>
  <c r="AI27" i="1" s="1"/>
  <c r="AG256" i="1"/>
  <c r="AI256" i="1" s="1"/>
  <c r="AG257" i="1"/>
  <c r="AI257" i="1" s="1"/>
  <c r="AG51" i="1"/>
  <c r="AI51" i="1" s="1"/>
  <c r="AG55" i="1"/>
  <c r="AI55" i="1" s="1"/>
  <c r="AG29" i="1"/>
  <c r="AI29" i="1" s="1"/>
  <c r="AG30" i="1"/>
  <c r="AI30" i="1" s="1"/>
  <c r="AG31" i="1"/>
  <c r="AI31" i="1" s="1"/>
  <c r="AG35" i="1"/>
  <c r="AI35" i="1" s="1"/>
  <c r="AG37" i="1"/>
  <c r="AG44" i="1"/>
  <c r="AI44" i="1" s="1"/>
  <c r="AG39" i="1"/>
  <c r="AI39" i="1" s="1"/>
  <c r="AG266" i="1"/>
  <c r="AI266" i="1" s="1"/>
  <c r="AG63" i="1"/>
  <c r="AI63" i="1" s="1"/>
  <c r="AG56" i="1"/>
  <c r="AI56" i="1" s="1"/>
  <c r="AG65" i="1"/>
  <c r="AI65" i="1" s="1"/>
  <c r="AG49" i="1"/>
  <c r="AI49" i="1" s="1"/>
  <c r="AG10" i="1"/>
  <c r="AI10" i="1" s="1"/>
  <c r="AI289" i="1" l="1"/>
  <c r="AF289" i="1"/>
  <c r="AI131" i="1"/>
  <c r="AF37" i="1"/>
  <c r="AI37" i="1"/>
  <c r="AI130" i="1"/>
  <c r="AI119" i="1"/>
  <c r="AF35" i="1"/>
  <c r="AF266" i="1"/>
  <c r="AF119" i="1"/>
  <c r="AF131" i="1"/>
  <c r="AF130" i="1"/>
  <c r="AF10" i="1"/>
  <c r="AF113" i="1"/>
  <c r="AF110" i="1"/>
  <c r="AF103" i="1"/>
  <c r="AF100" i="1"/>
  <c r="AF94" i="1"/>
  <c r="AF89" i="1"/>
  <c r="AF85" i="1"/>
  <c r="AF81" i="1"/>
  <c r="AF77" i="1"/>
  <c r="AF23" i="1"/>
  <c r="AF284" i="1"/>
  <c r="AF221" i="1"/>
  <c r="AF209" i="1"/>
  <c r="AF219" i="1"/>
  <c r="AF193" i="1"/>
  <c r="AF178" i="1"/>
  <c r="AF168" i="1"/>
  <c r="AF152" i="1"/>
  <c r="AF144" i="1"/>
  <c r="AF133" i="1"/>
  <c r="AF285" i="1"/>
  <c r="AF241" i="1"/>
  <c r="AF210" i="1"/>
  <c r="AF231" i="1"/>
  <c r="AF201" i="1"/>
  <c r="AF186" i="1"/>
  <c r="AF165" i="1"/>
  <c r="AF162" i="1"/>
  <c r="AF151" i="1"/>
  <c r="AF143" i="1"/>
  <c r="AF138" i="1"/>
  <c r="AF132" i="1"/>
  <c r="AF123" i="1"/>
  <c r="AF117" i="1"/>
  <c r="AF111" i="1"/>
  <c r="AF102" i="1"/>
  <c r="AF97" i="1"/>
  <c r="AF93" i="1"/>
  <c r="AF88" i="1"/>
  <c r="AF84" i="1"/>
  <c r="AF80" i="1"/>
  <c r="AF11" i="1"/>
  <c r="AF65" i="1"/>
  <c r="AF55" i="1"/>
  <c r="AF281" i="1"/>
  <c r="AF261" i="1"/>
  <c r="AF225" i="1"/>
  <c r="AF250" i="1"/>
  <c r="AF157" i="1"/>
  <c r="AF188" i="1"/>
  <c r="AF174" i="1"/>
  <c r="AF163" i="1"/>
  <c r="AF148" i="1"/>
  <c r="AF136" i="1"/>
  <c r="AF129" i="1"/>
  <c r="AF31" i="1"/>
  <c r="AF257" i="1"/>
  <c r="AF21" i="1"/>
  <c r="AF280" i="1"/>
  <c r="AF277" i="1"/>
  <c r="AF230" i="1"/>
  <c r="AF216" i="1"/>
  <c r="AF203" i="1"/>
  <c r="AF192" i="1"/>
  <c r="AF181" i="1"/>
  <c r="AF177" i="1"/>
  <c r="AF167" i="1"/>
  <c r="AF158" i="1"/>
  <c r="AF147" i="1"/>
  <c r="AF135" i="1"/>
  <c r="AF127" i="1"/>
  <c r="AF56" i="1"/>
  <c r="AF44" i="1"/>
  <c r="AF25" i="1"/>
  <c r="AF20" i="1"/>
  <c r="AF288" i="1"/>
  <c r="AF283" i="1"/>
  <c r="AF279" i="1"/>
  <c r="AF263" i="1"/>
  <c r="AF260" i="1"/>
  <c r="AF240" i="1"/>
  <c r="AF253" i="1"/>
  <c r="AF220" i="1"/>
  <c r="AF204" i="1"/>
  <c r="AF247" i="1"/>
  <c r="AF211" i="1"/>
  <c r="AF234" i="1"/>
  <c r="AF208" i="1"/>
  <c r="AF200" i="1"/>
  <c r="AF195" i="1"/>
  <c r="AF191" i="1"/>
  <c r="AF184" i="1"/>
  <c r="AF180" i="1"/>
  <c r="AF176" i="1"/>
  <c r="AF173" i="1"/>
  <c r="AF170" i="1"/>
  <c r="AF166" i="1"/>
  <c r="AF161" i="1"/>
  <c r="AF156" i="1"/>
  <c r="AF150" i="1"/>
  <c r="AF146" i="1"/>
  <c r="AF142" i="1"/>
  <c r="AF139" i="1"/>
  <c r="AF134" i="1"/>
  <c r="AF126" i="1"/>
  <c r="AF122" i="1"/>
  <c r="AF115" i="1"/>
  <c r="AF120" i="1"/>
  <c r="AF197" i="1"/>
  <c r="AF96" i="1"/>
  <c r="AF92" i="1"/>
  <c r="AF87" i="1"/>
  <c r="AF83" i="1"/>
  <c r="AF79" i="1"/>
  <c r="AF155" i="1"/>
  <c r="AF27" i="1"/>
  <c r="AF287" i="1"/>
  <c r="AF265" i="1"/>
  <c r="AF212" i="1"/>
  <c r="AF224" i="1"/>
  <c r="AF244" i="1"/>
  <c r="AF198" i="1"/>
  <c r="AF182" i="1"/>
  <c r="AF171" i="1"/>
  <c r="AF159" i="1"/>
  <c r="AF140" i="1"/>
  <c r="AF124" i="1"/>
  <c r="AF39" i="1"/>
  <c r="AF26" i="1"/>
  <c r="AF286" i="1"/>
  <c r="AF264" i="1"/>
  <c r="AF223" i="1"/>
  <c r="AF248" i="1"/>
  <c r="AF128" i="1"/>
  <c r="AF206" i="1"/>
  <c r="AF30" i="1"/>
  <c r="AF256" i="1"/>
  <c r="AF49" i="1"/>
  <c r="AF63" i="1"/>
  <c r="AF29" i="1"/>
  <c r="AF51" i="1"/>
  <c r="AF259" i="1"/>
  <c r="AF19" i="1"/>
  <c r="AF282" i="1"/>
  <c r="AF278" i="1"/>
  <c r="AF262" i="1"/>
  <c r="AF228" i="1"/>
  <c r="AF237" i="1"/>
  <c r="AF218" i="1"/>
  <c r="AF217" i="1"/>
  <c r="AF202" i="1"/>
  <c r="AF245" i="1"/>
  <c r="AF215" i="1"/>
  <c r="AF226" i="1"/>
  <c r="AF205" i="1"/>
  <c r="AF199" i="1"/>
  <c r="AF194" i="1"/>
  <c r="AF190" i="1"/>
  <c r="AF183" i="1"/>
  <c r="AF179" i="1"/>
  <c r="AF175" i="1"/>
  <c r="AF172" i="1"/>
  <c r="AF169" i="1"/>
  <c r="AF164" i="1"/>
  <c r="AF160" i="1"/>
  <c r="AF153" i="1"/>
  <c r="AF149" i="1"/>
  <c r="AF145" i="1"/>
  <c r="AF141" i="1"/>
  <c r="AF137" i="1"/>
  <c r="AF125" i="1"/>
  <c r="AF121" i="1"/>
  <c r="AF98" i="1"/>
  <c r="AF116" i="1"/>
  <c r="AF105" i="1"/>
  <c r="AF101" i="1"/>
  <c r="AF95" i="1"/>
  <c r="AF91" i="1"/>
  <c r="AF86" i="1"/>
  <c r="AF82" i="1"/>
  <c r="AF78" i="1"/>
  <c r="AF154" i="1"/>
  <c r="AF108" i="1"/>
  <c r="AF106" i="1"/>
  <c r="K219" i="1" l="1"/>
  <c r="AX219" i="1" s="1"/>
  <c r="BE219" i="1" s="1"/>
  <c r="K248" i="1"/>
  <c r="AX248" i="1" s="1"/>
  <c r="BE248" i="1" s="1"/>
  <c r="T203" i="1"/>
  <c r="X203" i="1" s="1"/>
  <c r="BG248" i="1" l="1"/>
  <c r="BD248" i="1"/>
  <c r="BF248" i="1" s="1"/>
  <c r="BG219" i="1"/>
  <c r="BD219" i="1"/>
  <c r="BF219" i="1" s="1"/>
  <c r="T205" i="1"/>
  <c r="X205" i="1" s="1"/>
  <c r="T157" i="1"/>
  <c r="X157" i="1" s="1"/>
  <c r="K167" i="1" l="1"/>
  <c r="AX167" i="1" s="1"/>
  <c r="K161" i="1"/>
  <c r="AX161" i="1" s="1"/>
  <c r="BE161" i="1" l="1"/>
  <c r="BG161" i="1" s="1"/>
  <c r="BE167" i="1"/>
  <c r="BG167" i="1" s="1"/>
  <c r="BD161" i="1"/>
  <c r="BF161" i="1" s="1"/>
  <c r="BD167" i="1"/>
  <c r="BF167" i="1" s="1"/>
  <c r="T111" i="1"/>
  <c r="X111" i="1" s="1"/>
  <c r="T91" i="1"/>
  <c r="X91" i="1" s="1"/>
</calcChain>
</file>

<file path=xl/sharedStrings.xml><?xml version="1.0" encoding="utf-8"?>
<sst xmlns="http://schemas.openxmlformats.org/spreadsheetml/2006/main" count="3123" uniqueCount="1401">
  <si>
    <t>Murray "Salamanca"</t>
  </si>
  <si>
    <t>Stephenson Locomotion</t>
  </si>
  <si>
    <t>Stephenson Planet</t>
  </si>
  <si>
    <t>Bury "Coppernob"</t>
  </si>
  <si>
    <t>Crampton Locomotive</t>
  </si>
  <si>
    <t>NER 1001 Class</t>
  </si>
  <si>
    <t>GWR 4-2-2 Iron Duke</t>
  </si>
  <si>
    <t>LNWR Lady of the Lake class</t>
  </si>
  <si>
    <t>GER Class Y14</t>
  </si>
  <si>
    <t>Fowler 3F "Jinty"</t>
  </si>
  <si>
    <t>Fowler 4F</t>
  </si>
  <si>
    <t>Hawthorn Leslie 0-4-0ST</t>
  </si>
  <si>
    <t>LNER Thompson B1</t>
  </si>
  <si>
    <t>LNER Gresley V2</t>
  </si>
  <si>
    <t>Midland Railway 1000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</si>
  <si>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</si>
  <si>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</si>
  <si>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</si>
  <si>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</si>
  <si>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</si>
  <si>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</si>
  <si>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</si>
  <si>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</si>
  <si>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</si>
  <si>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</si>
  <si>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</si>
  <si>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</si>
  <si>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</si>
  <si>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</si>
  <si>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</si>
  <si>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</si>
  <si>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</si>
  <si>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</si>
  <si>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</si>
  <si>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</si>
  <si>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</si>
  <si>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</si>
  <si>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</si>
  <si>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</si>
  <si>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</si>
  <si>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</si>
  <si>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</si>
  <si>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</si>
  <si>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</si>
  <si>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</si>
  <si>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</si>
  <si>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</si>
  <si>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</si>
  <si>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</si>
  <si>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</si>
  <si>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</si>
  <si>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</si>
  <si>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</si>
  <si>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</si>
  <si>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</si>
  <si>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</si>
  <si>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</si>
  <si>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</si>
  <si>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</si>
  <si>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</si>
  <si>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</si>
  <si>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</si>
  <si>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</si>
  <si>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</si>
  <si>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</si>
  <si>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</si>
  <si>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</si>
  <si>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</si>
  <si>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</si>
  <si>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</si>
  <si>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</si>
  <si>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</si>
  <si>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</si>
  <si>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</si>
  <si>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</si>
  <si>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</si>
  <si>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</si>
  <si>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</si>
  <si>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</si>
  <si>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</si>
  <si>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</si>
  <si>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</si>
  <si>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</si>
  <si>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</si>
  <si>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</si>
  <si>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</si>
  <si>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</si>
  <si>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</si>
  <si>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</si>
  <si>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</si>
  <si>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</si>
  <si>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</si>
  <si>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</si>
  <si>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</si>
  <si>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</si>
  <si>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</si>
  <si>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</si>
  <si>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</si>
  <si>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</si>
  <si>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</si>
  <si>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</si>
  <si>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</si>
  <si>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</si>
  <si>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</si>
  <si>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</si>
  <si>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</si>
  <si>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</si>
  <si>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</si>
  <si>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</si>
  <si>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</si>
  <si>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</si>
  <si>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</si>
  <si>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</si>
  <si>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</si>
  <si>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</si>
  <si>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</si>
  <si>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</si>
  <si>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</si>
  <si>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</si>
  <si>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</si>
  <si>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</si>
  <si>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</si>
  <si>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</si>
  <si>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</si>
  <si>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</si>
  <si>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</si>
  <si>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</si>
  <si>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</si>
  <si>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</si>
  <si>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</si>
  <si>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</si>
  <si>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</si>
  <si>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</si>
  <si>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</si>
  <si>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</si>
  <si>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</si>
  <si>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</si>
  <si>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</si>
  <si>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</si>
  <si>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</si>
  <si>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</si>
  <si>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</si>
  <si>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</si>
  <si>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</si>
  <si>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</si>
  <si>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</si>
  <si>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</si>
  <si>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</si>
  <si>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</si>
  <si>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</si>
  <si>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</si>
  <si>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</si>
  <si>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</si>
  <si>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</si>
  <si>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</si>
  <si>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</si>
  <si>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</si>
  <si>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</si>
  <si>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</si>
  <si>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</si>
  <si>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</si>
  <si>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</si>
  <si>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</si>
  <si>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</si>
  <si>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</si>
  <si>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</si>
  <si>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</si>
  <si>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</si>
  <si>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</si>
  <si>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</si>
  <si>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</si>
  <si>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</si>
  <si>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</si>
  <si>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</si>
  <si>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</si>
  <si>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</si>
  <si>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</si>
  <si>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</si>
  <si>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</si>
  <si>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</si>
  <si>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</si>
  <si>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</si>
  <si>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</si>
  <si>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</si>
  <si>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</si>
  <si>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</si>
  <si>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</si>
  <si>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</si>
  <si>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</si>
  <si>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</si>
  <si>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</si>
  <si>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</si>
  <si>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</si>
  <si>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</si>
  <si>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</si>
  <si>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</si>
  <si>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</si>
  <si>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</si>
  <si>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</si>
  <si>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</si>
  <si>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</si>
  <si>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</si>
  <si>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</si>
  <si>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</si>
  <si>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</si>
  <si>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</si>
  <si>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</si>
  <si>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</si>
  <si>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</si>
  <si>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</si>
  <si>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</si>
  <si>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</si>
  <si>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</si>
  <si>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</si>
  <si>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</si>
  <si>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</si>
  <si>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</si>
  <si>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</si>
  <si>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</si>
  <si>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</si>
  <si>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</si>
  <si>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</si>
  <si>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</si>
  <si>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</si>
  <si>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</si>
  <si>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</si>
  <si>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</si>
  <si>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</si>
  <si>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</si>
  <si>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</si>
  <si>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</si>
  <si>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</si>
  <si>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</si>
  <si>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</si>
  <si>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</si>
  <si>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</si>
  <si>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</si>
  <si>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</si>
  <si>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</si>
  <si>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</si>
  <si>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</si>
  <si>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</si>
  <si>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</si>
  <si>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</si>
  <si>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</si>
  <si>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</si>
  <si>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</si>
  <si>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</si>
  <si>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</si>
  <si>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</si>
  <si>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</si>
  <si>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</si>
  <si>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</si>
  <si>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</si>
  <si>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</si>
  <si>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</si>
  <si>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</si>
  <si>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</si>
  <si>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</si>
  <si>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</si>
  <si>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</si>
  <si>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</si>
  <si>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</si>
  <si>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</si>
  <si>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</si>
  <si>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</si>
  <si>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</si>
  <si>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</si>
  <si>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</si>
  <si>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</si>
  <si>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</si>
  <si>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</si>
  <si>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</si>
  <si>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</si>
  <si>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</si>
  <si>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</si>
  <si>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</si>
  <si>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</si>
  <si>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</si>
  <si>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</si>
  <si>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</si>
  <si>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</si>
  <si>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</si>
  <si>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</si>
  <si>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</si>
  <si>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</si>
  <si>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</si>
  <si>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</si>
  <si>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</si>
  <si>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</si>
  <si>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</si>
  <si>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</si>
  <si>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</si>
  <si>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</si>
  <si>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</si>
  <si>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</si>
  <si>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</si>
  <si>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</si>
  <si>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</si>
  <si>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</si>
  <si>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</si>
  <si>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</si>
  <si>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</si>
  <si>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</si>
  <si>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</si>
  <si>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</si>
  <si>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</si>
  <si>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</si>
  <si>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</si>
  <si>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</si>
  <si>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</si>
  <si>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</si>
  <si>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</si>
  <si>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</si>
  <si>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</si>
  <si>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</si>
  <si>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</si>
  <si>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</si>
  <si>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</si>
  <si>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</si>
  <si>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</si>
  <si>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</si>
  <si>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</si>
  <si>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</si>
  <si>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</si>
  <si>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</si>
  <si>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</si>
  <si>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</si>
  <si>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</si>
  <si>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</si>
  <si>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</si>
  <si>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</si>
  <si>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</si>
  <si>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</si>
  <si>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</si>
  <si>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</si>
  <si>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</si>
  <si>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</si>
  <si>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</si>
  <si>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</si>
  <si>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</si>
  <si>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</si>
  <si>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</si>
  <si>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</si>
  <si>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</si>
  <si>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</si>
  <si>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</si>
  <si>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</si>
  <si>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</si>
  <si>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</si>
  <si>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</si>
  <si>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</si>
  <si>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</si>
  <si>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</si>
  <si>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</si>
  <si>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</si>
  <si>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</si>
  <si>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</si>
  <si>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</si>
  <si>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</si>
  <si>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</si>
  <si>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</si>
  <si>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</si>
  <si>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</si>
  <si>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</si>
  <si>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</si>
  <si>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</si>
  <si>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</si>
  <si>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</si>
  <si>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</si>
  <si>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</si>
  <si>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</si>
  <si>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</si>
  <si>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</si>
  <si>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</si>
  <si>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</si>
  <si>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</si>
  <si>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</si>
  <si>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</si>
  <si>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</si>
  <si>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</si>
  <si>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</si>
  <si>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</si>
  <si>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</si>
  <si>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</si>
  <si>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</si>
  <si>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</si>
  <si>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</si>
  <si>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</si>
  <si>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</si>
  <si>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</si>
  <si>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</si>
  <si>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</si>
  <si>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</si>
  <si>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</si>
  <si>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</si>
  <si>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</si>
  <si>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</si>
  <si>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</si>
  <si>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</si>
  <si>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</si>
  <si>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</si>
  <si>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</si>
  <si>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</si>
  <si>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</si>
  <si>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</si>
  <si>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</si>
  <si>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</si>
  <si>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</si>
  <si>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</si>
  <si>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</si>
  <si>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</si>
  <si>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</si>
  <si>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</si>
  <si>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</si>
  <si>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</si>
  <si>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</si>
  <si>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</si>
  <si>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</si>
  <si>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Gresley K2 is a freight engine, designed for the GNR which had been using passenger engines to haul goods trains.</t>
  </si>
  <si>
    <t>LNER Gresley K2 "Ragtimer"</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</si>
  <si>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</si>
  <si>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</si>
  <si>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</si>
  <si>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</si>
  <si>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</si>
  <si>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</si>
  <si>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</si>
  <si>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</si>
  <si>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</si>
  <si>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</si>
  <si>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</si>
  <si>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</si>
  <si>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</si>
  <si>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</si>
  <si>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</si>
  <si>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</si>
  <si>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</si>
  <si>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</si>
  <si>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</si>
  <si>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</si>
  <si>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</si>
  <si>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</si>
  <si>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</si>
  <si>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</si>
  <si>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</si>
  <si>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</si>
  <si>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</si>
  <si>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</si>
  <si>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</si>
  <si>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</si>
  <si>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</si>
  <si>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</si>
  <si>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</si>
  <si>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</si>
  <si>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</si>
  <si>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</si>
  <si>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</si>
  <si>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</si>
  <si>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</si>
  <si>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</si>
  <si>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</si>
  <si>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</si>
  <si>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</si>
  <si>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</si>
  <si>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</si>
  <si>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</si>
  <si>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</si>
  <si>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</si>
  <si>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</si>
  <si>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</si>
  <si>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</si>
  <si>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</si>
  <si>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</si>
  <si>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</si>
  <si>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</si>
  <si>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</si>
  <si>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</si>
  <si>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</si>
  <si>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</si>
  <si>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</si>
  <si>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</si>
  <si>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</si>
  <si>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</si>
  <si>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</si>
  <si>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</si>
  <si>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</si>
  <si>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</si>
  <si>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</si>
  <si>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</si>
  <si>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</si>
  <si>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</si>
  <si>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</si>
  <si>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</si>
  <si>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</si>
  <si>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</si>
  <si>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</si>
  <si>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</si>
  <si>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</si>
  <si>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</si>
  <si>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</si>
  <si>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</si>
  <si>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</si>
  <si>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</si>
  <si>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</si>
  <si>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</si>
  <si>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</si>
  <si>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</si>
  <si>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</si>
  <si>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</si>
  <si>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</si>
  <si>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</si>
  <si>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</si>
  <si>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</si>
  <si>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</si>
  <si>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</si>
  <si>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</si>
  <si>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</si>
  <si>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</si>
  <si>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</si>
  <si>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</si>
  <si>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</si>
  <si>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</si>
  <si>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</si>
  <si>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</si>
  <si>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</si>
  <si>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</si>
  <si>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</si>
  <si>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</si>
  <si>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</si>
  <si>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</si>
  <si>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</si>
  <si>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</si>
  <si>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</si>
  <si>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</si>
  <si>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</si>
  <si>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</si>
  <si>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</si>
  <si>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</si>
  <si>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</si>
  <si>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</si>
  <si>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</si>
  <si>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</si>
  <si>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</si>
  <si>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</si>
  <si>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</si>
  <si>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</si>
  <si>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</si>
  <si>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</si>
  <si>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</si>
  <si>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</si>
  <si>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</si>
  <si>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</si>
  <si>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</si>
  <si>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</si>
  <si>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</si>
  <si>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</si>
  <si>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</si>
  <si>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</si>
  <si>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</si>
  <si>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</si>
  <si>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</si>
  <si>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</si>
  <si>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</si>
  <si>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</si>
  <si>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</si>
  <si>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</si>
  <si>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</si>
  <si>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</si>
  <si>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</si>
  <si>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</si>
  <si>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</si>
  <si>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</si>
  <si>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</si>
  <si>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</si>
  <si>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</si>
  <si>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</si>
  <si>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</si>
  <si>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</si>
  <si>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</si>
  <si>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</si>
  <si>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</si>
  <si>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</si>
  <si>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</si>
  <si>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</si>
  <si>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</si>
  <si>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</si>
  <si>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</si>
  <si>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</si>
  <si>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</si>
  <si>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</si>
  <si>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</si>
  <si>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</si>
  <si>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</si>
  <si>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</si>
  <si>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</si>
  <si>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</si>
  <si>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</si>
  <si>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</si>
  <si>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</si>
  <si>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</si>
  <si>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</si>
  <si>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</si>
  <si>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</si>
  <si>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</si>
  <si>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</si>
  <si>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</si>
  <si>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</si>
  <si>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</si>
  <si>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</si>
  <si>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</si>
  <si>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</si>
  <si>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</si>
  <si>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</si>
  <si>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</si>
  <si>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</si>
  <si>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</si>
  <si>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</si>
  <si>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</si>
  <si>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</si>
  <si>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</si>
  <si>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</si>
  <si>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</si>
  <si>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</si>
  <si>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</si>
  <si>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</si>
  <si>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</si>
  <si>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</si>
  <si>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</si>
  <si>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</si>
  <si>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</si>
  <si>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</si>
  <si>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</si>
  <si>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</si>
  <si>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</si>
  <si>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</si>
  <si>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</si>
  <si>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</si>
  <si>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</si>
  <si>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</si>
  <si>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</si>
  <si>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</si>
  <si>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</si>
  <si>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</si>
  <si>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</si>
  <si>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</si>
  <si>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</si>
  <si>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</si>
  <si>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</si>
  <si>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</si>
  <si>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</si>
  <si>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</si>
  <si>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</si>
  <si>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</si>
  <si>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</si>
  <si>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</si>
  <si>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</si>
  <si>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</si>
  <si>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</si>
  <si>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</si>
  <si>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</si>
  <si>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</si>
  <si>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</si>
  <si>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</si>
  <si>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</si>
  <si>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</si>
  <si>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</si>
  <si>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</si>
  <si>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</si>
  <si>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</si>
  <si>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</si>
  <si>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</si>
  <si>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</si>
  <si>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</si>
  <si>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</si>
  <si>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</si>
  <si>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</si>
  <si>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</si>
  <si>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</si>
  <si>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</si>
  <si>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</si>
  <si>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</si>
  <si>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</si>
  <si>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</si>
  <si>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</si>
  <si>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</si>
  <si>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</si>
  <si>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</si>
  <si>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</si>
  <si>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</si>
  <si>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</si>
  <si>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</si>
  <si>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</si>
  <si>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</si>
  <si>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</si>
  <si>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</si>
  <si>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</si>
  <si>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</si>
  <si>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</si>
  <si>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</si>
  <si>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</si>
  <si>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</si>
  <si>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</si>
  <si>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</si>
  <si>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</si>
  <si>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</si>
  <si>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</si>
  <si>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</si>
  <si>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</si>
  <si>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</si>
  <si>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</si>
  <si>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</si>
  <si>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</si>
  <si>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</si>
  <si>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</si>
  <si>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</si>
  <si>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</si>
  <si>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</si>
  <si>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</si>
  <si>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</si>
  <si>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</si>
  <si>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</si>
  <si>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</si>
  <si>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</si>
  <si>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</si>
  <si>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</si>
  <si>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</si>
  <si>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</si>
  <si>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</si>
  <si>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</si>
  <si>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</si>
  <si>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</si>
  <si>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</si>
  <si>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</si>
  <si>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</si>
  <si>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</si>
  <si>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</si>
  <si>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</si>
  <si>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</si>
  <si>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</si>
  <si>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</si>
  <si>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</si>
  <si>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</si>
  <si>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</si>
  <si>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</si>
  <si>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</si>
  <si>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</si>
  <si>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</si>
  <si>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</si>
  <si>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</si>
  <si>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</si>
  <si>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</si>
  <si>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</si>
  <si>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</si>
  <si>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</si>
  <si>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</si>
  <si>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</si>
  <si>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</si>
  <si>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</si>
  <si>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</si>
  <si>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</si>
  <si>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</si>
  <si>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</si>
  <si>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</si>
  <si>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</si>
  <si>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</si>
  <si>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</si>
  <si>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</si>
  <si>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</si>
  <si>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</si>
  <si>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</si>
  <si>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</si>
  <si>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</si>
  <si>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</si>
  <si>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</si>
  <si>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</si>
  <si>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</si>
  <si>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</si>
  <si>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</si>
  <si>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</si>
  <si>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</si>
  <si>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</si>
  <si>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</si>
  <si>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</si>
  <si>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</si>
  <si>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</si>
  <si>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</si>
  <si>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</si>
  <si>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</si>
  <si>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</si>
  <si>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</si>
  <si>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</si>
  <si>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</si>
  <si>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</si>
  <si>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</si>
  <si>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</si>
  <si>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</si>
  <si>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</si>
  <si>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</si>
  <si>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</si>
  <si>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</si>
  <si>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</si>
  <si>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</si>
  <si>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</si>
  <si>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</si>
  <si>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</si>
  <si>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</si>
  <si>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</si>
  <si>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</si>
  <si>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</si>
  <si>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</si>
  <si>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</si>
  <si>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</si>
  <si>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</si>
  <si>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</si>
  <si>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</si>
  <si>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</si>
  <si>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</si>
  <si>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</si>
  <si>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</si>
  <si>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</si>
  <si>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</si>
  <si>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</si>
  <si>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</si>
  <si>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</si>
  <si>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</si>
  <si>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</si>
  <si>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</si>
  <si>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</si>
  <si>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</si>
  <si>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</si>
  <si>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</si>
  <si>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</si>
  <si>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</si>
  <si>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</si>
  <si>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</si>
  <si>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</si>
  <si>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</si>
  <si>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</si>
  <si>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</si>
  <si>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</si>
  <si>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</si>
  <si>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</si>
  <si>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</si>
  <si>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</si>
  <si>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</si>
  <si>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</si>
  <si>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</si>
  <si>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</si>
  <si>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</si>
  <si>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</si>
  <si>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</si>
  <si>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</si>
  <si>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</si>
  <si>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</si>
  <si>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</si>
  <si>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</si>
  <si>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</si>
  <si>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</si>
  <si>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</si>
  <si>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</si>
  <si>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</si>
  <si>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</si>
  <si>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</si>
  <si>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</si>
  <si>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</si>
  <si>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</si>
  <si>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</si>
  <si>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</si>
  <si>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</si>
  <si>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</si>
  <si>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</si>
  <si>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</si>
  <si>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</si>
  <si>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</si>
  <si>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</si>
  <si>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</si>
  <si>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</si>
  <si>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</si>
  <si>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</si>
  <si>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</si>
  <si>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</si>
  <si>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</si>
  <si>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</si>
  <si>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</si>
  <si>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</si>
  <si>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</si>
  <si>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</si>
  <si>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</si>
  <si>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</si>
  <si>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</si>
  <si>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</si>
  <si>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</si>
  <si>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</si>
  <si>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</si>
  <si>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</si>
  <si>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</si>
  <si>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</si>
  <si>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</si>
  <si>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</si>
  <si>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</si>
  <si>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</si>
  <si>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</si>
  <si>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</si>
  <si>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</si>
  <si>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</si>
  <si>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</si>
  <si>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</si>
  <si>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</si>
  <si>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</si>
  <si>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</si>
  <si>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</si>
  <si>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</si>
  <si>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</si>
  <si>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</si>
  <si>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</si>
  <si>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</si>
  <si>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</si>
  <si>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</si>
  <si>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</si>
  <si>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</si>
  <si>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</si>
  <si>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</si>
  <si>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</si>
  <si>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</si>
  <si>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</si>
  <si>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</si>
  <si>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</si>
  <si>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</si>
  <si>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</si>
  <si>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</si>
  <si>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</si>
  <si>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</si>
  <si>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</si>
  <si>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</si>
  <si>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</si>
  <si>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</si>
  <si>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</si>
  <si>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</si>
  <si>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</si>
  <si>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</si>
  <si>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</si>
  <si>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</si>
  <si>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</si>
  <si>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</si>
  <si>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</si>
  <si>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</si>
  <si>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</si>
  <si>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</si>
  <si>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</si>
  <si>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</si>
  <si>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</si>
  <si>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</si>
  <si>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</si>
  <si>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</si>
  <si>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</si>
  <si>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</si>
  <si>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</si>
  <si>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</si>
  <si>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</si>
  <si>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</si>
  <si>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</si>
  <si>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</si>
  <si>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</si>
  <si>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</si>
  <si>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</si>
  <si>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</si>
  <si>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</si>
  <si>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</si>
  <si>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</si>
  <si>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</si>
  <si>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</si>
  <si>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</si>
  <si>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</si>
  <si>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</si>
  <si>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</si>
  <si>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</si>
  <si>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</si>
  <si>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</si>
  <si>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</si>
  <si>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</si>
  <si>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</si>
  <si>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</si>
  <si>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</si>
  <si>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</si>
  <si>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</si>
  <si>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</si>
  <si>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</si>
  <si>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</si>
  <si>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</si>
  <si>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</si>
  <si>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</si>
  <si>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</si>
  <si>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</si>
  <si>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</si>
  <si>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</si>
  <si>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</si>
  <si>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</si>
  <si>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</si>
  <si>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</si>
  <si>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</si>
  <si>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</si>
  <si>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</si>
  <si>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</si>
  <si>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</si>
  <si>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</si>
  <si>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</si>
  <si>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</si>
  <si>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</si>
  <si>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</si>
  <si>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</si>
  <si>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</si>
  <si>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</si>
  <si>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</si>
  <si>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</si>
  <si>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</si>
  <si>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</si>
  <si>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</si>
  <si>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</si>
  <si>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</si>
  <si>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</si>
  <si>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</si>
  <si>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</si>
  <si>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</si>
  <si>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</si>
  <si>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</si>
  <si>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</si>
  <si>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</si>
  <si>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</si>
  <si>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</si>
  <si>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</si>
  <si>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</si>
  <si>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</si>
  <si>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</si>
  <si>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</si>
  <si>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</si>
  <si>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</si>
  <si>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</si>
  <si>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</si>
  <si>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</si>
  <si>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</si>
  <si>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</si>
  <si>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</si>
  <si>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</si>
  <si>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</si>
  <si>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</si>
  <si>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</si>
  <si>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</si>
  <si>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</si>
  <si>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</si>
  <si>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</si>
  <si>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</si>
  <si>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</si>
  <si>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</si>
  <si>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</si>
  <si>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</si>
  <si>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</si>
  <si>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</si>
  <si>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</si>
  <si>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</si>
  <si>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</si>
  <si>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</si>
  <si>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</si>
  <si>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</si>
  <si>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</si>
  <si>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</si>
  <si>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</si>
  <si>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</si>
  <si>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</si>
  <si>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</si>
  <si>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</si>
  <si>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</si>
  <si>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</si>
  <si>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</si>
  <si>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</si>
  <si>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</si>
  <si>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</si>
  <si>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</si>
  <si>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</si>
  <si>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</si>
  <si>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</si>
  <si>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</si>
  <si>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</si>
  <si>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</si>
  <si>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</si>
  <si>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</si>
  <si>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</si>
  <si>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</si>
  <si>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</si>
  <si>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</si>
  <si>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</si>
  <si>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</si>
  <si>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</si>
  <si>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</si>
  <si>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</si>
  <si>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</si>
  <si>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</si>
  <si>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</si>
  <si>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</si>
  <si>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</si>
  <si>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</si>
  <si>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</si>
  <si>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</si>
  <si>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</si>
  <si>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</si>
  <si>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</si>
  <si>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</si>
  <si>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</si>
  <si>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</si>
  <si>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</si>
  <si>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</si>
  <si>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</si>
  <si>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</si>
  <si>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</si>
  <si>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</si>
  <si>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</si>
  <si>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</si>
  <si>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</si>
  <si>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</si>
  <si>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</si>
  <si>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</si>
  <si>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</si>
  <si>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</si>
  <si>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</si>
  <si>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</si>
  <si>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</si>
  <si>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</si>
  <si>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</si>
  <si>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</si>
  <si>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</si>
  <si>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</si>
  <si>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</si>
  <si>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</si>
  <si>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</si>
  <si>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</si>
  <si>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</si>
  <si>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</si>
  <si>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</si>
  <si>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</si>
  <si>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</si>
  <si>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</si>
  <si>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</si>
  <si>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</si>
  <si>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</si>
  <si>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</si>
  <si>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</si>
  <si>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</si>
  <si>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</si>
  <si>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</si>
  <si>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</si>
  <si>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</si>
  <si>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</si>
  <si>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</si>
  <si>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</si>
  <si>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</si>
  <si>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</si>
  <si>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</si>
  <si>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</si>
  <si>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</si>
  <si>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</si>
  <si>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</si>
  <si>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</si>
  <si>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</si>
  <si>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</si>
  <si>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</si>
  <si>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</si>
  <si>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</si>
  <si>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</si>
  <si>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</si>
  <si>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</si>
  <si>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</si>
  <si>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</si>
  <si>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</si>
  <si>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</si>
  <si>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</si>
  <si>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</si>
  <si>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</si>
  <si>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</si>
  <si>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</si>
  <si>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</si>
  <si>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</si>
  <si>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</si>
  <si>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</si>
  <si>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</si>
  <si>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</si>
  <si>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</si>
  <si>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</si>
  <si>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</si>
  <si>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</si>
  <si>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</si>
  <si>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</si>
  <si>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</si>
  <si>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</si>
  <si>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</si>
  <si>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</si>
  <si>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</si>
  <si>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</si>
  <si>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</si>
  <si>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</si>
  <si>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</si>
  <si>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</si>
  <si>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</si>
  <si>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</si>
  <si>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</si>
  <si>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</si>
  <si>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</si>
  <si>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</si>
  <si>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</si>
  <si>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</si>
  <si>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</si>
  <si>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</si>
  <si>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</si>
  <si>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</si>
  <si>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</si>
  <si>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</si>
  <si>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</si>
  <si>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</si>
  <si>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</si>
  <si>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</si>
  <si>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</si>
  <si>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</si>
  <si>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</si>
  <si>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</si>
  <si>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</si>
  <si>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</si>
  <si>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</si>
  <si>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</si>
  <si>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</si>
  <si>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</si>
  <si>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</si>
  <si>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</si>
  <si>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</si>
  <si>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</si>
  <si>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</si>
  <si>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</si>
  <si>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</si>
  <si>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</si>
  <si>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</si>
  <si>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</si>
  <si>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</si>
  <si>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</si>
  <si>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</si>
  <si>
    <t>The 1528 class is a small 0-4-0 tank engine. Designed for shunting, it was built in two batches, the first in 1907 and the second (as here) with minor detail changes in 1921</t>
  </si>
  <si>
    <t>Brush HS4000 "Kestrel"</t>
  </si>
  <si>
    <t>BR Class 89 "Badger"</t>
  </si>
  <si>
    <t>brush_kestrel</t>
  </si>
  <si>
    <t>br_class_89</t>
  </si>
  <si>
    <t>mak_class_21</t>
  </si>
  <si>
    <t>The Robinson 8K is a heavy freight engine based on earlier 0-8-0 designs, with a front pony truck to improve the ride and axle loads at the front of the locomotive.</t>
  </si>
  <si>
    <t>GWR Star Class</t>
  </si>
  <si>
    <t>gwr_star_class</t>
  </si>
  <si>
    <t>The Star class was the first in a string of successful four cylinder express locomotives built by the GWR.</t>
  </si>
  <si>
    <t>GWR Tender</t>
  </si>
  <si>
    <t>gwr_tender</t>
  </si>
  <si>
    <t>power_text</t>
  </si>
  <si>
    <t>power_type</t>
  </si>
  <si>
    <t>power_desc</t>
  </si>
  <si>
    <t>diesel_RAIL</t>
  </si>
  <si>
    <t>steam_RAIL</t>
  </si>
  <si>
    <t>electric_ELRL</t>
  </si>
  <si>
    <t>power_class</t>
  </si>
  <si>
    <t>tender_RAIL</t>
  </si>
  <si>
    <t>carriage_RAIL</t>
  </si>
  <si>
    <t>luxury_carriage_RAIL</t>
  </si>
  <si>
    <t>wagon_RAIL</t>
  </si>
  <si>
    <t>steam_NGRL</t>
  </si>
  <si>
    <t>Diesel</t>
  </si>
  <si>
    <t>Steam</t>
  </si>
  <si>
    <t>25kV AC</t>
  </si>
  <si>
    <t>750V DC</t>
  </si>
  <si>
    <t>electric_THIRD_RAIL</t>
  </si>
  <si>
    <t>dual_power_RAIL</t>
  </si>
  <si>
    <t>750V DC / Diesel</t>
  </si>
  <si>
    <t>dual_electric_DUAL_POWER</t>
  </si>
  <si>
    <t>25kV AC / 750V DC</t>
  </si>
  <si>
    <t>brake_RAIL</t>
  </si>
  <si>
    <t>tube_RAIL</t>
  </si>
  <si>
    <t>_</t>
  </si>
  <si>
    <t>petrol</t>
  </si>
  <si>
    <t>petrol_RAIL</t>
  </si>
  <si>
    <t>The Class 89 was a prototype express locomotive; unfortunately the specification changed after the prototype was built, and only a single example was completed. It was withdrawn from service twice after major breakdowns.</t>
  </si>
  <si>
    <t>siemens_360_desiro</t>
  </si>
  <si>
    <t>siemens_360_desiro,siemens_360_desiro_mid,siemens_360_desiro_mid_2,siemens_360_desiro_rear</t>
  </si>
  <si>
    <t>Siemens Class 360 "Desiro"</t>
  </si>
  <si>
    <t>The Class 360 is an AC version of the Desiro family of units, ordered to replace slam-door stock on the Great Eastern Main Line.</t>
  </si>
  <si>
    <t>4,5,4,4,5,4,4,3,4,4,3,4,4,3,4,4,3,4,4,3,4,4,3,4,4,3,4,4,3,4,4,3,4,4,3,4,4,3,4,4,3,4,4,3,4,4,3,4,4,3,4,4,3,4,4,5,4,4,5,4</t>
  </si>
  <si>
    <t>4,5,4,4,5,4,4,3,4,4,3,4,4,3,4,4,3,4,4,5,4,4,5,4</t>
  </si>
  <si>
    <t>Eurostar (5 car)</t>
  </si>
  <si>
    <t>4,5,4,4,5,4,4,3,4,4,5,4,4,5,4</t>
  </si>
  <si>
    <t>manual_ttd_len</t>
  </si>
  <si>
    <t>13,13,11,11,11,11,11,11,11,11,11,11,11,11,11,11,11,11,13,13</t>
  </si>
  <si>
    <t>13,13,11,11,11,11,13,13</t>
  </si>
  <si>
    <t>13,13,11,13,13</t>
  </si>
  <si>
    <t>Stadler Class 755 "FLIRT"</t>
  </si>
  <si>
    <t>dual_power_ELRL</t>
  </si>
  <si>
    <t>25kV AC / Diesel</t>
  </si>
  <si>
    <t>The Class 755 was designed to modernise services on the East Anglia franchise. The design features a distinctive "power pack" containing the diesel engines used for bi-mode operation.</t>
  </si>
  <si>
    <t>stadler_class_755</t>
  </si>
  <si>
    <t>Class 755</t>
  </si>
  <si>
    <t>stadler_class_755_rear</t>
  </si>
  <si>
    <t>stadler_class_755_mid</t>
  </si>
  <si>
    <t>stadler_class_755_mid_rev</t>
  </si>
  <si>
    <t>stadler_class_755_motor</t>
  </si>
  <si>
    <t>4,4,4,2,5,2,2,2,2,2,5,2,4,4,4</t>
  </si>
  <si>
    <t>1,1,1,1,1</t>
  </si>
  <si>
    <t>stadler_class_755,stadler_class_755_mid,stadler_class_755_motor,stadler_class_755_mid_rev,stadler_class_755_rear</t>
  </si>
  <si>
    <t>12,9,6,9,12</t>
  </si>
  <si>
    <t>effect_unit</t>
  </si>
  <si>
    <t>Alstom Class 180 "Adelante"</t>
  </si>
  <si>
    <t>class_180_adelante</t>
  </si>
  <si>
    <t>class_180_adelante,class_180_adelante_mid,class_180_adelante_mid,class_180_adelante_mid,class_180_adelante_rear</t>
  </si>
  <si>
    <t>Unusually for a high speed unit, the Class 180 uses a diesel-hydraulic transmission. Unfortunately the units suffered reliability problems both before and after launch.</t>
  </si>
  <si>
    <t>Hitachi Class 385 "AT200"</t>
  </si>
  <si>
    <t>class_385</t>
  </si>
  <si>
    <t>Bombardier Class 345 "Aventra"</t>
  </si>
  <si>
    <t>class_345_aventra</t>
  </si>
  <si>
    <t>Bombardier Class 710 "Aventra"</t>
  </si>
  <si>
    <t>class_710_aventra</t>
  </si>
  <si>
    <t>Siemens Class 700 "Desiro City"</t>
  </si>
  <si>
    <t>Siemens Class 707 "Desiro City"</t>
  </si>
  <si>
    <t>Alstom Class 175 "Coradia"</t>
  </si>
  <si>
    <t>class_175_coradia</t>
  </si>
  <si>
    <t>Originally operated by First North Western, the Class 175s were cascaded to services in Wales. They suffered early reliability problems, but work on braking systems and bogies has made a significant improvement.</t>
  </si>
  <si>
    <t>class_175_coradia,class_175_coradia_rear</t>
  </si>
  <si>
    <t>Hitachi Class 800 "Azuma"</t>
  </si>
  <si>
    <t>class_800_azuma</t>
  </si>
  <si>
    <t>class_800_azuma,class_800_azuma_mid,class_800_azuma_mid,class_800_azuma_mid,class_800_azuma_rear</t>
  </si>
  <si>
    <t>class_800_azuma_rear</t>
  </si>
  <si>
    <t>The Class 800 "Azuma" (on LNER) or "IET" (on GWR) is a high speed bi-mode unit based on the Hitachi AT300 series. It is designed to replace HST and Class 91 hauled services on Intercity routes.</t>
  </si>
  <si>
    <t>hitachi_javelin,hitachi_javelin_mid,hitachi_javelin_mid,hitachi_javelin_mid,hitachi_javelin_mid,hitachi_javelin_rear</t>
  </si>
  <si>
    <t>class_385,class_385_mid,class_385_rear</t>
  </si>
  <si>
    <t>The Class 385 was built for use on newly electrified lines in Scotland. Unlike most AT200 variants, it has cab end doors to allow for trolley services throughout the train.</t>
  </si>
  <si>
    <t>The Class 395 is a dedicated high speed unit built for the HS1 high speed route. It is part of Hitachi's AT300 series.</t>
  </si>
  <si>
    <t>class_345_aventra,class_345_aventra_power,class_345_aventra_mid,class_345_aventra_mid,class_345_aventra_mid,class_345_aventra_mid,class_345_aventra_mid,class_345_aventra_mid,class_345_aventra_rear</t>
  </si>
  <si>
    <t>1,1,1,0,0,0,0,0,1</t>
  </si>
  <si>
    <t>Designed for London's Crossrail route, the Class 345 entered service on TfL Rail between Liverpool Street and Shenfield.</t>
  </si>
  <si>
    <t>class_710_aventra,class_710_aventra_power,class_710_aventra_mid,class_710_aventra_rear</t>
  </si>
  <si>
    <t>class_710_aventra_power</t>
  </si>
  <si>
    <t>The Class 710 replaces a variety of DMUs and second generation EMUs on London Overground's suburban services. Although there were numerous delays in testing, they finally started entering service in late 2019.</t>
  </si>
  <si>
    <t>class_707_city</t>
  </si>
  <si>
    <t>class_700_city</t>
  </si>
  <si>
    <t>class_700_city,class_700_city_mid,class_700_city_mid,class_700_city_tso,class_700_city_tso_rev,class_700_city_mid,class_700_city_power,class_700_city_rear</t>
  </si>
  <si>
    <t>1,1,0,1,1,0,1,1</t>
  </si>
  <si>
    <t>The Class 700 was one of multiple designs evaluated for the Thameslink programme. Although one of the more conventional designs, it offered good capacity and passenger comfort with a relatively low axle load.</t>
  </si>
  <si>
    <t>class_700_city_power</t>
  </si>
  <si>
    <t>class_707_city,class_707_city_mid,class_707_city_mid,class_707_city_power,class_707_city_rear</t>
  </si>
  <si>
    <t>1,1,0,1,1</t>
  </si>
  <si>
    <t>South West Trains procured the Class 707 as part of capacity improvements for routes out of London Waterloo.</t>
  </si>
  <si>
    <t>class_345_aventra_6_tile</t>
  </si>
  <si>
    <t>class_345_aventra_4_tile</t>
  </si>
  <si>
    <t>class_700_city_4_tile</t>
  </si>
  <si>
    <t>class_800_azuma_4_tile</t>
  </si>
  <si>
    <t>class_800_azuma,class_800_azuma_mid,class_800_azuma_mid,class_800_azuma_rear</t>
  </si>
  <si>
    <t>class_180_adelante_4_tile</t>
  </si>
  <si>
    <t>class_180_adelante,class_180_adelante_mid,class_180_adelante_mid,class_180_adelante_rear</t>
  </si>
  <si>
    <t>class_345_aventra,class_345_aventra_power,class_345_aventra_mid,class_345_aventra_mid,class_345_aventra_mid,class_345_aventra_mid,class_345_aventra_rear</t>
  </si>
  <si>
    <t>0,0,0,0,0,0,0</t>
  </si>
  <si>
    <t>class_345_aventra,class_345_aventra_power,class_345_aventra_mid,class_345_aventra_rear</t>
  </si>
  <si>
    <t>hitachi_javelin_4_tile</t>
  </si>
  <si>
    <t>hitachi_javelin,hitachi_javelin_mid,hitachi_javelin_mid,hitachi_javelin_mid,hitachi_javelin_rear</t>
  </si>
  <si>
    <t>class_700_city,class_700_city_tso,class_700_city_tso_rev,class_700_city_power,class_700_city_rear</t>
  </si>
  <si>
    <t>MaK Class 21/9</t>
  </si>
  <si>
    <t>Eurotunnel bought five MaK DE 1004 locomotives for use within the tunnel as service trains, later explanding the fleet with similar DE6400 locomotives bought from DB Schenker Nederland. When running on the UK mainline they are classified as Class 21/9.</t>
  </si>
  <si>
    <t>Parry Class 139</t>
  </si>
  <si>
    <t>parry_class_139</t>
  </si>
  <si>
    <t>lpgflywheel</t>
  </si>
  <si>
    <t>lpgflywheel_RAIL</t>
  </si>
  <si>
    <t>LPG / Flywheel</t>
  </si>
  <si>
    <t>The Parry People Mover PPM60 uses a small LPG engine with a flywheel to capture energy from braking. The units are currently used on the Stourbridge Town Branch Line, where they are limited to 20mph.</t>
  </si>
  <si>
    <t>The Drummond M7 was built for the London &amp; South Western railway. Its usefulness saw it survive in operation until well into the BR era.</t>
  </si>
  <si>
    <t>drummond_m7</t>
  </si>
  <si>
    <t>Midland Railway 115 "Spinner"</t>
  </si>
  <si>
    <t>The Midland 115 class gained the nickname "Spinner" due to the large single driving wheel. The Midland Railway compensated for the low tractive effort of the 4-2-2 layout by double-heading the trains on heavy loads.</t>
  </si>
  <si>
    <t>GWR 3001 "Achilles"</t>
  </si>
  <si>
    <t>gwr_achilles</t>
  </si>
  <si>
    <t>William Dean's 3001 class was the last of the GWR's 2-2-2 singles. They were rebuilt early on with a 4-2-2 layout to prevent derailments caused by the heavy front axle load.</t>
  </si>
  <si>
    <t>nbr_class_c</t>
  </si>
  <si>
    <t>Holmes Tender</t>
  </si>
  <si>
    <t>holmes_tender</t>
  </si>
  <si>
    <t>NBR Drummond Class C (J32)</t>
  </si>
  <si>
    <t>NBR Holmes Class C (J36)</t>
  </si>
  <si>
    <t>Dugald Drummond's C Class used large (for the time) 18 inch cylinders. They survived into LNER ownership as class J32, although rebuilt to Holmes' later design by that point.</t>
  </si>
  <si>
    <t>drummond_class_c</t>
  </si>
  <si>
    <t>Matthew Holmes' Class C was an evolution of Drummond's design. They had a long career, becoming LNER class J36 and surviving to the last days of steam on British railways.</t>
  </si>
  <si>
    <t>Railway carriages from the 1850s to 1870s tended to be built on wooden or wrought iron frames of around 20-24ft in length, with oil lighting internally.</t>
  </si>
  <si>
    <t>After early experiments for royal saloons, moother and faster-running six wheel carriages with then-modern fixtures such as gas lighting became common from the 1870s, displacing older four wheeled stock to smaller suburban lines.</t>
  </si>
  <si>
    <t>Four-wheel brake carriage</t>
  </si>
  <si>
    <t>Six-wheel brake carriage</t>
  </si>
  <si>
    <t>four_wheel_carriage_mail</t>
  </si>
  <si>
    <t>six_wheel_carriage_mail</t>
  </si>
  <si>
    <t>Although carriages gained more luxurious fixtures and fittings through the Victorian era, braking still required a guard's van.</t>
  </si>
  <si>
    <t>Originally designed to operate commuter services, the small A1 tank locomotives were still used into the 1960s on the Hayling Island branch line.</t>
  </si>
  <si>
    <t>Brake vans gave extra braking power to allow trains to run at higher speed, and also gave a place for a guard to look after the train from the rear.</t>
  </si>
  <si>
    <t>Early four-wheel carriages did not have locomotive-controlled brakes so, like freight trains, were reliant on the brakes in the guard's van.</t>
  </si>
  <si>
    <t>GER's Y14 was a highly successful design, being build in much the same form through to 1913. One was built by the Stratford works in under 10 hours.</t>
  </si>
  <si>
    <t>William Dean's 2301 class was the first GWR locomotive to have no outside frame. The light weight made them suited to branch lines.</t>
  </si>
  <si>
    <t>gwr_dean_goods</t>
  </si>
  <si>
    <t>The GWR 517 class encompassed a variety of 0-4-2 side tank engines, some having been rebuilt from existing saddle tanks.</t>
  </si>
  <si>
    <t>The NER 1001 Class is typical of a "long boiler" freight engine, with a small firebox mounted behind the rear axle.</t>
  </si>
  <si>
    <t>Express locomotives in this period used a single large driving wheel to avoid the extra friction of coupling rods.</t>
  </si>
  <si>
    <t>Crampton locomotives were designed for a low centre of gravity, to run at higher speeds on standard gauge track. Features included large driving wheels and an oval boiler.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</si>
</sst>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Z292"/>
  <sheetViews>
    <sheetView tabSelected="1" workbookViewId="0">
      <pane xSplit="1" ySplit="1" topLeftCell="BX75" activePane="bottomRight" state="frozenSplit"/>
      <selection pane="topRight" activeCell="B1" sqref="B1"/>
      <selection pane="bottomLeft" activeCell="A2" sqref="A2"/>
      <selection pane="bottomRight" activeCell="BX85" sqref="BX85"/>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customWidth="1"/>
    <col min="37" max="38" width="18.42578125" style="13" customWidth="1"/>
    <col min="39" max="40" width="17" customWidth="1"/>
    <col min="41" max="41" width="11.85546875" bestFit="1" customWidth="1"/>
    <col min="42" max="42" width="13.140625" bestFit="1" customWidth="1"/>
    <col min="43" max="43" width="9.42578125" bestFit="1" customWidth="1"/>
    <col min="44" max="46" width="9.42578125" customWidth="1"/>
    <col min="47" max="47" width="18.7109375" bestFit="1" customWidth="1"/>
    <col min="48" max="48" width="19.140625" bestFit="1" customWidth="1"/>
    <col min="49" max="49" width="15" customWidth="1"/>
    <col min="50" max="50" width="10" customWidth="1"/>
    <col min="51" max="51" width="9.140625" customWidth="1"/>
    <col min="52" max="52" width="9.7109375" customWidth="1"/>
    <col min="53" max="53" width="12.42578125" customWidth="1"/>
    <col min="54" max="55" width="16" customWidth="1"/>
    <col min="57" max="57" width="11" bestFit="1" customWidth="1"/>
    <col min="58" max="59" width="11" customWidth="1"/>
    <col min="68" max="68" width="16.85546875" bestFit="1" customWidth="1"/>
    <col min="69" max="69" width="15.5703125" bestFit="1" customWidth="1"/>
    <col min="71" max="71" width="15.7109375" bestFit="1" customWidth="1"/>
    <col min="72" max="72" width="21.7109375" bestFit="1" customWidth="1"/>
    <col min="73" max="73" width="26.28515625" bestFit="1" customWidth="1"/>
    <col min="74" max="74" width="29" customWidth="1"/>
    <col min="75" max="75" width="38.42578125" customWidth="1"/>
  </cols>
  <sheetData>
    <row r="1" spans="1:78" s="1" customFormat="1" x14ac:dyDescent="0.25">
      <c r="A1" s="1" t="s">
        <v>151</v>
      </c>
      <c r="B1" s="1" t="s">
        <v>152</v>
      </c>
      <c r="C1" s="1" t="s">
        <v>764</v>
      </c>
      <c r="D1" s="1" t="s">
        <v>150</v>
      </c>
      <c r="E1" s="1" t="s">
        <v>303</v>
      </c>
      <c r="F1" s="1" t="s">
        <v>306</v>
      </c>
      <c r="G1" s="1" t="s">
        <v>154</v>
      </c>
      <c r="H1" s="1" t="s">
        <v>155</v>
      </c>
      <c r="I1" s="1" t="s">
        <v>156</v>
      </c>
      <c r="J1" s="1" t="s">
        <v>157</v>
      </c>
      <c r="K1" s="1" t="s">
        <v>158</v>
      </c>
      <c r="L1" s="8" t="s">
        <v>579</v>
      </c>
      <c r="M1" s="5" t="s">
        <v>408</v>
      </c>
      <c r="N1" s="5" t="s">
        <v>405</v>
      </c>
      <c r="O1" s="5" t="s">
        <v>406</v>
      </c>
      <c r="P1" s="5" t="s">
        <v>403</v>
      </c>
      <c r="Q1" s="5" t="s">
        <v>404</v>
      </c>
      <c r="R1" s="5" t="s">
        <v>409</v>
      </c>
      <c r="S1" s="5" t="s">
        <v>407</v>
      </c>
      <c r="T1" s="1" t="s">
        <v>159</v>
      </c>
      <c r="U1" s="8" t="s">
        <v>160</v>
      </c>
      <c r="V1" s="1" t="s">
        <v>309</v>
      </c>
      <c r="W1" s="1" t="s">
        <v>161</v>
      </c>
      <c r="X1" s="3" t="s">
        <v>297</v>
      </c>
      <c r="Y1" s="1" t="s">
        <v>162</v>
      </c>
      <c r="Z1" s="1" t="s">
        <v>413</v>
      </c>
      <c r="AA1" s="1" t="s">
        <v>163</v>
      </c>
      <c r="AB1" s="1" t="s">
        <v>318</v>
      </c>
      <c r="AC1" s="1" t="s">
        <v>276</v>
      </c>
      <c r="AD1" s="1" t="s">
        <v>164</v>
      </c>
      <c r="AE1" s="10" t="s">
        <v>296</v>
      </c>
      <c r="AF1" s="1" t="s">
        <v>153</v>
      </c>
      <c r="AG1" s="1" t="s">
        <v>301</v>
      </c>
      <c r="AH1" s="1" t="s">
        <v>324</v>
      </c>
      <c r="AI1" s="1" t="s">
        <v>277</v>
      </c>
      <c r="AJ1" s="1" t="s">
        <v>1307</v>
      </c>
      <c r="AK1" s="12" t="s">
        <v>724</v>
      </c>
      <c r="AL1" s="12" t="s">
        <v>1289</v>
      </c>
      <c r="AM1" s="1" t="s">
        <v>434</v>
      </c>
      <c r="AN1" s="1" t="s">
        <v>590</v>
      </c>
      <c r="AO1" s="1" t="s">
        <v>435</v>
      </c>
      <c r="AP1" s="1" t="s">
        <v>517</v>
      </c>
      <c r="AQ1" s="1" t="s">
        <v>302</v>
      </c>
      <c r="AR1" s="1" t="s">
        <v>1217</v>
      </c>
      <c r="AS1" s="1" t="s">
        <v>1141</v>
      </c>
      <c r="AT1" s="1" t="s">
        <v>1167</v>
      </c>
      <c r="AU1" s="1" t="s">
        <v>1142</v>
      </c>
      <c r="AV1" s="1" t="s">
        <v>1159</v>
      </c>
      <c r="AW1" s="1" t="s">
        <v>1143</v>
      </c>
      <c r="AX1" s="1" t="s">
        <v>1144</v>
      </c>
      <c r="AY1" s="1" t="s">
        <v>1145</v>
      </c>
      <c r="AZ1" s="1" t="s">
        <v>1148</v>
      </c>
      <c r="BA1" s="1" t="s">
        <v>1154</v>
      </c>
      <c r="BB1" s="1" t="s">
        <v>1149</v>
      </c>
      <c r="BC1" s="1" t="s">
        <v>1153</v>
      </c>
      <c r="BD1" s="1" t="s">
        <v>310</v>
      </c>
      <c r="BE1" s="1" t="s">
        <v>311</v>
      </c>
      <c r="BF1" s="1" t="s">
        <v>1219</v>
      </c>
      <c r="BG1" s="1" t="s">
        <v>1220</v>
      </c>
      <c r="BH1" s="1" t="s">
        <v>340</v>
      </c>
      <c r="BI1" s="1" t="s">
        <v>604</v>
      </c>
      <c r="BJ1" s="1" t="s">
        <v>699</v>
      </c>
      <c r="BK1" s="1" t="s">
        <v>1160</v>
      </c>
      <c r="BL1" s="1" t="s">
        <v>1172</v>
      </c>
      <c r="BM1" s="1" t="s">
        <v>1194</v>
      </c>
      <c r="BN1" s="1" t="s">
        <v>1203</v>
      </c>
      <c r="BO1" s="1" t="s">
        <v>1204</v>
      </c>
      <c r="BP1" s="1" t="s">
        <v>1091</v>
      </c>
      <c r="BQ1" s="1" t="s">
        <v>315</v>
      </c>
      <c r="BR1" s="1" t="s">
        <v>356</v>
      </c>
      <c r="BS1" s="1" t="s">
        <v>377</v>
      </c>
      <c r="BT1" s="1" t="s">
        <v>379</v>
      </c>
      <c r="BU1" s="1" t="s">
        <v>1260</v>
      </c>
      <c r="BV1" s="1" t="s">
        <v>1254</v>
      </c>
      <c r="BW1" s="1" t="s">
        <v>1201</v>
      </c>
      <c r="BX1" s="1" t="s">
        <v>1168</v>
      </c>
      <c r="BY1" s="1" t="s">
        <v>1202</v>
      </c>
      <c r="BZ1" s="1" t="s">
        <v>380</v>
      </c>
    </row>
    <row r="2" spans="1:78" x14ac:dyDescent="0.25">
      <c r="A2" t="s">
        <v>453</v>
      </c>
      <c r="B2" t="s">
        <v>454</v>
      </c>
      <c r="C2">
        <v>-1</v>
      </c>
      <c r="D2" t="s">
        <v>324</v>
      </c>
      <c r="E2" t="s">
        <v>324</v>
      </c>
      <c r="F2" t="s">
        <v>307</v>
      </c>
      <c r="G2">
        <v>1900</v>
      </c>
      <c r="T2">
        <v>42</v>
      </c>
      <c r="X2" s="4" t="str">
        <f t="shared" ref="X2:X52" si="0">IF(AND(T2&gt;0,W2&gt;0),(W2/((T2+U2)*10)),"")</f>
        <v/>
      </c>
      <c r="AA2">
        <v>7.5</v>
      </c>
      <c r="AB2">
        <v>8</v>
      </c>
      <c r="AE2" s="11">
        <v>0</v>
      </c>
      <c r="AF2" t="str">
        <f>CONCATENATE(VLOOKUP(AG2, 'Voxel Sizes'!$A$2:$B$18,2,FALSE),"x",INT(AC2*15), "x", INT(AD2*15))</f>
        <v>82x0x0</v>
      </c>
      <c r="AG2">
        <f t="shared" ref="AG2:AG68" si="1">ROUND(15*((AB2*10)/256),0)</f>
        <v>5</v>
      </c>
      <c r="AI2" t="str">
        <f>CONCATENATE(VLOOKUP(AG2,Constants!$A$2:$C$16,IF(AH2&lt;&gt;"", 3, 2), FALSE),IF(AH2&lt;&gt;"",CONCATENATE(",",VLOOKUP(AH2,$B:$AI,34,FALSE)),""))</f>
        <v>2,1,2</v>
      </c>
      <c r="AS2">
        <v>30</v>
      </c>
      <c r="AT2" t="str">
        <f t="shared" ref="AT2:AT68" si="2">IF(I2&lt;&gt;"",MAX(8,(I2-G2)-4),"")</f>
        <v/>
      </c>
      <c r="AW2">
        <f t="shared" ref="AW2:AW68" si="3">MIN(Y2/150, 1)*30</f>
        <v>0</v>
      </c>
      <c r="AX2">
        <f t="shared" ref="AX2:AX68" si="4">MIN(K2/4000, 1)*20</f>
        <v>0</v>
      </c>
      <c r="AY2">
        <f t="shared" ref="AY2:AY68" si="5">MIN(W2/400,1)*20</f>
        <v>0</v>
      </c>
      <c r="AZ2" s="4">
        <f>1-(MAX(G2-1900, 0)/750)</f>
        <v>1</v>
      </c>
      <c r="BA2">
        <f t="shared" ref="BA2:BA68" si="6">((MAX($J2,1)*MIN($AE2/300,1)))*IF(D2="Wagon",50,10)</f>
        <v>0</v>
      </c>
      <c r="BB2">
        <f>VLOOKUP($E2,Constants!$I:$K, 2, FALSE)</f>
        <v>0</v>
      </c>
      <c r="BC2">
        <f>VLOOKUP($E2,Constants!$I:$K, 3, FALSE)*IF(AND(D2="multiple_unit",Y2&lt;110),0.75,1)</f>
        <v>0</v>
      </c>
      <c r="BD2">
        <f>INT(POWER(((Constants!$G$2+$AW2+$AX2+$AY2+$BA2)*$AZ2)*$BC2, 1.05))+$AV2</f>
        <v>0</v>
      </c>
      <c r="BE2">
        <f>INT(POWER((((Constants!$G$1+$AW2+$AX2+$AY2+$BA2)*($AZ2))*$BB2),IF($D2="wagon",1,1.2)))+$AU2</f>
        <v>0</v>
      </c>
      <c r="BF2" s="15">
        <f t="shared" ref="BF2:BF68" si="7">BD2*IF($D2="wagon",62.5,781.25)</f>
        <v>0</v>
      </c>
      <c r="BG2" s="15">
        <f t="shared" ref="BG2:BG68" si="8">BE2*IF($D2="wagon",2.73,81.25)</f>
        <v>0</v>
      </c>
      <c r="BR2" t="str">
        <f>VLOOKUP(G2,Eras!$A$2:$C$10, 2, TRUE)</f>
        <v>edw</v>
      </c>
      <c r="BT2" t="str">
        <f t="shared" ref="BT2:BT68" si="9">CONCATENATE(BR2,"_",BS2)</f>
        <v>edw_</v>
      </c>
      <c r="BU2" t="str">
        <f t="shared" ref="BU2:BU65" si="10">_xlfn.CONCAT(E2, "_",F2)</f>
        <v>tender_RAIL</v>
      </c>
      <c r="BV2" t="str">
        <f>VLOOKUP($BU2, Constants!$M:$N, 2, FALSE)</f>
        <v/>
      </c>
      <c r="BW2" t="str">
        <f t="shared" ref="BW2:BW65" si="11">IF(J2&gt;1,_xlfn.CONCAT("{BLACK}Cars: {GOLD}", J2),"")</f>
        <v/>
      </c>
      <c r="BY2" t="str">
        <f t="shared" ref="BY2:BY33" si="12">IF(BQ2="BRAKE","{YELLOW}Speed bonus for slow wagons{}",IF(BO2&gt;190,CONCATENATE("{YELLOW}",INT((BO2-185)/1.85),"% Bonus for long distance travel{}"),IF(AND(BO2&lt;180,BO2&lt;&gt;0),CONCATENATE("{YELLOW}",INT((185-BO2)/1.85),"% Penalty for long distance travel{}"),"")))</f>
        <v/>
      </c>
      <c r="BZ2" t="str">
        <f>_xlfn.CONCAT(BV2,IF(BV2 &lt;&gt; "", " ", ""),BW2,IF(OR(BW2&lt;&gt;"", BV2&lt;&gt;""), "{}",""), BY2,"{SILVER}", BX2)</f>
        <v>{SILVER}</v>
      </c>
    </row>
    <row r="3" spans="1:78" x14ac:dyDescent="0.25">
      <c r="A3" t="s">
        <v>1377</v>
      </c>
      <c r="B3" t="s">
        <v>1378</v>
      </c>
      <c r="C3">
        <v>-1</v>
      </c>
      <c r="D3" t="s">
        <v>324</v>
      </c>
      <c r="E3" t="s">
        <v>324</v>
      </c>
      <c r="F3" t="s">
        <v>307</v>
      </c>
      <c r="G3">
        <v>1875</v>
      </c>
      <c r="T3">
        <v>42</v>
      </c>
      <c r="X3" s="4" t="str">
        <f t="shared" ref="X3" si="13">IF(AND(T3&gt;0,W3&gt;0),(W3/((T3+U3)*10)),"")</f>
        <v/>
      </c>
      <c r="AA3">
        <v>7.5</v>
      </c>
      <c r="AB3">
        <v>8</v>
      </c>
      <c r="AE3" s="11">
        <v>0</v>
      </c>
      <c r="AF3" t="str">
        <f>CONCATENATE(VLOOKUP(AG3, 'Voxel Sizes'!$A$2:$B$18,2,FALSE),"x",INT(AC3*15), "x", INT(AD3*15))</f>
        <v>82x0x0</v>
      </c>
      <c r="AG3">
        <f t="shared" ref="AG3" si="14">ROUND(15*((AB3*10)/256),0)</f>
        <v>5</v>
      </c>
      <c r="AI3" t="str">
        <f>CONCATENATE(VLOOKUP(AG3,Constants!$A$2:$C$16,IF(AH3&lt;&gt;"", 3, 2), FALSE),IF(AH3&lt;&gt;"",CONCATENATE(",",VLOOKUP(AH3,$B:$AI,34,FALSE)),""))</f>
        <v>2,1,2</v>
      </c>
      <c r="AS3">
        <v>30</v>
      </c>
      <c r="AT3" t="str">
        <f t="shared" ref="AT3" si="15">IF(I3&lt;&gt;"",MAX(8,(I3-G3)-4),"")</f>
        <v/>
      </c>
      <c r="AW3">
        <f t="shared" ref="AW3" si="16">MIN(Y3/150, 1)*30</f>
        <v>0</v>
      </c>
      <c r="AX3">
        <f t="shared" ref="AX3" si="17">MIN(K3/4000, 1)*20</f>
        <v>0</v>
      </c>
      <c r="AY3">
        <f t="shared" ref="AY3" si="18">MIN(W3/400,1)*20</f>
        <v>0</v>
      </c>
      <c r="AZ3" s="4">
        <f t="shared" ref="AZ3" si="19">1-(MAX(G3-1900, 0)/750)</f>
        <v>1</v>
      </c>
      <c r="BA3">
        <f t="shared" ref="BA3" si="20">((MAX($J3,1)*MIN($AE3/300,1)))*IF(D3="Wagon",50,10)</f>
        <v>0</v>
      </c>
      <c r="BB3">
        <f>VLOOKUP($E3,Constants!$I:$K, 2, FALSE)</f>
        <v>0</v>
      </c>
      <c r="BC3">
        <f>VLOOKUP($E3,Constants!$I:$K, 3, FALSE)*IF(AND(D3="multiple_unit",Y3&lt;110),0.75,1)</f>
        <v>0</v>
      </c>
      <c r="BD3">
        <f>INT(POWER(((Constants!$G$2+$AW3+$AX3+$AY3+$BA3)*$AZ3)*$BC3, 1.05))+$AV3</f>
        <v>0</v>
      </c>
      <c r="BE3">
        <f>INT(POWER((((Constants!$G$1+$AW3+$AX3+$AY3+$BA3)*($AZ3))*$BB3),IF($D3="wagon",1,1.2)))+$AU3</f>
        <v>0</v>
      </c>
      <c r="BF3" s="15">
        <f t="shared" ref="BF3" si="21">BD3*IF($D3="wagon",62.5,781.25)</f>
        <v>0</v>
      </c>
      <c r="BG3" s="15">
        <f t="shared" ref="BG3" si="22">BE3*IF($D3="wagon",2.73,81.25)</f>
        <v>0</v>
      </c>
      <c r="BR3" t="str">
        <f>VLOOKUP(G3,Eras!$A$2:$C$10, 2, TRUE)</f>
        <v>vct</v>
      </c>
      <c r="BT3" t="str">
        <f t="shared" ref="BT3" si="23">CONCATENATE(BR3,"_",BS3)</f>
        <v>vct_</v>
      </c>
      <c r="BU3" t="str">
        <f t="shared" si="10"/>
        <v>tender_RAIL</v>
      </c>
      <c r="BV3" t="str">
        <f>VLOOKUP($BU3, Constants!$M:$N, 2, FALSE)</f>
        <v/>
      </c>
      <c r="BW3" t="str">
        <f t="shared" si="11"/>
        <v/>
      </c>
      <c r="BY3" t="str">
        <f t="shared" si="12"/>
        <v/>
      </c>
      <c r="BZ3" t="str">
        <f t="shared" ref="BZ3:BZ66" si="24">_xlfn.CONCAT(BV3,IF(BV3 &lt;&gt; "", " ", ""),BW3,IF(OR(BW3&lt;&gt;"", BV3&lt;&gt;""), "{}",""), BY3,"{SILVER}", BX3)</f>
        <v>{SILVER}</v>
      </c>
    </row>
    <row r="4" spans="1:78" x14ac:dyDescent="0.25">
      <c r="A4" t="s">
        <v>341</v>
      </c>
      <c r="B4" t="s">
        <v>342</v>
      </c>
      <c r="C4">
        <v>-1</v>
      </c>
      <c r="D4" t="s">
        <v>324</v>
      </c>
      <c r="E4" t="s">
        <v>324</v>
      </c>
      <c r="F4" t="s">
        <v>307</v>
      </c>
      <c r="G4">
        <v>1900</v>
      </c>
      <c r="T4">
        <v>42</v>
      </c>
      <c r="X4" s="4" t="str">
        <f t="shared" si="0"/>
        <v/>
      </c>
      <c r="AA4">
        <v>7.5</v>
      </c>
      <c r="AB4">
        <v>8</v>
      </c>
      <c r="AE4" s="11">
        <v>0</v>
      </c>
      <c r="AF4" t="str">
        <f>CONCATENATE(VLOOKUP(AG4, 'Voxel Sizes'!$A$2:$B$18,2,FALSE),"x",INT(AC4*15), "x", INT(AD4*15))</f>
        <v>82x0x0</v>
      </c>
      <c r="AG4">
        <f t="shared" si="1"/>
        <v>5</v>
      </c>
      <c r="AI4" t="str">
        <f>CONCATENATE(VLOOKUP(AG4,Constants!$A$2:$C$16,IF(AH4&lt;&gt;"", 3, 2), FALSE),IF(AH4&lt;&gt;"",CONCATENATE(",",VLOOKUP(AH4,$B:$AI,34,FALSE)),""))</f>
        <v>2,1,2</v>
      </c>
      <c r="AS4">
        <v>30</v>
      </c>
      <c r="AT4" t="str">
        <f t="shared" si="2"/>
        <v/>
      </c>
      <c r="AW4">
        <f t="shared" si="3"/>
        <v>0</v>
      </c>
      <c r="AX4">
        <f t="shared" si="4"/>
        <v>0</v>
      </c>
      <c r="AY4">
        <f t="shared" si="5"/>
        <v>0</v>
      </c>
      <c r="AZ4" s="4">
        <f t="shared" ref="AZ4:AZ69" si="25">1-(MAX(G4-1900, 0)/750)</f>
        <v>1</v>
      </c>
      <c r="BA4">
        <f t="shared" si="6"/>
        <v>0</v>
      </c>
      <c r="BB4">
        <f>VLOOKUP($E4,Constants!$I:$K, 2, FALSE)</f>
        <v>0</v>
      </c>
      <c r="BC4">
        <f>VLOOKUP($E4,Constants!$I:$K, 3, FALSE)*IF(AND(D4="multiple_unit",Y4&lt;110),0.75,1)</f>
        <v>0</v>
      </c>
      <c r="BD4">
        <f>INT(POWER(((Constants!$G$2+$AW4+$AX4+$AY4+$BA4)*$AZ4)*$BC4, 1.05))+$AV4</f>
        <v>0</v>
      </c>
      <c r="BE4">
        <f>INT(POWER((((Constants!$G$1+$AW4+$AX4+$AY4+$BA4)*($AZ4))*$BB4),IF($D4="wagon",1,1.2)))+$AU4</f>
        <v>0</v>
      </c>
      <c r="BF4" s="15">
        <f t="shared" si="7"/>
        <v>0</v>
      </c>
      <c r="BG4" s="15">
        <f t="shared" si="8"/>
        <v>0</v>
      </c>
      <c r="BR4" t="str">
        <f>VLOOKUP(G4,Eras!$A$2:$C$10, 2, TRUE)</f>
        <v>edw</v>
      </c>
      <c r="BT4" t="str">
        <f t="shared" si="9"/>
        <v>edw_</v>
      </c>
      <c r="BU4" t="str">
        <f t="shared" si="10"/>
        <v>tender_RAIL</v>
      </c>
      <c r="BV4" t="str">
        <f>VLOOKUP($BU4, Constants!$M:$N, 2, FALSE)</f>
        <v/>
      </c>
      <c r="BW4" t="str">
        <f t="shared" si="11"/>
        <v/>
      </c>
      <c r="BY4" t="str">
        <f t="shared" si="12"/>
        <v/>
      </c>
      <c r="BZ4" t="str">
        <f t="shared" si="24"/>
        <v>{SILVER}</v>
      </c>
    </row>
    <row r="5" spans="1:78" x14ac:dyDescent="0.25">
      <c r="A5" t="s">
        <v>1252</v>
      </c>
      <c r="B5" t="s">
        <v>1253</v>
      </c>
      <c r="C5">
        <v>-1</v>
      </c>
      <c r="D5" t="s">
        <v>324</v>
      </c>
      <c r="E5" t="s">
        <v>324</v>
      </c>
      <c r="F5" t="s">
        <v>307</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S5">
        <v>30</v>
      </c>
      <c r="AT5" t="str">
        <f t="shared" si="2"/>
        <v/>
      </c>
      <c r="AW5">
        <f t="shared" si="3"/>
        <v>0</v>
      </c>
      <c r="AX5">
        <f t="shared" si="4"/>
        <v>0</v>
      </c>
      <c r="AY5">
        <f t="shared" si="5"/>
        <v>0</v>
      </c>
      <c r="AZ5" s="4">
        <f t="shared" si="25"/>
        <v>1</v>
      </c>
      <c r="BA5">
        <f t="shared" si="6"/>
        <v>0</v>
      </c>
      <c r="BB5">
        <f>VLOOKUP($E5,Constants!$I:$K, 2, FALSE)</f>
        <v>0</v>
      </c>
      <c r="BC5">
        <f>VLOOKUP($E5,Constants!$I:$K, 3, FALSE)*IF(AND(D5="multiple_unit",Y5&lt;110),0.75,1)</f>
        <v>0</v>
      </c>
      <c r="BD5">
        <f>INT(POWER(((Constants!$G$2+$AW5+$AX5+$AY5+$BA5)*$AZ5)*$BC5, 1.05))+$AV5</f>
        <v>0</v>
      </c>
      <c r="BE5">
        <f>INT(POWER((((Constants!$G$1+$AW5+$AX5+$AY5+$BA5)*($AZ5))*$BB5),IF($D5="wagon",1,1.2)))+$AU5</f>
        <v>0</v>
      </c>
      <c r="BF5" s="15">
        <f t="shared" si="7"/>
        <v>0</v>
      </c>
      <c r="BG5" s="15">
        <f t="shared" si="8"/>
        <v>0</v>
      </c>
      <c r="BR5" t="str">
        <f>VLOOKUP(G5,Eras!$A$2:$C$10, 2, TRUE)</f>
        <v>edw</v>
      </c>
      <c r="BT5" t="str">
        <f t="shared" si="9"/>
        <v>edw_</v>
      </c>
      <c r="BU5" t="str">
        <f t="shared" si="10"/>
        <v>tender_RAIL</v>
      </c>
      <c r="BV5" t="str">
        <f>VLOOKUP($BU5, Constants!$M:$N, 2, FALSE)</f>
        <v/>
      </c>
      <c r="BW5" t="str">
        <f t="shared" si="11"/>
        <v/>
      </c>
      <c r="BY5" t="str">
        <f t="shared" si="12"/>
        <v/>
      </c>
      <c r="BZ5" t="str">
        <f t="shared" si="24"/>
        <v>{SILVER}</v>
      </c>
    </row>
    <row r="6" spans="1:78" x14ac:dyDescent="0.25">
      <c r="A6" t="s">
        <v>1241</v>
      </c>
      <c r="B6" t="s">
        <v>1240</v>
      </c>
      <c r="C6">
        <v>-1</v>
      </c>
      <c r="D6" t="s">
        <v>324</v>
      </c>
      <c r="E6" t="s">
        <v>324</v>
      </c>
      <c r="F6" t="s">
        <v>307</v>
      </c>
      <c r="G6">
        <v>1900</v>
      </c>
      <c r="T6">
        <v>42</v>
      </c>
      <c r="X6" s="4" t="str">
        <f t="shared" si="0"/>
        <v/>
      </c>
      <c r="AA6">
        <v>7.5</v>
      </c>
      <c r="AB6">
        <v>8</v>
      </c>
      <c r="AE6" s="11">
        <v>0</v>
      </c>
      <c r="AF6" t="str">
        <f>CONCATENATE(VLOOKUP(AG6, 'Voxel Sizes'!$A$2:$B$18,2,FALSE),"x",INT(AC6*15), "x", INT(AD6*15))</f>
        <v>82x0x0</v>
      </c>
      <c r="AG6">
        <f t="shared" si="1"/>
        <v>5</v>
      </c>
      <c r="AI6" t="str">
        <f>CONCATENATE(VLOOKUP(AG6,Constants!$A$2:$C$16,IF(AH6&lt;&gt;"", 3, 2), FALSE),IF(AH6&lt;&gt;"",CONCATENATE(",",VLOOKUP(AH6,$B:$AI,34,FALSE)),""))</f>
        <v>2,1,2</v>
      </c>
      <c r="AS6">
        <v>30</v>
      </c>
      <c r="AT6" t="str">
        <f t="shared" si="2"/>
        <v/>
      </c>
      <c r="AW6">
        <f t="shared" si="3"/>
        <v>0</v>
      </c>
      <c r="AX6">
        <f t="shared" si="4"/>
        <v>0</v>
      </c>
      <c r="AY6">
        <f t="shared" si="5"/>
        <v>0</v>
      </c>
      <c r="AZ6" s="4">
        <f t="shared" si="25"/>
        <v>1</v>
      </c>
      <c r="BA6">
        <f t="shared" si="6"/>
        <v>0</v>
      </c>
      <c r="BB6">
        <f>VLOOKUP($E6,Constants!$I:$K, 2, FALSE)</f>
        <v>0</v>
      </c>
      <c r="BC6">
        <f>VLOOKUP($E6,Constants!$I:$K, 3, FALSE)*IF(AND(D6="multiple_unit",Y6&lt;110),0.75,1)</f>
        <v>0</v>
      </c>
      <c r="BD6">
        <f>INT(POWER(((Constants!$G$2+$AW6+$AX6+$AY6+$BA6)*$AZ6)*$BC6, 1.05))+$AV6</f>
        <v>0</v>
      </c>
      <c r="BE6">
        <f>INT(POWER((((Constants!$G$1+$AW6+$AX6+$AY6+$BA6)*($AZ6))*$BB6),IF($D6="wagon",1,1.2)))+$AU6</f>
        <v>0</v>
      </c>
      <c r="BF6" s="15">
        <f t="shared" si="7"/>
        <v>0</v>
      </c>
      <c r="BG6" s="15">
        <f t="shared" si="8"/>
        <v>0</v>
      </c>
      <c r="BR6" t="str">
        <f>VLOOKUP(G6,Eras!$A$2:$C$10, 2, TRUE)</f>
        <v>edw</v>
      </c>
      <c r="BT6" t="str">
        <f t="shared" si="9"/>
        <v>edw_</v>
      </c>
      <c r="BU6" t="str">
        <f t="shared" si="10"/>
        <v>tender_RAIL</v>
      </c>
      <c r="BV6" t="str">
        <f>VLOOKUP($BU6, Constants!$M:$N, 2, FALSE)</f>
        <v/>
      </c>
      <c r="BW6" t="str">
        <f t="shared" si="11"/>
        <v/>
      </c>
      <c r="BY6" t="str">
        <f t="shared" si="12"/>
        <v/>
      </c>
      <c r="BZ6" t="str">
        <f t="shared" si="24"/>
        <v>{SILVER}</v>
      </c>
    </row>
    <row r="7" spans="1:78" x14ac:dyDescent="0.25">
      <c r="A7" t="s">
        <v>422</v>
      </c>
      <c r="B7" t="s">
        <v>423</v>
      </c>
      <c r="C7">
        <v>-1</v>
      </c>
      <c r="D7" t="s">
        <v>324</v>
      </c>
      <c r="E7" t="s">
        <v>324</v>
      </c>
      <c r="F7" t="s">
        <v>307</v>
      </c>
      <c r="G7">
        <v>1900</v>
      </c>
      <c r="T7">
        <v>42</v>
      </c>
      <c r="X7" s="4" t="str">
        <f t="shared" si="0"/>
        <v/>
      </c>
      <c r="AA7">
        <v>7.5</v>
      </c>
      <c r="AB7">
        <v>8</v>
      </c>
      <c r="AE7" s="11">
        <v>0</v>
      </c>
      <c r="AF7" t="str">
        <f>CONCATENATE(VLOOKUP(AG7, 'Voxel Sizes'!$A$2:$B$18,2,FALSE),"x",INT(AC7*15), "x", INT(AD7*15))</f>
        <v>82x0x0</v>
      </c>
      <c r="AG7">
        <f t="shared" si="1"/>
        <v>5</v>
      </c>
      <c r="AI7" t="str">
        <f>CONCATENATE(VLOOKUP(AG7,Constants!$A$2:$C$16,IF(AH7&lt;&gt;"", 3, 2), FALSE),IF(AH7&lt;&gt;"",CONCATENATE(",",VLOOKUP(AH7,$B:$AI,34,FALSE)),""))</f>
        <v>2,1,2</v>
      </c>
      <c r="AS7">
        <v>30</v>
      </c>
      <c r="AT7" t="str">
        <f t="shared" si="2"/>
        <v/>
      </c>
      <c r="AW7">
        <f t="shared" si="3"/>
        <v>0</v>
      </c>
      <c r="AX7">
        <f t="shared" si="4"/>
        <v>0</v>
      </c>
      <c r="AY7">
        <f t="shared" si="5"/>
        <v>0</v>
      </c>
      <c r="AZ7" s="4">
        <f t="shared" si="25"/>
        <v>1</v>
      </c>
      <c r="BA7">
        <f t="shared" si="6"/>
        <v>0</v>
      </c>
      <c r="BB7">
        <f>VLOOKUP($E7,Constants!$I:$K, 2, FALSE)</f>
        <v>0</v>
      </c>
      <c r="BC7">
        <f>VLOOKUP($E7,Constants!$I:$K, 3, FALSE)*IF(AND(D7="multiple_unit",Y7&lt;110),0.75,1)</f>
        <v>0</v>
      </c>
      <c r="BD7">
        <f>INT(POWER(((Constants!$G$2+$AW7+$AX7+$AY7+$BA7)*$AZ7)*$BC7, 1.05))+$AV7</f>
        <v>0</v>
      </c>
      <c r="BE7">
        <f>INT(POWER((((Constants!$G$1+$AW7+$AX7+$AY7+$BA7)*($AZ7))*$BB7),IF($D7="wagon",1,1.2)))+$AU7</f>
        <v>0</v>
      </c>
      <c r="BF7" s="15">
        <f t="shared" si="7"/>
        <v>0</v>
      </c>
      <c r="BG7" s="15">
        <f t="shared" si="8"/>
        <v>0</v>
      </c>
      <c r="BR7" t="str">
        <f>VLOOKUP(G7,Eras!$A$2:$C$10, 2, TRUE)</f>
        <v>edw</v>
      </c>
      <c r="BT7" t="str">
        <f t="shared" si="9"/>
        <v>edw_</v>
      </c>
      <c r="BU7" t="str">
        <f t="shared" si="10"/>
        <v>tender_RAIL</v>
      </c>
      <c r="BV7" t="str">
        <f>VLOOKUP($BU7, Constants!$M:$N, 2, FALSE)</f>
        <v/>
      </c>
      <c r="BW7" t="str">
        <f t="shared" si="11"/>
        <v/>
      </c>
      <c r="BY7" t="str">
        <f t="shared" si="12"/>
        <v/>
      </c>
      <c r="BZ7" t="str">
        <f t="shared" si="24"/>
        <v>{SILVER}</v>
      </c>
    </row>
    <row r="8" spans="1:78" x14ac:dyDescent="0.25">
      <c r="A8" t="s">
        <v>1236</v>
      </c>
      <c r="B8" t="s">
        <v>1235</v>
      </c>
      <c r="C8">
        <v>-1</v>
      </c>
      <c r="D8" t="s">
        <v>324</v>
      </c>
      <c r="E8" t="s">
        <v>324</v>
      </c>
      <c r="F8" t="s">
        <v>307</v>
      </c>
      <c r="G8">
        <v>1920</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S8">
        <v>30</v>
      </c>
      <c r="AT8" t="str">
        <f t="shared" si="2"/>
        <v/>
      </c>
      <c r="AW8">
        <f t="shared" si="3"/>
        <v>0</v>
      </c>
      <c r="AX8">
        <f t="shared" si="4"/>
        <v>0</v>
      </c>
      <c r="AY8">
        <f t="shared" si="5"/>
        <v>0</v>
      </c>
      <c r="AZ8" s="4">
        <f t="shared" si="25"/>
        <v>0.97333333333333338</v>
      </c>
      <c r="BA8">
        <f t="shared" si="6"/>
        <v>0</v>
      </c>
      <c r="BB8">
        <f>VLOOKUP($E8,Constants!$I:$K, 2, FALSE)</f>
        <v>0</v>
      </c>
      <c r="BC8">
        <f>VLOOKUP($E8,Constants!$I:$K, 3, FALSE)*IF(AND(D8="multiple_unit",Y8&lt;110),0.75,1)</f>
        <v>0</v>
      </c>
      <c r="BD8">
        <f>INT(POWER(((Constants!$G$2+$AW8+$AX8+$AY8+$BA8)*$AZ8)*$BC8, 1.05))+$AV8</f>
        <v>0</v>
      </c>
      <c r="BE8">
        <f>INT(POWER((((Constants!$G$1+$AW8+$AX8+$AY8+$BA8)*($AZ8))*$BB8),IF($D8="wagon",1,1.2)))+$AU8</f>
        <v>0</v>
      </c>
      <c r="BF8" s="15">
        <f t="shared" si="7"/>
        <v>0</v>
      </c>
      <c r="BG8" s="15">
        <f t="shared" si="8"/>
        <v>0</v>
      </c>
      <c r="BR8" t="str">
        <f>VLOOKUP(G8,Eras!$A$2:$C$10, 2, TRUE)</f>
        <v>edw</v>
      </c>
      <c r="BT8" t="str">
        <f t="shared" si="9"/>
        <v>edw_</v>
      </c>
      <c r="BU8" t="str">
        <f t="shared" si="10"/>
        <v>tender_RAIL</v>
      </c>
      <c r="BV8" t="str">
        <f>VLOOKUP($BU8, Constants!$M:$N, 2, FALSE)</f>
        <v/>
      </c>
      <c r="BW8" t="str">
        <f t="shared" si="11"/>
        <v/>
      </c>
      <c r="BY8" t="str">
        <f t="shared" si="12"/>
        <v/>
      </c>
      <c r="BZ8" t="str">
        <f t="shared" si="24"/>
        <v>{SILVER}</v>
      </c>
    </row>
    <row r="9" spans="1:78" x14ac:dyDescent="0.25">
      <c r="A9" t="s">
        <v>473</v>
      </c>
      <c r="B9" t="s">
        <v>474</v>
      </c>
      <c r="C9">
        <v>-1</v>
      </c>
      <c r="D9" t="s">
        <v>324</v>
      </c>
      <c r="E9" t="s">
        <v>324</v>
      </c>
      <c r="F9" t="s">
        <v>307</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S9">
        <v>30</v>
      </c>
      <c r="AT9" t="str">
        <f t="shared" si="2"/>
        <v/>
      </c>
      <c r="AW9">
        <f t="shared" si="3"/>
        <v>0</v>
      </c>
      <c r="AX9">
        <f t="shared" si="4"/>
        <v>0</v>
      </c>
      <c r="AY9">
        <f t="shared" si="5"/>
        <v>0</v>
      </c>
      <c r="AZ9" s="4">
        <f t="shared" si="25"/>
        <v>0.96666666666666667</v>
      </c>
      <c r="BA9">
        <f t="shared" si="6"/>
        <v>0</v>
      </c>
      <c r="BB9">
        <f>VLOOKUP($E9,Constants!$I:$K, 2, FALSE)</f>
        <v>0</v>
      </c>
      <c r="BC9">
        <f>VLOOKUP($E9,Constants!$I:$K, 3, FALSE)*IF(AND(D9="multiple_unit",Y9&lt;110),0.75,1)</f>
        <v>0</v>
      </c>
      <c r="BD9">
        <f>INT(POWER(((Constants!$G$2+$AW9+$AX9+$AY9+$BA9)*$AZ9)*$BC9, 1.05))+$AV9</f>
        <v>0</v>
      </c>
      <c r="BE9">
        <f>INT(POWER((((Constants!$G$1+$AW9+$AX9+$AY9+$BA9)*($AZ9))*$BB9),IF($D9="wagon",1,1.2)))+$AU9</f>
        <v>0</v>
      </c>
      <c r="BF9" s="15">
        <f t="shared" si="7"/>
        <v>0</v>
      </c>
      <c r="BG9" s="15">
        <f t="shared" si="8"/>
        <v>0</v>
      </c>
      <c r="BR9" t="str">
        <f>VLOOKUP(G9,Eras!$A$2:$C$10, 2, TRUE)</f>
        <v>big4</v>
      </c>
      <c r="BT9" t="str">
        <f t="shared" si="9"/>
        <v>big4_</v>
      </c>
      <c r="BU9" t="str">
        <f t="shared" si="10"/>
        <v>tender_RAIL</v>
      </c>
      <c r="BV9" t="str">
        <f>VLOOKUP($BU9, Constants!$M:$N, 2, FALSE)</f>
        <v/>
      </c>
      <c r="BW9" t="str">
        <f t="shared" si="11"/>
        <v/>
      </c>
      <c r="BY9" t="str">
        <f t="shared" si="12"/>
        <v/>
      </c>
      <c r="BZ9" t="str">
        <f t="shared" si="24"/>
        <v>{SILVER}</v>
      </c>
    </row>
    <row r="10" spans="1:78" x14ac:dyDescent="0.25">
      <c r="A10" t="s">
        <v>323</v>
      </c>
      <c r="B10" t="s">
        <v>322</v>
      </c>
      <c r="C10">
        <v>-1</v>
      </c>
      <c r="D10" t="s">
        <v>324</v>
      </c>
      <c r="E10" t="s">
        <v>324</v>
      </c>
      <c r="F10" t="s">
        <v>307</v>
      </c>
      <c r="G10">
        <v>1925</v>
      </c>
      <c r="T10">
        <v>52</v>
      </c>
      <c r="X10" s="4" t="str">
        <f t="shared" si="0"/>
        <v/>
      </c>
      <c r="AA10">
        <v>7.64</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S10">
        <v>30</v>
      </c>
      <c r="AT10" t="str">
        <f t="shared" si="2"/>
        <v/>
      </c>
      <c r="AW10">
        <f t="shared" si="3"/>
        <v>0</v>
      </c>
      <c r="AX10">
        <f t="shared" si="4"/>
        <v>0</v>
      </c>
      <c r="AY10">
        <f t="shared" si="5"/>
        <v>0</v>
      </c>
      <c r="AZ10" s="4">
        <f t="shared" si="25"/>
        <v>0.96666666666666667</v>
      </c>
      <c r="BA10">
        <f t="shared" si="6"/>
        <v>0</v>
      </c>
      <c r="BB10">
        <f>VLOOKUP($E10,Constants!$I:$K, 2, FALSE)</f>
        <v>0</v>
      </c>
      <c r="BC10">
        <f>VLOOKUP($E10,Constants!$I:$K, 3, FALSE)*IF(AND(D10="multiple_unit",Y10&lt;110),0.75,1)</f>
        <v>0</v>
      </c>
      <c r="BD10">
        <f>INT(POWER(((Constants!$G$2+$AW10+$AX10+$AY10+$BA10)*$AZ10)*$BC10, 1.05))+$AV10</f>
        <v>0</v>
      </c>
      <c r="BE10">
        <f>INT(POWER((((Constants!$G$1+$AW10+$AX10+$AY10+$BA10)*($AZ10))*$BB10),IF($D10="wagon",1,1.2)))+$AU10</f>
        <v>0</v>
      </c>
      <c r="BF10" s="15">
        <f t="shared" si="7"/>
        <v>0</v>
      </c>
      <c r="BG10" s="15">
        <f t="shared" si="8"/>
        <v>0</v>
      </c>
      <c r="BR10" t="str">
        <f>VLOOKUP(G10,Eras!$A$2:$C$10, 2, TRUE)</f>
        <v>big4</v>
      </c>
      <c r="BT10" t="str">
        <f t="shared" si="9"/>
        <v>big4_</v>
      </c>
      <c r="BU10" t="str">
        <f t="shared" si="10"/>
        <v>tender_RAIL</v>
      </c>
      <c r="BV10" t="str">
        <f>VLOOKUP($BU10, Constants!$M:$N, 2, FALSE)</f>
        <v/>
      </c>
      <c r="BW10" t="str">
        <f t="shared" si="11"/>
        <v/>
      </c>
      <c r="BY10" t="str">
        <f t="shared" si="12"/>
        <v/>
      </c>
      <c r="BZ10" t="str">
        <f t="shared" si="24"/>
        <v>{SILVER}</v>
      </c>
    </row>
    <row r="11" spans="1:78" x14ac:dyDescent="0.25">
      <c r="A11" t="s">
        <v>326</v>
      </c>
      <c r="B11" t="s">
        <v>327</v>
      </c>
      <c r="C11">
        <v>-1</v>
      </c>
      <c r="D11" t="s">
        <v>324</v>
      </c>
      <c r="E11" t="s">
        <v>324</v>
      </c>
      <c r="F11" t="s">
        <v>307</v>
      </c>
      <c r="G11">
        <v>1925</v>
      </c>
      <c r="T11">
        <v>52</v>
      </c>
      <c r="X11" s="4" t="str">
        <f t="shared" si="0"/>
        <v/>
      </c>
      <c r="AA11">
        <v>7.64</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S11">
        <v>30</v>
      </c>
      <c r="AT11" t="str">
        <f t="shared" si="2"/>
        <v/>
      </c>
      <c r="AW11">
        <f t="shared" si="3"/>
        <v>0</v>
      </c>
      <c r="AX11">
        <f t="shared" si="4"/>
        <v>0</v>
      </c>
      <c r="AY11">
        <f t="shared" si="5"/>
        <v>0</v>
      </c>
      <c r="AZ11" s="4">
        <f t="shared" si="25"/>
        <v>0.96666666666666667</v>
      </c>
      <c r="BA11">
        <f t="shared" si="6"/>
        <v>0</v>
      </c>
      <c r="BB11">
        <f>VLOOKUP($E11,Constants!$I:$K, 2, FALSE)</f>
        <v>0</v>
      </c>
      <c r="BC11">
        <f>VLOOKUP($E11,Constants!$I:$K, 3, FALSE)*IF(AND(D11="multiple_unit",Y11&lt;110),0.75,1)</f>
        <v>0</v>
      </c>
      <c r="BD11">
        <f>INT(POWER(((Constants!$G$2+$AW11+$AX11+$AY11+$BA11)*$AZ11)*$BC11, 1.05))+$AV11</f>
        <v>0</v>
      </c>
      <c r="BE11">
        <f>INT(POWER((((Constants!$G$1+$AW11+$AX11+$AY11+$BA11)*($AZ11))*$BB11),IF($D11="wagon",1,1.2)))+$AU11</f>
        <v>0</v>
      </c>
      <c r="BF11" s="15">
        <f t="shared" si="7"/>
        <v>0</v>
      </c>
      <c r="BG11" s="15">
        <f t="shared" si="8"/>
        <v>0</v>
      </c>
      <c r="BR11" t="str">
        <f>VLOOKUP(G11,Eras!$A$2:$C$10, 2, TRUE)</f>
        <v>big4</v>
      </c>
      <c r="BT11" t="str">
        <f t="shared" si="9"/>
        <v>big4_</v>
      </c>
      <c r="BU11" t="str">
        <f t="shared" si="10"/>
        <v>tender_RAIL</v>
      </c>
      <c r="BV11" t="str">
        <f>VLOOKUP($BU11, Constants!$M:$N, 2, FALSE)</f>
        <v/>
      </c>
      <c r="BW11" t="str">
        <f t="shared" si="11"/>
        <v/>
      </c>
      <c r="BY11" t="str">
        <f t="shared" si="12"/>
        <v/>
      </c>
      <c r="BZ11" t="str">
        <f t="shared" si="24"/>
        <v>{SILVER}</v>
      </c>
    </row>
    <row r="12" spans="1:78" x14ac:dyDescent="0.25">
      <c r="A12" t="s">
        <v>468</v>
      </c>
      <c r="B12" t="s">
        <v>469</v>
      </c>
      <c r="C12">
        <v>-1</v>
      </c>
      <c r="D12" t="s">
        <v>324</v>
      </c>
      <c r="E12" t="s">
        <v>324</v>
      </c>
      <c r="F12" t="s">
        <v>307</v>
      </c>
      <c r="G12">
        <v>1927</v>
      </c>
      <c r="T12">
        <v>53</v>
      </c>
      <c r="X12" s="4" t="str">
        <f t="shared" si="0"/>
        <v/>
      </c>
      <c r="AA12">
        <v>7.5</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S12">
        <v>30</v>
      </c>
      <c r="AT12" t="str">
        <f t="shared" si="2"/>
        <v/>
      </c>
      <c r="AW12">
        <f t="shared" si="3"/>
        <v>0</v>
      </c>
      <c r="AX12">
        <f t="shared" si="4"/>
        <v>0</v>
      </c>
      <c r="AY12">
        <f t="shared" si="5"/>
        <v>0</v>
      </c>
      <c r="AZ12" s="4">
        <f t="shared" si="25"/>
        <v>0.96399999999999997</v>
      </c>
      <c r="BA12">
        <f t="shared" si="6"/>
        <v>0</v>
      </c>
      <c r="BB12">
        <f>VLOOKUP($E12,Constants!$I:$K, 2, FALSE)</f>
        <v>0</v>
      </c>
      <c r="BC12">
        <f>VLOOKUP($E12,Constants!$I:$K, 3, FALSE)*IF(AND(D12="multiple_unit",Y12&lt;110),0.75,1)</f>
        <v>0</v>
      </c>
      <c r="BD12">
        <f>INT(POWER(((Constants!$G$2+$AW12+$AX12+$AY12+$BA12)*$AZ12)*$BC12, 1.05))+$AV12</f>
        <v>0</v>
      </c>
      <c r="BE12">
        <f>INT(POWER((((Constants!$G$1+$AW12+$AX12+$AY12+$BA12)*($AZ12))*$BB12),IF($D12="wagon",1,1.2)))+$AU12</f>
        <v>0</v>
      </c>
      <c r="BF12" s="15">
        <f t="shared" si="7"/>
        <v>0</v>
      </c>
      <c r="BG12" s="15">
        <f t="shared" si="8"/>
        <v>0</v>
      </c>
      <c r="BR12" t="str">
        <f>VLOOKUP(G12,Eras!$A$2:$C$10, 2, TRUE)</f>
        <v>big4</v>
      </c>
      <c r="BT12" t="str">
        <f t="shared" si="9"/>
        <v>big4_</v>
      </c>
      <c r="BU12" t="str">
        <f t="shared" si="10"/>
        <v>tender_RAIL</v>
      </c>
      <c r="BV12" t="str">
        <f>VLOOKUP($BU12, Constants!$M:$N, 2, FALSE)</f>
        <v/>
      </c>
      <c r="BW12" t="str">
        <f t="shared" si="11"/>
        <v/>
      </c>
      <c r="BY12" t="str">
        <f t="shared" si="12"/>
        <v/>
      </c>
      <c r="BZ12" t="str">
        <f t="shared" si="24"/>
        <v>{SILVER}</v>
      </c>
    </row>
    <row r="13" spans="1:78" x14ac:dyDescent="0.25">
      <c r="A13" t="s">
        <v>495</v>
      </c>
      <c r="B13" t="s">
        <v>494</v>
      </c>
      <c r="C13">
        <v>-1</v>
      </c>
      <c r="D13" t="s">
        <v>324</v>
      </c>
      <c r="E13" t="s">
        <v>324</v>
      </c>
      <c r="F13" t="s">
        <v>307</v>
      </c>
      <c r="G13">
        <v>1935</v>
      </c>
      <c r="T13">
        <v>42</v>
      </c>
      <c r="X13" s="4" t="str">
        <f t="shared" si="0"/>
        <v/>
      </c>
      <c r="AA13">
        <v>7.5</v>
      </c>
      <c r="AB13">
        <v>8</v>
      </c>
      <c r="AE13" s="11">
        <v>0</v>
      </c>
      <c r="AF13" t="str">
        <f>CONCATENATE(VLOOKUP(AG13, 'Voxel Sizes'!$A$2:$B$18,2,FALSE),"x",INT(AC13*15), "x", INT(AD13*15))</f>
        <v>82x0x0</v>
      </c>
      <c r="AG13">
        <f t="shared" si="1"/>
        <v>5</v>
      </c>
      <c r="AI13" t="str">
        <f>CONCATENATE(VLOOKUP(AG13,Constants!$A$2:$C$16,IF(AH13&lt;&gt;"", 3, 2), FALSE),IF(AH13&lt;&gt;"",CONCATENATE(",",VLOOKUP(AH13,$B:$AI,34,FALSE)),""))</f>
        <v>2,1,2</v>
      </c>
      <c r="AS13">
        <v>30</v>
      </c>
      <c r="AT13" t="str">
        <f t="shared" si="2"/>
        <v/>
      </c>
      <c r="AW13">
        <f t="shared" si="3"/>
        <v>0</v>
      </c>
      <c r="AX13">
        <f t="shared" si="4"/>
        <v>0</v>
      </c>
      <c r="AY13">
        <f t="shared" si="5"/>
        <v>0</v>
      </c>
      <c r="AZ13" s="4">
        <f t="shared" si="25"/>
        <v>0.95333333333333337</v>
      </c>
      <c r="BA13">
        <f t="shared" si="6"/>
        <v>0</v>
      </c>
      <c r="BB13">
        <f>VLOOKUP($E13,Constants!$I:$K, 2, FALSE)</f>
        <v>0</v>
      </c>
      <c r="BC13">
        <f>VLOOKUP($E13,Constants!$I:$K, 3, FALSE)*IF(AND(D13="multiple_unit",Y13&lt;110),0.75,1)</f>
        <v>0</v>
      </c>
      <c r="BD13">
        <f>INT(POWER(((Constants!$G$2+$AW13+$AX13+$AY13+$BA13)*$AZ13)*$BC13, 1.05))+$AV13</f>
        <v>0</v>
      </c>
      <c r="BE13">
        <f>INT(POWER((((Constants!$G$1+$AW13+$AX13+$AY13+$BA13)*($AZ13))*$BB13),IF($D13="wagon",1,1.2)))+$AU13</f>
        <v>0</v>
      </c>
      <c r="BF13" s="15">
        <f t="shared" si="7"/>
        <v>0</v>
      </c>
      <c r="BG13" s="15">
        <f t="shared" si="8"/>
        <v>0</v>
      </c>
      <c r="BR13" t="str">
        <f>VLOOKUP(G13,Eras!$A$2:$C$10, 2, TRUE)</f>
        <v>big4</v>
      </c>
      <c r="BT13" t="str">
        <f t="shared" si="9"/>
        <v>big4_</v>
      </c>
      <c r="BU13" t="str">
        <f t="shared" si="10"/>
        <v>tender_RAIL</v>
      </c>
      <c r="BV13" t="str">
        <f>VLOOKUP($BU13, Constants!$M:$N, 2, FALSE)</f>
        <v/>
      </c>
      <c r="BW13" t="str">
        <f t="shared" si="11"/>
        <v/>
      </c>
      <c r="BY13" t="str">
        <f t="shared" si="12"/>
        <v/>
      </c>
      <c r="BZ13" t="str">
        <f t="shared" si="24"/>
        <v>{SILVER}</v>
      </c>
    </row>
    <row r="14" spans="1:78" ht="13.5" customHeight="1" x14ac:dyDescent="0.25">
      <c r="A14" t="s">
        <v>502</v>
      </c>
      <c r="B14" t="s">
        <v>503</v>
      </c>
      <c r="C14">
        <v>-1</v>
      </c>
      <c r="D14" t="s">
        <v>324</v>
      </c>
      <c r="E14" t="s">
        <v>324</v>
      </c>
      <c r="F14" t="s">
        <v>307</v>
      </c>
      <c r="G14">
        <v>1941</v>
      </c>
      <c r="T14">
        <v>52</v>
      </c>
      <c r="X14" s="4" t="str">
        <f t="shared" si="0"/>
        <v/>
      </c>
      <c r="AA14">
        <v>7.64</v>
      </c>
      <c r="AB14">
        <v>8</v>
      </c>
      <c r="AE14" s="11">
        <v>0</v>
      </c>
      <c r="AF14" t="str">
        <f>CONCATENATE(VLOOKUP(AG14, 'Voxel Sizes'!$A$2:$B$18,2,FALSE),"x",INT(AC14*15), "x", INT(AD14*15))</f>
        <v>82x0x0</v>
      </c>
      <c r="AG14">
        <f t="shared" si="1"/>
        <v>5</v>
      </c>
      <c r="AI14" t="str">
        <f>CONCATENATE(VLOOKUP(AG14,Constants!$A$2:$C$16,IF(AH14&lt;&gt;"", 3, 2), FALSE),IF(AH14&lt;&gt;"",CONCATENATE(",",VLOOKUP(AH14,$B:$AI,34,FALSE)),""))</f>
        <v>2,1,2</v>
      </c>
      <c r="AS14">
        <v>30</v>
      </c>
      <c r="AT14" t="str">
        <f t="shared" si="2"/>
        <v/>
      </c>
      <c r="AW14">
        <f t="shared" si="3"/>
        <v>0</v>
      </c>
      <c r="AX14">
        <f t="shared" si="4"/>
        <v>0</v>
      </c>
      <c r="AY14">
        <f t="shared" si="5"/>
        <v>0</v>
      </c>
      <c r="AZ14" s="4">
        <f t="shared" si="25"/>
        <v>0.94533333333333336</v>
      </c>
      <c r="BA14">
        <f t="shared" si="6"/>
        <v>0</v>
      </c>
      <c r="BB14">
        <f>VLOOKUP($E14,Constants!$I:$K, 2, FALSE)</f>
        <v>0</v>
      </c>
      <c r="BC14">
        <f>VLOOKUP($E14,Constants!$I:$K, 3, FALSE)*IF(AND(D14="multiple_unit",Y14&lt;110),0.75,1)</f>
        <v>0</v>
      </c>
      <c r="BD14">
        <f>INT(POWER(((Constants!$G$2+$AW14+$AX14+$AY14+$BA14)*$AZ14)*$BC14, 1.05))+$AV14</f>
        <v>0</v>
      </c>
      <c r="BE14">
        <f>INT(POWER((((Constants!$G$1+$AW14+$AX14+$AY14+$BA14)*($AZ14))*$BB14),IF($D14="wagon",1,1.2)))+$AU14</f>
        <v>0</v>
      </c>
      <c r="BF14" s="15">
        <f t="shared" si="7"/>
        <v>0</v>
      </c>
      <c r="BG14" s="15">
        <f t="shared" si="8"/>
        <v>0</v>
      </c>
      <c r="BR14" t="str">
        <f>VLOOKUP(G14,Eras!$A$2:$C$10, 2, TRUE)</f>
        <v>big4</v>
      </c>
      <c r="BT14" t="str">
        <f t="shared" si="9"/>
        <v>big4_</v>
      </c>
      <c r="BU14" t="str">
        <f t="shared" si="10"/>
        <v>tender_RAIL</v>
      </c>
      <c r="BV14" t="str">
        <f>VLOOKUP($BU14, Constants!$M:$N, 2, FALSE)</f>
        <v/>
      </c>
      <c r="BW14" t="str">
        <f t="shared" si="11"/>
        <v/>
      </c>
      <c r="BY14" t="str">
        <f t="shared" si="12"/>
        <v/>
      </c>
      <c r="BZ14" t="str">
        <f t="shared" si="24"/>
        <v>{SILVER}</v>
      </c>
    </row>
    <row r="15" spans="1:78" x14ac:dyDescent="0.25">
      <c r="A15" t="s">
        <v>510</v>
      </c>
      <c r="B15" t="s">
        <v>509</v>
      </c>
      <c r="C15">
        <v>-1</v>
      </c>
      <c r="D15" t="s">
        <v>324</v>
      </c>
      <c r="E15" t="s">
        <v>324</v>
      </c>
      <c r="F15" t="s">
        <v>307</v>
      </c>
      <c r="G15">
        <v>1942</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S15">
        <v>30</v>
      </c>
      <c r="AT15" t="str">
        <f t="shared" si="2"/>
        <v/>
      </c>
      <c r="AW15">
        <f t="shared" si="3"/>
        <v>0</v>
      </c>
      <c r="AX15">
        <f t="shared" si="4"/>
        <v>0</v>
      </c>
      <c r="AY15">
        <f t="shared" si="5"/>
        <v>0</v>
      </c>
      <c r="AZ15" s="4">
        <f t="shared" si="25"/>
        <v>0.94399999999999995</v>
      </c>
      <c r="BA15">
        <f t="shared" si="6"/>
        <v>0</v>
      </c>
      <c r="BB15">
        <f>VLOOKUP($E15,Constants!$I:$K, 2, FALSE)</f>
        <v>0</v>
      </c>
      <c r="BC15">
        <f>VLOOKUP($E15,Constants!$I:$K, 3, FALSE)*IF(AND(D15="multiple_unit",Y15&lt;110),0.75,1)</f>
        <v>0</v>
      </c>
      <c r="BD15">
        <f>INT(POWER(((Constants!$G$2+$AW15+$AX15+$AY15+$BA15)*$AZ15)*$BC15, 1.05))+$AV15</f>
        <v>0</v>
      </c>
      <c r="BE15">
        <f>INT(POWER((((Constants!$G$1+$AW15+$AX15+$AY15+$BA15)*($AZ15))*$BB15),IF($D15="wagon",1,1.2)))+$AU15</f>
        <v>0</v>
      </c>
      <c r="BF15" s="15">
        <f t="shared" si="7"/>
        <v>0</v>
      </c>
      <c r="BG15" s="15">
        <f t="shared" si="8"/>
        <v>0</v>
      </c>
      <c r="BR15" t="str">
        <f>VLOOKUP(G15,Eras!$A$2:$C$10, 2, TRUE)</f>
        <v>big4</v>
      </c>
      <c r="BT15" t="str">
        <f t="shared" si="9"/>
        <v>big4_</v>
      </c>
      <c r="BU15" t="str">
        <f t="shared" si="10"/>
        <v>tender_RAIL</v>
      </c>
      <c r="BV15" t="str">
        <f>VLOOKUP($BU15, Constants!$M:$N, 2, FALSE)</f>
        <v/>
      </c>
      <c r="BW15" t="str">
        <f t="shared" si="11"/>
        <v/>
      </c>
      <c r="BY15" t="str">
        <f t="shared" si="12"/>
        <v/>
      </c>
      <c r="BZ15" t="str">
        <f t="shared" si="24"/>
        <v>{SILVER}</v>
      </c>
    </row>
    <row r="16" spans="1:78" x14ac:dyDescent="0.25">
      <c r="A16" t="s">
        <v>515</v>
      </c>
      <c r="B16" t="s">
        <v>516</v>
      </c>
      <c r="C16">
        <v>-1</v>
      </c>
      <c r="D16" t="s">
        <v>324</v>
      </c>
      <c r="E16" t="s">
        <v>324</v>
      </c>
      <c r="F16" t="s">
        <v>307</v>
      </c>
      <c r="G16">
        <v>1943</v>
      </c>
      <c r="T16">
        <v>52</v>
      </c>
      <c r="X16" s="4" t="str">
        <f t="shared" si="0"/>
        <v/>
      </c>
      <c r="AA16">
        <v>6</v>
      </c>
      <c r="AB16">
        <v>6</v>
      </c>
      <c r="AE16" s="11">
        <v>0</v>
      </c>
      <c r="AF16" t="str">
        <f>CONCATENATE(VLOOKUP(AG16, 'Voxel Sizes'!$A$2:$B$18,2,FALSE),"x",INT(AC16*15), "x", INT(AD16*15))</f>
        <v>60x0x0</v>
      </c>
      <c r="AG16">
        <f t="shared" si="1"/>
        <v>4</v>
      </c>
      <c r="AI16" t="str">
        <f>CONCATENATE(VLOOKUP(AG16,Constants!$A$2:$C$16,IF(AH16&lt;&gt;"", 3, 2), FALSE),IF(AH16&lt;&gt;"",CONCATENATE(",",VLOOKUP(AH16,$B:$AI,34,FALSE)),""))</f>
        <v>1,2,1</v>
      </c>
      <c r="AS16">
        <v>30</v>
      </c>
      <c r="AT16" t="str">
        <f t="shared" si="2"/>
        <v/>
      </c>
      <c r="AW16">
        <f t="shared" si="3"/>
        <v>0</v>
      </c>
      <c r="AX16">
        <f t="shared" si="4"/>
        <v>0</v>
      </c>
      <c r="AY16">
        <f t="shared" si="5"/>
        <v>0</v>
      </c>
      <c r="AZ16" s="4">
        <f t="shared" si="25"/>
        <v>0.94266666666666665</v>
      </c>
      <c r="BA16">
        <f t="shared" si="6"/>
        <v>0</v>
      </c>
      <c r="BB16">
        <f>VLOOKUP($E16,Constants!$I:$K, 2, FALSE)</f>
        <v>0</v>
      </c>
      <c r="BC16">
        <f>VLOOKUP($E16,Constants!$I:$K, 3, FALSE)*IF(AND(D16="multiple_unit",Y16&lt;110),0.75,1)</f>
        <v>0</v>
      </c>
      <c r="BD16">
        <f>INT(POWER(((Constants!$G$2+$AW16+$AX16+$AY16+$BA16)*$AZ16)*$BC16, 1.05))+$AV16</f>
        <v>0</v>
      </c>
      <c r="BE16">
        <f>INT(POWER((((Constants!$G$1+$AW16+$AX16+$AY16+$BA16)*($AZ16))*$BB16),IF($D16="wagon",1,1.2)))+$AU16</f>
        <v>0</v>
      </c>
      <c r="BF16" s="15">
        <f t="shared" si="7"/>
        <v>0</v>
      </c>
      <c r="BG16" s="15">
        <f t="shared" si="8"/>
        <v>0</v>
      </c>
      <c r="BR16" t="str">
        <f>VLOOKUP(G16,Eras!$A$2:$C$10, 2, TRUE)</f>
        <v>big4</v>
      </c>
      <c r="BT16" t="str">
        <f t="shared" si="9"/>
        <v>big4_</v>
      </c>
      <c r="BU16" t="str">
        <f t="shared" si="10"/>
        <v>tender_RAIL</v>
      </c>
      <c r="BV16" t="str">
        <f>VLOOKUP($BU16, Constants!$M:$N, 2, FALSE)</f>
        <v/>
      </c>
      <c r="BW16" t="str">
        <f t="shared" si="11"/>
        <v/>
      </c>
      <c r="BY16" t="str">
        <f t="shared" si="12"/>
        <v/>
      </c>
      <c r="BZ16" t="str">
        <f t="shared" si="24"/>
        <v>{SILVER}</v>
      </c>
    </row>
    <row r="17" spans="1:78" x14ac:dyDescent="0.25">
      <c r="A17" t="s">
        <v>530</v>
      </c>
      <c r="B17" t="s">
        <v>529</v>
      </c>
      <c r="C17">
        <v>-1</v>
      </c>
      <c r="D17" t="s">
        <v>324</v>
      </c>
      <c r="E17" t="s">
        <v>324</v>
      </c>
      <c r="F17" t="s">
        <v>307</v>
      </c>
      <c r="G17">
        <v>1946</v>
      </c>
      <c r="T17">
        <v>52</v>
      </c>
      <c r="X17" s="4" t="str">
        <f t="shared" si="0"/>
        <v/>
      </c>
      <c r="AA17">
        <v>6</v>
      </c>
      <c r="AB17">
        <v>6</v>
      </c>
      <c r="AE17" s="11">
        <v>0</v>
      </c>
      <c r="AF17" t="str">
        <f>CONCATENATE(VLOOKUP(AG17, 'Voxel Sizes'!$A$2:$B$18,2,FALSE),"x",INT(AC17*15), "x", INT(AD17*15))</f>
        <v>60x0x0</v>
      </c>
      <c r="AG17">
        <f t="shared" si="1"/>
        <v>4</v>
      </c>
      <c r="AI17" t="str">
        <f>CONCATENATE(VLOOKUP(AG17,Constants!$A$2:$C$16,IF(AH17&lt;&gt;"", 3, 2), FALSE),IF(AH17&lt;&gt;"",CONCATENATE(",",VLOOKUP(AH17,$B:$AI,34,FALSE)),""))</f>
        <v>1,2,1</v>
      </c>
      <c r="AS17">
        <v>30</v>
      </c>
      <c r="AT17" t="str">
        <f t="shared" si="2"/>
        <v/>
      </c>
      <c r="AW17">
        <f t="shared" si="3"/>
        <v>0</v>
      </c>
      <c r="AX17">
        <f t="shared" si="4"/>
        <v>0</v>
      </c>
      <c r="AY17">
        <f t="shared" si="5"/>
        <v>0</v>
      </c>
      <c r="AZ17" s="4">
        <f t="shared" si="25"/>
        <v>0.93866666666666665</v>
      </c>
      <c r="BA17">
        <f t="shared" si="6"/>
        <v>0</v>
      </c>
      <c r="BB17">
        <f>VLOOKUP($E17,Constants!$I:$K, 2, FALSE)</f>
        <v>0</v>
      </c>
      <c r="BC17">
        <f>VLOOKUP($E17,Constants!$I:$K, 3, FALSE)*IF(AND(D17="multiple_unit",Y17&lt;110),0.75,1)</f>
        <v>0</v>
      </c>
      <c r="BD17">
        <f>INT(POWER(((Constants!$G$2+$AW17+$AX17+$AY17+$BA17)*$AZ17)*$BC17, 1.05))+$AV17</f>
        <v>0</v>
      </c>
      <c r="BE17">
        <f>INT(POWER((((Constants!$G$1+$AW17+$AX17+$AY17+$BA17)*($AZ17))*$BB17),IF($D17="wagon",1,1.2)))+$AU17</f>
        <v>0</v>
      </c>
      <c r="BF17" s="15">
        <f t="shared" si="7"/>
        <v>0</v>
      </c>
      <c r="BG17" s="15">
        <f t="shared" si="8"/>
        <v>0</v>
      </c>
      <c r="BR17" t="str">
        <f>VLOOKUP(G17,Eras!$A$2:$C$10, 2, TRUE)</f>
        <v>big4</v>
      </c>
      <c r="BT17" t="str">
        <f t="shared" si="9"/>
        <v>big4_</v>
      </c>
      <c r="BU17" t="str">
        <f t="shared" si="10"/>
        <v>tender_RAIL</v>
      </c>
      <c r="BV17" t="str">
        <f>VLOOKUP($BU17, Constants!$M:$N, 2, FALSE)</f>
        <v/>
      </c>
      <c r="BW17" t="str">
        <f t="shared" si="11"/>
        <v/>
      </c>
      <c r="BY17" t="str">
        <f t="shared" si="12"/>
        <v/>
      </c>
      <c r="BZ17" t="str">
        <f t="shared" si="24"/>
        <v>{SILVER}</v>
      </c>
    </row>
    <row r="18" spans="1:78" x14ac:dyDescent="0.25">
      <c r="A18" t="s">
        <v>673</v>
      </c>
      <c r="B18" t="s">
        <v>674</v>
      </c>
      <c r="C18">
        <v>-1</v>
      </c>
      <c r="D18" t="s">
        <v>324</v>
      </c>
      <c r="E18" t="s">
        <v>324</v>
      </c>
      <c r="F18" t="s">
        <v>307</v>
      </c>
      <c r="G18">
        <v>1958</v>
      </c>
      <c r="T18">
        <v>52</v>
      </c>
      <c r="X18" s="4" t="str">
        <f t="shared" si="0"/>
        <v/>
      </c>
      <c r="AA18">
        <v>6</v>
      </c>
      <c r="AB18">
        <v>8</v>
      </c>
      <c r="AE18" s="11">
        <v>0</v>
      </c>
      <c r="AF18" t="str">
        <f>CONCATENATE(VLOOKUP(AG18, 'Voxel Sizes'!$A$2:$B$18,2,FALSE),"x",INT(AC18*15), "x", INT(AD18*15))</f>
        <v>82x0x0</v>
      </c>
      <c r="AG18">
        <f t="shared" si="1"/>
        <v>5</v>
      </c>
      <c r="AI18" t="str">
        <f>CONCATENATE(VLOOKUP(AG18,Constants!$A$2:$C$16,IF(AH18&lt;&gt;"", 3, 2), FALSE),IF(AH18&lt;&gt;"",CONCATENATE(",",VLOOKUP(AH18,$B:$AI,34,FALSE)),""))</f>
        <v>2,1,2</v>
      </c>
      <c r="AS18">
        <v>30</v>
      </c>
      <c r="AT18" t="str">
        <f t="shared" si="2"/>
        <v/>
      </c>
      <c r="AW18">
        <f t="shared" si="3"/>
        <v>0</v>
      </c>
      <c r="AX18">
        <f t="shared" si="4"/>
        <v>0</v>
      </c>
      <c r="AY18">
        <f t="shared" si="5"/>
        <v>0</v>
      </c>
      <c r="AZ18" s="4">
        <f t="shared" si="25"/>
        <v>0.92266666666666663</v>
      </c>
      <c r="BA18">
        <f t="shared" si="6"/>
        <v>0</v>
      </c>
      <c r="BB18">
        <f>VLOOKUP($E18,Constants!$I:$K, 2, FALSE)</f>
        <v>0</v>
      </c>
      <c r="BC18">
        <f>VLOOKUP($E18,Constants!$I:$K, 3, FALSE)*IF(AND(D18="multiple_unit",Y18&lt;110),0.75,1)</f>
        <v>0</v>
      </c>
      <c r="BD18">
        <f>INT(POWER(((Constants!$G$2+$AW18+$AX18+$AY18+$BA18)*$AZ18)*$BC18, 1.05))+$AV18</f>
        <v>0</v>
      </c>
      <c r="BE18">
        <f>INT(POWER((((Constants!$G$1+$AW18+$AX18+$AY18+$BA18)*($AZ18))*$BB18),IF($D18="wagon",1,1.2)))+$AU18</f>
        <v>0</v>
      </c>
      <c r="BF18" s="15">
        <f t="shared" si="7"/>
        <v>0</v>
      </c>
      <c r="BG18" s="15">
        <f t="shared" si="8"/>
        <v>0</v>
      </c>
      <c r="BR18" t="str">
        <f>VLOOKUP(G18,Eras!$A$2:$C$10, 2, TRUE)</f>
        <v>dsl</v>
      </c>
      <c r="BT18" t="str">
        <f t="shared" si="9"/>
        <v>dsl_</v>
      </c>
      <c r="BU18" t="str">
        <f t="shared" si="10"/>
        <v>tender_RAIL</v>
      </c>
      <c r="BV18" t="str">
        <f>VLOOKUP($BU18, Constants!$M:$N, 2, FALSE)</f>
        <v/>
      </c>
      <c r="BW18" t="str">
        <f t="shared" si="11"/>
        <v/>
      </c>
      <c r="BY18" t="str">
        <f t="shared" si="12"/>
        <v/>
      </c>
      <c r="BZ18" t="str">
        <f t="shared" si="24"/>
        <v>{SILVER}</v>
      </c>
    </row>
    <row r="19" spans="1:78" x14ac:dyDescent="0.25">
      <c r="A19" t="s">
        <v>122</v>
      </c>
      <c r="B19" t="s">
        <v>286</v>
      </c>
      <c r="C19">
        <v>6</v>
      </c>
      <c r="D19" t="s">
        <v>314</v>
      </c>
      <c r="E19" t="s">
        <v>1155</v>
      </c>
      <c r="F19" t="s">
        <v>307</v>
      </c>
      <c r="G19">
        <v>1855</v>
      </c>
      <c r="I19">
        <v>1900</v>
      </c>
      <c r="T19">
        <v>18</v>
      </c>
      <c r="V19">
        <v>6</v>
      </c>
      <c r="X19" s="4" t="str">
        <f>IF(AND(T19&gt;0,W19&gt;0),(W19/((T19+U19)*10)),"")</f>
        <v/>
      </c>
      <c r="Y19">
        <v>65</v>
      </c>
      <c r="AA19">
        <v>10</v>
      </c>
      <c r="AB19">
        <v>10</v>
      </c>
      <c r="AE19" s="11">
        <v>24</v>
      </c>
      <c r="AF19" t="str">
        <f>CONCATENATE(VLOOKUP(AG19, 'Voxel Sizes'!$A$2:$B$18,2,FALSE),"x",INT(AC19*15), "x", INT(AD19*15))</f>
        <v>102x0x0</v>
      </c>
      <c r="AG19">
        <f>ROUND(15*((AB19*10)/256),0)</f>
        <v>6</v>
      </c>
      <c r="AI19" t="str">
        <f>CONCATENATE(VLOOKUP(AG19,Constants!$A$2:$C$16,IF(AH19&lt;&gt;"", 3, 2), FALSE),IF(AH19&lt;&gt;"",CONCATENATE(",",VLOOKUP(AH19,$B:$AI,34,FALSE)),""))</f>
        <v>2,2,2</v>
      </c>
      <c r="AS19">
        <v>30</v>
      </c>
      <c r="AT19">
        <f>IF(I19&lt;&gt;"",MAX(8,(I19-G19)-4),"")</f>
        <v>41</v>
      </c>
      <c r="AU19">
        <v>55</v>
      </c>
      <c r="AV19">
        <v>42</v>
      </c>
      <c r="AW19">
        <f>MIN(Y19/150, 1)*30</f>
        <v>13</v>
      </c>
      <c r="AX19">
        <f>MIN(K19/4000, 1)*20</f>
        <v>0</v>
      </c>
      <c r="AY19">
        <f>MIN(W19/400,1)*20</f>
        <v>0</v>
      </c>
      <c r="AZ19" s="4">
        <f>1-(MAX(G19-1900, 0)/750)</f>
        <v>1</v>
      </c>
      <c r="BA19">
        <f>((MAX($J19,1)*MIN($AE19/300,1)))*IF(D19="Wagon",50,10)</f>
        <v>4</v>
      </c>
      <c r="BB19">
        <f>VLOOKUP($E19,Constants!$I:$K, 2, FALSE)</f>
        <v>1.2</v>
      </c>
      <c r="BC19">
        <f>VLOOKUP($E19,Constants!$I:$K, 3, FALSE)*IF(AND(D19="multiple_unit",Y19&lt;110),0.75,1)</f>
        <v>0.6</v>
      </c>
      <c r="BD19">
        <f>INT(POWER(((Constants!$G$2+$AW19+$AX19+$AY19+$BA19)*$AZ19)*$BC19, 1.05))+$AV19</f>
        <v>57</v>
      </c>
      <c r="BE19">
        <f>INT(POWER((((Constants!$G$1+$AW19+$AX19+$AY19+$BA19)*($AZ19))*$BB19),IF($D19="wagon",1,1.2)))+$AU19</f>
        <v>93</v>
      </c>
      <c r="BF19" s="15">
        <f>BD19*IF($D19="wagon",62.5,781.25)</f>
        <v>3562.5</v>
      </c>
      <c r="BG19" s="15">
        <f>BE19*IF($D19="wagon",2.73,81.25)</f>
        <v>253.89</v>
      </c>
      <c r="BN19">
        <v>10</v>
      </c>
      <c r="BO19">
        <v>185</v>
      </c>
      <c r="BP19" t="s">
        <v>923</v>
      </c>
      <c r="BQ19" t="s">
        <v>316</v>
      </c>
      <c r="BR19" t="str">
        <f>VLOOKUP(G19,Eras!$A$2:$C$10, 2, TRUE)</f>
        <v>vct</v>
      </c>
      <c r="BS19" t="s">
        <v>368</v>
      </c>
      <c r="BT19" t="str">
        <f>CONCATENATE(BR19,"_",BS19)</f>
        <v>vct_Carriage</v>
      </c>
      <c r="BU19" t="str">
        <f t="shared" si="10"/>
        <v>carriage_RAIL</v>
      </c>
      <c r="BV19" t="str">
        <f>VLOOKUP($BU19, Constants!$M:$N, 2, FALSE)</f>
        <v/>
      </c>
      <c r="BW19" t="str">
        <f t="shared" si="11"/>
        <v/>
      </c>
      <c r="BX19" t="s">
        <v>1384</v>
      </c>
      <c r="BY19" t="str">
        <f t="shared" si="12"/>
        <v/>
      </c>
      <c r="BZ19" t="str">
        <f t="shared" si="24"/>
        <v>{SILVER}Railway carriages from the 1850s to 1870s tended to be built on wooden or wrought iron frames of around 20-24ft in length, with oil lighting internally.</v>
      </c>
    </row>
    <row r="20" spans="1:78" ht="14.25" customHeight="1" x14ac:dyDescent="0.25">
      <c r="A20" t="s">
        <v>123</v>
      </c>
      <c r="B20" t="s">
        <v>287</v>
      </c>
      <c r="C20">
        <v>8</v>
      </c>
      <c r="D20" t="s">
        <v>314</v>
      </c>
      <c r="E20" t="s">
        <v>1155</v>
      </c>
      <c r="F20" t="s">
        <v>307</v>
      </c>
      <c r="G20">
        <v>1875</v>
      </c>
      <c r="I20">
        <v>1915</v>
      </c>
      <c r="T20">
        <v>21</v>
      </c>
      <c r="V20">
        <v>6</v>
      </c>
      <c r="X20" s="4" t="str">
        <f>IF(AND(T20&gt;0,W20&gt;0),(W20/((T20+U20)*10)),"")</f>
        <v/>
      </c>
      <c r="Y20">
        <v>75</v>
      </c>
      <c r="AA20">
        <v>12</v>
      </c>
      <c r="AB20">
        <v>12</v>
      </c>
      <c r="AE20" s="11">
        <v>30</v>
      </c>
      <c r="AF20" t="str">
        <f>CONCATENATE(VLOOKUP(AG20, 'Voxel Sizes'!$A$2:$B$18,2,FALSE),"x",INT(AC20*15), "x", INT(AD20*15))</f>
        <v>120x0x0</v>
      </c>
      <c r="AG20">
        <f>ROUND(15*((AB20*10)/256),0)</f>
        <v>7</v>
      </c>
      <c r="AI20" t="str">
        <f>CONCATENATE(VLOOKUP(AG20,Constants!$A$2:$C$16,IF(AH20&lt;&gt;"", 3, 2), FALSE),IF(AH20&lt;&gt;"",CONCATENATE(",",VLOOKUP(AH20,$B:$AI,34,FALSE)),""))</f>
        <v>2,3,2</v>
      </c>
      <c r="AS20">
        <v>30</v>
      </c>
      <c r="AT20">
        <f>IF(I20&lt;&gt;"",MAX(8,(I20-G20)-4),"")</f>
        <v>36</v>
      </c>
      <c r="AU20">
        <v>58</v>
      </c>
      <c r="AV20">
        <v>48</v>
      </c>
      <c r="AW20">
        <f>MIN(Y20/150, 1)*30</f>
        <v>15</v>
      </c>
      <c r="AX20">
        <f>MIN(K20/4000, 1)*20</f>
        <v>0</v>
      </c>
      <c r="AY20">
        <f>MIN(W20/400,1)*20</f>
        <v>0</v>
      </c>
      <c r="AZ20" s="4">
        <f>1-(MAX(G20-1900, 0)/750)</f>
        <v>1</v>
      </c>
      <c r="BA20">
        <f>((MAX($J20,1)*MIN($AE20/300,1)))*IF(D20="Wagon",50,10)</f>
        <v>5</v>
      </c>
      <c r="BB20">
        <f>VLOOKUP($E20,Constants!$I:$K, 2, FALSE)</f>
        <v>1.2</v>
      </c>
      <c r="BC20">
        <f>VLOOKUP($E20,Constants!$I:$K, 3, FALSE)*IF(AND(D20="multiple_unit",Y20&lt;110),0.75,1)</f>
        <v>0.6</v>
      </c>
      <c r="BD20">
        <f>INT(POWER(((Constants!$G$2+$AW20+$AX20+$AY20+$BA20)*$AZ20)*$BC20, 1.05))+$AV20</f>
        <v>65</v>
      </c>
      <c r="BE20">
        <f>INT(POWER((((Constants!$G$1+$AW20+$AX20+$AY20+$BA20)*($AZ20))*$BB20),IF($D20="wagon",1,1.2)))+$AU20</f>
        <v>100</v>
      </c>
      <c r="BF20" s="15">
        <f>BD20*IF($D20="wagon",62.5,781.25)</f>
        <v>4062.5</v>
      </c>
      <c r="BG20" s="15">
        <f>BE20*IF($D20="wagon",2.73,81.25)</f>
        <v>273</v>
      </c>
      <c r="BN20">
        <v>11</v>
      </c>
      <c r="BO20">
        <v>185</v>
      </c>
      <c r="BP20" t="s">
        <v>923</v>
      </c>
      <c r="BQ20" t="s">
        <v>316</v>
      </c>
      <c r="BR20" t="str">
        <f>VLOOKUP(G20,Eras!$A$2:$C$10, 2, TRUE)</f>
        <v>vct</v>
      </c>
      <c r="BS20" t="s">
        <v>368</v>
      </c>
      <c r="BT20" t="str">
        <f>CONCATENATE(BR20,"_",BS20)</f>
        <v>vct_Carriage</v>
      </c>
      <c r="BU20" t="str">
        <f t="shared" si="10"/>
        <v>carriage_RAIL</v>
      </c>
      <c r="BV20" t="str">
        <f>VLOOKUP($BU20, Constants!$M:$N, 2, FALSE)</f>
        <v/>
      </c>
      <c r="BW20" t="str">
        <f t="shared" si="11"/>
        <v/>
      </c>
      <c r="BX20" t="s">
        <v>1385</v>
      </c>
      <c r="BY20" t="str">
        <f t="shared" si="12"/>
        <v/>
      </c>
      <c r="BZ20" t="str">
        <f t="shared" si="24"/>
        <v>{SILVER}After early experiments for royal saloons, moother and faster-running six wheel carriages with then-modern fixtures such as gas lighting became common from the 1870s, displacing older four wheeled stock to smaller suburban lines.</v>
      </c>
    </row>
    <row r="21" spans="1:78" x14ac:dyDescent="0.25">
      <c r="A21" t="s">
        <v>124</v>
      </c>
      <c r="B21" t="s">
        <v>228</v>
      </c>
      <c r="C21">
        <v>10</v>
      </c>
      <c r="D21" t="s">
        <v>314</v>
      </c>
      <c r="E21" t="s">
        <v>1155</v>
      </c>
      <c r="F21" t="s">
        <v>307</v>
      </c>
      <c r="G21">
        <v>1892</v>
      </c>
      <c r="I21">
        <v>1935</v>
      </c>
      <c r="T21">
        <v>28</v>
      </c>
      <c r="V21">
        <v>6</v>
      </c>
      <c r="X21" s="4" t="str">
        <f t="shared" si="0"/>
        <v/>
      </c>
      <c r="Y21">
        <v>90</v>
      </c>
      <c r="AA21">
        <v>16.2</v>
      </c>
      <c r="AB21">
        <v>16.2</v>
      </c>
      <c r="AC21">
        <v>2.8</v>
      </c>
      <c r="AE21" s="11">
        <v>42</v>
      </c>
      <c r="AF21" t="str">
        <f>CONCATENATE(VLOOKUP(AG21, 'Voxel Sizes'!$A$2:$B$18,2,FALSE),"x",INT(AC21*15), "x", INT(AD21*15))</f>
        <v>152x42x0</v>
      </c>
      <c r="AG21">
        <f t="shared" si="1"/>
        <v>9</v>
      </c>
      <c r="AI21" t="str">
        <f>CONCATENATE(VLOOKUP(AG21,Constants!$A$2:$C$16,IF(AH21&lt;&gt;"", 3, 2), FALSE),IF(AH21&lt;&gt;"",CONCATENATE(",",VLOOKUP(AH21,$B:$AI,34,FALSE)),""))</f>
        <v>2,5,2</v>
      </c>
      <c r="AS21">
        <v>30</v>
      </c>
      <c r="AT21">
        <f t="shared" si="2"/>
        <v>39</v>
      </c>
      <c r="AU21">
        <v>69</v>
      </c>
      <c r="AV21">
        <f>19*3</f>
        <v>57</v>
      </c>
      <c r="AW21">
        <f t="shared" si="3"/>
        <v>18</v>
      </c>
      <c r="AX21">
        <f t="shared" si="4"/>
        <v>0</v>
      </c>
      <c r="AY21">
        <f t="shared" si="5"/>
        <v>0</v>
      </c>
      <c r="AZ21" s="4">
        <f t="shared" si="25"/>
        <v>1</v>
      </c>
      <c r="BA21">
        <f t="shared" si="6"/>
        <v>7.0000000000000009</v>
      </c>
      <c r="BB21">
        <f>VLOOKUP($E21,Constants!$I:$K, 2, FALSE)</f>
        <v>1.2</v>
      </c>
      <c r="BC21">
        <f>VLOOKUP($E21,Constants!$I:$K, 3, FALSE)*IF(AND(D21="multiple_unit",Y21&lt;110),0.75,1)</f>
        <v>0.6</v>
      </c>
      <c r="BD21">
        <f>INT(POWER(((Constants!$G$2+$AW21+$AX21+$AY21+$BA21)*$AZ21)*$BC21, 1.05))+$AV21</f>
        <v>77</v>
      </c>
      <c r="BE21">
        <f>INT(POWER((((Constants!$G$1+$AW21+$AX21+$AY21+$BA21)*($AZ21))*$BB21),IF($D21="wagon",1,1.2)))+$AU21</f>
        <v>117</v>
      </c>
      <c r="BF21" s="15">
        <f t="shared" si="7"/>
        <v>4812.5</v>
      </c>
      <c r="BG21" s="15">
        <f t="shared" si="8"/>
        <v>319.41000000000003</v>
      </c>
      <c r="BN21">
        <v>1</v>
      </c>
      <c r="BO21">
        <v>185</v>
      </c>
      <c r="BP21" t="s">
        <v>923</v>
      </c>
      <c r="BQ21" t="s">
        <v>316</v>
      </c>
      <c r="BR21" t="str">
        <f>VLOOKUP(G21,Eras!$A$2:$C$10, 2, TRUE)</f>
        <v>vct</v>
      </c>
      <c r="BS21" t="s">
        <v>368</v>
      </c>
      <c r="BT21" t="str">
        <f t="shared" si="9"/>
        <v>vct_Carriage</v>
      </c>
      <c r="BU21" t="str">
        <f t="shared" si="10"/>
        <v>carriage_RAIL</v>
      </c>
      <c r="BV21" t="str">
        <f>VLOOKUP($BU21, Constants!$M:$N, 2, FALSE)</f>
        <v/>
      </c>
      <c r="BW21" t="str">
        <f t="shared" si="11"/>
        <v/>
      </c>
      <c r="BX21" t="s">
        <v>757</v>
      </c>
      <c r="BY21" t="str">
        <f t="shared" si="12"/>
        <v/>
      </c>
      <c r="BZ21" t="str">
        <f t="shared" si="24"/>
        <v>{SILVER}Toward the end of the Victorian era, passenger carriages began to be mounted on bogies rather than fixed axles. Many featured clerestory-style roofs.</v>
      </c>
    </row>
    <row r="22" spans="1:78" x14ac:dyDescent="0.25">
      <c r="A22" t="s">
        <v>428</v>
      </c>
      <c r="B22" t="s">
        <v>429</v>
      </c>
      <c r="C22">
        <v>12</v>
      </c>
      <c r="D22" t="s">
        <v>314</v>
      </c>
      <c r="E22" t="s">
        <v>1155</v>
      </c>
      <c r="F22" t="s">
        <v>307</v>
      </c>
      <c r="G22">
        <v>1904</v>
      </c>
      <c r="I22">
        <v>1955</v>
      </c>
      <c r="T22">
        <v>34</v>
      </c>
      <c r="V22">
        <v>7</v>
      </c>
      <c r="X22" s="4" t="str">
        <f t="shared" si="0"/>
        <v/>
      </c>
      <c r="Y22">
        <v>100</v>
      </c>
      <c r="AA22">
        <v>17.7</v>
      </c>
      <c r="AB22">
        <v>17.7</v>
      </c>
      <c r="AC22">
        <v>2.83</v>
      </c>
      <c r="AD22">
        <v>3.79</v>
      </c>
      <c r="AE22" s="11">
        <v>48</v>
      </c>
      <c r="AF22" t="str">
        <f>CONCATENATE(VLOOKUP(AG22, 'Voxel Sizes'!$A$2:$B$18,2,FALSE),"x",INT(AC22*15), "x", INT(AD22*15))</f>
        <v>164x42x56</v>
      </c>
      <c r="AG22">
        <f t="shared" si="1"/>
        <v>10</v>
      </c>
      <c r="AI22" t="str">
        <f>CONCATENATE(VLOOKUP(AG22,Constants!$A$2:$C$16,IF(AH22&lt;&gt;"", 3, 2), FALSE),IF(AH22&lt;&gt;"",CONCATENATE(",",VLOOKUP(AH22,$B:$AI,34,FALSE)),""))</f>
        <v>4,2,4</v>
      </c>
      <c r="AS22">
        <v>30</v>
      </c>
      <c r="AT22">
        <f t="shared" si="2"/>
        <v>47</v>
      </c>
      <c r="AU22">
        <v>72</v>
      </c>
      <c r="AV22">
        <f>20*3</f>
        <v>60</v>
      </c>
      <c r="AW22">
        <f t="shared" si="3"/>
        <v>20</v>
      </c>
      <c r="AX22">
        <f t="shared" si="4"/>
        <v>0</v>
      </c>
      <c r="AY22">
        <f t="shared" si="5"/>
        <v>0</v>
      </c>
      <c r="AZ22" s="4">
        <f t="shared" si="25"/>
        <v>0.9946666666666667</v>
      </c>
      <c r="BA22">
        <f t="shared" si="6"/>
        <v>8</v>
      </c>
      <c r="BB22">
        <f>VLOOKUP($E22,Constants!$I:$K, 2, FALSE)</f>
        <v>1.2</v>
      </c>
      <c r="BC22">
        <f>VLOOKUP($E22,Constants!$I:$K, 3, FALSE)*IF(AND(D22="multiple_unit",Y22&lt;110),0.75,1)</f>
        <v>0.6</v>
      </c>
      <c r="BD22">
        <f>INT(POWER(((Constants!$G$2+$AW22+$AX22+$AY22+$BA22)*$AZ22)*$BC22, 1.05))+$AV22</f>
        <v>82</v>
      </c>
      <c r="BE22">
        <f>INT(POWER((((Constants!$G$1+$AW22+$AX22+$AY22+$BA22)*($AZ22))*$BB22),IF($D22="wagon",1,1.2)))+$AU22</f>
        <v>123</v>
      </c>
      <c r="BF22" s="15">
        <f t="shared" si="7"/>
        <v>5125</v>
      </c>
      <c r="BG22" s="15">
        <f t="shared" si="8"/>
        <v>335.79</v>
      </c>
      <c r="BN22">
        <v>1</v>
      </c>
      <c r="BO22">
        <v>185</v>
      </c>
      <c r="BP22" t="s">
        <v>923</v>
      </c>
      <c r="BQ22" t="s">
        <v>316</v>
      </c>
      <c r="BR22" t="str">
        <f>VLOOKUP(G22,Eras!$A$2:$C$10, 2, TRUE)</f>
        <v>edw</v>
      </c>
      <c r="BS22" t="s">
        <v>368</v>
      </c>
      <c r="BT22" t="str">
        <f t="shared" si="9"/>
        <v>edw_Carriage</v>
      </c>
      <c r="BU22" t="str">
        <f t="shared" si="10"/>
        <v>carriage_RAIL</v>
      </c>
      <c r="BV22" t="str">
        <f>VLOOKUP($BU22, Constants!$M:$N, 2, FALSE)</f>
        <v/>
      </c>
      <c r="BW22" t="str">
        <f t="shared" si="11"/>
        <v/>
      </c>
      <c r="BX22" t="s">
        <v>430</v>
      </c>
      <c r="BY22" t="str">
        <f t="shared" si="12"/>
        <v/>
      </c>
      <c r="BZ22" t="str">
        <f t="shared" si="24"/>
        <v>{SILVER}In the early 20th century passenger coaches were stretched to greater lengths. This is a typical LNWR design.</v>
      </c>
    </row>
    <row r="23" spans="1:78" x14ac:dyDescent="0.25">
      <c r="A23" t="s">
        <v>125</v>
      </c>
      <c r="B23" t="s">
        <v>480</v>
      </c>
      <c r="C23">
        <v>14</v>
      </c>
      <c r="D23" t="s">
        <v>314</v>
      </c>
      <c r="E23" t="s">
        <v>1156</v>
      </c>
      <c r="F23" t="s">
        <v>307</v>
      </c>
      <c r="G23">
        <v>1928</v>
      </c>
      <c r="I23">
        <v>1970</v>
      </c>
      <c r="T23">
        <v>40</v>
      </c>
      <c r="V23">
        <v>6</v>
      </c>
      <c r="X23" s="4" t="str">
        <f t="shared" si="0"/>
        <v/>
      </c>
      <c r="Y23">
        <v>105</v>
      </c>
      <c r="AA23">
        <v>20</v>
      </c>
      <c r="AB23">
        <v>20</v>
      </c>
      <c r="AE23" s="11">
        <v>48</v>
      </c>
      <c r="AF23" t="str">
        <f>CONCATENATE(VLOOKUP(AG23, 'Voxel Sizes'!$A$2:$B$18,2,FALSE),"x",INT(AC23*15), "x", INT(AD23*15))</f>
        <v>198x0x0</v>
      </c>
      <c r="AG23">
        <f t="shared" si="1"/>
        <v>12</v>
      </c>
      <c r="AI23" t="str">
        <f>CONCATENATE(VLOOKUP(AG23,Constants!$A$2:$C$16,IF(AH23&lt;&gt;"", 3, 2), FALSE),IF(AH23&lt;&gt;"",CONCATENATE(",",VLOOKUP(AH23,$B:$AI,34,FALSE)),""))</f>
        <v>4,4,4</v>
      </c>
      <c r="AS23">
        <v>30</v>
      </c>
      <c r="AT23">
        <f t="shared" si="2"/>
        <v>38</v>
      </c>
      <c r="AU23">
        <v>93</v>
      </c>
      <c r="AV23">
        <f>26*3</f>
        <v>78</v>
      </c>
      <c r="AW23">
        <f t="shared" si="3"/>
        <v>21</v>
      </c>
      <c r="AX23">
        <f t="shared" si="4"/>
        <v>0</v>
      </c>
      <c r="AY23">
        <f t="shared" si="5"/>
        <v>0</v>
      </c>
      <c r="AZ23" s="4">
        <f t="shared" si="25"/>
        <v>0.96266666666666667</v>
      </c>
      <c r="BA23">
        <f t="shared" si="6"/>
        <v>8</v>
      </c>
      <c r="BB23">
        <f>VLOOKUP($E23,Constants!$I:$K, 2, FALSE)</f>
        <v>1.5</v>
      </c>
      <c r="BC23">
        <f>VLOOKUP($E23,Constants!$I:$K, 3, FALSE)*IF(AND(D23="multiple_unit",Y23&lt;110),0.75,1)</f>
        <v>0.7</v>
      </c>
      <c r="BD23">
        <f>INT(POWER(((Constants!$G$2+$AW23+$AX23+$AY23+$BA23)*$AZ23)*$BC23, 1.05))+$AV23</f>
        <v>104</v>
      </c>
      <c r="BE23">
        <f>INT(POWER((((Constants!$G$1+$AW23+$AX23+$AY23+$BA23)*($AZ23))*$BB23),IF($D23="wagon",1,1.2)))+$AU23</f>
        <v>156</v>
      </c>
      <c r="BF23" s="15">
        <f t="shared" si="7"/>
        <v>6500</v>
      </c>
      <c r="BG23" s="15">
        <f t="shared" si="8"/>
        <v>425.88</v>
      </c>
      <c r="BN23">
        <v>1</v>
      </c>
      <c r="BO23">
        <v>260</v>
      </c>
      <c r="BP23" t="s">
        <v>923</v>
      </c>
      <c r="BQ23" t="s">
        <v>316</v>
      </c>
      <c r="BR23" t="str">
        <f>VLOOKUP(G23,Eras!$A$2:$C$10, 2, TRUE)</f>
        <v>big4</v>
      </c>
      <c r="BS23" t="s">
        <v>368</v>
      </c>
      <c r="BT23" t="str">
        <f t="shared" si="9"/>
        <v>big4_Carriage</v>
      </c>
      <c r="BU23" t="str">
        <f t="shared" si="10"/>
        <v>luxury_carriage_RAIL</v>
      </c>
      <c r="BV23" t="str">
        <f>VLOOKUP($BU23, Constants!$M:$N, 2, FALSE)</f>
        <v/>
      </c>
      <c r="BW23" t="str">
        <f t="shared" si="11"/>
        <v/>
      </c>
      <c r="BX23" t="s">
        <v>481</v>
      </c>
      <c r="BY23" t="str">
        <f t="shared" si="12"/>
        <v>{YELLOW}40% Bonus for long distance travel{}</v>
      </c>
      <c r="BZ23" t="str">
        <f t="shared" si="24"/>
        <v>{YELLOW}40% Bonus for long distance travel{}{SILVER}The luxurious Pullman cars were large  and heavy, with many still in use today for restaurant services.</v>
      </c>
    </row>
    <row r="24" spans="1:78" x14ac:dyDescent="0.25">
      <c r="A24" t="s">
        <v>1169</v>
      </c>
      <c r="B24" t="s">
        <v>1170</v>
      </c>
      <c r="C24">
        <v>15</v>
      </c>
      <c r="D24" t="s">
        <v>314</v>
      </c>
      <c r="E24" t="s">
        <v>1156</v>
      </c>
      <c r="F24" t="s">
        <v>307</v>
      </c>
      <c r="G24">
        <v>1931</v>
      </c>
      <c r="I24">
        <v>1965</v>
      </c>
      <c r="T24">
        <v>36</v>
      </c>
      <c r="V24">
        <v>7</v>
      </c>
      <c r="X24" s="4" t="str">
        <f t="shared" si="0"/>
        <v/>
      </c>
      <c r="Y24">
        <v>130</v>
      </c>
      <c r="AA24">
        <v>17.7</v>
      </c>
      <c r="AB24">
        <v>17.7</v>
      </c>
      <c r="AC24">
        <v>2.83</v>
      </c>
      <c r="AD24">
        <v>3.79</v>
      </c>
      <c r="AE24" s="11">
        <v>45</v>
      </c>
      <c r="AF24" t="str">
        <f>CONCATENATE(VLOOKUP(AG24, 'Voxel Sizes'!$A$2:$B$18,2,FALSE),"x",INT(AC24*15), "x", INT(AD24*15))</f>
        <v>164x42x56</v>
      </c>
      <c r="AG24">
        <f t="shared" si="1"/>
        <v>10</v>
      </c>
      <c r="AI24" t="str">
        <f>CONCATENATE(VLOOKUP(AG24,Constants!$A$2:$C$16,IF(AH24&lt;&gt;"", 3, 2), FALSE),IF(AH24&lt;&gt;"",CONCATENATE(",",VLOOKUP(AH24,$B:$AI,34,FALSE)),""))</f>
        <v>4,2,4</v>
      </c>
      <c r="AR24" t="s">
        <v>1218</v>
      </c>
      <c r="AS24">
        <v>30</v>
      </c>
      <c r="AT24">
        <f t="shared" si="2"/>
        <v>30</v>
      </c>
      <c r="AU24">
        <v>102</v>
      </c>
      <c r="AV24">
        <f>31*3</f>
        <v>93</v>
      </c>
      <c r="AW24">
        <f t="shared" si="3"/>
        <v>26</v>
      </c>
      <c r="AX24">
        <f t="shared" si="4"/>
        <v>0</v>
      </c>
      <c r="AY24">
        <f t="shared" si="5"/>
        <v>0</v>
      </c>
      <c r="AZ24" s="4">
        <f t="shared" si="25"/>
        <v>0.95866666666666667</v>
      </c>
      <c r="BA24">
        <f t="shared" si="6"/>
        <v>7.5</v>
      </c>
      <c r="BB24">
        <f>VLOOKUP($E24,Constants!$I:$K, 2, FALSE)</f>
        <v>1.5</v>
      </c>
      <c r="BC24">
        <f>VLOOKUP($E24,Constants!$I:$K, 3, FALSE)*IF(AND(D24="multiple_unit",Y24&lt;110),0.75,1)</f>
        <v>0.7</v>
      </c>
      <c r="BD24">
        <f>INT(POWER(((Constants!$G$2+$AW24+$AX24+$AY24+$BA24)*$AZ24)*$BC24, 1.05))+$AV24</f>
        <v>123</v>
      </c>
      <c r="BE24">
        <f>INT(POWER((((Constants!$G$1+$AW24+$AX24+$AY24+$BA24)*($AZ24))*$BB24),IF($D24="wagon",1,1.2)))+$AU24</f>
        <v>171</v>
      </c>
      <c r="BF24" s="15">
        <f t="shared" si="7"/>
        <v>7687.5</v>
      </c>
      <c r="BG24" s="15">
        <f t="shared" si="8"/>
        <v>466.83</v>
      </c>
      <c r="BN24">
        <v>1</v>
      </c>
      <c r="BO24">
        <v>222</v>
      </c>
      <c r="BP24" t="s">
        <v>923</v>
      </c>
      <c r="BQ24" t="s">
        <v>316</v>
      </c>
      <c r="BR24" t="str">
        <f>VLOOKUP(G24,Eras!$A$2:$C$10, 2, TRUE)</f>
        <v>big4</v>
      </c>
      <c r="BS24" t="s">
        <v>368</v>
      </c>
      <c r="BT24" t="str">
        <f t="shared" si="9"/>
        <v>big4_Carriage</v>
      </c>
      <c r="BU24" t="str">
        <f t="shared" si="10"/>
        <v>luxury_carriage_RAIL</v>
      </c>
      <c r="BV24" t="str">
        <f>VLOOKUP($BU24, Constants!$M:$N, 2, FALSE)</f>
        <v/>
      </c>
      <c r="BW24" t="str">
        <f t="shared" si="11"/>
        <v/>
      </c>
      <c r="BX24" t="s">
        <v>1171</v>
      </c>
      <c r="BY24" t="str">
        <f t="shared" si="12"/>
        <v>{YELLOW}20% Bonus for long distance travel{}</v>
      </c>
      <c r="BZ24" t="str">
        <f t="shared" si="24"/>
        <v>{YELLOW}20% Bonus for long distance travel{}{SILVER}As express services increased in speed, carriages were streamlined with valances between bogies and flexible walls connecting each carriage.</v>
      </c>
    </row>
    <row r="25" spans="1:78" x14ac:dyDescent="0.25">
      <c r="A25" t="s">
        <v>127</v>
      </c>
      <c r="B25" t="s">
        <v>291</v>
      </c>
      <c r="C25">
        <v>16</v>
      </c>
      <c r="D25" t="s">
        <v>314</v>
      </c>
      <c r="E25" t="s">
        <v>1155</v>
      </c>
      <c r="F25" t="s">
        <v>307</v>
      </c>
      <c r="G25">
        <v>1951</v>
      </c>
      <c r="H25">
        <v>1963</v>
      </c>
      <c r="I25">
        <v>1974</v>
      </c>
      <c r="T25">
        <v>32.5</v>
      </c>
      <c r="V25">
        <v>8</v>
      </c>
      <c r="X25" s="4" t="str">
        <f t="shared" si="0"/>
        <v/>
      </c>
      <c r="Y25">
        <v>100</v>
      </c>
      <c r="AA25">
        <v>19.3</v>
      </c>
      <c r="AB25">
        <v>20</v>
      </c>
      <c r="AE25" s="11">
        <v>54</v>
      </c>
      <c r="AF25" t="str">
        <f>CONCATENATE(VLOOKUP(AG25, 'Voxel Sizes'!$A$2:$B$18,2,FALSE),"x",INT(AC25*15), "x", INT(AD25*15))</f>
        <v>198x0x0</v>
      </c>
      <c r="AG25">
        <f t="shared" si="1"/>
        <v>12</v>
      </c>
      <c r="AI25" t="str">
        <f>CONCATENATE(VLOOKUP(AG25,Constants!$A$2:$C$16,IF(AH25&lt;&gt;"", 3, 2), FALSE),IF(AH25&lt;&gt;"",CONCATENATE(",",VLOOKUP(AH25,$B:$AI,34,FALSE)),""))</f>
        <v>4,4,4</v>
      </c>
      <c r="AS25">
        <v>30</v>
      </c>
      <c r="AT25">
        <f t="shared" si="2"/>
        <v>19</v>
      </c>
      <c r="AU25">
        <v>76</v>
      </c>
      <c r="AV25">
        <f>23*3</f>
        <v>69</v>
      </c>
      <c r="AW25">
        <f t="shared" si="3"/>
        <v>20</v>
      </c>
      <c r="AX25">
        <f t="shared" si="4"/>
        <v>0</v>
      </c>
      <c r="AY25">
        <f t="shared" si="5"/>
        <v>0</v>
      </c>
      <c r="AZ25" s="4">
        <f t="shared" si="25"/>
        <v>0.93199999999999994</v>
      </c>
      <c r="BA25">
        <f t="shared" si="6"/>
        <v>9</v>
      </c>
      <c r="BB25">
        <f>VLOOKUP($E25,Constants!$I:$K, 2, FALSE)</f>
        <v>1.2</v>
      </c>
      <c r="BC25">
        <f>VLOOKUP($E25,Constants!$I:$K, 3, FALSE)*IF(AND(D25="multiple_unit",Y25&lt;110),0.75,1)</f>
        <v>0.6</v>
      </c>
      <c r="BD25">
        <f>INT(POWER(((Constants!$G$2+$AW25+$AX25+$AY25+$BA25)*$AZ25)*$BC25, 1.05))+$AV25</f>
        <v>91</v>
      </c>
      <c r="BE25">
        <f>INT(POWER((((Constants!$G$1+$AW25+$AX25+$AY25+$BA25)*($AZ25))*$BB25),IF($D25="wagon",1,1.2)))+$AU25</f>
        <v>125</v>
      </c>
      <c r="BF25" s="15">
        <f t="shared" si="7"/>
        <v>5687.5</v>
      </c>
      <c r="BG25" s="15">
        <f t="shared" si="8"/>
        <v>341.25</v>
      </c>
      <c r="BN25">
        <v>1</v>
      </c>
      <c r="BO25">
        <v>185</v>
      </c>
      <c r="BP25" t="s">
        <v>923</v>
      </c>
      <c r="BQ25" t="s">
        <v>316</v>
      </c>
      <c r="BR25" t="str">
        <f>VLOOKUP(G25,Eras!$A$2:$C$10, 2, TRUE)</f>
        <v>ebr</v>
      </c>
      <c r="BS25" t="s">
        <v>368</v>
      </c>
      <c r="BT25" t="str">
        <f t="shared" si="9"/>
        <v>ebr_Carriage</v>
      </c>
      <c r="BU25" t="str">
        <f t="shared" si="10"/>
        <v>carriage_RAIL</v>
      </c>
      <c r="BV25" t="str">
        <f>VLOOKUP($BU25, Constants!$M:$N, 2, FALSE)</f>
        <v/>
      </c>
      <c r="BW25" t="str">
        <f t="shared" si="11"/>
        <v/>
      </c>
      <c r="BX25" t="s">
        <v>663</v>
      </c>
      <c r="BY25" t="str">
        <f t="shared" si="12"/>
        <v/>
      </c>
      <c r="BZ25" t="str">
        <f t="shared" si="24"/>
        <v>{SILVER}The Mk1 carriage combined best practice from the different Big Four carriage designs into a single standard design that could be used across the BR network.</v>
      </c>
    </row>
    <row r="26" spans="1:78" x14ac:dyDescent="0.25">
      <c r="A26" t="s">
        <v>128</v>
      </c>
      <c r="B26" t="s">
        <v>290</v>
      </c>
      <c r="C26">
        <v>17</v>
      </c>
      <c r="D26" t="s">
        <v>314</v>
      </c>
      <c r="E26" t="s">
        <v>1155</v>
      </c>
      <c r="F26" t="s">
        <v>307</v>
      </c>
      <c r="G26">
        <v>1956</v>
      </c>
      <c r="I26">
        <v>2010</v>
      </c>
      <c r="T26">
        <v>40</v>
      </c>
      <c r="V26">
        <v>8</v>
      </c>
      <c r="X26" s="4" t="str">
        <f t="shared" si="0"/>
        <v/>
      </c>
      <c r="Y26">
        <v>110</v>
      </c>
      <c r="AA26">
        <v>19.66</v>
      </c>
      <c r="AB26">
        <v>19.66</v>
      </c>
      <c r="AC26">
        <v>2.83</v>
      </c>
      <c r="AD26">
        <v>3.79</v>
      </c>
      <c r="AE26" s="11">
        <v>57</v>
      </c>
      <c r="AF26" t="str">
        <f>CONCATENATE(VLOOKUP(AG26, 'Voxel Sizes'!$A$2:$B$18,2,FALSE),"x",INT(AC26*15), "x", INT(AD26*15))</f>
        <v>198x42x56</v>
      </c>
      <c r="AG26">
        <f t="shared" si="1"/>
        <v>12</v>
      </c>
      <c r="AI26" t="str">
        <f>CONCATENATE(VLOOKUP(AG26,Constants!$A$2:$C$16,IF(AH26&lt;&gt;"", 3, 2), FALSE),IF(AH26&lt;&gt;"",CONCATENATE(",",VLOOKUP(AH26,$B:$AI,34,FALSE)),""))</f>
        <v>4,4,4</v>
      </c>
      <c r="AS26">
        <v>30</v>
      </c>
      <c r="AT26">
        <f t="shared" si="2"/>
        <v>50</v>
      </c>
      <c r="AU26">
        <v>79</v>
      </c>
      <c r="AV26">
        <f>25*3</f>
        <v>75</v>
      </c>
      <c r="AW26">
        <f t="shared" si="3"/>
        <v>22</v>
      </c>
      <c r="AX26">
        <f t="shared" si="4"/>
        <v>0</v>
      </c>
      <c r="AY26">
        <f t="shared" si="5"/>
        <v>0</v>
      </c>
      <c r="AZ26" s="4">
        <f t="shared" si="25"/>
        <v>0.92533333333333334</v>
      </c>
      <c r="BA26">
        <f t="shared" si="6"/>
        <v>9.5</v>
      </c>
      <c r="BB26">
        <f>VLOOKUP($E26,Constants!$I:$K, 2, FALSE)</f>
        <v>1.2</v>
      </c>
      <c r="BC26">
        <f>VLOOKUP($E26,Constants!$I:$K, 3, FALSE)*IF(AND(D26="multiple_unit",Y26&lt;110),0.75,1)</f>
        <v>0.6</v>
      </c>
      <c r="BD26">
        <f>INT(POWER(((Constants!$G$2+$AW26+$AX26+$AY26+$BA26)*$AZ26)*$BC26, 1.05))+$AV26</f>
        <v>98</v>
      </c>
      <c r="BE26">
        <f>INT(POWER((((Constants!$G$1+$AW26+$AX26+$AY26+$BA26)*($AZ26))*$BB26),IF($D26="wagon",1,1.2)))+$AU26</f>
        <v>130</v>
      </c>
      <c r="BF26" s="15">
        <f t="shared" si="7"/>
        <v>6125</v>
      </c>
      <c r="BG26" s="15">
        <f t="shared" si="8"/>
        <v>354.9</v>
      </c>
      <c r="BN26">
        <v>1</v>
      </c>
      <c r="BO26">
        <v>185</v>
      </c>
      <c r="BP26" t="s">
        <v>923</v>
      </c>
      <c r="BQ26" t="s">
        <v>316</v>
      </c>
      <c r="BR26" t="str">
        <f>VLOOKUP(G26,Eras!$A$2:$C$10, 2, TRUE)</f>
        <v>dsl</v>
      </c>
      <c r="BS26" t="s">
        <v>368</v>
      </c>
      <c r="BT26" t="str">
        <f t="shared" si="9"/>
        <v>dsl_Carriage</v>
      </c>
      <c r="BU26" t="str">
        <f t="shared" si="10"/>
        <v>carriage_RAIL</v>
      </c>
      <c r="BV26" t="str">
        <f>VLOOKUP($BU26, Constants!$M:$N, 2, FALSE)</f>
        <v/>
      </c>
      <c r="BW26" t="str">
        <f t="shared" si="11"/>
        <v/>
      </c>
      <c r="BX26" t="s">
        <v>394</v>
      </c>
      <c r="BY26" t="str">
        <f t="shared" si="12"/>
        <v/>
      </c>
      <c r="BZ26" t="str">
        <f t="shared" si="24"/>
        <v>{SILVER}The Mk2 carriage is the second BR carriage design. It was built to be stronger than the Mk1, giving better corrosion resistance and being safer for passengers in an accident.</v>
      </c>
    </row>
    <row r="27" spans="1:78" x14ac:dyDescent="0.25">
      <c r="A27" t="s">
        <v>129</v>
      </c>
      <c r="B27" t="s">
        <v>292</v>
      </c>
      <c r="C27">
        <v>18</v>
      </c>
      <c r="D27" t="s">
        <v>314</v>
      </c>
      <c r="E27" t="s">
        <v>1155</v>
      </c>
      <c r="F27" t="s">
        <v>307</v>
      </c>
      <c r="G27">
        <v>1975</v>
      </c>
      <c r="T27">
        <v>34</v>
      </c>
      <c r="V27">
        <v>8</v>
      </c>
      <c r="X27" s="4" t="str">
        <f t="shared" si="0"/>
        <v/>
      </c>
      <c r="Y27">
        <v>125</v>
      </c>
      <c r="AA27">
        <v>23</v>
      </c>
      <c r="AB27">
        <v>23</v>
      </c>
      <c r="AC27">
        <v>2.82</v>
      </c>
      <c r="AD27">
        <v>3.79</v>
      </c>
      <c r="AE27" s="11">
        <v>72</v>
      </c>
      <c r="AF27" t="str">
        <f>CONCATENATE(VLOOKUP(AG27, 'Voxel Sizes'!$A$2:$B$18,2,FALSE),"x",INT(AC27*15), "x", INT(AD27*15))</f>
        <v>214x42x56</v>
      </c>
      <c r="AG27">
        <f t="shared" si="1"/>
        <v>13</v>
      </c>
      <c r="AI27" t="str">
        <f>CONCATENATE(VLOOKUP(AG27,Constants!$A$2:$C$16,IF(AH27&lt;&gt;"", 3, 2), FALSE),IF(AH27&lt;&gt;"",CONCATENATE(",",VLOOKUP(AH27,$B:$AI,34,FALSE)),""))</f>
        <v>4,5,4</v>
      </c>
      <c r="AS27">
        <v>30</v>
      </c>
      <c r="AT27" t="str">
        <f t="shared" si="2"/>
        <v/>
      </c>
      <c r="AU27">
        <v>86</v>
      </c>
      <c r="AV27">
        <f>29*3</f>
        <v>87</v>
      </c>
      <c r="AW27">
        <f t="shared" si="3"/>
        <v>25</v>
      </c>
      <c r="AX27">
        <f t="shared" si="4"/>
        <v>0</v>
      </c>
      <c r="AY27">
        <f t="shared" si="5"/>
        <v>0</v>
      </c>
      <c r="AZ27" s="4">
        <f t="shared" si="25"/>
        <v>0.9</v>
      </c>
      <c r="BA27">
        <f t="shared" si="6"/>
        <v>12</v>
      </c>
      <c r="BB27">
        <f>VLOOKUP($E27,Constants!$I:$K, 2, FALSE)</f>
        <v>1.2</v>
      </c>
      <c r="BC27">
        <f>VLOOKUP($E27,Constants!$I:$K, 3, FALSE)*IF(AND(D27="multiple_unit",Y27&lt;110),0.75,1)</f>
        <v>0.6</v>
      </c>
      <c r="BD27">
        <f>INT(POWER(((Constants!$G$2+$AW27+$AX27+$AY27+$BA27)*$AZ27)*$BC27, 1.05))+$AV27</f>
        <v>113</v>
      </c>
      <c r="BE27">
        <f>INT(POWER((((Constants!$G$1+$AW27+$AX27+$AY27+$BA27)*($AZ27))*$BB27),IF($D27="wagon",1,1.2)))+$AU27</f>
        <v>142</v>
      </c>
      <c r="BF27" s="15">
        <f t="shared" si="7"/>
        <v>7062.5</v>
      </c>
      <c r="BG27" s="15">
        <f t="shared" si="8"/>
        <v>387.66</v>
      </c>
      <c r="BN27">
        <v>2</v>
      </c>
      <c r="BO27">
        <v>205</v>
      </c>
      <c r="BP27" t="s">
        <v>923</v>
      </c>
      <c r="BQ27" t="s">
        <v>316</v>
      </c>
      <c r="BR27" t="str">
        <f>VLOOKUP(G27,Eras!$A$2:$C$10, 2, TRUE)</f>
        <v>lbr</v>
      </c>
      <c r="BS27" t="s">
        <v>368</v>
      </c>
      <c r="BT27" t="str">
        <f t="shared" si="9"/>
        <v>lbr_Carriage</v>
      </c>
      <c r="BU27" t="str">
        <f t="shared" si="10"/>
        <v>carriage_RAIL</v>
      </c>
      <c r="BV27" t="str">
        <f>VLOOKUP($BU27, Constants!$M:$N, 2, FALSE)</f>
        <v/>
      </c>
      <c r="BW27" t="str">
        <f t="shared" si="11"/>
        <v/>
      </c>
      <c r="BX27" t="s">
        <v>395</v>
      </c>
      <c r="BY27" t="str">
        <f t="shared" si="12"/>
        <v>{YELLOW}10% Bonus for long distance travel{}</v>
      </c>
      <c r="BZ27" t="str">
        <f t="shared" si="24"/>
        <v xml:space="preserve">{YELLOW}10% Bonus for long distance travel{}{SILVER}The Mk3 carriage is designed for higher speed operation, capable of running at up to 125mph. The first Mk3 carriages were built for the prototype HST. </v>
      </c>
    </row>
    <row r="28" spans="1:78" x14ac:dyDescent="0.25">
      <c r="A28" t="s">
        <v>130</v>
      </c>
      <c r="B28" t="s">
        <v>293</v>
      </c>
      <c r="C28">
        <v>19</v>
      </c>
      <c r="D28" t="s">
        <v>314</v>
      </c>
      <c r="E28" t="s">
        <v>1155</v>
      </c>
      <c r="F28" t="s">
        <v>307</v>
      </c>
      <c r="G28">
        <v>1988</v>
      </c>
      <c r="T28">
        <v>40</v>
      </c>
      <c r="V28">
        <v>8</v>
      </c>
      <c r="X28" s="4" t="str">
        <f t="shared" si="0"/>
        <v/>
      </c>
      <c r="Y28">
        <v>140</v>
      </c>
      <c r="AA28">
        <v>23</v>
      </c>
      <c r="AB28">
        <v>23</v>
      </c>
      <c r="AC28">
        <v>2.82</v>
      </c>
      <c r="AD28">
        <v>3.79</v>
      </c>
      <c r="AE28" s="11">
        <v>72</v>
      </c>
      <c r="AF28" t="str">
        <f>CONCATENATE(VLOOKUP(AG28, 'Voxel Sizes'!$A$2:$B$18,2,FALSE),"x",INT(AC28*15), "x", INT(AD28*15))</f>
        <v>214x42x56</v>
      </c>
      <c r="AG28">
        <f t="shared" si="1"/>
        <v>13</v>
      </c>
      <c r="AI28" t="str">
        <f>CONCATENATE(VLOOKUP(AG28,Constants!$A$2:$C$16,IF(AH28&lt;&gt;"", 3, 2), FALSE),IF(AH28&lt;&gt;"",CONCATENATE(",",VLOOKUP(AH28,$B:$AI,34,FALSE)),""))</f>
        <v>4,5,4</v>
      </c>
      <c r="AS28">
        <v>30</v>
      </c>
      <c r="AT28" t="str">
        <f t="shared" si="2"/>
        <v/>
      </c>
      <c r="AU28">
        <v>90</v>
      </c>
      <c r="AV28">
        <f>31*3</f>
        <v>93</v>
      </c>
      <c r="AW28">
        <f t="shared" si="3"/>
        <v>28</v>
      </c>
      <c r="AX28">
        <f t="shared" si="4"/>
        <v>0</v>
      </c>
      <c r="AY28">
        <f t="shared" si="5"/>
        <v>0</v>
      </c>
      <c r="AZ28" s="4">
        <f t="shared" si="25"/>
        <v>0.88266666666666671</v>
      </c>
      <c r="BA28">
        <f t="shared" si="6"/>
        <v>12</v>
      </c>
      <c r="BB28">
        <f>VLOOKUP($E28,Constants!$I:$K, 2, FALSE)</f>
        <v>1.2</v>
      </c>
      <c r="BC28">
        <f>VLOOKUP($E28,Constants!$I:$K, 3, FALSE)*IF(AND(D28="multiple_unit",Y28&lt;110),0.75,1)</f>
        <v>0.6</v>
      </c>
      <c r="BD28">
        <f>INT(POWER(((Constants!$G$2+$AW28+$AX28+$AY28+$BA28)*$AZ28)*$BC28, 1.05))+$AV28</f>
        <v>120</v>
      </c>
      <c r="BE28">
        <f>INT(POWER((((Constants!$G$1+$AW28+$AX28+$AY28+$BA28)*($AZ28))*$BB28),IF($D28="wagon",1,1.2)))+$AU28</f>
        <v>148</v>
      </c>
      <c r="BF28" s="15">
        <f t="shared" si="7"/>
        <v>7500</v>
      </c>
      <c r="BG28" s="15">
        <f t="shared" si="8"/>
        <v>404.04</v>
      </c>
      <c r="BN28">
        <v>7</v>
      </c>
      <c r="BO28">
        <v>222</v>
      </c>
      <c r="BP28" t="s">
        <v>923</v>
      </c>
      <c r="BQ28" t="s">
        <v>316</v>
      </c>
      <c r="BR28" t="str">
        <f>VLOOKUP(G28,Eras!$A$2:$C$10, 2, TRUE)</f>
        <v>lbr</v>
      </c>
      <c r="BS28" t="s">
        <v>368</v>
      </c>
      <c r="BT28" t="str">
        <f t="shared" si="9"/>
        <v>lbr_Carriage</v>
      </c>
      <c r="BU28" t="str">
        <f t="shared" si="10"/>
        <v>carriage_RAIL</v>
      </c>
      <c r="BV28" t="str">
        <f>VLOOKUP($BU28, Constants!$M:$N, 2, FALSE)</f>
        <v/>
      </c>
      <c r="BW28" t="str">
        <f t="shared" si="11"/>
        <v/>
      </c>
      <c r="BX28" t="s">
        <v>610</v>
      </c>
      <c r="BY28" t="str">
        <f t="shared" si="12"/>
        <v>{YELLOW}20% Bonus for long distance travel{}</v>
      </c>
      <c r="BZ28" t="str">
        <f t="shared" si="24"/>
        <v>{YELLOW}20% Bonus for long distance travel{}{SILVER}The Mk4 carriage is a further improvement on the Mk3. It's designed for use with the Class 91 for Intercity 225 services.</v>
      </c>
    </row>
    <row r="29" spans="1:78" x14ac:dyDescent="0.25">
      <c r="A29" t="s">
        <v>135</v>
      </c>
      <c r="B29" t="s">
        <v>288</v>
      </c>
      <c r="C29">
        <v>22</v>
      </c>
      <c r="D29" t="s">
        <v>314</v>
      </c>
      <c r="E29" t="s">
        <v>314</v>
      </c>
      <c r="F29" t="s">
        <v>307</v>
      </c>
      <c r="G29">
        <v>1850</v>
      </c>
      <c r="I29">
        <v>1920</v>
      </c>
      <c r="T29">
        <v>5</v>
      </c>
      <c r="V29">
        <v>4</v>
      </c>
      <c r="X29" s="4" t="str">
        <f t="shared" si="0"/>
        <v/>
      </c>
      <c r="Y29">
        <v>35</v>
      </c>
      <c r="AA29">
        <v>4.9000000000000004</v>
      </c>
      <c r="AB29">
        <v>6</v>
      </c>
      <c r="AE29" s="11">
        <v>15</v>
      </c>
      <c r="AF29" t="str">
        <f>CONCATENATE(VLOOKUP(AG29, 'Voxel Sizes'!$A$2:$B$18,2,FALSE),"x",INT(AC29*15), "x", INT(AD29*15))</f>
        <v>60x0x0</v>
      </c>
      <c r="AG29">
        <f t="shared" si="1"/>
        <v>4</v>
      </c>
      <c r="AI29" t="str">
        <f>CONCATENATE(VLOOKUP(AG29,Constants!$A$2:$C$16,IF(AH29&lt;&gt;"", 3, 2), FALSE),IF(AH29&lt;&gt;"",CONCATENATE(",",VLOOKUP(AH29,$B:$AI,34,FALSE)),""))</f>
        <v>1,2,1</v>
      </c>
      <c r="AS29">
        <v>30</v>
      </c>
      <c r="AT29">
        <f t="shared" si="2"/>
        <v>66</v>
      </c>
      <c r="AW29">
        <f t="shared" si="3"/>
        <v>7</v>
      </c>
      <c r="AX29">
        <f t="shared" si="4"/>
        <v>0</v>
      </c>
      <c r="AY29">
        <f t="shared" si="5"/>
        <v>0</v>
      </c>
      <c r="AZ29" s="4">
        <f t="shared" si="25"/>
        <v>1</v>
      </c>
      <c r="BA29">
        <f t="shared" si="6"/>
        <v>2.5</v>
      </c>
      <c r="BB29">
        <f>VLOOKUP($E29,Constants!$I:$K, 2, FALSE)</f>
        <v>1</v>
      </c>
      <c r="BC29">
        <f>VLOOKUP($E29,Constants!$I:$K, 3, FALSE)*IF(AND(D29="multiple_unit",Y29&lt;110),0.75,1)</f>
        <v>0.45</v>
      </c>
      <c r="BD29">
        <f>INT(POWER(((Constants!$G$2+$AW29+$AX29+$AY29+$BA29)*$AZ29)*$BC29, 1.05))+$AV29</f>
        <v>7</v>
      </c>
      <c r="BE29">
        <f>INT(POWER((((Constants!$G$1+$AW29+$AX29+$AY29+$BA29)*($AZ29))*$BB29),IF($D29="wagon",1,1.2)))+$AU29</f>
        <v>24</v>
      </c>
      <c r="BF29" s="15">
        <f t="shared" si="7"/>
        <v>437.5</v>
      </c>
      <c r="BG29" s="15">
        <f t="shared" si="8"/>
        <v>65.52</v>
      </c>
      <c r="BN29">
        <v>1</v>
      </c>
      <c r="BO29">
        <v>185</v>
      </c>
      <c r="BP29" t="s">
        <v>1090</v>
      </c>
      <c r="BQ29" t="s">
        <v>762</v>
      </c>
      <c r="BR29" t="str">
        <f>VLOOKUP(G29,Eras!$A$2:$C$10, 2, TRUE)</f>
        <v>vct</v>
      </c>
      <c r="BS29" t="s">
        <v>373</v>
      </c>
      <c r="BT29" t="str">
        <f t="shared" si="9"/>
        <v>vct_Open Wagon</v>
      </c>
      <c r="BU29" t="str">
        <f t="shared" si="10"/>
        <v>wagon_RAIL</v>
      </c>
      <c r="BV29" t="str">
        <f>VLOOKUP($BU29, Constants!$M:$N, 2, FALSE)</f>
        <v/>
      </c>
      <c r="BW29" t="str">
        <f t="shared" si="11"/>
        <v/>
      </c>
      <c r="BX29" t="s">
        <v>397</v>
      </c>
      <c r="BY29" t="str">
        <f t="shared" si="12"/>
        <v/>
      </c>
      <c r="BZ29" t="str">
        <f t="shared" si="24"/>
        <v>{SILVER}Open "plank" wagons are named for the number of planks used in the construction of their sides.</v>
      </c>
    </row>
    <row r="30" spans="1:78" x14ac:dyDescent="0.25">
      <c r="A30" t="s">
        <v>136</v>
      </c>
      <c r="B30" t="s">
        <v>289</v>
      </c>
      <c r="C30">
        <v>23</v>
      </c>
      <c r="D30" t="s">
        <v>314</v>
      </c>
      <c r="E30" t="s">
        <v>314</v>
      </c>
      <c r="F30" t="s">
        <v>307</v>
      </c>
      <c r="G30">
        <v>1902</v>
      </c>
      <c r="I30">
        <v>1965</v>
      </c>
      <c r="T30">
        <v>8</v>
      </c>
      <c r="V30">
        <v>4</v>
      </c>
      <c r="X30" s="4" t="str">
        <f t="shared" si="0"/>
        <v/>
      </c>
      <c r="Y30">
        <v>45</v>
      </c>
      <c r="AA30">
        <v>4.9000000000000004</v>
      </c>
      <c r="AB30">
        <v>6</v>
      </c>
      <c r="AE30" s="11">
        <v>21</v>
      </c>
      <c r="AF30" t="str">
        <f>CONCATENATE(VLOOKUP(AG30, 'Voxel Sizes'!$A$2:$B$18,2,FALSE),"x",INT(AC30*15), "x", INT(AD30*15))</f>
        <v>60x0x0</v>
      </c>
      <c r="AG30">
        <f t="shared" si="1"/>
        <v>4</v>
      </c>
      <c r="AI30" t="str">
        <f>CONCATENATE(VLOOKUP(AG30,Constants!$A$2:$C$16,IF(AH30&lt;&gt;"", 3, 2), FALSE),IF(AH30&lt;&gt;"",CONCATENATE(",",VLOOKUP(AH30,$B:$AI,34,FALSE)),""))</f>
        <v>1,2,1</v>
      </c>
      <c r="AS30">
        <v>30</v>
      </c>
      <c r="AT30">
        <f t="shared" si="2"/>
        <v>59</v>
      </c>
      <c r="AW30">
        <f t="shared" si="3"/>
        <v>9</v>
      </c>
      <c r="AX30">
        <f t="shared" si="4"/>
        <v>0</v>
      </c>
      <c r="AY30">
        <f t="shared" si="5"/>
        <v>0</v>
      </c>
      <c r="AZ30" s="4">
        <f t="shared" si="25"/>
        <v>0.99733333333333329</v>
      </c>
      <c r="BA30">
        <f t="shared" si="6"/>
        <v>3.5000000000000004</v>
      </c>
      <c r="BB30">
        <f>VLOOKUP($E30,Constants!$I:$K, 2, FALSE)</f>
        <v>1</v>
      </c>
      <c r="BC30">
        <f>VLOOKUP($E30,Constants!$I:$K, 3, FALSE)*IF(AND(D30="multiple_unit",Y30&lt;110),0.75,1)</f>
        <v>0.45</v>
      </c>
      <c r="BD30">
        <f>INT(POWER(((Constants!$G$2+$AW30+$AX30+$AY30+$BA30)*$AZ30)*$BC30, 1.05))+$AV30</f>
        <v>8</v>
      </c>
      <c r="BE30">
        <f>INT(POWER((((Constants!$G$1+$AW30+$AX30+$AY30+$BA30)*($AZ30))*$BB30),IF($D30="wagon",1,1.2)))+$AU30</f>
        <v>27</v>
      </c>
      <c r="BF30" s="15">
        <f t="shared" si="7"/>
        <v>500</v>
      </c>
      <c r="BG30" s="15">
        <f t="shared" si="8"/>
        <v>73.709999999999994</v>
      </c>
      <c r="BN30">
        <v>1</v>
      </c>
      <c r="BO30">
        <v>185</v>
      </c>
      <c r="BP30" t="s">
        <v>1090</v>
      </c>
      <c r="BQ30" t="s">
        <v>762</v>
      </c>
      <c r="BR30" t="str">
        <f>VLOOKUP(G30,Eras!$A$2:$C$10, 2, TRUE)</f>
        <v>edw</v>
      </c>
      <c r="BS30" t="s">
        <v>373</v>
      </c>
      <c r="BT30" t="str">
        <f t="shared" si="9"/>
        <v>edw_Open Wagon</v>
      </c>
      <c r="BU30" t="str">
        <f t="shared" si="10"/>
        <v>wagon_RAIL</v>
      </c>
      <c r="BV30" t="str">
        <f>VLOOKUP($BU30, Constants!$M:$N, 2, FALSE)</f>
        <v/>
      </c>
      <c r="BW30" t="str">
        <f t="shared" si="11"/>
        <v/>
      </c>
      <c r="BX30" t="s">
        <v>398</v>
      </c>
      <c r="BY30" t="str">
        <f t="shared" si="12"/>
        <v/>
      </c>
      <c r="BZ30" t="str">
        <f t="shared" si="24"/>
        <v>{SILVER}The 5 plank wagon became one of the common standard types used by the GWR, with thousands built.</v>
      </c>
    </row>
    <row r="31" spans="1:78" x14ac:dyDescent="0.25">
      <c r="A31" t="s">
        <v>137</v>
      </c>
      <c r="B31" t="s">
        <v>233</v>
      </c>
      <c r="C31">
        <v>24</v>
      </c>
      <c r="D31" t="s">
        <v>314</v>
      </c>
      <c r="E31" t="s">
        <v>314</v>
      </c>
      <c r="F31" t="s">
        <v>307</v>
      </c>
      <c r="G31">
        <v>1935</v>
      </c>
      <c r="I31">
        <v>1970</v>
      </c>
      <c r="T31">
        <v>10</v>
      </c>
      <c r="V31">
        <v>5</v>
      </c>
      <c r="X31" s="4" t="str">
        <f t="shared" si="0"/>
        <v/>
      </c>
      <c r="Y31">
        <v>50</v>
      </c>
      <c r="AA31">
        <v>8</v>
      </c>
      <c r="AB31">
        <v>8</v>
      </c>
      <c r="AE31" s="11">
        <v>27</v>
      </c>
      <c r="AF31" t="str">
        <f>CONCATENATE(VLOOKUP(AG31, 'Voxel Sizes'!$A$2:$B$18,2,FALSE),"x",INT(AC31*15), "x", INT(AD31*15))</f>
        <v>82x0x0</v>
      </c>
      <c r="AG31">
        <f t="shared" si="1"/>
        <v>5</v>
      </c>
      <c r="AI31" t="str">
        <f>CONCATENATE(VLOOKUP(AG31,Constants!$A$2:$C$16,IF(AH31&lt;&gt;"", 3, 2), FALSE),IF(AH31&lt;&gt;"",CONCATENATE(",",VLOOKUP(AH31,$B:$AI,34,FALSE)),""))</f>
        <v>2,1,2</v>
      </c>
      <c r="AS31">
        <v>30</v>
      </c>
      <c r="AT31">
        <f t="shared" si="2"/>
        <v>31</v>
      </c>
      <c r="AW31">
        <f t="shared" si="3"/>
        <v>10</v>
      </c>
      <c r="AX31">
        <f t="shared" si="4"/>
        <v>0</v>
      </c>
      <c r="AY31">
        <f t="shared" si="5"/>
        <v>0</v>
      </c>
      <c r="AZ31" s="4">
        <f t="shared" si="25"/>
        <v>0.95333333333333337</v>
      </c>
      <c r="BA31">
        <f t="shared" si="6"/>
        <v>4.5</v>
      </c>
      <c r="BB31">
        <f>VLOOKUP($E31,Constants!$I:$K, 2, FALSE)</f>
        <v>1</v>
      </c>
      <c r="BC31">
        <f>VLOOKUP($E31,Constants!$I:$K, 3, FALSE)*IF(AND(D31="multiple_unit",Y31&lt;110),0.75,1)</f>
        <v>0.45</v>
      </c>
      <c r="BD31">
        <f>INT(POWER(((Constants!$G$2+$AW31+$AX31+$AY31+$BA31)*$AZ31)*$BC31, 1.05))+$AV31</f>
        <v>9</v>
      </c>
      <c r="BE31">
        <f>INT(POWER((((Constants!$G$1+$AW31+$AX31+$AY31+$BA31)*($AZ31))*$BB31),IF($D31="wagon",1,1.2)))+$AU31</f>
        <v>28</v>
      </c>
      <c r="BF31" s="15">
        <f t="shared" si="7"/>
        <v>562.5</v>
      </c>
      <c r="BG31" s="15">
        <f t="shared" si="8"/>
        <v>76.44</v>
      </c>
      <c r="BN31">
        <v>1</v>
      </c>
      <c r="BO31">
        <v>185</v>
      </c>
      <c r="BP31" t="s">
        <v>1090</v>
      </c>
      <c r="BQ31" t="s">
        <v>762</v>
      </c>
      <c r="BR31" t="str">
        <f>VLOOKUP(G31,Eras!$A$2:$C$10, 2, TRUE)</f>
        <v>big4</v>
      </c>
      <c r="BS31" t="s">
        <v>373</v>
      </c>
      <c r="BT31" t="str">
        <f t="shared" si="9"/>
        <v>big4_Open Wagon</v>
      </c>
      <c r="BU31" t="str">
        <f t="shared" si="10"/>
        <v>wagon_RAIL</v>
      </c>
      <c r="BV31" t="str">
        <f>VLOOKUP($BU31, Constants!$M:$N, 2, FALSE)</f>
        <v/>
      </c>
      <c r="BW31" t="str">
        <f t="shared" si="11"/>
        <v/>
      </c>
      <c r="BX31" t="s">
        <v>763</v>
      </c>
      <c r="BY31" t="str">
        <f t="shared" si="12"/>
        <v/>
      </c>
      <c r="BZ31" t="str">
        <f t="shared" si="24"/>
        <v>{SILVER}Steel wagons were introduced in the 1930s to have a longer service life than wooden wagons, which were proving uneconomical for many owners to operate after recessions at the start of the decade.</v>
      </c>
    </row>
    <row r="32" spans="1:78" x14ac:dyDescent="0.25">
      <c r="A32" t="s">
        <v>767</v>
      </c>
      <c r="B32" t="s">
        <v>768</v>
      </c>
      <c r="C32">
        <v>26</v>
      </c>
      <c r="D32" t="s">
        <v>314</v>
      </c>
      <c r="E32" t="s">
        <v>314</v>
      </c>
      <c r="F32" t="s">
        <v>307</v>
      </c>
      <c r="G32">
        <v>1951</v>
      </c>
      <c r="I32">
        <v>1985</v>
      </c>
      <c r="T32">
        <v>10</v>
      </c>
      <c r="V32">
        <v>5</v>
      </c>
      <c r="X32" s="4" t="str">
        <f t="shared" si="0"/>
        <v/>
      </c>
      <c r="Y32">
        <v>60</v>
      </c>
      <c r="AA32">
        <v>8</v>
      </c>
      <c r="AB32">
        <v>8</v>
      </c>
      <c r="AE32" s="11">
        <v>27</v>
      </c>
      <c r="AF32" t="str">
        <f>CONCATENATE(VLOOKUP(AG32, 'Voxel Sizes'!$A$2:$B$18,2,FALSE),"x",INT(AC32*15), "x", INT(AD32*15))</f>
        <v>82x0x0</v>
      </c>
      <c r="AG32">
        <f t="shared" si="1"/>
        <v>5</v>
      </c>
      <c r="AI32" t="str">
        <f>CONCATENATE(VLOOKUP(AG32,Constants!$A$2:$C$16,IF(AH32&lt;&gt;"", 3, 2), FALSE),IF(AH32&lt;&gt;"",CONCATENATE(",",VLOOKUP(AH32,$B:$AI,34,FALSE)),""))</f>
        <v>2,1,2</v>
      </c>
      <c r="AS32">
        <v>30</v>
      </c>
      <c r="AT32">
        <f t="shared" si="2"/>
        <v>30</v>
      </c>
      <c r="AW32">
        <f t="shared" si="3"/>
        <v>12</v>
      </c>
      <c r="AX32">
        <f t="shared" si="4"/>
        <v>0</v>
      </c>
      <c r="AY32">
        <f t="shared" si="5"/>
        <v>0</v>
      </c>
      <c r="AZ32" s="4">
        <f t="shared" si="25"/>
        <v>0.93199999999999994</v>
      </c>
      <c r="BA32">
        <f t="shared" si="6"/>
        <v>4.5</v>
      </c>
      <c r="BB32">
        <f>VLOOKUP($E32,Constants!$I:$K, 2, FALSE)</f>
        <v>1</v>
      </c>
      <c r="BC32">
        <f>VLOOKUP($E32,Constants!$I:$K, 3, FALSE)*IF(AND(D32="multiple_unit",Y32&lt;110),0.75,1)</f>
        <v>0.45</v>
      </c>
      <c r="BD32">
        <f>INT(POWER(((Constants!$G$2+$AW32+$AX32+$AY32+$BA32)*$AZ32)*$BC32, 1.05))+$AV32</f>
        <v>10</v>
      </c>
      <c r="BE32">
        <f>INT(POWER((((Constants!$G$1+$AW32+$AX32+$AY32+$BA32)*($AZ32))*$BB32),IF($D32="wagon",1,1.2)))+$AU32</f>
        <v>29</v>
      </c>
      <c r="BF32" s="15">
        <f t="shared" si="7"/>
        <v>625</v>
      </c>
      <c r="BG32" s="15">
        <f t="shared" si="8"/>
        <v>79.17</v>
      </c>
      <c r="BN32">
        <v>1</v>
      </c>
      <c r="BO32">
        <v>185</v>
      </c>
      <c r="BP32" t="s">
        <v>1090</v>
      </c>
      <c r="BQ32" t="s">
        <v>762</v>
      </c>
      <c r="BR32" t="str">
        <f>VLOOKUP(G32,Eras!$A$2:$C$10, 2, TRUE)</f>
        <v>ebr</v>
      </c>
      <c r="BS32" t="s">
        <v>373</v>
      </c>
      <c r="BT32" t="str">
        <f t="shared" si="9"/>
        <v>ebr_Open Wagon</v>
      </c>
      <c r="BU32" t="str">
        <f t="shared" si="10"/>
        <v>wagon_RAIL</v>
      </c>
      <c r="BV32" t="str">
        <f>VLOOKUP($BU32, Constants!$M:$N, 2, FALSE)</f>
        <v/>
      </c>
      <c r="BW32" t="str">
        <f t="shared" si="11"/>
        <v/>
      </c>
      <c r="BX32" t="s">
        <v>769</v>
      </c>
      <c r="BY32" t="str">
        <f t="shared" si="12"/>
        <v/>
      </c>
      <c r="BZ32" t="str">
        <f t="shared" si="24"/>
        <v>{SILVER}BR continued to make steel bodied wagons following LNER designs, gradually altering the body style.</v>
      </c>
    </row>
    <row r="33" spans="1:78" x14ac:dyDescent="0.25">
      <c r="A33" t="s">
        <v>765</v>
      </c>
      <c r="B33" t="s">
        <v>766</v>
      </c>
      <c r="C33">
        <v>28</v>
      </c>
      <c r="D33" t="s">
        <v>314</v>
      </c>
      <c r="E33" t="s">
        <v>314</v>
      </c>
      <c r="F33" t="s">
        <v>307</v>
      </c>
      <c r="G33">
        <v>1971</v>
      </c>
      <c r="I33">
        <v>2018</v>
      </c>
      <c r="T33">
        <v>14</v>
      </c>
      <c r="V33">
        <v>6</v>
      </c>
      <c r="X33" s="4" t="str">
        <f t="shared" si="0"/>
        <v/>
      </c>
      <c r="Y33">
        <v>70</v>
      </c>
      <c r="AA33">
        <v>10</v>
      </c>
      <c r="AB33">
        <v>10</v>
      </c>
      <c r="AE33" s="11">
        <v>33</v>
      </c>
      <c r="AF33" t="str">
        <f>CONCATENATE(VLOOKUP(AG33, 'Voxel Sizes'!$A$2:$B$18,2,FALSE),"x",INT(AC33*15), "x", INT(AD33*15))</f>
        <v>102x0x0</v>
      </c>
      <c r="AG33">
        <f t="shared" si="1"/>
        <v>6</v>
      </c>
      <c r="AI33" t="str">
        <f>CONCATENATE(VLOOKUP(AG33,Constants!$A$2:$C$16,IF(AH33&lt;&gt;"", 3, 2), FALSE),IF(AH33&lt;&gt;"",CONCATENATE(",",VLOOKUP(AH33,$B:$AI,34,FALSE)),""))</f>
        <v>2,2,2</v>
      </c>
      <c r="AS33">
        <v>30</v>
      </c>
      <c r="AT33">
        <f t="shared" si="2"/>
        <v>43</v>
      </c>
      <c r="AW33">
        <f t="shared" si="3"/>
        <v>14</v>
      </c>
      <c r="AX33">
        <f t="shared" si="4"/>
        <v>0</v>
      </c>
      <c r="AY33">
        <f t="shared" si="5"/>
        <v>0</v>
      </c>
      <c r="AZ33" s="4">
        <f t="shared" si="25"/>
        <v>0.90533333333333332</v>
      </c>
      <c r="BA33">
        <f t="shared" si="6"/>
        <v>5.5</v>
      </c>
      <c r="BB33">
        <f>VLOOKUP($E33,Constants!$I:$K, 2, FALSE)</f>
        <v>1</v>
      </c>
      <c r="BC33">
        <f>VLOOKUP($E33,Constants!$I:$K, 3, FALSE)*IF(AND(D33="multiple_unit",Y33&lt;110),0.75,1)</f>
        <v>0.45</v>
      </c>
      <c r="BD33">
        <f>INT(POWER(((Constants!$G$2+$AW33+$AX33+$AY33+$BA33)*$AZ33)*$BC33, 1.05))+$AV33</f>
        <v>11</v>
      </c>
      <c r="BE33">
        <f>INT(POWER((((Constants!$G$1+$AW33+$AX33+$AY33+$BA33)*($AZ33))*$BB33),IF($D33="wagon",1,1.2)))+$AU33</f>
        <v>31</v>
      </c>
      <c r="BF33" s="15">
        <f t="shared" si="7"/>
        <v>687.5</v>
      </c>
      <c r="BG33" s="15">
        <f t="shared" si="8"/>
        <v>84.63</v>
      </c>
      <c r="BN33">
        <v>1</v>
      </c>
      <c r="BO33">
        <v>185</v>
      </c>
      <c r="BP33" t="s">
        <v>1090</v>
      </c>
      <c r="BQ33" t="s">
        <v>762</v>
      </c>
      <c r="BR33" t="str">
        <f>VLOOKUP(G33,Eras!$A$2:$C$10, 2, TRUE)</f>
        <v>lbr</v>
      </c>
      <c r="BS33" t="s">
        <v>373</v>
      </c>
      <c r="BT33" t="str">
        <f t="shared" si="9"/>
        <v>lbr_Open Wagon</v>
      </c>
      <c r="BU33" t="str">
        <f t="shared" si="10"/>
        <v>wagon_RAIL</v>
      </c>
      <c r="BV33" t="str">
        <f>VLOOKUP($BU33, Constants!$M:$N, 2, FALSE)</f>
        <v/>
      </c>
      <c r="BW33" t="str">
        <f t="shared" si="11"/>
        <v/>
      </c>
      <c r="BX33" t="s">
        <v>770</v>
      </c>
      <c r="BY33" t="str">
        <f t="shared" si="12"/>
        <v/>
      </c>
      <c r="BZ33" t="str">
        <f t="shared" si="24"/>
        <v>{SILVER}The OAA/OBA wagons were BR's first air braked open wagons, later forming part of the Speedlink network. They featured steel end frames with wooden drop sides.</v>
      </c>
    </row>
    <row r="34" spans="1:78" x14ac:dyDescent="0.25">
      <c r="A34" t="s">
        <v>771</v>
      </c>
      <c r="B34" t="s">
        <v>773</v>
      </c>
      <c r="C34">
        <v>30</v>
      </c>
      <c r="D34" t="s">
        <v>314</v>
      </c>
      <c r="E34" t="s">
        <v>314</v>
      </c>
      <c r="F34" t="s">
        <v>307</v>
      </c>
      <c r="G34">
        <v>1989</v>
      </c>
      <c r="T34">
        <v>12</v>
      </c>
      <c r="V34">
        <v>7</v>
      </c>
      <c r="X34" s="4" t="str">
        <f t="shared" si="0"/>
        <v/>
      </c>
      <c r="Y34">
        <v>80</v>
      </c>
      <c r="AA34">
        <v>10</v>
      </c>
      <c r="AB34">
        <v>10</v>
      </c>
      <c r="AE34" s="11">
        <v>45</v>
      </c>
      <c r="AF34" t="str">
        <f>CONCATENATE(VLOOKUP(AG34, 'Voxel Sizes'!$A$2:$B$18,2,FALSE),"x",INT(AC34*15), "x", INT(AD34*15))</f>
        <v>102x0x0</v>
      </c>
      <c r="AG34">
        <f t="shared" si="1"/>
        <v>6</v>
      </c>
      <c r="AI34" t="str">
        <f>CONCATENATE(VLOOKUP(AG34,Constants!$A$2:$C$16,IF(AH34&lt;&gt;"", 3, 2), FALSE),IF(AH34&lt;&gt;"",CONCATENATE(",",VLOOKUP(AH34,$B:$AI,34,FALSE)),""))</f>
        <v>2,2,2</v>
      </c>
      <c r="AS34">
        <v>30</v>
      </c>
      <c r="AT34" t="str">
        <f t="shared" si="2"/>
        <v/>
      </c>
      <c r="AW34">
        <f t="shared" si="3"/>
        <v>16</v>
      </c>
      <c r="AX34">
        <f t="shared" si="4"/>
        <v>0</v>
      </c>
      <c r="AY34">
        <f t="shared" si="5"/>
        <v>0</v>
      </c>
      <c r="AZ34" s="4">
        <f t="shared" si="25"/>
        <v>0.8813333333333333</v>
      </c>
      <c r="BA34">
        <f t="shared" si="6"/>
        <v>7.5</v>
      </c>
      <c r="BB34">
        <f>VLOOKUP($E34,Constants!$I:$K, 2, FALSE)</f>
        <v>1</v>
      </c>
      <c r="BC34">
        <f>VLOOKUP($E34,Constants!$I:$K, 3, FALSE)*IF(AND(D34="multiple_unit",Y34&lt;110),0.75,1)</f>
        <v>0.45</v>
      </c>
      <c r="BD34">
        <f>INT(POWER(((Constants!$G$2+$AW34+$AX34+$AY34+$BA34)*$AZ34)*$BC34, 1.05))+$AV34</f>
        <v>12</v>
      </c>
      <c r="BE34">
        <f>INT(POWER((((Constants!$G$1+$AW34+$AX34+$AY34+$BA34)*($AZ34))*$BB34),IF($D34="wagon",1,1.2)))+$AU34</f>
        <v>33</v>
      </c>
      <c r="BF34" s="15">
        <f t="shared" si="7"/>
        <v>750</v>
      </c>
      <c r="BG34" s="15">
        <f t="shared" si="8"/>
        <v>90.09</v>
      </c>
      <c r="BN34">
        <v>1</v>
      </c>
      <c r="BO34">
        <v>185</v>
      </c>
      <c r="BP34" t="s">
        <v>1090</v>
      </c>
      <c r="BQ34" t="s">
        <v>762</v>
      </c>
      <c r="BR34" t="str">
        <f>VLOOKUP(G34,Eras!$A$2:$C$10, 2, TRUE)</f>
        <v>lbr</v>
      </c>
      <c r="BS34" t="s">
        <v>373</v>
      </c>
      <c r="BT34" t="str">
        <f t="shared" si="9"/>
        <v>lbr_Open Wagon</v>
      </c>
      <c r="BU34" t="str">
        <f t="shared" si="10"/>
        <v>wagon_RAIL</v>
      </c>
      <c r="BV34" t="str">
        <f>VLOOKUP($BU34, Constants!$M:$N, 2, FALSE)</f>
        <v/>
      </c>
      <c r="BW34" t="str">
        <f t="shared" si="11"/>
        <v/>
      </c>
      <c r="BX34" t="s">
        <v>774</v>
      </c>
      <c r="BY34" t="str">
        <f t="shared" ref="BY34:BY65" si="26">IF(BQ34="BRAKE","{YELLOW}Speed bonus for slow wagons{}",IF(BO34&gt;190,CONCATENATE("{YELLOW}",INT((BO34-185)/1.85),"% Bonus for long distance travel{}"),IF(AND(BO34&lt;180,BO34&lt;&gt;0),CONCATENATE("{YELLOW}",INT((185-BO34)/1.85),"% Penalty for long distance travel{}"),"")))</f>
        <v/>
      </c>
      <c r="BZ34" t="str">
        <f t="shared" si="24"/>
        <v>{SILVER}MEA wagons used frames from old hopper wagons combined with a new box body.</v>
      </c>
    </row>
    <row r="35" spans="1:78" x14ac:dyDescent="0.25">
      <c r="A35" t="s">
        <v>772</v>
      </c>
      <c r="B35" t="s">
        <v>234</v>
      </c>
      <c r="C35">
        <v>32</v>
      </c>
      <c r="D35" t="s">
        <v>314</v>
      </c>
      <c r="E35" t="s">
        <v>314</v>
      </c>
      <c r="F35" t="s">
        <v>307</v>
      </c>
      <c r="G35">
        <v>2015</v>
      </c>
      <c r="T35">
        <v>24</v>
      </c>
      <c r="V35">
        <v>8</v>
      </c>
      <c r="X35" s="4" t="str">
        <f t="shared" si="0"/>
        <v/>
      </c>
      <c r="Y35">
        <v>80</v>
      </c>
      <c r="AA35">
        <v>17</v>
      </c>
      <c r="AB35">
        <v>17</v>
      </c>
      <c r="AE35" s="11">
        <v>78</v>
      </c>
      <c r="AF35" t="str">
        <f>CONCATENATE(VLOOKUP(AG35, 'Voxel Sizes'!$A$2:$B$18,2,FALSE),"x",INT(AC35*15), "x", INT(AD35*15))</f>
        <v>164x0x0</v>
      </c>
      <c r="AG35">
        <f t="shared" si="1"/>
        <v>10</v>
      </c>
      <c r="AI35" t="str">
        <f>CONCATENATE(VLOOKUP(AG35,Constants!$A$2:$C$16,IF(AH35&lt;&gt;"", 3, 2), FALSE),IF(AH35&lt;&gt;"",CONCATENATE(",",VLOOKUP(AH35,$B:$AI,34,FALSE)),""))</f>
        <v>4,2,4</v>
      </c>
      <c r="AS35">
        <v>30</v>
      </c>
      <c r="AT35" t="str">
        <f t="shared" si="2"/>
        <v/>
      </c>
      <c r="AW35">
        <f t="shared" si="3"/>
        <v>16</v>
      </c>
      <c r="AX35">
        <f t="shared" si="4"/>
        <v>0</v>
      </c>
      <c r="AY35">
        <f t="shared" si="5"/>
        <v>0</v>
      </c>
      <c r="AZ35" s="4">
        <f t="shared" si="25"/>
        <v>0.84666666666666668</v>
      </c>
      <c r="BA35">
        <f t="shared" si="6"/>
        <v>13</v>
      </c>
      <c r="BB35">
        <f>VLOOKUP($E35,Constants!$I:$K, 2, FALSE)</f>
        <v>1</v>
      </c>
      <c r="BC35">
        <f>VLOOKUP($E35,Constants!$I:$K, 3, FALSE)*IF(AND(D35="multiple_unit",Y35&lt;110),0.75,1)</f>
        <v>0.45</v>
      </c>
      <c r="BD35">
        <f>INT(POWER(((Constants!$G$2+$AW35+$AX35+$AY35+$BA35)*$AZ35)*$BC35, 1.05))+$AV35</f>
        <v>14</v>
      </c>
      <c r="BE35">
        <f>INT(POWER((((Constants!$G$1+$AW35+$AX35+$AY35+$BA35)*($AZ35))*$BB35),IF($D35="wagon",1,1.2)))+$AU35</f>
        <v>37</v>
      </c>
      <c r="BF35" s="15">
        <f t="shared" si="7"/>
        <v>875</v>
      </c>
      <c r="BG35" s="15">
        <f t="shared" si="8"/>
        <v>101.01</v>
      </c>
      <c r="BN35">
        <v>1</v>
      </c>
      <c r="BO35">
        <v>185</v>
      </c>
      <c r="BP35" t="s">
        <v>1090</v>
      </c>
      <c r="BQ35" t="s">
        <v>762</v>
      </c>
      <c r="BR35" t="str">
        <f>VLOOKUP(G35,Eras!$A$2:$C$10, 2, TRUE)</f>
        <v>mod</v>
      </c>
      <c r="BS35" t="s">
        <v>373</v>
      </c>
      <c r="BT35" t="str">
        <f t="shared" si="9"/>
        <v>mod_Open Wagon</v>
      </c>
      <c r="BU35" t="str">
        <f t="shared" si="10"/>
        <v>wagon_RAIL</v>
      </c>
      <c r="BV35" t="str">
        <f>VLOOKUP($BU35, Constants!$M:$N, 2, FALSE)</f>
        <v/>
      </c>
      <c r="BW35" t="str">
        <f t="shared" si="11"/>
        <v/>
      </c>
      <c r="BX35" t="s">
        <v>775</v>
      </c>
      <c r="BY35" t="str">
        <f t="shared" si="26"/>
        <v/>
      </c>
      <c r="BZ35" t="str">
        <f t="shared" si="24"/>
        <v>{SILVER}The MWA is another wagon rebuilt using new bodies on an old frame, resulting in a high capacity bogie open wagon.</v>
      </c>
    </row>
    <row r="36" spans="1:78" x14ac:dyDescent="0.25">
      <c r="A36" t="s">
        <v>777</v>
      </c>
      <c r="B36" t="s">
        <v>779</v>
      </c>
      <c r="C36">
        <v>40</v>
      </c>
      <c r="D36" t="s">
        <v>314</v>
      </c>
      <c r="E36" t="s">
        <v>314</v>
      </c>
      <c r="F36" t="s">
        <v>307</v>
      </c>
      <c r="G36">
        <v>1968</v>
      </c>
      <c r="I36">
        <v>2010</v>
      </c>
      <c r="T36">
        <v>17</v>
      </c>
      <c r="V36">
        <v>15</v>
      </c>
      <c r="X36" s="4" t="str">
        <f t="shared" si="0"/>
        <v/>
      </c>
      <c r="Y36">
        <v>60</v>
      </c>
      <c r="AA36">
        <v>10</v>
      </c>
      <c r="AB36">
        <v>10</v>
      </c>
      <c r="AE36" s="11">
        <v>45</v>
      </c>
      <c r="AF36" t="str">
        <f>CONCATENATE(VLOOKUP(AG36, 'Voxel Sizes'!$A$2:$B$18,2,FALSE),"x",INT(AC36*15), "x", INT(AD36*15))</f>
        <v>102x0x0</v>
      </c>
      <c r="AG36">
        <f t="shared" si="1"/>
        <v>6</v>
      </c>
      <c r="AI36" t="str">
        <f>CONCATENATE(VLOOKUP(AG36,Constants!$A$2:$C$16,IF(AH36&lt;&gt;"", 3, 2), FALSE),IF(AH36&lt;&gt;"",CONCATENATE(",",VLOOKUP(AH36,$B:$AI,34,FALSE)),""))</f>
        <v>2,2,2</v>
      </c>
      <c r="AS36">
        <v>30</v>
      </c>
      <c r="AT36">
        <f t="shared" si="2"/>
        <v>38</v>
      </c>
      <c r="AW36">
        <f t="shared" si="3"/>
        <v>12</v>
      </c>
      <c r="AX36">
        <f t="shared" si="4"/>
        <v>0</v>
      </c>
      <c r="AY36">
        <f t="shared" si="5"/>
        <v>0</v>
      </c>
      <c r="AZ36" s="4">
        <f t="shared" si="25"/>
        <v>0.90933333333333333</v>
      </c>
      <c r="BA36">
        <f t="shared" si="6"/>
        <v>7.5</v>
      </c>
      <c r="BB36">
        <f>VLOOKUP($E36,Constants!$I:$K, 2, FALSE)</f>
        <v>1</v>
      </c>
      <c r="BC36">
        <f>VLOOKUP($E36,Constants!$I:$K, 3, FALSE)*IF(AND(D36="multiple_unit",Y36&lt;110),0.75,1)</f>
        <v>0.45</v>
      </c>
      <c r="BD36">
        <f>INT(POWER(((Constants!$G$2+$AW36+$AX36+$AY36+$BA36)*$AZ36)*$BC36, 1.05))+$AV36</f>
        <v>11</v>
      </c>
      <c r="BE36">
        <f>INT(POWER((((Constants!$G$1+$AW36+$AX36+$AY36+$BA36)*($AZ36))*$BB36),IF($D36="wagon",1,1.2)))+$AU36</f>
        <v>31</v>
      </c>
      <c r="BF36" s="15">
        <f t="shared" si="7"/>
        <v>687.5</v>
      </c>
      <c r="BG36" s="15">
        <f t="shared" si="8"/>
        <v>84.63</v>
      </c>
      <c r="BN36">
        <v>1</v>
      </c>
      <c r="BO36">
        <v>185</v>
      </c>
      <c r="BP36" t="s">
        <v>1090</v>
      </c>
      <c r="BQ36" t="s">
        <v>762</v>
      </c>
      <c r="BR36" t="str">
        <f>VLOOKUP(G36,Eras!$A$2:$C$10, 2, TRUE)</f>
        <v>dsl</v>
      </c>
      <c r="BS36" t="s">
        <v>373</v>
      </c>
      <c r="BT36" t="str">
        <f t="shared" si="9"/>
        <v>dsl_Open Wagon</v>
      </c>
      <c r="BU36" t="str">
        <f t="shared" si="10"/>
        <v>wagon_RAIL</v>
      </c>
      <c r="BV36" t="str">
        <f>VLOOKUP($BU36, Constants!$M:$N, 2, FALSE)</f>
        <v/>
      </c>
      <c r="BW36" t="str">
        <f t="shared" si="11"/>
        <v/>
      </c>
      <c r="BX36" t="s">
        <v>780</v>
      </c>
      <c r="BY36" t="str">
        <f t="shared" si="26"/>
        <v/>
      </c>
      <c r="BZ36" t="str">
        <f t="shared" si="24"/>
        <v>{SILVER}MGR "merry-go-round" hoppers enabled coal trains to load and unload without stopping, emptying coal into discharge hoppers underneath the wagons. In OpenTTD this is represented by faster loading speeds.</v>
      </c>
    </row>
    <row r="37" spans="1:78" x14ac:dyDescent="0.25">
      <c r="A37" t="s">
        <v>778</v>
      </c>
      <c r="B37" t="s">
        <v>235</v>
      </c>
      <c r="C37">
        <v>41</v>
      </c>
      <c r="D37" t="s">
        <v>314</v>
      </c>
      <c r="E37" t="s">
        <v>314</v>
      </c>
      <c r="F37" t="s">
        <v>307</v>
      </c>
      <c r="G37">
        <v>2000</v>
      </c>
      <c r="T37">
        <v>24</v>
      </c>
      <c r="V37">
        <v>15</v>
      </c>
      <c r="X37" s="4" t="str">
        <f t="shared" si="0"/>
        <v/>
      </c>
      <c r="Y37">
        <v>80</v>
      </c>
      <c r="AA37">
        <v>19.7</v>
      </c>
      <c r="AB37">
        <v>19.399999999999999</v>
      </c>
      <c r="AE37" s="11">
        <v>78</v>
      </c>
      <c r="AF37" t="str">
        <f>CONCATENATE(VLOOKUP(AG37, 'Voxel Sizes'!$A$2:$B$18,2,FALSE),"x",INT(AC37*15), "x", INT(AD37*15))</f>
        <v>186x0x0</v>
      </c>
      <c r="AG37">
        <f t="shared" si="1"/>
        <v>11</v>
      </c>
      <c r="AI37" t="str">
        <f>CONCATENATE(VLOOKUP(AG37,Constants!$A$2:$C$16,IF(AH37&lt;&gt;"", 3, 2), FALSE),IF(AH37&lt;&gt;"",CONCATENATE(",",VLOOKUP(AH37,$B:$AI,34,FALSE)),""))</f>
        <v>4,3,4</v>
      </c>
      <c r="AS37">
        <v>30</v>
      </c>
      <c r="AT37" t="str">
        <f t="shared" si="2"/>
        <v/>
      </c>
      <c r="AW37">
        <f t="shared" si="3"/>
        <v>16</v>
      </c>
      <c r="AX37">
        <f t="shared" si="4"/>
        <v>0</v>
      </c>
      <c r="AY37">
        <f t="shared" si="5"/>
        <v>0</v>
      </c>
      <c r="AZ37" s="4">
        <f t="shared" si="25"/>
        <v>0.8666666666666667</v>
      </c>
      <c r="BA37">
        <f t="shared" si="6"/>
        <v>13</v>
      </c>
      <c r="BB37">
        <f>VLOOKUP($E37,Constants!$I:$K, 2, FALSE)</f>
        <v>1</v>
      </c>
      <c r="BC37">
        <f>VLOOKUP($E37,Constants!$I:$K, 3, FALSE)*IF(AND(D37="multiple_unit",Y37&lt;110),0.75,1)</f>
        <v>0.45</v>
      </c>
      <c r="BD37">
        <f>INT(POWER(((Constants!$G$2+$AW37+$AX37+$AY37+$BA37)*$AZ37)*$BC37, 1.05))+$AV37</f>
        <v>15</v>
      </c>
      <c r="BE37">
        <f>INT(POWER((((Constants!$G$1+$AW37+$AX37+$AY37+$BA37)*($AZ37))*$BB37),IF($D37="wagon",1,1.2)))+$AU37</f>
        <v>38</v>
      </c>
      <c r="BF37" s="15">
        <f t="shared" si="7"/>
        <v>937.5</v>
      </c>
      <c r="BG37" s="15">
        <f t="shared" si="8"/>
        <v>103.74</v>
      </c>
      <c r="BN37">
        <v>1</v>
      </c>
      <c r="BO37">
        <v>185</v>
      </c>
      <c r="BP37" t="s">
        <v>1090</v>
      </c>
      <c r="BQ37" t="s">
        <v>762</v>
      </c>
      <c r="BR37" t="str">
        <f>VLOOKUP(G37,Eras!$A$2:$C$10, 2, TRUE)</f>
        <v>prv</v>
      </c>
      <c r="BS37" t="s">
        <v>373</v>
      </c>
      <c r="BT37" t="str">
        <f t="shared" si="9"/>
        <v>prv_Open Wagon</v>
      </c>
      <c r="BU37" t="str">
        <f t="shared" si="10"/>
        <v>wagon_RAIL</v>
      </c>
      <c r="BV37" t="str">
        <f>VLOOKUP($BU37, Constants!$M:$N, 2, FALSE)</f>
        <v/>
      </c>
      <c r="BW37" t="str">
        <f t="shared" si="11"/>
        <v/>
      </c>
      <c r="BX37" t="s">
        <v>776</v>
      </c>
      <c r="BY37" t="str">
        <f t="shared" si="26"/>
        <v/>
      </c>
      <c r="BZ37" t="str">
        <f t="shared" si="24"/>
        <v>{SILVER}The HHA is a large self-discharging hopper built for Freightliner to use on coal trains.</v>
      </c>
    </row>
    <row r="38" spans="1:78" x14ac:dyDescent="0.25">
      <c r="A38" t="s">
        <v>843</v>
      </c>
      <c r="B38" t="s">
        <v>844</v>
      </c>
      <c r="C38">
        <v>50</v>
      </c>
      <c r="D38" t="s">
        <v>314</v>
      </c>
      <c r="E38" t="s">
        <v>314</v>
      </c>
      <c r="F38" t="s">
        <v>307</v>
      </c>
      <c r="G38">
        <v>1930</v>
      </c>
      <c r="I38">
        <v>1970</v>
      </c>
      <c r="T38">
        <v>7</v>
      </c>
      <c r="V38">
        <v>18</v>
      </c>
      <c r="X38" s="4" t="str">
        <f t="shared" si="0"/>
        <v/>
      </c>
      <c r="Y38">
        <v>60</v>
      </c>
      <c r="AA38">
        <v>8</v>
      </c>
      <c r="AB38">
        <v>8</v>
      </c>
      <c r="AE38" s="11">
        <v>27</v>
      </c>
      <c r="AF38" t="str">
        <f>CONCATENATE(VLOOKUP(AG38, 'Voxel Sizes'!$A$2:$B$18,2,FALSE),"x",INT(AC38*15), "x", INT(AD38*15))</f>
        <v>82x0x0</v>
      </c>
      <c r="AG38">
        <f t="shared" si="1"/>
        <v>5</v>
      </c>
      <c r="AI38" t="str">
        <f>CONCATENATE(VLOOKUP(AG38,Constants!$A$2:$C$16,IF(AH38&lt;&gt;"", 3, 2), FALSE),IF(AH38&lt;&gt;"",CONCATENATE(",",VLOOKUP(AH38,$B:$AI,34,FALSE)),""))</f>
        <v>2,1,2</v>
      </c>
      <c r="AS38">
        <v>30</v>
      </c>
      <c r="AT38">
        <f t="shared" si="2"/>
        <v>36</v>
      </c>
      <c r="AW38">
        <f t="shared" si="3"/>
        <v>12</v>
      </c>
      <c r="AX38">
        <f t="shared" si="4"/>
        <v>0</v>
      </c>
      <c r="AY38">
        <f t="shared" si="5"/>
        <v>0</v>
      </c>
      <c r="AZ38" s="4">
        <f t="shared" si="25"/>
        <v>0.96</v>
      </c>
      <c r="BA38">
        <f t="shared" si="6"/>
        <v>4.5</v>
      </c>
      <c r="BB38">
        <f>VLOOKUP($E38,Constants!$I:$K, 2, FALSE)</f>
        <v>1</v>
      </c>
      <c r="BC38">
        <f>VLOOKUP($E38,Constants!$I:$K, 3, FALSE)*IF(AND(D38="multiple_unit",Y38&lt;110),0.75,1)</f>
        <v>0.45</v>
      </c>
      <c r="BD38">
        <f>INT(POWER(((Constants!$G$2+$AW38+$AX38+$AY38+$BA38)*$AZ38)*$BC38, 1.05))+$AV38</f>
        <v>10</v>
      </c>
      <c r="BE38">
        <f>INT(POWER((((Constants!$G$1+$AW38+$AX38+$AY38+$BA38)*($AZ38))*$BB38),IF($D38="wagon",1,1.2)))+$AU38</f>
        <v>30</v>
      </c>
      <c r="BF38" s="15">
        <f t="shared" si="7"/>
        <v>625</v>
      </c>
      <c r="BG38" s="15">
        <f t="shared" si="8"/>
        <v>81.900000000000006</v>
      </c>
      <c r="BN38">
        <v>1</v>
      </c>
      <c r="BO38">
        <v>185</v>
      </c>
      <c r="BP38" t="s">
        <v>1093</v>
      </c>
      <c r="BQ38" t="s">
        <v>319</v>
      </c>
      <c r="BR38" t="str">
        <f>VLOOKUP(G38,Eras!$A$2:$C$10, 2, TRUE)</f>
        <v>big4</v>
      </c>
      <c r="BS38" t="s">
        <v>741</v>
      </c>
      <c r="BT38" t="str">
        <f t="shared" si="9"/>
        <v>big4_Extra</v>
      </c>
      <c r="BU38" t="str">
        <f t="shared" si="10"/>
        <v>wagon_RAIL</v>
      </c>
      <c r="BV38" t="str">
        <f>VLOOKUP($BU38, Constants!$M:$N, 2, FALSE)</f>
        <v/>
      </c>
      <c r="BW38" t="str">
        <f t="shared" si="11"/>
        <v/>
      </c>
      <c r="BX38" t="s">
        <v>845</v>
      </c>
      <c r="BY38" t="str">
        <f t="shared" si="26"/>
        <v/>
      </c>
      <c r="BZ38" t="str">
        <f t="shared" si="24"/>
        <v>{SILVER}Conflats were built to carry containers, meaning goods could be loaded seperately and then the whole container placed on the train in one operation.</v>
      </c>
    </row>
    <row r="39" spans="1:78" x14ac:dyDescent="0.25">
      <c r="A39" t="s">
        <v>812</v>
      </c>
      <c r="B39" t="s">
        <v>813</v>
      </c>
      <c r="C39">
        <v>52</v>
      </c>
      <c r="D39" t="s">
        <v>314</v>
      </c>
      <c r="E39" t="s">
        <v>314</v>
      </c>
      <c r="F39" t="s">
        <v>307</v>
      </c>
      <c r="G39">
        <v>1964</v>
      </c>
      <c r="I39">
        <v>1995</v>
      </c>
      <c r="T39">
        <v>17</v>
      </c>
      <c r="V39">
        <v>18</v>
      </c>
      <c r="X39" s="4" t="str">
        <f t="shared" si="0"/>
        <v/>
      </c>
      <c r="Y39">
        <v>70</v>
      </c>
      <c r="AA39">
        <v>19.3</v>
      </c>
      <c r="AB39">
        <v>19.3</v>
      </c>
      <c r="AE39" s="11">
        <v>60</v>
      </c>
      <c r="AF39" t="str">
        <f>CONCATENATE(VLOOKUP(AG39, 'Voxel Sizes'!$A$2:$B$18,2,FALSE),"x",INT(AC39*15), "x", INT(AD39*15))</f>
        <v>186x0x0</v>
      </c>
      <c r="AG39">
        <f t="shared" si="1"/>
        <v>11</v>
      </c>
      <c r="AI39" t="str">
        <f>CONCATENATE(VLOOKUP(AG39,Constants!$A$2:$C$16,IF(AH39&lt;&gt;"", 3, 2), FALSE),IF(AH39&lt;&gt;"",CONCATENATE(",",VLOOKUP(AH39,$B:$AI,34,FALSE)),""))</f>
        <v>4,3,4</v>
      </c>
      <c r="AS39">
        <v>30</v>
      </c>
      <c r="AT39">
        <f t="shared" si="2"/>
        <v>27</v>
      </c>
      <c r="AW39">
        <f t="shared" si="3"/>
        <v>14</v>
      </c>
      <c r="AX39">
        <f t="shared" si="4"/>
        <v>0</v>
      </c>
      <c r="AY39">
        <f t="shared" si="5"/>
        <v>0</v>
      </c>
      <c r="AZ39" s="4">
        <f t="shared" si="25"/>
        <v>0.91466666666666663</v>
      </c>
      <c r="BA39">
        <f t="shared" si="6"/>
        <v>10</v>
      </c>
      <c r="BB39">
        <f>VLOOKUP($E39,Constants!$I:$K, 2, FALSE)</f>
        <v>1</v>
      </c>
      <c r="BC39">
        <f>VLOOKUP($E39,Constants!$I:$K, 3, FALSE)*IF(AND(D39="multiple_unit",Y39&lt;110),0.75,1)</f>
        <v>0.45</v>
      </c>
      <c r="BD39">
        <f>INT(POWER(((Constants!$G$2+$AW39+$AX39+$AY39+$BA39)*$AZ39)*$BC39, 1.05))+$AV39</f>
        <v>13</v>
      </c>
      <c r="BE39">
        <f>INT(POWER((((Constants!$G$1+$AW39+$AX39+$AY39+$BA39)*($AZ39))*$BB39),IF($D39="wagon",1,1.2)))+$AU39</f>
        <v>35</v>
      </c>
      <c r="BF39" s="15">
        <f t="shared" si="7"/>
        <v>812.5</v>
      </c>
      <c r="BG39" s="15">
        <f t="shared" si="8"/>
        <v>95.55</v>
      </c>
      <c r="BN39">
        <v>1</v>
      </c>
      <c r="BO39">
        <v>185</v>
      </c>
      <c r="BP39" t="s">
        <v>1093</v>
      </c>
      <c r="BQ39" t="s">
        <v>319</v>
      </c>
      <c r="BR39" t="str">
        <f>VLOOKUP(G39,Eras!$A$2:$C$10, 2, TRUE)</f>
        <v>dsl</v>
      </c>
      <c r="BS39" t="s">
        <v>741</v>
      </c>
      <c r="BT39" t="str">
        <f t="shared" si="9"/>
        <v>dsl_Extra</v>
      </c>
      <c r="BU39" t="str">
        <f t="shared" si="10"/>
        <v>wagon_RAIL</v>
      </c>
      <c r="BV39" t="str">
        <f>VLOOKUP($BU39, Constants!$M:$N, 2, FALSE)</f>
        <v/>
      </c>
      <c r="BW39" t="str">
        <f t="shared" si="11"/>
        <v/>
      </c>
      <c r="BX39" t="s">
        <v>846</v>
      </c>
      <c r="BY39" t="str">
        <f t="shared" si="26"/>
        <v/>
      </c>
      <c r="BZ39" t="str">
        <f t="shared" si="24"/>
        <v>{SILVER}The FFA container wagons were a major advance over short-wheelbase conflats when built, and being easily adapted to the then-new ISO container standard only increased this advantage.</v>
      </c>
    </row>
    <row r="40" spans="1:78" x14ac:dyDescent="0.25">
      <c r="A40" t="s">
        <v>814</v>
      </c>
      <c r="B40" t="s">
        <v>815</v>
      </c>
      <c r="C40">
        <v>54</v>
      </c>
      <c r="D40" t="s">
        <v>314</v>
      </c>
      <c r="E40" t="s">
        <v>314</v>
      </c>
      <c r="F40" t="s">
        <v>307</v>
      </c>
      <c r="G40">
        <v>1991</v>
      </c>
      <c r="T40">
        <v>17</v>
      </c>
      <c r="V40">
        <v>18</v>
      </c>
      <c r="X40" s="4" t="str">
        <f t="shared" si="0"/>
        <v/>
      </c>
      <c r="Y40">
        <v>90</v>
      </c>
      <c r="AA40">
        <v>19.3</v>
      </c>
      <c r="AB40">
        <v>19.3</v>
      </c>
      <c r="AE40" s="11">
        <v>60</v>
      </c>
      <c r="AF40" t="str">
        <f>CONCATENATE(VLOOKUP(AG40, 'Voxel Sizes'!$A$2:$B$18,2,FALSE),"x",INT(AC40*15), "x", INT(AD40*15))</f>
        <v>186x0x0</v>
      </c>
      <c r="AG40">
        <f t="shared" si="1"/>
        <v>11</v>
      </c>
      <c r="AI40" t="str">
        <f>CONCATENATE(VLOOKUP(AG40,Constants!$A$2:$C$16,IF(AH40&lt;&gt;"", 3, 2), FALSE),IF(AH40&lt;&gt;"",CONCATENATE(",",VLOOKUP(AH40,$B:$AI,34,FALSE)),""))</f>
        <v>4,3,4</v>
      </c>
      <c r="AS40">
        <v>30</v>
      </c>
      <c r="AT40" t="str">
        <f t="shared" si="2"/>
        <v/>
      </c>
      <c r="AW40">
        <f t="shared" si="3"/>
        <v>18</v>
      </c>
      <c r="AX40">
        <f t="shared" si="4"/>
        <v>0</v>
      </c>
      <c r="AY40">
        <f t="shared" si="5"/>
        <v>0</v>
      </c>
      <c r="AZ40" s="4">
        <f t="shared" si="25"/>
        <v>0.87866666666666671</v>
      </c>
      <c r="BA40">
        <f t="shared" si="6"/>
        <v>10</v>
      </c>
      <c r="BB40">
        <f>VLOOKUP($E40,Constants!$I:$K, 2, FALSE)</f>
        <v>1</v>
      </c>
      <c r="BC40">
        <f>VLOOKUP($E40,Constants!$I:$K, 3, FALSE)*IF(AND(D40="multiple_unit",Y40&lt;110),0.75,1)</f>
        <v>0.45</v>
      </c>
      <c r="BD40">
        <f>INT(POWER(((Constants!$G$2+$AW40+$AX40+$AY40+$BA40)*$AZ40)*$BC40, 1.05))+$AV40</f>
        <v>14</v>
      </c>
      <c r="BE40">
        <f>INT(POWER((((Constants!$G$1+$AW40+$AX40+$AY40+$BA40)*($AZ40))*$BB40),IF($D40="wagon",1,1.2)))+$AU40</f>
        <v>37</v>
      </c>
      <c r="BF40" s="15">
        <f t="shared" si="7"/>
        <v>875</v>
      </c>
      <c r="BG40" s="15">
        <f t="shared" si="8"/>
        <v>101.01</v>
      </c>
      <c r="BN40">
        <v>1</v>
      </c>
      <c r="BO40">
        <v>185</v>
      </c>
      <c r="BP40" t="s">
        <v>1093</v>
      </c>
      <c r="BQ40" t="s">
        <v>319</v>
      </c>
      <c r="BR40" t="str">
        <f>VLOOKUP(G40,Eras!$A$2:$C$10, 2, TRUE)</f>
        <v>lbr</v>
      </c>
      <c r="BS40" t="s">
        <v>741</v>
      </c>
      <c r="BT40" t="str">
        <f t="shared" si="9"/>
        <v>lbr_Extra</v>
      </c>
      <c r="BU40" t="str">
        <f t="shared" si="10"/>
        <v>wagon_RAIL</v>
      </c>
      <c r="BV40" t="str">
        <f>VLOOKUP($BU40, Constants!$M:$N, 2, FALSE)</f>
        <v/>
      </c>
      <c r="BW40" t="str">
        <f t="shared" si="11"/>
        <v/>
      </c>
      <c r="BX40" t="s">
        <v>847</v>
      </c>
      <c r="BY40" t="str">
        <f t="shared" si="26"/>
        <v/>
      </c>
      <c r="BZ40" t="str">
        <f t="shared" si="24"/>
        <v>{SILVER}Freightliner had considered replacing the FFA wagons with a shorter 40ft container flat, but the poor running quality of fixed axle wagons resulted in the choice of another standard bogie flat.</v>
      </c>
    </row>
    <row r="41" spans="1:78" x14ac:dyDescent="0.25">
      <c r="A41" t="s">
        <v>848</v>
      </c>
      <c r="B41" t="s">
        <v>849</v>
      </c>
      <c r="C41">
        <v>56</v>
      </c>
      <c r="D41" t="s">
        <v>314</v>
      </c>
      <c r="E41" t="s">
        <v>314</v>
      </c>
      <c r="F41" t="s">
        <v>307</v>
      </c>
      <c r="G41">
        <v>1997</v>
      </c>
      <c r="T41">
        <v>23</v>
      </c>
      <c r="V41">
        <v>18</v>
      </c>
      <c r="X41" s="4" t="str">
        <f t="shared" si="0"/>
        <v/>
      </c>
      <c r="Y41">
        <v>90</v>
      </c>
      <c r="AA41">
        <v>19.3</v>
      </c>
      <c r="AB41">
        <v>19.3</v>
      </c>
      <c r="AE41" s="11">
        <v>51</v>
      </c>
      <c r="AF41" t="str">
        <f>CONCATENATE(VLOOKUP(AG41, 'Voxel Sizes'!$A$2:$B$18,2,FALSE),"x",INT(AC41*15), "x", INT(AD41*15))</f>
        <v>186x0x0</v>
      </c>
      <c r="AG41">
        <f t="shared" si="1"/>
        <v>11</v>
      </c>
      <c r="AI41" t="str">
        <f>CONCATENATE(VLOOKUP(AG41,Constants!$A$2:$C$16,IF(AH41&lt;&gt;"", 3, 2), FALSE),IF(AH41&lt;&gt;"",CONCATENATE(",",VLOOKUP(AH41,$B:$AI,34,FALSE)),""))</f>
        <v>4,3,4</v>
      </c>
      <c r="AS41">
        <v>30</v>
      </c>
      <c r="AT41" t="str">
        <f t="shared" si="2"/>
        <v/>
      </c>
      <c r="AW41">
        <f t="shared" si="3"/>
        <v>18</v>
      </c>
      <c r="AX41">
        <f t="shared" si="4"/>
        <v>0</v>
      </c>
      <c r="AY41">
        <f t="shared" si="5"/>
        <v>0</v>
      </c>
      <c r="AZ41" s="4">
        <f t="shared" si="25"/>
        <v>0.8706666666666667</v>
      </c>
      <c r="BA41">
        <f t="shared" si="6"/>
        <v>8.5</v>
      </c>
      <c r="BB41">
        <f>VLOOKUP($E41,Constants!$I:$K, 2, FALSE)</f>
        <v>1</v>
      </c>
      <c r="BC41">
        <f>VLOOKUP($E41,Constants!$I:$K, 3, FALSE)*IF(AND(D41="multiple_unit",Y41&lt;110),0.75,1)</f>
        <v>0.45</v>
      </c>
      <c r="BD41">
        <f>INT(POWER(((Constants!$G$2+$AW41+$AX41+$AY41+$BA41)*$AZ41)*$BC41, 1.05))+$AV41</f>
        <v>13</v>
      </c>
      <c r="BE41">
        <f>INT(POWER((((Constants!$G$1+$AW41+$AX41+$AY41+$BA41)*($AZ41))*$BB41),IF($D41="wagon",1,1.2)))+$AU41</f>
        <v>36</v>
      </c>
      <c r="BF41" s="15">
        <f t="shared" si="7"/>
        <v>812.5</v>
      </c>
      <c r="BG41" s="15">
        <f t="shared" si="8"/>
        <v>98.28</v>
      </c>
      <c r="BN41">
        <v>1</v>
      </c>
      <c r="BO41">
        <v>185</v>
      </c>
      <c r="BP41" t="s">
        <v>1093</v>
      </c>
      <c r="BQ41" t="s">
        <v>319</v>
      </c>
      <c r="BR41" t="str">
        <f>VLOOKUP(G41,Eras!$A$2:$C$10, 2, TRUE)</f>
        <v>prv</v>
      </c>
      <c r="BS41" t="s">
        <v>741</v>
      </c>
      <c r="BT41" t="str">
        <f t="shared" si="9"/>
        <v>prv_Extra</v>
      </c>
      <c r="BU41" t="str">
        <f t="shared" si="10"/>
        <v>wagon_RAIL</v>
      </c>
      <c r="BV41" t="str">
        <f>VLOOKUP($BU41, Constants!$M:$N, 2, FALSE)</f>
        <v/>
      </c>
      <c r="BW41" t="str">
        <f t="shared" si="11"/>
        <v/>
      </c>
      <c r="BX41" t="s">
        <v>860</v>
      </c>
      <c r="BY41" t="str">
        <f t="shared" si="26"/>
        <v/>
      </c>
      <c r="BZ41" t="str">
        <f t="shared" si="24"/>
        <v>{SILVER}KTA wagons solve the problem of carrying high-cube containers in the small British loading gauge, using a "pocket" between the axles that can take either a single 40ft container or two 20ft ones.</v>
      </c>
    </row>
    <row r="42" spans="1:78" x14ac:dyDescent="0.25">
      <c r="A42" t="s">
        <v>828</v>
      </c>
      <c r="B42" t="s">
        <v>830</v>
      </c>
      <c r="C42">
        <v>60</v>
      </c>
      <c r="D42" t="s">
        <v>314</v>
      </c>
      <c r="E42" t="s">
        <v>314</v>
      </c>
      <c r="F42" t="s">
        <v>307</v>
      </c>
      <c r="G42">
        <v>1850</v>
      </c>
      <c r="I42">
        <v>1924</v>
      </c>
      <c r="T42">
        <v>5</v>
      </c>
      <c r="V42">
        <v>5</v>
      </c>
      <c r="X42" s="4" t="str">
        <f t="shared" si="0"/>
        <v/>
      </c>
      <c r="Y42">
        <v>35</v>
      </c>
      <c r="AA42">
        <v>6</v>
      </c>
      <c r="AB42">
        <v>6</v>
      </c>
      <c r="AE42" s="11">
        <v>24</v>
      </c>
      <c r="AF42" t="str">
        <f>CONCATENATE(VLOOKUP(AG42, 'Voxel Sizes'!$A$2:$B$18,2,FALSE),"x",INT(AC42*15), "x", INT(AD42*15))</f>
        <v>60x0x0</v>
      </c>
      <c r="AG42">
        <f t="shared" si="1"/>
        <v>4</v>
      </c>
      <c r="AI42" t="str">
        <f>CONCATENATE(VLOOKUP(AG42,Constants!$A$2:$C$16,IF(AH42&lt;&gt;"", 3, 2), FALSE),IF(AH42&lt;&gt;"",CONCATENATE(",",VLOOKUP(AH42,$B:$AI,34,FALSE)),""))</f>
        <v>1,2,1</v>
      </c>
      <c r="AS42">
        <v>30</v>
      </c>
      <c r="AT42">
        <f t="shared" si="2"/>
        <v>70</v>
      </c>
      <c r="AW42">
        <f t="shared" si="3"/>
        <v>7</v>
      </c>
      <c r="AX42">
        <f t="shared" si="4"/>
        <v>0</v>
      </c>
      <c r="AY42">
        <f t="shared" si="5"/>
        <v>0</v>
      </c>
      <c r="AZ42" s="4">
        <f t="shared" si="25"/>
        <v>1</v>
      </c>
      <c r="BA42">
        <f t="shared" si="6"/>
        <v>4</v>
      </c>
      <c r="BB42">
        <f>VLOOKUP($E42,Constants!$I:$K, 2, FALSE)</f>
        <v>1</v>
      </c>
      <c r="BC42">
        <f>VLOOKUP($E42,Constants!$I:$K, 3, FALSE)*IF(AND(D42="multiple_unit",Y42&lt;110),0.75,1)</f>
        <v>0.45</v>
      </c>
      <c r="BD42">
        <f>INT(POWER(((Constants!$G$2+$AW42+$AX42+$AY42+$BA42)*$AZ42)*$BC42, 1.05))+$AV42</f>
        <v>7</v>
      </c>
      <c r="BE42">
        <f>INT(POWER((((Constants!$G$1+$AW42+$AX42+$AY42+$BA42)*($AZ42))*$BB42),IF($D42="wagon",1,1.2)))+$AU42</f>
        <v>26</v>
      </c>
      <c r="BF42" s="15">
        <f t="shared" si="7"/>
        <v>437.5</v>
      </c>
      <c r="BG42" s="15">
        <f t="shared" si="8"/>
        <v>70.98</v>
      </c>
      <c r="BN42">
        <v>1</v>
      </c>
      <c r="BO42">
        <v>185</v>
      </c>
      <c r="BP42" t="s">
        <v>1092</v>
      </c>
      <c r="BQ42" t="s">
        <v>444</v>
      </c>
      <c r="BR42" t="str">
        <f>VLOOKUP(G42,Eras!$A$2:$C$10, 2, TRUE)</f>
        <v>vct</v>
      </c>
      <c r="BS42" t="s">
        <v>374</v>
      </c>
      <c r="BT42" t="str">
        <f t="shared" si="9"/>
        <v>vct_Flat Wagon</v>
      </c>
      <c r="BU42" t="str">
        <f t="shared" si="10"/>
        <v>wagon_RAIL</v>
      </c>
      <c r="BV42" t="str">
        <f>VLOOKUP($BU42, Constants!$M:$N, 2, FALSE)</f>
        <v/>
      </c>
      <c r="BW42" t="str">
        <f t="shared" si="11"/>
        <v/>
      </c>
      <c r="BX42" t="s">
        <v>829</v>
      </c>
      <c r="BY42" t="str">
        <f t="shared" si="26"/>
        <v/>
      </c>
      <c r="BZ42" t="str">
        <f t="shared" si="24"/>
        <v>{SILVER}Flat wagons carried goods such as metal pipes and wood, where a flat surface with bolsters for tying loads down was most convenient.</v>
      </c>
    </row>
    <row r="43" spans="1:78" x14ac:dyDescent="0.25">
      <c r="A43" t="s">
        <v>442</v>
      </c>
      <c r="B43" t="s">
        <v>443</v>
      </c>
      <c r="C43">
        <v>62</v>
      </c>
      <c r="D43" t="s">
        <v>314</v>
      </c>
      <c r="E43" t="s">
        <v>314</v>
      </c>
      <c r="F43" t="s">
        <v>307</v>
      </c>
      <c r="G43">
        <v>1906</v>
      </c>
      <c r="I43">
        <v>1960</v>
      </c>
      <c r="T43">
        <v>7</v>
      </c>
      <c r="V43">
        <v>5</v>
      </c>
      <c r="X43" s="4" t="str">
        <f t="shared" si="0"/>
        <v/>
      </c>
      <c r="Y43">
        <v>45</v>
      </c>
      <c r="AA43">
        <v>8</v>
      </c>
      <c r="AB43">
        <v>8</v>
      </c>
      <c r="AE43" s="11">
        <v>24</v>
      </c>
      <c r="AF43" t="str">
        <f>CONCATENATE(VLOOKUP(AG43, 'Voxel Sizes'!$A$2:$B$18,2,FALSE),"x",INT(AC43*15), "x", INT(AD43*15))</f>
        <v>82x0x0</v>
      </c>
      <c r="AG43">
        <f t="shared" si="1"/>
        <v>5</v>
      </c>
      <c r="AI43" t="str">
        <f>CONCATENATE(VLOOKUP(AG43,Constants!$A$2:$C$16,IF(AH43&lt;&gt;"", 3, 2), FALSE),IF(AH43&lt;&gt;"",CONCATENATE(",",VLOOKUP(AH43,$B:$AI,34,FALSE)),""))</f>
        <v>2,1,2</v>
      </c>
      <c r="AS43">
        <v>30</v>
      </c>
      <c r="AT43">
        <f t="shared" si="2"/>
        <v>50</v>
      </c>
      <c r="AW43">
        <f t="shared" si="3"/>
        <v>9</v>
      </c>
      <c r="AX43">
        <f t="shared" si="4"/>
        <v>0</v>
      </c>
      <c r="AY43">
        <f t="shared" si="5"/>
        <v>0</v>
      </c>
      <c r="AZ43" s="4">
        <f t="shared" si="25"/>
        <v>0.99199999999999999</v>
      </c>
      <c r="BA43">
        <f t="shared" si="6"/>
        <v>4</v>
      </c>
      <c r="BB43">
        <f>VLOOKUP($E43,Constants!$I:$K, 2, FALSE)</f>
        <v>1</v>
      </c>
      <c r="BC43">
        <f>VLOOKUP($E43,Constants!$I:$K, 3, FALSE)*IF(AND(D43="multiple_unit",Y43&lt;110),0.75,1)</f>
        <v>0.45</v>
      </c>
      <c r="BD43">
        <f>INT(POWER(((Constants!$G$2+$AW43+$AX43+$AY43+$BA43)*$AZ43)*$BC43, 1.05))+$AV43</f>
        <v>8</v>
      </c>
      <c r="BE43">
        <f>INT(POWER((((Constants!$G$1+$AW43+$AX43+$AY43+$BA43)*($AZ43))*$BB43),IF($D43="wagon",1,1.2)))+$AU43</f>
        <v>27</v>
      </c>
      <c r="BF43" s="15">
        <f t="shared" si="7"/>
        <v>500</v>
      </c>
      <c r="BG43" s="15">
        <f t="shared" si="8"/>
        <v>73.709999999999994</v>
      </c>
      <c r="BN43">
        <v>1</v>
      </c>
      <c r="BO43">
        <v>185</v>
      </c>
      <c r="BP43" t="s">
        <v>1092</v>
      </c>
      <c r="BQ43" t="s">
        <v>444</v>
      </c>
      <c r="BR43" t="str">
        <f>VLOOKUP(G43,Eras!$A$2:$C$10, 2, TRUE)</f>
        <v>edw</v>
      </c>
      <c r="BS43" t="s">
        <v>374</v>
      </c>
      <c r="BT43" t="str">
        <f t="shared" si="9"/>
        <v>edw_Flat Wagon</v>
      </c>
      <c r="BU43" t="str">
        <f t="shared" si="10"/>
        <v>wagon_RAIL</v>
      </c>
      <c r="BV43" t="str">
        <f>VLOOKUP($BU43, Constants!$M:$N, 2, FALSE)</f>
        <v/>
      </c>
      <c r="BW43" t="str">
        <f t="shared" si="11"/>
        <v/>
      </c>
      <c r="BX43" t="s">
        <v>445</v>
      </c>
      <c r="BY43" t="str">
        <f t="shared" si="26"/>
        <v/>
      </c>
      <c r="BZ43" t="str">
        <f t="shared" si="24"/>
        <v>{SILVER}"Beaver" was the GWR telegraph code for a flat wagon, with an additional letter used to identify the length.</v>
      </c>
    </row>
    <row r="44" spans="1:78" x14ac:dyDescent="0.25">
      <c r="A44" t="s">
        <v>138</v>
      </c>
      <c r="B44" t="s">
        <v>811</v>
      </c>
      <c r="C44">
        <v>64</v>
      </c>
      <c r="D44" t="s">
        <v>314</v>
      </c>
      <c r="E44" t="s">
        <v>314</v>
      </c>
      <c r="F44" t="s">
        <v>307</v>
      </c>
      <c r="G44">
        <v>1916</v>
      </c>
      <c r="I44">
        <v>1965</v>
      </c>
      <c r="T44">
        <v>14</v>
      </c>
      <c r="V44">
        <v>6</v>
      </c>
      <c r="X44" s="4" t="str">
        <f t="shared" si="0"/>
        <v/>
      </c>
      <c r="Y44">
        <v>45</v>
      </c>
      <c r="AA44">
        <v>15.2</v>
      </c>
      <c r="AB44">
        <v>15.2</v>
      </c>
      <c r="AE44" s="11">
        <v>42</v>
      </c>
      <c r="AF44" t="str">
        <f>CONCATENATE(VLOOKUP(AG44, 'Voxel Sizes'!$A$2:$B$18,2,FALSE),"x",INT(AC44*15), "x", INT(AD44*15))</f>
        <v>152x0x0</v>
      </c>
      <c r="AG44">
        <f t="shared" si="1"/>
        <v>9</v>
      </c>
      <c r="AI44" t="str">
        <f>CONCATENATE(VLOOKUP(AG44,Constants!$A$2:$C$16,IF(AH44&lt;&gt;"", 3, 2), FALSE),IF(AH44&lt;&gt;"",CONCATENATE(",",VLOOKUP(AH44,$B:$AI,34,FALSE)),""))</f>
        <v>2,5,2</v>
      </c>
      <c r="AS44">
        <v>30</v>
      </c>
      <c r="AT44">
        <f t="shared" si="2"/>
        <v>45</v>
      </c>
      <c r="AW44">
        <f t="shared" si="3"/>
        <v>9</v>
      </c>
      <c r="AX44">
        <f t="shared" si="4"/>
        <v>0</v>
      </c>
      <c r="AY44">
        <f t="shared" si="5"/>
        <v>0</v>
      </c>
      <c r="AZ44" s="4">
        <f t="shared" si="25"/>
        <v>0.97866666666666668</v>
      </c>
      <c r="BA44">
        <f t="shared" si="6"/>
        <v>7.0000000000000009</v>
      </c>
      <c r="BB44">
        <f>VLOOKUP($E44,Constants!$I:$K, 2, FALSE)</f>
        <v>1</v>
      </c>
      <c r="BC44">
        <f>VLOOKUP($E44,Constants!$I:$K, 3, FALSE)*IF(AND(D44="multiple_unit",Y44&lt;110),0.75,1)</f>
        <v>0.45</v>
      </c>
      <c r="BD44">
        <f>INT(POWER(((Constants!$G$2+$AW44+$AX44+$AY44+$BA44)*$AZ44)*$BC44, 1.05))+$AV44</f>
        <v>10</v>
      </c>
      <c r="BE44">
        <f>INT(POWER((((Constants!$G$1+$AW44+$AX44+$AY44+$BA44)*($AZ44))*$BB44),IF($D44="wagon",1,1.2)))+$AU44</f>
        <v>30</v>
      </c>
      <c r="BF44" s="15">
        <f t="shared" si="7"/>
        <v>625</v>
      </c>
      <c r="BG44" s="15">
        <f t="shared" si="8"/>
        <v>81.900000000000006</v>
      </c>
      <c r="BN44">
        <v>1</v>
      </c>
      <c r="BO44">
        <v>185</v>
      </c>
      <c r="BP44" t="s">
        <v>1092</v>
      </c>
      <c r="BQ44" t="s">
        <v>444</v>
      </c>
      <c r="BR44" t="str">
        <f>VLOOKUP(G44,Eras!$A$2:$C$10, 2, TRUE)</f>
        <v>edw</v>
      </c>
      <c r="BS44" t="s">
        <v>374</v>
      </c>
      <c r="BT44" t="str">
        <f t="shared" si="9"/>
        <v>edw_Flat Wagon</v>
      </c>
      <c r="BU44" t="str">
        <f t="shared" si="10"/>
        <v>wagon_RAIL</v>
      </c>
      <c r="BV44" t="str">
        <f>VLOOKUP($BU44, Constants!$M:$N, 2, FALSE)</f>
        <v/>
      </c>
      <c r="BW44" t="str">
        <f t="shared" si="11"/>
        <v/>
      </c>
      <c r="BX44" t="s">
        <v>810</v>
      </c>
      <c r="BY44" t="str">
        <f t="shared" si="26"/>
        <v/>
      </c>
      <c r="BZ44" t="str">
        <f t="shared" si="24"/>
        <v>{SILVER}Bolster wagons were some of the earliest goods vehicles to use bogies rather than fixed axles. The wooden bolsters running across the wagon made long, rigid loads easy to tie down.</v>
      </c>
    </row>
    <row r="45" spans="1:78" x14ac:dyDescent="0.25">
      <c r="A45" t="s">
        <v>816</v>
      </c>
      <c r="B45" t="s">
        <v>817</v>
      </c>
      <c r="C45">
        <v>66</v>
      </c>
      <c r="D45" t="s">
        <v>314</v>
      </c>
      <c r="E45" t="s">
        <v>314</v>
      </c>
      <c r="F45" t="s">
        <v>307</v>
      </c>
      <c r="G45">
        <v>1925</v>
      </c>
      <c r="I45">
        <v>1970</v>
      </c>
      <c r="T45">
        <v>7</v>
      </c>
      <c r="V45">
        <v>5</v>
      </c>
      <c r="X45" s="4" t="str">
        <f t="shared" si="0"/>
        <v/>
      </c>
      <c r="Y45">
        <v>50</v>
      </c>
      <c r="AA45">
        <v>10</v>
      </c>
      <c r="AB45">
        <v>10</v>
      </c>
      <c r="AE45" s="11">
        <v>30</v>
      </c>
      <c r="AF45" t="str">
        <f>CONCATENATE(VLOOKUP(AG45, 'Voxel Sizes'!$A$2:$B$18,2,FALSE),"x",INT(AC45*15), "x", INT(AD45*15))</f>
        <v>102x0x0</v>
      </c>
      <c r="AG45">
        <f t="shared" si="1"/>
        <v>6</v>
      </c>
      <c r="AI45" t="str">
        <f>CONCATENATE(VLOOKUP(AG45,Constants!$A$2:$C$16,IF(AH45&lt;&gt;"", 3, 2), FALSE),IF(AH45&lt;&gt;"",CONCATENATE(",",VLOOKUP(AH45,$B:$AI,34,FALSE)),""))</f>
        <v>2,2,2</v>
      </c>
      <c r="AS45">
        <v>30</v>
      </c>
      <c r="AT45">
        <f t="shared" si="2"/>
        <v>41</v>
      </c>
      <c r="AW45">
        <f t="shared" si="3"/>
        <v>10</v>
      </c>
      <c r="AX45">
        <f t="shared" si="4"/>
        <v>0</v>
      </c>
      <c r="AY45">
        <f t="shared" si="5"/>
        <v>0</v>
      </c>
      <c r="AZ45" s="4">
        <f t="shared" si="25"/>
        <v>0.96666666666666667</v>
      </c>
      <c r="BA45">
        <f t="shared" si="6"/>
        <v>5</v>
      </c>
      <c r="BB45">
        <f>VLOOKUP($E45,Constants!$I:$K, 2, FALSE)</f>
        <v>1</v>
      </c>
      <c r="BC45">
        <f>VLOOKUP($E45,Constants!$I:$K, 3, FALSE)*IF(AND(D45="multiple_unit",Y45&lt;110),0.75,1)</f>
        <v>0.45</v>
      </c>
      <c r="BD45">
        <f>INT(POWER(((Constants!$G$2+$AW45+$AX45+$AY45+$BA45)*$AZ45)*$BC45, 1.05))+$AV45</f>
        <v>9</v>
      </c>
      <c r="BE45">
        <f>INT(POWER((((Constants!$G$1+$AW45+$AX45+$AY45+$BA45)*($AZ45))*$BB45),IF($D45="wagon",1,1.2)))+$AU45</f>
        <v>29</v>
      </c>
      <c r="BF45" s="15">
        <f t="shared" si="7"/>
        <v>562.5</v>
      </c>
      <c r="BG45" s="15">
        <f t="shared" si="8"/>
        <v>79.17</v>
      </c>
      <c r="BN45">
        <v>1</v>
      </c>
      <c r="BO45">
        <v>185</v>
      </c>
      <c r="BP45" t="s">
        <v>1092</v>
      </c>
      <c r="BQ45" t="s">
        <v>444</v>
      </c>
      <c r="BR45" t="str">
        <f>VLOOKUP(G45,Eras!$A$2:$C$10, 2, TRUE)</f>
        <v>big4</v>
      </c>
      <c r="BS45" t="s">
        <v>374</v>
      </c>
      <c r="BT45" t="str">
        <f t="shared" si="9"/>
        <v>big4_Flat Wagon</v>
      </c>
      <c r="BU45" t="str">
        <f t="shared" si="10"/>
        <v>wagon_RAIL</v>
      </c>
      <c r="BV45" t="str">
        <f>VLOOKUP($BU45, Constants!$M:$N, 2, FALSE)</f>
        <v/>
      </c>
      <c r="BW45" t="str">
        <f t="shared" si="11"/>
        <v/>
      </c>
      <c r="BX45" t="s">
        <v>818</v>
      </c>
      <c r="BY45" t="str">
        <f t="shared" si="26"/>
        <v/>
      </c>
      <c r="BZ45" t="str">
        <f t="shared" si="24"/>
        <v>{SILVER}The LMS built double bolsters to carry welded rail, with single rails laid across multiple bolster wagons.</v>
      </c>
    </row>
    <row r="46" spans="1:78" x14ac:dyDescent="0.25">
      <c r="A46" t="s">
        <v>822</v>
      </c>
      <c r="B46" t="s">
        <v>823</v>
      </c>
      <c r="C46">
        <v>68</v>
      </c>
      <c r="D46" t="s">
        <v>314</v>
      </c>
      <c r="E46" t="s">
        <v>314</v>
      </c>
      <c r="F46" t="s">
        <v>307</v>
      </c>
      <c r="G46">
        <v>1949</v>
      </c>
      <c r="I46">
        <v>2010</v>
      </c>
      <c r="T46">
        <v>16</v>
      </c>
      <c r="V46">
        <v>7</v>
      </c>
      <c r="X46" s="4" t="str">
        <f t="shared" si="0"/>
        <v/>
      </c>
      <c r="Y46">
        <v>60</v>
      </c>
      <c r="AA46">
        <v>15.8</v>
      </c>
      <c r="AB46">
        <v>19.8</v>
      </c>
      <c r="AE46" s="11">
        <f>19*3</f>
        <v>57</v>
      </c>
      <c r="AF46" t="str">
        <f>CONCATENATE(VLOOKUP(AG46, 'Voxel Sizes'!$A$2:$B$18,2,FALSE),"x",INT(AC46*15), "x", INT(AD46*15))</f>
        <v>198x0x0</v>
      </c>
      <c r="AG46">
        <f t="shared" si="1"/>
        <v>12</v>
      </c>
      <c r="AI46" t="str">
        <f>CONCATENATE(VLOOKUP(AG46,Constants!$A$2:$C$16,IF(AH46&lt;&gt;"", 3, 2), FALSE),IF(AH46&lt;&gt;"",CONCATENATE(",",VLOOKUP(AH46,$B:$AI,34,FALSE)),""))</f>
        <v>4,4,4</v>
      </c>
      <c r="AS46">
        <v>30</v>
      </c>
      <c r="AT46">
        <f t="shared" si="2"/>
        <v>57</v>
      </c>
      <c r="AW46">
        <f t="shared" si="3"/>
        <v>12</v>
      </c>
      <c r="AX46">
        <f t="shared" si="4"/>
        <v>0</v>
      </c>
      <c r="AY46">
        <f t="shared" si="5"/>
        <v>0</v>
      </c>
      <c r="AZ46" s="4">
        <f t="shared" si="25"/>
        <v>0.93466666666666665</v>
      </c>
      <c r="BA46">
        <f t="shared" si="6"/>
        <v>9.5</v>
      </c>
      <c r="BB46">
        <f>VLOOKUP($E46,Constants!$I:$K, 2, FALSE)</f>
        <v>1</v>
      </c>
      <c r="BC46">
        <f>VLOOKUP($E46,Constants!$I:$K, 3, FALSE)*IF(AND(D46="multiple_unit",Y46&lt;110),0.75,1)</f>
        <v>0.45</v>
      </c>
      <c r="BD46">
        <f>INT(POWER(((Constants!$G$2+$AW46+$AX46+$AY46+$BA46)*$AZ46)*$BC46, 1.05))+$AV46</f>
        <v>12</v>
      </c>
      <c r="BE46">
        <f>INT(POWER((((Constants!$G$1+$AW46+$AX46+$AY46+$BA46)*($AZ46))*$BB46),IF($D46="wagon",1,1.2)))+$AU46</f>
        <v>34</v>
      </c>
      <c r="BF46" s="15">
        <f t="shared" si="7"/>
        <v>750</v>
      </c>
      <c r="BG46" s="15">
        <f t="shared" si="8"/>
        <v>92.82</v>
      </c>
      <c r="BN46">
        <v>1</v>
      </c>
      <c r="BO46">
        <v>185</v>
      </c>
      <c r="BP46" t="s">
        <v>1092</v>
      </c>
      <c r="BQ46" t="s">
        <v>444</v>
      </c>
      <c r="BR46" t="str">
        <f>VLOOKUP(G46,Eras!$A$2:$C$10, 2, TRUE)</f>
        <v>ebr</v>
      </c>
      <c r="BS46" t="s">
        <v>374</v>
      </c>
      <c r="BT46" t="str">
        <f t="shared" si="9"/>
        <v>ebr_Flat Wagon</v>
      </c>
      <c r="BU46" t="str">
        <f t="shared" si="10"/>
        <v>wagon_RAIL</v>
      </c>
      <c r="BV46" t="str">
        <f>VLOOKUP($BU46, Constants!$M:$N, 2, FALSE)</f>
        <v/>
      </c>
      <c r="BW46" t="str">
        <f t="shared" si="11"/>
        <v/>
      </c>
      <c r="BX46" t="s">
        <v>824</v>
      </c>
      <c r="BY46" t="str">
        <f t="shared" si="26"/>
        <v/>
      </c>
      <c r="BZ46" t="str">
        <f t="shared" si="24"/>
        <v>{SILVER}The "Salmon" wagons were built in large quantities in the early 1950s, and lasted well into privatisation. Real-life versions suffered bearing problems and were only able to run at 50 or 40mph until being refitted around the turn of the century.</v>
      </c>
    </row>
    <row r="47" spans="1:78" x14ac:dyDescent="0.25">
      <c r="A47" t="s">
        <v>819</v>
      </c>
      <c r="B47" t="s">
        <v>820</v>
      </c>
      <c r="C47">
        <v>70</v>
      </c>
      <c r="D47" t="s">
        <v>314</v>
      </c>
      <c r="E47" t="s">
        <v>314</v>
      </c>
      <c r="F47" t="s">
        <v>307</v>
      </c>
      <c r="G47">
        <v>1975</v>
      </c>
      <c r="T47">
        <v>16</v>
      </c>
      <c r="V47">
        <v>6</v>
      </c>
      <c r="X47" s="4" t="str">
        <f t="shared" si="0"/>
        <v/>
      </c>
      <c r="Y47">
        <v>70</v>
      </c>
      <c r="AA47">
        <v>15.8</v>
      </c>
      <c r="AB47">
        <v>15.8</v>
      </c>
      <c r="AE47" s="11">
        <v>45</v>
      </c>
      <c r="AF47" t="str">
        <f>CONCATENATE(VLOOKUP(AG47, 'Voxel Sizes'!$A$2:$B$18,2,FALSE),"x",INT(AC47*15), "x", INT(AD47*15))</f>
        <v>152x0x0</v>
      </c>
      <c r="AG47">
        <f t="shared" si="1"/>
        <v>9</v>
      </c>
      <c r="AI47" t="str">
        <f>CONCATENATE(VLOOKUP(AG47,Constants!$A$2:$C$16,IF(AH47&lt;&gt;"", 3, 2), FALSE),IF(AH47&lt;&gt;"",CONCATENATE(",",VLOOKUP(AH47,$B:$AI,34,FALSE)),""))</f>
        <v>2,5,2</v>
      </c>
      <c r="AS47">
        <v>30</v>
      </c>
      <c r="AT47" t="str">
        <f t="shared" si="2"/>
        <v/>
      </c>
      <c r="AW47">
        <f t="shared" si="3"/>
        <v>14</v>
      </c>
      <c r="AX47">
        <f t="shared" si="4"/>
        <v>0</v>
      </c>
      <c r="AY47">
        <f t="shared" si="5"/>
        <v>0</v>
      </c>
      <c r="AZ47" s="4">
        <f t="shared" si="25"/>
        <v>0.9</v>
      </c>
      <c r="BA47">
        <f t="shared" si="6"/>
        <v>7.5</v>
      </c>
      <c r="BB47">
        <f>VLOOKUP($E47,Constants!$I:$K, 2, FALSE)</f>
        <v>1</v>
      </c>
      <c r="BC47">
        <f>VLOOKUP($E47,Constants!$I:$K, 3, FALSE)*IF(AND(D47="multiple_unit",Y47&lt;110),0.75,1)</f>
        <v>0.45</v>
      </c>
      <c r="BD47">
        <f>INT(POWER(((Constants!$G$2+$AW47+$AX47+$AY47+$BA47)*$AZ47)*$BC47, 1.05))+$AV47</f>
        <v>12</v>
      </c>
      <c r="BE47">
        <f>INT(POWER((((Constants!$G$1+$AW47+$AX47+$AY47+$BA47)*($AZ47))*$BB47),IF($D47="wagon",1,1.2)))+$AU47</f>
        <v>32</v>
      </c>
      <c r="BF47" s="15">
        <f t="shared" si="7"/>
        <v>750</v>
      </c>
      <c r="BG47" s="15">
        <f t="shared" si="8"/>
        <v>87.36</v>
      </c>
      <c r="BN47">
        <v>1</v>
      </c>
      <c r="BO47">
        <v>185</v>
      </c>
      <c r="BP47" t="s">
        <v>1092</v>
      </c>
      <c r="BQ47" t="s">
        <v>444</v>
      </c>
      <c r="BR47" t="str">
        <f>VLOOKUP(G47,Eras!$A$2:$C$10, 2, TRUE)</f>
        <v>lbr</v>
      </c>
      <c r="BS47" t="s">
        <v>374</v>
      </c>
      <c r="BT47" t="str">
        <f t="shared" si="9"/>
        <v>lbr_Flat Wagon</v>
      </c>
      <c r="BU47" t="str">
        <f t="shared" si="10"/>
        <v>wagon_RAIL</v>
      </c>
      <c r="BV47" t="str">
        <f>VLOOKUP($BU47, Constants!$M:$N, 2, FALSE)</f>
        <v/>
      </c>
      <c r="BW47" t="str">
        <f t="shared" si="11"/>
        <v/>
      </c>
      <c r="BX47" t="s">
        <v>821</v>
      </c>
      <c r="BY47" t="str">
        <f t="shared" si="26"/>
        <v/>
      </c>
      <c r="BZ47" t="str">
        <f t="shared" si="24"/>
        <v>{SILVER}In the 1970s BR found itself with a large number of wagons that still had useful service life, but were incompatible with the air braked standard employed across the network. Refurbishing them with air brakes and new bogies produced wagons such as the BDA.</v>
      </c>
    </row>
    <row r="48" spans="1:78" x14ac:dyDescent="0.25">
      <c r="A48" t="s">
        <v>825</v>
      </c>
      <c r="B48" t="s">
        <v>826</v>
      </c>
      <c r="C48">
        <v>72</v>
      </c>
      <c r="D48" t="s">
        <v>314</v>
      </c>
      <c r="E48" t="s">
        <v>314</v>
      </c>
      <c r="F48" t="s">
        <v>307</v>
      </c>
      <c r="G48">
        <v>2009</v>
      </c>
      <c r="T48">
        <v>16</v>
      </c>
      <c r="V48">
        <v>6</v>
      </c>
      <c r="X48" s="4" t="str">
        <f t="shared" si="0"/>
        <v/>
      </c>
      <c r="Y48">
        <v>85</v>
      </c>
      <c r="AA48">
        <v>15.8</v>
      </c>
      <c r="AB48">
        <v>19.8</v>
      </c>
      <c r="AE48" s="11">
        <v>60</v>
      </c>
      <c r="AF48" t="str">
        <f>CONCATENATE(VLOOKUP(AG48, 'Voxel Sizes'!$A$2:$B$18,2,FALSE),"x",INT(AC48*15), "x", INT(AD48*15))</f>
        <v>198x0x0</v>
      </c>
      <c r="AG48">
        <f t="shared" si="1"/>
        <v>12</v>
      </c>
      <c r="AI48" t="str">
        <f>CONCATENATE(VLOOKUP(AG48,Constants!$A$2:$C$16,IF(AH48&lt;&gt;"", 3, 2), FALSE),IF(AH48&lt;&gt;"",CONCATENATE(",",VLOOKUP(AH48,$B:$AI,34,FALSE)),""))</f>
        <v>4,4,4</v>
      </c>
      <c r="AS48">
        <v>30</v>
      </c>
      <c r="AT48" t="str">
        <f t="shared" si="2"/>
        <v/>
      </c>
      <c r="AW48">
        <f t="shared" si="3"/>
        <v>17</v>
      </c>
      <c r="AX48">
        <f t="shared" si="4"/>
        <v>0</v>
      </c>
      <c r="AY48">
        <f t="shared" si="5"/>
        <v>0</v>
      </c>
      <c r="AZ48" s="4">
        <f t="shared" si="25"/>
        <v>0.85466666666666669</v>
      </c>
      <c r="BA48">
        <f t="shared" si="6"/>
        <v>10</v>
      </c>
      <c r="BB48">
        <f>VLOOKUP($E48,Constants!$I:$K, 2, FALSE)</f>
        <v>1</v>
      </c>
      <c r="BC48">
        <f>VLOOKUP($E48,Constants!$I:$K, 3, FALSE)*IF(AND(D48="multiple_unit",Y48&lt;110),0.75,1)</f>
        <v>0.45</v>
      </c>
      <c r="BD48">
        <f>INT(POWER(((Constants!$G$2+$AW48+$AX48+$AY48+$BA48)*$AZ48)*$BC48, 1.05))+$AV48</f>
        <v>13</v>
      </c>
      <c r="BE48">
        <f>INT(POWER((((Constants!$G$1+$AW48+$AX48+$AY48+$BA48)*($AZ48))*$BB48),IF($D48="wagon",1,1.2)))+$AU48</f>
        <v>35</v>
      </c>
      <c r="BF48" s="15">
        <f t="shared" si="7"/>
        <v>812.5</v>
      </c>
      <c r="BG48" s="15">
        <f t="shared" si="8"/>
        <v>95.55</v>
      </c>
      <c r="BN48">
        <v>1</v>
      </c>
      <c r="BO48">
        <v>185</v>
      </c>
      <c r="BP48" t="s">
        <v>1092</v>
      </c>
      <c r="BQ48" t="s">
        <v>444</v>
      </c>
      <c r="BR48" t="str">
        <f>VLOOKUP(G48,Eras!$A$2:$C$10, 2, TRUE)</f>
        <v>mod</v>
      </c>
      <c r="BS48" t="s">
        <v>374</v>
      </c>
      <c r="BT48" t="str">
        <f t="shared" si="9"/>
        <v>mod_Flat Wagon</v>
      </c>
      <c r="BU48" t="str">
        <f t="shared" si="10"/>
        <v>wagon_RAIL</v>
      </c>
      <c r="BV48" t="str">
        <f>VLOOKUP($BU48, Constants!$M:$N, 2, FALSE)</f>
        <v/>
      </c>
      <c r="BW48" t="str">
        <f t="shared" si="11"/>
        <v/>
      </c>
      <c r="BX48" t="s">
        <v>827</v>
      </c>
      <c r="BY48" t="str">
        <f t="shared" si="26"/>
        <v/>
      </c>
      <c r="BZ48" t="str">
        <f t="shared" si="24"/>
        <v>{SILVER}Despite the age of the "Salmon" bolster wagons, in 2009 they were refurbished with new end plates to make loading track panels simpler.</v>
      </c>
    </row>
    <row r="49" spans="1:78" x14ac:dyDescent="0.25">
      <c r="A49" t="s">
        <v>831</v>
      </c>
      <c r="B49" t="s">
        <v>832</v>
      </c>
      <c r="C49">
        <v>80</v>
      </c>
      <c r="D49" t="s">
        <v>314</v>
      </c>
      <c r="E49" t="s">
        <v>314</v>
      </c>
      <c r="F49" t="s">
        <v>307</v>
      </c>
      <c r="G49">
        <v>1972</v>
      </c>
      <c r="T49">
        <v>17</v>
      </c>
      <c r="V49">
        <v>8</v>
      </c>
      <c r="X49" s="4" t="str">
        <f t="shared" si="0"/>
        <v/>
      </c>
      <c r="Y49">
        <v>70</v>
      </c>
      <c r="AA49">
        <v>13.3</v>
      </c>
      <c r="AB49">
        <v>13.3</v>
      </c>
      <c r="AE49" s="11">
        <v>42</v>
      </c>
      <c r="AF49" t="str">
        <f>CONCATENATE(VLOOKUP(AG49, 'Voxel Sizes'!$A$2:$B$18,2,FALSE),"x",INT(AC49*15), "x", INT(AD49*15))</f>
        <v>136x0x0</v>
      </c>
      <c r="AG49">
        <f t="shared" si="1"/>
        <v>8</v>
      </c>
      <c r="AI49" t="str">
        <f>CONCATENATE(VLOOKUP(AG49,Constants!$A$2:$C$16,IF(AH49&lt;&gt;"", 3, 2), FALSE),IF(AH49&lt;&gt;"",CONCATENATE(",",VLOOKUP(AH49,$B:$AI,34,FALSE)),""))</f>
        <v>2,4,2</v>
      </c>
      <c r="AS49">
        <v>30</v>
      </c>
      <c r="AT49" t="str">
        <f t="shared" si="2"/>
        <v/>
      </c>
      <c r="AW49">
        <f t="shared" si="3"/>
        <v>14</v>
      </c>
      <c r="AX49">
        <f t="shared" si="4"/>
        <v>0</v>
      </c>
      <c r="AY49">
        <f t="shared" si="5"/>
        <v>0</v>
      </c>
      <c r="AZ49" s="4">
        <f t="shared" si="25"/>
        <v>0.90400000000000003</v>
      </c>
      <c r="BA49">
        <f t="shared" si="6"/>
        <v>7.0000000000000009</v>
      </c>
      <c r="BB49">
        <f>VLOOKUP($E49,Constants!$I:$K, 2, FALSE)</f>
        <v>1</v>
      </c>
      <c r="BC49">
        <f>VLOOKUP($E49,Constants!$I:$K, 3, FALSE)*IF(AND(D49="multiple_unit",Y49&lt;110),0.75,1)</f>
        <v>0.45</v>
      </c>
      <c r="BD49">
        <f>INT(POWER(((Constants!$G$2+$AW49+$AX49+$AY49+$BA49)*$AZ49)*$BC49, 1.05))+$AV49</f>
        <v>11</v>
      </c>
      <c r="BE49">
        <f>INT(POWER((((Constants!$G$1+$AW49+$AX49+$AY49+$BA49)*($AZ49))*$BB49),IF($D49="wagon",1,1.2)))+$AU49</f>
        <v>32</v>
      </c>
      <c r="BF49" s="15">
        <f t="shared" si="7"/>
        <v>687.5</v>
      </c>
      <c r="BG49" s="15">
        <f t="shared" si="8"/>
        <v>87.36</v>
      </c>
      <c r="BN49">
        <v>1</v>
      </c>
      <c r="BO49">
        <v>185</v>
      </c>
      <c r="BP49" t="s">
        <v>938</v>
      </c>
      <c r="BQ49" t="s">
        <v>841</v>
      </c>
      <c r="BR49" t="str">
        <f>VLOOKUP(G49,Eras!$A$2:$C$10, 2, TRUE)</f>
        <v>lbr</v>
      </c>
      <c r="BS49" t="s">
        <v>374</v>
      </c>
      <c r="BT49" t="str">
        <f t="shared" si="9"/>
        <v>lbr_Flat Wagon</v>
      </c>
      <c r="BU49" t="str">
        <f t="shared" si="10"/>
        <v>wagon_RAIL</v>
      </c>
      <c r="BV49" t="str">
        <f>VLOOKUP($BU49, Constants!$M:$N, 2, FALSE)</f>
        <v/>
      </c>
      <c r="BW49" t="str">
        <f t="shared" si="11"/>
        <v/>
      </c>
      <c r="BX49" t="s">
        <v>842</v>
      </c>
      <c r="BY49" t="str">
        <f t="shared" si="26"/>
        <v/>
      </c>
      <c r="BZ49" t="str">
        <f t="shared" si="24"/>
        <v>{SILVER}BAA wagons could initially carry steel in a large variety of forms, although many were later modified to be dedicated coil carriers.</v>
      </c>
    </row>
    <row r="50" spans="1:78" x14ac:dyDescent="0.25">
      <c r="A50" t="s">
        <v>833</v>
      </c>
      <c r="B50" t="s">
        <v>834</v>
      </c>
      <c r="C50">
        <v>82</v>
      </c>
      <c r="D50" t="s">
        <v>314</v>
      </c>
      <c r="E50" t="s">
        <v>314</v>
      </c>
      <c r="F50" t="s">
        <v>307</v>
      </c>
      <c r="G50">
        <v>1998</v>
      </c>
      <c r="T50">
        <v>24</v>
      </c>
      <c r="V50">
        <v>10</v>
      </c>
      <c r="X50" s="4" t="str">
        <f t="shared" si="0"/>
        <v/>
      </c>
      <c r="Y50">
        <v>85</v>
      </c>
      <c r="AA50">
        <v>18.600000000000001</v>
      </c>
      <c r="AB50">
        <v>18.600000000000001</v>
      </c>
      <c r="AE50" s="11">
        <v>78</v>
      </c>
      <c r="AF50" t="str">
        <f>CONCATENATE(VLOOKUP(AG50, 'Voxel Sizes'!$A$2:$B$18,2,FALSE),"x",INT(AC50*15), "x", INT(AD50*15))</f>
        <v>186x0x0</v>
      </c>
      <c r="AG50">
        <f t="shared" si="1"/>
        <v>11</v>
      </c>
      <c r="AI50" t="str">
        <f>CONCATENATE(VLOOKUP(AG50,Constants!$A$2:$C$16,IF(AH50&lt;&gt;"", 3, 2), FALSE),IF(AH50&lt;&gt;"",CONCATENATE(",",VLOOKUP(AH50,$B:$AI,34,FALSE)),""))</f>
        <v>4,3,4</v>
      </c>
      <c r="AS50">
        <v>30</v>
      </c>
      <c r="AT50" t="str">
        <f t="shared" si="2"/>
        <v/>
      </c>
      <c r="AW50">
        <f t="shared" si="3"/>
        <v>17</v>
      </c>
      <c r="AX50">
        <f t="shared" si="4"/>
        <v>0</v>
      </c>
      <c r="AY50">
        <f t="shared" si="5"/>
        <v>0</v>
      </c>
      <c r="AZ50" s="4">
        <f t="shared" si="25"/>
        <v>0.86933333333333329</v>
      </c>
      <c r="BA50">
        <f t="shared" si="6"/>
        <v>13</v>
      </c>
      <c r="BB50">
        <f>VLOOKUP($E50,Constants!$I:$K, 2, FALSE)</f>
        <v>1</v>
      </c>
      <c r="BC50">
        <f>VLOOKUP($E50,Constants!$I:$K, 3, FALSE)*IF(AND(D50="multiple_unit",Y50&lt;110),0.75,1)</f>
        <v>0.45</v>
      </c>
      <c r="BD50">
        <f>INT(POWER(((Constants!$G$2+$AW50+$AX50+$AY50+$BA50)*$AZ50)*$BC50, 1.05))+$AV50</f>
        <v>15</v>
      </c>
      <c r="BE50">
        <f>INT(POWER((((Constants!$G$1+$AW50+$AX50+$AY50+$BA50)*($AZ50))*$BB50),IF($D50="wagon",1,1.2)))+$AU50</f>
        <v>39</v>
      </c>
      <c r="BF50" s="15">
        <f t="shared" si="7"/>
        <v>937.5</v>
      </c>
      <c r="BG50" s="15">
        <f t="shared" si="8"/>
        <v>106.47</v>
      </c>
      <c r="BN50">
        <v>1</v>
      </c>
      <c r="BO50">
        <v>185</v>
      </c>
      <c r="BP50" t="s">
        <v>938</v>
      </c>
      <c r="BQ50" t="s">
        <v>841</v>
      </c>
      <c r="BR50" t="str">
        <f>VLOOKUP(G50,Eras!$A$2:$C$10, 2, TRUE)</f>
        <v>prv</v>
      </c>
      <c r="BS50" t="s">
        <v>374</v>
      </c>
      <c r="BT50" t="str">
        <f t="shared" si="9"/>
        <v>prv_Flat Wagon</v>
      </c>
      <c r="BU50" t="str">
        <f t="shared" si="10"/>
        <v>wagon_RAIL</v>
      </c>
      <c r="BV50" t="str">
        <f>VLOOKUP($BU50, Constants!$M:$N, 2, FALSE)</f>
        <v/>
      </c>
      <c r="BW50" t="str">
        <f t="shared" si="11"/>
        <v/>
      </c>
      <c r="BX50" t="s">
        <v>840</v>
      </c>
      <c r="BY50" t="str">
        <f t="shared" si="26"/>
        <v/>
      </c>
      <c r="BZ50" t="str">
        <f t="shared" si="24"/>
        <v>{SILVER}The BYA/BRA covered steel carriers gained their name from the corrugated sliding cover and its curved cross section.</v>
      </c>
    </row>
    <row r="51" spans="1:78" x14ac:dyDescent="0.25">
      <c r="A51" t="s">
        <v>134</v>
      </c>
      <c r="B51" t="s">
        <v>312</v>
      </c>
      <c r="C51">
        <v>93</v>
      </c>
      <c r="D51" t="s">
        <v>314</v>
      </c>
      <c r="E51" t="s">
        <v>314</v>
      </c>
      <c r="F51" t="s">
        <v>307</v>
      </c>
      <c r="G51">
        <v>1850</v>
      </c>
      <c r="I51">
        <v>1922</v>
      </c>
      <c r="T51">
        <v>5</v>
      </c>
      <c r="V51">
        <v>4</v>
      </c>
      <c r="X51" s="4" t="str">
        <f t="shared" si="0"/>
        <v/>
      </c>
      <c r="Y51">
        <v>35</v>
      </c>
      <c r="AA51">
        <v>4.9000000000000004</v>
      </c>
      <c r="AB51">
        <v>6</v>
      </c>
      <c r="AE51" s="11">
        <v>15</v>
      </c>
      <c r="AF51" t="str">
        <f>CONCATENATE(VLOOKUP(AG51, 'Voxel Sizes'!$A$2:$B$18,2,FALSE),"x",INT(AC51*15), "x", INT(AD51*15))</f>
        <v>60x0x0</v>
      </c>
      <c r="AG51">
        <f t="shared" si="1"/>
        <v>4</v>
      </c>
      <c r="AI51" t="str">
        <f>CONCATENATE(VLOOKUP(AG51,Constants!$A$2:$C$16,IF(AH51&lt;&gt;"", 3, 2), FALSE),IF(AH51&lt;&gt;"",CONCATENATE(",",VLOOKUP(AH51,$B:$AI,34,FALSE)),""))</f>
        <v>1,2,1</v>
      </c>
      <c r="AS51">
        <v>30</v>
      </c>
      <c r="AT51">
        <f t="shared" si="2"/>
        <v>68</v>
      </c>
      <c r="AW51">
        <f t="shared" si="3"/>
        <v>7</v>
      </c>
      <c r="AX51">
        <f t="shared" si="4"/>
        <v>0</v>
      </c>
      <c r="AY51">
        <f t="shared" si="5"/>
        <v>0</v>
      </c>
      <c r="AZ51" s="4">
        <f t="shared" si="25"/>
        <v>1</v>
      </c>
      <c r="BA51">
        <f t="shared" si="6"/>
        <v>2.5</v>
      </c>
      <c r="BB51">
        <f>VLOOKUP($E51,Constants!$I:$K, 2, FALSE)</f>
        <v>1</v>
      </c>
      <c r="BC51">
        <f>VLOOKUP($E51,Constants!$I:$K, 3, FALSE)*IF(AND(D51="multiple_unit",Y51&lt;110),0.75,1)</f>
        <v>0.45</v>
      </c>
      <c r="BD51">
        <f>INT(POWER(((Constants!$G$2+$AW51+$AX51+$AY51+$BA51)*$AZ51)*$BC51, 1.05))+$AV51</f>
        <v>7</v>
      </c>
      <c r="BE51">
        <f>INT(POWER((((Constants!$G$1+$AW51+$AX51+$AY51+$BA51)*($AZ51))*$BB51),IF($D51="wagon",1,1.2)))+$AU51</f>
        <v>24</v>
      </c>
      <c r="BF51" s="15">
        <f t="shared" si="7"/>
        <v>437.5</v>
      </c>
      <c r="BG51" s="15">
        <f t="shared" si="8"/>
        <v>65.52</v>
      </c>
      <c r="BN51">
        <v>1</v>
      </c>
      <c r="BO51">
        <v>185</v>
      </c>
      <c r="BP51" t="s">
        <v>376</v>
      </c>
      <c r="BQ51" t="s">
        <v>317</v>
      </c>
      <c r="BR51" t="str">
        <f>VLOOKUP(G51,Eras!$A$2:$C$10, 2, TRUE)</f>
        <v>vct</v>
      </c>
      <c r="BS51" t="s">
        <v>376</v>
      </c>
      <c r="BT51" t="str">
        <f t="shared" si="9"/>
        <v>vct_Tanker</v>
      </c>
      <c r="BU51" t="str">
        <f t="shared" si="10"/>
        <v>wagon_RAIL</v>
      </c>
      <c r="BV51" t="str">
        <f>VLOOKUP($BU51, Constants!$M:$N, 2, FALSE)</f>
        <v/>
      </c>
      <c r="BW51" t="str">
        <f t="shared" si="11"/>
        <v/>
      </c>
      <c r="BX51" t="s">
        <v>396</v>
      </c>
      <c r="BY51" t="str">
        <f t="shared" si="26"/>
        <v/>
      </c>
      <c r="BZ51" t="str">
        <f t="shared" si="24"/>
        <v>{SILVER}Early four wheel tank wagons are limited to low speeds by their construction and primitive suspension.</v>
      </c>
    </row>
    <row r="52" spans="1:78" x14ac:dyDescent="0.25">
      <c r="A52" t="s">
        <v>439</v>
      </c>
      <c r="B52" t="s">
        <v>440</v>
      </c>
      <c r="C52">
        <v>94</v>
      </c>
      <c r="D52" t="s">
        <v>314</v>
      </c>
      <c r="E52" t="s">
        <v>314</v>
      </c>
      <c r="F52" t="s">
        <v>307</v>
      </c>
      <c r="G52">
        <v>1901</v>
      </c>
      <c r="I52">
        <v>1939</v>
      </c>
      <c r="T52">
        <v>10</v>
      </c>
      <c r="V52">
        <v>5</v>
      </c>
      <c r="X52" s="4" t="str">
        <f t="shared" si="0"/>
        <v/>
      </c>
      <c r="Y52">
        <v>45</v>
      </c>
      <c r="AA52">
        <v>8</v>
      </c>
      <c r="AB52">
        <v>8</v>
      </c>
      <c r="AE52" s="11">
        <v>21</v>
      </c>
      <c r="AF52" t="str">
        <f>CONCATENATE(VLOOKUP(AG52, 'Voxel Sizes'!$A$2:$B$18,2,FALSE),"x",INT(AC52*15), "x", INT(AD52*15))</f>
        <v>82x0x0</v>
      </c>
      <c r="AG52">
        <f t="shared" si="1"/>
        <v>5</v>
      </c>
      <c r="AI52" t="str">
        <f>CONCATENATE(VLOOKUP(AG52,Constants!$A$2:$C$16,IF(AH52&lt;&gt;"", 3, 2), FALSE),IF(AH52&lt;&gt;"",CONCATENATE(",",VLOOKUP(AH52,$B:$AI,34,FALSE)),""))</f>
        <v>2,1,2</v>
      </c>
      <c r="AS52">
        <v>30</v>
      </c>
      <c r="AT52">
        <f t="shared" si="2"/>
        <v>34</v>
      </c>
      <c r="AW52">
        <f t="shared" si="3"/>
        <v>9</v>
      </c>
      <c r="AX52">
        <f t="shared" si="4"/>
        <v>0</v>
      </c>
      <c r="AY52">
        <f t="shared" si="5"/>
        <v>0</v>
      </c>
      <c r="AZ52" s="4">
        <f t="shared" si="25"/>
        <v>0.9986666666666667</v>
      </c>
      <c r="BA52">
        <f t="shared" si="6"/>
        <v>3.5000000000000004</v>
      </c>
      <c r="BB52">
        <f>VLOOKUP($E52,Constants!$I:$K, 2, FALSE)</f>
        <v>1</v>
      </c>
      <c r="BC52">
        <f>VLOOKUP($E52,Constants!$I:$K, 3, FALSE)*IF(AND(D52="multiple_unit",Y52&lt;110),0.75,1)</f>
        <v>0.45</v>
      </c>
      <c r="BD52">
        <f>INT(POWER(((Constants!$G$2+$AW52+$AX52+$AY52+$BA52)*$AZ52)*$BC52, 1.05))+$AV52</f>
        <v>8</v>
      </c>
      <c r="BE52">
        <f>INT(POWER((((Constants!$G$1+$AW52+$AX52+$AY52+$BA52)*($AZ52))*$BB52),IF($D52="wagon",1,1.2)))+$AU52</f>
        <v>27</v>
      </c>
      <c r="BF52" s="15">
        <f t="shared" si="7"/>
        <v>500</v>
      </c>
      <c r="BG52" s="15">
        <f t="shared" si="8"/>
        <v>73.709999999999994</v>
      </c>
      <c r="BN52">
        <v>1</v>
      </c>
      <c r="BO52">
        <v>185</v>
      </c>
      <c r="BP52" t="s">
        <v>376</v>
      </c>
      <c r="BQ52" t="s">
        <v>317</v>
      </c>
      <c r="BR52" t="str">
        <f>VLOOKUP(G52,Eras!$A$2:$C$10, 2, TRUE)</f>
        <v>edw</v>
      </c>
      <c r="BS52" t="s">
        <v>376</v>
      </c>
      <c r="BT52" t="str">
        <f t="shared" si="9"/>
        <v>edw_Tanker</v>
      </c>
      <c r="BU52" t="str">
        <f t="shared" si="10"/>
        <v>wagon_RAIL</v>
      </c>
      <c r="BV52" t="str">
        <f>VLOOKUP($BU52, Constants!$M:$N, 2, FALSE)</f>
        <v/>
      </c>
      <c r="BW52" t="str">
        <f t="shared" si="11"/>
        <v/>
      </c>
      <c r="BX52" t="s">
        <v>441</v>
      </c>
      <c r="BY52" t="str">
        <f t="shared" si="26"/>
        <v/>
      </c>
      <c r="BZ52" t="str">
        <f t="shared" si="24"/>
        <v>{SILVER}The GWR's cylindrical tank wagons were built by the Locomotive department, as the iron cylinders used similar techniques to steam engines.</v>
      </c>
    </row>
    <row r="53" spans="1:78" x14ac:dyDescent="0.25">
      <c r="A53" t="s">
        <v>783</v>
      </c>
      <c r="B53" t="s">
        <v>313</v>
      </c>
      <c r="C53">
        <v>96</v>
      </c>
      <c r="D53" t="s">
        <v>314</v>
      </c>
      <c r="E53" t="s">
        <v>314</v>
      </c>
      <c r="F53" t="s">
        <v>307</v>
      </c>
      <c r="G53">
        <v>1928</v>
      </c>
      <c r="I53">
        <v>1975</v>
      </c>
      <c r="T53">
        <v>11</v>
      </c>
      <c r="V53">
        <v>5</v>
      </c>
      <c r="Y53">
        <v>50</v>
      </c>
      <c r="AA53">
        <v>8</v>
      </c>
      <c r="AB53">
        <v>8</v>
      </c>
      <c r="AE53" s="11">
        <v>27</v>
      </c>
      <c r="AF53" t="str">
        <f>CONCATENATE(VLOOKUP(AG53, 'Voxel Sizes'!$A$2:$B$18,2,FALSE),"x",INT(AC53*15), "x", INT(AD53*15))</f>
        <v>82x0x0</v>
      </c>
      <c r="AG53">
        <f t="shared" si="1"/>
        <v>5</v>
      </c>
      <c r="AI53" t="str">
        <f>CONCATENATE(VLOOKUP(AG53,Constants!$A$2:$C$16,IF(AH53&lt;&gt;"", 3, 2), FALSE),IF(AH53&lt;&gt;"",CONCATENATE(",",VLOOKUP(AH53,$B:$AI,34,FALSE)),""))</f>
        <v>2,1,2</v>
      </c>
      <c r="AS53">
        <v>30</v>
      </c>
      <c r="AT53">
        <f t="shared" si="2"/>
        <v>43</v>
      </c>
      <c r="AW53">
        <f t="shared" si="3"/>
        <v>10</v>
      </c>
      <c r="AX53">
        <f t="shared" si="4"/>
        <v>0</v>
      </c>
      <c r="AY53">
        <f t="shared" si="5"/>
        <v>0</v>
      </c>
      <c r="AZ53" s="4">
        <f t="shared" si="25"/>
        <v>0.96266666666666667</v>
      </c>
      <c r="BA53">
        <f t="shared" si="6"/>
        <v>4.5</v>
      </c>
      <c r="BB53">
        <f>VLOOKUP($E53,Constants!$I:$K, 2, FALSE)</f>
        <v>1</v>
      </c>
      <c r="BC53">
        <f>VLOOKUP($E53,Constants!$I:$K, 3, FALSE)*IF(AND(D53="multiple_unit",Y53&lt;110),0.75,1)</f>
        <v>0.45</v>
      </c>
      <c r="BD53">
        <f>INT(POWER(((Constants!$G$2+$AW53+$AX53+$AY53+$BA53)*$AZ53)*$BC53, 1.05))+$AV53</f>
        <v>9</v>
      </c>
      <c r="BE53">
        <f>INT(POWER((((Constants!$G$1+$AW53+$AX53+$AY53+$BA53)*($AZ53))*$BB53),IF($D53="wagon",1,1.2)))+$AU53</f>
        <v>28</v>
      </c>
      <c r="BF53" s="15">
        <f t="shared" si="7"/>
        <v>562.5</v>
      </c>
      <c r="BG53" s="15">
        <f t="shared" si="8"/>
        <v>76.44</v>
      </c>
      <c r="BN53">
        <v>1</v>
      </c>
      <c r="BO53">
        <v>185</v>
      </c>
      <c r="BP53" t="s">
        <v>376</v>
      </c>
      <c r="BQ53" t="s">
        <v>317</v>
      </c>
      <c r="BR53" t="str">
        <f>VLOOKUP(G53,Eras!$A$2:$C$10, 2, TRUE)</f>
        <v>big4</v>
      </c>
      <c r="BS53" t="s">
        <v>376</v>
      </c>
      <c r="BT53" t="str">
        <f t="shared" si="9"/>
        <v>big4_Tanker</v>
      </c>
      <c r="BU53" t="str">
        <f t="shared" si="10"/>
        <v>wagon_RAIL</v>
      </c>
      <c r="BV53" t="str">
        <f>VLOOKUP($BU53, Constants!$M:$N, 2, FALSE)</f>
        <v/>
      </c>
      <c r="BW53" t="str">
        <f t="shared" si="11"/>
        <v/>
      </c>
      <c r="BX53" t="s">
        <v>784</v>
      </c>
      <c r="BY53" t="str">
        <f t="shared" si="26"/>
        <v/>
      </c>
      <c r="BZ53" t="str">
        <f t="shared" si="24"/>
        <v>{SILVER}Six wheeled tank wagons formed the core of the GWR (and later BR) "milk trains", long freight consists transporting milk from farms to cities.</v>
      </c>
    </row>
    <row r="54" spans="1:78" x14ac:dyDescent="0.25">
      <c r="A54" t="s">
        <v>781</v>
      </c>
      <c r="B54" t="s">
        <v>760</v>
      </c>
      <c r="C54">
        <v>97</v>
      </c>
      <c r="D54" t="s">
        <v>314</v>
      </c>
      <c r="E54" t="s">
        <v>314</v>
      </c>
      <c r="F54" t="s">
        <v>307</v>
      </c>
      <c r="G54">
        <v>1966</v>
      </c>
      <c r="T54">
        <v>12</v>
      </c>
      <c r="V54">
        <v>6</v>
      </c>
      <c r="X54" s="4" t="str">
        <f t="shared" ref="X54:X120" si="27">IF(AND(T54&gt;0,W54&gt;0),(W54/((T54+U54)*10)),"")</f>
        <v/>
      </c>
      <c r="Y54">
        <v>65</v>
      </c>
      <c r="AA54">
        <v>9.8000000000000007</v>
      </c>
      <c r="AB54">
        <v>9.8000000000000007</v>
      </c>
      <c r="AE54" s="11">
        <v>33</v>
      </c>
      <c r="AF54" t="str">
        <f>CONCATENATE(VLOOKUP(AG54, 'Voxel Sizes'!$A$2:$B$18,2,FALSE),"x",INT(AC54*15), "x", INT(AD54*15))</f>
        <v>102x0x0</v>
      </c>
      <c r="AG54">
        <f t="shared" si="1"/>
        <v>6</v>
      </c>
      <c r="AI54" t="str">
        <f>CONCATENATE(VLOOKUP(AG54,Constants!$A$2:$C$16,IF(AH54&lt;&gt;"", 3, 2), FALSE),IF(AH54&lt;&gt;"",CONCATENATE(",",VLOOKUP(AH54,$B:$AI,34,FALSE)),""))</f>
        <v>2,2,2</v>
      </c>
      <c r="AS54">
        <v>30</v>
      </c>
      <c r="AT54" t="str">
        <f t="shared" si="2"/>
        <v/>
      </c>
      <c r="AW54">
        <f t="shared" si="3"/>
        <v>13</v>
      </c>
      <c r="AX54">
        <f t="shared" si="4"/>
        <v>0</v>
      </c>
      <c r="AY54">
        <f t="shared" si="5"/>
        <v>0</v>
      </c>
      <c r="AZ54" s="4">
        <f t="shared" si="25"/>
        <v>0.91200000000000003</v>
      </c>
      <c r="BA54">
        <f t="shared" si="6"/>
        <v>5.5</v>
      </c>
      <c r="BB54">
        <f>VLOOKUP($E54,Constants!$I:$K, 2, FALSE)</f>
        <v>1</v>
      </c>
      <c r="BC54">
        <f>VLOOKUP($E54,Constants!$I:$K, 3, FALSE)*IF(AND(D54="multiple_unit",Y54&lt;110),0.75,1)</f>
        <v>0.45</v>
      </c>
      <c r="BD54">
        <f>INT(POWER(((Constants!$G$2+$AW54+$AX54+$AY54+$BA54)*$AZ54)*$BC54, 1.05))+$AV54</f>
        <v>10</v>
      </c>
      <c r="BE54">
        <f>INT(POWER((((Constants!$G$1+$AW54+$AX54+$AY54+$BA54)*($AZ54))*$BB54),IF($D54="wagon",1,1.2)))+$AU54</f>
        <v>30</v>
      </c>
      <c r="BF54" s="15">
        <f t="shared" si="7"/>
        <v>625</v>
      </c>
      <c r="BG54" s="15">
        <f t="shared" si="8"/>
        <v>81.900000000000006</v>
      </c>
      <c r="BN54">
        <v>1</v>
      </c>
      <c r="BO54">
        <v>185</v>
      </c>
      <c r="BP54" t="s">
        <v>376</v>
      </c>
      <c r="BQ54" t="s">
        <v>317</v>
      </c>
      <c r="BR54" t="str">
        <f>VLOOKUP(G54,Eras!$A$2:$C$10, 2, TRUE)</f>
        <v>dsl</v>
      </c>
      <c r="BS54" t="s">
        <v>376</v>
      </c>
      <c r="BT54" t="str">
        <f t="shared" si="9"/>
        <v>dsl_Tanker</v>
      </c>
      <c r="BU54" t="str">
        <f t="shared" si="10"/>
        <v>wagon_RAIL</v>
      </c>
      <c r="BV54" t="str">
        <f>VLOOKUP($BU54, Constants!$M:$N, 2, FALSE)</f>
        <v/>
      </c>
      <c r="BW54" t="str">
        <f t="shared" si="11"/>
        <v/>
      </c>
      <c r="BX54" t="s">
        <v>758</v>
      </c>
      <c r="BY54" t="str">
        <f t="shared" si="26"/>
        <v/>
      </c>
      <c r="BZ54" t="str">
        <f t="shared" si="24"/>
        <v>{SILVER}TTA tankers were constructed on "monobloc" principles and featured automatic braking.</v>
      </c>
    </row>
    <row r="55" spans="1:78" x14ac:dyDescent="0.25">
      <c r="A55" t="s">
        <v>782</v>
      </c>
      <c r="B55" t="s">
        <v>761</v>
      </c>
      <c r="C55">
        <v>99</v>
      </c>
      <c r="D55" t="s">
        <v>314</v>
      </c>
      <c r="E55" t="s">
        <v>314</v>
      </c>
      <c r="F55" t="s">
        <v>307</v>
      </c>
      <c r="G55">
        <v>1970</v>
      </c>
      <c r="T55">
        <v>24</v>
      </c>
      <c r="V55">
        <v>7</v>
      </c>
      <c r="X55" s="4" t="str">
        <f t="shared" si="27"/>
        <v/>
      </c>
      <c r="Y55">
        <v>70</v>
      </c>
      <c r="AA55">
        <v>17.7</v>
      </c>
      <c r="AB55">
        <v>17.7</v>
      </c>
      <c r="AE55" s="11">
        <v>78</v>
      </c>
      <c r="AF55" t="str">
        <f>CONCATENATE(VLOOKUP(AG55, 'Voxel Sizes'!$A$2:$B$18,2,FALSE),"x",INT(AC55*15), "x", INT(AD55*15))</f>
        <v>164x0x0</v>
      </c>
      <c r="AG55">
        <f t="shared" si="1"/>
        <v>10</v>
      </c>
      <c r="AI55" t="str">
        <f>CONCATENATE(VLOOKUP(AG55,Constants!$A$2:$C$16,IF(AH55&lt;&gt;"", 3, 2), FALSE),IF(AH55&lt;&gt;"",CONCATENATE(",",VLOOKUP(AH55,$B:$AI,34,FALSE)),""))</f>
        <v>4,2,4</v>
      </c>
      <c r="AS55">
        <v>30</v>
      </c>
      <c r="AT55" t="str">
        <f t="shared" si="2"/>
        <v/>
      </c>
      <c r="AW55">
        <f t="shared" si="3"/>
        <v>14</v>
      </c>
      <c r="AX55">
        <f t="shared" si="4"/>
        <v>0</v>
      </c>
      <c r="AY55">
        <f t="shared" si="5"/>
        <v>0</v>
      </c>
      <c r="AZ55" s="4">
        <f t="shared" si="25"/>
        <v>0.90666666666666662</v>
      </c>
      <c r="BA55">
        <f t="shared" si="6"/>
        <v>13</v>
      </c>
      <c r="BB55">
        <f>VLOOKUP($E55,Constants!$I:$K, 2, FALSE)</f>
        <v>1</v>
      </c>
      <c r="BC55">
        <f>VLOOKUP($E55,Constants!$I:$K, 3, FALSE)*IF(AND(D55="multiple_unit",Y55&lt;110),0.75,1)</f>
        <v>0.45</v>
      </c>
      <c r="BD55">
        <f>INT(POWER(((Constants!$G$2+$AW55+$AX55+$AY55+$BA55)*$AZ55)*$BC55, 1.05))+$AV55</f>
        <v>14</v>
      </c>
      <c r="BE55">
        <f>INT(POWER((((Constants!$G$1+$AW55+$AX55+$AY55+$BA55)*($AZ55))*$BB55),IF($D55="wagon",1,1.2)))+$AU55</f>
        <v>38</v>
      </c>
      <c r="BF55" s="15">
        <f t="shared" si="7"/>
        <v>875</v>
      </c>
      <c r="BG55" s="15">
        <f t="shared" si="8"/>
        <v>103.74</v>
      </c>
      <c r="BN55">
        <v>1</v>
      </c>
      <c r="BO55">
        <v>185</v>
      </c>
      <c r="BP55" t="s">
        <v>376</v>
      </c>
      <c r="BQ55" t="s">
        <v>317</v>
      </c>
      <c r="BR55" t="str">
        <f>VLOOKUP(G55,Eras!$A$2:$C$10, 2, TRUE)</f>
        <v>lbr</v>
      </c>
      <c r="BS55" t="s">
        <v>376</v>
      </c>
      <c r="BT55" t="str">
        <f t="shared" si="9"/>
        <v>lbr_Tanker</v>
      </c>
      <c r="BU55" t="str">
        <f t="shared" si="10"/>
        <v>wagon_RAIL</v>
      </c>
      <c r="BV55" t="str">
        <f>VLOOKUP($BU55, Constants!$M:$N, 2, FALSE)</f>
        <v/>
      </c>
      <c r="BW55" t="str">
        <f t="shared" si="11"/>
        <v/>
      </c>
      <c r="BX55" t="s">
        <v>759</v>
      </c>
      <c r="BY55" t="str">
        <f t="shared" si="26"/>
        <v/>
      </c>
      <c r="BZ55" t="str">
        <f t="shared" si="24"/>
        <v>{SILVER}Large bogie tankers allowed for carrying heavy loads of liquids at high speeds. The long frames allow tanks to take up more space without fouling axles.</v>
      </c>
    </row>
    <row r="56" spans="1:78" x14ac:dyDescent="0.25">
      <c r="A56" t="s">
        <v>852</v>
      </c>
      <c r="B56" t="s">
        <v>237</v>
      </c>
      <c r="C56">
        <v>100</v>
      </c>
      <c r="D56" t="s">
        <v>314</v>
      </c>
      <c r="E56" t="s">
        <v>314</v>
      </c>
      <c r="F56" t="s">
        <v>307</v>
      </c>
      <c r="G56">
        <v>1850</v>
      </c>
      <c r="I56">
        <v>1925</v>
      </c>
      <c r="T56">
        <v>8</v>
      </c>
      <c r="V56">
        <v>4</v>
      </c>
      <c r="X56" s="4" t="str">
        <f t="shared" si="27"/>
        <v/>
      </c>
      <c r="Y56">
        <v>40</v>
      </c>
      <c r="AA56">
        <v>6</v>
      </c>
      <c r="AB56">
        <v>6</v>
      </c>
      <c r="AE56" s="11">
        <v>18</v>
      </c>
      <c r="AF56" t="str">
        <f>CONCATENATE(VLOOKUP(AG56, 'Voxel Sizes'!$A$2:$B$18,2,FALSE),"x",INT(AC56*15), "x", INT(AD56*15))</f>
        <v>60x0x0</v>
      </c>
      <c r="AG56">
        <f t="shared" si="1"/>
        <v>4</v>
      </c>
      <c r="AI56" t="str">
        <f>CONCATENATE(VLOOKUP(AG56,Constants!$A$2:$C$16,IF(AH56&lt;&gt;"", 3, 2), FALSE),IF(AH56&lt;&gt;"",CONCATENATE(",",VLOOKUP(AH56,$B:$AI,34,FALSE)),""))</f>
        <v>1,2,1</v>
      </c>
      <c r="AS56">
        <v>30</v>
      </c>
      <c r="AT56">
        <f t="shared" si="2"/>
        <v>71</v>
      </c>
      <c r="AW56">
        <f t="shared" si="3"/>
        <v>8</v>
      </c>
      <c r="AX56">
        <f t="shared" si="4"/>
        <v>0</v>
      </c>
      <c r="AY56">
        <f t="shared" si="5"/>
        <v>0</v>
      </c>
      <c r="AZ56" s="4">
        <f t="shared" si="25"/>
        <v>1</v>
      </c>
      <c r="BA56">
        <f t="shared" si="6"/>
        <v>3</v>
      </c>
      <c r="BB56">
        <f>VLOOKUP($E56,Constants!$I:$K, 2, FALSE)</f>
        <v>1</v>
      </c>
      <c r="BC56">
        <f>VLOOKUP($E56,Constants!$I:$K, 3, FALSE)*IF(AND(D56="multiple_unit",Y56&lt;110),0.75,1)</f>
        <v>0.45</v>
      </c>
      <c r="BD56">
        <f>INT(POWER(((Constants!$G$2+$AW56+$AX56+$AY56+$BA56)*$AZ56)*$BC56, 1.05))+$AV56</f>
        <v>7</v>
      </c>
      <c r="BE56">
        <f>INT(POWER((((Constants!$G$1+$AW56+$AX56+$AY56+$BA56)*($AZ56))*$BB56),IF($D56="wagon",1,1.2)))+$AU56</f>
        <v>26</v>
      </c>
      <c r="BF56" s="15">
        <f t="shared" si="7"/>
        <v>437.5</v>
      </c>
      <c r="BG56" s="15">
        <f t="shared" si="8"/>
        <v>70.98</v>
      </c>
      <c r="BN56">
        <v>1</v>
      </c>
      <c r="BO56">
        <v>185</v>
      </c>
      <c r="BP56" t="s">
        <v>954</v>
      </c>
      <c r="BQ56" t="s">
        <v>801</v>
      </c>
      <c r="BR56" t="str">
        <f>VLOOKUP(G56,Eras!$A$2:$C$10, 2, TRUE)</f>
        <v>vct</v>
      </c>
      <c r="BS56" t="s">
        <v>375</v>
      </c>
      <c r="BT56" t="str">
        <f t="shared" si="9"/>
        <v>vct_Van</v>
      </c>
      <c r="BU56" t="str">
        <f t="shared" si="10"/>
        <v>wagon_RAIL</v>
      </c>
      <c r="BV56" t="str">
        <f>VLOOKUP($BU56, Constants!$M:$N, 2, FALSE)</f>
        <v/>
      </c>
      <c r="BW56" t="str">
        <f t="shared" si="11"/>
        <v/>
      </c>
      <c r="BX56" t="s">
        <v>800</v>
      </c>
      <c r="BY56" t="str">
        <f t="shared" si="26"/>
        <v/>
      </c>
      <c r="BZ56" t="str">
        <f t="shared" si="24"/>
        <v>{SILVER}Livestock traffic was common early on in railway history, with specialised cattle wagons and stations equipped to handle loading and unloading.</v>
      </c>
    </row>
    <row r="57" spans="1:78" x14ac:dyDescent="0.25">
      <c r="A57" t="s">
        <v>853</v>
      </c>
      <c r="B57" t="s">
        <v>802</v>
      </c>
      <c r="C57">
        <v>101</v>
      </c>
      <c r="D57" t="s">
        <v>314</v>
      </c>
      <c r="E57" t="s">
        <v>314</v>
      </c>
      <c r="F57" t="s">
        <v>307</v>
      </c>
      <c r="G57">
        <v>1905</v>
      </c>
      <c r="I57">
        <v>1955</v>
      </c>
      <c r="T57">
        <v>10</v>
      </c>
      <c r="V57">
        <v>5</v>
      </c>
      <c r="X57" s="4" t="str">
        <f t="shared" si="27"/>
        <v/>
      </c>
      <c r="Y57">
        <v>45</v>
      </c>
      <c r="AA57">
        <v>8.9</v>
      </c>
      <c r="AB57">
        <v>8.9</v>
      </c>
      <c r="AE57" s="11">
        <v>24</v>
      </c>
      <c r="AF57" t="str">
        <f>CONCATENATE(VLOOKUP(AG57, 'Voxel Sizes'!$A$2:$B$18,2,FALSE),"x",INT(AC57*15), "x", INT(AD57*15))</f>
        <v>82x0x0</v>
      </c>
      <c r="AG57">
        <f t="shared" si="1"/>
        <v>5</v>
      </c>
      <c r="AI57" t="str">
        <f>CONCATENATE(VLOOKUP(AG57,Constants!$A$2:$C$16,IF(AH57&lt;&gt;"", 3, 2), FALSE),IF(AH57&lt;&gt;"",CONCATENATE(",",VLOOKUP(AH57,$B:$AI,34,FALSE)),""))</f>
        <v>2,1,2</v>
      </c>
      <c r="AS57">
        <v>30</v>
      </c>
      <c r="AT57">
        <f t="shared" si="2"/>
        <v>46</v>
      </c>
      <c r="AW57">
        <f t="shared" si="3"/>
        <v>9</v>
      </c>
      <c r="AX57">
        <f t="shared" si="4"/>
        <v>0</v>
      </c>
      <c r="AY57">
        <f t="shared" si="5"/>
        <v>0</v>
      </c>
      <c r="AZ57" s="4">
        <f t="shared" si="25"/>
        <v>0.99333333333333329</v>
      </c>
      <c r="BA57">
        <f t="shared" si="6"/>
        <v>4</v>
      </c>
      <c r="BB57">
        <f>VLOOKUP($E57,Constants!$I:$K, 2, FALSE)</f>
        <v>1</v>
      </c>
      <c r="BC57">
        <f>VLOOKUP($E57,Constants!$I:$K, 3, FALSE)*IF(AND(D57="multiple_unit",Y57&lt;110),0.75,1)</f>
        <v>0.45</v>
      </c>
      <c r="BD57">
        <f>INT(POWER(((Constants!$G$2+$AW57+$AX57+$AY57+$BA57)*$AZ57)*$BC57, 1.05))+$AV57</f>
        <v>8</v>
      </c>
      <c r="BE57">
        <f>INT(POWER((((Constants!$G$1+$AW57+$AX57+$AY57+$BA57)*($AZ57))*$BB57),IF($D57="wagon",1,1.2)))+$AU57</f>
        <v>27</v>
      </c>
      <c r="BF57" s="15">
        <f t="shared" si="7"/>
        <v>500</v>
      </c>
      <c r="BG57" s="15">
        <f t="shared" si="8"/>
        <v>73.709999999999994</v>
      </c>
      <c r="BN57">
        <v>1</v>
      </c>
      <c r="BO57">
        <v>185</v>
      </c>
      <c r="BP57" t="s">
        <v>954</v>
      </c>
      <c r="BQ57" t="s">
        <v>801</v>
      </c>
      <c r="BR57" t="str">
        <f>VLOOKUP(G57,Eras!$A$2:$C$10, 2, TRUE)</f>
        <v>edw</v>
      </c>
      <c r="BS57" t="s">
        <v>375</v>
      </c>
      <c r="BT57" t="str">
        <f t="shared" si="9"/>
        <v>edw_Van</v>
      </c>
      <c r="BU57" t="str">
        <f t="shared" si="10"/>
        <v>wagon_RAIL</v>
      </c>
      <c r="BV57" t="str">
        <f>VLOOKUP($BU57, Constants!$M:$N, 2, FALSE)</f>
        <v/>
      </c>
      <c r="BW57" t="str">
        <f t="shared" si="11"/>
        <v/>
      </c>
      <c r="BX57" t="s">
        <v>804</v>
      </c>
      <c r="BY57" t="str">
        <f t="shared" si="26"/>
        <v/>
      </c>
      <c r="BZ57" t="str">
        <f t="shared" si="24"/>
        <v>{SILVER}Livestock vans evolved along with improvements in covered van design.</v>
      </c>
    </row>
    <row r="58" spans="1:78" x14ac:dyDescent="0.25">
      <c r="A58" t="s">
        <v>854</v>
      </c>
      <c r="B58" t="s">
        <v>803</v>
      </c>
      <c r="C58">
        <v>102</v>
      </c>
      <c r="D58" t="s">
        <v>314</v>
      </c>
      <c r="E58" t="s">
        <v>314</v>
      </c>
      <c r="F58" t="s">
        <v>307</v>
      </c>
      <c r="G58">
        <v>1930</v>
      </c>
      <c r="I58">
        <v>1975</v>
      </c>
      <c r="T58">
        <v>10</v>
      </c>
      <c r="V58">
        <v>5</v>
      </c>
      <c r="X58" s="4" t="str">
        <f t="shared" si="27"/>
        <v/>
      </c>
      <c r="Y58">
        <v>50</v>
      </c>
      <c r="AA58">
        <v>8.9</v>
      </c>
      <c r="AB58">
        <v>8.9</v>
      </c>
      <c r="AE58" s="11">
        <v>24</v>
      </c>
      <c r="AF58" t="str">
        <f>CONCATENATE(VLOOKUP(AG58, 'Voxel Sizes'!$A$2:$B$18,2,FALSE),"x",INT(AC58*15), "x", INT(AD58*15))</f>
        <v>82x0x0</v>
      </c>
      <c r="AG58">
        <f t="shared" si="1"/>
        <v>5</v>
      </c>
      <c r="AI58" t="str">
        <f>CONCATENATE(VLOOKUP(AG58,Constants!$A$2:$C$16,IF(AH58&lt;&gt;"", 3, 2), FALSE),IF(AH58&lt;&gt;"",CONCATENATE(",",VLOOKUP(AH58,$B:$AI,34,FALSE)),""))</f>
        <v>2,1,2</v>
      </c>
      <c r="AS58">
        <v>30</v>
      </c>
      <c r="AT58">
        <f t="shared" si="2"/>
        <v>41</v>
      </c>
      <c r="AW58">
        <f t="shared" si="3"/>
        <v>10</v>
      </c>
      <c r="AX58">
        <f t="shared" si="4"/>
        <v>0</v>
      </c>
      <c r="AY58">
        <f t="shared" si="5"/>
        <v>0</v>
      </c>
      <c r="AZ58" s="4">
        <f t="shared" si="25"/>
        <v>0.96</v>
      </c>
      <c r="BA58">
        <f t="shared" si="6"/>
        <v>4</v>
      </c>
      <c r="BB58">
        <f>VLOOKUP($E58,Constants!$I:$K, 2, FALSE)</f>
        <v>1</v>
      </c>
      <c r="BC58">
        <f>VLOOKUP($E58,Constants!$I:$K, 3, FALSE)*IF(AND(D58="multiple_unit",Y58&lt;110),0.75,1)</f>
        <v>0.45</v>
      </c>
      <c r="BD58">
        <f>INT(POWER(((Constants!$G$2+$AW58+$AX58+$AY58+$BA58)*$AZ58)*$BC58, 1.05))+$AV58</f>
        <v>9</v>
      </c>
      <c r="BE58">
        <f>INT(POWER((((Constants!$G$1+$AW58+$AX58+$AY58+$BA58)*($AZ58))*$BB58),IF($D58="wagon",1,1.2)))+$AU58</f>
        <v>27</v>
      </c>
      <c r="BF58" s="15">
        <f t="shared" si="7"/>
        <v>562.5</v>
      </c>
      <c r="BG58" s="15">
        <f t="shared" si="8"/>
        <v>73.709999999999994</v>
      </c>
      <c r="BN58">
        <v>1</v>
      </c>
      <c r="BO58">
        <v>185</v>
      </c>
      <c r="BP58" t="s">
        <v>954</v>
      </c>
      <c r="BQ58" t="s">
        <v>801</v>
      </c>
      <c r="BR58" t="str">
        <f>VLOOKUP(G58,Eras!$A$2:$C$10, 2, TRUE)</f>
        <v>big4</v>
      </c>
      <c r="BS58" t="s">
        <v>375</v>
      </c>
      <c r="BT58" t="str">
        <f t="shared" si="9"/>
        <v>big4_Van</v>
      </c>
      <c r="BU58" t="str">
        <f t="shared" si="10"/>
        <v>wagon_RAIL</v>
      </c>
      <c r="BV58" t="str">
        <f>VLOOKUP($BU58, Constants!$M:$N, 2, FALSE)</f>
        <v/>
      </c>
      <c r="BW58" t="str">
        <f t="shared" si="11"/>
        <v/>
      </c>
      <c r="BX58" t="s">
        <v>805</v>
      </c>
      <c r="BY58" t="str">
        <f t="shared" si="26"/>
        <v/>
      </c>
      <c r="BZ58" t="str">
        <f t="shared" si="24"/>
        <v>{SILVER}Specialised cattle vans such as this Southern Railway example were built from the 1930s to the 1950s, although livestock traffic reduced in the latter part of this period.</v>
      </c>
    </row>
    <row r="59" spans="1:78" x14ac:dyDescent="0.25">
      <c r="A59" t="s">
        <v>855</v>
      </c>
      <c r="B59" t="s">
        <v>806</v>
      </c>
      <c r="C59">
        <v>103</v>
      </c>
      <c r="D59" t="s">
        <v>314</v>
      </c>
      <c r="E59" t="s">
        <v>314</v>
      </c>
      <c r="F59" t="s">
        <v>307</v>
      </c>
      <c r="G59">
        <v>1960</v>
      </c>
      <c r="I59">
        <v>2000</v>
      </c>
      <c r="T59">
        <v>14</v>
      </c>
      <c r="V59">
        <v>6</v>
      </c>
      <c r="X59" s="4" t="str">
        <f t="shared" si="27"/>
        <v/>
      </c>
      <c r="Y59">
        <v>65</v>
      </c>
      <c r="AA59">
        <v>10.6</v>
      </c>
      <c r="AB59">
        <v>10.6</v>
      </c>
      <c r="AE59" s="11">
        <v>39</v>
      </c>
      <c r="AF59" t="str">
        <f>CONCATENATE(VLOOKUP(AG59, 'Voxel Sizes'!$A$2:$B$18,2,FALSE),"x",INT(AC59*15), "x", INT(AD59*15))</f>
        <v>102x0x0</v>
      </c>
      <c r="AG59">
        <f t="shared" si="1"/>
        <v>6</v>
      </c>
      <c r="AI59" t="str">
        <f>CONCATENATE(VLOOKUP(AG59,Constants!$A$2:$C$16,IF(AH59&lt;&gt;"", 3, 2), FALSE),IF(AH59&lt;&gt;"",CONCATENATE(",",VLOOKUP(AH59,$B:$AI,34,FALSE)),""))</f>
        <v>2,2,2</v>
      </c>
      <c r="AS59">
        <v>30</v>
      </c>
      <c r="AT59">
        <f t="shared" si="2"/>
        <v>36</v>
      </c>
      <c r="AW59">
        <f t="shared" si="3"/>
        <v>13</v>
      </c>
      <c r="AX59">
        <f t="shared" si="4"/>
        <v>0</v>
      </c>
      <c r="AY59">
        <f t="shared" si="5"/>
        <v>0</v>
      </c>
      <c r="AZ59" s="4">
        <f t="shared" si="25"/>
        <v>0.92</v>
      </c>
      <c r="BA59">
        <f t="shared" si="6"/>
        <v>6.5</v>
      </c>
      <c r="BB59">
        <f>VLOOKUP($E59,Constants!$I:$K, 2, FALSE)</f>
        <v>1</v>
      </c>
      <c r="BC59">
        <f>VLOOKUP($E59,Constants!$I:$K, 3, FALSE)*IF(AND(D59="multiple_unit",Y59&lt;110),0.75,1)</f>
        <v>0.45</v>
      </c>
      <c r="BD59">
        <f>INT(POWER(((Constants!$G$2+$AW59+$AX59+$AY59+$BA59)*$AZ59)*$BC59, 1.05))+$AV59</f>
        <v>11</v>
      </c>
      <c r="BE59">
        <f>INT(POWER((((Constants!$G$1+$AW59+$AX59+$AY59+$BA59)*($AZ59))*$BB59),IF($D59="wagon",1,1.2)))+$AU59</f>
        <v>31</v>
      </c>
      <c r="BF59" s="15">
        <f t="shared" si="7"/>
        <v>687.5</v>
      </c>
      <c r="BG59" s="15">
        <f t="shared" si="8"/>
        <v>84.63</v>
      </c>
      <c r="BN59">
        <v>1</v>
      </c>
      <c r="BO59">
        <v>185</v>
      </c>
      <c r="BP59" t="s">
        <v>954</v>
      </c>
      <c r="BQ59" t="s">
        <v>801</v>
      </c>
      <c r="BR59" t="str">
        <f>VLOOKUP(G59,Eras!$A$2:$C$10, 2, TRUE)</f>
        <v>dsl</v>
      </c>
      <c r="BS59" t="s">
        <v>375</v>
      </c>
      <c r="BT59" t="str">
        <f t="shared" si="9"/>
        <v>dsl_Van</v>
      </c>
      <c r="BU59" t="str">
        <f t="shared" si="10"/>
        <v>wagon_RAIL</v>
      </c>
      <c r="BV59" t="str">
        <f>VLOOKUP($BU59, Constants!$M:$N, 2, FALSE)</f>
        <v/>
      </c>
      <c r="BW59" t="str">
        <f t="shared" si="11"/>
        <v/>
      </c>
      <c r="BX59" t="s">
        <v>809</v>
      </c>
      <c r="BY59" t="str">
        <f t="shared" si="26"/>
        <v/>
      </c>
      <c r="BZ59" t="str">
        <f t="shared" si="24"/>
        <v>{SILVER}In reality by the 1960s cattle traffic on the railways had heavily declined with few stations still equipped to handle livestock, and eventually ceased altogether. This wagon represents a plausible development had mainline livestock traffic continued.</v>
      </c>
    </row>
    <row r="60" spans="1:78" x14ac:dyDescent="0.25">
      <c r="A60" t="s">
        <v>856</v>
      </c>
      <c r="B60" t="s">
        <v>807</v>
      </c>
      <c r="C60">
        <v>104</v>
      </c>
      <c r="D60" t="s">
        <v>314</v>
      </c>
      <c r="E60" t="s">
        <v>314</v>
      </c>
      <c r="F60" t="s">
        <v>307</v>
      </c>
      <c r="G60">
        <v>1990</v>
      </c>
      <c r="T60">
        <v>16</v>
      </c>
      <c r="V60">
        <v>6</v>
      </c>
      <c r="X60" s="4" t="str">
        <f t="shared" si="27"/>
        <v/>
      </c>
      <c r="Y60">
        <v>75</v>
      </c>
      <c r="AA60">
        <v>12.2</v>
      </c>
      <c r="AB60">
        <v>12.2</v>
      </c>
      <c r="AE60" s="11">
        <v>39</v>
      </c>
      <c r="AF60" t="str">
        <f>CONCATENATE(VLOOKUP(AG60, 'Voxel Sizes'!$A$2:$B$18,2,FALSE),"x",INT(AC60*15), "x", INT(AD60*15))</f>
        <v>120x0x0</v>
      </c>
      <c r="AG60">
        <f t="shared" si="1"/>
        <v>7</v>
      </c>
      <c r="AI60" t="str">
        <f>CONCATENATE(VLOOKUP(AG60,Constants!$A$2:$C$16,IF(AH60&lt;&gt;"", 3, 2), FALSE),IF(AH60&lt;&gt;"",CONCATENATE(",",VLOOKUP(AH60,$B:$AI,34,FALSE)),""))</f>
        <v>2,3,2</v>
      </c>
      <c r="AS60">
        <v>30</v>
      </c>
      <c r="AT60" t="str">
        <f t="shared" si="2"/>
        <v/>
      </c>
      <c r="AW60">
        <f t="shared" si="3"/>
        <v>15</v>
      </c>
      <c r="AX60">
        <f t="shared" si="4"/>
        <v>0</v>
      </c>
      <c r="AY60">
        <f t="shared" si="5"/>
        <v>0</v>
      </c>
      <c r="AZ60" s="4">
        <f t="shared" si="25"/>
        <v>0.88</v>
      </c>
      <c r="BA60">
        <f t="shared" si="6"/>
        <v>6.5</v>
      </c>
      <c r="BB60">
        <f>VLOOKUP($E60,Constants!$I:$K, 2, FALSE)</f>
        <v>1</v>
      </c>
      <c r="BC60">
        <f>VLOOKUP($E60,Constants!$I:$K, 3, FALSE)*IF(AND(D60="multiple_unit",Y60&lt;110),0.75,1)</f>
        <v>0.45</v>
      </c>
      <c r="BD60">
        <f>INT(POWER(((Constants!$G$2+$AW60+$AX60+$AY60+$BA60)*$AZ60)*$BC60, 1.05))+$AV60</f>
        <v>11</v>
      </c>
      <c r="BE60">
        <f>INT(POWER((((Constants!$G$1+$AW60+$AX60+$AY60+$BA60)*($AZ60))*$BB60),IF($D60="wagon",1,1.2)))+$AU60</f>
        <v>32</v>
      </c>
      <c r="BF60" s="15">
        <f t="shared" si="7"/>
        <v>687.5</v>
      </c>
      <c r="BG60" s="15">
        <f t="shared" si="8"/>
        <v>87.36</v>
      </c>
      <c r="BN60">
        <v>1</v>
      </c>
      <c r="BO60">
        <v>185</v>
      </c>
      <c r="BP60" t="s">
        <v>954</v>
      </c>
      <c r="BQ60" t="s">
        <v>801</v>
      </c>
      <c r="BR60" t="str">
        <f>VLOOKUP(G60,Eras!$A$2:$C$10, 2, TRUE)</f>
        <v>lbr</v>
      </c>
      <c r="BS60" t="s">
        <v>375</v>
      </c>
      <c r="BT60" t="str">
        <f t="shared" si="9"/>
        <v>lbr_Van</v>
      </c>
      <c r="BU60" t="str">
        <f t="shared" si="10"/>
        <v>wagon_RAIL</v>
      </c>
      <c r="BV60" t="str">
        <f>VLOOKUP($BU60, Constants!$M:$N, 2, FALSE)</f>
        <v/>
      </c>
      <c r="BW60" t="str">
        <f t="shared" si="11"/>
        <v/>
      </c>
      <c r="BX60" t="s">
        <v>808</v>
      </c>
      <c r="BY60" t="str">
        <f t="shared" si="26"/>
        <v/>
      </c>
      <c r="BZ60" t="str">
        <f t="shared" si="24"/>
        <v>{SILVER}Although there is no modern livestock traffic on railways in the UK, other countries have continued to build livestock wagons. This wagon is representative of contemporary livestock transport, if it were built to British loading gauge.</v>
      </c>
    </row>
    <row r="61" spans="1:78" x14ac:dyDescent="0.25">
      <c r="A61" t="s">
        <v>797</v>
      </c>
      <c r="B61" t="s">
        <v>798</v>
      </c>
      <c r="C61">
        <v>112</v>
      </c>
      <c r="D61" t="s">
        <v>314</v>
      </c>
      <c r="E61" t="s">
        <v>314</v>
      </c>
      <c r="F61" t="s">
        <v>307</v>
      </c>
      <c r="G61">
        <v>1850</v>
      </c>
      <c r="I61">
        <v>1930</v>
      </c>
      <c r="T61">
        <v>8</v>
      </c>
      <c r="V61">
        <v>4</v>
      </c>
      <c r="X61" s="4" t="str">
        <f t="shared" si="27"/>
        <v/>
      </c>
      <c r="Y61">
        <v>45</v>
      </c>
      <c r="AA61">
        <v>6</v>
      </c>
      <c r="AB61">
        <v>6</v>
      </c>
      <c r="AE61" s="11">
        <v>18</v>
      </c>
      <c r="AF61" t="str">
        <f>CONCATENATE(VLOOKUP(AG61, 'Voxel Sizes'!$A$2:$B$18,2,FALSE),"x",INT(AC61*15), "x", INT(AD61*15))</f>
        <v>60x0x0</v>
      </c>
      <c r="AG61">
        <f t="shared" si="1"/>
        <v>4</v>
      </c>
      <c r="AI61" t="str">
        <f>CONCATENATE(VLOOKUP(AG61,Constants!$A$2:$C$16,IF(AH61&lt;&gt;"", 3, 2), FALSE),IF(AH61&lt;&gt;"",CONCATENATE(",",VLOOKUP(AH61,$B:$AI,34,FALSE)),""))</f>
        <v>1,2,1</v>
      </c>
      <c r="AS61">
        <v>30</v>
      </c>
      <c r="AT61">
        <f t="shared" si="2"/>
        <v>76</v>
      </c>
      <c r="AW61">
        <f t="shared" si="3"/>
        <v>9</v>
      </c>
      <c r="AX61">
        <f t="shared" si="4"/>
        <v>0</v>
      </c>
      <c r="AY61">
        <f t="shared" si="5"/>
        <v>0</v>
      </c>
      <c r="AZ61" s="4">
        <f t="shared" si="25"/>
        <v>1</v>
      </c>
      <c r="BA61">
        <f t="shared" si="6"/>
        <v>3</v>
      </c>
      <c r="BB61">
        <f>VLOOKUP($E61,Constants!$I:$K, 2, FALSE)</f>
        <v>1</v>
      </c>
      <c r="BC61">
        <f>VLOOKUP($E61,Constants!$I:$K, 3, FALSE)*IF(AND(D61="multiple_unit",Y61&lt;110),0.75,1)</f>
        <v>0.45</v>
      </c>
      <c r="BD61">
        <f>INT(POWER(((Constants!$G$2+$AW61+$AX61+$AY61+$BA61)*$AZ61)*$BC61, 1.05))+$AV61</f>
        <v>8</v>
      </c>
      <c r="BE61">
        <f>INT(POWER((((Constants!$G$1+$AW61+$AX61+$AY61+$BA61)*($AZ61))*$BB61),IF($D61="wagon",1,1.2)))+$AU61</f>
        <v>27</v>
      </c>
      <c r="BF61" s="15">
        <f t="shared" si="7"/>
        <v>500</v>
      </c>
      <c r="BG61" s="15">
        <f t="shared" si="8"/>
        <v>73.709999999999994</v>
      </c>
      <c r="BN61">
        <v>1</v>
      </c>
      <c r="BO61">
        <v>185</v>
      </c>
      <c r="BP61" t="s">
        <v>375</v>
      </c>
      <c r="BQ61" t="s">
        <v>319</v>
      </c>
      <c r="BR61" t="str">
        <f>VLOOKUP(G61,Eras!$A$2:$C$10, 2, TRUE)</f>
        <v>vct</v>
      </c>
      <c r="BS61" t="s">
        <v>375</v>
      </c>
      <c r="BT61" t="str">
        <f t="shared" si="9"/>
        <v>vct_Van</v>
      </c>
      <c r="BU61" t="str">
        <f t="shared" si="10"/>
        <v>wagon_RAIL</v>
      </c>
      <c r="BV61" t="str">
        <f>VLOOKUP($BU61, Constants!$M:$N, 2, FALSE)</f>
        <v/>
      </c>
      <c r="BW61" t="str">
        <f t="shared" si="11"/>
        <v/>
      </c>
      <c r="BX61" t="s">
        <v>799</v>
      </c>
      <c r="BY61" t="str">
        <f t="shared" si="26"/>
        <v/>
      </c>
      <c r="BZ61" t="str">
        <f t="shared" si="24"/>
        <v>{SILVER}Piece goods were an important source of revenue for early railways, with most building large quantities of covered vans.</v>
      </c>
    </row>
    <row r="62" spans="1:78" x14ac:dyDescent="0.25">
      <c r="A62" t="s">
        <v>447</v>
      </c>
      <c r="B62" t="s">
        <v>448</v>
      </c>
      <c r="C62">
        <v>114</v>
      </c>
      <c r="D62" t="s">
        <v>314</v>
      </c>
      <c r="E62" t="s">
        <v>314</v>
      </c>
      <c r="F62" t="s">
        <v>307</v>
      </c>
      <c r="G62">
        <v>1902</v>
      </c>
      <c r="I62">
        <v>1960</v>
      </c>
      <c r="T62">
        <v>8</v>
      </c>
      <c r="V62">
        <v>5</v>
      </c>
      <c r="X62" s="4" t="str">
        <f t="shared" si="27"/>
        <v/>
      </c>
      <c r="Y62">
        <v>50</v>
      </c>
      <c r="AA62">
        <v>8</v>
      </c>
      <c r="AB62">
        <v>8</v>
      </c>
      <c r="AE62" s="11">
        <v>24</v>
      </c>
      <c r="AF62" t="str">
        <f>CONCATENATE(VLOOKUP(AG62, 'Voxel Sizes'!$A$2:$B$18,2,FALSE),"x",INT(AC62*15), "x", INT(AD62*15))</f>
        <v>82x0x0</v>
      </c>
      <c r="AG62">
        <f t="shared" si="1"/>
        <v>5</v>
      </c>
      <c r="AI62" t="str">
        <f>CONCATENATE(VLOOKUP(AG62,Constants!$A$2:$C$16,IF(AH62&lt;&gt;"", 3, 2), FALSE),IF(AH62&lt;&gt;"",CONCATENATE(",",VLOOKUP(AH62,$B:$AI,34,FALSE)),""))</f>
        <v>2,1,2</v>
      </c>
      <c r="AS62">
        <v>30</v>
      </c>
      <c r="AT62">
        <f t="shared" si="2"/>
        <v>54</v>
      </c>
      <c r="AW62">
        <f t="shared" si="3"/>
        <v>10</v>
      </c>
      <c r="AX62">
        <f t="shared" si="4"/>
        <v>0</v>
      </c>
      <c r="AY62">
        <f t="shared" si="5"/>
        <v>0</v>
      </c>
      <c r="AZ62" s="4">
        <f t="shared" si="25"/>
        <v>0.99733333333333329</v>
      </c>
      <c r="BA62">
        <f t="shared" si="6"/>
        <v>4</v>
      </c>
      <c r="BB62">
        <f>VLOOKUP($E62,Constants!$I:$K, 2, FALSE)</f>
        <v>1</v>
      </c>
      <c r="BC62">
        <f>VLOOKUP($E62,Constants!$I:$K, 3, FALSE)*IF(AND(D62="multiple_unit",Y62&lt;110),0.75,1)</f>
        <v>0.45</v>
      </c>
      <c r="BD62">
        <f>INT(POWER(((Constants!$G$2+$AW62+$AX62+$AY62+$BA62)*$AZ62)*$BC62, 1.05))+$AV62</f>
        <v>9</v>
      </c>
      <c r="BE62">
        <f>INT(POWER((((Constants!$G$1+$AW62+$AX62+$AY62+$BA62)*($AZ62))*$BB62),IF($D62="wagon",1,1.2)))+$AU62</f>
        <v>28</v>
      </c>
      <c r="BF62" s="15">
        <f t="shared" si="7"/>
        <v>562.5</v>
      </c>
      <c r="BG62" s="15">
        <f t="shared" si="8"/>
        <v>76.44</v>
      </c>
      <c r="BN62">
        <v>1</v>
      </c>
      <c r="BO62">
        <v>185</v>
      </c>
      <c r="BP62" t="s">
        <v>375</v>
      </c>
      <c r="BQ62" t="s">
        <v>319</v>
      </c>
      <c r="BR62" t="str">
        <f>VLOOKUP(G62,Eras!$A$2:$C$10, 2, TRUE)</f>
        <v>edw</v>
      </c>
      <c r="BS62" t="s">
        <v>375</v>
      </c>
      <c r="BT62" t="str">
        <f t="shared" si="9"/>
        <v>edw_Van</v>
      </c>
      <c r="BU62" t="str">
        <f t="shared" si="10"/>
        <v>wagon_RAIL</v>
      </c>
      <c r="BV62" t="str">
        <f>VLOOKUP($BU62, Constants!$M:$N, 2, FALSE)</f>
        <v/>
      </c>
      <c r="BW62" t="str">
        <f t="shared" si="11"/>
        <v/>
      </c>
      <c r="BX62" t="s">
        <v>446</v>
      </c>
      <c r="BY62" t="str">
        <f t="shared" si="26"/>
        <v/>
      </c>
      <c r="BZ62" t="str">
        <f t="shared" si="24"/>
        <v>{SILVER}This goods van uses an iron frame with a wooden body, making it stronger than earlier wooden-framed vans.</v>
      </c>
    </row>
    <row r="63" spans="1:78" x14ac:dyDescent="0.25">
      <c r="A63" t="s">
        <v>785</v>
      </c>
      <c r="B63" t="s">
        <v>786</v>
      </c>
      <c r="C63">
        <v>116</v>
      </c>
      <c r="D63" t="s">
        <v>314</v>
      </c>
      <c r="E63" t="s">
        <v>314</v>
      </c>
      <c r="F63" t="s">
        <v>307</v>
      </c>
      <c r="G63">
        <v>1932</v>
      </c>
      <c r="I63">
        <v>1970</v>
      </c>
      <c r="T63">
        <v>8</v>
      </c>
      <c r="V63">
        <v>5</v>
      </c>
      <c r="X63" s="4" t="str">
        <f t="shared" si="27"/>
        <v/>
      </c>
      <c r="Y63">
        <v>60</v>
      </c>
      <c r="AA63">
        <v>8</v>
      </c>
      <c r="AB63">
        <v>8</v>
      </c>
      <c r="AE63" s="11">
        <v>27</v>
      </c>
      <c r="AF63" t="str">
        <f>CONCATENATE(VLOOKUP(AG63, 'Voxel Sizes'!$A$2:$B$18,2,FALSE),"x",INT(AC63*15), "x", INT(AD63*15))</f>
        <v>82x0x0</v>
      </c>
      <c r="AG63">
        <f t="shared" si="1"/>
        <v>5</v>
      </c>
      <c r="AI63" t="str">
        <f>CONCATENATE(VLOOKUP(AG63,Constants!$A$2:$C$16,IF(AH63&lt;&gt;"", 3, 2), FALSE),IF(AH63&lt;&gt;"",CONCATENATE(",",VLOOKUP(AH63,$B:$AI,34,FALSE)),""))</f>
        <v>2,1,2</v>
      </c>
      <c r="AS63">
        <v>30</v>
      </c>
      <c r="AT63">
        <f t="shared" si="2"/>
        <v>34</v>
      </c>
      <c r="AW63">
        <f t="shared" si="3"/>
        <v>12</v>
      </c>
      <c r="AX63">
        <f t="shared" si="4"/>
        <v>0</v>
      </c>
      <c r="AY63">
        <f t="shared" si="5"/>
        <v>0</v>
      </c>
      <c r="AZ63" s="4">
        <f t="shared" si="25"/>
        <v>0.95733333333333337</v>
      </c>
      <c r="BA63">
        <f t="shared" si="6"/>
        <v>4.5</v>
      </c>
      <c r="BB63">
        <f>VLOOKUP($E63,Constants!$I:$K, 2, FALSE)</f>
        <v>1</v>
      </c>
      <c r="BC63">
        <f>VLOOKUP($E63,Constants!$I:$K, 3, FALSE)*IF(AND(D63="multiple_unit",Y63&lt;110),0.75,1)</f>
        <v>0.45</v>
      </c>
      <c r="BD63">
        <f>INT(POWER(((Constants!$G$2+$AW63+$AX63+$AY63+$BA63)*$AZ63)*$BC63, 1.05))+$AV63</f>
        <v>10</v>
      </c>
      <c r="BE63">
        <f>INT(POWER((((Constants!$G$1+$AW63+$AX63+$AY63+$BA63)*($AZ63))*$BB63),IF($D63="wagon",1,1.2)))+$AU63</f>
        <v>30</v>
      </c>
      <c r="BF63" s="15">
        <f t="shared" si="7"/>
        <v>625</v>
      </c>
      <c r="BG63" s="15">
        <f t="shared" si="8"/>
        <v>81.900000000000006</v>
      </c>
      <c r="BN63">
        <v>1</v>
      </c>
      <c r="BO63">
        <v>185</v>
      </c>
      <c r="BP63" t="s">
        <v>375</v>
      </c>
      <c r="BQ63" t="s">
        <v>319</v>
      </c>
      <c r="BR63" t="str">
        <f>VLOOKUP(G63,Eras!$A$2:$C$10, 2, TRUE)</f>
        <v>big4</v>
      </c>
      <c r="BS63" t="s">
        <v>375</v>
      </c>
      <c r="BT63" t="str">
        <f t="shared" si="9"/>
        <v>big4_Van</v>
      </c>
      <c r="BU63" t="str">
        <f t="shared" si="10"/>
        <v>wagon_RAIL</v>
      </c>
      <c r="BV63" t="str">
        <f>VLOOKUP($BU63, Constants!$M:$N, 2, FALSE)</f>
        <v/>
      </c>
      <c r="BW63" t="str">
        <f t="shared" si="11"/>
        <v/>
      </c>
      <c r="BX63" t="s">
        <v>787</v>
      </c>
      <c r="BY63" t="str">
        <f t="shared" si="26"/>
        <v/>
      </c>
      <c r="BZ63" t="str">
        <f t="shared" si="24"/>
        <v>{SILVER}Fitted vans had brakes which could be controlled from the locomotive or a brake van, allowing higher braking force and thus speed. This example is typical of a Southern Railways vacuum-braked model.</v>
      </c>
    </row>
    <row r="64" spans="1:78" x14ac:dyDescent="0.25">
      <c r="A64" t="s">
        <v>788</v>
      </c>
      <c r="B64" t="s">
        <v>789</v>
      </c>
      <c r="C64">
        <v>118</v>
      </c>
      <c r="D64" t="s">
        <v>314</v>
      </c>
      <c r="E64" t="s">
        <v>314</v>
      </c>
      <c r="F64" t="s">
        <v>307</v>
      </c>
      <c r="G64">
        <v>1962</v>
      </c>
      <c r="I64">
        <v>1985</v>
      </c>
      <c r="T64">
        <v>8</v>
      </c>
      <c r="V64">
        <v>7</v>
      </c>
      <c r="X64" s="4" t="str">
        <f t="shared" si="27"/>
        <v/>
      </c>
      <c r="Y64">
        <v>65</v>
      </c>
      <c r="AA64">
        <v>8</v>
      </c>
      <c r="AB64">
        <v>8</v>
      </c>
      <c r="AE64" s="11">
        <v>27</v>
      </c>
      <c r="AF64" t="str">
        <f>CONCATENATE(VLOOKUP(AG64, 'Voxel Sizes'!$A$2:$B$18,2,FALSE),"x",INT(AC64*15), "x", INT(AD64*15))</f>
        <v>82x0x0</v>
      </c>
      <c r="AG64">
        <f t="shared" si="1"/>
        <v>5</v>
      </c>
      <c r="AI64" t="str">
        <f>CONCATENATE(VLOOKUP(AG64,Constants!$A$2:$C$16,IF(AH64&lt;&gt;"", 3, 2), FALSE),IF(AH64&lt;&gt;"",CONCATENATE(",",VLOOKUP(AH64,$B:$AI,34,FALSE)),""))</f>
        <v>2,1,2</v>
      </c>
      <c r="AS64">
        <v>30</v>
      </c>
      <c r="AT64">
        <f t="shared" si="2"/>
        <v>19</v>
      </c>
      <c r="AW64">
        <f t="shared" si="3"/>
        <v>13</v>
      </c>
      <c r="AX64">
        <f t="shared" si="4"/>
        <v>0</v>
      </c>
      <c r="AY64">
        <f t="shared" si="5"/>
        <v>0</v>
      </c>
      <c r="AZ64" s="4">
        <f t="shared" si="25"/>
        <v>0.91733333333333333</v>
      </c>
      <c r="BA64">
        <f t="shared" si="6"/>
        <v>4.5</v>
      </c>
      <c r="BB64">
        <f>VLOOKUP($E64,Constants!$I:$K, 2, FALSE)</f>
        <v>1</v>
      </c>
      <c r="BC64">
        <f>VLOOKUP($E64,Constants!$I:$K, 3, FALSE)*IF(AND(D64="multiple_unit",Y64&lt;110),0.75,1)</f>
        <v>0.45</v>
      </c>
      <c r="BD64">
        <f>INT(POWER(((Constants!$G$2+$AW64+$AX64+$AY64+$BA64)*$AZ64)*$BC64, 1.05))+$AV64</f>
        <v>10</v>
      </c>
      <c r="BE64">
        <f>INT(POWER((((Constants!$G$1+$AW64+$AX64+$AY64+$BA64)*($AZ64))*$BB64),IF($D64="wagon",1,1.2)))+$AU64</f>
        <v>29</v>
      </c>
      <c r="BF64" s="15">
        <f t="shared" si="7"/>
        <v>625</v>
      </c>
      <c r="BG64" s="15">
        <f t="shared" si="8"/>
        <v>79.17</v>
      </c>
      <c r="BN64">
        <v>1</v>
      </c>
      <c r="BO64">
        <v>185</v>
      </c>
      <c r="BP64" t="s">
        <v>375</v>
      </c>
      <c r="BQ64" t="s">
        <v>319</v>
      </c>
      <c r="BR64" t="str">
        <f>VLOOKUP(G64,Eras!$A$2:$C$10, 2, TRUE)</f>
        <v>dsl</v>
      </c>
      <c r="BS64" t="s">
        <v>375</v>
      </c>
      <c r="BT64" t="str">
        <f t="shared" si="9"/>
        <v>dsl_Van</v>
      </c>
      <c r="BU64" t="str">
        <f t="shared" si="10"/>
        <v>wagon_RAIL</v>
      </c>
      <c r="BV64" t="str">
        <f>VLOOKUP($BU64, Constants!$M:$N, 2, FALSE)</f>
        <v/>
      </c>
      <c r="BW64" t="str">
        <f t="shared" si="11"/>
        <v/>
      </c>
      <c r="BX64" t="s">
        <v>790</v>
      </c>
      <c r="BY64" t="str">
        <f t="shared" si="26"/>
        <v/>
      </c>
      <c r="BZ64" t="str">
        <f t="shared" si="24"/>
        <v>{SILVER}The Vanwide was BR's final development of the traditional van design, featuring wider doors for increased loading speed.</v>
      </c>
    </row>
    <row r="65" spans="1:78" x14ac:dyDescent="0.25">
      <c r="A65" t="s">
        <v>850</v>
      </c>
      <c r="B65" t="s">
        <v>238</v>
      </c>
      <c r="C65">
        <v>121</v>
      </c>
      <c r="D65" t="s">
        <v>314</v>
      </c>
      <c r="E65" t="s">
        <v>314</v>
      </c>
      <c r="F65" t="s">
        <v>307</v>
      </c>
      <c r="G65">
        <v>1969</v>
      </c>
      <c r="I65">
        <v>2010</v>
      </c>
      <c r="T65">
        <v>16</v>
      </c>
      <c r="V65">
        <v>7</v>
      </c>
      <c r="X65" s="4" t="str">
        <f t="shared" si="27"/>
        <v/>
      </c>
      <c r="Y65">
        <v>75</v>
      </c>
      <c r="AA65">
        <v>11.2</v>
      </c>
      <c r="AB65">
        <v>11.2</v>
      </c>
      <c r="AE65" s="11">
        <v>39</v>
      </c>
      <c r="AF65" t="str">
        <f>CONCATENATE(VLOOKUP(AG65, 'Voxel Sizes'!$A$2:$B$18,2,FALSE),"x",INT(AC65*15), "x", INT(AD65*15))</f>
        <v>120x0x0</v>
      </c>
      <c r="AG65">
        <f t="shared" si="1"/>
        <v>7</v>
      </c>
      <c r="AI65" t="str">
        <f>CONCATENATE(VLOOKUP(AG65,Constants!$A$2:$C$16,IF(AH65&lt;&gt;"", 3, 2), FALSE),IF(AH65&lt;&gt;"",CONCATENATE(",",VLOOKUP(AH65,$B:$AI,34,FALSE)),""))</f>
        <v>2,3,2</v>
      </c>
      <c r="AS65">
        <v>30</v>
      </c>
      <c r="AT65">
        <f t="shared" si="2"/>
        <v>37</v>
      </c>
      <c r="AW65">
        <f t="shared" si="3"/>
        <v>15</v>
      </c>
      <c r="AX65">
        <f t="shared" si="4"/>
        <v>0</v>
      </c>
      <c r="AY65">
        <f t="shared" si="5"/>
        <v>0</v>
      </c>
      <c r="AZ65" s="4">
        <f t="shared" si="25"/>
        <v>0.90800000000000003</v>
      </c>
      <c r="BA65">
        <f t="shared" si="6"/>
        <v>6.5</v>
      </c>
      <c r="BB65">
        <f>VLOOKUP($E65,Constants!$I:$K, 2, FALSE)</f>
        <v>1</v>
      </c>
      <c r="BC65">
        <f>VLOOKUP($E65,Constants!$I:$K, 3, FALSE)*IF(AND(D65="multiple_unit",Y65&lt;110),0.75,1)</f>
        <v>0.45</v>
      </c>
      <c r="BD65">
        <f>INT(POWER(((Constants!$G$2+$AW65+$AX65+$AY65+$BA65)*$AZ65)*$BC65, 1.05))+$AV65</f>
        <v>12</v>
      </c>
      <c r="BE65">
        <f>INT(POWER((((Constants!$G$1+$AW65+$AX65+$AY65+$BA65)*($AZ65))*$BB65),IF($D65="wagon",1,1.2)))+$AU65</f>
        <v>33</v>
      </c>
      <c r="BF65" s="15">
        <f t="shared" si="7"/>
        <v>750</v>
      </c>
      <c r="BG65" s="15">
        <f t="shared" si="8"/>
        <v>90.09</v>
      </c>
      <c r="BN65">
        <v>1</v>
      </c>
      <c r="BO65">
        <v>185</v>
      </c>
      <c r="BP65" t="s">
        <v>375</v>
      </c>
      <c r="BQ65" t="s">
        <v>319</v>
      </c>
      <c r="BR65" t="str">
        <f>VLOOKUP(G65,Eras!$A$2:$C$10, 2, TRUE)</f>
        <v>dsl</v>
      </c>
      <c r="BS65" t="s">
        <v>375</v>
      </c>
      <c r="BT65" t="str">
        <f t="shared" si="9"/>
        <v>dsl_Van</v>
      </c>
      <c r="BU65" t="str">
        <f t="shared" si="10"/>
        <v>wagon_RAIL</v>
      </c>
      <c r="BV65" t="str">
        <f>VLOOKUP($BU65, Constants!$M:$N, 2, FALSE)</f>
        <v/>
      </c>
      <c r="BW65" t="str">
        <f t="shared" si="11"/>
        <v/>
      </c>
      <c r="BX65" t="s">
        <v>794</v>
      </c>
      <c r="BY65" t="str">
        <f t="shared" si="26"/>
        <v/>
      </c>
      <c r="BZ65" t="str">
        <f t="shared" si="24"/>
        <v>{SILVER}The VDA was BR's first air braked general purpose van, later used for the Speedlink freight network.</v>
      </c>
    </row>
    <row r="66" spans="1:78" x14ac:dyDescent="0.25">
      <c r="A66" t="s">
        <v>791</v>
      </c>
      <c r="B66" t="s">
        <v>792</v>
      </c>
      <c r="C66">
        <v>123</v>
      </c>
      <c r="D66" t="s">
        <v>314</v>
      </c>
      <c r="E66" t="s">
        <v>314</v>
      </c>
      <c r="F66" t="s">
        <v>307</v>
      </c>
      <c r="G66">
        <v>1978</v>
      </c>
      <c r="T66">
        <v>8</v>
      </c>
      <c r="V66">
        <v>7</v>
      </c>
      <c r="X66" s="4" t="str">
        <f t="shared" si="27"/>
        <v/>
      </c>
      <c r="Y66">
        <v>75</v>
      </c>
      <c r="AA66">
        <v>8</v>
      </c>
      <c r="AB66">
        <v>8</v>
      </c>
      <c r="AE66" s="11">
        <v>27</v>
      </c>
      <c r="AF66" t="str">
        <f>CONCATENATE(VLOOKUP(AG66, 'Voxel Sizes'!$A$2:$B$18,2,FALSE),"x",INT(AC66*15), "x", INT(AD66*15))</f>
        <v>82x0x0</v>
      </c>
      <c r="AG66">
        <f t="shared" si="1"/>
        <v>5</v>
      </c>
      <c r="AI66" t="str">
        <f>CONCATENATE(VLOOKUP(AG66,Constants!$A$2:$C$16,IF(AH66&lt;&gt;"", 3, 2), FALSE),IF(AH66&lt;&gt;"",CONCATENATE(",",VLOOKUP(AH66,$B:$AI,34,FALSE)),""))</f>
        <v>2,1,2</v>
      </c>
      <c r="AS66">
        <v>30</v>
      </c>
      <c r="AT66" t="str">
        <f t="shared" si="2"/>
        <v/>
      </c>
      <c r="AW66">
        <f t="shared" si="3"/>
        <v>15</v>
      </c>
      <c r="AX66">
        <f t="shared" si="4"/>
        <v>0</v>
      </c>
      <c r="AY66">
        <f t="shared" si="5"/>
        <v>0</v>
      </c>
      <c r="AZ66" s="4">
        <f t="shared" si="25"/>
        <v>0.89600000000000002</v>
      </c>
      <c r="BA66">
        <f t="shared" si="6"/>
        <v>4.5</v>
      </c>
      <c r="BB66">
        <f>VLOOKUP($E66,Constants!$I:$K, 2, FALSE)</f>
        <v>1</v>
      </c>
      <c r="BC66">
        <f>VLOOKUP($E66,Constants!$I:$K, 3, FALSE)*IF(AND(D66="multiple_unit",Y66&lt;110),0.75,1)</f>
        <v>0.45</v>
      </c>
      <c r="BD66">
        <f>INT(POWER(((Constants!$G$2+$AW66+$AX66+$AY66+$BA66)*$AZ66)*$BC66, 1.05))+$AV66</f>
        <v>11</v>
      </c>
      <c r="BE66">
        <f>INT(POWER((((Constants!$G$1+$AW66+$AX66+$AY66+$BA66)*($AZ66))*$BB66),IF($D66="wagon",1,1.2)))+$AU66</f>
        <v>30</v>
      </c>
      <c r="BF66" s="15">
        <f t="shared" si="7"/>
        <v>687.5</v>
      </c>
      <c r="BG66" s="15">
        <f t="shared" si="8"/>
        <v>81.900000000000006</v>
      </c>
      <c r="BN66">
        <v>1</v>
      </c>
      <c r="BO66">
        <v>185</v>
      </c>
      <c r="BP66" t="s">
        <v>375</v>
      </c>
      <c r="BQ66" t="s">
        <v>319</v>
      </c>
      <c r="BR66" t="str">
        <f>VLOOKUP(G66,Eras!$A$2:$C$10, 2, TRUE)</f>
        <v>lbr</v>
      </c>
      <c r="BS66" t="s">
        <v>375</v>
      </c>
      <c r="BT66" t="str">
        <f t="shared" si="9"/>
        <v>lbr_Van</v>
      </c>
      <c r="BU66" t="str">
        <f t="shared" ref="BU66:BU129" si="28">_xlfn.CONCAT(E66, "_",F66)</f>
        <v>wagon_RAIL</v>
      </c>
      <c r="BV66" t="str">
        <f>VLOOKUP($BU66, Constants!$M:$N, 2, FALSE)</f>
        <v/>
      </c>
      <c r="BW66" t="str">
        <f t="shared" ref="BW66:BW129" si="29">IF(J66&gt;1,_xlfn.CONCAT("{BLACK}Cars: {GOLD}", J66),"")</f>
        <v/>
      </c>
      <c r="BX66" t="s">
        <v>793</v>
      </c>
      <c r="BY66" t="str">
        <f t="shared" ref="BY66:BY97" si="30">IF(BQ66="BRAKE","{YELLOW}Speed bonus for slow wagons{}",IF(BO66&gt;190,CONCATENATE("{YELLOW}",INT((BO66-185)/1.85),"% Bonus for long distance travel{}"),IF(AND(BO66&lt;180,BO66&lt;&gt;0),CONCATENATE("{YELLOW}",INT((185-BO66)/1.85),"% Penalty for long distance travel{}"),"")))</f>
        <v/>
      </c>
      <c r="BZ66" t="str">
        <f t="shared" si="24"/>
        <v>{SILVER}VEA vans were refurbished vans fitted with improved suspension and air brakes, allowing higher speed operation while still being suitable for narrow radius curves in small yards.</v>
      </c>
    </row>
    <row r="67" spans="1:78" x14ac:dyDescent="0.25">
      <c r="A67" t="s">
        <v>851</v>
      </c>
      <c r="B67" t="s">
        <v>795</v>
      </c>
      <c r="C67">
        <v>125</v>
      </c>
      <c r="D67" t="s">
        <v>314</v>
      </c>
      <c r="E67" t="s">
        <v>314</v>
      </c>
      <c r="F67" t="s">
        <v>307</v>
      </c>
      <c r="G67">
        <v>1982</v>
      </c>
      <c r="T67">
        <v>21</v>
      </c>
      <c r="V67">
        <v>9</v>
      </c>
      <c r="X67" s="4" t="str">
        <f t="shared" si="27"/>
        <v/>
      </c>
      <c r="Y67">
        <v>85</v>
      </c>
      <c r="AA67">
        <v>12.8</v>
      </c>
      <c r="AB67">
        <v>12.8</v>
      </c>
      <c r="AE67" s="11">
        <v>45</v>
      </c>
      <c r="AF67" t="str">
        <f>CONCATENATE(VLOOKUP(AG67, 'Voxel Sizes'!$A$2:$B$18,2,FALSE),"x",INT(AC67*15), "x", INT(AD67*15))</f>
        <v>136x0x0</v>
      </c>
      <c r="AG67">
        <f t="shared" si="1"/>
        <v>8</v>
      </c>
      <c r="AI67" t="str">
        <f>CONCATENATE(VLOOKUP(AG67,Constants!$A$2:$C$16,IF(AH67&lt;&gt;"", 3, 2), FALSE),IF(AH67&lt;&gt;"",CONCATENATE(",",VLOOKUP(AH67,$B:$AI,34,FALSE)),""))</f>
        <v>2,4,2</v>
      </c>
      <c r="AS67">
        <v>30</v>
      </c>
      <c r="AT67" t="str">
        <f t="shared" si="2"/>
        <v/>
      </c>
      <c r="AW67">
        <f t="shared" si="3"/>
        <v>17</v>
      </c>
      <c r="AX67">
        <f t="shared" si="4"/>
        <v>0</v>
      </c>
      <c r="AY67">
        <f t="shared" si="5"/>
        <v>0</v>
      </c>
      <c r="AZ67" s="4">
        <f t="shared" si="25"/>
        <v>0.89066666666666672</v>
      </c>
      <c r="BA67">
        <f t="shared" si="6"/>
        <v>7.5</v>
      </c>
      <c r="BB67">
        <f>VLOOKUP($E67,Constants!$I:$K, 2, FALSE)</f>
        <v>1</v>
      </c>
      <c r="BC67">
        <f>VLOOKUP($E67,Constants!$I:$K, 3, FALSE)*IF(AND(D67="multiple_unit",Y67&lt;110),0.75,1)</f>
        <v>0.45</v>
      </c>
      <c r="BD67">
        <f>INT(POWER(((Constants!$G$2+$AW67+$AX67+$AY67+$BA67)*$AZ67)*$BC67, 1.05))+$AV67</f>
        <v>13</v>
      </c>
      <c r="BE67">
        <f>INT(POWER((((Constants!$G$1+$AW67+$AX67+$AY67+$BA67)*($AZ67))*$BB67),IF($D67="wagon",1,1.2)))+$AU67</f>
        <v>35</v>
      </c>
      <c r="BF67" s="15">
        <f t="shared" si="7"/>
        <v>812.5</v>
      </c>
      <c r="BG67" s="15">
        <f t="shared" si="8"/>
        <v>95.55</v>
      </c>
      <c r="BN67">
        <v>1</v>
      </c>
      <c r="BO67">
        <v>185</v>
      </c>
      <c r="BP67" t="s">
        <v>375</v>
      </c>
      <c r="BQ67" t="s">
        <v>319</v>
      </c>
      <c r="BR67" t="str">
        <f>VLOOKUP(G67,Eras!$A$2:$C$10, 2, TRUE)</f>
        <v>lbr</v>
      </c>
      <c r="BS67" t="s">
        <v>375</v>
      </c>
      <c r="BT67" t="str">
        <f t="shared" si="9"/>
        <v>lbr_Van</v>
      </c>
      <c r="BU67" t="str">
        <f t="shared" si="28"/>
        <v>wagon_RAIL</v>
      </c>
      <c r="BV67" t="str">
        <f>VLOOKUP($BU67, Constants!$M:$N, 2, FALSE)</f>
        <v/>
      </c>
      <c r="BW67" t="str">
        <f t="shared" si="29"/>
        <v/>
      </c>
      <c r="BX67" t="s">
        <v>796</v>
      </c>
      <c r="BY67" t="str">
        <f t="shared" si="30"/>
        <v/>
      </c>
      <c r="BZ67" t="str">
        <f t="shared" ref="BZ67:BZ130" si="31">_xlfn.CONCAT(BV67,IF(BV67 &lt;&gt; "", " ", ""),BW67,IF(OR(BW67&lt;&gt;"", BV67&lt;&gt;""), "{}",""), BY67,"{SILVER}", BX67)</f>
        <v>{SILVER}VGA vans followed continental practice with doors extending into the roof panel, providing a larger vertical opening.</v>
      </c>
    </row>
    <row r="68" spans="1:78" x14ac:dyDescent="0.25">
      <c r="A68" t="s">
        <v>858</v>
      </c>
      <c r="B68" t="s">
        <v>857</v>
      </c>
      <c r="C68">
        <v>131</v>
      </c>
      <c r="D68" t="s">
        <v>314</v>
      </c>
      <c r="E68" t="s">
        <v>314</v>
      </c>
      <c r="F68" t="s">
        <v>307</v>
      </c>
      <c r="G68">
        <v>1913</v>
      </c>
      <c r="H68">
        <v>1955</v>
      </c>
      <c r="I68">
        <v>1965</v>
      </c>
      <c r="T68">
        <v>20</v>
      </c>
      <c r="V68">
        <v>7</v>
      </c>
      <c r="X68" s="4" t="str">
        <f t="shared" si="27"/>
        <v/>
      </c>
      <c r="Y68">
        <v>70</v>
      </c>
      <c r="AA68">
        <v>15</v>
      </c>
      <c r="AB68">
        <v>15</v>
      </c>
      <c r="AE68" s="11">
        <v>60</v>
      </c>
      <c r="AF68" t="str">
        <f>CONCATENATE(VLOOKUP(AG68, 'Voxel Sizes'!$A$2:$B$18,2,FALSE),"x",INT(AC68*15), "x", INT(AD68*15))</f>
        <v>152x0x0</v>
      </c>
      <c r="AG68">
        <f t="shared" si="1"/>
        <v>9</v>
      </c>
      <c r="AI68" t="str">
        <f>CONCATENATE(VLOOKUP(AG68,Constants!$A$2:$C$16,IF(AH68&lt;&gt;"", 3, 2), FALSE),IF(AH68&lt;&gt;"",CONCATENATE(",",VLOOKUP(AH68,$B:$AI,34,FALSE)),""))</f>
        <v>2,5,2</v>
      </c>
      <c r="AS68">
        <v>30</v>
      </c>
      <c r="AT68">
        <f t="shared" si="2"/>
        <v>48</v>
      </c>
      <c r="AU68">
        <v>25</v>
      </c>
      <c r="AV68">
        <v>8</v>
      </c>
      <c r="AW68">
        <f t="shared" si="3"/>
        <v>14</v>
      </c>
      <c r="AX68">
        <f t="shared" si="4"/>
        <v>0</v>
      </c>
      <c r="AY68">
        <f t="shared" si="5"/>
        <v>0</v>
      </c>
      <c r="AZ68" s="4">
        <f t="shared" si="25"/>
        <v>0.98266666666666669</v>
      </c>
      <c r="BA68">
        <f t="shared" si="6"/>
        <v>10</v>
      </c>
      <c r="BB68">
        <f>VLOOKUP($E68,Constants!$I:$K, 2, FALSE)</f>
        <v>1</v>
      </c>
      <c r="BC68">
        <f>VLOOKUP($E68,Constants!$I:$K, 3, FALSE)*IF(AND(D68="multiple_unit",Y68&lt;110),0.75,1)</f>
        <v>0.45</v>
      </c>
      <c r="BD68">
        <f>INT(POWER(((Constants!$G$2+$AW68+$AX68+$AY68+$BA68)*$AZ68)*$BC68, 1.05))+$AV68</f>
        <v>22</v>
      </c>
      <c r="BE68">
        <f>INT(POWER((((Constants!$G$1+$AW68+$AX68+$AY68+$BA68)*($AZ68))*$BB68),IF($D68="wagon",1,1.2)))+$AU68</f>
        <v>63</v>
      </c>
      <c r="BF68" s="15">
        <f t="shared" si="7"/>
        <v>1375</v>
      </c>
      <c r="BG68" s="15">
        <f t="shared" si="8"/>
        <v>171.99</v>
      </c>
      <c r="BN68">
        <v>1</v>
      </c>
      <c r="BO68">
        <v>185</v>
      </c>
      <c r="BP68" t="s">
        <v>1096</v>
      </c>
      <c r="BQ68" t="s">
        <v>692</v>
      </c>
      <c r="BR68" t="str">
        <f>VLOOKUP(G68,Eras!$A$2:$C$10, 2, TRUE)</f>
        <v>edw</v>
      </c>
      <c r="BS68" t="s">
        <v>369</v>
      </c>
      <c r="BT68" t="str">
        <f t="shared" si="9"/>
        <v>edw_Mail Carriage</v>
      </c>
      <c r="BU68" t="str">
        <f t="shared" si="28"/>
        <v>wagon_RAIL</v>
      </c>
      <c r="BV68" t="str">
        <f>VLOOKUP($BU68, Constants!$M:$N, 2, FALSE)</f>
        <v/>
      </c>
      <c r="BW68" t="str">
        <f t="shared" si="29"/>
        <v/>
      </c>
      <c r="BX68" t="s">
        <v>859</v>
      </c>
      <c r="BY68" t="str">
        <f t="shared" si="30"/>
        <v/>
      </c>
      <c r="BZ68" t="str">
        <f t="shared" si="31"/>
        <v>{SILVER}GWR's "Siphon" vans were built to carry loads of milk churns at passenger train speeds. They were also used for parcel and newspaper traffic, the basic design being built well into the BR era.</v>
      </c>
    </row>
    <row r="69" spans="1:78" x14ac:dyDescent="0.25">
      <c r="A69" t="s">
        <v>835</v>
      </c>
      <c r="B69" t="s">
        <v>837</v>
      </c>
      <c r="C69">
        <v>133</v>
      </c>
      <c r="D69" t="s">
        <v>314</v>
      </c>
      <c r="E69" t="s">
        <v>314</v>
      </c>
      <c r="F69" t="s">
        <v>307</v>
      </c>
      <c r="G69">
        <v>1950</v>
      </c>
      <c r="I69">
        <v>1975</v>
      </c>
      <c r="T69">
        <v>18</v>
      </c>
      <c r="V69">
        <v>7</v>
      </c>
      <c r="X69" s="4" t="str">
        <f t="shared" si="27"/>
        <v/>
      </c>
      <c r="Y69">
        <v>80</v>
      </c>
      <c r="AA69">
        <v>11.2</v>
      </c>
      <c r="AB69">
        <v>11.2</v>
      </c>
      <c r="AE69" s="11">
        <v>45</v>
      </c>
      <c r="AF69" t="str">
        <f>CONCATENATE(VLOOKUP(AG69, 'Voxel Sizes'!$A$2:$B$18,2,FALSE),"x",INT(AC69*15), "x", INT(AD69*15))</f>
        <v>120x0x0</v>
      </c>
      <c r="AG69">
        <f t="shared" ref="AG69:AG135" si="32">ROUND(15*((AB69*10)/256),0)</f>
        <v>7</v>
      </c>
      <c r="AI69" t="str">
        <f>CONCATENATE(VLOOKUP(AG69,Constants!$A$2:$C$16,IF(AH69&lt;&gt;"", 3, 2), FALSE),IF(AH69&lt;&gt;"",CONCATENATE(",",VLOOKUP(AH69,$B:$AI,34,FALSE)),""))</f>
        <v>2,3,2</v>
      </c>
      <c r="AS69">
        <v>30</v>
      </c>
      <c r="AT69">
        <f t="shared" ref="AT69:AT135" si="33">IF(I69&lt;&gt;"",MAX(8,(I69-G69)-4),"")</f>
        <v>21</v>
      </c>
      <c r="AU69">
        <v>25</v>
      </c>
      <c r="AV69">
        <v>9</v>
      </c>
      <c r="AW69">
        <f t="shared" ref="AW69:AW135" si="34">MIN(Y69/150, 1)*30</f>
        <v>16</v>
      </c>
      <c r="AX69">
        <f t="shared" ref="AX69:AX135" si="35">MIN(K69/4000, 1)*20</f>
        <v>0</v>
      </c>
      <c r="AY69">
        <f t="shared" ref="AY69:AY135" si="36">MIN(W69/400,1)*20</f>
        <v>0</v>
      </c>
      <c r="AZ69" s="4">
        <f t="shared" si="25"/>
        <v>0.93333333333333335</v>
      </c>
      <c r="BA69">
        <f t="shared" ref="BA69:BA135" si="37">((MAX($J69,1)*MIN($AE69/300,1)))*IF(D69="Wagon",50,10)</f>
        <v>7.5</v>
      </c>
      <c r="BB69">
        <f>VLOOKUP($E69,Constants!$I:$K, 2, FALSE)</f>
        <v>1</v>
      </c>
      <c r="BC69">
        <f>VLOOKUP($E69,Constants!$I:$K, 3, FALSE)*IF(AND(D69="multiple_unit",Y69&lt;110),0.75,1)</f>
        <v>0.45</v>
      </c>
      <c r="BD69">
        <f>INT(POWER(((Constants!$G$2+$AW69+$AX69+$AY69+$BA69)*$AZ69)*$BC69, 1.05))+$AV69</f>
        <v>22</v>
      </c>
      <c r="BE69">
        <f>INT(POWER((((Constants!$G$1+$AW69+$AX69+$AY69+$BA69)*($AZ69))*$BB69),IF($D69="wagon",1,1.2)))+$AU69</f>
        <v>60</v>
      </c>
      <c r="BF69" s="15">
        <f t="shared" ref="BF69:BF135" si="38">BD69*IF($D69="wagon",62.5,781.25)</f>
        <v>1375</v>
      </c>
      <c r="BG69" s="15">
        <f t="shared" ref="BG69:BG135" si="39">BE69*IF($D69="wagon",2.73,81.25)</f>
        <v>163.80000000000001</v>
      </c>
      <c r="BN69">
        <v>1</v>
      </c>
      <c r="BO69">
        <v>185</v>
      </c>
      <c r="BP69" t="s">
        <v>1094</v>
      </c>
      <c r="BQ69" t="s">
        <v>692</v>
      </c>
      <c r="BR69" t="str">
        <f>VLOOKUP(G69,Eras!$A$2:$C$10, 2, TRUE)</f>
        <v>ebr</v>
      </c>
      <c r="BS69" t="s">
        <v>369</v>
      </c>
      <c r="BT69" t="str">
        <f t="shared" ref="BT69:BT135" si="40">CONCATENATE(BR69,"_",BS69)</f>
        <v>ebr_Mail Carriage</v>
      </c>
      <c r="BU69" t="str">
        <f t="shared" si="28"/>
        <v>wagon_RAIL</v>
      </c>
      <c r="BV69" t="str">
        <f>VLOOKUP($BU69, Constants!$M:$N, 2, FALSE)</f>
        <v/>
      </c>
      <c r="BW69" t="str">
        <f t="shared" si="29"/>
        <v/>
      </c>
      <c r="BX69" t="s">
        <v>861</v>
      </c>
      <c r="BY69" t="str">
        <f t="shared" si="30"/>
        <v/>
      </c>
      <c r="BZ69" t="str">
        <f t="shared" si="31"/>
        <v>{SILVER}BR built several of these six-wheeled parcels vans in the early 1950s.</v>
      </c>
    </row>
    <row r="70" spans="1:78" x14ac:dyDescent="0.25">
      <c r="A70" t="s">
        <v>1386</v>
      </c>
      <c r="B70" t="s">
        <v>1388</v>
      </c>
      <c r="C70">
        <v>136</v>
      </c>
      <c r="D70" t="s">
        <v>314</v>
      </c>
      <c r="E70" t="s">
        <v>1155</v>
      </c>
      <c r="F70" t="s">
        <v>307</v>
      </c>
      <c r="G70">
        <v>1855</v>
      </c>
      <c r="I70">
        <v>1900</v>
      </c>
      <c r="T70">
        <v>18</v>
      </c>
      <c r="V70">
        <v>6</v>
      </c>
      <c r="X70" s="4" t="str">
        <f>IF(AND(T70&gt;0,W70&gt;0),(W70/((T70+U70)*10)),"")</f>
        <v/>
      </c>
      <c r="Y70">
        <v>65</v>
      </c>
      <c r="AA70">
        <v>10</v>
      </c>
      <c r="AB70">
        <v>10</v>
      </c>
      <c r="AE70" s="11">
        <v>24</v>
      </c>
      <c r="AF70" t="str">
        <f>CONCATENATE(VLOOKUP(AG70, 'Voxel Sizes'!$A$2:$B$18,2,FALSE),"x",INT(AC70*15), "x", INT(AD70*15))</f>
        <v>102x0x0</v>
      </c>
      <c r="AG70">
        <f>ROUND(15*((AB70*10)/256),0)</f>
        <v>6</v>
      </c>
      <c r="AI70" t="str">
        <f>CONCATENATE(VLOOKUP(AG70,Constants!$A$2:$C$16,IF(AH70&lt;&gt;"", 3, 2), FALSE),IF(AH70&lt;&gt;"",CONCATENATE(",",VLOOKUP(AH70,$B:$AI,34,FALSE)),""))</f>
        <v>2,2,2</v>
      </c>
      <c r="AS70">
        <v>30</v>
      </c>
      <c r="AT70">
        <f>IF(I70&lt;&gt;"",MAX(8,(I70-G70)-4),"")</f>
        <v>41</v>
      </c>
      <c r="AU70">
        <v>36</v>
      </c>
      <c r="AV70">
        <v>14</v>
      </c>
      <c r="AW70">
        <f>MIN(Y70/150, 1)*30</f>
        <v>13</v>
      </c>
      <c r="AX70">
        <f>MIN(K70/4000, 1)*20</f>
        <v>0</v>
      </c>
      <c r="AY70">
        <f>MIN(W70/400,1)*20</f>
        <v>0</v>
      </c>
      <c r="AZ70" s="4">
        <f>1-(MAX(G70-1900, 0)/750)</f>
        <v>1</v>
      </c>
      <c r="BA70">
        <f>((MAX($J70,1)*MIN($AE70/300,1)))*IF(D70="Wagon",50,10)</f>
        <v>4</v>
      </c>
      <c r="BB70">
        <f>VLOOKUP($E70,Constants!$I:$K, 2, FALSE)</f>
        <v>1.2</v>
      </c>
      <c r="BC70">
        <f>VLOOKUP($E70,Constants!$I:$K, 3, FALSE)*IF(AND(D70="multiple_unit",Y70&lt;110),0.75,1)</f>
        <v>0.6</v>
      </c>
      <c r="BD70">
        <f>INT(POWER(((Constants!$G$2+$AW70+$AX70+$AY70+$BA70)*$AZ70)*$BC70, 1.05))+$AV70</f>
        <v>29</v>
      </c>
      <c r="BE70">
        <f>INT(POWER((((Constants!$G$1+$AW70+$AX70+$AY70+$BA70)*($AZ70))*$BB70),IF($D70="wagon",1,1.2)))+$AU70</f>
        <v>74</v>
      </c>
      <c r="BF70" s="15">
        <f>BD70*IF($D70="wagon",62.5,781.25)</f>
        <v>1812.5</v>
      </c>
      <c r="BG70" s="15">
        <f>BE70*IF($D70="wagon",2.73,81.25)</f>
        <v>202.02</v>
      </c>
      <c r="BN70">
        <v>10</v>
      </c>
      <c r="BO70">
        <v>185</v>
      </c>
      <c r="BP70" t="s">
        <v>1094</v>
      </c>
      <c r="BQ70" t="s">
        <v>692</v>
      </c>
      <c r="BR70" t="str">
        <f>VLOOKUP(G70,Eras!$A$2:$C$10, 2, TRUE)</f>
        <v>vct</v>
      </c>
      <c r="BS70" t="s">
        <v>368</v>
      </c>
      <c r="BT70" t="str">
        <f>CONCATENATE(BR70,"_",BS70)</f>
        <v>vct_Carriage</v>
      </c>
      <c r="BU70" t="str">
        <f t="shared" si="28"/>
        <v>carriage_RAIL</v>
      </c>
      <c r="BV70" t="str">
        <f>VLOOKUP($BU70, Constants!$M:$N, 2, FALSE)</f>
        <v/>
      </c>
      <c r="BW70" t="str">
        <f t="shared" si="29"/>
        <v/>
      </c>
      <c r="BX70" t="s">
        <v>1393</v>
      </c>
      <c r="BY70" t="str">
        <f t="shared" si="30"/>
        <v/>
      </c>
      <c r="BZ70" t="str">
        <f t="shared" si="31"/>
        <v>{SILVER}Early four-wheel carriages did not have locomotive-controlled brakes so, like freight trains, were reliant on the brakes in the guard's van.</v>
      </c>
    </row>
    <row r="71" spans="1:78" ht="14.25" customHeight="1" x14ac:dyDescent="0.25">
      <c r="A71" t="s">
        <v>1387</v>
      </c>
      <c r="B71" t="s">
        <v>1389</v>
      </c>
      <c r="C71">
        <v>138</v>
      </c>
      <c r="D71" t="s">
        <v>314</v>
      </c>
      <c r="E71" t="s">
        <v>1155</v>
      </c>
      <c r="F71" t="s">
        <v>307</v>
      </c>
      <c r="G71">
        <v>1875</v>
      </c>
      <c r="I71">
        <v>1915</v>
      </c>
      <c r="T71">
        <v>21</v>
      </c>
      <c r="V71">
        <v>6</v>
      </c>
      <c r="X71" s="4" t="str">
        <f>IF(AND(T71&gt;0,W71&gt;0),(W71/((T71+U71)*10)),"")</f>
        <v/>
      </c>
      <c r="Y71">
        <v>75</v>
      </c>
      <c r="AA71">
        <v>12</v>
      </c>
      <c r="AB71">
        <v>12</v>
      </c>
      <c r="AE71" s="11">
        <v>30</v>
      </c>
      <c r="AF71" t="str">
        <f>CONCATENATE(VLOOKUP(AG71, 'Voxel Sizes'!$A$2:$B$18,2,FALSE),"x",INT(AC71*15), "x", INT(AD71*15))</f>
        <v>120x0x0</v>
      </c>
      <c r="AG71">
        <f>ROUND(15*((AB71*10)/256),0)</f>
        <v>7</v>
      </c>
      <c r="AI71" t="str">
        <f>CONCATENATE(VLOOKUP(AG71,Constants!$A$2:$C$16,IF(AH71&lt;&gt;"", 3, 2), FALSE),IF(AH71&lt;&gt;"",CONCATENATE(",",VLOOKUP(AH71,$B:$AI,34,FALSE)),""))</f>
        <v>2,3,2</v>
      </c>
      <c r="AS71">
        <v>30</v>
      </c>
      <c r="AT71">
        <f>IF(I71&lt;&gt;"",MAX(8,(I71-G71)-4),"")</f>
        <v>36</v>
      </c>
      <c r="AU71">
        <v>39</v>
      </c>
      <c r="AV71">
        <v>16</v>
      </c>
      <c r="AW71">
        <f>MIN(Y71/150, 1)*30</f>
        <v>15</v>
      </c>
      <c r="AX71">
        <f>MIN(K71/4000, 1)*20</f>
        <v>0</v>
      </c>
      <c r="AY71">
        <f>MIN(W71/400,1)*20</f>
        <v>0</v>
      </c>
      <c r="AZ71" s="4">
        <f>1-(MAX(G71-1900, 0)/750)</f>
        <v>1</v>
      </c>
      <c r="BA71">
        <f>((MAX($J71,1)*MIN($AE71/300,1)))*IF(D71="Wagon",50,10)</f>
        <v>5</v>
      </c>
      <c r="BB71">
        <f>VLOOKUP($E71,Constants!$I:$K, 2, FALSE)</f>
        <v>1.2</v>
      </c>
      <c r="BC71">
        <f>VLOOKUP($E71,Constants!$I:$K, 3, FALSE)*IF(AND(D71="multiple_unit",Y71&lt;110),0.75,1)</f>
        <v>0.6</v>
      </c>
      <c r="BD71">
        <f>INT(POWER(((Constants!$G$2+$AW71+$AX71+$AY71+$BA71)*$AZ71)*$BC71, 1.05))+$AV71</f>
        <v>33</v>
      </c>
      <c r="BE71">
        <f>INT(POWER((((Constants!$G$1+$AW71+$AX71+$AY71+$BA71)*($AZ71))*$BB71),IF($D71="wagon",1,1.2)))+$AU71</f>
        <v>81</v>
      </c>
      <c r="BF71" s="15">
        <f>BD71*IF($D71="wagon",62.5,781.25)</f>
        <v>2062.5</v>
      </c>
      <c r="BG71" s="15">
        <f>BE71*IF($D71="wagon",2.73,81.25)</f>
        <v>221.13</v>
      </c>
      <c r="BN71">
        <v>11</v>
      </c>
      <c r="BO71">
        <v>185</v>
      </c>
      <c r="BP71" t="s">
        <v>1094</v>
      </c>
      <c r="BQ71" t="s">
        <v>692</v>
      </c>
      <c r="BR71" t="str">
        <f>VLOOKUP(G71,Eras!$A$2:$C$10, 2, TRUE)</f>
        <v>vct</v>
      </c>
      <c r="BS71" t="s">
        <v>368</v>
      </c>
      <c r="BT71" t="str">
        <f>CONCATENATE(BR71,"_",BS71)</f>
        <v>vct_Carriage</v>
      </c>
      <c r="BU71" t="str">
        <f t="shared" si="28"/>
        <v>carriage_RAIL</v>
      </c>
      <c r="BV71" t="str">
        <f>VLOOKUP($BU71, Constants!$M:$N, 2, FALSE)</f>
        <v/>
      </c>
      <c r="BW71" t="str">
        <f t="shared" si="29"/>
        <v/>
      </c>
      <c r="BX71" t="s">
        <v>1390</v>
      </c>
      <c r="BY71" t="str">
        <f t="shared" si="30"/>
        <v/>
      </c>
      <c r="BZ71" t="str">
        <f t="shared" si="31"/>
        <v>{SILVER}Although carriages gained more luxurious fixtures and fittings through the Victorian era, braking still required a guard's van.</v>
      </c>
    </row>
    <row r="72" spans="1:78" x14ac:dyDescent="0.25">
      <c r="A72" t="s">
        <v>1210</v>
      </c>
      <c r="B72" t="s">
        <v>1211</v>
      </c>
      <c r="C72">
        <v>140</v>
      </c>
      <c r="D72" t="s">
        <v>314</v>
      </c>
      <c r="E72" t="s">
        <v>1155</v>
      </c>
      <c r="F72" t="s">
        <v>307</v>
      </c>
      <c r="G72">
        <v>1892</v>
      </c>
      <c r="I72">
        <v>1935</v>
      </c>
      <c r="T72">
        <v>28</v>
      </c>
      <c r="V72">
        <v>6</v>
      </c>
      <c r="X72" s="4" t="str">
        <f t="shared" si="27"/>
        <v/>
      </c>
      <c r="Y72">
        <v>80</v>
      </c>
      <c r="AA72">
        <v>16.2</v>
      </c>
      <c r="AB72">
        <v>16.2</v>
      </c>
      <c r="AC72">
        <v>2.8</v>
      </c>
      <c r="AE72" s="11">
        <v>51</v>
      </c>
      <c r="AF72" t="str">
        <f>CONCATENATE(VLOOKUP(AG72, 'Voxel Sizes'!$A$2:$B$18,2,FALSE),"x",INT(AC72*15), "x", INT(AD72*15))</f>
        <v>152x42x0</v>
      </c>
      <c r="AG72">
        <f t="shared" si="32"/>
        <v>9</v>
      </c>
      <c r="AI72" t="str">
        <f>CONCATENATE(VLOOKUP(AG72,Constants!$A$2:$C$16,IF(AH72&lt;&gt;"", 3, 2), FALSE),IF(AH72&lt;&gt;"",CONCATENATE(",",VLOOKUP(AH72,$B:$AI,34,FALSE)),""))</f>
        <v>2,5,2</v>
      </c>
      <c r="AS72">
        <v>30</v>
      </c>
      <c r="AT72">
        <f t="shared" si="33"/>
        <v>39</v>
      </c>
      <c r="AU72">
        <v>47</v>
      </c>
      <c r="AV72">
        <v>20</v>
      </c>
      <c r="AW72">
        <f t="shared" si="34"/>
        <v>16</v>
      </c>
      <c r="AX72">
        <f t="shared" si="35"/>
        <v>0</v>
      </c>
      <c r="AY72">
        <f t="shared" si="36"/>
        <v>0</v>
      </c>
      <c r="AZ72" s="4">
        <f t="shared" ref="AZ72:AZ136" si="41">1-(MAX(G72-1900, 0)/750)</f>
        <v>1</v>
      </c>
      <c r="BA72">
        <f t="shared" si="37"/>
        <v>8.5</v>
      </c>
      <c r="BB72">
        <f>VLOOKUP($E72,Constants!$I:$K, 2, FALSE)</f>
        <v>1.2</v>
      </c>
      <c r="BC72">
        <f>VLOOKUP($E72,Constants!$I:$K, 3, FALSE)*IF(AND(D72="multiple_unit",Y72&lt;110),0.75,1)</f>
        <v>0.6</v>
      </c>
      <c r="BD72">
        <f>INT(POWER(((Constants!$G$2+$AW72+$AX72+$AY72+$BA72)*$AZ72)*$BC72, 1.05))+$AV72</f>
        <v>40</v>
      </c>
      <c r="BE72">
        <f>INT(POWER((((Constants!$G$1+$AW72+$AX72+$AY72+$BA72)*($AZ72))*$BB72),IF($D72="wagon",1,1.2)))+$AU72</f>
        <v>94</v>
      </c>
      <c r="BF72" s="15">
        <f t="shared" si="38"/>
        <v>2500</v>
      </c>
      <c r="BG72" s="15">
        <f t="shared" si="39"/>
        <v>256.62</v>
      </c>
      <c r="BN72">
        <v>1</v>
      </c>
      <c r="BO72">
        <v>185</v>
      </c>
      <c r="BP72" t="s">
        <v>1094</v>
      </c>
      <c r="BQ72" t="s">
        <v>692</v>
      </c>
      <c r="BR72" t="str">
        <f>VLOOKUP(G72,Eras!$A$2:$C$10, 2, TRUE)</f>
        <v>vct</v>
      </c>
      <c r="BS72" t="s">
        <v>369</v>
      </c>
      <c r="BT72" t="str">
        <f t="shared" si="40"/>
        <v>vct_Mail Carriage</v>
      </c>
      <c r="BU72" t="str">
        <f t="shared" si="28"/>
        <v>carriage_RAIL</v>
      </c>
      <c r="BV72" t="str">
        <f>VLOOKUP($BU72, Constants!$M:$N, 2, FALSE)</f>
        <v/>
      </c>
      <c r="BW72" t="str">
        <f t="shared" si="29"/>
        <v/>
      </c>
      <c r="BX72" t="s">
        <v>1212</v>
      </c>
      <c r="BY72" t="str">
        <f t="shared" si="30"/>
        <v/>
      </c>
      <c r="BZ72" t="str">
        <f t="shared" si="31"/>
        <v>{SILVER}This brake carriage is designed for use with clerestory carriages. It can carry parcels and mail.</v>
      </c>
    </row>
    <row r="73" spans="1:78" x14ac:dyDescent="0.25">
      <c r="A73" t="s">
        <v>1206</v>
      </c>
      <c r="B73" t="s">
        <v>1205</v>
      </c>
      <c r="C73">
        <v>141</v>
      </c>
      <c r="D73" t="s">
        <v>314</v>
      </c>
      <c r="E73" t="s">
        <v>1155</v>
      </c>
      <c r="F73" t="s">
        <v>307</v>
      </c>
      <c r="G73">
        <v>1904</v>
      </c>
      <c r="I73">
        <v>1955</v>
      </c>
      <c r="T73">
        <v>29</v>
      </c>
      <c r="V73">
        <v>7</v>
      </c>
      <c r="X73" s="4" t="str">
        <f t="shared" si="27"/>
        <v/>
      </c>
      <c r="Y73">
        <v>85</v>
      </c>
      <c r="AA73">
        <v>17.7</v>
      </c>
      <c r="AB73">
        <v>17.7</v>
      </c>
      <c r="AC73">
        <v>2.83</v>
      </c>
      <c r="AD73">
        <v>3.79</v>
      </c>
      <c r="AE73" s="11">
        <v>57</v>
      </c>
      <c r="AF73" t="str">
        <f>CONCATENATE(VLOOKUP(AG73, 'Voxel Sizes'!$A$2:$B$18,2,FALSE),"x",INT(AC73*15), "x", INT(AD73*15))</f>
        <v>164x42x56</v>
      </c>
      <c r="AG73">
        <f t="shared" si="32"/>
        <v>10</v>
      </c>
      <c r="AI73" t="str">
        <f>CONCATENATE(VLOOKUP(AG73,Constants!$A$2:$C$16,IF(AH73&lt;&gt;"", 3, 2), FALSE),IF(AH73&lt;&gt;"",CONCATENATE(",",VLOOKUP(AH73,$B:$AI,34,FALSE)),""))</f>
        <v>4,2,4</v>
      </c>
      <c r="AS73">
        <v>30</v>
      </c>
      <c r="AT73">
        <f t="shared" si="33"/>
        <v>47</v>
      </c>
      <c r="AU73">
        <v>49</v>
      </c>
      <c r="AV73">
        <v>21</v>
      </c>
      <c r="AW73">
        <f t="shared" si="34"/>
        <v>17</v>
      </c>
      <c r="AX73">
        <f t="shared" si="35"/>
        <v>0</v>
      </c>
      <c r="AY73">
        <f t="shared" si="36"/>
        <v>0</v>
      </c>
      <c r="AZ73" s="4">
        <f t="shared" si="41"/>
        <v>0.9946666666666667</v>
      </c>
      <c r="BA73">
        <f t="shared" si="37"/>
        <v>9.5</v>
      </c>
      <c r="BB73">
        <f>VLOOKUP($E73,Constants!$I:$K, 2, FALSE)</f>
        <v>1.2</v>
      </c>
      <c r="BC73">
        <f>VLOOKUP($E73,Constants!$I:$K, 3, FALSE)*IF(AND(D73="multiple_unit",Y73&lt;110),0.75,1)</f>
        <v>0.6</v>
      </c>
      <c r="BD73">
        <f>INT(POWER(((Constants!$G$2+$AW73+$AX73+$AY73+$BA73)*$AZ73)*$BC73, 1.05))+$AV73</f>
        <v>42</v>
      </c>
      <c r="BE73">
        <f>INT(POWER((((Constants!$G$1+$AW73+$AX73+$AY73+$BA73)*($AZ73))*$BB73),IF($D73="wagon",1,1.2)))+$AU73</f>
        <v>98</v>
      </c>
      <c r="BF73" s="15">
        <f t="shared" si="38"/>
        <v>2625</v>
      </c>
      <c r="BG73" s="15">
        <f t="shared" si="39"/>
        <v>267.54000000000002</v>
      </c>
      <c r="BN73">
        <v>1</v>
      </c>
      <c r="BO73">
        <v>185</v>
      </c>
      <c r="BP73" t="s">
        <v>1094</v>
      </c>
      <c r="BQ73" t="s">
        <v>692</v>
      </c>
      <c r="BR73" t="str">
        <f>VLOOKUP(G73,Eras!$A$2:$C$10, 2, TRUE)</f>
        <v>edw</v>
      </c>
      <c r="BS73" t="s">
        <v>369</v>
      </c>
      <c r="BT73" t="str">
        <f t="shared" si="40"/>
        <v>edw_Mail Carriage</v>
      </c>
      <c r="BU73" t="str">
        <f t="shared" si="28"/>
        <v>carriage_RAIL</v>
      </c>
      <c r="BV73" t="str">
        <f>VLOOKUP($BU73, Constants!$M:$N, 2, FALSE)</f>
        <v/>
      </c>
      <c r="BW73" t="str">
        <f t="shared" si="29"/>
        <v/>
      </c>
      <c r="BX73" t="s">
        <v>1213</v>
      </c>
      <c r="BY73" t="str">
        <f t="shared" si="30"/>
        <v/>
      </c>
      <c r="BZ73" t="str">
        <f t="shared" si="31"/>
        <v>{SILVER}Brake carriages continued to be a fixture of passenger trains during the steam era, carrying bulky luggage and parcels.</v>
      </c>
    </row>
    <row r="74" spans="1:78" x14ac:dyDescent="0.25">
      <c r="A74" t="s">
        <v>1207</v>
      </c>
      <c r="B74" t="s">
        <v>1208</v>
      </c>
      <c r="C74">
        <v>142</v>
      </c>
      <c r="D74" t="s">
        <v>314</v>
      </c>
      <c r="E74" t="s">
        <v>1155</v>
      </c>
      <c r="F74" t="s">
        <v>307</v>
      </c>
      <c r="G74">
        <v>1951</v>
      </c>
      <c r="H74">
        <v>1963</v>
      </c>
      <c r="I74">
        <v>1974</v>
      </c>
      <c r="T74">
        <v>31</v>
      </c>
      <c r="V74">
        <v>7</v>
      </c>
      <c r="X74" s="4" t="str">
        <f t="shared" si="27"/>
        <v/>
      </c>
      <c r="Y74">
        <v>100</v>
      </c>
      <c r="AA74">
        <v>19.3</v>
      </c>
      <c r="AB74">
        <v>20</v>
      </c>
      <c r="AE74" s="11">
        <v>66</v>
      </c>
      <c r="AF74" t="str">
        <f>CONCATENATE(VLOOKUP(AG74, 'Voxel Sizes'!$A$2:$B$18,2,FALSE),"x",INT(AC74*15), "x", INT(AD74*15))</f>
        <v>198x0x0</v>
      </c>
      <c r="AG74">
        <f t="shared" si="32"/>
        <v>12</v>
      </c>
      <c r="AI74" t="str">
        <f>CONCATENATE(VLOOKUP(AG74,Constants!$A$2:$C$16,IF(AH74&lt;&gt;"", 3, 2), FALSE),IF(AH74&lt;&gt;"",CONCATENATE(",",VLOOKUP(AH74,$B:$AI,34,FALSE)),""))</f>
        <v>4,4,4</v>
      </c>
      <c r="AS74">
        <v>30</v>
      </c>
      <c r="AT74">
        <f t="shared" si="33"/>
        <v>19</v>
      </c>
      <c r="AU74">
        <v>55</v>
      </c>
      <c r="AV74">
        <v>25</v>
      </c>
      <c r="AW74">
        <f t="shared" si="34"/>
        <v>20</v>
      </c>
      <c r="AX74">
        <f t="shared" si="35"/>
        <v>0</v>
      </c>
      <c r="AY74">
        <f t="shared" si="36"/>
        <v>0</v>
      </c>
      <c r="AZ74" s="4">
        <f t="shared" si="41"/>
        <v>0.93199999999999994</v>
      </c>
      <c r="BA74">
        <f t="shared" si="37"/>
        <v>11</v>
      </c>
      <c r="BB74">
        <f>VLOOKUP($E74,Constants!$I:$K, 2, FALSE)</f>
        <v>1.2</v>
      </c>
      <c r="BC74">
        <f>VLOOKUP($E74,Constants!$I:$K, 3, FALSE)*IF(AND(D74="multiple_unit",Y74&lt;110),0.75,1)</f>
        <v>0.6</v>
      </c>
      <c r="BD74">
        <f>INT(POWER(((Constants!$G$2+$AW74+$AX74+$AY74+$BA74)*$AZ74)*$BC74, 1.05))+$AV74</f>
        <v>48</v>
      </c>
      <c r="BE74">
        <f>INT(POWER((((Constants!$G$1+$AW74+$AX74+$AY74+$BA74)*($AZ74))*$BB74),IF($D74="wagon",1,1.2)))+$AU74</f>
        <v>106</v>
      </c>
      <c r="BF74" s="15">
        <f t="shared" si="38"/>
        <v>3000</v>
      </c>
      <c r="BG74" s="15">
        <f t="shared" si="39"/>
        <v>289.38</v>
      </c>
      <c r="BN74">
        <v>1</v>
      </c>
      <c r="BO74">
        <v>185</v>
      </c>
      <c r="BP74" t="s">
        <v>1094</v>
      </c>
      <c r="BQ74" t="s">
        <v>692</v>
      </c>
      <c r="BR74" t="str">
        <f>VLOOKUP(G74,Eras!$A$2:$C$10, 2, TRUE)</f>
        <v>ebr</v>
      </c>
      <c r="BS74" t="s">
        <v>369</v>
      </c>
      <c r="BT74" t="str">
        <f t="shared" si="40"/>
        <v>ebr_Mail Carriage</v>
      </c>
      <c r="BU74" t="str">
        <f t="shared" si="28"/>
        <v>carriage_RAIL</v>
      </c>
      <c r="BV74" t="str">
        <f>VLOOKUP($BU74, Constants!$M:$N, 2, FALSE)</f>
        <v/>
      </c>
      <c r="BW74" t="str">
        <f t="shared" si="29"/>
        <v/>
      </c>
      <c r="BX74" t="s">
        <v>1209</v>
      </c>
      <c r="BY74" t="str">
        <f t="shared" si="30"/>
        <v/>
      </c>
      <c r="BZ74" t="str">
        <f t="shared" si="31"/>
        <v>{SILVER}BG for (Brake Gangway) is the BR designation for a brake coach. As well as a guard's compartment it had two large areas for storing luggage.</v>
      </c>
    </row>
    <row r="75" spans="1:78" x14ac:dyDescent="0.25">
      <c r="A75" t="s">
        <v>1214</v>
      </c>
      <c r="B75" t="s">
        <v>1215</v>
      </c>
      <c r="C75">
        <v>143</v>
      </c>
      <c r="D75" t="s">
        <v>314</v>
      </c>
      <c r="E75" t="s">
        <v>1155</v>
      </c>
      <c r="F75" t="s">
        <v>307</v>
      </c>
      <c r="G75">
        <v>1956</v>
      </c>
      <c r="I75">
        <v>2010</v>
      </c>
      <c r="T75">
        <v>33</v>
      </c>
      <c r="V75">
        <v>7</v>
      </c>
      <c r="X75" s="4" t="str">
        <f t="shared" si="27"/>
        <v/>
      </c>
      <c r="Y75">
        <v>110</v>
      </c>
      <c r="AA75">
        <v>19.66</v>
      </c>
      <c r="AB75">
        <v>19.66</v>
      </c>
      <c r="AC75">
        <v>2.83</v>
      </c>
      <c r="AD75">
        <v>3.79</v>
      </c>
      <c r="AE75" s="11">
        <v>69</v>
      </c>
      <c r="AF75" t="str">
        <f>CONCATENATE(VLOOKUP(AG75, 'Voxel Sizes'!$A$2:$B$18,2,FALSE),"x",INT(AC75*15), "x", INT(AD75*15))</f>
        <v>198x42x56</v>
      </c>
      <c r="AG75">
        <f t="shared" si="32"/>
        <v>12</v>
      </c>
      <c r="AI75" t="str">
        <f>CONCATENATE(VLOOKUP(AG75,Constants!$A$2:$C$16,IF(AH75&lt;&gt;"", 3, 2), FALSE),IF(AH75&lt;&gt;"",CONCATENATE(",",VLOOKUP(AH75,$B:$AI,34,FALSE)),""))</f>
        <v>4,4,4</v>
      </c>
      <c r="AS75">
        <v>30</v>
      </c>
      <c r="AT75">
        <f t="shared" si="33"/>
        <v>50</v>
      </c>
      <c r="AU75">
        <v>58</v>
      </c>
      <c r="AV75">
        <v>27</v>
      </c>
      <c r="AW75">
        <f t="shared" si="34"/>
        <v>22</v>
      </c>
      <c r="AX75">
        <f t="shared" si="35"/>
        <v>0</v>
      </c>
      <c r="AY75">
        <f t="shared" si="36"/>
        <v>0</v>
      </c>
      <c r="AZ75" s="4">
        <f t="shared" si="41"/>
        <v>0.92533333333333334</v>
      </c>
      <c r="BA75">
        <f t="shared" si="37"/>
        <v>11.5</v>
      </c>
      <c r="BB75">
        <f>VLOOKUP($E75,Constants!$I:$K, 2, FALSE)</f>
        <v>1.2</v>
      </c>
      <c r="BC75">
        <f>VLOOKUP($E75,Constants!$I:$K, 3, FALSE)*IF(AND(D75="multiple_unit",Y75&lt;110),0.75,1)</f>
        <v>0.6</v>
      </c>
      <c r="BD75">
        <f>INT(POWER(((Constants!$G$2+$AW75+$AX75+$AY75+$BA75)*$AZ75)*$BC75, 1.05))+$AV75</f>
        <v>51</v>
      </c>
      <c r="BE75">
        <f>INT(POWER((((Constants!$G$1+$AW75+$AX75+$AY75+$BA75)*($AZ75))*$BB75),IF($D75="wagon",1,1.2)))+$AU75</f>
        <v>111</v>
      </c>
      <c r="BF75" s="15">
        <f t="shared" si="38"/>
        <v>3187.5</v>
      </c>
      <c r="BG75" s="15">
        <f t="shared" si="39"/>
        <v>303.02999999999997</v>
      </c>
      <c r="BN75">
        <v>1</v>
      </c>
      <c r="BO75">
        <v>185</v>
      </c>
      <c r="BP75" t="s">
        <v>1094</v>
      </c>
      <c r="BQ75" t="s">
        <v>692</v>
      </c>
      <c r="BR75" t="str">
        <f>VLOOKUP(G75,Eras!$A$2:$C$10, 2, TRUE)</f>
        <v>dsl</v>
      </c>
      <c r="BS75" t="s">
        <v>368</v>
      </c>
      <c r="BT75" t="str">
        <f t="shared" si="40"/>
        <v>dsl_Carriage</v>
      </c>
      <c r="BU75" t="str">
        <f t="shared" si="28"/>
        <v>carriage_RAIL</v>
      </c>
      <c r="BV75" t="str">
        <f>VLOOKUP($BU75, Constants!$M:$N, 2, FALSE)</f>
        <v/>
      </c>
      <c r="BW75" t="str">
        <f t="shared" si="29"/>
        <v/>
      </c>
      <c r="BX75" t="s">
        <v>1216</v>
      </c>
      <c r="BY75" t="str">
        <f t="shared" si="30"/>
        <v/>
      </c>
      <c r="BZ75" t="str">
        <f t="shared" si="31"/>
        <v>{SILVER}The Mk2 carriage also featured the BG Full Brake style, with luggage and parcel compartments.</v>
      </c>
    </row>
    <row r="76" spans="1:78" x14ac:dyDescent="0.25">
      <c r="A76" t="s">
        <v>839</v>
      </c>
      <c r="B76" t="s">
        <v>836</v>
      </c>
      <c r="C76">
        <v>144</v>
      </c>
      <c r="D76" t="s">
        <v>314</v>
      </c>
      <c r="E76" t="s">
        <v>314</v>
      </c>
      <c r="F76" t="s">
        <v>307</v>
      </c>
      <c r="G76">
        <v>1958</v>
      </c>
      <c r="T76">
        <v>30</v>
      </c>
      <c r="V76">
        <v>9</v>
      </c>
      <c r="X76" s="4" t="str">
        <f t="shared" si="27"/>
        <v/>
      </c>
      <c r="Y76">
        <v>100</v>
      </c>
      <c r="AA76">
        <v>19.3</v>
      </c>
      <c r="AB76">
        <v>20</v>
      </c>
      <c r="AE76" s="11">
        <v>78</v>
      </c>
      <c r="AF76" t="str">
        <f>CONCATENATE(VLOOKUP(AG76, 'Voxel Sizes'!$A$2:$B$18,2,FALSE),"x",INT(AC76*15), "x", INT(AD76*15))</f>
        <v>198x0x0</v>
      </c>
      <c r="AG76">
        <f t="shared" si="32"/>
        <v>12</v>
      </c>
      <c r="AI76" t="str">
        <f>CONCATENATE(VLOOKUP(AG76,Constants!$A$2:$C$16,IF(AH76&lt;&gt;"", 3, 2), FALSE),IF(AH76&lt;&gt;"",CONCATENATE(",",VLOOKUP(AH76,$B:$AI,34,FALSE)),""))</f>
        <v>4,4,4</v>
      </c>
      <c r="AS76">
        <v>30</v>
      </c>
      <c r="AT76" t="str">
        <f t="shared" si="33"/>
        <v/>
      </c>
      <c r="AU76">
        <v>48</v>
      </c>
      <c r="AV76">
        <v>19</v>
      </c>
      <c r="AW76">
        <f t="shared" si="34"/>
        <v>20</v>
      </c>
      <c r="AX76">
        <f t="shared" si="35"/>
        <v>0</v>
      </c>
      <c r="AY76">
        <f t="shared" si="36"/>
        <v>0</v>
      </c>
      <c r="AZ76" s="4">
        <f t="shared" si="41"/>
        <v>0.92266666666666663</v>
      </c>
      <c r="BA76">
        <f t="shared" si="37"/>
        <v>13</v>
      </c>
      <c r="BB76">
        <f>VLOOKUP($E76,Constants!$I:$K, 2, FALSE)</f>
        <v>1</v>
      </c>
      <c r="BC76">
        <f>VLOOKUP($E76,Constants!$I:$K, 3, FALSE)*IF(AND(D76="multiple_unit",Y76&lt;110),0.75,1)</f>
        <v>0.45</v>
      </c>
      <c r="BD76">
        <f>INT(POWER(((Constants!$G$2+$AW76+$AX76+$AY76+$BA76)*$AZ76)*$BC76, 1.05))+$AV76</f>
        <v>37</v>
      </c>
      <c r="BE76">
        <f>INT(POWER((((Constants!$G$1+$AW76+$AX76+$AY76+$BA76)*($AZ76))*$BB76),IF($D76="wagon",1,1.2)))+$AU76</f>
        <v>92</v>
      </c>
      <c r="BF76" s="15">
        <f t="shared" si="38"/>
        <v>2312.5</v>
      </c>
      <c r="BG76" s="15">
        <f t="shared" si="39"/>
        <v>251.16</v>
      </c>
      <c r="BN76">
        <v>1</v>
      </c>
      <c r="BO76">
        <v>233</v>
      </c>
      <c r="BP76" t="s">
        <v>1094</v>
      </c>
      <c r="BQ76" t="s">
        <v>692</v>
      </c>
      <c r="BR76" t="str">
        <f>VLOOKUP(G76,Eras!$A$2:$C$10, 2, TRUE)</f>
        <v>dsl</v>
      </c>
      <c r="BS76" t="s">
        <v>369</v>
      </c>
      <c r="BT76" t="str">
        <f t="shared" si="40"/>
        <v>dsl_Mail Carriage</v>
      </c>
      <c r="BU76" t="str">
        <f t="shared" si="28"/>
        <v>wagon_RAIL</v>
      </c>
      <c r="BV76" t="str">
        <f>VLOOKUP($BU76, Constants!$M:$N, 2, FALSE)</f>
        <v/>
      </c>
      <c r="BW76" t="str">
        <f t="shared" si="29"/>
        <v/>
      </c>
      <c r="BX76" t="s">
        <v>838</v>
      </c>
      <c r="BY76" t="str">
        <f t="shared" si="30"/>
        <v>{YELLOW}25% Bonus for long distance travel{}</v>
      </c>
      <c r="BZ76" t="str">
        <f t="shared" si="31"/>
        <v>{YELLOW}25% Bonus for long distance travel{}{SILVER}Based on the Mark 1 carriage, the TPO (Travelling Post Office) allowed mail to be sorted as it was transported.</v>
      </c>
    </row>
    <row r="77" spans="1:78" x14ac:dyDescent="0.25">
      <c r="A77" t="s">
        <v>148</v>
      </c>
      <c r="B77" t="s">
        <v>239</v>
      </c>
      <c r="C77">
        <v>151</v>
      </c>
      <c r="D77" t="s">
        <v>165</v>
      </c>
      <c r="E77" t="s">
        <v>304</v>
      </c>
      <c r="F77" t="s">
        <v>308</v>
      </c>
      <c r="G77">
        <v>1802</v>
      </c>
      <c r="T77">
        <v>5</v>
      </c>
      <c r="X77" s="4" t="str">
        <f t="shared" si="27"/>
        <v/>
      </c>
      <c r="Y77">
        <v>5</v>
      </c>
      <c r="AE77" s="11">
        <v>0</v>
      </c>
      <c r="AF77" t="str">
        <f>CONCATENATE(VLOOKUP(AG77, 'Voxel Sizes'!$A$2:$B$18,2,FALSE),"x",INT(AC77*15), "x", INT(AD77*15))</f>
        <v>0x0x0</v>
      </c>
      <c r="AG77">
        <f t="shared" si="32"/>
        <v>0</v>
      </c>
      <c r="AI77" t="str">
        <f>CONCATENATE(VLOOKUP(AG77,Constants!$A$2:$C$16,IF(AH77&lt;&gt;"", 3, 2), FALSE),IF(AH77&lt;&gt;"",CONCATENATE(",",VLOOKUP(AH77,$B:$AI,34,FALSE)),""))</f>
        <v>na</v>
      </c>
      <c r="AS77">
        <v>30</v>
      </c>
      <c r="AT77" t="str">
        <f t="shared" si="33"/>
        <v/>
      </c>
      <c r="AW77">
        <f t="shared" si="34"/>
        <v>1</v>
      </c>
      <c r="AX77">
        <f t="shared" si="35"/>
        <v>0</v>
      </c>
      <c r="AY77">
        <f t="shared" si="36"/>
        <v>0</v>
      </c>
      <c r="AZ77" s="4">
        <f t="shared" si="41"/>
        <v>1</v>
      </c>
      <c r="BA77">
        <f t="shared" si="37"/>
        <v>0</v>
      </c>
      <c r="BB77">
        <f>VLOOKUP($E77,Constants!$I:$K, 2, FALSE)</f>
        <v>1.1499999999999999</v>
      </c>
      <c r="BC77">
        <f>VLOOKUP($E77,Constants!$I:$K, 3, FALSE)*IF(AND(D77="multiple_unit",Y77&lt;110),0.75,1)</f>
        <v>1.7</v>
      </c>
      <c r="BD77">
        <f>INT(POWER(((Constants!$G$2+$AW77+$AX77+$AY77+$BA77)*$AZ77)*$BC77, 1.05))+$AV77</f>
        <v>11</v>
      </c>
      <c r="BE77">
        <f>INT(POWER((((Constants!$G$1+$AW77+$AX77+$AY77+$BA77)*($AZ77))*$BB77),IF($D77="wagon",1,1.2)))+$AU77</f>
        <v>32</v>
      </c>
      <c r="BF77" s="15">
        <f t="shared" si="38"/>
        <v>8593.75</v>
      </c>
      <c r="BG77" s="15">
        <f t="shared" si="39"/>
        <v>2600</v>
      </c>
      <c r="BN77">
        <v>1</v>
      </c>
      <c r="BO77">
        <v>185</v>
      </c>
      <c r="BR77" t="str">
        <f>VLOOKUP(G77,Eras!$A$2:$C$10, 2, TRUE)</f>
        <v>early</v>
      </c>
      <c r="BS77" t="s">
        <v>360</v>
      </c>
      <c r="BT77" t="str">
        <f t="shared" si="40"/>
        <v>early_Mixed Traffic</v>
      </c>
      <c r="BU77" t="str">
        <f t="shared" si="28"/>
        <v>steam_NGRL</v>
      </c>
      <c r="BV77" t="str">
        <f>VLOOKUP($BU77, Constants!$M:$N, 2, FALSE)</f>
        <v/>
      </c>
      <c r="BW77" t="str">
        <f t="shared" si="29"/>
        <v/>
      </c>
      <c r="BY77" t="str">
        <f t="shared" si="30"/>
        <v/>
      </c>
      <c r="BZ77" t="str">
        <f t="shared" si="31"/>
        <v>{SILVER}</v>
      </c>
    </row>
    <row r="78" spans="1:78" x14ac:dyDescent="0.25">
      <c r="A78" t="s">
        <v>0</v>
      </c>
      <c r="B78" t="s">
        <v>166</v>
      </c>
      <c r="C78">
        <v>152</v>
      </c>
      <c r="D78" t="s">
        <v>165</v>
      </c>
      <c r="E78" t="s">
        <v>304</v>
      </c>
      <c r="F78" t="s">
        <v>307</v>
      </c>
      <c r="G78">
        <v>1812</v>
      </c>
      <c r="T78">
        <v>5</v>
      </c>
      <c r="X78" s="4" t="str">
        <f t="shared" si="27"/>
        <v/>
      </c>
      <c r="AE78" s="11">
        <v>0</v>
      </c>
      <c r="AF78" t="str">
        <f>CONCATENATE(VLOOKUP(AG78, 'Voxel Sizes'!$A$2:$B$18,2,FALSE),"x",INT(AC78*15), "x", INT(AD78*15))</f>
        <v>0x0x0</v>
      </c>
      <c r="AG78">
        <f t="shared" si="32"/>
        <v>0</v>
      </c>
      <c r="AI78" t="str">
        <f>CONCATENATE(VLOOKUP(AG78,Constants!$A$2:$C$16,IF(AH78&lt;&gt;"", 3, 2), FALSE),IF(AH78&lt;&gt;"",CONCATENATE(",",VLOOKUP(AH78,$B:$AI,34,FALSE)),""))</f>
        <v>na</v>
      </c>
      <c r="AS78">
        <v>30</v>
      </c>
      <c r="AT78" t="str">
        <f t="shared" si="33"/>
        <v/>
      </c>
      <c r="AW78">
        <f t="shared" si="34"/>
        <v>0</v>
      </c>
      <c r="AX78">
        <f t="shared" si="35"/>
        <v>0</v>
      </c>
      <c r="AY78">
        <f t="shared" si="36"/>
        <v>0</v>
      </c>
      <c r="AZ78" s="4">
        <f t="shared" si="41"/>
        <v>1</v>
      </c>
      <c r="BA78">
        <f t="shared" si="37"/>
        <v>0</v>
      </c>
      <c r="BB78">
        <f>VLOOKUP($E78,Constants!$I:$K, 2, FALSE)</f>
        <v>1.1499999999999999</v>
      </c>
      <c r="BC78">
        <f>VLOOKUP($E78,Constants!$I:$K, 3, FALSE)*IF(AND(D78="multiple_unit",Y78&lt;110),0.75,1)</f>
        <v>1.7</v>
      </c>
      <c r="BD78">
        <f>INT(POWER(((Constants!$G$2+$AW78+$AX78+$AY78+$BA78)*$AZ78)*$BC78, 1.05))+$AV78</f>
        <v>9</v>
      </c>
      <c r="BE78">
        <f>INT(POWER((((Constants!$G$1+$AW78+$AX78+$AY78+$BA78)*($AZ78))*$BB78),IF($D78="wagon",1,1.2)))+$AU78</f>
        <v>30</v>
      </c>
      <c r="BF78" s="15">
        <f t="shared" si="38"/>
        <v>7031.25</v>
      </c>
      <c r="BG78" s="15">
        <f t="shared" si="39"/>
        <v>2437.5</v>
      </c>
      <c r="BN78">
        <v>2</v>
      </c>
      <c r="BR78" t="str">
        <f>VLOOKUP(G78,Eras!$A$2:$C$10, 2, TRUE)</f>
        <v>early</v>
      </c>
      <c r="BT78" t="str">
        <f t="shared" si="40"/>
        <v>early_</v>
      </c>
      <c r="BU78" t="str">
        <f t="shared" si="28"/>
        <v>steam_RAIL</v>
      </c>
      <c r="BV78" t="str">
        <f>VLOOKUP($BU78, Constants!$M:$N, 2, FALSE)</f>
        <v>{BLACK}Powered by: {GOLD}Steam</v>
      </c>
      <c r="BW78" t="str">
        <f t="shared" si="29"/>
        <v/>
      </c>
      <c r="BY78" t="str">
        <f t="shared" si="30"/>
        <v/>
      </c>
      <c r="BZ78" t="str">
        <f t="shared" si="31"/>
        <v>{BLACK}Powered by: {GOLD}Steam {}{SILVER}</v>
      </c>
    </row>
    <row r="79" spans="1:78" x14ac:dyDescent="0.25">
      <c r="A79" t="s">
        <v>1</v>
      </c>
      <c r="B79" t="s">
        <v>167</v>
      </c>
      <c r="C79">
        <v>153</v>
      </c>
      <c r="D79" t="s">
        <v>165</v>
      </c>
      <c r="E79" t="s">
        <v>304</v>
      </c>
      <c r="F79" t="s">
        <v>307</v>
      </c>
      <c r="G79">
        <v>1825</v>
      </c>
      <c r="T79">
        <v>7</v>
      </c>
      <c r="W79">
        <v>8.5</v>
      </c>
      <c r="X79" s="4">
        <f t="shared" si="27"/>
        <v>0.12142857142857143</v>
      </c>
      <c r="Y79">
        <v>15</v>
      </c>
      <c r="AE79" s="11">
        <v>0</v>
      </c>
      <c r="AF79" t="str">
        <f>CONCATENATE(VLOOKUP(AG79, 'Voxel Sizes'!$A$2:$B$18,2,FALSE),"x",INT(AC79*15), "x", INT(AD79*15))</f>
        <v>0x0x0</v>
      </c>
      <c r="AG79">
        <f t="shared" si="32"/>
        <v>0</v>
      </c>
      <c r="AI79" t="str">
        <f>CONCATENATE(VLOOKUP(AG79,Constants!$A$2:$C$16,IF(AH79&lt;&gt;"", 3, 2), FALSE),IF(AH79&lt;&gt;"",CONCATENATE(",",VLOOKUP(AH79,$B:$AI,34,FALSE)),""))</f>
        <v>na</v>
      </c>
      <c r="AS79">
        <v>30</v>
      </c>
      <c r="AT79" t="str">
        <f t="shared" si="33"/>
        <v/>
      </c>
      <c r="AW79">
        <f t="shared" si="34"/>
        <v>3</v>
      </c>
      <c r="AX79">
        <f t="shared" si="35"/>
        <v>0</v>
      </c>
      <c r="AY79">
        <f t="shared" si="36"/>
        <v>0.42500000000000004</v>
      </c>
      <c r="AZ79" s="4">
        <f t="shared" si="41"/>
        <v>1</v>
      </c>
      <c r="BA79">
        <f t="shared" si="37"/>
        <v>0</v>
      </c>
      <c r="BB79">
        <f>VLOOKUP($E79,Constants!$I:$K, 2, FALSE)</f>
        <v>1.1499999999999999</v>
      </c>
      <c r="BC79">
        <f>VLOOKUP($E79,Constants!$I:$K, 3, FALSE)*IF(AND(D79="multiple_unit",Y79&lt;110),0.75,1)</f>
        <v>1.7</v>
      </c>
      <c r="BD79">
        <f>INT(POWER(((Constants!$G$2+$AW79+$AX79+$AY79+$BA79)*$AZ79)*$BC79, 1.05))+$AV79</f>
        <v>16</v>
      </c>
      <c r="BE79">
        <f>INT(POWER((((Constants!$G$1+$AW79+$AX79+$AY79+$BA79)*($AZ79))*$BB79),IF($D79="wagon",1,1.2)))+$AU79</f>
        <v>39</v>
      </c>
      <c r="BF79" s="15">
        <f t="shared" si="38"/>
        <v>12500</v>
      </c>
      <c r="BG79" s="15">
        <f t="shared" si="39"/>
        <v>3168.75</v>
      </c>
      <c r="BN79">
        <v>3</v>
      </c>
      <c r="BR79" t="str">
        <f>VLOOKUP(G79,Eras!$A$2:$C$10, 2, TRUE)</f>
        <v>early</v>
      </c>
      <c r="BS79" t="s">
        <v>360</v>
      </c>
      <c r="BT79" t="str">
        <f t="shared" si="40"/>
        <v>early_Mixed Traffic</v>
      </c>
      <c r="BU79" t="str">
        <f t="shared" si="28"/>
        <v>steam_RAIL</v>
      </c>
      <c r="BV79" t="str">
        <f>VLOOKUP($BU79, Constants!$M:$N, 2, FALSE)</f>
        <v>{BLACK}Powered by: {GOLD}Steam</v>
      </c>
      <c r="BW79" t="str">
        <f t="shared" si="29"/>
        <v/>
      </c>
      <c r="BY79" t="str">
        <f t="shared" si="30"/>
        <v/>
      </c>
      <c r="BZ79" t="str">
        <f t="shared" si="31"/>
        <v>{BLACK}Powered by: {GOLD}Steam {}{SILVER}</v>
      </c>
    </row>
    <row r="80" spans="1:78" x14ac:dyDescent="0.25">
      <c r="A80" t="s">
        <v>2</v>
      </c>
      <c r="B80" t="s">
        <v>168</v>
      </c>
      <c r="C80">
        <v>154</v>
      </c>
      <c r="D80" t="s">
        <v>165</v>
      </c>
      <c r="E80" t="s">
        <v>304</v>
      </c>
      <c r="F80" t="s">
        <v>307</v>
      </c>
      <c r="G80">
        <v>1830</v>
      </c>
      <c r="T80">
        <v>4.3</v>
      </c>
      <c r="X80" s="4" t="str">
        <f t="shared" si="27"/>
        <v/>
      </c>
      <c r="AE80" s="11">
        <v>0</v>
      </c>
      <c r="AF80" t="str">
        <f>CONCATENATE(VLOOKUP(AG80, 'Voxel Sizes'!$A$2:$B$18,2,FALSE),"x",INT(AC80*15), "x", INT(AD80*15))</f>
        <v>0x0x0</v>
      </c>
      <c r="AG80">
        <f t="shared" si="32"/>
        <v>0</v>
      </c>
      <c r="AI80" t="str">
        <f>CONCATENATE(VLOOKUP(AG80,Constants!$A$2:$C$16,IF(AH80&lt;&gt;"", 3, 2), FALSE),IF(AH80&lt;&gt;"",CONCATENATE(",",VLOOKUP(AH80,$B:$AI,34,FALSE)),""))</f>
        <v>na</v>
      </c>
      <c r="AS80">
        <v>30</v>
      </c>
      <c r="AT80" t="str">
        <f t="shared" si="33"/>
        <v/>
      </c>
      <c r="AW80">
        <f t="shared" si="34"/>
        <v>0</v>
      </c>
      <c r="AX80">
        <f t="shared" si="35"/>
        <v>0</v>
      </c>
      <c r="AY80">
        <f t="shared" si="36"/>
        <v>0</v>
      </c>
      <c r="AZ80" s="4">
        <f t="shared" si="41"/>
        <v>1</v>
      </c>
      <c r="BA80">
        <f t="shared" si="37"/>
        <v>0</v>
      </c>
      <c r="BB80">
        <f>VLOOKUP($E80,Constants!$I:$K, 2, FALSE)</f>
        <v>1.1499999999999999</v>
      </c>
      <c r="BC80">
        <f>VLOOKUP($E80,Constants!$I:$K, 3, FALSE)*IF(AND(D80="multiple_unit",Y80&lt;110),0.75,1)</f>
        <v>1.7</v>
      </c>
      <c r="BD80">
        <f>INT(POWER(((Constants!$G$2+$AW80+$AX80+$AY80+$BA80)*$AZ80)*$BC80, 1.05))+$AV80</f>
        <v>9</v>
      </c>
      <c r="BE80">
        <f>INT(POWER((((Constants!$G$1+$AW80+$AX80+$AY80+$BA80)*($AZ80))*$BB80),IF($D80="wagon",1,1.2)))+$AU80</f>
        <v>30</v>
      </c>
      <c r="BF80" s="15">
        <f t="shared" si="38"/>
        <v>7031.25</v>
      </c>
      <c r="BG80" s="15">
        <f t="shared" si="39"/>
        <v>2437.5</v>
      </c>
      <c r="BN80">
        <v>4</v>
      </c>
      <c r="BR80" t="str">
        <f>VLOOKUP(G80,Eras!$A$2:$C$10, 2, TRUE)</f>
        <v>early</v>
      </c>
      <c r="BS80" t="s">
        <v>360</v>
      </c>
      <c r="BT80" t="str">
        <f t="shared" si="40"/>
        <v>early_Mixed Traffic</v>
      </c>
      <c r="BU80" t="str">
        <f t="shared" si="28"/>
        <v>steam_RAIL</v>
      </c>
      <c r="BV80" t="str">
        <f>VLOOKUP($BU80, Constants!$M:$N, 2, FALSE)</f>
        <v>{BLACK}Powered by: {GOLD}Steam</v>
      </c>
      <c r="BW80" t="str">
        <f t="shared" si="29"/>
        <v/>
      </c>
      <c r="BY80" t="str">
        <f t="shared" si="30"/>
        <v/>
      </c>
      <c r="BZ80" t="str">
        <f t="shared" si="31"/>
        <v>{BLACK}Powered by: {GOLD}Steam {}{SILVER}</v>
      </c>
    </row>
    <row r="81" spans="1:78" x14ac:dyDescent="0.25">
      <c r="A81" t="s">
        <v>140</v>
      </c>
      <c r="B81" t="s">
        <v>240</v>
      </c>
      <c r="C81">
        <v>155</v>
      </c>
      <c r="D81" t="s">
        <v>165</v>
      </c>
      <c r="E81" t="s">
        <v>304</v>
      </c>
      <c r="F81" t="s">
        <v>307</v>
      </c>
      <c r="G81">
        <v>1838</v>
      </c>
      <c r="W81">
        <v>9.6</v>
      </c>
      <c r="X81" s="4" t="str">
        <f t="shared" si="27"/>
        <v/>
      </c>
      <c r="Y81">
        <v>45</v>
      </c>
      <c r="AE81" s="11">
        <v>0</v>
      </c>
      <c r="AF81" t="str">
        <f>CONCATENATE(VLOOKUP(AG81, 'Voxel Sizes'!$A$2:$B$18,2,FALSE),"x",INT(AC81*15), "x", INT(AD81*15))</f>
        <v>0x0x0</v>
      </c>
      <c r="AG81">
        <f t="shared" si="32"/>
        <v>0</v>
      </c>
      <c r="AI81" t="str">
        <f>CONCATENATE(VLOOKUP(AG81,Constants!$A$2:$C$16,IF(AH81&lt;&gt;"", 3, 2), FALSE),IF(AH81&lt;&gt;"",CONCATENATE(",",VLOOKUP(AH81,$B:$AI,34,FALSE)),""))</f>
        <v>na</v>
      </c>
      <c r="AS81">
        <v>30</v>
      </c>
      <c r="AT81" t="str">
        <f t="shared" si="33"/>
        <v/>
      </c>
      <c r="AW81">
        <f t="shared" si="34"/>
        <v>9</v>
      </c>
      <c r="AX81">
        <f t="shared" si="35"/>
        <v>0</v>
      </c>
      <c r="AY81">
        <f t="shared" si="36"/>
        <v>0.48</v>
      </c>
      <c r="AZ81" s="4">
        <f t="shared" si="41"/>
        <v>1</v>
      </c>
      <c r="BA81">
        <f t="shared" si="37"/>
        <v>0</v>
      </c>
      <c r="BB81">
        <f>VLOOKUP($E81,Constants!$I:$K, 2, FALSE)</f>
        <v>1.1499999999999999</v>
      </c>
      <c r="BC81">
        <f>VLOOKUP($E81,Constants!$I:$K, 3, FALSE)*IF(AND(D81="multiple_unit",Y81&lt;110),0.75,1)</f>
        <v>1.7</v>
      </c>
      <c r="BD81">
        <f>INT(POWER(((Constants!$G$2+$AW81+$AX81+$AY81+$BA81)*$AZ81)*$BC81, 1.05))+$AV81</f>
        <v>28</v>
      </c>
      <c r="BE81">
        <f>INT(POWER((((Constants!$G$1+$AW81+$AX81+$AY81+$BA81)*($AZ81))*$BB81),IF($D81="wagon",1,1.2)))+$AU81</f>
        <v>54</v>
      </c>
      <c r="BF81" s="15">
        <f t="shared" si="38"/>
        <v>21875</v>
      </c>
      <c r="BG81" s="15">
        <f t="shared" si="39"/>
        <v>4387.5</v>
      </c>
      <c r="BN81">
        <v>5</v>
      </c>
      <c r="BR81" t="str">
        <f>VLOOKUP(G81,Eras!$A$2:$C$10, 2, TRUE)</f>
        <v>early</v>
      </c>
      <c r="BS81" t="s">
        <v>360</v>
      </c>
      <c r="BT81" t="str">
        <f t="shared" si="40"/>
        <v>early_Mixed Traffic</v>
      </c>
      <c r="BU81" t="str">
        <f t="shared" si="28"/>
        <v>steam_RAIL</v>
      </c>
      <c r="BV81" t="str">
        <f>VLOOKUP($BU81, Constants!$M:$N, 2, FALSE)</f>
        <v>{BLACK}Powered by: {GOLD}Steam</v>
      </c>
      <c r="BW81" t="str">
        <f t="shared" si="29"/>
        <v/>
      </c>
      <c r="BY81" t="str">
        <f t="shared" si="30"/>
        <v/>
      </c>
      <c r="BZ81" t="str">
        <f t="shared" si="31"/>
        <v>{BLACK}Powered by: {GOLD}Steam {}{SILVER}</v>
      </c>
    </row>
    <row r="82" spans="1:78" x14ac:dyDescent="0.25">
      <c r="A82" t="s">
        <v>141</v>
      </c>
      <c r="B82" t="s">
        <v>241</v>
      </c>
      <c r="C82">
        <v>158</v>
      </c>
      <c r="D82" t="s">
        <v>165</v>
      </c>
      <c r="E82" t="s">
        <v>304</v>
      </c>
      <c r="F82" t="s">
        <v>307</v>
      </c>
      <c r="G82">
        <v>1838</v>
      </c>
      <c r="X82" s="4" t="str">
        <f t="shared" si="27"/>
        <v/>
      </c>
      <c r="AE82" s="11">
        <v>0</v>
      </c>
      <c r="AF82" t="str">
        <f>CONCATENATE(VLOOKUP(AG82, 'Voxel Sizes'!$A$2:$B$18,2,FALSE),"x",INT(AC82*15), "x", INT(AD82*15))</f>
        <v>0x0x0</v>
      </c>
      <c r="AG82">
        <f t="shared" si="32"/>
        <v>0</v>
      </c>
      <c r="AI82" t="str">
        <f>CONCATENATE(VLOOKUP(AG82,Constants!$A$2:$C$16,IF(AH82&lt;&gt;"", 3, 2), FALSE),IF(AH82&lt;&gt;"",CONCATENATE(",",VLOOKUP(AH82,$B:$AI,34,FALSE)),""))</f>
        <v>na</v>
      </c>
      <c r="AS82">
        <v>30</v>
      </c>
      <c r="AT82" t="str">
        <f t="shared" si="33"/>
        <v/>
      </c>
      <c r="AW82">
        <f t="shared" si="34"/>
        <v>0</v>
      </c>
      <c r="AX82">
        <f t="shared" si="35"/>
        <v>0</v>
      </c>
      <c r="AY82">
        <f t="shared" si="36"/>
        <v>0</v>
      </c>
      <c r="AZ82" s="4">
        <f t="shared" si="41"/>
        <v>1</v>
      </c>
      <c r="BA82">
        <f t="shared" si="37"/>
        <v>0</v>
      </c>
      <c r="BB82">
        <f>VLOOKUP($E82,Constants!$I:$K, 2, FALSE)</f>
        <v>1.1499999999999999</v>
      </c>
      <c r="BC82">
        <f>VLOOKUP($E82,Constants!$I:$K, 3, FALSE)*IF(AND(D82="multiple_unit",Y82&lt;110),0.75,1)</f>
        <v>1.7</v>
      </c>
      <c r="BD82">
        <f>INT(POWER(((Constants!$G$2+$AW82+$AX82+$AY82+$BA82)*$AZ82)*$BC82, 1.05))+$AV82</f>
        <v>9</v>
      </c>
      <c r="BE82">
        <f>INT(POWER((((Constants!$G$1+$AW82+$AX82+$AY82+$BA82)*($AZ82))*$BB82),IF($D82="wagon",1,1.2)))+$AU82</f>
        <v>30</v>
      </c>
      <c r="BF82" s="15">
        <f t="shared" si="38"/>
        <v>7031.25</v>
      </c>
      <c r="BG82" s="15">
        <f t="shared" si="39"/>
        <v>2437.5</v>
      </c>
      <c r="BN82">
        <v>6</v>
      </c>
      <c r="BR82" t="str">
        <f>VLOOKUP(G82,Eras!$A$2:$C$10, 2, TRUE)</f>
        <v>early</v>
      </c>
      <c r="BS82" t="s">
        <v>361</v>
      </c>
      <c r="BT82" t="str">
        <f t="shared" si="40"/>
        <v>early_Express</v>
      </c>
      <c r="BU82" t="str">
        <f t="shared" si="28"/>
        <v>steam_RAIL</v>
      </c>
      <c r="BV82" t="str">
        <f>VLOOKUP($BU82, Constants!$M:$N, 2, FALSE)</f>
        <v>{BLACK}Powered by: {GOLD}Steam</v>
      </c>
      <c r="BW82" t="str">
        <f t="shared" si="29"/>
        <v/>
      </c>
      <c r="BY82" t="str">
        <f t="shared" si="30"/>
        <v/>
      </c>
      <c r="BZ82" t="str">
        <f t="shared" si="31"/>
        <v>{BLACK}Powered by: {GOLD}Steam {}{SILVER}</v>
      </c>
    </row>
    <row r="83" spans="1:78" x14ac:dyDescent="0.25">
      <c r="A83" t="s">
        <v>3</v>
      </c>
      <c r="B83" t="s">
        <v>169</v>
      </c>
      <c r="C83">
        <v>160</v>
      </c>
      <c r="D83" t="s">
        <v>165</v>
      </c>
      <c r="E83" t="s">
        <v>304</v>
      </c>
      <c r="F83" t="s">
        <v>307</v>
      </c>
      <c r="G83">
        <v>1846</v>
      </c>
      <c r="T83">
        <v>19</v>
      </c>
      <c r="W83">
        <v>34</v>
      </c>
      <c r="X83" s="4">
        <f t="shared" si="27"/>
        <v>0.17894736842105263</v>
      </c>
      <c r="AE83" s="11">
        <v>0</v>
      </c>
      <c r="AF83" t="str">
        <f>CONCATENATE(VLOOKUP(AG83, 'Voxel Sizes'!$A$2:$B$18,2,FALSE),"x",INT(AC83*15), "x", INT(AD83*15))</f>
        <v>0x0x0</v>
      </c>
      <c r="AG83">
        <f t="shared" si="32"/>
        <v>0</v>
      </c>
      <c r="AI83" t="str">
        <f>CONCATENATE(VLOOKUP(AG83,Constants!$A$2:$C$16,IF(AH83&lt;&gt;"", 3, 2), FALSE),IF(AH83&lt;&gt;"",CONCATENATE(",",VLOOKUP(AH83,$B:$AI,34,FALSE)),""))</f>
        <v>na</v>
      </c>
      <c r="AS83">
        <v>30</v>
      </c>
      <c r="AT83" t="str">
        <f t="shared" si="33"/>
        <v/>
      </c>
      <c r="AW83">
        <f t="shared" si="34"/>
        <v>0</v>
      </c>
      <c r="AX83">
        <f t="shared" si="35"/>
        <v>0</v>
      </c>
      <c r="AY83">
        <f t="shared" si="36"/>
        <v>1.7000000000000002</v>
      </c>
      <c r="AZ83" s="4">
        <f t="shared" si="41"/>
        <v>1</v>
      </c>
      <c r="BA83">
        <f t="shared" si="37"/>
        <v>0</v>
      </c>
      <c r="BB83">
        <f>VLOOKUP($E83,Constants!$I:$K, 2, FALSE)</f>
        <v>1.1499999999999999</v>
      </c>
      <c r="BC83">
        <f>VLOOKUP($E83,Constants!$I:$K, 3, FALSE)*IF(AND(D83="multiple_unit",Y83&lt;110),0.75,1)</f>
        <v>1.7</v>
      </c>
      <c r="BD83">
        <f>INT(POWER(((Constants!$G$2+$AW83+$AX83+$AY83+$BA83)*$AZ83)*$BC83, 1.05))+$AV83</f>
        <v>12</v>
      </c>
      <c r="BE83">
        <f>INT(POWER((((Constants!$G$1+$AW83+$AX83+$AY83+$BA83)*($AZ83))*$BB83),IF($D83="wagon",1,1.2)))+$AU83</f>
        <v>34</v>
      </c>
      <c r="BF83" s="15">
        <f t="shared" si="38"/>
        <v>9375</v>
      </c>
      <c r="BG83" s="15">
        <f t="shared" si="39"/>
        <v>2762.5</v>
      </c>
      <c r="BN83">
        <v>7</v>
      </c>
      <c r="BR83" t="str">
        <f>VLOOKUP(G83,Eras!$A$2:$C$10, 2, TRUE)</f>
        <v>early</v>
      </c>
      <c r="BT83" t="str">
        <f t="shared" si="40"/>
        <v>early_</v>
      </c>
      <c r="BU83" t="str">
        <f t="shared" si="28"/>
        <v>steam_RAIL</v>
      </c>
      <c r="BV83" t="str">
        <f>VLOOKUP($BU83, Constants!$M:$N, 2, FALSE)</f>
        <v>{BLACK}Powered by: {GOLD}Steam</v>
      </c>
      <c r="BW83" t="str">
        <f t="shared" si="29"/>
        <v/>
      </c>
      <c r="BY83" t="str">
        <f t="shared" si="30"/>
        <v/>
      </c>
      <c r="BZ83" t="str">
        <f t="shared" si="31"/>
        <v>{BLACK}Powered by: {GOLD}Steam {}{SILVER}</v>
      </c>
    </row>
    <row r="84" spans="1:78" x14ac:dyDescent="0.25">
      <c r="A84" t="s">
        <v>6</v>
      </c>
      <c r="B84" t="s">
        <v>242</v>
      </c>
      <c r="C84">
        <v>162</v>
      </c>
      <c r="D84" t="s">
        <v>165</v>
      </c>
      <c r="E84" t="s">
        <v>304</v>
      </c>
      <c r="F84" t="s">
        <v>307</v>
      </c>
      <c r="G84">
        <v>1846</v>
      </c>
      <c r="T84">
        <v>42</v>
      </c>
      <c r="X84" s="4" t="str">
        <f t="shared" si="27"/>
        <v/>
      </c>
      <c r="AA84">
        <v>6</v>
      </c>
      <c r="AB84">
        <v>6</v>
      </c>
      <c r="AE84" s="11">
        <v>0</v>
      </c>
      <c r="AF84" t="str">
        <f>CONCATENATE(VLOOKUP(AG84, 'Voxel Sizes'!$A$2:$B$18,2,FALSE),"x",INT(AC84*15), "x", INT(AD84*15))</f>
        <v>60x0x0</v>
      </c>
      <c r="AG84">
        <f t="shared" si="32"/>
        <v>4</v>
      </c>
      <c r="AI84" t="str">
        <f>CONCATENATE(VLOOKUP(AG84,Constants!$A$2:$C$16,IF(AH84&lt;&gt;"", 3, 2), FALSE),IF(AH84&lt;&gt;"",CONCATENATE(",",VLOOKUP(AH84,$B:$AI,34,FALSE)),""))</f>
        <v>1,2,1</v>
      </c>
      <c r="AS84">
        <v>30</v>
      </c>
      <c r="AT84" t="str">
        <f t="shared" si="33"/>
        <v/>
      </c>
      <c r="AW84">
        <f t="shared" si="34"/>
        <v>0</v>
      </c>
      <c r="AX84">
        <f t="shared" si="35"/>
        <v>0</v>
      </c>
      <c r="AY84">
        <f t="shared" si="36"/>
        <v>0</v>
      </c>
      <c r="AZ84" s="4">
        <f t="shared" si="41"/>
        <v>1</v>
      </c>
      <c r="BA84">
        <f t="shared" si="37"/>
        <v>0</v>
      </c>
      <c r="BB84">
        <f>VLOOKUP($E84,Constants!$I:$K, 2, FALSE)</f>
        <v>1.1499999999999999</v>
      </c>
      <c r="BC84">
        <f>VLOOKUP($E84,Constants!$I:$K, 3, FALSE)*IF(AND(D84="multiple_unit",Y84&lt;110),0.75,1)</f>
        <v>1.7</v>
      </c>
      <c r="BD84">
        <f>INT(POWER(((Constants!$G$2+$AW84+$AX84+$AY84+$BA84)*$AZ84)*$BC84, 1.05))+$AV84</f>
        <v>9</v>
      </c>
      <c r="BE84">
        <f>INT(POWER((((Constants!$G$1+$AW84+$AX84+$AY84+$BA84)*($AZ84))*$BB84),IF($D84="wagon",1,1.2)))+$AU84</f>
        <v>30</v>
      </c>
      <c r="BF84" s="15">
        <f t="shared" si="38"/>
        <v>7031.25</v>
      </c>
      <c r="BG84" s="15">
        <f t="shared" si="39"/>
        <v>2437.5</v>
      </c>
      <c r="BN84">
        <v>8</v>
      </c>
      <c r="BR84" t="str">
        <f>VLOOKUP(G84,Eras!$A$2:$C$10, 2, TRUE)</f>
        <v>early</v>
      </c>
      <c r="BT84" t="str">
        <f t="shared" si="40"/>
        <v>early_</v>
      </c>
      <c r="BU84" t="str">
        <f t="shared" si="28"/>
        <v>steam_RAIL</v>
      </c>
      <c r="BV84" t="str">
        <f>VLOOKUP($BU84, Constants!$M:$N, 2, FALSE)</f>
        <v>{BLACK}Powered by: {GOLD}Steam</v>
      </c>
      <c r="BW84" t="str">
        <f t="shared" si="29"/>
        <v/>
      </c>
      <c r="BY84" t="str">
        <f t="shared" si="30"/>
        <v/>
      </c>
      <c r="BZ84" t="str">
        <f t="shared" si="31"/>
        <v>{BLACK}Powered by: {GOLD}Steam {}{SILVER}</v>
      </c>
    </row>
    <row r="85" spans="1:78" x14ac:dyDescent="0.25">
      <c r="A85" t="s">
        <v>4</v>
      </c>
      <c r="B85" t="s">
        <v>170</v>
      </c>
      <c r="C85">
        <v>164</v>
      </c>
      <c r="D85" t="s">
        <v>165</v>
      </c>
      <c r="E85" t="s">
        <v>304</v>
      </c>
      <c r="F85" t="s">
        <v>307</v>
      </c>
      <c r="G85">
        <v>1847</v>
      </c>
      <c r="X85" s="4" t="str">
        <f t="shared" si="27"/>
        <v/>
      </c>
      <c r="Y85">
        <v>60</v>
      </c>
      <c r="AE85" s="11">
        <v>0</v>
      </c>
      <c r="AF85" t="str">
        <f>CONCATENATE(VLOOKUP(AG85, 'Voxel Sizes'!$A$2:$B$18,2,FALSE),"x",INT(AC85*15), "x", INT(AD85*15))</f>
        <v>0x0x0</v>
      </c>
      <c r="AG85">
        <f t="shared" si="32"/>
        <v>0</v>
      </c>
      <c r="AI85" t="str">
        <f>CONCATENATE(VLOOKUP(AG85,Constants!$A$2:$C$16,IF(AH85&lt;&gt;"", 3, 2), FALSE),IF(AH85&lt;&gt;"",CONCATENATE(",",VLOOKUP(AH85,$B:$AI,34,FALSE)),""))</f>
        <v>na</v>
      </c>
      <c r="AS85">
        <v>30</v>
      </c>
      <c r="AT85" t="str">
        <f t="shared" si="33"/>
        <v/>
      </c>
      <c r="AW85">
        <f t="shared" si="34"/>
        <v>12</v>
      </c>
      <c r="AX85">
        <f t="shared" si="35"/>
        <v>0</v>
      </c>
      <c r="AY85">
        <f t="shared" si="36"/>
        <v>0</v>
      </c>
      <c r="AZ85" s="4">
        <f t="shared" si="41"/>
        <v>1</v>
      </c>
      <c r="BA85">
        <f t="shared" si="37"/>
        <v>0</v>
      </c>
      <c r="BB85">
        <f>VLOOKUP($E85,Constants!$I:$K, 2, FALSE)</f>
        <v>1.1499999999999999</v>
      </c>
      <c r="BC85">
        <f>VLOOKUP($E85,Constants!$I:$K, 3, FALSE)*IF(AND(D85="multiple_unit",Y85&lt;110),0.75,1)</f>
        <v>1.7</v>
      </c>
      <c r="BD85">
        <f>INT(POWER(((Constants!$G$2+$AW85+$AX85+$AY85+$BA85)*$AZ85)*$BC85, 1.05))+$AV85</f>
        <v>34</v>
      </c>
      <c r="BE85">
        <f>INT(POWER((((Constants!$G$1+$AW85+$AX85+$AY85+$BA85)*($AZ85))*$BB85),IF($D85="wagon",1,1.2)))+$AU85</f>
        <v>61</v>
      </c>
      <c r="BF85" s="15">
        <f t="shared" si="38"/>
        <v>26562.5</v>
      </c>
      <c r="BG85" s="15">
        <f t="shared" si="39"/>
        <v>4956.25</v>
      </c>
      <c r="BN85">
        <v>9</v>
      </c>
      <c r="BR85" t="str">
        <f>VLOOKUP(G85,Eras!$A$2:$C$10, 2, TRUE)</f>
        <v>early</v>
      </c>
      <c r="BT85" t="str">
        <f t="shared" si="40"/>
        <v>early_</v>
      </c>
      <c r="BU85" t="str">
        <f t="shared" si="28"/>
        <v>steam_RAIL</v>
      </c>
      <c r="BV85" t="str">
        <f>VLOOKUP($BU85, Constants!$M:$N, 2, FALSE)</f>
        <v>{BLACK}Powered by: {GOLD}Steam</v>
      </c>
      <c r="BW85" t="str">
        <f t="shared" si="29"/>
        <v/>
      </c>
      <c r="BX85" t="s">
        <v>1400</v>
      </c>
      <c r="BY85" t="str">
        <f t="shared" si="30"/>
        <v/>
      </c>
      <c r="BZ85" t="str">
        <f t="shared" si="31"/>
        <v>{BLACK}Powered by: {GOLD}Steam {}{SILVER}Crampton locomotives were designed for a low centre of gravity, to run at higher speeds on standard gauge track. Features included large driving wheels and an oval boiler.</v>
      </c>
    </row>
    <row r="86" spans="1:78" x14ac:dyDescent="0.25">
      <c r="A86" t="s">
        <v>5</v>
      </c>
      <c r="B86" t="s">
        <v>171</v>
      </c>
      <c r="C86">
        <v>166</v>
      </c>
      <c r="D86" t="s">
        <v>165</v>
      </c>
      <c r="E86" t="s">
        <v>304</v>
      </c>
      <c r="F86" t="s">
        <v>307</v>
      </c>
      <c r="G86">
        <v>1852</v>
      </c>
      <c r="T86">
        <v>64</v>
      </c>
      <c r="W86">
        <v>65</v>
      </c>
      <c r="X86" s="4">
        <f t="shared" si="27"/>
        <v>0.1015625</v>
      </c>
      <c r="AE86" s="11">
        <v>0</v>
      </c>
      <c r="AF86" t="str">
        <f>CONCATENATE(VLOOKUP(AG86, 'Voxel Sizes'!$A$2:$B$18,2,FALSE),"x",INT(AC86*15), "x", INT(AD86*15))</f>
        <v>0x0x0</v>
      </c>
      <c r="AG86">
        <f t="shared" si="32"/>
        <v>0</v>
      </c>
      <c r="AI86" t="str">
        <f>CONCATENATE(VLOOKUP(AG86,Constants!$A$2:$C$16,IF(AH86&lt;&gt;"", 3, 2), FALSE),IF(AH86&lt;&gt;"",CONCATENATE(",",VLOOKUP(AH86,$B:$AI,34,FALSE)),""))</f>
        <v>na</v>
      </c>
      <c r="AS86">
        <v>30</v>
      </c>
      <c r="AT86" t="str">
        <f t="shared" si="33"/>
        <v/>
      </c>
      <c r="AW86">
        <f t="shared" si="34"/>
        <v>0</v>
      </c>
      <c r="AX86">
        <f t="shared" si="35"/>
        <v>0</v>
      </c>
      <c r="AY86">
        <f t="shared" si="36"/>
        <v>3.25</v>
      </c>
      <c r="AZ86" s="4">
        <f t="shared" si="41"/>
        <v>1</v>
      </c>
      <c r="BA86">
        <f t="shared" si="37"/>
        <v>0</v>
      </c>
      <c r="BB86">
        <f>VLOOKUP($E86,Constants!$I:$K, 2, FALSE)</f>
        <v>1.1499999999999999</v>
      </c>
      <c r="BC86">
        <f>VLOOKUP($E86,Constants!$I:$K, 3, FALSE)*IF(AND(D86="multiple_unit",Y86&lt;110),0.75,1)</f>
        <v>1.7</v>
      </c>
      <c r="BD86">
        <f>INT(POWER(((Constants!$G$2+$AW86+$AX86+$AY86+$BA86)*$AZ86)*$BC86, 1.05))+$AV86</f>
        <v>16</v>
      </c>
      <c r="BE86">
        <f>INT(POWER((((Constants!$G$1+$AW86+$AX86+$AY86+$BA86)*($AZ86))*$BB86),IF($D86="wagon",1,1.2)))+$AU86</f>
        <v>38</v>
      </c>
      <c r="BF86" s="15">
        <f t="shared" si="38"/>
        <v>12500</v>
      </c>
      <c r="BG86" s="15">
        <f t="shared" si="39"/>
        <v>3087.5</v>
      </c>
      <c r="BN86">
        <v>10</v>
      </c>
      <c r="BR86" t="str">
        <f>VLOOKUP(G86,Eras!$A$2:$C$10, 2, TRUE)</f>
        <v>vct</v>
      </c>
      <c r="BT86" t="str">
        <f t="shared" si="40"/>
        <v>vct_</v>
      </c>
      <c r="BU86" t="str">
        <f t="shared" si="28"/>
        <v>steam_RAIL</v>
      </c>
      <c r="BV86" t="str">
        <f>VLOOKUP($BU86, Constants!$M:$N, 2, FALSE)</f>
        <v>{BLACK}Powered by: {GOLD}Steam</v>
      </c>
      <c r="BW86" t="str">
        <f t="shared" si="29"/>
        <v/>
      </c>
      <c r="BX86" t="s">
        <v>1398</v>
      </c>
      <c r="BY86" t="str">
        <f t="shared" si="30"/>
        <v/>
      </c>
      <c r="BZ86" t="str">
        <f t="shared" si="31"/>
        <v>{BLACK}Powered by: {GOLD}Steam {}{SILVER}The NER 1001 Class is typical of a "long boiler" freight engine, with a small firebox mounted behind the rear axle.</v>
      </c>
    </row>
    <row r="87" spans="1:78" x14ac:dyDescent="0.25">
      <c r="A87" t="s">
        <v>7</v>
      </c>
      <c r="B87" t="s">
        <v>243</v>
      </c>
      <c r="C87">
        <v>168</v>
      </c>
      <c r="D87" t="s">
        <v>165</v>
      </c>
      <c r="E87" t="s">
        <v>304</v>
      </c>
      <c r="F87" t="s">
        <v>307</v>
      </c>
      <c r="G87">
        <v>1859</v>
      </c>
      <c r="T87">
        <v>27.4</v>
      </c>
      <c r="X87" s="4" t="str">
        <f t="shared" si="27"/>
        <v/>
      </c>
      <c r="Y87">
        <v>70</v>
      </c>
      <c r="AE87" s="11">
        <v>0</v>
      </c>
      <c r="AF87" t="str">
        <f>CONCATENATE(VLOOKUP(AG87, 'Voxel Sizes'!$A$2:$B$18,2,FALSE),"x",INT(AC87*15), "x", INT(AD87*15))</f>
        <v>0x0x0</v>
      </c>
      <c r="AG87">
        <f t="shared" si="32"/>
        <v>0</v>
      </c>
      <c r="AI87" t="str">
        <f>CONCATENATE(VLOOKUP(AG87,Constants!$A$2:$C$16,IF(AH87&lt;&gt;"", 3, 2), FALSE),IF(AH87&lt;&gt;"",CONCATENATE(",",VLOOKUP(AH87,$B:$AI,34,FALSE)),""))</f>
        <v>na</v>
      </c>
      <c r="AS87">
        <v>30</v>
      </c>
      <c r="AT87" t="str">
        <f t="shared" si="33"/>
        <v/>
      </c>
      <c r="AW87">
        <f t="shared" si="34"/>
        <v>14</v>
      </c>
      <c r="AX87">
        <f t="shared" si="35"/>
        <v>0</v>
      </c>
      <c r="AY87">
        <f t="shared" si="36"/>
        <v>0</v>
      </c>
      <c r="AZ87" s="4">
        <f t="shared" si="41"/>
        <v>1</v>
      </c>
      <c r="BA87">
        <f t="shared" si="37"/>
        <v>0</v>
      </c>
      <c r="BB87">
        <f>VLOOKUP($E87,Constants!$I:$K, 2, FALSE)</f>
        <v>1.1499999999999999</v>
      </c>
      <c r="BC87">
        <f>VLOOKUP($E87,Constants!$I:$K, 3, FALSE)*IF(AND(D87="multiple_unit",Y87&lt;110),0.75,1)</f>
        <v>1.7</v>
      </c>
      <c r="BD87">
        <f>INT(POWER(((Constants!$G$2+$AW87+$AX87+$AY87+$BA87)*$AZ87)*$BC87, 1.05))+$AV87</f>
        <v>38</v>
      </c>
      <c r="BE87">
        <f>INT(POWER((((Constants!$G$1+$AW87+$AX87+$AY87+$BA87)*($AZ87))*$BB87),IF($D87="wagon",1,1.2)))+$AU87</f>
        <v>67</v>
      </c>
      <c r="BF87" s="15">
        <f t="shared" si="38"/>
        <v>29687.5</v>
      </c>
      <c r="BG87" s="15">
        <f t="shared" si="39"/>
        <v>5443.75</v>
      </c>
      <c r="BN87">
        <v>11</v>
      </c>
      <c r="BR87" t="str">
        <f>VLOOKUP(G87,Eras!$A$2:$C$10, 2, TRUE)</f>
        <v>vct</v>
      </c>
      <c r="BT87" t="str">
        <f t="shared" si="40"/>
        <v>vct_</v>
      </c>
      <c r="BU87" t="str">
        <f t="shared" si="28"/>
        <v>steam_RAIL</v>
      </c>
      <c r="BV87" t="str">
        <f>VLOOKUP($BU87, Constants!$M:$N, 2, FALSE)</f>
        <v>{BLACK}Powered by: {GOLD}Steam</v>
      </c>
      <c r="BW87" t="str">
        <f t="shared" si="29"/>
        <v/>
      </c>
      <c r="BX87" t="s">
        <v>1399</v>
      </c>
      <c r="BY87" t="str">
        <f t="shared" si="30"/>
        <v/>
      </c>
      <c r="BZ87" t="str">
        <f t="shared" si="31"/>
        <v>{BLACK}Powered by: {GOLD}Steam {}{SILVER}Express locomotives in this period used a single large driving wheel to avoid the extra friction of coupling rods.</v>
      </c>
    </row>
    <row r="88" spans="1:78" x14ac:dyDescent="0.25">
      <c r="A88" t="s">
        <v>16</v>
      </c>
      <c r="B88" t="s">
        <v>172</v>
      </c>
      <c r="C88">
        <v>170</v>
      </c>
      <c r="D88" t="s">
        <v>295</v>
      </c>
      <c r="E88" t="s">
        <v>304</v>
      </c>
      <c r="F88" t="s">
        <v>307</v>
      </c>
      <c r="G88">
        <v>1868</v>
      </c>
      <c r="I88">
        <v>1945</v>
      </c>
      <c r="K88">
        <v>350</v>
      </c>
      <c r="M88" s="6">
        <v>15</v>
      </c>
      <c r="N88" s="6">
        <v>24</v>
      </c>
      <c r="O88" s="6">
        <v>2</v>
      </c>
      <c r="P88" s="6">
        <v>150</v>
      </c>
      <c r="Q88" s="7">
        <f t="shared" ref="Q88:Q92" si="42">((($Y88/2)/60)*5280)/($R88*3.2*PI())</f>
        <v>116.71362493405657</v>
      </c>
      <c r="R88" s="6">
        <v>1.5</v>
      </c>
      <c r="S88" s="6">
        <f>((($M88*$M88/4)*PI())*($N88/12)*$O88*$P88*$Q88)/(33000*1.1)</f>
        <v>340.90909090909088</v>
      </c>
      <c r="T88">
        <v>35.799999999999997</v>
      </c>
      <c r="W88">
        <v>65</v>
      </c>
      <c r="X88" s="4">
        <f t="shared" si="27"/>
        <v>0.18156424581005587</v>
      </c>
      <c r="Y88">
        <v>40</v>
      </c>
      <c r="AA88">
        <v>8.65</v>
      </c>
      <c r="AB88">
        <v>8.65</v>
      </c>
      <c r="AD88">
        <v>3.7</v>
      </c>
      <c r="AE88" s="11">
        <v>0</v>
      </c>
      <c r="AF88" t="str">
        <f>CONCATENATE(VLOOKUP(AG88, 'Voxel Sizes'!$A$2:$B$18,2,FALSE),"x",INT(AC88*15), "x", INT(AD88*15))</f>
        <v>82x0x55</v>
      </c>
      <c r="AG88">
        <f t="shared" si="32"/>
        <v>5</v>
      </c>
      <c r="AI88" t="str">
        <f>CONCATENATE(VLOOKUP(AG88,Constants!$A$2:$C$16,IF(AH88&lt;&gt;"", 3, 2), FALSE),IF(AH88&lt;&gt;"",CONCATENATE(",",VLOOKUP(AH88,$B:$AI,34,FALSE)),""))</f>
        <v>2,1,2</v>
      </c>
      <c r="AQ88">
        <v>1</v>
      </c>
      <c r="AS88">
        <v>30</v>
      </c>
      <c r="AT88">
        <f t="shared" si="33"/>
        <v>73</v>
      </c>
      <c r="AW88">
        <f t="shared" si="34"/>
        <v>8</v>
      </c>
      <c r="AX88">
        <f t="shared" si="35"/>
        <v>1.75</v>
      </c>
      <c r="AY88">
        <f t="shared" si="36"/>
        <v>3.25</v>
      </c>
      <c r="AZ88" s="4">
        <f t="shared" si="41"/>
        <v>1</v>
      </c>
      <c r="BA88">
        <f t="shared" si="37"/>
        <v>0</v>
      </c>
      <c r="BB88">
        <f>VLOOKUP($E88,Constants!$I:$K, 2, FALSE)</f>
        <v>1.1499999999999999</v>
      </c>
      <c r="BC88">
        <f>VLOOKUP($E88,Constants!$I:$K, 3, FALSE)*IF(AND(D88="multiple_unit",Y88&lt;110),0.75,1)</f>
        <v>1.7</v>
      </c>
      <c r="BD88">
        <f>INT(POWER(((Constants!$G$2+$AW88+$AX88+$AY88+$BA88)*$AZ88)*$BC88, 1.05))+$AV88</f>
        <v>36</v>
      </c>
      <c r="BE88">
        <f>INT(POWER((((Constants!$G$1+$AW88+$AX88+$AY88+$BA88)*($AZ88))*$BB88),IF($D88="wagon",1,1.2)))+$AU88</f>
        <v>64</v>
      </c>
      <c r="BF88" s="15">
        <f t="shared" si="38"/>
        <v>28125</v>
      </c>
      <c r="BG88" s="15">
        <f t="shared" si="39"/>
        <v>5200</v>
      </c>
      <c r="BN88">
        <v>12</v>
      </c>
      <c r="BR88" t="str">
        <f>VLOOKUP(G88,Eras!$A$2:$C$10, 2, TRUE)</f>
        <v>vct</v>
      </c>
      <c r="BS88" t="s">
        <v>360</v>
      </c>
      <c r="BT88" t="str">
        <f t="shared" si="40"/>
        <v>vct_Mixed Traffic</v>
      </c>
      <c r="BU88" t="str">
        <f t="shared" si="28"/>
        <v>steam_RAIL</v>
      </c>
      <c r="BV88" t="str">
        <f>VLOOKUP($BU88, Constants!$M:$N, 2, FALSE)</f>
        <v>{BLACK}Powered by: {GOLD}Steam</v>
      </c>
      <c r="BW88" t="str">
        <f t="shared" si="29"/>
        <v/>
      </c>
      <c r="BX88" t="s">
        <v>1397</v>
      </c>
      <c r="BY88" t="str">
        <f t="shared" si="30"/>
        <v/>
      </c>
      <c r="BZ88" t="str">
        <f t="shared" si="31"/>
        <v>{BLACK}Powered by: {GOLD}Steam {}{SILVER}The GWR 517 class encompassed a variety of 0-4-2 side tank engines, some having been rebuilt from existing saddle tanks.</v>
      </c>
    </row>
    <row r="89" spans="1:78" x14ac:dyDescent="0.25">
      <c r="A89" t="s">
        <v>38</v>
      </c>
      <c r="B89" t="s">
        <v>244</v>
      </c>
      <c r="C89">
        <v>172</v>
      </c>
      <c r="D89" t="s">
        <v>295</v>
      </c>
      <c r="E89" t="s">
        <v>304</v>
      </c>
      <c r="F89" t="s">
        <v>307</v>
      </c>
      <c r="G89">
        <v>1872</v>
      </c>
      <c r="H89">
        <v>1880</v>
      </c>
      <c r="I89">
        <v>1963</v>
      </c>
      <c r="K89">
        <v>300</v>
      </c>
      <c r="M89" s="6">
        <v>12</v>
      </c>
      <c r="N89" s="6">
        <v>20</v>
      </c>
      <c r="O89" s="6">
        <v>2</v>
      </c>
      <c r="P89" s="6">
        <v>150</v>
      </c>
      <c r="Q89" s="7">
        <f t="shared" si="42"/>
        <v>164.12853506351709</v>
      </c>
      <c r="R89" s="6">
        <v>1.2</v>
      </c>
      <c r="S89" s="6">
        <f>((($M89*$M89/4)*PI())*($N89/12)*$O89*$P89*$Q89)/(33000*1.1)</f>
        <v>255.68181818181824</v>
      </c>
      <c r="T89">
        <v>28</v>
      </c>
      <c r="W89">
        <v>34</v>
      </c>
      <c r="X89" s="4">
        <f t="shared" si="27"/>
        <v>0.12142857142857143</v>
      </c>
      <c r="Y89">
        <v>45</v>
      </c>
      <c r="AA89">
        <v>7.94</v>
      </c>
      <c r="AB89">
        <v>8</v>
      </c>
      <c r="AE89" s="11">
        <v>0</v>
      </c>
      <c r="AF89" t="str">
        <f>CONCATENATE(VLOOKUP(AG89, 'Voxel Sizes'!$A$2:$B$18,2,FALSE),"x",INT(AC89*15), "x", INT(AD89*15))</f>
        <v>82x0x0</v>
      </c>
      <c r="AG89">
        <f t="shared" si="32"/>
        <v>5</v>
      </c>
      <c r="AI89" t="str">
        <f>CONCATENATE(VLOOKUP(AG89,Constants!$A$2:$C$16,IF(AH89&lt;&gt;"", 3, 2), FALSE),IF(AH89&lt;&gt;"",CONCATENATE(",",VLOOKUP(AH89,$B:$AI,34,FALSE)),""))</f>
        <v>2,1,2</v>
      </c>
      <c r="AQ89">
        <v>1</v>
      </c>
      <c r="AS89">
        <v>35</v>
      </c>
      <c r="AT89">
        <f t="shared" si="33"/>
        <v>87</v>
      </c>
      <c r="AW89">
        <f t="shared" si="34"/>
        <v>9</v>
      </c>
      <c r="AX89">
        <f t="shared" si="35"/>
        <v>1.5</v>
      </c>
      <c r="AY89">
        <f t="shared" si="36"/>
        <v>1.7000000000000002</v>
      </c>
      <c r="AZ89" s="4">
        <f t="shared" si="41"/>
        <v>1</v>
      </c>
      <c r="BA89">
        <f t="shared" si="37"/>
        <v>0</v>
      </c>
      <c r="BB89">
        <f>VLOOKUP($E89,Constants!$I:$K, 2, FALSE)</f>
        <v>1.1499999999999999</v>
      </c>
      <c r="BC89">
        <f>VLOOKUP($E89,Constants!$I:$K, 3, FALSE)*IF(AND(D89="multiple_unit",Y89&lt;110),0.75,1)</f>
        <v>1.7</v>
      </c>
      <c r="BD89">
        <f>INT(POWER(((Constants!$G$2+$AW89+$AX89+$AY89+$BA89)*$AZ89)*$BC89, 1.05))+$AV89</f>
        <v>34</v>
      </c>
      <c r="BE89">
        <f>INT(POWER((((Constants!$G$1+$AW89+$AX89+$AY89+$BA89)*($AZ89))*$BB89),IF($D89="wagon",1,1.2)))+$AU89</f>
        <v>62</v>
      </c>
      <c r="BF89" s="15">
        <f t="shared" si="38"/>
        <v>26562.5</v>
      </c>
      <c r="BG89" s="15">
        <f t="shared" si="39"/>
        <v>5037.5</v>
      </c>
      <c r="BN89">
        <v>1</v>
      </c>
      <c r="BR89" t="str">
        <f>VLOOKUP(G89,Eras!$A$2:$C$10, 2, TRUE)</f>
        <v>vct</v>
      </c>
      <c r="BT89" t="str">
        <f t="shared" si="40"/>
        <v>vct_</v>
      </c>
      <c r="BU89" t="str">
        <f t="shared" si="28"/>
        <v>steam_RAIL</v>
      </c>
      <c r="BV89" t="str">
        <f>VLOOKUP($BU89, Constants!$M:$N, 2, FALSE)</f>
        <v>{BLACK}Powered by: {GOLD}Steam</v>
      </c>
      <c r="BW89" t="str">
        <f t="shared" si="29"/>
        <v/>
      </c>
      <c r="BX89" t="s">
        <v>1391</v>
      </c>
      <c r="BY89" t="str">
        <f t="shared" si="30"/>
        <v/>
      </c>
      <c r="BZ89" t="str">
        <f t="shared" si="31"/>
        <v>{BLACK}Powered by: {GOLD}Steam {}{SILVER}Originally designed to operate commuter services, the small A1 tank locomotives were still used into the 1960s on the Hayling Island branch line.</v>
      </c>
    </row>
    <row r="90" spans="1:78" x14ac:dyDescent="0.25">
      <c r="A90" t="s">
        <v>1379</v>
      </c>
      <c r="B90" t="s">
        <v>1382</v>
      </c>
      <c r="C90">
        <v>173</v>
      </c>
      <c r="D90" t="s">
        <v>295</v>
      </c>
      <c r="E90" t="s">
        <v>304</v>
      </c>
      <c r="F90" t="s">
        <v>307</v>
      </c>
      <c r="G90">
        <v>1876</v>
      </c>
      <c r="I90">
        <v>1925</v>
      </c>
      <c r="K90">
        <v>750</v>
      </c>
      <c r="M90" s="6">
        <v>18</v>
      </c>
      <c r="N90" s="6">
        <v>26</v>
      </c>
      <c r="O90" s="6">
        <v>2</v>
      </c>
      <c r="P90" s="6">
        <v>165</v>
      </c>
      <c r="Q90" s="7">
        <f t="shared" si="42"/>
        <v>163.39907490767919</v>
      </c>
      <c r="R90" s="6">
        <v>1.5</v>
      </c>
      <c r="S90" s="6">
        <f>((($M90*$M90/4)*PI())*($N90/12)*$O90*$P90*$Q90)/(33000*1.1)</f>
        <v>818.99999999999966</v>
      </c>
      <c r="T90">
        <v>41</v>
      </c>
      <c r="U90" s="9">
        <v>40</v>
      </c>
      <c r="W90">
        <v>86</v>
      </c>
      <c r="X90" s="4">
        <f t="shared" ref="X90" si="43">IF(AND(T90&gt;0,W90&gt;0),(W90/((T90+U90)*10)),"")</f>
        <v>0.10617283950617284</v>
      </c>
      <c r="Y90">
        <v>56</v>
      </c>
      <c r="AA90">
        <v>14.99</v>
      </c>
      <c r="AB90">
        <v>10</v>
      </c>
      <c r="AE90" s="11">
        <v>0</v>
      </c>
      <c r="AF90" t="str">
        <f>CONCATENATE(VLOOKUP(AG90, 'Voxel Sizes'!$A$2:$B$18,2,FALSE),"x",INT(AC90*15), "x", INT(AD90*15))</f>
        <v>102x0x0</v>
      </c>
      <c r="AG90">
        <f t="shared" ref="AG90" si="44">ROUND(15*((AB90*10)/256),0)</f>
        <v>6</v>
      </c>
      <c r="AH90" t="s">
        <v>1378</v>
      </c>
      <c r="AI90" t="str">
        <f>CONCATENATE(VLOOKUP(AG90,Constants!$A$2:$C$16,IF(AH90&lt;&gt;"", 3, 2), FALSE),IF(AH90&lt;&gt;"",CONCATENATE(",",VLOOKUP(AH90,$B:$AI,34,FALSE)),""))</f>
        <v>2,2,2,2,1,2</v>
      </c>
      <c r="AQ90">
        <v>1</v>
      </c>
      <c r="AS90">
        <v>32</v>
      </c>
      <c r="AT90">
        <f t="shared" ref="AT90" si="45">IF(I90&lt;&gt;"",MAX(8,(I90-G90)-4),"")</f>
        <v>45</v>
      </c>
      <c r="AW90">
        <f t="shared" ref="AW90" si="46">MIN(Y90/150, 1)*30</f>
        <v>11.200000000000001</v>
      </c>
      <c r="AX90">
        <f t="shared" ref="AX90" si="47">MIN(K90/4000, 1)*20</f>
        <v>3.75</v>
      </c>
      <c r="AY90">
        <f t="shared" ref="AY90" si="48">MIN(W90/400,1)*20</f>
        <v>4.3</v>
      </c>
      <c r="AZ90" s="4">
        <f t="shared" ref="AZ90" si="49">1-(MAX(G90-1900, 0)/750)</f>
        <v>1</v>
      </c>
      <c r="BA90">
        <f t="shared" ref="BA90" si="50">((MAX($J90,1)*MIN($AE90/300,1)))*IF(D90="Wagon",50,10)</f>
        <v>0</v>
      </c>
      <c r="BB90">
        <f>VLOOKUP($E90,Constants!$I:$K, 2, FALSE)</f>
        <v>1.1499999999999999</v>
      </c>
      <c r="BC90">
        <f>VLOOKUP($E90,Constants!$I:$K, 3, FALSE)*IF(AND(D90="multiple_unit",Y90&lt;110),0.75,1)</f>
        <v>1.7</v>
      </c>
      <c r="BD90">
        <f>INT(POWER(((Constants!$G$2+$AW90+$AX90+$AY90+$BA90)*$AZ90)*$BC90, 1.05))+$AV90</f>
        <v>49</v>
      </c>
      <c r="BE90">
        <f>INT(POWER((((Constants!$G$1+$AW90+$AX90+$AY90+$BA90)*($AZ90))*$BB90),IF($D90="wagon",1,1.2)))+$AU90</f>
        <v>82</v>
      </c>
      <c r="BF90" s="15">
        <f t="shared" ref="BF90" si="51">BD90*IF($D90="wagon",62.5,781.25)</f>
        <v>38281.25</v>
      </c>
      <c r="BG90" s="15">
        <f t="shared" ref="BG90" si="52">BE90*IF($D90="wagon",2.73,81.25)</f>
        <v>6662.5</v>
      </c>
      <c r="BN90">
        <v>4</v>
      </c>
      <c r="BR90" t="str">
        <f>VLOOKUP(G90,Eras!$A$2:$C$10, 2, TRUE)</f>
        <v>vct</v>
      </c>
      <c r="BS90" t="s">
        <v>360</v>
      </c>
      <c r="BT90" t="str">
        <f t="shared" ref="BT90" si="53">CONCATENATE(BR90,"_",BS90)</f>
        <v>vct_Mixed Traffic</v>
      </c>
      <c r="BU90" t="str">
        <f t="shared" si="28"/>
        <v>steam_RAIL</v>
      </c>
      <c r="BV90" t="str">
        <f>VLOOKUP($BU90, Constants!$M:$N, 2, FALSE)</f>
        <v>{BLACK}Powered by: {GOLD}Steam</v>
      </c>
      <c r="BW90" t="str">
        <f t="shared" si="29"/>
        <v/>
      </c>
      <c r="BX90" t="s">
        <v>1381</v>
      </c>
      <c r="BY90" t="str">
        <f t="shared" si="30"/>
        <v/>
      </c>
      <c r="BZ90" t="str">
        <f t="shared" si="31"/>
        <v>{BLACK}Powered by: {GOLD}Steam {}{SILVER}Dugald Drummond's C Class used large (for the time) 18 inch cylinders. They survived into LNER ownership as class J32, although rebuilt to Holmes' later design by that point.</v>
      </c>
    </row>
    <row r="91" spans="1:78" x14ac:dyDescent="0.25">
      <c r="A91" t="s">
        <v>8</v>
      </c>
      <c r="B91" t="s">
        <v>173</v>
      </c>
      <c r="C91">
        <v>174</v>
      </c>
      <c r="D91" t="s">
        <v>295</v>
      </c>
      <c r="E91" t="s">
        <v>304</v>
      </c>
      <c r="F91" t="s">
        <v>307</v>
      </c>
      <c r="G91">
        <v>1883</v>
      </c>
      <c r="I91">
        <v>1957</v>
      </c>
      <c r="K91">
        <v>800</v>
      </c>
      <c r="M91" s="6">
        <v>17.5</v>
      </c>
      <c r="N91" s="6">
        <v>24</v>
      </c>
      <c r="O91" s="6">
        <v>2</v>
      </c>
      <c r="P91" s="6">
        <v>160</v>
      </c>
      <c r="Q91" s="7">
        <f t="shared" si="42"/>
        <v>189.65964051784192</v>
      </c>
      <c r="R91" s="6">
        <v>1.5</v>
      </c>
      <c r="S91" s="6">
        <f>((($M91*$M91/4)*PI())*($N91/12)*$O91*$P91*$Q91)/(33000*1.1)</f>
        <v>804.2929292929291</v>
      </c>
      <c r="T91">
        <f>41.6+34.3</f>
        <v>75.900000000000006</v>
      </c>
      <c r="U91" s="9">
        <v>30</v>
      </c>
      <c r="W91">
        <v>75.400000000000006</v>
      </c>
      <c r="X91" s="4">
        <f t="shared" si="27"/>
        <v>7.1199244570349388E-2</v>
      </c>
      <c r="Y91">
        <v>65</v>
      </c>
      <c r="AA91">
        <v>14.4</v>
      </c>
      <c r="AB91">
        <v>10</v>
      </c>
      <c r="AE91" s="11">
        <v>0</v>
      </c>
      <c r="AF91" t="str">
        <f>CONCATENATE(VLOOKUP(AG91, 'Voxel Sizes'!$A$2:$B$18,2,FALSE),"x",INT(AC91*15), "x", INT(AD91*15))</f>
        <v>102x0x0</v>
      </c>
      <c r="AG91">
        <f t="shared" si="32"/>
        <v>6</v>
      </c>
      <c r="AH91" t="s">
        <v>1378</v>
      </c>
      <c r="AI91" t="str">
        <f>CONCATENATE(VLOOKUP(AG91,Constants!$A$2:$C$16,IF(AH91&lt;&gt;"", 3, 2), FALSE),IF(AH91&lt;&gt;"",CONCATENATE(",",VLOOKUP(AH91,$B:$AI,34,FALSE)),""))</f>
        <v>2,2,2,2,1,2</v>
      </c>
      <c r="AQ91">
        <v>1</v>
      </c>
      <c r="AS91">
        <v>38</v>
      </c>
      <c r="AT91">
        <f t="shared" si="33"/>
        <v>70</v>
      </c>
      <c r="AW91">
        <f t="shared" si="34"/>
        <v>13</v>
      </c>
      <c r="AX91">
        <f t="shared" si="35"/>
        <v>4</v>
      </c>
      <c r="AY91">
        <f t="shared" si="36"/>
        <v>3.77</v>
      </c>
      <c r="AZ91" s="4">
        <f t="shared" si="41"/>
        <v>1</v>
      </c>
      <c r="BA91">
        <f t="shared" si="37"/>
        <v>0</v>
      </c>
      <c r="BB91">
        <f>VLOOKUP($E91,Constants!$I:$K, 2, FALSE)</f>
        <v>1.1499999999999999</v>
      </c>
      <c r="BC91">
        <f>VLOOKUP($E91,Constants!$I:$K, 3, FALSE)*IF(AND(D91="multiple_unit",Y91&lt;110),0.75,1)</f>
        <v>1.7</v>
      </c>
      <c r="BD91">
        <f>INT(POWER(((Constants!$G$2+$AW91+$AX91+$AY91+$BA91)*$AZ91)*$BC91, 1.05))+$AV91</f>
        <v>52</v>
      </c>
      <c r="BE91">
        <f>INT(POWER((((Constants!$G$1+$AW91+$AX91+$AY91+$BA91)*($AZ91))*$BB91),IF($D91="wagon",1,1.2)))+$AU91</f>
        <v>86</v>
      </c>
      <c r="BF91" s="15">
        <f t="shared" si="38"/>
        <v>40625</v>
      </c>
      <c r="BG91" s="15">
        <f t="shared" si="39"/>
        <v>6987.5</v>
      </c>
      <c r="BN91">
        <v>2</v>
      </c>
      <c r="BR91" t="str">
        <f>VLOOKUP(G91,Eras!$A$2:$C$10, 2, TRUE)</f>
        <v>vct</v>
      </c>
      <c r="BS91" t="s">
        <v>360</v>
      </c>
      <c r="BT91" t="str">
        <f t="shared" si="40"/>
        <v>vct_Mixed Traffic</v>
      </c>
      <c r="BU91" t="str">
        <f t="shared" si="28"/>
        <v>steam_RAIL</v>
      </c>
      <c r="BV91" t="str">
        <f>VLOOKUP($BU91, Constants!$M:$N, 2, FALSE)</f>
        <v>{BLACK}Powered by: {GOLD}Steam</v>
      </c>
      <c r="BW91" t="str">
        <f t="shared" si="29"/>
        <v/>
      </c>
      <c r="BX91" t="s">
        <v>1394</v>
      </c>
      <c r="BY91" t="str">
        <f t="shared" si="30"/>
        <v/>
      </c>
      <c r="BZ91" t="str">
        <f t="shared" si="31"/>
        <v>{BLACK}Powered by: {GOLD}Steam {}{SILVER}GER's Y14 was a highly successful design, being build in much the same form through to 1913. One was built by the Stratford works in under 10 hours.</v>
      </c>
    </row>
    <row r="92" spans="1:78" x14ac:dyDescent="0.25">
      <c r="A92" t="s">
        <v>142</v>
      </c>
      <c r="B92" t="s">
        <v>1396</v>
      </c>
      <c r="C92">
        <v>176</v>
      </c>
      <c r="D92" t="s">
        <v>295</v>
      </c>
      <c r="E92" t="s">
        <v>304</v>
      </c>
      <c r="F92" t="s">
        <v>307</v>
      </c>
      <c r="G92">
        <v>1883</v>
      </c>
      <c r="I92">
        <v>1957</v>
      </c>
      <c r="K92">
        <v>825</v>
      </c>
      <c r="M92" s="6">
        <v>17</v>
      </c>
      <c r="N92" s="6">
        <v>24</v>
      </c>
      <c r="O92" s="6">
        <v>2</v>
      </c>
      <c r="P92" s="6">
        <v>180</v>
      </c>
      <c r="Q92" s="7">
        <f t="shared" si="42"/>
        <v>183.64031895218693</v>
      </c>
      <c r="R92" s="6">
        <v>1.43</v>
      </c>
      <c r="S92" s="6">
        <f>((($M92*$M92/4)*PI())*($N92/12)*$O92*$P92*$Q92)/(33000*1.1)</f>
        <v>826.76414494596304</v>
      </c>
      <c r="T92">
        <v>41.2</v>
      </c>
      <c r="U92" s="9">
        <v>34</v>
      </c>
      <c r="W92">
        <v>80</v>
      </c>
      <c r="X92" s="4">
        <f t="shared" si="27"/>
        <v>0.10638297872340426</v>
      </c>
      <c r="Y92">
        <v>60</v>
      </c>
      <c r="AA92">
        <v>14.4</v>
      </c>
      <c r="AB92">
        <v>10</v>
      </c>
      <c r="AE92" s="11">
        <v>0</v>
      </c>
      <c r="AF92" t="str">
        <f>CONCATENATE(VLOOKUP(AG92, 'Voxel Sizes'!$A$2:$B$18,2,FALSE),"x",INT(AC92*15), "x", INT(AD92*15))</f>
        <v>102x0x0</v>
      </c>
      <c r="AG92">
        <f t="shared" si="32"/>
        <v>6</v>
      </c>
      <c r="AH92" t="s">
        <v>1253</v>
      </c>
      <c r="AI92" t="str">
        <f>CONCATENATE(VLOOKUP(AG92,Constants!$A$2:$C$16,IF(AH92&lt;&gt;"", 3, 2), FALSE),IF(AH92&lt;&gt;"",CONCATENATE(",",VLOOKUP(AH92,$B:$AI,34,FALSE)),""))</f>
        <v>2,2,2,2,1,2</v>
      </c>
      <c r="AQ92">
        <v>1</v>
      </c>
      <c r="AS92">
        <v>34</v>
      </c>
      <c r="AT92">
        <f t="shared" si="33"/>
        <v>70</v>
      </c>
      <c r="AV92">
        <v>-2</v>
      </c>
      <c r="AW92">
        <f t="shared" si="34"/>
        <v>12</v>
      </c>
      <c r="AX92">
        <f t="shared" si="35"/>
        <v>4.125</v>
      </c>
      <c r="AY92">
        <f t="shared" si="36"/>
        <v>4</v>
      </c>
      <c r="AZ92" s="4">
        <f t="shared" si="41"/>
        <v>1</v>
      </c>
      <c r="BA92">
        <f t="shared" si="37"/>
        <v>0</v>
      </c>
      <c r="BB92">
        <f>VLOOKUP($E92,Constants!$I:$K, 2, FALSE)</f>
        <v>1.1499999999999999</v>
      </c>
      <c r="BC92">
        <f>VLOOKUP($E92,Constants!$I:$K, 3, FALSE)*IF(AND(D92="multiple_unit",Y92&lt;110),0.75,1)</f>
        <v>1.7</v>
      </c>
      <c r="BD92">
        <f>INT(POWER(((Constants!$G$2+$AW92+$AX92+$AY92+$BA92)*$AZ92)*$BC92, 1.05))+$AV92</f>
        <v>49</v>
      </c>
      <c r="BE92">
        <f>INT(POWER((((Constants!$G$1+$AW92+$AX92+$AY92+$BA92)*($AZ92))*$BB92),IF($D92="wagon",1,1.2)))+$AU92</f>
        <v>84</v>
      </c>
      <c r="BF92" s="15">
        <f t="shared" si="38"/>
        <v>38281.25</v>
      </c>
      <c r="BG92" s="15">
        <f t="shared" si="39"/>
        <v>6825</v>
      </c>
      <c r="BN92">
        <v>3</v>
      </c>
      <c r="BR92" t="str">
        <f>VLOOKUP(G92,Eras!$A$2:$C$10, 2, TRUE)</f>
        <v>vct</v>
      </c>
      <c r="BS92" t="s">
        <v>362</v>
      </c>
      <c r="BT92" t="str">
        <f t="shared" si="40"/>
        <v>vct_Freight</v>
      </c>
      <c r="BU92" t="str">
        <f t="shared" si="28"/>
        <v>steam_RAIL</v>
      </c>
      <c r="BV92" t="str">
        <f>VLOOKUP($BU92, Constants!$M:$N, 2, FALSE)</f>
        <v>{BLACK}Powered by: {GOLD}Steam</v>
      </c>
      <c r="BW92" t="str">
        <f t="shared" si="29"/>
        <v/>
      </c>
      <c r="BX92" t="s">
        <v>1395</v>
      </c>
      <c r="BY92" t="str">
        <f t="shared" si="30"/>
        <v/>
      </c>
      <c r="BZ92" t="str">
        <f t="shared" si="31"/>
        <v>{BLACK}Powered by: {GOLD}Steam {}{SILVER}William Dean's 2301 class was the first GWR locomotive to have no outside frame. The light weight made them suited to branch lines.</v>
      </c>
    </row>
    <row r="93" spans="1:78" x14ac:dyDescent="0.25">
      <c r="A93" t="s">
        <v>1380</v>
      </c>
      <c r="B93" t="s">
        <v>1376</v>
      </c>
      <c r="C93">
        <v>178</v>
      </c>
      <c r="D93" t="s">
        <v>295</v>
      </c>
      <c r="E93" t="s">
        <v>304</v>
      </c>
      <c r="F93" t="s">
        <v>307</v>
      </c>
      <c r="G93">
        <v>1888</v>
      </c>
      <c r="I93">
        <v>1967</v>
      </c>
      <c r="K93">
        <v>850</v>
      </c>
      <c r="M93" s="6">
        <v>18</v>
      </c>
      <c r="N93" s="6">
        <v>26</v>
      </c>
      <c r="O93" s="6">
        <v>2</v>
      </c>
      <c r="P93" s="6">
        <v>165</v>
      </c>
      <c r="Q93" s="7">
        <f t="shared" ref="Q93:Q95" si="54">((($Y93/2)/60)*5280)/($R93*3.2*PI())</f>
        <v>175.07043740108486</v>
      </c>
      <c r="R93" s="6">
        <v>1.5</v>
      </c>
      <c r="S93" s="6">
        <f>((($M93*$M93/4)*PI())*($N93/12)*$O93*$P93*$Q93)/(33000*1.1)</f>
        <v>877.49999999999966</v>
      </c>
      <c r="T93">
        <v>42.6</v>
      </c>
      <c r="U93" s="9">
        <v>40</v>
      </c>
      <c r="W93">
        <v>88</v>
      </c>
      <c r="X93" s="4">
        <f t="shared" si="27"/>
        <v>0.10653753026634383</v>
      </c>
      <c r="Y93">
        <v>60</v>
      </c>
      <c r="AA93">
        <v>14.99</v>
      </c>
      <c r="AB93">
        <v>10</v>
      </c>
      <c r="AE93" s="11">
        <v>0</v>
      </c>
      <c r="AF93" t="str">
        <f>CONCATENATE(VLOOKUP(AG93, 'Voxel Sizes'!$A$2:$B$18,2,FALSE),"x",INT(AC93*15), "x", INT(AD93*15))</f>
        <v>102x0x0</v>
      </c>
      <c r="AG93">
        <f t="shared" si="32"/>
        <v>6</v>
      </c>
      <c r="AH93" t="s">
        <v>1378</v>
      </c>
      <c r="AI93" t="str">
        <f>CONCATENATE(VLOOKUP(AG93,Constants!$A$2:$C$16,IF(AH93&lt;&gt;"", 3, 2), FALSE),IF(AH93&lt;&gt;"",CONCATENATE(",",VLOOKUP(AH93,$B:$AI,34,FALSE)),""))</f>
        <v>2,2,2,2,1,2</v>
      </c>
      <c r="AQ93">
        <v>1</v>
      </c>
      <c r="AS93">
        <v>36</v>
      </c>
      <c r="AT93">
        <f t="shared" si="33"/>
        <v>75</v>
      </c>
      <c r="AW93">
        <f t="shared" si="34"/>
        <v>12</v>
      </c>
      <c r="AX93">
        <f t="shared" si="35"/>
        <v>4.25</v>
      </c>
      <c r="AY93">
        <f t="shared" si="36"/>
        <v>4.4000000000000004</v>
      </c>
      <c r="AZ93" s="4">
        <f t="shared" si="41"/>
        <v>1</v>
      </c>
      <c r="BA93">
        <f t="shared" si="37"/>
        <v>0</v>
      </c>
      <c r="BB93">
        <f>VLOOKUP($E93,Constants!$I:$K, 2, FALSE)</f>
        <v>1.1499999999999999</v>
      </c>
      <c r="BC93">
        <f>VLOOKUP($E93,Constants!$I:$K, 3, FALSE)*IF(AND(D93="multiple_unit",Y93&lt;110),0.75,1)</f>
        <v>1.7</v>
      </c>
      <c r="BD93">
        <f>INT(POWER(((Constants!$G$2+$AW93+$AX93+$AY93+$BA93)*$AZ93)*$BC93, 1.05))+$AV93</f>
        <v>52</v>
      </c>
      <c r="BE93">
        <f>INT(POWER((((Constants!$G$1+$AW93+$AX93+$AY93+$BA93)*($AZ93))*$BB93),IF($D93="wagon",1,1.2)))+$AU93</f>
        <v>86</v>
      </c>
      <c r="BF93" s="15">
        <f t="shared" si="38"/>
        <v>40625</v>
      </c>
      <c r="BG93" s="15">
        <f t="shared" si="39"/>
        <v>6987.5</v>
      </c>
      <c r="BN93">
        <v>4</v>
      </c>
      <c r="BR93" t="str">
        <f>VLOOKUP(G93,Eras!$A$2:$C$10, 2, TRUE)</f>
        <v>vct</v>
      </c>
      <c r="BS93" t="s">
        <v>360</v>
      </c>
      <c r="BT93" t="str">
        <f t="shared" si="40"/>
        <v>vct_Mixed Traffic</v>
      </c>
      <c r="BU93" t="str">
        <f t="shared" si="28"/>
        <v>steam_RAIL</v>
      </c>
      <c r="BV93" t="str">
        <f>VLOOKUP($BU93, Constants!$M:$N, 2, FALSE)</f>
        <v>{BLACK}Powered by: {GOLD}Steam</v>
      </c>
      <c r="BW93" t="str">
        <f t="shared" si="29"/>
        <v/>
      </c>
      <c r="BX93" t="s">
        <v>1383</v>
      </c>
      <c r="BY93" t="str">
        <f t="shared" si="30"/>
        <v/>
      </c>
      <c r="BZ93" t="str">
        <f t="shared" si="31"/>
        <v>{BLACK}Powered by: {GOLD}Steam {}{SILVER}Matthew Holmes' Class C was an evolution of Drummond's design. They had a long career, becoming LNER class J36 and surviving to the last days of steam on British railways.</v>
      </c>
    </row>
    <row r="94" spans="1:78" x14ac:dyDescent="0.25">
      <c r="A94" t="s">
        <v>1373</v>
      </c>
      <c r="B94" t="s">
        <v>1374</v>
      </c>
      <c r="C94">
        <v>180</v>
      </c>
      <c r="D94" t="s">
        <v>165</v>
      </c>
      <c r="E94" t="s">
        <v>304</v>
      </c>
      <c r="F94" t="s">
        <v>307</v>
      </c>
      <c r="G94">
        <v>1891</v>
      </c>
      <c r="I94">
        <v>1915</v>
      </c>
      <c r="K94">
        <v>800</v>
      </c>
      <c r="Q94" s="7"/>
      <c r="T94">
        <v>46</v>
      </c>
      <c r="U94" s="9">
        <v>41</v>
      </c>
      <c r="W94">
        <v>75</v>
      </c>
      <c r="X94" s="4">
        <f t="shared" si="27"/>
        <v>8.6206896551724144E-2</v>
      </c>
      <c r="Y94">
        <v>80</v>
      </c>
      <c r="AA94">
        <v>11</v>
      </c>
      <c r="AB94">
        <v>11</v>
      </c>
      <c r="AE94" s="11">
        <v>0</v>
      </c>
      <c r="AF94" t="str">
        <f>CONCATENATE(VLOOKUP(AG94, 'Voxel Sizes'!$A$2:$B$18,2,FALSE),"x",INT(AC94*15), "x", INT(AD94*15))</f>
        <v>102x0x0</v>
      </c>
      <c r="AG94">
        <f t="shared" si="32"/>
        <v>6</v>
      </c>
      <c r="AH94" t="s">
        <v>1253</v>
      </c>
      <c r="AI94" t="str">
        <f>CONCATENATE(VLOOKUP(AG94,Constants!$A$2:$C$16,IF(AH94&lt;&gt;"", 3, 2), FALSE),IF(AH94&lt;&gt;"",CONCATENATE(",",VLOOKUP(AH94,$B:$AI,34,FALSE)),""))</f>
        <v>2,2,2,2,1,2</v>
      </c>
      <c r="AS94">
        <v>24</v>
      </c>
      <c r="AT94">
        <f t="shared" si="33"/>
        <v>20</v>
      </c>
      <c r="AW94">
        <f t="shared" si="34"/>
        <v>16</v>
      </c>
      <c r="AX94">
        <f t="shared" si="35"/>
        <v>4</v>
      </c>
      <c r="AY94">
        <f t="shared" si="36"/>
        <v>3.75</v>
      </c>
      <c r="AZ94" s="4">
        <f t="shared" si="41"/>
        <v>1</v>
      </c>
      <c r="BA94">
        <f t="shared" si="37"/>
        <v>0</v>
      </c>
      <c r="BB94">
        <f>VLOOKUP($E94,Constants!$I:$K, 2, FALSE)</f>
        <v>1.1499999999999999</v>
      </c>
      <c r="BC94">
        <f>VLOOKUP($E94,Constants!$I:$K, 3, FALSE)*IF(AND(D94="multiple_unit",Y94&lt;110),0.75,1)</f>
        <v>1.7</v>
      </c>
      <c r="BD94">
        <f>INT(POWER(((Constants!$G$2+$AW94+$AX94+$AY94+$BA94)*$AZ94)*$BC94, 1.05))+$AV94</f>
        <v>59</v>
      </c>
      <c r="BE94">
        <f>INT(POWER((((Constants!$G$1+$AW94+$AX94+$AY94+$BA94)*($AZ94))*$BB94),IF($D94="wagon",1,1.2)))+$AU94</f>
        <v>95</v>
      </c>
      <c r="BF94" s="15">
        <f t="shared" si="38"/>
        <v>46093.75</v>
      </c>
      <c r="BG94" s="15">
        <f t="shared" si="39"/>
        <v>7718.75</v>
      </c>
      <c r="BN94">
        <v>5</v>
      </c>
      <c r="BR94" t="str">
        <f>VLOOKUP(G94,Eras!$A$2:$C$10, 2, TRUE)</f>
        <v>vct</v>
      </c>
      <c r="BS94" t="s">
        <v>361</v>
      </c>
      <c r="BT94" t="str">
        <f t="shared" si="40"/>
        <v>vct_Express</v>
      </c>
      <c r="BU94" t="str">
        <f t="shared" si="28"/>
        <v>steam_RAIL</v>
      </c>
      <c r="BV94" t="str">
        <f>VLOOKUP($BU94, Constants!$M:$N, 2, FALSE)</f>
        <v>{BLACK}Powered by: {GOLD}Steam</v>
      </c>
      <c r="BW94" t="str">
        <f t="shared" si="29"/>
        <v/>
      </c>
      <c r="BX94" t="s">
        <v>1375</v>
      </c>
      <c r="BY94" t="str">
        <f t="shared" si="30"/>
        <v/>
      </c>
      <c r="BZ94" t="str">
        <f t="shared" si="31"/>
        <v>{BLACK}Powered by: {GOLD}Steam {}{SILVER}William Dean's 3001 class was the last of the GWR's 2-2-2 singles. They were rebuilt early on with a 4-2-2 layout to prevent derailments caused by the heavy front axle load.</v>
      </c>
    </row>
    <row r="95" spans="1:78" x14ac:dyDescent="0.25">
      <c r="A95" t="s">
        <v>1371</v>
      </c>
      <c r="B95" t="s">
        <v>273</v>
      </c>
      <c r="C95">
        <v>182</v>
      </c>
      <c r="D95" t="s">
        <v>295</v>
      </c>
      <c r="E95" t="s">
        <v>304</v>
      </c>
      <c r="F95" t="s">
        <v>307</v>
      </c>
      <c r="G95">
        <v>1896</v>
      </c>
      <c r="I95">
        <v>1928</v>
      </c>
      <c r="K95">
        <v>850</v>
      </c>
      <c r="M95" s="6">
        <v>19.5</v>
      </c>
      <c r="N95" s="6">
        <v>26</v>
      </c>
      <c r="O95" s="6">
        <v>2</v>
      </c>
      <c r="P95" s="6">
        <v>170</v>
      </c>
      <c r="Q95" s="7">
        <f t="shared" si="54"/>
        <v>166.20611145672612</v>
      </c>
      <c r="R95" s="6">
        <v>2.37</v>
      </c>
      <c r="S95" s="6">
        <f>((($M95*$M95/4)*PI())*($N95/12)*$O95*$P95*$Q95)/(33000*1.1)</f>
        <v>1007.3270281933254</v>
      </c>
      <c r="T95">
        <v>48</v>
      </c>
      <c r="U95" s="9">
        <v>42</v>
      </c>
      <c r="W95">
        <v>68</v>
      </c>
      <c r="X95" s="4">
        <f t="shared" si="27"/>
        <v>7.5555555555555556E-2</v>
      </c>
      <c r="Y95">
        <v>90</v>
      </c>
      <c r="AA95">
        <v>11</v>
      </c>
      <c r="AB95">
        <v>11</v>
      </c>
      <c r="AE95" s="11">
        <v>0</v>
      </c>
      <c r="AF95" t="str">
        <f>CONCATENATE(VLOOKUP(AG95, 'Voxel Sizes'!$A$2:$B$18,2,FALSE),"x",INT(AC95*15), "x", INT(AD95*15))</f>
        <v>102x0x0</v>
      </c>
      <c r="AG95">
        <f t="shared" si="32"/>
        <v>6</v>
      </c>
      <c r="AH95" t="s">
        <v>342</v>
      </c>
      <c r="AI95" t="str">
        <f>CONCATENATE(VLOOKUP(AG95,Constants!$A$2:$C$16,IF(AH95&lt;&gt;"", 3, 2), FALSE),IF(AH95&lt;&gt;"",CONCATENATE(",",VLOOKUP(AH95,$B:$AI,34,FALSE)),""))</f>
        <v>2,2,2,2,1,2</v>
      </c>
      <c r="AS95">
        <v>30</v>
      </c>
      <c r="AT95">
        <f t="shared" si="33"/>
        <v>28</v>
      </c>
      <c r="AW95">
        <f t="shared" si="34"/>
        <v>18</v>
      </c>
      <c r="AX95">
        <f t="shared" si="35"/>
        <v>4.25</v>
      </c>
      <c r="AY95">
        <f t="shared" si="36"/>
        <v>3.4000000000000004</v>
      </c>
      <c r="AZ95" s="4">
        <f t="shared" si="41"/>
        <v>1</v>
      </c>
      <c r="BA95">
        <f t="shared" si="37"/>
        <v>0</v>
      </c>
      <c r="BB95">
        <f>VLOOKUP($E95,Constants!$I:$K, 2, FALSE)</f>
        <v>1.1499999999999999</v>
      </c>
      <c r="BC95">
        <f>VLOOKUP($E95,Constants!$I:$K, 3, FALSE)*IF(AND(D95="multiple_unit",Y95&lt;110),0.75,1)</f>
        <v>1.7</v>
      </c>
      <c r="BD95">
        <f>INT(POWER(((Constants!$G$2+$AW95+$AX95+$AY95+$BA95)*$AZ95)*$BC95, 1.05))+$AV95</f>
        <v>63</v>
      </c>
      <c r="BE95">
        <f>INT(POWER((((Constants!$G$1+$AW95+$AX95+$AY95+$BA95)*($AZ95))*$BB95),IF($D95="wagon",1,1.2)))+$AU95</f>
        <v>100</v>
      </c>
      <c r="BF95" s="15">
        <f t="shared" si="38"/>
        <v>49218.75</v>
      </c>
      <c r="BG95" s="15">
        <f t="shared" si="39"/>
        <v>8125</v>
      </c>
      <c r="BN95">
        <v>6</v>
      </c>
      <c r="BR95" t="str">
        <f>VLOOKUP(G95,Eras!$A$2:$C$10, 2, TRUE)</f>
        <v>vct</v>
      </c>
      <c r="BS95" t="s">
        <v>361</v>
      </c>
      <c r="BT95" t="str">
        <f t="shared" si="40"/>
        <v>vct_Express</v>
      </c>
      <c r="BU95" t="str">
        <f t="shared" si="28"/>
        <v>steam_RAIL</v>
      </c>
      <c r="BV95" t="str">
        <f>VLOOKUP($BU95, Constants!$M:$N, 2, FALSE)</f>
        <v>{BLACK}Powered by: {GOLD}Steam</v>
      </c>
      <c r="BW95" t="str">
        <f t="shared" si="29"/>
        <v/>
      </c>
      <c r="BX95" t="s">
        <v>1372</v>
      </c>
      <c r="BY95" t="str">
        <f t="shared" si="30"/>
        <v/>
      </c>
      <c r="BZ95" t="str">
        <f t="shared" si="31"/>
        <v>{BLACK}Powered by: {GOLD}Steam {}{SILVER}The Midland 115 class gained the nickname "Spinner" due to the large single driving wheel. The Midland Railway compensated for the low tractive effort of the 4-2-2 layout by double-heading the trains on heavy loads.</v>
      </c>
    </row>
    <row r="96" spans="1:78" x14ac:dyDescent="0.25">
      <c r="A96" t="s">
        <v>149</v>
      </c>
      <c r="B96" t="s">
        <v>1370</v>
      </c>
      <c r="C96">
        <v>184</v>
      </c>
      <c r="D96" t="s">
        <v>295</v>
      </c>
      <c r="E96" t="s">
        <v>304</v>
      </c>
      <c r="F96" t="s">
        <v>307</v>
      </c>
      <c r="G96">
        <v>1897</v>
      </c>
      <c r="H96">
        <v>1911</v>
      </c>
      <c r="I96">
        <v>1957</v>
      </c>
      <c r="K96">
        <v>500</v>
      </c>
      <c r="M96" s="6">
        <v>18.5</v>
      </c>
      <c r="N96" s="6">
        <v>26</v>
      </c>
      <c r="O96" s="6">
        <v>2</v>
      </c>
      <c r="P96" s="6">
        <v>175</v>
      </c>
      <c r="Q96" s="7">
        <f>((($Y96/2)/60)*5280)/($R96*3.2*PI())</f>
        <v>90.109783956440737</v>
      </c>
      <c r="R96" s="6">
        <v>1.7</v>
      </c>
      <c r="S96" s="6">
        <f>((($M96*$M96/4)*PI())*($N96/12)*$O96*$P96*$Q96)/(33000*1.1)</f>
        <v>506.00966001931067</v>
      </c>
      <c r="T96">
        <v>61.2</v>
      </c>
      <c r="W96">
        <v>87</v>
      </c>
      <c r="X96" s="4">
        <f t="shared" si="27"/>
        <v>0.14215686274509803</v>
      </c>
      <c r="Y96">
        <v>35</v>
      </c>
      <c r="AA96">
        <v>10.5</v>
      </c>
      <c r="AB96">
        <v>10.5</v>
      </c>
      <c r="AE96" s="11">
        <v>0</v>
      </c>
      <c r="AF96" t="str">
        <f>CONCATENATE(VLOOKUP(AG96, 'Voxel Sizes'!$A$2:$B$18,2,FALSE),"x",INT(AC96*15), "x", INT(AD96*15))</f>
        <v>102x0x0</v>
      </c>
      <c r="AG96">
        <f t="shared" si="32"/>
        <v>6</v>
      </c>
      <c r="AI96" t="str">
        <f>CONCATENATE(VLOOKUP(AG96,Constants!$A$2:$C$16,IF(AH96&lt;&gt;"", 3, 2), FALSE),IF(AH96&lt;&gt;"",CONCATENATE(",",VLOOKUP(AH96,$B:$AI,34,FALSE)),""))</f>
        <v>2,2,2</v>
      </c>
      <c r="AQ96">
        <v>1</v>
      </c>
      <c r="AS96">
        <v>34</v>
      </c>
      <c r="AT96">
        <f t="shared" si="33"/>
        <v>56</v>
      </c>
      <c r="AW96">
        <f t="shared" si="34"/>
        <v>7</v>
      </c>
      <c r="AX96">
        <f t="shared" si="35"/>
        <v>2.5</v>
      </c>
      <c r="AY96">
        <f t="shared" si="36"/>
        <v>4.3499999999999996</v>
      </c>
      <c r="AZ96" s="4">
        <f t="shared" si="41"/>
        <v>1</v>
      </c>
      <c r="BA96">
        <f t="shared" si="37"/>
        <v>0</v>
      </c>
      <c r="BB96">
        <f>VLOOKUP($E96,Constants!$I:$K, 2, FALSE)</f>
        <v>1.1499999999999999</v>
      </c>
      <c r="BC96">
        <f>VLOOKUP($E96,Constants!$I:$K, 3, FALSE)*IF(AND(D96="multiple_unit",Y96&lt;110),0.75,1)</f>
        <v>1.7</v>
      </c>
      <c r="BD96">
        <f>INT(POWER(((Constants!$G$2+$AW96+$AX96+$AY96+$BA96)*$AZ96)*$BC96, 1.05))+$AV96</f>
        <v>38</v>
      </c>
      <c r="BE96">
        <f>INT(POWER((((Constants!$G$1+$AW96+$AX96+$AY96+$BA96)*($AZ96))*$BB96),IF($D96="wagon",1,1.2)))+$AU96</f>
        <v>66</v>
      </c>
      <c r="BF96" s="15">
        <f t="shared" si="38"/>
        <v>29687.5</v>
      </c>
      <c r="BG96" s="15">
        <f t="shared" si="39"/>
        <v>5362.5</v>
      </c>
      <c r="BN96">
        <v>7</v>
      </c>
      <c r="BR96" t="str">
        <f>VLOOKUP(G96,Eras!$A$2:$C$10, 2, TRUE)</f>
        <v>vct</v>
      </c>
      <c r="BS96" t="s">
        <v>359</v>
      </c>
      <c r="BT96" t="str">
        <f t="shared" si="40"/>
        <v>vct_Cheap</v>
      </c>
      <c r="BU96" t="str">
        <f t="shared" si="28"/>
        <v>steam_RAIL</v>
      </c>
      <c r="BV96" t="str">
        <f>VLOOKUP($BU96, Constants!$M:$N, 2, FALSE)</f>
        <v>{BLACK}Powered by: {GOLD}Steam</v>
      </c>
      <c r="BW96" t="str">
        <f t="shared" si="29"/>
        <v/>
      </c>
      <c r="BX96" t="s">
        <v>1369</v>
      </c>
      <c r="BY96" t="str">
        <f t="shared" si="30"/>
        <v/>
      </c>
      <c r="BZ96" t="str">
        <f t="shared" si="31"/>
        <v>{BLACK}Powered by: {GOLD}Steam {}{SILVER}The Drummond M7 was built for the London &amp; South Western railway. Its usefulness saw it survive in operation until well into the BR era.</v>
      </c>
    </row>
    <row r="97" spans="1:78" x14ac:dyDescent="0.25">
      <c r="A97" t="s">
        <v>11</v>
      </c>
      <c r="B97" t="s">
        <v>272</v>
      </c>
      <c r="C97">
        <v>186</v>
      </c>
      <c r="D97" t="s">
        <v>165</v>
      </c>
      <c r="E97" t="s">
        <v>304</v>
      </c>
      <c r="F97" t="s">
        <v>307</v>
      </c>
      <c r="G97">
        <v>1899</v>
      </c>
      <c r="X97" s="4" t="str">
        <f t="shared" si="27"/>
        <v/>
      </c>
      <c r="AE97" s="11">
        <v>0</v>
      </c>
      <c r="AF97" t="str">
        <f>CONCATENATE(VLOOKUP(AG97, 'Voxel Sizes'!$A$2:$B$18,2,FALSE),"x",INT(AC97*15), "x", INT(AD97*15))</f>
        <v>0x0x0</v>
      </c>
      <c r="AG97">
        <f t="shared" si="32"/>
        <v>0</v>
      </c>
      <c r="AI97" t="str">
        <f>CONCATENATE(VLOOKUP(AG97,Constants!$A$2:$C$16,IF(AH97&lt;&gt;"", 3, 2), FALSE),IF(AH97&lt;&gt;"",CONCATENATE(",",VLOOKUP(AH97,$B:$AI,34,FALSE)),""))</f>
        <v>na</v>
      </c>
      <c r="AS97">
        <v>30</v>
      </c>
      <c r="AT97" t="str">
        <f t="shared" si="33"/>
        <v/>
      </c>
      <c r="AW97">
        <f t="shared" si="34"/>
        <v>0</v>
      </c>
      <c r="AX97">
        <f t="shared" si="35"/>
        <v>0</v>
      </c>
      <c r="AY97">
        <f t="shared" si="36"/>
        <v>0</v>
      </c>
      <c r="AZ97" s="4">
        <f t="shared" si="41"/>
        <v>1</v>
      </c>
      <c r="BA97">
        <f t="shared" si="37"/>
        <v>0</v>
      </c>
      <c r="BB97">
        <f>VLOOKUP($E97,Constants!$I:$K, 2, FALSE)</f>
        <v>1.1499999999999999</v>
      </c>
      <c r="BC97">
        <f>VLOOKUP($E97,Constants!$I:$K, 3, FALSE)*IF(AND(D97="multiple_unit",Y97&lt;110),0.75,1)</f>
        <v>1.7</v>
      </c>
      <c r="BD97">
        <f>INT(POWER(((Constants!$G$2+$AW97+$AX97+$AY97+$BA97)*$AZ97)*$BC97, 1.05))+$AV97</f>
        <v>9</v>
      </c>
      <c r="BE97">
        <f>INT(POWER((((Constants!$G$1+$AW97+$AX97+$AY97+$BA97)*($AZ97))*$BB97),IF($D97="wagon",1,1.2)))+$AU97</f>
        <v>30</v>
      </c>
      <c r="BF97" s="15">
        <f t="shared" si="38"/>
        <v>7031.25</v>
      </c>
      <c r="BG97" s="15">
        <f t="shared" si="39"/>
        <v>2437.5</v>
      </c>
      <c r="BN97">
        <v>8</v>
      </c>
      <c r="BR97" t="str">
        <f>VLOOKUP(G97,Eras!$A$2:$C$10, 2, TRUE)</f>
        <v>vct</v>
      </c>
      <c r="BT97" t="str">
        <f t="shared" si="40"/>
        <v>vct_</v>
      </c>
      <c r="BU97" t="str">
        <f t="shared" si="28"/>
        <v>steam_RAIL</v>
      </c>
      <c r="BV97" t="str">
        <f>VLOOKUP($BU97, Constants!$M:$N, 2, FALSE)</f>
        <v>{BLACK}Powered by: {GOLD}Steam</v>
      </c>
      <c r="BW97" t="str">
        <f t="shared" si="29"/>
        <v/>
      </c>
      <c r="BY97" t="str">
        <f t="shared" si="30"/>
        <v/>
      </c>
      <c r="BZ97" t="str">
        <f t="shared" si="31"/>
        <v>{BLACK}Powered by: {GOLD}Steam {}{SILVER}</v>
      </c>
    </row>
    <row r="98" spans="1:78" x14ac:dyDescent="0.25">
      <c r="A98" t="s">
        <v>146</v>
      </c>
      <c r="B98" t="s">
        <v>270</v>
      </c>
      <c r="C98">
        <v>188</v>
      </c>
      <c r="D98" t="s">
        <v>295</v>
      </c>
      <c r="E98" t="s">
        <v>304</v>
      </c>
      <c r="F98" t="s">
        <v>307</v>
      </c>
      <c r="G98">
        <v>1899</v>
      </c>
      <c r="H98">
        <v>1902</v>
      </c>
      <c r="I98">
        <v>1954</v>
      </c>
      <c r="K98">
        <v>600</v>
      </c>
      <c r="M98" s="6">
        <v>18</v>
      </c>
      <c r="N98" s="6">
        <v>26</v>
      </c>
      <c r="O98" s="6">
        <v>2</v>
      </c>
      <c r="P98" s="6">
        <v>160</v>
      </c>
      <c r="Q98" s="7">
        <f>((($Y98/2)/60)*5280)/($R98*3.2*PI())</f>
        <v>125.05031242934635</v>
      </c>
      <c r="R98" s="6">
        <v>1.4</v>
      </c>
      <c r="S98" s="6">
        <f>((($M98*$M98/4)*PI())*($N98/12)*$O98*$P98*$Q98)/(33000*1.1)</f>
        <v>607.79220779220771</v>
      </c>
      <c r="T98">
        <v>49.5</v>
      </c>
      <c r="W98">
        <v>92</v>
      </c>
      <c r="X98" s="4">
        <f t="shared" si="27"/>
        <v>0.18585858585858586</v>
      </c>
      <c r="Y98">
        <v>40</v>
      </c>
      <c r="AA98">
        <v>9.57</v>
      </c>
      <c r="AB98">
        <v>9.57</v>
      </c>
      <c r="AE98" s="11">
        <v>0</v>
      </c>
      <c r="AF98" t="str">
        <f>CONCATENATE(VLOOKUP(AG98, 'Voxel Sizes'!$A$2:$B$18,2,FALSE),"x",INT(AC98*15), "x", INT(AD98*15))</f>
        <v>102x0x0</v>
      </c>
      <c r="AG98">
        <f t="shared" si="32"/>
        <v>6</v>
      </c>
      <c r="AI98" t="str">
        <f>CONCATENATE(VLOOKUP(AG98,Constants!$A$2:$C$16,IF(AH98&lt;&gt;"", 3, 2), FALSE),IF(AH98&lt;&gt;"",CONCATENATE(",",VLOOKUP(AH98,$B:$AI,34,FALSE)),""))</f>
        <v>2,2,2</v>
      </c>
      <c r="AQ98">
        <v>1</v>
      </c>
      <c r="AS98">
        <v>30</v>
      </c>
      <c r="AT98">
        <f t="shared" si="33"/>
        <v>51</v>
      </c>
      <c r="AW98">
        <f t="shared" si="34"/>
        <v>8</v>
      </c>
      <c r="AX98">
        <f t="shared" si="35"/>
        <v>3</v>
      </c>
      <c r="AY98">
        <f t="shared" si="36"/>
        <v>4.6000000000000005</v>
      </c>
      <c r="AZ98" s="4">
        <f t="shared" si="41"/>
        <v>1</v>
      </c>
      <c r="BA98">
        <f t="shared" si="37"/>
        <v>0</v>
      </c>
      <c r="BB98">
        <f>VLOOKUP($E98,Constants!$I:$K, 2, FALSE)</f>
        <v>1.1499999999999999</v>
      </c>
      <c r="BC98">
        <f>VLOOKUP($E98,Constants!$I:$K, 3, FALSE)*IF(AND(D98="multiple_unit",Y98&lt;110),0.75,1)</f>
        <v>1.7</v>
      </c>
      <c r="BD98">
        <f>INT(POWER(((Constants!$G$2+$AW98+$AX98+$AY98+$BA98)*$AZ98)*$BC98, 1.05))+$AV98</f>
        <v>41</v>
      </c>
      <c r="BE98">
        <f>INT(POWER((((Constants!$G$1+$AW98+$AX98+$AY98+$BA98)*($AZ98))*$BB98),IF($D98="wagon",1,1.2)))+$AU98</f>
        <v>71</v>
      </c>
      <c r="BF98" s="15">
        <f t="shared" si="38"/>
        <v>32031.25</v>
      </c>
      <c r="BG98" s="15">
        <f t="shared" si="39"/>
        <v>5768.75</v>
      </c>
      <c r="BN98">
        <v>9</v>
      </c>
      <c r="BR98" t="str">
        <f>VLOOKUP(G98,Eras!$A$2:$C$10, 2, TRUE)</f>
        <v>vct</v>
      </c>
      <c r="BS98" t="s">
        <v>359</v>
      </c>
      <c r="BT98" t="str">
        <f t="shared" si="40"/>
        <v>vct_Cheap</v>
      </c>
      <c r="BU98" t="str">
        <f t="shared" si="28"/>
        <v>steam_RAIL</v>
      </c>
      <c r="BV98" t="str">
        <f>VLOOKUP($BU98, Constants!$M:$N, 2, FALSE)</f>
        <v>{BLACK}Powered by: {GOLD}Steam</v>
      </c>
      <c r="BW98" t="str">
        <f t="shared" si="29"/>
        <v/>
      </c>
      <c r="BX98" t="s">
        <v>1200</v>
      </c>
      <c r="BY98" t="str">
        <f t="shared" ref="BY98:BY129" si="55">IF(BQ98="BRAKE","{YELLOW}Speed bonus for slow wagons{}",IF(BO98&gt;190,CONCATENATE("{YELLOW}",INT((BO98-185)/1.85),"% Bonus for long distance travel{}"),IF(AND(BO98&lt;180,BO98&lt;&gt;0),CONCATENATE("{YELLOW}",INT((185-BO98)/1.85),"% Penalty for long distance travel{}"),"")))</f>
        <v/>
      </c>
      <c r="BZ98" t="str">
        <f t="shared" si="31"/>
        <v>{BLACK}Powered by: {GOLD}Steam {}{SILVER}Samuel Johnson's tank engine design were rebuilt later in life by Henry Fowler, providing the inspiration for Fowler's own 3F "Jinty" design.</v>
      </c>
    </row>
    <row r="99" spans="1:78" x14ac:dyDescent="0.25">
      <c r="A99" t="s">
        <v>431</v>
      </c>
      <c r="B99" t="s">
        <v>432</v>
      </c>
      <c r="C99">
        <v>194</v>
      </c>
      <c r="D99" t="s">
        <v>295</v>
      </c>
      <c r="E99" t="s">
        <v>304</v>
      </c>
      <c r="F99" t="s">
        <v>307</v>
      </c>
      <c r="G99">
        <v>1901</v>
      </c>
      <c r="H99">
        <v>1914</v>
      </c>
      <c r="I99">
        <v>1955</v>
      </c>
      <c r="K99">
        <v>350</v>
      </c>
      <c r="M99" s="6">
        <v>14</v>
      </c>
      <c r="N99" s="6">
        <v>20</v>
      </c>
      <c r="O99" s="6">
        <v>2</v>
      </c>
      <c r="P99" s="6">
        <v>160</v>
      </c>
      <c r="Q99" s="7">
        <f>((($Y99/2)/60)*5280)/($R99*3.2*PI())</f>
        <v>145.89203116757074</v>
      </c>
      <c r="R99" s="6">
        <v>0.9</v>
      </c>
      <c r="S99" s="6">
        <f>((($M99*$M99/4)*PI())*($N99/12)*$O99*$P99*$Q99)/(33000*1.1)</f>
        <v>329.96632996632997</v>
      </c>
      <c r="T99">
        <v>23</v>
      </c>
      <c r="W99">
        <v>49</v>
      </c>
      <c r="X99" s="4">
        <f t="shared" si="27"/>
        <v>0.21304347826086956</v>
      </c>
      <c r="Y99">
        <v>30</v>
      </c>
      <c r="AA99">
        <v>6.12</v>
      </c>
      <c r="AB99">
        <v>6.12</v>
      </c>
      <c r="AE99" s="11">
        <v>0</v>
      </c>
      <c r="AF99" t="str">
        <f>CONCATENATE(VLOOKUP(AG99, 'Voxel Sizes'!$A$2:$B$18,2,FALSE),"x",INT(AC99*15), "x", INT(AD99*15))</f>
        <v>60x0x0</v>
      </c>
      <c r="AG99">
        <f t="shared" si="32"/>
        <v>4</v>
      </c>
      <c r="AI99" t="str">
        <f>CONCATENATE(VLOOKUP(AG99,Constants!$A$2:$C$16,IF(AH99&lt;&gt;"", 3, 2), FALSE),IF(AH99&lt;&gt;"",CONCATENATE(",",VLOOKUP(AH99,$B:$AI,34,FALSE)),""))</f>
        <v>1,2,1</v>
      </c>
      <c r="AQ99">
        <v>1</v>
      </c>
      <c r="AS99">
        <v>30</v>
      </c>
      <c r="AT99">
        <f t="shared" si="33"/>
        <v>50</v>
      </c>
      <c r="AW99">
        <f t="shared" si="34"/>
        <v>6</v>
      </c>
      <c r="AX99">
        <f t="shared" si="35"/>
        <v>1.75</v>
      </c>
      <c r="AY99">
        <f t="shared" si="36"/>
        <v>2.4500000000000002</v>
      </c>
      <c r="AZ99" s="4">
        <f t="shared" si="41"/>
        <v>0.9986666666666667</v>
      </c>
      <c r="BA99">
        <f t="shared" si="37"/>
        <v>0</v>
      </c>
      <c r="BB99">
        <f>VLOOKUP($E99,Constants!$I:$K, 2, FALSE)</f>
        <v>1.1499999999999999</v>
      </c>
      <c r="BC99">
        <f>VLOOKUP($E99,Constants!$I:$K, 3, FALSE)*IF(AND(D99="multiple_unit",Y99&lt;110),0.75,1)</f>
        <v>1.7</v>
      </c>
      <c r="BD99">
        <f>INT(POWER(((Constants!$G$2+$AW99+$AX99+$AY99+$BA99)*$AZ99)*$BC99, 1.05))+$AV99</f>
        <v>30</v>
      </c>
      <c r="BE99">
        <f>INT(POWER((((Constants!$G$1+$AW99+$AX99+$AY99+$BA99)*($AZ99))*$BB99),IF($D99="wagon",1,1.2)))+$AU99</f>
        <v>56</v>
      </c>
      <c r="BF99" s="15">
        <f t="shared" si="38"/>
        <v>23437.5</v>
      </c>
      <c r="BG99" s="15">
        <f t="shared" si="39"/>
        <v>4550</v>
      </c>
      <c r="BN99">
        <v>10</v>
      </c>
      <c r="BR99" t="str">
        <f>VLOOKUP(G99,Eras!$A$2:$C$10, 2, TRUE)</f>
        <v>edw</v>
      </c>
      <c r="BS99" t="s">
        <v>359</v>
      </c>
      <c r="BT99" t="str">
        <f t="shared" si="40"/>
        <v>edw_Cheap</v>
      </c>
      <c r="BU99" t="str">
        <f t="shared" si="28"/>
        <v>steam_RAIL</v>
      </c>
      <c r="BV99" t="str">
        <f>VLOOKUP($BU99, Constants!$M:$N, 2, FALSE)</f>
        <v>{BLACK}Powered by: {GOLD}Steam</v>
      </c>
      <c r="BW99" t="str">
        <f t="shared" si="29"/>
        <v/>
      </c>
      <c r="BX99" t="s">
        <v>433</v>
      </c>
      <c r="BY99" t="str">
        <f t="shared" si="55"/>
        <v/>
      </c>
      <c r="BZ99" t="str">
        <f t="shared" si="31"/>
        <v>{BLACK}Powered by: {GOLD}Steam {}{SILVER}This 0-4-0 saddle tank engine is typical of the many acquired by the GWR from smaller railways during the 1923 grouping of railway companies into the Big Four.</v>
      </c>
    </row>
    <row r="100" spans="1:78" x14ac:dyDescent="0.25">
      <c r="A100" t="s">
        <v>14</v>
      </c>
      <c r="B100" t="s">
        <v>271</v>
      </c>
      <c r="C100">
        <v>196</v>
      </c>
      <c r="D100" t="s">
        <v>295</v>
      </c>
      <c r="E100" t="s">
        <v>304</v>
      </c>
      <c r="F100" t="s">
        <v>307</v>
      </c>
      <c r="G100">
        <v>1902</v>
      </c>
      <c r="I100">
        <v>1935</v>
      </c>
      <c r="K100">
        <v>950</v>
      </c>
      <c r="M100" s="6">
        <v>20.3</v>
      </c>
      <c r="N100" s="6">
        <v>26</v>
      </c>
      <c r="O100" s="6">
        <v>3</v>
      </c>
      <c r="P100" s="6">
        <f>220*0.5</f>
        <v>110</v>
      </c>
      <c r="Q100" s="7">
        <f>((($Y100/2)/60)*5280)/($R100*3.2*PI())</f>
        <v>166.73374990579512</v>
      </c>
      <c r="R100" s="6">
        <v>2.1</v>
      </c>
      <c r="S100" s="6">
        <f>((($M100*$M100/4)*PI())*($N100/12)*$O100*$P100*$Q100)/(33000*1.1)</f>
        <v>1062.9305555555557</v>
      </c>
      <c r="T100">
        <v>62</v>
      </c>
      <c r="U100" s="9">
        <v>42</v>
      </c>
      <c r="W100">
        <v>97</v>
      </c>
      <c r="X100" s="4">
        <f t="shared" si="27"/>
        <v>9.3269230769230771E-2</v>
      </c>
      <c r="Y100">
        <v>80</v>
      </c>
      <c r="AA100">
        <v>17.268999999999998</v>
      </c>
      <c r="AB100">
        <f>AA100-7.5</f>
        <v>9.7689999999999984</v>
      </c>
      <c r="AE100" s="11">
        <v>0</v>
      </c>
      <c r="AF100" t="str">
        <f>CONCATENATE(VLOOKUP(AG100, 'Voxel Sizes'!$A$2:$B$18,2,FALSE),"x",INT(AC100*15), "x", INT(AD100*15))</f>
        <v>102x0x0</v>
      </c>
      <c r="AG100">
        <f t="shared" si="32"/>
        <v>6</v>
      </c>
      <c r="AH100" t="s">
        <v>342</v>
      </c>
      <c r="AI100" t="str">
        <f>CONCATENATE(VLOOKUP(AG100,Constants!$A$2:$C$16,IF(AH100&lt;&gt;"", 3, 2), FALSE),IF(AH100&lt;&gt;"",CONCATENATE(",",VLOOKUP(AH100,$B:$AI,34,FALSE)),""))</f>
        <v>2,2,2,2,1,2</v>
      </c>
      <c r="AQ100">
        <v>1</v>
      </c>
      <c r="AS100">
        <v>30</v>
      </c>
      <c r="AT100">
        <f t="shared" si="33"/>
        <v>29</v>
      </c>
      <c r="AW100">
        <f t="shared" si="34"/>
        <v>16</v>
      </c>
      <c r="AX100">
        <f t="shared" si="35"/>
        <v>4.75</v>
      </c>
      <c r="AY100">
        <f t="shared" si="36"/>
        <v>4.8499999999999996</v>
      </c>
      <c r="AZ100" s="4">
        <f t="shared" si="41"/>
        <v>0.99733333333333329</v>
      </c>
      <c r="BA100">
        <f t="shared" si="37"/>
        <v>0</v>
      </c>
      <c r="BB100">
        <f>VLOOKUP($E100,Constants!$I:$K, 2, FALSE)</f>
        <v>1.1499999999999999</v>
      </c>
      <c r="BC100">
        <f>VLOOKUP($E100,Constants!$I:$K, 3, FALSE)*IF(AND(D100="multiple_unit",Y100&lt;110),0.75,1)</f>
        <v>1.7</v>
      </c>
      <c r="BD100">
        <f>INT(POWER(((Constants!$G$2+$AW100+$AX100+$AY100+$BA100)*$AZ100)*$BC100, 1.05))+$AV100</f>
        <v>63</v>
      </c>
      <c r="BE100">
        <f>INT(POWER((((Constants!$G$1+$AW100+$AX100+$AY100+$BA100)*($AZ100))*$BB100),IF($D100="wagon",1,1.2)))+$AU100</f>
        <v>100</v>
      </c>
      <c r="BF100" s="15">
        <f t="shared" si="38"/>
        <v>49218.75</v>
      </c>
      <c r="BG100" s="15">
        <f t="shared" si="39"/>
        <v>8125</v>
      </c>
      <c r="BN100">
        <v>11</v>
      </c>
      <c r="BR100" t="str">
        <f>VLOOKUP(G100,Eras!$A$2:$C$10, 2, TRUE)</f>
        <v>edw</v>
      </c>
      <c r="BS100" t="s">
        <v>361</v>
      </c>
      <c r="BT100" t="str">
        <f t="shared" si="40"/>
        <v>edw_Express</v>
      </c>
      <c r="BU100" t="str">
        <f t="shared" si="28"/>
        <v>steam_RAIL</v>
      </c>
      <c r="BV100" t="str">
        <f>VLOOKUP($BU100, Constants!$M:$N, 2, FALSE)</f>
        <v>{BLACK}Powered by: {GOLD}Steam</v>
      </c>
      <c r="BW100" t="str">
        <f t="shared" si="29"/>
        <v/>
      </c>
      <c r="BX100" t="s">
        <v>381</v>
      </c>
      <c r="BY100" t="str">
        <f t="shared" si="55"/>
        <v/>
      </c>
      <c r="BZ100" t="str">
        <f t="shared" si="31"/>
        <v>{BLACK}Powered by: {GOLD}Steam {}{SILVER}The 1000 class is an express locomotive with a three-cylinder arrangement, using a high pressure cylinder inside the frame and two low pressure cylinders on the outside.</v>
      </c>
    </row>
    <row r="101" spans="1:78" x14ac:dyDescent="0.25">
      <c r="A101" t="s">
        <v>62</v>
      </c>
      <c r="B101" t="s">
        <v>174</v>
      </c>
      <c r="C101">
        <v>198</v>
      </c>
      <c r="D101" t="s">
        <v>295</v>
      </c>
      <c r="E101" t="s">
        <v>329</v>
      </c>
      <c r="F101" t="s">
        <v>330</v>
      </c>
      <c r="G101">
        <v>1903</v>
      </c>
      <c r="H101">
        <v>1904</v>
      </c>
      <c r="I101">
        <v>1927</v>
      </c>
      <c r="K101">
        <v>640</v>
      </c>
      <c r="T101">
        <v>57</v>
      </c>
      <c r="W101">
        <v>111</v>
      </c>
      <c r="X101" s="4">
        <f t="shared" si="27"/>
        <v>0.19473684210526315</v>
      </c>
      <c r="Y101">
        <v>27</v>
      </c>
      <c r="AA101">
        <v>11.56</v>
      </c>
      <c r="AB101">
        <v>11.56</v>
      </c>
      <c r="AD101">
        <v>3.93</v>
      </c>
      <c r="AE101" s="11">
        <v>0</v>
      </c>
      <c r="AF101" t="str">
        <f>CONCATENATE(VLOOKUP(AG101, 'Voxel Sizes'!$A$2:$B$18,2,FALSE),"x",INT(AC101*15), "x", INT(AD101*15))</f>
        <v>120x0x58</v>
      </c>
      <c r="AG101">
        <f t="shared" si="32"/>
        <v>7</v>
      </c>
      <c r="AI101" t="str">
        <f>CONCATENATE(VLOOKUP(AG101,Constants!$A$2:$C$16,IF(AH101&lt;&gt;"", 3, 2), FALSE),IF(AH101&lt;&gt;"",CONCATENATE(",",VLOOKUP(AH101,$B:$AI,34,FALSE)),""))</f>
        <v>2,3,2</v>
      </c>
      <c r="AS101">
        <v>30</v>
      </c>
      <c r="AT101">
        <f t="shared" si="33"/>
        <v>20</v>
      </c>
      <c r="AW101">
        <f t="shared" si="34"/>
        <v>5.3999999999999995</v>
      </c>
      <c r="AX101">
        <f t="shared" si="35"/>
        <v>3.2</v>
      </c>
      <c r="AY101">
        <f t="shared" si="36"/>
        <v>5.5500000000000007</v>
      </c>
      <c r="AZ101" s="4">
        <f t="shared" si="41"/>
        <v>0.996</v>
      </c>
      <c r="BA101">
        <f t="shared" si="37"/>
        <v>0</v>
      </c>
      <c r="BB101">
        <f>VLOOKUP($E101,Constants!$I:$K, 2, FALSE)</f>
        <v>0.85</v>
      </c>
      <c r="BC101">
        <f>VLOOKUP($E101,Constants!$I:$K, 3, FALSE)*IF(AND(D101="multiple_unit",Y101&lt;110),0.75,1)</f>
        <v>2.2999999999999998</v>
      </c>
      <c r="BD101">
        <f>INT(POWER(((Constants!$G$2+$AW101+$AX101+$AY101+$BA101)*$AZ101)*$BC101, 1.05))+$AV101</f>
        <v>52</v>
      </c>
      <c r="BE101">
        <f>INT(POWER((((Constants!$G$1+$AW101+$AX101+$AY101+$BA101)*($AZ101))*$BB101),IF($D101="wagon",1,1.2)))+$AU101</f>
        <v>46</v>
      </c>
      <c r="BF101" s="15">
        <f t="shared" si="38"/>
        <v>40625</v>
      </c>
      <c r="BG101" s="15">
        <f t="shared" si="39"/>
        <v>3737.5</v>
      </c>
      <c r="BN101">
        <v>12</v>
      </c>
      <c r="BR101" t="str">
        <f>VLOOKUP(G101,Eras!$A$2:$C$10, 2, TRUE)</f>
        <v>edw</v>
      </c>
      <c r="BS101" t="s">
        <v>372</v>
      </c>
      <c r="BT101" t="str">
        <f t="shared" si="40"/>
        <v>edw_Freight (Electric)</v>
      </c>
      <c r="BU101" t="str">
        <f t="shared" si="28"/>
        <v>electric_ELRL</v>
      </c>
      <c r="BV101" t="str">
        <f>VLOOKUP($BU101, Constants!$M:$N, 2, FALSE)</f>
        <v>{BLACK}Powered by: {GOLD}25kV AC</v>
      </c>
      <c r="BW101" t="str">
        <f t="shared" si="29"/>
        <v/>
      </c>
      <c r="BX101" t="s">
        <v>383</v>
      </c>
      <c r="BY101" t="str">
        <f t="shared" si="55"/>
        <v/>
      </c>
      <c r="BZ101" t="str">
        <f t="shared" si="31"/>
        <v>{BLACK}Powered by: {GOLD}25kV AC {}{SILVER}The LNER ES1 (ES for Electric Shunter) is designed for hauling heavy freight trains on steep inclines.</v>
      </c>
    </row>
    <row r="102" spans="1:78" x14ac:dyDescent="0.25">
      <c r="A102" t="s">
        <v>15</v>
      </c>
      <c r="B102" t="s">
        <v>176</v>
      </c>
      <c r="C102">
        <v>202</v>
      </c>
      <c r="D102" t="s">
        <v>295</v>
      </c>
      <c r="E102" t="s">
        <v>304</v>
      </c>
      <c r="F102" t="s">
        <v>307</v>
      </c>
      <c r="G102">
        <v>1904</v>
      </c>
      <c r="I102">
        <v>1962</v>
      </c>
      <c r="K102">
        <v>730</v>
      </c>
      <c r="M102" s="6">
        <v>18</v>
      </c>
      <c r="N102" s="6">
        <v>26</v>
      </c>
      <c r="O102" s="6">
        <v>2</v>
      </c>
      <c r="P102" s="6">
        <v>160</v>
      </c>
      <c r="Q102" s="7">
        <f t="shared" ref="Q102:Q109" si="56">((($Y102/2)/60)*5280)/($R102*3.2*PI())</f>
        <v>150.4511571415573</v>
      </c>
      <c r="R102" s="6">
        <v>1.6</v>
      </c>
      <c r="S102" s="6">
        <f t="shared" ref="S102:S109" si="57">((($M102*$M102/4)*PI())*($N102/12)*$O102*$P102*$Q102)/(33000*1.1)</f>
        <v>731.24999999999977</v>
      </c>
      <c r="T102">
        <v>55</v>
      </c>
      <c r="W102">
        <v>77</v>
      </c>
      <c r="X102" s="4">
        <f t="shared" si="27"/>
        <v>0.14000000000000001</v>
      </c>
      <c r="Y102">
        <v>55</v>
      </c>
      <c r="AA102">
        <v>10.02</v>
      </c>
      <c r="AB102">
        <v>10.02</v>
      </c>
      <c r="AE102" s="11">
        <v>0</v>
      </c>
      <c r="AF102" t="str">
        <f>CONCATENATE(VLOOKUP(AG102, 'Voxel Sizes'!$A$2:$B$18,2,FALSE),"x",INT(AC102*15), "x", INT(AD102*15))</f>
        <v>102x0x0</v>
      </c>
      <c r="AG102">
        <f t="shared" si="32"/>
        <v>6</v>
      </c>
      <c r="AI102" t="str">
        <f>CONCATENATE(VLOOKUP(AG102,Constants!$A$2:$C$16,IF(AH102&lt;&gt;"", 3, 2), FALSE),IF(AH102&lt;&gt;"",CONCATENATE(",",VLOOKUP(AH102,$B:$AI,34,FALSE)),""))</f>
        <v>2,2,2</v>
      </c>
      <c r="AQ102">
        <v>1</v>
      </c>
      <c r="AS102">
        <v>30</v>
      </c>
      <c r="AT102">
        <f t="shared" si="33"/>
        <v>54</v>
      </c>
      <c r="AW102">
        <f t="shared" si="34"/>
        <v>11</v>
      </c>
      <c r="AX102">
        <f t="shared" si="35"/>
        <v>3.65</v>
      </c>
      <c r="AY102">
        <f t="shared" si="36"/>
        <v>3.85</v>
      </c>
      <c r="AZ102" s="4">
        <f t="shared" si="41"/>
        <v>0.9946666666666667</v>
      </c>
      <c r="BA102">
        <f t="shared" si="37"/>
        <v>0</v>
      </c>
      <c r="BB102">
        <f>VLOOKUP($E102,Constants!$I:$K, 2, FALSE)</f>
        <v>1.1499999999999999</v>
      </c>
      <c r="BC102">
        <f>VLOOKUP($E102,Constants!$I:$K, 3, FALSE)*IF(AND(D102="multiple_unit",Y102&lt;110),0.75,1)</f>
        <v>1.7</v>
      </c>
      <c r="BD102">
        <f>INT(POWER(((Constants!$G$2+$AW102+$AX102+$AY102+$BA102)*$AZ102)*$BC102, 1.05))+$AV102</f>
        <v>47</v>
      </c>
      <c r="BE102">
        <f>INT(POWER((((Constants!$G$1+$AW102+$AX102+$AY102+$BA102)*($AZ102))*$BB102),IF($D102="wagon",1,1.2)))+$AU102</f>
        <v>79</v>
      </c>
      <c r="BF102" s="15">
        <f t="shared" si="38"/>
        <v>36718.75</v>
      </c>
      <c r="BG102" s="15">
        <f t="shared" si="39"/>
        <v>6418.75</v>
      </c>
      <c r="BN102">
        <v>1</v>
      </c>
      <c r="BR102" t="str">
        <f>VLOOKUP(G102,Eras!$A$2:$C$10, 2, TRUE)</f>
        <v>edw</v>
      </c>
      <c r="BS102" t="s">
        <v>410</v>
      </c>
      <c r="BT102" t="str">
        <f t="shared" si="40"/>
        <v>edw_Passenger</v>
      </c>
      <c r="BU102" t="str">
        <f t="shared" si="28"/>
        <v>steam_RAIL</v>
      </c>
      <c r="BV102" t="str">
        <f>VLOOKUP($BU102, Constants!$M:$N, 2, FALSE)</f>
        <v>{BLACK}Powered by: {GOLD}Steam</v>
      </c>
      <c r="BW102" t="str">
        <f t="shared" si="29"/>
        <v/>
      </c>
      <c r="BX102" t="s">
        <v>402</v>
      </c>
      <c r="BY102" t="str">
        <f t="shared" si="55"/>
        <v/>
      </c>
      <c r="BZ102" t="str">
        <f t="shared" si="31"/>
        <v>{BLACK}Powered by: {GOLD}Steam {}{SILVER}The South Eastern and Chatham Railway H Class is an 0-4-4T tank engine designed for suburban passenger routes. It was in use until the 1960s.</v>
      </c>
    </row>
    <row r="103" spans="1:78" ht="14.25" customHeight="1" x14ac:dyDescent="0.25">
      <c r="A103" t="s">
        <v>17</v>
      </c>
      <c r="B103" t="s">
        <v>412</v>
      </c>
      <c r="C103">
        <v>204</v>
      </c>
      <c r="D103" t="s">
        <v>295</v>
      </c>
      <c r="E103" t="s">
        <v>304</v>
      </c>
      <c r="F103" t="s">
        <v>307</v>
      </c>
      <c r="G103">
        <v>1904</v>
      </c>
      <c r="H103">
        <v>1914</v>
      </c>
      <c r="I103">
        <v>1955</v>
      </c>
      <c r="K103">
        <v>850</v>
      </c>
      <c r="M103" s="6">
        <v>17</v>
      </c>
      <c r="N103" s="6">
        <v>24</v>
      </c>
      <c r="O103" s="6">
        <v>2</v>
      </c>
      <c r="P103" s="6">
        <v>180</v>
      </c>
      <c r="Q103" s="7">
        <f t="shared" si="56"/>
        <v>192.57748114119337</v>
      </c>
      <c r="R103" s="6">
        <v>1.25</v>
      </c>
      <c r="S103" s="6">
        <f t="shared" si="57"/>
        <v>867</v>
      </c>
      <c r="T103">
        <v>63.4</v>
      </c>
      <c r="W103">
        <v>95</v>
      </c>
      <c r="X103" s="4">
        <f t="shared" si="27"/>
        <v>0.14984227129337541</v>
      </c>
      <c r="Y103">
        <v>55</v>
      </c>
      <c r="AA103">
        <v>11.5</v>
      </c>
      <c r="AB103">
        <v>11.5</v>
      </c>
      <c r="AE103" s="11">
        <v>0</v>
      </c>
      <c r="AF103" t="str">
        <f>CONCATENATE(VLOOKUP(AG103, 'Voxel Sizes'!$A$2:$B$18,2,FALSE),"x",INT(AC103*15), "x", INT(AD103*15))</f>
        <v>120x0x0</v>
      </c>
      <c r="AG103">
        <f t="shared" si="32"/>
        <v>7</v>
      </c>
      <c r="AI103" t="str">
        <f>CONCATENATE(VLOOKUP(AG103,Constants!$A$2:$C$16,IF(AH103&lt;&gt;"", 3, 2), FALSE),IF(AH103&lt;&gt;"",CONCATENATE(",",VLOOKUP(AH103,$B:$AI,34,FALSE)),""))</f>
        <v>2,3,2</v>
      </c>
      <c r="AQ103">
        <v>1</v>
      </c>
      <c r="AS103">
        <v>38</v>
      </c>
      <c r="AT103">
        <f t="shared" si="33"/>
        <v>47</v>
      </c>
      <c r="AW103">
        <f t="shared" si="34"/>
        <v>11</v>
      </c>
      <c r="AX103">
        <f t="shared" si="35"/>
        <v>4.25</v>
      </c>
      <c r="AY103">
        <f t="shared" si="36"/>
        <v>4.75</v>
      </c>
      <c r="AZ103" s="4">
        <f t="shared" si="41"/>
        <v>0.9946666666666667</v>
      </c>
      <c r="BA103">
        <f t="shared" si="37"/>
        <v>0</v>
      </c>
      <c r="BB103">
        <f>VLOOKUP($E103,Constants!$I:$K, 2, FALSE)</f>
        <v>1.1499999999999999</v>
      </c>
      <c r="BC103">
        <f>VLOOKUP($E103,Constants!$I:$K, 3, FALSE)*IF(AND(D103="multiple_unit",Y103&lt;110),0.75,1)</f>
        <v>1.7</v>
      </c>
      <c r="BD103">
        <f>INT(POWER(((Constants!$G$2+$AW103+$AX103+$AY103+$BA103)*$AZ103)*$BC103, 1.05))+$AV103</f>
        <v>50</v>
      </c>
      <c r="BE103">
        <f>INT(POWER((((Constants!$G$1+$AW103+$AX103+$AY103+$BA103)*($AZ103))*$BB103),IF($D103="wagon",1,1.2)))+$AU103</f>
        <v>83</v>
      </c>
      <c r="BF103" s="15">
        <f t="shared" si="38"/>
        <v>39062.5</v>
      </c>
      <c r="BG103" s="15">
        <f t="shared" si="39"/>
        <v>6743.75</v>
      </c>
      <c r="BN103">
        <v>2</v>
      </c>
      <c r="BR103" t="str">
        <f>VLOOKUP(G103,Eras!$A$2:$C$10, 2, TRUE)</f>
        <v>edw</v>
      </c>
      <c r="BS103" t="s">
        <v>360</v>
      </c>
      <c r="BT103" t="str">
        <f t="shared" si="40"/>
        <v>edw_Mixed Traffic</v>
      </c>
      <c r="BU103" t="str">
        <f t="shared" si="28"/>
        <v>steam_RAIL</v>
      </c>
      <c r="BV103" t="str">
        <f>VLOOKUP($BU103, Constants!$M:$N, 2, FALSE)</f>
        <v>{BLACK}Powered by: {GOLD}Steam</v>
      </c>
      <c r="BW103" t="str">
        <f t="shared" si="29"/>
        <v/>
      </c>
      <c r="BX103" t="s">
        <v>411</v>
      </c>
      <c r="BY103" t="str">
        <f t="shared" si="55"/>
        <v/>
      </c>
      <c r="BZ103" t="str">
        <f t="shared" si="31"/>
        <v>{BLACK}Powered by: {GOLD}Steam {}{SILVER}The GWR "Small Prairie" tank engines were designed for operating branch lines.</v>
      </c>
    </row>
    <row r="104" spans="1:78" ht="14.25" customHeight="1" x14ac:dyDescent="0.25">
      <c r="A104" t="s">
        <v>1249</v>
      </c>
      <c r="B104" t="s">
        <v>1250</v>
      </c>
      <c r="C104">
        <v>205</v>
      </c>
      <c r="D104" t="s">
        <v>295</v>
      </c>
      <c r="E104" t="s">
        <v>304</v>
      </c>
      <c r="F104" t="s">
        <v>307</v>
      </c>
      <c r="G104">
        <v>1906</v>
      </c>
      <c r="H104">
        <v>1923</v>
      </c>
      <c r="I104">
        <v>1957</v>
      </c>
      <c r="K104">
        <v>1200</v>
      </c>
      <c r="M104" s="6">
        <v>14.25</v>
      </c>
      <c r="N104" s="6">
        <v>26</v>
      </c>
      <c r="O104" s="6">
        <v>4</v>
      </c>
      <c r="P104" s="6">
        <v>225</v>
      </c>
      <c r="Q104" s="7">
        <f t="shared" si="56"/>
        <v>181.47545340356362</v>
      </c>
      <c r="R104" s="6">
        <v>2.0499999999999998</v>
      </c>
      <c r="S104" s="6">
        <f t="shared" si="57"/>
        <v>1554.7676171008873</v>
      </c>
      <c r="T104">
        <v>77</v>
      </c>
      <c r="U104" s="9">
        <v>40</v>
      </c>
      <c r="W104">
        <v>111</v>
      </c>
      <c r="X104" s="4">
        <f t="shared" si="27"/>
        <v>9.4871794871794868E-2</v>
      </c>
      <c r="Y104">
        <v>85</v>
      </c>
      <c r="AB104">
        <v>12</v>
      </c>
      <c r="AE104" s="11">
        <v>0</v>
      </c>
      <c r="AF104" t="str">
        <f>CONCATENATE(VLOOKUP(AG104, 'Voxel Sizes'!$A$2:$B$18,2,FALSE),"x",INT(AC104*15), "x", INT(AD104*15))</f>
        <v>120x0x0</v>
      </c>
      <c r="AG104">
        <f t="shared" si="32"/>
        <v>7</v>
      </c>
      <c r="AH104" t="s">
        <v>1253</v>
      </c>
      <c r="AI104" t="str">
        <f>CONCATENATE(VLOOKUP(AG104,Constants!$A$2:$C$16,IF(AH104&lt;&gt;"", 3, 2), FALSE),IF(AH104&lt;&gt;"",CONCATENATE(",",VLOOKUP(AH104,$B:$AI,34,FALSE)),""))</f>
        <v>2,3,2,2,1,2</v>
      </c>
      <c r="AQ104">
        <v>1</v>
      </c>
      <c r="AS104">
        <v>29</v>
      </c>
      <c r="AT104">
        <f t="shared" si="33"/>
        <v>47</v>
      </c>
      <c r="AU104">
        <v>12</v>
      </c>
      <c r="AV104">
        <v>10</v>
      </c>
      <c r="AW104">
        <f t="shared" si="34"/>
        <v>17</v>
      </c>
      <c r="AX104">
        <f t="shared" si="35"/>
        <v>6</v>
      </c>
      <c r="AY104">
        <f t="shared" si="36"/>
        <v>5.5500000000000007</v>
      </c>
      <c r="AZ104" s="4">
        <f t="shared" si="41"/>
        <v>0.99199999999999999</v>
      </c>
      <c r="BA104">
        <f t="shared" si="37"/>
        <v>0</v>
      </c>
      <c r="BB104">
        <f>VLOOKUP($E104,Constants!$I:$K, 2, FALSE)</f>
        <v>1.1499999999999999</v>
      </c>
      <c r="BC104">
        <f>VLOOKUP($E104,Constants!$I:$K, 3, FALSE)*IF(AND(D104="multiple_unit",Y104&lt;110),0.75,1)</f>
        <v>1.7</v>
      </c>
      <c r="BD104">
        <f>INT(POWER(((Constants!$G$2+$AW104+$AX104+$AY104+$BA104)*$AZ104)*$BC104, 1.05))+$AV104</f>
        <v>79</v>
      </c>
      <c r="BE104">
        <f>INT(POWER((((Constants!$G$1+$AW104+$AX104+$AY104+$BA104)*($AZ104))*$BB104),IF($D104="wagon",1,1.2)))+$AU104</f>
        <v>120</v>
      </c>
      <c r="BF104" s="15">
        <f t="shared" si="38"/>
        <v>61718.75</v>
      </c>
      <c r="BG104" s="15">
        <f t="shared" si="39"/>
        <v>9750</v>
      </c>
      <c r="BN104">
        <v>1</v>
      </c>
      <c r="BR104" t="str">
        <f>VLOOKUP(G104,Eras!$A$2:$C$10, 2, TRUE)</f>
        <v>edw</v>
      </c>
      <c r="BS104" t="s">
        <v>361</v>
      </c>
      <c r="BT104" t="str">
        <f t="shared" si="40"/>
        <v>edw_Express</v>
      </c>
      <c r="BU104" t="str">
        <f t="shared" si="28"/>
        <v>steam_RAIL</v>
      </c>
      <c r="BV104" t="str">
        <f>VLOOKUP($BU104, Constants!$M:$N, 2, FALSE)</f>
        <v>{BLACK}Powered by: {GOLD}Steam</v>
      </c>
      <c r="BW104" t="str">
        <f t="shared" si="29"/>
        <v/>
      </c>
      <c r="BX104" t="s">
        <v>1251</v>
      </c>
      <c r="BY104" t="str">
        <f t="shared" si="55"/>
        <v/>
      </c>
      <c r="BZ104" t="str">
        <f t="shared" si="31"/>
        <v>{BLACK}Powered by: {GOLD}Steam {}{SILVER}The Star class was the first in a string of successful four cylinder express locomotives built by the GWR.</v>
      </c>
    </row>
    <row r="105" spans="1:78" x14ac:dyDescent="0.25">
      <c r="A105" t="s">
        <v>25</v>
      </c>
      <c r="B105" t="s">
        <v>177</v>
      </c>
      <c r="C105">
        <v>206</v>
      </c>
      <c r="D105" t="s">
        <v>295</v>
      </c>
      <c r="E105" t="s">
        <v>304</v>
      </c>
      <c r="F105" t="s">
        <v>307</v>
      </c>
      <c r="G105">
        <v>1911</v>
      </c>
      <c r="H105">
        <v>1926</v>
      </c>
      <c r="I105">
        <v>1960</v>
      </c>
      <c r="K105">
        <v>850</v>
      </c>
      <c r="M105" s="6">
        <v>20</v>
      </c>
      <c r="N105" s="6">
        <v>26</v>
      </c>
      <c r="O105" s="6">
        <v>2</v>
      </c>
      <c r="P105" s="6">
        <v>180</v>
      </c>
      <c r="Q105" s="7">
        <f t="shared" si="56"/>
        <v>128.72826279491534</v>
      </c>
      <c r="R105" s="6">
        <v>1.7</v>
      </c>
      <c r="S105" s="6">
        <f t="shared" si="57"/>
        <v>868.98395721925135</v>
      </c>
      <c r="T105">
        <v>87</v>
      </c>
      <c r="W105">
        <v>106</v>
      </c>
      <c r="X105" s="4">
        <f t="shared" si="27"/>
        <v>0.12183908045977011</v>
      </c>
      <c r="Y105">
        <v>50</v>
      </c>
      <c r="AA105">
        <v>13.1</v>
      </c>
      <c r="AB105">
        <v>13.1</v>
      </c>
      <c r="AE105" s="11">
        <v>0</v>
      </c>
      <c r="AF105" t="str">
        <f>CONCATENATE(VLOOKUP(AG105, 'Voxel Sizes'!$A$2:$B$18,2,FALSE),"x",INT(AC105*15), "x", INT(AD105*15))</f>
        <v>136x0x0</v>
      </c>
      <c r="AG105">
        <f t="shared" si="32"/>
        <v>8</v>
      </c>
      <c r="AI105" t="str">
        <f>CONCATENATE(VLOOKUP(AG105,Constants!$A$2:$C$16,IF(AH105&lt;&gt;"", 3, 2), FALSE),IF(AH105&lt;&gt;"",CONCATENATE(",",VLOOKUP(AH105,$B:$AI,34,FALSE)),""))</f>
        <v>2,4,2</v>
      </c>
      <c r="AQ105">
        <v>1</v>
      </c>
      <c r="AS105">
        <v>32</v>
      </c>
      <c r="AT105">
        <f t="shared" si="33"/>
        <v>45</v>
      </c>
      <c r="AW105">
        <f t="shared" si="34"/>
        <v>10</v>
      </c>
      <c r="AX105">
        <f t="shared" si="35"/>
        <v>4.25</v>
      </c>
      <c r="AY105">
        <f t="shared" si="36"/>
        <v>5.3000000000000007</v>
      </c>
      <c r="AZ105" s="4">
        <f t="shared" si="41"/>
        <v>0.98533333333333328</v>
      </c>
      <c r="BA105">
        <f t="shared" si="37"/>
        <v>0</v>
      </c>
      <c r="BB105">
        <f>VLOOKUP($E105,Constants!$I:$K, 2, FALSE)</f>
        <v>1.1499999999999999</v>
      </c>
      <c r="BC105">
        <f>VLOOKUP($E105,Constants!$I:$K, 3, FALSE)*IF(AND(D105="multiple_unit",Y105&lt;110),0.75,1)</f>
        <v>1.7</v>
      </c>
      <c r="BD105">
        <f>INT(POWER(((Constants!$G$2+$AW105+$AX105+$AY105+$BA105)*$AZ105)*$BC105, 1.05))+$AV105</f>
        <v>49</v>
      </c>
      <c r="BE105">
        <f>INT(POWER((((Constants!$G$1+$AW105+$AX105+$AY105+$BA105)*($AZ105))*$BB105),IF($D105="wagon",1,1.2)))+$AU105</f>
        <v>81</v>
      </c>
      <c r="BF105" s="15">
        <f t="shared" si="38"/>
        <v>38281.25</v>
      </c>
      <c r="BG105" s="15">
        <f t="shared" si="39"/>
        <v>6581.25</v>
      </c>
      <c r="BN105">
        <v>3</v>
      </c>
      <c r="BR105" t="str">
        <f>VLOOKUP(G105,Eras!$A$2:$C$10, 2, TRUE)</f>
        <v>edw</v>
      </c>
      <c r="BS105" t="s">
        <v>410</v>
      </c>
      <c r="BT105" t="str">
        <f t="shared" si="40"/>
        <v>edw_Passenger</v>
      </c>
      <c r="BU105" t="str">
        <f t="shared" si="28"/>
        <v>steam_RAIL</v>
      </c>
      <c r="BV105" t="str">
        <f>VLOOKUP($BU105, Constants!$M:$N, 2, FALSE)</f>
        <v>{BLACK}Powered by: {GOLD}Steam</v>
      </c>
      <c r="BW105" t="str">
        <f t="shared" si="29"/>
        <v/>
      </c>
      <c r="BX105" t="s">
        <v>414</v>
      </c>
      <c r="BY105" t="str">
        <f t="shared" si="55"/>
        <v/>
      </c>
      <c r="BZ105" t="str">
        <f t="shared" si="31"/>
        <v>{BLACK}Powered by: {GOLD}Steam {}{SILVER}The GCR 9N (later LNER A5) is a 4-6-2 tank locomotive designed for suburban passenger services.</v>
      </c>
    </row>
    <row r="106" spans="1:78" x14ac:dyDescent="0.25">
      <c r="A106" t="s">
        <v>26</v>
      </c>
      <c r="B106" t="s">
        <v>418</v>
      </c>
      <c r="C106">
        <v>208</v>
      </c>
      <c r="D106" t="s">
        <v>295</v>
      </c>
      <c r="E106" t="s">
        <v>304</v>
      </c>
      <c r="F106" t="s">
        <v>307</v>
      </c>
      <c r="G106">
        <v>1911</v>
      </c>
      <c r="H106">
        <v>1914</v>
      </c>
      <c r="I106">
        <v>1966</v>
      </c>
      <c r="K106">
        <v>1250</v>
      </c>
      <c r="M106" s="6">
        <v>21</v>
      </c>
      <c r="N106" s="6">
        <v>26</v>
      </c>
      <c r="O106" s="6">
        <v>2</v>
      </c>
      <c r="P106" s="6">
        <v>180</v>
      </c>
      <c r="Q106" s="7">
        <f t="shared" si="56"/>
        <v>123.28904042329923</v>
      </c>
      <c r="R106" s="6">
        <v>1.42</v>
      </c>
      <c r="S106" s="6">
        <f t="shared" si="57"/>
        <v>917.57362355953899</v>
      </c>
      <c r="T106">
        <v>75</v>
      </c>
      <c r="U106" s="9">
        <v>42</v>
      </c>
      <c r="W106">
        <v>139</v>
      </c>
      <c r="X106" s="4">
        <f t="shared" si="27"/>
        <v>0.1188034188034188</v>
      </c>
      <c r="Y106">
        <v>40</v>
      </c>
      <c r="AA106">
        <v>18.809999999999999</v>
      </c>
      <c r="AB106">
        <v>11.31</v>
      </c>
      <c r="AE106" s="11">
        <v>0</v>
      </c>
      <c r="AF106" t="str">
        <f>CONCATENATE(VLOOKUP(AG106, 'Voxel Sizes'!$A$2:$B$18,2,FALSE),"x",INT(AC106*15), "x", INT(AD106*15))</f>
        <v>120x0x0</v>
      </c>
      <c r="AG106">
        <f t="shared" si="32"/>
        <v>7</v>
      </c>
      <c r="AH106" t="s">
        <v>342</v>
      </c>
      <c r="AI106" t="str">
        <f>CONCATENATE(VLOOKUP(AG106,Constants!$A$2:$C$16,IF(AH106&lt;&gt;"", 3, 2), FALSE),IF(AH106&lt;&gt;"",CONCATENATE(",",VLOOKUP(AH106,$B:$AI,34,FALSE)),""))</f>
        <v>2,3,2,2,1,2</v>
      </c>
      <c r="AQ106">
        <v>1</v>
      </c>
      <c r="AS106">
        <v>34</v>
      </c>
      <c r="AT106">
        <f t="shared" si="33"/>
        <v>51</v>
      </c>
      <c r="AW106">
        <f t="shared" si="34"/>
        <v>8</v>
      </c>
      <c r="AX106">
        <f t="shared" si="35"/>
        <v>6.25</v>
      </c>
      <c r="AY106">
        <f t="shared" si="36"/>
        <v>6.9499999999999993</v>
      </c>
      <c r="AZ106" s="4">
        <f t="shared" si="41"/>
        <v>0.98533333333333328</v>
      </c>
      <c r="BA106">
        <f t="shared" si="37"/>
        <v>0</v>
      </c>
      <c r="BB106">
        <f>VLOOKUP($E106,Constants!$I:$K, 2, FALSE)</f>
        <v>1.1499999999999999</v>
      </c>
      <c r="BC106">
        <f>VLOOKUP($E106,Constants!$I:$K, 3, FALSE)*IF(AND(D106="multiple_unit",Y106&lt;110),0.75,1)</f>
        <v>1.7</v>
      </c>
      <c r="BD106">
        <f>INT(POWER(((Constants!$G$2+$AW106+$AX106+$AY106+$BA106)*$AZ106)*$BC106, 1.05))+$AV106</f>
        <v>53</v>
      </c>
      <c r="BE106">
        <f>INT(POWER((((Constants!$G$1+$AW106+$AX106+$AY106+$BA106)*($AZ106))*$BB106),IF($D106="wagon",1,1.2)))+$AU106</f>
        <v>86</v>
      </c>
      <c r="BF106" s="15">
        <f t="shared" si="38"/>
        <v>41406.25</v>
      </c>
      <c r="BG106" s="15">
        <f t="shared" si="39"/>
        <v>6987.5</v>
      </c>
      <c r="BN106">
        <v>4</v>
      </c>
      <c r="BR106" t="str">
        <f>VLOOKUP(G106,Eras!$A$2:$C$10, 2, TRUE)</f>
        <v>edw</v>
      </c>
      <c r="BS106" t="s">
        <v>362</v>
      </c>
      <c r="BT106" t="str">
        <f t="shared" si="40"/>
        <v>edw_Freight</v>
      </c>
      <c r="BU106" t="str">
        <f t="shared" si="28"/>
        <v>steam_RAIL</v>
      </c>
      <c r="BV106" t="str">
        <f>VLOOKUP($BU106, Constants!$M:$N, 2, FALSE)</f>
        <v>{BLACK}Powered by: {GOLD}Steam</v>
      </c>
      <c r="BW106" t="str">
        <f t="shared" si="29"/>
        <v/>
      </c>
      <c r="BX106" t="s">
        <v>1248</v>
      </c>
      <c r="BY106" t="str">
        <f t="shared" si="55"/>
        <v/>
      </c>
      <c r="BZ106" t="str">
        <f t="shared" si="31"/>
        <v>{BLACK}Powered by: {GOLD}Steam {}{SILVER}The Robinson 8K is a heavy freight engine based on earlier 0-8-0 designs, with a front pony truck to improve the ride and axle loads at the front of the locomotive.</v>
      </c>
    </row>
    <row r="107" spans="1:78" x14ac:dyDescent="0.25">
      <c r="A107" t="s">
        <v>1222</v>
      </c>
      <c r="B107" t="s">
        <v>1221</v>
      </c>
      <c r="C107">
        <v>209</v>
      </c>
      <c r="D107" t="s">
        <v>295</v>
      </c>
      <c r="E107" t="s">
        <v>304</v>
      </c>
      <c r="F107" t="s">
        <v>307</v>
      </c>
      <c r="G107">
        <v>1919</v>
      </c>
      <c r="I107">
        <v>1956</v>
      </c>
      <c r="K107">
        <v>1400</v>
      </c>
      <c r="M107" s="6">
        <v>16.75</v>
      </c>
      <c r="N107" s="6">
        <v>28</v>
      </c>
      <c r="O107" s="6">
        <v>4</v>
      </c>
      <c r="P107" s="6">
        <v>180</v>
      </c>
      <c r="Q107" s="7">
        <f t="shared" si="56"/>
        <v>125.05031242934635</v>
      </c>
      <c r="R107" s="6">
        <v>1.4</v>
      </c>
      <c r="S107" s="6">
        <f t="shared" si="57"/>
        <v>1275.2840909090912</v>
      </c>
      <c r="T107">
        <v>74.8</v>
      </c>
      <c r="U107" s="9">
        <f>106.7-74.8</f>
        <v>31.900000000000006</v>
      </c>
      <c r="W107">
        <v>193</v>
      </c>
      <c r="X107" s="4">
        <f t="shared" si="27"/>
        <v>0.18088097469540768</v>
      </c>
      <c r="Y107">
        <v>40</v>
      </c>
      <c r="AB107">
        <v>13</v>
      </c>
      <c r="AE107" s="11">
        <v>0</v>
      </c>
      <c r="AF107" t="str">
        <f>CONCATENATE(VLOOKUP(AG107, 'Voxel Sizes'!$A$2:$B$18,2,FALSE),"x",INT(AC107*15), "x", INT(AD107*15))</f>
        <v>136x0x0</v>
      </c>
      <c r="AG107">
        <f t="shared" si="32"/>
        <v>8</v>
      </c>
      <c r="AH107" t="s">
        <v>1240</v>
      </c>
      <c r="AI107" t="str">
        <f>CONCATENATE(VLOOKUP(AG107,Constants!$A$2:$C$16,IF(AH107&lt;&gt;"", 3, 2), FALSE),IF(AH107&lt;&gt;"",CONCATENATE(",",VLOOKUP(AH107,$B:$AI,34,FALSE)),""))</f>
        <v>2,4,2,2,1,2</v>
      </c>
      <c r="AQ107">
        <v>1</v>
      </c>
      <c r="AS107">
        <v>31</v>
      </c>
      <c r="AT107">
        <f t="shared" si="33"/>
        <v>33</v>
      </c>
      <c r="AV107">
        <v>4</v>
      </c>
      <c r="AW107">
        <f t="shared" si="34"/>
        <v>8</v>
      </c>
      <c r="AX107">
        <f t="shared" si="35"/>
        <v>7</v>
      </c>
      <c r="AY107">
        <f t="shared" si="36"/>
        <v>9.65</v>
      </c>
      <c r="AZ107" s="4">
        <f t="shared" si="41"/>
        <v>0.97466666666666668</v>
      </c>
      <c r="BA107">
        <f t="shared" si="37"/>
        <v>0</v>
      </c>
      <c r="BB107">
        <f>VLOOKUP($E107,Constants!$I:$K, 2, FALSE)</f>
        <v>1.1499999999999999</v>
      </c>
      <c r="BC107">
        <f>VLOOKUP($E107,Constants!$I:$K, 3, FALSE)*IF(AND(D107="multiple_unit",Y107&lt;110),0.75,1)</f>
        <v>1.7</v>
      </c>
      <c r="BD107">
        <f>INT(POWER(((Constants!$G$2+$AW107+$AX107+$AY107+$BA107)*$AZ107)*$BC107, 1.05))+$AV107</f>
        <v>63</v>
      </c>
      <c r="BE107">
        <f>INT(POWER((((Constants!$G$1+$AW107+$AX107+$AY107+$BA107)*($AZ107))*$BB107),IF($D107="wagon",1,1.2)))+$AU107</f>
        <v>94</v>
      </c>
      <c r="BF107" s="15">
        <f t="shared" si="38"/>
        <v>49218.75</v>
      </c>
      <c r="BG107" s="15">
        <f t="shared" si="39"/>
        <v>7637.5</v>
      </c>
      <c r="BN107">
        <v>3</v>
      </c>
      <c r="BR107" t="str">
        <f>VLOOKUP(G107,Eras!$A$2:$C$10, 2, TRUE)</f>
        <v>edw</v>
      </c>
      <c r="BS107" t="s">
        <v>362</v>
      </c>
      <c r="BT107" t="str">
        <f t="shared" si="40"/>
        <v>edw_Freight</v>
      </c>
      <c r="BU107" t="str">
        <f t="shared" si="28"/>
        <v>steam_RAIL</v>
      </c>
      <c r="BV107" t="str">
        <f>VLOOKUP($BU107, Constants!$M:$N, 2, FALSE)</f>
        <v>{BLACK}Powered by: {GOLD}Steam</v>
      </c>
      <c r="BW107" t="str">
        <f t="shared" si="29"/>
        <v/>
      </c>
      <c r="BX107" t="s">
        <v>1233</v>
      </c>
      <c r="BY107" t="str">
        <f t="shared" si="55"/>
        <v/>
      </c>
      <c r="BZ107" t="str">
        <f t="shared" si="31"/>
        <v>{BLACK}Powered by: {GOLD}Steam {}{SILVER}The "Lickey Banker" was a single 0-10-0 engine built to help add power and tractive effort to trains climbing the 1 in 37 Lickey Incline.</v>
      </c>
    </row>
    <row r="108" spans="1:78" x14ac:dyDescent="0.25">
      <c r="A108" t="s">
        <v>420</v>
      </c>
      <c r="B108" t="s">
        <v>421</v>
      </c>
      <c r="C108">
        <v>210</v>
      </c>
      <c r="D108" t="s">
        <v>295</v>
      </c>
      <c r="E108" t="s">
        <v>304</v>
      </c>
      <c r="F108" t="s">
        <v>307</v>
      </c>
      <c r="G108">
        <v>1912</v>
      </c>
      <c r="I108">
        <v>1962</v>
      </c>
      <c r="K108">
        <v>1050</v>
      </c>
      <c r="M108" s="6">
        <v>20</v>
      </c>
      <c r="N108" s="6">
        <v>26</v>
      </c>
      <c r="O108" s="6">
        <v>2</v>
      </c>
      <c r="P108" s="6">
        <v>180</v>
      </c>
      <c r="Q108" s="7">
        <f t="shared" si="56"/>
        <v>141.60108907440687</v>
      </c>
      <c r="R108" s="6">
        <v>1.7</v>
      </c>
      <c r="S108" s="6">
        <f t="shared" si="57"/>
        <v>955.88235294117646</v>
      </c>
      <c r="T108">
        <v>61</v>
      </c>
      <c r="W108">
        <v>104</v>
      </c>
      <c r="X108" s="4">
        <f t="shared" si="27"/>
        <v>0.17049180327868851</v>
      </c>
      <c r="Y108">
        <v>55</v>
      </c>
      <c r="AA108">
        <v>14.4</v>
      </c>
      <c r="AB108">
        <v>10</v>
      </c>
      <c r="AE108" s="11">
        <v>0</v>
      </c>
      <c r="AF108" t="str">
        <f>CONCATENATE(VLOOKUP(AG108, 'Voxel Sizes'!$A$2:$B$18,2,FALSE),"x",INT(AC108*15), "x", INT(AD108*15))</f>
        <v>102x0x0</v>
      </c>
      <c r="AG108">
        <f t="shared" si="32"/>
        <v>6</v>
      </c>
      <c r="AH108" t="s">
        <v>423</v>
      </c>
      <c r="AI108" t="str">
        <f>CONCATENATE(VLOOKUP(AG108,Constants!$A$2:$C$16,IF(AH108&lt;&gt;"", 3, 2), FALSE),IF(AH108&lt;&gt;"",CONCATENATE(",",VLOOKUP(AH108,$B:$AI,34,FALSE)),""))</f>
        <v>2,2,2,2,1,2</v>
      </c>
      <c r="AQ108">
        <v>1</v>
      </c>
      <c r="AS108">
        <v>30</v>
      </c>
      <c r="AT108">
        <f t="shared" si="33"/>
        <v>46</v>
      </c>
      <c r="AU108">
        <v>5</v>
      </c>
      <c r="AW108">
        <f t="shared" si="34"/>
        <v>11</v>
      </c>
      <c r="AX108">
        <f t="shared" si="35"/>
        <v>5.25</v>
      </c>
      <c r="AY108">
        <f t="shared" si="36"/>
        <v>5.2</v>
      </c>
      <c r="AZ108" s="4">
        <f t="shared" si="41"/>
        <v>0.98399999999999999</v>
      </c>
      <c r="BA108">
        <f t="shared" si="37"/>
        <v>0</v>
      </c>
      <c r="BB108">
        <f>VLOOKUP($E108,Constants!$I:$K, 2, FALSE)</f>
        <v>1.1499999999999999</v>
      </c>
      <c r="BC108">
        <f>VLOOKUP($E108,Constants!$I:$K, 3, FALSE)*IF(AND(D108="multiple_unit",Y108&lt;110),0.75,1)</f>
        <v>1.7</v>
      </c>
      <c r="BD108">
        <f>INT(POWER(((Constants!$G$2+$AW108+$AX108+$AY108+$BA108)*$AZ108)*$BC108, 1.05))+$AV108</f>
        <v>53</v>
      </c>
      <c r="BE108">
        <f>INT(POWER((((Constants!$G$1+$AW108+$AX108+$AY108+$BA108)*($AZ108))*$BB108),IF($D108="wagon",1,1.2)))+$AU108</f>
        <v>91</v>
      </c>
      <c r="BF108" s="15">
        <f t="shared" si="38"/>
        <v>41406.25</v>
      </c>
      <c r="BG108" s="15">
        <f t="shared" si="39"/>
        <v>7393.75</v>
      </c>
      <c r="BN108">
        <v>5</v>
      </c>
      <c r="BR108" t="str">
        <f>VLOOKUP(G108,Eras!$A$2:$C$10, 2, TRUE)</f>
        <v>edw</v>
      </c>
      <c r="BS108" t="s">
        <v>362</v>
      </c>
      <c r="BT108" t="str">
        <f t="shared" si="40"/>
        <v>edw_Freight</v>
      </c>
      <c r="BU108" t="str">
        <f t="shared" si="28"/>
        <v>steam_RAIL</v>
      </c>
      <c r="BV108" t="str">
        <f>VLOOKUP($BU108, Constants!$M:$N, 2, FALSE)</f>
        <v>{BLACK}Powered by: {GOLD}Steam</v>
      </c>
      <c r="BW108" t="str">
        <f t="shared" si="29"/>
        <v/>
      </c>
      <c r="BX108" t="s">
        <v>419</v>
      </c>
      <c r="BY108" t="str">
        <f t="shared" si="55"/>
        <v/>
      </c>
      <c r="BZ108" t="str">
        <f t="shared" si="31"/>
        <v>{BLACK}Powered by: {GOLD}Steam {}{SILVER}The Gresley K2 is a freight engine, designed for the GNR which had been using passenger engines to haul goods trains.</v>
      </c>
    </row>
    <row r="109" spans="1:78" x14ac:dyDescent="0.25">
      <c r="A109" t="s">
        <v>1229</v>
      </c>
      <c r="B109" t="s">
        <v>1230</v>
      </c>
      <c r="C109">
        <v>211</v>
      </c>
      <c r="D109" t="s">
        <v>295</v>
      </c>
      <c r="E109" t="s">
        <v>304</v>
      </c>
      <c r="F109" t="s">
        <v>307</v>
      </c>
      <c r="G109">
        <v>1920</v>
      </c>
      <c r="I109">
        <v>1960</v>
      </c>
      <c r="K109">
        <v>1250</v>
      </c>
      <c r="M109" s="6">
        <v>20</v>
      </c>
      <c r="N109" s="6">
        <v>28</v>
      </c>
      <c r="O109" s="6">
        <v>2</v>
      </c>
      <c r="P109" s="6">
        <v>180</v>
      </c>
      <c r="Q109" s="7">
        <f t="shared" si="56"/>
        <v>175.07043740108486</v>
      </c>
      <c r="R109" s="6">
        <v>1.5</v>
      </c>
      <c r="S109" s="6">
        <f t="shared" si="57"/>
        <v>1272.727272727273</v>
      </c>
      <c r="T109">
        <v>55.6</v>
      </c>
      <c r="U109" s="9">
        <v>32</v>
      </c>
      <c r="W109">
        <v>129</v>
      </c>
      <c r="X109" s="4">
        <f t="shared" si="27"/>
        <v>0.14726027397260275</v>
      </c>
      <c r="Y109">
        <v>60</v>
      </c>
      <c r="AA109">
        <v>16.61</v>
      </c>
      <c r="AB109">
        <v>10</v>
      </c>
      <c r="AE109" s="11">
        <v>0</v>
      </c>
      <c r="AF109" t="str">
        <f>CONCATENATE(VLOOKUP(AG109, 'Voxel Sizes'!$A$2:$B$18,2,FALSE),"x",INT(AC109*15), "x", INT(AD109*15))</f>
        <v>102x0x0</v>
      </c>
      <c r="AG109">
        <f t="shared" si="32"/>
        <v>6</v>
      </c>
      <c r="AH109" t="s">
        <v>423</v>
      </c>
      <c r="AI109" t="str">
        <f>CONCATENATE(VLOOKUP(AG109,Constants!$A$2:$C$16,IF(AH109&lt;&gt;"", 3, 2), FALSE),IF(AH109&lt;&gt;"",CONCATENATE(",",VLOOKUP(AH109,$B:$AI,34,FALSE)),""))</f>
        <v>2,2,2,2,1,2</v>
      </c>
      <c r="AQ109">
        <v>1</v>
      </c>
      <c r="AS109">
        <v>30</v>
      </c>
      <c r="AT109">
        <f t="shared" si="33"/>
        <v>36</v>
      </c>
      <c r="AW109">
        <f t="shared" si="34"/>
        <v>12</v>
      </c>
      <c r="AX109">
        <f t="shared" si="35"/>
        <v>6.25</v>
      </c>
      <c r="AY109">
        <f t="shared" si="36"/>
        <v>6.45</v>
      </c>
      <c r="AZ109" s="4">
        <f t="shared" si="41"/>
        <v>0.97333333333333338</v>
      </c>
      <c r="BA109">
        <f t="shared" si="37"/>
        <v>0</v>
      </c>
      <c r="BB109">
        <f>VLOOKUP($E109,Constants!$I:$K, 2, FALSE)</f>
        <v>1.1499999999999999</v>
      </c>
      <c r="BC109">
        <f>VLOOKUP($E109,Constants!$I:$K, 3, FALSE)*IF(AND(D109="multiple_unit",Y109&lt;110),0.75,1)</f>
        <v>1.7</v>
      </c>
      <c r="BD109">
        <f>INT(POWER(((Constants!$G$2+$AW109+$AX109+$AY109+$BA109)*$AZ109)*$BC109, 1.05))+$AV109</f>
        <v>59</v>
      </c>
      <c r="BE109">
        <f>INT(POWER((((Constants!$G$1+$AW109+$AX109+$AY109+$BA109)*($AZ109))*$BB109),IF($D109="wagon",1,1.2)))+$AU109</f>
        <v>94</v>
      </c>
      <c r="BF109" s="15">
        <f t="shared" si="38"/>
        <v>46093.75</v>
      </c>
      <c r="BG109" s="15">
        <f t="shared" si="39"/>
        <v>7637.5</v>
      </c>
      <c r="BN109">
        <v>4</v>
      </c>
      <c r="BR109" t="str">
        <f>VLOOKUP(G109,Eras!$A$2:$C$10, 2, TRUE)</f>
        <v>edw</v>
      </c>
      <c r="BS109" t="s">
        <v>362</v>
      </c>
      <c r="BT109" t="str">
        <f t="shared" si="40"/>
        <v>edw_Freight</v>
      </c>
      <c r="BU109" t="str">
        <f t="shared" si="28"/>
        <v>steam_RAIL</v>
      </c>
      <c r="BV109" t="str">
        <f>VLOOKUP($BU109, Constants!$M:$N, 2, FALSE)</f>
        <v>{BLACK}Powered by: {GOLD}Steam</v>
      </c>
      <c r="BW109" t="str">
        <f t="shared" si="29"/>
        <v/>
      </c>
      <c r="BX109" t="s">
        <v>1234</v>
      </c>
      <c r="BY109" t="str">
        <f t="shared" si="55"/>
        <v/>
      </c>
      <c r="BZ109" t="str">
        <f t="shared" si="31"/>
        <v>{BLACK}Powered by: {GOLD}Steam {}{SILVER}The D81 (later LNER J20 Class) was the most powerful British 0-6-0 tender locomotive for over twenty years.</v>
      </c>
    </row>
    <row r="110" spans="1:78" x14ac:dyDescent="0.25">
      <c r="A110" t="s">
        <v>63</v>
      </c>
      <c r="B110" t="s">
        <v>178</v>
      </c>
      <c r="C110">
        <v>212</v>
      </c>
      <c r="D110" t="s">
        <v>295</v>
      </c>
      <c r="E110" t="s">
        <v>329</v>
      </c>
      <c r="F110" t="s">
        <v>330</v>
      </c>
      <c r="G110">
        <v>1914</v>
      </c>
      <c r="H110">
        <v>1919</v>
      </c>
      <c r="I110">
        <v>1950</v>
      </c>
      <c r="K110">
        <v>1100</v>
      </c>
      <c r="T110">
        <v>76</v>
      </c>
      <c r="W110">
        <v>140</v>
      </c>
      <c r="X110" s="4">
        <f t="shared" si="27"/>
        <v>0.18421052631578946</v>
      </c>
      <c r="Y110">
        <v>35</v>
      </c>
      <c r="AA110">
        <v>12</v>
      </c>
      <c r="AB110">
        <v>12</v>
      </c>
      <c r="AE110" s="11">
        <v>0</v>
      </c>
      <c r="AF110" t="str">
        <f>CONCATENATE(VLOOKUP(AG110, 'Voxel Sizes'!$A$2:$B$18,2,FALSE),"x",INT(AC110*15), "x", INT(AD110*15))</f>
        <v>120x0x0</v>
      </c>
      <c r="AG110">
        <f t="shared" si="32"/>
        <v>7</v>
      </c>
      <c r="AI110" t="str">
        <f>CONCATENATE(VLOOKUP(AG110,Constants!$A$2:$C$16,IF(AH110&lt;&gt;"", 3, 2), FALSE),IF(AH110&lt;&gt;"",CONCATENATE(",",VLOOKUP(AH110,$B:$AI,34,FALSE)),""))</f>
        <v>2,3,2</v>
      </c>
      <c r="AS110">
        <v>16</v>
      </c>
      <c r="AT110">
        <f t="shared" si="33"/>
        <v>32</v>
      </c>
      <c r="AV110">
        <v>8</v>
      </c>
      <c r="AW110">
        <f t="shared" si="34"/>
        <v>7</v>
      </c>
      <c r="AX110">
        <f t="shared" si="35"/>
        <v>5.5</v>
      </c>
      <c r="AY110">
        <f t="shared" si="36"/>
        <v>7</v>
      </c>
      <c r="AZ110" s="4">
        <f t="shared" si="41"/>
        <v>0.98133333333333328</v>
      </c>
      <c r="BA110">
        <f t="shared" si="37"/>
        <v>0</v>
      </c>
      <c r="BB110">
        <f>VLOOKUP($E110,Constants!$I:$K, 2, FALSE)</f>
        <v>0.85</v>
      </c>
      <c r="BC110">
        <f>VLOOKUP($E110,Constants!$I:$K, 3, FALSE)*IF(AND(D110="multiple_unit",Y110&lt;110),0.75,1)</f>
        <v>2.2999999999999998</v>
      </c>
      <c r="BD110">
        <f>INT(POWER(((Constants!$G$2+$AW110+$AX110+$AY110+$BA110)*$AZ110)*$BC110, 1.05))+$AV110</f>
        <v>75</v>
      </c>
      <c r="BE110">
        <f>INT(POWER((((Constants!$G$1+$AW110+$AX110+$AY110+$BA110)*($AZ110))*$BB110),IF($D110="wagon",1,1.2)))+$AU110</f>
        <v>56</v>
      </c>
      <c r="BF110" s="15">
        <f t="shared" si="38"/>
        <v>58593.75</v>
      </c>
      <c r="BG110" s="15">
        <f t="shared" si="39"/>
        <v>4550</v>
      </c>
      <c r="BN110">
        <v>6</v>
      </c>
      <c r="BR110" t="str">
        <f>VLOOKUP(G110,Eras!$A$2:$C$10, 2, TRUE)</f>
        <v>edw</v>
      </c>
      <c r="BS110" t="s">
        <v>372</v>
      </c>
      <c r="BT110" t="str">
        <f t="shared" si="40"/>
        <v>edw_Freight (Electric)</v>
      </c>
      <c r="BU110" t="str">
        <f t="shared" si="28"/>
        <v>electric_ELRL</v>
      </c>
      <c r="BV110" t="str">
        <f>VLOOKUP($BU110, Constants!$M:$N, 2, FALSE)</f>
        <v>{BLACK}Powered by: {GOLD}25kV AC</v>
      </c>
      <c r="BW110" t="str">
        <f t="shared" si="29"/>
        <v/>
      </c>
      <c r="BX110" t="s">
        <v>424</v>
      </c>
      <c r="BY110" t="str">
        <f t="shared" si="55"/>
        <v/>
      </c>
      <c r="BZ110" t="str">
        <f t="shared" si="31"/>
        <v>{BLACK}Powered by: {GOLD}25kV AC {}{SILVER}The LNER EF1 is an early electric freight engine designed for hauling heavy coal trains.</v>
      </c>
    </row>
    <row r="111" spans="1:78" x14ac:dyDescent="0.25">
      <c r="A111" t="s">
        <v>10</v>
      </c>
      <c r="B111" t="s">
        <v>180</v>
      </c>
      <c r="C111">
        <v>214</v>
      </c>
      <c r="D111" t="s">
        <v>295</v>
      </c>
      <c r="E111" t="s">
        <v>304</v>
      </c>
      <c r="F111" t="s">
        <v>307</v>
      </c>
      <c r="G111">
        <v>1923</v>
      </c>
      <c r="I111">
        <v>1966</v>
      </c>
      <c r="K111">
        <v>950</v>
      </c>
      <c r="M111" s="6">
        <v>20</v>
      </c>
      <c r="N111" s="6">
        <v>26</v>
      </c>
      <c r="O111" s="6">
        <v>2</v>
      </c>
      <c r="P111" s="6">
        <v>175</v>
      </c>
      <c r="Q111" s="7">
        <f t="shared" ref="Q111:Q116" si="58">((($Y111/2)/60)*5280)/($R111*3.2*PI())</f>
        <v>150.4511571415573</v>
      </c>
      <c r="R111" s="6">
        <v>1.6</v>
      </c>
      <c r="S111" s="6">
        <f t="shared" ref="S111:S116" si="59">((($M111*$M111/4)*PI())*($N111/12)*$O111*$P111*$Q111)/(33000*1.1)</f>
        <v>987.41319444444446</v>
      </c>
      <c r="T111">
        <f>49.5+41.8</f>
        <v>91.3</v>
      </c>
      <c r="W111">
        <v>109</v>
      </c>
      <c r="X111" s="4">
        <f t="shared" si="27"/>
        <v>0.11938663745892661</v>
      </c>
      <c r="Y111">
        <v>55</v>
      </c>
      <c r="AA111">
        <v>15.8</v>
      </c>
      <c r="AB111">
        <v>10</v>
      </c>
      <c r="AE111" s="11">
        <v>0</v>
      </c>
      <c r="AF111" t="str">
        <f>CONCATENATE(VLOOKUP(AG111, 'Voxel Sizes'!$A$2:$B$18,2,FALSE),"x",INT(AC111*15), "x", INT(AD111*15))</f>
        <v>102x0x0</v>
      </c>
      <c r="AG111">
        <f t="shared" si="32"/>
        <v>6</v>
      </c>
      <c r="AH111" t="s">
        <v>342</v>
      </c>
      <c r="AI111" t="str">
        <f>CONCATENATE(VLOOKUP(AG111,Constants!$A$2:$C$16,IF(AH111&lt;&gt;"", 3, 2), FALSE),IF(AH111&lt;&gt;"",CONCATENATE(",",VLOOKUP(AH111,$B:$AI,34,FALSE)),""))</f>
        <v>2,2,2,2,1,2</v>
      </c>
      <c r="AQ111">
        <v>1</v>
      </c>
      <c r="AS111">
        <v>36</v>
      </c>
      <c r="AT111">
        <f t="shared" si="33"/>
        <v>39</v>
      </c>
      <c r="AW111">
        <f t="shared" si="34"/>
        <v>11</v>
      </c>
      <c r="AX111">
        <f t="shared" si="35"/>
        <v>4.75</v>
      </c>
      <c r="AY111">
        <f t="shared" si="36"/>
        <v>5.45</v>
      </c>
      <c r="AZ111" s="4">
        <f t="shared" si="41"/>
        <v>0.96933333333333338</v>
      </c>
      <c r="BA111">
        <f t="shared" si="37"/>
        <v>0</v>
      </c>
      <c r="BB111">
        <f>VLOOKUP($E111,Constants!$I:$K, 2, FALSE)</f>
        <v>1.1499999999999999</v>
      </c>
      <c r="BC111">
        <f>VLOOKUP($E111,Constants!$I:$K, 3, FALSE)*IF(AND(D111="multiple_unit",Y111&lt;110),0.75,1)</f>
        <v>1.7</v>
      </c>
      <c r="BD111">
        <f>INT(POWER(((Constants!$G$2+$AW111+$AX111+$AY111+$BA111)*$AZ111)*$BC111, 1.05))+$AV111</f>
        <v>52</v>
      </c>
      <c r="BE111">
        <f>INT(POWER((((Constants!$G$1+$AW111+$AX111+$AY111+$BA111)*($AZ111))*$BB111),IF($D111="wagon",1,1.2)))+$AU111</f>
        <v>84</v>
      </c>
      <c r="BF111" s="15">
        <f t="shared" si="38"/>
        <v>40625</v>
      </c>
      <c r="BG111" s="15">
        <f t="shared" si="39"/>
        <v>6825</v>
      </c>
      <c r="BN111">
        <v>9</v>
      </c>
      <c r="BR111" t="str">
        <f>VLOOKUP(G111,Eras!$A$2:$C$10, 2, TRUE)</f>
        <v>big4</v>
      </c>
      <c r="BS111" t="s">
        <v>360</v>
      </c>
      <c r="BT111" t="str">
        <f t="shared" si="40"/>
        <v>big4_Mixed Traffic</v>
      </c>
      <c r="BU111" t="str">
        <f t="shared" si="28"/>
        <v>steam_RAIL</v>
      </c>
      <c r="BV111" t="str">
        <f>VLOOKUP($BU111, Constants!$M:$N, 2, FALSE)</f>
        <v>{BLACK}Powered by: {GOLD}Steam</v>
      </c>
      <c r="BW111" t="str">
        <f t="shared" si="29"/>
        <v/>
      </c>
      <c r="BX111" t="s">
        <v>450</v>
      </c>
      <c r="BY111" t="str">
        <f t="shared" si="55"/>
        <v/>
      </c>
      <c r="BZ111" t="str">
        <f t="shared" si="31"/>
        <v>{BLACK}Powered by: {GOLD}Steam {}{SILVER}The Fowler 4F is a development of the earlier Midland 3835 class.</v>
      </c>
    </row>
    <row r="112" spans="1:78" x14ac:dyDescent="0.25">
      <c r="A112" t="s">
        <v>1223</v>
      </c>
      <c r="B112" t="s">
        <v>1225</v>
      </c>
      <c r="C112">
        <v>215</v>
      </c>
      <c r="D112" t="s">
        <v>295</v>
      </c>
      <c r="E112" t="s">
        <v>304</v>
      </c>
      <c r="F112" t="s">
        <v>307</v>
      </c>
      <c r="G112">
        <v>1921</v>
      </c>
      <c r="I112">
        <v>1962</v>
      </c>
      <c r="K112">
        <v>450</v>
      </c>
      <c r="M112" s="6">
        <v>15</v>
      </c>
      <c r="N112" s="6">
        <v>22</v>
      </c>
      <c r="O112" s="6">
        <v>2</v>
      </c>
      <c r="P112" s="6">
        <v>160</v>
      </c>
      <c r="Q112" s="7">
        <f t="shared" si="58"/>
        <v>159.15494309189532</v>
      </c>
      <c r="R112" s="6">
        <v>1.1000000000000001</v>
      </c>
      <c r="S112" s="6">
        <f t="shared" si="59"/>
        <v>454.54545454545445</v>
      </c>
      <c r="T112">
        <v>33.299999999999997</v>
      </c>
      <c r="W112">
        <v>65</v>
      </c>
      <c r="X112" s="4">
        <f t="shared" si="27"/>
        <v>0.19519519519519518</v>
      </c>
      <c r="Y112">
        <v>40</v>
      </c>
      <c r="AB112">
        <v>8</v>
      </c>
      <c r="AE112" s="11">
        <v>0</v>
      </c>
      <c r="AF112" t="str">
        <f>CONCATENATE(VLOOKUP(AG112, 'Voxel Sizes'!$A$2:$B$18,2,FALSE),"x",INT(AC112*15), "x", INT(AD112*15))</f>
        <v>82x0x0</v>
      </c>
      <c r="AG112">
        <f t="shared" si="32"/>
        <v>5</v>
      </c>
      <c r="AI112" t="str">
        <f>CONCATENATE(VLOOKUP(AG112,Constants!$A$2:$C$16,IF(AH112&lt;&gt;"", 3, 2), FALSE),IF(AH112&lt;&gt;"",CONCATENATE(",",VLOOKUP(AH112,$B:$AI,34,FALSE)),""))</f>
        <v>2,1,2</v>
      </c>
      <c r="AQ112">
        <v>1</v>
      </c>
      <c r="AS112">
        <v>33</v>
      </c>
      <c r="AT112">
        <f t="shared" si="33"/>
        <v>37</v>
      </c>
      <c r="AU112">
        <v>-15</v>
      </c>
      <c r="AV112">
        <v>-9</v>
      </c>
      <c r="AW112">
        <f t="shared" si="34"/>
        <v>8</v>
      </c>
      <c r="AX112">
        <f t="shared" si="35"/>
        <v>2.25</v>
      </c>
      <c r="AY112">
        <f t="shared" si="36"/>
        <v>3.25</v>
      </c>
      <c r="AZ112" s="4">
        <f t="shared" si="41"/>
        <v>0.97199999999999998</v>
      </c>
      <c r="BA112">
        <f t="shared" si="37"/>
        <v>0</v>
      </c>
      <c r="BB112">
        <f>VLOOKUP($E112,Constants!$I:$K, 2, FALSE)</f>
        <v>1.1499999999999999</v>
      </c>
      <c r="BC112">
        <f>VLOOKUP($E112,Constants!$I:$K, 3, FALSE)*IF(AND(D112="multiple_unit",Y112&lt;110),0.75,1)</f>
        <v>1.7</v>
      </c>
      <c r="BD112">
        <f>INT(POWER(((Constants!$G$2+$AW112+$AX112+$AY112+$BA112)*$AZ112)*$BC112, 1.05))+$AV112</f>
        <v>27</v>
      </c>
      <c r="BE112">
        <f>INT(POWER((((Constants!$G$1+$AW112+$AX112+$AY112+$BA112)*($AZ112))*$BB112),IF($D112="wagon",1,1.2)))+$AU112</f>
        <v>48</v>
      </c>
      <c r="BF112" s="15">
        <f t="shared" si="38"/>
        <v>21093.75</v>
      </c>
      <c r="BG112" s="15">
        <f t="shared" si="39"/>
        <v>3900</v>
      </c>
      <c r="BN112">
        <v>6</v>
      </c>
      <c r="BR112" t="str">
        <f>VLOOKUP(G112,Eras!$A$2:$C$10, 2, TRUE)</f>
        <v>edw</v>
      </c>
      <c r="BS112" t="s">
        <v>359</v>
      </c>
      <c r="BT112" t="str">
        <f t="shared" si="40"/>
        <v>edw_Cheap</v>
      </c>
      <c r="BU112" t="str">
        <f t="shared" si="28"/>
        <v>steam_RAIL</v>
      </c>
      <c r="BV112" t="str">
        <f>VLOOKUP($BU112, Constants!$M:$N, 2, FALSE)</f>
        <v>{BLACK}Powered by: {GOLD}Steam</v>
      </c>
      <c r="BW112" t="str">
        <f t="shared" si="29"/>
        <v/>
      </c>
      <c r="BX112" t="s">
        <v>1242</v>
      </c>
      <c r="BY112" t="str">
        <f t="shared" si="55"/>
        <v/>
      </c>
      <c r="BZ112" t="str">
        <f t="shared" si="31"/>
        <v>{BLACK}Powered by: {GOLD}Steam {}{SILVER}The 1528 class is a small 0-4-0 tank engine. Designed for shunting, it was built in two batches, the first in 1907 and the second (as here) with minor detail changes in 1921</v>
      </c>
    </row>
    <row r="113" spans="1:78" x14ac:dyDescent="0.25">
      <c r="A113" t="s">
        <v>451</v>
      </c>
      <c r="B113" t="s">
        <v>452</v>
      </c>
      <c r="C113">
        <v>216</v>
      </c>
      <c r="D113" t="s">
        <v>295</v>
      </c>
      <c r="E113" t="s">
        <v>304</v>
      </c>
      <c r="F113" t="s">
        <v>307</v>
      </c>
      <c r="G113">
        <v>1923</v>
      </c>
      <c r="H113">
        <v>1950</v>
      </c>
      <c r="I113">
        <v>1950</v>
      </c>
      <c r="K113">
        <v>1900</v>
      </c>
      <c r="M113" s="6">
        <v>16</v>
      </c>
      <c r="N113" s="6">
        <v>26</v>
      </c>
      <c r="O113" s="6">
        <v>4</v>
      </c>
      <c r="P113" s="6">
        <v>225</v>
      </c>
      <c r="Q113" s="7">
        <f t="shared" si="58"/>
        <v>223.21480768638321</v>
      </c>
      <c r="R113" s="6">
        <v>2</v>
      </c>
      <c r="S113" s="6">
        <f t="shared" si="59"/>
        <v>2410.9090909090905</v>
      </c>
      <c r="T113">
        <v>81.099999999999994</v>
      </c>
      <c r="U113" s="9">
        <v>48</v>
      </c>
      <c r="W113">
        <v>141</v>
      </c>
      <c r="X113" s="4">
        <f t="shared" si="27"/>
        <v>0.10921766072811774</v>
      </c>
      <c r="Y113">
        <v>102</v>
      </c>
      <c r="Z113">
        <v>1</v>
      </c>
      <c r="AA113">
        <v>19.86</v>
      </c>
      <c r="AB113">
        <f>AA113-7.64</f>
        <v>12.219999999999999</v>
      </c>
      <c r="AD113">
        <v>4.07</v>
      </c>
      <c r="AE113" s="11">
        <v>0</v>
      </c>
      <c r="AF113" t="str">
        <f>CONCATENATE(VLOOKUP(AG113, 'Voxel Sizes'!$A$2:$B$18,2,FALSE),"x",INT(AC113*15), "x", INT(AD113*15))</f>
        <v>120x0x61</v>
      </c>
      <c r="AG113">
        <f t="shared" si="32"/>
        <v>7</v>
      </c>
      <c r="AH113" t="s">
        <v>454</v>
      </c>
      <c r="AI113" t="str">
        <f>CONCATENATE(VLOOKUP(AG113,Constants!$A$2:$C$16,IF(AH113&lt;&gt;"", 3, 2), FALSE),IF(AH113&lt;&gt;"",CONCATENATE(",",VLOOKUP(AH113,$B:$AI,34,FALSE)),""))</f>
        <v>2,3,2,2,1,2</v>
      </c>
      <c r="AQ113">
        <v>1</v>
      </c>
      <c r="AS113">
        <v>30</v>
      </c>
      <c r="AT113">
        <f t="shared" si="33"/>
        <v>23</v>
      </c>
      <c r="AW113">
        <f t="shared" si="34"/>
        <v>20.400000000000002</v>
      </c>
      <c r="AX113">
        <f t="shared" si="35"/>
        <v>9.5</v>
      </c>
      <c r="AY113">
        <f t="shared" si="36"/>
        <v>7.05</v>
      </c>
      <c r="AZ113" s="4">
        <f t="shared" si="41"/>
        <v>0.96933333333333338</v>
      </c>
      <c r="BA113">
        <f t="shared" si="37"/>
        <v>0</v>
      </c>
      <c r="BB113">
        <f>VLOOKUP($E113,Constants!$I:$K, 2, FALSE)</f>
        <v>1.1499999999999999</v>
      </c>
      <c r="BC113">
        <f>VLOOKUP($E113,Constants!$I:$K, 3, FALSE)*IF(AND(D113="multiple_unit",Y113&lt;110),0.75,1)</f>
        <v>1.7</v>
      </c>
      <c r="BD113">
        <f>INT(POWER(((Constants!$G$2+$AW113+$AX113+$AY113+$BA113)*$AZ113)*$BC113, 1.05))+$AV113</f>
        <v>85</v>
      </c>
      <c r="BE113">
        <f>INT(POWER((((Constants!$G$1+$AW113+$AX113+$AY113+$BA113)*($AZ113))*$BB113),IF($D113="wagon",1,1.2)))+$AU113</f>
        <v>130</v>
      </c>
      <c r="BF113" s="15">
        <f t="shared" si="38"/>
        <v>66406.25</v>
      </c>
      <c r="BG113" s="15">
        <f t="shared" si="39"/>
        <v>10562.5</v>
      </c>
      <c r="BN113">
        <v>10</v>
      </c>
      <c r="BR113" t="str">
        <f>VLOOKUP(G113,Eras!$A$2:$C$10, 2, TRUE)</f>
        <v>big4</v>
      </c>
      <c r="BS113" t="s">
        <v>361</v>
      </c>
      <c r="BT113" t="str">
        <f t="shared" si="40"/>
        <v>big4_Express</v>
      </c>
      <c r="BU113" t="str">
        <f t="shared" si="28"/>
        <v>steam_RAIL</v>
      </c>
      <c r="BV113" t="str">
        <f>VLOOKUP($BU113, Constants!$M:$N, 2, FALSE)</f>
        <v>{BLACK}Powered by: {GOLD}Steam</v>
      </c>
      <c r="BW113" t="str">
        <f t="shared" si="29"/>
        <v/>
      </c>
      <c r="BX113" t="s">
        <v>455</v>
      </c>
      <c r="BY113" t="str">
        <f t="shared" si="55"/>
        <v/>
      </c>
      <c r="BZ113" t="str">
        <f t="shared" si="31"/>
        <v>{BLACK}Powered by: {GOLD}Steam {}{SILVER}The Castle Class is a large, powerful express locomotive designed by GWR Chief Mechanical Engineer Charles Collett</v>
      </c>
    </row>
    <row r="114" spans="1:78" x14ac:dyDescent="0.25">
      <c r="A114" t="s">
        <v>1224</v>
      </c>
      <c r="B114" t="s">
        <v>1228</v>
      </c>
      <c r="C114">
        <v>217</v>
      </c>
      <c r="D114" t="s">
        <v>295</v>
      </c>
      <c r="E114" t="s">
        <v>304</v>
      </c>
      <c r="F114" t="s">
        <v>307</v>
      </c>
      <c r="G114">
        <v>1921</v>
      </c>
      <c r="H114">
        <v>1922</v>
      </c>
      <c r="I114">
        <v>1964</v>
      </c>
      <c r="K114">
        <v>1000</v>
      </c>
      <c r="M114" s="6">
        <v>20.5</v>
      </c>
      <c r="N114" s="6">
        <v>24</v>
      </c>
      <c r="O114" s="6">
        <v>2</v>
      </c>
      <c r="P114" s="6">
        <v>175</v>
      </c>
      <c r="Q114" s="7">
        <f t="shared" si="58"/>
        <v>157.43744370601161</v>
      </c>
      <c r="R114" s="6">
        <v>1.39</v>
      </c>
      <c r="S114" s="6">
        <f t="shared" si="59"/>
        <v>1002.0676640505778</v>
      </c>
      <c r="T114">
        <v>63</v>
      </c>
      <c r="U114" s="9">
        <f>104.4-63</f>
        <v>41.400000000000006</v>
      </c>
      <c r="W114">
        <v>125</v>
      </c>
      <c r="X114" s="4">
        <f t="shared" si="27"/>
        <v>0.11973180076628352</v>
      </c>
      <c r="Y114">
        <v>50</v>
      </c>
      <c r="AB114">
        <v>10</v>
      </c>
      <c r="AE114" s="11">
        <v>0</v>
      </c>
      <c r="AF114" t="str">
        <f>CONCATENATE(VLOOKUP(AG114, 'Voxel Sizes'!$A$2:$B$18,2,FALSE),"x",INT(AC114*15), "x", INT(AD114*15))</f>
        <v>102x0x0</v>
      </c>
      <c r="AG114">
        <f t="shared" si="32"/>
        <v>6</v>
      </c>
      <c r="AH114" t="s">
        <v>1235</v>
      </c>
      <c r="AI114" t="str">
        <f>CONCATENATE(VLOOKUP(AG114,Constants!$A$2:$C$16,IF(AH114&lt;&gt;"", 3, 2), FALSE),IF(AH114&lt;&gt;"",CONCATENATE(",",VLOOKUP(AH114,$B:$AI,34,FALSE)),""))</f>
        <v>2,2,2,2,1,2</v>
      </c>
      <c r="AQ114">
        <v>1</v>
      </c>
      <c r="AS114">
        <v>30</v>
      </c>
      <c r="AT114">
        <f t="shared" si="33"/>
        <v>39</v>
      </c>
      <c r="AW114">
        <f t="shared" si="34"/>
        <v>10</v>
      </c>
      <c r="AX114">
        <f t="shared" si="35"/>
        <v>5</v>
      </c>
      <c r="AY114">
        <f t="shared" si="36"/>
        <v>6.25</v>
      </c>
      <c r="AZ114" s="4">
        <f t="shared" si="41"/>
        <v>0.97199999999999998</v>
      </c>
      <c r="BA114">
        <f t="shared" si="37"/>
        <v>0</v>
      </c>
      <c r="BB114">
        <f>VLOOKUP($E114,Constants!$I:$K, 2, FALSE)</f>
        <v>1.1499999999999999</v>
      </c>
      <c r="BC114">
        <f>VLOOKUP($E114,Constants!$I:$K, 3, FALSE)*IF(AND(D114="multiple_unit",Y114&lt;110),0.75,1)</f>
        <v>1.7</v>
      </c>
      <c r="BD114">
        <f>INT(POWER(((Constants!$G$2+$AW114+$AX114+$AY114+$BA114)*$AZ114)*$BC114, 1.05))+$AV114</f>
        <v>52</v>
      </c>
      <c r="BE114">
        <f>INT(POWER((((Constants!$G$1+$AW114+$AX114+$AY114+$BA114)*($AZ114))*$BB114),IF($D114="wagon",1,1.2)))+$AU114</f>
        <v>84</v>
      </c>
      <c r="BF114" s="15">
        <f t="shared" si="38"/>
        <v>40625</v>
      </c>
      <c r="BG114" s="15">
        <f t="shared" si="39"/>
        <v>6825</v>
      </c>
      <c r="BN114">
        <v>7</v>
      </c>
      <c r="BR114" t="str">
        <f>VLOOKUP(G114,Eras!$A$2:$C$10, 2, TRUE)</f>
        <v>edw</v>
      </c>
      <c r="BS114" t="s">
        <v>362</v>
      </c>
      <c r="BT114" t="str">
        <f t="shared" si="40"/>
        <v>edw_Freight</v>
      </c>
      <c r="BU114" t="str">
        <f t="shared" si="28"/>
        <v>steam_RAIL</v>
      </c>
      <c r="BV114" t="str">
        <f>VLOOKUP($BU114, Constants!$M:$N, 2, FALSE)</f>
        <v>{BLACK}Powered by: {GOLD}Steam</v>
      </c>
      <c r="BW114" t="str">
        <f t="shared" si="29"/>
        <v/>
      </c>
      <c r="BX114" t="s">
        <v>1237</v>
      </c>
      <c r="BY114" t="str">
        <f t="shared" si="55"/>
        <v/>
      </c>
      <c r="BZ114" t="str">
        <f t="shared" si="31"/>
        <v>{BLACK}Powered by: {GOLD}Steam {}{SILVER}The LNWR G2 is an 0-8-0 freight locomotive, built from scratch as a new class and never rebuilt instead of the usual LNWR practice of rebuilding existing 8-coupled locomotives.</v>
      </c>
    </row>
    <row r="115" spans="1:78" x14ac:dyDescent="0.25">
      <c r="A115" t="s">
        <v>9</v>
      </c>
      <c r="B115" t="s">
        <v>181</v>
      </c>
      <c r="C115">
        <v>218</v>
      </c>
      <c r="D115" t="s">
        <v>295</v>
      </c>
      <c r="E115" t="s">
        <v>304</v>
      </c>
      <c r="F115" t="s">
        <v>307</v>
      </c>
      <c r="G115">
        <v>1924</v>
      </c>
      <c r="I115">
        <v>1967</v>
      </c>
      <c r="K115">
        <v>650</v>
      </c>
      <c r="M115" s="6">
        <v>18</v>
      </c>
      <c r="N115" s="6">
        <v>26</v>
      </c>
      <c r="O115" s="6">
        <v>2</v>
      </c>
      <c r="P115" s="6">
        <v>160</v>
      </c>
      <c r="Q115" s="7">
        <f t="shared" si="58"/>
        <v>140.68160148301465</v>
      </c>
      <c r="R115" s="6">
        <v>1.4</v>
      </c>
      <c r="S115" s="6">
        <f t="shared" si="59"/>
        <v>683.76623376623365</v>
      </c>
      <c r="T115">
        <v>50.2</v>
      </c>
      <c r="W115">
        <v>93</v>
      </c>
      <c r="X115" s="4">
        <f t="shared" si="27"/>
        <v>0.1852589641434263</v>
      </c>
      <c r="Y115">
        <v>45</v>
      </c>
      <c r="AA115">
        <v>9.57</v>
      </c>
      <c r="AB115">
        <v>9.57</v>
      </c>
      <c r="AE115" s="11">
        <v>0</v>
      </c>
      <c r="AF115" t="str">
        <f>CONCATENATE(VLOOKUP(AG115, 'Voxel Sizes'!$A$2:$B$18,2,FALSE),"x",INT(AC115*15), "x", INT(AD115*15))</f>
        <v>102x0x0</v>
      </c>
      <c r="AG115">
        <f t="shared" si="32"/>
        <v>6</v>
      </c>
      <c r="AI115" t="str">
        <f>CONCATENATE(VLOOKUP(AG115,Constants!$A$2:$C$16,IF(AH115&lt;&gt;"", 3, 2), FALSE),IF(AH115&lt;&gt;"",CONCATENATE(",",VLOOKUP(AH115,$B:$AI,34,FALSE)),""))</f>
        <v>2,2,2</v>
      </c>
      <c r="AQ115">
        <v>1</v>
      </c>
      <c r="AS115">
        <v>48</v>
      </c>
      <c r="AT115">
        <f t="shared" si="33"/>
        <v>39</v>
      </c>
      <c r="AW115">
        <f t="shared" si="34"/>
        <v>9</v>
      </c>
      <c r="AX115">
        <f t="shared" si="35"/>
        <v>3.25</v>
      </c>
      <c r="AY115">
        <f t="shared" si="36"/>
        <v>4.6500000000000004</v>
      </c>
      <c r="AZ115" s="4">
        <f t="shared" si="41"/>
        <v>0.96799999999999997</v>
      </c>
      <c r="BA115">
        <f t="shared" si="37"/>
        <v>0</v>
      </c>
      <c r="BB115">
        <f>VLOOKUP($E115,Constants!$I:$K, 2, FALSE)</f>
        <v>1.1499999999999999</v>
      </c>
      <c r="BC115">
        <f>VLOOKUP($E115,Constants!$I:$K, 3, FALSE)*IF(AND(D115="multiple_unit",Y115&lt;110),0.75,1)</f>
        <v>1.7</v>
      </c>
      <c r="BD115">
        <f>INT(POWER(((Constants!$G$2+$AW115+$AX115+$AY115+$BA115)*$AZ115)*$BC115, 1.05))+$AV115</f>
        <v>43</v>
      </c>
      <c r="BE115">
        <f>INT(POWER((((Constants!$G$1+$AW115+$AX115+$AY115+$BA115)*($AZ115))*$BB115),IF($D115="wagon",1,1.2)))+$AU115</f>
        <v>72</v>
      </c>
      <c r="BF115" s="15">
        <f t="shared" si="38"/>
        <v>33593.75</v>
      </c>
      <c r="BG115" s="15">
        <f t="shared" si="39"/>
        <v>5850</v>
      </c>
      <c r="BN115">
        <v>11</v>
      </c>
      <c r="BR115" t="str">
        <f>VLOOKUP(G115,Eras!$A$2:$C$10, 2, TRUE)</f>
        <v>big4</v>
      </c>
      <c r="BS115" t="s">
        <v>359</v>
      </c>
      <c r="BT115" t="str">
        <f t="shared" si="40"/>
        <v>big4_Cheap</v>
      </c>
      <c r="BU115" t="str">
        <f t="shared" si="28"/>
        <v>steam_RAIL</v>
      </c>
      <c r="BV115" t="str">
        <f>VLOOKUP($BU115, Constants!$M:$N, 2, FALSE)</f>
        <v>{BLACK}Powered by: {GOLD}Steam</v>
      </c>
      <c r="BW115" t="str">
        <f t="shared" si="29"/>
        <v/>
      </c>
      <c r="BX115" t="s">
        <v>384</v>
      </c>
      <c r="BY115" t="str">
        <f t="shared" si="55"/>
        <v/>
      </c>
      <c r="BZ115" t="str">
        <f t="shared" si="31"/>
        <v>{BLACK}Powered by: {GOLD}Steam {}{SILVER}The Jinty is a popular tank engine that was built in large quantities. Although small and low powered it is reliable and cheap to run. Jinties were sometimes run in pairs (or more) for working on steep inclines.</v>
      </c>
    </row>
    <row r="116" spans="1:78" x14ac:dyDescent="0.25">
      <c r="A116" t="s">
        <v>1231</v>
      </c>
      <c r="B116" t="s">
        <v>1232</v>
      </c>
      <c r="C116">
        <v>219</v>
      </c>
      <c r="D116" t="s">
        <v>295</v>
      </c>
      <c r="E116" t="s">
        <v>304</v>
      </c>
      <c r="F116" t="s">
        <v>307</v>
      </c>
      <c r="G116">
        <v>1921</v>
      </c>
      <c r="H116">
        <v>1922</v>
      </c>
      <c r="I116">
        <v>1959</v>
      </c>
      <c r="K116">
        <v>1350</v>
      </c>
      <c r="M116" s="6">
        <v>20.5</v>
      </c>
      <c r="N116" s="6">
        <v>26</v>
      </c>
      <c r="O116" s="6">
        <v>2</v>
      </c>
      <c r="P116" s="6">
        <v>180</v>
      </c>
      <c r="Q116" s="7">
        <f t="shared" si="58"/>
        <v>195.8024628827923</v>
      </c>
      <c r="R116" s="6">
        <v>1.9</v>
      </c>
      <c r="S116" s="6">
        <f t="shared" si="59"/>
        <v>1388.6849581339709</v>
      </c>
      <c r="T116">
        <v>62.2</v>
      </c>
      <c r="U116" s="9">
        <v>40</v>
      </c>
      <c r="W116">
        <v>95</v>
      </c>
      <c r="X116" s="4">
        <f t="shared" si="27"/>
        <v>9.2954990215264183E-2</v>
      </c>
      <c r="Y116">
        <v>85</v>
      </c>
      <c r="AB116">
        <v>10</v>
      </c>
      <c r="AE116" s="11">
        <v>0</v>
      </c>
      <c r="AF116" t="str">
        <f>CONCATENATE(VLOOKUP(AG116, 'Voxel Sizes'!$A$2:$B$18,2,FALSE),"x",INT(AC116*15), "x", INT(AD116*15))</f>
        <v>102x0x0</v>
      </c>
      <c r="AG116">
        <f t="shared" si="32"/>
        <v>6</v>
      </c>
      <c r="AH116" t="s">
        <v>1235</v>
      </c>
      <c r="AI116" t="str">
        <f>CONCATENATE(VLOOKUP(AG116,Constants!$A$2:$C$16,IF(AH116&lt;&gt;"", 3, 2), FALSE),IF(AH116&lt;&gt;"",CONCATENATE(",",VLOOKUP(AH116,$B:$AI,34,FALSE)),""))</f>
        <v>2,2,2,2,1,2</v>
      </c>
      <c r="AS116">
        <v>31</v>
      </c>
      <c r="AT116">
        <f t="shared" si="33"/>
        <v>34</v>
      </c>
      <c r="AW116">
        <f t="shared" si="34"/>
        <v>17</v>
      </c>
      <c r="AX116">
        <f t="shared" si="35"/>
        <v>6.75</v>
      </c>
      <c r="AY116">
        <f t="shared" si="36"/>
        <v>4.75</v>
      </c>
      <c r="AZ116" s="4">
        <f t="shared" si="41"/>
        <v>0.97199999999999998</v>
      </c>
      <c r="BA116">
        <f t="shared" si="37"/>
        <v>0</v>
      </c>
      <c r="BB116">
        <f>VLOOKUP($E116,Constants!$I:$K, 2, FALSE)</f>
        <v>1.1499999999999999</v>
      </c>
      <c r="BC116">
        <f>VLOOKUP($E116,Constants!$I:$K, 3, FALSE)*IF(AND(D116="multiple_unit",Y116&lt;110),0.75,1)</f>
        <v>1.7</v>
      </c>
      <c r="BD116">
        <f>INT(POWER(((Constants!$G$2+$AW116+$AX116+$AY116+$BA116)*$AZ116)*$BC116, 1.05))+$AV116</f>
        <v>67</v>
      </c>
      <c r="BE116">
        <f>INT(POWER((((Constants!$G$1+$AW116+$AX116+$AY116+$BA116)*($AZ116))*$BB116),IF($D116="wagon",1,1.2)))+$AU116</f>
        <v>105</v>
      </c>
      <c r="BF116" s="15">
        <f t="shared" si="38"/>
        <v>52343.75</v>
      </c>
      <c r="BG116" s="15">
        <f t="shared" si="39"/>
        <v>8531.25</v>
      </c>
      <c r="BN116">
        <v>8</v>
      </c>
      <c r="BR116" t="str">
        <f>VLOOKUP(G116,Eras!$A$2:$C$10, 2, TRUE)</f>
        <v>edw</v>
      </c>
      <c r="BS116" t="s">
        <v>361</v>
      </c>
      <c r="BT116" t="str">
        <f t="shared" si="40"/>
        <v>edw_Express</v>
      </c>
      <c r="BU116" t="str">
        <f t="shared" si="28"/>
        <v>steam_RAIL</v>
      </c>
      <c r="BV116" t="str">
        <f>VLOOKUP($BU116, Constants!$M:$N, 2, FALSE)</f>
        <v>{BLACK}Powered by: {GOLD}Steam</v>
      </c>
      <c r="BW116" t="str">
        <f t="shared" si="29"/>
        <v/>
      </c>
      <c r="BX116" t="s">
        <v>1238</v>
      </c>
      <c r="BY116" t="str">
        <f t="shared" si="55"/>
        <v/>
      </c>
      <c r="BZ116" t="str">
        <f t="shared" si="31"/>
        <v>{BLACK}Powered by: {GOLD}Steam {}{SILVER}The Caledonian 72 class was a 4-4-0 express locomotive, later inherited by the LMS after grouping.</v>
      </c>
    </row>
    <row r="117" spans="1:78" x14ac:dyDescent="0.25">
      <c r="A117" t="s">
        <v>18</v>
      </c>
      <c r="B117" t="s">
        <v>182</v>
      </c>
      <c r="C117">
        <v>220</v>
      </c>
      <c r="D117" t="s">
        <v>295</v>
      </c>
      <c r="E117" t="s">
        <v>304</v>
      </c>
      <c r="F117" t="s">
        <v>307</v>
      </c>
      <c r="G117">
        <v>1924</v>
      </c>
      <c r="H117">
        <v>1928</v>
      </c>
      <c r="I117">
        <v>1965</v>
      </c>
      <c r="K117">
        <v>900</v>
      </c>
      <c r="T117">
        <v>62</v>
      </c>
      <c r="W117">
        <v>115</v>
      </c>
      <c r="X117" s="4">
        <f t="shared" si="27"/>
        <v>0.18548387096774194</v>
      </c>
      <c r="Y117">
        <v>50</v>
      </c>
      <c r="AA117">
        <v>11.43</v>
      </c>
      <c r="AB117">
        <v>11.43</v>
      </c>
      <c r="AE117" s="11">
        <v>0</v>
      </c>
      <c r="AF117" t="str">
        <f>CONCATENATE(VLOOKUP(AG117, 'Voxel Sizes'!$A$2:$B$18,2,FALSE),"x",INT(AC117*15), "x", INT(AD117*15))</f>
        <v>120x0x0</v>
      </c>
      <c r="AG117">
        <f t="shared" si="32"/>
        <v>7</v>
      </c>
      <c r="AI117" t="str">
        <f>CONCATENATE(VLOOKUP(AG117,Constants!$A$2:$C$16,IF(AH117&lt;&gt;"", 3, 2), FALSE),IF(AH117&lt;&gt;"",CONCATENATE(",",VLOOKUP(AH117,$B:$AI,34,FALSE)),""))</f>
        <v>2,3,2</v>
      </c>
      <c r="AQ117">
        <v>1</v>
      </c>
      <c r="AS117">
        <v>33</v>
      </c>
      <c r="AT117">
        <f t="shared" si="33"/>
        <v>37</v>
      </c>
      <c r="AW117">
        <f t="shared" si="34"/>
        <v>10</v>
      </c>
      <c r="AX117">
        <f t="shared" si="35"/>
        <v>4.5</v>
      </c>
      <c r="AY117">
        <f t="shared" si="36"/>
        <v>5.75</v>
      </c>
      <c r="AZ117" s="4">
        <f t="shared" si="41"/>
        <v>0.96799999999999997</v>
      </c>
      <c r="BA117">
        <f t="shared" si="37"/>
        <v>0</v>
      </c>
      <c r="BB117">
        <f>VLOOKUP($E117,Constants!$I:$K, 2, FALSE)</f>
        <v>1.1499999999999999</v>
      </c>
      <c r="BC117">
        <f>VLOOKUP($E117,Constants!$I:$K, 3, FALSE)*IF(AND(D117="multiple_unit",Y117&lt;110),0.75,1)</f>
        <v>1.7</v>
      </c>
      <c r="BD117">
        <f>INT(POWER(((Constants!$G$2+$AW117+$AX117+$AY117+$BA117)*$AZ117)*$BC117, 1.05))+$AV117</f>
        <v>50</v>
      </c>
      <c r="BE117">
        <f>INT(POWER((((Constants!$G$1+$AW117+$AX117+$AY117+$BA117)*($AZ117))*$BB117),IF($D117="wagon",1,1.2)))+$AU117</f>
        <v>81</v>
      </c>
      <c r="BF117" s="15">
        <f t="shared" si="38"/>
        <v>39062.5</v>
      </c>
      <c r="BG117" s="15">
        <f t="shared" si="39"/>
        <v>6581.25</v>
      </c>
      <c r="BN117">
        <v>12</v>
      </c>
      <c r="BR117" t="str">
        <f>VLOOKUP(G117,Eras!$A$2:$C$10, 2, TRUE)</f>
        <v>big4</v>
      </c>
      <c r="BS117" t="s">
        <v>360</v>
      </c>
      <c r="BT117" t="str">
        <f t="shared" si="40"/>
        <v>big4_Mixed Traffic</v>
      </c>
      <c r="BU117" t="str">
        <f t="shared" si="28"/>
        <v>steam_RAIL</v>
      </c>
      <c r="BV117" t="str">
        <f>VLOOKUP($BU117, Constants!$M:$N, 2, FALSE)</f>
        <v>{BLACK}Powered by: {GOLD}Steam</v>
      </c>
      <c r="BW117" t="str">
        <f t="shared" si="29"/>
        <v/>
      </c>
      <c r="BX117" t="s">
        <v>385</v>
      </c>
      <c r="BY117" t="str">
        <f t="shared" si="55"/>
        <v/>
      </c>
      <c r="BZ117" t="str">
        <f t="shared" si="31"/>
        <v>{BLACK}Powered by: {GOLD}Steam {}{SILVER}The 5600 Class is a large tank engine that offers more power and tractive effort than smaller 0-6-0 tank engines, at the expense of greater weight and higher running costs.</v>
      </c>
    </row>
    <row r="118" spans="1:78" x14ac:dyDescent="0.25">
      <c r="A118" t="s">
        <v>1226</v>
      </c>
      <c r="B118" t="s">
        <v>1227</v>
      </c>
      <c r="C118">
        <v>221</v>
      </c>
      <c r="D118" t="s">
        <v>295</v>
      </c>
      <c r="E118" t="s">
        <v>304</v>
      </c>
      <c r="F118" t="s">
        <v>307</v>
      </c>
      <c r="G118">
        <v>1923</v>
      </c>
      <c r="I118">
        <v>1951</v>
      </c>
      <c r="K118">
        <v>1000</v>
      </c>
      <c r="M118" s="6">
        <v>20</v>
      </c>
      <c r="N118" s="6">
        <v>26</v>
      </c>
      <c r="O118" s="6">
        <v>2</v>
      </c>
      <c r="P118" s="6">
        <v>185</v>
      </c>
      <c r="Q118" s="7">
        <f>((($Y118/2)/60)*5280)/($R118*3.2*PI())</f>
        <v>144.81929564427978</v>
      </c>
      <c r="R118" s="6">
        <v>1.36</v>
      </c>
      <c r="S118" s="6">
        <f>((($M118*$M118/4)*PI())*($N118/12)*$O118*$P118*$Q118)/(33000*1.1)</f>
        <v>1004.7627005347595</v>
      </c>
      <c r="T118">
        <v>61</v>
      </c>
      <c r="W118">
        <v>133</v>
      </c>
      <c r="X118" s="4">
        <f t="shared" si="27"/>
        <v>0.21803278688524591</v>
      </c>
      <c r="Y118">
        <v>45</v>
      </c>
      <c r="AB118">
        <v>14</v>
      </c>
      <c r="AE118" s="11">
        <v>0</v>
      </c>
      <c r="AF118" t="str">
        <f>CONCATENATE(VLOOKUP(AG118, 'Voxel Sizes'!$A$2:$B$18,2,FALSE),"x",INT(AC118*15), "x", INT(AD118*15))</f>
        <v>136x0x0</v>
      </c>
      <c r="AG118">
        <f t="shared" si="32"/>
        <v>8</v>
      </c>
      <c r="AI118" t="str">
        <f>CONCATENATE(VLOOKUP(AG118,Constants!$A$2:$C$16,IF(AH118&lt;&gt;"", 3, 2), FALSE),IF(AH118&lt;&gt;"",CONCATENATE(",",VLOOKUP(AH118,$B:$AI,34,FALSE)),""))</f>
        <v>2,4,2</v>
      </c>
      <c r="AQ118">
        <v>1</v>
      </c>
      <c r="AS118">
        <v>30</v>
      </c>
      <c r="AT118">
        <f t="shared" si="33"/>
        <v>24</v>
      </c>
      <c r="AW118">
        <f t="shared" si="34"/>
        <v>9</v>
      </c>
      <c r="AX118">
        <f t="shared" si="35"/>
        <v>5</v>
      </c>
      <c r="AY118">
        <f t="shared" si="36"/>
        <v>6.65</v>
      </c>
      <c r="AZ118" s="4">
        <f t="shared" si="41"/>
        <v>0.96933333333333338</v>
      </c>
      <c r="BA118">
        <f t="shared" si="37"/>
        <v>0</v>
      </c>
      <c r="BB118">
        <f>VLOOKUP($E118,Constants!$I:$K, 2, FALSE)</f>
        <v>1.1499999999999999</v>
      </c>
      <c r="BC118">
        <f>VLOOKUP($E118,Constants!$I:$K, 3, FALSE)*IF(AND(D118="multiple_unit",Y118&lt;110),0.75,1)</f>
        <v>1.7</v>
      </c>
      <c r="BD118">
        <f>INT(POWER(((Constants!$G$2+$AW118+$AX118+$AY118+$BA118)*$AZ118)*$BC118, 1.05))+$AV118</f>
        <v>50</v>
      </c>
      <c r="BE118">
        <f>INT(POWER((((Constants!$G$1+$AW118+$AX118+$AY118+$BA118)*($AZ118))*$BB118),IF($D118="wagon",1,1.2)))+$AU118</f>
        <v>82</v>
      </c>
      <c r="BF118" s="15">
        <f t="shared" si="38"/>
        <v>39062.5</v>
      </c>
      <c r="BG118" s="15">
        <f t="shared" si="39"/>
        <v>6662.5</v>
      </c>
      <c r="BN118">
        <v>5</v>
      </c>
      <c r="BR118" t="str">
        <f>VLOOKUP(G118,Eras!$A$2:$C$10, 2, TRUE)</f>
        <v>big4</v>
      </c>
      <c r="BS118" t="s">
        <v>362</v>
      </c>
      <c r="BT118" t="str">
        <f t="shared" si="40"/>
        <v>big4_Freight</v>
      </c>
      <c r="BU118" t="str">
        <f t="shared" si="28"/>
        <v>steam_RAIL</v>
      </c>
      <c r="BV118" t="str">
        <f>VLOOKUP($BU118, Constants!$M:$N, 2, FALSE)</f>
        <v>{BLACK}Powered by: {GOLD}Steam</v>
      </c>
      <c r="BW118" t="str">
        <f t="shared" si="29"/>
        <v/>
      </c>
      <c r="BX118" t="s">
        <v>1239</v>
      </c>
      <c r="BY118" t="str">
        <f t="shared" si="55"/>
        <v/>
      </c>
      <c r="BZ118" t="str">
        <f t="shared" si="31"/>
        <v>{BLACK}Powered by: {GOLD}Steam {}{SILVER}The LNWR 380 class is a large tank locomotive with an 0-8-4T chassis. It was derived from the LNWR's 0-8-0 tender engines and similar 0-8-2T tanks.</v>
      </c>
    </row>
    <row r="119" spans="1:78" x14ac:dyDescent="0.25">
      <c r="A119" t="s">
        <v>28</v>
      </c>
      <c r="B119" t="s">
        <v>328</v>
      </c>
      <c r="C119">
        <v>222</v>
      </c>
      <c r="D119" t="s">
        <v>295</v>
      </c>
      <c r="E119" t="s">
        <v>304</v>
      </c>
      <c r="F119" t="s">
        <v>307</v>
      </c>
      <c r="G119">
        <v>1926</v>
      </c>
      <c r="H119">
        <v>1932</v>
      </c>
      <c r="I119">
        <v>1967</v>
      </c>
      <c r="K119">
        <v>1400</v>
      </c>
      <c r="M119" s="6">
        <v>21</v>
      </c>
      <c r="N119" s="6">
        <v>26</v>
      </c>
      <c r="O119" s="6">
        <v>2</v>
      </c>
      <c r="P119" s="6">
        <v>180</v>
      </c>
      <c r="Q119" s="7">
        <f>((($Y119/2)/60)*5280)/($R119*3.2*PI())</f>
        <v>191.48329090743655</v>
      </c>
      <c r="R119" s="6">
        <v>1.6</v>
      </c>
      <c r="S119" s="6">
        <f>((($M119*$M119/4)*PI())*($N119/12)*$O119*$P119*$Q119)/(33000*1.1)</f>
        <v>1425.1065340909088</v>
      </c>
      <c r="T119">
        <v>67</v>
      </c>
      <c r="U119" s="9">
        <v>46</v>
      </c>
      <c r="W119">
        <v>118</v>
      </c>
      <c r="X119" s="4">
        <f t="shared" si="27"/>
        <v>0.10442477876106195</v>
      </c>
      <c r="Y119">
        <v>70</v>
      </c>
      <c r="AA119">
        <v>10.44</v>
      </c>
      <c r="AB119">
        <v>10.44</v>
      </c>
      <c r="AE119" s="11">
        <v>0</v>
      </c>
      <c r="AF119" t="str">
        <f>CONCATENATE(VLOOKUP(AG119, 'Voxel Sizes'!$A$2:$B$18,2,FALSE),"x",INT(AC119*15), "x", INT(AD119*15))</f>
        <v>102x0x0</v>
      </c>
      <c r="AG119">
        <f t="shared" si="32"/>
        <v>6</v>
      </c>
      <c r="AH119" t="s">
        <v>322</v>
      </c>
      <c r="AI119" t="str">
        <f>CONCATENATE(VLOOKUP(AG119,Constants!$A$2:$C$16,IF(AH119&lt;&gt;"", 3, 2), FALSE),IF(AH119&lt;&gt;"",CONCATENATE(",",VLOOKUP(AH119,$B:$AI,34,FALSE)),""))</f>
        <v>2,2,2,2,1,2</v>
      </c>
      <c r="AQ119">
        <v>1</v>
      </c>
      <c r="AS119">
        <v>28</v>
      </c>
      <c r="AT119">
        <f t="shared" si="33"/>
        <v>37</v>
      </c>
      <c r="AW119">
        <f t="shared" si="34"/>
        <v>14</v>
      </c>
      <c r="AX119">
        <f t="shared" si="35"/>
        <v>7</v>
      </c>
      <c r="AY119">
        <f t="shared" si="36"/>
        <v>5.8999999999999995</v>
      </c>
      <c r="AZ119" s="4">
        <f t="shared" si="41"/>
        <v>0.96533333333333338</v>
      </c>
      <c r="BA119">
        <f t="shared" si="37"/>
        <v>0</v>
      </c>
      <c r="BB119">
        <f>VLOOKUP($E119,Constants!$I:$K, 2, FALSE)</f>
        <v>1.1499999999999999</v>
      </c>
      <c r="BC119">
        <f>VLOOKUP($E119,Constants!$I:$K, 3, FALSE)*IF(AND(D119="multiple_unit",Y119&lt;110),0.75,1)</f>
        <v>1.7</v>
      </c>
      <c r="BD119">
        <f>INT(POWER(((Constants!$G$2+$AW119+$AX119+$AY119+$BA119)*$AZ119)*$BC119, 1.05))+$AV119</f>
        <v>63</v>
      </c>
      <c r="BE119">
        <f>INT(POWER((((Constants!$G$1+$AW119+$AX119+$AY119+$BA119)*($AZ119))*$BB119),IF($D119="wagon",1,1.2)))+$AU119</f>
        <v>100</v>
      </c>
      <c r="BF119" s="15">
        <f t="shared" si="38"/>
        <v>49218.75</v>
      </c>
      <c r="BG119" s="15">
        <f t="shared" si="39"/>
        <v>8125</v>
      </c>
      <c r="BN119">
        <v>1</v>
      </c>
      <c r="BR119" t="str">
        <f>VLOOKUP(G119,Eras!$A$2:$C$10, 2, TRUE)</f>
        <v>big4</v>
      </c>
      <c r="BS119" t="s">
        <v>361</v>
      </c>
      <c r="BT119" t="str">
        <f t="shared" si="40"/>
        <v>big4_Express</v>
      </c>
      <c r="BU119" t="str">
        <f t="shared" si="28"/>
        <v>steam_RAIL</v>
      </c>
      <c r="BV119" t="str">
        <f>VLOOKUP($BU119, Constants!$M:$N, 2, FALSE)</f>
        <v>{BLACK}Powered by: {GOLD}Steam</v>
      </c>
      <c r="BW119" t="str">
        <f t="shared" si="29"/>
        <v/>
      </c>
      <c r="BX119" t="s">
        <v>386</v>
      </c>
      <c r="BY119" t="str">
        <f t="shared" si="55"/>
        <v/>
      </c>
      <c r="BZ119" t="str">
        <f t="shared" si="31"/>
        <v>{BLACK}Powered by: {GOLD}Steam {}{SILVER}The Hughes Crab was named for its distinctive "scuttling" motion, caused by the inclined cylinders.</v>
      </c>
    </row>
    <row r="120" spans="1:78" x14ac:dyDescent="0.25">
      <c r="A120" t="s">
        <v>21</v>
      </c>
      <c r="B120" t="s">
        <v>179</v>
      </c>
      <c r="C120">
        <v>223</v>
      </c>
      <c r="D120" t="s">
        <v>165</v>
      </c>
      <c r="E120" t="s">
        <v>304</v>
      </c>
      <c r="F120" t="s">
        <v>307</v>
      </c>
      <c r="G120">
        <v>1922</v>
      </c>
      <c r="H120">
        <v>1924</v>
      </c>
      <c r="W120">
        <v>119</v>
      </c>
      <c r="X120" s="4" t="str">
        <f t="shared" si="27"/>
        <v/>
      </c>
      <c r="AE120" s="11">
        <v>0</v>
      </c>
      <c r="AF120" t="str">
        <f>CONCATENATE(VLOOKUP(AG120, 'Voxel Sizes'!$A$2:$B$18,2,FALSE),"x",INT(AC120*15), "x", INT(AD120*15))</f>
        <v>0x0x0</v>
      </c>
      <c r="AG120">
        <f t="shared" si="32"/>
        <v>0</v>
      </c>
      <c r="AI120" t="str">
        <f>CONCATENATE(VLOOKUP(AG120,Constants!$A$2:$C$16,IF(AH120&lt;&gt;"", 3, 2), FALSE),IF(AH120&lt;&gt;"",CONCATENATE(",",VLOOKUP(AH120,$B:$AI,34,FALSE)),""))</f>
        <v>na</v>
      </c>
      <c r="AQ120">
        <v>1</v>
      </c>
      <c r="AS120">
        <v>30</v>
      </c>
      <c r="AT120" t="str">
        <f t="shared" si="33"/>
        <v/>
      </c>
      <c r="AW120">
        <f t="shared" si="34"/>
        <v>0</v>
      </c>
      <c r="AX120">
        <f t="shared" si="35"/>
        <v>0</v>
      </c>
      <c r="AY120">
        <f t="shared" si="36"/>
        <v>5.9499999999999993</v>
      </c>
      <c r="AZ120" s="4">
        <f t="shared" si="41"/>
        <v>0.97066666666666668</v>
      </c>
      <c r="BA120">
        <f t="shared" si="37"/>
        <v>0</v>
      </c>
      <c r="BB120">
        <f>VLOOKUP($E120,Constants!$I:$K, 2, FALSE)</f>
        <v>1.1499999999999999</v>
      </c>
      <c r="BC120">
        <f>VLOOKUP($E120,Constants!$I:$K, 3, FALSE)*IF(AND(D120="multiple_unit",Y120&lt;110),0.75,1)</f>
        <v>1.7</v>
      </c>
      <c r="BD120">
        <f>INT(POWER(((Constants!$G$2+$AW120+$AX120+$AY120+$BA120)*$AZ120)*$BC120, 1.05))+$AV120</f>
        <v>20</v>
      </c>
      <c r="BE120">
        <f>INT(POWER((((Constants!$G$1+$AW120+$AX120+$AY120+$BA120)*($AZ120))*$BB120),IF($D120="wagon",1,1.2)))+$AU120</f>
        <v>43</v>
      </c>
      <c r="BF120" s="15">
        <f t="shared" si="38"/>
        <v>15625</v>
      </c>
      <c r="BG120" s="15">
        <f t="shared" si="39"/>
        <v>3493.75</v>
      </c>
      <c r="BN120">
        <v>8</v>
      </c>
      <c r="BR120" t="str">
        <f>VLOOKUP(G120,Eras!$A$2:$C$10, 2, TRUE)</f>
        <v>edw</v>
      </c>
      <c r="BT120" t="str">
        <f t="shared" si="40"/>
        <v>edw_</v>
      </c>
      <c r="BU120" t="str">
        <f t="shared" si="28"/>
        <v>steam_RAIL</v>
      </c>
      <c r="BV120" t="str">
        <f>VLOOKUP($BU120, Constants!$M:$N, 2, FALSE)</f>
        <v>{BLACK}Powered by: {GOLD}Steam</v>
      </c>
      <c r="BW120" t="str">
        <f t="shared" si="29"/>
        <v/>
      </c>
      <c r="BY120" t="str">
        <f t="shared" si="55"/>
        <v/>
      </c>
      <c r="BZ120" t="str">
        <f t="shared" si="31"/>
        <v>{BLACK}Powered by: {GOLD}Steam {}{SILVER}</v>
      </c>
    </row>
    <row r="121" spans="1:78" x14ac:dyDescent="0.25">
      <c r="A121" t="s">
        <v>144</v>
      </c>
      <c r="B121" t="s">
        <v>457</v>
      </c>
      <c r="C121">
        <v>224</v>
      </c>
      <c r="D121" t="s">
        <v>295</v>
      </c>
      <c r="E121" t="s">
        <v>304</v>
      </c>
      <c r="F121" t="s">
        <v>307</v>
      </c>
      <c r="G121">
        <v>1927</v>
      </c>
      <c r="I121">
        <v>1961</v>
      </c>
      <c r="K121">
        <v>1200</v>
      </c>
      <c r="M121" s="6">
        <v>17</v>
      </c>
      <c r="N121" s="6">
        <v>26</v>
      </c>
      <c r="O121" s="6">
        <v>3</v>
      </c>
      <c r="P121" s="6">
        <v>180</v>
      </c>
      <c r="Q121" s="7">
        <f t="shared" ref="Q121:Q127" si="60">((($Y121/2)/60)*5280)/($R121*3.2*PI())</f>
        <v>164.12853506351706</v>
      </c>
      <c r="R121" s="6">
        <v>2</v>
      </c>
      <c r="S121" s="6">
        <f t="shared" ref="S121:S127" si="61">((($M121*$M121/4)*PI())*($N121/12)*$O121*$P121*$Q121)/(33000*1.1)</f>
        <v>1200.7457386363637</v>
      </c>
      <c r="T121">
        <v>66</v>
      </c>
      <c r="U121" s="9">
        <v>53</v>
      </c>
      <c r="W121">
        <v>96</v>
      </c>
      <c r="X121" s="4">
        <f t="shared" ref="X121:X184" si="62">IF(AND(T121&gt;0,W121&gt;0),(W121/((T121+U121)*10)),"")</f>
        <v>8.067226890756303E-2</v>
      </c>
      <c r="Y121">
        <v>75</v>
      </c>
      <c r="AA121">
        <v>17.899999999999999</v>
      </c>
      <c r="AB121">
        <f>AA121-7.5</f>
        <v>10.399999999999999</v>
      </c>
      <c r="AE121" s="11">
        <v>0</v>
      </c>
      <c r="AF121" t="str">
        <f>CONCATENATE(VLOOKUP(AG121, 'Voxel Sizes'!$A$2:$B$18,2,FALSE),"x",INT(AC121*15), "x", INT(AD121*15))</f>
        <v>102x0x0</v>
      </c>
      <c r="AG121">
        <f t="shared" si="32"/>
        <v>6</v>
      </c>
      <c r="AH121" t="s">
        <v>423</v>
      </c>
      <c r="AI121" t="str">
        <f>CONCATENATE(VLOOKUP(AG121,Constants!$A$2:$C$16,IF(AH121&lt;&gt;"", 3, 2), FALSE),IF(AH121&lt;&gt;"",CONCATENATE(",",VLOOKUP(AH121,$B:$AI,34,FALSE)),""))</f>
        <v>2,2,2,2,1,2</v>
      </c>
      <c r="AQ121">
        <v>1</v>
      </c>
      <c r="AS121">
        <v>30</v>
      </c>
      <c r="AT121">
        <f t="shared" si="33"/>
        <v>30</v>
      </c>
      <c r="AW121">
        <f t="shared" si="34"/>
        <v>15</v>
      </c>
      <c r="AX121">
        <f t="shared" si="35"/>
        <v>6</v>
      </c>
      <c r="AY121">
        <f t="shared" si="36"/>
        <v>4.8</v>
      </c>
      <c r="AZ121" s="4">
        <f t="shared" si="41"/>
        <v>0.96399999999999997</v>
      </c>
      <c r="BA121">
        <f t="shared" si="37"/>
        <v>0</v>
      </c>
      <c r="BB121">
        <f>VLOOKUP($E121,Constants!$I:$K, 2, FALSE)</f>
        <v>1.1499999999999999</v>
      </c>
      <c r="BC121">
        <f>VLOOKUP($E121,Constants!$I:$K, 3, FALSE)*IF(AND(D121="multiple_unit",Y121&lt;110),0.75,1)</f>
        <v>1.7</v>
      </c>
      <c r="BD121">
        <f>INT(POWER(((Constants!$G$2+$AW121+$AX121+$AY121+$BA121)*$AZ121)*$BC121, 1.05))+$AV121</f>
        <v>61</v>
      </c>
      <c r="BE121">
        <f>INT(POWER((((Constants!$G$1+$AW121+$AX121+$AY121+$BA121)*($AZ121))*$BB121),IF($D121="wagon",1,1.2)))+$AU121</f>
        <v>96</v>
      </c>
      <c r="BF121" s="15">
        <f t="shared" si="38"/>
        <v>47656.25</v>
      </c>
      <c r="BG121" s="15">
        <f t="shared" si="39"/>
        <v>7800</v>
      </c>
      <c r="BN121">
        <v>2</v>
      </c>
      <c r="BR121" t="str">
        <f>VLOOKUP(G121,Eras!$A$2:$C$10, 2, TRUE)</f>
        <v>big4</v>
      </c>
      <c r="BS121" t="s">
        <v>410</v>
      </c>
      <c r="BT121" t="str">
        <f t="shared" si="40"/>
        <v>big4_Passenger</v>
      </c>
      <c r="BU121" t="str">
        <f t="shared" si="28"/>
        <v>steam_RAIL</v>
      </c>
      <c r="BV121" t="str">
        <f>VLOOKUP($BU121, Constants!$M:$N, 2, FALSE)</f>
        <v>{BLACK}Powered by: {GOLD}Steam</v>
      </c>
      <c r="BW121" t="str">
        <f t="shared" si="29"/>
        <v/>
      </c>
      <c r="BX121" t="s">
        <v>456</v>
      </c>
      <c r="BY121" t="str">
        <f t="shared" si="55"/>
        <v/>
      </c>
      <c r="BZ121" t="str">
        <f t="shared" si="31"/>
        <v>{BLACK}Powered by: {GOLD}Steam {}{SILVER}The D49 is a Nigel Gresley designed 4-4-0 locomotive for passenger traffic.</v>
      </c>
    </row>
    <row r="122" spans="1:78" x14ac:dyDescent="0.25">
      <c r="A122" t="s">
        <v>459</v>
      </c>
      <c r="B122" t="s">
        <v>458</v>
      </c>
      <c r="C122">
        <v>226</v>
      </c>
      <c r="D122" t="s">
        <v>295</v>
      </c>
      <c r="E122" t="s">
        <v>304</v>
      </c>
      <c r="F122" t="s">
        <v>307</v>
      </c>
      <c r="G122">
        <v>1927</v>
      </c>
      <c r="H122">
        <v>1936</v>
      </c>
      <c r="I122">
        <v>1962</v>
      </c>
      <c r="K122">
        <v>2300</v>
      </c>
      <c r="M122" s="6">
        <v>16.25</v>
      </c>
      <c r="N122" s="6">
        <v>28</v>
      </c>
      <c r="O122" s="6">
        <v>4</v>
      </c>
      <c r="P122" s="6">
        <v>250</v>
      </c>
      <c r="Q122" s="7">
        <f t="shared" si="60"/>
        <v>232.10095867568069</v>
      </c>
      <c r="R122" s="6">
        <v>1.98</v>
      </c>
      <c r="S122" s="6">
        <f t="shared" si="61"/>
        <v>3094.166690580043</v>
      </c>
      <c r="T122">
        <v>90.4</v>
      </c>
      <c r="W122">
        <v>179</v>
      </c>
      <c r="X122" s="4">
        <f t="shared" si="62"/>
        <v>0.19800884955752213</v>
      </c>
      <c r="Y122">
        <v>105</v>
      </c>
      <c r="AA122">
        <v>20.78</v>
      </c>
      <c r="AB122">
        <f>AA122-7.5</f>
        <v>13.280000000000001</v>
      </c>
      <c r="AD122">
        <v>4.08</v>
      </c>
      <c r="AE122" s="11">
        <v>0</v>
      </c>
      <c r="AF122" t="str">
        <f>CONCATENATE(VLOOKUP(AG122, 'Voxel Sizes'!$A$2:$B$18,2,FALSE),"x",INT(AC122*15), "x", INT(AD122*15))</f>
        <v>136x0x61</v>
      </c>
      <c r="AG122">
        <f t="shared" si="32"/>
        <v>8</v>
      </c>
      <c r="AH122" t="s">
        <v>454</v>
      </c>
      <c r="AI122" t="str">
        <f>CONCATENATE(VLOOKUP(AG122,Constants!$A$2:$C$16,IF(AH122&lt;&gt;"", 3, 2), FALSE),IF(AH122&lt;&gt;"",CONCATENATE(",",VLOOKUP(AH122,$B:$AI,34,FALSE)),""))</f>
        <v>2,4,2,2,1,2</v>
      </c>
      <c r="AQ122">
        <v>1</v>
      </c>
      <c r="AS122">
        <v>30</v>
      </c>
      <c r="AT122">
        <f t="shared" si="33"/>
        <v>31</v>
      </c>
      <c r="AW122">
        <f t="shared" si="34"/>
        <v>21</v>
      </c>
      <c r="AX122">
        <f t="shared" si="35"/>
        <v>11.5</v>
      </c>
      <c r="AY122">
        <f t="shared" si="36"/>
        <v>8.9499999999999993</v>
      </c>
      <c r="AZ122" s="4">
        <f t="shared" si="41"/>
        <v>0.96399999999999997</v>
      </c>
      <c r="BA122">
        <f t="shared" si="37"/>
        <v>0</v>
      </c>
      <c r="BB122">
        <f>VLOOKUP($E122,Constants!$I:$K, 2, FALSE)</f>
        <v>1.1499999999999999</v>
      </c>
      <c r="BC122">
        <f>VLOOKUP($E122,Constants!$I:$K, 3, FALSE)*IF(AND(D122="multiple_unit",Y122&lt;110),0.75,1)</f>
        <v>1.7</v>
      </c>
      <c r="BD122">
        <f>INT(POWER(((Constants!$G$2+$AW122+$AX122+$AY122+$BA122)*$AZ122)*$BC122, 1.05))+$AV122</f>
        <v>94</v>
      </c>
      <c r="BE122">
        <f>INT(POWER((((Constants!$G$1+$AW122+$AX122+$AY122+$BA122)*($AZ122))*$BB122),IF($D122="wagon",1,1.2)))+$AU122</f>
        <v>143</v>
      </c>
      <c r="BF122" s="15">
        <f t="shared" si="38"/>
        <v>73437.5</v>
      </c>
      <c r="BG122" s="15">
        <f t="shared" si="39"/>
        <v>11618.75</v>
      </c>
      <c r="BN122">
        <v>3</v>
      </c>
      <c r="BR122" t="str">
        <f>VLOOKUP(G122,Eras!$A$2:$C$10, 2, TRUE)</f>
        <v>big4</v>
      </c>
      <c r="BS122" t="s">
        <v>361</v>
      </c>
      <c r="BT122" t="str">
        <f t="shared" si="40"/>
        <v>big4_Express</v>
      </c>
      <c r="BU122" t="str">
        <f t="shared" si="28"/>
        <v>steam_RAIL</v>
      </c>
      <c r="BV122" t="str">
        <f>VLOOKUP($BU122, Constants!$M:$N, 2, FALSE)</f>
        <v>{BLACK}Powered by: {GOLD}Steam</v>
      </c>
      <c r="BW122" t="str">
        <f t="shared" si="29"/>
        <v/>
      </c>
      <c r="BX122" t="s">
        <v>460</v>
      </c>
      <c r="BY122" t="str">
        <f t="shared" si="55"/>
        <v/>
      </c>
      <c r="BZ122" t="str">
        <f t="shared" si="31"/>
        <v>{BLACK}Powered by: {GOLD}Steam {}{SILVER}The King Class is a larger and more powerful development of the Castle Class, designed for even higher sustained speeds.</v>
      </c>
    </row>
    <row r="123" spans="1:78" x14ac:dyDescent="0.25">
      <c r="A123" t="s">
        <v>31</v>
      </c>
      <c r="B123" t="s">
        <v>462</v>
      </c>
      <c r="C123">
        <v>228</v>
      </c>
      <c r="D123" t="s">
        <v>295</v>
      </c>
      <c r="E123" t="s">
        <v>304</v>
      </c>
      <c r="F123" t="s">
        <v>307</v>
      </c>
      <c r="G123">
        <v>1927</v>
      </c>
      <c r="H123">
        <v>1934</v>
      </c>
      <c r="I123">
        <v>1966</v>
      </c>
      <c r="K123">
        <v>950</v>
      </c>
      <c r="M123" s="6">
        <v>19</v>
      </c>
      <c r="N123" s="6">
        <v>26</v>
      </c>
      <c r="O123" s="6">
        <v>2</v>
      </c>
      <c r="P123" s="6">
        <v>200</v>
      </c>
      <c r="Q123" s="7">
        <f t="shared" si="60"/>
        <v>205.96522047186451</v>
      </c>
      <c r="R123" s="6">
        <v>1.7</v>
      </c>
      <c r="S123" s="6">
        <f t="shared" si="61"/>
        <v>1394.2364824717758</v>
      </c>
      <c r="T123">
        <v>87.6</v>
      </c>
      <c r="W123">
        <v>102</v>
      </c>
      <c r="X123" s="4">
        <f t="shared" si="62"/>
        <v>0.11643835616438356</v>
      </c>
      <c r="Y123">
        <v>80</v>
      </c>
      <c r="AA123">
        <v>14.4</v>
      </c>
      <c r="AB123">
        <v>14.4</v>
      </c>
      <c r="AE123" s="11">
        <v>0</v>
      </c>
      <c r="AF123" t="str">
        <f>CONCATENATE(VLOOKUP(AG123, 'Voxel Sizes'!$A$2:$B$18,2,FALSE),"x",INT(AC123*15), "x", INT(AD123*15))</f>
        <v>136x0x0</v>
      </c>
      <c r="AG123">
        <f t="shared" si="32"/>
        <v>8</v>
      </c>
      <c r="AI123" t="str">
        <f>CONCATENATE(VLOOKUP(AG123,Constants!$A$2:$C$16,IF(AH123&lt;&gt;"", 3, 2), FALSE),IF(AH123&lt;&gt;"",CONCATENATE(",",VLOOKUP(AH123,$B:$AI,34,FALSE)),""))</f>
        <v>2,4,2</v>
      </c>
      <c r="AQ123">
        <v>1</v>
      </c>
      <c r="AS123">
        <v>30</v>
      </c>
      <c r="AT123">
        <f t="shared" si="33"/>
        <v>35</v>
      </c>
      <c r="AW123">
        <f t="shared" si="34"/>
        <v>16</v>
      </c>
      <c r="AX123">
        <f t="shared" si="35"/>
        <v>4.75</v>
      </c>
      <c r="AY123">
        <f t="shared" si="36"/>
        <v>5.0999999999999996</v>
      </c>
      <c r="AZ123" s="4">
        <f t="shared" si="41"/>
        <v>0.96399999999999997</v>
      </c>
      <c r="BA123">
        <f t="shared" si="37"/>
        <v>0</v>
      </c>
      <c r="BB123">
        <f>VLOOKUP($E123,Constants!$I:$K, 2, FALSE)</f>
        <v>1.1499999999999999</v>
      </c>
      <c r="BC123">
        <f>VLOOKUP($E123,Constants!$I:$K, 3, FALSE)*IF(AND(D123="multiple_unit",Y123&lt;110),0.75,1)</f>
        <v>1.7</v>
      </c>
      <c r="BD123">
        <f>INT(POWER(((Constants!$G$2+$AW123+$AX123+$AY123+$BA123)*$AZ123)*$BC123, 1.05))+$AV123</f>
        <v>61</v>
      </c>
      <c r="BE123">
        <f>INT(POWER((((Constants!$G$1+$AW123+$AX123+$AY123+$BA123)*($AZ123))*$BB123),IF($D123="wagon",1,1.2)))+$AU123</f>
        <v>97</v>
      </c>
      <c r="BF123" s="15">
        <f t="shared" si="38"/>
        <v>47656.25</v>
      </c>
      <c r="BG123" s="15">
        <f t="shared" si="39"/>
        <v>7881.25</v>
      </c>
      <c r="BN123">
        <v>4</v>
      </c>
      <c r="BR123" t="str">
        <f>VLOOKUP(G123,Eras!$A$2:$C$10, 2, TRUE)</f>
        <v>big4</v>
      </c>
      <c r="BS123" t="s">
        <v>360</v>
      </c>
      <c r="BT123" t="str">
        <f t="shared" si="40"/>
        <v>big4_Mixed Traffic</v>
      </c>
      <c r="BU123" t="str">
        <f t="shared" si="28"/>
        <v>steam_RAIL</v>
      </c>
      <c r="BV123" t="str">
        <f>VLOOKUP($BU123, Constants!$M:$N, 2, FALSE)</f>
        <v>{BLACK}Powered by: {GOLD}Steam</v>
      </c>
      <c r="BW123" t="str">
        <f t="shared" si="29"/>
        <v/>
      </c>
      <c r="BX123" t="s">
        <v>461</v>
      </c>
      <c r="BY123" t="str">
        <f t="shared" si="55"/>
        <v/>
      </c>
      <c r="BZ123" t="str">
        <f t="shared" si="31"/>
        <v>{BLACK}Powered by: {GOLD}Steam {}{SILVER}Fowler's 2-6-4T achieved high speeds for a tank engine, and was typically used on longer distance services.</v>
      </c>
    </row>
    <row r="124" spans="1:78" x14ac:dyDescent="0.25">
      <c r="A124" t="s">
        <v>463</v>
      </c>
      <c r="B124" t="s">
        <v>465</v>
      </c>
      <c r="C124">
        <v>230</v>
      </c>
      <c r="D124" t="s">
        <v>295</v>
      </c>
      <c r="E124" t="s">
        <v>304</v>
      </c>
      <c r="F124" t="s">
        <v>307</v>
      </c>
      <c r="G124">
        <v>1928</v>
      </c>
      <c r="H124">
        <v>1943</v>
      </c>
      <c r="I124">
        <v>1965</v>
      </c>
      <c r="K124">
        <v>1600</v>
      </c>
      <c r="M124" s="6">
        <v>18.5</v>
      </c>
      <c r="N124" s="6">
        <v>30</v>
      </c>
      <c r="O124" s="6">
        <v>2</v>
      </c>
      <c r="P124" s="6">
        <v>225</v>
      </c>
      <c r="Q124" s="7">
        <f t="shared" si="60"/>
        <v>194.52270822342763</v>
      </c>
      <c r="R124" s="6">
        <v>1.8</v>
      </c>
      <c r="S124" s="6">
        <f t="shared" si="61"/>
        <v>1620.501893939394</v>
      </c>
      <c r="T124">
        <v>76.2</v>
      </c>
      <c r="U124" s="9">
        <v>47</v>
      </c>
      <c r="W124">
        <v>121</v>
      </c>
      <c r="X124" s="4">
        <f t="shared" si="62"/>
        <v>9.8214285714285712E-2</v>
      </c>
      <c r="Y124">
        <v>80</v>
      </c>
      <c r="AA124">
        <v>19.2</v>
      </c>
      <c r="AB124">
        <f>AA124-7.5</f>
        <v>11.7</v>
      </c>
      <c r="AD124">
        <v>4.04</v>
      </c>
      <c r="AE124" s="11">
        <v>0</v>
      </c>
      <c r="AF124" t="str">
        <f>CONCATENATE(VLOOKUP(AG124, 'Voxel Sizes'!$A$2:$B$18,2,FALSE),"x",INT(AC124*15), "x", INT(AD124*15))</f>
        <v>120x0x60</v>
      </c>
      <c r="AG124">
        <f t="shared" si="32"/>
        <v>7</v>
      </c>
      <c r="AH124" t="s">
        <v>454</v>
      </c>
      <c r="AI124" t="str">
        <f>CONCATENATE(VLOOKUP(AG124,Constants!$A$2:$C$16,IF(AH124&lt;&gt;"", 3, 2), FALSE),IF(AH124&lt;&gt;"",CONCATENATE(",",VLOOKUP(AH124,$B:$AI,34,FALSE)),""))</f>
        <v>2,3,2,2,1,2</v>
      </c>
      <c r="AQ124">
        <v>1</v>
      </c>
      <c r="AS124">
        <v>30</v>
      </c>
      <c r="AT124">
        <f t="shared" si="33"/>
        <v>33</v>
      </c>
      <c r="AW124">
        <f t="shared" si="34"/>
        <v>16</v>
      </c>
      <c r="AX124">
        <f t="shared" si="35"/>
        <v>8</v>
      </c>
      <c r="AY124">
        <f t="shared" si="36"/>
        <v>6.05</v>
      </c>
      <c r="AZ124" s="4">
        <f t="shared" si="41"/>
        <v>0.96266666666666667</v>
      </c>
      <c r="BA124">
        <f t="shared" si="37"/>
        <v>0</v>
      </c>
      <c r="BB124">
        <f>VLOOKUP($E124,Constants!$I:$K, 2, FALSE)</f>
        <v>1.1499999999999999</v>
      </c>
      <c r="BC124">
        <f>VLOOKUP($E124,Constants!$I:$K, 3, FALSE)*IF(AND(D124="multiple_unit",Y124&lt;110),0.75,1)</f>
        <v>1.7</v>
      </c>
      <c r="BD124">
        <f>INT(POWER(((Constants!$G$2+$AW124+$AX124+$AY124+$BA124)*$AZ124)*$BC124, 1.05))+$AV124</f>
        <v>70</v>
      </c>
      <c r="BE124">
        <f>INT(POWER((((Constants!$G$1+$AW124+$AX124+$AY124+$BA124)*($AZ124))*$BB124),IF($D124="wagon",1,1.2)))+$AU124</f>
        <v>109</v>
      </c>
      <c r="BF124" s="15">
        <f t="shared" si="38"/>
        <v>54687.5</v>
      </c>
      <c r="BG124" s="15">
        <f t="shared" si="39"/>
        <v>8856.25</v>
      </c>
      <c r="BN124">
        <v>5</v>
      </c>
      <c r="BR124" t="str">
        <f>VLOOKUP(G124,Eras!$A$2:$C$10, 2, TRUE)</f>
        <v>big4</v>
      </c>
      <c r="BS124" t="s">
        <v>360</v>
      </c>
      <c r="BT124" t="str">
        <f t="shared" si="40"/>
        <v>big4_Mixed Traffic</v>
      </c>
      <c r="BU124" t="str">
        <f t="shared" si="28"/>
        <v>steam_RAIL</v>
      </c>
      <c r="BV124" t="str">
        <f>VLOOKUP($BU124, Constants!$M:$N, 2, FALSE)</f>
        <v>{BLACK}Powered by: {GOLD}Steam</v>
      </c>
      <c r="BW124" t="str">
        <f t="shared" si="29"/>
        <v/>
      </c>
      <c r="BX124" t="s">
        <v>464</v>
      </c>
      <c r="BY124" t="str">
        <f t="shared" si="55"/>
        <v/>
      </c>
      <c r="BZ124" t="str">
        <f t="shared" si="31"/>
        <v>{BLACK}Powered by: {GOLD}Steam {}{SILVER}The GWR 4900 Hall Class set the template for the 4-6-0 mixed traffic locomotive, fast enough for express passenger services with enough tractive effort for freight.</v>
      </c>
    </row>
    <row r="125" spans="1:78" x14ac:dyDescent="0.25">
      <c r="A125" t="s">
        <v>23</v>
      </c>
      <c r="B125" t="s">
        <v>467</v>
      </c>
      <c r="C125">
        <v>232</v>
      </c>
      <c r="D125" t="s">
        <v>295</v>
      </c>
      <c r="E125" t="s">
        <v>304</v>
      </c>
      <c r="F125" t="s">
        <v>307</v>
      </c>
      <c r="G125">
        <v>1928</v>
      </c>
      <c r="H125">
        <v>1935</v>
      </c>
      <c r="I125">
        <v>1966</v>
      </c>
      <c r="K125">
        <v>2100</v>
      </c>
      <c r="M125" s="6">
        <v>19</v>
      </c>
      <c r="N125" s="6">
        <v>26</v>
      </c>
      <c r="O125" s="6">
        <v>3</v>
      </c>
      <c r="P125" s="6">
        <v>220</v>
      </c>
      <c r="Q125" s="7">
        <f t="shared" si="60"/>
        <v>236.34509049146459</v>
      </c>
      <c r="R125" s="6">
        <v>2</v>
      </c>
      <c r="S125" s="6">
        <f t="shared" si="61"/>
        <v>2639.8124999999995</v>
      </c>
      <c r="T125">
        <v>92.8</v>
      </c>
      <c r="U125" s="9">
        <v>54</v>
      </c>
      <c r="W125">
        <v>146</v>
      </c>
      <c r="X125" s="4">
        <f t="shared" si="62"/>
        <v>9.9455040871934602E-2</v>
      </c>
      <c r="Y125">
        <v>108</v>
      </c>
      <c r="Z125">
        <v>1</v>
      </c>
      <c r="AA125">
        <v>21.46</v>
      </c>
      <c r="AB125">
        <f>AA125-7.5</f>
        <v>13.96</v>
      </c>
      <c r="AE125" s="11">
        <v>0</v>
      </c>
      <c r="AF125" t="str">
        <f>CONCATENATE(VLOOKUP(AG125, 'Voxel Sizes'!$A$2:$B$18,2,FALSE),"x",INT(AC125*15), "x", INT(AD125*15))</f>
        <v>136x0x0</v>
      </c>
      <c r="AG125">
        <f t="shared" si="32"/>
        <v>8</v>
      </c>
      <c r="AH125" t="s">
        <v>469</v>
      </c>
      <c r="AI125" t="str">
        <f>CONCATENATE(VLOOKUP(AG125,Constants!$A$2:$C$16,IF(AH125&lt;&gt;"", 3, 2), FALSE),IF(AH125&lt;&gt;"",CONCATENATE(",",VLOOKUP(AH125,$B:$AI,34,FALSE)),""))</f>
        <v>2,4,2,2,1,2</v>
      </c>
      <c r="AQ125">
        <v>1</v>
      </c>
      <c r="AS125">
        <v>32</v>
      </c>
      <c r="AT125">
        <f t="shared" si="33"/>
        <v>34</v>
      </c>
      <c r="AW125">
        <f t="shared" si="34"/>
        <v>21.599999999999998</v>
      </c>
      <c r="AX125">
        <f t="shared" si="35"/>
        <v>10.5</v>
      </c>
      <c r="AY125">
        <f t="shared" si="36"/>
        <v>7.3</v>
      </c>
      <c r="AZ125" s="4">
        <f t="shared" si="41"/>
        <v>0.96266666666666667</v>
      </c>
      <c r="BA125">
        <f t="shared" si="37"/>
        <v>0</v>
      </c>
      <c r="BB125">
        <f>VLOOKUP($E125,Constants!$I:$K, 2, FALSE)</f>
        <v>1.1499999999999999</v>
      </c>
      <c r="BC125">
        <f>VLOOKUP($E125,Constants!$I:$K, 3, FALSE)*IF(AND(D125="multiple_unit",Y125&lt;110),0.75,1)</f>
        <v>1.7</v>
      </c>
      <c r="BD125">
        <f>INT(POWER(((Constants!$G$2+$AW125+$AX125+$AY125+$BA125)*$AZ125)*$BC125, 1.05))+$AV125</f>
        <v>90</v>
      </c>
      <c r="BE125">
        <f>INT(POWER((((Constants!$G$1+$AW125+$AX125+$AY125+$BA125)*($AZ125))*$BB125),IF($D125="wagon",1,1.2)))+$AU125</f>
        <v>136</v>
      </c>
      <c r="BF125" s="15">
        <f t="shared" si="38"/>
        <v>70312.5</v>
      </c>
      <c r="BG125" s="15">
        <f t="shared" si="39"/>
        <v>11050</v>
      </c>
      <c r="BN125">
        <v>6</v>
      </c>
      <c r="BR125" t="str">
        <f>VLOOKUP(G125,Eras!$A$2:$C$10, 2, TRUE)</f>
        <v>big4</v>
      </c>
      <c r="BS125" t="s">
        <v>361</v>
      </c>
      <c r="BT125" t="str">
        <f t="shared" si="40"/>
        <v>big4_Express</v>
      </c>
      <c r="BU125" t="str">
        <f t="shared" si="28"/>
        <v>steam_RAIL</v>
      </c>
      <c r="BV125" t="str">
        <f>VLOOKUP($BU125, Constants!$M:$N, 2, FALSE)</f>
        <v>{BLACK}Powered by: {GOLD}Steam</v>
      </c>
      <c r="BW125" t="str">
        <f t="shared" si="29"/>
        <v/>
      </c>
      <c r="BX125" t="s">
        <v>466</v>
      </c>
      <c r="BY125" t="str">
        <f t="shared" si="55"/>
        <v/>
      </c>
      <c r="BZ125" t="str">
        <f t="shared" si="31"/>
        <v>{BLACK}Powered by: {GOLD}Steam {}{SILVER}The Gresley A3 is a Pacific (4-6-2) locomotive famed for its 100mph+ performance hauling LNER's Flying Scotsman service.</v>
      </c>
    </row>
    <row r="126" spans="1:78" x14ac:dyDescent="0.25">
      <c r="A126" t="s">
        <v>19</v>
      </c>
      <c r="B126" t="s">
        <v>471</v>
      </c>
      <c r="C126">
        <v>234</v>
      </c>
      <c r="D126" t="s">
        <v>295</v>
      </c>
      <c r="E126" t="s">
        <v>304</v>
      </c>
      <c r="F126" t="s">
        <v>307</v>
      </c>
      <c r="G126">
        <v>1929</v>
      </c>
      <c r="H126">
        <v>1950</v>
      </c>
      <c r="I126">
        <v>1971</v>
      </c>
      <c r="K126">
        <v>750</v>
      </c>
      <c r="M126" s="6">
        <v>17.5</v>
      </c>
      <c r="N126" s="6">
        <v>24</v>
      </c>
      <c r="O126" s="6">
        <v>2</v>
      </c>
      <c r="P126" s="6">
        <v>200</v>
      </c>
      <c r="Q126" s="7">
        <f t="shared" si="60"/>
        <v>187.57546864401954</v>
      </c>
      <c r="R126" s="6">
        <v>1.4</v>
      </c>
      <c r="S126" s="6">
        <f t="shared" si="61"/>
        <v>994.31818181818198</v>
      </c>
      <c r="T126">
        <v>48.3</v>
      </c>
      <c r="W126">
        <v>100</v>
      </c>
      <c r="X126" s="4">
        <f t="shared" si="62"/>
        <v>0.20703933747412009</v>
      </c>
      <c r="Y126">
        <v>60</v>
      </c>
      <c r="Z126">
        <v>1</v>
      </c>
      <c r="AA126">
        <v>9.5</v>
      </c>
      <c r="AB126">
        <v>9.5</v>
      </c>
      <c r="AD126">
        <v>3.7349999999999999</v>
      </c>
      <c r="AE126" s="11">
        <v>0</v>
      </c>
      <c r="AF126" t="str">
        <f>CONCATENATE(VLOOKUP(AG126, 'Voxel Sizes'!$A$2:$B$18,2,FALSE),"x",INT(AC126*15), "x", INT(AD126*15))</f>
        <v>102x0x56</v>
      </c>
      <c r="AG126">
        <f t="shared" si="32"/>
        <v>6</v>
      </c>
      <c r="AI126" t="str">
        <f>CONCATENATE(VLOOKUP(AG126,Constants!$A$2:$C$16,IF(AH126&lt;&gt;"", 3, 2), FALSE),IF(AH126&lt;&gt;"",CONCATENATE(",",VLOOKUP(AH126,$B:$AI,34,FALSE)),""))</f>
        <v>2,2,2</v>
      </c>
      <c r="AQ126">
        <v>1</v>
      </c>
      <c r="AS126">
        <v>37</v>
      </c>
      <c r="AT126">
        <f t="shared" si="33"/>
        <v>38</v>
      </c>
      <c r="AW126">
        <f t="shared" si="34"/>
        <v>12</v>
      </c>
      <c r="AX126">
        <f t="shared" si="35"/>
        <v>3.75</v>
      </c>
      <c r="AY126">
        <f t="shared" si="36"/>
        <v>5</v>
      </c>
      <c r="AZ126" s="4">
        <f t="shared" si="41"/>
        <v>0.96133333333333337</v>
      </c>
      <c r="BA126">
        <f t="shared" si="37"/>
        <v>0</v>
      </c>
      <c r="BB126">
        <f>VLOOKUP($E126,Constants!$I:$K, 2, FALSE)</f>
        <v>1.1499999999999999</v>
      </c>
      <c r="BC126">
        <f>VLOOKUP($E126,Constants!$I:$K, 3, FALSE)*IF(AND(D126="multiple_unit",Y126&lt;110),0.75,1)</f>
        <v>1.7</v>
      </c>
      <c r="BD126">
        <f>INT(POWER(((Constants!$G$2+$AW126+$AX126+$AY126+$BA126)*$AZ126)*$BC126, 1.05))+$AV126</f>
        <v>50</v>
      </c>
      <c r="BE126">
        <f>INT(POWER((((Constants!$G$1+$AW126+$AX126+$AY126+$BA126)*($AZ126))*$BB126),IF($D126="wagon",1,1.2)))+$AU126</f>
        <v>82</v>
      </c>
      <c r="BF126" s="15">
        <f t="shared" si="38"/>
        <v>39062.5</v>
      </c>
      <c r="BG126" s="15">
        <f t="shared" si="39"/>
        <v>6662.5</v>
      </c>
      <c r="BN126">
        <v>7</v>
      </c>
      <c r="BR126" t="str">
        <f>VLOOKUP(G126,Eras!$A$2:$C$10, 2, TRUE)</f>
        <v>big4</v>
      </c>
      <c r="BS126" t="s">
        <v>359</v>
      </c>
      <c r="BT126" t="str">
        <f t="shared" si="40"/>
        <v>big4_Cheap</v>
      </c>
      <c r="BU126" t="str">
        <f t="shared" si="28"/>
        <v>steam_RAIL</v>
      </c>
      <c r="BV126" t="str">
        <f>VLOOKUP($BU126, Constants!$M:$N, 2, FALSE)</f>
        <v>{BLACK}Powered by: {GOLD}Steam</v>
      </c>
      <c r="BW126" t="str">
        <f t="shared" si="29"/>
        <v/>
      </c>
      <c r="BX126" t="s">
        <v>470</v>
      </c>
      <c r="BY126" t="str">
        <f t="shared" si="55"/>
        <v/>
      </c>
      <c r="BZ126" t="str">
        <f t="shared" si="31"/>
        <v>{BLACK}Powered by: {GOLD}Steam {}{SILVER}The 5700 class numbered 863 locomotives, and was ubiquitous across the GWR network.</v>
      </c>
    </row>
    <row r="127" spans="1:78" x14ac:dyDescent="0.25">
      <c r="A127" t="s">
        <v>32</v>
      </c>
      <c r="B127" t="s">
        <v>183</v>
      </c>
      <c r="C127">
        <v>235</v>
      </c>
      <c r="D127" t="s">
        <v>295</v>
      </c>
      <c r="E127" t="s">
        <v>304</v>
      </c>
      <c r="F127" t="s">
        <v>307</v>
      </c>
      <c r="G127">
        <v>1930</v>
      </c>
      <c r="H127">
        <v>1935</v>
      </c>
      <c r="I127">
        <v>1961</v>
      </c>
      <c r="K127">
        <v>1750</v>
      </c>
      <c r="M127" s="6">
        <v>16.5</v>
      </c>
      <c r="N127" s="6">
        <v>26</v>
      </c>
      <c r="O127" s="6">
        <v>3</v>
      </c>
      <c r="P127" s="6">
        <v>220</v>
      </c>
      <c r="Q127" s="7">
        <f t="shared" si="60"/>
        <v>207.89614441378828</v>
      </c>
      <c r="R127" s="6">
        <v>2</v>
      </c>
      <c r="S127" s="6">
        <f t="shared" si="61"/>
        <v>1751.19140625</v>
      </c>
      <c r="T127">
        <v>68.2</v>
      </c>
      <c r="U127" s="9">
        <v>43.1</v>
      </c>
      <c r="W127">
        <v>111</v>
      </c>
      <c r="X127" s="4">
        <f t="shared" si="62"/>
        <v>9.9730458221024262E-2</v>
      </c>
      <c r="Y127">
        <v>95</v>
      </c>
      <c r="AA127">
        <v>17.93</v>
      </c>
      <c r="AB127">
        <f>AA127-7.5</f>
        <v>10.43</v>
      </c>
      <c r="AD127">
        <v>3.96</v>
      </c>
      <c r="AE127" s="11">
        <v>0</v>
      </c>
      <c r="AF127" t="str">
        <f>CONCATENATE(VLOOKUP(AG127, 'Voxel Sizes'!$A$2:$B$18,2,FALSE),"x",INT(AC127*15), "x", INT(AD127*15))</f>
        <v>102x0x59</v>
      </c>
      <c r="AG127">
        <f t="shared" si="32"/>
        <v>6</v>
      </c>
      <c r="AH127" t="s">
        <v>474</v>
      </c>
      <c r="AI127" t="str">
        <f>CONCATENATE(VLOOKUP(AG127,Constants!$A$2:$C$16,IF(AH127&lt;&gt;"", 3, 2), FALSE),IF(AH127&lt;&gt;"",CONCATENATE(",",VLOOKUP(AH127,$B:$AI,34,FALSE)),""))</f>
        <v>2,2,2,2,1,2</v>
      </c>
      <c r="AQ127">
        <v>1</v>
      </c>
      <c r="AS127">
        <v>29</v>
      </c>
      <c r="AT127">
        <f t="shared" si="33"/>
        <v>27</v>
      </c>
      <c r="AW127">
        <f t="shared" si="34"/>
        <v>19</v>
      </c>
      <c r="AX127">
        <f t="shared" si="35"/>
        <v>8.75</v>
      </c>
      <c r="AY127">
        <f t="shared" si="36"/>
        <v>5.5500000000000007</v>
      </c>
      <c r="AZ127" s="4">
        <f t="shared" si="41"/>
        <v>0.96</v>
      </c>
      <c r="BA127">
        <f t="shared" si="37"/>
        <v>0</v>
      </c>
      <c r="BB127">
        <f>VLOOKUP($E127,Constants!$I:$K, 2, FALSE)</f>
        <v>1.1499999999999999</v>
      </c>
      <c r="BC127">
        <f>VLOOKUP($E127,Constants!$I:$K, 3, FALSE)*IF(AND(D127="multiple_unit",Y127&lt;110),0.75,1)</f>
        <v>1.7</v>
      </c>
      <c r="BD127">
        <f>INT(POWER(((Constants!$G$2+$AW127+$AX127+$AY127+$BA127)*$AZ127)*$BC127, 1.05))+$AV127</f>
        <v>76</v>
      </c>
      <c r="BE127">
        <f>INT(POWER((((Constants!$G$1+$AW127+$AX127+$AY127+$BA127)*($AZ127))*$BB127),IF($D127="wagon",1,1.2)))+$AU127</f>
        <v>118</v>
      </c>
      <c r="BF127" s="15">
        <f t="shared" si="38"/>
        <v>59375</v>
      </c>
      <c r="BG127" s="15">
        <f t="shared" si="39"/>
        <v>9587.5</v>
      </c>
      <c r="BN127">
        <v>8</v>
      </c>
      <c r="BR127" t="str">
        <f>VLOOKUP(G127,Eras!$A$2:$C$10, 2, TRUE)</f>
        <v>big4</v>
      </c>
      <c r="BS127" t="s">
        <v>361</v>
      </c>
      <c r="BT127" t="str">
        <f t="shared" si="40"/>
        <v>big4_Express</v>
      </c>
      <c r="BU127" t="str">
        <f t="shared" si="28"/>
        <v>steam_RAIL</v>
      </c>
      <c r="BV127" t="str">
        <f>VLOOKUP($BU127, Constants!$M:$N, 2, FALSE)</f>
        <v>{BLACK}Powered by: {GOLD}Steam</v>
      </c>
      <c r="BW127" t="str">
        <f t="shared" si="29"/>
        <v/>
      </c>
      <c r="BX127" t="s">
        <v>472</v>
      </c>
      <c r="BY127" t="str">
        <f t="shared" si="55"/>
        <v/>
      </c>
      <c r="BZ127" t="str">
        <f t="shared" si="31"/>
        <v>{BLACK}Powered by: {GOLD}Steam {}{SILVER}The Schools class was the most powerful 4-4-0 locomotive produced in  Europe, and the last British locomotive with such a wheel layout.</v>
      </c>
    </row>
    <row r="128" spans="1:78" x14ac:dyDescent="0.25">
      <c r="A128" t="s">
        <v>74</v>
      </c>
      <c r="B128" t="s">
        <v>204</v>
      </c>
      <c r="C128">
        <v>236</v>
      </c>
      <c r="D128" t="s">
        <v>437</v>
      </c>
      <c r="E128" t="s">
        <v>305</v>
      </c>
      <c r="F128" t="s">
        <v>307</v>
      </c>
      <c r="G128">
        <v>1933</v>
      </c>
      <c r="H128">
        <v>1942</v>
      </c>
      <c r="I128">
        <v>1962</v>
      </c>
      <c r="J128">
        <v>1</v>
      </c>
      <c r="K128">
        <v>260</v>
      </c>
      <c r="T128">
        <v>35</v>
      </c>
      <c r="V128">
        <v>8</v>
      </c>
      <c r="W128">
        <v>55</v>
      </c>
      <c r="X128" s="4">
        <f t="shared" si="62"/>
        <v>0.15714285714285714</v>
      </c>
      <c r="Y128">
        <v>63</v>
      </c>
      <c r="AA128">
        <v>18.399999999999999</v>
      </c>
      <c r="AB128">
        <v>17</v>
      </c>
      <c r="AE128" s="11">
        <v>69</v>
      </c>
      <c r="AF128" t="str">
        <f>CONCATENATE(VLOOKUP(AG128, 'Voxel Sizes'!$A$2:$B$18,2,FALSE),"x",INT(AC128*15), "x", INT(AD128*15))</f>
        <v>164x0x0</v>
      </c>
      <c r="AG128">
        <f t="shared" si="32"/>
        <v>10</v>
      </c>
      <c r="AI128" t="str">
        <f>CONCATENATE(VLOOKUP(AG128,Constants!$A$2:$C$16,IF(AH128&lt;&gt;"", 3, 2), FALSE),IF(AH128&lt;&gt;"",CONCATENATE(",",VLOOKUP(AH128,$B:$AI,34,FALSE)),""))</f>
        <v>4,2,4</v>
      </c>
      <c r="AM128" t="s">
        <v>204</v>
      </c>
      <c r="AO128">
        <v>1</v>
      </c>
      <c r="AS128">
        <v>16</v>
      </c>
      <c r="AT128">
        <f t="shared" si="33"/>
        <v>25</v>
      </c>
      <c r="AW128">
        <f t="shared" si="34"/>
        <v>12.6</v>
      </c>
      <c r="AX128">
        <f t="shared" si="35"/>
        <v>1.3</v>
      </c>
      <c r="AY128">
        <f t="shared" si="36"/>
        <v>2.75</v>
      </c>
      <c r="AZ128" s="4">
        <f t="shared" si="41"/>
        <v>0.95599999999999996</v>
      </c>
      <c r="BA128">
        <f t="shared" si="37"/>
        <v>2.3000000000000003</v>
      </c>
      <c r="BB128">
        <f>VLOOKUP($E128,Constants!$I:$K, 2, FALSE)</f>
        <v>1</v>
      </c>
      <c r="BC128">
        <f>VLOOKUP($E128,Constants!$I:$K, 3, FALSE)*IF(AND(D128="multiple_unit",Y128&lt;110),0.75,1)</f>
        <v>1.5</v>
      </c>
      <c r="BD128">
        <f>INT(POWER(((Constants!$G$2+$AW128+$AX128+$AY128+$BA128)*$AZ128)*$BC128, 1.05))+$AV128</f>
        <v>40</v>
      </c>
      <c r="BE128">
        <f>INT(POWER((((Constants!$G$1+$AW128+$AX128+$AY128+$BA128)*($AZ128))*$BB128),IF($D128="wagon",1,1.2)))+$AU128</f>
        <v>65</v>
      </c>
      <c r="BF128" s="15">
        <f t="shared" si="38"/>
        <v>31250</v>
      </c>
      <c r="BG128" s="15">
        <f t="shared" si="39"/>
        <v>5281.25</v>
      </c>
      <c r="BN128">
        <v>9</v>
      </c>
      <c r="BQ128" t="s">
        <v>316</v>
      </c>
      <c r="BR128" t="str">
        <f>VLOOKUP(G128,Eras!$A$2:$C$10, 2, TRUE)</f>
        <v>big4</v>
      </c>
      <c r="BS128" t="s">
        <v>363</v>
      </c>
      <c r="BT128" t="str">
        <f t="shared" si="40"/>
        <v>big4_DMU (Cheap)</v>
      </c>
      <c r="BU128" t="str">
        <f t="shared" si="28"/>
        <v>diesel_RAIL</v>
      </c>
      <c r="BV128" t="str">
        <f>VLOOKUP($BU128, Constants!$M:$N, 2, FALSE)</f>
        <v>{BLACK}Powered by: {GOLD}Diesel</v>
      </c>
      <c r="BW128" t="str">
        <f t="shared" si="29"/>
        <v/>
      </c>
      <c r="BX128" t="s">
        <v>483</v>
      </c>
      <c r="BY128" t="str">
        <f t="shared" si="55"/>
        <v/>
      </c>
      <c r="BZ128" t="str">
        <f t="shared" si="31"/>
        <v>{BLACK}Powered by: {GOLD}Diesel {}{SILVER}The GWR Railcars used AEC bus hardware in a lightweight streamlined body.</v>
      </c>
    </row>
    <row r="129" spans="1:78" x14ac:dyDescent="0.25">
      <c r="A129" t="s">
        <v>475</v>
      </c>
      <c r="B129" t="s">
        <v>477</v>
      </c>
      <c r="C129">
        <v>238</v>
      </c>
      <c r="D129" t="s">
        <v>295</v>
      </c>
      <c r="E129" t="s">
        <v>304</v>
      </c>
      <c r="F129" t="s">
        <v>307</v>
      </c>
      <c r="G129">
        <v>1932</v>
      </c>
      <c r="H129">
        <v>1936</v>
      </c>
      <c r="I129">
        <v>1965</v>
      </c>
      <c r="K129">
        <v>600</v>
      </c>
      <c r="M129" s="6">
        <v>16</v>
      </c>
      <c r="N129" s="6">
        <v>24</v>
      </c>
      <c r="O129" s="6">
        <v>2</v>
      </c>
      <c r="P129" s="6">
        <v>165</v>
      </c>
      <c r="Q129" s="7">
        <f>((($Y129/2)/60)*5280)/($R129*3.2*PI())</f>
        <v>218.83804675135607</v>
      </c>
      <c r="R129" s="6">
        <v>1.6</v>
      </c>
      <c r="S129" s="6">
        <f>((($M129*$M129/4)*PI())*($N129/12)*$O129*$P129*$Q129)/(33000*1.1)</f>
        <v>799.99999999999977</v>
      </c>
      <c r="T129">
        <v>43</v>
      </c>
      <c r="W129">
        <v>62</v>
      </c>
      <c r="X129" s="4">
        <f t="shared" si="62"/>
        <v>0.14418604651162792</v>
      </c>
      <c r="Y129">
        <v>80</v>
      </c>
      <c r="AA129">
        <v>9.1199999999999992</v>
      </c>
      <c r="AB129">
        <v>9.1199999999999992</v>
      </c>
      <c r="AD129">
        <v>3.82</v>
      </c>
      <c r="AE129" s="11">
        <v>0</v>
      </c>
      <c r="AF129" t="str">
        <f>CONCATENATE(VLOOKUP(AG129, 'Voxel Sizes'!$A$2:$B$18,2,FALSE),"x",INT(AC129*15), "x", INT(AD129*15))</f>
        <v>82x0x57</v>
      </c>
      <c r="AG129">
        <f t="shared" si="32"/>
        <v>5</v>
      </c>
      <c r="AI129" t="str">
        <f>CONCATENATE(VLOOKUP(AG129,Constants!$A$2:$C$16,IF(AH129&lt;&gt;"", 3, 2), FALSE),IF(AH129&lt;&gt;"",CONCATENATE(",",VLOOKUP(AH129,$B:$AI,34,FALSE)),""))</f>
        <v>2,1,2</v>
      </c>
      <c r="AQ129">
        <v>1</v>
      </c>
      <c r="AS129">
        <v>36</v>
      </c>
      <c r="AT129">
        <f t="shared" si="33"/>
        <v>29</v>
      </c>
      <c r="AW129">
        <f t="shared" si="34"/>
        <v>16</v>
      </c>
      <c r="AX129">
        <f t="shared" si="35"/>
        <v>3</v>
      </c>
      <c r="AY129">
        <f t="shared" si="36"/>
        <v>3.1</v>
      </c>
      <c r="AZ129" s="4">
        <f t="shared" si="41"/>
        <v>0.95733333333333337</v>
      </c>
      <c r="BA129">
        <f t="shared" si="37"/>
        <v>0</v>
      </c>
      <c r="BB129">
        <f>VLOOKUP($E129,Constants!$I:$K, 2, FALSE)</f>
        <v>1.1499999999999999</v>
      </c>
      <c r="BC129">
        <f>VLOOKUP($E129,Constants!$I:$K, 3, FALSE)*IF(AND(D129="multiple_unit",Y129&lt;110),0.75,1)</f>
        <v>1.7</v>
      </c>
      <c r="BD129">
        <f>INT(POWER(((Constants!$G$2+$AW129+$AX129+$AY129+$BA129)*$AZ129)*$BC129, 1.05))+$AV129</f>
        <v>53</v>
      </c>
      <c r="BE129">
        <f>INT(POWER((((Constants!$G$1+$AW129+$AX129+$AY129+$BA129)*($AZ129))*$BB129),IF($D129="wagon",1,1.2)))+$AU129</f>
        <v>85</v>
      </c>
      <c r="BF129" s="15">
        <f t="shared" si="38"/>
        <v>41406.25</v>
      </c>
      <c r="BG129" s="15">
        <f t="shared" si="39"/>
        <v>6906.25</v>
      </c>
      <c r="BN129">
        <v>10</v>
      </c>
      <c r="BR129" t="str">
        <f>VLOOKUP(G129,Eras!$A$2:$C$10, 2, TRUE)</f>
        <v>big4</v>
      </c>
      <c r="BS129" t="s">
        <v>359</v>
      </c>
      <c r="BT129" t="str">
        <f t="shared" si="40"/>
        <v>big4_Cheap</v>
      </c>
      <c r="BU129" t="str">
        <f t="shared" si="28"/>
        <v>steam_RAIL</v>
      </c>
      <c r="BV129" t="str">
        <f>VLOOKUP($BU129, Constants!$M:$N, 2, FALSE)</f>
        <v>{BLACK}Powered by: {GOLD}Steam</v>
      </c>
      <c r="BW129" t="str">
        <f t="shared" si="29"/>
        <v/>
      </c>
      <c r="BX129" t="s">
        <v>476</v>
      </c>
      <c r="BY129" t="str">
        <f t="shared" si="55"/>
        <v/>
      </c>
      <c r="BZ129" t="str">
        <f t="shared" si="31"/>
        <v>{BLACK}Powered by: {GOLD}Steam {}{SILVER}The 1400 class (originally the 4800 class) is an update of an 1868 design with more modern features. Although small, it is capable of high speed.</v>
      </c>
    </row>
    <row r="130" spans="1:78" x14ac:dyDescent="0.25">
      <c r="A130" t="s">
        <v>27</v>
      </c>
      <c r="B130" t="s">
        <v>321</v>
      </c>
      <c r="C130">
        <v>238</v>
      </c>
      <c r="D130" t="s">
        <v>295</v>
      </c>
      <c r="E130" t="s">
        <v>304</v>
      </c>
      <c r="F130" t="s">
        <v>307</v>
      </c>
      <c r="G130">
        <v>1934</v>
      </c>
      <c r="H130">
        <v>1951</v>
      </c>
      <c r="I130">
        <v>1967</v>
      </c>
      <c r="K130">
        <v>1250</v>
      </c>
      <c r="T130">
        <v>73.400000000000006</v>
      </c>
      <c r="U130" s="9">
        <v>46</v>
      </c>
      <c r="W130">
        <v>113</v>
      </c>
      <c r="X130" s="4">
        <f t="shared" si="62"/>
        <v>9.4639865996649919E-2</v>
      </c>
      <c r="Y130">
        <v>92</v>
      </c>
      <c r="Z130">
        <v>1</v>
      </c>
      <c r="AA130">
        <v>11.76</v>
      </c>
      <c r="AB130">
        <v>11.76</v>
      </c>
      <c r="AE130" s="11">
        <v>0</v>
      </c>
      <c r="AF130" t="str">
        <f>CONCATENATE(VLOOKUP(AG130, 'Voxel Sizes'!$A$2:$B$18,2,FALSE),"x",INT(AC130*15), "x", INT(AD130*15))</f>
        <v>120x0x0</v>
      </c>
      <c r="AG130">
        <f t="shared" si="32"/>
        <v>7</v>
      </c>
      <c r="AH130" t="s">
        <v>327</v>
      </c>
      <c r="AI130" t="str">
        <f>CONCATENATE(VLOOKUP(AG130,Constants!$A$2:$C$16,IF(AH130&lt;&gt;"", 3, 2), FALSE),IF(AH130&lt;&gt;"",CONCATENATE(",",VLOOKUP(AH130,$B:$AI,34,FALSE)),""))</f>
        <v>2,3,2,2,1,2</v>
      </c>
      <c r="AQ130">
        <v>1</v>
      </c>
      <c r="AS130">
        <v>34</v>
      </c>
      <c r="AT130">
        <f t="shared" si="33"/>
        <v>29</v>
      </c>
      <c r="AW130">
        <f t="shared" si="34"/>
        <v>18.399999999999999</v>
      </c>
      <c r="AX130">
        <f t="shared" si="35"/>
        <v>6.25</v>
      </c>
      <c r="AY130">
        <f t="shared" si="36"/>
        <v>5.6499999999999995</v>
      </c>
      <c r="AZ130" s="4">
        <f t="shared" si="41"/>
        <v>0.95466666666666666</v>
      </c>
      <c r="BA130">
        <f t="shared" si="37"/>
        <v>0</v>
      </c>
      <c r="BB130">
        <f>VLOOKUP($E130,Constants!$I:$K, 2, FALSE)</f>
        <v>1.1499999999999999</v>
      </c>
      <c r="BC130">
        <f>VLOOKUP($E130,Constants!$I:$K, 3, FALSE)*IF(AND(D130="multiple_unit",Y130&lt;110),0.75,1)</f>
        <v>1.7</v>
      </c>
      <c r="BD130">
        <f>INT(POWER(((Constants!$G$2+$AW130+$AX130+$AY130+$BA130)*$AZ130)*$BC130, 1.05))+$AV130</f>
        <v>70</v>
      </c>
      <c r="BE130">
        <f>INT(POWER((((Constants!$G$1+$AW130+$AX130+$AY130+$BA130)*($AZ130))*$BB130),IF($D130="wagon",1,1.2)))+$AU130</f>
        <v>108</v>
      </c>
      <c r="BF130" s="15">
        <f t="shared" si="38"/>
        <v>54687.5</v>
      </c>
      <c r="BG130" s="15">
        <f t="shared" si="39"/>
        <v>8775</v>
      </c>
      <c r="BN130">
        <v>11</v>
      </c>
      <c r="BR130" t="str">
        <f>VLOOKUP(G130,Eras!$A$2:$C$10, 2, TRUE)</f>
        <v>big4</v>
      </c>
      <c r="BS130" t="s">
        <v>360</v>
      </c>
      <c r="BT130" t="str">
        <f t="shared" si="40"/>
        <v>big4_Mixed Traffic</v>
      </c>
      <c r="BU130" t="str">
        <f t="shared" ref="BU130:BU193" si="63">_xlfn.CONCAT(E130, "_",F130)</f>
        <v>steam_RAIL</v>
      </c>
      <c r="BV130" t="str">
        <f>VLOOKUP($BU130, Constants!$M:$N, 2, FALSE)</f>
        <v>{BLACK}Powered by: {GOLD}Steam</v>
      </c>
      <c r="BW130" t="str">
        <f t="shared" ref="BW130:BW193" si="64">IF(J130&gt;1,_xlfn.CONCAT("{BLACK}Cars: {GOLD}", J130),"")</f>
        <v/>
      </c>
      <c r="BX130" t="s">
        <v>401</v>
      </c>
      <c r="BY130" t="str">
        <f t="shared" ref="BY130:BY161" si="65">IF(BQ130="BRAKE","{YELLOW}Speed bonus for slow wagons{}",IF(BO130&gt;190,CONCATENATE("{YELLOW}",INT((BO130-185)/1.85),"% Bonus for long distance travel{}"),IF(AND(BO130&lt;180,BO130&lt;&gt;0),CONCATENATE("{YELLOW}",INT((185-BO130)/1.85),"% Penalty for long distance travel{}"),"")))</f>
        <v/>
      </c>
      <c r="BZ130" t="str">
        <f t="shared" si="31"/>
        <v>{BLACK}Powered by: {GOLD}Steam {}{SILVER}The Stanier Class 5, commonly known as the "Black 5", was a workhorse for the LMS and into the British Rail era. Although intended as a mixed traffic locomotive it was capable of high top speeds.</v>
      </c>
    </row>
    <row r="131" spans="1:78" x14ac:dyDescent="0.25">
      <c r="A131" t="s">
        <v>29</v>
      </c>
      <c r="B131" t="s">
        <v>320</v>
      </c>
      <c r="C131">
        <v>240</v>
      </c>
      <c r="D131" t="s">
        <v>295</v>
      </c>
      <c r="E131" t="s">
        <v>304</v>
      </c>
      <c r="F131" t="s">
        <v>307</v>
      </c>
      <c r="G131">
        <v>1934</v>
      </c>
      <c r="H131">
        <v>1936</v>
      </c>
      <c r="I131">
        <v>1967</v>
      </c>
      <c r="K131">
        <v>1375</v>
      </c>
      <c r="T131">
        <v>80.8</v>
      </c>
      <c r="U131" s="9">
        <v>52</v>
      </c>
      <c r="W131">
        <v>118</v>
      </c>
      <c r="X131" s="4">
        <f t="shared" si="62"/>
        <v>8.8855421686746983E-2</v>
      </c>
      <c r="Y131">
        <v>95</v>
      </c>
      <c r="Z131">
        <v>1</v>
      </c>
      <c r="AA131">
        <v>12.09</v>
      </c>
      <c r="AB131">
        <v>12.09</v>
      </c>
      <c r="AE131" s="11">
        <v>0</v>
      </c>
      <c r="AF131" t="str">
        <f>CONCATENATE(VLOOKUP(AG131, 'Voxel Sizes'!$A$2:$B$18,2,FALSE),"x",INT(AC131*15), "x", INT(AD131*15))</f>
        <v>120x0x0</v>
      </c>
      <c r="AG131">
        <f t="shared" si="32"/>
        <v>7</v>
      </c>
      <c r="AH131" t="s">
        <v>322</v>
      </c>
      <c r="AI131" t="str">
        <f>CONCATENATE(VLOOKUP(AG131,Constants!$A$2:$C$16,IF(AH131&lt;&gt;"", 3, 2), FALSE),IF(AH131&lt;&gt;"",CONCATENATE(",",VLOOKUP(AH131,$B:$AI,34,FALSE)),""))</f>
        <v>2,3,2,2,1,2</v>
      </c>
      <c r="AQ131">
        <v>1</v>
      </c>
      <c r="AS131">
        <v>34</v>
      </c>
      <c r="AT131">
        <f t="shared" si="33"/>
        <v>29</v>
      </c>
      <c r="AW131">
        <f t="shared" si="34"/>
        <v>19</v>
      </c>
      <c r="AX131">
        <f t="shared" si="35"/>
        <v>6.875</v>
      </c>
      <c r="AY131">
        <f t="shared" si="36"/>
        <v>5.8999999999999995</v>
      </c>
      <c r="AZ131" s="4">
        <f t="shared" si="41"/>
        <v>0.95466666666666666</v>
      </c>
      <c r="BA131">
        <f t="shared" si="37"/>
        <v>0</v>
      </c>
      <c r="BB131">
        <f>VLOOKUP($E131,Constants!$I:$K, 2, FALSE)</f>
        <v>1.1499999999999999</v>
      </c>
      <c r="BC131">
        <f>VLOOKUP($E131,Constants!$I:$K, 3, FALSE)*IF(AND(D131="multiple_unit",Y131&lt;110),0.75,1)</f>
        <v>1.7</v>
      </c>
      <c r="BD131">
        <f>INT(POWER(((Constants!$G$2+$AW131+$AX131+$AY131+$BA131)*$AZ131)*$BC131, 1.05))+$AV131</f>
        <v>73</v>
      </c>
      <c r="BE131">
        <f>INT(POWER((((Constants!$G$1+$AW131+$AX131+$AY131+$BA131)*($AZ131))*$BB131),IF($D131="wagon",1,1.2)))+$AU131</f>
        <v>112</v>
      </c>
      <c r="BF131" s="15">
        <f t="shared" si="38"/>
        <v>57031.25</v>
      </c>
      <c r="BG131" s="15">
        <f t="shared" si="39"/>
        <v>9100</v>
      </c>
      <c r="BN131">
        <v>12</v>
      </c>
      <c r="BR131" t="str">
        <f>VLOOKUP(G131,Eras!$A$2:$C$10, 2, TRUE)</f>
        <v>big4</v>
      </c>
      <c r="BS131" t="s">
        <v>361</v>
      </c>
      <c r="BT131" t="str">
        <f t="shared" si="40"/>
        <v>big4_Express</v>
      </c>
      <c r="BU131" t="str">
        <f t="shared" si="63"/>
        <v>steam_RAIL</v>
      </c>
      <c r="BV131" t="str">
        <f>VLOOKUP($BU131, Constants!$M:$N, 2, FALSE)</f>
        <v>{BLACK}Powered by: {GOLD}Steam</v>
      </c>
      <c r="BW131" t="str">
        <f t="shared" si="64"/>
        <v/>
      </c>
      <c r="BX131" t="s">
        <v>387</v>
      </c>
      <c r="BY131" t="str">
        <f t="shared" si="65"/>
        <v/>
      </c>
      <c r="BZ131" t="str">
        <f t="shared" ref="BZ131:BZ194" si="66">_xlfn.CONCAT(BV131,IF(BV131 &lt;&gt; "", " ", ""),BW131,IF(OR(BW131&lt;&gt;"", BV131&lt;&gt;""), "{}",""), BY131,"{SILVER}", BX131)</f>
        <v>{BLACK}Powered by: {GOLD}Steam {}{SILVER}The Jubilee is the counterpart to the Class 5, often called the "Red Stanier" due to its red LMS livery. It was intended for passenger work, with slightly larger diameter driving wheels giving a higher top speed.</v>
      </c>
    </row>
    <row r="132" spans="1:78" x14ac:dyDescent="0.25">
      <c r="A132" t="s">
        <v>484</v>
      </c>
      <c r="B132" t="s">
        <v>184</v>
      </c>
      <c r="C132">
        <v>242</v>
      </c>
      <c r="D132" t="s">
        <v>295</v>
      </c>
      <c r="E132" t="s">
        <v>304</v>
      </c>
      <c r="F132" t="s">
        <v>307</v>
      </c>
      <c r="G132">
        <v>1935</v>
      </c>
      <c r="I132">
        <v>1968</v>
      </c>
      <c r="K132">
        <v>1300</v>
      </c>
      <c r="T132">
        <v>73</v>
      </c>
      <c r="U132" s="9">
        <v>46</v>
      </c>
      <c r="W132">
        <v>144</v>
      </c>
      <c r="X132" s="4">
        <f t="shared" si="62"/>
        <v>0.12100840336134454</v>
      </c>
      <c r="Y132">
        <v>70</v>
      </c>
      <c r="AA132">
        <v>19.22</v>
      </c>
      <c r="AB132">
        <f>19.22-7.46</f>
        <v>11.759999999999998</v>
      </c>
      <c r="AE132" s="11">
        <v>0</v>
      </c>
      <c r="AF132" t="str">
        <f>CONCATENATE(VLOOKUP(AG132, 'Voxel Sizes'!$A$2:$B$18,2,FALSE),"x",INT(AC132*15), "x", INT(AD132*15))</f>
        <v>120x0x0</v>
      </c>
      <c r="AG132">
        <f t="shared" si="32"/>
        <v>7</v>
      </c>
      <c r="AH132" t="s">
        <v>327</v>
      </c>
      <c r="AI132" t="str">
        <f>CONCATENATE(VLOOKUP(AG132,Constants!$A$2:$C$16,IF(AH132&lt;&gt;"", 3, 2), FALSE),IF(AH132&lt;&gt;"",CONCATENATE(",",VLOOKUP(AH132,$B:$AI,34,FALSE)),""))</f>
        <v>2,3,2,2,1,2</v>
      </c>
      <c r="AQ132">
        <v>1</v>
      </c>
      <c r="AS132">
        <v>34</v>
      </c>
      <c r="AT132">
        <f t="shared" si="33"/>
        <v>29</v>
      </c>
      <c r="AW132">
        <f t="shared" si="34"/>
        <v>14</v>
      </c>
      <c r="AX132">
        <f t="shared" si="35"/>
        <v>6.5</v>
      </c>
      <c r="AY132">
        <f t="shared" si="36"/>
        <v>7.1999999999999993</v>
      </c>
      <c r="AZ132" s="4">
        <f t="shared" si="41"/>
        <v>0.95333333333333337</v>
      </c>
      <c r="BA132">
        <f t="shared" si="37"/>
        <v>0</v>
      </c>
      <c r="BB132">
        <f>VLOOKUP($E132,Constants!$I:$K, 2, FALSE)</f>
        <v>1.1499999999999999</v>
      </c>
      <c r="BC132">
        <f>VLOOKUP($E132,Constants!$I:$K, 3, FALSE)*IF(AND(D132="multiple_unit",Y132&lt;110),0.75,1)</f>
        <v>1.7</v>
      </c>
      <c r="BD132">
        <f>INT(POWER(((Constants!$G$2+$AW132+$AX132+$AY132+$BA132)*$AZ132)*$BC132, 1.05))+$AV132</f>
        <v>64</v>
      </c>
      <c r="BE132">
        <f>INT(POWER((((Constants!$G$1+$AW132+$AX132+$AY132+$BA132)*($AZ132))*$BB132),IF($D132="wagon",1,1.2)))+$AU132</f>
        <v>101</v>
      </c>
      <c r="BF132" s="15">
        <f t="shared" si="38"/>
        <v>50000</v>
      </c>
      <c r="BG132" s="15">
        <f t="shared" si="39"/>
        <v>8206.25</v>
      </c>
      <c r="BN132">
        <v>1</v>
      </c>
      <c r="BR132" t="str">
        <f>VLOOKUP(G132,Eras!$A$2:$C$10, 2, TRUE)</f>
        <v>big4</v>
      </c>
      <c r="BS132" t="s">
        <v>362</v>
      </c>
      <c r="BT132" t="str">
        <f t="shared" si="40"/>
        <v>big4_Freight</v>
      </c>
      <c r="BU132" t="str">
        <f t="shared" si="63"/>
        <v>steam_RAIL</v>
      </c>
      <c r="BV132" t="str">
        <f>VLOOKUP($BU132, Constants!$M:$N, 2, FALSE)</f>
        <v>{BLACK}Powered by: {GOLD}Steam</v>
      </c>
      <c r="BW132" t="str">
        <f t="shared" si="64"/>
        <v/>
      </c>
      <c r="BX132" t="s">
        <v>485</v>
      </c>
      <c r="BY132" t="str">
        <f t="shared" si="65"/>
        <v/>
      </c>
      <c r="BZ132" t="str">
        <f t="shared" si="66"/>
        <v>{BLACK}Powered by: {GOLD}Steam {}{SILVER}The Stanier 8F is a further development of the Class 5, specialised for freight traffic with a 2-8-0 layout.</v>
      </c>
    </row>
    <row r="133" spans="1:78" x14ac:dyDescent="0.25">
      <c r="A133" t="s">
        <v>24</v>
      </c>
      <c r="B133" t="s">
        <v>487</v>
      </c>
      <c r="C133">
        <v>244</v>
      </c>
      <c r="D133" t="s">
        <v>295</v>
      </c>
      <c r="E133" t="s">
        <v>304</v>
      </c>
      <c r="F133" t="s">
        <v>307</v>
      </c>
      <c r="G133">
        <v>1935</v>
      </c>
      <c r="H133">
        <v>1938</v>
      </c>
      <c r="I133">
        <v>1966</v>
      </c>
      <c r="K133">
        <v>2450</v>
      </c>
      <c r="T133">
        <v>104.6</v>
      </c>
      <c r="U133" s="9">
        <v>64</v>
      </c>
      <c r="W133">
        <v>157</v>
      </c>
      <c r="X133" s="4">
        <f t="shared" si="62"/>
        <v>9.3119810201660741E-2</v>
      </c>
      <c r="Y133">
        <v>126</v>
      </c>
      <c r="Z133">
        <v>1</v>
      </c>
      <c r="AA133">
        <v>21.65</v>
      </c>
      <c r="AB133">
        <f>AA133-7.5</f>
        <v>14.149999999999999</v>
      </c>
      <c r="AD133">
        <v>3.99</v>
      </c>
      <c r="AE133" s="11">
        <v>0</v>
      </c>
      <c r="AF133" t="str">
        <f>CONCATENATE(VLOOKUP(AG133, 'Voxel Sizes'!$A$2:$B$18,2,FALSE),"x",INT(AC133*15), "x", INT(AD133*15))</f>
        <v>136x0x59</v>
      </c>
      <c r="AG133">
        <f t="shared" si="32"/>
        <v>8</v>
      </c>
      <c r="AH133" t="s">
        <v>469</v>
      </c>
      <c r="AI133" t="str">
        <f>CONCATENATE(VLOOKUP(AG133,Constants!$A$2:$C$16,IF(AH133&lt;&gt;"", 3, 2), FALSE),IF(AH133&lt;&gt;"",CONCATENATE(",",VLOOKUP(AH133,$B:$AI,34,FALSE)),""))</f>
        <v>2,4,2,2,1,2</v>
      </c>
      <c r="AQ133">
        <v>1</v>
      </c>
      <c r="AS133">
        <v>28</v>
      </c>
      <c r="AT133">
        <f t="shared" si="33"/>
        <v>27</v>
      </c>
      <c r="AW133">
        <f t="shared" si="34"/>
        <v>25.2</v>
      </c>
      <c r="AX133">
        <f t="shared" si="35"/>
        <v>12.25</v>
      </c>
      <c r="AY133">
        <f t="shared" si="36"/>
        <v>7.8500000000000005</v>
      </c>
      <c r="AZ133" s="4">
        <f t="shared" si="41"/>
        <v>0.95333333333333337</v>
      </c>
      <c r="BA133">
        <f t="shared" si="37"/>
        <v>0</v>
      </c>
      <c r="BB133">
        <f>VLOOKUP($E133,Constants!$I:$K, 2, FALSE)</f>
        <v>1.1499999999999999</v>
      </c>
      <c r="BC133">
        <f>VLOOKUP($E133,Constants!$I:$K, 3, FALSE)*IF(AND(D133="multiple_unit",Y133&lt;110),0.75,1)</f>
        <v>1.7</v>
      </c>
      <c r="BD133">
        <f>INT(POWER(((Constants!$G$2+$AW133+$AX133+$AY133+$BA133)*$AZ133)*$BC133, 1.05))+$AV133</f>
        <v>101</v>
      </c>
      <c r="BE133">
        <f>INT(POWER((((Constants!$G$1+$AW133+$AX133+$AY133+$BA133)*($AZ133))*$BB133),IF($D133="wagon",1,1.2)))+$AU133</f>
        <v>152</v>
      </c>
      <c r="BF133" s="15">
        <f t="shared" si="38"/>
        <v>78906.25</v>
      </c>
      <c r="BG133" s="15">
        <f t="shared" si="39"/>
        <v>12350</v>
      </c>
      <c r="BN133">
        <v>2</v>
      </c>
      <c r="BR133" t="str">
        <f>VLOOKUP(G133,Eras!$A$2:$C$10, 2, TRUE)</f>
        <v>big4</v>
      </c>
      <c r="BS133" t="s">
        <v>361</v>
      </c>
      <c r="BT133" t="str">
        <f t="shared" si="40"/>
        <v>big4_Express</v>
      </c>
      <c r="BU133" t="str">
        <f t="shared" si="63"/>
        <v>steam_RAIL</v>
      </c>
      <c r="BV133" t="str">
        <f>VLOOKUP($BU133, Constants!$M:$N, 2, FALSE)</f>
        <v>{BLACK}Powered by: {GOLD}Steam</v>
      </c>
      <c r="BW133" t="str">
        <f t="shared" si="64"/>
        <v/>
      </c>
      <c r="BX133" t="s">
        <v>486</v>
      </c>
      <c r="BY133" t="str">
        <f t="shared" si="65"/>
        <v/>
      </c>
      <c r="BZ133" t="str">
        <f t="shared" si="66"/>
        <v>{BLACK}Powered by: {GOLD}Steam {}{SILVER}The Gresley A4 is the iconic pinnacle of high-speed British steam, holding numerous speed and power records.</v>
      </c>
    </row>
    <row r="134" spans="1:78" x14ac:dyDescent="0.25">
      <c r="A134" t="s">
        <v>13</v>
      </c>
      <c r="B134" t="s">
        <v>488</v>
      </c>
      <c r="C134">
        <v>246</v>
      </c>
      <c r="D134" t="s">
        <v>295</v>
      </c>
      <c r="E134" t="s">
        <v>304</v>
      </c>
      <c r="F134" t="s">
        <v>307</v>
      </c>
      <c r="G134">
        <v>1936</v>
      </c>
      <c r="H134">
        <v>1944</v>
      </c>
      <c r="I134">
        <v>1966</v>
      </c>
      <c r="K134">
        <v>1900</v>
      </c>
      <c r="M134" s="6">
        <v>18.5</v>
      </c>
      <c r="N134" s="6">
        <v>26</v>
      </c>
      <c r="O134" s="6">
        <v>3</v>
      </c>
      <c r="P134" s="6">
        <v>220</v>
      </c>
      <c r="Q134" s="7">
        <f>((($Y134/2)/60)*5280)/($R134*3.2*PI())</f>
        <v>216.509982424214</v>
      </c>
      <c r="R134" s="6">
        <v>1.88</v>
      </c>
      <c r="S134" s="6">
        <f>((($M134*$M134/4)*PI())*($N134/12)*$O134*$P134*$Q134)/(33000*1.1)</f>
        <v>2292.6653922872338</v>
      </c>
      <c r="T134">
        <v>91</v>
      </c>
      <c r="U134" s="9">
        <v>54</v>
      </c>
      <c r="W134">
        <v>150</v>
      </c>
      <c r="X134" s="4">
        <f t="shared" si="62"/>
        <v>0.10344827586206896</v>
      </c>
      <c r="Y134">
        <v>93</v>
      </c>
      <c r="Z134">
        <v>1</v>
      </c>
      <c r="AA134">
        <v>20.239999999999998</v>
      </c>
      <c r="AB134">
        <f>AA134-7.5</f>
        <v>12.739999999999998</v>
      </c>
      <c r="AE134" s="11">
        <v>0</v>
      </c>
      <c r="AF134" t="str">
        <f>CONCATENATE(VLOOKUP(AG134, 'Voxel Sizes'!$A$2:$B$18,2,FALSE),"x",INT(AC134*15), "x", INT(AD134*15))</f>
        <v>120x0x0</v>
      </c>
      <c r="AG134">
        <f t="shared" si="32"/>
        <v>7</v>
      </c>
      <c r="AH134" t="s">
        <v>469</v>
      </c>
      <c r="AI134" t="str">
        <f>CONCATENATE(VLOOKUP(AG134,Constants!$A$2:$C$16,IF(AH134&lt;&gt;"", 3, 2), FALSE),IF(AH134&lt;&gt;"",CONCATENATE(",",VLOOKUP(AH134,$B:$AI,34,FALSE)),""))</f>
        <v>2,3,2,2,1,2</v>
      </c>
      <c r="AQ134">
        <v>1</v>
      </c>
      <c r="AS134">
        <v>32</v>
      </c>
      <c r="AT134">
        <f t="shared" si="33"/>
        <v>26</v>
      </c>
      <c r="AW134">
        <f t="shared" si="34"/>
        <v>18.600000000000001</v>
      </c>
      <c r="AX134">
        <f t="shared" si="35"/>
        <v>9.5</v>
      </c>
      <c r="AY134">
        <f t="shared" si="36"/>
        <v>7.5</v>
      </c>
      <c r="AZ134" s="4">
        <f t="shared" si="41"/>
        <v>0.95199999999999996</v>
      </c>
      <c r="BA134">
        <f t="shared" si="37"/>
        <v>0</v>
      </c>
      <c r="BB134">
        <f>VLOOKUP($E134,Constants!$I:$K, 2, FALSE)</f>
        <v>1.1499999999999999</v>
      </c>
      <c r="BC134">
        <f>VLOOKUP($E134,Constants!$I:$K, 3, FALSE)*IF(AND(D134="multiple_unit",Y134&lt;110),0.75,1)</f>
        <v>1.7</v>
      </c>
      <c r="BD134">
        <f>INT(POWER(((Constants!$G$2+$AW134+$AX134+$AY134+$BA134)*$AZ134)*$BC134, 1.05))+$AV134</f>
        <v>81</v>
      </c>
      <c r="BE134">
        <f>INT(POWER((((Constants!$G$1+$AW134+$AX134+$AY134+$BA134)*($AZ134))*$BB134),IF($D134="wagon",1,1.2)))+$AU134</f>
        <v>123</v>
      </c>
      <c r="BF134" s="15">
        <f t="shared" si="38"/>
        <v>63281.25</v>
      </c>
      <c r="BG134" s="15">
        <f t="shared" si="39"/>
        <v>9993.75</v>
      </c>
      <c r="BN134">
        <v>3</v>
      </c>
      <c r="BR134" t="str">
        <f>VLOOKUP(G134,Eras!$A$2:$C$10, 2, TRUE)</f>
        <v>big4</v>
      </c>
      <c r="BS134" t="s">
        <v>360</v>
      </c>
      <c r="BT134" t="str">
        <f t="shared" si="40"/>
        <v>big4_Mixed Traffic</v>
      </c>
      <c r="BU134" t="str">
        <f t="shared" si="63"/>
        <v>steam_RAIL</v>
      </c>
      <c r="BV134" t="str">
        <f>VLOOKUP($BU134, Constants!$M:$N, 2, FALSE)</f>
        <v>{BLACK}Powered by: {GOLD}Steam</v>
      </c>
      <c r="BW134" t="str">
        <f t="shared" si="64"/>
        <v/>
      </c>
      <c r="BX134" t="s">
        <v>489</v>
      </c>
      <c r="BY134" t="str">
        <f t="shared" si="65"/>
        <v/>
      </c>
      <c r="BZ134" t="str">
        <f t="shared" si="66"/>
        <v>{BLACK}Powered by: {GOLD}Steam {}{SILVER}The Gresley V2 is derived from the A3 type, adapted to mixed traffic with a shorter boiler, smaller driving wheels and a 2-6-2 layout.</v>
      </c>
    </row>
    <row r="135" spans="1:78" x14ac:dyDescent="0.25">
      <c r="A135" t="s">
        <v>20</v>
      </c>
      <c r="B135" t="s">
        <v>490</v>
      </c>
      <c r="C135">
        <v>248</v>
      </c>
      <c r="D135" t="s">
        <v>295</v>
      </c>
      <c r="E135" t="s">
        <v>304</v>
      </c>
      <c r="F135" t="s">
        <v>307</v>
      </c>
      <c r="G135">
        <v>1936</v>
      </c>
      <c r="H135">
        <v>1939</v>
      </c>
      <c r="I135">
        <v>1965</v>
      </c>
      <c r="K135">
        <v>1600</v>
      </c>
      <c r="M135" s="6">
        <v>18.5</v>
      </c>
      <c r="N135" s="6">
        <v>30</v>
      </c>
      <c r="O135" s="6">
        <v>2</v>
      </c>
      <c r="P135" s="6">
        <v>225</v>
      </c>
      <c r="Q135" s="7">
        <f>((($Y135/2)/60)*5280)/($R135*3.2*PI())</f>
        <v>193.09239419237301</v>
      </c>
      <c r="R135" s="6">
        <v>1.7</v>
      </c>
      <c r="S135" s="6">
        <f>((($M135*$M135/4)*PI())*($N135/12)*$O135*$P135*$Q135)/(33000*1.1)</f>
        <v>1608.5864388368984</v>
      </c>
      <c r="T135">
        <v>75.2</v>
      </c>
      <c r="U135" s="9">
        <v>48</v>
      </c>
      <c r="W135">
        <v>128</v>
      </c>
      <c r="X135" s="4">
        <f t="shared" si="62"/>
        <v>0.1038961038961039</v>
      </c>
      <c r="Y135">
        <v>75</v>
      </c>
      <c r="AA135">
        <v>19.21</v>
      </c>
      <c r="AB135">
        <f>AA135-7.5</f>
        <v>11.71</v>
      </c>
      <c r="AD135">
        <v>3.96</v>
      </c>
      <c r="AE135" s="11">
        <v>0</v>
      </c>
      <c r="AF135" t="str">
        <f>CONCATENATE(VLOOKUP(AG135, 'Voxel Sizes'!$A$2:$B$18,2,FALSE),"x",INT(AC135*15), "x", INT(AD135*15))</f>
        <v>120x0x59</v>
      </c>
      <c r="AG135">
        <f t="shared" si="32"/>
        <v>7</v>
      </c>
      <c r="AH135" t="s">
        <v>454</v>
      </c>
      <c r="AI135" t="str">
        <f>CONCATENATE(VLOOKUP(AG135,Constants!$A$2:$C$16,IF(AH135&lt;&gt;"", 3, 2), FALSE),IF(AH135&lt;&gt;"",CONCATENATE(",",VLOOKUP(AH135,$B:$AI,34,FALSE)),""))</f>
        <v>2,3,2,2,1,2</v>
      </c>
      <c r="AQ135">
        <v>1</v>
      </c>
      <c r="AS135">
        <v>30</v>
      </c>
      <c r="AT135">
        <f t="shared" si="33"/>
        <v>25</v>
      </c>
      <c r="AW135">
        <f t="shared" si="34"/>
        <v>15</v>
      </c>
      <c r="AX135">
        <f t="shared" si="35"/>
        <v>8</v>
      </c>
      <c r="AY135">
        <f t="shared" si="36"/>
        <v>6.4</v>
      </c>
      <c r="AZ135" s="4">
        <f t="shared" si="41"/>
        <v>0.95199999999999996</v>
      </c>
      <c r="BA135">
        <f t="shared" si="37"/>
        <v>0</v>
      </c>
      <c r="BB135">
        <f>VLOOKUP($E135,Constants!$I:$K, 2, FALSE)</f>
        <v>1.1499999999999999</v>
      </c>
      <c r="BC135">
        <f>VLOOKUP($E135,Constants!$I:$K, 3, FALSE)*IF(AND(D135="multiple_unit",Y135&lt;110),0.75,1)</f>
        <v>1.7</v>
      </c>
      <c r="BD135">
        <f>INT(POWER(((Constants!$G$2+$AW135+$AX135+$AY135+$BA135)*$AZ135)*$BC135, 1.05))+$AV135</f>
        <v>68</v>
      </c>
      <c r="BE135">
        <f>INT(POWER((((Constants!$G$1+$AW135+$AX135+$AY135+$BA135)*($AZ135))*$BB135),IF($D135="wagon",1,1.2)))+$AU135</f>
        <v>105</v>
      </c>
      <c r="BF135" s="15">
        <f t="shared" si="38"/>
        <v>53125</v>
      </c>
      <c r="BG135" s="15">
        <f t="shared" si="39"/>
        <v>8531.25</v>
      </c>
      <c r="BN135">
        <v>4</v>
      </c>
      <c r="BR135" t="str">
        <f>VLOOKUP(G135,Eras!$A$2:$C$10, 2, TRUE)</f>
        <v>big4</v>
      </c>
      <c r="BS135" t="s">
        <v>360</v>
      </c>
      <c r="BT135" t="str">
        <f t="shared" si="40"/>
        <v>big4_Mixed Traffic</v>
      </c>
      <c r="BU135" t="str">
        <f t="shared" si="63"/>
        <v>steam_RAIL</v>
      </c>
      <c r="BV135" t="str">
        <f>VLOOKUP($BU135, Constants!$M:$N, 2, FALSE)</f>
        <v>{BLACK}Powered by: {GOLD}Steam</v>
      </c>
      <c r="BW135" t="str">
        <f t="shared" si="64"/>
        <v/>
      </c>
      <c r="BX135" t="s">
        <v>492</v>
      </c>
      <c r="BY135" t="str">
        <f t="shared" si="65"/>
        <v/>
      </c>
      <c r="BZ135" t="str">
        <f t="shared" si="66"/>
        <v>{BLACK}Powered by: {GOLD}Steam {}{SILVER}The Grange class is a conservative design similar to the Hall class with smaller driving wheels, but proved to be reliable in service.</v>
      </c>
    </row>
    <row r="136" spans="1:78" x14ac:dyDescent="0.25">
      <c r="A136" t="s">
        <v>30</v>
      </c>
      <c r="B136" t="s">
        <v>491</v>
      </c>
      <c r="C136">
        <v>250</v>
      </c>
      <c r="D136" t="s">
        <v>295</v>
      </c>
      <c r="E136" t="s">
        <v>304</v>
      </c>
      <c r="F136" t="s">
        <v>307</v>
      </c>
      <c r="G136">
        <v>1937</v>
      </c>
      <c r="H136">
        <v>1948</v>
      </c>
      <c r="I136">
        <v>1964</v>
      </c>
      <c r="K136">
        <v>2500</v>
      </c>
      <c r="T136">
        <v>110</v>
      </c>
      <c r="U136" s="9">
        <v>57</v>
      </c>
      <c r="W136">
        <v>180</v>
      </c>
      <c r="X136" s="4">
        <f t="shared" si="62"/>
        <v>0.10778443113772455</v>
      </c>
      <c r="Y136">
        <v>115</v>
      </c>
      <c r="Z136">
        <v>1</v>
      </c>
      <c r="AA136">
        <v>22.49</v>
      </c>
      <c r="AB136">
        <f>AA136-7.5</f>
        <v>14.989999999999998</v>
      </c>
      <c r="AD136">
        <v>4.0389999999999997</v>
      </c>
      <c r="AE136" s="11">
        <v>0</v>
      </c>
      <c r="AF136" t="str">
        <f>CONCATENATE(VLOOKUP(AG136, 'Voxel Sizes'!$A$2:$B$18,2,FALSE),"x",INT(AC136*15), "x", INT(AD136*15))</f>
        <v>152x0x60</v>
      </c>
      <c r="AG136">
        <f t="shared" ref="AG136:AG199" si="67">ROUND(15*((AB136*10)/256),0)</f>
        <v>9</v>
      </c>
      <c r="AH136" t="s">
        <v>494</v>
      </c>
      <c r="AI136" t="str">
        <f>CONCATENATE(VLOOKUP(AG136,Constants!$A$2:$C$16,IF(AH136&lt;&gt;"", 3, 2), FALSE),IF(AH136&lt;&gt;"",CONCATENATE(",",VLOOKUP(AH136,$B:$AI,34,FALSE)),""))</f>
        <v>2,5,2,2,1,2</v>
      </c>
      <c r="AQ136">
        <v>1</v>
      </c>
      <c r="AS136">
        <v>35</v>
      </c>
      <c r="AT136">
        <f t="shared" ref="AT136:AT199" si="68">IF(I136&lt;&gt;"",MAX(8,(I136-G136)-4),"")</f>
        <v>23</v>
      </c>
      <c r="AW136">
        <f t="shared" ref="AW136:AW199" si="69">MIN(Y136/150, 1)*30</f>
        <v>23</v>
      </c>
      <c r="AX136">
        <f t="shared" ref="AX136:AX199" si="70">MIN(K136/4000, 1)*20</f>
        <v>12.5</v>
      </c>
      <c r="AY136">
        <f t="shared" ref="AY136:AY199" si="71">MIN(W136/400,1)*20</f>
        <v>9</v>
      </c>
      <c r="AZ136" s="4">
        <f t="shared" si="41"/>
        <v>0.95066666666666666</v>
      </c>
      <c r="BA136">
        <f t="shared" ref="BA136:BA199" si="72">((MAX($J136,1)*MIN($AE136/300,1)))*IF(D136="Wagon",50,10)</f>
        <v>0</v>
      </c>
      <c r="BB136">
        <f>VLOOKUP($E136,Constants!$I:$K, 2, FALSE)</f>
        <v>1.1499999999999999</v>
      </c>
      <c r="BC136">
        <f>VLOOKUP($E136,Constants!$I:$K, 3, FALSE)*IF(AND(D136="multiple_unit",Y136&lt;110),0.75,1)</f>
        <v>1.7</v>
      </c>
      <c r="BD136">
        <f>INT(POWER(((Constants!$G$2+$AW136+$AX136+$AY136+$BA136)*$AZ136)*$BC136, 1.05))+$AV136</f>
        <v>99</v>
      </c>
      <c r="BE136">
        <f>INT(POWER((((Constants!$G$1+$AW136+$AX136+$AY136+$BA136)*($AZ136))*$BB136),IF($D136="wagon",1,1.2)))+$AU136</f>
        <v>149</v>
      </c>
      <c r="BF136" s="15">
        <f t="shared" ref="BF136:BF199" si="73">BD136*IF($D136="wagon",62.5,781.25)</f>
        <v>77343.75</v>
      </c>
      <c r="BG136" s="15">
        <f t="shared" ref="BG136:BG199" si="74">BE136*IF($D136="wagon",2.73,81.25)</f>
        <v>12106.25</v>
      </c>
      <c r="BN136">
        <v>5</v>
      </c>
      <c r="BR136" t="str">
        <f>VLOOKUP(G136,Eras!$A$2:$C$10, 2, TRUE)</f>
        <v>big4</v>
      </c>
      <c r="BS136" t="s">
        <v>361</v>
      </c>
      <c r="BT136" t="str">
        <f t="shared" ref="BT136:BT199" si="75">CONCATENATE(BR136,"_",BS136)</f>
        <v>big4_Express</v>
      </c>
      <c r="BU136" t="str">
        <f t="shared" si="63"/>
        <v>steam_RAIL</v>
      </c>
      <c r="BV136" t="str">
        <f>VLOOKUP($BU136, Constants!$M:$N, 2, FALSE)</f>
        <v>{BLACK}Powered by: {GOLD}Steam</v>
      </c>
      <c r="BW136" t="str">
        <f t="shared" si="64"/>
        <v/>
      </c>
      <c r="BX136" t="s">
        <v>493</v>
      </c>
      <c r="BY136" t="str">
        <f t="shared" si="65"/>
        <v/>
      </c>
      <c r="BZ136" t="str">
        <f t="shared" si="66"/>
        <v>{BLACK}Powered by: {GOLD}Steam {}{SILVER}The Stanier Coronation briefly held the British speed record for a steam locomotive. In real life, the streamlined casing was only fitted to early examples.</v>
      </c>
    </row>
    <row r="137" spans="1:78" x14ac:dyDescent="0.25">
      <c r="A137" t="s">
        <v>33</v>
      </c>
      <c r="B137" t="s">
        <v>504</v>
      </c>
      <c r="C137">
        <v>252</v>
      </c>
      <c r="D137" t="s">
        <v>295</v>
      </c>
      <c r="E137" t="s">
        <v>304</v>
      </c>
      <c r="F137" t="s">
        <v>307</v>
      </c>
      <c r="G137">
        <v>1941</v>
      </c>
      <c r="H137">
        <v>1949</v>
      </c>
      <c r="I137">
        <v>1967</v>
      </c>
      <c r="K137">
        <v>2100</v>
      </c>
      <c r="M137" s="6">
        <v>18</v>
      </c>
      <c r="N137" s="6">
        <v>24</v>
      </c>
      <c r="O137" s="6">
        <v>3</v>
      </c>
      <c r="P137" s="6">
        <v>250</v>
      </c>
      <c r="Q137" s="7">
        <f>((($Y137/2)/60)*5280)/($R137*3.2*PI())</f>
        <v>241.87363061991991</v>
      </c>
      <c r="R137" s="6">
        <v>1.9</v>
      </c>
      <c r="S137" s="6">
        <f>((($M137*$M137/4)*PI())*($N137/12)*$O137*$P137*$Q137)/(33000*1.1)</f>
        <v>2543.3612440191391</v>
      </c>
      <c r="T137">
        <v>96.3</v>
      </c>
      <c r="U137" s="9">
        <v>52</v>
      </c>
      <c r="W137">
        <v>167</v>
      </c>
      <c r="X137" s="4">
        <f t="shared" si="62"/>
        <v>0.11260957518543493</v>
      </c>
      <c r="Y137">
        <v>105</v>
      </c>
      <c r="Z137">
        <v>1</v>
      </c>
      <c r="AA137">
        <v>21.23</v>
      </c>
      <c r="AB137">
        <f>AA137-7.5</f>
        <v>13.73</v>
      </c>
      <c r="AE137" s="11">
        <v>0</v>
      </c>
      <c r="AF137" t="str">
        <f>CONCATENATE(VLOOKUP(AG137, 'Voxel Sizes'!$A$2:$B$18,2,FALSE),"x",INT(AC137*15), "x", INT(AD137*15))</f>
        <v>136x0x0</v>
      </c>
      <c r="AG137">
        <f t="shared" si="67"/>
        <v>8</v>
      </c>
      <c r="AH137" t="s">
        <v>503</v>
      </c>
      <c r="AI137" t="str">
        <f>CONCATENATE(VLOOKUP(AG137,Constants!$A$2:$C$16,IF(AH137&lt;&gt;"", 3, 2), FALSE),IF(AH137&lt;&gt;"",CONCATENATE(",",VLOOKUP(AH137,$B:$AI,34,FALSE)),""))</f>
        <v>2,4,2,2,1,2</v>
      </c>
      <c r="AQ137">
        <v>1</v>
      </c>
      <c r="AS137">
        <v>32</v>
      </c>
      <c r="AT137">
        <f t="shared" si="68"/>
        <v>22</v>
      </c>
      <c r="AW137">
        <f t="shared" si="69"/>
        <v>21</v>
      </c>
      <c r="AX137">
        <f t="shared" si="70"/>
        <v>10.5</v>
      </c>
      <c r="AY137">
        <f t="shared" si="71"/>
        <v>8.35</v>
      </c>
      <c r="AZ137" s="4">
        <f t="shared" ref="AZ137:AZ200" si="76">1-(MAX(G137-1900, 0)/750)</f>
        <v>0.94533333333333336</v>
      </c>
      <c r="BA137">
        <f t="shared" si="72"/>
        <v>0</v>
      </c>
      <c r="BB137">
        <f>VLOOKUP($E137,Constants!$I:$K, 2, FALSE)</f>
        <v>1.1499999999999999</v>
      </c>
      <c r="BC137">
        <f>VLOOKUP($E137,Constants!$I:$K, 3, FALSE)*IF(AND(D137="multiple_unit",Y137&lt;110),0.75,1)</f>
        <v>1.7</v>
      </c>
      <c r="BD137">
        <f>INT(POWER(((Constants!$G$2+$AW137+$AX137+$AY137+$BA137)*$AZ137)*$BC137, 1.05))+$AV137</f>
        <v>89</v>
      </c>
      <c r="BE137">
        <f>INT(POWER((((Constants!$G$1+$AW137+$AX137+$AY137+$BA137)*($AZ137))*$BB137),IF($D137="wagon",1,1.2)))+$AU137</f>
        <v>135</v>
      </c>
      <c r="BF137" s="15">
        <f t="shared" si="73"/>
        <v>69531.25</v>
      </c>
      <c r="BG137" s="15">
        <f t="shared" si="74"/>
        <v>10968.75</v>
      </c>
      <c r="BN137">
        <v>6</v>
      </c>
      <c r="BR137" t="str">
        <f>VLOOKUP(G137,Eras!$A$2:$C$10, 2, TRUE)</f>
        <v>big4</v>
      </c>
      <c r="BS137" t="s">
        <v>361</v>
      </c>
      <c r="BT137" t="str">
        <f t="shared" si="75"/>
        <v>big4_Express</v>
      </c>
      <c r="BU137" t="str">
        <f t="shared" si="63"/>
        <v>steam_RAIL</v>
      </c>
      <c r="BV137" t="str">
        <f>VLOOKUP($BU137, Constants!$M:$N, 2, FALSE)</f>
        <v>{BLACK}Powered by: {GOLD}Steam</v>
      </c>
      <c r="BW137" t="str">
        <f t="shared" si="64"/>
        <v/>
      </c>
      <c r="BX137" t="s">
        <v>505</v>
      </c>
      <c r="BY137" t="str">
        <f t="shared" si="65"/>
        <v/>
      </c>
      <c r="BZ137" t="str">
        <f t="shared" si="66"/>
        <v>{BLACK}Powered by: {GOLD}Steam {}{SILVER}The SR Merchant Navy is a large, powerful locomotive with an air-smoothed casing. Bulleid's novel design features proved to be troublesome, and the class was later rebuilt.</v>
      </c>
    </row>
    <row r="138" spans="1:78" x14ac:dyDescent="0.25">
      <c r="A138" t="s">
        <v>12</v>
      </c>
      <c r="B138" t="s">
        <v>186</v>
      </c>
      <c r="C138">
        <v>254</v>
      </c>
      <c r="D138" t="s">
        <v>165</v>
      </c>
      <c r="E138" t="s">
        <v>304</v>
      </c>
      <c r="F138" t="s">
        <v>307</v>
      </c>
      <c r="G138">
        <v>1942</v>
      </c>
      <c r="T138">
        <v>72</v>
      </c>
      <c r="W138">
        <v>119</v>
      </c>
      <c r="X138" s="4">
        <f t="shared" si="62"/>
        <v>0.16527777777777777</v>
      </c>
      <c r="AE138" s="11">
        <v>0</v>
      </c>
      <c r="AF138" t="str">
        <f>CONCATENATE(VLOOKUP(AG138, 'Voxel Sizes'!$A$2:$B$18,2,FALSE),"x",INT(AC138*15), "x", INT(AD138*15))</f>
        <v>0x0x0</v>
      </c>
      <c r="AG138">
        <f t="shared" si="67"/>
        <v>0</v>
      </c>
      <c r="AI138" t="str">
        <f>CONCATENATE(VLOOKUP(AG138,Constants!$A$2:$C$16,IF(AH138&lt;&gt;"", 3, 2), FALSE),IF(AH138&lt;&gt;"",CONCATENATE(",",VLOOKUP(AH138,$B:$AI,34,FALSE)),""))</f>
        <v>na</v>
      </c>
      <c r="AS138">
        <v>30</v>
      </c>
      <c r="AT138" t="str">
        <f t="shared" si="68"/>
        <v/>
      </c>
      <c r="AW138">
        <f t="shared" si="69"/>
        <v>0</v>
      </c>
      <c r="AX138">
        <f t="shared" si="70"/>
        <v>0</v>
      </c>
      <c r="AY138">
        <f t="shared" si="71"/>
        <v>5.9499999999999993</v>
      </c>
      <c r="AZ138" s="4">
        <f t="shared" si="76"/>
        <v>0.94399999999999995</v>
      </c>
      <c r="BA138">
        <f t="shared" si="72"/>
        <v>0</v>
      </c>
      <c r="BB138">
        <f>VLOOKUP($E138,Constants!$I:$K, 2, FALSE)</f>
        <v>1.1499999999999999</v>
      </c>
      <c r="BC138">
        <f>VLOOKUP($E138,Constants!$I:$K, 3, FALSE)*IF(AND(D138="multiple_unit",Y138&lt;110),0.75,1)</f>
        <v>1.7</v>
      </c>
      <c r="BD138">
        <f>INT(POWER(((Constants!$G$2+$AW138+$AX138+$AY138+$BA138)*$AZ138)*$BC138, 1.05))+$AV138</f>
        <v>20</v>
      </c>
      <c r="BE138">
        <f>INT(POWER((((Constants!$G$1+$AW138+$AX138+$AY138+$BA138)*($AZ138))*$BB138),IF($D138="wagon",1,1.2)))+$AU138</f>
        <v>42</v>
      </c>
      <c r="BF138" s="15">
        <f t="shared" si="73"/>
        <v>15625</v>
      </c>
      <c r="BG138" s="15">
        <f t="shared" si="74"/>
        <v>3412.5</v>
      </c>
      <c r="BN138">
        <v>7</v>
      </c>
      <c r="BR138" t="str">
        <f>VLOOKUP(G138,Eras!$A$2:$C$10, 2, TRUE)</f>
        <v>big4</v>
      </c>
      <c r="BT138" t="str">
        <f t="shared" si="75"/>
        <v>big4_</v>
      </c>
      <c r="BU138" t="str">
        <f t="shared" si="63"/>
        <v>steam_RAIL</v>
      </c>
      <c r="BV138" t="str">
        <f>VLOOKUP($BU138, Constants!$M:$N, 2, FALSE)</f>
        <v>{BLACK}Powered by: {GOLD}Steam</v>
      </c>
      <c r="BW138" t="str">
        <f t="shared" si="64"/>
        <v/>
      </c>
      <c r="BY138" t="str">
        <f t="shared" si="65"/>
        <v/>
      </c>
      <c r="BZ138" t="str">
        <f t="shared" si="66"/>
        <v>{BLACK}Powered by: {GOLD}Steam {}{SILVER}</v>
      </c>
    </row>
    <row r="139" spans="1:78" x14ac:dyDescent="0.25">
      <c r="A139" t="s">
        <v>64</v>
      </c>
      <c r="B139" t="s">
        <v>185</v>
      </c>
      <c r="C139">
        <v>256</v>
      </c>
      <c r="D139" t="s">
        <v>295</v>
      </c>
      <c r="E139" t="s">
        <v>329</v>
      </c>
      <c r="F139" t="s">
        <v>336</v>
      </c>
      <c r="G139">
        <v>1941</v>
      </c>
      <c r="H139">
        <v>1948</v>
      </c>
      <c r="I139">
        <v>1968</v>
      </c>
      <c r="K139">
        <v>1470</v>
      </c>
      <c r="T139">
        <v>101</v>
      </c>
      <c r="W139">
        <v>178</v>
      </c>
      <c r="X139" s="4">
        <f t="shared" si="62"/>
        <v>0.17623762376237623</v>
      </c>
      <c r="Y139">
        <v>75</v>
      </c>
      <c r="Z139">
        <v>1</v>
      </c>
      <c r="AA139">
        <v>17</v>
      </c>
      <c r="AB139">
        <v>17</v>
      </c>
      <c r="AE139" s="11">
        <v>0</v>
      </c>
      <c r="AF139" t="str">
        <f>CONCATENATE(VLOOKUP(AG139, 'Voxel Sizes'!$A$2:$B$18,2,FALSE),"x",INT(AC139*15), "x", INT(AD139*15))</f>
        <v>164x0x0</v>
      </c>
      <c r="AG139">
        <f t="shared" si="67"/>
        <v>10</v>
      </c>
      <c r="AI139" t="str">
        <f>CONCATENATE(VLOOKUP(AG139,Constants!$A$2:$C$16,IF(AH139&lt;&gt;"", 3, 2), FALSE),IF(AH139&lt;&gt;"",CONCATENATE(",",VLOOKUP(AH139,$B:$AI,34,FALSE)),""))</f>
        <v>4,2,4</v>
      </c>
      <c r="AS139">
        <v>31</v>
      </c>
      <c r="AT139">
        <f t="shared" si="68"/>
        <v>23</v>
      </c>
      <c r="AW139">
        <f t="shared" si="69"/>
        <v>15</v>
      </c>
      <c r="AX139">
        <f t="shared" si="70"/>
        <v>7.35</v>
      </c>
      <c r="AY139">
        <f t="shared" si="71"/>
        <v>8.9</v>
      </c>
      <c r="AZ139" s="4">
        <f t="shared" si="76"/>
        <v>0.94533333333333336</v>
      </c>
      <c r="BA139">
        <f t="shared" si="72"/>
        <v>0</v>
      </c>
      <c r="BB139">
        <f>VLOOKUP($E139,Constants!$I:$K, 2, FALSE)</f>
        <v>0.85</v>
      </c>
      <c r="BC139">
        <f>VLOOKUP($E139,Constants!$I:$K, 3, FALSE)*IF(AND(D139="multiple_unit",Y139&lt;110),0.75,1)</f>
        <v>2.2999999999999998</v>
      </c>
      <c r="BD139">
        <f>INT(POWER(((Constants!$G$2+$AW139+$AX139+$AY139+$BA139)*$AZ139)*$BC139, 1.05))+$AV139</f>
        <v>98</v>
      </c>
      <c r="BE139">
        <f>INT(POWER((((Constants!$G$1+$AW139+$AX139+$AY139+$BA139)*($AZ139))*$BB139),IF($D139="wagon",1,1.2)))+$AU139</f>
        <v>76</v>
      </c>
      <c r="BF139" s="15">
        <f t="shared" si="73"/>
        <v>76562.5</v>
      </c>
      <c r="BG139" s="15">
        <f t="shared" si="74"/>
        <v>6175</v>
      </c>
      <c r="BN139">
        <v>8</v>
      </c>
      <c r="BR139" t="str">
        <f>VLOOKUP(G139,Eras!$A$2:$C$10, 2, TRUE)</f>
        <v>big4</v>
      </c>
      <c r="BS139" t="s">
        <v>370</v>
      </c>
      <c r="BT139" t="str">
        <f t="shared" si="75"/>
        <v>big4_MT (Electric)</v>
      </c>
      <c r="BU139" t="str">
        <f t="shared" si="63"/>
        <v>electric_THIRD_RAIL</v>
      </c>
      <c r="BV139" t="str">
        <f>VLOOKUP($BU139, Constants!$M:$N, 2, FALSE)</f>
        <v>{BLACK}Powered by: {GOLD}750V DC</v>
      </c>
      <c r="BW139" t="str">
        <f t="shared" si="64"/>
        <v/>
      </c>
      <c r="BX139" t="s">
        <v>506</v>
      </c>
      <c r="BY139" t="str">
        <f t="shared" si="65"/>
        <v/>
      </c>
      <c r="BZ139" t="str">
        <f t="shared" si="66"/>
        <v>{BLACK}Powered by: {GOLD}750V DC {}{SILVER}With six traction motors, the CC is adept at handling both heavy freight and long passenger trains.</v>
      </c>
    </row>
    <row r="140" spans="1:78" x14ac:dyDescent="0.25">
      <c r="A140" t="s">
        <v>36</v>
      </c>
      <c r="B140" t="s">
        <v>507</v>
      </c>
      <c r="C140">
        <v>258</v>
      </c>
      <c r="D140" t="s">
        <v>295</v>
      </c>
      <c r="E140" t="s">
        <v>304</v>
      </c>
      <c r="F140" t="s">
        <v>307</v>
      </c>
      <c r="G140">
        <v>1942</v>
      </c>
      <c r="H140">
        <v>1942</v>
      </c>
      <c r="I140">
        <v>1966</v>
      </c>
      <c r="K140">
        <v>1600</v>
      </c>
      <c r="M140" s="6">
        <v>19</v>
      </c>
      <c r="N140" s="6">
        <v>26</v>
      </c>
      <c r="O140" s="6">
        <v>2</v>
      </c>
      <c r="P140" s="6">
        <v>230</v>
      </c>
      <c r="Q140" s="7">
        <f t="shared" ref="Q140:Q147" si="77">((($Y140/2)/60)*5280)/($R140*3.2*PI())</f>
        <v>218.83804675135607</v>
      </c>
      <c r="R140" s="6">
        <v>1.5</v>
      </c>
      <c r="S140" s="6">
        <f t="shared" ref="S140:S147" si="78">((($M140*$M140/4)*PI())*($N140/12)*$O140*$P140*$Q140)/(33000*1.1)</f>
        <v>1703.5827020202014</v>
      </c>
      <c r="T140">
        <v>50.3</v>
      </c>
      <c r="U140" s="9">
        <f>90.7-T140</f>
        <v>40.400000000000006</v>
      </c>
      <c r="W140">
        <v>134</v>
      </c>
      <c r="X140" s="4">
        <f t="shared" si="62"/>
        <v>0.14773980154355015</v>
      </c>
      <c r="Y140">
        <v>75</v>
      </c>
      <c r="Z140">
        <v>1</v>
      </c>
      <c r="AA140">
        <v>16.73</v>
      </c>
      <c r="AB140">
        <v>10</v>
      </c>
      <c r="AE140" s="11">
        <v>0</v>
      </c>
      <c r="AF140" t="str">
        <f>CONCATENATE(VLOOKUP(AG140, 'Voxel Sizes'!$A$2:$B$18,2,FALSE),"x",INT(AC140*15), "x", INT(AD140*15))</f>
        <v>102x0x0</v>
      </c>
      <c r="AG140">
        <f t="shared" si="67"/>
        <v>6</v>
      </c>
      <c r="AH140" t="s">
        <v>509</v>
      </c>
      <c r="AI140" t="str">
        <f>CONCATENATE(VLOOKUP(AG140,Constants!$A$2:$C$16,IF(AH140&lt;&gt;"", 3, 2), FALSE),IF(AH140&lt;&gt;"",CONCATENATE(",",VLOOKUP(AH140,$B:$AI,34,FALSE)),""))</f>
        <v>2,2,2,1,2,1</v>
      </c>
      <c r="AQ140">
        <v>1</v>
      </c>
      <c r="AS140">
        <v>25</v>
      </c>
      <c r="AT140">
        <f t="shared" si="68"/>
        <v>20</v>
      </c>
      <c r="AW140">
        <f t="shared" si="69"/>
        <v>15</v>
      </c>
      <c r="AX140">
        <f t="shared" si="70"/>
        <v>8</v>
      </c>
      <c r="AY140">
        <f t="shared" si="71"/>
        <v>6.7</v>
      </c>
      <c r="AZ140" s="4">
        <f t="shared" si="76"/>
        <v>0.94399999999999995</v>
      </c>
      <c r="BA140">
        <f t="shared" si="72"/>
        <v>0</v>
      </c>
      <c r="BB140">
        <f>VLOOKUP($E140,Constants!$I:$K, 2, FALSE)</f>
        <v>1.1499999999999999</v>
      </c>
      <c r="BC140">
        <f>VLOOKUP($E140,Constants!$I:$K, 3, FALSE)*IF(AND(D140="multiple_unit",Y140&lt;110),0.75,1)</f>
        <v>1.7</v>
      </c>
      <c r="BD140">
        <f>INT(POWER(((Constants!$G$2+$AW140+$AX140+$AY140+$BA140)*$AZ140)*$BC140, 1.05))+$AV140</f>
        <v>68</v>
      </c>
      <c r="BE140">
        <f>INT(POWER((((Constants!$G$1+$AW140+$AX140+$AY140+$BA140)*($AZ140))*$BB140),IF($D140="wagon",1,1.2)))+$AU140</f>
        <v>105</v>
      </c>
      <c r="BF140" s="15">
        <f t="shared" si="73"/>
        <v>53125</v>
      </c>
      <c r="BG140" s="15">
        <f t="shared" si="74"/>
        <v>8531.25</v>
      </c>
      <c r="BN140">
        <v>9</v>
      </c>
      <c r="BR140" t="str">
        <f>VLOOKUP(G140,Eras!$A$2:$C$10, 2, TRUE)</f>
        <v>big4</v>
      </c>
      <c r="BS140" t="s">
        <v>359</v>
      </c>
      <c r="BT140" t="str">
        <f t="shared" si="75"/>
        <v>big4_Cheap</v>
      </c>
      <c r="BU140" t="str">
        <f t="shared" si="63"/>
        <v>steam_RAIL</v>
      </c>
      <c r="BV140" t="str">
        <f>VLOOKUP($BU140, Constants!$M:$N, 2, FALSE)</f>
        <v>{BLACK}Powered by: {GOLD}Steam</v>
      </c>
      <c r="BW140" t="str">
        <f t="shared" si="64"/>
        <v/>
      </c>
      <c r="BX140" t="s">
        <v>508</v>
      </c>
      <c r="BY140" t="str">
        <f t="shared" si="65"/>
        <v/>
      </c>
      <c r="BZ140" t="str">
        <f t="shared" si="66"/>
        <v>{BLACK}Powered by: {GOLD}Steam {}{SILVER}The Q1 was designed for function over form and the most efficient possible use of materials.</v>
      </c>
    </row>
    <row r="141" spans="1:78" x14ac:dyDescent="0.25">
      <c r="A141" t="s">
        <v>511</v>
      </c>
      <c r="B141" t="s">
        <v>245</v>
      </c>
      <c r="C141">
        <v>260</v>
      </c>
      <c r="D141" t="s">
        <v>295</v>
      </c>
      <c r="E141" t="s">
        <v>304</v>
      </c>
      <c r="F141" t="s">
        <v>307</v>
      </c>
      <c r="G141">
        <v>1943</v>
      </c>
      <c r="H141">
        <v>1964</v>
      </c>
      <c r="I141">
        <v>1967</v>
      </c>
      <c r="K141">
        <v>500</v>
      </c>
      <c r="M141" s="6">
        <v>18</v>
      </c>
      <c r="N141" s="6">
        <v>26</v>
      </c>
      <c r="O141" s="6">
        <v>2</v>
      </c>
      <c r="P141" s="6">
        <v>170</v>
      </c>
      <c r="Q141" s="7">
        <f t="shared" si="77"/>
        <v>94.268697062122627</v>
      </c>
      <c r="R141" s="6">
        <v>1.3</v>
      </c>
      <c r="S141" s="6">
        <f t="shared" si="78"/>
        <v>486.8181818181817</v>
      </c>
      <c r="T141">
        <v>49</v>
      </c>
      <c r="W141">
        <v>106</v>
      </c>
      <c r="X141" s="4">
        <f t="shared" si="62"/>
        <v>0.21632653061224491</v>
      </c>
      <c r="Y141">
        <v>28</v>
      </c>
      <c r="Z141">
        <v>1</v>
      </c>
      <c r="AA141">
        <v>9.25</v>
      </c>
      <c r="AB141">
        <v>9.25</v>
      </c>
      <c r="AE141" s="11">
        <v>0</v>
      </c>
      <c r="AF141" t="str">
        <f>CONCATENATE(VLOOKUP(AG141, 'Voxel Sizes'!$A$2:$B$18,2,FALSE),"x",INT(AC141*15), "x", INT(AD141*15))</f>
        <v>82x0x0</v>
      </c>
      <c r="AG141">
        <f t="shared" si="67"/>
        <v>5</v>
      </c>
      <c r="AI141" t="str">
        <f>CONCATENATE(VLOOKUP(AG141,Constants!$A$2:$C$16,IF(AH141&lt;&gt;"", 3, 2), FALSE),IF(AH141&lt;&gt;"",CONCATENATE(",",VLOOKUP(AH141,$B:$AI,34,FALSE)),""))</f>
        <v>2,1,2</v>
      </c>
      <c r="AQ141">
        <v>1</v>
      </c>
      <c r="AS141">
        <v>23</v>
      </c>
      <c r="AT141">
        <f t="shared" si="68"/>
        <v>20</v>
      </c>
      <c r="AW141">
        <f t="shared" si="69"/>
        <v>5.6000000000000005</v>
      </c>
      <c r="AX141">
        <f t="shared" si="70"/>
        <v>2.5</v>
      </c>
      <c r="AY141">
        <f t="shared" si="71"/>
        <v>5.3000000000000007</v>
      </c>
      <c r="AZ141" s="4">
        <f t="shared" si="76"/>
        <v>0.94266666666666665</v>
      </c>
      <c r="BA141">
        <f t="shared" si="72"/>
        <v>0</v>
      </c>
      <c r="BB141">
        <f>VLOOKUP($E141,Constants!$I:$K, 2, FALSE)</f>
        <v>1.1499999999999999</v>
      </c>
      <c r="BC141">
        <f>VLOOKUP($E141,Constants!$I:$K, 3, FALSE)*IF(AND(D141="multiple_unit",Y141&lt;110),0.75,1)</f>
        <v>1.7</v>
      </c>
      <c r="BD141">
        <f>INT(POWER(((Constants!$G$2+$AW141+$AX141+$AY141+$BA141)*$AZ141)*$BC141, 1.05))+$AV141</f>
        <v>34</v>
      </c>
      <c r="BE141">
        <f>INT(POWER((((Constants!$G$1+$AW141+$AX141+$AY141+$BA141)*($AZ141))*$BB141),IF($D141="wagon",1,1.2)))+$AU141</f>
        <v>61</v>
      </c>
      <c r="BF141" s="15">
        <f t="shared" si="73"/>
        <v>26562.5</v>
      </c>
      <c r="BG141" s="15">
        <f t="shared" si="74"/>
        <v>4956.25</v>
      </c>
      <c r="BN141">
        <v>10</v>
      </c>
      <c r="BR141" t="str">
        <f>VLOOKUP(G141,Eras!$A$2:$C$10, 2, TRUE)</f>
        <v>big4</v>
      </c>
      <c r="BS141" t="s">
        <v>359</v>
      </c>
      <c r="BT141" t="str">
        <f t="shared" si="75"/>
        <v>big4_Cheap</v>
      </c>
      <c r="BU141" t="str">
        <f t="shared" si="63"/>
        <v>steam_RAIL</v>
      </c>
      <c r="BV141" t="str">
        <f>VLOOKUP($BU141, Constants!$M:$N, 2, FALSE)</f>
        <v>{BLACK}Powered by: {GOLD}Steam</v>
      </c>
      <c r="BW141" t="str">
        <f t="shared" si="64"/>
        <v/>
      </c>
      <c r="BX141" t="s">
        <v>512</v>
      </c>
      <c r="BY141" t="str">
        <f t="shared" si="65"/>
        <v/>
      </c>
      <c r="BZ141" t="str">
        <f t="shared" si="66"/>
        <v>{BLACK}Powered by: {GOLD}Steam {}{SILVER}Hunslet's Austerity was designed for shunting duties. It's powerful for its size with good adhesion, but does not run well at higher speeds.</v>
      </c>
    </row>
    <row r="142" spans="1:78" x14ac:dyDescent="0.25">
      <c r="A142" t="s">
        <v>35</v>
      </c>
      <c r="B142" t="s">
        <v>514</v>
      </c>
      <c r="C142">
        <v>262</v>
      </c>
      <c r="D142" t="s">
        <v>295</v>
      </c>
      <c r="E142" t="s">
        <v>304</v>
      </c>
      <c r="F142" t="s">
        <v>307</v>
      </c>
      <c r="G142">
        <v>1943</v>
      </c>
      <c r="H142">
        <v>1945</v>
      </c>
      <c r="I142">
        <v>1962</v>
      </c>
      <c r="K142">
        <v>1200</v>
      </c>
      <c r="M142" s="6">
        <v>19</v>
      </c>
      <c r="N142" s="6">
        <v>28</v>
      </c>
      <c r="O142" s="6">
        <v>2</v>
      </c>
      <c r="P142" s="6">
        <v>225</v>
      </c>
      <c r="Q142" s="7">
        <f t="shared" si="77"/>
        <v>212.58553112988881</v>
      </c>
      <c r="R142" s="6">
        <v>1.4</v>
      </c>
      <c r="S142" s="6">
        <f t="shared" si="78"/>
        <v>1743.4659090909092</v>
      </c>
      <c r="T142">
        <v>71.400000000000006</v>
      </c>
      <c r="U142" s="9">
        <v>56.4</v>
      </c>
      <c r="W142">
        <v>152</v>
      </c>
      <c r="X142" s="4">
        <f t="shared" si="62"/>
        <v>0.1189358372456964</v>
      </c>
      <c r="Y142">
        <v>68</v>
      </c>
      <c r="AA142">
        <v>19.350000000000001</v>
      </c>
      <c r="AB142">
        <v>11.7</v>
      </c>
      <c r="AE142" s="11">
        <v>0</v>
      </c>
      <c r="AF142" t="str">
        <f>CONCATENATE(VLOOKUP(AG142, 'Voxel Sizes'!$A$2:$B$18,2,FALSE),"x",INT(AC142*15), "x", INT(AD142*15))</f>
        <v>120x0x0</v>
      </c>
      <c r="AG142">
        <f t="shared" si="67"/>
        <v>7</v>
      </c>
      <c r="AH142" t="s">
        <v>516</v>
      </c>
      <c r="AI142" t="str">
        <f>CONCATENATE(VLOOKUP(AG142,Constants!$A$2:$C$16,IF(AH142&lt;&gt;"", 3, 2), FALSE),IF(AH142&lt;&gt;"",CONCATENATE(",",VLOOKUP(AH142,$B:$AI,34,FALSE)),""))</f>
        <v>2,3,2,1,2,1</v>
      </c>
      <c r="AQ142">
        <v>1</v>
      </c>
      <c r="AS142">
        <v>26</v>
      </c>
      <c r="AT142">
        <f t="shared" si="68"/>
        <v>15</v>
      </c>
      <c r="AW142">
        <f t="shared" si="69"/>
        <v>13.6</v>
      </c>
      <c r="AX142">
        <f t="shared" si="70"/>
        <v>6</v>
      </c>
      <c r="AY142">
        <f t="shared" si="71"/>
        <v>7.6</v>
      </c>
      <c r="AZ142" s="4">
        <f t="shared" si="76"/>
        <v>0.94266666666666665</v>
      </c>
      <c r="BA142">
        <f t="shared" si="72"/>
        <v>0</v>
      </c>
      <c r="BB142">
        <f>VLOOKUP($E142,Constants!$I:$K, 2, FALSE)</f>
        <v>1.1499999999999999</v>
      </c>
      <c r="BC142">
        <f>VLOOKUP($E142,Constants!$I:$K, 3, FALSE)*IF(AND(D142="multiple_unit",Y142&lt;110),0.75,1)</f>
        <v>1.7</v>
      </c>
      <c r="BD142">
        <f>INT(POWER(((Constants!$G$2+$AW142+$AX142+$AY142+$BA142)*$AZ142)*$BC142, 1.05))+$AV142</f>
        <v>62</v>
      </c>
      <c r="BE142">
        <f>INT(POWER((((Constants!$G$1+$AW142+$AX142+$AY142+$BA142)*($AZ142))*$BB142),IF($D142="wagon",1,1.2)))+$AU142</f>
        <v>98</v>
      </c>
      <c r="BF142" s="15">
        <f t="shared" si="73"/>
        <v>48437.5</v>
      </c>
      <c r="BG142" s="15">
        <f t="shared" si="74"/>
        <v>7962.5</v>
      </c>
      <c r="BN142">
        <v>11</v>
      </c>
      <c r="BR142" t="str">
        <f>VLOOKUP(G142,Eras!$A$2:$C$10, 2, TRUE)</f>
        <v>big4</v>
      </c>
      <c r="BS142" t="s">
        <v>362</v>
      </c>
      <c r="BT142" t="str">
        <f t="shared" si="75"/>
        <v>big4_Freight</v>
      </c>
      <c r="BU142" t="str">
        <f t="shared" si="63"/>
        <v>steam_RAIL</v>
      </c>
      <c r="BV142" t="str">
        <f>VLOOKUP($BU142, Constants!$M:$N, 2, FALSE)</f>
        <v>{BLACK}Powered by: {GOLD}Steam</v>
      </c>
      <c r="BW142" t="str">
        <f t="shared" si="64"/>
        <v/>
      </c>
      <c r="BX142" t="s">
        <v>513</v>
      </c>
      <c r="BY142" t="str">
        <f t="shared" si="65"/>
        <v/>
      </c>
      <c r="BZ142" t="str">
        <f t="shared" si="66"/>
        <v>{BLACK}Powered by: {GOLD}Steam {}{SILVER}Robert Riddles adapted the LMS 8F for low cost and simple construction, resulting in this "austerity" freight locomotive.</v>
      </c>
    </row>
    <row r="143" spans="1:78" x14ac:dyDescent="0.25">
      <c r="A143" t="s">
        <v>519</v>
      </c>
      <c r="B143" t="s">
        <v>269</v>
      </c>
      <c r="C143">
        <v>264</v>
      </c>
      <c r="D143" t="s">
        <v>295</v>
      </c>
      <c r="E143" t="s">
        <v>304</v>
      </c>
      <c r="F143" t="s">
        <v>307</v>
      </c>
      <c r="G143">
        <v>1944</v>
      </c>
      <c r="H143">
        <v>1950</v>
      </c>
      <c r="I143">
        <v>1965</v>
      </c>
      <c r="K143">
        <v>1700</v>
      </c>
      <c r="M143" s="6">
        <v>18.5</v>
      </c>
      <c r="N143" s="6">
        <v>30</v>
      </c>
      <c r="O143" s="6">
        <v>2</v>
      </c>
      <c r="P143" s="6">
        <v>225</v>
      </c>
      <c r="Q143" s="7">
        <f t="shared" si="77"/>
        <v>206.68037748739187</v>
      </c>
      <c r="R143" s="6">
        <v>1.8</v>
      </c>
      <c r="S143" s="6">
        <f t="shared" si="78"/>
        <v>1721.7832623106062</v>
      </c>
      <c r="T143">
        <v>77</v>
      </c>
      <c r="U143" s="9">
        <v>48</v>
      </c>
      <c r="W143">
        <v>121</v>
      </c>
      <c r="X143" s="4">
        <f t="shared" si="62"/>
        <v>9.6799999999999997E-2</v>
      </c>
      <c r="Y143">
        <v>85</v>
      </c>
      <c r="AA143">
        <v>19.2</v>
      </c>
      <c r="AB143">
        <v>11.7</v>
      </c>
      <c r="AD143">
        <v>4.01</v>
      </c>
      <c r="AE143" s="11">
        <v>0</v>
      </c>
      <c r="AF143" t="str">
        <f>CONCATENATE(VLOOKUP(AG143, 'Voxel Sizes'!$A$2:$B$18,2,FALSE),"x",INT(AC143*15), "x", INT(AD143*15))</f>
        <v>120x0x60</v>
      </c>
      <c r="AG143">
        <f t="shared" si="67"/>
        <v>7</v>
      </c>
      <c r="AH143" t="s">
        <v>454</v>
      </c>
      <c r="AI143" t="str">
        <f>CONCATENATE(VLOOKUP(AG143,Constants!$A$2:$C$16,IF(AH143&lt;&gt;"", 3, 2), FALSE),IF(AH143&lt;&gt;"",CONCATENATE(",",VLOOKUP(AH143,$B:$AI,34,FALSE)),""))</f>
        <v>2,3,2,2,1,2</v>
      </c>
      <c r="AP143" t="s">
        <v>465</v>
      </c>
      <c r="AQ143">
        <v>1</v>
      </c>
      <c r="AS143">
        <v>31</v>
      </c>
      <c r="AT143">
        <f t="shared" si="68"/>
        <v>17</v>
      </c>
      <c r="AW143">
        <f t="shared" si="69"/>
        <v>17</v>
      </c>
      <c r="AX143">
        <f t="shared" si="70"/>
        <v>8.5</v>
      </c>
      <c r="AY143">
        <f t="shared" si="71"/>
        <v>6.05</v>
      </c>
      <c r="AZ143" s="4">
        <f t="shared" si="76"/>
        <v>0.94133333333333336</v>
      </c>
      <c r="BA143">
        <f t="shared" si="72"/>
        <v>0</v>
      </c>
      <c r="BB143">
        <f>VLOOKUP($E143,Constants!$I:$K, 2, FALSE)</f>
        <v>1.1499999999999999</v>
      </c>
      <c r="BC143">
        <f>VLOOKUP($E143,Constants!$I:$K, 3, FALSE)*IF(AND(D143="multiple_unit",Y143&lt;110),0.75,1)</f>
        <v>1.7</v>
      </c>
      <c r="BD143">
        <f>INT(POWER(((Constants!$G$2+$AW143+$AX143+$AY143+$BA143)*$AZ143)*$BC143, 1.05))+$AV143</f>
        <v>71</v>
      </c>
      <c r="BE143">
        <f>INT(POWER((((Constants!$G$1+$AW143+$AX143+$AY143+$BA143)*($AZ143))*$BB143),IF($D143="wagon",1,1.2)))+$AU143</f>
        <v>110</v>
      </c>
      <c r="BF143" s="15">
        <f t="shared" si="73"/>
        <v>55468.75</v>
      </c>
      <c r="BG143" s="15">
        <f t="shared" si="74"/>
        <v>8937.5</v>
      </c>
      <c r="BN143">
        <v>12</v>
      </c>
      <c r="BR143" t="str">
        <f>VLOOKUP(G143,Eras!$A$2:$C$10, 2, TRUE)</f>
        <v>big4</v>
      </c>
      <c r="BS143" t="s">
        <v>360</v>
      </c>
      <c r="BT143" t="str">
        <f t="shared" si="75"/>
        <v>big4_Mixed Traffic</v>
      </c>
      <c r="BU143" t="str">
        <f t="shared" si="63"/>
        <v>steam_RAIL</v>
      </c>
      <c r="BV143" t="str">
        <f>VLOOKUP($BU143, Constants!$M:$N, 2, FALSE)</f>
        <v>{BLACK}Powered by: {GOLD}Steam</v>
      </c>
      <c r="BW143" t="str">
        <f t="shared" si="64"/>
        <v/>
      </c>
      <c r="BX143" t="s">
        <v>518</v>
      </c>
      <c r="BY143" t="str">
        <f t="shared" si="65"/>
        <v/>
      </c>
      <c r="BZ143" t="str">
        <f t="shared" si="66"/>
        <v>{BLACK}Powered by: {GOLD}Steam {}{SILVER}While externally identical to the original Hall class, the Modified Hall was completely new on the inside with many design innovations.</v>
      </c>
    </row>
    <row r="144" spans="1:78" x14ac:dyDescent="0.25">
      <c r="A144" t="s">
        <v>520</v>
      </c>
      <c r="B144" t="s">
        <v>521</v>
      </c>
      <c r="C144">
        <v>266</v>
      </c>
      <c r="D144" t="s">
        <v>295</v>
      </c>
      <c r="E144" t="s">
        <v>304</v>
      </c>
      <c r="F144" t="s">
        <v>307</v>
      </c>
      <c r="G144">
        <v>1945</v>
      </c>
      <c r="H144">
        <v>1947</v>
      </c>
      <c r="I144">
        <v>1964</v>
      </c>
      <c r="K144">
        <v>2200</v>
      </c>
      <c r="M144" s="6">
        <v>18.5</v>
      </c>
      <c r="N144" s="6">
        <v>30</v>
      </c>
      <c r="O144" s="6">
        <v>2</v>
      </c>
      <c r="P144" s="6">
        <v>280</v>
      </c>
      <c r="Q144" s="7">
        <f t="shared" si="77"/>
        <v>230.35583868563802</v>
      </c>
      <c r="R144" s="6">
        <v>1.9</v>
      </c>
      <c r="S144" s="6">
        <f t="shared" si="78"/>
        <v>2388.1080542264754</v>
      </c>
      <c r="T144">
        <v>78.099999999999994</v>
      </c>
      <c r="U144" s="9">
        <v>49.8</v>
      </c>
      <c r="W144">
        <v>145</v>
      </c>
      <c r="X144" s="4">
        <f t="shared" si="62"/>
        <v>0.11336982017200939</v>
      </c>
      <c r="Y144">
        <v>100</v>
      </c>
      <c r="AA144">
        <v>19.21</v>
      </c>
      <c r="AB144">
        <v>11.7</v>
      </c>
      <c r="AD144">
        <v>4.08</v>
      </c>
      <c r="AE144" s="11">
        <v>0</v>
      </c>
      <c r="AF144" t="str">
        <f>CONCATENATE(VLOOKUP(AG144, 'Voxel Sizes'!$A$2:$B$18,2,FALSE),"x",INT(AC144*15), "x", INT(AD144*15))</f>
        <v>120x0x61</v>
      </c>
      <c r="AG144">
        <f t="shared" si="67"/>
        <v>7</v>
      </c>
      <c r="AH144" t="s">
        <v>454</v>
      </c>
      <c r="AI144" t="str">
        <f>CONCATENATE(VLOOKUP(AG144,Constants!$A$2:$C$16,IF(AH144&lt;&gt;"", 3, 2), FALSE),IF(AH144&lt;&gt;"",CONCATENATE(",",VLOOKUP(AH144,$B:$AI,34,FALSE)),""))</f>
        <v>2,3,2,2,1,2</v>
      </c>
      <c r="AQ144">
        <v>1</v>
      </c>
      <c r="AS144">
        <v>30</v>
      </c>
      <c r="AT144">
        <f t="shared" si="68"/>
        <v>15</v>
      </c>
      <c r="AW144">
        <f t="shared" si="69"/>
        <v>20</v>
      </c>
      <c r="AX144">
        <f t="shared" si="70"/>
        <v>11</v>
      </c>
      <c r="AY144">
        <f t="shared" si="71"/>
        <v>7.25</v>
      </c>
      <c r="AZ144" s="4">
        <f t="shared" si="76"/>
        <v>0.94</v>
      </c>
      <c r="BA144">
        <f t="shared" si="72"/>
        <v>0</v>
      </c>
      <c r="BB144">
        <f>VLOOKUP($E144,Constants!$I:$K, 2, FALSE)</f>
        <v>1.1499999999999999</v>
      </c>
      <c r="BC144">
        <f>VLOOKUP($E144,Constants!$I:$K, 3, FALSE)*IF(AND(D144="multiple_unit",Y144&lt;110),0.75,1)</f>
        <v>1.7</v>
      </c>
      <c r="BD144">
        <f>INT(POWER(((Constants!$G$2+$AW144+$AX144+$AY144+$BA144)*$AZ144)*$BC144, 1.05))+$AV144</f>
        <v>85</v>
      </c>
      <c r="BE144">
        <f>INT(POWER((((Constants!$G$1+$AW144+$AX144+$AY144+$BA144)*($AZ144))*$BB144),IF($D144="wagon",1,1.2)))+$AU144</f>
        <v>129</v>
      </c>
      <c r="BF144" s="15">
        <f t="shared" si="73"/>
        <v>66406.25</v>
      </c>
      <c r="BG144" s="15">
        <f t="shared" si="74"/>
        <v>10481.25</v>
      </c>
      <c r="BN144">
        <v>1</v>
      </c>
      <c r="BR144" t="str">
        <f>VLOOKUP(G144,Eras!$A$2:$C$10, 2, TRUE)</f>
        <v>big4</v>
      </c>
      <c r="BS144" t="s">
        <v>361</v>
      </c>
      <c r="BT144" t="str">
        <f t="shared" si="75"/>
        <v>big4_Express</v>
      </c>
      <c r="BU144" t="str">
        <f t="shared" si="63"/>
        <v>steam_RAIL</v>
      </c>
      <c r="BV144" t="str">
        <f>VLOOKUP($BU144, Constants!$M:$N, 2, FALSE)</f>
        <v>{BLACK}Powered by: {GOLD}Steam</v>
      </c>
      <c r="BW144" t="str">
        <f t="shared" si="64"/>
        <v/>
      </c>
      <c r="BX144" t="s">
        <v>522</v>
      </c>
      <c r="BY144" t="str">
        <f t="shared" si="65"/>
        <v/>
      </c>
      <c r="BZ144" t="str">
        <f t="shared" si="66"/>
        <v>{BLACK}Powered by: {GOLD}Steam {}{SILVER}The County Class was  Frederick Hawksworth's test of design ideas for a new Pacific. Sadly there was not enough demand for express steam locomotives in the late 1940s.</v>
      </c>
    </row>
    <row r="145" spans="1:78" x14ac:dyDescent="0.25">
      <c r="A145" t="s">
        <v>34</v>
      </c>
      <c r="B145" t="s">
        <v>524</v>
      </c>
      <c r="C145">
        <v>268</v>
      </c>
      <c r="D145" t="s">
        <v>295</v>
      </c>
      <c r="E145" t="s">
        <v>304</v>
      </c>
      <c r="F145" t="s">
        <v>307</v>
      </c>
      <c r="G145">
        <v>1945</v>
      </c>
      <c r="H145">
        <v>1951</v>
      </c>
      <c r="I145">
        <v>1967</v>
      </c>
      <c r="K145">
        <v>1800</v>
      </c>
      <c r="M145" s="6">
        <v>16.375</v>
      </c>
      <c r="N145" s="6">
        <v>24</v>
      </c>
      <c r="O145" s="6">
        <v>3</v>
      </c>
      <c r="P145" s="6">
        <v>280</v>
      </c>
      <c r="Q145" s="7">
        <f t="shared" si="77"/>
        <v>234.96295545935078</v>
      </c>
      <c r="R145" s="6">
        <v>1.9</v>
      </c>
      <c r="S145" s="6">
        <f t="shared" si="78"/>
        <v>2290.1005532296649</v>
      </c>
      <c r="T145">
        <v>87.4</v>
      </c>
      <c r="U145" s="9">
        <v>48</v>
      </c>
      <c r="W145">
        <v>138</v>
      </c>
      <c r="X145" s="4">
        <f t="shared" si="62"/>
        <v>0.10192023633677991</v>
      </c>
      <c r="Y145">
        <v>102</v>
      </c>
      <c r="AA145">
        <v>20.54</v>
      </c>
      <c r="AB145">
        <v>13</v>
      </c>
      <c r="AE145" s="11">
        <v>0</v>
      </c>
      <c r="AF145" t="str">
        <f>CONCATENATE(VLOOKUP(AG145, 'Voxel Sizes'!$A$2:$B$18,2,FALSE),"x",INT(AC145*15), "x", INT(AD145*15))</f>
        <v>136x0x0</v>
      </c>
      <c r="AG145">
        <f t="shared" si="67"/>
        <v>8</v>
      </c>
      <c r="AH145" t="s">
        <v>503</v>
      </c>
      <c r="AI145" t="str">
        <f>CONCATENATE(VLOOKUP(AG145,Constants!$A$2:$C$16,IF(AH145&lt;&gt;"", 3, 2), FALSE),IF(AH145&lt;&gt;"",CONCATENATE(",",VLOOKUP(AH145,$B:$AI,34,FALSE)),""))</f>
        <v>2,4,2,2,1,2</v>
      </c>
      <c r="AQ145">
        <v>1</v>
      </c>
      <c r="AS145">
        <v>30</v>
      </c>
      <c r="AT145">
        <f t="shared" si="68"/>
        <v>18</v>
      </c>
      <c r="AW145">
        <f t="shared" si="69"/>
        <v>20.400000000000002</v>
      </c>
      <c r="AX145">
        <f t="shared" si="70"/>
        <v>9</v>
      </c>
      <c r="AY145">
        <f t="shared" si="71"/>
        <v>6.8999999999999995</v>
      </c>
      <c r="AZ145" s="4">
        <f t="shared" si="76"/>
        <v>0.94</v>
      </c>
      <c r="BA145">
        <f t="shared" si="72"/>
        <v>0</v>
      </c>
      <c r="BB145">
        <f>VLOOKUP($E145,Constants!$I:$K, 2, FALSE)</f>
        <v>1.1499999999999999</v>
      </c>
      <c r="BC145">
        <f>VLOOKUP($E145,Constants!$I:$K, 3, FALSE)*IF(AND(D145="multiple_unit",Y145&lt;110),0.75,1)</f>
        <v>1.7</v>
      </c>
      <c r="BD145">
        <f>INT(POWER(((Constants!$G$2+$AW145+$AX145+$AY145+$BA145)*$AZ145)*$BC145, 1.05))+$AV145</f>
        <v>81</v>
      </c>
      <c r="BE145">
        <f>INT(POWER((((Constants!$G$1+$AW145+$AX145+$AY145+$BA145)*($AZ145))*$BB145),IF($D145="wagon",1,1.2)))+$AU145</f>
        <v>123</v>
      </c>
      <c r="BF145" s="15">
        <f t="shared" si="73"/>
        <v>63281.25</v>
      </c>
      <c r="BG145" s="15">
        <f t="shared" si="74"/>
        <v>9993.75</v>
      </c>
      <c r="BN145">
        <v>2</v>
      </c>
      <c r="BR145" t="str">
        <f>VLOOKUP(G145,Eras!$A$2:$C$10, 2, TRUE)</f>
        <v>big4</v>
      </c>
      <c r="BS145" t="s">
        <v>360</v>
      </c>
      <c r="BT145" t="str">
        <f t="shared" si="75"/>
        <v>big4_Mixed Traffic</v>
      </c>
      <c r="BU145" t="str">
        <f t="shared" si="63"/>
        <v>steam_RAIL</v>
      </c>
      <c r="BV145" t="str">
        <f>VLOOKUP($BU145, Constants!$M:$N, 2, FALSE)</f>
        <v>{BLACK}Powered by: {GOLD}Steam</v>
      </c>
      <c r="BW145" t="str">
        <f t="shared" si="64"/>
        <v/>
      </c>
      <c r="BX145" t="s">
        <v>523</v>
      </c>
      <c r="BY145" t="str">
        <f t="shared" si="65"/>
        <v/>
      </c>
      <c r="BZ145" t="str">
        <f t="shared" si="66"/>
        <v>{BLACK}Powered by: {GOLD}Steam {}{SILVER}Bulleid's "Light Pacific" is a smaller and lighter version of the Merchant Navy, capable of operating on more routes.</v>
      </c>
    </row>
    <row r="146" spans="1:78" x14ac:dyDescent="0.25">
      <c r="A146" t="s">
        <v>37</v>
      </c>
      <c r="B146" t="s">
        <v>526</v>
      </c>
      <c r="C146">
        <v>270</v>
      </c>
      <c r="D146" t="s">
        <v>295</v>
      </c>
      <c r="E146" t="s">
        <v>304</v>
      </c>
      <c r="F146" t="s">
        <v>307</v>
      </c>
      <c r="G146">
        <v>1946</v>
      </c>
      <c r="H146">
        <v>1949</v>
      </c>
      <c r="I146">
        <v>1951</v>
      </c>
      <c r="K146">
        <v>1800</v>
      </c>
      <c r="M146" s="6">
        <v>12.25</v>
      </c>
      <c r="N146" s="6">
        <v>15</v>
      </c>
      <c r="O146" s="6">
        <v>6</v>
      </c>
      <c r="P146" s="6">
        <v>280</v>
      </c>
      <c r="Q146" s="7">
        <f t="shared" si="77"/>
        <v>262.60565610162729</v>
      </c>
      <c r="R146" s="6">
        <v>1.5</v>
      </c>
      <c r="S146" s="6">
        <f t="shared" si="78"/>
        <v>1790.518465909091</v>
      </c>
      <c r="T146">
        <v>152</v>
      </c>
      <c r="W146">
        <v>117</v>
      </c>
      <c r="X146" s="4">
        <f t="shared" si="62"/>
        <v>7.6973684210526319E-2</v>
      </c>
      <c r="Y146">
        <v>90</v>
      </c>
      <c r="Z146">
        <v>1</v>
      </c>
      <c r="AA146">
        <v>20.420000000000002</v>
      </c>
      <c r="AB146">
        <v>20.420000000000002</v>
      </c>
      <c r="AE146" s="11">
        <v>0</v>
      </c>
      <c r="AF146" t="str">
        <f>CONCATENATE(VLOOKUP(AG146, 'Voxel Sizes'!$A$2:$B$18,2,FALSE),"x",INT(AC146*15), "x", INT(AD146*15))</f>
        <v>198x0x0</v>
      </c>
      <c r="AG146">
        <f t="shared" si="67"/>
        <v>12</v>
      </c>
      <c r="AI146" t="str">
        <f>CONCATENATE(VLOOKUP(AG146,Constants!$A$2:$C$16,IF(AH146&lt;&gt;"", 3, 2), FALSE),IF(AH146&lt;&gt;"",CONCATENATE(",",VLOOKUP(AH146,$B:$AI,34,FALSE)),""))</f>
        <v>4,4,4</v>
      </c>
      <c r="AS146">
        <v>19</v>
      </c>
      <c r="AT146">
        <f t="shared" si="68"/>
        <v>8</v>
      </c>
      <c r="AW146">
        <f t="shared" si="69"/>
        <v>18</v>
      </c>
      <c r="AX146">
        <f t="shared" si="70"/>
        <v>9</v>
      </c>
      <c r="AY146">
        <f t="shared" si="71"/>
        <v>5.85</v>
      </c>
      <c r="AZ146" s="4">
        <f t="shared" si="76"/>
        <v>0.93866666666666665</v>
      </c>
      <c r="BA146">
        <f t="shared" si="72"/>
        <v>0</v>
      </c>
      <c r="BB146">
        <f>VLOOKUP($E146,Constants!$I:$K, 2, FALSE)</f>
        <v>1.1499999999999999</v>
      </c>
      <c r="BC146">
        <f>VLOOKUP($E146,Constants!$I:$K, 3, FALSE)*IF(AND(D146="multiple_unit",Y146&lt;110),0.75,1)</f>
        <v>1.7</v>
      </c>
      <c r="BD146">
        <f>INT(POWER(((Constants!$G$2+$AW146+$AX146+$AY146+$BA146)*$AZ146)*$BC146, 1.05))+$AV146</f>
        <v>74</v>
      </c>
      <c r="BE146">
        <f>INT(POWER((((Constants!$G$1+$AW146+$AX146+$AY146+$BA146)*($AZ146))*$BB146),IF($D146="wagon",1,1.2)))+$AU146</f>
        <v>113</v>
      </c>
      <c r="BF146" s="15">
        <f t="shared" si="73"/>
        <v>57812.5</v>
      </c>
      <c r="BG146" s="15">
        <f t="shared" si="74"/>
        <v>9181.25</v>
      </c>
      <c r="BN146">
        <v>3</v>
      </c>
      <c r="BR146" t="str">
        <f>VLOOKUP(G146,Eras!$A$2:$C$10, 2, TRUE)</f>
        <v>big4</v>
      </c>
      <c r="BS146" t="s">
        <v>360</v>
      </c>
      <c r="BT146" t="str">
        <f t="shared" si="75"/>
        <v>big4_Mixed Traffic</v>
      </c>
      <c r="BU146" t="str">
        <f t="shared" si="63"/>
        <v>steam_RAIL</v>
      </c>
      <c r="BV146" t="str">
        <f>VLOOKUP($BU146, Constants!$M:$N, 2, FALSE)</f>
        <v>{BLACK}Powered by: {GOLD}Steam</v>
      </c>
      <c r="BW146" t="str">
        <f t="shared" si="64"/>
        <v/>
      </c>
      <c r="BX146" t="s">
        <v>525</v>
      </c>
      <c r="BY146" t="str">
        <f t="shared" si="65"/>
        <v/>
      </c>
      <c r="BZ146" t="str">
        <f t="shared" si="66"/>
        <v>{BLACK}Powered by: {GOLD}Steam {}{SILVER}The Leader was an attempt to make a steam locomotive as easy to operate as a diesel or electric. Complexity, poor reliability and uncomfortably hot cabs caused the project to be scrapped by 1951.</v>
      </c>
    </row>
    <row r="147" spans="1:78" x14ac:dyDescent="0.25">
      <c r="A147" t="s">
        <v>527</v>
      </c>
      <c r="B147" t="s">
        <v>528</v>
      </c>
      <c r="C147">
        <v>272</v>
      </c>
      <c r="D147" t="s">
        <v>295</v>
      </c>
      <c r="E147" t="s">
        <v>304</v>
      </c>
      <c r="F147" t="s">
        <v>307</v>
      </c>
      <c r="G147">
        <v>1946</v>
      </c>
      <c r="H147">
        <v>1953</v>
      </c>
      <c r="I147">
        <v>1967</v>
      </c>
      <c r="K147">
        <v>1000</v>
      </c>
      <c r="M147" s="6">
        <v>16</v>
      </c>
      <c r="N147" s="6">
        <v>24</v>
      </c>
      <c r="O147" s="6">
        <v>2</v>
      </c>
      <c r="P147" s="6">
        <v>200</v>
      </c>
      <c r="Q147" s="7">
        <f t="shared" si="77"/>
        <v>233.42724986811314</v>
      </c>
      <c r="R147" s="6">
        <v>1.5</v>
      </c>
      <c r="S147" s="6">
        <f t="shared" si="78"/>
        <v>1034.3434343434342</v>
      </c>
      <c r="T147">
        <v>47.9</v>
      </c>
      <c r="U147" s="9">
        <v>37.700000000000003</v>
      </c>
      <c r="W147">
        <v>77</v>
      </c>
      <c r="X147" s="4">
        <f t="shared" si="62"/>
        <v>8.9953271028037379E-2</v>
      </c>
      <c r="Y147">
        <v>80</v>
      </c>
      <c r="AA147">
        <v>16.2</v>
      </c>
      <c r="AB147">
        <f>AA147-6</f>
        <v>10.199999999999999</v>
      </c>
      <c r="AE147" s="11">
        <v>0</v>
      </c>
      <c r="AF147" t="str">
        <f>CONCATENATE(VLOOKUP(AG147, 'Voxel Sizes'!$A$2:$B$18,2,FALSE),"x",INT(AC147*15), "x", INT(AD147*15))</f>
        <v>102x0x0</v>
      </c>
      <c r="AG147">
        <f t="shared" si="67"/>
        <v>6</v>
      </c>
      <c r="AH147" t="s">
        <v>529</v>
      </c>
      <c r="AI147" t="str">
        <f>CONCATENATE(VLOOKUP(AG147,Constants!$A$2:$C$16,IF(AH147&lt;&gt;"", 3, 2), FALSE),IF(AH147&lt;&gt;"",CONCATENATE(",",VLOOKUP(AH147,$B:$AI,34,FALSE)),""))</f>
        <v>2,2,2,1,2,1</v>
      </c>
      <c r="AQ147">
        <v>1</v>
      </c>
      <c r="AS147">
        <v>30</v>
      </c>
      <c r="AT147">
        <f t="shared" si="68"/>
        <v>17</v>
      </c>
      <c r="AW147">
        <f t="shared" si="69"/>
        <v>16</v>
      </c>
      <c r="AX147">
        <f t="shared" si="70"/>
        <v>5</v>
      </c>
      <c r="AY147">
        <f t="shared" si="71"/>
        <v>3.85</v>
      </c>
      <c r="AZ147" s="4">
        <f t="shared" si="76"/>
        <v>0.93866666666666665</v>
      </c>
      <c r="BA147">
        <f t="shared" si="72"/>
        <v>0</v>
      </c>
      <c r="BB147">
        <f>VLOOKUP($E147,Constants!$I:$K, 2, FALSE)</f>
        <v>1.1499999999999999</v>
      </c>
      <c r="BC147">
        <f>VLOOKUP($E147,Constants!$I:$K, 3, FALSE)*IF(AND(D147="multiple_unit",Y147&lt;110),0.75,1)</f>
        <v>1.7</v>
      </c>
      <c r="BD147">
        <f>INT(POWER(((Constants!$G$2+$AW147+$AX147+$AY147+$BA147)*$AZ147)*$BC147, 1.05))+$AV147</f>
        <v>57</v>
      </c>
      <c r="BE147">
        <f>INT(POWER((((Constants!$G$1+$AW147+$AX147+$AY147+$BA147)*($AZ147))*$BB147),IF($D147="wagon",1,1.2)))+$AU147</f>
        <v>91</v>
      </c>
      <c r="BF147" s="15">
        <f t="shared" si="73"/>
        <v>44531.25</v>
      </c>
      <c r="BG147" s="15">
        <f t="shared" si="74"/>
        <v>7393.75</v>
      </c>
      <c r="BN147">
        <v>4</v>
      </c>
      <c r="BR147" t="str">
        <f>VLOOKUP(G147,Eras!$A$2:$C$10, 2, TRUE)</f>
        <v>big4</v>
      </c>
      <c r="BS147" t="s">
        <v>359</v>
      </c>
      <c r="BT147" t="str">
        <f t="shared" si="75"/>
        <v>big4_Cheap</v>
      </c>
      <c r="BU147" t="str">
        <f t="shared" si="63"/>
        <v>steam_RAIL</v>
      </c>
      <c r="BV147" t="str">
        <f>VLOOKUP($BU147, Constants!$M:$N, 2, FALSE)</f>
        <v>{BLACK}Powered by: {GOLD}Steam</v>
      </c>
      <c r="BW147" t="str">
        <f t="shared" si="64"/>
        <v/>
      </c>
      <c r="BX147" t="s">
        <v>531</v>
      </c>
      <c r="BY147" t="str">
        <f t="shared" si="65"/>
        <v/>
      </c>
      <c r="BZ147" t="str">
        <f t="shared" si="66"/>
        <v>{BLACK}Powered by: {GOLD}Steam {}{SILVER}The Ivatt Class 2 is a light, low-powered Mogul designed to replace the LMS fleet of 0-6-0 engines.</v>
      </c>
    </row>
    <row r="148" spans="1:78" x14ac:dyDescent="0.25">
      <c r="A148" t="s">
        <v>65</v>
      </c>
      <c r="B148" t="s">
        <v>187</v>
      </c>
      <c r="C148">
        <v>274</v>
      </c>
      <c r="D148" t="s">
        <v>295</v>
      </c>
      <c r="E148" t="s">
        <v>305</v>
      </c>
      <c r="F148" t="s">
        <v>307</v>
      </c>
      <c r="G148">
        <v>1947</v>
      </c>
      <c r="H148">
        <v>1948</v>
      </c>
      <c r="I148">
        <v>1966</v>
      </c>
      <c r="K148">
        <v>1600</v>
      </c>
      <c r="T148">
        <v>129.69999999999999</v>
      </c>
      <c r="W148">
        <v>184</v>
      </c>
      <c r="X148" s="4">
        <f t="shared" si="62"/>
        <v>0.14186584425597532</v>
      </c>
      <c r="Y148">
        <v>93</v>
      </c>
      <c r="AA148">
        <v>18.64</v>
      </c>
      <c r="AB148">
        <v>18.64</v>
      </c>
      <c r="AD148">
        <v>3.95</v>
      </c>
      <c r="AE148" s="11">
        <v>0</v>
      </c>
      <c r="AF148" t="str">
        <f>CONCATENATE(VLOOKUP(AG148, 'Voxel Sizes'!$A$2:$B$18,2,FALSE),"x",INT(AC148*15), "x", INT(AD148*15))</f>
        <v>186x0x59</v>
      </c>
      <c r="AG148">
        <f t="shared" si="67"/>
        <v>11</v>
      </c>
      <c r="AI148" t="str">
        <f>CONCATENATE(VLOOKUP(AG148,Constants!$A$2:$C$16,IF(AH148&lt;&gt;"", 3, 2), FALSE),IF(AH148&lt;&gt;"",CONCATENATE(",",VLOOKUP(AH148,$B:$AI,34,FALSE)),""))</f>
        <v>4,3,4</v>
      </c>
      <c r="AS148">
        <v>26</v>
      </c>
      <c r="AT148">
        <f t="shared" si="68"/>
        <v>15</v>
      </c>
      <c r="AW148">
        <f t="shared" si="69"/>
        <v>18.600000000000001</v>
      </c>
      <c r="AX148">
        <f t="shared" si="70"/>
        <v>8</v>
      </c>
      <c r="AY148">
        <f t="shared" si="71"/>
        <v>9.2000000000000011</v>
      </c>
      <c r="AZ148" s="4">
        <f t="shared" si="76"/>
        <v>0.93733333333333335</v>
      </c>
      <c r="BA148">
        <f t="shared" si="72"/>
        <v>0</v>
      </c>
      <c r="BB148">
        <f>VLOOKUP($E148,Constants!$I:$K, 2, FALSE)</f>
        <v>1</v>
      </c>
      <c r="BC148">
        <f>VLOOKUP($E148,Constants!$I:$K, 3, FALSE)*IF(AND(D148="multiple_unit",Y148&lt;110),0.75,1)</f>
        <v>2</v>
      </c>
      <c r="BD148">
        <f>INT(POWER(((Constants!$G$2+$AW148+$AX148+$AY148+$BA148)*$AZ148)*$BC148, 1.05))+$AV148</f>
        <v>95</v>
      </c>
      <c r="BE148">
        <f>INT(POWER((((Constants!$G$1+$AW148+$AX148+$AY148+$BA148)*($AZ148))*$BB148),IF($D148="wagon",1,1.2)))+$AU148</f>
        <v>103</v>
      </c>
      <c r="BF148" s="15">
        <f t="shared" si="73"/>
        <v>74218.75</v>
      </c>
      <c r="BG148" s="15">
        <f t="shared" si="74"/>
        <v>8368.75</v>
      </c>
      <c r="BN148">
        <v>5</v>
      </c>
      <c r="BR148" t="str">
        <f>VLOOKUP(G148,Eras!$A$2:$C$10, 2, TRUE)</f>
        <v>big4</v>
      </c>
      <c r="BS148" t="s">
        <v>360</v>
      </c>
      <c r="BT148" t="str">
        <f t="shared" si="75"/>
        <v>big4_Mixed Traffic</v>
      </c>
      <c r="BU148" t="str">
        <f t="shared" si="63"/>
        <v>diesel_RAIL</v>
      </c>
      <c r="BV148" t="str">
        <f>VLOOKUP($BU148, Constants!$M:$N, 2, FALSE)</f>
        <v>{BLACK}Powered by: {GOLD}Diesel</v>
      </c>
      <c r="BW148" t="str">
        <f t="shared" si="64"/>
        <v/>
      </c>
      <c r="BX148" t="s">
        <v>532</v>
      </c>
      <c r="BY148" t="str">
        <f t="shared" si="65"/>
        <v/>
      </c>
      <c r="BZ148" t="str">
        <f t="shared" si="66"/>
        <v>{BLACK}Powered by: {GOLD}Diesel {}{SILVER}The EE 10000 is the first mainline diesel locomotive built in the UK. Two were built for the LMS.</v>
      </c>
    </row>
    <row r="149" spans="1:78" x14ac:dyDescent="0.25">
      <c r="A149" t="s">
        <v>22</v>
      </c>
      <c r="B149" t="s">
        <v>534</v>
      </c>
      <c r="C149">
        <v>276</v>
      </c>
      <c r="D149" t="s">
        <v>295</v>
      </c>
      <c r="E149" t="s">
        <v>304</v>
      </c>
      <c r="F149" t="s">
        <v>307</v>
      </c>
      <c r="G149">
        <v>1948</v>
      </c>
      <c r="H149">
        <v>1949</v>
      </c>
      <c r="I149">
        <v>1966</v>
      </c>
      <c r="K149">
        <v>2700</v>
      </c>
      <c r="M149" s="6">
        <v>19</v>
      </c>
      <c r="N149" s="6">
        <v>26</v>
      </c>
      <c r="O149" s="6">
        <v>3</v>
      </c>
      <c r="P149" s="6">
        <v>250</v>
      </c>
      <c r="Q149" s="7">
        <f>((($Y149/2)/60)*5280)/($R149*3.2*PI())</f>
        <v>215.60398694714888</v>
      </c>
      <c r="R149" s="6">
        <v>2.0299999999999998</v>
      </c>
      <c r="S149" s="6">
        <f>((($M149*$M149/4)*PI())*($N149/12)*$O149*$P149*$Q149)/(33000*1.1)</f>
        <v>2736.5325048514705</v>
      </c>
      <c r="T149">
        <v>106.9</v>
      </c>
      <c r="U149" s="9">
        <v>61.9</v>
      </c>
      <c r="W149">
        <v>166</v>
      </c>
      <c r="X149" s="4">
        <f t="shared" si="62"/>
        <v>9.8341232227488154E-2</v>
      </c>
      <c r="Y149">
        <v>100</v>
      </c>
      <c r="AA149">
        <v>22.24</v>
      </c>
      <c r="AB149">
        <f>AA149-7.5</f>
        <v>14.739999999999998</v>
      </c>
      <c r="AD149">
        <v>3.99</v>
      </c>
      <c r="AE149" s="11">
        <v>0</v>
      </c>
      <c r="AF149" t="str">
        <f>CONCATENATE(VLOOKUP(AG149, 'Voxel Sizes'!$A$2:$B$18,2,FALSE),"x",INT(AC149*15), "x", INT(AD149*15))</f>
        <v>152x0x59</v>
      </c>
      <c r="AG149">
        <f t="shared" si="67"/>
        <v>9</v>
      </c>
      <c r="AH149" t="s">
        <v>469</v>
      </c>
      <c r="AI149" t="str">
        <f>CONCATENATE(VLOOKUP(AG149,Constants!$A$2:$C$16,IF(AH149&lt;&gt;"", 3, 2), FALSE),IF(AH149&lt;&gt;"",CONCATENATE(",",VLOOKUP(AH149,$B:$AI,34,FALSE)),""))</f>
        <v>2,5,2,2,1,2</v>
      </c>
      <c r="AQ149">
        <v>1</v>
      </c>
      <c r="AS149">
        <v>32</v>
      </c>
      <c r="AT149">
        <f t="shared" si="68"/>
        <v>14</v>
      </c>
      <c r="AW149">
        <f t="shared" si="69"/>
        <v>20</v>
      </c>
      <c r="AX149">
        <f t="shared" si="70"/>
        <v>13.5</v>
      </c>
      <c r="AY149">
        <f t="shared" si="71"/>
        <v>8.2999999999999989</v>
      </c>
      <c r="AZ149" s="4">
        <f t="shared" si="76"/>
        <v>0.93599999999999994</v>
      </c>
      <c r="BA149">
        <f t="shared" si="72"/>
        <v>0</v>
      </c>
      <c r="BB149">
        <f>VLOOKUP($E149,Constants!$I:$K, 2, FALSE)</f>
        <v>1.1499999999999999</v>
      </c>
      <c r="BC149">
        <f>VLOOKUP($E149,Constants!$I:$K, 3, FALSE)*IF(AND(D149="multiple_unit",Y149&lt;110),0.75,1)</f>
        <v>1.7</v>
      </c>
      <c r="BD149">
        <f>INT(POWER(((Constants!$G$2+$AW149+$AX149+$AY149+$BA149)*$AZ149)*$BC149, 1.05))+$AV149</f>
        <v>92</v>
      </c>
      <c r="BE149">
        <f>INT(POWER((((Constants!$G$1+$AW149+$AX149+$AY149+$BA149)*($AZ149))*$BB149),IF($D149="wagon",1,1.2)))+$AU149</f>
        <v>139</v>
      </c>
      <c r="BF149" s="15">
        <f t="shared" si="73"/>
        <v>71875</v>
      </c>
      <c r="BG149" s="15">
        <f t="shared" si="74"/>
        <v>11293.75</v>
      </c>
      <c r="BN149">
        <v>6</v>
      </c>
      <c r="BR149" t="str">
        <f>VLOOKUP(G149,Eras!$A$2:$C$10, 2, TRUE)</f>
        <v>ebr</v>
      </c>
      <c r="BS149" t="s">
        <v>361</v>
      </c>
      <c r="BT149" t="str">
        <f t="shared" si="75"/>
        <v>ebr_Express</v>
      </c>
      <c r="BU149" t="str">
        <f t="shared" si="63"/>
        <v>steam_RAIL</v>
      </c>
      <c r="BV149" t="str">
        <f>VLOOKUP($BU149, Constants!$M:$N, 2, FALSE)</f>
        <v>{BLACK}Powered by: {GOLD}Steam</v>
      </c>
      <c r="BW149" t="str">
        <f t="shared" si="64"/>
        <v/>
      </c>
      <c r="BX149" t="s">
        <v>533</v>
      </c>
      <c r="BY149" t="str">
        <f t="shared" si="65"/>
        <v/>
      </c>
      <c r="BZ149" t="str">
        <f t="shared" si="66"/>
        <v>{BLACK}Powered by: {GOLD}Steam {}{SILVER}The Peppercorn A1 is designed for hauling heavy passenger trains of 12 or more carriages. A continuation of the series, 'Tornado', was built in 2008.</v>
      </c>
    </row>
    <row r="150" spans="1:78" x14ac:dyDescent="0.25">
      <c r="A150" t="s">
        <v>69</v>
      </c>
      <c r="B150" t="s">
        <v>280</v>
      </c>
      <c r="C150">
        <v>278</v>
      </c>
      <c r="D150" t="s">
        <v>295</v>
      </c>
      <c r="E150" t="s">
        <v>329</v>
      </c>
      <c r="F150" t="s">
        <v>330</v>
      </c>
      <c r="G150">
        <v>1950</v>
      </c>
      <c r="H150">
        <v>1953</v>
      </c>
      <c r="I150">
        <v>1981</v>
      </c>
      <c r="K150">
        <v>1300</v>
      </c>
      <c r="T150">
        <v>89.3</v>
      </c>
      <c r="W150">
        <v>200</v>
      </c>
      <c r="X150" s="4">
        <f t="shared" si="62"/>
        <v>0.22396416573348266</v>
      </c>
      <c r="Y150">
        <v>65</v>
      </c>
      <c r="AA150">
        <v>15.34</v>
      </c>
      <c r="AB150">
        <v>15.34</v>
      </c>
      <c r="AE150" s="11">
        <v>0</v>
      </c>
      <c r="AF150" t="str">
        <f>CONCATENATE(VLOOKUP(AG150, 'Voxel Sizes'!$A$2:$B$18,2,FALSE),"x",INT(AC150*15), "x", INT(AD150*15))</f>
        <v>152x0x0</v>
      </c>
      <c r="AG150">
        <f t="shared" si="67"/>
        <v>9</v>
      </c>
      <c r="AI150" t="str">
        <f>CONCATENATE(VLOOKUP(AG150,Constants!$A$2:$C$16,IF(AH150&lt;&gt;"", 3, 2), FALSE),IF(AH150&lt;&gt;"",CONCATENATE(",",VLOOKUP(AH150,$B:$AI,34,FALSE)),""))</f>
        <v>2,5,2</v>
      </c>
      <c r="AS150">
        <v>30</v>
      </c>
      <c r="AT150">
        <f t="shared" si="68"/>
        <v>27</v>
      </c>
      <c r="AW150">
        <f t="shared" si="69"/>
        <v>13</v>
      </c>
      <c r="AX150">
        <f t="shared" si="70"/>
        <v>6.5</v>
      </c>
      <c r="AY150">
        <f t="shared" si="71"/>
        <v>10</v>
      </c>
      <c r="AZ150" s="4">
        <f t="shared" si="76"/>
        <v>0.93333333333333335</v>
      </c>
      <c r="BA150">
        <f t="shared" si="72"/>
        <v>0</v>
      </c>
      <c r="BB150">
        <f>VLOOKUP($E150,Constants!$I:$K, 2, FALSE)</f>
        <v>0.85</v>
      </c>
      <c r="BC150">
        <f>VLOOKUP($E150,Constants!$I:$K, 3, FALSE)*IF(AND(D150="multiple_unit",Y150&lt;110),0.75,1)</f>
        <v>2.2999999999999998</v>
      </c>
      <c r="BD150">
        <f>INT(POWER(((Constants!$G$2+$AW150+$AX150+$AY150+$BA150)*$AZ150)*$BC150, 1.05))+$AV150</f>
        <v>91</v>
      </c>
      <c r="BE150">
        <f>INT(POWER((((Constants!$G$1+$AW150+$AX150+$AY150+$BA150)*($AZ150))*$BB150),IF($D150="wagon",1,1.2)))+$AU150</f>
        <v>72</v>
      </c>
      <c r="BF150" s="15">
        <f t="shared" si="73"/>
        <v>71093.75</v>
      </c>
      <c r="BG150" s="15">
        <f t="shared" si="74"/>
        <v>5850</v>
      </c>
      <c r="BN150">
        <v>7</v>
      </c>
      <c r="BR150" t="str">
        <f>VLOOKUP(G150,Eras!$A$2:$C$10, 2, TRUE)</f>
        <v>ebr</v>
      </c>
      <c r="BS150" t="s">
        <v>372</v>
      </c>
      <c r="BT150" t="str">
        <f t="shared" si="75"/>
        <v>ebr_Freight (Electric)</v>
      </c>
      <c r="BU150" t="str">
        <f t="shared" si="63"/>
        <v>electric_ELRL</v>
      </c>
      <c r="BV150" t="str">
        <f>VLOOKUP($BU150, Constants!$M:$N, 2, FALSE)</f>
        <v>{BLACK}Powered by: {GOLD}25kV AC</v>
      </c>
      <c r="BW150" t="str">
        <f t="shared" si="64"/>
        <v/>
      </c>
      <c r="BX150" t="s">
        <v>388</v>
      </c>
      <c r="BY150" t="str">
        <f t="shared" si="65"/>
        <v/>
      </c>
      <c r="BZ150" t="str">
        <f t="shared" si="66"/>
        <v>{BLACK}Powered by: {GOLD}25kV AC {}{SILVER}The Class 76 is an electric freight locomotive designed for the Woodhead Line in the northern Peak District. With high tractive effort, electric traction lent itself to the steep gradients and many tunnels of the line.</v>
      </c>
    </row>
    <row r="151" spans="1:78" x14ac:dyDescent="0.25">
      <c r="A151" t="s">
        <v>543</v>
      </c>
      <c r="B151" t="s">
        <v>537</v>
      </c>
      <c r="C151">
        <v>280</v>
      </c>
      <c r="D151" t="s">
        <v>295</v>
      </c>
      <c r="E151" t="s">
        <v>304</v>
      </c>
      <c r="F151" t="s">
        <v>307</v>
      </c>
      <c r="G151">
        <v>1951</v>
      </c>
      <c r="H151">
        <v>1952</v>
      </c>
      <c r="I151">
        <v>1966</v>
      </c>
      <c r="K151">
        <v>1500</v>
      </c>
      <c r="M151" s="6">
        <v>19.5</v>
      </c>
      <c r="N151" s="6">
        <v>28</v>
      </c>
      <c r="O151" s="6">
        <v>2</v>
      </c>
      <c r="P151" s="6">
        <v>225</v>
      </c>
      <c r="Q151" s="7">
        <f>((($Y151/2)/60)*5280)/($R151*3.2*PI())</f>
        <v>184.28467094851041</v>
      </c>
      <c r="R151" s="6">
        <v>1.9</v>
      </c>
      <c r="S151" s="6">
        <f>((($M151*$M151/4)*PI())*($N151/12)*$O151*$P151*$Q151)/(33000*1.1)</f>
        <v>1591.9557416267944</v>
      </c>
      <c r="T151">
        <v>89.92</v>
      </c>
      <c r="U151" s="9">
        <v>14.38</v>
      </c>
      <c r="W151">
        <v>122</v>
      </c>
      <c r="X151" s="4">
        <f t="shared" si="62"/>
        <v>0.11697027804410355</v>
      </c>
      <c r="Y151">
        <v>80</v>
      </c>
      <c r="AA151">
        <v>20.96</v>
      </c>
      <c r="AB151">
        <f>AA151-7.5</f>
        <v>13.46</v>
      </c>
      <c r="AD151">
        <v>3.98</v>
      </c>
      <c r="AE151" s="11">
        <v>0</v>
      </c>
      <c r="AF151" t="str">
        <f>CONCATENATE(VLOOKUP(AG151, 'Voxel Sizes'!$A$2:$B$18,2,FALSE),"x",INT(AC151*15), "x", INT(AD151*15))</f>
        <v>136x0x59</v>
      </c>
      <c r="AG151">
        <f t="shared" si="67"/>
        <v>8</v>
      </c>
      <c r="AH151" t="s">
        <v>474</v>
      </c>
      <c r="AI151" t="str">
        <f>CONCATENATE(VLOOKUP(AG151,Constants!$A$2:$C$16,IF(AH151&lt;&gt;"", 3, 2), FALSE),IF(AH151&lt;&gt;"",CONCATENATE(",",VLOOKUP(AH151,$B:$AI,34,FALSE)),""))</f>
        <v>2,4,2,2,1,2</v>
      </c>
      <c r="AQ151">
        <v>1</v>
      </c>
      <c r="AS151">
        <v>30</v>
      </c>
      <c r="AT151">
        <f t="shared" si="68"/>
        <v>11</v>
      </c>
      <c r="AW151">
        <f t="shared" si="69"/>
        <v>16</v>
      </c>
      <c r="AX151">
        <f t="shared" si="70"/>
        <v>7.5</v>
      </c>
      <c r="AY151">
        <f t="shared" si="71"/>
        <v>6.1</v>
      </c>
      <c r="AZ151" s="4">
        <f t="shared" si="76"/>
        <v>0.93199999999999994</v>
      </c>
      <c r="BA151">
        <f t="shared" si="72"/>
        <v>0</v>
      </c>
      <c r="BB151">
        <f>VLOOKUP($E151,Constants!$I:$K, 2, FALSE)</f>
        <v>1.1499999999999999</v>
      </c>
      <c r="BC151">
        <f>VLOOKUP($E151,Constants!$I:$K, 3, FALSE)*IF(AND(D151="multiple_unit",Y151&lt;110),0.75,1)</f>
        <v>1.7</v>
      </c>
      <c r="BD151">
        <f>INT(POWER(((Constants!$G$2+$AW151+$AX151+$AY151+$BA151)*$AZ151)*$BC151, 1.05))+$AV151</f>
        <v>66</v>
      </c>
      <c r="BE151">
        <f>INT(POWER((((Constants!$G$1+$AW151+$AX151+$AY151+$BA151)*($AZ151))*$BB151),IF($D151="wagon",1,1.2)))+$AU151</f>
        <v>103</v>
      </c>
      <c r="BF151" s="15">
        <f t="shared" si="73"/>
        <v>51562.5</v>
      </c>
      <c r="BG151" s="15">
        <f t="shared" si="74"/>
        <v>8368.75</v>
      </c>
      <c r="BN151">
        <v>8</v>
      </c>
      <c r="BR151" t="str">
        <f>VLOOKUP(G151,Eras!$A$2:$C$10, 2, TRUE)</f>
        <v>ebr</v>
      </c>
      <c r="BS151" t="s">
        <v>360</v>
      </c>
      <c r="BT151" t="str">
        <f t="shared" si="75"/>
        <v>ebr_Mixed Traffic</v>
      </c>
      <c r="BU151" t="str">
        <f t="shared" si="63"/>
        <v>steam_RAIL</v>
      </c>
      <c r="BV151" t="str">
        <f>VLOOKUP($BU151, Constants!$M:$N, 2, FALSE)</f>
        <v>{BLACK}Powered by: {GOLD}Steam</v>
      </c>
      <c r="BW151" t="str">
        <f t="shared" si="64"/>
        <v/>
      </c>
      <c r="BX151" t="s">
        <v>541</v>
      </c>
      <c r="BY151" t="str">
        <f t="shared" si="65"/>
        <v/>
      </c>
      <c r="BZ151" t="str">
        <f t="shared" si="66"/>
        <v>{BLACK}Powered by: {GOLD}Steam {}{SILVER}The Class 6 is a lighter version of the Class 7 "Britannia", with a smaller boiler. Only 10 were produced due to steel shortages.</v>
      </c>
    </row>
    <row r="152" spans="1:78" x14ac:dyDescent="0.25">
      <c r="A152" t="s">
        <v>544</v>
      </c>
      <c r="B152" t="s">
        <v>538</v>
      </c>
      <c r="C152">
        <v>282</v>
      </c>
      <c r="D152" t="s">
        <v>295</v>
      </c>
      <c r="E152" t="s">
        <v>304</v>
      </c>
      <c r="F152" t="s">
        <v>307</v>
      </c>
      <c r="G152">
        <v>1951</v>
      </c>
      <c r="H152">
        <v>1954</v>
      </c>
      <c r="I152">
        <v>1968</v>
      </c>
      <c r="K152">
        <v>2000</v>
      </c>
      <c r="M152" s="6">
        <v>20</v>
      </c>
      <c r="N152" s="6">
        <v>28</v>
      </c>
      <c r="O152" s="6">
        <v>2</v>
      </c>
      <c r="P152" s="6">
        <v>250</v>
      </c>
      <c r="Q152" s="7">
        <f>((($Y152/2)/60)*5280)/($R152*3.2*PI())</f>
        <v>207.32025481707421</v>
      </c>
      <c r="R152" s="6">
        <v>1.9</v>
      </c>
      <c r="S152" s="6">
        <f>((($M152*$M152/4)*PI())*($N152/12)*$O152*$P152*$Q152)/(33000*1.1)</f>
        <v>2093.3014354066986</v>
      </c>
      <c r="T152">
        <v>95.5</v>
      </c>
      <c r="U152" s="9">
        <v>50</v>
      </c>
      <c r="W152">
        <v>143</v>
      </c>
      <c r="X152" s="4">
        <f t="shared" si="62"/>
        <v>9.8281786941580754E-2</v>
      </c>
      <c r="Y152">
        <v>90</v>
      </c>
      <c r="AA152">
        <v>20.96</v>
      </c>
      <c r="AB152">
        <f>AA152-7.5</f>
        <v>13.46</v>
      </c>
      <c r="AD152">
        <v>3.98</v>
      </c>
      <c r="AE152" s="11">
        <v>0</v>
      </c>
      <c r="AF152" t="str">
        <f>CONCATENATE(VLOOKUP(AG152, 'Voxel Sizes'!$A$2:$B$18,2,FALSE),"x",INT(AC152*15), "x", INT(AD152*15))</f>
        <v>136x0x59</v>
      </c>
      <c r="AG152">
        <f t="shared" si="67"/>
        <v>8</v>
      </c>
      <c r="AH152" t="s">
        <v>474</v>
      </c>
      <c r="AI152" t="str">
        <f>CONCATENATE(VLOOKUP(AG152,Constants!$A$2:$C$16,IF(AH152&lt;&gt;"", 3, 2), FALSE),IF(AH152&lt;&gt;"",CONCATENATE(",",VLOOKUP(AH152,$B:$AI,34,FALSE)),""))</f>
        <v>2,4,2,2,1,2</v>
      </c>
      <c r="AQ152">
        <v>1</v>
      </c>
      <c r="AS152">
        <v>30</v>
      </c>
      <c r="AT152">
        <f t="shared" si="68"/>
        <v>13</v>
      </c>
      <c r="AW152">
        <f t="shared" si="69"/>
        <v>18</v>
      </c>
      <c r="AX152">
        <f t="shared" si="70"/>
        <v>10</v>
      </c>
      <c r="AY152">
        <f t="shared" si="71"/>
        <v>7.1499999999999995</v>
      </c>
      <c r="AZ152" s="4">
        <f t="shared" si="76"/>
        <v>0.93199999999999994</v>
      </c>
      <c r="BA152">
        <f t="shared" si="72"/>
        <v>0</v>
      </c>
      <c r="BB152">
        <f>VLOOKUP($E152,Constants!$I:$K, 2, FALSE)</f>
        <v>1.1499999999999999</v>
      </c>
      <c r="BC152">
        <f>VLOOKUP($E152,Constants!$I:$K, 3, FALSE)*IF(AND(D152="multiple_unit",Y152&lt;110),0.75,1)</f>
        <v>1.7</v>
      </c>
      <c r="BD152">
        <f>INT(POWER(((Constants!$G$2+$AW152+$AX152+$AY152+$BA152)*$AZ152)*$BC152, 1.05))+$AV152</f>
        <v>78</v>
      </c>
      <c r="BE152">
        <f>INT(POWER((((Constants!$G$1+$AW152+$AX152+$AY152+$BA152)*($AZ152))*$BB152),IF($D152="wagon",1,1.2)))+$AU152</f>
        <v>119</v>
      </c>
      <c r="BF152" s="15">
        <f t="shared" si="73"/>
        <v>60937.5</v>
      </c>
      <c r="BG152" s="15">
        <f t="shared" si="74"/>
        <v>9668.75</v>
      </c>
      <c r="BN152">
        <v>9</v>
      </c>
      <c r="BR152" t="str">
        <f>VLOOKUP(G152,Eras!$A$2:$C$10, 2, TRUE)</f>
        <v>ebr</v>
      </c>
      <c r="BS152" t="s">
        <v>360</v>
      </c>
      <c r="BT152" t="str">
        <f t="shared" si="75"/>
        <v>ebr_Mixed Traffic</v>
      </c>
      <c r="BU152" t="str">
        <f t="shared" si="63"/>
        <v>steam_RAIL</v>
      </c>
      <c r="BV152" t="str">
        <f>VLOOKUP($BU152, Constants!$M:$N, 2, FALSE)</f>
        <v>{BLACK}Powered by: {GOLD}Steam</v>
      </c>
      <c r="BW152" t="str">
        <f t="shared" si="64"/>
        <v/>
      </c>
      <c r="BX152" t="s">
        <v>540</v>
      </c>
      <c r="BY152" t="str">
        <f t="shared" si="65"/>
        <v/>
      </c>
      <c r="BZ152" t="str">
        <f t="shared" si="66"/>
        <v>{BLACK}Powered by: {GOLD}Steam {}{SILVER}The Class 7 combines the best features of pre-BR designs from the Big Four, with the aim of reducing maintenance costs.</v>
      </c>
    </row>
    <row r="153" spans="1:78" x14ac:dyDescent="0.25">
      <c r="A153" t="s">
        <v>73</v>
      </c>
      <c r="B153" t="s">
        <v>188</v>
      </c>
      <c r="C153">
        <v>284</v>
      </c>
      <c r="D153" t="s">
        <v>295</v>
      </c>
      <c r="E153" t="s">
        <v>305</v>
      </c>
      <c r="F153" t="s">
        <v>307</v>
      </c>
      <c r="G153">
        <v>1952</v>
      </c>
      <c r="H153">
        <v>1962</v>
      </c>
      <c r="K153">
        <v>350</v>
      </c>
      <c r="T153">
        <v>49.8</v>
      </c>
      <c r="W153">
        <v>160</v>
      </c>
      <c r="X153" s="4">
        <f t="shared" si="62"/>
        <v>0.32128514056224899</v>
      </c>
      <c r="Y153">
        <v>20</v>
      </c>
      <c r="AA153">
        <v>8.92</v>
      </c>
      <c r="AB153">
        <v>9.5</v>
      </c>
      <c r="AC153">
        <v>2.59</v>
      </c>
      <c r="AD153">
        <v>3.87</v>
      </c>
      <c r="AE153" s="11">
        <v>0</v>
      </c>
      <c r="AF153" t="str">
        <f>CONCATENATE(VLOOKUP(AG153, 'Voxel Sizes'!$A$2:$B$18,2,FALSE),"x",INT(AC153*15), "x", INT(AD153*15))</f>
        <v>102x38x58</v>
      </c>
      <c r="AG153">
        <f t="shared" si="67"/>
        <v>6</v>
      </c>
      <c r="AI153" t="str">
        <f>CONCATENATE(VLOOKUP(AG153,Constants!$A$2:$C$16,IF(AH153&lt;&gt;"", 3, 2), FALSE),IF(AH153&lt;&gt;"",CONCATENATE(",",VLOOKUP(AH153,$B:$AI,34,FALSE)),""))</f>
        <v>2,2,2</v>
      </c>
      <c r="AQ153">
        <v>1</v>
      </c>
      <c r="AS153">
        <v>42</v>
      </c>
      <c r="AT153" t="str">
        <f t="shared" si="68"/>
        <v/>
      </c>
      <c r="AV153">
        <v>-10</v>
      </c>
      <c r="AW153">
        <f t="shared" si="69"/>
        <v>4</v>
      </c>
      <c r="AX153">
        <f t="shared" si="70"/>
        <v>1.75</v>
      </c>
      <c r="AY153">
        <f t="shared" si="71"/>
        <v>8</v>
      </c>
      <c r="AZ153" s="4">
        <f t="shared" si="76"/>
        <v>0.93066666666666664</v>
      </c>
      <c r="BA153">
        <f t="shared" si="72"/>
        <v>0</v>
      </c>
      <c r="BB153">
        <f>VLOOKUP($E153,Constants!$I:$K, 2, FALSE)</f>
        <v>1</v>
      </c>
      <c r="BC153">
        <f>VLOOKUP($E153,Constants!$I:$K, 3, FALSE)*IF(AND(D153="multiple_unit",Y153&lt;110),0.75,1)</f>
        <v>2</v>
      </c>
      <c r="BD153">
        <f>INT(POWER(((Constants!$G$2+$AW153+$AX153+$AY153+$BA153)*$AZ153)*$BC153, 1.05))+$AV153</f>
        <v>31</v>
      </c>
      <c r="BE153">
        <f>INT(POWER((((Constants!$G$1+$AW153+$AX153+$AY153+$BA153)*($AZ153))*$BB153),IF($D153="wagon",1,1.2)))+$AU153</f>
        <v>51</v>
      </c>
      <c r="BF153" s="15">
        <f t="shared" si="73"/>
        <v>24218.75</v>
      </c>
      <c r="BG153" s="15">
        <f t="shared" si="74"/>
        <v>4143.75</v>
      </c>
      <c r="BN153">
        <v>10</v>
      </c>
      <c r="BR153" t="str">
        <f>VLOOKUP(G153,Eras!$A$2:$C$10, 2, TRUE)</f>
        <v>ebr</v>
      </c>
      <c r="BS153" t="s">
        <v>359</v>
      </c>
      <c r="BT153" t="str">
        <f t="shared" si="75"/>
        <v>ebr_Cheap</v>
      </c>
      <c r="BU153" t="str">
        <f t="shared" si="63"/>
        <v>diesel_RAIL</v>
      </c>
      <c r="BV153" t="str">
        <f>VLOOKUP($BU153, Constants!$M:$N, 2, FALSE)</f>
        <v>{BLACK}Powered by: {GOLD}Diesel</v>
      </c>
      <c r="BW153" t="str">
        <f t="shared" si="64"/>
        <v/>
      </c>
      <c r="BX153" t="s">
        <v>389</v>
      </c>
      <c r="BY153" t="str">
        <f t="shared" si="65"/>
        <v/>
      </c>
      <c r="BZ153" t="str">
        <f t="shared" si="66"/>
        <v>{BLACK}Powered by: {GOLD}Diesel {}{SILVER}The Class 08 is a diesel-electric shunter that was common across the UK when freight trains were assembled by shunting different consists of wagons. Although slow its low cost and high tractive effort make it a good option for short industrial lines.</v>
      </c>
    </row>
    <row r="154" spans="1:78" x14ac:dyDescent="0.25">
      <c r="A154" t="s">
        <v>70</v>
      </c>
      <c r="B154" t="s">
        <v>281</v>
      </c>
      <c r="C154">
        <v>286</v>
      </c>
      <c r="D154" t="s">
        <v>295</v>
      </c>
      <c r="E154" t="s">
        <v>329</v>
      </c>
      <c r="F154" t="s">
        <v>330</v>
      </c>
      <c r="G154">
        <v>1953</v>
      </c>
      <c r="H154">
        <v>1954</v>
      </c>
      <c r="I154">
        <v>1968</v>
      </c>
      <c r="K154">
        <v>2490</v>
      </c>
      <c r="T154">
        <v>104.1</v>
      </c>
      <c r="W154">
        <v>200</v>
      </c>
      <c r="X154" s="4">
        <f t="shared" si="62"/>
        <v>0.19212295869356388</v>
      </c>
      <c r="Y154">
        <v>90</v>
      </c>
      <c r="AA154">
        <v>17.98</v>
      </c>
      <c r="AB154">
        <v>17.98</v>
      </c>
      <c r="AE154" s="11">
        <v>0</v>
      </c>
      <c r="AF154" t="str">
        <f>CONCATENATE(VLOOKUP(AG154, 'Voxel Sizes'!$A$2:$B$18,2,FALSE),"x",INT(AC154*15), "x", INT(AD154*15))</f>
        <v>186x0x0</v>
      </c>
      <c r="AG154">
        <f t="shared" si="67"/>
        <v>11</v>
      </c>
      <c r="AI154" t="str">
        <f>CONCATENATE(VLOOKUP(AG154,Constants!$A$2:$C$16,IF(AH154&lt;&gt;"", 3, 2), FALSE),IF(AH154&lt;&gt;"",CONCATENATE(",",VLOOKUP(AH154,$B:$AI,34,FALSE)),""))</f>
        <v>4,3,4</v>
      </c>
      <c r="AS154">
        <v>25</v>
      </c>
      <c r="AT154">
        <f t="shared" si="68"/>
        <v>11</v>
      </c>
      <c r="AW154">
        <f t="shared" si="69"/>
        <v>18</v>
      </c>
      <c r="AX154">
        <f t="shared" si="70"/>
        <v>12.450000000000001</v>
      </c>
      <c r="AY154">
        <f t="shared" si="71"/>
        <v>10</v>
      </c>
      <c r="AZ154" s="4">
        <f t="shared" si="76"/>
        <v>0.92933333333333334</v>
      </c>
      <c r="BA154">
        <f t="shared" si="72"/>
        <v>0</v>
      </c>
      <c r="BB154">
        <f>VLOOKUP($E154,Constants!$I:$K, 2, FALSE)</f>
        <v>0.85</v>
      </c>
      <c r="BC154">
        <f>VLOOKUP($E154,Constants!$I:$K, 3, FALSE)*IF(AND(D154="multiple_unit",Y154&lt;110),0.75,1)</f>
        <v>2.2999999999999998</v>
      </c>
      <c r="BD154">
        <f>INT(POWER(((Constants!$G$2+$AW154+$AX154+$AY154+$BA154)*$AZ154)*$BC154, 1.05))+$AV154</f>
        <v>122</v>
      </c>
      <c r="BE154">
        <f>INT(POWER((((Constants!$G$1+$AW154+$AX154+$AY154+$BA154)*($AZ154))*$BB154),IF($D154="wagon",1,1.2)))+$AU154</f>
        <v>93</v>
      </c>
      <c r="BF154" s="15">
        <f t="shared" si="73"/>
        <v>95312.5</v>
      </c>
      <c r="BG154" s="15">
        <f t="shared" si="74"/>
        <v>7556.25</v>
      </c>
      <c r="BN154">
        <v>11</v>
      </c>
      <c r="BR154" t="str">
        <f>VLOOKUP(G154,Eras!$A$2:$C$10, 2, TRUE)</f>
        <v>ebr</v>
      </c>
      <c r="BS154" t="s">
        <v>371</v>
      </c>
      <c r="BT154" t="str">
        <f t="shared" si="75"/>
        <v>ebr_Express (Electric)</v>
      </c>
      <c r="BU154" t="str">
        <f t="shared" si="63"/>
        <v>electric_ELRL</v>
      </c>
      <c r="BV154" t="str">
        <f>VLOOKUP($BU154, Constants!$M:$N, 2, FALSE)</f>
        <v>{BLACK}Powered by: {GOLD}25kV AC</v>
      </c>
      <c r="BW154" t="str">
        <f t="shared" si="64"/>
        <v/>
      </c>
      <c r="BX154" t="s">
        <v>542</v>
      </c>
      <c r="BY154" t="str">
        <f t="shared" si="65"/>
        <v/>
      </c>
      <c r="BZ154" t="str">
        <f t="shared" si="66"/>
        <v>{BLACK}Powered by: {GOLD}25kV AC {}{SILVER}The Class 77  is a larger version of the earlier Class 76, designed to haul passenger services on the Woodhead Line.</v>
      </c>
    </row>
    <row r="155" spans="1:78" x14ac:dyDescent="0.25">
      <c r="A155" t="s">
        <v>536</v>
      </c>
      <c r="B155" t="s">
        <v>539</v>
      </c>
      <c r="C155">
        <v>288</v>
      </c>
      <c r="D155" t="s">
        <v>295</v>
      </c>
      <c r="E155" t="s">
        <v>304</v>
      </c>
      <c r="F155" t="s">
        <v>307</v>
      </c>
      <c r="G155">
        <v>1954</v>
      </c>
      <c r="H155">
        <v>1960</v>
      </c>
      <c r="I155">
        <v>1968</v>
      </c>
      <c r="K155">
        <v>2500</v>
      </c>
      <c r="M155" s="6">
        <v>20</v>
      </c>
      <c r="N155" s="6">
        <v>28</v>
      </c>
      <c r="O155" s="6">
        <v>2</v>
      </c>
      <c r="P155" s="6">
        <v>250</v>
      </c>
      <c r="Q155" s="7">
        <f>((($Y155/2)/60)*5280)/($R155*3.2*PI())</f>
        <v>262.60565610162729</v>
      </c>
      <c r="R155" s="6">
        <v>1.5</v>
      </c>
      <c r="S155" s="6">
        <f>((($M155*$M155/4)*PI())*($N155/12)*$O155*$P155*$Q155)/(33000*1.1)</f>
        <v>2651.515151515151</v>
      </c>
      <c r="T155">
        <v>90</v>
      </c>
      <c r="U155" s="9">
        <v>51</v>
      </c>
      <c r="W155">
        <v>176</v>
      </c>
      <c r="X155" s="4">
        <f t="shared" si="62"/>
        <v>0.12482269503546099</v>
      </c>
      <c r="Y155">
        <v>90</v>
      </c>
      <c r="AA155">
        <v>20.170000000000002</v>
      </c>
      <c r="AB155">
        <v>15</v>
      </c>
      <c r="AE155" s="11">
        <v>0</v>
      </c>
      <c r="AF155" t="str">
        <f>CONCATENATE(VLOOKUP(AG155, 'Voxel Sizes'!$A$2:$B$18,2,FALSE),"x",INT(AC155*15), "x", INT(AD155*15))</f>
        <v>152x0x0</v>
      </c>
      <c r="AG155">
        <f t="shared" si="67"/>
        <v>9</v>
      </c>
      <c r="AH155" t="s">
        <v>474</v>
      </c>
      <c r="AI155" t="str">
        <f>CONCATENATE(VLOOKUP(AG155,Constants!$A$2:$C$16,IF(AH155&lt;&gt;"", 3, 2), FALSE),IF(AH155&lt;&gt;"",CONCATENATE(",",VLOOKUP(AH155,$B:$AI,34,FALSE)),""))</f>
        <v>2,5,2,2,1,2</v>
      </c>
      <c r="AQ155">
        <v>1</v>
      </c>
      <c r="AS155">
        <v>33</v>
      </c>
      <c r="AT155">
        <f t="shared" si="68"/>
        <v>10</v>
      </c>
      <c r="AW155">
        <f t="shared" si="69"/>
        <v>18</v>
      </c>
      <c r="AX155">
        <f t="shared" si="70"/>
        <v>12.5</v>
      </c>
      <c r="AY155">
        <f t="shared" si="71"/>
        <v>8.8000000000000007</v>
      </c>
      <c r="AZ155" s="4">
        <f t="shared" si="76"/>
        <v>0.92800000000000005</v>
      </c>
      <c r="BA155">
        <f t="shared" si="72"/>
        <v>0</v>
      </c>
      <c r="BB155">
        <f>VLOOKUP($E155,Constants!$I:$K, 2, FALSE)</f>
        <v>1.1499999999999999</v>
      </c>
      <c r="BC155">
        <f>VLOOKUP($E155,Constants!$I:$K, 3, FALSE)*IF(AND(D155="multiple_unit",Y155&lt;110),0.75,1)</f>
        <v>1.7</v>
      </c>
      <c r="BD155">
        <f>INT(POWER(((Constants!$G$2+$AW155+$AX155+$AY155+$BA155)*$AZ155)*$BC155, 1.05))+$AV155</f>
        <v>86</v>
      </c>
      <c r="BE155">
        <f>INT(POWER((((Constants!$G$1+$AW155+$AX155+$AY155+$BA155)*($AZ155))*$BB155),IF($D155="wagon",1,1.2)))+$AU155</f>
        <v>130</v>
      </c>
      <c r="BF155" s="15">
        <f t="shared" si="73"/>
        <v>67187.5</v>
      </c>
      <c r="BG155" s="15">
        <f t="shared" si="74"/>
        <v>10562.5</v>
      </c>
      <c r="BN155">
        <v>12</v>
      </c>
      <c r="BR155" t="str">
        <f>VLOOKUP(G155,Eras!$A$2:$C$10, 2, TRUE)</f>
        <v>ebr</v>
      </c>
      <c r="BS155" t="s">
        <v>362</v>
      </c>
      <c r="BT155" t="str">
        <f t="shared" si="75"/>
        <v>ebr_Freight</v>
      </c>
      <c r="BU155" t="str">
        <f t="shared" si="63"/>
        <v>steam_RAIL</v>
      </c>
      <c r="BV155" t="str">
        <f>VLOOKUP($BU155, Constants!$M:$N, 2, FALSE)</f>
        <v>{BLACK}Powered by: {GOLD}Steam</v>
      </c>
      <c r="BW155" t="str">
        <f t="shared" si="64"/>
        <v/>
      </c>
      <c r="BX155" t="s">
        <v>545</v>
      </c>
      <c r="BY155" t="str">
        <f t="shared" si="65"/>
        <v/>
      </c>
      <c r="BZ155" t="str">
        <f t="shared" si="66"/>
        <v>{BLACK}Powered by: {GOLD}Steam {}{SILVER}The 9F class included the last steam locomotive ever to be built by British Railways, "Evening Star"</v>
      </c>
    </row>
    <row r="156" spans="1:78" x14ac:dyDescent="0.25">
      <c r="A156" t="s">
        <v>45</v>
      </c>
      <c r="B156" t="s">
        <v>300</v>
      </c>
      <c r="C156">
        <v>290</v>
      </c>
      <c r="D156" t="s">
        <v>295</v>
      </c>
      <c r="E156" t="s">
        <v>305</v>
      </c>
      <c r="F156" t="s">
        <v>307</v>
      </c>
      <c r="G156">
        <v>1955</v>
      </c>
      <c r="H156">
        <v>1962</v>
      </c>
      <c r="I156">
        <v>1982</v>
      </c>
      <c r="K156">
        <v>3300</v>
      </c>
      <c r="T156">
        <v>108</v>
      </c>
      <c r="W156">
        <v>233</v>
      </c>
      <c r="X156" s="4">
        <f t="shared" si="62"/>
        <v>0.21574074074074073</v>
      </c>
      <c r="Y156">
        <v>106</v>
      </c>
      <c r="AA156">
        <v>21.18</v>
      </c>
      <c r="AB156">
        <v>21.18</v>
      </c>
      <c r="AD156">
        <v>3.91</v>
      </c>
      <c r="AE156" s="11">
        <v>0</v>
      </c>
      <c r="AF156" t="str">
        <f>CONCATENATE(VLOOKUP(AG156, 'Voxel Sizes'!$A$2:$B$18,2,FALSE),"x",INT(AC156*15), "x", INT(AD156*15))</f>
        <v>198x0x58</v>
      </c>
      <c r="AG156">
        <f t="shared" si="67"/>
        <v>12</v>
      </c>
      <c r="AI156" t="str">
        <f>CONCATENATE(VLOOKUP(AG156,Constants!$A$2:$C$16,IF(AH156&lt;&gt;"", 3, 2), FALSE),IF(AH156&lt;&gt;"",CONCATENATE(",",VLOOKUP(AH156,$B:$AI,34,FALSE)),""))</f>
        <v>4,4,4</v>
      </c>
      <c r="AS156">
        <v>26</v>
      </c>
      <c r="AT156">
        <f t="shared" si="68"/>
        <v>23</v>
      </c>
      <c r="AW156">
        <f t="shared" si="69"/>
        <v>21.2</v>
      </c>
      <c r="AX156">
        <f t="shared" si="70"/>
        <v>16.5</v>
      </c>
      <c r="AY156">
        <f t="shared" si="71"/>
        <v>11.65</v>
      </c>
      <c r="AZ156" s="4">
        <f t="shared" si="76"/>
        <v>0.92666666666666664</v>
      </c>
      <c r="BA156">
        <f t="shared" si="72"/>
        <v>0</v>
      </c>
      <c r="BB156">
        <f>VLOOKUP($E156,Constants!$I:$K, 2, FALSE)</f>
        <v>1</v>
      </c>
      <c r="BC156">
        <f>VLOOKUP($E156,Constants!$I:$K, 3, FALSE)*IF(AND(D156="multiple_unit",Y156&lt;110),0.75,1)</f>
        <v>2</v>
      </c>
      <c r="BD156">
        <f>INT(POWER(((Constants!$G$2+$AW156+$AX156+$AY156+$BA156)*$AZ156)*$BC156, 1.05))+$AV156</f>
        <v>126</v>
      </c>
      <c r="BE156">
        <f>INT(POWER((((Constants!$G$1+$AW156+$AX156+$AY156+$BA156)*($AZ156))*$BB156),IF($D156="wagon",1,1.2)))+$AU156</f>
        <v>135</v>
      </c>
      <c r="BF156" s="15">
        <f t="shared" si="73"/>
        <v>98437.5</v>
      </c>
      <c r="BG156" s="15">
        <f t="shared" si="74"/>
        <v>10968.75</v>
      </c>
      <c r="BN156">
        <v>1</v>
      </c>
      <c r="BR156" t="str">
        <f>VLOOKUP(G156,Eras!$A$2:$C$10, 2, TRUE)</f>
        <v>dsl</v>
      </c>
      <c r="BS156" t="s">
        <v>361</v>
      </c>
      <c r="BT156" t="str">
        <f t="shared" si="75"/>
        <v>dsl_Express</v>
      </c>
      <c r="BU156" t="str">
        <f t="shared" si="63"/>
        <v>diesel_RAIL</v>
      </c>
      <c r="BV156" t="str">
        <f>VLOOKUP($BU156, Constants!$M:$N, 2, FALSE)</f>
        <v>{BLACK}Powered by: {GOLD}Diesel</v>
      </c>
      <c r="BW156" t="str">
        <f t="shared" si="64"/>
        <v/>
      </c>
      <c r="BX156" t="s">
        <v>546</v>
      </c>
      <c r="BY156" t="str">
        <f t="shared" si="65"/>
        <v/>
      </c>
      <c r="BZ156" t="str">
        <f t="shared" si="66"/>
        <v>{BLACK}Powered by: {GOLD}Diesel {}{SILVER}The Class 55 uses two Napier Deltic marine engines to create a high speed express diesel locomotive.</v>
      </c>
    </row>
    <row r="157" spans="1:78" x14ac:dyDescent="0.25">
      <c r="A157" t="s">
        <v>78</v>
      </c>
      <c r="B157" t="s">
        <v>265</v>
      </c>
      <c r="C157">
        <v>292</v>
      </c>
      <c r="D157" t="s">
        <v>437</v>
      </c>
      <c r="E157" t="s">
        <v>305</v>
      </c>
      <c r="F157" t="s">
        <v>307</v>
      </c>
      <c r="G157">
        <v>1956</v>
      </c>
      <c r="H157">
        <v>1960</v>
      </c>
      <c r="I157">
        <v>2003</v>
      </c>
      <c r="J157">
        <v>2</v>
      </c>
      <c r="K157">
        <v>600</v>
      </c>
      <c r="T157">
        <f>32.5+25</f>
        <v>57.5</v>
      </c>
      <c r="V157">
        <f>J157*8</f>
        <v>16</v>
      </c>
      <c r="W157">
        <v>85</v>
      </c>
      <c r="X157" s="4">
        <f t="shared" si="62"/>
        <v>0.14782608695652175</v>
      </c>
      <c r="Y157">
        <v>70</v>
      </c>
      <c r="AA157">
        <v>17.37</v>
      </c>
      <c r="AB157">
        <v>17.37</v>
      </c>
      <c r="AD157">
        <v>3.77</v>
      </c>
      <c r="AE157" s="11">
        <v>51</v>
      </c>
      <c r="AF157" t="str">
        <f>CONCATENATE(VLOOKUP(AG157, 'Voxel Sizes'!$A$2:$B$18,2,FALSE),"x",INT(AC157*15), "x", INT(AD157*15))</f>
        <v>164x0x56</v>
      </c>
      <c r="AG157">
        <f t="shared" si="67"/>
        <v>10</v>
      </c>
      <c r="AI157" t="str">
        <f>CONCATENATE(VLOOKUP(AG157,Constants!$A$2:$C$16,IF(AH157&lt;&gt;"", 3, 2), FALSE),IF(AH157&lt;&gt;"",CONCATENATE(",",VLOOKUP(AH157,$B:$AI,34,FALSE)),""))</f>
        <v>4,2,4</v>
      </c>
      <c r="AM157" t="s">
        <v>548</v>
      </c>
      <c r="AO157" t="s">
        <v>501</v>
      </c>
      <c r="AS157">
        <v>45</v>
      </c>
      <c r="AT157">
        <f t="shared" si="68"/>
        <v>43</v>
      </c>
      <c r="AW157">
        <f t="shared" si="69"/>
        <v>14</v>
      </c>
      <c r="AX157">
        <f t="shared" si="70"/>
        <v>3</v>
      </c>
      <c r="AY157">
        <f t="shared" si="71"/>
        <v>4.25</v>
      </c>
      <c r="AZ157" s="4">
        <f t="shared" si="76"/>
        <v>0.92533333333333334</v>
      </c>
      <c r="BA157">
        <f t="shared" si="72"/>
        <v>3.4000000000000004</v>
      </c>
      <c r="BB157">
        <f>VLOOKUP($E157,Constants!$I:$K, 2, FALSE)</f>
        <v>1</v>
      </c>
      <c r="BC157">
        <f>VLOOKUP($E157,Constants!$I:$K, 3, FALSE)*IF(AND(D157="multiple_unit",Y157&lt;110),0.75,1)</f>
        <v>1.5</v>
      </c>
      <c r="BD157">
        <f>INT(POWER(((Constants!$G$2+$AW157+$AX157+$AY157+$BA157)*$AZ157)*$BC157, 1.05))+$AV157</f>
        <v>49</v>
      </c>
      <c r="BE157">
        <f>INT(POWER((((Constants!$G$1+$AW157+$AX157+$AY157+$BA157)*($AZ157))*$BB157),IF($D157="wagon",1,1.2)))+$AU157</f>
        <v>75</v>
      </c>
      <c r="BF157" s="15">
        <f t="shared" si="73"/>
        <v>38281.25</v>
      </c>
      <c r="BG157" s="15">
        <f t="shared" si="74"/>
        <v>6093.75</v>
      </c>
      <c r="BN157">
        <v>2</v>
      </c>
      <c r="BQ157" t="s">
        <v>316</v>
      </c>
      <c r="BR157" t="str">
        <f>VLOOKUP(G157,Eras!$A$2:$C$10, 2, TRUE)</f>
        <v>dsl</v>
      </c>
      <c r="BS157" t="s">
        <v>364</v>
      </c>
      <c r="BT157" t="str">
        <f t="shared" si="75"/>
        <v>dsl_DMU</v>
      </c>
      <c r="BU157" t="str">
        <f t="shared" si="63"/>
        <v>diesel_RAIL</v>
      </c>
      <c r="BV157" t="str">
        <f>VLOOKUP($BU157, Constants!$M:$N, 2, FALSE)</f>
        <v>{BLACK}Powered by: {GOLD}Diesel</v>
      </c>
      <c r="BW157" t="str">
        <f t="shared" si="64"/>
        <v>{BLACK}Cars: {GOLD}2</v>
      </c>
      <c r="BX157" t="s">
        <v>547</v>
      </c>
      <c r="BY157" t="str">
        <f t="shared" si="65"/>
        <v/>
      </c>
      <c r="BZ157" t="str">
        <f t="shared" si="66"/>
        <v>{BLACK}Powered by: {GOLD}Diesel {BLACK}Cars: {GOLD}2{}{SILVER}The Class 101 has a four speed gearbox with a manual shift. It was exceptionally long-lived, the final examples being retired in December 2003.</v>
      </c>
    </row>
    <row r="158" spans="1:78" x14ac:dyDescent="0.25">
      <c r="A158" t="s">
        <v>550</v>
      </c>
      <c r="B158" t="s">
        <v>189</v>
      </c>
      <c r="C158">
        <v>294</v>
      </c>
      <c r="D158" t="s">
        <v>295</v>
      </c>
      <c r="E158" t="s">
        <v>305</v>
      </c>
      <c r="F158" t="s">
        <v>307</v>
      </c>
      <c r="G158">
        <v>1957</v>
      </c>
      <c r="H158">
        <v>1962</v>
      </c>
      <c r="I158">
        <v>2017</v>
      </c>
      <c r="K158">
        <v>1250</v>
      </c>
      <c r="T158">
        <v>108.4</v>
      </c>
      <c r="W158">
        <v>160</v>
      </c>
      <c r="X158" s="4">
        <f t="shared" si="62"/>
        <v>0.14760147601476015</v>
      </c>
      <c r="Y158">
        <v>80</v>
      </c>
      <c r="AA158">
        <v>17.3</v>
      </c>
      <c r="AB158">
        <v>17.3</v>
      </c>
      <c r="AD158">
        <v>3.84</v>
      </c>
      <c r="AE158" s="11">
        <v>0</v>
      </c>
      <c r="AF158" t="str">
        <f>CONCATENATE(VLOOKUP(AG158, 'Voxel Sizes'!$A$2:$B$18,2,FALSE),"x",INT(AC158*15), "x", INT(AD158*15))</f>
        <v>164x0x57</v>
      </c>
      <c r="AG158">
        <f t="shared" si="67"/>
        <v>10</v>
      </c>
      <c r="AI158" t="str">
        <f>CONCATENATE(VLOOKUP(AG158,Constants!$A$2:$C$16,IF(AH158&lt;&gt;"", 3, 2), FALSE),IF(AH158&lt;&gt;"",CONCATENATE(",",VLOOKUP(AH158,$B:$AI,34,FALSE)),""))</f>
        <v>4,2,4</v>
      </c>
      <c r="AS158">
        <v>30</v>
      </c>
      <c r="AT158">
        <f t="shared" si="68"/>
        <v>56</v>
      </c>
      <c r="AW158">
        <f t="shared" si="69"/>
        <v>16</v>
      </c>
      <c r="AX158">
        <f t="shared" si="70"/>
        <v>6.25</v>
      </c>
      <c r="AY158">
        <f t="shared" si="71"/>
        <v>8</v>
      </c>
      <c r="AZ158" s="4">
        <f t="shared" si="76"/>
        <v>0.92400000000000004</v>
      </c>
      <c r="BA158">
        <f t="shared" si="72"/>
        <v>0</v>
      </c>
      <c r="BB158">
        <f>VLOOKUP($E158,Constants!$I:$K, 2, FALSE)</f>
        <v>1</v>
      </c>
      <c r="BC158">
        <f>VLOOKUP($E158,Constants!$I:$K, 3, FALSE)*IF(AND(D158="multiple_unit",Y158&lt;110),0.75,1)</f>
        <v>2</v>
      </c>
      <c r="BD158">
        <f>INT(POWER(((Constants!$G$2+$AW158+$AX158+$AY158+$BA158)*$AZ158)*$BC158, 1.05))+$AV158</f>
        <v>80</v>
      </c>
      <c r="BE158">
        <f>INT(POWER((((Constants!$G$1+$AW158+$AX158+$AY158+$BA158)*($AZ158))*$BB158),IF($D158="wagon",1,1.2)))+$AU158</f>
        <v>88</v>
      </c>
      <c r="BF158" s="15">
        <f t="shared" si="73"/>
        <v>62500</v>
      </c>
      <c r="BG158" s="15">
        <f t="shared" si="74"/>
        <v>7150</v>
      </c>
      <c r="BN158">
        <v>3</v>
      </c>
      <c r="BR158" t="str">
        <f>VLOOKUP(G158,Eras!$A$2:$C$10, 2, TRUE)</f>
        <v>dsl</v>
      </c>
      <c r="BS158" t="s">
        <v>362</v>
      </c>
      <c r="BT158" t="str">
        <f t="shared" si="75"/>
        <v>dsl_Freight</v>
      </c>
      <c r="BU158" t="str">
        <f t="shared" si="63"/>
        <v>diesel_RAIL</v>
      </c>
      <c r="BV158" t="str">
        <f>VLOOKUP($BU158, Constants!$M:$N, 2, FALSE)</f>
        <v>{BLACK}Powered by: {GOLD}Diesel</v>
      </c>
      <c r="BW158" t="str">
        <f t="shared" si="64"/>
        <v/>
      </c>
      <c r="BX158" t="s">
        <v>551</v>
      </c>
      <c r="BY158" t="str">
        <f t="shared" si="65"/>
        <v/>
      </c>
      <c r="BZ158" t="str">
        <f t="shared" si="66"/>
        <v>{BLACK}Powered by: {GOLD}Diesel {}{SILVER}The Class 31 (Brush Type 2) was part of BR's pilot scheme to test replacing steam locmotives with diesel traction. It had many nicknames including "Ped", "Gargoyle" and "Gurgler"</v>
      </c>
    </row>
    <row r="159" spans="1:78" x14ac:dyDescent="0.25">
      <c r="A159" t="s">
        <v>53</v>
      </c>
      <c r="B159" t="s">
        <v>298</v>
      </c>
      <c r="C159">
        <v>296</v>
      </c>
      <c r="D159" t="s">
        <v>295</v>
      </c>
      <c r="E159" t="s">
        <v>305</v>
      </c>
      <c r="F159" t="s">
        <v>307</v>
      </c>
      <c r="G159">
        <v>1957</v>
      </c>
      <c r="H159">
        <v>1968</v>
      </c>
      <c r="K159">
        <v>1000</v>
      </c>
      <c r="T159">
        <v>73</v>
      </c>
      <c r="W159">
        <v>186</v>
      </c>
      <c r="X159" s="4">
        <f t="shared" si="62"/>
        <v>0.25479452054794521</v>
      </c>
      <c r="Y159">
        <v>75</v>
      </c>
      <c r="AA159">
        <v>14.25</v>
      </c>
      <c r="AB159">
        <v>14.25</v>
      </c>
      <c r="AC159">
        <v>2.67</v>
      </c>
      <c r="AD159">
        <v>3.85</v>
      </c>
      <c r="AE159" s="11">
        <v>0</v>
      </c>
      <c r="AF159" t="str">
        <f>CONCATENATE(VLOOKUP(AG159, 'Voxel Sizes'!$A$2:$B$18,2,FALSE),"x",INT(AC159*15), "x", INT(AD159*15))</f>
        <v>136x40x57</v>
      </c>
      <c r="AG159">
        <f t="shared" si="67"/>
        <v>8</v>
      </c>
      <c r="AI159" t="str">
        <f>CONCATENATE(VLOOKUP(AG159,Constants!$A$2:$C$16,IF(AH159&lt;&gt;"", 3, 2), FALSE),IF(AH159&lt;&gt;"",CONCATENATE(",",VLOOKUP(AH159,$B:$AI,34,FALSE)),""))</f>
        <v>2,4,2</v>
      </c>
      <c r="AS159">
        <v>33</v>
      </c>
      <c r="AT159" t="str">
        <f t="shared" si="68"/>
        <v/>
      </c>
      <c r="AW159">
        <f t="shared" si="69"/>
        <v>15</v>
      </c>
      <c r="AX159">
        <f t="shared" si="70"/>
        <v>5</v>
      </c>
      <c r="AY159">
        <f t="shared" si="71"/>
        <v>9.3000000000000007</v>
      </c>
      <c r="AZ159" s="4">
        <f t="shared" si="76"/>
        <v>0.92400000000000004</v>
      </c>
      <c r="BA159">
        <f t="shared" si="72"/>
        <v>0</v>
      </c>
      <c r="BB159">
        <f>VLOOKUP($E159,Constants!$I:$K, 2, FALSE)</f>
        <v>1</v>
      </c>
      <c r="BC159">
        <f>VLOOKUP($E159,Constants!$I:$K, 3, FALSE)*IF(AND(D159="multiple_unit",Y159&lt;110),0.75,1)</f>
        <v>2</v>
      </c>
      <c r="BD159">
        <f>INT(POWER(((Constants!$G$2+$AW159+$AX159+$AY159+$BA159)*$AZ159)*$BC159, 1.05))+$AV159</f>
        <v>78</v>
      </c>
      <c r="BE159">
        <f>INT(POWER((((Constants!$G$1+$AW159+$AX159+$AY159+$BA159)*($AZ159))*$BB159),IF($D159="wagon",1,1.2)))+$AU159</f>
        <v>85</v>
      </c>
      <c r="BF159" s="15">
        <f t="shared" si="73"/>
        <v>60937.5</v>
      </c>
      <c r="BG159" s="15">
        <f t="shared" si="74"/>
        <v>6906.25</v>
      </c>
      <c r="BH159">
        <v>2</v>
      </c>
      <c r="BN159">
        <v>4</v>
      </c>
      <c r="BR159" t="str">
        <f>VLOOKUP(G159,Eras!$A$2:$C$10, 2, TRUE)</f>
        <v>dsl</v>
      </c>
      <c r="BS159" t="s">
        <v>360</v>
      </c>
      <c r="BT159" t="str">
        <f t="shared" si="75"/>
        <v>dsl_Mixed Traffic</v>
      </c>
      <c r="BU159" t="str">
        <f t="shared" si="63"/>
        <v>diesel_RAIL</v>
      </c>
      <c r="BV159" t="str">
        <f>VLOOKUP($BU159, Constants!$M:$N, 2, FALSE)</f>
        <v>{BLACK}Powered by: {GOLD}Diesel</v>
      </c>
      <c r="BW159" t="str">
        <f t="shared" si="64"/>
        <v/>
      </c>
      <c r="BX159" t="s">
        <v>390</v>
      </c>
      <c r="BY159" t="str">
        <f t="shared" si="65"/>
        <v/>
      </c>
      <c r="BZ159" t="str">
        <f t="shared" si="66"/>
        <v>{BLACK}Powered by: {GOLD}Diesel {}{SILVER}The Class 20 (English Electric Type 1) is a diesel-electric locomotive designed for light freight duties. Due to its simple design it was more reliable than many contemporary locomotives, leading to a large number being built.</v>
      </c>
    </row>
    <row r="160" spans="1:78" x14ac:dyDescent="0.25">
      <c r="A160" t="s">
        <v>39</v>
      </c>
      <c r="B160" t="s">
        <v>190</v>
      </c>
      <c r="C160">
        <v>298</v>
      </c>
      <c r="D160" t="s">
        <v>295</v>
      </c>
      <c r="E160" t="s">
        <v>305</v>
      </c>
      <c r="F160" t="s">
        <v>307</v>
      </c>
      <c r="G160">
        <v>1958</v>
      </c>
      <c r="H160">
        <v>1961</v>
      </c>
      <c r="I160">
        <v>1966</v>
      </c>
      <c r="K160">
        <v>2750</v>
      </c>
      <c r="T160">
        <v>81</v>
      </c>
      <c r="U160" s="9">
        <v>45</v>
      </c>
      <c r="W160">
        <v>169</v>
      </c>
      <c r="X160" s="4">
        <f t="shared" si="62"/>
        <v>0.13412698412698412</v>
      </c>
      <c r="Y160">
        <v>90</v>
      </c>
      <c r="AA160">
        <v>20.74</v>
      </c>
      <c r="AB160">
        <v>14</v>
      </c>
      <c r="AE160" s="11">
        <v>0</v>
      </c>
      <c r="AF160" t="str">
        <f>CONCATENATE(VLOOKUP(AG160, 'Voxel Sizes'!$A$2:$B$18,2,FALSE),"x",INT(AC160*15), "x", INT(AD160*15))</f>
        <v>136x0x0</v>
      </c>
      <c r="AG160">
        <f t="shared" si="67"/>
        <v>8</v>
      </c>
      <c r="AH160" t="s">
        <v>674</v>
      </c>
      <c r="AI160" t="str">
        <f>CONCATENATE(VLOOKUP(AG160,Constants!$A$2:$C$16,IF(AH160&lt;&gt;"", 3, 2), FALSE),IF(AH160&lt;&gt;"",CONCATENATE(",",VLOOKUP(AH160,$B:$AI,34,FALSE)),""))</f>
        <v>2,4,2,2,1,2</v>
      </c>
      <c r="AQ160">
        <v>1</v>
      </c>
      <c r="AS160">
        <v>9</v>
      </c>
      <c r="AT160">
        <f t="shared" si="68"/>
        <v>8</v>
      </c>
      <c r="AW160">
        <f t="shared" si="69"/>
        <v>18</v>
      </c>
      <c r="AX160">
        <f t="shared" si="70"/>
        <v>13.75</v>
      </c>
      <c r="AY160">
        <f t="shared" si="71"/>
        <v>8.4499999999999993</v>
      </c>
      <c r="AZ160" s="4">
        <f t="shared" si="76"/>
        <v>0.92266666666666663</v>
      </c>
      <c r="BA160">
        <f t="shared" si="72"/>
        <v>0</v>
      </c>
      <c r="BB160">
        <f>VLOOKUP($E160,Constants!$I:$K, 2, FALSE)</f>
        <v>1</v>
      </c>
      <c r="BC160">
        <f>VLOOKUP($E160,Constants!$I:$K, 3, FALSE)*IF(AND(D160="multiple_unit",Y160&lt;110),0.75,1)</f>
        <v>2</v>
      </c>
      <c r="BD160">
        <f>INT(POWER(((Constants!$G$2+$AW160+$AX160+$AY160+$BA160)*$AZ160)*$BC160, 1.05))+$AV160</f>
        <v>104</v>
      </c>
      <c r="BE160">
        <f>INT(POWER((((Constants!$G$1+$AW160+$AX160+$AY160+$BA160)*($AZ160))*$BB160),IF($D160="wagon",1,1.2)))+$AU160</f>
        <v>111</v>
      </c>
      <c r="BF160" s="15">
        <f t="shared" si="73"/>
        <v>81250</v>
      </c>
      <c r="BG160" s="15">
        <f t="shared" si="74"/>
        <v>9018.75</v>
      </c>
      <c r="BN160">
        <v>5</v>
      </c>
      <c r="BR160" t="str">
        <f>VLOOKUP(G160,Eras!$A$2:$C$10, 2, TRUE)</f>
        <v>dsl</v>
      </c>
      <c r="BS160" t="s">
        <v>361</v>
      </c>
      <c r="BT160" t="str">
        <f t="shared" si="75"/>
        <v>dsl_Express</v>
      </c>
      <c r="BU160" t="str">
        <f t="shared" si="63"/>
        <v>diesel_RAIL</v>
      </c>
      <c r="BV160" t="str">
        <f>VLOOKUP($BU160, Constants!$M:$N, 2, FALSE)</f>
        <v>{BLACK}Powered by: {GOLD}Diesel</v>
      </c>
      <c r="BW160" t="str">
        <f t="shared" si="64"/>
        <v/>
      </c>
      <c r="BX160" t="s">
        <v>549</v>
      </c>
      <c r="BY160" t="str">
        <f t="shared" si="65"/>
        <v/>
      </c>
      <c r="BZ160" t="str">
        <f t="shared" si="66"/>
        <v>{BLACK}Powered by: {GOLD}Diesel {}{SILVER}The GT3 was part of a programme to test gas turbine locomotives. It used a conventional steam driving wheel arrangement to keep the design simple.</v>
      </c>
    </row>
    <row r="161" spans="1:78" x14ac:dyDescent="0.25">
      <c r="A161" t="s">
        <v>43</v>
      </c>
      <c r="B161" t="s">
        <v>191</v>
      </c>
      <c r="C161">
        <v>300</v>
      </c>
      <c r="D161" t="s">
        <v>295</v>
      </c>
      <c r="E161" t="s">
        <v>305</v>
      </c>
      <c r="F161" t="s">
        <v>307</v>
      </c>
      <c r="G161">
        <v>1958</v>
      </c>
      <c r="H161">
        <v>1961</v>
      </c>
      <c r="I161">
        <v>1972</v>
      </c>
      <c r="K161">
        <f>1035*2</f>
        <v>2070</v>
      </c>
      <c r="T161">
        <v>79.3</v>
      </c>
      <c r="W161">
        <v>214</v>
      </c>
      <c r="X161" s="4">
        <f t="shared" si="62"/>
        <v>0.26986128625472888</v>
      </c>
      <c r="Y161">
        <v>90</v>
      </c>
      <c r="AA161">
        <v>18.29</v>
      </c>
      <c r="AB161">
        <v>18.29</v>
      </c>
      <c r="AD161">
        <v>3.67</v>
      </c>
      <c r="AE161" s="11">
        <v>0</v>
      </c>
      <c r="AF161" t="str">
        <f>CONCATENATE(VLOOKUP(AG161, 'Voxel Sizes'!$A$2:$B$18,2,FALSE),"x",INT(AC161*15), "x", INT(AD161*15))</f>
        <v>186x0x55</v>
      </c>
      <c r="AG161">
        <f t="shared" si="67"/>
        <v>11</v>
      </c>
      <c r="AI161" t="str">
        <f>CONCATENATE(VLOOKUP(AG161,Constants!$A$2:$C$16,IF(AH161&lt;&gt;"", 3, 2), FALSE),IF(AH161&lt;&gt;"",CONCATENATE(",",VLOOKUP(AH161,$B:$AI,34,FALSE)),""))</f>
        <v>4,3,4</v>
      </c>
      <c r="AS161">
        <v>32</v>
      </c>
      <c r="AT161">
        <f t="shared" si="68"/>
        <v>10</v>
      </c>
      <c r="AW161">
        <f t="shared" si="69"/>
        <v>18</v>
      </c>
      <c r="AX161">
        <f t="shared" si="70"/>
        <v>10.35</v>
      </c>
      <c r="AY161">
        <f t="shared" si="71"/>
        <v>10.700000000000001</v>
      </c>
      <c r="AZ161" s="4">
        <f t="shared" si="76"/>
        <v>0.92266666666666663</v>
      </c>
      <c r="BA161">
        <f t="shared" si="72"/>
        <v>0</v>
      </c>
      <c r="BB161">
        <f>VLOOKUP($E161,Constants!$I:$K, 2, FALSE)</f>
        <v>1</v>
      </c>
      <c r="BC161">
        <f>VLOOKUP($E161,Constants!$I:$K, 3, FALSE)*IF(AND(D161="multiple_unit",Y161&lt;110),0.75,1)</f>
        <v>2</v>
      </c>
      <c r="BD161">
        <f>INT(POWER(((Constants!$G$2+$AW161+$AX161+$AY161+$BA161)*$AZ161)*$BC161, 1.05))+$AV161</f>
        <v>101</v>
      </c>
      <c r="BE161">
        <f>INT(POWER((((Constants!$G$1+$AW161+$AX161+$AY161+$BA161)*($AZ161))*$BB161),IF($D161="wagon",1,1.2)))+$AU161</f>
        <v>108</v>
      </c>
      <c r="BF161" s="15">
        <f t="shared" si="73"/>
        <v>78906.25</v>
      </c>
      <c r="BG161" s="15">
        <f t="shared" si="74"/>
        <v>8775</v>
      </c>
      <c r="BN161">
        <v>6</v>
      </c>
      <c r="BR161" t="str">
        <f>VLOOKUP(G161,Eras!$A$2:$C$10, 2, TRUE)</f>
        <v>dsl</v>
      </c>
      <c r="BS161" t="s">
        <v>410</v>
      </c>
      <c r="BT161" t="str">
        <f t="shared" si="75"/>
        <v>dsl_Passenger</v>
      </c>
      <c r="BU161" t="str">
        <f t="shared" si="63"/>
        <v>diesel_RAIL</v>
      </c>
      <c r="BV161" t="str">
        <f>VLOOKUP($BU161, Constants!$M:$N, 2, FALSE)</f>
        <v>{BLACK}Powered by: {GOLD}Diesel</v>
      </c>
      <c r="BW161" t="str">
        <f t="shared" si="64"/>
        <v/>
      </c>
      <c r="BX161" t="s">
        <v>552</v>
      </c>
      <c r="BY161" t="str">
        <f t="shared" si="65"/>
        <v/>
      </c>
      <c r="BZ161" t="str">
        <f t="shared" si="66"/>
        <v>{BLACK}Powered by: {GOLD}Diesel {}{SILVER}The Class 42 is based on the German V200 design, scaled down to fit the smaller British loading gauge and built under licence by British manufacturers.</v>
      </c>
    </row>
    <row r="162" spans="1:78" x14ac:dyDescent="0.25">
      <c r="A162" t="s">
        <v>48</v>
      </c>
      <c r="B162" t="s">
        <v>554</v>
      </c>
      <c r="C162">
        <v>302</v>
      </c>
      <c r="D162" t="s">
        <v>295</v>
      </c>
      <c r="E162" t="s">
        <v>305</v>
      </c>
      <c r="F162" t="s">
        <v>307</v>
      </c>
      <c r="G162">
        <v>1958</v>
      </c>
      <c r="H162">
        <v>1962</v>
      </c>
      <c r="I162">
        <v>1985</v>
      </c>
      <c r="K162">
        <v>2000</v>
      </c>
      <c r="T162">
        <v>135</v>
      </c>
      <c r="W162">
        <v>231</v>
      </c>
      <c r="X162" s="4">
        <f t="shared" si="62"/>
        <v>0.1711111111111111</v>
      </c>
      <c r="Y162">
        <v>90</v>
      </c>
      <c r="AA162">
        <v>21.18</v>
      </c>
      <c r="AB162">
        <v>21.18</v>
      </c>
      <c r="AD162">
        <v>3.91</v>
      </c>
      <c r="AE162" s="11">
        <v>0</v>
      </c>
      <c r="AF162" t="str">
        <f>CONCATENATE(VLOOKUP(AG162, 'Voxel Sizes'!$A$2:$B$18,2,FALSE),"x",INT(AC162*15), "x", INT(AD162*15))</f>
        <v>198x0x58</v>
      </c>
      <c r="AG162">
        <f t="shared" si="67"/>
        <v>12</v>
      </c>
      <c r="AI162" t="str">
        <f>CONCATENATE(VLOOKUP(AG162,Constants!$A$2:$C$16,IF(AH162&lt;&gt;"", 3, 2), FALSE),IF(AH162&lt;&gt;"",CONCATENATE(",",VLOOKUP(AH162,$B:$AI,34,FALSE)),""))</f>
        <v>4,4,4</v>
      </c>
      <c r="AS162">
        <v>29</v>
      </c>
      <c r="AT162">
        <f t="shared" si="68"/>
        <v>23</v>
      </c>
      <c r="AW162">
        <f t="shared" si="69"/>
        <v>18</v>
      </c>
      <c r="AX162">
        <f t="shared" si="70"/>
        <v>10</v>
      </c>
      <c r="AY162">
        <f t="shared" si="71"/>
        <v>11.55</v>
      </c>
      <c r="AZ162" s="4">
        <f t="shared" si="76"/>
        <v>0.92266666666666663</v>
      </c>
      <c r="BA162">
        <f t="shared" si="72"/>
        <v>0</v>
      </c>
      <c r="BB162">
        <f>VLOOKUP($E162,Constants!$I:$K, 2, FALSE)</f>
        <v>1</v>
      </c>
      <c r="BC162">
        <f>VLOOKUP($E162,Constants!$I:$K, 3, FALSE)*IF(AND(D162="multiple_unit",Y162&lt;110),0.75,1)</f>
        <v>2</v>
      </c>
      <c r="BD162">
        <f>INT(POWER(((Constants!$G$2+$AW162+$AX162+$AY162+$BA162)*$AZ162)*$BC162, 1.05))+$AV162</f>
        <v>102</v>
      </c>
      <c r="BE162">
        <f>INT(POWER((((Constants!$G$1+$AW162+$AX162+$AY162+$BA162)*($AZ162))*$BB162),IF($D162="wagon",1,1.2)))+$AU162</f>
        <v>110</v>
      </c>
      <c r="BF162" s="15">
        <f t="shared" si="73"/>
        <v>79687.5</v>
      </c>
      <c r="BG162" s="15">
        <f t="shared" si="74"/>
        <v>8937.5</v>
      </c>
      <c r="BN162">
        <v>7</v>
      </c>
      <c r="BR162" t="str">
        <f>VLOOKUP(G162,Eras!$A$2:$C$10, 2, TRUE)</f>
        <v>dsl</v>
      </c>
      <c r="BS162" t="s">
        <v>361</v>
      </c>
      <c r="BT162" t="str">
        <f t="shared" si="75"/>
        <v>dsl_Express</v>
      </c>
      <c r="BU162" t="str">
        <f t="shared" si="63"/>
        <v>diesel_RAIL</v>
      </c>
      <c r="BV162" t="str">
        <f>VLOOKUP($BU162, Constants!$M:$N, 2, FALSE)</f>
        <v>{BLACK}Powered by: {GOLD}Diesel</v>
      </c>
      <c r="BW162" t="str">
        <f t="shared" si="64"/>
        <v/>
      </c>
      <c r="BX162" t="s">
        <v>553</v>
      </c>
      <c r="BY162" t="str">
        <f t="shared" ref="BY162:BY184" si="79">IF(BQ162="BRAKE","{YELLOW}Speed bonus for slow wagons{}",IF(BO162&gt;190,CONCATENATE("{YELLOW}",INT((BO162-185)/1.85),"% Bonus for long distance travel{}"),IF(AND(BO162&lt;180,BO162&lt;&gt;0),CONCATENATE("{YELLOW}",INT((185-BO162)/1.85),"% Penalty for long distance travel{}"),"")))</f>
        <v/>
      </c>
      <c r="BZ162" t="str">
        <f t="shared" si="66"/>
        <v>{BLACK}Powered by: {GOLD}Diesel {}{SILVER}Initially unwanted due to the small improvement in performance over the Class 7 Britannia, the Class 40 (English Electric Type 4) found its home on the West Coast Main Line.</v>
      </c>
    </row>
    <row r="163" spans="1:78" x14ac:dyDescent="0.25">
      <c r="A163" t="s">
        <v>49</v>
      </c>
      <c r="B163" t="s">
        <v>331</v>
      </c>
      <c r="C163">
        <v>304</v>
      </c>
      <c r="D163" t="s">
        <v>295</v>
      </c>
      <c r="E163" t="s">
        <v>305</v>
      </c>
      <c r="F163" t="s">
        <v>307</v>
      </c>
      <c r="G163">
        <v>1958</v>
      </c>
      <c r="H163">
        <v>1959</v>
      </c>
      <c r="I163">
        <v>1968</v>
      </c>
      <c r="K163">
        <v>1200</v>
      </c>
      <c r="T163">
        <v>98.6</v>
      </c>
      <c r="W163">
        <v>222</v>
      </c>
      <c r="X163" s="4">
        <f t="shared" si="62"/>
        <v>0.22515212981744423</v>
      </c>
      <c r="Y163">
        <v>75</v>
      </c>
      <c r="AA163">
        <v>17.260000000000002</v>
      </c>
      <c r="AB163">
        <v>17.260000000000002</v>
      </c>
      <c r="AD163">
        <v>3.7</v>
      </c>
      <c r="AE163" s="11">
        <v>0</v>
      </c>
      <c r="AF163" t="str">
        <f>CONCATENATE(VLOOKUP(AG163, 'Voxel Sizes'!$A$2:$B$18,2,FALSE),"x",INT(AC163*15), "x", INT(AD163*15))</f>
        <v>164x0x55</v>
      </c>
      <c r="AG163">
        <f t="shared" si="67"/>
        <v>10</v>
      </c>
      <c r="AI163" t="str">
        <f>CONCATENATE(VLOOKUP(AG163,Constants!$A$2:$C$16,IF(AH163&lt;&gt;"", 3, 2), FALSE),IF(AH163&lt;&gt;"",CONCATENATE(",",VLOOKUP(AH163,$B:$AI,34,FALSE)),""))</f>
        <v>4,2,4</v>
      </c>
      <c r="AS163">
        <v>21</v>
      </c>
      <c r="AT163">
        <f t="shared" si="68"/>
        <v>8</v>
      </c>
      <c r="AW163">
        <f t="shared" si="69"/>
        <v>15</v>
      </c>
      <c r="AX163">
        <f t="shared" si="70"/>
        <v>6</v>
      </c>
      <c r="AY163">
        <f t="shared" si="71"/>
        <v>11.100000000000001</v>
      </c>
      <c r="AZ163" s="4">
        <f t="shared" si="76"/>
        <v>0.92266666666666663</v>
      </c>
      <c r="BA163">
        <f t="shared" si="72"/>
        <v>0</v>
      </c>
      <c r="BB163">
        <f>VLOOKUP($E163,Constants!$I:$K, 2, FALSE)</f>
        <v>1</v>
      </c>
      <c r="BC163">
        <f>VLOOKUP($E163,Constants!$I:$K, 3, FALSE)*IF(AND(D163="multiple_unit",Y163&lt;110),0.75,1)</f>
        <v>2</v>
      </c>
      <c r="BD163">
        <f>INT(POWER(((Constants!$G$2+$AW163+$AX163+$AY163+$BA163)*$AZ163)*$BC163, 1.05))+$AV163</f>
        <v>84</v>
      </c>
      <c r="BE163">
        <f>INT(POWER((((Constants!$G$1+$AW163+$AX163+$AY163+$BA163)*($AZ163))*$BB163),IF($D163="wagon",1,1.2)))+$AU163</f>
        <v>92</v>
      </c>
      <c r="BF163" s="15">
        <f t="shared" si="73"/>
        <v>65625</v>
      </c>
      <c r="BG163" s="15">
        <f t="shared" si="74"/>
        <v>7475</v>
      </c>
      <c r="BN163">
        <v>8</v>
      </c>
      <c r="BR163" t="str">
        <f>VLOOKUP(G163,Eras!$A$2:$C$10, 2, TRUE)</f>
        <v>dsl</v>
      </c>
      <c r="BS163" t="s">
        <v>360</v>
      </c>
      <c r="BT163" t="str">
        <f t="shared" si="75"/>
        <v>dsl_Mixed Traffic</v>
      </c>
      <c r="BU163" t="str">
        <f t="shared" si="63"/>
        <v>diesel_RAIL</v>
      </c>
      <c r="BV163" t="str">
        <f>VLOOKUP($BU163, Constants!$M:$N, 2, FALSE)</f>
        <v>{BLACK}Powered by: {GOLD}Diesel</v>
      </c>
      <c r="BW163" t="str">
        <f t="shared" si="64"/>
        <v/>
      </c>
      <c r="BX163" t="s">
        <v>391</v>
      </c>
      <c r="BY163" t="str">
        <f t="shared" si="79"/>
        <v/>
      </c>
      <c r="BZ163" t="str">
        <f t="shared" si="66"/>
        <v>{BLACK}Powered by: {GOLD}Diesel {}{SILVER}The Class 28 features some unusual design elements, with a two-stroke diesel engine and a "Co-Bo" layout with five axles: three at the front and two at the rear. It was sadly unreliable in use, with engine problems and a tendency for the cab windows to fall out.</v>
      </c>
    </row>
    <row r="164" spans="1:78" x14ac:dyDescent="0.25">
      <c r="A164" t="s">
        <v>71</v>
      </c>
      <c r="B164" t="s">
        <v>246</v>
      </c>
      <c r="C164">
        <v>306</v>
      </c>
      <c r="D164" t="s">
        <v>295</v>
      </c>
      <c r="E164" t="s">
        <v>329</v>
      </c>
      <c r="F164" t="s">
        <v>336</v>
      </c>
      <c r="G164">
        <v>1958</v>
      </c>
      <c r="H164">
        <v>1960</v>
      </c>
      <c r="I164">
        <v>1977</v>
      </c>
      <c r="K164">
        <v>2300</v>
      </c>
      <c r="T164">
        <v>78.239999999999995</v>
      </c>
      <c r="W164">
        <v>195</v>
      </c>
      <c r="X164" s="4">
        <f t="shared" si="62"/>
        <v>0.24923312883435583</v>
      </c>
      <c r="Y164">
        <v>90</v>
      </c>
      <c r="AA164">
        <v>16.36</v>
      </c>
      <c r="AB164">
        <v>16.36</v>
      </c>
      <c r="AE164" s="11">
        <v>0</v>
      </c>
      <c r="AF164" t="str">
        <f>CONCATENATE(VLOOKUP(AG164, 'Voxel Sizes'!$A$2:$B$18,2,FALSE),"x",INT(AC164*15), "x", INT(AD164*15))</f>
        <v>164x0x0</v>
      </c>
      <c r="AG164">
        <f t="shared" si="67"/>
        <v>10</v>
      </c>
      <c r="AI164" t="str">
        <f>CONCATENATE(VLOOKUP(AG164,Constants!$A$2:$C$16,IF(AH164&lt;&gt;"", 3, 2), FALSE),IF(AH164&lt;&gt;"",CONCATENATE(",",VLOOKUP(AH164,$B:$AI,34,FALSE)),""))</f>
        <v>4,2,4</v>
      </c>
      <c r="AS164">
        <v>32</v>
      </c>
      <c r="AT164">
        <f t="shared" si="68"/>
        <v>15</v>
      </c>
      <c r="AW164">
        <f t="shared" si="69"/>
        <v>18</v>
      </c>
      <c r="AX164">
        <f t="shared" si="70"/>
        <v>11.5</v>
      </c>
      <c r="AY164">
        <f t="shared" si="71"/>
        <v>9.75</v>
      </c>
      <c r="AZ164" s="4">
        <f t="shared" si="76"/>
        <v>0.92266666666666663</v>
      </c>
      <c r="BA164">
        <f t="shared" si="72"/>
        <v>0</v>
      </c>
      <c r="BB164">
        <f>VLOOKUP($E164,Constants!$I:$K, 2, FALSE)</f>
        <v>0.85</v>
      </c>
      <c r="BC164">
        <f>VLOOKUP($E164,Constants!$I:$K, 3, FALSE)*IF(AND(D164="multiple_unit",Y164&lt;110),0.75,1)</f>
        <v>2.2999999999999998</v>
      </c>
      <c r="BD164">
        <f>INT(POWER(((Constants!$G$2+$AW164+$AX164+$AY164+$BA164)*$AZ164)*$BC164, 1.05))+$AV164</f>
        <v>117</v>
      </c>
      <c r="BE164">
        <f>INT(POWER((((Constants!$G$1+$AW164+$AX164+$AY164+$BA164)*($AZ164))*$BB164),IF($D164="wagon",1,1.2)))+$AU164</f>
        <v>90</v>
      </c>
      <c r="BF164" s="15">
        <f t="shared" si="73"/>
        <v>91406.25</v>
      </c>
      <c r="BG164" s="15">
        <f t="shared" si="74"/>
        <v>7312.5</v>
      </c>
      <c r="BN164">
        <v>9</v>
      </c>
      <c r="BR164" t="str">
        <f>VLOOKUP(G164,Eras!$A$2:$C$10, 2, TRUE)</f>
        <v>dsl</v>
      </c>
      <c r="BS164" t="s">
        <v>370</v>
      </c>
      <c r="BT164" t="str">
        <f t="shared" si="75"/>
        <v>dsl_MT (Electric)</v>
      </c>
      <c r="BU164" t="str">
        <f t="shared" si="63"/>
        <v>electric_THIRD_RAIL</v>
      </c>
      <c r="BV164" t="str">
        <f>VLOOKUP($BU164, Constants!$M:$N, 2, FALSE)</f>
        <v>{BLACK}Powered by: {GOLD}750V DC</v>
      </c>
      <c r="BW164" t="str">
        <f t="shared" si="64"/>
        <v/>
      </c>
      <c r="BX164" t="s">
        <v>392</v>
      </c>
      <c r="BY164" t="str">
        <f t="shared" si="79"/>
        <v/>
      </c>
      <c r="BZ164" t="str">
        <f t="shared" si="66"/>
        <v>{BLACK}Powered by: {GOLD}750V DC {}{SILVER}The Class 71 is a mixed-traffic electric locomotive designed to work on the third rail system. It offered a lot of power for a small locomotive, but being confined to third rail power with no auxiliary option limited its usefulness.</v>
      </c>
    </row>
    <row r="165" spans="1:78" x14ac:dyDescent="0.25">
      <c r="A165" t="s">
        <v>570</v>
      </c>
      <c r="B165" t="s">
        <v>572</v>
      </c>
      <c r="C165">
        <v>308</v>
      </c>
      <c r="D165" t="s">
        <v>295</v>
      </c>
      <c r="E165" t="s">
        <v>305</v>
      </c>
      <c r="F165" t="s">
        <v>307</v>
      </c>
      <c r="G165">
        <v>1958</v>
      </c>
      <c r="H165">
        <v>1959</v>
      </c>
      <c r="I165">
        <v>1994</v>
      </c>
      <c r="K165">
        <v>1160</v>
      </c>
      <c r="T165">
        <v>78.7</v>
      </c>
      <c r="W165">
        <v>187</v>
      </c>
      <c r="X165" s="4">
        <f t="shared" si="62"/>
        <v>0.23761118170266837</v>
      </c>
      <c r="Y165">
        <v>80</v>
      </c>
      <c r="AA165">
        <v>15.47</v>
      </c>
      <c r="AB165">
        <v>15.47</v>
      </c>
      <c r="AD165">
        <v>3.86</v>
      </c>
      <c r="AE165" s="11">
        <v>0</v>
      </c>
      <c r="AF165" t="str">
        <f>CONCATENATE(VLOOKUP(AG165, 'Voxel Sizes'!$A$2:$B$18,2,FALSE),"x",INT(AC165*15), "x", INT(AD165*15))</f>
        <v>152x0x57</v>
      </c>
      <c r="AG165">
        <f t="shared" si="67"/>
        <v>9</v>
      </c>
      <c r="AI165" t="str">
        <f>CONCATENATE(VLOOKUP(AG165,Constants!$A$2:$C$16,IF(AH165&lt;&gt;"", 3, 2), FALSE),IF(AH165&lt;&gt;"",CONCATENATE(",",VLOOKUP(AH165,$B:$AI,34,FALSE)),""))</f>
        <v>2,5,2</v>
      </c>
      <c r="AS165">
        <v>30</v>
      </c>
      <c r="AT165">
        <f t="shared" si="68"/>
        <v>32</v>
      </c>
      <c r="AW165">
        <f t="shared" si="69"/>
        <v>16</v>
      </c>
      <c r="AX165">
        <f t="shared" si="70"/>
        <v>5.8</v>
      </c>
      <c r="AY165">
        <f t="shared" si="71"/>
        <v>9.3500000000000014</v>
      </c>
      <c r="AZ165" s="4">
        <f t="shared" si="76"/>
        <v>0.92266666666666663</v>
      </c>
      <c r="BA165">
        <f t="shared" si="72"/>
        <v>0</v>
      </c>
      <c r="BB165">
        <f>VLOOKUP($E165,Constants!$I:$K, 2, FALSE)</f>
        <v>1</v>
      </c>
      <c r="BC165">
        <f>VLOOKUP($E165,Constants!$I:$K, 3, FALSE)*IF(AND(D165="multiple_unit",Y165&lt;110),0.75,1)</f>
        <v>2</v>
      </c>
      <c r="BD165">
        <f>INT(POWER(((Constants!$G$2+$AW165+$AX165+$AY165+$BA165)*$AZ165)*$BC165, 1.05))+$AV165</f>
        <v>82</v>
      </c>
      <c r="BE165">
        <f>INT(POWER((((Constants!$G$1+$AW165+$AX165+$AY165+$BA165)*($AZ165))*$BB165),IF($D165="wagon",1,1.2)))+$AU165</f>
        <v>90</v>
      </c>
      <c r="BF165" s="15">
        <f t="shared" si="73"/>
        <v>64062.5</v>
      </c>
      <c r="BG165" s="15">
        <f t="shared" si="74"/>
        <v>7312.5</v>
      </c>
      <c r="BN165">
        <v>10</v>
      </c>
      <c r="BR165" t="str">
        <f>VLOOKUP(G165,Eras!$A$2:$C$10, 2, TRUE)</f>
        <v>dsl</v>
      </c>
      <c r="BS165" t="s">
        <v>360</v>
      </c>
      <c r="BT165" t="str">
        <f t="shared" si="75"/>
        <v>dsl_Mixed Traffic</v>
      </c>
      <c r="BU165" t="str">
        <f t="shared" si="63"/>
        <v>diesel_RAIL</v>
      </c>
      <c r="BV165" t="str">
        <f>VLOOKUP($BU165, Constants!$M:$N, 2, FALSE)</f>
        <v>{BLACK}Powered by: {GOLD}Diesel</v>
      </c>
      <c r="BW165" t="str">
        <f t="shared" si="64"/>
        <v/>
      </c>
      <c r="BX165" t="s">
        <v>571</v>
      </c>
      <c r="BY165" t="str">
        <f t="shared" si="79"/>
        <v/>
      </c>
      <c r="BZ165" t="str">
        <f t="shared" si="66"/>
        <v>{BLACK}Powered by: {GOLD}Diesel {}{SILVER}The Class 26 "Teacup" (so named for its idling sound) was an early Type 2 locomotive, small diesels with engine output between 800 and 1,250 hp.</v>
      </c>
    </row>
    <row r="166" spans="1:78" x14ac:dyDescent="0.25">
      <c r="A166" t="s">
        <v>46</v>
      </c>
      <c r="B166" t="s">
        <v>299</v>
      </c>
      <c r="C166">
        <v>310</v>
      </c>
      <c r="D166" t="s">
        <v>295</v>
      </c>
      <c r="E166" t="s">
        <v>305</v>
      </c>
      <c r="F166" t="s">
        <v>307</v>
      </c>
      <c r="G166">
        <v>1959</v>
      </c>
      <c r="H166">
        <v>1959</v>
      </c>
      <c r="I166">
        <v>1971</v>
      </c>
      <c r="K166">
        <v>1100</v>
      </c>
      <c r="T166">
        <v>75.2</v>
      </c>
      <c r="W166">
        <v>209</v>
      </c>
      <c r="X166" s="4">
        <f t="shared" si="62"/>
        <v>0.27792553191489361</v>
      </c>
      <c r="Y166">
        <v>75</v>
      </c>
      <c r="AA166">
        <v>16</v>
      </c>
      <c r="AB166">
        <v>16</v>
      </c>
      <c r="AD166">
        <v>3.86</v>
      </c>
      <c r="AE166" s="11">
        <v>0</v>
      </c>
      <c r="AF166" t="str">
        <f>CONCATENATE(VLOOKUP(AG166, 'Voxel Sizes'!$A$2:$B$18,2,FALSE),"x",INT(AC166*15), "x", INT(AD166*15))</f>
        <v>152x0x57</v>
      </c>
      <c r="AG166">
        <f t="shared" si="67"/>
        <v>9</v>
      </c>
      <c r="AI166" t="str">
        <f>CONCATENATE(VLOOKUP(AG166,Constants!$A$2:$C$16,IF(AH166&lt;&gt;"", 3, 2), FALSE),IF(AH166&lt;&gt;"",CONCATENATE(",",VLOOKUP(AH166,$B:$AI,34,FALSE)),""))</f>
        <v>2,5,2</v>
      </c>
      <c r="AS166">
        <v>26</v>
      </c>
      <c r="AT166">
        <f t="shared" si="68"/>
        <v>8</v>
      </c>
      <c r="AW166">
        <f t="shared" si="69"/>
        <v>15</v>
      </c>
      <c r="AX166">
        <f t="shared" si="70"/>
        <v>5.5</v>
      </c>
      <c r="AY166">
        <f t="shared" si="71"/>
        <v>10.45</v>
      </c>
      <c r="AZ166" s="4">
        <f t="shared" si="76"/>
        <v>0.92133333333333334</v>
      </c>
      <c r="BA166">
        <f t="shared" si="72"/>
        <v>0</v>
      </c>
      <c r="BB166">
        <f>VLOOKUP($E166,Constants!$I:$K, 2, FALSE)</f>
        <v>1</v>
      </c>
      <c r="BC166">
        <f>VLOOKUP($E166,Constants!$I:$K, 3, FALSE)*IF(AND(D166="multiple_unit",Y166&lt;110),0.75,1)</f>
        <v>2</v>
      </c>
      <c r="BD166">
        <f>INT(POWER(((Constants!$G$2+$AW166+$AX166+$AY166+$BA166)*$AZ166)*$BC166, 1.05))+$AV166</f>
        <v>81</v>
      </c>
      <c r="BE166">
        <f>INT(POWER((((Constants!$G$1+$AW166+$AX166+$AY166+$BA166)*($AZ166))*$BB166),IF($D166="wagon",1,1.2)))+$AU166</f>
        <v>89</v>
      </c>
      <c r="BF166" s="15">
        <f t="shared" si="73"/>
        <v>63281.25</v>
      </c>
      <c r="BG166" s="15">
        <f t="shared" si="74"/>
        <v>7231.25</v>
      </c>
      <c r="BN166">
        <v>11</v>
      </c>
      <c r="BR166" t="str">
        <f>VLOOKUP(G166,Eras!$A$2:$C$10, 2, TRUE)</f>
        <v>dsl</v>
      </c>
      <c r="BS166" t="s">
        <v>360</v>
      </c>
      <c r="BT166" t="str">
        <f t="shared" si="75"/>
        <v>dsl_Mixed Traffic</v>
      </c>
      <c r="BU166" t="str">
        <f t="shared" si="63"/>
        <v>diesel_RAIL</v>
      </c>
      <c r="BV166" t="str">
        <f>VLOOKUP($BU166, Constants!$M:$N, 2, FALSE)</f>
        <v>{BLACK}Powered by: {GOLD}Diesel</v>
      </c>
      <c r="BW166" t="str">
        <f t="shared" si="64"/>
        <v/>
      </c>
      <c r="BX166" t="s">
        <v>400</v>
      </c>
      <c r="BY166" t="str">
        <f t="shared" si="79"/>
        <v/>
      </c>
      <c r="BZ166" t="str">
        <f t="shared" si="66"/>
        <v>{BLACK}Powered by: {GOLD}Diesel {}{SILVER}The Class 23 uses a smaller version of the Napier Deltic engine fitted to the Class 55, leading to its nickname of "Baby Deltic".</v>
      </c>
    </row>
    <row r="167" spans="1:78" x14ac:dyDescent="0.25">
      <c r="A167" t="s">
        <v>66</v>
      </c>
      <c r="B167" t="s">
        <v>247</v>
      </c>
      <c r="C167">
        <v>312</v>
      </c>
      <c r="D167" t="s">
        <v>295</v>
      </c>
      <c r="E167" t="s">
        <v>329</v>
      </c>
      <c r="F167" t="s">
        <v>330</v>
      </c>
      <c r="G167">
        <v>1959</v>
      </c>
      <c r="H167">
        <v>1964</v>
      </c>
      <c r="I167">
        <v>1991</v>
      </c>
      <c r="K167">
        <f>4*847</f>
        <v>3388</v>
      </c>
      <c r="T167">
        <v>80.900000000000006</v>
      </c>
      <c r="W167">
        <v>222</v>
      </c>
      <c r="X167" s="4">
        <f t="shared" si="62"/>
        <v>0.27441285537700866</v>
      </c>
      <c r="Y167">
        <v>100</v>
      </c>
      <c r="AA167">
        <v>17.22</v>
      </c>
      <c r="AB167">
        <v>17.22</v>
      </c>
      <c r="AD167">
        <v>3.77</v>
      </c>
      <c r="AE167" s="11">
        <v>0</v>
      </c>
      <c r="AF167" t="str">
        <f>CONCATENATE(VLOOKUP(AG167, 'Voxel Sizes'!$A$2:$B$18,2,FALSE),"x",INT(AC167*15), "x", INT(AD167*15))</f>
        <v>164x0x56</v>
      </c>
      <c r="AG167">
        <f t="shared" si="67"/>
        <v>10</v>
      </c>
      <c r="AI167" t="str">
        <f>CONCATENATE(VLOOKUP(AG167,Constants!$A$2:$C$16,IF(AH167&lt;&gt;"", 3, 2), FALSE),IF(AH167&lt;&gt;"",CONCATENATE(",",VLOOKUP(AH167,$B:$AI,34,FALSE)),""))</f>
        <v>4,2,4</v>
      </c>
      <c r="AS167">
        <v>27</v>
      </c>
      <c r="AT167">
        <f t="shared" si="68"/>
        <v>28</v>
      </c>
      <c r="AW167">
        <f t="shared" si="69"/>
        <v>20</v>
      </c>
      <c r="AX167">
        <f t="shared" si="70"/>
        <v>16.939999999999998</v>
      </c>
      <c r="AY167">
        <f t="shared" si="71"/>
        <v>11.100000000000001</v>
      </c>
      <c r="AZ167" s="4">
        <f t="shared" si="76"/>
        <v>0.92133333333333334</v>
      </c>
      <c r="BA167">
        <f t="shared" si="72"/>
        <v>0</v>
      </c>
      <c r="BB167">
        <f>VLOOKUP($E167,Constants!$I:$K, 2, FALSE)</f>
        <v>0.85</v>
      </c>
      <c r="BC167">
        <f>VLOOKUP($E167,Constants!$I:$K, 3, FALSE)*IF(AND(D167="multiple_unit",Y167&lt;110),0.75,1)</f>
        <v>2.2999999999999998</v>
      </c>
      <c r="BD167">
        <f>INT(POWER(((Constants!$G$2+$AW167+$AX167+$AY167+$BA167)*$AZ167)*$BC167, 1.05))+$AV167</f>
        <v>142</v>
      </c>
      <c r="BE167">
        <f>INT(POWER((((Constants!$G$1+$AW167+$AX167+$AY167+$BA167)*($AZ167))*$BB167),IF($D167="wagon",1,1.2)))+$AU167</f>
        <v>107</v>
      </c>
      <c r="BF167" s="15">
        <f t="shared" si="73"/>
        <v>110937.5</v>
      </c>
      <c r="BG167" s="15">
        <f t="shared" si="74"/>
        <v>8693.75</v>
      </c>
      <c r="BN167">
        <v>12</v>
      </c>
      <c r="BR167" t="str">
        <f>VLOOKUP(G167,Eras!$A$2:$C$10, 2, TRUE)</f>
        <v>dsl</v>
      </c>
      <c r="BS167" t="s">
        <v>371</v>
      </c>
      <c r="BT167" t="str">
        <f t="shared" si="75"/>
        <v>dsl_Express (Electric)</v>
      </c>
      <c r="BU167" t="str">
        <f t="shared" si="63"/>
        <v>electric_ELRL</v>
      </c>
      <c r="BV167" t="str">
        <f>VLOOKUP($BU167, Constants!$M:$N, 2, FALSE)</f>
        <v>{BLACK}Powered by: {GOLD}25kV AC</v>
      </c>
      <c r="BW167" t="str">
        <f t="shared" si="64"/>
        <v/>
      </c>
      <c r="BX167" t="s">
        <v>555</v>
      </c>
      <c r="BY167" t="str">
        <f t="shared" si="79"/>
        <v/>
      </c>
      <c r="BZ167" t="str">
        <f t="shared" si="66"/>
        <v>{BLACK}Powered by: {GOLD}25kV AC {}{SILVER}Built by Associated Electrical Industries, the Class 81 was British Railways' first AC electric locomotive. Two types were envisioned, but all delivered were geared for 100mph passenger and express freight usage.</v>
      </c>
    </row>
    <row r="168" spans="1:78" x14ac:dyDescent="0.25">
      <c r="A168" t="s">
        <v>47</v>
      </c>
      <c r="B168" t="s">
        <v>294</v>
      </c>
      <c r="C168">
        <v>314</v>
      </c>
      <c r="D168" t="s">
        <v>295</v>
      </c>
      <c r="E168" t="s">
        <v>305</v>
      </c>
      <c r="F168" t="s">
        <v>307</v>
      </c>
      <c r="G168">
        <v>1960</v>
      </c>
      <c r="H168">
        <v>1965</v>
      </c>
      <c r="K168">
        <v>1750</v>
      </c>
      <c r="T168">
        <v>102</v>
      </c>
      <c r="W168">
        <v>247</v>
      </c>
      <c r="X168" s="4">
        <f t="shared" si="62"/>
        <v>0.24215686274509804</v>
      </c>
      <c r="Y168">
        <v>90</v>
      </c>
      <c r="AA168">
        <v>18.75</v>
      </c>
      <c r="AB168">
        <v>18.75</v>
      </c>
      <c r="AC168">
        <v>2.71</v>
      </c>
      <c r="AD168">
        <v>3.89</v>
      </c>
      <c r="AE168" s="11">
        <v>0</v>
      </c>
      <c r="AF168" t="str">
        <f>CONCATENATE(VLOOKUP(AG168, 'Voxel Sizes'!$A$2:$B$18,2,FALSE),"x",INT(AC168*15), "x", INT(AD168*15))</f>
        <v>186x40x58</v>
      </c>
      <c r="AG168">
        <f t="shared" si="67"/>
        <v>11</v>
      </c>
      <c r="AI168" t="str">
        <f>CONCATENATE(VLOOKUP(AG168,Constants!$A$2:$C$16,IF(AH168&lt;&gt;"", 3, 2), FALSE),IF(AH168&lt;&gt;"",CONCATENATE(",",VLOOKUP(AH168,$B:$AI,34,FALSE)),""))</f>
        <v>4,3,4</v>
      </c>
      <c r="AS168">
        <v>42</v>
      </c>
      <c r="AT168" t="str">
        <f t="shared" si="68"/>
        <v/>
      </c>
      <c r="AW168">
        <f t="shared" si="69"/>
        <v>18</v>
      </c>
      <c r="AX168">
        <f t="shared" si="70"/>
        <v>8.75</v>
      </c>
      <c r="AY168">
        <f t="shared" si="71"/>
        <v>12.350000000000001</v>
      </c>
      <c r="AZ168" s="4">
        <f t="shared" si="76"/>
        <v>0.92</v>
      </c>
      <c r="BA168">
        <f t="shared" si="72"/>
        <v>0</v>
      </c>
      <c r="BB168">
        <f>VLOOKUP($E168,Constants!$I:$K, 2, FALSE)</f>
        <v>1</v>
      </c>
      <c r="BC168">
        <f>VLOOKUP($E168,Constants!$I:$K, 3, FALSE)*IF(AND(D168="multiple_unit",Y168&lt;110),0.75,1)</f>
        <v>2</v>
      </c>
      <c r="BD168">
        <f>INT(POWER(((Constants!$G$2+$AW168+$AX168+$AY168+$BA168)*$AZ168)*$BC168, 1.05))+$AV168</f>
        <v>101</v>
      </c>
      <c r="BE168">
        <f>INT(POWER((((Constants!$G$1+$AW168+$AX168+$AY168+$BA168)*($AZ168))*$BB168),IF($D168="wagon",1,1.2)))+$AU168</f>
        <v>108</v>
      </c>
      <c r="BF168" s="15">
        <f t="shared" si="73"/>
        <v>78906.25</v>
      </c>
      <c r="BG168" s="15">
        <f t="shared" si="74"/>
        <v>8775</v>
      </c>
      <c r="BN168">
        <v>1</v>
      </c>
      <c r="BR168" t="str">
        <f>VLOOKUP(G168,Eras!$A$2:$C$10, 2, TRUE)</f>
        <v>dsl</v>
      </c>
      <c r="BS168" t="s">
        <v>362</v>
      </c>
      <c r="BT168" t="str">
        <f t="shared" si="75"/>
        <v>dsl_Freight</v>
      </c>
      <c r="BU168" t="str">
        <f t="shared" si="63"/>
        <v>diesel_RAIL</v>
      </c>
      <c r="BV168" t="str">
        <f>VLOOKUP($BU168, Constants!$M:$N, 2, FALSE)</f>
        <v>{BLACK}Powered by: {GOLD}Diesel</v>
      </c>
      <c r="BW168" t="str">
        <f t="shared" si="64"/>
        <v/>
      </c>
      <c r="BX168" t="s">
        <v>393</v>
      </c>
      <c r="BY168" t="str">
        <f t="shared" si="79"/>
        <v/>
      </c>
      <c r="BZ168" t="str">
        <f t="shared" si="66"/>
        <v>{BLACK}Powered by: {GOLD}Diesel {}{SILVER}The Class 37 (English Electric Type 3) is widely used, especially in Scotland where the high power, low axle load and lack of need for electrification make it ideal for hauling long trains in the Highlands.</v>
      </c>
    </row>
    <row r="169" spans="1:78" x14ac:dyDescent="0.25">
      <c r="A169" t="s">
        <v>55</v>
      </c>
      <c r="B169" t="s">
        <v>560</v>
      </c>
      <c r="C169">
        <v>316</v>
      </c>
      <c r="D169" t="s">
        <v>295</v>
      </c>
      <c r="E169" t="s">
        <v>305</v>
      </c>
      <c r="F169" t="s">
        <v>307</v>
      </c>
      <c r="G169">
        <v>1960</v>
      </c>
      <c r="H169">
        <v>1962</v>
      </c>
      <c r="I169">
        <v>1989</v>
      </c>
      <c r="K169">
        <v>2500</v>
      </c>
      <c r="T169">
        <v>135</v>
      </c>
      <c r="W169">
        <v>245</v>
      </c>
      <c r="X169" s="4">
        <f t="shared" si="62"/>
        <v>0.18148148148148149</v>
      </c>
      <c r="Y169">
        <v>90</v>
      </c>
      <c r="AA169">
        <v>20.7</v>
      </c>
      <c r="AB169">
        <v>20.7</v>
      </c>
      <c r="AD169">
        <v>3.91</v>
      </c>
      <c r="AE169" s="11">
        <v>0</v>
      </c>
      <c r="AF169" t="str">
        <f>CONCATENATE(VLOOKUP(AG169, 'Voxel Sizes'!$A$2:$B$18,2,FALSE),"x",INT(AC169*15), "x", INT(AD169*15))</f>
        <v>198x0x58</v>
      </c>
      <c r="AG169">
        <f t="shared" si="67"/>
        <v>12</v>
      </c>
      <c r="AI169" t="str">
        <f>CONCATENATE(VLOOKUP(AG169,Constants!$A$2:$C$16,IF(AH169&lt;&gt;"", 3, 2), FALSE),IF(AH169&lt;&gt;"",CONCATENATE(",",VLOOKUP(AH169,$B:$AI,34,FALSE)),""))</f>
        <v>4,4,4</v>
      </c>
      <c r="AS169">
        <v>30</v>
      </c>
      <c r="AT169">
        <f t="shared" si="68"/>
        <v>25</v>
      </c>
      <c r="AW169">
        <f t="shared" si="69"/>
        <v>18</v>
      </c>
      <c r="AX169">
        <f t="shared" si="70"/>
        <v>12.5</v>
      </c>
      <c r="AY169">
        <f t="shared" si="71"/>
        <v>12.25</v>
      </c>
      <c r="AZ169" s="4">
        <f t="shared" si="76"/>
        <v>0.92</v>
      </c>
      <c r="BA169">
        <f t="shared" si="72"/>
        <v>0</v>
      </c>
      <c r="BB169">
        <f>VLOOKUP($E169,Constants!$I:$K, 2, FALSE)</f>
        <v>1</v>
      </c>
      <c r="BC169">
        <f>VLOOKUP($E169,Constants!$I:$K, 3, FALSE)*IF(AND(D169="multiple_unit",Y169&lt;110),0.75,1)</f>
        <v>2</v>
      </c>
      <c r="BD169">
        <f>INT(POWER(((Constants!$G$2+$AW169+$AX169+$AY169+$BA169)*$AZ169)*$BC169, 1.05))+$AV169</f>
        <v>109</v>
      </c>
      <c r="BE169">
        <f>INT(POWER((((Constants!$G$1+$AW169+$AX169+$AY169+$BA169)*($AZ169))*$BB169),IF($D169="wagon",1,1.2)))+$AU169</f>
        <v>117</v>
      </c>
      <c r="BF169" s="15">
        <f t="shared" si="73"/>
        <v>85156.25</v>
      </c>
      <c r="BG169" s="15">
        <f t="shared" si="74"/>
        <v>9506.25</v>
      </c>
      <c r="BN169">
        <v>2</v>
      </c>
      <c r="BR169" t="str">
        <f>VLOOKUP(G169,Eras!$A$2:$C$10, 2, TRUE)</f>
        <v>dsl</v>
      </c>
      <c r="BS169" t="s">
        <v>361</v>
      </c>
      <c r="BT169" t="str">
        <f t="shared" si="75"/>
        <v>dsl_Express</v>
      </c>
      <c r="BU169" t="str">
        <f t="shared" si="63"/>
        <v>diesel_RAIL</v>
      </c>
      <c r="BV169" t="str">
        <f>VLOOKUP($BU169, Constants!$M:$N, 2, FALSE)</f>
        <v>{BLACK}Powered by: {GOLD}Diesel</v>
      </c>
      <c r="BW169" t="str">
        <f t="shared" si="64"/>
        <v/>
      </c>
      <c r="BX169" t="s">
        <v>559</v>
      </c>
      <c r="BY169" t="str">
        <f t="shared" si="79"/>
        <v/>
      </c>
      <c r="BZ169" t="str">
        <f t="shared" si="66"/>
        <v>{BLACK}Powered by: {GOLD}Diesel {}{SILVER}The Sulzer Peaks served express passenger trains on the Midland Main Line until the introduction of the HST.</v>
      </c>
    </row>
    <row r="170" spans="1:78" x14ac:dyDescent="0.25">
      <c r="A170" t="s">
        <v>56</v>
      </c>
      <c r="B170" t="s">
        <v>562</v>
      </c>
      <c r="C170">
        <v>318</v>
      </c>
      <c r="D170" t="s">
        <v>295</v>
      </c>
      <c r="E170" t="s">
        <v>305</v>
      </c>
      <c r="F170" t="s">
        <v>307</v>
      </c>
      <c r="G170">
        <v>1960</v>
      </c>
      <c r="H170">
        <v>1962</v>
      </c>
      <c r="K170">
        <v>1550</v>
      </c>
      <c r="T170">
        <v>74.2</v>
      </c>
      <c r="W170">
        <v>200</v>
      </c>
      <c r="X170" s="4">
        <f t="shared" si="62"/>
        <v>0.26954177897574122</v>
      </c>
      <c r="Y170">
        <v>85</v>
      </c>
      <c r="AA170">
        <v>15.47</v>
      </c>
      <c r="AB170">
        <v>15.47</v>
      </c>
      <c r="AD170">
        <v>3.86</v>
      </c>
      <c r="AE170" s="11">
        <v>0</v>
      </c>
      <c r="AF170" t="str">
        <f>CONCATENATE(VLOOKUP(AG170, 'Voxel Sizes'!$A$2:$B$18,2,FALSE),"x",INT(AC170*15), "x", INT(AD170*15))</f>
        <v>152x0x57</v>
      </c>
      <c r="AG170">
        <f t="shared" si="67"/>
        <v>9</v>
      </c>
      <c r="AI170" t="str">
        <f>CONCATENATE(VLOOKUP(AG170,Constants!$A$2:$C$16,IF(AH170&lt;&gt;"", 3, 2), FALSE),IF(AH170&lt;&gt;"",CONCATENATE(",",VLOOKUP(AH170,$B:$AI,34,FALSE)),""))</f>
        <v>2,5,2</v>
      </c>
      <c r="AS170">
        <v>30</v>
      </c>
      <c r="AT170" t="str">
        <f t="shared" si="68"/>
        <v/>
      </c>
      <c r="AW170">
        <f t="shared" si="69"/>
        <v>17</v>
      </c>
      <c r="AX170">
        <f t="shared" si="70"/>
        <v>7.75</v>
      </c>
      <c r="AY170">
        <f t="shared" si="71"/>
        <v>10</v>
      </c>
      <c r="AZ170" s="4">
        <f t="shared" si="76"/>
        <v>0.92</v>
      </c>
      <c r="BA170">
        <f t="shared" si="72"/>
        <v>0</v>
      </c>
      <c r="BB170">
        <f>VLOOKUP($E170,Constants!$I:$K, 2, FALSE)</f>
        <v>1</v>
      </c>
      <c r="BC170">
        <f>VLOOKUP($E170,Constants!$I:$K, 3, FALSE)*IF(AND(D170="multiple_unit",Y170&lt;110),0.75,1)</f>
        <v>2</v>
      </c>
      <c r="BD170">
        <f>INT(POWER(((Constants!$G$2+$AW170+$AX170+$AY170+$BA170)*$AZ170)*$BC170, 1.05))+$AV170</f>
        <v>90</v>
      </c>
      <c r="BE170">
        <f>INT(POWER((((Constants!$G$1+$AW170+$AX170+$AY170+$BA170)*($AZ170))*$BB170),IF($D170="wagon",1,1.2)))+$AU170</f>
        <v>98</v>
      </c>
      <c r="BF170" s="15">
        <f t="shared" si="73"/>
        <v>70312.5</v>
      </c>
      <c r="BG170" s="15">
        <f t="shared" si="74"/>
        <v>7962.5</v>
      </c>
      <c r="BN170">
        <v>3</v>
      </c>
      <c r="BR170" t="str">
        <f>VLOOKUP(G170,Eras!$A$2:$C$10, 2, TRUE)</f>
        <v>dsl</v>
      </c>
      <c r="BS170" t="s">
        <v>360</v>
      </c>
      <c r="BT170" t="str">
        <f t="shared" si="75"/>
        <v>dsl_Mixed Traffic</v>
      </c>
      <c r="BU170" t="str">
        <f t="shared" si="63"/>
        <v>diesel_RAIL</v>
      </c>
      <c r="BV170" t="str">
        <f>VLOOKUP($BU170, Constants!$M:$N, 2, FALSE)</f>
        <v>{BLACK}Powered by: {GOLD}Diesel</v>
      </c>
      <c r="BW170" t="str">
        <f t="shared" si="64"/>
        <v/>
      </c>
      <c r="BX170" t="s">
        <v>561</v>
      </c>
      <c r="BY170" t="str">
        <f t="shared" si="79"/>
        <v/>
      </c>
      <c r="BZ170" t="str">
        <f t="shared" si="66"/>
        <v>{BLACK}Powered by: {GOLD}Diesel {}{SILVER}The Class 33 was built without carriage heating, using the space for an 8 cylinder engine. This meant it was used for tourist-loaded passenger trains in summer, and freight in winter.</v>
      </c>
    </row>
    <row r="171" spans="1:78" x14ac:dyDescent="0.25">
      <c r="A171" t="s">
        <v>42</v>
      </c>
      <c r="B171" t="s">
        <v>192</v>
      </c>
      <c r="C171">
        <v>320</v>
      </c>
      <c r="D171" t="s">
        <v>295</v>
      </c>
      <c r="E171" t="s">
        <v>305</v>
      </c>
      <c r="F171" t="s">
        <v>307</v>
      </c>
      <c r="G171">
        <v>1961</v>
      </c>
      <c r="H171">
        <v>1964</v>
      </c>
      <c r="I171">
        <v>1975</v>
      </c>
      <c r="K171">
        <v>1700</v>
      </c>
      <c r="T171">
        <v>76.2</v>
      </c>
      <c r="W171">
        <v>207</v>
      </c>
      <c r="X171" s="4">
        <f t="shared" si="62"/>
        <v>0.27165354330708663</v>
      </c>
      <c r="Y171">
        <v>90</v>
      </c>
      <c r="AA171">
        <v>15.76</v>
      </c>
      <c r="AB171">
        <v>15.76</v>
      </c>
      <c r="AD171">
        <v>3.91</v>
      </c>
      <c r="AE171" s="11">
        <v>0</v>
      </c>
      <c r="AF171" t="str">
        <f>CONCATENATE(VLOOKUP(AG171, 'Voxel Sizes'!$A$2:$B$18,2,FALSE),"x",INT(AC171*15), "x", INT(AD171*15))</f>
        <v>152x0x58</v>
      </c>
      <c r="AG171">
        <f t="shared" si="67"/>
        <v>9</v>
      </c>
      <c r="AI171" t="str">
        <f>CONCATENATE(VLOOKUP(AG171,Constants!$A$2:$C$16,IF(AH171&lt;&gt;"", 3, 2), FALSE),IF(AH171&lt;&gt;"",CONCATENATE(",",VLOOKUP(AH171,$B:$AI,34,FALSE)),""))</f>
        <v>2,5,2</v>
      </c>
      <c r="AS171">
        <v>30</v>
      </c>
      <c r="AT171">
        <f t="shared" si="68"/>
        <v>10</v>
      </c>
      <c r="AW171">
        <f t="shared" si="69"/>
        <v>18</v>
      </c>
      <c r="AX171">
        <f t="shared" si="70"/>
        <v>8.5</v>
      </c>
      <c r="AY171">
        <f t="shared" si="71"/>
        <v>10.35</v>
      </c>
      <c r="AZ171" s="4">
        <f t="shared" si="76"/>
        <v>0.91866666666666663</v>
      </c>
      <c r="BA171">
        <f t="shared" si="72"/>
        <v>0</v>
      </c>
      <c r="BB171">
        <f>VLOOKUP($E171,Constants!$I:$K, 2, FALSE)</f>
        <v>1</v>
      </c>
      <c r="BC171">
        <f>VLOOKUP($E171,Constants!$I:$K, 3, FALSE)*IF(AND(D171="multiple_unit",Y171&lt;110),0.75,1)</f>
        <v>2</v>
      </c>
      <c r="BD171">
        <f>INT(POWER(((Constants!$G$2+$AW171+$AX171+$AY171+$BA171)*$AZ171)*$BC171, 1.05))+$AV171</f>
        <v>95</v>
      </c>
      <c r="BE171">
        <f>INT(POWER((((Constants!$G$1+$AW171+$AX171+$AY171+$BA171)*($AZ171))*$BB171),IF($D171="wagon",1,1.2)))+$AU171</f>
        <v>103</v>
      </c>
      <c r="BF171" s="15">
        <f t="shared" si="73"/>
        <v>74218.75</v>
      </c>
      <c r="BG171" s="15">
        <f t="shared" si="74"/>
        <v>8368.75</v>
      </c>
      <c r="BN171">
        <v>4</v>
      </c>
      <c r="BR171" t="str">
        <f>VLOOKUP(G171,Eras!$A$2:$C$10, 2, TRUE)</f>
        <v>dsl</v>
      </c>
      <c r="BS171" t="s">
        <v>360</v>
      </c>
      <c r="BT171" t="str">
        <f t="shared" si="75"/>
        <v>dsl_Mixed Traffic</v>
      </c>
      <c r="BU171" t="str">
        <f t="shared" si="63"/>
        <v>diesel_RAIL</v>
      </c>
      <c r="BV171" t="str">
        <f>VLOOKUP($BU171, Constants!$M:$N, 2, FALSE)</f>
        <v>{BLACK}Powered by: {GOLD}Diesel</v>
      </c>
      <c r="BW171" t="str">
        <f t="shared" si="64"/>
        <v/>
      </c>
      <c r="BX171" t="s">
        <v>567</v>
      </c>
      <c r="BY171" t="str">
        <f t="shared" si="79"/>
        <v/>
      </c>
      <c r="BZ171" t="str">
        <f t="shared" si="66"/>
        <v>{BLACK}Powered by: {GOLD}Diesel {}{SILVER}The Hymeks were named for their hydraulic transmission. Sadly this also caused their early withdrawal, with BR viewing diesel-hydraulics as non-standard.</v>
      </c>
    </row>
    <row r="172" spans="1:78" x14ac:dyDescent="0.25">
      <c r="A172" t="s">
        <v>44</v>
      </c>
      <c r="B172" t="s">
        <v>193</v>
      </c>
      <c r="C172">
        <v>322</v>
      </c>
      <c r="D172" t="s">
        <v>295</v>
      </c>
      <c r="E172" t="s">
        <v>305</v>
      </c>
      <c r="F172" t="s">
        <v>307</v>
      </c>
      <c r="G172">
        <v>1961</v>
      </c>
      <c r="H172">
        <v>1964</v>
      </c>
      <c r="I172">
        <v>1977</v>
      </c>
      <c r="K172">
        <v>2000</v>
      </c>
      <c r="T172">
        <v>110</v>
      </c>
      <c r="W172">
        <v>297</v>
      </c>
      <c r="X172" s="4">
        <f t="shared" si="62"/>
        <v>0.27</v>
      </c>
      <c r="Y172">
        <v>90</v>
      </c>
      <c r="AA172">
        <v>20.73</v>
      </c>
      <c r="AB172">
        <v>20.73</v>
      </c>
      <c r="AD172">
        <v>3.96</v>
      </c>
      <c r="AE172" s="11">
        <v>0</v>
      </c>
      <c r="AF172" t="str">
        <f>CONCATENATE(VLOOKUP(AG172, 'Voxel Sizes'!$A$2:$B$18,2,FALSE),"x",INT(AC172*15), "x", INT(AD172*15))</f>
        <v>198x0x59</v>
      </c>
      <c r="AG172">
        <f t="shared" si="67"/>
        <v>12</v>
      </c>
      <c r="AI172" t="str">
        <f>CONCATENATE(VLOOKUP(AG172,Constants!$A$2:$C$16,IF(AH172&lt;&gt;"", 3, 2), FALSE),IF(AH172&lt;&gt;"",CONCATENATE(",",VLOOKUP(AH172,$B:$AI,34,FALSE)),""))</f>
        <v>4,4,4</v>
      </c>
      <c r="AS172">
        <v>30</v>
      </c>
      <c r="AT172">
        <f t="shared" si="68"/>
        <v>12</v>
      </c>
      <c r="AW172">
        <f t="shared" si="69"/>
        <v>18</v>
      </c>
      <c r="AX172">
        <f t="shared" si="70"/>
        <v>10</v>
      </c>
      <c r="AY172">
        <f t="shared" si="71"/>
        <v>14.850000000000001</v>
      </c>
      <c r="AZ172" s="4">
        <f t="shared" si="76"/>
        <v>0.91866666666666663</v>
      </c>
      <c r="BA172">
        <f t="shared" si="72"/>
        <v>0</v>
      </c>
      <c r="BB172">
        <f>VLOOKUP($E172,Constants!$I:$K, 2, FALSE)</f>
        <v>1</v>
      </c>
      <c r="BC172">
        <f>VLOOKUP($E172,Constants!$I:$K, 3, FALSE)*IF(AND(D172="multiple_unit",Y172&lt;110),0.75,1)</f>
        <v>2</v>
      </c>
      <c r="BD172">
        <f>INT(POWER(((Constants!$G$2+$AW172+$AX172+$AY172+$BA172)*$AZ172)*$BC172, 1.05))+$AV172</f>
        <v>109</v>
      </c>
      <c r="BE172">
        <f>INT(POWER((((Constants!$G$1+$AW172+$AX172+$AY172+$BA172)*($AZ172))*$BB172),IF($D172="wagon",1,1.2)))+$AU172</f>
        <v>117</v>
      </c>
      <c r="BF172" s="15">
        <f t="shared" si="73"/>
        <v>85156.25</v>
      </c>
      <c r="BG172" s="15">
        <f t="shared" si="74"/>
        <v>9506.25</v>
      </c>
      <c r="BN172">
        <v>5</v>
      </c>
      <c r="BR172" t="str">
        <f>VLOOKUP(G172,Eras!$A$2:$C$10, 2, TRUE)</f>
        <v>dsl</v>
      </c>
      <c r="BS172" t="s">
        <v>360</v>
      </c>
      <c r="BT172" t="str">
        <f t="shared" si="75"/>
        <v>dsl_Mixed Traffic</v>
      </c>
      <c r="BU172" t="str">
        <f t="shared" si="63"/>
        <v>diesel_RAIL</v>
      </c>
      <c r="BV172" t="str">
        <f>VLOOKUP($BU172, Constants!$M:$N, 2, FALSE)</f>
        <v>{BLACK}Powered by: {GOLD}Diesel</v>
      </c>
      <c r="BW172" t="str">
        <f t="shared" si="64"/>
        <v/>
      </c>
      <c r="BX172" t="s">
        <v>568</v>
      </c>
      <c r="BY172" t="str">
        <f t="shared" si="79"/>
        <v/>
      </c>
      <c r="BZ172" t="str">
        <f t="shared" si="66"/>
        <v>{BLACK}Powered by: {GOLD}Diesel {}{SILVER}The Class 52 was the most powerful of the Western Region's diesel-hydraulic locomotives, pushing the limits of what 1960s transmission technology could achieve.</v>
      </c>
    </row>
    <row r="173" spans="1:78" x14ac:dyDescent="0.25">
      <c r="A173" t="s">
        <v>54</v>
      </c>
      <c r="B173" t="s">
        <v>338</v>
      </c>
      <c r="C173">
        <v>324</v>
      </c>
      <c r="D173" t="s">
        <v>295</v>
      </c>
      <c r="E173" t="s">
        <v>305</v>
      </c>
      <c r="F173" t="s">
        <v>307</v>
      </c>
      <c r="G173">
        <v>1961</v>
      </c>
      <c r="H173">
        <v>1967</v>
      </c>
      <c r="I173">
        <v>1987</v>
      </c>
      <c r="K173">
        <v>1250</v>
      </c>
      <c r="T173">
        <v>74.2</v>
      </c>
      <c r="W173">
        <v>170</v>
      </c>
      <c r="X173" s="4">
        <f t="shared" si="62"/>
        <v>0.22911051212938005</v>
      </c>
      <c r="Y173">
        <v>90</v>
      </c>
      <c r="AA173">
        <v>15.39</v>
      </c>
      <c r="AB173">
        <v>15.39</v>
      </c>
      <c r="AD173">
        <v>3.86</v>
      </c>
      <c r="AE173" s="11">
        <v>0</v>
      </c>
      <c r="AF173" t="str">
        <f>CONCATENATE(VLOOKUP(AG173, 'Voxel Sizes'!$A$2:$B$18,2,FALSE),"x",INT(AC173*15), "x", INT(AD173*15))</f>
        <v>152x0x57</v>
      </c>
      <c r="AG173">
        <f t="shared" si="67"/>
        <v>9</v>
      </c>
      <c r="AI173" t="str">
        <f>CONCATENATE(VLOOKUP(AG173,Constants!$A$2:$C$16,IF(AH173&lt;&gt;"", 3, 2), FALSE),IF(AH173&lt;&gt;"",CONCATENATE(",",VLOOKUP(AH173,$B:$AI,34,FALSE)),""))</f>
        <v>2,5,2</v>
      </c>
      <c r="AS173">
        <v>40</v>
      </c>
      <c r="AT173">
        <f t="shared" si="68"/>
        <v>22</v>
      </c>
      <c r="AW173">
        <f t="shared" si="69"/>
        <v>18</v>
      </c>
      <c r="AX173">
        <f t="shared" si="70"/>
        <v>6.25</v>
      </c>
      <c r="AY173">
        <f t="shared" si="71"/>
        <v>8.5</v>
      </c>
      <c r="AZ173" s="4">
        <f t="shared" si="76"/>
        <v>0.91866666666666663</v>
      </c>
      <c r="BA173">
        <f t="shared" si="72"/>
        <v>0</v>
      </c>
      <c r="BB173">
        <f>VLOOKUP($E173,Constants!$I:$K, 2, FALSE)</f>
        <v>1</v>
      </c>
      <c r="BC173">
        <f>VLOOKUP($E173,Constants!$I:$K, 3, FALSE)*IF(AND(D173="multiple_unit",Y173&lt;110),0.75,1)</f>
        <v>2</v>
      </c>
      <c r="BD173">
        <f>INT(POWER(((Constants!$G$2+$AW173+$AX173+$AY173+$BA173)*$AZ173)*$BC173, 1.05))+$AV173</f>
        <v>85</v>
      </c>
      <c r="BE173">
        <f>INT(POWER((((Constants!$G$1+$AW173+$AX173+$AY173+$BA173)*($AZ173))*$BB173),IF($D173="wagon",1,1.2)))+$AU173</f>
        <v>93</v>
      </c>
      <c r="BF173" s="15">
        <f t="shared" si="73"/>
        <v>66406.25</v>
      </c>
      <c r="BG173" s="15">
        <f t="shared" si="74"/>
        <v>7556.25</v>
      </c>
      <c r="BN173">
        <v>6</v>
      </c>
      <c r="BR173" t="str">
        <f>VLOOKUP(G173,Eras!$A$2:$C$10, 2, TRUE)</f>
        <v>dsl</v>
      </c>
      <c r="BS173" t="s">
        <v>362</v>
      </c>
      <c r="BT173" t="str">
        <f t="shared" si="75"/>
        <v>dsl_Freight</v>
      </c>
      <c r="BU173" t="str">
        <f t="shared" si="63"/>
        <v>diesel_RAIL</v>
      </c>
      <c r="BV173" t="str">
        <f>VLOOKUP($BU173, Constants!$M:$N, 2, FALSE)</f>
        <v>{BLACK}Powered by: {GOLD}Diesel</v>
      </c>
      <c r="BW173" t="str">
        <f t="shared" si="64"/>
        <v/>
      </c>
      <c r="BX173" t="s">
        <v>569</v>
      </c>
      <c r="BY173" t="str">
        <f t="shared" si="79"/>
        <v/>
      </c>
      <c r="BZ173" t="str">
        <f t="shared" si="66"/>
        <v>{BLACK}Powered by: {GOLD}Diesel {}{SILVER}The Class 25 locomotives became known as "Rats" because they were found all over the British Rail network.</v>
      </c>
    </row>
    <row r="174" spans="1:78" x14ac:dyDescent="0.25">
      <c r="A174" t="s">
        <v>574</v>
      </c>
      <c r="B174" t="s">
        <v>194</v>
      </c>
      <c r="C174">
        <v>326</v>
      </c>
      <c r="D174" t="s">
        <v>295</v>
      </c>
      <c r="E174" t="s">
        <v>305</v>
      </c>
      <c r="F174" t="s">
        <v>307</v>
      </c>
      <c r="G174">
        <v>1962</v>
      </c>
      <c r="H174">
        <v>1968</v>
      </c>
      <c r="K174">
        <v>2750</v>
      </c>
      <c r="T174">
        <v>114</v>
      </c>
      <c r="W174">
        <v>245</v>
      </c>
      <c r="X174" s="4">
        <f t="shared" si="62"/>
        <v>0.21491228070175439</v>
      </c>
      <c r="Y174">
        <v>95</v>
      </c>
      <c r="AA174">
        <v>19.38</v>
      </c>
      <c r="AB174">
        <v>19.38</v>
      </c>
      <c r="AD174">
        <v>3.9</v>
      </c>
      <c r="AE174" s="11">
        <v>0</v>
      </c>
      <c r="AF174" t="str">
        <f>CONCATENATE(VLOOKUP(AG174, 'Voxel Sizes'!$A$2:$B$18,2,FALSE),"x",INT(AC174*15), "x", INT(AD174*15))</f>
        <v>186x0x58</v>
      </c>
      <c r="AG174">
        <f t="shared" si="67"/>
        <v>11</v>
      </c>
      <c r="AI174" t="str">
        <f>CONCATENATE(VLOOKUP(AG174,Constants!$A$2:$C$16,IF(AH174&lt;&gt;"", 3, 2), FALSE),IF(AH174&lt;&gt;"",CONCATENATE(",",VLOOKUP(AH174,$B:$AI,34,FALSE)),""))</f>
        <v>4,3,4</v>
      </c>
      <c r="AS174">
        <v>33</v>
      </c>
      <c r="AT174" t="str">
        <f t="shared" si="68"/>
        <v/>
      </c>
      <c r="AW174">
        <f t="shared" si="69"/>
        <v>19</v>
      </c>
      <c r="AX174">
        <f t="shared" si="70"/>
        <v>13.75</v>
      </c>
      <c r="AY174">
        <f t="shared" si="71"/>
        <v>12.25</v>
      </c>
      <c r="AZ174" s="4">
        <f t="shared" si="76"/>
        <v>0.91733333333333333</v>
      </c>
      <c r="BA174">
        <f t="shared" si="72"/>
        <v>0</v>
      </c>
      <c r="BB174">
        <f>VLOOKUP($E174,Constants!$I:$K, 2, FALSE)</f>
        <v>1</v>
      </c>
      <c r="BC174">
        <f>VLOOKUP($E174,Constants!$I:$K, 3, FALSE)*IF(AND(D174="multiple_unit",Y174&lt;110),0.75,1)</f>
        <v>2</v>
      </c>
      <c r="BD174">
        <f>INT(POWER(((Constants!$G$2+$AW174+$AX174+$AY174+$BA174)*$AZ174)*$BC174, 1.05))+$AV174</f>
        <v>114</v>
      </c>
      <c r="BE174">
        <f>INT(POWER((((Constants!$G$1+$AW174+$AX174+$AY174+$BA174)*($AZ174))*$BB174),IF($D174="wagon",1,1.2)))+$AU174</f>
        <v>122</v>
      </c>
      <c r="BF174" s="15">
        <f t="shared" si="73"/>
        <v>89062.5</v>
      </c>
      <c r="BG174" s="15">
        <f t="shared" si="74"/>
        <v>9912.5</v>
      </c>
      <c r="BN174">
        <v>7</v>
      </c>
      <c r="BR174" t="str">
        <f>VLOOKUP(G174,Eras!$A$2:$C$10, 2, TRUE)</f>
        <v>dsl</v>
      </c>
      <c r="BS174" t="s">
        <v>362</v>
      </c>
      <c r="BT174" t="str">
        <f t="shared" si="75"/>
        <v>dsl_Freight</v>
      </c>
      <c r="BU174" t="str">
        <f t="shared" si="63"/>
        <v>diesel_RAIL</v>
      </c>
      <c r="BV174" t="str">
        <f>VLOOKUP($BU174, Constants!$M:$N, 2, FALSE)</f>
        <v>{BLACK}Powered by: {GOLD}Diesel</v>
      </c>
      <c r="BW174" t="str">
        <f t="shared" si="64"/>
        <v/>
      </c>
      <c r="BX174" t="s">
        <v>573</v>
      </c>
      <c r="BY174" t="str">
        <f t="shared" si="79"/>
        <v/>
      </c>
      <c r="BZ174" t="str">
        <f t="shared" si="66"/>
        <v>{BLACK}Powered by: {GOLD}Diesel {}{SILVER}The Class 47 diesel-electric arose from BR's desire for a lighter Type 4 (over 2000hp) locomotive, without using the diesel-hydraulic technology favoured by the Western Region.</v>
      </c>
    </row>
    <row r="175" spans="1:78" x14ac:dyDescent="0.25">
      <c r="A175" t="s">
        <v>59</v>
      </c>
      <c r="B175" t="s">
        <v>195</v>
      </c>
      <c r="C175">
        <v>328</v>
      </c>
      <c r="D175" t="s">
        <v>295</v>
      </c>
      <c r="E175" t="s">
        <v>305</v>
      </c>
      <c r="F175" t="s">
        <v>307</v>
      </c>
      <c r="G175">
        <v>1962</v>
      </c>
      <c r="H175">
        <v>1965</v>
      </c>
      <c r="I175">
        <v>1971</v>
      </c>
      <c r="K175">
        <v>900</v>
      </c>
      <c r="T175">
        <v>69</v>
      </c>
      <c r="W175">
        <v>178</v>
      </c>
      <c r="X175" s="4">
        <f t="shared" si="62"/>
        <v>0.25797101449275361</v>
      </c>
      <c r="Y175">
        <v>60</v>
      </c>
      <c r="AA175">
        <v>15.4</v>
      </c>
      <c r="AB175">
        <v>15.4</v>
      </c>
      <c r="AD175">
        <v>3.86</v>
      </c>
      <c r="AE175" s="11">
        <v>0</v>
      </c>
      <c r="AF175" t="str">
        <f>CONCATENATE(VLOOKUP(AG175, 'Voxel Sizes'!$A$2:$B$18,2,FALSE),"x",INT(AC175*15), "x", INT(AD175*15))</f>
        <v>152x0x57</v>
      </c>
      <c r="AG175">
        <f t="shared" si="67"/>
        <v>9</v>
      </c>
      <c r="AI175" t="str">
        <f>CONCATENATE(VLOOKUP(AG175,Constants!$A$2:$C$16,IF(AH175&lt;&gt;"", 3, 2), FALSE),IF(AH175&lt;&gt;"",CONCATENATE(",",VLOOKUP(AH175,$B:$AI,34,FALSE)),""))</f>
        <v>2,5,2</v>
      </c>
      <c r="AS175">
        <v>14</v>
      </c>
      <c r="AT175">
        <f t="shared" si="68"/>
        <v>8</v>
      </c>
      <c r="AW175">
        <f t="shared" si="69"/>
        <v>12</v>
      </c>
      <c r="AX175">
        <f t="shared" si="70"/>
        <v>4.5</v>
      </c>
      <c r="AY175">
        <f t="shared" si="71"/>
        <v>8.9</v>
      </c>
      <c r="AZ175" s="4">
        <f t="shared" si="76"/>
        <v>0.91733333333333333</v>
      </c>
      <c r="BA175">
        <f t="shared" si="72"/>
        <v>0</v>
      </c>
      <c r="BB175">
        <f>VLOOKUP($E175,Constants!$I:$K, 2, FALSE)</f>
        <v>1</v>
      </c>
      <c r="BC175">
        <f>VLOOKUP($E175,Constants!$I:$K, 3, FALSE)*IF(AND(D175="multiple_unit",Y175&lt;110),0.75,1)</f>
        <v>2</v>
      </c>
      <c r="BD175">
        <f>INT(POWER(((Constants!$G$2+$AW175+$AX175+$AY175+$BA175)*$AZ175)*$BC175, 1.05))+$AV175</f>
        <v>68</v>
      </c>
      <c r="BE175">
        <f>INT(POWER((((Constants!$G$1+$AW175+$AX175+$AY175+$BA175)*($AZ175))*$BB175),IF($D175="wagon",1,1.2)))+$AU175</f>
        <v>76</v>
      </c>
      <c r="BF175" s="15">
        <f t="shared" si="73"/>
        <v>53125</v>
      </c>
      <c r="BG175" s="15">
        <f t="shared" si="74"/>
        <v>6175</v>
      </c>
      <c r="BN175">
        <v>8</v>
      </c>
      <c r="BR175" t="str">
        <f>VLOOKUP(G175,Eras!$A$2:$C$10, 2, TRUE)</f>
        <v>dsl</v>
      </c>
      <c r="BS175" t="s">
        <v>359</v>
      </c>
      <c r="BT175" t="str">
        <f t="shared" si="75"/>
        <v>dsl_Cheap</v>
      </c>
      <c r="BU175" t="str">
        <f t="shared" si="63"/>
        <v>diesel_RAIL</v>
      </c>
      <c r="BV175" t="str">
        <f>VLOOKUP($BU175, Constants!$M:$N, 2, FALSE)</f>
        <v>{BLACK}Powered by: {GOLD}Diesel</v>
      </c>
      <c r="BW175" t="str">
        <f t="shared" si="64"/>
        <v/>
      </c>
      <c r="BX175" t="s">
        <v>575</v>
      </c>
      <c r="BY175" t="str">
        <f t="shared" si="79"/>
        <v/>
      </c>
      <c r="BZ175" t="str">
        <f t="shared" si="66"/>
        <v>{BLACK}Powered by: {GOLD}Diesel {}{SILVER}The Class 17 attempted to solve the problems of visibility from a single cab. It had an unsuccessful life beset by engine reliability problems, and all examples were withdrawn early.</v>
      </c>
    </row>
    <row r="176" spans="1:78" x14ac:dyDescent="0.25">
      <c r="A176" t="s">
        <v>58</v>
      </c>
      <c r="B176" t="s">
        <v>576</v>
      </c>
      <c r="C176">
        <v>330</v>
      </c>
      <c r="D176" t="s">
        <v>295</v>
      </c>
      <c r="E176" t="s">
        <v>305</v>
      </c>
      <c r="F176" t="s">
        <v>307</v>
      </c>
      <c r="G176">
        <v>1964</v>
      </c>
      <c r="H176">
        <v>1965</v>
      </c>
      <c r="I176">
        <v>1984</v>
      </c>
      <c r="K176">
        <v>650</v>
      </c>
      <c r="T176">
        <v>48.5</v>
      </c>
      <c r="W176">
        <v>137</v>
      </c>
      <c r="X176" s="4">
        <f t="shared" si="62"/>
        <v>0.28247422680412371</v>
      </c>
      <c r="Y176">
        <v>40</v>
      </c>
      <c r="AA176">
        <v>10.3</v>
      </c>
      <c r="AB176">
        <v>10.3</v>
      </c>
      <c r="AE176" s="11">
        <v>0</v>
      </c>
      <c r="AF176" t="str">
        <f>CONCATENATE(VLOOKUP(AG176, 'Voxel Sizes'!$A$2:$B$18,2,FALSE),"x",INT(AC176*15), "x", INT(AD176*15))</f>
        <v>102x0x0</v>
      </c>
      <c r="AG176">
        <f t="shared" si="67"/>
        <v>6</v>
      </c>
      <c r="AI176" t="str">
        <f>CONCATENATE(VLOOKUP(AG176,Constants!$A$2:$C$16,IF(AH176&lt;&gt;"", 3, 2), FALSE),IF(AH176&lt;&gt;"",CONCATENATE(",",VLOOKUP(AH176,$B:$AI,34,FALSE)),""))</f>
        <v>2,2,2</v>
      </c>
      <c r="AQ176">
        <v>1</v>
      </c>
      <c r="AS176">
        <v>18</v>
      </c>
      <c r="AT176">
        <f t="shared" si="68"/>
        <v>16</v>
      </c>
      <c r="AW176">
        <f t="shared" si="69"/>
        <v>8</v>
      </c>
      <c r="AX176">
        <f t="shared" si="70"/>
        <v>3.25</v>
      </c>
      <c r="AY176">
        <f t="shared" si="71"/>
        <v>6.8500000000000005</v>
      </c>
      <c r="AZ176" s="4">
        <f t="shared" si="76"/>
        <v>0.91466666666666663</v>
      </c>
      <c r="BA176">
        <f t="shared" si="72"/>
        <v>0</v>
      </c>
      <c r="BB176">
        <f>VLOOKUP($E176,Constants!$I:$K, 2, FALSE)</f>
        <v>1</v>
      </c>
      <c r="BC176">
        <f>VLOOKUP($E176,Constants!$I:$K, 3, FALSE)*IF(AND(D176="multiple_unit",Y176&lt;110),0.75,1)</f>
        <v>2</v>
      </c>
      <c r="BD176">
        <f>INT(POWER(((Constants!$G$2+$AW176+$AX176+$AY176+$BA176)*$AZ176)*$BC176, 1.05))+$AV176</f>
        <v>50</v>
      </c>
      <c r="BE176">
        <f>INT(POWER((((Constants!$G$1+$AW176+$AX176+$AY176+$BA176)*($AZ176))*$BB176),IF($D176="wagon",1,1.2)))+$AU176</f>
        <v>59</v>
      </c>
      <c r="BF176" s="15">
        <f t="shared" si="73"/>
        <v>39062.5</v>
      </c>
      <c r="BG176" s="15">
        <f t="shared" si="74"/>
        <v>4793.75</v>
      </c>
      <c r="BN176">
        <v>9</v>
      </c>
      <c r="BR176" t="str">
        <f>VLOOKUP(G176,Eras!$A$2:$C$10, 2, TRUE)</f>
        <v>dsl</v>
      </c>
      <c r="BS176" t="s">
        <v>359</v>
      </c>
      <c r="BT176" t="str">
        <f t="shared" si="75"/>
        <v>dsl_Cheap</v>
      </c>
      <c r="BU176" t="str">
        <f t="shared" si="63"/>
        <v>diesel_RAIL</v>
      </c>
      <c r="BV176" t="str">
        <f>VLOOKUP($BU176, Constants!$M:$N, 2, FALSE)</f>
        <v>{BLACK}Powered by: {GOLD}Diesel</v>
      </c>
      <c r="BW176" t="str">
        <f t="shared" si="64"/>
        <v/>
      </c>
      <c r="BX176" t="s">
        <v>577</v>
      </c>
      <c r="BY176" t="str">
        <f t="shared" si="79"/>
        <v/>
      </c>
      <c r="BZ176" t="str">
        <f t="shared" si="66"/>
        <v>{BLACK}Powered by: {GOLD}Diesel {}{SILVER}BR envisaged a need  for small diesel locomotives to run short-distance freight trains, but by the end of the 1960s this need had evaporated. The Class 14s were sold to industry, and saw continued use on private railways.</v>
      </c>
    </row>
    <row r="177" spans="1:78" x14ac:dyDescent="0.25">
      <c r="A177" t="s">
        <v>60</v>
      </c>
      <c r="B177" t="s">
        <v>282</v>
      </c>
      <c r="C177">
        <v>332</v>
      </c>
      <c r="D177" t="s">
        <v>295</v>
      </c>
      <c r="E177" t="s">
        <v>578</v>
      </c>
      <c r="F177" t="s">
        <v>307</v>
      </c>
      <c r="G177">
        <v>1965</v>
      </c>
      <c r="H177">
        <v>1967</v>
      </c>
      <c r="K177">
        <v>1420</v>
      </c>
      <c r="L177" s="9">
        <v>600</v>
      </c>
      <c r="T177">
        <v>76.3</v>
      </c>
      <c r="W177">
        <v>186</v>
      </c>
      <c r="X177" s="4">
        <f t="shared" si="62"/>
        <v>0.24377457404980341</v>
      </c>
      <c r="Y177">
        <v>80</v>
      </c>
      <c r="AA177">
        <v>16.36</v>
      </c>
      <c r="AB177">
        <v>16.36</v>
      </c>
      <c r="AE177" s="11">
        <v>0</v>
      </c>
      <c r="AF177" t="str">
        <f>CONCATENATE(VLOOKUP(AG177, 'Voxel Sizes'!$A$2:$B$18,2,FALSE),"x",INT(AC177*15), "x", INT(AD177*15))</f>
        <v>164x0x0</v>
      </c>
      <c r="AG177">
        <f t="shared" si="67"/>
        <v>10</v>
      </c>
      <c r="AI177" t="str">
        <f>CONCATENATE(VLOOKUP(AG177,Constants!$A$2:$C$16,IF(AH177&lt;&gt;"", 3, 2), FALSE),IF(AH177&lt;&gt;"",CONCATENATE(",",VLOOKUP(AH177,$B:$AI,34,FALSE)),""))</f>
        <v>4,2,4</v>
      </c>
      <c r="AS177">
        <v>33</v>
      </c>
      <c r="AT177" t="str">
        <f t="shared" si="68"/>
        <v/>
      </c>
      <c r="AW177">
        <f t="shared" si="69"/>
        <v>16</v>
      </c>
      <c r="AX177">
        <f t="shared" si="70"/>
        <v>7.1</v>
      </c>
      <c r="AY177">
        <f t="shared" si="71"/>
        <v>9.3000000000000007</v>
      </c>
      <c r="AZ177" s="4">
        <f t="shared" si="76"/>
        <v>0.91333333333333333</v>
      </c>
      <c r="BA177">
        <f t="shared" si="72"/>
        <v>0</v>
      </c>
      <c r="BB177">
        <f>VLOOKUP($E177,Constants!$I:$K, 2, FALSE)</f>
        <v>0.9</v>
      </c>
      <c r="BC177">
        <f>VLOOKUP($E177,Constants!$I:$K, 3, FALSE)*IF(AND(D177="multiple_unit",Y177&lt;110),0.75,1)</f>
        <v>2.5</v>
      </c>
      <c r="BD177">
        <f>INT(POWER(((Constants!$G$2+$AW177+$AX177+$AY177+$BA177)*$AZ177)*$BC177, 1.05))+$AV177</f>
        <v>106</v>
      </c>
      <c r="BE177">
        <f>INT(POWER((((Constants!$G$1+$AW177+$AX177+$AY177+$BA177)*($AZ177))*$BB177),IF($D177="wagon",1,1.2)))+$AU177</f>
        <v>81</v>
      </c>
      <c r="BF177" s="15">
        <f t="shared" si="73"/>
        <v>82812.5</v>
      </c>
      <c r="BG177" s="15">
        <f t="shared" si="74"/>
        <v>6581.25</v>
      </c>
      <c r="BN177">
        <v>10</v>
      </c>
      <c r="BR177" t="str">
        <f>VLOOKUP(G177,Eras!$A$2:$C$10, 2, TRUE)</f>
        <v>dsl</v>
      </c>
      <c r="BT177" t="str">
        <f t="shared" si="75"/>
        <v>dsl_</v>
      </c>
      <c r="BU177" t="str">
        <f t="shared" si="63"/>
        <v>dual_power_RAIL</v>
      </c>
      <c r="BV177" t="str">
        <f>VLOOKUP($BU177, Constants!$M:$N, 2, FALSE)</f>
        <v>{BLACK}Powered by: {GOLD}750V DC / Diesel</v>
      </c>
      <c r="BW177" t="str">
        <f t="shared" si="64"/>
        <v/>
      </c>
      <c r="BX177" t="s">
        <v>580</v>
      </c>
      <c r="BY177" t="str">
        <f t="shared" si="79"/>
        <v/>
      </c>
      <c r="BZ177" t="str">
        <f t="shared" si="66"/>
        <v>{BLACK}Powered by: {GOLD}750V DC / Diesel {}{SILVER}The Class 73 is a dual-power locomotive, running at full power when connected to a third rail supply but carrying a small diesel engine for running on non-electrified track.</v>
      </c>
    </row>
    <row r="178" spans="1:78" x14ac:dyDescent="0.25">
      <c r="A178" t="s">
        <v>67</v>
      </c>
      <c r="B178" t="s">
        <v>283</v>
      </c>
      <c r="C178">
        <v>334</v>
      </c>
      <c r="D178" t="s">
        <v>295</v>
      </c>
      <c r="E178" t="s">
        <v>329</v>
      </c>
      <c r="F178" t="s">
        <v>330</v>
      </c>
      <c r="G178">
        <v>1965</v>
      </c>
      <c r="H178">
        <v>1966</v>
      </c>
      <c r="K178">
        <v>3600</v>
      </c>
      <c r="T178">
        <v>82</v>
      </c>
      <c r="W178">
        <v>267</v>
      </c>
      <c r="X178" s="4">
        <f t="shared" si="62"/>
        <v>0.32560975609756099</v>
      </c>
      <c r="Y178">
        <v>100</v>
      </c>
      <c r="AA178">
        <v>17.829999999999998</v>
      </c>
      <c r="AB178">
        <v>17.829999999999998</v>
      </c>
      <c r="AD178">
        <v>3.77</v>
      </c>
      <c r="AE178" s="11">
        <v>0</v>
      </c>
      <c r="AF178" t="str">
        <f>CONCATENATE(VLOOKUP(AG178, 'Voxel Sizes'!$A$2:$B$18,2,FALSE),"x",INT(AC178*15), "x", INT(AD178*15))</f>
        <v>164x0x56</v>
      </c>
      <c r="AG178">
        <f t="shared" si="67"/>
        <v>10</v>
      </c>
      <c r="AI178" t="str">
        <f>CONCATENATE(VLOOKUP(AG178,Constants!$A$2:$C$16,IF(AH178&lt;&gt;"", 3, 2), FALSE),IF(AH178&lt;&gt;"",CONCATENATE(",",VLOOKUP(AH178,$B:$AI,34,FALSE)),""))</f>
        <v>4,2,4</v>
      </c>
      <c r="AS178">
        <v>37</v>
      </c>
      <c r="AT178" t="str">
        <f t="shared" si="68"/>
        <v/>
      </c>
      <c r="AW178">
        <f t="shared" si="69"/>
        <v>20</v>
      </c>
      <c r="AX178">
        <f t="shared" si="70"/>
        <v>18</v>
      </c>
      <c r="AY178">
        <f t="shared" si="71"/>
        <v>13.35</v>
      </c>
      <c r="AZ178" s="4">
        <f t="shared" si="76"/>
        <v>0.91333333333333333</v>
      </c>
      <c r="BA178">
        <f t="shared" si="72"/>
        <v>0</v>
      </c>
      <c r="BB178">
        <f>VLOOKUP($E178,Constants!$I:$K, 2, FALSE)</f>
        <v>0.85</v>
      </c>
      <c r="BC178">
        <f>VLOOKUP($E178,Constants!$I:$K, 3, FALSE)*IF(AND(D178="multiple_unit",Y178&lt;110),0.75,1)</f>
        <v>2.2999999999999998</v>
      </c>
      <c r="BD178">
        <f>INT(POWER(((Constants!$G$2+$AW178+$AX178+$AY178+$BA178)*$AZ178)*$BC178, 1.05))+$AV178</f>
        <v>150</v>
      </c>
      <c r="BE178">
        <f>INT(POWER((((Constants!$G$1+$AW178+$AX178+$AY178+$BA178)*($AZ178))*$BB178),IF($D178="wagon",1,1.2)))+$AU178</f>
        <v>113</v>
      </c>
      <c r="BF178" s="15">
        <f t="shared" si="73"/>
        <v>117187.5</v>
      </c>
      <c r="BG178" s="15">
        <f t="shared" si="74"/>
        <v>9181.25</v>
      </c>
      <c r="BN178">
        <v>11</v>
      </c>
      <c r="BR178" t="str">
        <f>VLOOKUP(G178,Eras!$A$2:$C$10, 2, TRUE)</f>
        <v>dsl</v>
      </c>
      <c r="BS178" t="s">
        <v>371</v>
      </c>
      <c r="BT178" t="str">
        <f t="shared" si="75"/>
        <v>dsl_Express (Electric)</v>
      </c>
      <c r="BU178" t="str">
        <f t="shared" si="63"/>
        <v>electric_ELRL</v>
      </c>
      <c r="BV178" t="str">
        <f>VLOOKUP($BU178, Constants!$M:$N, 2, FALSE)</f>
        <v>{BLACK}Powered by: {GOLD}25kV AC</v>
      </c>
      <c r="BW178" t="str">
        <f t="shared" si="64"/>
        <v/>
      </c>
      <c r="BX178" t="s">
        <v>556</v>
      </c>
      <c r="BY178" t="str">
        <f t="shared" si="79"/>
        <v/>
      </c>
      <c r="BZ178" t="str">
        <f t="shared" si="66"/>
        <v>{BLACK}Powered by: {GOLD}25kV AC {}{SILVER}The Class 86 (originally AL6) was BR's first standard electric locomotive, incorporating experience from prototypes such as the Class 81.</v>
      </c>
    </row>
    <row r="179" spans="1:78" x14ac:dyDescent="0.25">
      <c r="A179" t="s">
        <v>50</v>
      </c>
      <c r="B179" t="s">
        <v>196</v>
      </c>
      <c r="C179">
        <v>336</v>
      </c>
      <c r="D179" t="s">
        <v>295</v>
      </c>
      <c r="E179" t="s">
        <v>305</v>
      </c>
      <c r="F179" t="s">
        <v>307</v>
      </c>
      <c r="G179">
        <v>1967</v>
      </c>
      <c r="H179">
        <v>1968</v>
      </c>
      <c r="I179">
        <v>1994</v>
      </c>
      <c r="K179">
        <v>2700</v>
      </c>
      <c r="T179">
        <v>117</v>
      </c>
      <c r="W179">
        <v>216</v>
      </c>
      <c r="X179" s="4">
        <f t="shared" si="62"/>
        <v>0.18461538461538463</v>
      </c>
      <c r="Y179">
        <v>100</v>
      </c>
      <c r="AA179">
        <v>20.88</v>
      </c>
      <c r="AB179">
        <v>20.88</v>
      </c>
      <c r="AD179">
        <v>3.89</v>
      </c>
      <c r="AE179" s="11">
        <v>0</v>
      </c>
      <c r="AF179" t="str">
        <f>CONCATENATE(VLOOKUP(AG179, 'Voxel Sizes'!$A$2:$B$18,2,FALSE),"x",INT(AC179*15), "x", INT(AD179*15))</f>
        <v>198x0x58</v>
      </c>
      <c r="AG179">
        <f t="shared" si="67"/>
        <v>12</v>
      </c>
      <c r="AI179" t="str">
        <f>CONCATENATE(VLOOKUP(AG179,Constants!$A$2:$C$16,IF(AH179&lt;&gt;"", 3, 2), FALSE),IF(AH179&lt;&gt;"",CONCATENATE(",",VLOOKUP(AH179,$B:$AI,34,FALSE)),""))</f>
        <v>4,4,4</v>
      </c>
      <c r="AS179">
        <v>30</v>
      </c>
      <c r="AT179">
        <f t="shared" si="68"/>
        <v>23</v>
      </c>
      <c r="AW179">
        <f t="shared" si="69"/>
        <v>20</v>
      </c>
      <c r="AX179">
        <f t="shared" si="70"/>
        <v>13.5</v>
      </c>
      <c r="AY179">
        <f t="shared" si="71"/>
        <v>10.8</v>
      </c>
      <c r="AZ179" s="4">
        <f t="shared" si="76"/>
        <v>0.91066666666666662</v>
      </c>
      <c r="BA179">
        <f t="shared" si="72"/>
        <v>0</v>
      </c>
      <c r="BB179">
        <f>VLOOKUP($E179,Constants!$I:$K, 2, FALSE)</f>
        <v>1</v>
      </c>
      <c r="BC179">
        <f>VLOOKUP($E179,Constants!$I:$K, 3, FALSE)*IF(AND(D179="multiple_unit",Y179&lt;110),0.75,1)</f>
        <v>2</v>
      </c>
      <c r="BD179">
        <f>INT(POWER(((Constants!$G$2+$AW179+$AX179+$AY179+$BA179)*$AZ179)*$BC179, 1.05))+$AV179</f>
        <v>112</v>
      </c>
      <c r="BE179">
        <f>INT(POWER((((Constants!$G$1+$AW179+$AX179+$AY179+$BA179)*($AZ179))*$BB179),IF($D179="wagon",1,1.2)))+$AU179</f>
        <v>119</v>
      </c>
      <c r="BF179" s="15">
        <f t="shared" si="73"/>
        <v>87500</v>
      </c>
      <c r="BG179" s="15">
        <f t="shared" si="74"/>
        <v>9668.75</v>
      </c>
      <c r="BN179">
        <v>12</v>
      </c>
      <c r="BR179" t="str">
        <f>VLOOKUP(G179,Eras!$A$2:$C$10, 2, TRUE)</f>
        <v>dsl</v>
      </c>
      <c r="BS179" t="s">
        <v>361</v>
      </c>
      <c r="BT179" t="str">
        <f t="shared" si="75"/>
        <v>dsl_Express</v>
      </c>
      <c r="BU179" t="str">
        <f t="shared" si="63"/>
        <v>diesel_RAIL</v>
      </c>
      <c r="BV179" t="str">
        <f>VLOOKUP($BU179, Constants!$M:$N, 2, FALSE)</f>
        <v>{BLACK}Powered by: {GOLD}Diesel</v>
      </c>
      <c r="BW179" t="str">
        <f t="shared" si="64"/>
        <v/>
      </c>
      <c r="BX179" t="s">
        <v>581</v>
      </c>
      <c r="BY179" t="str">
        <f t="shared" si="79"/>
        <v/>
      </c>
      <c r="BZ179" t="str">
        <f t="shared" si="66"/>
        <v>{BLACK}Powered by: {GOLD}Diesel {}{SILVER}The Class 50 hauled express services on the West Coast Main Line until electrification, at which point they were used to replace diesel-hydraulic engines in the Western Region.</v>
      </c>
    </row>
    <row r="180" spans="1:78" x14ac:dyDescent="0.25">
      <c r="A180" t="s">
        <v>68</v>
      </c>
      <c r="B180" t="s">
        <v>197</v>
      </c>
      <c r="C180">
        <v>338</v>
      </c>
      <c r="D180" t="s">
        <v>295</v>
      </c>
      <c r="E180" t="s">
        <v>329</v>
      </c>
      <c r="F180" t="s">
        <v>330</v>
      </c>
      <c r="G180">
        <v>1973</v>
      </c>
      <c r="H180">
        <v>1975</v>
      </c>
      <c r="I180">
        <v>2006</v>
      </c>
      <c r="K180">
        <v>5000</v>
      </c>
      <c r="T180">
        <v>81</v>
      </c>
      <c r="W180">
        <v>258</v>
      </c>
      <c r="X180" s="4">
        <f t="shared" si="62"/>
        <v>0.31851851851851853</v>
      </c>
      <c r="Y180">
        <v>110</v>
      </c>
      <c r="AA180">
        <v>17.829999999999998</v>
      </c>
      <c r="AB180">
        <v>17.829999999999998</v>
      </c>
      <c r="AD180">
        <v>3.77</v>
      </c>
      <c r="AE180" s="11">
        <v>0</v>
      </c>
      <c r="AF180" t="str">
        <f>CONCATENATE(VLOOKUP(AG180, 'Voxel Sizes'!$A$2:$B$18,2,FALSE),"x",INT(AC180*15), "x", INT(AD180*15))</f>
        <v>164x0x56</v>
      </c>
      <c r="AG180">
        <f t="shared" si="67"/>
        <v>10</v>
      </c>
      <c r="AI180" t="str">
        <f>CONCATENATE(VLOOKUP(AG180,Constants!$A$2:$C$16,IF(AH180&lt;&gt;"", 3, 2), FALSE),IF(AH180&lt;&gt;"",CONCATENATE(",",VLOOKUP(AH180,$B:$AI,34,FALSE)),""))</f>
        <v>4,2,4</v>
      </c>
      <c r="AS180">
        <v>30</v>
      </c>
      <c r="AT180">
        <f t="shared" si="68"/>
        <v>29</v>
      </c>
      <c r="AW180">
        <f t="shared" si="69"/>
        <v>22</v>
      </c>
      <c r="AX180">
        <f t="shared" si="70"/>
        <v>20</v>
      </c>
      <c r="AY180">
        <f t="shared" si="71"/>
        <v>12.9</v>
      </c>
      <c r="AZ180" s="4">
        <f t="shared" si="76"/>
        <v>0.90266666666666673</v>
      </c>
      <c r="BA180">
        <f t="shared" si="72"/>
        <v>0</v>
      </c>
      <c r="BB180">
        <f>VLOOKUP($E180,Constants!$I:$K, 2, FALSE)</f>
        <v>0.85</v>
      </c>
      <c r="BC180">
        <f>VLOOKUP($E180,Constants!$I:$K, 3, FALSE)*IF(AND(D180="multiple_unit",Y180&lt;110),0.75,1)</f>
        <v>2.2999999999999998</v>
      </c>
      <c r="BD180">
        <f>INT(POWER(((Constants!$G$2+$AW180+$AX180+$AY180+$BA180)*$AZ180)*$BC180, 1.05))+$AV180</f>
        <v>158</v>
      </c>
      <c r="BE180">
        <f>INT(POWER((((Constants!$G$1+$AW180+$AX180+$AY180+$BA180)*($AZ180))*$BB180),IF($D180="wagon",1,1.2)))+$AU180</f>
        <v>118</v>
      </c>
      <c r="BF180" s="15">
        <f t="shared" si="73"/>
        <v>123437.5</v>
      </c>
      <c r="BG180" s="15">
        <f t="shared" si="74"/>
        <v>9587.5</v>
      </c>
      <c r="BN180">
        <v>1</v>
      </c>
      <c r="BR180" t="str">
        <f>VLOOKUP(G180,Eras!$A$2:$C$10, 2, TRUE)</f>
        <v>lbr</v>
      </c>
      <c r="BS180" t="s">
        <v>371</v>
      </c>
      <c r="BT180" t="str">
        <f t="shared" si="75"/>
        <v>lbr_Express (Electric)</v>
      </c>
      <c r="BU180" t="str">
        <f t="shared" si="63"/>
        <v>electric_ELRL</v>
      </c>
      <c r="BV180" t="str">
        <f>VLOOKUP($BU180, Constants!$M:$N, 2, FALSE)</f>
        <v>{BLACK}Powered by: {GOLD}25kV AC</v>
      </c>
      <c r="BW180" t="str">
        <f t="shared" si="64"/>
        <v/>
      </c>
      <c r="BX180" t="s">
        <v>582</v>
      </c>
      <c r="BY180" t="str">
        <f t="shared" si="79"/>
        <v/>
      </c>
      <c r="BZ180" t="str">
        <f t="shared" si="66"/>
        <v>{BLACK}Powered by: {GOLD}25kV AC {}{SILVER}The Class 87 was a further development of the Class 86 with even more power and performance, serving as the flagship of the British Rail electric fleet.</v>
      </c>
    </row>
    <row r="181" spans="1:78" x14ac:dyDescent="0.25">
      <c r="A181" t="s">
        <v>41</v>
      </c>
      <c r="B181" t="s">
        <v>339</v>
      </c>
      <c r="C181">
        <v>340</v>
      </c>
      <c r="D181" t="s">
        <v>295</v>
      </c>
      <c r="E181" t="s">
        <v>305</v>
      </c>
      <c r="F181" t="s">
        <v>307</v>
      </c>
      <c r="G181">
        <v>1975</v>
      </c>
      <c r="H181">
        <v>1982</v>
      </c>
      <c r="I181">
        <v>2021</v>
      </c>
      <c r="K181">
        <v>1770</v>
      </c>
      <c r="T181">
        <v>70.25</v>
      </c>
      <c r="W181">
        <v>160</v>
      </c>
      <c r="X181" s="4">
        <f t="shared" si="62"/>
        <v>0.22775800711743771</v>
      </c>
      <c r="Y181">
        <v>125</v>
      </c>
      <c r="AA181">
        <v>17.79</v>
      </c>
      <c r="AB181">
        <v>17.79</v>
      </c>
      <c r="AE181" s="11">
        <v>0</v>
      </c>
      <c r="AF181" t="str">
        <f>CONCATENATE(VLOOKUP(AG181, 'Voxel Sizes'!$A$2:$B$18,2,FALSE),"x",INT(AC181*15), "x", INT(AD181*15))</f>
        <v>164x0x0</v>
      </c>
      <c r="AG181">
        <f t="shared" si="67"/>
        <v>10</v>
      </c>
      <c r="AI181" t="str">
        <f>CONCATENATE(VLOOKUP(AG181,Constants!$A$2:$C$16,IF(AH181&lt;&gt;"", 3, 2), FALSE),IF(AH181&lt;&gt;"",CONCATENATE(",",VLOOKUP(AH181,$B:$AI,34,FALSE)),""))</f>
        <v>4,2,4</v>
      </c>
      <c r="AS181">
        <v>35</v>
      </c>
      <c r="AT181">
        <f t="shared" si="68"/>
        <v>42</v>
      </c>
      <c r="AW181">
        <f t="shared" si="69"/>
        <v>25</v>
      </c>
      <c r="AX181">
        <f t="shared" si="70"/>
        <v>8.85</v>
      </c>
      <c r="AY181">
        <f t="shared" si="71"/>
        <v>8</v>
      </c>
      <c r="AZ181" s="4">
        <f t="shared" si="76"/>
        <v>0.9</v>
      </c>
      <c r="BA181">
        <f t="shared" si="72"/>
        <v>0</v>
      </c>
      <c r="BB181">
        <f>VLOOKUP($E181,Constants!$I:$K, 2, FALSE)</f>
        <v>1</v>
      </c>
      <c r="BC181">
        <f>VLOOKUP($E181,Constants!$I:$K, 3, FALSE)*IF(AND(D181="multiple_unit",Y181&lt;110),0.75,1)</f>
        <v>2</v>
      </c>
      <c r="BD181">
        <f>INT(POWER(((Constants!$G$2+$AW181+$AX181+$AY181+$BA181)*$AZ181)*$BC181, 1.05))+$AV181</f>
        <v>105</v>
      </c>
      <c r="BE181">
        <f>INT(POWER((((Constants!$G$1+$AW181+$AX181+$AY181+$BA181)*($AZ181))*$BB181),IF($D181="wagon",1,1.2)))+$AU181</f>
        <v>112</v>
      </c>
      <c r="BF181" s="15">
        <f t="shared" si="73"/>
        <v>82031.25</v>
      </c>
      <c r="BG181" s="15">
        <f t="shared" si="74"/>
        <v>9100</v>
      </c>
      <c r="BH181">
        <v>1</v>
      </c>
      <c r="BL181">
        <v>1</v>
      </c>
      <c r="BN181">
        <v>2</v>
      </c>
      <c r="BR181" t="str">
        <f>VLOOKUP(G181,Eras!$A$2:$C$10, 2, TRUE)</f>
        <v>lbr</v>
      </c>
      <c r="BS181" t="s">
        <v>361</v>
      </c>
      <c r="BT181" t="str">
        <f t="shared" si="75"/>
        <v>lbr_Express</v>
      </c>
      <c r="BU181" t="str">
        <f t="shared" si="63"/>
        <v>diesel_RAIL</v>
      </c>
      <c r="BV181" t="str">
        <f>VLOOKUP($BU181, Constants!$M:$N, 2, FALSE)</f>
        <v>{BLACK}Powered by: {GOLD}Diesel</v>
      </c>
      <c r="BW181" t="str">
        <f t="shared" si="64"/>
        <v/>
      </c>
      <c r="BX181" t="s">
        <v>399</v>
      </c>
      <c r="BY181" t="str">
        <f t="shared" si="79"/>
        <v/>
      </c>
      <c r="BZ181" t="str">
        <f t="shared" si="66"/>
        <v>{BLACK}Powered by: {GOLD}Diesel {}{SILVER}The Class 43 HST is a high-speed diesel-electric locomotive, also known as the Intercity 125 for its 125mph service speed and intended use on long routes between cities.</v>
      </c>
    </row>
    <row r="182" spans="1:78" x14ac:dyDescent="0.25">
      <c r="A182" t="s">
        <v>583</v>
      </c>
      <c r="B182" t="s">
        <v>585</v>
      </c>
      <c r="C182">
        <v>342</v>
      </c>
      <c r="D182" t="s">
        <v>295</v>
      </c>
      <c r="E182" t="s">
        <v>305</v>
      </c>
      <c r="F182" t="s">
        <v>307</v>
      </c>
      <c r="G182">
        <v>1976</v>
      </c>
      <c r="H182">
        <v>1984</v>
      </c>
      <c r="K182">
        <v>3250</v>
      </c>
      <c r="T182">
        <v>125</v>
      </c>
      <c r="W182">
        <v>275</v>
      </c>
      <c r="X182" s="4">
        <f t="shared" si="62"/>
        <v>0.22</v>
      </c>
      <c r="Y182">
        <v>80</v>
      </c>
      <c r="AA182">
        <v>19.350000000000001</v>
      </c>
      <c r="AB182">
        <v>19.350000000000001</v>
      </c>
      <c r="AD182">
        <v>3.89</v>
      </c>
      <c r="AE182" s="11">
        <v>0</v>
      </c>
      <c r="AF182" t="str">
        <f>CONCATENATE(VLOOKUP(AG182, 'Voxel Sizes'!$A$2:$B$18,2,FALSE),"x",INT(AC182*15), "x", INT(AD182*15))</f>
        <v>186x0x58</v>
      </c>
      <c r="AG182">
        <f t="shared" si="67"/>
        <v>11</v>
      </c>
      <c r="AI182" t="str">
        <f>CONCATENATE(VLOOKUP(AG182,Constants!$A$2:$C$16,IF(AH182&lt;&gt;"", 3, 2), FALSE),IF(AH182&lt;&gt;"",CONCATENATE(",",VLOOKUP(AH182,$B:$AI,34,FALSE)),""))</f>
        <v>4,3,4</v>
      </c>
      <c r="AS182">
        <v>30</v>
      </c>
      <c r="AT182" t="str">
        <f t="shared" si="68"/>
        <v/>
      </c>
      <c r="AW182">
        <f t="shared" si="69"/>
        <v>16</v>
      </c>
      <c r="AX182">
        <f t="shared" si="70"/>
        <v>16.25</v>
      </c>
      <c r="AY182">
        <f t="shared" si="71"/>
        <v>13.75</v>
      </c>
      <c r="AZ182" s="4">
        <f t="shared" si="76"/>
        <v>0.89866666666666672</v>
      </c>
      <c r="BA182">
        <f t="shared" si="72"/>
        <v>0</v>
      </c>
      <c r="BB182">
        <f>VLOOKUP($E182,Constants!$I:$K, 2, FALSE)</f>
        <v>1</v>
      </c>
      <c r="BC182">
        <f>VLOOKUP($E182,Constants!$I:$K, 3, FALSE)*IF(AND(D182="multiple_unit",Y182&lt;110),0.75,1)</f>
        <v>2</v>
      </c>
      <c r="BD182">
        <f>INT(POWER(((Constants!$G$2+$AW182+$AX182+$AY182+$BA182)*$AZ182)*$BC182, 1.05))+$AV182</f>
        <v>114</v>
      </c>
      <c r="BE182">
        <f>INT(POWER((((Constants!$G$1+$AW182+$AX182+$AY182+$BA182)*($AZ182))*$BB182),IF($D182="wagon",1,1.2)))+$AU182</f>
        <v>122</v>
      </c>
      <c r="BF182" s="15">
        <f t="shared" si="73"/>
        <v>89062.5</v>
      </c>
      <c r="BG182" s="15">
        <f t="shared" si="74"/>
        <v>9912.5</v>
      </c>
      <c r="BN182">
        <v>3</v>
      </c>
      <c r="BR182" t="str">
        <f>VLOOKUP(G182,Eras!$A$2:$C$10, 2, TRUE)</f>
        <v>lbr</v>
      </c>
      <c r="BS182" t="s">
        <v>362</v>
      </c>
      <c r="BT182" t="str">
        <f t="shared" si="75"/>
        <v>lbr_Freight</v>
      </c>
      <c r="BU182" t="str">
        <f t="shared" si="63"/>
        <v>diesel_RAIL</v>
      </c>
      <c r="BV182" t="str">
        <f>VLOOKUP($BU182, Constants!$M:$N, 2, FALSE)</f>
        <v>{BLACK}Powered by: {GOLD}Diesel</v>
      </c>
      <c r="BW182" t="str">
        <f t="shared" si="64"/>
        <v/>
      </c>
      <c r="BX182" t="s">
        <v>584</v>
      </c>
      <c r="BY182" t="str">
        <f t="shared" si="79"/>
        <v/>
      </c>
      <c r="BZ182" t="str">
        <f t="shared" si="66"/>
        <v>{BLACK}Powered by: {GOLD}Diesel {}{SILVER}The Class 56 is designed for heavy freight work. It contains many improvements to the electric drivetrain compared to earlier diesel-electric locomotives, making it more reliable and easier to operate.</v>
      </c>
    </row>
    <row r="183" spans="1:78" x14ac:dyDescent="0.25">
      <c r="A183" t="s">
        <v>51</v>
      </c>
      <c r="B183" t="s">
        <v>596</v>
      </c>
      <c r="C183">
        <v>344</v>
      </c>
      <c r="D183" t="s">
        <v>295</v>
      </c>
      <c r="E183" t="s">
        <v>305</v>
      </c>
      <c r="F183" t="s">
        <v>307</v>
      </c>
      <c r="G183">
        <v>1983</v>
      </c>
      <c r="H183">
        <v>1987</v>
      </c>
      <c r="K183">
        <v>3300</v>
      </c>
      <c r="T183">
        <v>130</v>
      </c>
      <c r="W183">
        <v>267</v>
      </c>
      <c r="X183" s="4">
        <f t="shared" si="62"/>
        <v>0.20538461538461539</v>
      </c>
      <c r="Y183">
        <v>80</v>
      </c>
      <c r="AA183">
        <v>19.13</v>
      </c>
      <c r="AB183">
        <v>19.13</v>
      </c>
      <c r="AD183">
        <v>3.91</v>
      </c>
      <c r="AE183" s="11">
        <v>0</v>
      </c>
      <c r="AF183" t="str">
        <f>CONCATENATE(VLOOKUP(AG183, 'Voxel Sizes'!$A$2:$B$18,2,FALSE),"x",INT(AC183*15), "x", INT(AD183*15))</f>
        <v>186x0x58</v>
      </c>
      <c r="AG183">
        <f t="shared" si="67"/>
        <v>11</v>
      </c>
      <c r="AI183" t="str">
        <f>CONCATENATE(VLOOKUP(AG183,Constants!$A$2:$C$16,IF(AH183&lt;&gt;"", 3, 2), FALSE),IF(AH183&lt;&gt;"",CONCATENATE(",",VLOOKUP(AH183,$B:$AI,34,FALSE)),""))</f>
        <v>4,3,4</v>
      </c>
      <c r="AS183">
        <v>30</v>
      </c>
      <c r="AT183" t="str">
        <f t="shared" si="68"/>
        <v/>
      </c>
      <c r="AW183">
        <f t="shared" si="69"/>
        <v>16</v>
      </c>
      <c r="AX183">
        <f t="shared" si="70"/>
        <v>16.5</v>
      </c>
      <c r="AY183">
        <f t="shared" si="71"/>
        <v>13.35</v>
      </c>
      <c r="AZ183" s="4">
        <f t="shared" si="76"/>
        <v>0.88933333333333331</v>
      </c>
      <c r="BA183">
        <f t="shared" si="72"/>
        <v>0</v>
      </c>
      <c r="BB183">
        <f>VLOOKUP($E183,Constants!$I:$K, 2, FALSE)</f>
        <v>1</v>
      </c>
      <c r="BC183">
        <f>VLOOKUP($E183,Constants!$I:$K, 3, FALSE)*IF(AND(D183="multiple_unit",Y183&lt;110),0.75,1)</f>
        <v>2</v>
      </c>
      <c r="BD183">
        <f>INT(POWER(((Constants!$G$2+$AW183+$AX183+$AY183+$BA183)*$AZ183)*$BC183, 1.05))+$AV183</f>
        <v>113</v>
      </c>
      <c r="BE183">
        <f>INT(POWER((((Constants!$G$1+$AW183+$AX183+$AY183+$BA183)*($AZ183))*$BB183),IF($D183="wagon",1,1.2)))+$AU183</f>
        <v>120</v>
      </c>
      <c r="BF183" s="15">
        <f t="shared" si="73"/>
        <v>88281.25</v>
      </c>
      <c r="BG183" s="15">
        <f t="shared" si="74"/>
        <v>9750</v>
      </c>
      <c r="BN183">
        <v>4</v>
      </c>
      <c r="BR183" t="str">
        <f>VLOOKUP(G183,Eras!$A$2:$C$10, 2, TRUE)</f>
        <v>lbr</v>
      </c>
      <c r="BS183" t="s">
        <v>362</v>
      </c>
      <c r="BT183" t="str">
        <f t="shared" si="75"/>
        <v>lbr_Freight</v>
      </c>
      <c r="BU183" t="str">
        <f t="shared" si="63"/>
        <v>diesel_RAIL</v>
      </c>
      <c r="BV183" t="str">
        <f>VLOOKUP($BU183, Constants!$M:$N, 2, FALSE)</f>
        <v>{BLACK}Powered by: {GOLD}Diesel</v>
      </c>
      <c r="BW183" t="str">
        <f t="shared" si="64"/>
        <v/>
      </c>
      <c r="BX183" t="s">
        <v>595</v>
      </c>
      <c r="BY183" t="str">
        <f t="shared" si="79"/>
        <v/>
      </c>
      <c r="BZ183" t="str">
        <f t="shared" si="66"/>
        <v>{BLACK}Powered by: {GOLD}Diesel {}{SILVER}The Class 58 used a modular design with replaceable modules mounted to an underframe. It was nicknamed "Bone" after the narrow central section.</v>
      </c>
    </row>
    <row r="184" spans="1:78" x14ac:dyDescent="0.25">
      <c r="A184" t="s">
        <v>40</v>
      </c>
      <c r="B184" t="s">
        <v>198</v>
      </c>
      <c r="C184">
        <v>346</v>
      </c>
      <c r="D184" t="s">
        <v>295</v>
      </c>
      <c r="E184" t="s">
        <v>305</v>
      </c>
      <c r="F184" t="s">
        <v>307</v>
      </c>
      <c r="G184">
        <v>1985</v>
      </c>
      <c r="H184">
        <v>1995</v>
      </c>
      <c r="K184">
        <v>3300</v>
      </c>
      <c r="T184">
        <v>126</v>
      </c>
      <c r="W184">
        <v>290</v>
      </c>
      <c r="X184" s="4">
        <f t="shared" si="62"/>
        <v>0.23015873015873015</v>
      </c>
      <c r="Y184">
        <v>75</v>
      </c>
      <c r="AA184">
        <v>21.4</v>
      </c>
      <c r="AB184">
        <v>21.4</v>
      </c>
      <c r="AD184">
        <v>3.91</v>
      </c>
      <c r="AE184" s="11">
        <v>0</v>
      </c>
      <c r="AF184" t="str">
        <f>CONCATENATE(VLOOKUP(AG184, 'Voxel Sizes'!$A$2:$B$18,2,FALSE),"x",INT(AC184*15), "x", INT(AD184*15))</f>
        <v>214x0x58</v>
      </c>
      <c r="AG184">
        <f t="shared" si="67"/>
        <v>13</v>
      </c>
      <c r="AI184" t="str">
        <f>CONCATENATE(VLOOKUP(AG184,Constants!$A$2:$C$16,IF(AH184&lt;&gt;"", 3, 2), FALSE),IF(AH184&lt;&gt;"",CONCATENATE(",",VLOOKUP(AH184,$B:$AI,34,FALSE)),""))</f>
        <v>4,5,4</v>
      </c>
      <c r="AS184">
        <v>30</v>
      </c>
      <c r="AT184" t="str">
        <f t="shared" si="68"/>
        <v/>
      </c>
      <c r="AW184">
        <f t="shared" si="69"/>
        <v>15</v>
      </c>
      <c r="AX184">
        <f t="shared" si="70"/>
        <v>16.5</v>
      </c>
      <c r="AY184">
        <f t="shared" si="71"/>
        <v>14.5</v>
      </c>
      <c r="AZ184" s="4">
        <f t="shared" si="76"/>
        <v>0.88666666666666671</v>
      </c>
      <c r="BA184">
        <f t="shared" si="72"/>
        <v>0</v>
      </c>
      <c r="BB184">
        <f>VLOOKUP($E184,Constants!$I:$K, 2, FALSE)</f>
        <v>1</v>
      </c>
      <c r="BC184">
        <f>VLOOKUP($E184,Constants!$I:$K, 3, FALSE)*IF(AND(D184="multiple_unit",Y184&lt;110),0.75,1)</f>
        <v>2</v>
      </c>
      <c r="BD184">
        <f>INT(POWER(((Constants!$G$2+$AW184+$AX184+$AY184+$BA184)*$AZ184)*$BC184, 1.05))+$AV184</f>
        <v>113</v>
      </c>
      <c r="BE184">
        <f>INT(POWER((((Constants!$G$1+$AW184+$AX184+$AY184+$BA184)*($AZ184))*$BB184),IF($D184="wagon",1,1.2)))+$AU184</f>
        <v>120</v>
      </c>
      <c r="BF184" s="15">
        <f t="shared" si="73"/>
        <v>88281.25</v>
      </c>
      <c r="BG184" s="15">
        <f t="shared" si="74"/>
        <v>9750</v>
      </c>
      <c r="BN184">
        <v>5</v>
      </c>
      <c r="BR184" t="str">
        <f>VLOOKUP(G184,Eras!$A$2:$C$10, 2, TRUE)</f>
        <v>lbr</v>
      </c>
      <c r="BS184" t="s">
        <v>362</v>
      </c>
      <c r="BT184" t="str">
        <f t="shared" si="75"/>
        <v>lbr_Freight</v>
      </c>
      <c r="BU184" t="str">
        <f t="shared" si="63"/>
        <v>diesel_RAIL</v>
      </c>
      <c r="BV184" t="str">
        <f>VLOOKUP($BU184, Constants!$M:$N, 2, FALSE)</f>
        <v>{BLACK}Powered by: {GOLD}Diesel</v>
      </c>
      <c r="BW184" t="str">
        <f t="shared" si="64"/>
        <v/>
      </c>
      <c r="BX184" t="s">
        <v>597</v>
      </c>
      <c r="BY184" t="str">
        <f t="shared" si="79"/>
        <v/>
      </c>
      <c r="BZ184" t="str">
        <f t="shared" si="66"/>
        <v>{BLACK}Powered by: {GOLD}Diesel {}{SILVER}The Class 59 is the first US-built locomotive to operate in mainland Great Britain. It is derived from the SD40, with a British cab layout.</v>
      </c>
    </row>
    <row r="185" spans="1:78" x14ac:dyDescent="0.25">
      <c r="A185" t="s">
        <v>1244</v>
      </c>
      <c r="B185" t="s">
        <v>1246</v>
      </c>
      <c r="C185">
        <v>347</v>
      </c>
      <c r="D185" t="s">
        <v>295</v>
      </c>
      <c r="E185" t="s">
        <v>329</v>
      </c>
      <c r="F185" t="s">
        <v>330</v>
      </c>
      <c r="G185">
        <v>1986</v>
      </c>
      <c r="I185">
        <v>2001</v>
      </c>
      <c r="K185">
        <v>5850</v>
      </c>
      <c r="T185">
        <v>105</v>
      </c>
      <c r="W185">
        <v>209</v>
      </c>
      <c r="X185" s="4">
        <f t="shared" ref="X185:X250" si="80">IF(AND(T185&gt;0,W185&gt;0),(W185/((T185+U185)*10)),"")</f>
        <v>0.19904761904761906</v>
      </c>
      <c r="Y185">
        <v>125</v>
      </c>
      <c r="AA185">
        <v>19.79</v>
      </c>
      <c r="AB185">
        <v>19.79</v>
      </c>
      <c r="AC185">
        <v>2.73</v>
      </c>
      <c r="AD185">
        <v>3.8</v>
      </c>
      <c r="AF185" t="str">
        <f>CONCATENATE(VLOOKUP(AG185, 'Voxel Sizes'!$A$2:$B$18,2,FALSE),"x",INT(AC185*15), "x", INT(AD185*15))</f>
        <v>198x40x57</v>
      </c>
      <c r="AG185">
        <f t="shared" si="67"/>
        <v>12</v>
      </c>
      <c r="AI185" t="str">
        <f>CONCATENATE(VLOOKUP(AG185,Constants!$A$2:$C$16,IF(AH185&lt;&gt;"", 3, 2), FALSE),IF(AH185&lt;&gt;"",CONCATENATE(",",VLOOKUP(AH185,$B:$AI,34,FALSE)),""))</f>
        <v>4,4,4</v>
      </c>
      <c r="AS185">
        <v>24</v>
      </c>
      <c r="AT185">
        <f t="shared" si="68"/>
        <v>11</v>
      </c>
      <c r="AU185">
        <v>15</v>
      </c>
      <c r="AV185">
        <v>-30</v>
      </c>
      <c r="AW185">
        <f t="shared" si="69"/>
        <v>25</v>
      </c>
      <c r="AX185">
        <f t="shared" si="70"/>
        <v>20</v>
      </c>
      <c r="AY185">
        <f t="shared" si="71"/>
        <v>10.45</v>
      </c>
      <c r="AZ185" s="4">
        <f t="shared" si="76"/>
        <v>0.88533333333333331</v>
      </c>
      <c r="BA185">
        <f t="shared" si="72"/>
        <v>0</v>
      </c>
      <c r="BB185">
        <f>VLOOKUP($E185,Constants!$I:$K, 2, FALSE)</f>
        <v>0.85</v>
      </c>
      <c r="BC185">
        <f>VLOOKUP($E185,Constants!$I:$K, 3, FALSE)*IF(AND(D185="multiple_unit",Y185&lt;110),0.75,1)</f>
        <v>2.2999999999999998</v>
      </c>
      <c r="BD185">
        <f>INT(POWER(((Constants!$G$2+$AW185+$AX185+$AY185+$BA185)*$AZ185)*$BC185, 1.05))+$AV185</f>
        <v>126</v>
      </c>
      <c r="BE185">
        <f>INT(POWER((((Constants!$G$1+$AW185+$AX185+$AY185+$BA185)*($AZ185))*$BB185),IF($D185="wagon",1,1.2)))+$AU185</f>
        <v>132</v>
      </c>
      <c r="BF185" s="15">
        <f t="shared" si="73"/>
        <v>98437.5</v>
      </c>
      <c r="BG185" s="15">
        <f t="shared" si="74"/>
        <v>10725</v>
      </c>
      <c r="BN185">
        <v>5</v>
      </c>
      <c r="BR185" t="str">
        <f>VLOOKUP(G185,Eras!$A$2:$C$10, 2, TRUE)</f>
        <v>lbr</v>
      </c>
      <c r="BS185" t="s">
        <v>361</v>
      </c>
      <c r="BT185" t="str">
        <f t="shared" si="75"/>
        <v>lbr_Express</v>
      </c>
      <c r="BU185" t="str">
        <f t="shared" si="63"/>
        <v>electric_ELRL</v>
      </c>
      <c r="BV185" t="str">
        <f>VLOOKUP($BU185, Constants!$M:$N, 2, FALSE)</f>
        <v>{BLACK}Powered by: {GOLD}25kV AC</v>
      </c>
      <c r="BW185" t="str">
        <f t="shared" si="64"/>
        <v/>
      </c>
      <c r="BX185" t="s">
        <v>1280</v>
      </c>
      <c r="BZ185" t="str">
        <f t="shared" si="66"/>
        <v>{BLACK}Powered by: {GOLD}25kV AC {}{SILVER}The Class 89 was a prototype express locomotive; unfortunately the specification changed after the prototype was built, and only a single example was completed. It was withdrawn from service twice after major breakdowns.</v>
      </c>
    </row>
    <row r="186" spans="1:78" x14ac:dyDescent="0.25">
      <c r="A186" t="s">
        <v>72</v>
      </c>
      <c r="B186" t="s">
        <v>199</v>
      </c>
      <c r="C186">
        <v>348</v>
      </c>
      <c r="D186" t="s">
        <v>295</v>
      </c>
      <c r="E186" t="s">
        <v>329</v>
      </c>
      <c r="F186" t="s">
        <v>330</v>
      </c>
      <c r="G186">
        <v>1987</v>
      </c>
      <c r="H186">
        <v>1990</v>
      </c>
      <c r="K186">
        <v>5000</v>
      </c>
      <c r="T186">
        <v>84.5</v>
      </c>
      <c r="W186">
        <v>258</v>
      </c>
      <c r="X186" s="4">
        <f t="shared" si="80"/>
        <v>0.30532544378698223</v>
      </c>
      <c r="Y186">
        <v>110</v>
      </c>
      <c r="AA186">
        <v>18.75</v>
      </c>
      <c r="AB186">
        <v>18.75</v>
      </c>
      <c r="AD186">
        <v>3.96</v>
      </c>
      <c r="AE186" s="11">
        <v>0</v>
      </c>
      <c r="AF186" t="str">
        <f>CONCATENATE(VLOOKUP(AG186, 'Voxel Sizes'!$A$2:$B$18,2,FALSE),"x",INT(AC186*15), "x", INT(AD186*15))</f>
        <v>186x0x59</v>
      </c>
      <c r="AG186">
        <f t="shared" si="67"/>
        <v>11</v>
      </c>
      <c r="AI186" t="str">
        <f>CONCATENATE(VLOOKUP(AG186,Constants!$A$2:$C$16,IF(AH186&lt;&gt;"", 3, 2), FALSE),IF(AH186&lt;&gt;"",CONCATENATE(",",VLOOKUP(AH186,$B:$AI,34,FALSE)),""))</f>
        <v>4,3,4</v>
      </c>
      <c r="AS186">
        <v>30</v>
      </c>
      <c r="AT186" t="str">
        <f t="shared" si="68"/>
        <v/>
      </c>
      <c r="AW186">
        <f t="shared" si="69"/>
        <v>22</v>
      </c>
      <c r="AX186">
        <f t="shared" si="70"/>
        <v>20</v>
      </c>
      <c r="AY186">
        <f t="shared" si="71"/>
        <v>12.9</v>
      </c>
      <c r="AZ186" s="4">
        <f t="shared" si="76"/>
        <v>0.88400000000000001</v>
      </c>
      <c r="BA186">
        <f t="shared" si="72"/>
        <v>0</v>
      </c>
      <c r="BB186">
        <f>VLOOKUP($E186,Constants!$I:$K, 2, FALSE)</f>
        <v>0.85</v>
      </c>
      <c r="BC186">
        <f>VLOOKUP($E186,Constants!$I:$K, 3, FALSE)*IF(AND(D186="multiple_unit",Y186&lt;110),0.75,1)</f>
        <v>2.2999999999999998</v>
      </c>
      <c r="BD186">
        <f>INT(POWER(((Constants!$G$2+$AW186+$AX186+$AY186+$BA186)*$AZ186)*$BC186, 1.05))+$AV186</f>
        <v>154</v>
      </c>
      <c r="BE186">
        <f>INT(POWER((((Constants!$G$1+$AW186+$AX186+$AY186+$BA186)*($AZ186))*$BB186),IF($D186="wagon",1,1.2)))+$AU186</f>
        <v>115</v>
      </c>
      <c r="BF186" s="15">
        <f t="shared" si="73"/>
        <v>120312.5</v>
      </c>
      <c r="BG186" s="15">
        <f t="shared" si="74"/>
        <v>9343.75</v>
      </c>
      <c r="BN186">
        <v>6</v>
      </c>
      <c r="BR186" t="str">
        <f>VLOOKUP(G186,Eras!$A$2:$C$10, 2, TRUE)</f>
        <v>lbr</v>
      </c>
      <c r="BS186" t="s">
        <v>361</v>
      </c>
      <c r="BT186" t="str">
        <f t="shared" si="75"/>
        <v>lbr_Express</v>
      </c>
      <c r="BU186" t="str">
        <f t="shared" si="63"/>
        <v>electric_ELRL</v>
      </c>
      <c r="BV186" t="str">
        <f>VLOOKUP($BU186, Constants!$M:$N, 2, FALSE)</f>
        <v>{BLACK}Powered by: {GOLD}25kV AC</v>
      </c>
      <c r="BW186" t="str">
        <f t="shared" si="64"/>
        <v/>
      </c>
      <c r="BX186" t="s">
        <v>600</v>
      </c>
      <c r="BY186" t="str">
        <f t="shared" ref="BY186:BY231" si="81">IF(BQ186="BRAKE","{YELLOW}Speed bonus for slow wagons{}",IF(BO186&gt;190,CONCATENATE("{YELLOW}",INT((BO186-185)/1.85),"% Bonus for long distance travel{}"),IF(AND(BO186&lt;180,BO186&lt;&gt;0),CONCATENATE("{YELLOW}",INT((185-BO186)/1.85),"% Penalty for long distance travel{}"),"")))</f>
        <v/>
      </c>
      <c r="BZ186" t="str">
        <f t="shared" si="66"/>
        <v>{BLACK}Powered by: {GOLD}25kV AC {}{SILVER}The Class 90 is a powerful electric locomotive. Initially used for Intercity express services, several were also used for freight.</v>
      </c>
    </row>
    <row r="187" spans="1:78" x14ac:dyDescent="0.25">
      <c r="A187" t="s">
        <v>606</v>
      </c>
      <c r="B187" t="s">
        <v>267</v>
      </c>
      <c r="C187">
        <v>350</v>
      </c>
      <c r="D187" t="s">
        <v>295</v>
      </c>
      <c r="E187" t="s">
        <v>329</v>
      </c>
      <c r="F187" t="s">
        <v>330</v>
      </c>
      <c r="G187">
        <v>1988</v>
      </c>
      <c r="H187">
        <v>1991</v>
      </c>
      <c r="K187">
        <v>6480</v>
      </c>
      <c r="T187">
        <v>81.5</v>
      </c>
      <c r="W187">
        <v>190</v>
      </c>
      <c r="X187" s="4">
        <f t="shared" si="80"/>
        <v>0.23312883435582821</v>
      </c>
      <c r="Y187">
        <v>140</v>
      </c>
      <c r="AA187">
        <v>19.399999999999999</v>
      </c>
      <c r="AB187">
        <v>19.399999999999999</v>
      </c>
      <c r="AE187" s="11">
        <v>0</v>
      </c>
      <c r="AF187" t="str">
        <f>CONCATENATE(VLOOKUP(AG187, 'Voxel Sizes'!$A$2:$B$18,2,FALSE),"x",INT(AC187*15), "x", INT(AD187*15))</f>
        <v>186x0x0</v>
      </c>
      <c r="AG187">
        <f t="shared" si="67"/>
        <v>11</v>
      </c>
      <c r="AI187" t="str">
        <f>CONCATENATE(VLOOKUP(AG187,Constants!$A$2:$C$16,IF(AH187&lt;&gt;"", 3, 2), FALSE),IF(AH187&lt;&gt;"",CONCATENATE(",",VLOOKUP(AH187,$B:$AI,34,FALSE)),""))</f>
        <v>4,3,4</v>
      </c>
      <c r="AS187">
        <v>27</v>
      </c>
      <c r="AT187" t="str">
        <f t="shared" si="68"/>
        <v/>
      </c>
      <c r="AW187">
        <f t="shared" si="69"/>
        <v>28</v>
      </c>
      <c r="AX187">
        <f t="shared" si="70"/>
        <v>20</v>
      </c>
      <c r="AY187">
        <f t="shared" si="71"/>
        <v>9.5</v>
      </c>
      <c r="AZ187" s="4">
        <f t="shared" si="76"/>
        <v>0.88266666666666671</v>
      </c>
      <c r="BA187">
        <f t="shared" si="72"/>
        <v>0</v>
      </c>
      <c r="BB187">
        <f>VLOOKUP($E187,Constants!$I:$K, 2, FALSE)</f>
        <v>0.85</v>
      </c>
      <c r="BC187">
        <f>VLOOKUP($E187,Constants!$I:$K, 3, FALSE)*IF(AND(D187="multiple_unit",Y187&lt;110),0.75,1)</f>
        <v>2.2999999999999998</v>
      </c>
      <c r="BD187">
        <f>INT(POWER(((Constants!$G$2+$AW187+$AX187+$AY187+$BA187)*$AZ187)*$BC187, 1.05))+$AV187</f>
        <v>161</v>
      </c>
      <c r="BE187">
        <f>INT(POWER((((Constants!$G$1+$AW187+$AX187+$AY187+$BA187)*($AZ187))*$BB187),IF($D187="wagon",1,1.2)))+$AU187</f>
        <v>120</v>
      </c>
      <c r="BF187" s="15">
        <f t="shared" si="73"/>
        <v>125781.25</v>
      </c>
      <c r="BG187" s="15">
        <f t="shared" si="74"/>
        <v>9750</v>
      </c>
      <c r="BN187">
        <v>7</v>
      </c>
      <c r="BR187" t="str">
        <f>VLOOKUP(G187,Eras!$A$2:$C$10, 2, TRUE)</f>
        <v>lbr</v>
      </c>
      <c r="BS187" t="s">
        <v>371</v>
      </c>
      <c r="BT187" t="str">
        <f t="shared" si="75"/>
        <v>lbr_Express (Electric)</v>
      </c>
      <c r="BU187" t="str">
        <f t="shared" si="63"/>
        <v>electric_ELRL</v>
      </c>
      <c r="BV187" t="str">
        <f>VLOOKUP($BU187, Constants!$M:$N, 2, FALSE)</f>
        <v>{BLACK}Powered by: {GOLD}25kV AC</v>
      </c>
      <c r="BW187" t="str">
        <f t="shared" si="64"/>
        <v/>
      </c>
      <c r="BX187" t="s">
        <v>605</v>
      </c>
      <c r="BY187" t="str">
        <f t="shared" si="81"/>
        <v/>
      </c>
      <c r="BZ187" t="str">
        <f t="shared" si="66"/>
        <v>{BLACK}Powered by: {GOLD}25kV AC {}{SILVER}The Class 91 is a high speed electric locomotive, designed for Intercity 225 services.</v>
      </c>
    </row>
    <row r="188" spans="1:78" x14ac:dyDescent="0.25">
      <c r="A188" t="s">
        <v>607</v>
      </c>
      <c r="B188" t="s">
        <v>609</v>
      </c>
      <c r="C188">
        <v>352</v>
      </c>
      <c r="D188" t="s">
        <v>295</v>
      </c>
      <c r="E188" t="s">
        <v>329</v>
      </c>
      <c r="F188" t="s">
        <v>330</v>
      </c>
      <c r="G188">
        <v>1988</v>
      </c>
      <c r="H188">
        <v>1991</v>
      </c>
      <c r="K188">
        <v>100</v>
      </c>
      <c r="T188">
        <v>40</v>
      </c>
      <c r="W188">
        <v>5</v>
      </c>
      <c r="X188" s="4">
        <f t="shared" si="80"/>
        <v>1.2500000000000001E-2</v>
      </c>
      <c r="Y188">
        <v>140</v>
      </c>
      <c r="AA188">
        <v>19.399999999999999</v>
      </c>
      <c r="AB188">
        <v>19.399999999999999</v>
      </c>
      <c r="AE188" s="11">
        <v>0</v>
      </c>
      <c r="AF188" t="str">
        <f>CONCATENATE(VLOOKUP(AG188, 'Voxel Sizes'!$A$2:$B$18,2,FALSE),"x",INT(AC188*15), "x", INT(AD188*15))</f>
        <v>186x0x0</v>
      </c>
      <c r="AG188">
        <f t="shared" si="67"/>
        <v>11</v>
      </c>
      <c r="AI188" t="str">
        <f>CONCATENATE(VLOOKUP(AG188,Constants!$A$2:$C$16,IF(AH188&lt;&gt;"", 3, 2), FALSE),IF(AH188&lt;&gt;"",CONCATENATE(",",VLOOKUP(AH188,$B:$AI,34,FALSE)),""))</f>
        <v>4,3,4</v>
      </c>
      <c r="AS188">
        <v>27</v>
      </c>
      <c r="AT188" t="str">
        <f t="shared" si="68"/>
        <v/>
      </c>
      <c r="AU188">
        <v>-35</v>
      </c>
      <c r="AV188">
        <v>-60</v>
      </c>
      <c r="AW188">
        <f t="shared" si="69"/>
        <v>28</v>
      </c>
      <c r="AX188">
        <f t="shared" si="70"/>
        <v>0.5</v>
      </c>
      <c r="AY188">
        <f t="shared" si="71"/>
        <v>0.25</v>
      </c>
      <c r="AZ188" s="4">
        <f t="shared" si="76"/>
        <v>0.88266666666666671</v>
      </c>
      <c r="BA188">
        <f t="shared" si="72"/>
        <v>0</v>
      </c>
      <c r="BB188">
        <f>VLOOKUP($E188,Constants!$I:$K, 2, FALSE)</f>
        <v>0.85</v>
      </c>
      <c r="BC188">
        <f>VLOOKUP($E188,Constants!$I:$K, 3, FALSE)*IF(AND(D188="multiple_unit",Y188&lt;110),0.75,1)</f>
        <v>2.2999999999999998</v>
      </c>
      <c r="BD188">
        <f>INT(POWER(((Constants!$G$2+$AW188+$AX188+$AY188+$BA188)*$AZ188)*$BC188, 1.05))+$AV188</f>
        <v>24</v>
      </c>
      <c r="BE188">
        <f>INT(POWER((((Constants!$G$1+$AW188+$AX188+$AY188+$BA188)*($AZ188))*$BB188),IF($D188="wagon",1,1.2)))+$AU188</f>
        <v>30</v>
      </c>
      <c r="BF188" s="15">
        <f t="shared" si="73"/>
        <v>18750</v>
      </c>
      <c r="BG188" s="15">
        <f t="shared" si="74"/>
        <v>2437.5</v>
      </c>
      <c r="BH188">
        <v>1</v>
      </c>
      <c r="BI188">
        <v>1</v>
      </c>
      <c r="BN188">
        <v>7</v>
      </c>
      <c r="BR188" t="str">
        <f>VLOOKUP(G188,Eras!$A$2:$C$10, 2, TRUE)</f>
        <v>lbr</v>
      </c>
      <c r="BS188" t="s">
        <v>371</v>
      </c>
      <c r="BT188" t="str">
        <f t="shared" si="75"/>
        <v>lbr_Express (Electric)</v>
      </c>
      <c r="BU188" t="str">
        <f t="shared" si="63"/>
        <v>electric_ELRL</v>
      </c>
      <c r="BV188" t="str">
        <f>VLOOKUP($BU188, Constants!$M:$N, 2, FALSE)</f>
        <v>{BLACK}Powered by: {GOLD}25kV AC</v>
      </c>
      <c r="BW188" t="str">
        <f t="shared" si="64"/>
        <v/>
      </c>
      <c r="BX188" t="s">
        <v>608</v>
      </c>
      <c r="BY188" t="str">
        <f t="shared" si="81"/>
        <v/>
      </c>
      <c r="BZ188" t="str">
        <f t="shared" si="66"/>
        <v>{BLACK}Powered by: {GOLD}25kV AC {}{SILVER}This driving van trailer can be used with other electric locomotives, either as a leading or trailing vehicle. It is recommended for use with the Class 91.</v>
      </c>
    </row>
    <row r="189" spans="1:78" x14ac:dyDescent="0.25">
      <c r="A189" t="s">
        <v>649</v>
      </c>
      <c r="B189" t="s">
        <v>613</v>
      </c>
      <c r="C189">
        <v>354</v>
      </c>
      <c r="D189" t="s">
        <v>295</v>
      </c>
      <c r="E189" t="s">
        <v>305</v>
      </c>
      <c r="F189" t="s">
        <v>307</v>
      </c>
      <c r="G189">
        <v>1989</v>
      </c>
      <c r="K189">
        <v>3100</v>
      </c>
      <c r="T189">
        <v>129</v>
      </c>
      <c r="W189">
        <v>474</v>
      </c>
      <c r="X189" s="4">
        <f t="shared" si="80"/>
        <v>0.36744186046511629</v>
      </c>
      <c r="Y189">
        <v>60</v>
      </c>
      <c r="AA189">
        <v>21.34</v>
      </c>
      <c r="AB189">
        <v>21.34</v>
      </c>
      <c r="AC189">
        <v>2.64</v>
      </c>
      <c r="AD189">
        <v>3.95</v>
      </c>
      <c r="AE189" s="11">
        <v>0</v>
      </c>
      <c r="AF189" t="str">
        <f>CONCATENATE(VLOOKUP(AG189, 'Voxel Sizes'!$A$2:$B$18,2,FALSE),"x",INT(AC189*15), "x", INT(AD189*15))</f>
        <v>214x39x59</v>
      </c>
      <c r="AG189">
        <f t="shared" si="67"/>
        <v>13</v>
      </c>
      <c r="AI189" t="str">
        <f>CONCATENATE(VLOOKUP(AG189,Constants!$A$2:$C$16,IF(AH189&lt;&gt;"", 3, 2), FALSE),IF(AH189&lt;&gt;"",CONCATENATE(",",VLOOKUP(AH189,$B:$AI,34,FALSE)),""))</f>
        <v>4,5,4</v>
      </c>
      <c r="AS189">
        <v>30</v>
      </c>
      <c r="AT189" t="str">
        <f t="shared" si="68"/>
        <v/>
      </c>
      <c r="AW189">
        <f t="shared" si="69"/>
        <v>12</v>
      </c>
      <c r="AX189">
        <f t="shared" si="70"/>
        <v>15.5</v>
      </c>
      <c r="AY189">
        <f t="shared" si="71"/>
        <v>20</v>
      </c>
      <c r="AZ189" s="4">
        <f t="shared" si="76"/>
        <v>0.8813333333333333</v>
      </c>
      <c r="BA189">
        <f t="shared" si="72"/>
        <v>0</v>
      </c>
      <c r="BB189">
        <f>VLOOKUP($E189,Constants!$I:$K, 2, FALSE)</f>
        <v>1</v>
      </c>
      <c r="BC189">
        <f>VLOOKUP($E189,Constants!$I:$K, 3, FALSE)*IF(AND(D189="multiple_unit",Y189&lt;110),0.75,1)</f>
        <v>2</v>
      </c>
      <c r="BD189">
        <f>INT(POWER(((Constants!$G$2+$AW189+$AX189+$AY189+$BA189)*$AZ189)*$BC189, 1.05))+$AV189</f>
        <v>116</v>
      </c>
      <c r="BE189">
        <f>INT(POWER((((Constants!$G$1+$AW189+$AX189+$AY189+$BA189)*($AZ189))*$BB189),IF($D189="wagon",1,1.2)))+$AU189</f>
        <v>122</v>
      </c>
      <c r="BF189" s="15">
        <f t="shared" si="73"/>
        <v>90625</v>
      </c>
      <c r="BG189" s="15">
        <f t="shared" si="74"/>
        <v>9912.5</v>
      </c>
      <c r="BN189">
        <v>9</v>
      </c>
      <c r="BR189" t="str">
        <f>VLOOKUP(G189,Eras!$A$2:$C$10, 2, TRUE)</f>
        <v>lbr</v>
      </c>
      <c r="BS189" t="s">
        <v>362</v>
      </c>
      <c r="BT189" t="str">
        <f t="shared" si="75"/>
        <v>lbr_Freight</v>
      </c>
      <c r="BU189" t="str">
        <f t="shared" si="63"/>
        <v>diesel_RAIL</v>
      </c>
      <c r="BV189" t="str">
        <f>VLOOKUP($BU189, Constants!$M:$N, 2, FALSE)</f>
        <v>{BLACK}Powered by: {GOLD}Diesel</v>
      </c>
      <c r="BW189" t="str">
        <f t="shared" si="64"/>
        <v/>
      </c>
      <c r="BX189" t="s">
        <v>650</v>
      </c>
      <c r="BY189" t="str">
        <f t="shared" si="81"/>
        <v/>
      </c>
      <c r="BZ189" t="str">
        <f t="shared" si="66"/>
        <v>{BLACK}Powered by: {GOLD}Diesel {}{SILVER}The Brush Class 60 is a Type 5 diesel, designed for high power and tractive effort to haul heavy freight trains.</v>
      </c>
    </row>
    <row r="190" spans="1:78" x14ac:dyDescent="0.25">
      <c r="A190" t="s">
        <v>634</v>
      </c>
      <c r="B190" t="s">
        <v>200</v>
      </c>
      <c r="C190">
        <v>356</v>
      </c>
      <c r="D190" t="s">
        <v>295</v>
      </c>
      <c r="E190" t="s">
        <v>589</v>
      </c>
      <c r="F190" t="s">
        <v>588</v>
      </c>
      <c r="G190">
        <v>1993</v>
      </c>
      <c r="H190">
        <v>1996</v>
      </c>
      <c r="K190">
        <v>6760</v>
      </c>
      <c r="L190" s="9">
        <v>5360</v>
      </c>
      <c r="T190">
        <v>126</v>
      </c>
      <c r="W190">
        <v>360</v>
      </c>
      <c r="X190" s="4">
        <f t="shared" si="80"/>
        <v>0.2857142857142857</v>
      </c>
      <c r="Y190">
        <v>87</v>
      </c>
      <c r="AA190">
        <v>21.36</v>
      </c>
      <c r="AB190">
        <v>21.36</v>
      </c>
      <c r="AE190" s="11">
        <v>0</v>
      </c>
      <c r="AF190" t="str">
        <f>CONCATENATE(VLOOKUP(AG190, 'Voxel Sizes'!$A$2:$B$18,2,FALSE),"x",INT(AC190*15), "x", INT(AD190*15))</f>
        <v>214x0x0</v>
      </c>
      <c r="AG190">
        <f t="shared" si="67"/>
        <v>13</v>
      </c>
      <c r="AI190" t="str">
        <f>CONCATENATE(VLOOKUP(AG190,Constants!$A$2:$C$16,IF(AH190&lt;&gt;"", 3, 2), FALSE),IF(AH190&lt;&gt;"",CONCATENATE(",",VLOOKUP(AH190,$B:$AI,34,FALSE)),""))</f>
        <v>4,5,4</v>
      </c>
      <c r="AN190" t="s">
        <v>200</v>
      </c>
      <c r="AS190">
        <v>24</v>
      </c>
      <c r="AT190" t="str">
        <f t="shared" si="68"/>
        <v/>
      </c>
      <c r="AW190">
        <f t="shared" si="69"/>
        <v>17.399999999999999</v>
      </c>
      <c r="AX190">
        <f t="shared" si="70"/>
        <v>20</v>
      </c>
      <c r="AY190">
        <f t="shared" si="71"/>
        <v>18</v>
      </c>
      <c r="AZ190" s="4">
        <f t="shared" si="76"/>
        <v>0.876</v>
      </c>
      <c r="BA190">
        <f t="shared" si="72"/>
        <v>0</v>
      </c>
      <c r="BB190">
        <f>VLOOKUP($E190,Constants!$I:$K, 2, FALSE)</f>
        <v>0.85</v>
      </c>
      <c r="BC190">
        <f>VLOOKUP($E190,Constants!$I:$K, 3, FALSE)*IF(AND(D190="multiple_unit",Y190&lt;110),0.75,1)</f>
        <v>2.4</v>
      </c>
      <c r="BD190">
        <f>INT(POWER(((Constants!$G$2+$AW190+$AX190+$AY190+$BA190)*$AZ190)*$BC190, 1.05))+$AV190</f>
        <v>161</v>
      </c>
      <c r="BE190">
        <f>INT(POWER((((Constants!$G$1+$AW190+$AX190+$AY190+$BA190)*($AZ190))*$BB190),IF($D190="wagon",1,1.2)))+$AU190</f>
        <v>115</v>
      </c>
      <c r="BF190" s="15">
        <f t="shared" si="73"/>
        <v>125781.25</v>
      </c>
      <c r="BG190" s="15">
        <f t="shared" si="74"/>
        <v>9343.75</v>
      </c>
      <c r="BN190">
        <v>10</v>
      </c>
      <c r="BR190" t="str">
        <f>VLOOKUP(G190,Eras!$A$2:$C$10, 2, TRUE)</f>
        <v>lbr</v>
      </c>
      <c r="BS190" t="s">
        <v>362</v>
      </c>
      <c r="BT190" t="str">
        <f t="shared" si="75"/>
        <v>lbr_Freight</v>
      </c>
      <c r="BU190" t="str">
        <f t="shared" si="63"/>
        <v>dual_electric_DUAL_POWER</v>
      </c>
      <c r="BV190" t="str">
        <f>VLOOKUP($BU190, Constants!$M:$N, 2, FALSE)</f>
        <v>{BLACK}Powered by: {GOLD}25kV AC / 750V DC</v>
      </c>
      <c r="BW190" t="str">
        <f t="shared" si="64"/>
        <v/>
      </c>
      <c r="BX190" t="s">
        <v>618</v>
      </c>
      <c r="BY190" t="str">
        <f t="shared" si="81"/>
        <v/>
      </c>
      <c r="BZ190" t="str">
        <f t="shared" si="66"/>
        <v>{BLACK}Powered by: {GOLD}25kV AC / 750V DC {}{SILVER}The Class 92 was designed to operate services through the Channel Tunnel. It can run on both the Southern Region third rail system and overhead wires.</v>
      </c>
    </row>
    <row r="191" spans="1:78" x14ac:dyDescent="0.25">
      <c r="A191" t="s">
        <v>52</v>
      </c>
      <c r="B191" t="s">
        <v>201</v>
      </c>
      <c r="C191">
        <v>358</v>
      </c>
      <c r="D191" t="s">
        <v>295</v>
      </c>
      <c r="E191" t="s">
        <v>305</v>
      </c>
      <c r="F191" t="s">
        <v>307</v>
      </c>
      <c r="G191">
        <v>1998</v>
      </c>
      <c r="H191">
        <v>2015</v>
      </c>
      <c r="K191">
        <v>3300</v>
      </c>
      <c r="T191">
        <v>129.6</v>
      </c>
      <c r="W191">
        <v>260</v>
      </c>
      <c r="X191" s="4">
        <f t="shared" si="80"/>
        <v>0.20061728395061729</v>
      </c>
      <c r="Y191">
        <v>75</v>
      </c>
      <c r="AA191">
        <v>21.4</v>
      </c>
      <c r="AB191">
        <v>21.4</v>
      </c>
      <c r="AD191">
        <v>3.9</v>
      </c>
      <c r="AE191" s="11">
        <v>0</v>
      </c>
      <c r="AF191" t="str">
        <f>CONCATENATE(VLOOKUP(AG191, 'Voxel Sizes'!$A$2:$B$18,2,FALSE),"x",INT(AC191*15), "x", INT(AD191*15))</f>
        <v>214x0x58</v>
      </c>
      <c r="AG191">
        <f t="shared" si="67"/>
        <v>13</v>
      </c>
      <c r="AI191" t="str">
        <f>CONCATENATE(VLOOKUP(AG191,Constants!$A$2:$C$16,IF(AH191&lt;&gt;"", 3, 2), FALSE),IF(AH191&lt;&gt;"",CONCATENATE(",",VLOOKUP(AH191,$B:$AI,34,FALSE)),""))</f>
        <v>4,5,4</v>
      </c>
      <c r="AS191">
        <v>30</v>
      </c>
      <c r="AT191" t="str">
        <f t="shared" si="68"/>
        <v/>
      </c>
      <c r="AW191">
        <f t="shared" si="69"/>
        <v>15</v>
      </c>
      <c r="AX191">
        <f t="shared" si="70"/>
        <v>16.5</v>
      </c>
      <c r="AY191">
        <f t="shared" si="71"/>
        <v>13</v>
      </c>
      <c r="AZ191" s="4">
        <f t="shared" si="76"/>
        <v>0.86933333333333329</v>
      </c>
      <c r="BA191">
        <f t="shared" si="72"/>
        <v>0</v>
      </c>
      <c r="BB191">
        <f>VLOOKUP($E191,Constants!$I:$K, 2, FALSE)</f>
        <v>1</v>
      </c>
      <c r="BC191">
        <f>VLOOKUP($E191,Constants!$I:$K, 3, FALSE)*IF(AND(D191="multiple_unit",Y191&lt;110),0.75,1)</f>
        <v>2</v>
      </c>
      <c r="BD191">
        <f>INT(POWER(((Constants!$G$2+$AW191+$AX191+$AY191+$BA191)*$AZ191)*$BC191, 1.05))+$AV191</f>
        <v>107</v>
      </c>
      <c r="BE191">
        <f>INT(POWER((((Constants!$G$1+$AW191+$AX191+$AY191+$BA191)*($AZ191))*$BB191),IF($D191="wagon",1,1.2)))+$AU191</f>
        <v>113</v>
      </c>
      <c r="BF191" s="15">
        <f t="shared" si="73"/>
        <v>83593.75</v>
      </c>
      <c r="BG191" s="15">
        <f t="shared" si="74"/>
        <v>9181.25</v>
      </c>
      <c r="BN191">
        <v>11</v>
      </c>
      <c r="BR191" t="str">
        <f>VLOOKUP(G191,Eras!$A$2:$C$10, 2, TRUE)</f>
        <v>prv</v>
      </c>
      <c r="BS191" t="s">
        <v>362</v>
      </c>
      <c r="BT191" t="str">
        <f t="shared" si="75"/>
        <v>prv_Freight</v>
      </c>
      <c r="BU191" t="str">
        <f t="shared" si="63"/>
        <v>diesel_RAIL</v>
      </c>
      <c r="BV191" t="str">
        <f>VLOOKUP($BU191, Constants!$M:$N, 2, FALSE)</f>
        <v>{BLACK}Powered by: {GOLD}Diesel</v>
      </c>
      <c r="BW191" t="str">
        <f t="shared" si="64"/>
        <v/>
      </c>
      <c r="BX191" t="s">
        <v>598</v>
      </c>
      <c r="BY191" t="str">
        <f t="shared" si="81"/>
        <v/>
      </c>
      <c r="BZ191" t="str">
        <f t="shared" si="66"/>
        <v>{BLACK}Powered by: {GOLD}Diesel {}{SILVER}After the successful introduction of the Class 59, EWS approached GM's Electro-Motive diesel with a huge order of 250 locomotives which would become Class 66.</v>
      </c>
    </row>
    <row r="192" spans="1:78" x14ac:dyDescent="0.25">
      <c r="A192" t="s">
        <v>145</v>
      </c>
      <c r="B192" t="s">
        <v>266</v>
      </c>
      <c r="C192">
        <v>360</v>
      </c>
      <c r="D192" t="s">
        <v>295</v>
      </c>
      <c r="E192" t="s">
        <v>305</v>
      </c>
      <c r="F192" t="s">
        <v>307</v>
      </c>
      <c r="G192">
        <v>1998</v>
      </c>
      <c r="H192">
        <v>2004</v>
      </c>
      <c r="K192">
        <v>3000</v>
      </c>
      <c r="T192">
        <v>120.6</v>
      </c>
      <c r="W192">
        <v>250</v>
      </c>
      <c r="X192" s="4">
        <f t="shared" si="80"/>
        <v>0.20729684908789386</v>
      </c>
      <c r="Y192">
        <v>95</v>
      </c>
      <c r="AA192">
        <v>19.38</v>
      </c>
      <c r="AB192">
        <v>19.38</v>
      </c>
      <c r="AD192">
        <v>3.9</v>
      </c>
      <c r="AE192" s="11">
        <v>0</v>
      </c>
      <c r="AF192" t="str">
        <f>CONCATENATE(VLOOKUP(AG192, 'Voxel Sizes'!$A$2:$B$18,2,FALSE),"x",INT(AC192*15), "x", INT(AD192*15))</f>
        <v>186x0x58</v>
      </c>
      <c r="AG192">
        <f t="shared" si="67"/>
        <v>11</v>
      </c>
      <c r="AI192" t="str">
        <f>CONCATENATE(VLOOKUP(AG192,Constants!$A$2:$C$16,IF(AH192&lt;&gt;"", 3, 2), FALSE),IF(AH192&lt;&gt;"",CONCATENATE(",",VLOOKUP(AH192,$B:$AI,34,FALSE)),""))</f>
        <v>4,3,4</v>
      </c>
      <c r="AS192">
        <v>30</v>
      </c>
      <c r="AT192" t="str">
        <f t="shared" si="68"/>
        <v/>
      </c>
      <c r="AW192">
        <f t="shared" si="69"/>
        <v>19</v>
      </c>
      <c r="AX192">
        <f t="shared" si="70"/>
        <v>15</v>
      </c>
      <c r="AY192">
        <f t="shared" si="71"/>
        <v>12.5</v>
      </c>
      <c r="AZ192" s="4">
        <f t="shared" si="76"/>
        <v>0.86933333333333329</v>
      </c>
      <c r="BA192">
        <f t="shared" si="72"/>
        <v>0</v>
      </c>
      <c r="BB192">
        <f>VLOOKUP($E192,Constants!$I:$K, 2, FALSE)</f>
        <v>1</v>
      </c>
      <c r="BC192">
        <f>VLOOKUP($E192,Constants!$I:$K, 3, FALSE)*IF(AND(D192="multiple_unit",Y192&lt;110),0.75,1)</f>
        <v>2</v>
      </c>
      <c r="BD192">
        <f>INT(POWER(((Constants!$G$2+$AW192+$AX192+$AY192+$BA192)*$AZ192)*$BC192, 1.05))+$AV192</f>
        <v>112</v>
      </c>
      <c r="BE192">
        <f>INT(POWER((((Constants!$G$1+$AW192+$AX192+$AY192+$BA192)*($AZ192))*$BB192),IF($D192="wagon",1,1.2)))+$AU192</f>
        <v>118</v>
      </c>
      <c r="BF192" s="15">
        <f t="shared" si="73"/>
        <v>87500</v>
      </c>
      <c r="BG192" s="15">
        <f t="shared" si="74"/>
        <v>9587.5</v>
      </c>
      <c r="BN192">
        <v>12</v>
      </c>
      <c r="BR192" t="str">
        <f>VLOOKUP(G192,Eras!$A$2:$C$10, 2, TRUE)</f>
        <v>prv</v>
      </c>
      <c r="BS192" t="s">
        <v>362</v>
      </c>
      <c r="BT192" t="str">
        <f t="shared" si="75"/>
        <v>prv_Freight</v>
      </c>
      <c r="BU192" t="str">
        <f t="shared" si="63"/>
        <v>diesel_RAIL</v>
      </c>
      <c r="BV192" t="str">
        <f>VLOOKUP($BU192, Constants!$M:$N, 2, FALSE)</f>
        <v>{BLACK}Powered by: {GOLD}Diesel</v>
      </c>
      <c r="BW192" t="str">
        <f t="shared" si="64"/>
        <v/>
      </c>
      <c r="BX192" t="s">
        <v>599</v>
      </c>
      <c r="BY192" t="str">
        <f t="shared" si="81"/>
        <v/>
      </c>
      <c r="BZ192" t="str">
        <f t="shared" si="66"/>
        <v>{BLACK}Powered by: {GOLD}Diesel {}{SILVER}The Class 57 is a re-engineered locomotive using Class 47 bodyshells and parts, giving rise to its "Bodysnatcher" nickname.</v>
      </c>
    </row>
    <row r="193" spans="1:78" x14ac:dyDescent="0.25">
      <c r="A193" t="s">
        <v>633</v>
      </c>
      <c r="B193" t="s">
        <v>617</v>
      </c>
      <c r="C193">
        <v>362</v>
      </c>
      <c r="D193" t="s">
        <v>295</v>
      </c>
      <c r="E193" t="s">
        <v>305</v>
      </c>
      <c r="F193" t="s">
        <v>307</v>
      </c>
      <c r="G193">
        <v>1999</v>
      </c>
      <c r="H193">
        <v>2000</v>
      </c>
      <c r="K193">
        <v>3200</v>
      </c>
      <c r="T193">
        <v>88</v>
      </c>
      <c r="W193">
        <v>144</v>
      </c>
      <c r="X193" s="4">
        <f t="shared" si="80"/>
        <v>0.16363636363636364</v>
      </c>
      <c r="Y193">
        <v>125</v>
      </c>
      <c r="AA193">
        <v>19.71</v>
      </c>
      <c r="AB193">
        <v>19.71</v>
      </c>
      <c r="AD193">
        <v>3.93</v>
      </c>
      <c r="AE193" s="11">
        <v>0</v>
      </c>
      <c r="AF193" t="str">
        <f>CONCATENATE(VLOOKUP(AG193, 'Voxel Sizes'!$A$2:$B$18,2,FALSE),"x",INT(AC193*15), "x", INT(AD193*15))</f>
        <v>198x0x58</v>
      </c>
      <c r="AG193">
        <f t="shared" si="67"/>
        <v>12</v>
      </c>
      <c r="AI193" t="str">
        <f>CONCATENATE(VLOOKUP(AG193,Constants!$A$2:$C$16,IF(AH193&lt;&gt;"", 3, 2), FALSE),IF(AH193&lt;&gt;"",CONCATENATE(",",VLOOKUP(AH193,$B:$AI,34,FALSE)),""))</f>
        <v>4,4,4</v>
      </c>
      <c r="AS193">
        <v>30</v>
      </c>
      <c r="AT193" t="str">
        <f t="shared" si="68"/>
        <v/>
      </c>
      <c r="AW193">
        <f t="shared" si="69"/>
        <v>25</v>
      </c>
      <c r="AX193">
        <f t="shared" si="70"/>
        <v>16</v>
      </c>
      <c r="AY193">
        <f t="shared" si="71"/>
        <v>7.1999999999999993</v>
      </c>
      <c r="AZ193" s="4">
        <f t="shared" si="76"/>
        <v>0.86799999999999999</v>
      </c>
      <c r="BA193">
        <f t="shared" si="72"/>
        <v>0</v>
      </c>
      <c r="BB193">
        <f>VLOOKUP($E193,Constants!$I:$K, 2, FALSE)</f>
        <v>1</v>
      </c>
      <c r="BC193">
        <f>VLOOKUP($E193,Constants!$I:$K, 3, FALSE)*IF(AND(D193="multiple_unit",Y193&lt;110),0.75,1)</f>
        <v>2</v>
      </c>
      <c r="BD193">
        <f>INT(POWER(((Constants!$G$2+$AW193+$AX193+$AY193+$BA193)*$AZ193)*$BC193, 1.05))+$AV193</f>
        <v>115</v>
      </c>
      <c r="BE193">
        <f>INT(POWER((((Constants!$G$1+$AW193+$AX193+$AY193+$BA193)*($AZ193))*$BB193),IF($D193="wagon",1,1.2)))+$AU193</f>
        <v>122</v>
      </c>
      <c r="BF193" s="15">
        <f t="shared" si="73"/>
        <v>89843.75</v>
      </c>
      <c r="BG193" s="15">
        <f t="shared" si="74"/>
        <v>9912.5</v>
      </c>
      <c r="BN193">
        <v>1</v>
      </c>
      <c r="BR193" t="str">
        <f>VLOOKUP(G193,Eras!$A$2:$C$10, 2, TRUE)</f>
        <v>prv</v>
      </c>
      <c r="BS193" t="s">
        <v>362</v>
      </c>
      <c r="BT193" t="str">
        <f t="shared" si="75"/>
        <v>prv_Freight</v>
      </c>
      <c r="BU193" t="str">
        <f t="shared" si="63"/>
        <v>diesel_RAIL</v>
      </c>
      <c r="BV193" t="str">
        <f>VLOOKUP($BU193, Constants!$M:$N, 2, FALSE)</f>
        <v>{BLACK}Powered by: {GOLD}Diesel</v>
      </c>
      <c r="BW193" t="str">
        <f t="shared" si="64"/>
        <v/>
      </c>
      <c r="BX193" t="s">
        <v>616</v>
      </c>
      <c r="BY193" t="str">
        <f t="shared" si="81"/>
        <v/>
      </c>
      <c r="BZ193" t="str">
        <f t="shared" si="66"/>
        <v>{BLACK}Powered by: {GOLD}Diesel {}{SILVER}The Class 67 is a high speed freight locomotive designed for mail service. It uses EMD engines, generators and traction motors.</v>
      </c>
    </row>
    <row r="194" spans="1:78" x14ac:dyDescent="0.25">
      <c r="A194" t="s">
        <v>57</v>
      </c>
      <c r="B194" t="s">
        <v>202</v>
      </c>
      <c r="C194">
        <v>364</v>
      </c>
      <c r="D194" t="s">
        <v>295</v>
      </c>
      <c r="E194" t="s">
        <v>305</v>
      </c>
      <c r="F194" t="s">
        <v>307</v>
      </c>
      <c r="G194">
        <v>2008</v>
      </c>
      <c r="H194">
        <v>2017</v>
      </c>
      <c r="K194">
        <v>3690</v>
      </c>
      <c r="T194">
        <v>129</v>
      </c>
      <c r="W194">
        <v>330</v>
      </c>
      <c r="X194" s="4">
        <f t="shared" si="80"/>
        <v>0.2558139534883721</v>
      </c>
      <c r="Y194">
        <v>75</v>
      </c>
      <c r="AA194">
        <v>21.27</v>
      </c>
      <c r="AB194">
        <v>21.27</v>
      </c>
      <c r="AD194">
        <v>3.91</v>
      </c>
      <c r="AE194" s="11">
        <v>0</v>
      </c>
      <c r="AF194" t="str">
        <f>CONCATENATE(VLOOKUP(AG194, 'Voxel Sizes'!$A$2:$B$18,2,FALSE),"x",INT(AC194*15), "x", INT(AD194*15))</f>
        <v>198x0x58</v>
      </c>
      <c r="AG194">
        <f t="shared" si="67"/>
        <v>12</v>
      </c>
      <c r="AI194" t="str">
        <f>CONCATENATE(VLOOKUP(AG194,Constants!$A$2:$C$16,IF(AH194&lt;&gt;"", 3, 2), FALSE),IF(AH194&lt;&gt;"",CONCATENATE(",",VLOOKUP(AH194,$B:$AI,34,FALSE)),""))</f>
        <v>4,4,4</v>
      </c>
      <c r="AS194">
        <v>30</v>
      </c>
      <c r="AT194" t="str">
        <f t="shared" si="68"/>
        <v/>
      </c>
      <c r="AW194">
        <f t="shared" si="69"/>
        <v>15</v>
      </c>
      <c r="AX194">
        <f t="shared" si="70"/>
        <v>18.45</v>
      </c>
      <c r="AY194">
        <f t="shared" si="71"/>
        <v>16.5</v>
      </c>
      <c r="AZ194" s="4">
        <f t="shared" si="76"/>
        <v>0.85599999999999998</v>
      </c>
      <c r="BA194">
        <f t="shared" si="72"/>
        <v>0</v>
      </c>
      <c r="BB194">
        <f>VLOOKUP($E194,Constants!$I:$K, 2, FALSE)</f>
        <v>1</v>
      </c>
      <c r="BC194">
        <f>VLOOKUP($E194,Constants!$I:$K, 3, FALSE)*IF(AND(D194="multiple_unit",Y194&lt;110),0.75,1)</f>
        <v>2</v>
      </c>
      <c r="BD194">
        <f>INT(POWER(((Constants!$G$2+$AW194+$AX194+$AY194+$BA194)*$AZ194)*$BC194, 1.05))+$AV194</f>
        <v>118</v>
      </c>
      <c r="BE194">
        <f>INT(POWER((((Constants!$G$1+$AW194+$AX194+$AY194+$BA194)*($AZ194))*$BB194),IF($D194="wagon",1,1.2)))+$AU194</f>
        <v>124</v>
      </c>
      <c r="BF194" s="15">
        <f t="shared" si="73"/>
        <v>92187.5</v>
      </c>
      <c r="BG194" s="15">
        <f t="shared" si="74"/>
        <v>10075</v>
      </c>
      <c r="BN194">
        <v>2</v>
      </c>
      <c r="BR194" t="str">
        <f>VLOOKUP(G194,Eras!$A$2:$C$10, 2, TRUE)</f>
        <v>mod</v>
      </c>
      <c r="BS194" t="s">
        <v>362</v>
      </c>
      <c r="BT194" t="str">
        <f t="shared" si="75"/>
        <v>mod_Freight</v>
      </c>
      <c r="BU194" t="str">
        <f t="shared" ref="BU194:BU257" si="82">_xlfn.CONCAT(E194, "_",F194)</f>
        <v>diesel_RAIL</v>
      </c>
      <c r="BV194" t="str">
        <f>VLOOKUP($BU194, Constants!$M:$N, 2, FALSE)</f>
        <v>{BLACK}Powered by: {GOLD}Diesel</v>
      </c>
      <c r="BW194" t="str">
        <f t="shared" ref="BW194:BW231" si="83">IF(J194&gt;1,_xlfn.CONCAT("{BLACK}Cars: {GOLD}", J194),"")</f>
        <v/>
      </c>
      <c r="BX194" t="s">
        <v>630</v>
      </c>
      <c r="BY194" t="str">
        <f t="shared" si="81"/>
        <v/>
      </c>
      <c r="BZ194" t="str">
        <f t="shared" si="66"/>
        <v>{BLACK}Powered by: {GOLD}Diesel {}{SILVER}The General Electric Class 70 is designed with crash safety in mind, hence the bonnet-like structure at each end.</v>
      </c>
    </row>
    <row r="195" spans="1:78" x14ac:dyDescent="0.25">
      <c r="A195" t="s">
        <v>632</v>
      </c>
      <c r="B195" t="s">
        <v>631</v>
      </c>
      <c r="C195">
        <v>366</v>
      </c>
      <c r="D195" t="s">
        <v>295</v>
      </c>
      <c r="E195" t="s">
        <v>305</v>
      </c>
      <c r="F195" t="s">
        <v>307</v>
      </c>
      <c r="G195">
        <v>2013</v>
      </c>
      <c r="H195">
        <v>2016</v>
      </c>
      <c r="K195">
        <v>3800</v>
      </c>
      <c r="T195">
        <v>85</v>
      </c>
      <c r="W195">
        <v>317</v>
      </c>
      <c r="X195" s="4">
        <f t="shared" si="80"/>
        <v>0.37294117647058822</v>
      </c>
      <c r="Y195">
        <v>100</v>
      </c>
      <c r="AA195">
        <v>20.5</v>
      </c>
      <c r="AB195">
        <v>20.5</v>
      </c>
      <c r="AE195" s="11">
        <v>0</v>
      </c>
      <c r="AF195" t="str">
        <f>CONCATENATE(VLOOKUP(AG195, 'Voxel Sizes'!$A$2:$B$18,2,FALSE),"x",INT(AC195*15), "x", INT(AD195*15))</f>
        <v>198x0x0</v>
      </c>
      <c r="AG195">
        <f t="shared" si="67"/>
        <v>12</v>
      </c>
      <c r="AI195" t="str">
        <f>CONCATENATE(VLOOKUP(AG195,Constants!$A$2:$C$16,IF(AH195&lt;&gt;"", 3, 2), FALSE),IF(AH195&lt;&gt;"",CONCATENATE(",",VLOOKUP(AH195,$B:$AI,34,FALSE)),""))</f>
        <v>4,4,4</v>
      </c>
      <c r="AS195">
        <v>30</v>
      </c>
      <c r="AT195" t="str">
        <f t="shared" si="68"/>
        <v/>
      </c>
      <c r="AW195">
        <f t="shared" si="69"/>
        <v>20</v>
      </c>
      <c r="AX195">
        <f t="shared" si="70"/>
        <v>19</v>
      </c>
      <c r="AY195">
        <f t="shared" si="71"/>
        <v>15.85</v>
      </c>
      <c r="AZ195" s="4">
        <f t="shared" si="76"/>
        <v>0.84933333333333327</v>
      </c>
      <c r="BA195">
        <f t="shared" si="72"/>
        <v>0</v>
      </c>
      <c r="BB195">
        <f>VLOOKUP($E195,Constants!$I:$K, 2, FALSE)</f>
        <v>1</v>
      </c>
      <c r="BC195">
        <f>VLOOKUP($E195,Constants!$I:$K, 3, FALSE)*IF(AND(D195="multiple_unit",Y195&lt;110),0.75,1)</f>
        <v>2</v>
      </c>
      <c r="BD195">
        <f>INT(POWER(((Constants!$G$2+$AW195+$AX195+$AY195+$BA195)*$AZ195)*$BC195, 1.05))+$AV195</f>
        <v>128</v>
      </c>
      <c r="BE195">
        <f>INT(POWER((((Constants!$G$1+$AW195+$AX195+$AY195+$BA195)*($AZ195))*$BB195),IF($D195="wagon",1,1.2)))+$AU195</f>
        <v>134</v>
      </c>
      <c r="BF195" s="15">
        <f t="shared" si="73"/>
        <v>100000</v>
      </c>
      <c r="BG195" s="15">
        <f t="shared" si="74"/>
        <v>10887.5</v>
      </c>
      <c r="BN195">
        <v>3</v>
      </c>
      <c r="BR195" t="str">
        <f>VLOOKUP(G195,Eras!$A$2:$C$10, 2, TRUE)</f>
        <v>mod</v>
      </c>
      <c r="BS195" t="s">
        <v>360</v>
      </c>
      <c r="BT195" t="str">
        <f t="shared" si="75"/>
        <v>mod_Mixed Traffic</v>
      </c>
      <c r="BU195" t="str">
        <f t="shared" si="82"/>
        <v>diesel_RAIL</v>
      </c>
      <c r="BV195" t="str">
        <f>VLOOKUP($BU195, Constants!$M:$N, 2, FALSE)</f>
        <v>{BLACK}Powered by: {GOLD}Diesel</v>
      </c>
      <c r="BW195" t="str">
        <f t="shared" si="83"/>
        <v/>
      </c>
      <c r="BX195" t="s">
        <v>635</v>
      </c>
      <c r="BY195" t="str">
        <f t="shared" si="81"/>
        <v/>
      </c>
      <c r="BZ195" t="str">
        <f t="shared" ref="BZ195:BZ258" si="84">_xlfn.CONCAT(BV195,IF(BV195 &lt;&gt; "", " ", ""),BW195,IF(OR(BW195&lt;&gt;"", BV195&lt;&gt;""), "{}",""), BY195,"{SILVER}", BX195)</f>
        <v>{BLACK}Powered by: {GOLD}Diesel {}{SILVER}The Class 68 is a modern mixed traffic disel locomotive with a powerful 16-cylinder Caterpillar engine.</v>
      </c>
    </row>
    <row r="196" spans="1:78" x14ac:dyDescent="0.25">
      <c r="A196" t="s">
        <v>61</v>
      </c>
      <c r="B196" t="s">
        <v>203</v>
      </c>
      <c r="C196">
        <v>368</v>
      </c>
      <c r="D196" t="s">
        <v>165</v>
      </c>
      <c r="E196" t="s">
        <v>578</v>
      </c>
      <c r="F196" t="s">
        <v>307</v>
      </c>
      <c r="G196">
        <v>2015</v>
      </c>
      <c r="H196">
        <v>2016</v>
      </c>
      <c r="K196">
        <v>5400</v>
      </c>
      <c r="L196" s="9">
        <v>940</v>
      </c>
      <c r="T196">
        <v>86</v>
      </c>
      <c r="W196">
        <v>317</v>
      </c>
      <c r="X196" s="4">
        <f t="shared" si="80"/>
        <v>0.36860465116279068</v>
      </c>
      <c r="Y196">
        <v>100</v>
      </c>
      <c r="AA196">
        <v>20.5</v>
      </c>
      <c r="AB196">
        <v>20.5</v>
      </c>
      <c r="AE196" s="11">
        <v>0</v>
      </c>
      <c r="AF196" t="str">
        <f>CONCATENATE(VLOOKUP(AG196, 'Voxel Sizes'!$A$2:$B$18,2,FALSE),"x",INT(AC196*15), "x", INT(AD196*15))</f>
        <v>198x0x0</v>
      </c>
      <c r="AG196">
        <f t="shared" si="67"/>
        <v>12</v>
      </c>
      <c r="AI196" t="str">
        <f>CONCATENATE(VLOOKUP(AG196,Constants!$A$2:$C$16,IF(AH196&lt;&gt;"", 3, 2), FALSE),IF(AH196&lt;&gt;"",CONCATENATE(",",VLOOKUP(AH196,$B:$AI,34,FALSE)),""))</f>
        <v>4,4,4</v>
      </c>
      <c r="AS196">
        <v>30</v>
      </c>
      <c r="AT196" t="str">
        <f t="shared" si="68"/>
        <v/>
      </c>
      <c r="AW196">
        <f t="shared" si="69"/>
        <v>20</v>
      </c>
      <c r="AX196">
        <f t="shared" si="70"/>
        <v>20</v>
      </c>
      <c r="AY196">
        <f t="shared" si="71"/>
        <v>15.85</v>
      </c>
      <c r="AZ196" s="4">
        <f t="shared" si="76"/>
        <v>0.84666666666666668</v>
      </c>
      <c r="BA196">
        <f t="shared" si="72"/>
        <v>0</v>
      </c>
      <c r="BB196">
        <f>VLOOKUP($E196,Constants!$I:$K, 2, FALSE)</f>
        <v>0.9</v>
      </c>
      <c r="BC196">
        <f>VLOOKUP($E196,Constants!$I:$K, 3, FALSE)*IF(AND(D196="multiple_unit",Y196&lt;110),0.75,1)</f>
        <v>2.5</v>
      </c>
      <c r="BD196">
        <f>INT(POWER(((Constants!$G$2+$AW196+$AX196+$AY196+$BA196)*$AZ196)*$BC196, 1.05))+$AV196</f>
        <v>164</v>
      </c>
      <c r="BE196">
        <f>INT(POWER((((Constants!$G$1+$AW196+$AX196+$AY196+$BA196)*($AZ196))*$BB196),IF($D196="wagon",1,1.2)))+$AU196</f>
        <v>119</v>
      </c>
      <c r="BF196" s="15">
        <f t="shared" si="73"/>
        <v>128125</v>
      </c>
      <c r="BG196" s="15">
        <f t="shared" si="74"/>
        <v>9668.75</v>
      </c>
      <c r="BN196">
        <v>4</v>
      </c>
      <c r="BR196" t="str">
        <f>VLOOKUP(G196,Eras!$A$2:$C$10, 2, TRUE)</f>
        <v>mod</v>
      </c>
      <c r="BS196" t="s">
        <v>372</v>
      </c>
      <c r="BT196" t="str">
        <f t="shared" si="75"/>
        <v>mod_Freight (Electric)</v>
      </c>
      <c r="BU196" t="str">
        <f t="shared" si="82"/>
        <v>dual_power_RAIL</v>
      </c>
      <c r="BV196" t="str">
        <f>VLOOKUP($BU196, Constants!$M:$N, 2, FALSE)</f>
        <v>{BLACK}Powered by: {GOLD}750V DC / Diesel</v>
      </c>
      <c r="BW196" t="str">
        <f t="shared" si="83"/>
        <v/>
      </c>
      <c r="BY196" t="str">
        <f t="shared" si="81"/>
        <v/>
      </c>
      <c r="BZ196" t="str">
        <f t="shared" si="84"/>
        <v>{BLACK}Powered by: {GOLD}750V DC / Diesel {}{SILVER}</v>
      </c>
    </row>
    <row r="197" spans="1:78" x14ac:dyDescent="0.25">
      <c r="A197" t="s">
        <v>147</v>
      </c>
      <c r="B197" t="s">
        <v>175</v>
      </c>
      <c r="C197">
        <v>420</v>
      </c>
      <c r="D197" t="s">
        <v>437</v>
      </c>
      <c r="E197" t="s">
        <v>1278</v>
      </c>
      <c r="F197" t="s">
        <v>307</v>
      </c>
      <c r="G197">
        <v>1903</v>
      </c>
      <c r="I197">
        <v>1940</v>
      </c>
      <c r="J197">
        <v>1</v>
      </c>
      <c r="K197">
        <v>85</v>
      </c>
      <c r="T197">
        <v>35</v>
      </c>
      <c r="V197">
        <v>8</v>
      </c>
      <c r="W197">
        <v>45</v>
      </c>
      <c r="X197" s="4">
        <f t="shared" si="80"/>
        <v>0.12857142857142856</v>
      </c>
      <c r="Y197">
        <v>40</v>
      </c>
      <c r="AA197">
        <v>16.7</v>
      </c>
      <c r="AB197">
        <v>16.7</v>
      </c>
      <c r="AC197">
        <v>2.59</v>
      </c>
      <c r="AD197">
        <v>3.98</v>
      </c>
      <c r="AE197" s="11">
        <v>48</v>
      </c>
      <c r="AF197" t="str">
        <f>CONCATENATE(VLOOKUP(AG197, 'Voxel Sizes'!$A$2:$B$18,2,FALSE),"x",INT(AC197*15), "x", INT(AD197*15))</f>
        <v>164x38x59</v>
      </c>
      <c r="AG197">
        <f t="shared" si="67"/>
        <v>10</v>
      </c>
      <c r="AI197" t="str">
        <f>CONCATENATE(VLOOKUP(AG197,Constants!$A$2:$C$16,IF(AH197&lt;&gt;"", 3, 2), FALSE),IF(AH197&lt;&gt;"",CONCATENATE(",",VLOOKUP(AH197,$B:$AI,34,FALSE)),""))</f>
        <v>4,2,4</v>
      </c>
      <c r="AM197" t="s">
        <v>175</v>
      </c>
      <c r="AO197">
        <v>1</v>
      </c>
      <c r="AS197">
        <v>17</v>
      </c>
      <c r="AT197">
        <f t="shared" si="68"/>
        <v>33</v>
      </c>
      <c r="AU197">
        <v>-15</v>
      </c>
      <c r="AV197">
        <v>-10</v>
      </c>
      <c r="AW197">
        <f t="shared" si="69"/>
        <v>8</v>
      </c>
      <c r="AX197">
        <f t="shared" si="70"/>
        <v>0.42500000000000004</v>
      </c>
      <c r="AY197">
        <f t="shared" si="71"/>
        <v>2.25</v>
      </c>
      <c r="AZ197" s="4">
        <f t="shared" si="76"/>
        <v>0.996</v>
      </c>
      <c r="BA197">
        <f t="shared" si="72"/>
        <v>1.6</v>
      </c>
      <c r="BB197">
        <f>VLOOKUP($E197,Constants!$I:$K, 2, FALSE)</f>
        <v>1.05</v>
      </c>
      <c r="BC197">
        <f>VLOOKUP($E197,Constants!$I:$K, 3, FALSE)*IF(AND(D197="multiple_unit",Y197&lt;110),0.75,1)</f>
        <v>1.4249999999999998</v>
      </c>
      <c r="BD197">
        <f>INT(POWER(((Constants!$G$2+$AW197+$AX197+$AY197+$BA197)*$AZ197)*$BC197, 1.05))+$AV197</f>
        <v>18</v>
      </c>
      <c r="BE197">
        <f>INT(POWER((((Constants!$G$1+$AW197+$AX197+$AY197+$BA197)*($AZ197))*$BB197),IF($D197="wagon",1,1.2)))+$AU197</f>
        <v>40</v>
      </c>
      <c r="BF197" s="15">
        <f t="shared" si="73"/>
        <v>14062.5</v>
      </c>
      <c r="BG197" s="15">
        <f t="shared" si="74"/>
        <v>3250</v>
      </c>
      <c r="BK197" t="s">
        <v>228</v>
      </c>
      <c r="BN197">
        <v>5</v>
      </c>
      <c r="BO197">
        <v>185</v>
      </c>
      <c r="BQ197" t="s">
        <v>316</v>
      </c>
      <c r="BR197" t="str">
        <f>VLOOKUP(G197,Eras!$A$2:$C$10, 2, TRUE)</f>
        <v>edw</v>
      </c>
      <c r="BS197" t="s">
        <v>363</v>
      </c>
      <c r="BT197" t="str">
        <f t="shared" si="75"/>
        <v>edw_DMU (Cheap)</v>
      </c>
      <c r="BU197" t="str">
        <f t="shared" si="82"/>
        <v>petrol_RAIL</v>
      </c>
      <c r="BV197" t="str">
        <f>VLOOKUP($BU197, Constants!$M:$N, 2, FALSE)</f>
        <v>{BLACK}Powered by: {GOLD}Petrol</v>
      </c>
      <c r="BW197" t="str">
        <f t="shared" si="83"/>
        <v/>
      </c>
      <c r="BX197" t="s">
        <v>382</v>
      </c>
      <c r="BY197" t="str">
        <f t="shared" si="81"/>
        <v/>
      </c>
      <c r="BZ197" t="str">
        <f t="shared" si="84"/>
        <v>{BLACK}Powered by: {GOLD}Petrol {}{SILVER}The NER Autocar is a petrol-electric railcar with a petrol engine driving two electric motors. It was the first use of an internal combustion engine in a railway vehicle.</v>
      </c>
    </row>
    <row r="198" spans="1:78" x14ac:dyDescent="0.25">
      <c r="A198" t="s">
        <v>425</v>
      </c>
      <c r="B198" t="s">
        <v>427</v>
      </c>
      <c r="C198">
        <v>422</v>
      </c>
      <c r="D198" t="s">
        <v>437</v>
      </c>
      <c r="E198" t="s">
        <v>329</v>
      </c>
      <c r="F198" t="s">
        <v>336</v>
      </c>
      <c r="G198">
        <v>1914</v>
      </c>
      <c r="I198">
        <v>1960</v>
      </c>
      <c r="J198">
        <v>3</v>
      </c>
      <c r="K198">
        <v>1000</v>
      </c>
      <c r="T198">
        <v>117</v>
      </c>
      <c r="V198">
        <f>8*3</f>
        <v>24</v>
      </c>
      <c r="W198">
        <v>112</v>
      </c>
      <c r="X198" s="4">
        <f t="shared" si="80"/>
        <v>9.5726495726495733E-2</v>
      </c>
      <c r="Y198">
        <v>60</v>
      </c>
      <c r="AB198">
        <v>17.7</v>
      </c>
      <c r="AE198" s="11">
        <v>45</v>
      </c>
      <c r="AF198" t="str">
        <f>CONCATENATE(VLOOKUP(AG198, 'Voxel Sizes'!$A$2:$B$18,2,FALSE),"x",INT(AC198*15), "x", INT(AD198*15))</f>
        <v>164x0x0</v>
      </c>
      <c r="AG198">
        <f t="shared" si="67"/>
        <v>10</v>
      </c>
      <c r="AI198" t="str">
        <f>CONCATENATE(VLOOKUP(AG198,Constants!$A$2:$C$16,IF(AH198&lt;&gt;"", 3, 2), FALSE),IF(AH198&lt;&gt;"",CONCATENATE(",",VLOOKUP(AH198,$B:$AI,34,FALSE)),""))</f>
        <v>4,2,4</v>
      </c>
      <c r="AM198" t="s">
        <v>438</v>
      </c>
      <c r="AO198" t="s">
        <v>436</v>
      </c>
      <c r="AS198">
        <v>25</v>
      </c>
      <c r="AT198">
        <f t="shared" si="68"/>
        <v>42</v>
      </c>
      <c r="AU198">
        <v>-10</v>
      </c>
      <c r="AV198">
        <v>-15</v>
      </c>
      <c r="AW198">
        <f t="shared" si="69"/>
        <v>12</v>
      </c>
      <c r="AX198">
        <f t="shared" si="70"/>
        <v>5</v>
      </c>
      <c r="AY198">
        <f t="shared" si="71"/>
        <v>5.6000000000000005</v>
      </c>
      <c r="AZ198" s="4">
        <f t="shared" si="76"/>
        <v>0.98133333333333328</v>
      </c>
      <c r="BA198">
        <f t="shared" si="72"/>
        <v>4.5</v>
      </c>
      <c r="BB198">
        <f>VLOOKUP($E198,Constants!$I:$K, 2, FALSE)</f>
        <v>0.85</v>
      </c>
      <c r="BC198">
        <f>VLOOKUP($E198,Constants!$I:$K, 3, FALSE)*IF(AND(D198="multiple_unit",Y198&lt;110),0.75,1)</f>
        <v>1.7249999999999999</v>
      </c>
      <c r="BD198">
        <f>INT(POWER(((Constants!$G$2+$AW198+$AX198+$AY198+$BA198)*$AZ198)*$BC198, 1.05))+$AV198</f>
        <v>51</v>
      </c>
      <c r="BE198">
        <f>INT(POWER((((Constants!$G$1+$AW198+$AX198+$AY198+$BA198)*($AZ198))*$BB198),IF($D198="wagon",1,1.2)))+$AU198</f>
        <v>61</v>
      </c>
      <c r="BF198" s="15">
        <f t="shared" si="73"/>
        <v>39843.75</v>
      </c>
      <c r="BG198" s="15">
        <f t="shared" si="74"/>
        <v>4956.25</v>
      </c>
      <c r="BN198">
        <v>6</v>
      </c>
      <c r="BO198">
        <v>185</v>
      </c>
      <c r="BQ198" t="s">
        <v>316</v>
      </c>
      <c r="BR198" t="str">
        <f>VLOOKUP(G198,Eras!$A$2:$C$10, 2, TRUE)</f>
        <v>edw</v>
      </c>
      <c r="BS198" t="s">
        <v>366</v>
      </c>
      <c r="BT198" t="str">
        <f t="shared" si="75"/>
        <v>edw_EMU</v>
      </c>
      <c r="BU198" t="str">
        <f t="shared" si="82"/>
        <v>electric_THIRD_RAIL</v>
      </c>
      <c r="BV198" t="str">
        <f>VLOOKUP($BU198, Constants!$M:$N, 2, FALSE)</f>
        <v>{BLACK}Powered by: {GOLD}750V DC</v>
      </c>
      <c r="BW198" t="str">
        <f t="shared" si="83"/>
        <v>{BLACK}Cars: {GOLD}3</v>
      </c>
      <c r="BX198" t="s">
        <v>426</v>
      </c>
      <c r="BY198" t="str">
        <f t="shared" si="81"/>
        <v/>
      </c>
      <c r="BZ198" t="str">
        <f t="shared" si="84"/>
        <v>{BLACK}Powered by: {GOLD}750V DC {BLACK}Cars: {GOLD}3{}{SILVER}The LNWR built electric multiple units for its inner suburban London routes, sharing track with the Bakerloo and District lines.</v>
      </c>
    </row>
    <row r="199" spans="1:78" x14ac:dyDescent="0.25">
      <c r="A199" t="s">
        <v>75</v>
      </c>
      <c r="B199" t="s">
        <v>262</v>
      </c>
      <c r="C199">
        <v>424</v>
      </c>
      <c r="D199" t="s">
        <v>437</v>
      </c>
      <c r="E199" t="s">
        <v>329</v>
      </c>
      <c r="F199" t="s">
        <v>336</v>
      </c>
      <c r="G199">
        <v>1932</v>
      </c>
      <c r="I199">
        <v>1972</v>
      </c>
      <c r="J199">
        <v>5</v>
      </c>
      <c r="K199">
        <v>1800</v>
      </c>
      <c r="T199">
        <v>253</v>
      </c>
      <c r="V199">
        <f>8*5</f>
        <v>40</v>
      </c>
      <c r="W199">
        <v>145</v>
      </c>
      <c r="X199" s="4">
        <f t="shared" si="80"/>
        <v>5.731225296442688E-2</v>
      </c>
      <c r="Y199">
        <v>75</v>
      </c>
      <c r="AA199">
        <v>20.11</v>
      </c>
      <c r="AB199">
        <v>20.11</v>
      </c>
      <c r="AE199" s="11">
        <v>33</v>
      </c>
      <c r="AF199" t="str">
        <f>CONCATENATE(VLOOKUP(AG199, 'Voxel Sizes'!$A$2:$B$18,2,FALSE),"x",INT(AC199*15), "x", INT(AD199*15))</f>
        <v>198x0x0</v>
      </c>
      <c r="AG199">
        <f t="shared" si="67"/>
        <v>12</v>
      </c>
      <c r="AI199" t="str">
        <f>CONCATENATE(VLOOKUP(AG199,Constants!$A$2:$C$16,IF(AH199&lt;&gt;"", 3, 2), FALSE),IF(AH199&lt;&gt;"",CONCATENATE(",",VLOOKUP(AH199,$B:$AI,34,FALSE)),""))</f>
        <v>4,4,4</v>
      </c>
      <c r="AM199" t="s">
        <v>479</v>
      </c>
      <c r="AO199" t="s">
        <v>482</v>
      </c>
      <c r="AS199">
        <v>28</v>
      </c>
      <c r="AT199">
        <f t="shared" si="68"/>
        <v>36</v>
      </c>
      <c r="AU199">
        <v>-10</v>
      </c>
      <c r="AV199">
        <v>-10</v>
      </c>
      <c r="AW199">
        <f t="shared" si="69"/>
        <v>15</v>
      </c>
      <c r="AX199">
        <f t="shared" si="70"/>
        <v>9</v>
      </c>
      <c r="AY199">
        <f t="shared" si="71"/>
        <v>7.25</v>
      </c>
      <c r="AZ199" s="4">
        <f t="shared" si="76"/>
        <v>0.95733333333333337</v>
      </c>
      <c r="BA199">
        <f t="shared" si="72"/>
        <v>5.5</v>
      </c>
      <c r="BB199">
        <f>VLOOKUP($E199,Constants!$I:$K, 2, FALSE)</f>
        <v>0.85</v>
      </c>
      <c r="BC199">
        <f>VLOOKUP($E199,Constants!$I:$K, 3, FALSE)*IF(AND(D199="multiple_unit",Y199&lt;110),0.75,1)</f>
        <v>1.7249999999999999</v>
      </c>
      <c r="BD199">
        <f>INT(POWER(((Constants!$G$2+$AW199+$AX199+$AY199+$BA199)*$AZ199)*$BC199, 1.05))+$AV199</f>
        <v>75</v>
      </c>
      <c r="BE199">
        <f>INT(POWER((((Constants!$G$1+$AW199+$AX199+$AY199+$BA199)*($AZ199))*$BB199),IF($D199="wagon",1,1.2)))+$AU199</f>
        <v>78</v>
      </c>
      <c r="BF199" s="15">
        <f t="shared" si="73"/>
        <v>58593.75</v>
      </c>
      <c r="BG199" s="15">
        <f t="shared" si="74"/>
        <v>6337.5</v>
      </c>
      <c r="BN199">
        <v>7</v>
      </c>
      <c r="BO199">
        <v>260</v>
      </c>
      <c r="BQ199" t="s">
        <v>316</v>
      </c>
      <c r="BR199" t="str">
        <f>VLOOKUP(G199,Eras!$A$2:$C$10, 2, TRUE)</f>
        <v>big4</v>
      </c>
      <c r="BS199" t="s">
        <v>367</v>
      </c>
      <c r="BT199" t="str">
        <f t="shared" si="75"/>
        <v>big4_EMU (Express)</v>
      </c>
      <c r="BU199" t="str">
        <f t="shared" si="82"/>
        <v>electric_THIRD_RAIL</v>
      </c>
      <c r="BV199" t="str">
        <f>VLOOKUP($BU199, Constants!$M:$N, 2, FALSE)</f>
        <v>{BLACK}Powered by: {GOLD}750V DC</v>
      </c>
      <c r="BW199" t="str">
        <f t="shared" si="83"/>
        <v>{BLACK}Cars: {GOLD}5</v>
      </c>
      <c r="BX199" t="s">
        <v>478</v>
      </c>
      <c r="BY199" t="str">
        <f t="shared" si="81"/>
        <v>{YELLOW}40% Bonus for long distance travel{}</v>
      </c>
      <c r="BZ199" t="str">
        <f t="shared" si="84"/>
        <v>{BLACK}Powered by: {GOLD}750V DC {BLACK}Cars: {GOLD}5{}{YELLOW}40% Bonus for long distance travel{}{SILVER}The Southern Railway's "Brighton Belle" used Pullman coaches and remained in use well into the BR era.</v>
      </c>
    </row>
    <row r="200" spans="1:78" x14ac:dyDescent="0.25">
      <c r="A200" t="s">
        <v>76</v>
      </c>
      <c r="B200" t="s">
        <v>263</v>
      </c>
      <c r="C200">
        <v>426</v>
      </c>
      <c r="D200" t="s">
        <v>437</v>
      </c>
      <c r="E200" t="s">
        <v>329</v>
      </c>
      <c r="F200" t="s">
        <v>336</v>
      </c>
      <c r="G200">
        <v>1937</v>
      </c>
      <c r="H200">
        <v>1938</v>
      </c>
      <c r="I200">
        <v>1972</v>
      </c>
      <c r="J200">
        <v>4</v>
      </c>
      <c r="K200">
        <v>900</v>
      </c>
      <c r="T200">
        <v>160.80000000000001</v>
      </c>
      <c r="V200">
        <f>8*4</f>
        <v>32</v>
      </c>
      <c r="W200">
        <v>120</v>
      </c>
      <c r="X200" s="4">
        <f t="shared" si="80"/>
        <v>7.4626865671641784E-2</v>
      </c>
      <c r="Y200">
        <v>75</v>
      </c>
      <c r="AA200">
        <v>20</v>
      </c>
      <c r="AB200">
        <v>20</v>
      </c>
      <c r="AE200" s="11">
        <v>57</v>
      </c>
      <c r="AF200" t="str">
        <f>CONCATENATE(VLOOKUP(AG200, 'Voxel Sizes'!$A$2:$B$18,2,FALSE),"x",INT(AC200*15), "x", INT(AD200*15))</f>
        <v>198x0x0</v>
      </c>
      <c r="AG200">
        <f t="shared" ref="AG200:AG264" si="85">ROUND(15*((AB200*10)/256),0)</f>
        <v>12</v>
      </c>
      <c r="AI200" t="str">
        <f>CONCATENATE(VLOOKUP(AG200,Constants!$A$2:$C$16,IF(AH200&lt;&gt;"", 3, 2), FALSE),IF(AH200&lt;&gt;"",CONCATENATE(",",VLOOKUP(AH200,$B:$AI,34,FALSE)),""))</f>
        <v>4,4,4</v>
      </c>
      <c r="AM200" t="s">
        <v>498</v>
      </c>
      <c r="AO200" t="s">
        <v>499</v>
      </c>
      <c r="AS200">
        <v>36</v>
      </c>
      <c r="AT200">
        <f t="shared" ref="AT200:AT264" si="86">IF(I200&lt;&gt;"",MAX(8,(I200-G200)-4),"")</f>
        <v>31</v>
      </c>
      <c r="AU200">
        <v>-10</v>
      </c>
      <c r="AV200">
        <v>-15</v>
      </c>
      <c r="AW200">
        <f t="shared" ref="AW200:AW264" si="87">MIN(Y200/150, 1)*30</f>
        <v>15</v>
      </c>
      <c r="AX200">
        <f t="shared" ref="AX200:AX264" si="88">MIN(K200/4000, 1)*20</f>
        <v>4.5</v>
      </c>
      <c r="AY200">
        <f t="shared" ref="AY200:AY264" si="89">MIN(W200/400,1)*20</f>
        <v>6</v>
      </c>
      <c r="AZ200" s="4">
        <f t="shared" si="76"/>
        <v>0.95066666666666666</v>
      </c>
      <c r="BA200">
        <f t="shared" ref="BA200:BA264" si="90">((MAX($J200,1)*MIN($AE200/300,1)))*IF(D200="Wagon",50,10)</f>
        <v>7.6</v>
      </c>
      <c r="BB200">
        <f>VLOOKUP($E200,Constants!$I:$K, 2, FALSE)</f>
        <v>0.85</v>
      </c>
      <c r="BC200">
        <f>VLOOKUP($E200,Constants!$I:$K, 3, FALSE)*IF(AND(D200="multiple_unit",Y200&lt;110),0.75,1)</f>
        <v>1.7249999999999999</v>
      </c>
      <c r="BD200">
        <f>INT(POWER(((Constants!$G$2+$AW200+$AX200+$AY200+$BA200)*$AZ200)*$BC200, 1.05))+$AV200</f>
        <v>61</v>
      </c>
      <c r="BE200">
        <f>INT(POWER((((Constants!$G$1+$AW200+$AX200+$AY200+$BA200)*($AZ200))*$BB200),IF($D200="wagon",1,1.2)))+$AU200</f>
        <v>70</v>
      </c>
      <c r="BF200" s="15">
        <f t="shared" ref="BF200:BF264" si="91">BD200*IF($D200="wagon",62.5,781.25)</f>
        <v>47656.25</v>
      </c>
      <c r="BG200" s="15">
        <f t="shared" ref="BG200:BG264" si="92">BE200*IF($D200="wagon",2.73,81.25)</f>
        <v>5687.5</v>
      </c>
      <c r="BN200">
        <v>8</v>
      </c>
      <c r="BO200">
        <v>185</v>
      </c>
      <c r="BQ200" t="s">
        <v>316</v>
      </c>
      <c r="BR200" t="str">
        <f>VLOOKUP(G200,Eras!$A$2:$C$10, 2, TRUE)</f>
        <v>big4</v>
      </c>
      <c r="BS200" t="s">
        <v>366</v>
      </c>
      <c r="BT200" t="str">
        <f t="shared" ref="BT200:BT264" si="93">CONCATENATE(BR200,"_",BS200)</f>
        <v>big4_EMU</v>
      </c>
      <c r="BU200" t="str">
        <f t="shared" si="82"/>
        <v>electric_THIRD_RAIL</v>
      </c>
      <c r="BV200" t="str">
        <f>VLOOKUP($BU200, Constants!$M:$N, 2, FALSE)</f>
        <v>{BLACK}Powered by: {GOLD}750V DC</v>
      </c>
      <c r="BW200" t="str">
        <f t="shared" si="83"/>
        <v>{BLACK}Cars: {GOLD}4</v>
      </c>
      <c r="BX200" t="s">
        <v>496</v>
      </c>
      <c r="BY200" t="str">
        <f t="shared" si="81"/>
        <v/>
      </c>
      <c r="BZ200" t="str">
        <f t="shared" si="84"/>
        <v>{BLACK}Powered by: {GOLD}750V DC {BLACK}Cars: {GOLD}4{}{SILVER}The Southern Railway was an early pioneer of electrification, with 4-COR units used between London Waterloo and Portsmouth.</v>
      </c>
    </row>
    <row r="201" spans="1:78" x14ac:dyDescent="0.25">
      <c r="A201" t="s">
        <v>77</v>
      </c>
      <c r="B201" t="s">
        <v>264</v>
      </c>
      <c r="C201">
        <v>428</v>
      </c>
      <c r="D201" t="s">
        <v>437</v>
      </c>
      <c r="E201" t="s">
        <v>329</v>
      </c>
      <c r="F201" t="s">
        <v>336</v>
      </c>
      <c r="G201">
        <v>1938</v>
      </c>
      <c r="H201">
        <v>1939</v>
      </c>
      <c r="I201">
        <v>1971</v>
      </c>
      <c r="J201">
        <v>2</v>
      </c>
      <c r="K201">
        <v>550</v>
      </c>
      <c r="T201">
        <v>77</v>
      </c>
      <c r="V201">
        <f>8*2</f>
        <v>16</v>
      </c>
      <c r="W201">
        <v>120</v>
      </c>
      <c r="X201" s="4">
        <f t="shared" si="80"/>
        <v>0.15584415584415584</v>
      </c>
      <c r="Y201">
        <v>75</v>
      </c>
      <c r="AA201">
        <v>20</v>
      </c>
      <c r="AB201">
        <v>20</v>
      </c>
      <c r="AE201" s="11">
        <f>(24+102)/2</f>
        <v>63</v>
      </c>
      <c r="AF201" t="str">
        <f>CONCATENATE(VLOOKUP(AG201, 'Voxel Sizes'!$A$2:$B$18,2,FALSE),"x",INT(AC201*15), "x", INT(AD201*15))</f>
        <v>198x0x0</v>
      </c>
      <c r="AG201">
        <f t="shared" si="85"/>
        <v>12</v>
      </c>
      <c r="AI201" t="str">
        <f>CONCATENATE(VLOOKUP(AG201,Constants!$A$2:$C$16,IF(AH201&lt;&gt;"", 3, 2), FALSE),IF(AH201&lt;&gt;"",CONCATENATE(",",VLOOKUP(AH201,$B:$AI,34,FALSE)),""))</f>
        <v>4,4,4</v>
      </c>
      <c r="AM201" t="s">
        <v>500</v>
      </c>
      <c r="AO201" t="s">
        <v>501</v>
      </c>
      <c r="AS201">
        <v>36</v>
      </c>
      <c r="AT201">
        <f t="shared" si="86"/>
        <v>29</v>
      </c>
      <c r="AU201">
        <v>-10</v>
      </c>
      <c r="AV201">
        <v>-15</v>
      </c>
      <c r="AW201">
        <f t="shared" si="87"/>
        <v>15</v>
      </c>
      <c r="AX201">
        <f t="shared" si="88"/>
        <v>2.75</v>
      </c>
      <c r="AY201">
        <f t="shared" si="89"/>
        <v>6</v>
      </c>
      <c r="AZ201" s="4">
        <f t="shared" ref="AZ201:AZ262" si="94">1-(MAX(G201-1900, 0)/750)</f>
        <v>0.94933333333333336</v>
      </c>
      <c r="BA201">
        <f t="shared" si="90"/>
        <v>4.2</v>
      </c>
      <c r="BB201">
        <f>VLOOKUP($E201,Constants!$I:$K, 2, FALSE)</f>
        <v>0.85</v>
      </c>
      <c r="BC201">
        <f>VLOOKUP($E201,Constants!$I:$K, 3, FALSE)*IF(AND(D201="multiple_unit",Y201&lt;110),0.75,1)</f>
        <v>1.7249999999999999</v>
      </c>
      <c r="BD201">
        <f>INT(POWER(((Constants!$G$2+$AW201+$AX201+$AY201+$BA201)*$AZ201)*$BC201, 1.05))+$AV201</f>
        <v>50</v>
      </c>
      <c r="BE201">
        <f>INT(POWER((((Constants!$G$1+$AW201+$AX201+$AY201+$BA201)*($AZ201))*$BB201),IF($D201="wagon",1,1.2)))+$AU201</f>
        <v>60</v>
      </c>
      <c r="BF201" s="15">
        <f t="shared" si="91"/>
        <v>39062.5</v>
      </c>
      <c r="BG201" s="15">
        <f t="shared" si="92"/>
        <v>4875</v>
      </c>
      <c r="BN201">
        <v>9</v>
      </c>
      <c r="BO201">
        <v>185</v>
      </c>
      <c r="BQ201" t="s">
        <v>316</v>
      </c>
      <c r="BR201" t="str">
        <f>VLOOKUP(G201,Eras!$A$2:$C$10, 2, TRUE)</f>
        <v>big4</v>
      </c>
      <c r="BS201" t="s">
        <v>366</v>
      </c>
      <c r="BT201" t="str">
        <f t="shared" si="93"/>
        <v>big4_EMU</v>
      </c>
      <c r="BU201" t="str">
        <f t="shared" si="82"/>
        <v>electric_THIRD_RAIL</v>
      </c>
      <c r="BV201" t="str">
        <f>VLOOKUP($BU201, Constants!$M:$N, 2, FALSE)</f>
        <v>{BLACK}Powered by: {GOLD}750V DC</v>
      </c>
      <c r="BW201" t="str">
        <f t="shared" si="83"/>
        <v>{BLACK}Cars: {GOLD}2</v>
      </c>
      <c r="BX201" t="s">
        <v>497</v>
      </c>
      <c r="BY201" t="str">
        <f t="shared" si="81"/>
        <v/>
      </c>
      <c r="BZ201" t="str">
        <f t="shared" si="84"/>
        <v>{BLACK}Powered by: {GOLD}750V DC {BLACK}Cars: {GOLD}2{}{SILVER}The 2-HAL (named for 2 units, Half Lavatory) is designed for suburban commuter services.</v>
      </c>
    </row>
    <row r="202" spans="1:78" x14ac:dyDescent="0.25">
      <c r="A202" t="s">
        <v>93</v>
      </c>
      <c r="B202" t="s">
        <v>211</v>
      </c>
      <c r="C202">
        <v>430</v>
      </c>
      <c r="D202" t="s">
        <v>437</v>
      </c>
      <c r="E202" t="s">
        <v>329</v>
      </c>
      <c r="F202" t="s">
        <v>330</v>
      </c>
      <c r="G202">
        <v>1954</v>
      </c>
      <c r="I202">
        <v>1984</v>
      </c>
      <c r="J202">
        <v>3</v>
      </c>
      <c r="K202">
        <v>740</v>
      </c>
      <c r="T202">
        <f>51.4+26.8+27.9</f>
        <v>106.1</v>
      </c>
      <c r="V202">
        <f>8*3</f>
        <v>24</v>
      </c>
      <c r="W202">
        <v>110</v>
      </c>
      <c r="X202" s="4">
        <f t="shared" si="80"/>
        <v>0.10367577756833177</v>
      </c>
      <c r="Y202">
        <v>75</v>
      </c>
      <c r="AA202">
        <v>18.100000000000001</v>
      </c>
      <c r="AB202">
        <v>18.100000000000001</v>
      </c>
      <c r="AC202">
        <v>2.82</v>
      </c>
      <c r="AD202">
        <v>3.87</v>
      </c>
      <c r="AE202" s="11">
        <v>57</v>
      </c>
      <c r="AF202" t="str">
        <f>CONCATENATE(VLOOKUP(AG202, 'Voxel Sizes'!$A$2:$B$18,2,FALSE),"x",INT(AC202*15), "x", INT(AD202*15))</f>
        <v>186x42x58</v>
      </c>
      <c r="AG202">
        <f t="shared" si="85"/>
        <v>11</v>
      </c>
      <c r="AI202" t="str">
        <f>CONCATENATE(VLOOKUP(AG202,Constants!$A$2:$C$16,IF(AH202&lt;&gt;"", 3, 2), FALSE),IF(AH202&lt;&gt;"",CONCATENATE(",",VLOOKUP(AH202,$B:$AI,34,FALSE)),""))</f>
        <v>4,3,4</v>
      </c>
      <c r="AM202" t="s">
        <v>651</v>
      </c>
      <c r="AO202" t="s">
        <v>325</v>
      </c>
      <c r="AS202">
        <v>35</v>
      </c>
      <c r="AT202">
        <f t="shared" si="86"/>
        <v>26</v>
      </c>
      <c r="AU202">
        <v>-10</v>
      </c>
      <c r="AV202">
        <v>-15</v>
      </c>
      <c r="AW202">
        <f t="shared" si="87"/>
        <v>15</v>
      </c>
      <c r="AX202">
        <f t="shared" si="88"/>
        <v>3.7</v>
      </c>
      <c r="AY202">
        <f t="shared" si="89"/>
        <v>5.5</v>
      </c>
      <c r="AZ202" s="4">
        <f t="shared" si="94"/>
        <v>0.92800000000000005</v>
      </c>
      <c r="BA202">
        <f t="shared" si="90"/>
        <v>5.7000000000000011</v>
      </c>
      <c r="BB202">
        <f>VLOOKUP($E202,Constants!$I:$K, 2, FALSE)</f>
        <v>0.85</v>
      </c>
      <c r="BC202">
        <f>VLOOKUP($E202,Constants!$I:$K, 3, FALSE)*IF(AND(D202="multiple_unit",Y202&lt;110),0.75,1)</f>
        <v>1.7249999999999999</v>
      </c>
      <c r="BD202">
        <f>INT(POWER(((Constants!$G$2+$AW202+$AX202+$AY202+$BA202)*$AZ202)*$BC202, 1.05))+$AV202</f>
        <v>53</v>
      </c>
      <c r="BE202">
        <f>INT(POWER((((Constants!$G$1+$AW202+$AX202+$AY202+$BA202)*($AZ202))*$BB202),IF($D202="wagon",1,1.2)))+$AU202</f>
        <v>62</v>
      </c>
      <c r="BF202" s="15">
        <f t="shared" si="91"/>
        <v>41406.25</v>
      </c>
      <c r="BG202" s="15">
        <f t="shared" si="92"/>
        <v>5037.5</v>
      </c>
      <c r="BN202">
        <v>10</v>
      </c>
      <c r="BO202">
        <v>185</v>
      </c>
      <c r="BQ202" t="s">
        <v>316</v>
      </c>
      <c r="BR202" t="str">
        <f>VLOOKUP(G202,Eras!$A$2:$C$10, 2, TRUE)</f>
        <v>ebr</v>
      </c>
      <c r="BS202" t="s">
        <v>366</v>
      </c>
      <c r="BT202" t="str">
        <f t="shared" si="93"/>
        <v>ebr_EMU</v>
      </c>
      <c r="BU202" t="str">
        <f t="shared" si="82"/>
        <v>electric_ELRL</v>
      </c>
      <c r="BV202" t="str">
        <f>VLOOKUP($BU202, Constants!$M:$N, 2, FALSE)</f>
        <v>{BLACK}Powered by: {GOLD}25kV AC</v>
      </c>
      <c r="BW202" t="str">
        <f t="shared" si="83"/>
        <v>{BLACK}Cars: {GOLD}3</v>
      </c>
      <c r="BX202" t="s">
        <v>652</v>
      </c>
      <c r="BY202" t="str">
        <f t="shared" si="81"/>
        <v/>
      </c>
      <c r="BZ202" t="str">
        <f t="shared" si="84"/>
        <v>{BLACK}Powered by: {GOLD}25kV AC {BLACK}Cars: {GOLD}3{}{SILVER}The Class 506 was built by Metro Cammell and BRCW for the Woodhead Line.</v>
      </c>
    </row>
    <row r="203" spans="1:78" x14ac:dyDescent="0.25">
      <c r="A203" t="s">
        <v>80</v>
      </c>
      <c r="B203" t="s">
        <v>205</v>
      </c>
      <c r="C203">
        <v>432</v>
      </c>
      <c r="D203" t="s">
        <v>165</v>
      </c>
      <c r="E203" t="s">
        <v>305</v>
      </c>
      <c r="F203" t="s">
        <v>307</v>
      </c>
      <c r="G203">
        <v>1956</v>
      </c>
      <c r="H203">
        <v>1959</v>
      </c>
      <c r="I203">
        <v>1988</v>
      </c>
      <c r="K203">
        <v>300</v>
      </c>
      <c r="T203">
        <f>30.5*2</f>
        <v>61</v>
      </c>
      <c r="X203" s="4" t="str">
        <f t="shared" si="80"/>
        <v/>
      </c>
      <c r="Y203">
        <v>70</v>
      </c>
      <c r="AA203">
        <v>17.53</v>
      </c>
      <c r="AB203">
        <v>17.53</v>
      </c>
      <c r="AD203">
        <v>3.84</v>
      </c>
      <c r="AE203" s="11">
        <v>0</v>
      </c>
      <c r="AF203" t="str">
        <f>CONCATENATE(VLOOKUP(AG203, 'Voxel Sizes'!$A$2:$B$18,2,FALSE),"x",INT(AC203*15), "x", INT(AD203*15))</f>
        <v>164x0x57</v>
      </c>
      <c r="AG203">
        <f t="shared" si="85"/>
        <v>10</v>
      </c>
      <c r="AI203" t="str">
        <f>CONCATENATE(VLOOKUP(AG203,Constants!$A$2:$C$16,IF(AH203&lt;&gt;"", 3, 2), FALSE),IF(AH203&lt;&gt;"",CONCATENATE(",",VLOOKUP(AH203,$B:$AI,34,FALSE)),""))</f>
        <v>4,2,4</v>
      </c>
      <c r="AS203">
        <v>45</v>
      </c>
      <c r="AT203">
        <f t="shared" si="86"/>
        <v>28</v>
      </c>
      <c r="AU203">
        <v>-10</v>
      </c>
      <c r="AV203">
        <v>-15</v>
      </c>
      <c r="AW203">
        <f t="shared" si="87"/>
        <v>14</v>
      </c>
      <c r="AX203">
        <f t="shared" si="88"/>
        <v>1.5</v>
      </c>
      <c r="AY203">
        <f t="shared" si="89"/>
        <v>0</v>
      </c>
      <c r="AZ203" s="4">
        <f t="shared" si="94"/>
        <v>0.92533333333333334</v>
      </c>
      <c r="BA203">
        <f t="shared" si="90"/>
        <v>0</v>
      </c>
      <c r="BB203">
        <f>VLOOKUP($E203,Constants!$I:$K, 2, FALSE)</f>
        <v>1</v>
      </c>
      <c r="BC203">
        <f>VLOOKUP($E203,Constants!$I:$K, 3, FALSE)*IF(AND(D203="multiple_unit",Y203&lt;110),0.75,1)</f>
        <v>2</v>
      </c>
      <c r="BD203">
        <f>INT(POWER(((Constants!$G$2+$AW203+$AX203+$AY203+$BA203)*$AZ203)*$BC203, 1.05))+$AV203</f>
        <v>30</v>
      </c>
      <c r="BE203">
        <f>INT(POWER((((Constants!$G$1+$AW203+$AX203+$AY203+$BA203)*($AZ203))*$BB203),IF($D203="wagon",1,1.2)))+$AU203</f>
        <v>45</v>
      </c>
      <c r="BF203" s="15">
        <f t="shared" si="91"/>
        <v>23437.5</v>
      </c>
      <c r="BG203" s="15">
        <f t="shared" si="92"/>
        <v>3656.25</v>
      </c>
      <c r="BN203">
        <v>11</v>
      </c>
      <c r="BO203">
        <v>185</v>
      </c>
      <c r="BR203" t="str">
        <f>VLOOKUP(G203,Eras!$A$2:$C$10, 2, TRUE)</f>
        <v>dsl</v>
      </c>
      <c r="BT203" t="str">
        <f t="shared" si="93"/>
        <v>dsl_</v>
      </c>
      <c r="BU203" t="str">
        <f t="shared" si="82"/>
        <v>diesel_RAIL</v>
      </c>
      <c r="BV203" t="str">
        <f>VLOOKUP($BU203, Constants!$M:$N, 2, FALSE)</f>
        <v>{BLACK}Powered by: {GOLD}Diesel</v>
      </c>
      <c r="BW203" t="str">
        <f t="shared" si="83"/>
        <v/>
      </c>
      <c r="BY203" t="str">
        <f t="shared" si="81"/>
        <v/>
      </c>
      <c r="BZ203" t="str">
        <f t="shared" si="84"/>
        <v>{BLACK}Powered by: {GOLD}Diesel {}{SILVER}</v>
      </c>
    </row>
    <row r="204" spans="1:78" x14ac:dyDescent="0.25">
      <c r="A204" t="s">
        <v>653</v>
      </c>
      <c r="B204" t="s">
        <v>655</v>
      </c>
      <c r="C204">
        <v>434</v>
      </c>
      <c r="D204" t="s">
        <v>437</v>
      </c>
      <c r="E204" t="s">
        <v>329</v>
      </c>
      <c r="F204" t="s">
        <v>336</v>
      </c>
      <c r="G204">
        <v>1956</v>
      </c>
      <c r="I204">
        <v>1995</v>
      </c>
      <c r="J204">
        <v>2</v>
      </c>
      <c r="K204">
        <v>500</v>
      </c>
      <c r="T204">
        <f>40+32</f>
        <v>72</v>
      </c>
      <c r="V204">
        <f>8*2</f>
        <v>16</v>
      </c>
      <c r="W204">
        <v>95</v>
      </c>
      <c r="X204" s="4">
        <f t="shared" si="80"/>
        <v>0.13194444444444445</v>
      </c>
      <c r="Y204">
        <v>90</v>
      </c>
      <c r="AA204">
        <v>19.05</v>
      </c>
      <c r="AB204">
        <v>19.05</v>
      </c>
      <c r="AC204">
        <v>2.82</v>
      </c>
      <c r="AD204">
        <v>3.89</v>
      </c>
      <c r="AE204" s="11">
        <v>54</v>
      </c>
      <c r="AF204" t="str">
        <f>CONCATENATE(VLOOKUP(AG204, 'Voxel Sizes'!$A$2:$B$18,2,FALSE),"x",INT(AC204*15), "x", INT(AD204*15))</f>
        <v>186x42x58</v>
      </c>
      <c r="AG204">
        <f t="shared" si="85"/>
        <v>11</v>
      </c>
      <c r="AI204" t="str">
        <f>CONCATENATE(VLOOKUP(AG204,Constants!$A$2:$C$16,IF(AH204&lt;&gt;"", 3, 2), FALSE),IF(AH204&lt;&gt;"",CONCATENATE(",",VLOOKUP(AH204,$B:$AI,34,FALSE)),""))</f>
        <v>4,3,4</v>
      </c>
      <c r="AM204" t="s">
        <v>656</v>
      </c>
      <c r="AO204" t="s">
        <v>501</v>
      </c>
      <c r="AS204">
        <v>33</v>
      </c>
      <c r="AT204">
        <f t="shared" si="86"/>
        <v>35</v>
      </c>
      <c r="AU204">
        <v>-10</v>
      </c>
      <c r="AV204">
        <v>-15</v>
      </c>
      <c r="AW204">
        <f t="shared" si="87"/>
        <v>18</v>
      </c>
      <c r="AX204">
        <f t="shared" si="88"/>
        <v>2.5</v>
      </c>
      <c r="AY204">
        <f t="shared" si="89"/>
        <v>4.75</v>
      </c>
      <c r="AZ204" s="4">
        <f t="shared" si="94"/>
        <v>0.92533333333333334</v>
      </c>
      <c r="BA204">
        <f t="shared" si="90"/>
        <v>3.5999999999999996</v>
      </c>
      <c r="BB204">
        <f>VLOOKUP($E204,Constants!$I:$K, 2, FALSE)</f>
        <v>0.85</v>
      </c>
      <c r="BC204">
        <f>VLOOKUP($E204,Constants!$I:$K, 3, FALSE)*IF(AND(D204="multiple_unit",Y204&lt;110),0.75,1)</f>
        <v>1.7249999999999999</v>
      </c>
      <c r="BD204">
        <f>INT(POWER(((Constants!$G$2+$AW204+$AX204+$AY204+$BA204)*$AZ204)*$BC204, 1.05))+$AV204</f>
        <v>50</v>
      </c>
      <c r="BE204">
        <f>INT(POWER((((Constants!$G$1+$AW204+$AX204+$AY204+$BA204)*($AZ204))*$BB204),IF($D204="wagon",1,1.2)))+$AU204</f>
        <v>60</v>
      </c>
      <c r="BF204" s="15">
        <f t="shared" si="91"/>
        <v>39062.5</v>
      </c>
      <c r="BG204" s="15">
        <f t="shared" si="92"/>
        <v>4875</v>
      </c>
      <c r="BK204" t="s">
        <v>285</v>
      </c>
      <c r="BN204">
        <v>12</v>
      </c>
      <c r="BO204">
        <v>185</v>
      </c>
      <c r="BQ204" t="s">
        <v>316</v>
      </c>
      <c r="BR204" t="str">
        <f>VLOOKUP(G204,Eras!$A$2:$C$10, 2, TRUE)</f>
        <v>dsl</v>
      </c>
      <c r="BS204" t="s">
        <v>367</v>
      </c>
      <c r="BT204" t="str">
        <f t="shared" si="93"/>
        <v>dsl_EMU (Express)</v>
      </c>
      <c r="BU204" t="str">
        <f t="shared" si="82"/>
        <v>electric_THIRD_RAIL</v>
      </c>
      <c r="BV204" t="str">
        <f>VLOOKUP($BU204, Constants!$M:$N, 2, FALSE)</f>
        <v>{BLACK}Powered by: {GOLD}750V DC</v>
      </c>
      <c r="BW204" t="str">
        <f t="shared" si="83"/>
        <v>{BLACK}Cars: {GOLD}2</v>
      </c>
      <c r="BX204" t="s">
        <v>657</v>
      </c>
      <c r="BY204" t="str">
        <f t="shared" si="81"/>
        <v/>
      </c>
      <c r="BZ204" t="str">
        <f t="shared" si="84"/>
        <v>{BLACK}Powered by: {GOLD}750V DC {BLACK}Cars: {GOLD}2{}{SILVER}The Class 414 2 HAP (Half Lavatory, electro-Pneumatic brake) is a Southern Region electric multiple unit, geared for express duties.</v>
      </c>
    </row>
    <row r="205" spans="1:78" x14ac:dyDescent="0.25">
      <c r="A205" t="s">
        <v>557</v>
      </c>
      <c r="B205" t="s">
        <v>558</v>
      </c>
      <c r="C205">
        <v>436</v>
      </c>
      <c r="D205" t="s">
        <v>165</v>
      </c>
      <c r="E205" t="s">
        <v>305</v>
      </c>
      <c r="F205" t="s">
        <v>307</v>
      </c>
      <c r="G205">
        <v>1959</v>
      </c>
      <c r="H205">
        <v>1961</v>
      </c>
      <c r="I205">
        <v>1990</v>
      </c>
      <c r="K205">
        <v>600</v>
      </c>
      <c r="T205">
        <f>36.6+30.5+36.6</f>
        <v>103.69999999999999</v>
      </c>
      <c r="X205" s="4" t="str">
        <f t="shared" si="80"/>
        <v/>
      </c>
      <c r="Y205">
        <v>70</v>
      </c>
      <c r="AA205">
        <v>19.510000000000002</v>
      </c>
      <c r="AB205">
        <v>19.510000000000002</v>
      </c>
      <c r="AD205">
        <v>3.87</v>
      </c>
      <c r="AE205" s="11">
        <v>0</v>
      </c>
      <c r="AF205" t="str">
        <f>CONCATENATE(VLOOKUP(AG205, 'Voxel Sizes'!$A$2:$B$18,2,FALSE),"x",INT(AC205*15), "x", INT(AD205*15))</f>
        <v>186x0x58</v>
      </c>
      <c r="AG205">
        <f t="shared" si="85"/>
        <v>11</v>
      </c>
      <c r="AI205" t="str">
        <f>CONCATENATE(VLOOKUP(AG205,Constants!$A$2:$C$16,IF(AH205&lt;&gt;"", 3, 2), FALSE),IF(AH205&lt;&gt;"",CONCATENATE(",",VLOOKUP(AH205,$B:$AI,34,FALSE)),""))</f>
        <v>4,3,4</v>
      </c>
      <c r="AS205">
        <v>39</v>
      </c>
      <c r="AT205">
        <f t="shared" si="86"/>
        <v>27</v>
      </c>
      <c r="AU205">
        <v>-10</v>
      </c>
      <c r="AV205">
        <v>-15</v>
      </c>
      <c r="AW205">
        <f t="shared" si="87"/>
        <v>14</v>
      </c>
      <c r="AX205">
        <f t="shared" si="88"/>
        <v>3</v>
      </c>
      <c r="AY205">
        <f t="shared" si="89"/>
        <v>0</v>
      </c>
      <c r="AZ205" s="4">
        <f t="shared" si="94"/>
        <v>0.92133333333333334</v>
      </c>
      <c r="BA205">
        <f t="shared" si="90"/>
        <v>0</v>
      </c>
      <c r="BB205">
        <f>VLOOKUP($E205,Constants!$I:$K, 2, FALSE)</f>
        <v>1</v>
      </c>
      <c r="BC205">
        <f>VLOOKUP($E205,Constants!$I:$K, 3, FALSE)*IF(AND(D205="multiple_unit",Y205&lt;110),0.75,1)</f>
        <v>2</v>
      </c>
      <c r="BD205">
        <f>INT(POWER(((Constants!$G$2+$AW205+$AX205+$AY205+$BA205)*$AZ205)*$BC205, 1.05))+$AV205</f>
        <v>33</v>
      </c>
      <c r="BE205">
        <f>INT(POWER((((Constants!$G$1+$AW205+$AX205+$AY205+$BA205)*($AZ205))*$BB205),IF($D205="wagon",1,1.2)))+$AU205</f>
        <v>48</v>
      </c>
      <c r="BF205" s="15">
        <f t="shared" si="91"/>
        <v>25781.25</v>
      </c>
      <c r="BG205" s="15">
        <f t="shared" si="92"/>
        <v>3900</v>
      </c>
      <c r="BN205">
        <v>1</v>
      </c>
      <c r="BO205">
        <v>185</v>
      </c>
      <c r="BR205" t="str">
        <f>VLOOKUP(G205,Eras!$A$2:$C$10, 2, TRUE)</f>
        <v>dsl</v>
      </c>
      <c r="BS205" t="s">
        <v>364</v>
      </c>
      <c r="BT205" t="str">
        <f t="shared" si="93"/>
        <v>dsl_DMU</v>
      </c>
      <c r="BU205" t="str">
        <f t="shared" si="82"/>
        <v>diesel_RAIL</v>
      </c>
      <c r="BV205" t="str">
        <f>VLOOKUP($BU205, Constants!$M:$N, 2, FALSE)</f>
        <v>{BLACK}Powered by: {GOLD}Diesel</v>
      </c>
      <c r="BW205" t="str">
        <f t="shared" si="83"/>
        <v/>
      </c>
      <c r="BY205" t="str">
        <f t="shared" si="81"/>
        <v/>
      </c>
      <c r="BZ205" t="str">
        <f t="shared" si="84"/>
        <v>{BLACK}Powered by: {GOLD}Diesel {}{SILVER}</v>
      </c>
    </row>
    <row r="206" spans="1:78" x14ac:dyDescent="0.25">
      <c r="A206" t="s">
        <v>143</v>
      </c>
      <c r="B206" t="s">
        <v>268</v>
      </c>
      <c r="C206">
        <v>438</v>
      </c>
      <c r="D206" t="s">
        <v>437</v>
      </c>
      <c r="E206" t="s">
        <v>305</v>
      </c>
      <c r="F206" t="s">
        <v>307</v>
      </c>
      <c r="G206">
        <v>1960</v>
      </c>
      <c r="I206">
        <v>1973</v>
      </c>
      <c r="J206">
        <v>6</v>
      </c>
      <c r="K206">
        <v>1000</v>
      </c>
      <c r="T206">
        <v>304</v>
      </c>
      <c r="V206">
        <f>7*6</f>
        <v>42</v>
      </c>
      <c r="W206">
        <v>155</v>
      </c>
      <c r="X206" s="4">
        <f t="shared" si="80"/>
        <v>5.0986842105263157E-2</v>
      </c>
      <c r="Y206">
        <v>90</v>
      </c>
      <c r="AA206">
        <v>20.260000000000002</v>
      </c>
      <c r="AB206">
        <v>20</v>
      </c>
      <c r="AC206">
        <v>2.9</v>
      </c>
      <c r="AD206">
        <v>3.77</v>
      </c>
      <c r="AE206" s="11">
        <v>36</v>
      </c>
      <c r="AF206" t="str">
        <f>CONCATENATE(VLOOKUP(AG206, 'Voxel Sizes'!$A$2:$B$18,2,FALSE),"x",INT(AC206*15), "x", INT(AD206*15))</f>
        <v>198x43x56</v>
      </c>
      <c r="AG206">
        <f t="shared" si="85"/>
        <v>12</v>
      </c>
      <c r="AI206" t="str">
        <f>CONCATENATE(VLOOKUP(AG206,Constants!$A$2:$C$16,IF(AH206&lt;&gt;"", 3, 2), FALSE),IF(AH206&lt;&gt;"",CONCATENATE(",",VLOOKUP(AH206,$B:$AI,34,FALSE)),""))</f>
        <v>4,4,4</v>
      </c>
      <c r="AM206" t="s">
        <v>563</v>
      </c>
      <c r="AO206" t="s">
        <v>564</v>
      </c>
      <c r="AS206">
        <v>22</v>
      </c>
      <c r="AT206">
        <f t="shared" si="86"/>
        <v>9</v>
      </c>
      <c r="AU206">
        <v>-10</v>
      </c>
      <c r="AV206">
        <v>-15</v>
      </c>
      <c r="AW206">
        <f t="shared" si="87"/>
        <v>18</v>
      </c>
      <c r="AX206">
        <f t="shared" si="88"/>
        <v>5</v>
      </c>
      <c r="AY206">
        <f t="shared" si="89"/>
        <v>7.75</v>
      </c>
      <c r="AZ206" s="4">
        <f t="shared" si="94"/>
        <v>0.92</v>
      </c>
      <c r="BA206">
        <f t="shared" si="90"/>
        <v>7.1999999999999993</v>
      </c>
      <c r="BB206">
        <f>VLOOKUP($E206,Constants!$I:$K, 2, FALSE)</f>
        <v>1</v>
      </c>
      <c r="BC206">
        <f>VLOOKUP($E206,Constants!$I:$K, 3, FALSE)*IF(AND(D206="multiple_unit",Y206&lt;110),0.75,1)</f>
        <v>1.5</v>
      </c>
      <c r="BD206">
        <f>INT(POWER(((Constants!$G$2+$AW206+$AX206+$AY206+$BA206)*$AZ206)*$BC206, 1.05))+$AV206</f>
        <v>57</v>
      </c>
      <c r="BE206">
        <f>INT(POWER((((Constants!$G$1+$AW206+$AX206+$AY206+$BA206)*($AZ206))*$BB206),IF($D206="wagon",1,1.2)))+$AU206</f>
        <v>95</v>
      </c>
      <c r="BF206" s="15">
        <f t="shared" si="91"/>
        <v>44531.25</v>
      </c>
      <c r="BG206" s="15">
        <f t="shared" si="92"/>
        <v>7718.75</v>
      </c>
      <c r="BM206" t="s">
        <v>1195</v>
      </c>
      <c r="BN206">
        <v>2</v>
      </c>
      <c r="BO206">
        <v>222</v>
      </c>
      <c r="BQ206" t="s">
        <v>316</v>
      </c>
      <c r="BR206" t="str">
        <f>VLOOKUP(G206,Eras!$A$2:$C$10, 2, TRUE)</f>
        <v>dsl</v>
      </c>
      <c r="BS206" t="s">
        <v>365</v>
      </c>
      <c r="BT206" t="str">
        <f t="shared" si="93"/>
        <v>dsl_DMU (Express)</v>
      </c>
      <c r="BU206" t="str">
        <f t="shared" si="82"/>
        <v>diesel_RAIL</v>
      </c>
      <c r="BV206" t="str">
        <f>VLOOKUP($BU206, Constants!$M:$N, 2, FALSE)</f>
        <v>{BLACK}Powered by: {GOLD}Diesel</v>
      </c>
      <c r="BW206" t="str">
        <f t="shared" si="83"/>
        <v>{BLACK}Cars: {GOLD}6</v>
      </c>
      <c r="BX206" t="s">
        <v>565</v>
      </c>
      <c r="BY206" t="str">
        <f t="shared" si="81"/>
        <v>{YELLOW}20% Bonus for long distance travel{}</v>
      </c>
      <c r="BZ206" t="str">
        <f t="shared" si="84"/>
        <v>{BLACK}Powered by: {GOLD}Diesel {BLACK}Cars: {GOLD}6{}{YELLOW}20% Bonus for long distance travel{}{SILVER}The Blue Pullman is an express diesel multiple unit, designed to tempt motorists from their cars with a luxurious inter-city service.</v>
      </c>
    </row>
    <row r="207" spans="1:78" x14ac:dyDescent="0.25">
      <c r="A207" t="s">
        <v>143</v>
      </c>
      <c r="B207" t="s">
        <v>1181</v>
      </c>
      <c r="C207">
        <v>439</v>
      </c>
      <c r="D207" t="s">
        <v>437</v>
      </c>
      <c r="E207" t="s">
        <v>305</v>
      </c>
      <c r="F207" t="s">
        <v>307</v>
      </c>
      <c r="G207">
        <v>1960</v>
      </c>
      <c r="I207">
        <v>1973</v>
      </c>
      <c r="J207">
        <v>5</v>
      </c>
      <c r="K207">
        <v>1000</v>
      </c>
      <c r="T207">
        <f>304/6*5</f>
        <v>253.33333333333331</v>
      </c>
      <c r="V207">
        <f>7*5</f>
        <v>35</v>
      </c>
      <c r="W207">
        <v>155</v>
      </c>
      <c r="X207" s="4">
        <f t="shared" si="80"/>
        <v>6.1184210526315799E-2</v>
      </c>
      <c r="Y207">
        <v>90</v>
      </c>
      <c r="AA207">
        <v>20.260000000000002</v>
      </c>
      <c r="AB207">
        <v>20</v>
      </c>
      <c r="AC207">
        <v>2.9</v>
      </c>
      <c r="AD207">
        <v>3.77</v>
      </c>
      <c r="AE207" s="11">
        <v>36</v>
      </c>
      <c r="AF207" t="str">
        <f>CONCATENATE(VLOOKUP(AG207, 'Voxel Sizes'!$A$2:$B$18,2,FALSE),"x",INT(AC207*15), "x", INT(AD207*15))</f>
        <v>198x43x56</v>
      </c>
      <c r="AG207">
        <f t="shared" si="85"/>
        <v>12</v>
      </c>
      <c r="AI207" t="str">
        <f>CONCATENATE(VLOOKUP(AG207,Constants!$A$2:$C$16,IF(AH207&lt;&gt;"", 3, 2), FALSE),IF(AH207&lt;&gt;"",CONCATENATE(",",VLOOKUP(AH207,$B:$AI,34,FALSE)),""))</f>
        <v>4,4,4</v>
      </c>
      <c r="AM207" t="s">
        <v>1182</v>
      </c>
      <c r="AO207" t="s">
        <v>704</v>
      </c>
      <c r="AP207" t="s">
        <v>268</v>
      </c>
      <c r="AS207">
        <v>22</v>
      </c>
      <c r="AT207">
        <f t="shared" si="86"/>
        <v>9</v>
      </c>
      <c r="AU207">
        <v>-10</v>
      </c>
      <c r="AV207">
        <v>-15</v>
      </c>
      <c r="AW207">
        <f t="shared" si="87"/>
        <v>18</v>
      </c>
      <c r="AX207">
        <f t="shared" si="88"/>
        <v>5</v>
      </c>
      <c r="AY207">
        <f t="shared" si="89"/>
        <v>7.75</v>
      </c>
      <c r="AZ207" s="4">
        <f t="shared" si="94"/>
        <v>0.92</v>
      </c>
      <c r="BA207">
        <f t="shared" si="90"/>
        <v>6</v>
      </c>
      <c r="BB207">
        <f>VLOOKUP($E207,Constants!$I:$K, 2, FALSE)</f>
        <v>1</v>
      </c>
      <c r="BC207">
        <f>VLOOKUP($E207,Constants!$I:$K, 3, FALSE)*IF(AND(D207="multiple_unit",Y207&lt;110),0.75,1)</f>
        <v>1.5</v>
      </c>
      <c r="BD207">
        <f>INT(POWER(((Constants!$G$2+$AW207+$AX207+$AY207+$BA207)*$AZ207)*$BC207, 1.05))+$AV207</f>
        <v>55</v>
      </c>
      <c r="BE207">
        <f>INT(POWER((((Constants!$G$1+$AW207+$AX207+$AY207+$BA207)*($AZ207))*$BB207),IF($D207="wagon",1,1.2)))+$AU207</f>
        <v>93</v>
      </c>
      <c r="BF207" s="15">
        <f t="shared" si="91"/>
        <v>42968.75</v>
      </c>
      <c r="BG207" s="15">
        <f t="shared" si="92"/>
        <v>7556.25</v>
      </c>
      <c r="BM207" t="s">
        <v>1197</v>
      </c>
      <c r="BN207">
        <v>2</v>
      </c>
      <c r="BO207">
        <v>222</v>
      </c>
      <c r="BQ207" t="s">
        <v>316</v>
      </c>
      <c r="BR207" t="str">
        <f>VLOOKUP(G207,Eras!$A$2:$C$10, 2, TRUE)</f>
        <v>dsl</v>
      </c>
      <c r="BS207" t="s">
        <v>365</v>
      </c>
      <c r="BT207" t="str">
        <f t="shared" si="93"/>
        <v>dsl_DMU (Express)</v>
      </c>
      <c r="BU207" t="str">
        <f t="shared" si="82"/>
        <v>diesel_RAIL</v>
      </c>
      <c r="BV207" t="str">
        <f>VLOOKUP($BU207, Constants!$M:$N, 2, FALSE)</f>
        <v>{BLACK}Powered by: {GOLD}Diesel</v>
      </c>
      <c r="BW207" t="str">
        <f t="shared" si="83"/>
        <v>{BLACK}Cars: {GOLD}5</v>
      </c>
      <c r="BX207" t="s">
        <v>565</v>
      </c>
      <c r="BY207" t="str">
        <f t="shared" si="81"/>
        <v>{YELLOW}20% Bonus for long distance travel{}</v>
      </c>
      <c r="BZ207" t="str">
        <f t="shared" si="84"/>
        <v>{BLACK}Powered by: {GOLD}Diesel {BLACK}Cars: {GOLD}5{}{YELLOW}20% Bonus for long distance travel{}{SILVER}The Blue Pullman is an express diesel multiple unit, designed to tempt motorists from their cars with a luxurious inter-city service.</v>
      </c>
    </row>
    <row r="208" spans="1:78" x14ac:dyDescent="0.25">
      <c r="A208" t="s">
        <v>79</v>
      </c>
      <c r="B208" t="s">
        <v>248</v>
      </c>
      <c r="C208">
        <v>440</v>
      </c>
      <c r="D208" t="s">
        <v>437</v>
      </c>
      <c r="E208" t="s">
        <v>305</v>
      </c>
      <c r="F208" t="s">
        <v>307</v>
      </c>
      <c r="G208">
        <v>1960</v>
      </c>
      <c r="I208">
        <v>2017</v>
      </c>
      <c r="J208">
        <v>1</v>
      </c>
      <c r="K208">
        <v>300</v>
      </c>
      <c r="T208">
        <v>38</v>
      </c>
      <c r="V208">
        <v>8</v>
      </c>
      <c r="W208">
        <v>65</v>
      </c>
      <c r="X208" s="4">
        <f t="shared" si="80"/>
        <v>0.17105263157894737</v>
      </c>
      <c r="Y208">
        <v>70</v>
      </c>
      <c r="Z208">
        <v>1</v>
      </c>
      <c r="AA208">
        <v>19.66</v>
      </c>
      <c r="AB208">
        <v>19.66</v>
      </c>
      <c r="AD208">
        <v>3.77</v>
      </c>
      <c r="AE208" s="11">
        <v>66</v>
      </c>
      <c r="AF208" t="str">
        <f>CONCATENATE(VLOOKUP(AG208, 'Voxel Sizes'!$A$2:$B$18,2,FALSE),"x",INT(AC208*15), "x", INT(AD208*15))</f>
        <v>198x0x56</v>
      </c>
      <c r="AG208">
        <f t="shared" si="85"/>
        <v>12</v>
      </c>
      <c r="AI208" t="str">
        <f>CONCATENATE(VLOOKUP(AG208,Constants!$A$2:$C$16,IF(AH208&lt;&gt;"", 3, 2), FALSE),IF(AH208&lt;&gt;"",CONCATENATE(",",VLOOKUP(AH208,$B:$AI,34,FALSE)),""))</f>
        <v>4,4,4</v>
      </c>
      <c r="AM208" t="s">
        <v>248</v>
      </c>
      <c r="AO208">
        <v>1</v>
      </c>
      <c r="AS208">
        <v>50</v>
      </c>
      <c r="AT208">
        <f t="shared" si="86"/>
        <v>53</v>
      </c>
      <c r="AU208">
        <v>-10</v>
      </c>
      <c r="AV208">
        <v>-15</v>
      </c>
      <c r="AW208">
        <f t="shared" si="87"/>
        <v>14</v>
      </c>
      <c r="AX208">
        <f t="shared" si="88"/>
        <v>1.5</v>
      </c>
      <c r="AY208">
        <f t="shared" si="89"/>
        <v>3.25</v>
      </c>
      <c r="AZ208" s="4">
        <f t="shared" si="94"/>
        <v>0.92</v>
      </c>
      <c r="BA208">
        <f t="shared" si="90"/>
        <v>2.2000000000000002</v>
      </c>
      <c r="BB208">
        <f>VLOOKUP($E208,Constants!$I:$K, 2, FALSE)</f>
        <v>1</v>
      </c>
      <c r="BC208">
        <f>VLOOKUP($E208,Constants!$I:$K, 3, FALSE)*IF(AND(D208="multiple_unit",Y208&lt;110),0.75,1)</f>
        <v>1.5</v>
      </c>
      <c r="BD208">
        <f>INT(POWER(((Constants!$G$2+$AW208+$AX208+$AY208+$BA208)*$AZ208)*$BC208, 1.05))+$AV208</f>
        <v>27</v>
      </c>
      <c r="BE208">
        <f>INT(POWER((((Constants!$G$1+$AW208+$AX208+$AY208+$BA208)*($AZ208))*$BB208),IF($D208="wagon",1,1.2)))+$AU208</f>
        <v>56</v>
      </c>
      <c r="BF208" s="15">
        <f t="shared" si="91"/>
        <v>21093.75</v>
      </c>
      <c r="BG208" s="15">
        <f t="shared" si="92"/>
        <v>4550</v>
      </c>
      <c r="BN208">
        <v>4</v>
      </c>
      <c r="BO208">
        <v>185</v>
      </c>
      <c r="BQ208" t="s">
        <v>316</v>
      </c>
      <c r="BR208" t="str">
        <f>VLOOKUP(G208,Eras!$A$2:$C$10, 2, TRUE)</f>
        <v>dsl</v>
      </c>
      <c r="BS208" t="s">
        <v>364</v>
      </c>
      <c r="BT208" t="str">
        <f t="shared" si="93"/>
        <v>dsl_DMU</v>
      </c>
      <c r="BU208" t="str">
        <f t="shared" si="82"/>
        <v>diesel_RAIL</v>
      </c>
      <c r="BV208" t="str">
        <f>VLOOKUP($BU208, Constants!$M:$N, 2, FALSE)</f>
        <v>{BLACK}Powered by: {GOLD}Diesel</v>
      </c>
      <c r="BW208" t="str">
        <f t="shared" si="83"/>
        <v/>
      </c>
      <c r="BX208" t="s">
        <v>566</v>
      </c>
      <c r="BY208" t="str">
        <f t="shared" si="81"/>
        <v/>
      </c>
      <c r="BZ208" t="str">
        <f t="shared" si="84"/>
        <v>{BLACK}Powered by: {GOLD}Diesel {}{SILVER}The "Bubble Car" units saw a long life on branch lines and rural railways. Two six-cylinder AEC or Leyland engines of 150hp each drive the wheels through a mechanical transmission.</v>
      </c>
    </row>
    <row r="209" spans="1:78" x14ac:dyDescent="0.25">
      <c r="A209" t="s">
        <v>654</v>
      </c>
      <c r="B209" t="s">
        <v>285</v>
      </c>
      <c r="C209">
        <v>442</v>
      </c>
      <c r="D209" t="s">
        <v>437</v>
      </c>
      <c r="E209" t="s">
        <v>329</v>
      </c>
      <c r="F209" t="s">
        <v>336</v>
      </c>
      <c r="G209">
        <v>1964</v>
      </c>
      <c r="H209">
        <v>1972</v>
      </c>
      <c r="I209">
        <v>2005</v>
      </c>
      <c r="J209">
        <v>4</v>
      </c>
      <c r="K209">
        <v>1000</v>
      </c>
      <c r="T209">
        <v>152</v>
      </c>
      <c r="V209">
        <f>8*4</f>
        <v>32</v>
      </c>
      <c r="W209">
        <v>125</v>
      </c>
      <c r="X209" s="4">
        <f t="shared" si="80"/>
        <v>8.2236842105263164E-2</v>
      </c>
      <c r="Y209">
        <v>90</v>
      </c>
      <c r="AA209">
        <f>80.98/4</f>
        <v>20.245000000000001</v>
      </c>
      <c r="AB209">
        <v>20.239999999999998</v>
      </c>
      <c r="AC209">
        <v>2.82</v>
      </c>
      <c r="AD209">
        <v>3.89</v>
      </c>
      <c r="AE209" s="11">
        <v>54</v>
      </c>
      <c r="AF209" t="str">
        <f>CONCATENATE(VLOOKUP(AG209, 'Voxel Sizes'!$A$2:$B$18,2,FALSE),"x",INT(AC209*15), "x", INT(AD209*15))</f>
        <v>198x42x58</v>
      </c>
      <c r="AG209">
        <f t="shared" si="85"/>
        <v>12</v>
      </c>
      <c r="AI209" t="str">
        <f>CONCATENATE(VLOOKUP(AG209,Constants!$A$2:$C$16,IF(AH209&lt;&gt;"", 3, 2), FALSE),IF(AH209&lt;&gt;"",CONCATENATE(",",VLOOKUP(AH209,$B:$AI,34,FALSE)),""))</f>
        <v>4,4,4</v>
      </c>
      <c r="AM209" t="s">
        <v>664</v>
      </c>
      <c r="AO209" t="s">
        <v>662</v>
      </c>
      <c r="AS209">
        <v>40</v>
      </c>
      <c r="AT209">
        <f t="shared" si="86"/>
        <v>37</v>
      </c>
      <c r="AU209">
        <v>-10</v>
      </c>
      <c r="AV209">
        <v>-20</v>
      </c>
      <c r="AW209">
        <f t="shared" si="87"/>
        <v>18</v>
      </c>
      <c r="AX209">
        <f t="shared" si="88"/>
        <v>5</v>
      </c>
      <c r="AY209">
        <f t="shared" si="89"/>
        <v>6.25</v>
      </c>
      <c r="AZ209" s="4">
        <f t="shared" si="94"/>
        <v>0.91466666666666663</v>
      </c>
      <c r="BA209">
        <f t="shared" si="90"/>
        <v>7.1999999999999993</v>
      </c>
      <c r="BB209">
        <f>VLOOKUP($E209,Constants!$I:$K, 2, FALSE)</f>
        <v>0.85</v>
      </c>
      <c r="BC209">
        <f>VLOOKUP($E209,Constants!$I:$K, 3, FALSE)*IF(AND(D209="multiple_unit",Y209&lt;110),0.75,1)</f>
        <v>1.7249999999999999</v>
      </c>
      <c r="BD209">
        <f>INT(POWER(((Constants!$G$2+$AW209+$AX209+$AY209+$BA209)*$AZ209)*$BC209, 1.05))+$AV209</f>
        <v>60</v>
      </c>
      <c r="BE209">
        <f>INT(POWER((((Constants!$G$1+$AW209+$AX209+$AY209+$BA209)*($AZ209))*$BB209),IF($D209="wagon",1,1.2)))+$AU209</f>
        <v>73</v>
      </c>
      <c r="BF209" s="15">
        <f t="shared" si="91"/>
        <v>46875</v>
      </c>
      <c r="BG209" s="15">
        <f t="shared" si="92"/>
        <v>5931.25</v>
      </c>
      <c r="BK209" t="s">
        <v>655</v>
      </c>
      <c r="BN209">
        <v>5</v>
      </c>
      <c r="BO209">
        <v>185</v>
      </c>
      <c r="BQ209" t="s">
        <v>316</v>
      </c>
      <c r="BR209" t="str">
        <f>VLOOKUP(G209,Eras!$A$2:$C$10, 2, TRUE)</f>
        <v>dsl</v>
      </c>
      <c r="BS209" t="s">
        <v>367</v>
      </c>
      <c r="BT209" t="str">
        <f t="shared" si="93"/>
        <v>dsl_EMU (Express)</v>
      </c>
      <c r="BU209" t="str">
        <f t="shared" si="82"/>
        <v>electric_THIRD_RAIL</v>
      </c>
      <c r="BV209" t="str">
        <f>VLOOKUP($BU209, Constants!$M:$N, 2, FALSE)</f>
        <v>{BLACK}Powered by: {GOLD}750V DC</v>
      </c>
      <c r="BW209" t="str">
        <f t="shared" si="83"/>
        <v>{BLACK}Cars: {GOLD}4</v>
      </c>
      <c r="BX209" t="s">
        <v>661</v>
      </c>
      <c r="BY209" t="str">
        <f t="shared" si="81"/>
        <v/>
      </c>
      <c r="BZ209" t="str">
        <f t="shared" si="84"/>
        <v>{BLACK}Powered by: {GOLD}750V DC {BLACK}Cars: {GOLD}4{}{SILVER}The Class 421 4 CIG (Corridor, brIGhton) was a third rail EMU with express gearing, used in the Southern Region. It was based on the Mk1 carriage design.</v>
      </c>
    </row>
    <row r="210" spans="1:78" x14ac:dyDescent="0.25">
      <c r="A210" t="s">
        <v>94</v>
      </c>
      <c r="B210" t="s">
        <v>658</v>
      </c>
      <c r="C210">
        <v>444</v>
      </c>
      <c r="D210" t="s">
        <v>437</v>
      </c>
      <c r="E210" t="s">
        <v>329</v>
      </c>
      <c r="F210" t="s">
        <v>330</v>
      </c>
      <c r="G210">
        <v>1965</v>
      </c>
      <c r="I210">
        <v>2002</v>
      </c>
      <c r="J210">
        <v>4</v>
      </c>
      <c r="K210">
        <v>1080</v>
      </c>
      <c r="T210">
        <v>158</v>
      </c>
      <c r="V210">
        <f>8*4</f>
        <v>32</v>
      </c>
      <c r="W210">
        <v>130</v>
      </c>
      <c r="X210" s="4">
        <f t="shared" si="80"/>
        <v>8.2278481012658222E-2</v>
      </c>
      <c r="Y210">
        <v>75</v>
      </c>
      <c r="AA210">
        <v>19.850000000000001</v>
      </c>
      <c r="AB210">
        <v>19.850000000000001</v>
      </c>
      <c r="AC210">
        <v>2.82</v>
      </c>
      <c r="AD210">
        <v>3.97</v>
      </c>
      <c r="AE210" s="11">
        <v>57</v>
      </c>
      <c r="AF210" t="str">
        <f>CONCATENATE(VLOOKUP(AG210, 'Voxel Sizes'!$A$2:$B$18,2,FALSE),"x",INT(AC210*15), "x", INT(AD210*15))</f>
        <v>198x42x59</v>
      </c>
      <c r="AG210">
        <f t="shared" si="85"/>
        <v>12</v>
      </c>
      <c r="AI210" t="str">
        <f>CONCATENATE(VLOOKUP(AG210,Constants!$A$2:$C$16,IF(AH210&lt;&gt;"", 3, 2), FALSE),IF(AH210&lt;&gt;"",CONCATENATE(",",VLOOKUP(AH210,$B:$AI,34,FALSE)),""))</f>
        <v>4,4,4</v>
      </c>
      <c r="AM210" t="s">
        <v>659</v>
      </c>
      <c r="AO210" t="s">
        <v>592</v>
      </c>
      <c r="AS210">
        <v>32</v>
      </c>
      <c r="AT210">
        <f t="shared" si="86"/>
        <v>33</v>
      </c>
      <c r="AU210">
        <v>-10</v>
      </c>
      <c r="AV210">
        <v>-20</v>
      </c>
      <c r="AW210">
        <f t="shared" si="87"/>
        <v>15</v>
      </c>
      <c r="AX210">
        <f t="shared" si="88"/>
        <v>5.4</v>
      </c>
      <c r="AY210">
        <f t="shared" si="89"/>
        <v>6.5</v>
      </c>
      <c r="AZ210" s="4">
        <f t="shared" si="94"/>
        <v>0.91333333333333333</v>
      </c>
      <c r="BA210">
        <f t="shared" si="90"/>
        <v>7.6</v>
      </c>
      <c r="BB210">
        <f>VLOOKUP($E210,Constants!$I:$K, 2, FALSE)</f>
        <v>0.85</v>
      </c>
      <c r="BC210">
        <f>VLOOKUP($E210,Constants!$I:$K, 3, FALSE)*IF(AND(D210="multiple_unit",Y210&lt;110),0.75,1)</f>
        <v>1.7249999999999999</v>
      </c>
      <c r="BD210">
        <f>INT(POWER(((Constants!$G$2+$AW210+$AX210+$AY210+$BA210)*$AZ210)*$BC210, 1.05))+$AV210</f>
        <v>56</v>
      </c>
      <c r="BE210">
        <f>INT(POWER((((Constants!$G$1+$AW210+$AX210+$AY210+$BA210)*($AZ210))*$BB210),IF($D210="wagon",1,1.2)))+$AU210</f>
        <v>69</v>
      </c>
      <c r="BF210" s="15">
        <f t="shared" si="91"/>
        <v>43750</v>
      </c>
      <c r="BG210" s="15">
        <f t="shared" si="92"/>
        <v>5606.25</v>
      </c>
      <c r="BN210">
        <v>6</v>
      </c>
      <c r="BO210">
        <v>185</v>
      </c>
      <c r="BQ210" t="s">
        <v>316</v>
      </c>
      <c r="BR210" t="str">
        <f>VLOOKUP(G210,Eras!$A$2:$C$10, 2, TRUE)</f>
        <v>dsl</v>
      </c>
      <c r="BS210" t="s">
        <v>365</v>
      </c>
      <c r="BT210" t="str">
        <f t="shared" si="93"/>
        <v>dsl_DMU (Express)</v>
      </c>
      <c r="BU210" t="str">
        <f t="shared" si="82"/>
        <v>electric_ELRL</v>
      </c>
      <c r="BV210" t="str">
        <f>VLOOKUP($BU210, Constants!$M:$N, 2, FALSE)</f>
        <v>{BLACK}Powered by: {GOLD}25kV AC</v>
      </c>
      <c r="BW210" t="str">
        <f t="shared" si="83"/>
        <v>{BLACK}Cars: {GOLD}4</v>
      </c>
      <c r="BX210" t="s">
        <v>660</v>
      </c>
      <c r="BY210" t="str">
        <f t="shared" si="81"/>
        <v/>
      </c>
      <c r="BZ210" t="str">
        <f t="shared" si="84"/>
        <v>{BLACK}Powered by: {GOLD}25kV AC {BLACK}Cars: {GOLD}4{}{SILVER}The AM10 was the first EMU to be based on the Mk2 carriage bodyshell. They were introduced as part of the West Coast Main Line electrification.</v>
      </c>
    </row>
    <row r="211" spans="1:78" x14ac:dyDescent="0.25">
      <c r="A211" t="s">
        <v>86</v>
      </c>
      <c r="B211" t="s">
        <v>208</v>
      </c>
      <c r="C211">
        <v>446</v>
      </c>
      <c r="D211" t="s">
        <v>437</v>
      </c>
      <c r="E211" t="s">
        <v>589</v>
      </c>
      <c r="F211" t="s">
        <v>588</v>
      </c>
      <c r="G211">
        <v>1976</v>
      </c>
      <c r="H211">
        <v>1977</v>
      </c>
      <c r="J211">
        <v>3</v>
      </c>
      <c r="K211">
        <v>880</v>
      </c>
      <c r="T211">
        <v>104.5</v>
      </c>
      <c r="V211">
        <f>8*3</f>
        <v>24</v>
      </c>
      <c r="W211">
        <v>140</v>
      </c>
      <c r="X211" s="4">
        <f t="shared" si="80"/>
        <v>0.13397129186602871</v>
      </c>
      <c r="Y211">
        <v>75</v>
      </c>
      <c r="AA211">
        <v>20.329999999999998</v>
      </c>
      <c r="AB211">
        <v>20.329999999999998</v>
      </c>
      <c r="AD211">
        <v>3.58</v>
      </c>
      <c r="AE211" s="11">
        <v>75</v>
      </c>
      <c r="AF211" t="str">
        <f>CONCATENATE(VLOOKUP(AG211, 'Voxel Sizes'!$A$2:$B$18,2,FALSE),"x",INT(AC211*15), "x", INT(AD211*15))</f>
        <v>198x0x53</v>
      </c>
      <c r="AG211">
        <f t="shared" si="85"/>
        <v>12</v>
      </c>
      <c r="AI211" t="str">
        <f>CONCATENATE(VLOOKUP(AG211,Constants!$A$2:$C$16,IF(AH211&lt;&gt;"", 3, 2), FALSE),IF(AH211&lt;&gt;"",CONCATENATE(",",VLOOKUP(AH211,$B:$AI,34,FALSE)),""))</f>
        <v>4,4,4</v>
      </c>
      <c r="AM211" t="s">
        <v>586</v>
      </c>
      <c r="AN211" t="s">
        <v>591</v>
      </c>
      <c r="AO211" t="s">
        <v>325</v>
      </c>
      <c r="AS211">
        <v>35</v>
      </c>
      <c r="AT211" t="str">
        <f t="shared" si="86"/>
        <v/>
      </c>
      <c r="AU211">
        <v>-10</v>
      </c>
      <c r="AV211">
        <v>-20</v>
      </c>
      <c r="AW211">
        <f t="shared" si="87"/>
        <v>15</v>
      </c>
      <c r="AX211">
        <f t="shared" si="88"/>
        <v>4.4000000000000004</v>
      </c>
      <c r="AY211">
        <f t="shared" si="89"/>
        <v>7</v>
      </c>
      <c r="AZ211" s="4">
        <f t="shared" si="94"/>
        <v>0.89866666666666672</v>
      </c>
      <c r="BA211">
        <f t="shared" si="90"/>
        <v>7.5</v>
      </c>
      <c r="BB211">
        <f>VLOOKUP($E211,Constants!$I:$K, 2, FALSE)</f>
        <v>0.85</v>
      </c>
      <c r="BC211">
        <f>VLOOKUP($E211,Constants!$I:$K, 3, FALSE)*IF(AND(D211="multiple_unit",Y211&lt;110),0.75,1)</f>
        <v>1.7999999999999998</v>
      </c>
      <c r="BD211">
        <f>INT(POWER(((Constants!$G$2+$AW211+$AX211+$AY211+$BA211)*$AZ211)*$BC211, 1.05))+$AV211</f>
        <v>57</v>
      </c>
      <c r="BE211">
        <f>INT(POWER((((Constants!$G$1+$AW211+$AX211+$AY211+$BA211)*($AZ211))*$BB211),IF($D211="wagon",1,1.2)))+$AU211</f>
        <v>67</v>
      </c>
      <c r="BF211" s="15">
        <f t="shared" si="91"/>
        <v>44531.25</v>
      </c>
      <c r="BG211" s="15">
        <f t="shared" si="92"/>
        <v>5443.75</v>
      </c>
      <c r="BN211">
        <v>7</v>
      </c>
      <c r="BO211">
        <v>185</v>
      </c>
      <c r="BQ211" t="s">
        <v>316</v>
      </c>
      <c r="BR211" t="str">
        <f>VLOOKUP(G211,Eras!$A$2:$C$10, 2, TRUE)</f>
        <v>lbr</v>
      </c>
      <c r="BS211" t="s">
        <v>366</v>
      </c>
      <c r="BT211" t="str">
        <f t="shared" si="93"/>
        <v>lbr_EMU</v>
      </c>
      <c r="BU211" t="str">
        <f t="shared" si="82"/>
        <v>dual_electric_DUAL_POWER</v>
      </c>
      <c r="BV211" t="str">
        <f>VLOOKUP($BU211, Constants!$M:$N, 2, FALSE)</f>
        <v>{BLACK}Powered by: {GOLD}25kV AC / 750V DC</v>
      </c>
      <c r="BW211" t="str">
        <f t="shared" si="83"/>
        <v>{BLACK}Cars: {GOLD}3</v>
      </c>
      <c r="BX211" t="s">
        <v>587</v>
      </c>
      <c r="BY211" t="str">
        <f t="shared" si="81"/>
        <v/>
      </c>
      <c r="BZ211" t="str">
        <f t="shared" si="84"/>
        <v>{BLACK}Powered by: {GOLD}25kV AC / 750V DC {BLACK}Cars: {GOLD}3{}{SILVER}The Class 313 is a dual voltage EMU capable of running both on overhead electrified lines and third rail systems.</v>
      </c>
    </row>
    <row r="212" spans="1:78" x14ac:dyDescent="0.25">
      <c r="A212" t="s">
        <v>709</v>
      </c>
      <c r="B212" t="s">
        <v>710</v>
      </c>
      <c r="C212">
        <v>448</v>
      </c>
      <c r="D212" t="s">
        <v>437</v>
      </c>
      <c r="E212" t="s">
        <v>329</v>
      </c>
      <c r="F212" t="s">
        <v>330</v>
      </c>
      <c r="G212">
        <v>1979</v>
      </c>
      <c r="H212">
        <v>1986</v>
      </c>
      <c r="I212">
        <v>1988</v>
      </c>
      <c r="J212">
        <v>14</v>
      </c>
      <c r="K212">
        <v>8000</v>
      </c>
      <c r="T212">
        <v>434</v>
      </c>
      <c r="V212">
        <v>35</v>
      </c>
      <c r="W212">
        <v>210</v>
      </c>
      <c r="X212" s="4">
        <f t="shared" si="80"/>
        <v>4.8387096774193547E-2</v>
      </c>
      <c r="Y212">
        <v>155</v>
      </c>
      <c r="AA212">
        <v>20.9</v>
      </c>
      <c r="AB212">
        <v>20.9</v>
      </c>
      <c r="AC212">
        <v>2.7</v>
      </c>
      <c r="AD212">
        <v>3.5</v>
      </c>
      <c r="AE212" s="11">
        <v>39</v>
      </c>
      <c r="AF212" t="str">
        <f>CONCATENATE(VLOOKUP(AG212, 'Voxel Sizes'!$A$2:$B$18,2,FALSE),"x",INT(AC212*15), "x", INT(AD212*15))</f>
        <v>198x40x52</v>
      </c>
      <c r="AG212">
        <f t="shared" si="85"/>
        <v>12</v>
      </c>
      <c r="AI212" t="str">
        <f>CONCATENATE(VLOOKUP(AG212,Constants!$A$2:$C$16,IF(AH212&lt;&gt;"", 3, 2), FALSE),IF(AH212&lt;&gt;"",CONCATENATE(",",VLOOKUP(AH212,$B:$AI,34,FALSE)),""))</f>
        <v>4,4,4</v>
      </c>
      <c r="AM212" t="s">
        <v>712</v>
      </c>
      <c r="AO212" t="s">
        <v>719</v>
      </c>
      <c r="AS212">
        <v>12</v>
      </c>
      <c r="AT212">
        <f t="shared" si="86"/>
        <v>8</v>
      </c>
      <c r="AW212">
        <f t="shared" si="87"/>
        <v>30</v>
      </c>
      <c r="AX212">
        <f t="shared" si="88"/>
        <v>20</v>
      </c>
      <c r="AY212">
        <f t="shared" si="89"/>
        <v>10.5</v>
      </c>
      <c r="AZ212" s="4">
        <f t="shared" si="94"/>
        <v>0.89466666666666672</v>
      </c>
      <c r="BA212">
        <f t="shared" si="90"/>
        <v>18.2</v>
      </c>
      <c r="BB212">
        <f>VLOOKUP($E212,Constants!$I:$K, 2, FALSE)</f>
        <v>0.85</v>
      </c>
      <c r="BC212">
        <f>VLOOKUP($E212,Constants!$I:$K, 3, FALSE)*IF(AND(D212="multiple_unit",Y212&lt;110),0.75,1)</f>
        <v>2.2999999999999998</v>
      </c>
      <c r="BD212">
        <f>INT(POWER(((Constants!$G$2+$AW212+$AX212+$AY212+$BA212)*$AZ212)*$BC212, 1.05))+$AV212</f>
        <v>222</v>
      </c>
      <c r="BE212">
        <f>INT(POWER((((Constants!$G$1+$AW212+$AX212+$AY212+$BA212)*($AZ212))*$BB212),IF($D212="wagon",1,1.2)))+$AU212</f>
        <v>167</v>
      </c>
      <c r="BF212" s="15">
        <f t="shared" si="91"/>
        <v>173437.5</v>
      </c>
      <c r="BG212" s="15">
        <f t="shared" si="92"/>
        <v>13568.75</v>
      </c>
      <c r="BJ212">
        <v>1</v>
      </c>
      <c r="BM212" t="s">
        <v>1199</v>
      </c>
      <c r="BN212">
        <v>8</v>
      </c>
      <c r="BO212">
        <v>222</v>
      </c>
      <c r="BQ212" t="s">
        <v>316</v>
      </c>
      <c r="BR212" t="str">
        <f>VLOOKUP(G212,Eras!$A$2:$C$10, 2, TRUE)</f>
        <v>lbr</v>
      </c>
      <c r="BS212" t="s">
        <v>367</v>
      </c>
      <c r="BT212" t="str">
        <f t="shared" si="93"/>
        <v>lbr_EMU (Express)</v>
      </c>
      <c r="BU212" t="str">
        <f t="shared" si="82"/>
        <v>electric_ELRL</v>
      </c>
      <c r="BV212" t="str">
        <f>VLOOKUP($BU212, Constants!$M:$N, 2, FALSE)</f>
        <v>{BLACK}Powered by: {GOLD}25kV AC</v>
      </c>
      <c r="BW212" t="str">
        <f t="shared" si="83"/>
        <v>{BLACK}Cars: {GOLD}14</v>
      </c>
      <c r="BX212" t="s">
        <v>711</v>
      </c>
      <c r="BY212" t="str">
        <f t="shared" si="81"/>
        <v>{YELLOW}20% Bonus for long distance travel{}</v>
      </c>
      <c r="BZ212" t="str">
        <f t="shared" si="84"/>
        <v>{BLACK}Powered by: {GOLD}25kV AC {BLACK}Cars: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3" spans="1:78" x14ac:dyDescent="0.25">
      <c r="A213" t="s">
        <v>709</v>
      </c>
      <c r="B213" t="s">
        <v>1176</v>
      </c>
      <c r="C213">
        <v>449</v>
      </c>
      <c r="D213" t="s">
        <v>437</v>
      </c>
      <c r="E213" t="s">
        <v>329</v>
      </c>
      <c r="F213" t="s">
        <v>330</v>
      </c>
      <c r="G213">
        <v>1979</v>
      </c>
      <c r="H213">
        <v>1986</v>
      </c>
      <c r="I213">
        <v>1988</v>
      </c>
      <c r="J213">
        <v>8</v>
      </c>
      <c r="K213">
        <v>8000</v>
      </c>
      <c r="T213">
        <f>(434/14)*8</f>
        <v>248</v>
      </c>
      <c r="V213">
        <v>30</v>
      </c>
      <c r="W213">
        <v>210</v>
      </c>
      <c r="X213" s="4">
        <f t="shared" si="80"/>
        <v>8.4677419354838704E-2</v>
      </c>
      <c r="Y213">
        <v>155</v>
      </c>
      <c r="AA213">
        <v>20.9</v>
      </c>
      <c r="AB213">
        <v>20.9</v>
      </c>
      <c r="AC213">
        <v>2.7</v>
      </c>
      <c r="AD213">
        <v>3.5</v>
      </c>
      <c r="AE213" s="11">
        <v>39</v>
      </c>
      <c r="AF213" t="str">
        <f>CONCATENATE(VLOOKUP(AG213, 'Voxel Sizes'!$A$2:$B$18,2,FALSE),"x",INT(AC213*15), "x", INT(AD213*15))</f>
        <v>198x40x52</v>
      </c>
      <c r="AG213">
        <f t="shared" si="85"/>
        <v>12</v>
      </c>
      <c r="AI213" t="str">
        <f>CONCATENATE(VLOOKUP(AG213,Constants!$A$2:$C$16,IF(AH213&lt;&gt;"", 3, 2), FALSE),IF(AH213&lt;&gt;"",CONCATENATE(",",VLOOKUP(AH213,$B:$AI,34,FALSE)),""))</f>
        <v>4,4,4</v>
      </c>
      <c r="AM213" t="s">
        <v>1190</v>
      </c>
      <c r="AO213" t="s">
        <v>740</v>
      </c>
      <c r="AP213" t="s">
        <v>710</v>
      </c>
      <c r="AS213">
        <v>12</v>
      </c>
      <c r="AT213">
        <f t="shared" si="86"/>
        <v>8</v>
      </c>
      <c r="AW213">
        <f t="shared" si="87"/>
        <v>30</v>
      </c>
      <c r="AX213">
        <f t="shared" si="88"/>
        <v>20</v>
      </c>
      <c r="AY213">
        <f t="shared" si="89"/>
        <v>10.5</v>
      </c>
      <c r="AZ213" s="4">
        <f t="shared" si="94"/>
        <v>0.89466666666666672</v>
      </c>
      <c r="BA213">
        <f t="shared" si="90"/>
        <v>10.4</v>
      </c>
      <c r="BB213">
        <f>VLOOKUP($E213,Constants!$I:$K, 2, FALSE)</f>
        <v>0.85</v>
      </c>
      <c r="BC213">
        <f>VLOOKUP($E213,Constants!$I:$K, 3, FALSE)*IF(AND(D213="multiple_unit",Y213&lt;110),0.75,1)</f>
        <v>2.2999999999999998</v>
      </c>
      <c r="BD213">
        <f>INT(POWER(((Constants!$G$2+$AW213+$AX213+$AY213+$BA213)*$AZ213)*$BC213, 1.05))+$AV213</f>
        <v>201</v>
      </c>
      <c r="BE213">
        <f>INT(POWER((((Constants!$G$1+$AW213+$AX213+$AY213+$BA213)*($AZ213))*$BB213),IF($D213="wagon",1,1.2)))+$AU213</f>
        <v>150</v>
      </c>
      <c r="BF213" s="15">
        <f t="shared" si="91"/>
        <v>157031.25</v>
      </c>
      <c r="BG213" s="15">
        <f t="shared" si="92"/>
        <v>12187.5</v>
      </c>
      <c r="BJ213">
        <v>1</v>
      </c>
      <c r="BM213" t="s">
        <v>1198</v>
      </c>
      <c r="BN213">
        <v>8</v>
      </c>
      <c r="BO213">
        <v>222</v>
      </c>
      <c r="BQ213" t="s">
        <v>316</v>
      </c>
      <c r="BR213" t="str">
        <f>VLOOKUP(G213,Eras!$A$2:$C$10, 2, TRUE)</f>
        <v>lbr</v>
      </c>
      <c r="BS213" t="s">
        <v>367</v>
      </c>
      <c r="BT213" t="str">
        <f t="shared" si="93"/>
        <v>lbr_EMU (Express)</v>
      </c>
      <c r="BU213" t="str">
        <f t="shared" si="82"/>
        <v>electric_ELRL</v>
      </c>
      <c r="BV213" t="str">
        <f>VLOOKUP($BU213, Constants!$M:$N, 2, FALSE)</f>
        <v>{BLACK}Powered by: {GOLD}25kV AC</v>
      </c>
      <c r="BW213" t="str">
        <f t="shared" si="83"/>
        <v>{BLACK}Cars: {GOLD}8</v>
      </c>
      <c r="BX213" t="s">
        <v>711</v>
      </c>
      <c r="BY213" t="str">
        <f t="shared" si="81"/>
        <v>{YELLOW}20% Bonus for long distance travel{}</v>
      </c>
      <c r="BZ213" t="str">
        <f t="shared" si="84"/>
        <v>{BLACK}Powered by: {GOLD}25kV AC {BLACK}Cars: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4" spans="1:78" x14ac:dyDescent="0.25">
      <c r="A214" t="s">
        <v>709</v>
      </c>
      <c r="B214" t="s">
        <v>1191</v>
      </c>
      <c r="C214">
        <v>450</v>
      </c>
      <c r="D214" t="s">
        <v>437</v>
      </c>
      <c r="E214" t="s">
        <v>329</v>
      </c>
      <c r="F214" t="s">
        <v>330</v>
      </c>
      <c r="G214">
        <v>1979</v>
      </c>
      <c r="H214">
        <v>1986</v>
      </c>
      <c r="I214">
        <v>1988</v>
      </c>
      <c r="J214">
        <v>5</v>
      </c>
      <c r="K214">
        <v>8000</v>
      </c>
      <c r="T214">
        <f>(434/14)*5</f>
        <v>155</v>
      </c>
      <c r="V214">
        <v>18</v>
      </c>
      <c r="W214">
        <v>210</v>
      </c>
      <c r="X214" s="4">
        <f t="shared" si="80"/>
        <v>0.13548387096774195</v>
      </c>
      <c r="Y214">
        <v>155</v>
      </c>
      <c r="AA214">
        <v>20.9</v>
      </c>
      <c r="AB214">
        <v>20.9</v>
      </c>
      <c r="AC214">
        <v>2.7</v>
      </c>
      <c r="AD214">
        <v>3.5</v>
      </c>
      <c r="AE214" s="11">
        <v>39</v>
      </c>
      <c r="AF214" t="str">
        <f>CONCATENATE(VLOOKUP(AG214, 'Voxel Sizes'!$A$2:$B$18,2,FALSE),"x",INT(AC214*15), "x", INT(AD214*15))</f>
        <v>198x40x52</v>
      </c>
      <c r="AG214">
        <f t="shared" si="85"/>
        <v>12</v>
      </c>
      <c r="AI214" t="str">
        <f>CONCATENATE(VLOOKUP(AG214,Constants!$A$2:$C$16,IF(AH214&lt;&gt;"", 3, 2), FALSE),IF(AH214&lt;&gt;"",CONCATENATE(",",VLOOKUP(AH214,$B:$AI,34,FALSE)),""))</f>
        <v>4,4,4</v>
      </c>
      <c r="AM214" t="s">
        <v>1196</v>
      </c>
      <c r="AO214" t="s">
        <v>704</v>
      </c>
      <c r="AP214" t="s">
        <v>710</v>
      </c>
      <c r="AS214">
        <v>12</v>
      </c>
      <c r="AT214">
        <f t="shared" si="86"/>
        <v>8</v>
      </c>
      <c r="AW214">
        <f t="shared" si="87"/>
        <v>30</v>
      </c>
      <c r="AX214">
        <f t="shared" si="88"/>
        <v>20</v>
      </c>
      <c r="AY214">
        <f t="shared" si="89"/>
        <v>10.5</v>
      </c>
      <c r="AZ214" s="4">
        <f t="shared" si="94"/>
        <v>0.89466666666666672</v>
      </c>
      <c r="BA214">
        <f t="shared" si="90"/>
        <v>6.5</v>
      </c>
      <c r="BB214">
        <f>VLOOKUP($E214,Constants!$I:$K, 2, FALSE)</f>
        <v>0.85</v>
      </c>
      <c r="BC214">
        <f>VLOOKUP($E214,Constants!$I:$K, 3, FALSE)*IF(AND(D214="multiple_unit",Y214&lt;110),0.75,1)</f>
        <v>2.2999999999999998</v>
      </c>
      <c r="BD214">
        <f>INT(POWER(((Constants!$G$2+$AW214+$AX214+$AY214+$BA214)*$AZ214)*$BC214, 1.05))+$AV214</f>
        <v>190</v>
      </c>
      <c r="BE214">
        <f>INT(POWER((((Constants!$G$1+$AW214+$AX214+$AY214+$BA214)*($AZ214))*$BB214),IF($D214="wagon",1,1.2)))+$AU214</f>
        <v>142</v>
      </c>
      <c r="BF214" s="15">
        <f t="shared" si="91"/>
        <v>148437.5</v>
      </c>
      <c r="BG214" s="15">
        <f t="shared" si="92"/>
        <v>11537.5</v>
      </c>
      <c r="BJ214">
        <v>1</v>
      </c>
      <c r="BM214" t="s">
        <v>1197</v>
      </c>
      <c r="BN214">
        <v>8</v>
      </c>
      <c r="BO214">
        <v>222</v>
      </c>
      <c r="BQ214" t="s">
        <v>316</v>
      </c>
      <c r="BR214" t="str">
        <f>VLOOKUP(G214,Eras!$A$2:$C$10, 2, TRUE)</f>
        <v>lbr</v>
      </c>
      <c r="BS214" t="s">
        <v>367</v>
      </c>
      <c r="BT214" t="str">
        <f t="shared" si="93"/>
        <v>lbr_EMU (Express)</v>
      </c>
      <c r="BU214" t="str">
        <f t="shared" si="82"/>
        <v>electric_ELRL</v>
      </c>
      <c r="BV214" t="str">
        <f>VLOOKUP($BU214, Constants!$M:$N, 2, FALSE)</f>
        <v>{BLACK}Powered by: {GOLD}25kV AC</v>
      </c>
      <c r="BW214" t="str">
        <f t="shared" si="83"/>
        <v>{BLACK}Cars: {GOLD}5</v>
      </c>
      <c r="BX214" t="s">
        <v>711</v>
      </c>
      <c r="BY214" t="str">
        <f t="shared" si="81"/>
        <v>{YELLOW}20% Bonus for long distance travel{}</v>
      </c>
      <c r="BZ214" t="str">
        <f t="shared" si="84"/>
        <v>{BLACK}Powered by: {GOLD}25kV AC {BLACK}Cars: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15" spans="1:78" x14ac:dyDescent="0.25">
      <c r="A215" t="s">
        <v>85</v>
      </c>
      <c r="B215" t="s">
        <v>207</v>
      </c>
      <c r="C215">
        <v>452</v>
      </c>
      <c r="D215" t="s">
        <v>437</v>
      </c>
      <c r="E215" t="s">
        <v>329</v>
      </c>
      <c r="F215" t="s">
        <v>330</v>
      </c>
      <c r="G215">
        <v>1980</v>
      </c>
      <c r="H215">
        <v>1981</v>
      </c>
      <c r="J215">
        <v>4</v>
      </c>
      <c r="K215">
        <v>880</v>
      </c>
      <c r="T215">
        <v>127.5</v>
      </c>
      <c r="V215">
        <f t="shared" ref="V215:V226" si="95">8*J215</f>
        <v>32</v>
      </c>
      <c r="W215">
        <v>140</v>
      </c>
      <c r="X215" s="4">
        <f t="shared" si="80"/>
        <v>0.10980392156862745</v>
      </c>
      <c r="Y215">
        <v>75</v>
      </c>
      <c r="AA215">
        <v>19.8</v>
      </c>
      <c r="AB215">
        <v>19.8</v>
      </c>
      <c r="AD215">
        <v>3.58</v>
      </c>
      <c r="AE215" s="11">
        <v>78</v>
      </c>
      <c r="AF215" t="str">
        <f>CONCATENATE(VLOOKUP(AG215, 'Voxel Sizes'!$A$2:$B$18,2,FALSE),"x",INT(AC215*15), "x", INT(AD215*15))</f>
        <v>198x0x53</v>
      </c>
      <c r="AG215">
        <f t="shared" si="85"/>
        <v>12</v>
      </c>
      <c r="AI215" t="str">
        <f>CONCATENATE(VLOOKUP(AG215,Constants!$A$2:$C$16,IF(AH215&lt;&gt;"", 3, 2), FALSE),IF(AH215&lt;&gt;"",CONCATENATE(",",VLOOKUP(AH215,$B:$AI,34,FALSE)),""))</f>
        <v>4,4,4</v>
      </c>
      <c r="AM215" t="s">
        <v>594</v>
      </c>
      <c r="AO215" t="s">
        <v>592</v>
      </c>
      <c r="AS215">
        <v>35</v>
      </c>
      <c r="AT215" t="str">
        <f t="shared" si="86"/>
        <v/>
      </c>
      <c r="AU215">
        <v>-10</v>
      </c>
      <c r="AV215">
        <v>-20</v>
      </c>
      <c r="AW215">
        <f t="shared" si="87"/>
        <v>15</v>
      </c>
      <c r="AX215">
        <f t="shared" si="88"/>
        <v>4.4000000000000004</v>
      </c>
      <c r="AY215">
        <f t="shared" si="89"/>
        <v>7</v>
      </c>
      <c r="AZ215" s="4">
        <f t="shared" si="94"/>
        <v>0.89333333333333331</v>
      </c>
      <c r="BA215">
        <f t="shared" si="90"/>
        <v>10.4</v>
      </c>
      <c r="BB215">
        <f>VLOOKUP($E215,Constants!$I:$K, 2, FALSE)</f>
        <v>0.85</v>
      </c>
      <c r="BC215">
        <f>VLOOKUP($E215,Constants!$I:$K, 3, FALSE)*IF(AND(D215="multiple_unit",Y215&lt;110),0.75,1)</f>
        <v>1.7249999999999999</v>
      </c>
      <c r="BD215">
        <f>INT(POWER(((Constants!$G$2+$AW215+$AX215+$AY215+$BA215)*$AZ215)*$BC215, 1.05))+$AV215</f>
        <v>59</v>
      </c>
      <c r="BE215">
        <f>INT(POWER((((Constants!$G$1+$AW215+$AX215+$AY215+$BA215)*($AZ215))*$BB215),IF($D215="wagon",1,1.2)))+$AU215</f>
        <v>71</v>
      </c>
      <c r="BF215" s="15">
        <f t="shared" si="91"/>
        <v>46093.75</v>
      </c>
      <c r="BG215" s="15">
        <f t="shared" si="92"/>
        <v>5768.75</v>
      </c>
      <c r="BN215">
        <v>11</v>
      </c>
      <c r="BO215">
        <v>185</v>
      </c>
      <c r="BQ215" t="s">
        <v>316</v>
      </c>
      <c r="BR215" t="str">
        <f>VLOOKUP(G215,Eras!$A$2:$C$10, 2, TRUE)</f>
        <v>lbr</v>
      </c>
      <c r="BS215" t="s">
        <v>366</v>
      </c>
      <c r="BT215" t="str">
        <f t="shared" si="93"/>
        <v>lbr_EMU</v>
      </c>
      <c r="BU215" t="str">
        <f t="shared" si="82"/>
        <v>electric_ELRL</v>
      </c>
      <c r="BV215" t="str">
        <f>VLOOKUP($BU215, Constants!$M:$N, 2, FALSE)</f>
        <v>{BLACK}Powered by: {GOLD}25kV AC</v>
      </c>
      <c r="BW215" t="str">
        <f t="shared" si="83"/>
        <v>{BLACK}Cars: {GOLD}4</v>
      </c>
      <c r="BX215" t="s">
        <v>593</v>
      </c>
      <c r="BY215" t="str">
        <f t="shared" si="81"/>
        <v/>
      </c>
      <c r="BZ215" t="str">
        <f t="shared" si="84"/>
        <v>{BLACK}Powered by: {GOLD}25kV AC {BLACK}Cars: {GOLD}4{}{SILVER}The Class 315 is the last class of the 1972 standard EMU design, running on 25kV overhead AC power and used for inner suburban services.</v>
      </c>
    </row>
    <row r="216" spans="1:78" x14ac:dyDescent="0.25">
      <c r="A216" t="s">
        <v>91</v>
      </c>
      <c r="B216" t="s">
        <v>209</v>
      </c>
      <c r="C216">
        <v>454</v>
      </c>
      <c r="D216" t="s">
        <v>437</v>
      </c>
      <c r="E216" t="s">
        <v>329</v>
      </c>
      <c r="F216" t="s">
        <v>336</v>
      </c>
      <c r="G216">
        <v>1982</v>
      </c>
      <c r="J216">
        <v>4</v>
      </c>
      <c r="K216">
        <v>992</v>
      </c>
      <c r="T216">
        <v>136</v>
      </c>
      <c r="V216">
        <f t="shared" si="95"/>
        <v>32</v>
      </c>
      <c r="W216">
        <v>150</v>
      </c>
      <c r="X216" s="4">
        <f t="shared" si="80"/>
        <v>0.11029411764705882</v>
      </c>
      <c r="Y216">
        <v>75</v>
      </c>
      <c r="AA216">
        <v>19.8</v>
      </c>
      <c r="AB216">
        <v>19.8</v>
      </c>
      <c r="AE216" s="11">
        <v>78</v>
      </c>
      <c r="AF216" t="str">
        <f>CONCATENATE(VLOOKUP(AG216, 'Voxel Sizes'!$A$2:$B$18,2,FALSE),"x",INT(AC216*15), "x", INT(AD216*15))</f>
        <v>198x0x0</v>
      </c>
      <c r="AG216">
        <f t="shared" si="85"/>
        <v>12</v>
      </c>
      <c r="AI216" t="str">
        <f>CONCATENATE(VLOOKUP(AG216,Constants!$A$2:$C$16,IF(AH216&lt;&gt;"", 3, 2), FALSE),IF(AH216&lt;&gt;"",CONCATENATE(",",VLOOKUP(AH216,$B:$AI,34,FALSE)),""))</f>
        <v>4,4,4</v>
      </c>
      <c r="AM216" t="s">
        <v>645</v>
      </c>
      <c r="AO216" t="s">
        <v>499</v>
      </c>
      <c r="AS216">
        <v>35</v>
      </c>
      <c r="AT216" t="str">
        <f t="shared" si="86"/>
        <v/>
      </c>
      <c r="AU216">
        <v>-10</v>
      </c>
      <c r="AV216">
        <v>-20</v>
      </c>
      <c r="AW216">
        <f t="shared" si="87"/>
        <v>15</v>
      </c>
      <c r="AX216">
        <f t="shared" si="88"/>
        <v>4.96</v>
      </c>
      <c r="AY216">
        <f t="shared" si="89"/>
        <v>7.5</v>
      </c>
      <c r="AZ216" s="4">
        <f t="shared" si="94"/>
        <v>0.89066666666666672</v>
      </c>
      <c r="BA216">
        <f t="shared" si="90"/>
        <v>10.4</v>
      </c>
      <c r="BB216">
        <f>VLOOKUP($E216,Constants!$I:$K, 2, FALSE)</f>
        <v>0.85</v>
      </c>
      <c r="BC216">
        <f>VLOOKUP($E216,Constants!$I:$K, 3, FALSE)*IF(AND(D216="multiple_unit",Y216&lt;110),0.75,1)</f>
        <v>1.7249999999999999</v>
      </c>
      <c r="BD216">
        <f>INT(POWER(((Constants!$G$2+$AW216+$AX216+$AY216+$BA216)*$AZ216)*$BC216, 1.05))+$AV216</f>
        <v>61</v>
      </c>
      <c r="BE216">
        <f>INT(POWER((((Constants!$G$1+$AW216+$AX216+$AY216+$BA216)*($AZ216))*$BB216),IF($D216="wagon",1,1.2)))+$AU216</f>
        <v>73</v>
      </c>
      <c r="BF216" s="15">
        <f t="shared" si="91"/>
        <v>47656.25</v>
      </c>
      <c r="BG216" s="15">
        <f t="shared" si="92"/>
        <v>5931.25</v>
      </c>
      <c r="BK216" t="s">
        <v>210</v>
      </c>
      <c r="BN216">
        <v>12</v>
      </c>
      <c r="BO216">
        <v>185</v>
      </c>
      <c r="BQ216" t="s">
        <v>316</v>
      </c>
      <c r="BR216" t="str">
        <f>VLOOKUP(G216,Eras!$A$2:$C$10, 2, TRUE)</f>
        <v>lbr</v>
      </c>
      <c r="BS216" t="s">
        <v>366</v>
      </c>
      <c r="BT216" t="str">
        <f t="shared" si="93"/>
        <v>lbr_EMU</v>
      </c>
      <c r="BU216" t="str">
        <f t="shared" si="82"/>
        <v>electric_THIRD_RAIL</v>
      </c>
      <c r="BV216" t="str">
        <f>VLOOKUP($BU216, Constants!$M:$N, 2, FALSE)</f>
        <v>{BLACK}Powered by: {GOLD}750V DC</v>
      </c>
      <c r="BW216" t="str">
        <f t="shared" si="83"/>
        <v>{BLACK}Cars: {GOLD}4</v>
      </c>
      <c r="BX216" t="s">
        <v>646</v>
      </c>
      <c r="BY216" t="str">
        <f t="shared" si="81"/>
        <v/>
      </c>
      <c r="BZ216" t="str">
        <f t="shared" si="84"/>
        <v>{BLACK}Powered by: {GOLD}750V DC {BLACK}Cars: {GOLD}4{}{SILVER}The Class 455 is a DC third rail version of British Rail's second generation EMU design. Some units re-used existing carriages from the Class 508, recognisable by the different side profile.</v>
      </c>
    </row>
    <row r="217" spans="1:78" x14ac:dyDescent="0.25">
      <c r="A217" t="s">
        <v>95</v>
      </c>
      <c r="B217" t="s">
        <v>667</v>
      </c>
      <c r="C217">
        <v>456</v>
      </c>
      <c r="D217" t="s">
        <v>437</v>
      </c>
      <c r="E217" t="s">
        <v>305</v>
      </c>
      <c r="F217" t="s">
        <v>307</v>
      </c>
      <c r="G217">
        <v>1984</v>
      </c>
      <c r="H217">
        <v>1987</v>
      </c>
      <c r="J217">
        <v>2</v>
      </c>
      <c r="K217">
        <f>286*2</f>
        <v>572</v>
      </c>
      <c r="T217">
        <f>35.8*2</f>
        <v>71.599999999999994</v>
      </c>
      <c r="V217">
        <f t="shared" si="95"/>
        <v>16</v>
      </c>
      <c r="W217">
        <v>110</v>
      </c>
      <c r="X217" s="4">
        <f t="shared" si="80"/>
        <v>0.15363128491620112</v>
      </c>
      <c r="Y217">
        <v>75</v>
      </c>
      <c r="AA217">
        <v>20</v>
      </c>
      <c r="AB217">
        <v>20</v>
      </c>
      <c r="AC217">
        <v>2.81</v>
      </c>
      <c r="AD217">
        <v>3.7</v>
      </c>
      <c r="AE217" s="11">
        <v>63</v>
      </c>
      <c r="AF217" t="str">
        <f>CONCATENATE(VLOOKUP(AG217, 'Voxel Sizes'!$A$2:$B$18,2,FALSE),"x",INT(AC217*15), "x", INT(AD217*15))</f>
        <v>198x42x55</v>
      </c>
      <c r="AG217">
        <f t="shared" si="85"/>
        <v>12</v>
      </c>
      <c r="AI217" t="str">
        <f>CONCATENATE(VLOOKUP(AG217,Constants!$A$2:$C$16,IF(AH217&lt;&gt;"", 3, 2), FALSE),IF(AH217&lt;&gt;"",CONCATENATE(",",VLOOKUP(AH217,$B:$AI,34,FALSE)),""))</f>
        <v>4,4,4</v>
      </c>
      <c r="AM217" t="s">
        <v>666</v>
      </c>
      <c r="AO217" t="s">
        <v>501</v>
      </c>
      <c r="AS217">
        <v>28</v>
      </c>
      <c r="AT217" t="str">
        <f t="shared" si="86"/>
        <v/>
      </c>
      <c r="AU217">
        <v>-10</v>
      </c>
      <c r="AV217">
        <v>-15</v>
      </c>
      <c r="AW217">
        <f t="shared" si="87"/>
        <v>15</v>
      </c>
      <c r="AX217">
        <f t="shared" si="88"/>
        <v>2.86</v>
      </c>
      <c r="AY217">
        <f t="shared" si="89"/>
        <v>5.5</v>
      </c>
      <c r="AZ217" s="4">
        <f t="shared" si="94"/>
        <v>0.88800000000000001</v>
      </c>
      <c r="BA217">
        <f t="shared" si="90"/>
        <v>4.2</v>
      </c>
      <c r="BB217">
        <f>VLOOKUP($E217,Constants!$I:$K, 2, FALSE)</f>
        <v>1</v>
      </c>
      <c r="BC217">
        <f>VLOOKUP($E217,Constants!$I:$K, 3, FALSE)*IF(AND(D217="multiple_unit",Y217&lt;110),0.75,1)</f>
        <v>1.5</v>
      </c>
      <c r="BD217">
        <f>INT(POWER(((Constants!$G$2+$AW217+$AX217+$AY217+$BA217)*$AZ217)*$BC217, 1.05))+$AV217</f>
        <v>37</v>
      </c>
      <c r="BE217">
        <f>INT(POWER((((Constants!$G$1+$AW217+$AX217+$AY217+$BA217)*($AZ217))*$BB217),IF($D217="wagon",1,1.2)))+$AU217</f>
        <v>68</v>
      </c>
      <c r="BF217" s="15">
        <f t="shared" si="91"/>
        <v>28906.25</v>
      </c>
      <c r="BG217" s="15">
        <f t="shared" si="92"/>
        <v>5525</v>
      </c>
      <c r="BK217" t="s">
        <v>1161</v>
      </c>
      <c r="BN217">
        <v>1</v>
      </c>
      <c r="BO217">
        <v>185</v>
      </c>
      <c r="BQ217" t="s">
        <v>316</v>
      </c>
      <c r="BR217" t="str">
        <f>VLOOKUP(G217,Eras!$A$2:$C$10, 2, TRUE)</f>
        <v>lbr</v>
      </c>
      <c r="BS217" t="s">
        <v>364</v>
      </c>
      <c r="BT217" t="str">
        <f t="shared" si="93"/>
        <v>lbr_DMU</v>
      </c>
      <c r="BU217" t="str">
        <f t="shared" si="82"/>
        <v>diesel_RAIL</v>
      </c>
      <c r="BV217" t="str">
        <f>VLOOKUP($BU217, Constants!$M:$N, 2, FALSE)</f>
        <v>{BLACK}Powered by: {GOLD}Diesel</v>
      </c>
      <c r="BW217" t="str">
        <f t="shared" si="83"/>
        <v>{BLACK}Cars: {GOLD}2</v>
      </c>
      <c r="BX217" t="s">
        <v>665</v>
      </c>
      <c r="BY217" t="str">
        <f t="shared" si="81"/>
        <v/>
      </c>
      <c r="BZ217" t="str">
        <f t="shared" si="84"/>
        <v>{BLACK}Powered by: {GOLD}Diesel {BLACK}Cars: {GOLD}2{}{SILVER}The Sprinter replaced first-generation DMUs. Like other second-generation units it was based on the Mark 3 bodyshell. The name refers to its faster acceleration compared to the units it replaced.</v>
      </c>
    </row>
    <row r="218" spans="1:78" x14ac:dyDescent="0.25">
      <c r="A218" t="s">
        <v>682</v>
      </c>
      <c r="B218" t="s">
        <v>257</v>
      </c>
      <c r="C218">
        <v>458</v>
      </c>
      <c r="D218" t="s">
        <v>437</v>
      </c>
      <c r="E218" t="s">
        <v>305</v>
      </c>
      <c r="F218" t="s">
        <v>307</v>
      </c>
      <c r="G218">
        <v>1984</v>
      </c>
      <c r="H218">
        <v>1988</v>
      </c>
      <c r="I218">
        <v>2005</v>
      </c>
      <c r="J218">
        <v>2</v>
      </c>
      <c r="K218">
        <v>205</v>
      </c>
      <c r="T218">
        <f>26+26.5</f>
        <v>52.5</v>
      </c>
      <c r="V218">
        <f t="shared" si="95"/>
        <v>16</v>
      </c>
      <c r="W218">
        <v>70</v>
      </c>
      <c r="X218" s="4">
        <f t="shared" si="80"/>
        <v>0.13333333333333333</v>
      </c>
      <c r="Y218">
        <v>75</v>
      </c>
      <c r="AA218">
        <v>15.45</v>
      </c>
      <c r="AB218">
        <v>15.45</v>
      </c>
      <c r="AC218">
        <v>2.5</v>
      </c>
      <c r="AD218">
        <v>3.9</v>
      </c>
      <c r="AE218" s="11">
        <v>46</v>
      </c>
      <c r="AF218" t="str">
        <f>CONCATENATE(VLOOKUP(AG218, 'Voxel Sizes'!$A$2:$B$18,2,FALSE),"x",INT(AC218*15), "x", INT(AD218*15))</f>
        <v>152x37x58</v>
      </c>
      <c r="AG218">
        <f t="shared" si="85"/>
        <v>9</v>
      </c>
      <c r="AI218" t="str">
        <f>CONCATENATE(VLOOKUP(AG218,Constants!$A$2:$C$16,IF(AH218&lt;&gt;"", 3, 2), FALSE),IF(AH218&lt;&gt;"",CONCATENATE(",",VLOOKUP(AH218,$B:$AI,34,FALSE)),""))</f>
        <v>2,5,2</v>
      </c>
      <c r="AM218" t="s">
        <v>677</v>
      </c>
      <c r="AO218" t="s">
        <v>501</v>
      </c>
      <c r="AS218">
        <v>18</v>
      </c>
      <c r="AT218">
        <f t="shared" si="86"/>
        <v>17</v>
      </c>
      <c r="AU218">
        <v>-35</v>
      </c>
      <c r="AV218">
        <v>-20</v>
      </c>
      <c r="AW218">
        <f t="shared" si="87"/>
        <v>15</v>
      </c>
      <c r="AX218">
        <f t="shared" si="88"/>
        <v>1.0249999999999999</v>
      </c>
      <c r="AY218">
        <f t="shared" si="89"/>
        <v>3.5</v>
      </c>
      <c r="AZ218" s="4">
        <f t="shared" si="94"/>
        <v>0.88800000000000001</v>
      </c>
      <c r="BA218">
        <f t="shared" si="90"/>
        <v>3.0666666666666664</v>
      </c>
      <c r="BB218">
        <f>VLOOKUP($E218,Constants!$I:$K, 2, FALSE)</f>
        <v>1</v>
      </c>
      <c r="BC218">
        <f>VLOOKUP($E218,Constants!$I:$K, 3, FALSE)*IF(AND(D218="multiple_unit",Y218&lt;110),0.75,1)</f>
        <v>1.5</v>
      </c>
      <c r="BD218">
        <f>INT(POWER(((Constants!$G$2+$AW218+$AX218+$AY218+$BA218)*$AZ218)*$BC218, 1.05))+$AV218</f>
        <v>24</v>
      </c>
      <c r="BE218">
        <f>INT(POWER((((Constants!$G$1+$AW218+$AX218+$AY218+$BA218)*($AZ218))*$BB218),IF($D218="wagon",1,1.2)))+$AU218</f>
        <v>32</v>
      </c>
      <c r="BF218" s="15">
        <f t="shared" si="91"/>
        <v>18750</v>
      </c>
      <c r="BG218" s="15">
        <f t="shared" si="92"/>
        <v>2600</v>
      </c>
      <c r="BK218" t="s">
        <v>1162</v>
      </c>
      <c r="BN218">
        <v>2</v>
      </c>
      <c r="BO218">
        <v>148</v>
      </c>
      <c r="BQ218" t="s">
        <v>316</v>
      </c>
      <c r="BR218" t="str">
        <f>VLOOKUP(G218,Eras!$A$2:$C$10, 2, TRUE)</f>
        <v>lbr</v>
      </c>
      <c r="BS218" t="s">
        <v>363</v>
      </c>
      <c r="BT218" t="str">
        <f t="shared" si="93"/>
        <v>lbr_DMU (Cheap)</v>
      </c>
      <c r="BU218" t="str">
        <f t="shared" si="82"/>
        <v>diesel_RAIL</v>
      </c>
      <c r="BV218" t="str">
        <f>VLOOKUP($BU218, Constants!$M:$N, 2, FALSE)</f>
        <v>{BLACK}Powered by: {GOLD}Diesel</v>
      </c>
      <c r="BW218" t="str">
        <f t="shared" si="83"/>
        <v>{BLACK}Cars: {GOLD}2</v>
      </c>
      <c r="BX218" t="s">
        <v>683</v>
      </c>
      <c r="BY218" t="str">
        <f t="shared" si="81"/>
        <v>{YELLOW}20% Penalty for long distance travel{}</v>
      </c>
      <c r="BZ218" t="str">
        <f t="shared" si="84"/>
        <v>{BLACK}Powered by: {GOLD}Diesel {BLACK}Cars: {GOLD}2{}{YELLOW}20% Penalty for long distance travel{}{SILVER}The Class 141 is a multiple unit built from Leyland National bus parts. While cheap and light, it is criticised for its poor ride quality.</v>
      </c>
    </row>
    <row r="219" spans="1:78" x14ac:dyDescent="0.25">
      <c r="A219" t="s">
        <v>84</v>
      </c>
      <c r="B219" t="s">
        <v>206</v>
      </c>
      <c r="C219">
        <v>460</v>
      </c>
      <c r="D219" t="s">
        <v>437</v>
      </c>
      <c r="E219" t="s">
        <v>589</v>
      </c>
      <c r="F219" t="s">
        <v>588</v>
      </c>
      <c r="G219">
        <v>1987</v>
      </c>
      <c r="H219">
        <v>1990</v>
      </c>
      <c r="J219">
        <v>4</v>
      </c>
      <c r="K219">
        <f>4*332</f>
        <v>1328</v>
      </c>
      <c r="T219">
        <v>140.30000000000001</v>
      </c>
      <c r="V219">
        <f t="shared" si="95"/>
        <v>32</v>
      </c>
      <c r="W219">
        <v>160</v>
      </c>
      <c r="X219" s="4">
        <f t="shared" si="80"/>
        <v>0.11404133998574484</v>
      </c>
      <c r="Y219">
        <v>100</v>
      </c>
      <c r="AA219">
        <v>19.829999999999998</v>
      </c>
      <c r="AB219">
        <v>19.829999999999998</v>
      </c>
      <c r="AD219">
        <v>3.58</v>
      </c>
      <c r="AE219" s="11">
        <v>78</v>
      </c>
      <c r="AF219" t="str">
        <f>CONCATENATE(VLOOKUP(AG219, 'Voxel Sizes'!$A$2:$B$18,2,FALSE),"x",INT(AC219*15), "x", INT(AD219*15))</f>
        <v>198x0x53</v>
      </c>
      <c r="AG219">
        <f t="shared" si="85"/>
        <v>12</v>
      </c>
      <c r="AI219" t="str">
        <f>CONCATENATE(VLOOKUP(AG219,Constants!$A$2:$C$16,IF(AH219&lt;&gt;"", 3, 2), FALSE),IF(AH219&lt;&gt;"",CONCATENATE(",",VLOOKUP(AH219,$B:$AI,34,FALSE)),""))</f>
        <v>4,4,4</v>
      </c>
      <c r="AM219" t="s">
        <v>602</v>
      </c>
      <c r="AN219" t="s">
        <v>603</v>
      </c>
      <c r="AO219" t="s">
        <v>592</v>
      </c>
      <c r="AS219">
        <v>32</v>
      </c>
      <c r="AT219" t="str">
        <f t="shared" si="86"/>
        <v/>
      </c>
      <c r="AU219">
        <v>-10</v>
      </c>
      <c r="AV219">
        <v>-20</v>
      </c>
      <c r="AW219">
        <f t="shared" si="87"/>
        <v>20</v>
      </c>
      <c r="AX219">
        <f t="shared" si="88"/>
        <v>6.6400000000000006</v>
      </c>
      <c r="AY219">
        <f t="shared" si="89"/>
        <v>8</v>
      </c>
      <c r="AZ219" s="4">
        <f t="shared" si="94"/>
        <v>0.88400000000000001</v>
      </c>
      <c r="BA219">
        <f t="shared" si="90"/>
        <v>10.4</v>
      </c>
      <c r="BB219">
        <f>VLOOKUP($E219,Constants!$I:$K, 2, FALSE)</f>
        <v>0.85</v>
      </c>
      <c r="BC219">
        <f>VLOOKUP($E219,Constants!$I:$K, 3, FALSE)*IF(AND(D219="multiple_unit",Y219&lt;110),0.75,1)</f>
        <v>1.7999999999999998</v>
      </c>
      <c r="BD219">
        <f>INT(POWER(((Constants!$G$2+$AW219+$AX219+$AY219+$BA219)*$AZ219)*$BC219, 1.05))+$AV219</f>
        <v>79</v>
      </c>
      <c r="BE219">
        <f>INT(POWER((((Constants!$G$1+$AW219+$AX219+$AY219+$BA219)*($AZ219))*$BB219),IF($D219="wagon",1,1.2)))+$AU219</f>
        <v>86</v>
      </c>
      <c r="BF219" s="15">
        <f t="shared" si="91"/>
        <v>61718.75</v>
      </c>
      <c r="BG219" s="15">
        <f t="shared" si="92"/>
        <v>6987.5</v>
      </c>
      <c r="BN219">
        <v>3</v>
      </c>
      <c r="BO219">
        <v>185</v>
      </c>
      <c r="BQ219" t="s">
        <v>316</v>
      </c>
      <c r="BR219" t="str">
        <f>VLOOKUP(G219,Eras!$A$2:$C$10, 2, TRUE)</f>
        <v>lbr</v>
      </c>
      <c r="BS219" t="s">
        <v>366</v>
      </c>
      <c r="BT219" t="str">
        <f t="shared" si="93"/>
        <v>lbr_EMU</v>
      </c>
      <c r="BU219" t="str">
        <f t="shared" si="82"/>
        <v>dual_electric_DUAL_POWER</v>
      </c>
      <c r="BV219" t="str">
        <f>VLOOKUP($BU219, Constants!$M:$N, 2, FALSE)</f>
        <v>{BLACK}Powered by: {GOLD}25kV AC / 750V DC</v>
      </c>
      <c r="BW219" t="str">
        <f t="shared" si="83"/>
        <v>{BLACK}Cars: {GOLD}4</v>
      </c>
      <c r="BX219" t="s">
        <v>601</v>
      </c>
      <c r="BY219" t="str">
        <f t="shared" si="81"/>
        <v/>
      </c>
      <c r="BZ219" t="str">
        <f t="shared" si="84"/>
        <v>{BLACK}Powered by: {GOLD}25kV AC / 750V DC {BLACK}Cars: {GOLD}4{}{SILVER}The Class 319 is a dual-voltage EMU built for the then-new Thameslink service between Brighton and Bedford.</v>
      </c>
    </row>
    <row r="220" spans="1:78" x14ac:dyDescent="0.25">
      <c r="A220" t="s">
        <v>668</v>
      </c>
      <c r="B220" t="s">
        <v>254</v>
      </c>
      <c r="C220">
        <v>462</v>
      </c>
      <c r="D220" t="s">
        <v>437</v>
      </c>
      <c r="E220" t="s">
        <v>305</v>
      </c>
      <c r="F220" t="s">
        <v>307</v>
      </c>
      <c r="G220">
        <v>1988</v>
      </c>
      <c r="J220">
        <v>2</v>
      </c>
      <c r="K220">
        <f>285*2</f>
        <v>570</v>
      </c>
      <c r="T220">
        <f>35.5+36.1</f>
        <v>71.599999999999994</v>
      </c>
      <c r="V220">
        <f t="shared" si="95"/>
        <v>16</v>
      </c>
      <c r="W220">
        <v>110</v>
      </c>
      <c r="X220" s="4">
        <f t="shared" si="80"/>
        <v>0.15363128491620112</v>
      </c>
      <c r="Y220">
        <v>75</v>
      </c>
      <c r="AA220">
        <v>23</v>
      </c>
      <c r="AB220">
        <v>23</v>
      </c>
      <c r="AC220">
        <v>2.8</v>
      </c>
      <c r="AD220">
        <v>3.7</v>
      </c>
      <c r="AE220" s="11">
        <v>69</v>
      </c>
      <c r="AF220" t="str">
        <f>CONCATENATE(VLOOKUP(AG220, 'Voxel Sizes'!$A$2:$B$18,2,FALSE),"x",INT(AC220*15), "x", INT(AD220*15))</f>
        <v>214x42x55</v>
      </c>
      <c r="AG220">
        <f t="shared" si="85"/>
        <v>13</v>
      </c>
      <c r="AI220" t="str">
        <f>CONCATENATE(VLOOKUP(AG220,Constants!$A$2:$C$16,IF(AH220&lt;&gt;"", 3, 2), FALSE),IF(AH220&lt;&gt;"",CONCATENATE(",",VLOOKUP(AH220,$B:$AI,34,FALSE)),""))</f>
        <v>4,5,4</v>
      </c>
      <c r="AM220" t="s">
        <v>670</v>
      </c>
      <c r="AO220" t="s">
        <v>501</v>
      </c>
      <c r="AS220">
        <v>33</v>
      </c>
      <c r="AT220" t="str">
        <f t="shared" si="86"/>
        <v/>
      </c>
      <c r="AU220">
        <v>-10</v>
      </c>
      <c r="AV220">
        <v>-15</v>
      </c>
      <c r="AW220">
        <f t="shared" si="87"/>
        <v>15</v>
      </c>
      <c r="AX220">
        <f t="shared" si="88"/>
        <v>2.8499999999999996</v>
      </c>
      <c r="AY220">
        <f t="shared" si="89"/>
        <v>5.5</v>
      </c>
      <c r="AZ220" s="4">
        <f t="shared" si="94"/>
        <v>0.88266666666666671</v>
      </c>
      <c r="BA220">
        <f t="shared" si="90"/>
        <v>4.6000000000000005</v>
      </c>
      <c r="BB220">
        <f>VLOOKUP($E220,Constants!$I:$K, 2, FALSE)</f>
        <v>1</v>
      </c>
      <c r="BC220">
        <f>VLOOKUP($E220,Constants!$I:$K, 3, FALSE)*IF(AND(D220="multiple_unit",Y220&lt;110),0.75,1)</f>
        <v>1.5</v>
      </c>
      <c r="BD220">
        <f>INT(POWER(((Constants!$G$2+$AW220+$AX220+$AY220+$BA220)*$AZ220)*$BC220, 1.05))+$AV220</f>
        <v>37</v>
      </c>
      <c r="BE220">
        <f>INT(POWER((((Constants!$G$1+$AW220+$AX220+$AY220+$BA220)*($AZ220))*$BB220),IF($D220="wagon",1,1.2)))+$AU220</f>
        <v>68</v>
      </c>
      <c r="BF220" s="15">
        <f t="shared" si="91"/>
        <v>28906.25</v>
      </c>
      <c r="BG220" s="15">
        <f t="shared" si="92"/>
        <v>5525</v>
      </c>
      <c r="BK220" t="s">
        <v>1163</v>
      </c>
      <c r="BN220">
        <v>4</v>
      </c>
      <c r="BO220">
        <v>185</v>
      </c>
      <c r="BQ220" t="s">
        <v>316</v>
      </c>
      <c r="BR220" t="str">
        <f>VLOOKUP(G220,Eras!$A$2:$C$10, 2, TRUE)</f>
        <v>lbr</v>
      </c>
      <c r="BS220" t="s">
        <v>364</v>
      </c>
      <c r="BT220" t="str">
        <f t="shared" si="93"/>
        <v>lbr_DMU</v>
      </c>
      <c r="BU220" t="str">
        <f t="shared" si="82"/>
        <v>diesel_RAIL</v>
      </c>
      <c r="BV220" t="str">
        <f>VLOOKUP($BU220, Constants!$M:$N, 2, FALSE)</f>
        <v>{BLACK}Powered by: {GOLD}Diesel</v>
      </c>
      <c r="BW220" t="str">
        <f t="shared" si="83"/>
        <v>{BLACK}Cars: {GOLD}2</v>
      </c>
      <c r="BX220" t="s">
        <v>669</v>
      </c>
      <c r="BY220" t="str">
        <f t="shared" si="81"/>
        <v/>
      </c>
      <c r="BZ220" t="str">
        <f t="shared" si="84"/>
        <v>{BLACK}Powered by: {GOLD}Diesel {BLACK}Cars: {GOLD}2{}{SILVER}The Class 156 is a member of the Sprinter family designed for longer journeys, with single doors at each end rather than the metro-style doors of the Class 150s.</v>
      </c>
    </row>
    <row r="221" spans="1:78" x14ac:dyDescent="0.25">
      <c r="A221" t="s">
        <v>102</v>
      </c>
      <c r="B221" t="s">
        <v>261</v>
      </c>
      <c r="C221">
        <v>464</v>
      </c>
      <c r="D221" t="s">
        <v>437</v>
      </c>
      <c r="E221" t="s">
        <v>329</v>
      </c>
      <c r="F221" t="s">
        <v>336</v>
      </c>
      <c r="G221">
        <v>1988</v>
      </c>
      <c r="J221">
        <v>5</v>
      </c>
      <c r="K221">
        <v>1610</v>
      </c>
      <c r="T221">
        <v>202.8</v>
      </c>
      <c r="V221">
        <f t="shared" si="95"/>
        <v>40</v>
      </c>
      <c r="W221">
        <v>190</v>
      </c>
      <c r="X221" s="4">
        <f t="shared" si="80"/>
        <v>9.3688362919132157E-2</v>
      </c>
      <c r="Y221">
        <v>108</v>
      </c>
      <c r="AA221">
        <v>23</v>
      </c>
      <c r="AB221">
        <v>23</v>
      </c>
      <c r="AC221">
        <v>2.74</v>
      </c>
      <c r="AD221">
        <v>3.81</v>
      </c>
      <c r="AE221" s="11">
        <v>66</v>
      </c>
      <c r="AF221" t="str">
        <f>CONCATENATE(VLOOKUP(AG221, 'Voxel Sizes'!$A$2:$B$18,2,FALSE),"x",INT(AC221*15), "x", INT(AD221*15))</f>
        <v>214x41x57</v>
      </c>
      <c r="AG221">
        <f t="shared" si="85"/>
        <v>13</v>
      </c>
      <c r="AI221" t="str">
        <f>CONCATENATE(VLOOKUP(AG221,Constants!$A$2:$C$16,IF(AH221&lt;&gt;"", 3, 2), FALSE),IF(AH221&lt;&gt;"",CONCATENATE(",",VLOOKUP(AH221,$B:$AI,34,FALSE)),""))</f>
        <v>4,5,4</v>
      </c>
      <c r="AM221" t="s">
        <v>706</v>
      </c>
      <c r="AO221" t="s">
        <v>644</v>
      </c>
      <c r="AS221">
        <v>35</v>
      </c>
      <c r="AT221" t="str">
        <f t="shared" si="86"/>
        <v/>
      </c>
      <c r="AU221">
        <v>-10</v>
      </c>
      <c r="AV221">
        <v>-25</v>
      </c>
      <c r="AW221">
        <f t="shared" si="87"/>
        <v>21.599999999999998</v>
      </c>
      <c r="AX221">
        <f t="shared" si="88"/>
        <v>8.0500000000000007</v>
      </c>
      <c r="AY221">
        <f t="shared" si="89"/>
        <v>9.5</v>
      </c>
      <c r="AZ221" s="4">
        <f t="shared" si="94"/>
        <v>0.88266666666666671</v>
      </c>
      <c r="BA221">
        <f t="shared" si="90"/>
        <v>11</v>
      </c>
      <c r="BB221">
        <f>VLOOKUP($E221,Constants!$I:$K, 2, FALSE)</f>
        <v>0.85</v>
      </c>
      <c r="BC221">
        <f>VLOOKUP($E221,Constants!$I:$K, 3, FALSE)*IF(AND(D221="multiple_unit",Y221&lt;110),0.75,1)</f>
        <v>1.7249999999999999</v>
      </c>
      <c r="BD221">
        <f>INT(POWER(((Constants!$G$2+$AW221+$AX221+$AY221+$BA221)*$AZ221)*$BC221, 1.05))+$AV221</f>
        <v>79</v>
      </c>
      <c r="BE221">
        <f>INT(POWER((((Constants!$G$1+$AW221+$AX221+$AY221+$BA221)*($AZ221))*$BB221),IF($D221="wagon",1,1.2)))+$AU221</f>
        <v>96</v>
      </c>
      <c r="BF221" s="15">
        <f t="shared" si="91"/>
        <v>61718.75</v>
      </c>
      <c r="BG221" s="15">
        <f t="shared" si="92"/>
        <v>7800</v>
      </c>
      <c r="BK221" t="s">
        <v>1165</v>
      </c>
      <c r="BM221" t="s">
        <v>1195</v>
      </c>
      <c r="BN221">
        <v>5</v>
      </c>
      <c r="BO221">
        <v>205</v>
      </c>
      <c r="BQ221" t="s">
        <v>316</v>
      </c>
      <c r="BR221" t="str">
        <f>VLOOKUP(G221,Eras!$A$2:$C$10, 2, TRUE)</f>
        <v>lbr</v>
      </c>
      <c r="BS221" t="s">
        <v>367</v>
      </c>
      <c r="BT221" t="str">
        <f t="shared" si="93"/>
        <v>lbr_EMU (Express)</v>
      </c>
      <c r="BU221" t="str">
        <f t="shared" si="82"/>
        <v>electric_THIRD_RAIL</v>
      </c>
      <c r="BV221" t="str">
        <f>VLOOKUP($BU221, Constants!$M:$N, 2, FALSE)</f>
        <v>{BLACK}Powered by: {GOLD}750V DC</v>
      </c>
      <c r="BW221" t="str">
        <f t="shared" si="83"/>
        <v>{BLACK}Cars: {GOLD}5</v>
      </c>
      <c r="BX221" t="s">
        <v>707</v>
      </c>
      <c r="BY221" t="str">
        <f t="shared" si="81"/>
        <v>{YELLOW}10% Bonus for long distance travel{}</v>
      </c>
      <c r="BZ221" t="str">
        <f t="shared" si="84"/>
        <v>{BLACK}Powered by: {GOLD}750V DC {BLACK}Cars: {GOLD}5{}{YELLOW}10% Bonus for long distance travel{}{SILVER}The Class 442 holds the speed record for a third rail EMU at 108mph. Unlike most of its generation of Mk3-based multiple units, it uses the full-length carriage bodyshell.</v>
      </c>
    </row>
    <row r="222" spans="1:78" x14ac:dyDescent="0.25">
      <c r="A222" t="s">
        <v>102</v>
      </c>
      <c r="B222" t="s">
        <v>1183</v>
      </c>
      <c r="C222">
        <v>465</v>
      </c>
      <c r="D222" t="s">
        <v>437</v>
      </c>
      <c r="E222" t="s">
        <v>329</v>
      </c>
      <c r="F222" t="s">
        <v>336</v>
      </c>
      <c r="G222">
        <v>1988</v>
      </c>
      <c r="J222">
        <v>4</v>
      </c>
      <c r="K222">
        <v>1610</v>
      </c>
      <c r="T222">
        <f>202.8/5*4</f>
        <v>162.24</v>
      </c>
      <c r="V222">
        <f t="shared" si="95"/>
        <v>32</v>
      </c>
      <c r="W222">
        <v>190</v>
      </c>
      <c r="X222" s="4">
        <f t="shared" si="80"/>
        <v>0.11711045364891517</v>
      </c>
      <c r="Y222">
        <v>108</v>
      </c>
      <c r="AA222">
        <v>23</v>
      </c>
      <c r="AB222">
        <v>23</v>
      </c>
      <c r="AC222">
        <v>2.74</v>
      </c>
      <c r="AD222">
        <v>3.81</v>
      </c>
      <c r="AE222" s="11">
        <v>66</v>
      </c>
      <c r="AF222" t="str">
        <f>CONCATENATE(VLOOKUP(AG222, 'Voxel Sizes'!$A$2:$B$18,2,FALSE),"x",INT(AC222*15), "x", INT(AD222*15))</f>
        <v>214x41x57</v>
      </c>
      <c r="AG222">
        <f t="shared" si="85"/>
        <v>13</v>
      </c>
      <c r="AI222" t="str">
        <f>CONCATENATE(VLOOKUP(AG222,Constants!$A$2:$C$16,IF(AH222&lt;&gt;"", 3, 2), FALSE),IF(AH222&lt;&gt;"",CONCATENATE(",",VLOOKUP(AH222,$B:$AI,34,FALSE)),""))</f>
        <v>4,5,4</v>
      </c>
      <c r="AM222" t="s">
        <v>1184</v>
      </c>
      <c r="AO222" t="s">
        <v>1175</v>
      </c>
      <c r="AP222" t="s">
        <v>261</v>
      </c>
      <c r="AS222">
        <v>35</v>
      </c>
      <c r="AT222" t="str">
        <f t="shared" si="86"/>
        <v/>
      </c>
      <c r="AU222">
        <v>-10</v>
      </c>
      <c r="AV222">
        <v>-25</v>
      </c>
      <c r="AW222">
        <f t="shared" si="87"/>
        <v>21.599999999999998</v>
      </c>
      <c r="AX222">
        <f t="shared" si="88"/>
        <v>8.0500000000000007</v>
      </c>
      <c r="AY222">
        <f t="shared" si="89"/>
        <v>9.5</v>
      </c>
      <c r="AZ222" s="4">
        <f t="shared" si="94"/>
        <v>0.88266666666666671</v>
      </c>
      <c r="BA222">
        <f t="shared" si="90"/>
        <v>8.8000000000000007</v>
      </c>
      <c r="BB222">
        <f>VLOOKUP($E222,Constants!$I:$K, 2, FALSE)</f>
        <v>0.85</v>
      </c>
      <c r="BC222">
        <f>VLOOKUP($E222,Constants!$I:$K, 3, FALSE)*IF(AND(D222="multiple_unit",Y222&lt;110),0.75,1)</f>
        <v>1.7249999999999999</v>
      </c>
      <c r="BD222">
        <f>INT(POWER(((Constants!$G$2+$AW222+$AX222+$AY222+$BA222)*$AZ222)*$BC222, 1.05))+$AV222</f>
        <v>75</v>
      </c>
      <c r="BE222">
        <f>INT(POWER((((Constants!$G$1+$AW222+$AX222+$AY222+$BA222)*($AZ222))*$BB222),IF($D222="wagon",1,1.2)))+$AU222</f>
        <v>92</v>
      </c>
      <c r="BF222" s="15">
        <f t="shared" si="91"/>
        <v>58593.75</v>
      </c>
      <c r="BG222" s="15">
        <f t="shared" si="92"/>
        <v>7475</v>
      </c>
      <c r="BK222" t="s">
        <v>1165</v>
      </c>
      <c r="BM222" t="s">
        <v>1197</v>
      </c>
      <c r="BN222">
        <v>5</v>
      </c>
      <c r="BO222">
        <v>205</v>
      </c>
      <c r="BQ222" t="s">
        <v>316</v>
      </c>
      <c r="BR222" t="str">
        <f>VLOOKUP(G222,Eras!$A$2:$C$10, 2, TRUE)</f>
        <v>lbr</v>
      </c>
      <c r="BS222" t="s">
        <v>367</v>
      </c>
      <c r="BT222" t="str">
        <f t="shared" si="93"/>
        <v>lbr_EMU (Express)</v>
      </c>
      <c r="BU222" t="str">
        <f t="shared" si="82"/>
        <v>electric_THIRD_RAIL</v>
      </c>
      <c r="BV222" t="str">
        <f>VLOOKUP($BU222, Constants!$M:$N, 2, FALSE)</f>
        <v>{BLACK}Powered by: {GOLD}750V DC</v>
      </c>
      <c r="BW222" t="str">
        <f t="shared" si="83"/>
        <v>{BLACK}Cars: {GOLD}4</v>
      </c>
      <c r="BX222" t="s">
        <v>707</v>
      </c>
      <c r="BY222" t="str">
        <f t="shared" si="81"/>
        <v>{YELLOW}10% Bonus for long distance travel{}</v>
      </c>
      <c r="BZ222" t="str">
        <f t="shared" si="84"/>
        <v>{BLACK}Powered by: {GOLD}750V DC {BLACK}Cars: {GOLD}4{}{YELLOW}10% Bonus for long distance travel{}{SILVER}The Class 442 holds the speed record for a third rail EMU at 108mph. Unlike most of its generation of Mk3-based multiple units, it uses the full-length carriage bodyshell.</v>
      </c>
    </row>
    <row r="223" spans="1:78" x14ac:dyDescent="0.25">
      <c r="A223" t="s">
        <v>96</v>
      </c>
      <c r="B223" t="s">
        <v>255</v>
      </c>
      <c r="C223">
        <v>466</v>
      </c>
      <c r="D223" t="s">
        <v>437</v>
      </c>
      <c r="E223" t="s">
        <v>305</v>
      </c>
      <c r="F223" t="s">
        <v>307</v>
      </c>
      <c r="G223">
        <v>1989</v>
      </c>
      <c r="H223">
        <v>1992</v>
      </c>
      <c r="J223">
        <v>3</v>
      </c>
      <c r="K223">
        <f>350*3</f>
        <v>1050</v>
      </c>
      <c r="T223">
        <f>37.8*3</f>
        <v>113.39999999999999</v>
      </c>
      <c r="V223">
        <f t="shared" si="95"/>
        <v>24</v>
      </c>
      <c r="W223">
        <v>120</v>
      </c>
      <c r="X223" s="4">
        <f t="shared" si="80"/>
        <v>0.10582010582010581</v>
      </c>
      <c r="Y223">
        <v>90</v>
      </c>
      <c r="AA223">
        <v>23.2</v>
      </c>
      <c r="AB223">
        <v>23</v>
      </c>
      <c r="AC223">
        <v>2.7</v>
      </c>
      <c r="AE223" s="11">
        <v>69</v>
      </c>
      <c r="AF223" t="str">
        <f>CONCATENATE(VLOOKUP(AG223, 'Voxel Sizes'!$A$2:$B$18,2,FALSE),"x",INT(AC223*15), "x", INT(AD223*15))</f>
        <v>214x40x0</v>
      </c>
      <c r="AG223">
        <f t="shared" si="85"/>
        <v>13</v>
      </c>
      <c r="AI223" t="str">
        <f>CONCATENATE(VLOOKUP(AG223,Constants!$A$2:$C$16,IF(AH223&lt;&gt;"", 3, 2), FALSE),IF(AH223&lt;&gt;"",CONCATENATE(",",VLOOKUP(AH223,$B:$AI,34,FALSE)),""))</f>
        <v>4,5,4</v>
      </c>
      <c r="AM223" t="s">
        <v>671</v>
      </c>
      <c r="AO223" t="s">
        <v>325</v>
      </c>
      <c r="AS223">
        <v>33</v>
      </c>
      <c r="AT223" t="str">
        <f t="shared" si="86"/>
        <v/>
      </c>
      <c r="AU223">
        <v>-10</v>
      </c>
      <c r="AV223">
        <v>-15</v>
      </c>
      <c r="AW223">
        <f t="shared" si="87"/>
        <v>18</v>
      </c>
      <c r="AX223">
        <f t="shared" si="88"/>
        <v>5.25</v>
      </c>
      <c r="AY223">
        <f t="shared" si="89"/>
        <v>6</v>
      </c>
      <c r="AZ223" s="4">
        <f t="shared" si="94"/>
        <v>0.8813333333333333</v>
      </c>
      <c r="BA223">
        <f t="shared" si="90"/>
        <v>6.9</v>
      </c>
      <c r="BB223">
        <f>VLOOKUP($E223,Constants!$I:$K, 2, FALSE)</f>
        <v>1</v>
      </c>
      <c r="BC223">
        <f>VLOOKUP($E223,Constants!$I:$K, 3, FALSE)*IF(AND(D223="multiple_unit",Y223&lt;110),0.75,1)</f>
        <v>1.5</v>
      </c>
      <c r="BD223">
        <f>INT(POWER(((Constants!$G$2+$AW223+$AX223+$AY223+$BA223)*$AZ223)*$BC223, 1.05))+$AV223</f>
        <v>51</v>
      </c>
      <c r="BE223">
        <f>INT(POWER((((Constants!$G$1+$AW223+$AX223+$AY223+$BA223)*($AZ223))*$BB223),IF($D223="wagon",1,1.2)))+$AU223</f>
        <v>86</v>
      </c>
      <c r="BF223" s="15">
        <f t="shared" si="91"/>
        <v>39843.75</v>
      </c>
      <c r="BG223" s="15">
        <f t="shared" si="92"/>
        <v>6987.5</v>
      </c>
      <c r="BK223" t="s">
        <v>1164</v>
      </c>
      <c r="BN223">
        <v>7</v>
      </c>
      <c r="BO223">
        <v>205</v>
      </c>
      <c r="BQ223" t="s">
        <v>316</v>
      </c>
      <c r="BR223" t="str">
        <f>VLOOKUP(G223,Eras!$A$2:$C$10, 2, TRUE)</f>
        <v>lbr</v>
      </c>
      <c r="BS223" t="s">
        <v>365</v>
      </c>
      <c r="BT223" t="str">
        <f t="shared" si="93"/>
        <v>lbr_DMU (Express)</v>
      </c>
      <c r="BU223" t="str">
        <f t="shared" si="82"/>
        <v>diesel_RAIL</v>
      </c>
      <c r="BV223" t="str">
        <f>VLOOKUP($BU223, Constants!$M:$N, 2, FALSE)</f>
        <v>{BLACK}Powered by: {GOLD}Diesel</v>
      </c>
      <c r="BW223" t="str">
        <f t="shared" si="83"/>
        <v>{BLACK}Cars: {GOLD}3</v>
      </c>
      <c r="BX223" t="s">
        <v>672</v>
      </c>
      <c r="BY223" t="str">
        <f t="shared" si="81"/>
        <v>{YELLOW}10% Bonus for long distance travel{}</v>
      </c>
      <c r="BZ223" t="str">
        <f t="shared" si="84"/>
        <v>{BLACK}Powered by: {GOLD}Diesel {BLACK}Cars: {GOLD}3{}{YELLOW}10% Bonus for long distance travel{}{SILVER}The Class 158 has many improvements over earlier generation Sprinters, including air conditioning and a more comfortable ride.</v>
      </c>
    </row>
    <row r="224" spans="1:78" x14ac:dyDescent="0.25">
      <c r="A224" t="s">
        <v>92</v>
      </c>
      <c r="B224" t="s">
        <v>210</v>
      </c>
      <c r="C224">
        <v>468</v>
      </c>
      <c r="D224" t="s">
        <v>437</v>
      </c>
      <c r="E224" t="s">
        <v>329</v>
      </c>
      <c r="F224" t="s">
        <v>336</v>
      </c>
      <c r="G224">
        <v>1990</v>
      </c>
      <c r="J224">
        <v>2</v>
      </c>
      <c r="K224">
        <v>500</v>
      </c>
      <c r="T224">
        <v>72.5</v>
      </c>
      <c r="V224">
        <f t="shared" si="95"/>
        <v>16</v>
      </c>
      <c r="W224">
        <v>120</v>
      </c>
      <c r="X224" s="4">
        <f t="shared" si="80"/>
        <v>0.16551724137931034</v>
      </c>
      <c r="Y224">
        <v>75</v>
      </c>
      <c r="AA224">
        <v>19.8</v>
      </c>
      <c r="AB224">
        <v>19.8</v>
      </c>
      <c r="AE224" s="11">
        <v>75</v>
      </c>
      <c r="AF224" t="str">
        <f>CONCATENATE(VLOOKUP(AG224, 'Voxel Sizes'!$A$2:$B$18,2,FALSE),"x",INT(AC224*15), "x", INT(AD224*15))</f>
        <v>198x0x0</v>
      </c>
      <c r="AG224">
        <f t="shared" si="85"/>
        <v>12</v>
      </c>
      <c r="AI224" t="str">
        <f>CONCATENATE(VLOOKUP(AG224,Constants!$A$2:$C$16,IF(AH224&lt;&gt;"", 3, 2), FALSE),IF(AH224&lt;&gt;"",CONCATENATE(",",VLOOKUP(AH224,$B:$AI,34,FALSE)),""))</f>
        <v>4,4,4</v>
      </c>
      <c r="AM224" t="s">
        <v>647</v>
      </c>
      <c r="AO224" t="s">
        <v>501</v>
      </c>
      <c r="AS224">
        <v>31</v>
      </c>
      <c r="AT224" t="str">
        <f t="shared" si="86"/>
        <v/>
      </c>
      <c r="AU224">
        <v>-10</v>
      </c>
      <c r="AV224">
        <v>-20</v>
      </c>
      <c r="AW224">
        <f t="shared" si="87"/>
        <v>15</v>
      </c>
      <c r="AX224">
        <f t="shared" si="88"/>
        <v>2.5</v>
      </c>
      <c r="AY224">
        <f t="shared" si="89"/>
        <v>6</v>
      </c>
      <c r="AZ224" s="4">
        <f t="shared" si="94"/>
        <v>0.88</v>
      </c>
      <c r="BA224">
        <f t="shared" si="90"/>
        <v>5</v>
      </c>
      <c r="BB224">
        <f>VLOOKUP($E224,Constants!$I:$K, 2, FALSE)</f>
        <v>0.85</v>
      </c>
      <c r="BC224">
        <f>VLOOKUP($E224,Constants!$I:$K, 3, FALSE)*IF(AND(D224="multiple_unit",Y224&lt;110),0.75,1)</f>
        <v>1.7249999999999999</v>
      </c>
      <c r="BD224">
        <f>INT(POWER(((Constants!$G$2+$AW224+$AX224+$AY224+$BA224)*$AZ224)*$BC224, 1.05))+$AV224</f>
        <v>41</v>
      </c>
      <c r="BE224">
        <f>INT(POWER((((Constants!$G$1+$AW224+$AX224+$AY224+$BA224)*($AZ224))*$BB224),IF($D224="wagon",1,1.2)))+$AU224</f>
        <v>55</v>
      </c>
      <c r="BF224" s="15">
        <f t="shared" si="91"/>
        <v>32031.25</v>
      </c>
      <c r="BG224" s="15">
        <f t="shared" si="92"/>
        <v>4468.75</v>
      </c>
      <c r="BK224" t="s">
        <v>209</v>
      </c>
      <c r="BN224">
        <v>8</v>
      </c>
      <c r="BO224">
        <v>185</v>
      </c>
      <c r="BQ224" t="s">
        <v>316</v>
      </c>
      <c r="BR224" t="str">
        <f>VLOOKUP(G224,Eras!$A$2:$C$10, 2, TRUE)</f>
        <v>lbr</v>
      </c>
      <c r="BS224" t="s">
        <v>366</v>
      </c>
      <c r="BT224" t="str">
        <f t="shared" si="93"/>
        <v>lbr_EMU</v>
      </c>
      <c r="BU224" t="str">
        <f t="shared" si="82"/>
        <v>electric_THIRD_RAIL</v>
      </c>
      <c r="BV224" t="str">
        <f>VLOOKUP($BU224, Constants!$M:$N, 2, FALSE)</f>
        <v>{BLACK}Powered by: {GOLD}750V DC</v>
      </c>
      <c r="BW224" t="str">
        <f t="shared" si="83"/>
        <v>{BLACK}Cars: {GOLD}2</v>
      </c>
      <c r="BX224" t="s">
        <v>648</v>
      </c>
      <c r="BY224" t="str">
        <f t="shared" si="81"/>
        <v/>
      </c>
      <c r="BZ224" t="str">
        <f t="shared" si="84"/>
        <v>{BLACK}Powered by: {GOLD}750V DC {BLACK}Cars: {GOLD}2{}{SILVER}The Class 456 is a two-car EMU used for inner suburban services - either as a single unit for services with low demand or coupled to other Class 456 or 455 units for higher capacity routes.</v>
      </c>
    </row>
    <row r="225" spans="1:78" x14ac:dyDescent="0.25">
      <c r="A225" t="s">
        <v>97</v>
      </c>
      <c r="B225" t="s">
        <v>256</v>
      </c>
      <c r="C225">
        <v>470</v>
      </c>
      <c r="D225" t="s">
        <v>437</v>
      </c>
      <c r="E225" t="s">
        <v>305</v>
      </c>
      <c r="F225" t="s">
        <v>307</v>
      </c>
      <c r="G225">
        <v>1991</v>
      </c>
      <c r="H225">
        <v>1992</v>
      </c>
      <c r="J225">
        <v>2</v>
      </c>
      <c r="K225">
        <f>350*2</f>
        <v>700</v>
      </c>
      <c r="T225">
        <v>74</v>
      </c>
      <c r="V225">
        <f t="shared" si="95"/>
        <v>16</v>
      </c>
      <c r="W225">
        <v>105</v>
      </c>
      <c r="X225" s="4">
        <f t="shared" si="80"/>
        <v>0.14189189189189189</v>
      </c>
      <c r="Y225">
        <v>75</v>
      </c>
      <c r="AA225">
        <v>22.91</v>
      </c>
      <c r="AB225">
        <v>22.9</v>
      </c>
      <c r="AC225">
        <v>2.8</v>
      </c>
      <c r="AD225">
        <v>3.8</v>
      </c>
      <c r="AE225" s="11">
        <v>93</v>
      </c>
      <c r="AF225" t="str">
        <f>CONCATENATE(VLOOKUP(AG225, 'Voxel Sizes'!$A$2:$B$18,2,FALSE),"x",INT(AC225*15), "x", INT(AD225*15))</f>
        <v>214x42x57</v>
      </c>
      <c r="AG225">
        <f t="shared" si="85"/>
        <v>13</v>
      </c>
      <c r="AI225" t="str">
        <f>CONCATENATE(VLOOKUP(AG225,Constants!$A$2:$C$16,IF(AH225&lt;&gt;"", 3, 2), FALSE),IF(AH225&lt;&gt;"",CONCATENATE(",",VLOOKUP(AH225,$B:$AI,34,FALSE)),""))</f>
        <v>4,5,4</v>
      </c>
      <c r="AM225" t="s">
        <v>675</v>
      </c>
      <c r="AO225" t="s">
        <v>501</v>
      </c>
      <c r="AS225">
        <v>32</v>
      </c>
      <c r="AT225" t="str">
        <f t="shared" si="86"/>
        <v/>
      </c>
      <c r="AU225">
        <v>-10</v>
      </c>
      <c r="AV225">
        <v>-15</v>
      </c>
      <c r="AW225">
        <f t="shared" si="87"/>
        <v>15</v>
      </c>
      <c r="AX225">
        <f t="shared" si="88"/>
        <v>3.5</v>
      </c>
      <c r="AY225">
        <f t="shared" si="89"/>
        <v>5.25</v>
      </c>
      <c r="AZ225" s="4">
        <f t="shared" si="94"/>
        <v>0.87866666666666671</v>
      </c>
      <c r="BA225">
        <f t="shared" si="90"/>
        <v>6.2</v>
      </c>
      <c r="BB225">
        <f>VLOOKUP($E225,Constants!$I:$K, 2, FALSE)</f>
        <v>1</v>
      </c>
      <c r="BC225">
        <f>VLOOKUP($E225,Constants!$I:$K, 3, FALSE)*IF(AND(D225="multiple_unit",Y225&lt;110),0.75,1)</f>
        <v>1.5</v>
      </c>
      <c r="BD225">
        <f>INT(POWER(((Constants!$G$2+$AW225+$AX225+$AY225+$BA225)*$AZ225)*$BC225, 1.05))+$AV225</f>
        <v>40</v>
      </c>
      <c r="BE225">
        <f>INT(POWER((((Constants!$G$1+$AW225+$AX225+$AY225+$BA225)*($AZ225))*$BB225),IF($D225="wagon",1,1.2)))+$AU225</f>
        <v>72</v>
      </c>
      <c r="BF225" s="15">
        <f t="shared" si="91"/>
        <v>31250</v>
      </c>
      <c r="BG225" s="15">
        <f t="shared" si="92"/>
        <v>5850</v>
      </c>
      <c r="BN225">
        <v>9</v>
      </c>
      <c r="BO225">
        <v>185</v>
      </c>
      <c r="BQ225" t="s">
        <v>316</v>
      </c>
      <c r="BR225" t="str">
        <f>VLOOKUP(G225,Eras!$A$2:$C$10, 2, TRUE)</f>
        <v>lbr</v>
      </c>
      <c r="BS225" t="s">
        <v>364</v>
      </c>
      <c r="BT225" t="str">
        <f t="shared" si="93"/>
        <v>lbr_DMU</v>
      </c>
      <c r="BU225" t="str">
        <f t="shared" si="82"/>
        <v>diesel_RAIL</v>
      </c>
      <c r="BV225" t="str">
        <f>VLOOKUP($BU225, Constants!$M:$N, 2, FALSE)</f>
        <v>{BLACK}Powered by: {GOLD}Diesel</v>
      </c>
      <c r="BW225" t="str">
        <f t="shared" si="83"/>
        <v>{BLACK}Cars: {GOLD}2</v>
      </c>
      <c r="BX225" t="s">
        <v>676</v>
      </c>
      <c r="BY225" t="str">
        <f t="shared" si="81"/>
        <v/>
      </c>
      <c r="BZ225" t="str">
        <f t="shared" si="84"/>
        <v>{BLACK}Powered by: {GOLD}Diesel {BLACK}Cars: {GOLD}2{}{SILVER}The Class 165 is a high capacity DMU with 2+3 seating.</v>
      </c>
    </row>
    <row r="226" spans="1:78" x14ac:dyDescent="0.25">
      <c r="A226" t="s">
        <v>82</v>
      </c>
      <c r="B226" t="s">
        <v>274</v>
      </c>
      <c r="C226">
        <v>472</v>
      </c>
      <c r="D226" t="s">
        <v>437</v>
      </c>
      <c r="E226" t="s">
        <v>329</v>
      </c>
      <c r="F226" t="s">
        <v>336</v>
      </c>
      <c r="G226">
        <v>1992</v>
      </c>
      <c r="H226">
        <v>1994</v>
      </c>
      <c r="J226">
        <v>4</v>
      </c>
      <c r="K226">
        <v>1608</v>
      </c>
      <c r="T226">
        <v>136</v>
      </c>
      <c r="V226">
        <f t="shared" si="95"/>
        <v>32</v>
      </c>
      <c r="W226">
        <v>165</v>
      </c>
      <c r="X226" s="4">
        <f t="shared" si="80"/>
        <v>0.12132352941176471</v>
      </c>
      <c r="Y226">
        <v>75</v>
      </c>
      <c r="AA226">
        <v>20.89</v>
      </c>
      <c r="AB226">
        <v>20.89</v>
      </c>
      <c r="AD226">
        <v>3.77</v>
      </c>
      <c r="AE226" s="11">
        <v>81</v>
      </c>
      <c r="AF226" t="str">
        <f>CONCATENATE(VLOOKUP(AG226, 'Voxel Sizes'!$A$2:$B$18,2,FALSE),"x",INT(AC226*15), "x", INT(AD226*15))</f>
        <v>198x0x56</v>
      </c>
      <c r="AG226">
        <f t="shared" si="85"/>
        <v>12</v>
      </c>
      <c r="AI226" t="str">
        <f>CONCATENATE(VLOOKUP(AG226,Constants!$A$2:$C$16,IF(AH226&lt;&gt;"", 3, 2), FALSE),IF(AH226&lt;&gt;"",CONCATENATE(",",VLOOKUP(AH226,$B:$AI,34,FALSE)),""))</f>
        <v>4,4,4</v>
      </c>
      <c r="AM226" t="s">
        <v>611</v>
      </c>
      <c r="AO226" t="s">
        <v>499</v>
      </c>
      <c r="AS226">
        <v>32</v>
      </c>
      <c r="AT226" t="str">
        <f t="shared" si="86"/>
        <v/>
      </c>
      <c r="AU226">
        <v>-10</v>
      </c>
      <c r="AV226">
        <v>-20</v>
      </c>
      <c r="AW226">
        <f t="shared" si="87"/>
        <v>15</v>
      </c>
      <c r="AX226">
        <f t="shared" si="88"/>
        <v>8.0400000000000009</v>
      </c>
      <c r="AY226">
        <f t="shared" si="89"/>
        <v>8.25</v>
      </c>
      <c r="AZ226" s="4">
        <f t="shared" si="94"/>
        <v>0.8773333333333333</v>
      </c>
      <c r="BA226">
        <f t="shared" si="90"/>
        <v>10.8</v>
      </c>
      <c r="BB226">
        <f>VLOOKUP($E226,Constants!$I:$K, 2, FALSE)</f>
        <v>0.85</v>
      </c>
      <c r="BC226">
        <f>VLOOKUP($E226,Constants!$I:$K, 3, FALSE)*IF(AND(D226="multiple_unit",Y226&lt;110),0.75,1)</f>
        <v>1.7249999999999999</v>
      </c>
      <c r="BD226">
        <f>INT(POWER(((Constants!$G$2+$AW226+$AX226+$AY226+$BA226)*$AZ226)*$BC226, 1.05))+$AV226</f>
        <v>68</v>
      </c>
      <c r="BE226">
        <f>INT(POWER((((Constants!$G$1+$AW226+$AX226+$AY226+$BA226)*($AZ226))*$BB226),IF($D226="wagon",1,1.2)))+$AU226</f>
        <v>80</v>
      </c>
      <c r="BF226" s="15">
        <f t="shared" si="91"/>
        <v>53125</v>
      </c>
      <c r="BG226" s="15">
        <f t="shared" si="92"/>
        <v>6500</v>
      </c>
      <c r="BN226">
        <v>10</v>
      </c>
      <c r="BO226">
        <v>185</v>
      </c>
      <c r="BQ226" t="s">
        <v>316</v>
      </c>
      <c r="BR226" t="str">
        <f>VLOOKUP(G226,Eras!$A$2:$C$10, 2, TRUE)</f>
        <v>lbr</v>
      </c>
      <c r="BS226" t="s">
        <v>366</v>
      </c>
      <c r="BT226" t="str">
        <f t="shared" si="93"/>
        <v>lbr_EMU</v>
      </c>
      <c r="BU226" t="str">
        <f t="shared" si="82"/>
        <v>electric_THIRD_RAIL</v>
      </c>
      <c r="BV226" t="str">
        <f>VLOOKUP($BU226, Constants!$M:$N, 2, FALSE)</f>
        <v>{BLACK}Powered by: {GOLD}750V DC</v>
      </c>
      <c r="BW226" t="str">
        <f t="shared" si="83"/>
        <v>{BLACK}Cars: {GOLD}4</v>
      </c>
      <c r="BX226" t="s">
        <v>612</v>
      </c>
      <c r="BY226" t="str">
        <f t="shared" si="81"/>
        <v/>
      </c>
      <c r="BZ226" t="str">
        <f t="shared" si="84"/>
        <v>{BLACK}Powered by: {GOLD}750V DC {BLACK}Cars: {GOLD}4{}{SILVER}The BREL Networker was built by three different companies (ABB, Metro-Cammell and BREL) with minor detail differences between each manufacturer's output.</v>
      </c>
    </row>
    <row r="227" spans="1:78" x14ac:dyDescent="0.25">
      <c r="A227" t="s">
        <v>684</v>
      </c>
      <c r="B227" t="s">
        <v>685</v>
      </c>
      <c r="C227">
        <v>474</v>
      </c>
      <c r="D227" t="s">
        <v>437</v>
      </c>
      <c r="E227" t="s">
        <v>589</v>
      </c>
      <c r="F227" t="s">
        <v>588</v>
      </c>
      <c r="G227">
        <v>1992</v>
      </c>
      <c r="H227">
        <v>1996</v>
      </c>
      <c r="J227">
        <v>20</v>
      </c>
      <c r="K227">
        <v>16400</v>
      </c>
      <c r="L227" s="9">
        <v>4600</v>
      </c>
      <c r="T227">
        <v>752</v>
      </c>
      <c r="V227">
        <v>60</v>
      </c>
      <c r="W227">
        <v>220</v>
      </c>
      <c r="X227" s="4">
        <f t="shared" si="80"/>
        <v>2.9255319148936171E-2</v>
      </c>
      <c r="Y227">
        <v>186</v>
      </c>
      <c r="AA227">
        <v>22.15</v>
      </c>
      <c r="AB227">
        <v>22.15</v>
      </c>
      <c r="AC227">
        <v>2.81</v>
      </c>
      <c r="AE227" s="11">
        <v>39</v>
      </c>
      <c r="AF227" t="str">
        <f>CONCATENATE(VLOOKUP(AG227, 'Voxel Sizes'!$A$2:$B$18,2,FALSE),"x",INT(AC227*15), "x", INT(AD227*15))</f>
        <v>214x42x0</v>
      </c>
      <c r="AG227">
        <f t="shared" si="85"/>
        <v>13</v>
      </c>
      <c r="AI227" t="str">
        <f>CONCATENATE(VLOOKUP(AG227,Constants!$A$2:$C$16,IF(AH227&lt;&gt;"", 3, 2), FALSE),IF(AH227&lt;&gt;"",CONCATENATE(",",VLOOKUP(AH227,$B:$AI,34,FALSE)),""))</f>
        <v>4,5,4</v>
      </c>
      <c r="AK227" s="13" t="s">
        <v>1285</v>
      </c>
      <c r="AL227" s="13" t="s">
        <v>1290</v>
      </c>
      <c r="AM227" t="s">
        <v>735</v>
      </c>
      <c r="AN227" t="s">
        <v>685</v>
      </c>
      <c r="AO227" t="s">
        <v>736</v>
      </c>
      <c r="AS227">
        <v>25</v>
      </c>
      <c r="AT227" t="str">
        <f t="shared" si="86"/>
        <v/>
      </c>
      <c r="AW227">
        <f t="shared" si="87"/>
        <v>30</v>
      </c>
      <c r="AX227">
        <f t="shared" si="88"/>
        <v>20</v>
      </c>
      <c r="AY227">
        <f t="shared" si="89"/>
        <v>11</v>
      </c>
      <c r="AZ227" s="4">
        <f t="shared" si="94"/>
        <v>0.8773333333333333</v>
      </c>
      <c r="BA227">
        <f t="shared" si="90"/>
        <v>26</v>
      </c>
      <c r="BB227">
        <f>VLOOKUP($E227,Constants!$I:$K, 2, FALSE)</f>
        <v>0.85</v>
      </c>
      <c r="BC227">
        <f>VLOOKUP($E227,Constants!$I:$K, 3, FALSE)*IF(AND(D227="multiple_unit",Y227&lt;110),0.75,1)</f>
        <v>2.4</v>
      </c>
      <c r="BD227">
        <f>INT(POWER(((Constants!$G$2+$AW227+$AX227+$AY227+$BA227)*$AZ227)*$BC227, 1.05))+$AV227</f>
        <v>252</v>
      </c>
      <c r="BE227">
        <f>INT(POWER((((Constants!$G$1+$AW227+$AX227+$AY227+$BA227)*($AZ227))*$BB227),IF($D227="wagon",1,1.2)))+$AU227</f>
        <v>180</v>
      </c>
      <c r="BF227" s="15">
        <f t="shared" si="91"/>
        <v>196875</v>
      </c>
      <c r="BG227" s="15">
        <f t="shared" si="92"/>
        <v>14625</v>
      </c>
      <c r="BM227" t="s">
        <v>1199</v>
      </c>
      <c r="BN227">
        <v>11</v>
      </c>
      <c r="BO227">
        <v>232</v>
      </c>
      <c r="BQ227" t="s">
        <v>316</v>
      </c>
      <c r="BR227" t="str">
        <f>VLOOKUP(G227,Eras!$A$2:$C$10, 2, TRUE)</f>
        <v>lbr</v>
      </c>
      <c r="BS227" t="s">
        <v>367</v>
      </c>
      <c r="BT227" t="str">
        <f t="shared" si="93"/>
        <v>lbr_EMU (Express)</v>
      </c>
      <c r="BU227" t="str">
        <f t="shared" si="82"/>
        <v>dual_electric_DUAL_POWER</v>
      </c>
      <c r="BV227" t="str">
        <f>VLOOKUP($BU227, Constants!$M:$N, 2, FALSE)</f>
        <v>{BLACK}Powered by: {GOLD}25kV AC / 750V DC</v>
      </c>
      <c r="BW227" t="str">
        <f t="shared" si="83"/>
        <v>{BLACK}Cars: {GOLD}20</v>
      </c>
      <c r="BX227" t="s">
        <v>737</v>
      </c>
      <c r="BY227" t="str">
        <f t="shared" si="81"/>
        <v>{YELLOW}25% Bonus for long distance travel{}</v>
      </c>
      <c r="BZ227" t="str">
        <f t="shared" si="84"/>
        <v>{BLACK}Powered by: {GOLD}25kV AC / 750V DC {BLACK}Cars: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8" spans="1:78" x14ac:dyDescent="0.25">
      <c r="A228" t="s">
        <v>684</v>
      </c>
      <c r="B228" t="s">
        <v>1173</v>
      </c>
      <c r="C228">
        <v>475</v>
      </c>
      <c r="D228" t="s">
        <v>437</v>
      </c>
      <c r="E228" t="s">
        <v>589</v>
      </c>
      <c r="F228" t="s">
        <v>588</v>
      </c>
      <c r="G228">
        <v>1992</v>
      </c>
      <c r="H228">
        <v>1996</v>
      </c>
      <c r="J228">
        <v>8</v>
      </c>
      <c r="K228">
        <v>16400</v>
      </c>
      <c r="L228" s="9">
        <v>4600</v>
      </c>
      <c r="T228">
        <f>(752/20)*8</f>
        <v>300.8</v>
      </c>
      <c r="V228">
        <v>40</v>
      </c>
      <c r="W228">
        <v>220</v>
      </c>
      <c r="X228" s="4">
        <f t="shared" si="80"/>
        <v>7.3138297872340427E-2</v>
      </c>
      <c r="Y228">
        <v>186</v>
      </c>
      <c r="AA228">
        <v>22.15</v>
      </c>
      <c r="AB228">
        <v>22.15</v>
      </c>
      <c r="AC228">
        <v>2.81</v>
      </c>
      <c r="AE228" s="11">
        <v>39</v>
      </c>
      <c r="AF228" t="str">
        <f>CONCATENATE(VLOOKUP(AG228, 'Voxel Sizes'!$A$2:$B$18,2,FALSE),"x",INT(AC228*15), "x", INT(AD228*15))</f>
        <v>214x42x0</v>
      </c>
      <c r="AG228">
        <f t="shared" si="85"/>
        <v>13</v>
      </c>
      <c r="AI228" t="str">
        <f>CONCATENATE(VLOOKUP(AG228,Constants!$A$2:$C$16,IF(AH228&lt;&gt;"", 3, 2), FALSE),IF(AH228&lt;&gt;"",CONCATENATE(",",VLOOKUP(AH228,$B:$AI,34,FALSE)),""))</f>
        <v>4,5,4</v>
      </c>
      <c r="AK228" s="13" t="s">
        <v>1286</v>
      </c>
      <c r="AL228" s="13" t="s">
        <v>1291</v>
      </c>
      <c r="AM228" t="s">
        <v>739</v>
      </c>
      <c r="AN228" t="s">
        <v>685</v>
      </c>
      <c r="AO228" t="s">
        <v>740</v>
      </c>
      <c r="AP228" t="s">
        <v>685</v>
      </c>
      <c r="AS228">
        <v>25</v>
      </c>
      <c r="AT228" t="str">
        <f t="shared" si="86"/>
        <v/>
      </c>
      <c r="AW228">
        <f t="shared" si="87"/>
        <v>30</v>
      </c>
      <c r="AX228">
        <f t="shared" si="88"/>
        <v>20</v>
      </c>
      <c r="AY228">
        <f t="shared" si="89"/>
        <v>11</v>
      </c>
      <c r="AZ228" s="4">
        <f t="shared" si="94"/>
        <v>0.8773333333333333</v>
      </c>
      <c r="BA228">
        <f t="shared" si="90"/>
        <v>10.4</v>
      </c>
      <c r="BB228">
        <f>VLOOKUP($E228,Constants!$I:$K, 2, FALSE)</f>
        <v>0.85</v>
      </c>
      <c r="BC228">
        <f>VLOOKUP($E228,Constants!$I:$K, 3, FALSE)*IF(AND(D228="multiple_unit",Y228&lt;110),0.75,1)</f>
        <v>2.4</v>
      </c>
      <c r="BD228">
        <f>INT(POWER(((Constants!$G$2+$AW228+$AX228+$AY228+$BA228)*$AZ228)*$BC228, 1.05))+$AV228</f>
        <v>207</v>
      </c>
      <c r="BE228">
        <f>INT(POWER((((Constants!$G$1+$AW228+$AX228+$AY228+$BA228)*($AZ228))*$BB228),IF($D228="wagon",1,1.2)))+$AU228</f>
        <v>148</v>
      </c>
      <c r="BF228" s="15">
        <f t="shared" si="91"/>
        <v>161718.75</v>
      </c>
      <c r="BG228" s="15">
        <f t="shared" si="92"/>
        <v>12025</v>
      </c>
      <c r="BM228" t="s">
        <v>1198</v>
      </c>
      <c r="BN228">
        <v>11</v>
      </c>
      <c r="BO228">
        <v>232</v>
      </c>
      <c r="BQ228" t="s">
        <v>316</v>
      </c>
      <c r="BR228" t="str">
        <f>VLOOKUP(G228,Eras!$A$2:$C$10, 2, TRUE)</f>
        <v>lbr</v>
      </c>
      <c r="BS228" t="s">
        <v>367</v>
      </c>
      <c r="BT228" t="str">
        <f t="shared" si="93"/>
        <v>lbr_EMU (Express)</v>
      </c>
      <c r="BU228" t="str">
        <f t="shared" si="82"/>
        <v>dual_electric_DUAL_POWER</v>
      </c>
      <c r="BV228" t="str">
        <f>VLOOKUP($BU228, Constants!$M:$N, 2, FALSE)</f>
        <v>{BLACK}Powered by: {GOLD}25kV AC / 750V DC</v>
      </c>
      <c r="BW228" t="str">
        <f t="shared" si="83"/>
        <v>{BLACK}Cars: {GOLD}8</v>
      </c>
      <c r="BX228" t="s">
        <v>737</v>
      </c>
      <c r="BY228" t="str">
        <f t="shared" si="81"/>
        <v>{YELLOW}25% Bonus for long distance travel{}</v>
      </c>
      <c r="BZ228" t="str">
        <f t="shared" si="84"/>
        <v>{BLACK}Powered by: {GOLD}25kV AC / 750V DC {BLACK}Cars: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9" spans="1:78" x14ac:dyDescent="0.25">
      <c r="A229" t="s">
        <v>684</v>
      </c>
      <c r="B229" t="s">
        <v>1174</v>
      </c>
      <c r="C229">
        <v>476</v>
      </c>
      <c r="D229" t="s">
        <v>437</v>
      </c>
      <c r="E229" t="s">
        <v>589</v>
      </c>
      <c r="F229" t="s">
        <v>588</v>
      </c>
      <c r="G229">
        <v>1992</v>
      </c>
      <c r="H229">
        <v>1996</v>
      </c>
      <c r="J229">
        <v>5</v>
      </c>
      <c r="K229">
        <v>16400</v>
      </c>
      <c r="L229" s="9">
        <v>4600</v>
      </c>
      <c r="T229">
        <f>(752/20)*5</f>
        <v>188</v>
      </c>
      <c r="V229">
        <v>30</v>
      </c>
      <c r="W229">
        <v>220</v>
      </c>
      <c r="X229" s="4">
        <f t="shared" si="80"/>
        <v>0.11702127659574468</v>
      </c>
      <c r="Y229">
        <v>186</v>
      </c>
      <c r="AA229">
        <v>22.15</v>
      </c>
      <c r="AB229">
        <v>22.15</v>
      </c>
      <c r="AC229">
        <v>2.81</v>
      </c>
      <c r="AE229" s="11">
        <v>39</v>
      </c>
      <c r="AF229" t="str">
        <f>CONCATENATE(VLOOKUP(AG229, 'Voxel Sizes'!$A$2:$B$18,2,FALSE),"x",INT(AC229*15), "x", INT(AD229*15))</f>
        <v>214x42x0</v>
      </c>
      <c r="AG229">
        <f t="shared" si="85"/>
        <v>13</v>
      </c>
      <c r="AI229" t="str">
        <f>CONCATENATE(VLOOKUP(AG229,Constants!$A$2:$C$16,IF(AH229&lt;&gt;"", 3, 2), FALSE),IF(AH229&lt;&gt;"",CONCATENATE(",",VLOOKUP(AH229,$B:$AI,34,FALSE)),""))</f>
        <v>4,5,4</v>
      </c>
      <c r="AK229" s="13" t="s">
        <v>1288</v>
      </c>
      <c r="AL229" s="13" t="s">
        <v>1292</v>
      </c>
      <c r="AM229" t="s">
        <v>1180</v>
      </c>
      <c r="AN229" t="s">
        <v>685</v>
      </c>
      <c r="AO229" t="s">
        <v>704</v>
      </c>
      <c r="AP229" t="s">
        <v>685</v>
      </c>
      <c r="AS229">
        <v>25</v>
      </c>
      <c r="AT229" t="str">
        <f t="shared" si="86"/>
        <v/>
      </c>
      <c r="AW229">
        <f t="shared" si="87"/>
        <v>30</v>
      </c>
      <c r="AX229">
        <f t="shared" si="88"/>
        <v>20</v>
      </c>
      <c r="AY229">
        <f t="shared" si="89"/>
        <v>11</v>
      </c>
      <c r="AZ229" s="4">
        <f t="shared" si="94"/>
        <v>0.8773333333333333</v>
      </c>
      <c r="BA229">
        <f t="shared" si="90"/>
        <v>6.5</v>
      </c>
      <c r="BB229">
        <f>VLOOKUP($E229,Constants!$I:$K, 2, FALSE)</f>
        <v>0.85</v>
      </c>
      <c r="BC229">
        <f>VLOOKUP($E229,Constants!$I:$K, 3, FALSE)*IF(AND(D229="multiple_unit",Y229&lt;110),0.75,1)</f>
        <v>2.4</v>
      </c>
      <c r="BD229">
        <f>INT(POWER(((Constants!$G$2+$AW229+$AX229+$AY229+$BA229)*$AZ229)*$BC229, 1.05))+$AV229</f>
        <v>196</v>
      </c>
      <c r="BE229">
        <f>INT(POWER((((Constants!$G$1+$AW229+$AX229+$AY229+$BA229)*($AZ229))*$BB229),IF($D229="wagon",1,1.2)))+$AU229</f>
        <v>140</v>
      </c>
      <c r="BF229" s="15">
        <f t="shared" si="91"/>
        <v>153125</v>
      </c>
      <c r="BG229" s="15">
        <f t="shared" si="92"/>
        <v>11375</v>
      </c>
      <c r="BM229" t="s">
        <v>1197</v>
      </c>
      <c r="BN229">
        <v>11</v>
      </c>
      <c r="BO229">
        <v>232</v>
      </c>
      <c r="BQ229" t="s">
        <v>316</v>
      </c>
      <c r="BR229" t="str">
        <f>VLOOKUP(G229,Eras!$A$2:$C$10, 2, TRUE)</f>
        <v>lbr</v>
      </c>
      <c r="BS229" t="s">
        <v>367</v>
      </c>
      <c r="BT229" t="str">
        <f t="shared" si="93"/>
        <v>lbr_EMU (Express)</v>
      </c>
      <c r="BU229" t="str">
        <f t="shared" si="82"/>
        <v>dual_electric_DUAL_POWER</v>
      </c>
      <c r="BV229" t="str">
        <f>VLOOKUP($BU229, Constants!$M:$N, 2, FALSE)</f>
        <v>{BLACK}Powered by: {GOLD}25kV AC / 750V DC</v>
      </c>
      <c r="BW229" t="str">
        <f t="shared" si="83"/>
        <v>{BLACK}Cars: {GOLD}5</v>
      </c>
      <c r="BX229" t="s">
        <v>737</v>
      </c>
      <c r="BY229" t="str">
        <f t="shared" si="81"/>
        <v>{YELLOW}25% Bonus for long distance travel{}</v>
      </c>
      <c r="BZ229" t="str">
        <f t="shared" si="84"/>
        <v>{BLACK}Powered by: {GOLD}25kV AC / 750V DC {BLACK}Cars: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30" spans="1:78" x14ac:dyDescent="0.25">
      <c r="A230" t="s">
        <v>99</v>
      </c>
      <c r="B230" t="s">
        <v>212</v>
      </c>
      <c r="C230">
        <v>480</v>
      </c>
      <c r="D230" t="s">
        <v>437</v>
      </c>
      <c r="E230" t="s">
        <v>589</v>
      </c>
      <c r="F230" t="s">
        <v>588</v>
      </c>
      <c r="G230">
        <v>1995</v>
      </c>
      <c r="J230">
        <v>4</v>
      </c>
      <c r="K230">
        <v>1328</v>
      </c>
      <c r="T230">
        <v>138.5</v>
      </c>
      <c r="V230">
        <f>8*J230</f>
        <v>32</v>
      </c>
      <c r="W230">
        <v>160</v>
      </c>
      <c r="X230" s="4">
        <f t="shared" si="80"/>
        <v>0.11552346570397112</v>
      </c>
      <c r="Y230">
        <v>100</v>
      </c>
      <c r="AA230">
        <v>19.829999999999998</v>
      </c>
      <c r="AB230">
        <v>19.8</v>
      </c>
      <c r="AC230">
        <v>2.8</v>
      </c>
      <c r="AD230">
        <v>3.8</v>
      </c>
      <c r="AE230" s="11">
        <v>78</v>
      </c>
      <c r="AF230" t="str">
        <f>CONCATENATE(VLOOKUP(AG230, 'Voxel Sizes'!$A$2:$B$18,2,FALSE),"x",INT(AC230*15), "x", INT(AD230*15))</f>
        <v>198x42x57</v>
      </c>
      <c r="AG230">
        <f t="shared" si="85"/>
        <v>12</v>
      </c>
      <c r="AI230" t="str">
        <f>CONCATENATE(VLOOKUP(AG230,Constants!$A$2:$C$16,IF(AH230&lt;&gt;"", 3, 2), FALSE),IF(AH230&lt;&gt;"",CONCATENATE(",",VLOOKUP(AH230,$B:$AI,34,FALSE)),""))</f>
        <v>4,4,4</v>
      </c>
      <c r="AM230" t="s">
        <v>691</v>
      </c>
      <c r="AN230" t="s">
        <v>694</v>
      </c>
      <c r="AO230" t="s">
        <v>592</v>
      </c>
      <c r="AS230">
        <v>30</v>
      </c>
      <c r="AT230" t="str">
        <f t="shared" si="86"/>
        <v/>
      </c>
      <c r="AU230">
        <v>-15</v>
      </c>
      <c r="AV230">
        <v>-40</v>
      </c>
      <c r="AW230">
        <f t="shared" si="87"/>
        <v>20</v>
      </c>
      <c r="AX230">
        <f t="shared" si="88"/>
        <v>6.6400000000000006</v>
      </c>
      <c r="AY230">
        <f t="shared" si="89"/>
        <v>8</v>
      </c>
      <c r="AZ230" s="4">
        <f t="shared" si="94"/>
        <v>0.87333333333333329</v>
      </c>
      <c r="BA230">
        <f t="shared" si="90"/>
        <v>10.4</v>
      </c>
      <c r="BB230">
        <f>VLOOKUP($E230,Constants!$I:$K, 2, FALSE)</f>
        <v>0.85</v>
      </c>
      <c r="BC230">
        <f>VLOOKUP($E230,Constants!$I:$K, 3, FALSE)*IF(AND(D230="multiple_unit",Y230&lt;110),0.75,1)</f>
        <v>1.7999999999999998</v>
      </c>
      <c r="BD230">
        <f>INT(POWER(((Constants!$G$2+$AW230+$AX230+$AY230+$BA230)*$AZ230)*$BC230, 1.05))+$AV230</f>
        <v>57</v>
      </c>
      <c r="BE230">
        <f>INT(POWER((((Constants!$G$1+$AW230+$AX230+$AY230+$BA230)*($AZ230))*$BB230),IF($D230="wagon",1,1.2)))+$AU230</f>
        <v>80</v>
      </c>
      <c r="BF230" s="15">
        <f t="shared" si="91"/>
        <v>44531.25</v>
      </c>
      <c r="BG230" s="15">
        <f t="shared" si="92"/>
        <v>6500</v>
      </c>
      <c r="BN230">
        <v>2</v>
      </c>
      <c r="BO230">
        <v>185</v>
      </c>
      <c r="BQ230" t="s">
        <v>692</v>
      </c>
      <c r="BR230" t="str">
        <f>VLOOKUP(G230,Eras!$A$2:$C$10, 2, TRUE)</f>
        <v>prv</v>
      </c>
      <c r="BS230" t="s">
        <v>365</v>
      </c>
      <c r="BT230" t="str">
        <f t="shared" si="93"/>
        <v>prv_DMU (Express)</v>
      </c>
      <c r="BU230" t="str">
        <f t="shared" si="82"/>
        <v>dual_electric_DUAL_POWER</v>
      </c>
      <c r="BV230" t="str">
        <f>VLOOKUP($BU230, Constants!$M:$N, 2, FALSE)</f>
        <v>{BLACK}Powered by: {GOLD}25kV AC / 750V DC</v>
      </c>
      <c r="BW230" t="str">
        <f t="shared" si="83"/>
        <v>{BLACK}Cars: {GOLD}4</v>
      </c>
      <c r="BX230" t="s">
        <v>693</v>
      </c>
      <c r="BY230" t="str">
        <f t="shared" si="81"/>
        <v/>
      </c>
      <c r="BZ230" t="str">
        <f t="shared" si="84"/>
        <v>{BLACK}Powered by: {GOLD}25kV AC / 750V DC {BLACK}Cars: {GOLD}4{}{SILVER}The Class 325 is a multiple unit designed for carrying mail and parcels more economically than a locomotive-hauled train. It is based on Class 319 hardware.</v>
      </c>
    </row>
    <row r="231" spans="1:78" x14ac:dyDescent="0.25">
      <c r="A231" t="s">
        <v>87</v>
      </c>
      <c r="B231" t="s">
        <v>629</v>
      </c>
      <c r="C231">
        <v>482</v>
      </c>
      <c r="D231" t="s">
        <v>437</v>
      </c>
      <c r="E231" t="s">
        <v>305</v>
      </c>
      <c r="F231" t="s">
        <v>307</v>
      </c>
      <c r="G231">
        <v>1998</v>
      </c>
      <c r="H231">
        <v>2005</v>
      </c>
      <c r="J231">
        <v>3</v>
      </c>
      <c r="K231">
        <v>1266</v>
      </c>
      <c r="T231">
        <v>135</v>
      </c>
      <c r="V231">
        <f>8*J231</f>
        <v>24</v>
      </c>
      <c r="W231">
        <v>180</v>
      </c>
      <c r="X231" s="4">
        <f t="shared" si="80"/>
        <v>0.13333333333333333</v>
      </c>
      <c r="Y231">
        <v>100</v>
      </c>
      <c r="AA231">
        <v>23.62</v>
      </c>
      <c r="AB231">
        <v>21</v>
      </c>
      <c r="AC231">
        <v>2.69</v>
      </c>
      <c r="AD231">
        <v>3.77</v>
      </c>
      <c r="AE231" s="11">
        <v>63</v>
      </c>
      <c r="AF231" t="str">
        <f>CONCATENATE(VLOOKUP(AG231, 'Voxel Sizes'!$A$2:$B$18,2,FALSE),"x",INT(AC231*15), "x", INT(AD231*15))</f>
        <v>198x40x56</v>
      </c>
      <c r="AG231">
        <f t="shared" si="85"/>
        <v>12</v>
      </c>
      <c r="AI231" t="str">
        <f>CONCATENATE(VLOOKUP(AG231,Constants!$A$2:$C$16,IF(AH231&lt;&gt;"", 3, 2), FALSE),IF(AH231&lt;&gt;"",CONCATENATE(",",VLOOKUP(AH231,$B:$AI,34,FALSE)),""))</f>
        <v>4,4,4</v>
      </c>
      <c r="AM231" t="s">
        <v>628</v>
      </c>
      <c r="AO231" t="s">
        <v>325</v>
      </c>
      <c r="AS231">
        <v>29</v>
      </c>
      <c r="AT231" t="str">
        <f t="shared" si="86"/>
        <v/>
      </c>
      <c r="AU231">
        <v>-15</v>
      </c>
      <c r="AV231">
        <v>-25</v>
      </c>
      <c r="AW231">
        <f t="shared" si="87"/>
        <v>20</v>
      </c>
      <c r="AX231">
        <f t="shared" si="88"/>
        <v>6.33</v>
      </c>
      <c r="AY231">
        <f t="shared" si="89"/>
        <v>9</v>
      </c>
      <c r="AZ231" s="4">
        <f t="shared" si="94"/>
        <v>0.86933333333333329</v>
      </c>
      <c r="BA231">
        <f t="shared" si="90"/>
        <v>6.3</v>
      </c>
      <c r="BB231">
        <f>VLOOKUP($E231,Constants!$I:$K, 2, FALSE)</f>
        <v>1</v>
      </c>
      <c r="BC231">
        <f>VLOOKUP($E231,Constants!$I:$K, 3, FALSE)*IF(AND(D231="multiple_unit",Y231&lt;110),0.75,1)</f>
        <v>1.5</v>
      </c>
      <c r="BD231">
        <f>INT(POWER(((Constants!$G$2+$AW231+$AX231+$AY231+$BA231)*$AZ231)*$BC231, 1.05))+$AV231</f>
        <v>49</v>
      </c>
      <c r="BE231">
        <f>INT(POWER((((Constants!$G$1+$AW231+$AX231+$AY231+$BA231)*($AZ231))*$BB231),IF($D231="wagon",1,1.2)))+$AU231</f>
        <v>92</v>
      </c>
      <c r="BF231" s="15">
        <f t="shared" si="91"/>
        <v>38281.25</v>
      </c>
      <c r="BG231" s="15">
        <f t="shared" si="92"/>
        <v>7475</v>
      </c>
      <c r="BK231" t="s">
        <v>1166</v>
      </c>
      <c r="BN231">
        <v>3</v>
      </c>
      <c r="BO231">
        <v>185</v>
      </c>
      <c r="BQ231" t="s">
        <v>316</v>
      </c>
      <c r="BR231" t="str">
        <f>VLOOKUP(G231,Eras!$A$2:$C$10, 2, TRUE)</f>
        <v>prv</v>
      </c>
      <c r="BS231" t="s">
        <v>364</v>
      </c>
      <c r="BT231" t="str">
        <f t="shared" si="93"/>
        <v>prv_DMU</v>
      </c>
      <c r="BU231" t="str">
        <f t="shared" si="82"/>
        <v>diesel_RAIL</v>
      </c>
      <c r="BV231" t="str">
        <f>VLOOKUP($BU231, Constants!$M:$N, 2, FALSE)</f>
        <v>{BLACK}Powered by: {GOLD}Diesel</v>
      </c>
      <c r="BW231" t="str">
        <f t="shared" si="83"/>
        <v>{BLACK}Cars: {GOLD}3</v>
      </c>
      <c r="BX231" t="s">
        <v>627</v>
      </c>
      <c r="BY231" t="str">
        <f t="shared" si="81"/>
        <v/>
      </c>
      <c r="BZ231" t="str">
        <f t="shared" si="84"/>
        <v>{BLACK}Powered by: {GOLD}Diesel {BLACK}Cars: {GOLD}3{}{SILVER}The Turbostar is a further development of the BR "Networker" units. It is used for regional and long distance services.</v>
      </c>
    </row>
    <row r="232" spans="1:78" x14ac:dyDescent="0.25">
      <c r="A232" t="s">
        <v>1320</v>
      </c>
      <c r="B232" t="s">
        <v>1321</v>
      </c>
      <c r="C232">
        <v>483</v>
      </c>
      <c r="D232" t="s">
        <v>437</v>
      </c>
      <c r="E232" t="s">
        <v>305</v>
      </c>
      <c r="F232" t="s">
        <v>307</v>
      </c>
      <c r="G232">
        <v>2000</v>
      </c>
      <c r="J232">
        <v>2</v>
      </c>
      <c r="K232">
        <f>450*2</f>
        <v>900</v>
      </c>
      <c r="T232">
        <v>98</v>
      </c>
      <c r="V232">
        <f>8*J232</f>
        <v>16</v>
      </c>
      <c r="W232">
        <v>120</v>
      </c>
      <c r="X232" s="4">
        <f t="shared" si="80"/>
        <v>0.12244897959183673</v>
      </c>
      <c r="Y232">
        <v>100</v>
      </c>
      <c r="AA232">
        <v>23.71</v>
      </c>
      <c r="AB232">
        <v>23.71</v>
      </c>
      <c r="AE232" s="11">
        <v>69</v>
      </c>
      <c r="AF232" t="str">
        <f>CONCATENATE(VLOOKUP(AG232, 'Voxel Sizes'!$A$2:$B$18,2,FALSE),"x",INT(AC232*15), "x", INT(AD232*15))</f>
        <v>238x0x0</v>
      </c>
      <c r="AG232">
        <f t="shared" si="85"/>
        <v>14</v>
      </c>
      <c r="AI232" t="str">
        <f>CONCATENATE(VLOOKUP(AG232,Constants!$A$2:$C$16,IF(AH232&lt;&gt;"", 3, 2), FALSE),IF(AH232&lt;&gt;"",CONCATENATE(",",VLOOKUP(AH232,$B:$AI,34,FALSE)),""))</f>
        <v>4,6,4</v>
      </c>
      <c r="AM232" t="s">
        <v>1323</v>
      </c>
      <c r="AO232" t="s">
        <v>501</v>
      </c>
      <c r="AS232">
        <v>22</v>
      </c>
      <c r="AT232" t="str">
        <f t="shared" si="86"/>
        <v/>
      </c>
      <c r="AU232">
        <v>-6</v>
      </c>
      <c r="AV232">
        <v>-25</v>
      </c>
      <c r="AW232">
        <f t="shared" si="87"/>
        <v>20</v>
      </c>
      <c r="AX232">
        <f t="shared" si="88"/>
        <v>4.5</v>
      </c>
      <c r="AY232">
        <f t="shared" si="89"/>
        <v>6</v>
      </c>
      <c r="AZ232" s="4">
        <f t="shared" si="94"/>
        <v>0.8666666666666667</v>
      </c>
      <c r="BA232">
        <f t="shared" si="90"/>
        <v>4.6000000000000005</v>
      </c>
      <c r="BB232">
        <f>VLOOKUP($E232,Constants!$I:$K, 2, FALSE)</f>
        <v>1</v>
      </c>
      <c r="BC232">
        <f>VLOOKUP($E232,Constants!$I:$K, 3, FALSE)*IF(AND(D232="multiple_unit",Y232&lt;110),0.75,1)</f>
        <v>1.5</v>
      </c>
      <c r="BD232">
        <f>INT(POWER(((Constants!$G$2+$AW232+$AX232+$AY232+$BA232)*$AZ232)*$BC232, 1.05))+$AV232</f>
        <v>38</v>
      </c>
      <c r="BE232">
        <f>INT(POWER((((Constants!$G$1+$AW232+$AX232+$AY232+$BA232)*($AZ232))*$BB232),IF($D232="wagon",1,1.2)))+$AU232</f>
        <v>86</v>
      </c>
      <c r="BF232" s="15">
        <f t="shared" si="91"/>
        <v>29687.5</v>
      </c>
      <c r="BG232" s="15">
        <f t="shared" si="92"/>
        <v>6987.5</v>
      </c>
      <c r="BN232">
        <v>4</v>
      </c>
      <c r="BQ232" t="s">
        <v>316</v>
      </c>
      <c r="BR232" t="str">
        <f>VLOOKUP(G232,Eras!$A$2:$C$10, 2, TRUE)</f>
        <v>prv</v>
      </c>
      <c r="BS232" t="s">
        <v>364</v>
      </c>
      <c r="BT232" t="str">
        <f t="shared" si="93"/>
        <v>prv_DMU</v>
      </c>
      <c r="BU232" t="str">
        <f t="shared" si="82"/>
        <v>diesel_RAIL</v>
      </c>
      <c r="BX232" t="s">
        <v>1322</v>
      </c>
      <c r="BZ232" t="str">
        <f t="shared" si="84"/>
        <v>{SILVER}Originally operated by First North Western, the Class 175s were cascaded to services in Wales. They suffered early reliability problems, but work on braking systems and bogies has made a significant improvement.</v>
      </c>
    </row>
    <row r="233" spans="1:78" x14ac:dyDescent="0.25">
      <c r="A233" t="s">
        <v>614</v>
      </c>
      <c r="B233" t="s">
        <v>619</v>
      </c>
      <c r="C233">
        <v>484</v>
      </c>
      <c r="D233" t="s">
        <v>437</v>
      </c>
      <c r="E233" t="s">
        <v>329</v>
      </c>
      <c r="F233" t="s">
        <v>336</v>
      </c>
      <c r="G233">
        <v>2000</v>
      </c>
      <c r="H233">
        <v>2001</v>
      </c>
      <c r="I233">
        <v>2012</v>
      </c>
      <c r="J233">
        <v>8</v>
      </c>
      <c r="K233">
        <v>3620</v>
      </c>
      <c r="T233">
        <v>319</v>
      </c>
      <c r="V233">
        <v>48</v>
      </c>
      <c r="W233">
        <v>240</v>
      </c>
      <c r="X233" s="4">
        <f t="shared" si="80"/>
        <v>7.5235109717868343E-2</v>
      </c>
      <c r="Y233">
        <v>100</v>
      </c>
      <c r="AB233">
        <v>21</v>
      </c>
      <c r="AE233" s="11">
        <f>23*3</f>
        <v>69</v>
      </c>
      <c r="AF233" t="str">
        <f>CONCATENATE(VLOOKUP(AG233, 'Voxel Sizes'!$A$2:$B$18,2,FALSE),"x",INT(AC233*15), "x", INT(AD233*15))</f>
        <v>198x0x0</v>
      </c>
      <c r="AG233">
        <f t="shared" si="85"/>
        <v>12</v>
      </c>
      <c r="AI233" t="str">
        <f>CONCATENATE(VLOOKUP(AG233,Constants!$A$2:$C$16,IF(AH233&lt;&gt;"", 3, 2), FALSE),IF(AH233&lt;&gt;"",CONCATENATE(",",VLOOKUP(AH233,$B:$AI,34,FALSE)),""))</f>
        <v>4,4,4</v>
      </c>
      <c r="AM233" t="s">
        <v>622</v>
      </c>
      <c r="AO233" t="s">
        <v>621</v>
      </c>
      <c r="AS233">
        <v>27</v>
      </c>
      <c r="AT233">
        <f t="shared" si="86"/>
        <v>8</v>
      </c>
      <c r="AU233">
        <v>-15</v>
      </c>
      <c r="AV233">
        <v>-30</v>
      </c>
      <c r="AW233">
        <f t="shared" si="87"/>
        <v>20</v>
      </c>
      <c r="AX233">
        <f t="shared" si="88"/>
        <v>18.100000000000001</v>
      </c>
      <c r="AY233">
        <f t="shared" si="89"/>
        <v>12</v>
      </c>
      <c r="AZ233" s="4">
        <f t="shared" si="94"/>
        <v>0.8666666666666667</v>
      </c>
      <c r="BA233">
        <f t="shared" si="90"/>
        <v>18.400000000000002</v>
      </c>
      <c r="BB233">
        <f>VLOOKUP($E233,Constants!$I:$K, 2, FALSE)</f>
        <v>0.85</v>
      </c>
      <c r="BC233">
        <f>VLOOKUP($E233,Constants!$I:$K, 3, FALSE)*IF(AND(D233="multiple_unit",Y233&lt;110),0.75,1)</f>
        <v>1.7249999999999999</v>
      </c>
      <c r="BD233">
        <f>INT(POWER(((Constants!$G$2+$AW233+$AX233+$AY233+$BA233)*$AZ233)*$BC233, 1.05))+$AV233</f>
        <v>108</v>
      </c>
      <c r="BE233">
        <f>INT(POWER((((Constants!$G$1+$AW233+$AX233+$AY233+$BA233)*($AZ233))*$BB233),IF($D233="wagon",1,1.2)))+$AU233</f>
        <v>125</v>
      </c>
      <c r="BF233" s="15">
        <f t="shared" si="91"/>
        <v>84375</v>
      </c>
      <c r="BG233" s="15">
        <f t="shared" si="92"/>
        <v>10156.25</v>
      </c>
      <c r="BM233" t="s">
        <v>1195</v>
      </c>
      <c r="BN233">
        <v>4</v>
      </c>
      <c r="BO233">
        <v>205</v>
      </c>
      <c r="BQ233" t="s">
        <v>316</v>
      </c>
      <c r="BR233" t="str">
        <f>VLOOKUP(G233,Eras!$A$2:$C$10, 2, TRUE)</f>
        <v>prv</v>
      </c>
      <c r="BS233" t="s">
        <v>367</v>
      </c>
      <c r="BT233" t="str">
        <f t="shared" si="93"/>
        <v>prv_EMU (Express)</v>
      </c>
      <c r="BU233" t="str">
        <f t="shared" si="82"/>
        <v>electric_THIRD_RAIL</v>
      </c>
      <c r="BV233" t="str">
        <f>VLOOKUP($BU233, Constants!$M:$N, 2, FALSE)</f>
        <v>{BLACK}Powered by: {GOLD}750V DC</v>
      </c>
      <c r="BW233" t="str">
        <f>IF(J233&gt;1,_xlfn.CONCAT("{BLACK}Cars: {GOLD}", J233),"")</f>
        <v>{BLACK}Cars: {GOLD}8</v>
      </c>
      <c r="BX233" t="s">
        <v>620</v>
      </c>
      <c r="BY233" t="str">
        <f>IF(BQ233="BRAKE","{YELLOW}Speed bonus for slow wagons{}",IF(BO233&gt;190,CONCATENATE("{YELLOW}",INT((BO233-185)/1.85),"% Bonus for long distance travel{}"),IF(AND(BO233&lt;180,BO233&lt;&gt;0),CONCATENATE("{YELLOW}",INT((185-BO233)/1.85),"% Penalty for long distance travel{}"),"")))</f>
        <v>{YELLOW}10% Bonus for long distance travel{}</v>
      </c>
      <c r="BZ233" t="str">
        <f t="shared" si="84"/>
        <v>{BLACK}Powered by: {GOLD}750V DC {BLACK}Cars: {GOLD}8{}{YELLOW}10% Bonus for long distance travel{}{SILVER}The Class 460 was built to replace locomotive-hauled services on the Gatwick Express. It had a short service life, with most units converted to Class 458/5 for suburban use.</v>
      </c>
    </row>
    <row r="234" spans="1:78" x14ac:dyDescent="0.25">
      <c r="A234" t="s">
        <v>614</v>
      </c>
      <c r="B234" t="s">
        <v>1188</v>
      </c>
      <c r="C234">
        <v>485</v>
      </c>
      <c r="D234" t="s">
        <v>437</v>
      </c>
      <c r="E234" t="s">
        <v>329</v>
      </c>
      <c r="F234" t="s">
        <v>336</v>
      </c>
      <c r="G234">
        <v>2000</v>
      </c>
      <c r="H234">
        <v>2001</v>
      </c>
      <c r="I234">
        <v>2012</v>
      </c>
      <c r="J234">
        <v>5</v>
      </c>
      <c r="K234">
        <v>3620</v>
      </c>
      <c r="T234">
        <f>319/8*5</f>
        <v>199.375</v>
      </c>
      <c r="V234">
        <f>8*J234</f>
        <v>40</v>
      </c>
      <c r="W234">
        <v>240</v>
      </c>
      <c r="X234" s="4">
        <f t="shared" si="80"/>
        <v>0.12037617554858934</v>
      </c>
      <c r="Y234">
        <v>100</v>
      </c>
      <c r="AB234">
        <v>21</v>
      </c>
      <c r="AE234" s="11">
        <f>23*3</f>
        <v>69</v>
      </c>
      <c r="AF234" t="str">
        <f>CONCATENATE(VLOOKUP(AG234, 'Voxel Sizes'!$A$2:$B$18,2,FALSE),"x",INT(AC234*15), "x", INT(AD234*15))</f>
        <v>198x0x0</v>
      </c>
      <c r="AG234">
        <f t="shared" si="85"/>
        <v>12</v>
      </c>
      <c r="AI234" t="str">
        <f>CONCATENATE(VLOOKUP(AG234,Constants!$A$2:$C$16,IF(AH234&lt;&gt;"", 3, 2), FALSE),IF(AH234&lt;&gt;"",CONCATENATE(",",VLOOKUP(AH234,$B:$AI,34,FALSE)),""))</f>
        <v>4,4,4</v>
      </c>
      <c r="AM234" t="s">
        <v>1189</v>
      </c>
      <c r="AO234" t="s">
        <v>704</v>
      </c>
      <c r="AP234" t="s">
        <v>619</v>
      </c>
      <c r="AS234">
        <v>27</v>
      </c>
      <c r="AT234">
        <f t="shared" si="86"/>
        <v>8</v>
      </c>
      <c r="AU234">
        <v>-15</v>
      </c>
      <c r="AV234">
        <v>-30</v>
      </c>
      <c r="AW234">
        <f t="shared" si="87"/>
        <v>20</v>
      </c>
      <c r="AX234">
        <f t="shared" si="88"/>
        <v>18.100000000000001</v>
      </c>
      <c r="AY234">
        <f t="shared" si="89"/>
        <v>12</v>
      </c>
      <c r="AZ234" s="4">
        <f t="shared" si="94"/>
        <v>0.8666666666666667</v>
      </c>
      <c r="BA234">
        <f t="shared" si="90"/>
        <v>11.500000000000002</v>
      </c>
      <c r="BB234">
        <f>VLOOKUP($E234,Constants!$I:$K, 2, FALSE)</f>
        <v>0.85</v>
      </c>
      <c r="BC234">
        <f>VLOOKUP($E234,Constants!$I:$K, 3, FALSE)*IF(AND(D234="multiple_unit",Y234&lt;110),0.75,1)</f>
        <v>1.7249999999999999</v>
      </c>
      <c r="BD234">
        <f>INT(POWER(((Constants!$G$2+$AW234+$AX234+$AY234+$BA234)*$AZ234)*$BC234, 1.05))+$AV234</f>
        <v>95</v>
      </c>
      <c r="BE234">
        <f>INT(POWER((((Constants!$G$1+$AW234+$AX234+$AY234+$BA234)*($AZ234))*$BB234),IF($D234="wagon",1,1.2)))+$AU234</f>
        <v>111</v>
      </c>
      <c r="BF234" s="15">
        <f t="shared" si="91"/>
        <v>74218.75</v>
      </c>
      <c r="BG234" s="15">
        <f t="shared" si="92"/>
        <v>9018.75</v>
      </c>
      <c r="BM234" t="s">
        <v>1197</v>
      </c>
      <c r="BN234">
        <v>4</v>
      </c>
      <c r="BO234">
        <v>205</v>
      </c>
      <c r="BQ234" t="s">
        <v>316</v>
      </c>
      <c r="BR234" t="str">
        <f>VLOOKUP(G234,Eras!$A$2:$C$10, 2, TRUE)</f>
        <v>prv</v>
      </c>
      <c r="BS234" t="s">
        <v>367</v>
      </c>
      <c r="BT234" t="str">
        <f t="shared" si="93"/>
        <v>prv_EMU (Express)</v>
      </c>
      <c r="BU234" t="str">
        <f t="shared" si="82"/>
        <v>electric_THIRD_RAIL</v>
      </c>
      <c r="BV234" t="str">
        <f>VLOOKUP($BU234, Constants!$M:$N, 2, FALSE)</f>
        <v>{BLACK}Powered by: {GOLD}750V DC</v>
      </c>
      <c r="BW234" t="str">
        <f>IF(J234&gt;1,_xlfn.CONCAT("{BLACK}Cars: {GOLD}", J234),"")</f>
        <v>{BLACK}Cars: {GOLD}5</v>
      </c>
      <c r="BX234" t="s">
        <v>620</v>
      </c>
      <c r="BY234" t="str">
        <f>IF(BQ234="BRAKE","{YELLOW}Speed bonus for slow wagons{}",IF(BO234&gt;190,CONCATENATE("{YELLOW}",INT((BO234-185)/1.85),"% Bonus for long distance travel{}"),IF(AND(BO234&lt;180,BO234&lt;&gt;0),CONCATENATE("{YELLOW}",INT((185-BO234)/1.85),"% Penalty for long distance travel{}"),"")))</f>
        <v>{YELLOW}10% Bonus for long distance travel{}</v>
      </c>
      <c r="BZ234" t="str">
        <f t="shared" si="84"/>
        <v>{BLACK}Powered by: {GOLD}750V DC {BLACK}Cars: {GOLD}5{}{YELLOW}10% Bonus for long distance travel{}{SILVER}The Class 460 was built to replace locomotive-hauled services on the Gatwick Express. It had a short service life, with most units converted to Class 458/5 for suburban use.</v>
      </c>
    </row>
    <row r="235" spans="1:78" x14ac:dyDescent="0.25">
      <c r="A235" t="s">
        <v>1308</v>
      </c>
      <c r="B235" t="s">
        <v>1309</v>
      </c>
      <c r="C235">
        <v>486</v>
      </c>
      <c r="D235" t="s">
        <v>437</v>
      </c>
      <c r="E235" t="s">
        <v>305</v>
      </c>
      <c r="F235" t="s">
        <v>307</v>
      </c>
      <c r="G235">
        <v>2001</v>
      </c>
      <c r="J235">
        <v>5</v>
      </c>
      <c r="K235">
        <f>750*3</f>
        <v>2250</v>
      </c>
      <c r="T235">
        <v>252.5</v>
      </c>
      <c r="V235">
        <f>7*J235</f>
        <v>35</v>
      </c>
      <c r="W235">
        <v>190</v>
      </c>
      <c r="X235" s="4">
        <f t="shared" si="80"/>
        <v>7.5247524752475245E-2</v>
      </c>
      <c r="Y235">
        <v>125</v>
      </c>
      <c r="AA235">
        <v>23.71</v>
      </c>
      <c r="AB235">
        <v>23.71</v>
      </c>
      <c r="AE235" s="11">
        <v>57</v>
      </c>
      <c r="AF235" t="str">
        <f>CONCATENATE(VLOOKUP(AG235, 'Voxel Sizes'!$A$2:$B$18,2,FALSE),"x",INT(AC235*15), "x", INT(AD235*15))</f>
        <v>238x0x0</v>
      </c>
      <c r="AG235">
        <f t="shared" si="85"/>
        <v>14</v>
      </c>
      <c r="AI235" t="str">
        <f>CONCATENATE(VLOOKUP(AG235,Constants!$A$2:$C$16,IF(AH235&lt;&gt;"", 3, 2), FALSE),IF(AH235&lt;&gt;"",CONCATENATE(",",VLOOKUP(AH235,$B:$AI,34,FALSE)),""))</f>
        <v>4,6,4</v>
      </c>
      <c r="AM235" t="s">
        <v>1310</v>
      </c>
      <c r="AO235" t="s">
        <v>644</v>
      </c>
      <c r="AS235">
        <v>22</v>
      </c>
      <c r="AT235" t="str">
        <f t="shared" si="86"/>
        <v/>
      </c>
      <c r="AU235">
        <v>-8</v>
      </c>
      <c r="AV235">
        <v>-30</v>
      </c>
      <c r="AW235">
        <f t="shared" si="87"/>
        <v>25</v>
      </c>
      <c r="AX235">
        <f t="shared" si="88"/>
        <v>11.25</v>
      </c>
      <c r="AY235">
        <f t="shared" si="89"/>
        <v>9.5</v>
      </c>
      <c r="AZ235" s="4">
        <f t="shared" si="94"/>
        <v>0.86533333333333329</v>
      </c>
      <c r="BA235">
        <f t="shared" si="90"/>
        <v>9.5</v>
      </c>
      <c r="BB235">
        <f>VLOOKUP($E235,Constants!$I:$K, 2, FALSE)</f>
        <v>1</v>
      </c>
      <c r="BC235">
        <f>VLOOKUP($E235,Constants!$I:$K, 3, FALSE)*IF(AND(D235="multiple_unit",Y235&lt;110),0.75,1)</f>
        <v>2</v>
      </c>
      <c r="BD235">
        <f>INT(POWER(((Constants!$G$2+$AW235+$AX235+$AY235+$BA235)*$AZ235)*$BC235, 1.05))+$AV235</f>
        <v>101</v>
      </c>
      <c r="BE235">
        <f>INT(POWER((((Constants!$G$1+$AW235+$AX235+$AY235+$BA235)*($AZ235))*$BB235),IF($D235="wagon",1,1.2)))+$AU235</f>
        <v>130</v>
      </c>
      <c r="BF235" s="15">
        <f t="shared" si="91"/>
        <v>78906.25</v>
      </c>
      <c r="BG235" s="15">
        <f t="shared" si="92"/>
        <v>10562.5</v>
      </c>
      <c r="BM235" t="s">
        <v>1195</v>
      </c>
      <c r="BN235">
        <v>7</v>
      </c>
      <c r="BQ235" t="s">
        <v>316</v>
      </c>
      <c r="BR235" t="str">
        <f>VLOOKUP(G235,Eras!$A$2:$C$10, 2, TRUE)</f>
        <v>prv</v>
      </c>
      <c r="BS235" t="s">
        <v>365</v>
      </c>
      <c r="BT235" t="str">
        <f t="shared" si="93"/>
        <v>prv_DMU (Express)</v>
      </c>
      <c r="BU235" t="str">
        <f t="shared" si="82"/>
        <v>diesel_RAIL</v>
      </c>
      <c r="BX235" t="s">
        <v>1311</v>
      </c>
      <c r="BZ235" t="str">
        <f t="shared" si="84"/>
        <v>{SILVER}Unusually for a high speed unit, the Class 180 uses a diesel-hydraulic transmission. Unfortunately the units suffered reliability problems both before and after launch.</v>
      </c>
    </row>
    <row r="236" spans="1:78" x14ac:dyDescent="0.25">
      <c r="A236" t="s">
        <v>1308</v>
      </c>
      <c r="B236" t="s">
        <v>1353</v>
      </c>
      <c r="C236">
        <v>487</v>
      </c>
      <c r="D236" t="s">
        <v>437</v>
      </c>
      <c r="E236" t="s">
        <v>305</v>
      </c>
      <c r="F236" t="s">
        <v>307</v>
      </c>
      <c r="G236">
        <v>2001</v>
      </c>
      <c r="J236">
        <v>4</v>
      </c>
      <c r="K236">
        <f>750*3</f>
        <v>2250</v>
      </c>
      <c r="T236">
        <v>203</v>
      </c>
      <c r="V236">
        <f>7*J236</f>
        <v>28</v>
      </c>
      <c r="W236">
        <v>190</v>
      </c>
      <c r="X236" s="4">
        <f t="shared" ref="X236" si="96">IF(AND(T236&gt;0,W236&gt;0),(W236/((T236+U236)*10)),"")</f>
        <v>9.3596059113300489E-2</v>
      </c>
      <c r="Y236">
        <v>125</v>
      </c>
      <c r="AA236">
        <v>23.71</v>
      </c>
      <c r="AB236">
        <v>23.71</v>
      </c>
      <c r="AE236" s="11">
        <v>57</v>
      </c>
      <c r="AF236" t="str">
        <f>CONCATENATE(VLOOKUP(AG236, 'Voxel Sizes'!$A$2:$B$18,2,FALSE),"x",INT(AC236*15), "x", INT(AD236*15))</f>
        <v>238x0x0</v>
      </c>
      <c r="AG236">
        <f t="shared" ref="AG236" si="97">ROUND(15*((AB236*10)/256),0)</f>
        <v>14</v>
      </c>
      <c r="AI236" t="str">
        <f>CONCATENATE(VLOOKUP(AG236,Constants!$A$2:$C$16,IF(AH236&lt;&gt;"", 3, 2), FALSE),IF(AH236&lt;&gt;"",CONCATENATE(",",VLOOKUP(AH236,$B:$AI,34,FALSE)),""))</f>
        <v>4,6,4</v>
      </c>
      <c r="AM236" t="s">
        <v>1354</v>
      </c>
      <c r="AO236" t="s">
        <v>1175</v>
      </c>
      <c r="AP236" t="s">
        <v>1309</v>
      </c>
      <c r="AS236">
        <v>22</v>
      </c>
      <c r="AT236" t="str">
        <f t="shared" ref="AT236" si="98">IF(I236&lt;&gt;"",MAX(8,(I236-G236)-4),"")</f>
        <v/>
      </c>
      <c r="AU236">
        <v>-8</v>
      </c>
      <c r="AV236">
        <v>-30</v>
      </c>
      <c r="AW236">
        <f t="shared" ref="AW236" si="99">MIN(Y236/150, 1)*30</f>
        <v>25</v>
      </c>
      <c r="AX236">
        <f t="shared" ref="AX236" si="100">MIN(K236/4000, 1)*20</f>
        <v>11.25</v>
      </c>
      <c r="AY236">
        <f t="shared" ref="AY236" si="101">MIN(W236/400,1)*20</f>
        <v>9.5</v>
      </c>
      <c r="AZ236" s="4">
        <f t="shared" si="94"/>
        <v>0.86533333333333329</v>
      </c>
      <c r="BA236">
        <f t="shared" ref="BA236" si="102">((MAX($J236,1)*MIN($AE236/300,1)))*IF(D236="Wagon",50,10)</f>
        <v>7.6</v>
      </c>
      <c r="BB236">
        <f>VLOOKUP($E236,Constants!$I:$K, 2, FALSE)</f>
        <v>1</v>
      </c>
      <c r="BC236">
        <f>VLOOKUP($E236,Constants!$I:$K, 3, FALSE)*IF(AND(D236="multiple_unit",Y236&lt;110),0.75,1)</f>
        <v>2</v>
      </c>
      <c r="BD236">
        <f>INT(POWER(((Constants!$G$2+$AW236+$AX236+$AY236+$BA236)*$AZ236)*$BC236, 1.05))+$AV236</f>
        <v>97</v>
      </c>
      <c r="BE236">
        <f>INT(POWER((((Constants!$G$1+$AW236+$AX236+$AY236+$BA236)*($AZ236))*$BB236),IF($D236="wagon",1,1.2)))+$AU236</f>
        <v>125</v>
      </c>
      <c r="BF236" s="15">
        <f t="shared" ref="BF236" si="103">BD236*IF($D236="wagon",62.5,781.25)</f>
        <v>75781.25</v>
      </c>
      <c r="BG236" s="15">
        <f t="shared" ref="BG236" si="104">BE236*IF($D236="wagon",2.73,81.25)</f>
        <v>10156.25</v>
      </c>
      <c r="BM236" t="s">
        <v>1197</v>
      </c>
      <c r="BN236">
        <v>7</v>
      </c>
      <c r="BQ236" t="s">
        <v>316</v>
      </c>
      <c r="BR236" t="str">
        <f>VLOOKUP(G236,Eras!$A$2:$C$10, 2, TRUE)</f>
        <v>prv</v>
      </c>
      <c r="BS236" t="s">
        <v>365</v>
      </c>
      <c r="BT236" t="str">
        <f t="shared" ref="BT236" si="105">CONCATENATE(BR236,"_",BS236)</f>
        <v>prv_DMU (Express)</v>
      </c>
      <c r="BU236" t="str">
        <f t="shared" si="82"/>
        <v>diesel_RAIL</v>
      </c>
      <c r="BX236" t="s">
        <v>1311</v>
      </c>
      <c r="BZ236" t="str">
        <f t="shared" si="84"/>
        <v>{SILVER}Unusually for a high speed unit, the Class 180 uses a diesel-hydraulic transmission. Unfortunately the units suffered reliability problems both before and after launch.</v>
      </c>
    </row>
    <row r="237" spans="1:78" x14ac:dyDescent="0.25">
      <c r="A237" t="s">
        <v>615</v>
      </c>
      <c r="B237" t="s">
        <v>696</v>
      </c>
      <c r="C237">
        <v>488</v>
      </c>
      <c r="D237" t="s">
        <v>437</v>
      </c>
      <c r="E237" t="s">
        <v>329</v>
      </c>
      <c r="F237" t="s">
        <v>330</v>
      </c>
      <c r="G237">
        <v>2002</v>
      </c>
      <c r="J237">
        <v>8</v>
      </c>
      <c r="K237">
        <v>6840</v>
      </c>
      <c r="T237">
        <v>466</v>
      </c>
      <c r="V237">
        <v>60</v>
      </c>
      <c r="W237">
        <v>325</v>
      </c>
      <c r="X237" s="4">
        <f t="shared" si="80"/>
        <v>6.974248927038626E-2</v>
      </c>
      <c r="Y237">
        <v>140</v>
      </c>
      <c r="AA237">
        <v>23.9</v>
      </c>
      <c r="AB237">
        <v>23.9</v>
      </c>
      <c r="AC237">
        <v>2.73</v>
      </c>
      <c r="AD237">
        <v>3.56</v>
      </c>
      <c r="AE237" s="11">
        <v>60</v>
      </c>
      <c r="AF237" t="str">
        <f>CONCATENATE(VLOOKUP(AG237, 'Voxel Sizes'!$A$2:$B$18,2,FALSE),"x",INT(AC237*15), "x", INT(AD237*15))</f>
        <v>238x40x53</v>
      </c>
      <c r="AG237">
        <f t="shared" si="85"/>
        <v>14</v>
      </c>
      <c r="AI237" t="str">
        <f>CONCATENATE(VLOOKUP(AG237,Constants!$A$2:$C$16,IF(AH237&lt;&gt;"", 3, 2), FALSE),IF(AH237&lt;&gt;"",CONCATENATE(",",VLOOKUP(AH237,$B:$AI,34,FALSE)),""))</f>
        <v>4,6,4</v>
      </c>
      <c r="AM237" t="s">
        <v>695</v>
      </c>
      <c r="AO237" t="s">
        <v>698</v>
      </c>
      <c r="AS237">
        <v>29</v>
      </c>
      <c r="AT237" t="str">
        <f t="shared" si="86"/>
        <v/>
      </c>
      <c r="AU237">
        <v>-15</v>
      </c>
      <c r="AV237">
        <v>-35</v>
      </c>
      <c r="AW237">
        <f t="shared" si="87"/>
        <v>28</v>
      </c>
      <c r="AX237">
        <f t="shared" si="88"/>
        <v>20</v>
      </c>
      <c r="AY237">
        <f t="shared" si="89"/>
        <v>16.25</v>
      </c>
      <c r="AZ237" s="4">
        <f t="shared" si="94"/>
        <v>0.86399999999999999</v>
      </c>
      <c r="BA237">
        <f t="shared" si="90"/>
        <v>16</v>
      </c>
      <c r="BB237">
        <f>VLOOKUP($E237,Constants!$I:$K, 2, FALSE)</f>
        <v>0.85</v>
      </c>
      <c r="BC237">
        <f>VLOOKUP($E237,Constants!$I:$K, 3, FALSE)*IF(AND(D237="multiple_unit",Y237&lt;110),0.75,1)</f>
        <v>2.2999999999999998</v>
      </c>
      <c r="BD237">
        <f>INT(POWER(((Constants!$G$2+$AW237+$AX237+$AY237+$BA237)*$AZ237)*$BC237, 1.05))+$AV237</f>
        <v>183</v>
      </c>
      <c r="BE237">
        <f>INT(POWER((((Constants!$G$1+$AW237+$AX237+$AY237+$BA237)*($AZ237))*$BB237),IF($D237="wagon",1,1.2)))+$AU237</f>
        <v>148</v>
      </c>
      <c r="BF237" s="15">
        <f t="shared" si="91"/>
        <v>142968.75</v>
      </c>
      <c r="BG237" s="15">
        <f t="shared" si="92"/>
        <v>12025</v>
      </c>
      <c r="BJ237">
        <v>1</v>
      </c>
      <c r="BM237" t="s">
        <v>1199</v>
      </c>
      <c r="BN237">
        <v>6</v>
      </c>
      <c r="BO237">
        <v>205</v>
      </c>
      <c r="BQ237" t="s">
        <v>316</v>
      </c>
      <c r="BR237" t="str">
        <f>VLOOKUP(G237,Eras!$A$2:$C$10, 2, TRUE)</f>
        <v>prv</v>
      </c>
      <c r="BS237" t="s">
        <v>367</v>
      </c>
      <c r="BT237" t="str">
        <f t="shared" si="93"/>
        <v>prv_EMU (Express)</v>
      </c>
      <c r="BU237" t="str">
        <f t="shared" si="82"/>
        <v>electric_ELRL</v>
      </c>
      <c r="BV237" t="str">
        <f>VLOOKUP($BU237, Constants!$M:$N, 2, FALSE)</f>
        <v>{BLACK}Powered by: {GOLD}25kV AC</v>
      </c>
      <c r="BW237" t="str">
        <f t="shared" ref="BW237:BW268" si="106">IF(J237&gt;1,_xlfn.CONCAT("{BLACK}Cars: {GOLD}", J237),"")</f>
        <v>{BLACK}Cars: {GOLD}8</v>
      </c>
      <c r="BX237" t="s">
        <v>697</v>
      </c>
      <c r="BY237" t="str">
        <f t="shared" ref="BY237:BY268" si="107">IF(BQ237="BRAKE","{YELLOW}Speed bonus for slow wagons{}",IF(BO237&gt;190,CONCATENATE("{YELLOW}",INT((BO237-185)/1.85),"% Bonus for long distance travel{}"),IF(AND(BO237&lt;180,BO237&lt;&gt;0),CONCATENATE("{YELLOW}",INT((185-BO237)/1.85),"% Penalty for long distance travel{}"),"")))</f>
        <v>{YELLOW}10% Bonus for long distance travel{}</v>
      </c>
      <c r="BZ237" t="str">
        <f t="shared" si="84"/>
        <v>{BLACK}Powered by: {GOLD}25kV AC {BLACK}Cars: {GOLD}8{}{YELLOW}10% Bonus for long distance travel{}{SILVER}The Pendolino is a tilting multiple unit with a design speed of 140mph.  The tilt system is supplied by Fiat Ferroviaria.</v>
      </c>
    </row>
    <row r="238" spans="1:78" x14ac:dyDescent="0.25">
      <c r="A238" t="s">
        <v>615</v>
      </c>
      <c r="B238" t="s">
        <v>1177</v>
      </c>
      <c r="C238">
        <v>489</v>
      </c>
      <c r="D238" t="s">
        <v>437</v>
      </c>
      <c r="E238" t="s">
        <v>329</v>
      </c>
      <c r="F238" t="s">
        <v>330</v>
      </c>
      <c r="G238">
        <v>2002</v>
      </c>
      <c r="J238">
        <v>6</v>
      </c>
      <c r="K238">
        <v>6840</v>
      </c>
      <c r="T238">
        <f>(466/8)*6</f>
        <v>349.5</v>
      </c>
      <c r="V238">
        <f t="shared" ref="V238:V247" si="108">8*J238</f>
        <v>48</v>
      </c>
      <c r="W238">
        <v>325</v>
      </c>
      <c r="X238" s="4">
        <f t="shared" si="80"/>
        <v>9.2989985693848351E-2</v>
      </c>
      <c r="Y238">
        <v>140</v>
      </c>
      <c r="AA238">
        <v>23.9</v>
      </c>
      <c r="AB238">
        <v>23.9</v>
      </c>
      <c r="AC238">
        <v>2.73</v>
      </c>
      <c r="AD238">
        <v>3.56</v>
      </c>
      <c r="AE238" s="11">
        <v>60</v>
      </c>
      <c r="AF238" t="str">
        <f>CONCATENATE(VLOOKUP(AG238, 'Voxel Sizes'!$A$2:$B$18,2,FALSE),"x",INT(AC238*15), "x", INT(AD238*15))</f>
        <v>238x40x53</v>
      </c>
      <c r="AG238">
        <f t="shared" si="85"/>
        <v>14</v>
      </c>
      <c r="AI238" t="str">
        <f>CONCATENATE(VLOOKUP(AG238,Constants!$A$2:$C$16,IF(AH238&lt;&gt;"", 3, 2), FALSE),IF(AH238&lt;&gt;"",CONCATENATE(",",VLOOKUP(AH238,$B:$AI,34,FALSE)),""))</f>
        <v>4,6,4</v>
      </c>
      <c r="AM238" t="s">
        <v>1178</v>
      </c>
      <c r="AO238" t="s">
        <v>1179</v>
      </c>
      <c r="AP238" t="s">
        <v>696</v>
      </c>
      <c r="AS238">
        <v>29</v>
      </c>
      <c r="AT238" t="str">
        <f t="shared" si="86"/>
        <v/>
      </c>
      <c r="AU238">
        <v>-15</v>
      </c>
      <c r="AV238">
        <v>-35</v>
      </c>
      <c r="AW238">
        <f t="shared" si="87"/>
        <v>28</v>
      </c>
      <c r="AX238">
        <f t="shared" si="88"/>
        <v>20</v>
      </c>
      <c r="AY238">
        <f t="shared" si="89"/>
        <v>16.25</v>
      </c>
      <c r="AZ238" s="4">
        <f t="shared" si="94"/>
        <v>0.86399999999999999</v>
      </c>
      <c r="BA238">
        <f t="shared" si="90"/>
        <v>12.000000000000002</v>
      </c>
      <c r="BB238">
        <f>VLOOKUP($E238,Constants!$I:$K, 2, FALSE)</f>
        <v>0.85</v>
      </c>
      <c r="BC238">
        <f>VLOOKUP($E238,Constants!$I:$K, 3, FALSE)*IF(AND(D238="multiple_unit",Y238&lt;110),0.75,1)</f>
        <v>2.2999999999999998</v>
      </c>
      <c r="BD238">
        <f>INT(POWER(((Constants!$G$2+$AW238+$AX238+$AY238+$BA238)*$AZ238)*$BC238, 1.05))+$AV238</f>
        <v>173</v>
      </c>
      <c r="BE238">
        <f>INT(POWER((((Constants!$G$1+$AW238+$AX238+$AY238+$BA238)*($AZ238))*$BB238),IF($D238="wagon",1,1.2)))+$AU238</f>
        <v>140</v>
      </c>
      <c r="BF238" s="15">
        <f t="shared" si="91"/>
        <v>135156.25</v>
      </c>
      <c r="BG238" s="15">
        <f t="shared" si="92"/>
        <v>11375</v>
      </c>
      <c r="BJ238">
        <v>1</v>
      </c>
      <c r="BM238" t="s">
        <v>1198</v>
      </c>
      <c r="BN238">
        <v>6</v>
      </c>
      <c r="BO238">
        <v>205</v>
      </c>
      <c r="BQ238" t="s">
        <v>316</v>
      </c>
      <c r="BR238" t="str">
        <f>VLOOKUP(G238,Eras!$A$2:$C$10, 2, TRUE)</f>
        <v>prv</v>
      </c>
      <c r="BS238" t="s">
        <v>367</v>
      </c>
      <c r="BT238" t="str">
        <f t="shared" si="93"/>
        <v>prv_EMU (Express)</v>
      </c>
      <c r="BU238" t="str">
        <f t="shared" si="82"/>
        <v>electric_ELRL</v>
      </c>
      <c r="BV238" t="str">
        <f>VLOOKUP($BU238, Constants!$M:$N, 2, FALSE)</f>
        <v>{BLACK}Powered by: {GOLD}25kV AC</v>
      </c>
      <c r="BW238" t="str">
        <f t="shared" si="106"/>
        <v>{BLACK}Cars: {GOLD}6</v>
      </c>
      <c r="BX238" t="s">
        <v>697</v>
      </c>
      <c r="BY238" t="str">
        <f t="shared" si="107"/>
        <v>{YELLOW}10% Bonus for long distance travel{}</v>
      </c>
      <c r="BZ238" t="str">
        <f t="shared" si="84"/>
        <v>{BLACK}Powered by: {GOLD}25kV AC {BLACK}Cars: {GOLD}6{}{YELLOW}10% Bonus for long distance travel{}{SILVER}The Pendolino is a tilting multiple unit with a design speed of 140mph.  The tilt system is supplied by Fiat Ferroviaria.</v>
      </c>
    </row>
    <row r="239" spans="1:78" x14ac:dyDescent="0.25">
      <c r="A239" t="s">
        <v>615</v>
      </c>
      <c r="B239" t="s">
        <v>1192</v>
      </c>
      <c r="C239">
        <v>490</v>
      </c>
      <c r="D239" t="s">
        <v>437</v>
      </c>
      <c r="E239" t="s">
        <v>329</v>
      </c>
      <c r="F239" t="s">
        <v>330</v>
      </c>
      <c r="G239">
        <v>2002</v>
      </c>
      <c r="J239">
        <v>4</v>
      </c>
      <c r="K239">
        <v>6840</v>
      </c>
      <c r="T239">
        <f>(466/8)*4</f>
        <v>233</v>
      </c>
      <c r="V239">
        <f t="shared" si="108"/>
        <v>32</v>
      </c>
      <c r="W239">
        <v>325</v>
      </c>
      <c r="X239" s="4">
        <f t="shared" si="80"/>
        <v>0.13948497854077252</v>
      </c>
      <c r="Y239">
        <v>140</v>
      </c>
      <c r="AA239">
        <v>23.9</v>
      </c>
      <c r="AB239">
        <v>23.9</v>
      </c>
      <c r="AC239">
        <v>2.73</v>
      </c>
      <c r="AD239">
        <v>3.56</v>
      </c>
      <c r="AE239" s="11">
        <v>60</v>
      </c>
      <c r="AF239" t="str">
        <f>CONCATENATE(VLOOKUP(AG239, 'Voxel Sizes'!$A$2:$B$18,2,FALSE),"x",INT(AC239*15), "x", INT(AD239*15))</f>
        <v>238x40x53</v>
      </c>
      <c r="AG239">
        <f t="shared" si="85"/>
        <v>14</v>
      </c>
      <c r="AI239" t="str">
        <f>CONCATENATE(VLOOKUP(AG239,Constants!$A$2:$C$16,IF(AH239&lt;&gt;"", 3, 2), FALSE),IF(AH239&lt;&gt;"",CONCATENATE(",",VLOOKUP(AH239,$B:$AI,34,FALSE)),""))</f>
        <v>4,6,4</v>
      </c>
      <c r="AM239" t="s">
        <v>1193</v>
      </c>
      <c r="AO239" t="s">
        <v>1175</v>
      </c>
      <c r="AP239" t="s">
        <v>696</v>
      </c>
      <c r="AS239">
        <v>29</v>
      </c>
      <c r="AT239" t="str">
        <f t="shared" si="86"/>
        <v/>
      </c>
      <c r="AU239">
        <v>-15</v>
      </c>
      <c r="AV239">
        <v>-35</v>
      </c>
      <c r="AW239">
        <f t="shared" si="87"/>
        <v>28</v>
      </c>
      <c r="AX239">
        <f t="shared" si="88"/>
        <v>20</v>
      </c>
      <c r="AY239">
        <f t="shared" si="89"/>
        <v>16.25</v>
      </c>
      <c r="AZ239" s="4">
        <f t="shared" si="94"/>
        <v>0.86399999999999999</v>
      </c>
      <c r="BA239">
        <f t="shared" si="90"/>
        <v>8</v>
      </c>
      <c r="BB239">
        <f>VLOOKUP($E239,Constants!$I:$K, 2, FALSE)</f>
        <v>0.85</v>
      </c>
      <c r="BC239">
        <f>VLOOKUP($E239,Constants!$I:$K, 3, FALSE)*IF(AND(D239="multiple_unit",Y239&lt;110),0.75,1)</f>
        <v>2.2999999999999998</v>
      </c>
      <c r="BD239">
        <f>INT(POWER(((Constants!$G$2+$AW239+$AX239+$AY239+$BA239)*$AZ239)*$BC239, 1.05))+$AV239</f>
        <v>162</v>
      </c>
      <c r="BE239">
        <f>INT(POWER((((Constants!$G$1+$AW239+$AX239+$AY239+$BA239)*($AZ239))*$BB239),IF($D239="wagon",1,1.2)))+$AU239</f>
        <v>132</v>
      </c>
      <c r="BF239" s="15">
        <f t="shared" si="91"/>
        <v>126562.5</v>
      </c>
      <c r="BG239" s="15">
        <f t="shared" si="92"/>
        <v>10725</v>
      </c>
      <c r="BJ239">
        <v>1</v>
      </c>
      <c r="BM239" t="s">
        <v>1197</v>
      </c>
      <c r="BN239">
        <v>6</v>
      </c>
      <c r="BO239">
        <v>205</v>
      </c>
      <c r="BQ239" t="s">
        <v>316</v>
      </c>
      <c r="BR239" t="str">
        <f>VLOOKUP(G239,Eras!$A$2:$C$10, 2, TRUE)</f>
        <v>prv</v>
      </c>
      <c r="BS239" t="s">
        <v>367</v>
      </c>
      <c r="BT239" t="str">
        <f t="shared" si="93"/>
        <v>prv_EMU (Express)</v>
      </c>
      <c r="BU239" t="str">
        <f t="shared" si="82"/>
        <v>electric_ELRL</v>
      </c>
      <c r="BV239" t="str">
        <f>VLOOKUP($BU239, Constants!$M:$N, 2, FALSE)</f>
        <v>{BLACK}Powered by: {GOLD}25kV AC</v>
      </c>
      <c r="BW239" t="str">
        <f t="shared" si="106"/>
        <v>{BLACK}Cars: {GOLD}4</v>
      </c>
      <c r="BX239" t="s">
        <v>697</v>
      </c>
      <c r="BY239" t="str">
        <f t="shared" si="107"/>
        <v>{YELLOW}10% Bonus for long distance travel{}</v>
      </c>
      <c r="BZ239" t="str">
        <f t="shared" si="84"/>
        <v>{BLACK}Powered by: {GOLD}25kV AC {BLACK}Cars: {GOLD}4{}{YELLOW}10% Bonus for long distance travel{}{SILVER}The Pendolino is a tilting multiple unit with a design speed of 140mph.  The tilt system is supplied by Fiat Ferroviaria.</v>
      </c>
    </row>
    <row r="240" spans="1:78" x14ac:dyDescent="0.25">
      <c r="A240" t="s">
        <v>100</v>
      </c>
      <c r="B240" t="s">
        <v>253</v>
      </c>
      <c r="C240">
        <v>492</v>
      </c>
      <c r="D240" t="s">
        <v>437</v>
      </c>
      <c r="E240" t="s">
        <v>305</v>
      </c>
      <c r="F240" t="s">
        <v>307</v>
      </c>
      <c r="G240">
        <v>2002</v>
      </c>
      <c r="J240">
        <v>4</v>
      </c>
      <c r="K240">
        <v>3000</v>
      </c>
      <c r="T240">
        <v>185.6</v>
      </c>
      <c r="V240">
        <f t="shared" si="108"/>
        <v>32</v>
      </c>
      <c r="W240">
        <v>185</v>
      </c>
      <c r="X240" s="4">
        <f t="shared" si="80"/>
        <v>9.9676724137931036E-2</v>
      </c>
      <c r="Y240">
        <v>125</v>
      </c>
      <c r="AA240">
        <v>23.8</v>
      </c>
      <c r="AB240">
        <v>23.8</v>
      </c>
      <c r="AC240">
        <v>2.73</v>
      </c>
      <c r="AE240" s="11">
        <v>51</v>
      </c>
      <c r="AF240" t="str">
        <f>CONCATENATE(VLOOKUP(AG240, 'Voxel Sizes'!$A$2:$B$18,2,FALSE),"x",INT(AC240*15), "x", INT(AD240*15))</f>
        <v>238x40x0</v>
      </c>
      <c r="AG240">
        <f t="shared" si="85"/>
        <v>14</v>
      </c>
      <c r="AI240" t="str">
        <f>CONCATENATE(VLOOKUP(AG240,Constants!$A$2:$C$16,IF(AH240&lt;&gt;"", 3, 2), FALSE),IF(AH240&lt;&gt;"",CONCATENATE(",",VLOOKUP(AH240,$B:$AI,34,FALSE)),""))</f>
        <v>4,6,4</v>
      </c>
      <c r="AM240" t="s">
        <v>702</v>
      </c>
      <c r="AO240" t="s">
        <v>499</v>
      </c>
      <c r="AS240">
        <v>29</v>
      </c>
      <c r="AT240" t="str">
        <f t="shared" si="86"/>
        <v/>
      </c>
      <c r="AU240">
        <v>-15</v>
      </c>
      <c r="AV240">
        <v>-35</v>
      </c>
      <c r="AW240">
        <f t="shared" si="87"/>
        <v>25</v>
      </c>
      <c r="AX240">
        <f t="shared" si="88"/>
        <v>15</v>
      </c>
      <c r="AY240">
        <f t="shared" si="89"/>
        <v>9.25</v>
      </c>
      <c r="AZ240" s="4">
        <f t="shared" si="94"/>
        <v>0.86399999999999999</v>
      </c>
      <c r="BA240">
        <f t="shared" si="90"/>
        <v>6.8000000000000007</v>
      </c>
      <c r="BB240">
        <f>VLOOKUP($E240,Constants!$I:$K, 2, FALSE)</f>
        <v>1</v>
      </c>
      <c r="BC240">
        <f>VLOOKUP($E240,Constants!$I:$K, 3, FALSE)*IF(AND(D240="multiple_unit",Y240&lt;110),0.75,1)</f>
        <v>2</v>
      </c>
      <c r="BD240">
        <f>INT(POWER(((Constants!$G$2+$AW240+$AX240+$AY240+$BA240)*$AZ240)*$BC240, 1.05))+$AV240</f>
        <v>98</v>
      </c>
      <c r="BE240">
        <f>INT(POWER((((Constants!$G$1+$AW240+$AX240+$AY240+$BA240)*($AZ240))*$BB240),IF($D240="wagon",1,1.2)))+$AU240</f>
        <v>124</v>
      </c>
      <c r="BF240" s="15">
        <f t="shared" si="91"/>
        <v>76562.5</v>
      </c>
      <c r="BG240" s="15">
        <f t="shared" si="92"/>
        <v>10075</v>
      </c>
      <c r="BN240">
        <v>9</v>
      </c>
      <c r="BO240">
        <v>205</v>
      </c>
      <c r="BQ240" t="s">
        <v>316</v>
      </c>
      <c r="BR240" t="str">
        <f>VLOOKUP(G240,Eras!$A$2:$C$10, 2, TRUE)</f>
        <v>prv</v>
      </c>
      <c r="BS240" t="s">
        <v>365</v>
      </c>
      <c r="BT240" t="str">
        <f t="shared" si="93"/>
        <v>prv_DMU (Express)</v>
      </c>
      <c r="BU240" t="str">
        <f t="shared" si="82"/>
        <v>diesel_RAIL</v>
      </c>
      <c r="BV240" t="str">
        <f>VLOOKUP($BU240, Constants!$M:$N, 2, FALSE)</f>
        <v>{BLACK}Powered by: {GOLD}Diesel</v>
      </c>
      <c r="BW240" t="str">
        <f t="shared" si="106"/>
        <v>{BLACK}Cars: {GOLD}4</v>
      </c>
      <c r="BX240" t="s">
        <v>700</v>
      </c>
      <c r="BY240" t="str">
        <f t="shared" si="107"/>
        <v>{YELLOW}10% Bonus for long distance travel{}</v>
      </c>
      <c r="BZ240" t="str">
        <f t="shared" si="84"/>
        <v>{BLACK}Powered by: {GOLD}Diesel {BLACK}Cars: {GOLD}4{}{YELLOW}10% Bonus for long distance travel{}{SILVER}The Voyager is a high speed diesel multiple unit, built to replace both the HST and locomotive-hauled passenger services on the Cross Country route.</v>
      </c>
    </row>
    <row r="241" spans="1:78" x14ac:dyDescent="0.25">
      <c r="A241" t="s">
        <v>101</v>
      </c>
      <c r="B241" t="s">
        <v>252</v>
      </c>
      <c r="C241">
        <v>494</v>
      </c>
      <c r="D241" t="s">
        <v>437</v>
      </c>
      <c r="E241" t="s">
        <v>305</v>
      </c>
      <c r="F241" t="s">
        <v>307</v>
      </c>
      <c r="G241">
        <v>2002</v>
      </c>
      <c r="J241">
        <v>5</v>
      </c>
      <c r="K241">
        <f>750*5</f>
        <v>3750</v>
      </c>
      <c r="T241">
        <v>282</v>
      </c>
      <c r="V241">
        <f t="shared" si="108"/>
        <v>40</v>
      </c>
      <c r="W241">
        <v>270</v>
      </c>
      <c r="X241" s="4">
        <f t="shared" si="80"/>
        <v>9.5744680851063829E-2</v>
      </c>
      <c r="Y241">
        <v>125</v>
      </c>
      <c r="AA241">
        <v>23.8</v>
      </c>
      <c r="AB241">
        <v>23.8</v>
      </c>
      <c r="AC241">
        <v>2.73</v>
      </c>
      <c r="AE241" s="11">
        <v>51</v>
      </c>
      <c r="AF241" t="str">
        <f>CONCATENATE(VLOOKUP(AG241, 'Voxel Sizes'!$A$2:$B$18,2,FALSE),"x",INT(AC241*15), "x", INT(AD241*15))</f>
        <v>238x40x0</v>
      </c>
      <c r="AG241">
        <f t="shared" si="85"/>
        <v>14</v>
      </c>
      <c r="AI241" t="str">
        <f>CONCATENATE(VLOOKUP(AG241,Constants!$A$2:$C$16,IF(AH241&lt;&gt;"", 3, 2), FALSE),IF(AH241&lt;&gt;"",CONCATENATE(",",VLOOKUP(AH241,$B:$AI,34,FALSE)),""))</f>
        <v>4,6,4</v>
      </c>
      <c r="AM241" t="s">
        <v>703</v>
      </c>
      <c r="AO241" t="s">
        <v>704</v>
      </c>
      <c r="AP241" t="s">
        <v>253</v>
      </c>
      <c r="AS241">
        <v>29</v>
      </c>
      <c r="AT241" t="str">
        <f t="shared" si="86"/>
        <v/>
      </c>
      <c r="AU241">
        <v>-15</v>
      </c>
      <c r="AV241">
        <v>-35</v>
      </c>
      <c r="AW241">
        <f t="shared" si="87"/>
        <v>25</v>
      </c>
      <c r="AX241">
        <f t="shared" si="88"/>
        <v>18.75</v>
      </c>
      <c r="AY241">
        <f t="shared" si="89"/>
        <v>13.5</v>
      </c>
      <c r="AZ241" s="4">
        <f t="shared" si="94"/>
        <v>0.86399999999999999</v>
      </c>
      <c r="BA241">
        <f t="shared" si="90"/>
        <v>8.5</v>
      </c>
      <c r="BB241">
        <f>VLOOKUP($E241,Constants!$I:$K, 2, FALSE)</f>
        <v>1</v>
      </c>
      <c r="BC241">
        <f>VLOOKUP($E241,Constants!$I:$K, 3, FALSE)*IF(AND(D241="multiple_unit",Y241&lt;110),0.75,1)</f>
        <v>2</v>
      </c>
      <c r="BD241">
        <f>INT(POWER(((Constants!$G$2+$AW241+$AX241+$AY241+$BA241)*$AZ241)*$BC241, 1.05))+$AV241</f>
        <v>120</v>
      </c>
      <c r="BE241">
        <f>INT(POWER((((Constants!$G$1+$AW241+$AX241+$AY241+$BA241)*($AZ241))*$BB241),IF($D241="wagon",1,1.2)))+$AU241</f>
        <v>148</v>
      </c>
      <c r="BF241" s="15">
        <f t="shared" si="91"/>
        <v>93750</v>
      </c>
      <c r="BG241" s="15">
        <f t="shared" si="92"/>
        <v>12025</v>
      </c>
      <c r="BJ241">
        <v>1</v>
      </c>
      <c r="BM241" t="s">
        <v>1195</v>
      </c>
      <c r="BN241">
        <v>10</v>
      </c>
      <c r="BO241">
        <v>205</v>
      </c>
      <c r="BQ241" t="s">
        <v>316</v>
      </c>
      <c r="BR241" t="str">
        <f>VLOOKUP(G241,Eras!$A$2:$C$10, 2, TRUE)</f>
        <v>prv</v>
      </c>
      <c r="BS241" t="s">
        <v>365</v>
      </c>
      <c r="BT241" t="str">
        <f t="shared" si="93"/>
        <v>prv_DMU (Express)</v>
      </c>
      <c r="BU241" t="str">
        <f t="shared" si="82"/>
        <v>diesel_RAIL</v>
      </c>
      <c r="BV241" t="str">
        <f>VLOOKUP($BU241, Constants!$M:$N, 2, FALSE)</f>
        <v>{BLACK}Powered by: {GOLD}Diesel</v>
      </c>
      <c r="BW241" t="str">
        <f t="shared" si="106"/>
        <v>{BLACK}Cars: {GOLD}5</v>
      </c>
      <c r="BX241" t="s">
        <v>701</v>
      </c>
      <c r="BY241" t="str">
        <f t="shared" si="107"/>
        <v>{YELLOW}10% Bonus for long distance travel{}</v>
      </c>
      <c r="BZ241" t="str">
        <f t="shared" si="84"/>
        <v>{BLACK}Powered by: {GOLD}Diesel {BLACK}Cars: {GOLD}5{}{YELLOW}10% Bonus for long distance travel{}{SILVER}The Class 221 is outwardly very similar to the Class 220, but internally it has different bogies and features a tilt mechanism for faster cornering.</v>
      </c>
    </row>
    <row r="242" spans="1:78" x14ac:dyDescent="0.25">
      <c r="A242" t="s">
        <v>101</v>
      </c>
      <c r="B242" t="s">
        <v>1185</v>
      </c>
      <c r="C242">
        <v>495</v>
      </c>
      <c r="D242" t="s">
        <v>437</v>
      </c>
      <c r="E242" t="s">
        <v>305</v>
      </c>
      <c r="F242" t="s">
        <v>307</v>
      </c>
      <c r="G242">
        <v>2002</v>
      </c>
      <c r="J242">
        <v>4</v>
      </c>
      <c r="K242">
        <f>750*5</f>
        <v>3750</v>
      </c>
      <c r="T242">
        <f>282/5*4</f>
        <v>225.6</v>
      </c>
      <c r="V242">
        <f t="shared" si="108"/>
        <v>32</v>
      </c>
      <c r="W242">
        <v>270</v>
      </c>
      <c r="X242" s="4">
        <f t="shared" si="80"/>
        <v>0.11968085106382979</v>
      </c>
      <c r="Y242">
        <v>125</v>
      </c>
      <c r="AA242">
        <v>23.8</v>
      </c>
      <c r="AB242">
        <v>23.8</v>
      </c>
      <c r="AC242">
        <v>2.73</v>
      </c>
      <c r="AE242" s="11">
        <v>51</v>
      </c>
      <c r="AF242" t="str">
        <f>CONCATENATE(VLOOKUP(AG242, 'Voxel Sizes'!$A$2:$B$18,2,FALSE),"x",INT(AC242*15), "x", INT(AD242*15))</f>
        <v>238x40x0</v>
      </c>
      <c r="AG242">
        <f t="shared" si="85"/>
        <v>14</v>
      </c>
      <c r="AI242" t="str">
        <f>CONCATENATE(VLOOKUP(AG242,Constants!$A$2:$C$16,IF(AH242&lt;&gt;"", 3, 2), FALSE),IF(AH242&lt;&gt;"",CONCATENATE(",",VLOOKUP(AH242,$B:$AI,34,FALSE)),""))</f>
        <v>4,6,4</v>
      </c>
      <c r="AM242" t="s">
        <v>702</v>
      </c>
      <c r="AO242" t="s">
        <v>1175</v>
      </c>
      <c r="AP242" t="s">
        <v>253</v>
      </c>
      <c r="AS242">
        <v>29</v>
      </c>
      <c r="AT242" t="str">
        <f t="shared" si="86"/>
        <v/>
      </c>
      <c r="AU242">
        <v>-15</v>
      </c>
      <c r="AV242">
        <v>-35</v>
      </c>
      <c r="AW242">
        <f t="shared" si="87"/>
        <v>25</v>
      </c>
      <c r="AX242">
        <f t="shared" si="88"/>
        <v>18.75</v>
      </c>
      <c r="AY242">
        <f t="shared" si="89"/>
        <v>13.5</v>
      </c>
      <c r="AZ242" s="4">
        <f t="shared" si="94"/>
        <v>0.86399999999999999</v>
      </c>
      <c r="BA242">
        <f t="shared" si="90"/>
        <v>6.8000000000000007</v>
      </c>
      <c r="BB242">
        <f>VLOOKUP($E242,Constants!$I:$K, 2, FALSE)</f>
        <v>1</v>
      </c>
      <c r="BC242">
        <f>VLOOKUP($E242,Constants!$I:$K, 3, FALSE)*IF(AND(D242="multiple_unit",Y242&lt;110),0.75,1)</f>
        <v>2</v>
      </c>
      <c r="BD242">
        <f>INT(POWER(((Constants!$G$2+$AW242+$AX242+$AY242+$BA242)*$AZ242)*$BC242, 1.05))+$AV242</f>
        <v>116</v>
      </c>
      <c r="BE242">
        <f>INT(POWER((((Constants!$G$1+$AW242+$AX242+$AY242+$BA242)*($AZ242))*$BB242),IF($D242="wagon",1,1.2)))+$AU242</f>
        <v>143</v>
      </c>
      <c r="BF242" s="15">
        <f t="shared" si="91"/>
        <v>90625</v>
      </c>
      <c r="BG242" s="15">
        <f t="shared" si="92"/>
        <v>11618.75</v>
      </c>
      <c r="BJ242">
        <v>1</v>
      </c>
      <c r="BM242" t="s">
        <v>1197</v>
      </c>
      <c r="BN242">
        <v>10</v>
      </c>
      <c r="BO242">
        <v>205</v>
      </c>
      <c r="BQ242" t="s">
        <v>316</v>
      </c>
      <c r="BR242" t="str">
        <f>VLOOKUP(G242,Eras!$A$2:$C$10, 2, TRUE)</f>
        <v>prv</v>
      </c>
      <c r="BS242" t="s">
        <v>365</v>
      </c>
      <c r="BT242" t="str">
        <f t="shared" si="93"/>
        <v>prv_DMU (Express)</v>
      </c>
      <c r="BU242" t="str">
        <f t="shared" si="82"/>
        <v>diesel_RAIL</v>
      </c>
      <c r="BV242" t="str">
        <f>VLOOKUP($BU242, Constants!$M:$N, 2, FALSE)</f>
        <v>{BLACK}Powered by: {GOLD}Diesel</v>
      </c>
      <c r="BW242" t="str">
        <f t="shared" si="106"/>
        <v>{BLACK}Cars: {GOLD}4</v>
      </c>
      <c r="BX242" t="s">
        <v>701</v>
      </c>
      <c r="BY242" t="str">
        <f t="shared" si="107"/>
        <v>{YELLOW}10% Bonus for long distance travel{}</v>
      </c>
      <c r="BZ242" t="str">
        <f t="shared" si="84"/>
        <v>{BLACK}Powered by: {GOLD}Diesel {BLACK}Cars: {GOLD}4{}{YELLOW}10% Bonus for long distance travel{}{SILVER}The Class 221 is outwardly very similar to the Class 220, but internally it has different bogies and features a tilt mechanism for faster cornering.</v>
      </c>
    </row>
    <row r="243" spans="1:78" x14ac:dyDescent="0.25">
      <c r="A243" t="s">
        <v>1283</v>
      </c>
      <c r="B243" t="s">
        <v>1281</v>
      </c>
      <c r="C243">
        <v>496</v>
      </c>
      <c r="D243" t="s">
        <v>437</v>
      </c>
      <c r="E243" t="s">
        <v>329</v>
      </c>
      <c r="F243" t="s">
        <v>330</v>
      </c>
      <c r="G243">
        <v>2002</v>
      </c>
      <c r="H243">
        <v>2006</v>
      </c>
      <c r="J243">
        <v>4</v>
      </c>
      <c r="K243">
        <v>2080</v>
      </c>
      <c r="T243">
        <v>170</v>
      </c>
      <c r="V243">
        <f t="shared" si="108"/>
        <v>32</v>
      </c>
      <c r="W243">
        <v>180</v>
      </c>
      <c r="X243" s="4">
        <f t="shared" si="80"/>
        <v>0.10588235294117647</v>
      </c>
      <c r="Y243">
        <v>100</v>
      </c>
      <c r="AA243">
        <v>20.399999999999999</v>
      </c>
      <c r="AB243">
        <v>20.399999999999999</v>
      </c>
      <c r="AC243">
        <v>2.8</v>
      </c>
      <c r="AE243" s="11">
        <v>69</v>
      </c>
      <c r="AF243" t="str">
        <f>CONCATENATE(VLOOKUP(AG243, 'Voxel Sizes'!$A$2:$B$18,2,FALSE),"x",INT(AC243*15), "x", INT(AD243*15))</f>
        <v>198x42x0</v>
      </c>
      <c r="AG243">
        <f t="shared" si="85"/>
        <v>12</v>
      </c>
      <c r="AI243" t="str">
        <f>CONCATENATE(VLOOKUP(AG243,Constants!$A$2:$C$16,IF(AH243&lt;&gt;"", 3, 2), FALSE),IF(AH243&lt;&gt;"",CONCATENATE(",",VLOOKUP(AH243,$B:$AI,34,FALSE)),""))</f>
        <v>4,4,4</v>
      </c>
      <c r="AM243" t="s">
        <v>1282</v>
      </c>
      <c r="AO243" t="s">
        <v>592</v>
      </c>
      <c r="AS243">
        <v>28</v>
      </c>
      <c r="AT243" t="str">
        <f t="shared" si="86"/>
        <v/>
      </c>
      <c r="AU243">
        <v>-15</v>
      </c>
      <c r="AV243">
        <v>-30</v>
      </c>
      <c r="AW243">
        <f t="shared" si="87"/>
        <v>20</v>
      </c>
      <c r="AX243">
        <f t="shared" si="88"/>
        <v>10.4</v>
      </c>
      <c r="AY243">
        <f t="shared" si="89"/>
        <v>9</v>
      </c>
      <c r="AZ243" s="4">
        <f t="shared" si="94"/>
        <v>0.86399999999999999</v>
      </c>
      <c r="BA243">
        <f t="shared" si="90"/>
        <v>9.2000000000000011</v>
      </c>
      <c r="BB243">
        <f>VLOOKUP($E243,Constants!$I:$K, 2, FALSE)</f>
        <v>0.85</v>
      </c>
      <c r="BC243">
        <f>VLOOKUP($E243,Constants!$I:$K, 3, FALSE)*IF(AND(D243="multiple_unit",Y243&lt;110),0.75,1)</f>
        <v>1.7249999999999999</v>
      </c>
      <c r="BD243">
        <f>INT(POWER(((Constants!$G$2+$AW243+$AX243+$AY243+$BA243)*$AZ243)*$BC243, 1.05))+$AV243</f>
        <v>69</v>
      </c>
      <c r="BE243">
        <f>INT(POWER((((Constants!$G$1+$AW243+$AX243+$AY243+$BA243)*($AZ243))*$BB243),IF($D243="wagon",1,1.2)))+$AU243</f>
        <v>85</v>
      </c>
      <c r="BF243" s="15">
        <f t="shared" si="91"/>
        <v>53906.25</v>
      </c>
      <c r="BG243" s="15">
        <f t="shared" si="92"/>
        <v>6906.25</v>
      </c>
      <c r="BN243">
        <v>3</v>
      </c>
      <c r="BO243">
        <v>185</v>
      </c>
      <c r="BQ243" t="s">
        <v>316</v>
      </c>
      <c r="BR243" t="str">
        <f>VLOOKUP(G243,Eras!$A$2:$C$10, 2, TRUE)</f>
        <v>prv</v>
      </c>
      <c r="BS243" t="s">
        <v>366</v>
      </c>
      <c r="BT243" t="str">
        <f t="shared" si="93"/>
        <v>prv_EMU</v>
      </c>
      <c r="BU243" t="str">
        <f t="shared" si="82"/>
        <v>electric_ELRL</v>
      </c>
      <c r="BV243" t="str">
        <f>VLOOKUP($BU243, Constants!$M:$N, 2, FALSE)</f>
        <v>{BLACK}Powered by: {GOLD}25kV AC</v>
      </c>
      <c r="BW243" t="str">
        <f t="shared" si="106"/>
        <v>{BLACK}Cars: {GOLD}4</v>
      </c>
      <c r="BX243" t="s">
        <v>1284</v>
      </c>
      <c r="BY243" t="str">
        <f t="shared" si="107"/>
        <v/>
      </c>
      <c r="BZ243" t="str">
        <f t="shared" si="84"/>
        <v>{BLACK}Powered by: {GOLD}25kV AC {BLACK}Cars: {GOLD}4{}{SILVER}The Class 360 is an AC version of the Desiro family of units, ordered to replace slam-door stock on the Great Eastern Main Line.</v>
      </c>
    </row>
    <row r="244" spans="1:78" x14ac:dyDescent="0.25">
      <c r="A244" t="s">
        <v>81</v>
      </c>
      <c r="B244" t="s">
        <v>624</v>
      </c>
      <c r="C244">
        <v>498</v>
      </c>
      <c r="D244" t="s">
        <v>437</v>
      </c>
      <c r="E244" t="s">
        <v>589</v>
      </c>
      <c r="F244" t="s">
        <v>588</v>
      </c>
      <c r="G244">
        <v>2003</v>
      </c>
      <c r="J244">
        <v>4</v>
      </c>
      <c r="K244">
        <v>1600</v>
      </c>
      <c r="T244">
        <v>173.6</v>
      </c>
      <c r="V244">
        <f t="shared" si="108"/>
        <v>32</v>
      </c>
      <c r="W244">
        <v>175</v>
      </c>
      <c r="X244" s="4">
        <f t="shared" si="80"/>
        <v>0.10080645161290322</v>
      </c>
      <c r="Y244">
        <v>100</v>
      </c>
      <c r="AA244">
        <v>20.399999999999999</v>
      </c>
      <c r="AB244">
        <v>20.399999999999999</v>
      </c>
      <c r="AD244">
        <v>3.78</v>
      </c>
      <c r="AE244" s="11">
        <v>60</v>
      </c>
      <c r="AF244" t="str">
        <f>CONCATENATE(VLOOKUP(AG244, 'Voxel Sizes'!$A$2:$B$18,2,FALSE),"x",INT(AC244*15), "x", INT(AD244*15))</f>
        <v>198x0x56</v>
      </c>
      <c r="AG244">
        <f t="shared" si="85"/>
        <v>12</v>
      </c>
      <c r="AI244" t="str">
        <f>CONCATENATE(VLOOKUP(AG244,Constants!$A$2:$C$16,IF(AH244&lt;&gt;"", 3, 2), FALSE),IF(AH244&lt;&gt;"",CONCATENATE(",",VLOOKUP(AH244,$B:$AI,34,FALSE)),""))</f>
        <v>4,4,4</v>
      </c>
      <c r="AM244" t="s">
        <v>625</v>
      </c>
      <c r="AN244" t="s">
        <v>626</v>
      </c>
      <c r="AO244" t="s">
        <v>592</v>
      </c>
      <c r="AS244">
        <v>29</v>
      </c>
      <c r="AT244" t="str">
        <f t="shared" si="86"/>
        <v/>
      </c>
      <c r="AU244">
        <v>-15</v>
      </c>
      <c r="AV244">
        <v>-30</v>
      </c>
      <c r="AW244">
        <f t="shared" si="87"/>
        <v>20</v>
      </c>
      <c r="AX244">
        <f t="shared" si="88"/>
        <v>8</v>
      </c>
      <c r="AY244">
        <f t="shared" si="89"/>
        <v>8.75</v>
      </c>
      <c r="AZ244" s="4">
        <f t="shared" si="94"/>
        <v>0.86266666666666669</v>
      </c>
      <c r="BA244">
        <f t="shared" si="90"/>
        <v>8</v>
      </c>
      <c r="BB244">
        <f>VLOOKUP($E244,Constants!$I:$K, 2, FALSE)</f>
        <v>0.85</v>
      </c>
      <c r="BC244">
        <f>VLOOKUP($E244,Constants!$I:$K, 3, FALSE)*IF(AND(D244="multiple_unit",Y244&lt;110),0.75,1)</f>
        <v>1.7999999999999998</v>
      </c>
      <c r="BD244">
        <f>INT(POWER(((Constants!$G$2+$AW244+$AX244+$AY244+$BA244)*$AZ244)*$BC244, 1.05))+$AV244</f>
        <v>66</v>
      </c>
      <c r="BE244">
        <f>INT(POWER((((Constants!$G$1+$AW244+$AX244+$AY244+$BA244)*($AZ244))*$BB244),IF($D244="wagon",1,1.2)))+$AU244</f>
        <v>78</v>
      </c>
      <c r="BF244" s="15">
        <f t="shared" si="91"/>
        <v>51562.5</v>
      </c>
      <c r="BG244" s="15">
        <f t="shared" si="92"/>
        <v>6337.5</v>
      </c>
      <c r="BN244">
        <v>12</v>
      </c>
      <c r="BO244">
        <v>185</v>
      </c>
      <c r="BQ244" t="s">
        <v>316</v>
      </c>
      <c r="BR244" t="str">
        <f>VLOOKUP(G244,Eras!$A$2:$C$10, 2, TRUE)</f>
        <v>prv</v>
      </c>
      <c r="BS244" t="s">
        <v>366</v>
      </c>
      <c r="BT244" t="str">
        <f t="shared" si="93"/>
        <v>prv_EMU</v>
      </c>
      <c r="BU244" t="str">
        <f t="shared" si="82"/>
        <v>dual_electric_DUAL_POWER</v>
      </c>
      <c r="BV244" t="str">
        <f>VLOOKUP($BU244, Constants!$M:$N, 2, FALSE)</f>
        <v>{BLACK}Powered by: {GOLD}25kV AC / 750V DC</v>
      </c>
      <c r="BW244" t="str">
        <f t="shared" si="106"/>
        <v>{BLACK}Cars: {GOLD}4</v>
      </c>
      <c r="BX244" t="s">
        <v>623</v>
      </c>
      <c r="BY244" t="str">
        <f t="shared" si="107"/>
        <v/>
      </c>
      <c r="BZ244" t="str">
        <f t="shared" si="84"/>
        <v>{BLACK}Powered by: {GOLD}25kV AC / 750V DC {BLACK}Cars: {GOLD}4{}{SILVER}The Class 377 is a dual-voltage EMU, and is a common sight around London and South East England.</v>
      </c>
    </row>
    <row r="245" spans="1:78" x14ac:dyDescent="0.25">
      <c r="A245" t="s">
        <v>89</v>
      </c>
      <c r="B245" t="s">
        <v>250</v>
      </c>
      <c r="C245">
        <v>500</v>
      </c>
      <c r="D245" t="s">
        <v>437</v>
      </c>
      <c r="E245" t="s">
        <v>329</v>
      </c>
      <c r="F245" t="s">
        <v>336</v>
      </c>
      <c r="G245">
        <v>2003</v>
      </c>
      <c r="H245">
        <v>2006</v>
      </c>
      <c r="J245">
        <v>4</v>
      </c>
      <c r="K245">
        <v>2010</v>
      </c>
      <c r="T245">
        <v>170</v>
      </c>
      <c r="V245">
        <f t="shared" si="108"/>
        <v>32</v>
      </c>
      <c r="W245">
        <v>180</v>
      </c>
      <c r="X245" s="4">
        <f t="shared" si="80"/>
        <v>0.10588235294117647</v>
      </c>
      <c r="Y245">
        <v>100</v>
      </c>
      <c r="AA245">
        <v>20.399999999999999</v>
      </c>
      <c r="AB245">
        <v>20.399999999999999</v>
      </c>
      <c r="AC245">
        <v>2.8</v>
      </c>
      <c r="AE245" s="11">
        <v>66</v>
      </c>
      <c r="AF245" t="str">
        <f>CONCATENATE(VLOOKUP(AG245, 'Voxel Sizes'!$A$2:$B$18,2,FALSE),"x",INT(AC245*15), "x", INT(AD245*15))</f>
        <v>198x42x0</v>
      </c>
      <c r="AG245">
        <f t="shared" si="85"/>
        <v>12</v>
      </c>
      <c r="AI245" t="str">
        <f>CONCATENATE(VLOOKUP(AG245,Constants!$A$2:$C$16,IF(AH245&lt;&gt;"", 3, 2), FALSE),IF(AH245&lt;&gt;"",CONCATENATE(",",VLOOKUP(AH245,$B:$AI,34,FALSE)),""))</f>
        <v>4,4,4</v>
      </c>
      <c r="AM245" t="s">
        <v>642</v>
      </c>
      <c r="AO245" t="s">
        <v>592</v>
      </c>
      <c r="AS245">
        <v>28</v>
      </c>
      <c r="AT245" t="str">
        <f t="shared" si="86"/>
        <v/>
      </c>
      <c r="AU245">
        <v>-16</v>
      </c>
      <c r="AV245">
        <v>-28</v>
      </c>
      <c r="AW245">
        <f t="shared" si="87"/>
        <v>20</v>
      </c>
      <c r="AX245">
        <f t="shared" si="88"/>
        <v>10.049999999999999</v>
      </c>
      <c r="AY245">
        <f t="shared" si="89"/>
        <v>9</v>
      </c>
      <c r="AZ245" s="4">
        <f t="shared" si="94"/>
        <v>0.86266666666666669</v>
      </c>
      <c r="BA245">
        <f t="shared" si="90"/>
        <v>8.8000000000000007</v>
      </c>
      <c r="BB245">
        <f>VLOOKUP($E245,Constants!$I:$K, 2, FALSE)</f>
        <v>0.85</v>
      </c>
      <c r="BC245">
        <f>VLOOKUP($E245,Constants!$I:$K, 3, FALSE)*IF(AND(D245="multiple_unit",Y245&lt;110),0.75,1)</f>
        <v>1.7249999999999999</v>
      </c>
      <c r="BD245">
        <f>INT(POWER(((Constants!$G$2+$AW245+$AX245+$AY245+$BA245)*$AZ245)*$BC245, 1.05))+$AV245</f>
        <v>69</v>
      </c>
      <c r="BE245">
        <f>INT(POWER((((Constants!$G$1+$AW245+$AX245+$AY245+$BA245)*($AZ245))*$BB245),IF($D245="wagon",1,1.2)))+$AU245</f>
        <v>83</v>
      </c>
      <c r="BF245" s="15">
        <f t="shared" si="91"/>
        <v>53906.25</v>
      </c>
      <c r="BG245" s="15">
        <f t="shared" si="92"/>
        <v>6743.75</v>
      </c>
      <c r="BK245" t="s">
        <v>251</v>
      </c>
      <c r="BN245">
        <v>1</v>
      </c>
      <c r="BO245">
        <v>185</v>
      </c>
      <c r="BQ245" t="s">
        <v>316</v>
      </c>
      <c r="BR245" t="str">
        <f>VLOOKUP(G245,Eras!$A$2:$C$10, 2, TRUE)</f>
        <v>prv</v>
      </c>
      <c r="BS245" t="s">
        <v>366</v>
      </c>
      <c r="BT245" t="str">
        <f t="shared" si="93"/>
        <v>prv_EMU</v>
      </c>
      <c r="BU245" t="str">
        <f t="shared" si="82"/>
        <v>electric_THIRD_RAIL</v>
      </c>
      <c r="BV245" t="str">
        <f>VLOOKUP($BU245, Constants!$M:$N, 2, FALSE)</f>
        <v>{BLACK}Powered by: {GOLD}750V DC</v>
      </c>
      <c r="BW245" t="str">
        <f t="shared" si="106"/>
        <v>{BLACK}Cars: {GOLD}4</v>
      </c>
      <c r="BX245" t="s">
        <v>640</v>
      </c>
      <c r="BY245" t="str">
        <f t="shared" si="107"/>
        <v/>
      </c>
      <c r="BZ245" t="str">
        <f t="shared" si="84"/>
        <v>{BLACK}Powered by: {GOLD}750V DC {BLACK}Cars: {GOLD}4{}{SILVER}The Class 450 was designed for South West Trains to replace all slam-door stock. The large order meant the Class 450 became the most numerous type of Desiro unit in the UK.</v>
      </c>
    </row>
    <row r="246" spans="1:78" x14ac:dyDescent="0.25">
      <c r="A246" t="s">
        <v>90</v>
      </c>
      <c r="B246" t="s">
        <v>251</v>
      </c>
      <c r="C246">
        <v>502</v>
      </c>
      <c r="D246" t="s">
        <v>437</v>
      </c>
      <c r="E246" t="s">
        <v>329</v>
      </c>
      <c r="F246" t="s">
        <v>336</v>
      </c>
      <c r="G246">
        <v>2004</v>
      </c>
      <c r="J246">
        <v>5</v>
      </c>
      <c r="K246">
        <v>2680</v>
      </c>
      <c r="T246">
        <v>227</v>
      </c>
      <c r="V246">
        <f t="shared" si="108"/>
        <v>40</v>
      </c>
      <c r="W246">
        <v>210</v>
      </c>
      <c r="X246" s="4">
        <f t="shared" si="80"/>
        <v>9.2511013215859028E-2</v>
      </c>
      <c r="Y246">
        <v>100</v>
      </c>
      <c r="AA246">
        <v>23</v>
      </c>
      <c r="AB246">
        <v>23</v>
      </c>
      <c r="AC246">
        <v>2.8</v>
      </c>
      <c r="AE246" s="11">
        <v>66</v>
      </c>
      <c r="AF246" t="str">
        <f>CONCATENATE(VLOOKUP(AG246, 'Voxel Sizes'!$A$2:$B$18,2,FALSE),"x",INT(AC246*15), "x", INT(AD246*15))</f>
        <v>214x42x0</v>
      </c>
      <c r="AG246">
        <f t="shared" si="85"/>
        <v>13</v>
      </c>
      <c r="AI246" t="str">
        <f>CONCATENATE(VLOOKUP(AG246,Constants!$A$2:$C$16,IF(AH246&lt;&gt;"", 3, 2), FALSE),IF(AH246&lt;&gt;"",CONCATENATE(",",VLOOKUP(AH246,$B:$AI,34,FALSE)),""))</f>
        <v>4,5,4</v>
      </c>
      <c r="AM246" t="s">
        <v>643</v>
      </c>
      <c r="AO246" t="s">
        <v>644</v>
      </c>
      <c r="AS246">
        <v>28</v>
      </c>
      <c r="AT246" t="str">
        <f t="shared" si="86"/>
        <v/>
      </c>
      <c r="AU246">
        <v>-15</v>
      </c>
      <c r="AV246">
        <v>-35</v>
      </c>
      <c r="AW246">
        <f t="shared" si="87"/>
        <v>20</v>
      </c>
      <c r="AX246">
        <f t="shared" si="88"/>
        <v>13.4</v>
      </c>
      <c r="AY246">
        <f t="shared" si="89"/>
        <v>10.5</v>
      </c>
      <c r="AZ246" s="4">
        <f t="shared" si="94"/>
        <v>0.86133333333333328</v>
      </c>
      <c r="BA246">
        <f t="shared" si="90"/>
        <v>11</v>
      </c>
      <c r="BB246">
        <f>VLOOKUP($E246,Constants!$I:$K, 2, FALSE)</f>
        <v>0.85</v>
      </c>
      <c r="BC246">
        <f>VLOOKUP($E246,Constants!$I:$K, 3, FALSE)*IF(AND(D246="multiple_unit",Y246&lt;110),0.75,1)</f>
        <v>1.7249999999999999</v>
      </c>
      <c r="BD246">
        <f>INT(POWER(((Constants!$G$2+$AW246+$AX246+$AY246+$BA246)*$AZ246)*$BC246, 1.05))+$AV246</f>
        <v>76</v>
      </c>
      <c r="BE246">
        <f>INT(POWER((((Constants!$G$1+$AW246+$AX246+$AY246+$BA246)*($AZ246))*$BB246),IF($D246="wagon",1,1.2)))+$AU246</f>
        <v>97</v>
      </c>
      <c r="BF246" s="15">
        <f t="shared" si="91"/>
        <v>59375</v>
      </c>
      <c r="BG246" s="15">
        <f t="shared" si="92"/>
        <v>7881.25</v>
      </c>
      <c r="BK246" t="s">
        <v>250</v>
      </c>
      <c r="BM246" t="s">
        <v>1195</v>
      </c>
      <c r="BN246">
        <v>3</v>
      </c>
      <c r="BO246">
        <v>205</v>
      </c>
      <c r="BQ246" t="s">
        <v>316</v>
      </c>
      <c r="BR246" t="str">
        <f>VLOOKUP(G246,Eras!$A$2:$C$10, 2, TRUE)</f>
        <v>prv</v>
      </c>
      <c r="BS246" t="s">
        <v>367</v>
      </c>
      <c r="BT246" t="str">
        <f t="shared" si="93"/>
        <v>prv_EMU (Express)</v>
      </c>
      <c r="BU246" t="str">
        <f t="shared" si="82"/>
        <v>electric_THIRD_RAIL</v>
      </c>
      <c r="BV246" t="str">
        <f>VLOOKUP($BU246, Constants!$M:$N, 2, FALSE)</f>
        <v>{BLACK}Powered by: {GOLD}750V DC</v>
      </c>
      <c r="BW246" t="str">
        <f t="shared" si="106"/>
        <v>{BLACK}Cars: {GOLD}5</v>
      </c>
      <c r="BX246" t="s">
        <v>641</v>
      </c>
      <c r="BY246" t="str">
        <f t="shared" si="107"/>
        <v>{YELLOW}10% Bonus for long distance travel{}</v>
      </c>
      <c r="BZ246" t="str">
        <f t="shared" si="84"/>
        <v>{BLACK}Powered by: {GOLD}750V DC {BLACK}Cars: {GOLD}5{}{YELLOW}10% Bonus for long distance travel{}{SILVER}The Class 444 is an express variant of the Desiro family, used on services to and from the South Coast. Its high power compared to earlier EMUs required power networks in the third rail region to be upgraded.</v>
      </c>
    </row>
    <row r="247" spans="1:78" x14ac:dyDescent="0.25">
      <c r="A247" t="s">
        <v>90</v>
      </c>
      <c r="B247" t="s">
        <v>1186</v>
      </c>
      <c r="C247">
        <v>503</v>
      </c>
      <c r="D247" t="s">
        <v>437</v>
      </c>
      <c r="E247" t="s">
        <v>329</v>
      </c>
      <c r="F247" t="s">
        <v>336</v>
      </c>
      <c r="G247">
        <v>2004</v>
      </c>
      <c r="J247">
        <v>4</v>
      </c>
      <c r="K247">
        <v>2680</v>
      </c>
      <c r="T247">
        <f>227/5*4</f>
        <v>181.6</v>
      </c>
      <c r="V247">
        <f t="shared" si="108"/>
        <v>32</v>
      </c>
      <c r="W247">
        <v>210</v>
      </c>
      <c r="X247" s="4">
        <f t="shared" si="80"/>
        <v>0.11563876651982379</v>
      </c>
      <c r="Y247">
        <v>100</v>
      </c>
      <c r="AA247">
        <v>23</v>
      </c>
      <c r="AB247">
        <v>23</v>
      </c>
      <c r="AC247">
        <v>2.8</v>
      </c>
      <c r="AE247" s="11">
        <v>66</v>
      </c>
      <c r="AF247" t="str">
        <f>CONCATENATE(VLOOKUP(AG247, 'Voxel Sizes'!$A$2:$B$18,2,FALSE),"x",INT(AC247*15), "x", INT(AD247*15))</f>
        <v>214x42x0</v>
      </c>
      <c r="AG247">
        <f t="shared" si="85"/>
        <v>13</v>
      </c>
      <c r="AI247" t="str">
        <f>CONCATENATE(VLOOKUP(AG247,Constants!$A$2:$C$16,IF(AH247&lt;&gt;"", 3, 2), FALSE),IF(AH247&lt;&gt;"",CONCATENATE(",",VLOOKUP(AH247,$B:$AI,34,FALSE)),""))</f>
        <v>4,5,4</v>
      </c>
      <c r="AM247" t="s">
        <v>1187</v>
      </c>
      <c r="AO247" t="s">
        <v>1175</v>
      </c>
      <c r="AP247" t="s">
        <v>251</v>
      </c>
      <c r="AS247">
        <v>28</v>
      </c>
      <c r="AT247" t="str">
        <f t="shared" si="86"/>
        <v/>
      </c>
      <c r="AU247">
        <v>-15</v>
      </c>
      <c r="AV247">
        <v>-35</v>
      </c>
      <c r="AW247">
        <f t="shared" si="87"/>
        <v>20</v>
      </c>
      <c r="AX247">
        <f t="shared" si="88"/>
        <v>13.4</v>
      </c>
      <c r="AY247">
        <f t="shared" si="89"/>
        <v>10.5</v>
      </c>
      <c r="AZ247" s="4">
        <f t="shared" si="94"/>
        <v>0.86133333333333328</v>
      </c>
      <c r="BA247">
        <f t="shared" si="90"/>
        <v>8.8000000000000007</v>
      </c>
      <c r="BB247">
        <f>VLOOKUP($E247,Constants!$I:$K, 2, FALSE)</f>
        <v>0.85</v>
      </c>
      <c r="BC247">
        <f>VLOOKUP($E247,Constants!$I:$K, 3, FALSE)*IF(AND(D247="multiple_unit",Y247&lt;110),0.75,1)</f>
        <v>1.7249999999999999</v>
      </c>
      <c r="BD247">
        <f>INT(POWER(((Constants!$G$2+$AW247+$AX247+$AY247+$BA247)*$AZ247)*$BC247, 1.05))+$AV247</f>
        <v>72</v>
      </c>
      <c r="BE247">
        <f>INT(POWER((((Constants!$G$1+$AW247+$AX247+$AY247+$BA247)*($AZ247))*$BB247),IF($D247="wagon",1,1.2)))+$AU247</f>
        <v>93</v>
      </c>
      <c r="BF247" s="15">
        <f t="shared" si="91"/>
        <v>56250</v>
      </c>
      <c r="BG247" s="15">
        <f t="shared" si="92"/>
        <v>7556.25</v>
      </c>
      <c r="BK247" t="s">
        <v>250</v>
      </c>
      <c r="BM247" t="s">
        <v>1197</v>
      </c>
      <c r="BN247">
        <v>4</v>
      </c>
      <c r="BO247">
        <v>205</v>
      </c>
      <c r="BQ247" t="s">
        <v>316</v>
      </c>
      <c r="BR247" t="str">
        <f>VLOOKUP(G247,Eras!$A$2:$C$10, 2, TRUE)</f>
        <v>prv</v>
      </c>
      <c r="BS247" t="s">
        <v>367</v>
      </c>
      <c r="BT247" t="str">
        <f t="shared" si="93"/>
        <v>prv_EMU (Express)</v>
      </c>
      <c r="BU247" t="str">
        <f t="shared" si="82"/>
        <v>electric_THIRD_RAIL</v>
      </c>
      <c r="BV247" t="str">
        <f>VLOOKUP($BU247, Constants!$M:$N, 2, FALSE)</f>
        <v>{BLACK}Powered by: {GOLD}750V DC</v>
      </c>
      <c r="BW247" t="str">
        <f t="shared" si="106"/>
        <v>{BLACK}Cars: {GOLD}4</v>
      </c>
      <c r="BX247" t="s">
        <v>641</v>
      </c>
      <c r="BY247" t="str">
        <f t="shared" si="107"/>
        <v>{YELLOW}10% Bonus for long distance travel{}</v>
      </c>
      <c r="BZ247" t="str">
        <f t="shared" si="84"/>
        <v>{BLACK}Powered by: {GOLD}750V DC {BLACK}Cars: {GOLD}4{}{YELLOW}10% Bonus for long distance travel{}{SILVER}The Class 444 is an express variant of the Desiro family, used on services to and from the South Coast. Its high power compared to earlier EMUs required power networks in the third rail region to be upgraded.</v>
      </c>
    </row>
    <row r="248" spans="1:78" x14ac:dyDescent="0.25">
      <c r="A248" t="s">
        <v>83</v>
      </c>
      <c r="B248" t="s">
        <v>275</v>
      </c>
      <c r="C248">
        <v>506</v>
      </c>
      <c r="D248" t="s">
        <v>437</v>
      </c>
      <c r="E248" t="s">
        <v>329</v>
      </c>
      <c r="F248" t="s">
        <v>330</v>
      </c>
      <c r="G248">
        <v>2007</v>
      </c>
      <c r="H248">
        <v>2009</v>
      </c>
      <c r="J248">
        <v>6</v>
      </c>
      <c r="K248">
        <f>16*280</f>
        <v>4480</v>
      </c>
      <c r="T248">
        <v>265</v>
      </c>
      <c r="V248">
        <f>7*J248</f>
        <v>42</v>
      </c>
      <c r="W248">
        <v>210</v>
      </c>
      <c r="X248" s="4">
        <f t="shared" si="80"/>
        <v>7.9245283018867921E-2</v>
      </c>
      <c r="Y248">
        <v>157</v>
      </c>
      <c r="AA248">
        <v>20.88</v>
      </c>
      <c r="AB248">
        <v>20.88</v>
      </c>
      <c r="AD248">
        <v>3.82</v>
      </c>
      <c r="AE248" s="11">
        <v>57</v>
      </c>
      <c r="AF248" t="str">
        <f>CONCATENATE(VLOOKUP(AG248, 'Voxel Sizes'!$A$2:$B$18,2,FALSE),"x",INT(AC248*15), "x", INT(AD248*15))</f>
        <v>198x0x57</v>
      </c>
      <c r="AG248">
        <f t="shared" si="85"/>
        <v>12</v>
      </c>
      <c r="AI248" t="str">
        <f>CONCATENATE(VLOOKUP(AG248,Constants!$A$2:$C$16,IF(AH248&lt;&gt;"", 3, 2), FALSE),IF(AH248&lt;&gt;"",CONCATENATE(",",VLOOKUP(AH248,$B:$AI,34,FALSE)),""))</f>
        <v>4,4,4</v>
      </c>
      <c r="AM248" t="s">
        <v>1329</v>
      </c>
      <c r="AO248" t="s">
        <v>564</v>
      </c>
      <c r="AS248">
        <v>30</v>
      </c>
      <c r="AT248" t="str">
        <f t="shared" si="86"/>
        <v/>
      </c>
      <c r="AU248">
        <v>-15</v>
      </c>
      <c r="AV248">
        <v>-30</v>
      </c>
      <c r="AW248">
        <f t="shared" si="87"/>
        <v>30</v>
      </c>
      <c r="AX248">
        <f t="shared" si="88"/>
        <v>20</v>
      </c>
      <c r="AY248">
        <f t="shared" si="89"/>
        <v>10.5</v>
      </c>
      <c r="AZ248" s="4">
        <f t="shared" si="94"/>
        <v>0.85733333333333328</v>
      </c>
      <c r="BA248">
        <f t="shared" si="90"/>
        <v>11.400000000000002</v>
      </c>
      <c r="BB248">
        <f>VLOOKUP($E248,Constants!$I:$K, 2, FALSE)</f>
        <v>0.85</v>
      </c>
      <c r="BC248">
        <f>VLOOKUP($E248,Constants!$I:$K, 3, FALSE)*IF(AND(D248="multiple_unit",Y248&lt;110),0.75,1)</f>
        <v>2.2999999999999998</v>
      </c>
      <c r="BD248">
        <f>INT(POWER(((Constants!$G$2+$AW248+$AX248+$AY248+$BA248)*$AZ248)*$BC248, 1.05))+$AV248</f>
        <v>164</v>
      </c>
      <c r="BE248">
        <f>INT(POWER((((Constants!$G$1+$AW248+$AX248+$AY248+$BA248)*($AZ248))*$BB248),IF($D248="wagon",1,1.2)))+$AU248</f>
        <v>130</v>
      </c>
      <c r="BF248" s="15">
        <f t="shared" si="91"/>
        <v>128125</v>
      </c>
      <c r="BG248" s="15">
        <f t="shared" si="92"/>
        <v>10562.5</v>
      </c>
      <c r="BM248" t="s">
        <v>1195</v>
      </c>
      <c r="BN248">
        <v>5</v>
      </c>
      <c r="BO248">
        <v>205</v>
      </c>
      <c r="BQ248" t="s">
        <v>316</v>
      </c>
      <c r="BR248" t="str">
        <f>VLOOKUP(G248,Eras!$A$2:$C$10, 2, TRUE)</f>
        <v>mod</v>
      </c>
      <c r="BS248" t="s">
        <v>367</v>
      </c>
      <c r="BT248" t="str">
        <f t="shared" si="93"/>
        <v>mod_EMU (Express)</v>
      </c>
      <c r="BU248" t="str">
        <f t="shared" si="82"/>
        <v>electric_ELRL</v>
      </c>
      <c r="BV248" t="str">
        <f>VLOOKUP($BU248, Constants!$M:$N, 2, FALSE)</f>
        <v>{BLACK}Powered by: {GOLD}25kV AC</v>
      </c>
      <c r="BW248" t="str">
        <f t="shared" si="106"/>
        <v>{BLACK}Cars: {GOLD}6</v>
      </c>
      <c r="BX248" t="s">
        <v>1332</v>
      </c>
      <c r="BY248" t="str">
        <f t="shared" si="107"/>
        <v>{YELLOW}10% Bonus for long distance travel{}</v>
      </c>
      <c r="BZ248" t="str">
        <f t="shared" si="84"/>
        <v>{BLACK}Powered by: {GOLD}25kV AC {BLACK}Cars: {GOLD}6{}{YELLOW}10% Bonus for long distance travel{}{SILVER}The Class 395 is a dedicated high speed unit built for the HS1 high speed route. It is part of Hitachi's AT300 series.</v>
      </c>
    </row>
    <row r="249" spans="1:78" x14ac:dyDescent="0.25">
      <c r="A249" t="s">
        <v>83</v>
      </c>
      <c r="B249" t="s">
        <v>1358</v>
      </c>
      <c r="C249">
        <v>507</v>
      </c>
      <c r="D249" t="s">
        <v>437</v>
      </c>
      <c r="E249" t="s">
        <v>329</v>
      </c>
      <c r="F249" t="s">
        <v>330</v>
      </c>
      <c r="G249">
        <v>2007</v>
      </c>
      <c r="H249">
        <v>2009</v>
      </c>
      <c r="J249">
        <v>5</v>
      </c>
      <c r="K249">
        <f>16*280</f>
        <v>4480</v>
      </c>
      <c r="T249">
        <v>265</v>
      </c>
      <c r="V249">
        <f>7*J249</f>
        <v>35</v>
      </c>
      <c r="W249">
        <v>210</v>
      </c>
      <c r="X249" s="4">
        <f t="shared" ref="X249" si="109">IF(AND(T249&gt;0,W249&gt;0),(W249/((T249+U249)*10)),"")</f>
        <v>7.9245283018867921E-2</v>
      </c>
      <c r="Y249">
        <v>157</v>
      </c>
      <c r="AA249">
        <v>20.88</v>
      </c>
      <c r="AB249">
        <v>20.88</v>
      </c>
      <c r="AD249">
        <v>3.82</v>
      </c>
      <c r="AE249" s="11">
        <v>57</v>
      </c>
      <c r="AF249" t="str">
        <f>CONCATENATE(VLOOKUP(AG249, 'Voxel Sizes'!$A$2:$B$18,2,FALSE),"x",INT(AC249*15), "x", INT(AD249*15))</f>
        <v>198x0x57</v>
      </c>
      <c r="AG249">
        <f t="shared" ref="AG249" si="110">ROUND(15*((AB249*10)/256),0)</f>
        <v>12</v>
      </c>
      <c r="AI249" t="str">
        <f>CONCATENATE(VLOOKUP(AG249,Constants!$A$2:$C$16,IF(AH249&lt;&gt;"", 3, 2), FALSE),IF(AH249&lt;&gt;"",CONCATENATE(",",VLOOKUP(AH249,$B:$AI,34,FALSE)),""))</f>
        <v>4,4,4</v>
      </c>
      <c r="AM249" t="s">
        <v>1359</v>
      </c>
      <c r="AO249" t="s">
        <v>704</v>
      </c>
      <c r="AP249" t="s">
        <v>275</v>
      </c>
      <c r="AS249">
        <v>30</v>
      </c>
      <c r="AT249" t="str">
        <f t="shared" ref="AT249" si="111">IF(I249&lt;&gt;"",MAX(8,(I249-G249)-4),"")</f>
        <v/>
      </c>
      <c r="AU249">
        <v>-15</v>
      </c>
      <c r="AV249">
        <v>-30</v>
      </c>
      <c r="AW249">
        <f t="shared" ref="AW249" si="112">MIN(Y249/150, 1)*30</f>
        <v>30</v>
      </c>
      <c r="AX249">
        <f t="shared" ref="AX249" si="113">MIN(K249/4000, 1)*20</f>
        <v>20</v>
      </c>
      <c r="AY249">
        <f t="shared" ref="AY249" si="114">MIN(W249/400,1)*20</f>
        <v>10.5</v>
      </c>
      <c r="AZ249" s="4">
        <f t="shared" si="94"/>
        <v>0.85733333333333328</v>
      </c>
      <c r="BA249">
        <f t="shared" ref="BA249" si="115">((MAX($J249,1)*MIN($AE249/300,1)))*IF(D249="Wagon",50,10)</f>
        <v>9.5</v>
      </c>
      <c r="BB249">
        <f>VLOOKUP($E249,Constants!$I:$K, 2, FALSE)</f>
        <v>0.85</v>
      </c>
      <c r="BC249">
        <f>VLOOKUP($E249,Constants!$I:$K, 3, FALSE)*IF(AND(D249="multiple_unit",Y249&lt;110),0.75,1)</f>
        <v>2.2999999999999998</v>
      </c>
      <c r="BD249">
        <f>INT(POWER(((Constants!$G$2+$AW249+$AX249+$AY249+$BA249)*$AZ249)*$BC249, 1.05))+$AV249</f>
        <v>159</v>
      </c>
      <c r="BE249">
        <f>INT(POWER((((Constants!$G$1+$AW249+$AX249+$AY249+$BA249)*($AZ249))*$BB249),IF($D249="wagon",1,1.2)))+$AU249</f>
        <v>126</v>
      </c>
      <c r="BF249" s="15">
        <f t="shared" ref="BF249" si="116">BD249*IF($D249="wagon",62.5,781.25)</f>
        <v>124218.75</v>
      </c>
      <c r="BG249" s="15">
        <f t="shared" ref="BG249" si="117">BE249*IF($D249="wagon",2.73,81.25)</f>
        <v>10237.5</v>
      </c>
      <c r="BM249" t="s">
        <v>1197</v>
      </c>
      <c r="BN249">
        <v>5</v>
      </c>
      <c r="BO249">
        <v>205</v>
      </c>
      <c r="BQ249" t="s">
        <v>316</v>
      </c>
      <c r="BR249" t="str">
        <f>VLOOKUP(G249,Eras!$A$2:$C$10, 2, TRUE)</f>
        <v>mod</v>
      </c>
      <c r="BS249" t="s">
        <v>367</v>
      </c>
      <c r="BT249" t="str">
        <f t="shared" ref="BT249" si="118">CONCATENATE(BR249,"_",BS249)</f>
        <v>mod_EMU (Express)</v>
      </c>
      <c r="BU249" t="str">
        <f t="shared" si="82"/>
        <v>electric_ELRL</v>
      </c>
      <c r="BV249" t="str">
        <f>VLOOKUP($BU249, Constants!$M:$N, 2, FALSE)</f>
        <v>{BLACK}Powered by: {GOLD}25kV AC</v>
      </c>
      <c r="BW249" t="str">
        <f t="shared" si="106"/>
        <v>{BLACK}Cars: {GOLD}5</v>
      </c>
      <c r="BX249" t="s">
        <v>1332</v>
      </c>
      <c r="BY249" t="str">
        <f t="shared" si="107"/>
        <v>{YELLOW}10% Bonus for long distance travel{}</v>
      </c>
      <c r="BZ249" t="str">
        <f t="shared" si="84"/>
        <v>{BLACK}Powered by: {GOLD}25kV AC {BLACK}Cars: {GOLD}5{}{YELLOW}10% Bonus for long distance travel{}{SILVER}The Class 395 is a dedicated high speed unit built for the HS1 high speed route. It is part of Hitachi's AT300 series.</v>
      </c>
    </row>
    <row r="250" spans="1:78" x14ac:dyDescent="0.25">
      <c r="A250" t="s">
        <v>88</v>
      </c>
      <c r="B250" t="s">
        <v>249</v>
      </c>
      <c r="C250">
        <v>508</v>
      </c>
      <c r="D250" t="s">
        <v>437</v>
      </c>
      <c r="E250" t="s">
        <v>589</v>
      </c>
      <c r="F250" t="s">
        <v>588</v>
      </c>
      <c r="G250">
        <v>2009</v>
      </c>
      <c r="J250">
        <v>5</v>
      </c>
      <c r="K250">
        <f>800*2</f>
        <v>1600</v>
      </c>
      <c r="T250">
        <v>212.8</v>
      </c>
      <c r="V250">
        <f>10*J250</f>
        <v>50</v>
      </c>
      <c r="W250">
        <v>180</v>
      </c>
      <c r="X250" s="4">
        <f t="shared" si="80"/>
        <v>8.4586466165413529E-2</v>
      </c>
      <c r="Y250">
        <v>75</v>
      </c>
      <c r="AA250">
        <v>20.399999999999999</v>
      </c>
      <c r="AB250">
        <v>20.399999999999999</v>
      </c>
      <c r="AC250">
        <v>2.8</v>
      </c>
      <c r="AD250">
        <v>3.78</v>
      </c>
      <c r="AE250" s="11">
        <v>90</v>
      </c>
      <c r="AF250" t="str">
        <f>CONCATENATE(VLOOKUP(AG250, 'Voxel Sizes'!$A$2:$B$18,2,FALSE),"x",INT(AC250*15), "x", INT(AD250*15))</f>
        <v>198x42x56</v>
      </c>
      <c r="AG250">
        <f t="shared" si="85"/>
        <v>12</v>
      </c>
      <c r="AI250" t="str">
        <f>CONCATENATE(VLOOKUP(AG250,Constants!$A$2:$C$16,IF(AH250&lt;&gt;"", 3, 2), FALSE),IF(AH250&lt;&gt;"",CONCATENATE(",",VLOOKUP(AH250,$B:$AI,34,FALSE)),""))</f>
        <v>4,4,4</v>
      </c>
      <c r="AM250" t="s">
        <v>637</v>
      </c>
      <c r="AN250" t="s">
        <v>638</v>
      </c>
      <c r="AO250" t="s">
        <v>639</v>
      </c>
      <c r="AS250">
        <v>30</v>
      </c>
      <c r="AT250" t="str">
        <f t="shared" si="86"/>
        <v/>
      </c>
      <c r="AU250">
        <v>-15</v>
      </c>
      <c r="AV250">
        <v>-35</v>
      </c>
      <c r="AW250">
        <f t="shared" si="87"/>
        <v>15</v>
      </c>
      <c r="AX250">
        <f t="shared" si="88"/>
        <v>8</v>
      </c>
      <c r="AY250">
        <f t="shared" si="89"/>
        <v>9</v>
      </c>
      <c r="AZ250" s="4">
        <f t="shared" si="94"/>
        <v>0.85466666666666669</v>
      </c>
      <c r="BA250">
        <f t="shared" si="90"/>
        <v>15</v>
      </c>
      <c r="BB250">
        <f>VLOOKUP($E250,Constants!$I:$K, 2, FALSE)</f>
        <v>0.85</v>
      </c>
      <c r="BC250">
        <f>VLOOKUP($E250,Constants!$I:$K, 3, FALSE)*IF(AND(D250="multiple_unit",Y250&lt;110),0.75,1)</f>
        <v>1.7999999999999998</v>
      </c>
      <c r="BD250">
        <f>INT(POWER(((Constants!$G$2+$AW250+$AX250+$AY250+$BA250)*$AZ250)*$BC250, 1.05))+$AV250</f>
        <v>64</v>
      </c>
      <c r="BE250">
        <f>INT(POWER((((Constants!$G$1+$AW250+$AX250+$AY250+$BA250)*($AZ250))*$BB250),IF($D250="wagon",1,1.2)))+$AU250</f>
        <v>81</v>
      </c>
      <c r="BF250" s="15">
        <f t="shared" si="91"/>
        <v>50000</v>
      </c>
      <c r="BG250" s="15">
        <f t="shared" si="92"/>
        <v>6581.25</v>
      </c>
      <c r="BN250">
        <v>6</v>
      </c>
      <c r="BO250">
        <v>165</v>
      </c>
      <c r="BQ250" t="s">
        <v>316</v>
      </c>
      <c r="BR250" t="str">
        <f>VLOOKUP(G250,Eras!$A$2:$C$10, 2, TRUE)</f>
        <v>mod</v>
      </c>
      <c r="BS250" t="s">
        <v>366</v>
      </c>
      <c r="BT250" t="str">
        <f t="shared" si="93"/>
        <v>mod_EMU</v>
      </c>
      <c r="BU250" t="str">
        <f t="shared" si="82"/>
        <v>dual_electric_DUAL_POWER</v>
      </c>
      <c r="BV250" t="str">
        <f>VLOOKUP($BU250, Constants!$M:$N, 2, FALSE)</f>
        <v>{BLACK}Powered by: {GOLD}25kV AC / 750V DC</v>
      </c>
      <c r="BW250" t="str">
        <f t="shared" si="106"/>
        <v>{BLACK}Cars: {GOLD}5</v>
      </c>
      <c r="BX250" t="s">
        <v>636</v>
      </c>
      <c r="BY250" t="str">
        <f t="shared" si="107"/>
        <v>{YELLOW}10% Penalty for long distance travel{}</v>
      </c>
      <c r="BZ250" t="str">
        <f t="shared" si="84"/>
        <v>{BLACK}Powered by: {GOLD}25kV AC / 750V DC {BLACK}Cars: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51" spans="1:78" x14ac:dyDescent="0.25">
      <c r="A251" t="s">
        <v>1324</v>
      </c>
      <c r="B251" t="s">
        <v>1325</v>
      </c>
      <c r="C251">
        <v>509</v>
      </c>
      <c r="D251" t="s">
        <v>437</v>
      </c>
      <c r="E251" t="s">
        <v>578</v>
      </c>
      <c r="F251" t="s">
        <v>330</v>
      </c>
      <c r="G251">
        <v>2017</v>
      </c>
      <c r="J251">
        <v>5</v>
      </c>
      <c r="K251">
        <v>3200</v>
      </c>
      <c r="L251" s="9">
        <v>2250</v>
      </c>
      <c r="T251">
        <v>243</v>
      </c>
      <c r="V251">
        <f>8*J251</f>
        <v>40</v>
      </c>
      <c r="W251">
        <v>195</v>
      </c>
      <c r="X251" s="4">
        <f t="shared" ref="X251:X274" si="119">IF(AND(T251&gt;0,W251&gt;0),(W251/((T251+U251)*10)),"")</f>
        <v>8.0246913580246909E-2</v>
      </c>
      <c r="Y251">
        <v>140</v>
      </c>
      <c r="AA251">
        <v>26</v>
      </c>
      <c r="AB251">
        <v>24</v>
      </c>
      <c r="AE251" s="11">
        <v>66</v>
      </c>
      <c r="AF251" t="str">
        <f>CONCATENATE(VLOOKUP(AG251, 'Voxel Sizes'!$A$2:$B$18,2,FALSE),"x",INT(AC251*15), "x", INT(AD251*15))</f>
        <v>238x0x0</v>
      </c>
      <c r="AG251">
        <f t="shared" si="85"/>
        <v>14</v>
      </c>
      <c r="AI251" t="str">
        <f>CONCATENATE(VLOOKUP(AG251,Constants!$A$2:$C$16,IF(AH251&lt;&gt;"", 3, 2), FALSE),IF(AH251&lt;&gt;"",CONCATENATE(",",VLOOKUP(AH251,$B:$AI,34,FALSE)),""))</f>
        <v>4,6,4</v>
      </c>
      <c r="AJ251">
        <v>12</v>
      </c>
      <c r="AM251" t="s">
        <v>1326</v>
      </c>
      <c r="AN251" t="s">
        <v>1327</v>
      </c>
      <c r="AO251" t="s">
        <v>644</v>
      </c>
      <c r="AS251">
        <v>30</v>
      </c>
      <c r="AT251" t="str">
        <f t="shared" si="86"/>
        <v/>
      </c>
      <c r="AU251">
        <v>-15</v>
      </c>
      <c r="AV251">
        <v>-30</v>
      </c>
      <c r="AW251">
        <f t="shared" si="87"/>
        <v>28</v>
      </c>
      <c r="AX251">
        <f t="shared" si="88"/>
        <v>16</v>
      </c>
      <c r="AY251">
        <f t="shared" si="89"/>
        <v>9.75</v>
      </c>
      <c r="AZ251" s="4">
        <f t="shared" si="94"/>
        <v>0.84399999999999997</v>
      </c>
      <c r="BA251">
        <f t="shared" si="90"/>
        <v>11</v>
      </c>
      <c r="BB251">
        <f>VLOOKUP($E251,Constants!$I:$K, 2, FALSE)</f>
        <v>0.9</v>
      </c>
      <c r="BC251">
        <f>VLOOKUP($E251,Constants!$I:$K, 3, FALSE)*IF(AND(D251="multiple_unit",Y251&lt;110),0.75,1)</f>
        <v>2.5</v>
      </c>
      <c r="BD251">
        <f>INT(POWER(((Constants!$G$2+$AW251+$AX251+$AY251+$BA251)*$AZ251)*$BC251, 1.05))+$AV251</f>
        <v>158</v>
      </c>
      <c r="BE251">
        <f>INT(POWER((((Constants!$G$1+$AW251+$AX251+$AY251+$BA251)*($AZ251))*$BB251),IF($D251="wagon",1,1.2)))+$AU251</f>
        <v>122</v>
      </c>
      <c r="BF251" s="15">
        <f t="shared" si="91"/>
        <v>123437.5</v>
      </c>
      <c r="BG251" s="15">
        <f t="shared" si="92"/>
        <v>9912.5</v>
      </c>
      <c r="BM251" t="s">
        <v>1195</v>
      </c>
      <c r="BN251">
        <v>10</v>
      </c>
      <c r="BO251">
        <v>222</v>
      </c>
      <c r="BQ251" t="s">
        <v>316</v>
      </c>
      <c r="BR251" t="str">
        <f>VLOOKUP(G251,Eras!$A$2:$C$10, 2, TRUE)</f>
        <v>mod</v>
      </c>
      <c r="BS251" t="s">
        <v>367</v>
      </c>
      <c r="BT251" t="str">
        <f t="shared" si="93"/>
        <v>mod_EMU (Express)</v>
      </c>
      <c r="BU251" t="str">
        <f t="shared" si="82"/>
        <v>dual_power_ELRL</v>
      </c>
      <c r="BV251" t="str">
        <f>VLOOKUP($BU251, Constants!$M:$N, 2, FALSE)</f>
        <v>{BLACK}Powered by: {GOLD}25kV AC / Diesel</v>
      </c>
      <c r="BW251" t="str">
        <f t="shared" si="106"/>
        <v>{BLACK}Cars: {GOLD}5</v>
      </c>
      <c r="BX251" t="s">
        <v>1328</v>
      </c>
      <c r="BY251" t="str">
        <f t="shared" si="107"/>
        <v>{YELLOW}20% Bonus for long distance travel{}</v>
      </c>
      <c r="BZ251" t="str">
        <f t="shared" si="84"/>
        <v>{BLACK}Powered by: {GOLD}25kV AC / Diesel {BLACK}Cars: {GOLD}5{}{YELLOW}20% Bonus for long distance travel{}{SILVER}The Class 800 "Azuma" (on LNER) or "IET" (on GWR) is a high speed bi-mode unit based on the Hitachi AT300 series. It is designed to replace HST and Class 91 hauled services on Intercity routes.</v>
      </c>
    </row>
    <row r="252" spans="1:78" x14ac:dyDescent="0.25">
      <c r="A252" t="s">
        <v>1324</v>
      </c>
      <c r="B252" t="s">
        <v>1351</v>
      </c>
      <c r="C252">
        <v>520</v>
      </c>
      <c r="D252" t="s">
        <v>437</v>
      </c>
      <c r="E252" t="s">
        <v>578</v>
      </c>
      <c r="F252" t="s">
        <v>330</v>
      </c>
      <c r="G252">
        <v>2017</v>
      </c>
      <c r="J252">
        <v>4</v>
      </c>
      <c r="K252">
        <v>3200</v>
      </c>
      <c r="L252" s="9">
        <v>2250</v>
      </c>
      <c r="T252">
        <v>243</v>
      </c>
      <c r="V252">
        <f>8*J252</f>
        <v>32</v>
      </c>
      <c r="W252">
        <v>195</v>
      </c>
      <c r="X252" s="4">
        <f t="shared" ref="X252" si="120">IF(AND(T252&gt;0,W252&gt;0),(W252/((T252+U252)*10)),"")</f>
        <v>8.0246913580246909E-2</v>
      </c>
      <c r="Y252">
        <v>140</v>
      </c>
      <c r="AA252">
        <v>26</v>
      </c>
      <c r="AB252">
        <v>24</v>
      </c>
      <c r="AE252" s="11">
        <v>66</v>
      </c>
      <c r="AF252" t="str">
        <f>CONCATENATE(VLOOKUP(AG252, 'Voxel Sizes'!$A$2:$B$18,2,FALSE),"x",INT(AC252*15), "x", INT(AD252*15))</f>
        <v>238x0x0</v>
      </c>
      <c r="AG252">
        <f t="shared" ref="AG252" si="121">ROUND(15*((AB252*10)/256),0)</f>
        <v>14</v>
      </c>
      <c r="AI252" t="str">
        <f>CONCATENATE(VLOOKUP(AG252,Constants!$A$2:$C$16,IF(AH252&lt;&gt;"", 3, 2), FALSE),IF(AH252&lt;&gt;"",CONCATENATE(",",VLOOKUP(AH252,$B:$AI,34,FALSE)),""))</f>
        <v>4,6,4</v>
      </c>
      <c r="AJ252">
        <v>12</v>
      </c>
      <c r="AM252" t="s">
        <v>1352</v>
      </c>
      <c r="AN252" t="s">
        <v>1327</v>
      </c>
      <c r="AO252" t="s">
        <v>1175</v>
      </c>
      <c r="AP252" t="s">
        <v>1325</v>
      </c>
      <c r="AS252">
        <v>30</v>
      </c>
      <c r="AT252" t="str">
        <f t="shared" ref="AT252" si="122">IF(I252&lt;&gt;"",MAX(8,(I252-G252)-4),"")</f>
        <v/>
      </c>
      <c r="AU252">
        <v>-15</v>
      </c>
      <c r="AV252">
        <v>-30</v>
      </c>
      <c r="AW252">
        <f t="shared" ref="AW252" si="123">MIN(Y252/150, 1)*30</f>
        <v>28</v>
      </c>
      <c r="AX252">
        <f t="shared" ref="AX252" si="124">MIN(K252/4000, 1)*20</f>
        <v>16</v>
      </c>
      <c r="AY252">
        <f t="shared" ref="AY252" si="125">MIN(W252/400,1)*20</f>
        <v>9.75</v>
      </c>
      <c r="AZ252" s="4">
        <f t="shared" si="94"/>
        <v>0.84399999999999997</v>
      </c>
      <c r="BA252">
        <f t="shared" ref="BA252" si="126">((MAX($J252,1)*MIN($AE252/300,1)))*IF(D252="Wagon",50,10)</f>
        <v>8.8000000000000007</v>
      </c>
      <c r="BB252">
        <f>VLOOKUP($E252,Constants!$I:$K, 2, FALSE)</f>
        <v>0.9</v>
      </c>
      <c r="BC252">
        <f>VLOOKUP($E252,Constants!$I:$K, 3, FALSE)*IF(AND(D252="multiple_unit",Y252&lt;110),0.75,1)</f>
        <v>2.5</v>
      </c>
      <c r="BD252">
        <f>INT(POWER(((Constants!$G$2+$AW252+$AX252+$AY252+$BA252)*$AZ252)*$BC252, 1.05))+$AV252</f>
        <v>152</v>
      </c>
      <c r="BE252">
        <f>INT(POWER((((Constants!$G$1+$AW252+$AX252+$AY252+$BA252)*($AZ252))*$BB252),IF($D252="wagon",1,1.2)))+$AU252</f>
        <v>118</v>
      </c>
      <c r="BF252" s="15">
        <f t="shared" ref="BF252" si="127">BD252*IF($D252="wagon",62.5,781.25)</f>
        <v>118750</v>
      </c>
      <c r="BG252" s="15">
        <f t="shared" ref="BG252" si="128">BE252*IF($D252="wagon",2.73,81.25)</f>
        <v>9587.5</v>
      </c>
      <c r="BM252" t="s">
        <v>1197</v>
      </c>
      <c r="BN252">
        <v>10</v>
      </c>
      <c r="BO252">
        <v>222</v>
      </c>
      <c r="BQ252" t="s">
        <v>316</v>
      </c>
      <c r="BR252" t="str">
        <f>VLOOKUP(G252,Eras!$A$2:$C$10, 2, TRUE)</f>
        <v>mod</v>
      </c>
      <c r="BS252" t="s">
        <v>367</v>
      </c>
      <c r="BT252" t="str">
        <f t="shared" ref="BT252" si="129">CONCATENATE(BR252,"_",BS252)</f>
        <v>mod_EMU (Express)</v>
      </c>
      <c r="BU252" t="str">
        <f t="shared" si="82"/>
        <v>dual_power_ELRL</v>
      </c>
      <c r="BV252" t="str">
        <f>VLOOKUP($BU252, Constants!$M:$N, 2, FALSE)</f>
        <v>{BLACK}Powered by: {GOLD}25kV AC / Diesel</v>
      </c>
      <c r="BW252" t="str">
        <f t="shared" si="106"/>
        <v>{BLACK}Cars: {GOLD}4</v>
      </c>
      <c r="BX252" t="s">
        <v>1328</v>
      </c>
      <c r="BY252" t="str">
        <f t="shared" si="107"/>
        <v>{YELLOW}20% Bonus for long distance travel{}</v>
      </c>
      <c r="BZ252" t="str">
        <f t="shared" si="84"/>
        <v>{BLACK}Powered by: {GOLD}25kV AC / Diesel {BLACK}Cars: {GOLD}4{}{YELLOW}20% Bonus for long distance travel{}{SILVER}The Class 800 "Azuma" (on LNER) or "IET" (on GWR) is a high speed bi-mode unit based on the Hitachi AT300 series. It is designed to replace HST and Class 91 hauled services on Intercity routes.</v>
      </c>
    </row>
    <row r="253" spans="1:78" x14ac:dyDescent="0.25">
      <c r="A253" t="s">
        <v>98</v>
      </c>
      <c r="B253" t="s">
        <v>688</v>
      </c>
      <c r="C253">
        <v>510</v>
      </c>
      <c r="D253" t="s">
        <v>437</v>
      </c>
      <c r="E253" t="s">
        <v>305</v>
      </c>
      <c r="F253" t="s">
        <v>307</v>
      </c>
      <c r="G253">
        <v>2019</v>
      </c>
      <c r="J253">
        <v>2</v>
      </c>
      <c r="K253">
        <f>523*2</f>
        <v>1046</v>
      </c>
      <c r="T253">
        <v>80</v>
      </c>
      <c r="V253">
        <f>8*J253</f>
        <v>16</v>
      </c>
      <c r="W253">
        <v>145</v>
      </c>
      <c r="X253" s="4">
        <f t="shared" si="119"/>
        <v>0.18124999999999999</v>
      </c>
      <c r="Y253">
        <v>100</v>
      </c>
      <c r="AA253">
        <v>24</v>
      </c>
      <c r="AB253">
        <v>24</v>
      </c>
      <c r="AC253">
        <v>2.7</v>
      </c>
      <c r="AD253">
        <v>3.85</v>
      </c>
      <c r="AE253" s="11">
        <v>63</v>
      </c>
      <c r="AF253" t="str">
        <f>CONCATENATE(VLOOKUP(AG253, 'Voxel Sizes'!$A$2:$B$18,2,FALSE),"x",INT(AC253*15), "x", INT(AD253*15))</f>
        <v>238x40x57</v>
      </c>
      <c r="AG253">
        <f t="shared" si="85"/>
        <v>14</v>
      </c>
      <c r="AI253" t="str">
        <f>CONCATENATE(VLOOKUP(AG253,Constants!$A$2:$C$16,IF(AH253&lt;&gt;"", 3, 2), FALSE),IF(AH253&lt;&gt;"",CONCATENATE(",",VLOOKUP(AH253,$B:$AI,34,FALSE)),""))</f>
        <v>4,6,4</v>
      </c>
      <c r="AM253" t="s">
        <v>689</v>
      </c>
      <c r="AO253" t="s">
        <v>501</v>
      </c>
      <c r="AS253">
        <v>30</v>
      </c>
      <c r="AT253" t="str">
        <f t="shared" si="86"/>
        <v/>
      </c>
      <c r="AU253">
        <v>-15</v>
      </c>
      <c r="AV253">
        <v>-25</v>
      </c>
      <c r="AW253">
        <f t="shared" si="87"/>
        <v>20</v>
      </c>
      <c r="AX253">
        <f t="shared" si="88"/>
        <v>5.23</v>
      </c>
      <c r="AY253">
        <f t="shared" si="89"/>
        <v>7.25</v>
      </c>
      <c r="AZ253" s="4">
        <f t="shared" si="94"/>
        <v>0.84133333333333327</v>
      </c>
      <c r="BA253">
        <f t="shared" si="90"/>
        <v>4.2</v>
      </c>
      <c r="BB253">
        <f>VLOOKUP($E253,Constants!$I:$K, 2, FALSE)</f>
        <v>1</v>
      </c>
      <c r="BC253">
        <f>VLOOKUP($E253,Constants!$I:$K, 3, FALSE)*IF(AND(D253="multiple_unit",Y253&lt;110),0.75,1)</f>
        <v>1.5</v>
      </c>
      <c r="BD253">
        <f>INT(POWER(((Constants!$G$2+$AW253+$AX253+$AY253+$BA253)*$AZ253)*$BC253, 1.05))+$AV253</f>
        <v>39</v>
      </c>
      <c r="BE253">
        <f>INT(POWER((((Constants!$G$1+$AW253+$AX253+$AY253+$BA253)*($AZ253))*$BB253),IF($D253="wagon",1,1.2)))+$AU253</f>
        <v>77</v>
      </c>
      <c r="BF253" s="15">
        <f t="shared" si="91"/>
        <v>30468.75</v>
      </c>
      <c r="BG253" s="15">
        <f t="shared" si="92"/>
        <v>6256.25</v>
      </c>
      <c r="BN253">
        <v>2</v>
      </c>
      <c r="BO253">
        <v>185</v>
      </c>
      <c r="BQ253" t="s">
        <v>316</v>
      </c>
      <c r="BR253" t="str">
        <f>VLOOKUP(G253,Eras!$A$2:$C$10, 2, TRUE)</f>
        <v>mod</v>
      </c>
      <c r="BS253" t="s">
        <v>364</v>
      </c>
      <c r="BT253" t="str">
        <f t="shared" si="93"/>
        <v>mod_DMU</v>
      </c>
      <c r="BU253" t="str">
        <f t="shared" si="82"/>
        <v>diesel_RAIL</v>
      </c>
      <c r="BV253" t="str">
        <f>VLOOKUP($BU253, Constants!$M:$N, 2, FALSE)</f>
        <v>{BLACK}Powered by: {GOLD}Diesel</v>
      </c>
      <c r="BW253" t="str">
        <f t="shared" si="106"/>
        <v>{BLACK}Cars: {GOLD}2</v>
      </c>
      <c r="BX253" t="s">
        <v>690</v>
      </c>
      <c r="BY253" t="str">
        <f t="shared" si="107"/>
        <v/>
      </c>
      <c r="BZ253" t="str">
        <f t="shared" si="84"/>
        <v>{BLACK}Powered by: {GOLD}Diesel {BLACK}Cars: {GOLD}2{}{SILVER}The Class 195 is designed to replace Sprinter and Pacer units with a multiple unit of far higher quality and passenger comfort.</v>
      </c>
    </row>
    <row r="254" spans="1:78" x14ac:dyDescent="0.25">
      <c r="A254" t="s">
        <v>1293</v>
      </c>
      <c r="B254" t="s">
        <v>1297</v>
      </c>
      <c r="C254">
        <v>511</v>
      </c>
      <c r="D254" t="s">
        <v>437</v>
      </c>
      <c r="E254" t="s">
        <v>578</v>
      </c>
      <c r="F254" t="s">
        <v>330</v>
      </c>
      <c r="G254">
        <v>2019</v>
      </c>
      <c r="J254">
        <v>5</v>
      </c>
      <c r="K254">
        <v>3500</v>
      </c>
      <c r="L254" s="9">
        <v>2570</v>
      </c>
      <c r="T254">
        <v>163</v>
      </c>
      <c r="V254">
        <f>8*J254</f>
        <v>40</v>
      </c>
      <c r="W254">
        <v>185</v>
      </c>
      <c r="X254" s="4">
        <f t="shared" si="119"/>
        <v>0.11349693251533742</v>
      </c>
      <c r="Y254">
        <v>100</v>
      </c>
      <c r="AA254">
        <v>20.100000000000001</v>
      </c>
      <c r="AB254">
        <v>20.100000000000001</v>
      </c>
      <c r="AC254">
        <v>2.72</v>
      </c>
      <c r="AD254">
        <v>3.95</v>
      </c>
      <c r="AE254" s="11">
        <v>45</v>
      </c>
      <c r="AF254" t="str">
        <f>CONCATENATE(VLOOKUP(AG254, 'Voxel Sizes'!$A$2:$B$18,2,FALSE),"x",INT(AC254*15), "x", INT(AD254*15))</f>
        <v>198x40x59</v>
      </c>
      <c r="AG254">
        <f t="shared" si="85"/>
        <v>12</v>
      </c>
      <c r="AI254" t="str">
        <f>CONCATENATE(VLOOKUP(AG254,Constants!$A$2:$C$16,IF(AH254&lt;&gt;"", 3, 2), FALSE),IF(AH254&lt;&gt;"",CONCATENATE(",",VLOOKUP(AH254,$B:$AI,34,FALSE)),""))</f>
        <v>4,4,4</v>
      </c>
      <c r="AJ254">
        <v>6</v>
      </c>
      <c r="AK254" s="13" t="s">
        <v>1303</v>
      </c>
      <c r="AL254" s="13" t="s">
        <v>1306</v>
      </c>
      <c r="AM254" t="s">
        <v>1305</v>
      </c>
      <c r="AN254" t="s">
        <v>1301</v>
      </c>
      <c r="AO254" t="s">
        <v>1304</v>
      </c>
      <c r="AS254">
        <v>30</v>
      </c>
      <c r="AT254" t="str">
        <f t="shared" si="86"/>
        <v/>
      </c>
      <c r="AU254">
        <v>-15</v>
      </c>
      <c r="AV254">
        <v>-30</v>
      </c>
      <c r="AW254">
        <f t="shared" si="87"/>
        <v>20</v>
      </c>
      <c r="AX254">
        <f t="shared" si="88"/>
        <v>17.5</v>
      </c>
      <c r="AY254">
        <f t="shared" si="89"/>
        <v>9.25</v>
      </c>
      <c r="AZ254" s="4">
        <f t="shared" si="94"/>
        <v>0.84133333333333327</v>
      </c>
      <c r="BA254">
        <f t="shared" si="90"/>
        <v>7.5</v>
      </c>
      <c r="BB254">
        <f>VLOOKUP($E254,Constants!$I:$K, 2, FALSE)</f>
        <v>0.9</v>
      </c>
      <c r="BC254">
        <f>VLOOKUP($E254,Constants!$I:$K, 3, FALSE)*IF(AND(D254="multiple_unit",Y254&lt;110),0.75,1)</f>
        <v>1.875</v>
      </c>
      <c r="BD254">
        <f>INT(POWER(((Constants!$G$2+$AW254+$AX254+$AY254+$BA254)*$AZ254)*$BC254, 1.05))+$AV254</f>
        <v>87</v>
      </c>
      <c r="BE254">
        <f>INT(POWER((((Constants!$G$1+$AW254+$AX254+$AY254+$BA254)*($AZ254))*$BB254),IF($D254="wagon",1,1.2)))+$AU254</f>
        <v>100</v>
      </c>
      <c r="BF254" s="15">
        <f t="shared" si="91"/>
        <v>67968.75</v>
      </c>
      <c r="BG254" s="15">
        <f t="shared" si="92"/>
        <v>8125</v>
      </c>
      <c r="BN254">
        <v>9</v>
      </c>
      <c r="BQ254" t="s">
        <v>316</v>
      </c>
      <c r="BR254" t="str">
        <f>VLOOKUP(G254,Eras!$A$2:$C$10, 2, TRUE)</f>
        <v>mod</v>
      </c>
      <c r="BS254" t="s">
        <v>366</v>
      </c>
      <c r="BT254" t="str">
        <f t="shared" si="93"/>
        <v>mod_EMU</v>
      </c>
      <c r="BU254" t="str">
        <f t="shared" si="82"/>
        <v>dual_power_ELRL</v>
      </c>
      <c r="BV254" t="str">
        <f>VLOOKUP($BU254, Constants!$M:$N, 2, FALSE)</f>
        <v>{BLACK}Powered by: {GOLD}25kV AC / Diesel</v>
      </c>
      <c r="BW254" t="str">
        <f t="shared" si="106"/>
        <v>{BLACK}Cars: {GOLD}5</v>
      </c>
      <c r="BX254" t="s">
        <v>1296</v>
      </c>
      <c r="BY254" t="str">
        <f t="shared" si="107"/>
        <v/>
      </c>
      <c r="BZ254" t="str">
        <f t="shared" si="84"/>
        <v>{BLACK}Powered by: {GOLD}25kV AC / Diesel {BLACK}Cars: {GOLD}5{}{SILVER}The Class 755 was designed to modernise services on the East Anglia franchise. The design features a distinctive "power pack" containing the diesel engines used for bi-mode operation.</v>
      </c>
    </row>
    <row r="255" spans="1:78" x14ac:dyDescent="0.25">
      <c r="A255" t="s">
        <v>1312</v>
      </c>
      <c r="B255" t="s">
        <v>1313</v>
      </c>
      <c r="C255">
        <v>512</v>
      </c>
      <c r="D255" t="s">
        <v>437</v>
      </c>
      <c r="E255" t="s">
        <v>329</v>
      </c>
      <c r="F255" t="s">
        <v>330</v>
      </c>
      <c r="G255">
        <v>2018</v>
      </c>
      <c r="J255">
        <v>3</v>
      </c>
      <c r="K255">
        <f>335*6</f>
        <v>2010</v>
      </c>
      <c r="T255">
        <v>130</v>
      </c>
      <c r="V255">
        <f>8*J255</f>
        <v>24</v>
      </c>
      <c r="W255">
        <v>150</v>
      </c>
      <c r="X255" s="4">
        <f t="shared" si="119"/>
        <v>0.11538461538461539</v>
      </c>
      <c r="Y255">
        <v>100</v>
      </c>
      <c r="AA255">
        <v>23</v>
      </c>
      <c r="AB255">
        <v>23</v>
      </c>
      <c r="AE255" s="11">
        <v>69</v>
      </c>
      <c r="AF255" t="str">
        <f>CONCATENATE(VLOOKUP(AG255, 'Voxel Sizes'!$A$2:$B$18,2,FALSE),"x",INT(AC255*15), "x", INT(AD255*15))</f>
        <v>214x0x0</v>
      </c>
      <c r="AG255">
        <f t="shared" si="85"/>
        <v>13</v>
      </c>
      <c r="AI255" t="str">
        <f>CONCATENATE(VLOOKUP(AG255,Constants!$A$2:$C$16,IF(AH255&lt;&gt;"", 3, 2), FALSE),IF(AH255&lt;&gt;"",CONCATENATE(",",VLOOKUP(AH255,$B:$AI,34,FALSE)),""))</f>
        <v>4,5,4</v>
      </c>
      <c r="AM255" t="s">
        <v>1330</v>
      </c>
      <c r="AO255" t="s">
        <v>325</v>
      </c>
      <c r="AS255">
        <v>32</v>
      </c>
      <c r="AT255" t="str">
        <f t="shared" si="86"/>
        <v/>
      </c>
      <c r="AU255">
        <v>-15</v>
      </c>
      <c r="AV255">
        <v>-32</v>
      </c>
      <c r="AW255">
        <f t="shared" si="87"/>
        <v>20</v>
      </c>
      <c r="AX255">
        <f t="shared" si="88"/>
        <v>10.049999999999999</v>
      </c>
      <c r="AY255">
        <f t="shared" si="89"/>
        <v>7.5</v>
      </c>
      <c r="AZ255" s="4">
        <f t="shared" si="94"/>
        <v>0.84266666666666667</v>
      </c>
      <c r="BA255">
        <f t="shared" si="90"/>
        <v>6.9</v>
      </c>
      <c r="BB255">
        <f>VLOOKUP($E255,Constants!$I:$K, 2, FALSE)</f>
        <v>0.85</v>
      </c>
      <c r="BC255">
        <f>VLOOKUP($E255,Constants!$I:$K, 3, FALSE)*IF(AND(D255="multiple_unit",Y255&lt;110),0.75,1)</f>
        <v>1.7249999999999999</v>
      </c>
      <c r="BD255">
        <f>INT(POWER(((Constants!$G$2+$AW255+$AX255+$AY255+$BA255)*$AZ255)*$BC255, 1.05))+$AV255</f>
        <v>57</v>
      </c>
      <c r="BE255">
        <f>INT(POWER((((Constants!$G$1+$AW255+$AX255+$AY255+$BA255)*($AZ255))*$BB255),IF($D255="wagon",1,1.2)))+$AU255</f>
        <v>75</v>
      </c>
      <c r="BF255" s="15">
        <f t="shared" si="91"/>
        <v>44531.25</v>
      </c>
      <c r="BG255" s="15">
        <f t="shared" si="92"/>
        <v>6093.75</v>
      </c>
      <c r="BN255">
        <v>11</v>
      </c>
      <c r="BO255">
        <v>185</v>
      </c>
      <c r="BQ255" t="s">
        <v>316</v>
      </c>
      <c r="BR255" t="str">
        <f>VLOOKUP(G255,Eras!$A$2:$C$10, 2, TRUE)</f>
        <v>mod</v>
      </c>
      <c r="BS255" t="s">
        <v>366</v>
      </c>
      <c r="BT255" t="str">
        <f t="shared" si="93"/>
        <v>mod_EMU</v>
      </c>
      <c r="BU255" t="str">
        <f t="shared" si="82"/>
        <v>electric_ELRL</v>
      </c>
      <c r="BV255" t="str">
        <f>VLOOKUP($BU255, Constants!$M:$N, 2, FALSE)</f>
        <v>{BLACK}Powered by: {GOLD}25kV AC</v>
      </c>
      <c r="BW255" t="str">
        <f t="shared" si="106"/>
        <v>{BLACK}Cars: {GOLD}3</v>
      </c>
      <c r="BX255" t="s">
        <v>1331</v>
      </c>
      <c r="BY255" t="str">
        <f t="shared" si="107"/>
        <v/>
      </c>
      <c r="BZ255" t="str">
        <f t="shared" si="84"/>
        <v>{BLACK}Powered by: {GOLD}25kV AC {BLACK}Cars: {GOLD}3{}{SILVER}The Class 385 was built for use on newly electrified lines in Scotland. Unlike most AT200 variants, it has cab end doors to allow for trolley services throughout the train.</v>
      </c>
    </row>
    <row r="256" spans="1:78" x14ac:dyDescent="0.25">
      <c r="A256" t="s">
        <v>131</v>
      </c>
      <c r="B256" t="s">
        <v>230</v>
      </c>
      <c r="C256">
        <v>602</v>
      </c>
      <c r="D256" t="s">
        <v>314</v>
      </c>
      <c r="E256" t="s">
        <v>1157</v>
      </c>
      <c r="F256" t="s">
        <v>307</v>
      </c>
      <c r="G256">
        <v>1894</v>
      </c>
      <c r="I256">
        <v>1970</v>
      </c>
      <c r="T256">
        <v>20</v>
      </c>
      <c r="X256" s="4" t="str">
        <f t="shared" si="119"/>
        <v/>
      </c>
      <c r="Y256">
        <v>70</v>
      </c>
      <c r="AA256">
        <v>7.3</v>
      </c>
      <c r="AB256">
        <v>11</v>
      </c>
      <c r="AE256" s="11">
        <v>0</v>
      </c>
      <c r="AF256" t="str">
        <f>CONCATENATE(VLOOKUP(AG256, 'Voxel Sizes'!$A$2:$B$18,2,FALSE),"x",INT(AC256*15), "x", INT(AD256*15))</f>
        <v>102x0x0</v>
      </c>
      <c r="AG256">
        <f t="shared" si="85"/>
        <v>6</v>
      </c>
      <c r="AI256" t="str">
        <f>CONCATENATE(VLOOKUP(AG256,Constants!$A$2:$C$16,IF(AH256&lt;&gt;"", 3, 2), FALSE),IF(AH256&lt;&gt;"",CONCATENATE(",",VLOOKUP(AH256,$B:$AI,34,FALSE)),""))</f>
        <v>2,2,2</v>
      </c>
      <c r="AS256">
        <v>30</v>
      </c>
      <c r="AT256">
        <f t="shared" si="86"/>
        <v>72</v>
      </c>
      <c r="AW256">
        <f t="shared" si="87"/>
        <v>14</v>
      </c>
      <c r="AX256">
        <f t="shared" si="88"/>
        <v>0</v>
      </c>
      <c r="AY256">
        <f t="shared" si="89"/>
        <v>0</v>
      </c>
      <c r="AZ256" s="4">
        <f t="shared" si="94"/>
        <v>1</v>
      </c>
      <c r="BA256">
        <f t="shared" si="90"/>
        <v>0</v>
      </c>
      <c r="BB256">
        <f>VLOOKUP($E256,Constants!$I:$K, 2, FALSE)</f>
        <v>1</v>
      </c>
      <c r="BC256">
        <f>VLOOKUP($E256,Constants!$I:$K, 3, FALSE)*IF(AND(D256="multiple_unit",Y256&lt;110),0.75,1)</f>
        <v>0.4</v>
      </c>
      <c r="BD256">
        <f>INT(POWER(((Constants!$G$2+$AW256+$AX256+$AY256+$BA256)*$AZ256)*$BC256, 1.05))+$AV256</f>
        <v>8</v>
      </c>
      <c r="BE256">
        <f>INT(POWER((((Constants!$G$1+$AW256+$AX256+$AY256+$BA256)*($AZ256))*$BB256),IF($D256="wagon",1,1.2)))+$AU256</f>
        <v>29</v>
      </c>
      <c r="BF256" s="15">
        <f t="shared" si="91"/>
        <v>500</v>
      </c>
      <c r="BG256" s="15">
        <f t="shared" si="92"/>
        <v>79.17</v>
      </c>
      <c r="BN256">
        <v>7</v>
      </c>
      <c r="BP256" t="s">
        <v>1095</v>
      </c>
      <c r="BQ256" t="s">
        <v>743</v>
      </c>
      <c r="BR256" t="str">
        <f>VLOOKUP(G256,Eras!$A$2:$C$10, 2, TRUE)</f>
        <v>vct</v>
      </c>
      <c r="BS256" t="s">
        <v>741</v>
      </c>
      <c r="BT256" t="str">
        <f t="shared" si="93"/>
        <v>vct_Extra</v>
      </c>
      <c r="BU256" t="str">
        <f t="shared" si="82"/>
        <v>brake_RAIL</v>
      </c>
      <c r="BV256" t="str">
        <f>VLOOKUP($BU256, Constants!$M:$N, 2, FALSE)</f>
        <v/>
      </c>
      <c r="BW256" t="str">
        <f t="shared" si="106"/>
        <v/>
      </c>
      <c r="BX256" t="s">
        <v>742</v>
      </c>
      <c r="BY256" t="str">
        <f t="shared" si="107"/>
        <v>{YELLOW}Speed bonus for slow wagons{}</v>
      </c>
      <c r="BZ256" t="str">
        <f t="shared" si="84"/>
        <v>{YELLOW}Speed bonus for slow wagons{}{SILVER}The Great Western Railway standardised brake van designs from 1894. The distinctive design includes an open "veranda" at the back of the vehicle.</v>
      </c>
    </row>
    <row r="257" spans="1:78" x14ac:dyDescent="0.25">
      <c r="A257" t="s">
        <v>132</v>
      </c>
      <c r="B257" t="s">
        <v>231</v>
      </c>
      <c r="C257">
        <v>604</v>
      </c>
      <c r="D257" t="s">
        <v>314</v>
      </c>
      <c r="E257" t="s">
        <v>1157</v>
      </c>
      <c r="F257" t="s">
        <v>307</v>
      </c>
      <c r="G257">
        <v>1941</v>
      </c>
      <c r="I257">
        <v>1970</v>
      </c>
      <c r="T257">
        <v>20</v>
      </c>
      <c r="X257" s="4" t="str">
        <f t="shared" si="119"/>
        <v/>
      </c>
      <c r="Y257">
        <v>70</v>
      </c>
      <c r="AA257">
        <v>7.3</v>
      </c>
      <c r="AB257">
        <v>11</v>
      </c>
      <c r="AE257" s="11">
        <v>0</v>
      </c>
      <c r="AF257" t="str">
        <f>CONCATENATE(VLOOKUP(AG257, 'Voxel Sizes'!$A$2:$B$18,2,FALSE),"x",INT(AC257*15), "x", INT(AD257*15))</f>
        <v>102x0x0</v>
      </c>
      <c r="AG257">
        <f t="shared" si="85"/>
        <v>6</v>
      </c>
      <c r="AI257" t="str">
        <f>CONCATENATE(VLOOKUP(AG257,Constants!$A$2:$C$16,IF(AH257&lt;&gt;"", 3, 2), FALSE),IF(AH257&lt;&gt;"",CONCATENATE(",",VLOOKUP(AH257,$B:$AI,34,FALSE)),""))</f>
        <v>2,2,2</v>
      </c>
      <c r="AS257">
        <v>30</v>
      </c>
      <c r="AT257">
        <f t="shared" si="86"/>
        <v>25</v>
      </c>
      <c r="AW257">
        <f t="shared" si="87"/>
        <v>14</v>
      </c>
      <c r="AX257">
        <f t="shared" si="88"/>
        <v>0</v>
      </c>
      <c r="AY257">
        <f t="shared" si="89"/>
        <v>0</v>
      </c>
      <c r="AZ257" s="4">
        <f t="shared" si="94"/>
        <v>0.94533333333333336</v>
      </c>
      <c r="BA257">
        <f t="shared" si="90"/>
        <v>0</v>
      </c>
      <c r="BB257">
        <f>VLOOKUP($E257,Constants!$I:$K, 2, FALSE)</f>
        <v>1</v>
      </c>
      <c r="BC257">
        <f>VLOOKUP($E257,Constants!$I:$K, 3, FALSE)*IF(AND(D257="multiple_unit",Y257&lt;110),0.75,1)</f>
        <v>0.4</v>
      </c>
      <c r="BD257">
        <f>INT(POWER(((Constants!$G$2+$AW257+$AX257+$AY257+$BA257)*$AZ257)*$BC257, 1.05))+$AV257</f>
        <v>7</v>
      </c>
      <c r="BE257">
        <f>INT(POWER((((Constants!$G$1+$AW257+$AX257+$AY257+$BA257)*($AZ257))*$BB257),IF($D257="wagon",1,1.2)))+$AU257</f>
        <v>27</v>
      </c>
      <c r="BF257" s="15">
        <f t="shared" si="91"/>
        <v>437.5</v>
      </c>
      <c r="BG257" s="15">
        <f t="shared" si="92"/>
        <v>73.709999999999994</v>
      </c>
      <c r="BN257">
        <v>8</v>
      </c>
      <c r="BP257" t="s">
        <v>1095</v>
      </c>
      <c r="BQ257" t="s">
        <v>743</v>
      </c>
      <c r="BR257" t="str">
        <f>VLOOKUP(G257,Eras!$A$2:$C$10, 2, TRUE)</f>
        <v>big4</v>
      </c>
      <c r="BS257" t="s">
        <v>741</v>
      </c>
      <c r="BT257" t="str">
        <f t="shared" si="93"/>
        <v>big4_Extra</v>
      </c>
      <c r="BU257" t="str">
        <f t="shared" si="82"/>
        <v>brake_RAIL</v>
      </c>
      <c r="BV257" t="str">
        <f>VLOOKUP($BU257, Constants!$M:$N, 2, FALSE)</f>
        <v/>
      </c>
      <c r="BW257" t="str">
        <f t="shared" si="106"/>
        <v/>
      </c>
      <c r="BX257" t="s">
        <v>756</v>
      </c>
      <c r="BY257" t="str">
        <f t="shared" si="107"/>
        <v>{YELLOW}Speed bonus for slow wagons{}</v>
      </c>
      <c r="BZ257" t="str">
        <f t="shared" si="84"/>
        <v>{YELLOW}Speed bonus for slow wagons{}{SILVER}BR inherited a large number of brake vans from the Big Four, but quickly set about introducing their own standard model based on 1940s LNER practice.</v>
      </c>
    </row>
    <row r="258" spans="1:78" x14ac:dyDescent="0.25">
      <c r="A258" t="s">
        <v>133</v>
      </c>
      <c r="B258" t="s">
        <v>232</v>
      </c>
      <c r="C258">
        <v>606</v>
      </c>
      <c r="D258" t="s">
        <v>314</v>
      </c>
      <c r="E258" t="s">
        <v>1157</v>
      </c>
      <c r="F258" t="s">
        <v>307</v>
      </c>
      <c r="G258">
        <v>1850</v>
      </c>
      <c r="I258">
        <v>1910</v>
      </c>
      <c r="T258">
        <v>10</v>
      </c>
      <c r="X258" s="4" t="str">
        <f t="shared" ref="X258" si="130">IF(AND(T258&gt;0,W258&gt;0),(W258/((T258+U258)*10)),"")</f>
        <v/>
      </c>
      <c r="Y258">
        <v>50</v>
      </c>
      <c r="AA258">
        <v>6</v>
      </c>
      <c r="AB258">
        <v>6</v>
      </c>
      <c r="AE258" s="11">
        <v>0</v>
      </c>
      <c r="AF258" t="str">
        <f>CONCATENATE(VLOOKUP(AG258, 'Voxel Sizes'!$A$2:$B$18,2,FALSE),"x",INT(AC258*15), "x", INT(AD258*15))</f>
        <v>60x0x0</v>
      </c>
      <c r="AG258">
        <f t="shared" ref="AG258" si="131">ROUND(15*((AB258*10)/256),0)</f>
        <v>4</v>
      </c>
      <c r="AI258" t="str">
        <f>CONCATENATE(VLOOKUP(AG258,Constants!$A$2:$C$16,IF(AH258&lt;&gt;"", 3, 2), FALSE),IF(AH258&lt;&gt;"",CONCATENATE(",",VLOOKUP(AH258,$B:$AI,34,FALSE)),""))</f>
        <v>1,2,1</v>
      </c>
      <c r="AS258">
        <v>30</v>
      </c>
      <c r="AT258">
        <f t="shared" ref="AT258" si="132">IF(I258&lt;&gt;"",MAX(8,(I258-G258)-4),"")</f>
        <v>56</v>
      </c>
      <c r="AW258">
        <f t="shared" ref="AW258" si="133">MIN(Y258/150, 1)*30</f>
        <v>10</v>
      </c>
      <c r="AX258">
        <f t="shared" ref="AX258" si="134">MIN(K258/4000, 1)*20</f>
        <v>0</v>
      </c>
      <c r="AY258">
        <f t="shared" ref="AY258" si="135">MIN(W258/400,1)*20</f>
        <v>0</v>
      </c>
      <c r="AZ258" s="4">
        <f t="shared" ref="AZ258" si="136">1-(MAX(G258-1900, 0)/750)</f>
        <v>1</v>
      </c>
      <c r="BA258">
        <f t="shared" ref="BA258" si="137">((MAX($J258,1)*MIN($AE258/300,1)))*IF(D258="Wagon",50,10)</f>
        <v>0</v>
      </c>
      <c r="BB258">
        <f>VLOOKUP($E258,Constants!$I:$K, 2, FALSE)</f>
        <v>1</v>
      </c>
      <c r="BC258">
        <f>VLOOKUP($E258,Constants!$I:$K, 3, FALSE)*IF(AND(D258="multiple_unit",Y258&lt;110),0.75,1)</f>
        <v>0.4</v>
      </c>
      <c r="BD258">
        <f>INT(POWER(((Constants!$G$2+$AW258+$AX258+$AY258+$BA258)*$AZ258)*$BC258, 1.05))+$AV258</f>
        <v>6</v>
      </c>
      <c r="BE258">
        <f>INT(POWER((((Constants!$G$1+$AW258+$AX258+$AY258+$BA258)*($AZ258))*$BB258),IF($D258="wagon",1,1.2)))+$AU258</f>
        <v>25</v>
      </c>
      <c r="BF258" s="15">
        <f t="shared" ref="BF258" si="138">BD258*IF($D258="wagon",62.5,781.25)</f>
        <v>375</v>
      </c>
      <c r="BG258" s="15">
        <f t="shared" ref="BG258" si="139">BE258*IF($D258="wagon",2.73,81.25)</f>
        <v>68.25</v>
      </c>
      <c r="BN258">
        <v>7</v>
      </c>
      <c r="BP258" t="s">
        <v>1095</v>
      </c>
      <c r="BQ258" t="s">
        <v>743</v>
      </c>
      <c r="BR258" t="str">
        <f>VLOOKUP(G258,Eras!$A$2:$C$10, 2, TRUE)</f>
        <v>vct</v>
      </c>
      <c r="BS258" t="s">
        <v>741</v>
      </c>
      <c r="BT258" t="str">
        <f t="shared" ref="BT258" si="140">CONCATENATE(BR258,"_",BS258)</f>
        <v>vct_Extra</v>
      </c>
      <c r="BU258" t="str">
        <f t="shared" ref="BU258:BU292" si="141">_xlfn.CONCAT(E258, "_",F258)</f>
        <v>brake_RAIL</v>
      </c>
      <c r="BV258" t="str">
        <f>VLOOKUP($BU258, Constants!$M:$N, 2, FALSE)</f>
        <v/>
      </c>
      <c r="BW258" t="str">
        <f t="shared" si="106"/>
        <v/>
      </c>
      <c r="BX258" t="s">
        <v>1392</v>
      </c>
      <c r="BY258" t="str">
        <f t="shared" si="107"/>
        <v>{YELLOW}Speed bonus for slow wagons{}</v>
      </c>
      <c r="BZ258" t="str">
        <f t="shared" si="84"/>
        <v>{YELLOW}Speed bonus for slow wagons{}{SILVER}Brake vans gave extra braking power to allow trains to run at higher speed, and also gave a place for a guard to look after the train from the rear.</v>
      </c>
    </row>
    <row r="259" spans="1:78" x14ac:dyDescent="0.25">
      <c r="A259" t="s">
        <v>126</v>
      </c>
      <c r="B259" t="s">
        <v>229</v>
      </c>
      <c r="D259" t="s">
        <v>165</v>
      </c>
      <c r="E259" t="s">
        <v>1155</v>
      </c>
      <c r="F259" t="s">
        <v>307</v>
      </c>
      <c r="X259" s="4" t="str">
        <f t="shared" si="119"/>
        <v/>
      </c>
      <c r="AF259" t="str">
        <f>CONCATENATE(VLOOKUP(AG259, 'Voxel Sizes'!$A$2:$B$18,2,FALSE),"x",INT(AC259*15), "x", INT(AD259*15))</f>
        <v>0x0x0</v>
      </c>
      <c r="AG259">
        <f t="shared" si="85"/>
        <v>0</v>
      </c>
      <c r="AI259" t="str">
        <f>CONCATENATE(VLOOKUP(AG259,Constants!$A$2:$C$16,IF(AH259&lt;&gt;"", 3, 2), FALSE),IF(AH259&lt;&gt;"",CONCATENATE(",",VLOOKUP(AH259,$B:$AI,34,FALSE)),""))</f>
        <v>na</v>
      </c>
      <c r="AS259">
        <v>30</v>
      </c>
      <c r="AT259" t="str">
        <f t="shared" si="86"/>
        <v/>
      </c>
      <c r="AW259">
        <f t="shared" si="87"/>
        <v>0</v>
      </c>
      <c r="AX259">
        <f t="shared" si="88"/>
        <v>0</v>
      </c>
      <c r="AY259">
        <f t="shared" si="89"/>
        <v>0</v>
      </c>
      <c r="AZ259" s="4">
        <f t="shared" si="94"/>
        <v>1</v>
      </c>
      <c r="BA259">
        <f t="shared" si="90"/>
        <v>0</v>
      </c>
      <c r="BB259">
        <f>VLOOKUP($E259,Constants!$I:$K, 2, FALSE)</f>
        <v>1.2</v>
      </c>
      <c r="BC259">
        <f>VLOOKUP($E259,Constants!$I:$K, 3, FALSE)*IF(AND(D259="multiple_unit",Y259&lt;110),0.75,1)</f>
        <v>0.6</v>
      </c>
      <c r="BD259">
        <f>INT(POWER(((Constants!$G$2+$AW259+$AX259+$AY259+$BA259)*$AZ259)*$BC259, 1.05))+$AV259</f>
        <v>3</v>
      </c>
      <c r="BE259">
        <f>INT(POWER((((Constants!$G$1+$AW259+$AX259+$AY259+$BA259)*($AZ259))*$BB259),IF($D259="wagon",1,1.2)))+$AU259</f>
        <v>32</v>
      </c>
      <c r="BF259" s="15">
        <f t="shared" si="91"/>
        <v>2343.75</v>
      </c>
      <c r="BG259" s="15">
        <f t="shared" si="92"/>
        <v>2600</v>
      </c>
      <c r="BN259">
        <v>12</v>
      </c>
      <c r="BR259" t="e">
        <f>VLOOKUP(G259,Eras!$A$2:$C$10, 2, TRUE)</f>
        <v>#N/A</v>
      </c>
      <c r="BT259" t="e">
        <f t="shared" si="93"/>
        <v>#N/A</v>
      </c>
      <c r="BU259" t="str">
        <f t="shared" si="141"/>
        <v>carriage_RAIL</v>
      </c>
      <c r="BV259" t="str">
        <f>VLOOKUP($BU259, Constants!$M:$N, 2, FALSE)</f>
        <v/>
      </c>
      <c r="BW259" t="str">
        <f t="shared" si="106"/>
        <v/>
      </c>
      <c r="BY259" t="str">
        <f t="shared" si="107"/>
        <v/>
      </c>
      <c r="BZ259" t="str">
        <f t="shared" ref="BZ259:BZ292" si="142">_xlfn.CONCAT(BV259,IF(BV259 &lt;&gt; "", " ", ""),BW259,IF(OR(BW259&lt;&gt;"", BV259&lt;&gt;""), "{}",""), BY259,"{SILVER}", BX259)</f>
        <v>{SILVER}</v>
      </c>
    </row>
    <row r="260" spans="1:78" x14ac:dyDescent="0.25">
      <c r="A260" t="s">
        <v>103</v>
      </c>
      <c r="B260" t="s">
        <v>260</v>
      </c>
      <c r="D260" t="s">
        <v>165</v>
      </c>
      <c r="E260" t="s">
        <v>1158</v>
      </c>
      <c r="F260" t="s">
        <v>307</v>
      </c>
      <c r="X260" s="4" t="str">
        <f t="shared" si="119"/>
        <v/>
      </c>
      <c r="AF260" t="str">
        <f>CONCATENATE(VLOOKUP(AG260, 'Voxel Sizes'!$A$2:$B$18,2,FALSE),"x",INT(AC260*15), "x", INT(AD260*15))</f>
        <v>0x0x0</v>
      </c>
      <c r="AG260">
        <f t="shared" si="85"/>
        <v>0</v>
      </c>
      <c r="AI260" t="str">
        <f>CONCATENATE(VLOOKUP(AG260,Constants!$A$2:$C$16,IF(AH260&lt;&gt;"", 3, 2), FALSE),IF(AH260&lt;&gt;"",CONCATENATE(",",VLOOKUP(AH260,$B:$AI,34,FALSE)),""))</f>
        <v>na</v>
      </c>
      <c r="AS260">
        <v>30</v>
      </c>
      <c r="AT260" t="str">
        <f t="shared" si="86"/>
        <v/>
      </c>
      <c r="AW260">
        <f t="shared" si="87"/>
        <v>0</v>
      </c>
      <c r="AX260">
        <f t="shared" si="88"/>
        <v>0</v>
      </c>
      <c r="AY260">
        <f t="shared" si="89"/>
        <v>0</v>
      </c>
      <c r="AZ260" s="4">
        <f t="shared" si="94"/>
        <v>1</v>
      </c>
      <c r="BA260">
        <f t="shared" si="90"/>
        <v>0</v>
      </c>
      <c r="BB260">
        <f>VLOOKUP($E260,Constants!$I:$K, 2, FALSE)</f>
        <v>1</v>
      </c>
      <c r="BC260">
        <f>VLOOKUP($E260,Constants!$I:$K, 3, FALSE)*IF(AND(D260="multiple_unit",Y260&lt;110),0.75,1)</f>
        <v>1</v>
      </c>
      <c r="BD260">
        <f>INT(POWER(((Constants!$G$2+$AW260+$AX260+$AY260+$BA260)*$AZ260)*$BC260, 1.05))+$AV260</f>
        <v>5</v>
      </c>
      <c r="BE260">
        <f>INT(POWER((((Constants!$G$1+$AW260+$AX260+$AY260+$BA260)*($AZ260))*$BB260),IF($D260="wagon",1,1.2)))+$AU260</f>
        <v>25</v>
      </c>
      <c r="BF260" s="15">
        <f t="shared" si="91"/>
        <v>3906.25</v>
      </c>
      <c r="BG260" s="15">
        <f t="shared" si="92"/>
        <v>2031.25</v>
      </c>
      <c r="BN260">
        <v>1</v>
      </c>
      <c r="BR260" t="e">
        <f>VLOOKUP(G260,Eras!$A$2:$C$10, 2, TRUE)</f>
        <v>#N/A</v>
      </c>
      <c r="BT260" t="e">
        <f t="shared" si="93"/>
        <v>#N/A</v>
      </c>
      <c r="BU260" t="str">
        <f t="shared" si="141"/>
        <v>tube_RAIL</v>
      </c>
      <c r="BV260" t="str">
        <f>VLOOKUP($BU260, Constants!$M:$N, 2, FALSE)</f>
        <v/>
      </c>
      <c r="BW260" t="str">
        <f t="shared" si="106"/>
        <v/>
      </c>
      <c r="BY260" t="str">
        <f t="shared" si="107"/>
        <v/>
      </c>
      <c r="BZ260" t="str">
        <f t="shared" si="142"/>
        <v>{SILVER}</v>
      </c>
    </row>
    <row r="261" spans="1:78" x14ac:dyDescent="0.25">
      <c r="A261" t="s">
        <v>105</v>
      </c>
      <c r="B261" t="s">
        <v>214</v>
      </c>
      <c r="D261" t="s">
        <v>165</v>
      </c>
      <c r="E261" t="s">
        <v>1158</v>
      </c>
      <c r="F261" t="s">
        <v>307</v>
      </c>
      <c r="X261" s="4" t="str">
        <f t="shared" si="119"/>
        <v/>
      </c>
      <c r="AF261" t="str">
        <f>CONCATENATE(VLOOKUP(AG261, 'Voxel Sizes'!$A$2:$B$18,2,FALSE),"x",INT(AC261*15), "x", INT(AD261*15))</f>
        <v>0x0x0</v>
      </c>
      <c r="AG261">
        <f t="shared" si="85"/>
        <v>0</v>
      </c>
      <c r="AI261" t="str">
        <f>CONCATENATE(VLOOKUP(AG261,Constants!$A$2:$C$16,IF(AH261&lt;&gt;"", 3, 2), FALSE),IF(AH261&lt;&gt;"",CONCATENATE(",",VLOOKUP(AH261,$B:$AI,34,FALSE)),""))</f>
        <v>na</v>
      </c>
      <c r="AS261">
        <v>30</v>
      </c>
      <c r="AT261" t="str">
        <f t="shared" si="86"/>
        <v/>
      </c>
      <c r="AW261">
        <f t="shared" si="87"/>
        <v>0</v>
      </c>
      <c r="AX261">
        <f t="shared" si="88"/>
        <v>0</v>
      </c>
      <c r="AY261">
        <f t="shared" si="89"/>
        <v>0</v>
      </c>
      <c r="AZ261" s="4">
        <f t="shared" si="94"/>
        <v>1</v>
      </c>
      <c r="BA261">
        <f t="shared" si="90"/>
        <v>0</v>
      </c>
      <c r="BB261">
        <f>VLOOKUP($E261,Constants!$I:$K, 2, FALSE)</f>
        <v>1</v>
      </c>
      <c r="BC261">
        <f>VLOOKUP($E261,Constants!$I:$K, 3, FALSE)*IF(AND(D261="multiple_unit",Y261&lt;110),0.75,1)</f>
        <v>1</v>
      </c>
      <c r="BD261">
        <f>INT(POWER(((Constants!$G$2+$AW261+$AX261+$AY261+$BA261)*$AZ261)*$BC261, 1.05))+$AV261</f>
        <v>5</v>
      </c>
      <c r="BE261">
        <f>INT(POWER((((Constants!$G$1+$AW261+$AX261+$AY261+$BA261)*($AZ261))*$BB261),IF($D261="wagon",1,1.2)))+$AU261</f>
        <v>25</v>
      </c>
      <c r="BF261" s="15">
        <f t="shared" si="91"/>
        <v>3906.25</v>
      </c>
      <c r="BG261" s="15">
        <f t="shared" si="92"/>
        <v>2031.25</v>
      </c>
      <c r="BN261">
        <v>2</v>
      </c>
      <c r="BR261" t="e">
        <f>VLOOKUP(G261,Eras!$A$2:$C$10, 2, TRUE)</f>
        <v>#N/A</v>
      </c>
      <c r="BT261" t="e">
        <f t="shared" si="93"/>
        <v>#N/A</v>
      </c>
      <c r="BU261" t="str">
        <f t="shared" si="141"/>
        <v>tube_RAIL</v>
      </c>
      <c r="BV261" t="str">
        <f>VLOOKUP($BU261, Constants!$M:$N, 2, FALSE)</f>
        <v/>
      </c>
      <c r="BW261" t="str">
        <f t="shared" si="106"/>
        <v/>
      </c>
      <c r="BY261" t="str">
        <f t="shared" si="107"/>
        <v/>
      </c>
      <c r="BZ261" t="str">
        <f t="shared" si="142"/>
        <v>{SILVER}</v>
      </c>
    </row>
    <row r="262" spans="1:78" x14ac:dyDescent="0.25">
      <c r="A262" t="s">
        <v>106</v>
      </c>
      <c r="B262" t="s">
        <v>215</v>
      </c>
      <c r="D262" t="s">
        <v>165</v>
      </c>
      <c r="E262" t="s">
        <v>1158</v>
      </c>
      <c r="F262" t="s">
        <v>307</v>
      </c>
      <c r="X262" s="4" t="str">
        <f t="shared" si="119"/>
        <v/>
      </c>
      <c r="AF262" t="str">
        <f>CONCATENATE(VLOOKUP(AG262, 'Voxel Sizes'!$A$2:$B$18,2,FALSE),"x",INT(AC262*15), "x", INT(AD262*15))</f>
        <v>0x0x0</v>
      </c>
      <c r="AG262">
        <f t="shared" si="85"/>
        <v>0</v>
      </c>
      <c r="AI262" t="str">
        <f>CONCATENATE(VLOOKUP(AG262,Constants!$A$2:$C$16,IF(AH262&lt;&gt;"", 3, 2), FALSE),IF(AH262&lt;&gt;"",CONCATENATE(",",VLOOKUP(AH262,$B:$AI,34,FALSE)),""))</f>
        <v>na</v>
      </c>
      <c r="AS262">
        <v>30</v>
      </c>
      <c r="AT262" t="str">
        <f t="shared" si="86"/>
        <v/>
      </c>
      <c r="AW262">
        <f t="shared" si="87"/>
        <v>0</v>
      </c>
      <c r="AX262">
        <f t="shared" si="88"/>
        <v>0</v>
      </c>
      <c r="AY262">
        <f t="shared" si="89"/>
        <v>0</v>
      </c>
      <c r="AZ262" s="4">
        <f t="shared" si="94"/>
        <v>1</v>
      </c>
      <c r="BA262">
        <f t="shared" si="90"/>
        <v>0</v>
      </c>
      <c r="BB262">
        <f>VLOOKUP($E262,Constants!$I:$K, 2, FALSE)</f>
        <v>1</v>
      </c>
      <c r="BC262">
        <f>VLOOKUP($E262,Constants!$I:$K, 3, FALSE)*IF(AND(D262="multiple_unit",Y262&lt;110),0.75,1)</f>
        <v>1</v>
      </c>
      <c r="BD262">
        <f>INT(POWER(((Constants!$G$2+$AW262+$AX262+$AY262+$BA262)*$AZ262)*$BC262, 1.05))+$AV262</f>
        <v>5</v>
      </c>
      <c r="BE262">
        <f>INT(POWER((((Constants!$G$1+$AW262+$AX262+$AY262+$BA262)*($AZ262))*$BB262),IF($D262="wagon",1,1.2)))+$AU262</f>
        <v>25</v>
      </c>
      <c r="BF262" s="15">
        <f t="shared" si="91"/>
        <v>3906.25</v>
      </c>
      <c r="BG262" s="15">
        <f t="shared" si="92"/>
        <v>2031.25</v>
      </c>
      <c r="BN262">
        <v>3</v>
      </c>
      <c r="BR262" t="e">
        <f>VLOOKUP(G262,Eras!$A$2:$C$10, 2, TRUE)</f>
        <v>#N/A</v>
      </c>
      <c r="BT262" t="e">
        <f t="shared" si="93"/>
        <v>#N/A</v>
      </c>
      <c r="BU262" t="str">
        <f t="shared" si="141"/>
        <v>tube_RAIL</v>
      </c>
      <c r="BV262" t="str">
        <f>VLOOKUP($BU262, Constants!$M:$N, 2, FALSE)</f>
        <v/>
      </c>
      <c r="BW262" t="str">
        <f t="shared" si="106"/>
        <v/>
      </c>
      <c r="BY262" t="str">
        <f t="shared" si="107"/>
        <v/>
      </c>
      <c r="BZ262" t="str">
        <f t="shared" si="142"/>
        <v>{SILVER}</v>
      </c>
    </row>
    <row r="263" spans="1:78" x14ac:dyDescent="0.25">
      <c r="A263" t="s">
        <v>107</v>
      </c>
      <c r="B263" t="s">
        <v>258</v>
      </c>
      <c r="D263" t="s">
        <v>165</v>
      </c>
      <c r="E263" t="s">
        <v>1158</v>
      </c>
      <c r="F263" t="s">
        <v>307</v>
      </c>
      <c r="X263" s="4" t="str">
        <f t="shared" si="119"/>
        <v/>
      </c>
      <c r="AF263" t="str">
        <f>CONCATENATE(VLOOKUP(AG263, 'Voxel Sizes'!$A$2:$B$18,2,FALSE),"x",INT(AC263*15), "x", INT(AD263*15))</f>
        <v>0x0x0</v>
      </c>
      <c r="AG263">
        <f t="shared" si="85"/>
        <v>0</v>
      </c>
      <c r="AI263" t="str">
        <f>CONCATENATE(VLOOKUP(AG263,Constants!$A$2:$C$16,IF(AH263&lt;&gt;"", 3, 2), FALSE),IF(AH263&lt;&gt;"",CONCATENATE(",",VLOOKUP(AH263,$B:$AI,34,FALSE)),""))</f>
        <v>na</v>
      </c>
      <c r="AS263">
        <v>30</v>
      </c>
      <c r="AT263" t="str">
        <f t="shared" si="86"/>
        <v/>
      </c>
      <c r="AW263">
        <f t="shared" si="87"/>
        <v>0</v>
      </c>
      <c r="AX263">
        <f t="shared" si="88"/>
        <v>0</v>
      </c>
      <c r="AY263">
        <f t="shared" si="89"/>
        <v>0</v>
      </c>
      <c r="AZ263" s="4">
        <f t="shared" ref="AZ263:AZ291" si="143">1-(MAX(G263-1900, 0)/750)</f>
        <v>1</v>
      </c>
      <c r="BA263">
        <f t="shared" si="90"/>
        <v>0</v>
      </c>
      <c r="BB263">
        <f>VLOOKUP($E263,Constants!$I:$K, 2, FALSE)</f>
        <v>1</v>
      </c>
      <c r="BC263">
        <f>VLOOKUP($E263,Constants!$I:$K, 3, FALSE)*IF(AND(D263="multiple_unit",Y263&lt;110),0.75,1)</f>
        <v>1</v>
      </c>
      <c r="BD263">
        <f>INT(POWER(((Constants!$G$2+$AW263+$AX263+$AY263+$BA263)*$AZ263)*$BC263, 1.05))+$AV263</f>
        <v>5</v>
      </c>
      <c r="BE263">
        <f>INT(POWER((((Constants!$G$1+$AW263+$AX263+$AY263+$BA263)*($AZ263))*$BB263),IF($D263="wagon",1,1.2)))+$AU263</f>
        <v>25</v>
      </c>
      <c r="BF263" s="15">
        <f t="shared" si="91"/>
        <v>3906.25</v>
      </c>
      <c r="BG263" s="15">
        <f t="shared" si="92"/>
        <v>2031.25</v>
      </c>
      <c r="BN263">
        <v>4</v>
      </c>
      <c r="BR263" t="e">
        <f>VLOOKUP(G263,Eras!$A$2:$C$10, 2, TRUE)</f>
        <v>#N/A</v>
      </c>
      <c r="BT263" t="e">
        <f t="shared" si="93"/>
        <v>#N/A</v>
      </c>
      <c r="BU263" t="str">
        <f t="shared" si="141"/>
        <v>tube_RAIL</v>
      </c>
      <c r="BV263" t="str">
        <f>VLOOKUP($BU263, Constants!$M:$N, 2, FALSE)</f>
        <v/>
      </c>
      <c r="BW263" t="str">
        <f t="shared" si="106"/>
        <v/>
      </c>
      <c r="BY263" t="str">
        <f t="shared" si="107"/>
        <v/>
      </c>
      <c r="BZ263" t="str">
        <f t="shared" si="142"/>
        <v>{SILVER}</v>
      </c>
    </row>
    <row r="264" spans="1:78" x14ac:dyDescent="0.25">
      <c r="A264" t="s">
        <v>108</v>
      </c>
      <c r="B264" t="s">
        <v>284</v>
      </c>
      <c r="D264" t="s">
        <v>165</v>
      </c>
      <c r="E264" t="s">
        <v>1158</v>
      </c>
      <c r="F264" t="s">
        <v>307</v>
      </c>
      <c r="X264" s="4" t="str">
        <f t="shared" si="119"/>
        <v/>
      </c>
      <c r="AF264" t="str">
        <f>CONCATENATE(VLOOKUP(AG264, 'Voxel Sizes'!$A$2:$B$18,2,FALSE),"x",INT(AC264*15), "x", INT(AD264*15))</f>
        <v>0x0x0</v>
      </c>
      <c r="AG264">
        <f t="shared" si="85"/>
        <v>0</v>
      </c>
      <c r="AI264" t="str">
        <f>CONCATENATE(VLOOKUP(AG264,Constants!$A$2:$C$16,IF(AH264&lt;&gt;"", 3, 2), FALSE),IF(AH264&lt;&gt;"",CONCATENATE(",",VLOOKUP(AH264,$B:$AI,34,FALSE)),""))</f>
        <v>na</v>
      </c>
      <c r="AS264">
        <v>30</v>
      </c>
      <c r="AT264" t="str">
        <f t="shared" si="86"/>
        <v/>
      </c>
      <c r="AW264">
        <f t="shared" si="87"/>
        <v>0</v>
      </c>
      <c r="AX264">
        <f t="shared" si="88"/>
        <v>0</v>
      </c>
      <c r="AY264">
        <f t="shared" si="89"/>
        <v>0</v>
      </c>
      <c r="AZ264" s="4">
        <f t="shared" si="143"/>
        <v>1</v>
      </c>
      <c r="BA264">
        <f t="shared" si="90"/>
        <v>0</v>
      </c>
      <c r="BB264">
        <f>VLOOKUP($E264,Constants!$I:$K, 2, FALSE)</f>
        <v>1</v>
      </c>
      <c r="BC264">
        <f>VLOOKUP($E264,Constants!$I:$K, 3, FALSE)*IF(AND(D264="multiple_unit",Y264&lt;110),0.75,1)</f>
        <v>1</v>
      </c>
      <c r="BD264">
        <f>INT(POWER(((Constants!$G$2+$AW264+$AX264+$AY264+$BA264)*$AZ264)*$BC264, 1.05))+$AV264</f>
        <v>5</v>
      </c>
      <c r="BE264">
        <f>INT(POWER((((Constants!$G$1+$AW264+$AX264+$AY264+$BA264)*($AZ264))*$BB264),IF($D264="wagon",1,1.2)))+$AU264</f>
        <v>25</v>
      </c>
      <c r="BF264" s="15">
        <f t="shared" si="91"/>
        <v>3906.25</v>
      </c>
      <c r="BG264" s="15">
        <f t="shared" si="92"/>
        <v>2031.25</v>
      </c>
      <c r="BN264">
        <v>5</v>
      </c>
      <c r="BR264" t="e">
        <f>VLOOKUP(G264,Eras!$A$2:$C$10, 2, TRUE)</f>
        <v>#N/A</v>
      </c>
      <c r="BS264" t="s">
        <v>378</v>
      </c>
      <c r="BT264" t="e">
        <f t="shared" si="93"/>
        <v>#N/A</v>
      </c>
      <c r="BU264" t="str">
        <f t="shared" si="141"/>
        <v>tube_RAIL</v>
      </c>
      <c r="BV264" t="str">
        <f>VLOOKUP($BU264, Constants!$M:$N, 2, FALSE)</f>
        <v/>
      </c>
      <c r="BW264" t="str">
        <f t="shared" si="106"/>
        <v/>
      </c>
      <c r="BY264" t="str">
        <f t="shared" si="107"/>
        <v/>
      </c>
      <c r="BZ264" t="str">
        <f t="shared" si="142"/>
        <v>{SILVER}</v>
      </c>
    </row>
    <row r="265" spans="1:78" x14ac:dyDescent="0.25">
      <c r="A265" t="s">
        <v>109</v>
      </c>
      <c r="B265" t="s">
        <v>216</v>
      </c>
      <c r="D265" t="s">
        <v>165</v>
      </c>
      <c r="E265" t="s">
        <v>1158</v>
      </c>
      <c r="F265" t="s">
        <v>307</v>
      </c>
      <c r="X265" s="4" t="str">
        <f t="shared" si="119"/>
        <v/>
      </c>
      <c r="AF265" t="str">
        <f>CONCATENATE(VLOOKUP(AG265, 'Voxel Sizes'!$A$2:$B$18,2,FALSE),"x",INT(AC265*15), "x", INT(AD265*15))</f>
        <v>0x0x0</v>
      </c>
      <c r="AG265">
        <f t="shared" ref="AG265:AG291" si="144">ROUND(15*((AB265*10)/256),0)</f>
        <v>0</v>
      </c>
      <c r="AI265" t="str">
        <f>CONCATENATE(VLOOKUP(AG265,Constants!$A$2:$C$16,IF(AH265&lt;&gt;"", 3, 2), FALSE),IF(AH265&lt;&gt;"",CONCATENATE(",",VLOOKUP(AH265,$B:$AI,34,FALSE)),""))</f>
        <v>na</v>
      </c>
      <c r="AS265">
        <v>30</v>
      </c>
      <c r="AT265" t="str">
        <f t="shared" ref="AT265:AT292" si="145">IF(I265&lt;&gt;"",MAX(8,(I265-G265)-4),"")</f>
        <v/>
      </c>
      <c r="AW265">
        <f t="shared" ref="AW265:AW291" si="146">MIN(Y265/150, 1)*30</f>
        <v>0</v>
      </c>
      <c r="AX265">
        <f t="shared" ref="AX265:AX291" si="147">MIN(K265/4000, 1)*20</f>
        <v>0</v>
      </c>
      <c r="AY265">
        <f t="shared" ref="AY265:AY291" si="148">MIN(W265/400,1)*20</f>
        <v>0</v>
      </c>
      <c r="AZ265" s="4">
        <f t="shared" si="143"/>
        <v>1</v>
      </c>
      <c r="BA265">
        <f t="shared" ref="BA265:BA291" si="149">((MAX($J265,1)*MIN($AE265/300,1)))*IF(D265="Wagon",50,10)</f>
        <v>0</v>
      </c>
      <c r="BB265">
        <f>VLOOKUP($E265,Constants!$I:$K, 2, FALSE)</f>
        <v>1</v>
      </c>
      <c r="BC265">
        <f>VLOOKUP($E265,Constants!$I:$K, 3, FALSE)*IF(AND(D265="multiple_unit",Y265&lt;110),0.75,1)</f>
        <v>1</v>
      </c>
      <c r="BD265">
        <f>INT(POWER(((Constants!$G$2+$AW265+$AX265+$AY265+$BA265)*$AZ265)*$BC265, 1.05))+$AV265</f>
        <v>5</v>
      </c>
      <c r="BE265">
        <f>INT(POWER((((Constants!$G$1+$AW265+$AX265+$AY265+$BA265)*($AZ265))*$BB265),IF($D265="wagon",1,1.2)))+$AU265</f>
        <v>25</v>
      </c>
      <c r="BF265" s="15">
        <f t="shared" ref="BF265:BF291" si="150">BD265*IF($D265="wagon",62.5,781.25)</f>
        <v>3906.25</v>
      </c>
      <c r="BG265" s="15">
        <f t="shared" ref="BG265:BG291" si="151">BE265*IF($D265="wagon",2.73,81.25)</f>
        <v>2031.25</v>
      </c>
      <c r="BN265">
        <v>6</v>
      </c>
      <c r="BR265" t="e">
        <f>VLOOKUP(G265,Eras!$A$2:$C$10, 2, TRUE)</f>
        <v>#N/A</v>
      </c>
      <c r="BS265" t="s">
        <v>378</v>
      </c>
      <c r="BT265" t="e">
        <f t="shared" ref="BT265:BT291" si="152">CONCATENATE(BR265,"_",BS265)</f>
        <v>#N/A</v>
      </c>
      <c r="BU265" t="str">
        <f t="shared" si="141"/>
        <v>tube_RAIL</v>
      </c>
      <c r="BV265" t="str">
        <f>VLOOKUP($BU265, Constants!$M:$N, 2, FALSE)</f>
        <v/>
      </c>
      <c r="BW265" t="str">
        <f t="shared" si="106"/>
        <v/>
      </c>
      <c r="BY265" t="str">
        <f t="shared" si="107"/>
        <v/>
      </c>
      <c r="BZ265" t="str">
        <f t="shared" si="142"/>
        <v>{SILVER}</v>
      </c>
    </row>
    <row r="266" spans="1:78" x14ac:dyDescent="0.25">
      <c r="A266" t="s">
        <v>139</v>
      </c>
      <c r="B266" t="s">
        <v>236</v>
      </c>
      <c r="D266" t="s">
        <v>165</v>
      </c>
      <c r="E266" t="s">
        <v>314</v>
      </c>
      <c r="F266" t="s">
        <v>307</v>
      </c>
      <c r="X266" s="4" t="str">
        <f t="shared" si="119"/>
        <v/>
      </c>
      <c r="AE266" s="11">
        <v>0</v>
      </c>
      <c r="AF266" t="str">
        <f>CONCATENATE(VLOOKUP(AG266, 'Voxel Sizes'!$A$2:$B$18,2,FALSE),"x",INT(AC266*15), "x", INT(AD266*15))</f>
        <v>0x0x0</v>
      </c>
      <c r="AG266">
        <f t="shared" si="144"/>
        <v>0</v>
      </c>
      <c r="AI266" t="str">
        <f>CONCATENATE(VLOOKUP(AG266,Constants!$A$2:$C$16,IF(AH266&lt;&gt;"", 3, 2), FALSE),IF(AH266&lt;&gt;"",CONCATENATE(",",VLOOKUP(AH266,$B:$AI,34,FALSE)),""))</f>
        <v>na</v>
      </c>
      <c r="AS266">
        <v>30</v>
      </c>
      <c r="AT266" t="str">
        <f t="shared" si="145"/>
        <v/>
      </c>
      <c r="AW266">
        <f t="shared" si="146"/>
        <v>0</v>
      </c>
      <c r="AX266">
        <f t="shared" si="147"/>
        <v>0</v>
      </c>
      <c r="AY266">
        <f t="shared" si="148"/>
        <v>0</v>
      </c>
      <c r="AZ266" s="4">
        <f t="shared" si="143"/>
        <v>1</v>
      </c>
      <c r="BA266">
        <f t="shared" si="149"/>
        <v>0</v>
      </c>
      <c r="BB266">
        <f>VLOOKUP($E266,Constants!$I:$K, 2, FALSE)</f>
        <v>1</v>
      </c>
      <c r="BC266">
        <f>VLOOKUP($E266,Constants!$I:$K, 3, FALSE)*IF(AND(D266="multiple_unit",Y266&lt;110),0.75,1)</f>
        <v>0.45</v>
      </c>
      <c r="BD266">
        <f>INT(POWER(((Constants!$G$2+$AW266+$AX266+$AY266+$BA266)*$AZ266)*$BC266, 1.05))+$AV266</f>
        <v>2</v>
      </c>
      <c r="BE266">
        <f>INT(POWER((((Constants!$G$1+$AW266+$AX266+$AY266+$BA266)*($AZ266))*$BB266),IF($D266="wagon",1,1.2)))+$AU266</f>
        <v>25</v>
      </c>
      <c r="BF266" s="15">
        <f t="shared" si="150"/>
        <v>1562.5</v>
      </c>
      <c r="BG266" s="15">
        <f t="shared" si="151"/>
        <v>2031.25</v>
      </c>
      <c r="BN266">
        <v>7</v>
      </c>
      <c r="BR266" t="e">
        <f>VLOOKUP(G266,Eras!$A$2:$C$10, 2, TRUE)</f>
        <v>#N/A</v>
      </c>
      <c r="BT266" t="e">
        <f t="shared" si="152"/>
        <v>#N/A</v>
      </c>
      <c r="BU266" t="str">
        <f t="shared" si="141"/>
        <v>wagon_RAIL</v>
      </c>
      <c r="BV266" t="str">
        <f>VLOOKUP($BU266, Constants!$M:$N, 2, FALSE)</f>
        <v/>
      </c>
      <c r="BW266" t="str">
        <f t="shared" si="106"/>
        <v/>
      </c>
      <c r="BY266" t="str">
        <f t="shared" si="107"/>
        <v/>
      </c>
      <c r="BZ266" t="str">
        <f t="shared" si="142"/>
        <v>{SILVER}</v>
      </c>
    </row>
    <row r="267" spans="1:78" x14ac:dyDescent="0.25">
      <c r="A267" t="s">
        <v>687</v>
      </c>
      <c r="B267" t="s">
        <v>686</v>
      </c>
      <c r="D267" t="s">
        <v>165</v>
      </c>
      <c r="E267" t="s">
        <v>329</v>
      </c>
      <c r="F267" t="s">
        <v>330</v>
      </c>
      <c r="X267" s="4" t="str">
        <f t="shared" si="119"/>
        <v/>
      </c>
      <c r="AF267" t="str">
        <f>CONCATENATE(VLOOKUP(AG267, 'Voxel Sizes'!$A$2:$B$18,2,FALSE),"x",INT(AC267*15), "x", INT(AD267*15))</f>
        <v>0x0x0</v>
      </c>
      <c r="AG267">
        <f t="shared" si="144"/>
        <v>0</v>
      </c>
      <c r="AI267" t="str">
        <f>CONCATENATE(VLOOKUP(AG267,Constants!$A$2:$C$16,IF(AH267&lt;&gt;"", 3, 2), FALSE),IF(AH267&lt;&gt;"",CONCATENATE(",",VLOOKUP(AH267,$B:$AI,34,FALSE)),""))</f>
        <v>na</v>
      </c>
      <c r="AS267">
        <v>30</v>
      </c>
      <c r="AT267" t="str">
        <f t="shared" si="145"/>
        <v/>
      </c>
      <c r="AW267">
        <f t="shared" si="146"/>
        <v>0</v>
      </c>
      <c r="AX267">
        <f t="shared" si="147"/>
        <v>0</v>
      </c>
      <c r="AY267">
        <f t="shared" si="148"/>
        <v>0</v>
      </c>
      <c r="AZ267" s="4">
        <f t="shared" si="143"/>
        <v>1</v>
      </c>
      <c r="BA267">
        <f t="shared" si="149"/>
        <v>0</v>
      </c>
      <c r="BB267">
        <f>VLOOKUP($E267,Constants!$I:$K, 2, FALSE)</f>
        <v>0.85</v>
      </c>
      <c r="BC267">
        <f>VLOOKUP($E267,Constants!$I:$K, 3, FALSE)*IF(AND(D267="multiple_unit",Y267&lt;110),0.75,1)</f>
        <v>2.2999999999999998</v>
      </c>
      <c r="BD267">
        <f>INT(POWER(((Constants!$G$2+$AW267+$AX267+$AY267+$BA267)*$AZ267)*$BC267, 1.05))+$AV267</f>
        <v>12</v>
      </c>
      <c r="BE267">
        <f>INT(POWER((((Constants!$G$1+$AW267+$AX267+$AY267+$BA267)*($AZ267))*$BB267),IF($D267="wagon",1,1.2)))+$AU267</f>
        <v>21</v>
      </c>
      <c r="BF267" s="15">
        <f t="shared" si="150"/>
        <v>9375</v>
      </c>
      <c r="BG267" s="15">
        <f t="shared" si="151"/>
        <v>1706.25</v>
      </c>
      <c r="BN267">
        <v>8</v>
      </c>
      <c r="BR267" t="e">
        <f>VLOOKUP(G267,Eras!$A$2:$C$10, 2, TRUE)</f>
        <v>#N/A</v>
      </c>
      <c r="BT267" t="e">
        <f t="shared" si="152"/>
        <v>#N/A</v>
      </c>
      <c r="BU267" t="str">
        <f t="shared" si="141"/>
        <v>electric_ELRL</v>
      </c>
      <c r="BV267" t="str">
        <f>VLOOKUP($BU267, Constants!$M:$N, 2, FALSE)</f>
        <v>{BLACK}Powered by: {GOLD}25kV AC</v>
      </c>
      <c r="BW267" t="str">
        <f t="shared" si="106"/>
        <v/>
      </c>
      <c r="BY267" t="str">
        <f t="shared" si="107"/>
        <v/>
      </c>
      <c r="BZ267" t="str">
        <f t="shared" si="142"/>
        <v>{BLACK}Powered by: {GOLD}25kV AC {}{SILVER}</v>
      </c>
    </row>
    <row r="268" spans="1:78" x14ac:dyDescent="0.25">
      <c r="A268" t="s">
        <v>1314</v>
      </c>
      <c r="B268" t="s">
        <v>1315</v>
      </c>
      <c r="C268">
        <v>514</v>
      </c>
      <c r="D268" t="s">
        <v>437</v>
      </c>
      <c r="E268" t="s">
        <v>329</v>
      </c>
      <c r="F268" t="s">
        <v>330</v>
      </c>
      <c r="G268">
        <v>2017</v>
      </c>
      <c r="J268">
        <v>9</v>
      </c>
      <c r="K268">
        <v>1900</v>
      </c>
      <c r="T268">
        <v>264</v>
      </c>
      <c r="V268">
        <f>10*J268</f>
        <v>90</v>
      </c>
      <c r="W268">
        <v>220</v>
      </c>
      <c r="X268" s="4">
        <f t="shared" si="119"/>
        <v>8.3333333333333329E-2</v>
      </c>
      <c r="Y268">
        <v>90</v>
      </c>
      <c r="AA268">
        <v>22.7</v>
      </c>
      <c r="AB268">
        <v>22.7</v>
      </c>
      <c r="AE268" s="11">
        <v>78</v>
      </c>
      <c r="AF268" t="str">
        <f>CONCATENATE(VLOOKUP(AG268, 'Voxel Sizes'!$A$2:$B$18,2,FALSE),"x",INT(AC268*15), "x", INT(AD268*15))</f>
        <v>214x0x0</v>
      </c>
      <c r="AG268">
        <f t="shared" si="144"/>
        <v>13</v>
      </c>
      <c r="AI268" t="str">
        <f>CONCATENATE(VLOOKUP(AG268,Constants!$A$2:$C$16,IF(AH268&lt;&gt;"", 3, 2), FALSE),IF(AH268&lt;&gt;"",CONCATENATE(",",VLOOKUP(AH268,$B:$AI,34,FALSE)),""))</f>
        <v>4,5,4</v>
      </c>
      <c r="AM268" t="s">
        <v>1333</v>
      </c>
      <c r="AO268" t="s">
        <v>1334</v>
      </c>
      <c r="AS268">
        <v>30</v>
      </c>
      <c r="AT268" t="str">
        <f t="shared" si="145"/>
        <v/>
      </c>
      <c r="AU268">
        <v>-19</v>
      </c>
      <c r="AV268">
        <v>-22</v>
      </c>
      <c r="AW268">
        <f t="shared" si="146"/>
        <v>18</v>
      </c>
      <c r="AX268">
        <f t="shared" si="147"/>
        <v>9.5</v>
      </c>
      <c r="AY268">
        <f t="shared" si="148"/>
        <v>11</v>
      </c>
      <c r="AZ268" s="4">
        <f t="shared" si="143"/>
        <v>0.84399999999999997</v>
      </c>
      <c r="BA268">
        <f t="shared" si="149"/>
        <v>23.4</v>
      </c>
      <c r="BB268">
        <f>VLOOKUP($E268,Constants!$I:$K, 2, FALSE)</f>
        <v>0.85</v>
      </c>
      <c r="BC268">
        <f>VLOOKUP($E268,Constants!$I:$K, 3, FALSE)*IF(AND(D268="multiple_unit",Y268&lt;110),0.75,1)</f>
        <v>1.7249999999999999</v>
      </c>
      <c r="BD268">
        <f>INT(POWER(((Constants!$G$2+$AW268+$AX268+$AY268+$BA268)*$AZ268)*$BC268, 1.05))+$AV268</f>
        <v>100</v>
      </c>
      <c r="BE268">
        <f>INT(POWER((((Constants!$G$1+$AW268+$AX268+$AY268+$BA268)*($AZ268))*$BB268),IF($D268="wagon",1,1.2)))+$AU268</f>
        <v>104</v>
      </c>
      <c r="BF268" s="15">
        <f t="shared" si="150"/>
        <v>78125</v>
      </c>
      <c r="BG268" s="15">
        <f t="shared" si="151"/>
        <v>8450</v>
      </c>
      <c r="BM268" t="s">
        <v>1199</v>
      </c>
      <c r="BN268">
        <v>1</v>
      </c>
      <c r="BO268">
        <v>165</v>
      </c>
      <c r="BQ268" t="s">
        <v>316</v>
      </c>
      <c r="BR268" t="str">
        <f>VLOOKUP(G268,Eras!$A$2:$C$10, 2, TRUE)</f>
        <v>mod</v>
      </c>
      <c r="BS268" t="s">
        <v>366</v>
      </c>
      <c r="BT268" t="str">
        <f t="shared" si="152"/>
        <v>mod_EMU</v>
      </c>
      <c r="BU268" t="str">
        <f t="shared" si="141"/>
        <v>electric_ELRL</v>
      </c>
      <c r="BV268" t="str">
        <f>VLOOKUP($BU268, Constants!$M:$N, 2, FALSE)</f>
        <v>{BLACK}Powered by: {GOLD}25kV AC</v>
      </c>
      <c r="BW268" t="str">
        <f t="shared" si="106"/>
        <v>{BLACK}Cars: {GOLD}9</v>
      </c>
      <c r="BX268" t="s">
        <v>1335</v>
      </c>
      <c r="BY268" t="str">
        <f t="shared" si="107"/>
        <v>{YELLOW}10% Penalty for long distance travel{}</v>
      </c>
      <c r="BZ268" t="str">
        <f t="shared" si="142"/>
        <v>{BLACK}Powered by: {GOLD}25kV AC {BLACK}Cars: {GOLD}9{}{YELLOW}10% Penalty for long distance travel{}{SILVER}Designed for London's Crossrail route, the Class 345 entered service on TfL Rail between Liverpool Street and Shenfield.</v>
      </c>
    </row>
    <row r="269" spans="1:78" x14ac:dyDescent="0.25">
      <c r="A269" t="s">
        <v>1314</v>
      </c>
      <c r="B269" t="s">
        <v>1348</v>
      </c>
      <c r="C269">
        <v>517</v>
      </c>
      <c r="D269" t="s">
        <v>437</v>
      </c>
      <c r="E269" t="s">
        <v>329</v>
      </c>
      <c r="F269" t="s">
        <v>330</v>
      </c>
      <c r="G269">
        <v>2017</v>
      </c>
      <c r="J269">
        <v>7</v>
      </c>
      <c r="K269">
        <v>1900</v>
      </c>
      <c r="T269">
        <v>264</v>
      </c>
      <c r="V269">
        <f>10*J269</f>
        <v>70</v>
      </c>
      <c r="W269">
        <v>220</v>
      </c>
      <c r="X269" s="4">
        <f t="shared" ref="X269" si="153">IF(AND(T269&gt;0,W269&gt;0),(W269/((T269+U269)*10)),"")</f>
        <v>8.3333333333333329E-2</v>
      </c>
      <c r="Y269">
        <v>90</v>
      </c>
      <c r="AA269">
        <v>22.7</v>
      </c>
      <c r="AB269">
        <v>22.7</v>
      </c>
      <c r="AE269" s="11">
        <v>78</v>
      </c>
      <c r="AF269" t="str">
        <f>CONCATENATE(VLOOKUP(AG269, 'Voxel Sizes'!$A$2:$B$18,2,FALSE),"x",INT(AC269*15), "x", INT(AD269*15))</f>
        <v>214x0x0</v>
      </c>
      <c r="AG269">
        <f t="shared" ref="AG269" si="154">ROUND(15*((AB269*10)/256),0)</f>
        <v>13</v>
      </c>
      <c r="AI269" t="str">
        <f>CONCATENATE(VLOOKUP(AG269,Constants!$A$2:$C$16,IF(AH269&lt;&gt;"", 3, 2), FALSE),IF(AH269&lt;&gt;"",CONCATENATE(",",VLOOKUP(AH269,$B:$AI,34,FALSE)),""))</f>
        <v>4,5,4</v>
      </c>
      <c r="AM269" t="s">
        <v>1355</v>
      </c>
      <c r="AO269" t="s">
        <v>1356</v>
      </c>
      <c r="AP269" t="s">
        <v>1315</v>
      </c>
      <c r="AS269">
        <v>30</v>
      </c>
      <c r="AT269" t="str">
        <f t="shared" ref="AT269" si="155">IF(I269&lt;&gt;"",MAX(8,(I269-G269)-4),"")</f>
        <v/>
      </c>
      <c r="AU269">
        <v>-19</v>
      </c>
      <c r="AV269">
        <v>-22</v>
      </c>
      <c r="AW269">
        <f t="shared" ref="AW269" si="156">MIN(Y269/150, 1)*30</f>
        <v>18</v>
      </c>
      <c r="AX269">
        <f t="shared" ref="AX269" si="157">MIN(K269/4000, 1)*20</f>
        <v>9.5</v>
      </c>
      <c r="AY269">
        <f t="shared" ref="AY269" si="158">MIN(W269/400,1)*20</f>
        <v>11</v>
      </c>
      <c r="AZ269" s="4">
        <f t="shared" si="143"/>
        <v>0.84399999999999997</v>
      </c>
      <c r="BA269">
        <f t="shared" ref="BA269" si="159">((MAX($J269,1)*MIN($AE269/300,1)))*IF(D269="Wagon",50,10)</f>
        <v>18.2</v>
      </c>
      <c r="BB269">
        <f>VLOOKUP($E269,Constants!$I:$K, 2, FALSE)</f>
        <v>0.85</v>
      </c>
      <c r="BC269">
        <f>VLOOKUP($E269,Constants!$I:$K, 3, FALSE)*IF(AND(D269="multiple_unit",Y269&lt;110),0.75,1)</f>
        <v>1.7249999999999999</v>
      </c>
      <c r="BD269">
        <f>INT(POWER(((Constants!$G$2+$AW269+$AX269+$AY269+$BA269)*$AZ269)*$BC269, 1.05))+$AV269</f>
        <v>90</v>
      </c>
      <c r="BE269">
        <f>INT(POWER((((Constants!$G$1+$AW269+$AX269+$AY269+$BA269)*($AZ269))*$BB269),IF($D269="wagon",1,1.2)))+$AU269</f>
        <v>94</v>
      </c>
      <c r="BF269" s="15">
        <f t="shared" ref="BF269" si="160">BD269*IF($D269="wagon",62.5,781.25)</f>
        <v>70312.5</v>
      </c>
      <c r="BG269" s="15">
        <f t="shared" ref="BG269" si="161">BE269*IF($D269="wagon",2.73,81.25)</f>
        <v>7637.5</v>
      </c>
      <c r="BM269" t="s">
        <v>1198</v>
      </c>
      <c r="BN269">
        <v>1</v>
      </c>
      <c r="BO269">
        <v>165</v>
      </c>
      <c r="BQ269" t="s">
        <v>316</v>
      </c>
      <c r="BR269" t="str">
        <f>VLOOKUP(G269,Eras!$A$2:$C$10, 2, TRUE)</f>
        <v>mod</v>
      </c>
      <c r="BS269" t="s">
        <v>366</v>
      </c>
      <c r="BT269" t="str">
        <f t="shared" ref="BT269" si="162">CONCATENATE(BR269,"_",BS269)</f>
        <v>mod_EMU</v>
      </c>
      <c r="BU269" t="str">
        <f t="shared" si="141"/>
        <v>electric_ELRL</v>
      </c>
      <c r="BV269" t="str">
        <f>VLOOKUP($BU269, Constants!$M:$N, 2, FALSE)</f>
        <v>{BLACK}Powered by: {GOLD}25kV AC</v>
      </c>
      <c r="BW269" t="str">
        <f t="shared" ref="BW269:BW290" si="163">IF(J269&gt;1,_xlfn.CONCAT("{BLACK}Cars: {GOLD}", J269),"")</f>
        <v>{BLACK}Cars: {GOLD}7</v>
      </c>
      <c r="BX269" t="s">
        <v>1335</v>
      </c>
      <c r="BY269" t="str">
        <f t="shared" ref="BY269:BY289" si="164">IF(BQ269="BRAKE","{YELLOW}Speed bonus for slow wagons{}",IF(BO269&gt;190,CONCATENATE("{YELLOW}",INT((BO269-185)/1.85),"% Bonus for long distance travel{}"),IF(AND(BO269&lt;180,BO269&lt;&gt;0),CONCATENATE("{YELLOW}",INT((185-BO269)/1.85),"% Penalty for long distance travel{}"),"")))</f>
        <v>{YELLOW}10% Penalty for long distance travel{}</v>
      </c>
      <c r="BZ269" t="str">
        <f t="shared" si="142"/>
        <v>{BLACK}Powered by: {GOLD}25kV AC {BLACK}Cars: {GOLD}7{}{YELLOW}10% Penalty for long distance travel{}{SILVER}Designed for London's Crossrail route, the Class 345 entered service on TfL Rail between Liverpool Street and Shenfield.</v>
      </c>
    </row>
    <row r="270" spans="1:78" x14ac:dyDescent="0.25">
      <c r="A270" t="s">
        <v>1314</v>
      </c>
      <c r="B270" t="s">
        <v>1349</v>
      </c>
      <c r="C270">
        <v>518</v>
      </c>
      <c r="D270" t="s">
        <v>437</v>
      </c>
      <c r="E270" t="s">
        <v>329</v>
      </c>
      <c r="F270" t="s">
        <v>330</v>
      </c>
      <c r="G270">
        <v>2017</v>
      </c>
      <c r="J270">
        <v>4</v>
      </c>
      <c r="K270">
        <v>1900</v>
      </c>
      <c r="T270">
        <v>264</v>
      </c>
      <c r="V270">
        <f>10*J270</f>
        <v>40</v>
      </c>
      <c r="W270">
        <v>220</v>
      </c>
      <c r="X270" s="4">
        <f t="shared" ref="X270" si="165">IF(AND(T270&gt;0,W270&gt;0),(W270/((T270+U270)*10)),"")</f>
        <v>8.3333333333333329E-2</v>
      </c>
      <c r="Y270">
        <v>90</v>
      </c>
      <c r="AA270">
        <v>22.7</v>
      </c>
      <c r="AB270">
        <v>22.7</v>
      </c>
      <c r="AE270" s="11">
        <v>78</v>
      </c>
      <c r="AF270" t="str">
        <f>CONCATENATE(VLOOKUP(AG270, 'Voxel Sizes'!$A$2:$B$18,2,FALSE),"x",INT(AC270*15), "x", INT(AD270*15))</f>
        <v>214x0x0</v>
      </c>
      <c r="AG270">
        <f t="shared" ref="AG270" si="166">ROUND(15*((AB270*10)/256),0)</f>
        <v>13</v>
      </c>
      <c r="AI270" t="str">
        <f>CONCATENATE(VLOOKUP(AG270,Constants!$A$2:$C$16,IF(AH270&lt;&gt;"", 3, 2), FALSE),IF(AH270&lt;&gt;"",CONCATENATE(",",VLOOKUP(AH270,$B:$AI,34,FALSE)),""))</f>
        <v>4,5,4</v>
      </c>
      <c r="AM270" t="s">
        <v>1357</v>
      </c>
      <c r="AO270" t="s">
        <v>1175</v>
      </c>
      <c r="AP270" t="s">
        <v>1315</v>
      </c>
      <c r="AS270">
        <v>30</v>
      </c>
      <c r="AT270" t="str">
        <f t="shared" ref="AT270" si="167">IF(I270&lt;&gt;"",MAX(8,(I270-G270)-4),"")</f>
        <v/>
      </c>
      <c r="AU270">
        <v>-19</v>
      </c>
      <c r="AV270">
        <v>-22</v>
      </c>
      <c r="AW270">
        <f t="shared" ref="AW270" si="168">MIN(Y270/150, 1)*30</f>
        <v>18</v>
      </c>
      <c r="AX270">
        <f t="shared" ref="AX270" si="169">MIN(K270/4000, 1)*20</f>
        <v>9.5</v>
      </c>
      <c r="AY270">
        <f t="shared" ref="AY270" si="170">MIN(W270/400,1)*20</f>
        <v>11</v>
      </c>
      <c r="AZ270" s="4">
        <f t="shared" si="143"/>
        <v>0.84399999999999997</v>
      </c>
      <c r="BA270">
        <f t="shared" ref="BA270" si="171">((MAX($J270,1)*MIN($AE270/300,1)))*IF(D270="Wagon",50,10)</f>
        <v>10.4</v>
      </c>
      <c r="BB270">
        <f>VLOOKUP($E270,Constants!$I:$K, 2, FALSE)</f>
        <v>0.85</v>
      </c>
      <c r="BC270">
        <f>VLOOKUP($E270,Constants!$I:$K, 3, FALSE)*IF(AND(D270="multiple_unit",Y270&lt;110),0.75,1)</f>
        <v>1.7249999999999999</v>
      </c>
      <c r="BD270">
        <f>INT(POWER(((Constants!$G$2+$AW270+$AX270+$AY270+$BA270)*$AZ270)*$BC270, 1.05))+$AV270</f>
        <v>75</v>
      </c>
      <c r="BE270">
        <f>INT(POWER((((Constants!$G$1+$AW270+$AX270+$AY270+$BA270)*($AZ270))*$BB270),IF($D270="wagon",1,1.2)))+$AU270</f>
        <v>79</v>
      </c>
      <c r="BF270" s="15">
        <f t="shared" ref="BF270" si="172">BD270*IF($D270="wagon",62.5,781.25)</f>
        <v>58593.75</v>
      </c>
      <c r="BG270" s="15">
        <f t="shared" ref="BG270" si="173">BE270*IF($D270="wagon",2.73,81.25)</f>
        <v>6418.75</v>
      </c>
      <c r="BM270" t="s">
        <v>1197</v>
      </c>
      <c r="BN270">
        <v>1</v>
      </c>
      <c r="BO270">
        <v>165</v>
      </c>
      <c r="BQ270" t="s">
        <v>316</v>
      </c>
      <c r="BR270" t="str">
        <f>VLOOKUP(G270,Eras!$A$2:$C$10, 2, TRUE)</f>
        <v>mod</v>
      </c>
      <c r="BS270" t="s">
        <v>366</v>
      </c>
      <c r="BT270" t="str">
        <f t="shared" ref="BT270" si="174">CONCATENATE(BR270,"_",BS270)</f>
        <v>mod_EMU</v>
      </c>
      <c r="BU270" t="str">
        <f t="shared" si="141"/>
        <v>electric_ELRL</v>
      </c>
      <c r="BV270" t="str">
        <f>VLOOKUP($BU270, Constants!$M:$N, 2, FALSE)</f>
        <v>{BLACK}Powered by: {GOLD}25kV AC</v>
      </c>
      <c r="BW270" t="str">
        <f t="shared" si="163"/>
        <v>{BLACK}Cars: {GOLD}4</v>
      </c>
      <c r="BX270" t="s">
        <v>1335</v>
      </c>
      <c r="BY270" t="str">
        <f t="shared" si="164"/>
        <v>{YELLOW}10% Penalty for long distance travel{}</v>
      </c>
      <c r="BZ270" t="str">
        <f t="shared" si="142"/>
        <v>{BLACK}Powered by: {GOLD}25kV AC {BLACK}Cars: {GOLD}4{}{YELLOW}10% Penalty for long distance travel{}{SILVER}Designed for London's Crossrail route, the Class 345 entered service on TfL Rail between Liverpool Street and Shenfield.</v>
      </c>
    </row>
    <row r="271" spans="1:78" x14ac:dyDescent="0.25">
      <c r="A271" t="s">
        <v>1316</v>
      </c>
      <c r="B271" t="s">
        <v>1317</v>
      </c>
      <c r="C271">
        <v>516</v>
      </c>
      <c r="D271" t="s">
        <v>437</v>
      </c>
      <c r="E271" t="s">
        <v>589</v>
      </c>
      <c r="F271" t="s">
        <v>588</v>
      </c>
      <c r="G271">
        <v>2019</v>
      </c>
      <c r="J271">
        <v>4</v>
      </c>
      <c r="K271">
        <v>1800</v>
      </c>
      <c r="L271" s="9">
        <v>1600</v>
      </c>
      <c r="T271">
        <v>151</v>
      </c>
      <c r="V271">
        <f>9*J271</f>
        <v>36</v>
      </c>
      <c r="W271">
        <v>160</v>
      </c>
      <c r="X271" s="4">
        <f t="shared" si="119"/>
        <v>0.10596026490066225</v>
      </c>
      <c r="Y271">
        <v>75</v>
      </c>
      <c r="AA271">
        <v>21.44</v>
      </c>
      <c r="AB271">
        <v>21.4</v>
      </c>
      <c r="AE271" s="11">
        <v>78</v>
      </c>
      <c r="AF271" t="str">
        <f>CONCATENATE(VLOOKUP(AG271, 'Voxel Sizes'!$A$2:$B$18,2,FALSE),"x",INT(AC271*15), "x", INT(AD271*15))</f>
        <v>214x0x0</v>
      </c>
      <c r="AG271">
        <f t="shared" si="144"/>
        <v>13</v>
      </c>
      <c r="AI271" t="str">
        <f>CONCATENATE(VLOOKUP(AG271,Constants!$A$2:$C$16,IF(AH271&lt;&gt;"", 3, 2), FALSE),IF(AH271&lt;&gt;"",CONCATENATE(",",VLOOKUP(AH271,$B:$AI,34,FALSE)),""))</f>
        <v>4,5,4</v>
      </c>
      <c r="AM271" t="s">
        <v>1336</v>
      </c>
      <c r="AN271" t="s">
        <v>1337</v>
      </c>
      <c r="AO271" t="s">
        <v>592</v>
      </c>
      <c r="AS271">
        <v>30</v>
      </c>
      <c r="AT271" t="str">
        <f t="shared" si="145"/>
        <v/>
      </c>
      <c r="AU271">
        <v>-19</v>
      </c>
      <c r="AV271">
        <v>-25</v>
      </c>
      <c r="AW271">
        <f t="shared" si="146"/>
        <v>15</v>
      </c>
      <c r="AX271">
        <f t="shared" si="147"/>
        <v>9</v>
      </c>
      <c r="AY271">
        <f t="shared" si="148"/>
        <v>8</v>
      </c>
      <c r="AZ271" s="4">
        <f t="shared" si="143"/>
        <v>0.84133333333333327</v>
      </c>
      <c r="BA271">
        <f t="shared" si="149"/>
        <v>10.4</v>
      </c>
      <c r="BB271">
        <f>VLOOKUP($E271,Constants!$I:$K, 2, FALSE)</f>
        <v>0.85</v>
      </c>
      <c r="BC271">
        <f>VLOOKUP($E271,Constants!$I:$K, 3, FALSE)*IF(AND(D271="multiple_unit",Y271&lt;110),0.75,1)</f>
        <v>1.7999999999999998</v>
      </c>
      <c r="BD271">
        <f>INT(POWER(((Constants!$G$2+$AW271+$AX271+$AY271+$BA271)*$AZ271)*$BC271, 1.05))+$AV271</f>
        <v>63</v>
      </c>
      <c r="BE271">
        <f>INT(POWER((((Constants!$G$1+$AW271+$AX271+$AY271+$BA271)*($AZ271))*$BB271),IF($D271="wagon",1,1.2)))+$AU271</f>
        <v>67</v>
      </c>
      <c r="BF271" s="15">
        <f t="shared" si="150"/>
        <v>49218.75</v>
      </c>
      <c r="BG271" s="15">
        <f t="shared" si="151"/>
        <v>5443.75</v>
      </c>
      <c r="BN271">
        <v>2</v>
      </c>
      <c r="BO271">
        <v>165</v>
      </c>
      <c r="BQ271" t="s">
        <v>316</v>
      </c>
      <c r="BR271" t="str">
        <f>VLOOKUP(G271,Eras!$A$2:$C$10, 2, TRUE)</f>
        <v>mod</v>
      </c>
      <c r="BS271" t="s">
        <v>366</v>
      </c>
      <c r="BT271" t="str">
        <f t="shared" si="152"/>
        <v>mod_EMU</v>
      </c>
      <c r="BU271" t="str">
        <f t="shared" si="141"/>
        <v>dual_electric_DUAL_POWER</v>
      </c>
      <c r="BV271" t="str">
        <f>VLOOKUP($BU271, Constants!$M:$N, 2, FALSE)</f>
        <v>{BLACK}Powered by: {GOLD}25kV AC / 750V DC</v>
      </c>
      <c r="BW271" t="str">
        <f t="shared" si="163"/>
        <v>{BLACK}Cars: {GOLD}4</v>
      </c>
      <c r="BX271" t="s">
        <v>1338</v>
      </c>
      <c r="BY271" t="str">
        <f t="shared" si="164"/>
        <v>{YELLOW}10% Penalty for long distance travel{}</v>
      </c>
      <c r="BZ271" t="str">
        <f t="shared" si="142"/>
        <v>{BLACK}Powered by: {GOLD}25kV AC / 750V DC {BLACK}Cars: {GOLD}4{}{YELLOW}10% Penalty for long distance travel{}{SILVER}The Class 710 replaces a variety of DMUs and second generation EMUs on London Overground's suburban services. Although there were numerous delays in testing, they finally started entering service in late 2019.</v>
      </c>
    </row>
    <row r="272" spans="1:78" x14ac:dyDescent="0.25">
      <c r="A272" t="s">
        <v>1318</v>
      </c>
      <c r="B272" t="s">
        <v>1340</v>
      </c>
      <c r="C272">
        <v>513</v>
      </c>
      <c r="D272" t="s">
        <v>437</v>
      </c>
      <c r="E272" t="s">
        <v>589</v>
      </c>
      <c r="F272" t="s">
        <v>588</v>
      </c>
      <c r="G272">
        <v>2016</v>
      </c>
      <c r="J272">
        <v>8</v>
      </c>
      <c r="K272">
        <v>4400</v>
      </c>
      <c r="L272" s="9">
        <v>2560</v>
      </c>
      <c r="T272">
        <v>278</v>
      </c>
      <c r="V272">
        <f>9*J272</f>
        <v>72</v>
      </c>
      <c r="W272">
        <v>225</v>
      </c>
      <c r="X272" s="4">
        <f t="shared" si="119"/>
        <v>8.0935251798561147E-2</v>
      </c>
      <c r="Y272">
        <v>100</v>
      </c>
      <c r="AA272">
        <v>20.2</v>
      </c>
      <c r="AB272">
        <v>20.2</v>
      </c>
      <c r="AE272" s="11">
        <v>69</v>
      </c>
      <c r="AF272" t="str">
        <f>CONCATENATE(VLOOKUP(AG272, 'Voxel Sizes'!$A$2:$B$18,2,FALSE),"x",INT(AC272*15), "x", INT(AD272*15))</f>
        <v>198x0x0</v>
      </c>
      <c r="AG272">
        <f t="shared" si="144"/>
        <v>12</v>
      </c>
      <c r="AI272" t="str">
        <f>CONCATENATE(VLOOKUP(AG272,Constants!$A$2:$C$16,IF(AH272&lt;&gt;"", 3, 2), FALSE),IF(AH272&lt;&gt;"",CONCATENATE(",",VLOOKUP(AH272,$B:$AI,34,FALSE)),""))</f>
        <v>4,4,4</v>
      </c>
      <c r="AM272" t="s">
        <v>1341</v>
      </c>
      <c r="AN272" t="s">
        <v>1344</v>
      </c>
      <c r="AO272" t="s">
        <v>1342</v>
      </c>
      <c r="AS272">
        <v>30</v>
      </c>
      <c r="AT272" t="str">
        <f t="shared" si="145"/>
        <v/>
      </c>
      <c r="AU272">
        <v>-15</v>
      </c>
      <c r="AV272">
        <v>-30</v>
      </c>
      <c r="AW272">
        <f t="shared" si="146"/>
        <v>20</v>
      </c>
      <c r="AX272">
        <f t="shared" si="147"/>
        <v>20</v>
      </c>
      <c r="AY272">
        <f t="shared" si="148"/>
        <v>11.25</v>
      </c>
      <c r="AZ272" s="4">
        <f t="shared" si="143"/>
        <v>0.84533333333333327</v>
      </c>
      <c r="BA272">
        <f t="shared" si="149"/>
        <v>18.400000000000002</v>
      </c>
      <c r="BB272">
        <f>VLOOKUP($E272,Constants!$I:$K, 2, FALSE)</f>
        <v>0.85</v>
      </c>
      <c r="BC272">
        <f>VLOOKUP($E272,Constants!$I:$K, 3, FALSE)*IF(AND(D272="multiple_unit",Y272&lt;110),0.75,1)</f>
        <v>1.7999999999999998</v>
      </c>
      <c r="BD272">
        <f>INT(POWER(((Constants!$G$2+$AW272+$AX272+$AY272+$BA272)*$AZ272)*$BC272, 1.05))+$AV272</f>
        <v>113</v>
      </c>
      <c r="BE272">
        <f>INT(POWER((((Constants!$G$1+$AW272+$AX272+$AY272+$BA272)*($AZ272))*$BB272),IF($D272="wagon",1,1.2)))+$AU272</f>
        <v>123</v>
      </c>
      <c r="BF272" s="15">
        <f t="shared" si="150"/>
        <v>88281.25</v>
      </c>
      <c r="BG272" s="15">
        <f t="shared" si="151"/>
        <v>9993.75</v>
      </c>
      <c r="BM272" t="s">
        <v>1195</v>
      </c>
      <c r="BN272">
        <v>3</v>
      </c>
      <c r="BQ272" t="s">
        <v>316</v>
      </c>
      <c r="BR272" t="str">
        <f>VLOOKUP(G272,Eras!$A$2:$C$10, 2, TRUE)</f>
        <v>mod</v>
      </c>
      <c r="BS272" t="s">
        <v>366</v>
      </c>
      <c r="BT272" t="str">
        <f t="shared" si="152"/>
        <v>mod_EMU</v>
      </c>
      <c r="BU272" t="str">
        <f t="shared" si="141"/>
        <v>dual_electric_DUAL_POWER</v>
      </c>
      <c r="BV272" t="str">
        <f>VLOOKUP($BU272, Constants!$M:$N, 2, FALSE)</f>
        <v>{BLACK}Powered by: {GOLD}25kV AC / 750V DC</v>
      </c>
      <c r="BW272" t="str">
        <f t="shared" si="163"/>
        <v>{BLACK}Cars: {GOLD}8</v>
      </c>
      <c r="BX272" t="s">
        <v>1343</v>
      </c>
      <c r="BY272" t="str">
        <f t="shared" si="164"/>
        <v/>
      </c>
      <c r="BZ272" t="str">
        <f t="shared" si="142"/>
        <v>{BLACK}Powered by: {GOLD}25kV AC / 750V DC {BLACK}Cars: {GOLD}8{}{SILVER}The Class 700 was one of multiple designs evaluated for the Thameslink programme. Although one of the more conventional designs, it offered good capacity and passenger comfort with a relatively low axle load.</v>
      </c>
    </row>
    <row r="273" spans="1:78" x14ac:dyDescent="0.25">
      <c r="A273" t="s">
        <v>1318</v>
      </c>
      <c r="B273" t="s">
        <v>1350</v>
      </c>
      <c r="C273">
        <v>519</v>
      </c>
      <c r="D273" t="s">
        <v>437</v>
      </c>
      <c r="E273" t="s">
        <v>589</v>
      </c>
      <c r="F273" t="s">
        <v>588</v>
      </c>
      <c r="G273">
        <v>2016</v>
      </c>
      <c r="J273">
        <v>5</v>
      </c>
      <c r="K273">
        <v>4400</v>
      </c>
      <c r="L273" s="9">
        <v>2560</v>
      </c>
      <c r="T273">
        <v>278</v>
      </c>
      <c r="V273">
        <f>9*J273</f>
        <v>45</v>
      </c>
      <c r="W273">
        <v>225</v>
      </c>
      <c r="X273" s="4">
        <f t="shared" ref="X273" si="175">IF(AND(T273&gt;0,W273&gt;0),(W273/((T273+U273)*10)),"")</f>
        <v>8.0935251798561147E-2</v>
      </c>
      <c r="Y273">
        <v>100</v>
      </c>
      <c r="AA273">
        <v>20.2</v>
      </c>
      <c r="AB273">
        <v>20.2</v>
      </c>
      <c r="AE273" s="11">
        <v>69</v>
      </c>
      <c r="AF273" t="str">
        <f>CONCATENATE(VLOOKUP(AG273, 'Voxel Sizes'!$A$2:$B$18,2,FALSE),"x",INT(AC273*15), "x", INT(AD273*15))</f>
        <v>198x0x0</v>
      </c>
      <c r="AG273">
        <f t="shared" ref="AG273" si="176">ROUND(15*((AB273*10)/256),0)</f>
        <v>12</v>
      </c>
      <c r="AI273" t="str">
        <f>CONCATENATE(VLOOKUP(AG273,Constants!$A$2:$C$16,IF(AH273&lt;&gt;"", 3, 2), FALSE),IF(AH273&lt;&gt;"",CONCATENATE(",",VLOOKUP(AH273,$B:$AI,34,FALSE)),""))</f>
        <v>4,4,4</v>
      </c>
      <c r="AM273" t="s">
        <v>1360</v>
      </c>
      <c r="AN273" t="s">
        <v>1344</v>
      </c>
      <c r="AO273" t="s">
        <v>704</v>
      </c>
      <c r="AP273" t="s">
        <v>1340</v>
      </c>
      <c r="AS273">
        <v>30</v>
      </c>
      <c r="AT273" t="str">
        <f t="shared" ref="AT273" si="177">IF(I273&lt;&gt;"",MAX(8,(I273-G273)-4),"")</f>
        <v/>
      </c>
      <c r="AU273">
        <v>-15</v>
      </c>
      <c r="AV273">
        <v>-30</v>
      </c>
      <c r="AW273">
        <f t="shared" ref="AW273" si="178">MIN(Y273/150, 1)*30</f>
        <v>20</v>
      </c>
      <c r="AX273">
        <f t="shared" ref="AX273" si="179">MIN(K273/4000, 1)*20</f>
        <v>20</v>
      </c>
      <c r="AY273">
        <f t="shared" ref="AY273" si="180">MIN(W273/400,1)*20</f>
        <v>11.25</v>
      </c>
      <c r="AZ273" s="4">
        <f t="shared" si="143"/>
        <v>0.84533333333333327</v>
      </c>
      <c r="BA273">
        <f t="shared" ref="BA273" si="181">((MAX($J273,1)*MIN($AE273/300,1)))*IF(D273="Wagon",50,10)</f>
        <v>11.500000000000002</v>
      </c>
      <c r="BB273">
        <f>VLOOKUP($E273,Constants!$I:$K, 2, FALSE)</f>
        <v>0.85</v>
      </c>
      <c r="BC273">
        <f>VLOOKUP($E273,Constants!$I:$K, 3, FALSE)*IF(AND(D273="multiple_unit",Y273&lt;110),0.75,1)</f>
        <v>1.7999999999999998</v>
      </c>
      <c r="BD273">
        <f>INT(POWER(((Constants!$G$2+$AW273+$AX273+$AY273+$BA273)*$AZ273)*$BC273, 1.05))+$AV273</f>
        <v>99</v>
      </c>
      <c r="BE273">
        <f>INT(POWER((((Constants!$G$1+$AW273+$AX273+$AY273+$BA273)*($AZ273))*$BB273),IF($D273="wagon",1,1.2)))+$AU273</f>
        <v>109</v>
      </c>
      <c r="BF273" s="15">
        <f t="shared" ref="BF273" si="182">BD273*IF($D273="wagon",62.5,781.25)</f>
        <v>77343.75</v>
      </c>
      <c r="BG273" s="15">
        <f t="shared" ref="BG273" si="183">BE273*IF($D273="wagon",2.73,81.25)</f>
        <v>8856.25</v>
      </c>
      <c r="BM273" t="s">
        <v>1197</v>
      </c>
      <c r="BN273">
        <v>3</v>
      </c>
      <c r="BQ273" t="s">
        <v>316</v>
      </c>
      <c r="BR273" t="str">
        <f>VLOOKUP(G273,Eras!$A$2:$C$10, 2, TRUE)</f>
        <v>mod</v>
      </c>
      <c r="BS273" t="s">
        <v>366</v>
      </c>
      <c r="BT273" t="str">
        <f t="shared" ref="BT273" si="184">CONCATENATE(BR273,"_",BS273)</f>
        <v>mod_EMU</v>
      </c>
      <c r="BU273" t="str">
        <f t="shared" si="141"/>
        <v>dual_electric_DUAL_POWER</v>
      </c>
      <c r="BV273" t="str">
        <f>VLOOKUP($BU273, Constants!$M:$N, 2, FALSE)</f>
        <v>{BLACK}Powered by: {GOLD}25kV AC / 750V DC</v>
      </c>
      <c r="BW273" t="str">
        <f t="shared" si="163"/>
        <v>{BLACK}Cars: {GOLD}5</v>
      </c>
      <c r="BX273" t="s">
        <v>1343</v>
      </c>
      <c r="BY273" t="str">
        <f t="shared" si="164"/>
        <v/>
      </c>
      <c r="BZ273" t="str">
        <f t="shared" si="142"/>
        <v>{BLACK}Powered by: {GOLD}25kV AC / 750V DC {BLACK}Cars: {GOLD}5{}{SILVER}The Class 700 was one of multiple designs evaluated for the Thameslink programme. Although one of the more conventional designs, it offered good capacity and passenger comfort with a relatively low axle load.</v>
      </c>
    </row>
    <row r="274" spans="1:78" x14ac:dyDescent="0.25">
      <c r="A274" t="s">
        <v>1319</v>
      </c>
      <c r="B274" t="s">
        <v>1339</v>
      </c>
      <c r="C274">
        <v>515</v>
      </c>
      <c r="D274" t="s">
        <v>437</v>
      </c>
      <c r="E274" t="s">
        <v>329</v>
      </c>
      <c r="F274" t="s">
        <v>336</v>
      </c>
      <c r="G274">
        <v>2017</v>
      </c>
      <c r="J274">
        <v>5</v>
      </c>
      <c r="K274">
        <v>1600</v>
      </c>
      <c r="T274">
        <v>173</v>
      </c>
      <c r="V274">
        <f>8*J274</f>
        <v>40</v>
      </c>
      <c r="W274">
        <v>175</v>
      </c>
      <c r="X274" s="4">
        <f t="shared" si="119"/>
        <v>0.10115606936416185</v>
      </c>
      <c r="Y274">
        <v>100</v>
      </c>
      <c r="AA274">
        <v>20</v>
      </c>
      <c r="AB274">
        <v>20</v>
      </c>
      <c r="AC274">
        <v>2.8</v>
      </c>
      <c r="AE274" s="11">
        <v>69</v>
      </c>
      <c r="AF274" t="str">
        <f>CONCATENATE(VLOOKUP(AG274, 'Voxel Sizes'!$A$2:$B$18,2,FALSE),"x",INT(AC274*15), "x", INT(AD274*15))</f>
        <v>198x42x0</v>
      </c>
      <c r="AG274">
        <f t="shared" si="144"/>
        <v>12</v>
      </c>
      <c r="AI274" t="str">
        <f>CONCATENATE(VLOOKUP(AG274,Constants!$A$2:$C$16,IF(AH274&lt;&gt;"", 3, 2), FALSE),IF(AH274&lt;&gt;"",CONCATENATE(",",VLOOKUP(AH274,$B:$AI,34,FALSE)),""))</f>
        <v>4,4,4</v>
      </c>
      <c r="AM274" t="s">
        <v>1345</v>
      </c>
      <c r="AO274" t="s">
        <v>1346</v>
      </c>
      <c r="AS274">
        <v>30</v>
      </c>
      <c r="AT274" t="str">
        <f t="shared" si="145"/>
        <v/>
      </c>
      <c r="AU274">
        <v>-15</v>
      </c>
      <c r="AV274">
        <v>-30</v>
      </c>
      <c r="AW274">
        <f t="shared" si="146"/>
        <v>20</v>
      </c>
      <c r="AX274">
        <f t="shared" si="147"/>
        <v>8</v>
      </c>
      <c r="AY274">
        <f t="shared" si="148"/>
        <v>8.75</v>
      </c>
      <c r="AZ274" s="4">
        <f t="shared" si="143"/>
        <v>0.84399999999999997</v>
      </c>
      <c r="BA274">
        <f t="shared" si="149"/>
        <v>11.500000000000002</v>
      </c>
      <c r="BB274">
        <f>VLOOKUP($E274,Constants!$I:$K, 2, FALSE)</f>
        <v>0.85</v>
      </c>
      <c r="BC274">
        <f>VLOOKUP($E274,Constants!$I:$K, 3, FALSE)*IF(AND(D274="multiple_unit",Y274&lt;110),0.75,1)</f>
        <v>1.7249999999999999</v>
      </c>
      <c r="BD274">
        <f>INT(POWER(((Constants!$G$2+$AW274+$AX274+$AY274+$BA274)*$AZ274)*$BC274, 1.05))+$AV274</f>
        <v>66</v>
      </c>
      <c r="BE274">
        <f>INT(POWER((((Constants!$G$1+$AW274+$AX274+$AY274+$BA274)*($AZ274))*$BB274),IF($D274="wagon",1,1.2)))+$AU274</f>
        <v>82</v>
      </c>
      <c r="BF274" s="15">
        <f t="shared" si="150"/>
        <v>51562.5</v>
      </c>
      <c r="BG274" s="15">
        <f t="shared" si="151"/>
        <v>6662.5</v>
      </c>
      <c r="BN274">
        <v>4</v>
      </c>
      <c r="BQ274" t="s">
        <v>316</v>
      </c>
      <c r="BR274" t="str">
        <f>VLOOKUP(G274,Eras!$A$2:$C$10, 2, TRUE)</f>
        <v>mod</v>
      </c>
      <c r="BS274" t="s">
        <v>366</v>
      </c>
      <c r="BT274" t="str">
        <f t="shared" si="152"/>
        <v>mod_EMU</v>
      </c>
      <c r="BU274" t="str">
        <f t="shared" si="141"/>
        <v>electric_THIRD_RAIL</v>
      </c>
      <c r="BV274" t="str">
        <f>VLOOKUP($BU274, Constants!$M:$N, 2, FALSE)</f>
        <v>{BLACK}Powered by: {GOLD}750V DC</v>
      </c>
      <c r="BW274" t="str">
        <f t="shared" si="163"/>
        <v>{BLACK}Cars: {GOLD}5</v>
      </c>
      <c r="BX274" t="s">
        <v>1347</v>
      </c>
      <c r="BY274" t="str">
        <f t="shared" si="164"/>
        <v/>
      </c>
      <c r="BZ274" t="str">
        <f t="shared" si="142"/>
        <v>{BLACK}Powered by: {GOLD}750V DC {BLACK}Cars: {GOLD}5{}{SILVER}South West Trains procured the Class 707 as part of capacity improvements for routes out of London Waterloo.</v>
      </c>
    </row>
    <row r="275" spans="1:78" x14ac:dyDescent="0.25">
      <c r="A275" t="s">
        <v>705</v>
      </c>
      <c r="B275" t="s">
        <v>708</v>
      </c>
      <c r="D275" t="s">
        <v>165</v>
      </c>
      <c r="E275" t="s">
        <v>329</v>
      </c>
      <c r="F275" t="s">
        <v>336</v>
      </c>
      <c r="AF275" t="str">
        <f>CONCATENATE(VLOOKUP(AG275, 'Voxel Sizes'!$A$2:$B$18,2,FALSE),"x",INT(AC275*15), "x", INT(AD275*15))</f>
        <v>0x0x0</v>
      </c>
      <c r="AG275">
        <f t="shared" si="144"/>
        <v>0</v>
      </c>
      <c r="AI275" t="str">
        <f>CONCATENATE(VLOOKUP(AG275,Constants!$A$2:$C$16,IF(AH275&lt;&gt;"", 3, 2), FALSE),IF(AH275&lt;&gt;"",CONCATENATE(",",VLOOKUP(AH275,$B:$AI,34,FALSE)),""))</f>
        <v>na</v>
      </c>
      <c r="AS275">
        <v>30</v>
      </c>
      <c r="AT275" t="str">
        <f t="shared" si="145"/>
        <v/>
      </c>
      <c r="AW275">
        <f t="shared" si="146"/>
        <v>0</v>
      </c>
      <c r="AX275">
        <f t="shared" si="147"/>
        <v>0</v>
      </c>
      <c r="AY275">
        <f t="shared" si="148"/>
        <v>0</v>
      </c>
      <c r="AZ275" s="4">
        <f t="shared" si="143"/>
        <v>1</v>
      </c>
      <c r="BA275">
        <f t="shared" si="149"/>
        <v>0</v>
      </c>
      <c r="BB275">
        <f>VLOOKUP($E275,Constants!$I:$K, 2, FALSE)</f>
        <v>0.85</v>
      </c>
      <c r="BC275">
        <f>VLOOKUP($E275,Constants!$I:$K, 3, FALSE)*IF(AND(D275="multiple_unit",Y275&lt;110),0.75,1)</f>
        <v>2.2999999999999998</v>
      </c>
      <c r="BD275">
        <f>INT(POWER(((Constants!$G$2+$AW275+$AX275+$AY275+$BA275)*$AZ275)*$BC275, 1.05))+$AV275</f>
        <v>12</v>
      </c>
      <c r="BE275">
        <f>INT(POWER((((Constants!$G$1+$AW275+$AX275+$AY275+$BA275)*($AZ275))*$BB275),IF($D275="wagon",1,1.2)))+$AU275</f>
        <v>21</v>
      </c>
      <c r="BF275" s="15">
        <f t="shared" si="150"/>
        <v>9375</v>
      </c>
      <c r="BG275" s="15">
        <f t="shared" si="151"/>
        <v>1706.25</v>
      </c>
      <c r="BN275">
        <v>1</v>
      </c>
      <c r="BR275" t="e">
        <f>VLOOKUP(G275,Eras!$A$2:$C$10, 2, TRUE)</f>
        <v>#N/A</v>
      </c>
      <c r="BT275" t="e">
        <f t="shared" si="152"/>
        <v>#N/A</v>
      </c>
      <c r="BU275" t="str">
        <f t="shared" si="141"/>
        <v>electric_THIRD_RAIL</v>
      </c>
      <c r="BV275" t="str">
        <f>VLOOKUP($BU275, Constants!$M:$N, 2, FALSE)</f>
        <v>{BLACK}Powered by: {GOLD}750V DC</v>
      </c>
      <c r="BW275" t="str">
        <f t="shared" si="163"/>
        <v/>
      </c>
      <c r="BY275" t="str">
        <f t="shared" si="164"/>
        <v/>
      </c>
      <c r="BZ275" t="str">
        <f t="shared" si="142"/>
        <v>{BLACK}Powered by: {GOLD}750V DC {}{SILVER}</v>
      </c>
    </row>
    <row r="276" spans="1:78" x14ac:dyDescent="0.25">
      <c r="A276" t="s">
        <v>720</v>
      </c>
      <c r="B276" t="s">
        <v>721</v>
      </c>
      <c r="D276" t="s">
        <v>165</v>
      </c>
      <c r="E276" t="s">
        <v>329</v>
      </c>
      <c r="F276" t="s">
        <v>336</v>
      </c>
      <c r="G276">
        <v>1893</v>
      </c>
      <c r="H276">
        <v>1896</v>
      </c>
      <c r="I276">
        <v>1956</v>
      </c>
      <c r="J276">
        <v>2</v>
      </c>
      <c r="K276">
        <v>120</v>
      </c>
      <c r="T276">
        <v>10</v>
      </c>
      <c r="V276">
        <v>7</v>
      </c>
      <c r="W276">
        <v>30</v>
      </c>
      <c r="X276" s="4">
        <f t="shared" ref="X276:X292" si="185">IF(AND(T276&gt;0,W276&gt;0),(W276/((T276+U276)*10)),"")</f>
        <v>0.3</v>
      </c>
      <c r="Y276">
        <v>35</v>
      </c>
      <c r="AA276">
        <v>14</v>
      </c>
      <c r="AB276">
        <v>14</v>
      </c>
      <c r="AC276">
        <v>2.59</v>
      </c>
      <c r="AE276" s="11">
        <f>41+16</f>
        <v>57</v>
      </c>
      <c r="AF276" t="str">
        <f>CONCATENATE(VLOOKUP(AG276, 'Voxel Sizes'!$A$2:$B$18,2,FALSE),"x",INT(AC276*15), "x", INT(AD276*15))</f>
        <v>136x38x0</v>
      </c>
      <c r="AG276">
        <f t="shared" si="144"/>
        <v>8</v>
      </c>
      <c r="AI276" t="str">
        <f>CONCATENATE(VLOOKUP(AG276,Constants!$A$2:$C$16,IF(AH276&lt;&gt;"", 3, 2), FALSE),IF(AH276&lt;&gt;"",CONCATENATE(",",VLOOKUP(AH276,$B:$AI,34,FALSE)),""))</f>
        <v>2,4,2</v>
      </c>
      <c r="AM276" t="s">
        <v>722</v>
      </c>
      <c r="AO276" t="s">
        <v>501</v>
      </c>
      <c r="AS276">
        <v>25</v>
      </c>
      <c r="AT276">
        <f t="shared" si="145"/>
        <v>59</v>
      </c>
      <c r="AW276">
        <f t="shared" si="146"/>
        <v>7</v>
      </c>
      <c r="AX276">
        <f t="shared" si="147"/>
        <v>0.6</v>
      </c>
      <c r="AY276">
        <f t="shared" si="148"/>
        <v>1.5</v>
      </c>
      <c r="AZ276" s="4">
        <f t="shared" si="143"/>
        <v>1</v>
      </c>
      <c r="BA276">
        <f t="shared" si="149"/>
        <v>3.8</v>
      </c>
      <c r="BB276">
        <f>VLOOKUP($E276,Constants!$I:$K, 2, FALSE)</f>
        <v>0.85</v>
      </c>
      <c r="BC276">
        <f>VLOOKUP($E276,Constants!$I:$K, 3, FALSE)*IF(AND(D276="multiple_unit",Y276&lt;110),0.75,1)</f>
        <v>2.2999999999999998</v>
      </c>
      <c r="BD276">
        <f>INT(POWER(((Constants!$G$2+$AW276+$AX276+$AY276+$BA276)*$AZ276)*$BC276, 1.05))+$AV276</f>
        <v>49</v>
      </c>
      <c r="BE276">
        <f>INT(POWER((((Constants!$G$1+$AW276+$AX276+$AY276+$BA276)*($AZ276))*$BB276),IF($D276="wagon",1,1.2)))+$AU276</f>
        <v>44</v>
      </c>
      <c r="BF276" s="15">
        <f t="shared" si="150"/>
        <v>38281.25</v>
      </c>
      <c r="BG276" s="15">
        <f t="shared" si="151"/>
        <v>3575</v>
      </c>
      <c r="BN276">
        <v>2</v>
      </c>
      <c r="BQ276" t="s">
        <v>316</v>
      </c>
      <c r="BR276" t="str">
        <f>VLOOKUP(G276,Eras!$A$2:$C$10, 2, TRUE)</f>
        <v>vct</v>
      </c>
      <c r="BS276" t="s">
        <v>366</v>
      </c>
      <c r="BT276" t="str">
        <f t="shared" si="152"/>
        <v>vct_EMU</v>
      </c>
      <c r="BU276" t="str">
        <f t="shared" si="141"/>
        <v>electric_THIRD_RAIL</v>
      </c>
      <c r="BV276" t="str">
        <f>VLOOKUP($BU276, Constants!$M:$N, 2, FALSE)</f>
        <v>{BLACK}Powered by: {GOLD}750V DC</v>
      </c>
      <c r="BW276" t="str">
        <f t="shared" si="163"/>
        <v>{BLACK}Cars: {GOLD}2</v>
      </c>
      <c r="BX276" t="s">
        <v>723</v>
      </c>
      <c r="BY276" t="str">
        <f t="shared" si="164"/>
        <v/>
      </c>
      <c r="BZ276" t="str">
        <f t="shared" si="142"/>
        <v>{BLACK}Powered by: {GOLD}750V DC {BLACK}Cars: {GOLD}2{}{SILVER}These lightweight multiple units were built for the Liverpool Overhead Railway, a since closed elevated railway operating around the Liverpool docks.</v>
      </c>
    </row>
    <row r="277" spans="1:78" x14ac:dyDescent="0.25">
      <c r="A277" t="s">
        <v>104</v>
      </c>
      <c r="B277" t="s">
        <v>213</v>
      </c>
      <c r="D277" t="s">
        <v>165</v>
      </c>
      <c r="E277" t="s">
        <v>1158</v>
      </c>
      <c r="F277" t="s">
        <v>307</v>
      </c>
      <c r="G277">
        <v>1900</v>
      </c>
      <c r="X277" s="4" t="str">
        <f t="shared" si="185"/>
        <v/>
      </c>
      <c r="AF277" t="str">
        <f>CONCATENATE(VLOOKUP(AG277, 'Voxel Sizes'!$A$2:$B$18,2,FALSE),"x",INT(AC277*15), "x", INT(AD277*15))</f>
        <v>0x0x0</v>
      </c>
      <c r="AG277">
        <f t="shared" si="144"/>
        <v>0</v>
      </c>
      <c r="AI277" t="str">
        <f>CONCATENATE(VLOOKUP(AG277,Constants!$A$2:$C$16,IF(AH277&lt;&gt;"", 3, 2), FALSE),IF(AH277&lt;&gt;"",CONCATENATE(",",VLOOKUP(AH277,$B:$AI,34,FALSE)),""))</f>
        <v>na</v>
      </c>
      <c r="AS277">
        <v>30</v>
      </c>
      <c r="AT277" t="str">
        <f t="shared" si="145"/>
        <v/>
      </c>
      <c r="AW277">
        <f t="shared" si="146"/>
        <v>0</v>
      </c>
      <c r="AX277">
        <f t="shared" si="147"/>
        <v>0</v>
      </c>
      <c r="AY277">
        <f t="shared" si="148"/>
        <v>0</v>
      </c>
      <c r="AZ277" s="4">
        <f t="shared" si="143"/>
        <v>1</v>
      </c>
      <c r="BA277">
        <f t="shared" si="149"/>
        <v>0</v>
      </c>
      <c r="BB277">
        <f>VLOOKUP($E277,Constants!$I:$K, 2, FALSE)</f>
        <v>1</v>
      </c>
      <c r="BC277">
        <f>VLOOKUP($E277,Constants!$I:$K, 3, FALSE)*IF(AND(D277="multiple_unit",Y277&lt;110),0.75,1)</f>
        <v>1</v>
      </c>
      <c r="BD277">
        <f>INT(POWER(((Constants!$G$2+$AW277+$AX277+$AY277+$BA277)*$AZ277)*$BC277, 1.05))+$AV277</f>
        <v>5</v>
      </c>
      <c r="BE277">
        <f>INT(POWER((((Constants!$G$1+$AW277+$AX277+$AY277+$BA277)*($AZ277))*$BB277),IF($D277="wagon",1,1.2)))+$AU277</f>
        <v>25</v>
      </c>
      <c r="BF277" s="15">
        <f t="shared" si="150"/>
        <v>3906.25</v>
      </c>
      <c r="BG277" s="15">
        <f t="shared" si="151"/>
        <v>2031.25</v>
      </c>
      <c r="BN277">
        <v>3</v>
      </c>
      <c r="BR277" t="str">
        <f>VLOOKUP(G277,Eras!$A$2:$C$10, 2, TRUE)</f>
        <v>edw</v>
      </c>
      <c r="BS277" t="s">
        <v>378</v>
      </c>
      <c r="BT277" t="str">
        <f t="shared" si="152"/>
        <v>edw_LU</v>
      </c>
      <c r="BU277" t="str">
        <f t="shared" si="141"/>
        <v>tube_RAIL</v>
      </c>
      <c r="BV277" t="str">
        <f>VLOOKUP($BU277, Constants!$M:$N, 2, FALSE)</f>
        <v/>
      </c>
      <c r="BW277" t="str">
        <f t="shared" si="163"/>
        <v/>
      </c>
      <c r="BY277" t="str">
        <f t="shared" si="164"/>
        <v/>
      </c>
      <c r="BZ277" t="str">
        <f t="shared" si="142"/>
        <v>{SILVER}</v>
      </c>
    </row>
    <row r="278" spans="1:78" x14ac:dyDescent="0.25">
      <c r="A278" t="s">
        <v>110</v>
      </c>
      <c r="B278" t="s">
        <v>217</v>
      </c>
      <c r="D278" t="s">
        <v>165</v>
      </c>
      <c r="E278" t="s">
        <v>1158</v>
      </c>
      <c r="F278" t="s">
        <v>307</v>
      </c>
      <c r="G278">
        <v>1938</v>
      </c>
      <c r="X278" s="4" t="str">
        <f t="shared" si="185"/>
        <v/>
      </c>
      <c r="AF278" t="str">
        <f>CONCATENATE(VLOOKUP(AG278, 'Voxel Sizes'!$A$2:$B$18,2,FALSE),"x",INT(AC278*15), "x", INT(AD278*15))</f>
        <v>0x0x0</v>
      </c>
      <c r="AG278">
        <f t="shared" si="144"/>
        <v>0</v>
      </c>
      <c r="AI278" t="str">
        <f>CONCATENATE(VLOOKUP(AG278,Constants!$A$2:$C$16,IF(AH278&lt;&gt;"", 3, 2), FALSE),IF(AH278&lt;&gt;"",CONCATENATE(",",VLOOKUP(AH278,$B:$AI,34,FALSE)),""))</f>
        <v>na</v>
      </c>
      <c r="AS278">
        <v>30</v>
      </c>
      <c r="AT278" t="str">
        <f t="shared" si="145"/>
        <v/>
      </c>
      <c r="AW278">
        <f t="shared" si="146"/>
        <v>0</v>
      </c>
      <c r="AX278">
        <f t="shared" si="147"/>
        <v>0</v>
      </c>
      <c r="AY278">
        <f t="shared" si="148"/>
        <v>0</v>
      </c>
      <c r="AZ278" s="4">
        <f t="shared" si="143"/>
        <v>0.94933333333333336</v>
      </c>
      <c r="BA278">
        <f t="shared" si="149"/>
        <v>0</v>
      </c>
      <c r="BB278">
        <f>VLOOKUP($E278,Constants!$I:$K, 2, FALSE)</f>
        <v>1</v>
      </c>
      <c r="BC278">
        <f>VLOOKUP($E278,Constants!$I:$K, 3, FALSE)*IF(AND(D278="multiple_unit",Y278&lt;110),0.75,1)</f>
        <v>1</v>
      </c>
      <c r="BD278">
        <f>INT(POWER(((Constants!$G$2+$AW278+$AX278+$AY278+$BA278)*$AZ278)*$BC278, 1.05))+$AV278</f>
        <v>5</v>
      </c>
      <c r="BE278">
        <f>INT(POWER((((Constants!$G$1+$AW278+$AX278+$AY278+$BA278)*($AZ278))*$BB278),IF($D278="wagon",1,1.2)))+$AU278</f>
        <v>24</v>
      </c>
      <c r="BF278" s="15">
        <f t="shared" si="150"/>
        <v>3906.25</v>
      </c>
      <c r="BG278" s="15">
        <f t="shared" si="151"/>
        <v>1950</v>
      </c>
      <c r="BN278">
        <v>4</v>
      </c>
      <c r="BR278" t="str">
        <f>VLOOKUP(G278,Eras!$A$2:$C$10, 2, TRUE)</f>
        <v>big4</v>
      </c>
      <c r="BS278" t="s">
        <v>378</v>
      </c>
      <c r="BT278" t="str">
        <f t="shared" si="152"/>
        <v>big4_LU</v>
      </c>
      <c r="BU278" t="str">
        <f t="shared" si="141"/>
        <v>tube_RAIL</v>
      </c>
      <c r="BV278" t="str">
        <f>VLOOKUP($BU278, Constants!$M:$N, 2, FALSE)</f>
        <v/>
      </c>
      <c r="BW278" t="str">
        <f t="shared" si="163"/>
        <v/>
      </c>
      <c r="BY278" t="str">
        <f t="shared" si="164"/>
        <v/>
      </c>
      <c r="BZ278" t="str">
        <f t="shared" si="142"/>
        <v>{SILVER}</v>
      </c>
    </row>
    <row r="279" spans="1:78" x14ac:dyDescent="0.25">
      <c r="A279" t="s">
        <v>111</v>
      </c>
      <c r="B279" t="s">
        <v>218</v>
      </c>
      <c r="D279" t="s">
        <v>165</v>
      </c>
      <c r="E279" t="s">
        <v>1158</v>
      </c>
      <c r="F279" t="s">
        <v>307</v>
      </c>
      <c r="G279">
        <v>1959</v>
      </c>
      <c r="X279" s="4" t="str">
        <f t="shared" si="185"/>
        <v/>
      </c>
      <c r="AF279" t="str">
        <f>CONCATENATE(VLOOKUP(AG279, 'Voxel Sizes'!$A$2:$B$18,2,FALSE),"x",INT(AC279*15), "x", INT(AD279*15))</f>
        <v>0x0x0</v>
      </c>
      <c r="AG279">
        <f t="shared" si="144"/>
        <v>0</v>
      </c>
      <c r="AI279" t="str">
        <f>CONCATENATE(VLOOKUP(AG279,Constants!$A$2:$C$16,IF(AH279&lt;&gt;"", 3, 2), FALSE),IF(AH279&lt;&gt;"",CONCATENATE(",",VLOOKUP(AH279,$B:$AI,34,FALSE)),""))</f>
        <v>na</v>
      </c>
      <c r="AS279">
        <v>30</v>
      </c>
      <c r="AT279" t="str">
        <f t="shared" si="145"/>
        <v/>
      </c>
      <c r="AW279">
        <f t="shared" si="146"/>
        <v>0</v>
      </c>
      <c r="AX279">
        <f t="shared" si="147"/>
        <v>0</v>
      </c>
      <c r="AY279">
        <f t="shared" si="148"/>
        <v>0</v>
      </c>
      <c r="AZ279" s="4">
        <f t="shared" si="143"/>
        <v>0.92133333333333334</v>
      </c>
      <c r="BA279">
        <f t="shared" si="149"/>
        <v>0</v>
      </c>
      <c r="BB279">
        <f>VLOOKUP($E279,Constants!$I:$K, 2, FALSE)</f>
        <v>1</v>
      </c>
      <c r="BC279">
        <f>VLOOKUP($E279,Constants!$I:$K, 3, FALSE)*IF(AND(D279="multiple_unit",Y279&lt;110),0.75,1)</f>
        <v>1</v>
      </c>
      <c r="BD279">
        <f>INT(POWER(((Constants!$G$2+$AW279+$AX279+$AY279+$BA279)*$AZ279)*$BC279, 1.05))+$AV279</f>
        <v>4</v>
      </c>
      <c r="BE279">
        <f>INT(POWER((((Constants!$G$1+$AW279+$AX279+$AY279+$BA279)*($AZ279))*$BB279),IF($D279="wagon",1,1.2)))+$AU279</f>
        <v>23</v>
      </c>
      <c r="BF279" s="15">
        <f t="shared" si="150"/>
        <v>3125</v>
      </c>
      <c r="BG279" s="15">
        <f t="shared" si="151"/>
        <v>1868.75</v>
      </c>
      <c r="BN279">
        <v>5</v>
      </c>
      <c r="BR279" t="str">
        <f>VLOOKUP(G279,Eras!$A$2:$C$10, 2, TRUE)</f>
        <v>dsl</v>
      </c>
      <c r="BS279" t="s">
        <v>378</v>
      </c>
      <c r="BT279" t="str">
        <f t="shared" si="152"/>
        <v>dsl_LU</v>
      </c>
      <c r="BU279" t="str">
        <f t="shared" si="141"/>
        <v>tube_RAIL</v>
      </c>
      <c r="BV279" t="str">
        <f>VLOOKUP($BU279, Constants!$M:$N, 2, FALSE)</f>
        <v/>
      </c>
      <c r="BW279" t="str">
        <f t="shared" si="163"/>
        <v/>
      </c>
      <c r="BY279" t="str">
        <f t="shared" si="164"/>
        <v/>
      </c>
      <c r="BZ279" t="str">
        <f t="shared" si="142"/>
        <v>{SILVER}</v>
      </c>
    </row>
    <row r="280" spans="1:78" x14ac:dyDescent="0.25">
      <c r="A280" t="s">
        <v>112</v>
      </c>
      <c r="B280" t="s">
        <v>219</v>
      </c>
      <c r="D280" t="s">
        <v>165</v>
      </c>
      <c r="E280" t="s">
        <v>1158</v>
      </c>
      <c r="F280" t="s">
        <v>307</v>
      </c>
      <c r="G280">
        <v>1960</v>
      </c>
      <c r="X280" s="4" t="str">
        <f t="shared" si="185"/>
        <v/>
      </c>
      <c r="AF280" t="str">
        <f>CONCATENATE(VLOOKUP(AG280, 'Voxel Sizes'!$A$2:$B$18,2,FALSE),"x",INT(AC280*15), "x", INT(AD280*15))</f>
        <v>0x0x0</v>
      </c>
      <c r="AG280">
        <f t="shared" si="144"/>
        <v>0</v>
      </c>
      <c r="AI280" t="str">
        <f>CONCATENATE(VLOOKUP(AG280,Constants!$A$2:$C$16,IF(AH280&lt;&gt;"", 3, 2), FALSE),IF(AH280&lt;&gt;"",CONCATENATE(",",VLOOKUP(AH280,$B:$AI,34,FALSE)),""))</f>
        <v>na</v>
      </c>
      <c r="AS280">
        <v>30</v>
      </c>
      <c r="AT280" t="str">
        <f t="shared" si="145"/>
        <v/>
      </c>
      <c r="AW280">
        <f t="shared" si="146"/>
        <v>0</v>
      </c>
      <c r="AX280">
        <f t="shared" si="147"/>
        <v>0</v>
      </c>
      <c r="AY280">
        <f t="shared" si="148"/>
        <v>0</v>
      </c>
      <c r="AZ280" s="4">
        <f t="shared" si="143"/>
        <v>0.92</v>
      </c>
      <c r="BA280">
        <f t="shared" si="149"/>
        <v>0</v>
      </c>
      <c r="BB280">
        <f>VLOOKUP($E280,Constants!$I:$K, 2, FALSE)</f>
        <v>1</v>
      </c>
      <c r="BC280">
        <f>VLOOKUP($E280,Constants!$I:$K, 3, FALSE)*IF(AND(D280="multiple_unit",Y280&lt;110),0.75,1)</f>
        <v>1</v>
      </c>
      <c r="BD280">
        <f>INT(POWER(((Constants!$G$2+$AW280+$AX280+$AY280+$BA280)*$AZ280)*$BC280, 1.05))+$AV280</f>
        <v>4</v>
      </c>
      <c r="BE280">
        <f>INT(POWER((((Constants!$G$1+$AW280+$AX280+$AY280+$BA280)*($AZ280))*$BB280),IF($D280="wagon",1,1.2)))+$AU280</f>
        <v>23</v>
      </c>
      <c r="BF280" s="15">
        <f t="shared" si="150"/>
        <v>3125</v>
      </c>
      <c r="BG280" s="15">
        <f t="shared" si="151"/>
        <v>1868.75</v>
      </c>
      <c r="BN280">
        <v>6</v>
      </c>
      <c r="BR280" t="str">
        <f>VLOOKUP(G280,Eras!$A$2:$C$10, 2, TRUE)</f>
        <v>dsl</v>
      </c>
      <c r="BS280" t="s">
        <v>378</v>
      </c>
      <c r="BT280" t="str">
        <f t="shared" si="152"/>
        <v>dsl_LU</v>
      </c>
      <c r="BU280" t="str">
        <f t="shared" si="141"/>
        <v>tube_RAIL</v>
      </c>
      <c r="BV280" t="str">
        <f>VLOOKUP($BU280, Constants!$M:$N, 2, FALSE)</f>
        <v/>
      </c>
      <c r="BW280" t="str">
        <f t="shared" si="163"/>
        <v/>
      </c>
      <c r="BY280" t="str">
        <f t="shared" si="164"/>
        <v/>
      </c>
      <c r="BZ280" t="str">
        <f t="shared" si="142"/>
        <v>{SILVER}</v>
      </c>
    </row>
    <row r="281" spans="1:78" x14ac:dyDescent="0.25">
      <c r="A281" t="s">
        <v>113</v>
      </c>
      <c r="B281" t="s">
        <v>220</v>
      </c>
      <c r="D281" t="s">
        <v>165</v>
      </c>
      <c r="E281" t="s">
        <v>1158</v>
      </c>
      <c r="F281" t="s">
        <v>307</v>
      </c>
      <c r="G281">
        <v>1967</v>
      </c>
      <c r="X281" s="4" t="str">
        <f t="shared" si="185"/>
        <v/>
      </c>
      <c r="AF281" t="str">
        <f>CONCATENATE(VLOOKUP(AG281, 'Voxel Sizes'!$A$2:$B$18,2,FALSE),"x",INT(AC281*15), "x", INT(AD281*15))</f>
        <v>0x0x0</v>
      </c>
      <c r="AG281">
        <f t="shared" si="144"/>
        <v>0</v>
      </c>
      <c r="AI281" t="str">
        <f>CONCATENATE(VLOOKUP(AG281,Constants!$A$2:$C$16,IF(AH281&lt;&gt;"", 3, 2), FALSE),IF(AH281&lt;&gt;"",CONCATENATE(",",VLOOKUP(AH281,$B:$AI,34,FALSE)),""))</f>
        <v>na</v>
      </c>
      <c r="AS281">
        <v>30</v>
      </c>
      <c r="AT281" t="str">
        <f t="shared" si="145"/>
        <v/>
      </c>
      <c r="AW281">
        <f t="shared" si="146"/>
        <v>0</v>
      </c>
      <c r="AX281">
        <f t="shared" si="147"/>
        <v>0</v>
      </c>
      <c r="AY281">
        <f t="shared" si="148"/>
        <v>0</v>
      </c>
      <c r="AZ281" s="4">
        <f t="shared" si="143"/>
        <v>0.91066666666666662</v>
      </c>
      <c r="BA281">
        <f t="shared" si="149"/>
        <v>0</v>
      </c>
      <c r="BB281">
        <f>VLOOKUP($E281,Constants!$I:$K, 2, FALSE)</f>
        <v>1</v>
      </c>
      <c r="BC281">
        <f>VLOOKUP($E281,Constants!$I:$K, 3, FALSE)*IF(AND(D281="multiple_unit",Y281&lt;110),0.75,1)</f>
        <v>1</v>
      </c>
      <c r="BD281">
        <f>INT(POWER(((Constants!$G$2+$AW281+$AX281+$AY281+$BA281)*$AZ281)*$BC281, 1.05))+$AV281</f>
        <v>4</v>
      </c>
      <c r="BE281">
        <f>INT(POWER((((Constants!$G$1+$AW281+$AX281+$AY281+$BA281)*($AZ281))*$BB281),IF($D281="wagon",1,1.2)))+$AU281</f>
        <v>23</v>
      </c>
      <c r="BF281" s="15">
        <f t="shared" si="150"/>
        <v>3125</v>
      </c>
      <c r="BG281" s="15">
        <f t="shared" si="151"/>
        <v>1868.75</v>
      </c>
      <c r="BN281">
        <v>7</v>
      </c>
      <c r="BR281" t="str">
        <f>VLOOKUP(G281,Eras!$A$2:$C$10, 2, TRUE)</f>
        <v>dsl</v>
      </c>
      <c r="BS281" t="s">
        <v>378</v>
      </c>
      <c r="BT281" t="str">
        <f t="shared" si="152"/>
        <v>dsl_LU</v>
      </c>
      <c r="BU281" t="str">
        <f t="shared" si="141"/>
        <v>tube_RAIL</v>
      </c>
      <c r="BV281" t="str">
        <f>VLOOKUP($BU281, Constants!$M:$N, 2, FALSE)</f>
        <v/>
      </c>
      <c r="BW281" t="str">
        <f t="shared" si="163"/>
        <v/>
      </c>
      <c r="BY281" t="str">
        <f t="shared" si="164"/>
        <v/>
      </c>
      <c r="BZ281" t="str">
        <f t="shared" si="142"/>
        <v>{SILVER}</v>
      </c>
    </row>
    <row r="282" spans="1:78" x14ac:dyDescent="0.25">
      <c r="A282" t="s">
        <v>114</v>
      </c>
      <c r="B282" t="s">
        <v>221</v>
      </c>
      <c r="D282" t="s">
        <v>165</v>
      </c>
      <c r="E282" t="s">
        <v>1158</v>
      </c>
      <c r="F282" t="s">
        <v>307</v>
      </c>
      <c r="G282">
        <v>1969</v>
      </c>
      <c r="X282" s="4" t="str">
        <f t="shared" si="185"/>
        <v/>
      </c>
      <c r="AF282" t="str">
        <f>CONCATENATE(VLOOKUP(AG282, 'Voxel Sizes'!$A$2:$B$18,2,FALSE),"x",INT(AC282*15), "x", INT(AD282*15))</f>
        <v>0x0x0</v>
      </c>
      <c r="AG282">
        <f t="shared" si="144"/>
        <v>0</v>
      </c>
      <c r="AI282" t="str">
        <f>CONCATENATE(VLOOKUP(AG282,Constants!$A$2:$C$16,IF(AH282&lt;&gt;"", 3, 2), FALSE),IF(AH282&lt;&gt;"",CONCATENATE(",",VLOOKUP(AH282,$B:$AI,34,FALSE)),""))</f>
        <v>na</v>
      </c>
      <c r="AS282">
        <v>30</v>
      </c>
      <c r="AT282" t="str">
        <f t="shared" si="145"/>
        <v/>
      </c>
      <c r="AW282">
        <f t="shared" si="146"/>
        <v>0</v>
      </c>
      <c r="AX282">
        <f t="shared" si="147"/>
        <v>0</v>
      </c>
      <c r="AY282">
        <f t="shared" si="148"/>
        <v>0</v>
      </c>
      <c r="AZ282" s="4">
        <f t="shared" si="143"/>
        <v>0.90800000000000003</v>
      </c>
      <c r="BA282">
        <f t="shared" si="149"/>
        <v>0</v>
      </c>
      <c r="BB282">
        <f>VLOOKUP($E282,Constants!$I:$K, 2, FALSE)</f>
        <v>1</v>
      </c>
      <c r="BC282">
        <f>VLOOKUP($E282,Constants!$I:$K, 3, FALSE)*IF(AND(D282="multiple_unit",Y282&lt;110),0.75,1)</f>
        <v>1</v>
      </c>
      <c r="BD282">
        <f>INT(POWER(((Constants!$G$2+$AW282+$AX282+$AY282+$BA282)*$AZ282)*$BC282, 1.05))+$AV282</f>
        <v>4</v>
      </c>
      <c r="BE282">
        <f>INT(POWER((((Constants!$G$1+$AW282+$AX282+$AY282+$BA282)*($AZ282))*$BB282),IF($D282="wagon",1,1.2)))+$AU282</f>
        <v>22</v>
      </c>
      <c r="BF282" s="15">
        <f t="shared" si="150"/>
        <v>3125</v>
      </c>
      <c r="BG282" s="15">
        <f t="shared" si="151"/>
        <v>1787.5</v>
      </c>
      <c r="BN282">
        <v>8</v>
      </c>
      <c r="BR282" t="str">
        <f>VLOOKUP(G282,Eras!$A$2:$C$10, 2, TRUE)</f>
        <v>dsl</v>
      </c>
      <c r="BS282" t="s">
        <v>378</v>
      </c>
      <c r="BT282" t="str">
        <f t="shared" si="152"/>
        <v>dsl_LU</v>
      </c>
      <c r="BU282" t="str">
        <f t="shared" si="141"/>
        <v>tube_RAIL</v>
      </c>
      <c r="BV282" t="str">
        <f>VLOOKUP($BU282, Constants!$M:$N, 2, FALSE)</f>
        <v/>
      </c>
      <c r="BW282" t="str">
        <f t="shared" si="163"/>
        <v/>
      </c>
      <c r="BY282" t="str">
        <f t="shared" si="164"/>
        <v/>
      </c>
      <c r="BZ282" t="str">
        <f t="shared" si="142"/>
        <v>{SILVER}</v>
      </c>
    </row>
    <row r="283" spans="1:78" x14ac:dyDescent="0.25">
      <c r="A283" t="s">
        <v>115</v>
      </c>
      <c r="B283" t="s">
        <v>222</v>
      </c>
      <c r="D283" t="s">
        <v>165</v>
      </c>
      <c r="E283" t="s">
        <v>1158</v>
      </c>
      <c r="F283" t="s">
        <v>307</v>
      </c>
      <c r="G283">
        <v>1973</v>
      </c>
      <c r="X283" s="4" t="str">
        <f t="shared" si="185"/>
        <v/>
      </c>
      <c r="AF283" t="str">
        <f>CONCATENATE(VLOOKUP(AG283, 'Voxel Sizes'!$A$2:$B$18,2,FALSE),"x",INT(AC283*15), "x", INT(AD283*15))</f>
        <v>0x0x0</v>
      </c>
      <c r="AG283">
        <f t="shared" si="144"/>
        <v>0</v>
      </c>
      <c r="AI283" t="str">
        <f>CONCATENATE(VLOOKUP(AG283,Constants!$A$2:$C$16,IF(AH283&lt;&gt;"", 3, 2), FALSE),IF(AH283&lt;&gt;"",CONCATENATE(",",VLOOKUP(AH283,$B:$AI,34,FALSE)),""))</f>
        <v>na</v>
      </c>
      <c r="AS283">
        <v>30</v>
      </c>
      <c r="AT283" t="str">
        <f t="shared" si="145"/>
        <v/>
      </c>
      <c r="AW283">
        <f t="shared" si="146"/>
        <v>0</v>
      </c>
      <c r="AX283">
        <f t="shared" si="147"/>
        <v>0</v>
      </c>
      <c r="AY283">
        <f t="shared" si="148"/>
        <v>0</v>
      </c>
      <c r="AZ283" s="4">
        <f t="shared" si="143"/>
        <v>0.90266666666666673</v>
      </c>
      <c r="BA283">
        <f t="shared" si="149"/>
        <v>0</v>
      </c>
      <c r="BB283">
        <f>VLOOKUP($E283,Constants!$I:$K, 2, FALSE)</f>
        <v>1</v>
      </c>
      <c r="BC283">
        <f>VLOOKUP($E283,Constants!$I:$K, 3, FALSE)*IF(AND(D283="multiple_unit",Y283&lt;110),0.75,1)</f>
        <v>1</v>
      </c>
      <c r="BD283">
        <f>INT(POWER(((Constants!$G$2+$AW283+$AX283+$AY283+$BA283)*$AZ283)*$BC283, 1.05))+$AV283</f>
        <v>4</v>
      </c>
      <c r="BE283">
        <f>INT(POWER((((Constants!$G$1+$AW283+$AX283+$AY283+$BA283)*($AZ283))*$BB283),IF($D283="wagon",1,1.2)))+$AU283</f>
        <v>22</v>
      </c>
      <c r="BF283" s="15">
        <f t="shared" si="150"/>
        <v>3125</v>
      </c>
      <c r="BG283" s="15">
        <f t="shared" si="151"/>
        <v>1787.5</v>
      </c>
      <c r="BN283">
        <v>9</v>
      </c>
      <c r="BR283" t="str">
        <f>VLOOKUP(G283,Eras!$A$2:$C$10, 2, TRUE)</f>
        <v>lbr</v>
      </c>
      <c r="BS283" t="s">
        <v>378</v>
      </c>
      <c r="BT283" t="str">
        <f t="shared" si="152"/>
        <v>lbr_LU</v>
      </c>
      <c r="BU283" t="str">
        <f t="shared" si="141"/>
        <v>tube_RAIL</v>
      </c>
      <c r="BV283" t="str">
        <f>VLOOKUP($BU283, Constants!$M:$N, 2, FALSE)</f>
        <v/>
      </c>
      <c r="BW283" t="str">
        <f t="shared" si="163"/>
        <v/>
      </c>
      <c r="BY283" t="str">
        <f t="shared" si="164"/>
        <v/>
      </c>
      <c r="BZ283" t="str">
        <f t="shared" si="142"/>
        <v>{SILVER}</v>
      </c>
    </row>
    <row r="284" spans="1:78" x14ac:dyDescent="0.25">
      <c r="A284" t="s">
        <v>117</v>
      </c>
      <c r="B284" t="s">
        <v>224</v>
      </c>
      <c r="D284" t="s">
        <v>165</v>
      </c>
      <c r="E284" t="s">
        <v>1158</v>
      </c>
      <c r="F284" t="s">
        <v>307</v>
      </c>
      <c r="G284">
        <v>1983</v>
      </c>
      <c r="X284" s="4" t="str">
        <f t="shared" si="185"/>
        <v/>
      </c>
      <c r="AF284" t="str">
        <f>CONCATENATE(VLOOKUP(AG284, 'Voxel Sizes'!$A$2:$B$18,2,FALSE),"x",INT(AC284*15), "x", INT(AD284*15))</f>
        <v>0x0x0</v>
      </c>
      <c r="AG284">
        <f t="shared" si="144"/>
        <v>0</v>
      </c>
      <c r="AI284" t="str">
        <f>CONCATENATE(VLOOKUP(AG284,Constants!$A$2:$C$16,IF(AH284&lt;&gt;"", 3, 2), FALSE),IF(AH284&lt;&gt;"",CONCATENATE(",",VLOOKUP(AH284,$B:$AI,34,FALSE)),""))</f>
        <v>na</v>
      </c>
      <c r="AS284">
        <v>30</v>
      </c>
      <c r="AT284" t="str">
        <f t="shared" si="145"/>
        <v/>
      </c>
      <c r="AW284">
        <f t="shared" si="146"/>
        <v>0</v>
      </c>
      <c r="AX284">
        <f t="shared" si="147"/>
        <v>0</v>
      </c>
      <c r="AY284">
        <f t="shared" si="148"/>
        <v>0</v>
      </c>
      <c r="AZ284" s="4">
        <f t="shared" si="143"/>
        <v>0.88933333333333331</v>
      </c>
      <c r="BA284">
        <f t="shared" si="149"/>
        <v>0</v>
      </c>
      <c r="BB284">
        <f>VLOOKUP($E284,Constants!$I:$K, 2, FALSE)</f>
        <v>1</v>
      </c>
      <c r="BC284">
        <f>VLOOKUP($E284,Constants!$I:$K, 3, FALSE)*IF(AND(D284="multiple_unit",Y284&lt;110),0.75,1)</f>
        <v>1</v>
      </c>
      <c r="BD284">
        <f>INT(POWER(((Constants!$G$2+$AW284+$AX284+$AY284+$BA284)*$AZ284)*$BC284, 1.05))+$AV284</f>
        <v>4</v>
      </c>
      <c r="BE284">
        <f>INT(POWER((((Constants!$G$1+$AW284+$AX284+$AY284+$BA284)*($AZ284))*$BB284),IF($D284="wagon",1,1.2)))+$AU284</f>
        <v>22</v>
      </c>
      <c r="BF284" s="15">
        <f t="shared" si="150"/>
        <v>3125</v>
      </c>
      <c r="BG284" s="15">
        <f t="shared" si="151"/>
        <v>1787.5</v>
      </c>
      <c r="BN284">
        <v>10</v>
      </c>
      <c r="BR284" t="str">
        <f>VLOOKUP(G284,Eras!$A$2:$C$10, 2, TRUE)</f>
        <v>lbr</v>
      </c>
      <c r="BS284" t="s">
        <v>378</v>
      </c>
      <c r="BT284" t="str">
        <f t="shared" si="152"/>
        <v>lbr_LU</v>
      </c>
      <c r="BU284" t="str">
        <f t="shared" si="141"/>
        <v>tube_RAIL</v>
      </c>
      <c r="BV284" t="str">
        <f>VLOOKUP($BU284, Constants!$M:$N, 2, FALSE)</f>
        <v/>
      </c>
      <c r="BW284" t="str">
        <f t="shared" si="163"/>
        <v/>
      </c>
      <c r="BY284" t="str">
        <f t="shared" si="164"/>
        <v/>
      </c>
      <c r="BZ284" t="str">
        <f t="shared" si="142"/>
        <v>{SILVER}</v>
      </c>
    </row>
    <row r="285" spans="1:78" x14ac:dyDescent="0.25">
      <c r="A285" t="s">
        <v>116</v>
      </c>
      <c r="B285" t="s">
        <v>223</v>
      </c>
      <c r="D285" t="s">
        <v>165</v>
      </c>
      <c r="E285" t="s">
        <v>1158</v>
      </c>
      <c r="F285" t="s">
        <v>307</v>
      </c>
      <c r="G285">
        <v>1978</v>
      </c>
      <c r="X285" s="4" t="str">
        <f t="shared" si="185"/>
        <v/>
      </c>
      <c r="AF285" t="str">
        <f>CONCATENATE(VLOOKUP(AG285, 'Voxel Sizes'!$A$2:$B$18,2,FALSE),"x",INT(AC285*15), "x", INT(AD285*15))</f>
        <v>0x0x0</v>
      </c>
      <c r="AG285">
        <f t="shared" si="144"/>
        <v>0</v>
      </c>
      <c r="AI285" t="str">
        <f>CONCATENATE(VLOOKUP(AG285,Constants!$A$2:$C$16,IF(AH285&lt;&gt;"", 3, 2), FALSE),IF(AH285&lt;&gt;"",CONCATENATE(",",VLOOKUP(AH285,$B:$AI,34,FALSE)),""))</f>
        <v>na</v>
      </c>
      <c r="AS285">
        <v>30</v>
      </c>
      <c r="AT285" t="str">
        <f t="shared" si="145"/>
        <v/>
      </c>
      <c r="AW285">
        <f t="shared" si="146"/>
        <v>0</v>
      </c>
      <c r="AX285">
        <f t="shared" si="147"/>
        <v>0</v>
      </c>
      <c r="AY285">
        <f t="shared" si="148"/>
        <v>0</v>
      </c>
      <c r="AZ285" s="4">
        <f t="shared" si="143"/>
        <v>0.89600000000000002</v>
      </c>
      <c r="BA285">
        <f t="shared" si="149"/>
        <v>0</v>
      </c>
      <c r="BB285">
        <f>VLOOKUP($E285,Constants!$I:$K, 2, FALSE)</f>
        <v>1</v>
      </c>
      <c r="BC285">
        <f>VLOOKUP($E285,Constants!$I:$K, 3, FALSE)*IF(AND(D285="multiple_unit",Y285&lt;110),0.75,1)</f>
        <v>1</v>
      </c>
      <c r="BD285">
        <f>INT(POWER(((Constants!$G$2+$AW285+$AX285+$AY285+$BA285)*$AZ285)*$BC285, 1.05))+$AV285</f>
        <v>4</v>
      </c>
      <c r="BE285">
        <f>INT(POWER((((Constants!$G$1+$AW285+$AX285+$AY285+$BA285)*($AZ285))*$BB285),IF($D285="wagon",1,1.2)))+$AU285</f>
        <v>22</v>
      </c>
      <c r="BF285" s="15">
        <f t="shared" si="150"/>
        <v>3125</v>
      </c>
      <c r="BG285" s="15">
        <f t="shared" si="151"/>
        <v>1787.5</v>
      </c>
      <c r="BN285">
        <v>11</v>
      </c>
      <c r="BR285" t="str">
        <f>VLOOKUP(G285,Eras!$A$2:$C$10, 2, TRUE)</f>
        <v>lbr</v>
      </c>
      <c r="BS285" t="s">
        <v>378</v>
      </c>
      <c r="BT285" t="str">
        <f t="shared" si="152"/>
        <v>lbr_LU</v>
      </c>
      <c r="BU285" t="str">
        <f t="shared" si="141"/>
        <v>tube_RAIL</v>
      </c>
      <c r="BV285" t="str">
        <f>VLOOKUP($BU285, Constants!$M:$N, 2, FALSE)</f>
        <v/>
      </c>
      <c r="BW285" t="str">
        <f t="shared" si="163"/>
        <v/>
      </c>
      <c r="BY285" t="str">
        <f t="shared" si="164"/>
        <v/>
      </c>
      <c r="BZ285" t="str">
        <f t="shared" si="142"/>
        <v>{SILVER}</v>
      </c>
    </row>
    <row r="286" spans="1:78" x14ac:dyDescent="0.25">
      <c r="A286" t="s">
        <v>120</v>
      </c>
      <c r="B286" t="s">
        <v>226</v>
      </c>
      <c r="D286" t="s">
        <v>165</v>
      </c>
      <c r="E286" t="s">
        <v>1158</v>
      </c>
      <c r="F286" t="s">
        <v>307</v>
      </c>
      <c r="G286">
        <v>2009</v>
      </c>
      <c r="X286" s="4" t="str">
        <f t="shared" si="185"/>
        <v/>
      </c>
      <c r="AF286" t="str">
        <f>CONCATENATE(VLOOKUP(AG286, 'Voxel Sizes'!$A$2:$B$18,2,FALSE),"x",INT(AC286*15), "x", INT(AD286*15))</f>
        <v>0x0x0</v>
      </c>
      <c r="AG286">
        <f t="shared" si="144"/>
        <v>0</v>
      </c>
      <c r="AI286" t="str">
        <f>CONCATENATE(VLOOKUP(AG286,Constants!$A$2:$C$16,IF(AH286&lt;&gt;"", 3, 2), FALSE),IF(AH286&lt;&gt;"",CONCATENATE(",",VLOOKUP(AH286,$B:$AI,34,FALSE)),""))</f>
        <v>na</v>
      </c>
      <c r="AS286">
        <v>30</v>
      </c>
      <c r="AT286" t="str">
        <f t="shared" si="145"/>
        <v/>
      </c>
      <c r="AW286">
        <f t="shared" si="146"/>
        <v>0</v>
      </c>
      <c r="AX286">
        <f t="shared" si="147"/>
        <v>0</v>
      </c>
      <c r="AY286">
        <f t="shared" si="148"/>
        <v>0</v>
      </c>
      <c r="AZ286" s="4">
        <f t="shared" si="143"/>
        <v>0.85466666666666669</v>
      </c>
      <c r="BA286">
        <f t="shared" si="149"/>
        <v>0</v>
      </c>
      <c r="BB286">
        <f>VLOOKUP($E286,Constants!$I:$K, 2, FALSE)</f>
        <v>1</v>
      </c>
      <c r="BC286">
        <f>VLOOKUP($E286,Constants!$I:$K, 3, FALSE)*IF(AND(D286="multiple_unit",Y286&lt;110),0.75,1)</f>
        <v>1</v>
      </c>
      <c r="BD286">
        <f>INT(POWER(((Constants!$G$2+$AW286+$AX286+$AY286+$BA286)*$AZ286)*$BC286, 1.05))+$AV286</f>
        <v>4</v>
      </c>
      <c r="BE286">
        <f>INT(POWER((((Constants!$G$1+$AW286+$AX286+$AY286+$BA286)*($AZ286))*$BB286),IF($D286="wagon",1,1.2)))+$AU286</f>
        <v>21</v>
      </c>
      <c r="BF286" s="15">
        <f t="shared" si="150"/>
        <v>3125</v>
      </c>
      <c r="BG286" s="15">
        <f t="shared" si="151"/>
        <v>1706.25</v>
      </c>
      <c r="BN286">
        <v>12</v>
      </c>
      <c r="BR286" t="str">
        <f>VLOOKUP(G286,Eras!$A$2:$C$10, 2, TRUE)</f>
        <v>mod</v>
      </c>
      <c r="BS286" t="s">
        <v>378</v>
      </c>
      <c r="BT286" t="str">
        <f t="shared" si="152"/>
        <v>mod_LU</v>
      </c>
      <c r="BU286" t="str">
        <f t="shared" si="141"/>
        <v>tube_RAIL</v>
      </c>
      <c r="BV286" t="str">
        <f>VLOOKUP($BU286, Constants!$M:$N, 2, FALSE)</f>
        <v/>
      </c>
      <c r="BW286" t="str">
        <f t="shared" si="163"/>
        <v/>
      </c>
      <c r="BY286" t="str">
        <f t="shared" si="164"/>
        <v/>
      </c>
      <c r="BZ286" t="str">
        <f t="shared" si="142"/>
        <v>{SILVER}</v>
      </c>
    </row>
    <row r="287" spans="1:78" x14ac:dyDescent="0.25">
      <c r="A287" t="s">
        <v>121</v>
      </c>
      <c r="B287" t="s">
        <v>227</v>
      </c>
      <c r="D287" t="s">
        <v>165</v>
      </c>
      <c r="E287" t="s">
        <v>1158</v>
      </c>
      <c r="F287" t="s">
        <v>307</v>
      </c>
      <c r="G287">
        <v>2010</v>
      </c>
      <c r="X287" s="4" t="str">
        <f t="shared" si="185"/>
        <v/>
      </c>
      <c r="AF287" t="str">
        <f>CONCATENATE(VLOOKUP(AG287, 'Voxel Sizes'!$A$2:$B$18,2,FALSE),"x",INT(AC287*15), "x", INT(AD287*15))</f>
        <v>0x0x0</v>
      </c>
      <c r="AG287">
        <f t="shared" si="144"/>
        <v>0</v>
      </c>
      <c r="AI287" t="str">
        <f>CONCATENATE(VLOOKUP(AG287,Constants!$A$2:$C$16,IF(AH287&lt;&gt;"", 3, 2), FALSE),IF(AH287&lt;&gt;"",CONCATENATE(",",VLOOKUP(AH287,$B:$AI,34,FALSE)),""))</f>
        <v>na</v>
      </c>
      <c r="AS287">
        <v>30</v>
      </c>
      <c r="AT287" t="str">
        <f t="shared" si="145"/>
        <v/>
      </c>
      <c r="AW287">
        <f t="shared" si="146"/>
        <v>0</v>
      </c>
      <c r="AX287">
        <f t="shared" si="147"/>
        <v>0</v>
      </c>
      <c r="AY287">
        <f t="shared" si="148"/>
        <v>0</v>
      </c>
      <c r="AZ287" s="4">
        <f t="shared" si="143"/>
        <v>0.85333333333333328</v>
      </c>
      <c r="BA287">
        <f t="shared" si="149"/>
        <v>0</v>
      </c>
      <c r="BB287">
        <f>VLOOKUP($E287,Constants!$I:$K, 2, FALSE)</f>
        <v>1</v>
      </c>
      <c r="BC287">
        <f>VLOOKUP($E287,Constants!$I:$K, 3, FALSE)*IF(AND(D287="multiple_unit",Y287&lt;110),0.75,1)</f>
        <v>1</v>
      </c>
      <c r="BD287">
        <f>INT(POWER(((Constants!$G$2+$AW287+$AX287+$AY287+$BA287)*$AZ287)*$BC287, 1.05))+$AV287</f>
        <v>4</v>
      </c>
      <c r="BE287">
        <f>INT(POWER((((Constants!$G$1+$AW287+$AX287+$AY287+$BA287)*($AZ287))*$BB287),IF($D287="wagon",1,1.2)))+$AU287</f>
        <v>21</v>
      </c>
      <c r="BF287" s="15">
        <f t="shared" si="150"/>
        <v>3125</v>
      </c>
      <c r="BG287" s="15">
        <f t="shared" si="151"/>
        <v>1706.25</v>
      </c>
      <c r="BN287">
        <v>1</v>
      </c>
      <c r="BR287" t="str">
        <f>VLOOKUP(G287,Eras!$A$2:$C$10, 2, TRUE)</f>
        <v>mod</v>
      </c>
      <c r="BS287" t="s">
        <v>378</v>
      </c>
      <c r="BT287" t="str">
        <f t="shared" si="152"/>
        <v>mod_LU</v>
      </c>
      <c r="BU287" t="str">
        <f t="shared" si="141"/>
        <v>tube_RAIL</v>
      </c>
      <c r="BV287" t="str">
        <f>VLOOKUP($BU287, Constants!$M:$N, 2, FALSE)</f>
        <v/>
      </c>
      <c r="BW287" t="str">
        <f t="shared" si="163"/>
        <v/>
      </c>
      <c r="BY287" t="str">
        <f t="shared" si="164"/>
        <v/>
      </c>
      <c r="BZ287" t="str">
        <f t="shared" si="142"/>
        <v>{SILVER}</v>
      </c>
    </row>
    <row r="288" spans="1:78" x14ac:dyDescent="0.25">
      <c r="A288" t="s">
        <v>119</v>
      </c>
      <c r="B288" t="s">
        <v>259</v>
      </c>
      <c r="D288" t="s">
        <v>165</v>
      </c>
      <c r="E288" t="s">
        <v>1158</v>
      </c>
      <c r="F288" t="s">
        <v>307</v>
      </c>
      <c r="G288">
        <v>1995</v>
      </c>
      <c r="X288" s="4" t="str">
        <f t="shared" si="185"/>
        <v/>
      </c>
      <c r="AF288" t="str">
        <f>CONCATENATE(VLOOKUP(AG288, 'Voxel Sizes'!$A$2:$B$18,2,FALSE),"x",INT(AC288*15), "x", INT(AD288*15))</f>
        <v>0x0x0</v>
      </c>
      <c r="AG288">
        <f t="shared" si="144"/>
        <v>0</v>
      </c>
      <c r="AI288" t="str">
        <f>CONCATENATE(VLOOKUP(AG288,Constants!$A$2:$C$16,IF(AH288&lt;&gt;"", 3, 2), FALSE),IF(AH288&lt;&gt;"",CONCATENATE(",",VLOOKUP(AH288,$B:$AI,34,FALSE)),""))</f>
        <v>na</v>
      </c>
      <c r="AS288">
        <v>30</v>
      </c>
      <c r="AT288" t="str">
        <f t="shared" si="145"/>
        <v/>
      </c>
      <c r="AW288">
        <f t="shared" si="146"/>
        <v>0</v>
      </c>
      <c r="AX288">
        <f t="shared" si="147"/>
        <v>0</v>
      </c>
      <c r="AY288">
        <f t="shared" si="148"/>
        <v>0</v>
      </c>
      <c r="AZ288" s="4">
        <f t="shared" si="143"/>
        <v>0.87333333333333329</v>
      </c>
      <c r="BA288">
        <f t="shared" si="149"/>
        <v>0</v>
      </c>
      <c r="BB288">
        <f>VLOOKUP($E288,Constants!$I:$K, 2, FALSE)</f>
        <v>1</v>
      </c>
      <c r="BC288">
        <f>VLOOKUP($E288,Constants!$I:$K, 3, FALSE)*IF(AND(D288="multiple_unit",Y288&lt;110),0.75,1)</f>
        <v>1</v>
      </c>
      <c r="BD288">
        <f>INT(POWER(((Constants!$G$2+$AW288+$AX288+$AY288+$BA288)*$AZ288)*$BC288, 1.05))+$AV288</f>
        <v>4</v>
      </c>
      <c r="BE288">
        <f>INT(POWER((((Constants!$G$1+$AW288+$AX288+$AY288+$BA288)*($AZ288))*$BB288),IF($D288="wagon",1,1.2)))+$AU288</f>
        <v>21</v>
      </c>
      <c r="BF288" s="15">
        <f t="shared" si="150"/>
        <v>3125</v>
      </c>
      <c r="BG288" s="15">
        <f t="shared" si="151"/>
        <v>1706.25</v>
      </c>
      <c r="BN288">
        <v>2</v>
      </c>
      <c r="BR288" t="str">
        <f>VLOOKUP(G288,Eras!$A$2:$C$10, 2, TRUE)</f>
        <v>prv</v>
      </c>
      <c r="BS288" t="s">
        <v>378</v>
      </c>
      <c r="BT288" t="str">
        <f t="shared" si="152"/>
        <v>prv_LU</v>
      </c>
      <c r="BU288" t="str">
        <f t="shared" si="141"/>
        <v>tube_RAIL</v>
      </c>
      <c r="BV288" t="str">
        <f>VLOOKUP($BU288, Constants!$M:$N, 2, FALSE)</f>
        <v/>
      </c>
      <c r="BW288" t="str">
        <f t="shared" si="163"/>
        <v/>
      </c>
      <c r="BY288" t="str">
        <f t="shared" si="164"/>
        <v/>
      </c>
      <c r="BZ288" t="str">
        <f t="shared" si="142"/>
        <v>{SILVER}</v>
      </c>
    </row>
    <row r="289" spans="1:78" x14ac:dyDescent="0.25">
      <c r="A289" t="s">
        <v>118</v>
      </c>
      <c r="B289" t="s">
        <v>225</v>
      </c>
      <c r="D289" t="s">
        <v>165</v>
      </c>
      <c r="E289" t="s">
        <v>1158</v>
      </c>
      <c r="F289" t="s">
        <v>307</v>
      </c>
      <c r="G289">
        <v>1992</v>
      </c>
      <c r="X289" s="4" t="str">
        <f t="shared" si="185"/>
        <v/>
      </c>
      <c r="AF289" t="str">
        <f>CONCATENATE(VLOOKUP(AG289, 'Voxel Sizes'!$A$2:$B$18,2,FALSE),"x",INT(AC289*15), "x", INT(AD289*15))</f>
        <v>0x0x0</v>
      </c>
      <c r="AG289">
        <f t="shared" si="144"/>
        <v>0</v>
      </c>
      <c r="AI289" t="str">
        <f>CONCATENATE(VLOOKUP(AG289,Constants!$A$2:$C$16,IF(AH289&lt;&gt;"", 3, 2), FALSE),IF(AH289&lt;&gt;"",CONCATENATE(",",VLOOKUP(AH289,$B:$AI,34,FALSE)),""))</f>
        <v>na</v>
      </c>
      <c r="AS289">
        <v>30</v>
      </c>
      <c r="AT289" t="str">
        <f t="shared" si="145"/>
        <v/>
      </c>
      <c r="AW289">
        <f t="shared" si="146"/>
        <v>0</v>
      </c>
      <c r="AX289">
        <f t="shared" si="147"/>
        <v>0</v>
      </c>
      <c r="AY289">
        <f t="shared" si="148"/>
        <v>0</v>
      </c>
      <c r="AZ289" s="4">
        <f t="shared" si="143"/>
        <v>0.8773333333333333</v>
      </c>
      <c r="BA289">
        <f t="shared" si="149"/>
        <v>0</v>
      </c>
      <c r="BB289">
        <f>VLOOKUP($E289,Constants!$I:$K, 2, FALSE)</f>
        <v>1</v>
      </c>
      <c r="BC289">
        <f>VLOOKUP($E289,Constants!$I:$K, 3, FALSE)*IF(AND(D289="multiple_unit",Y289&lt;110),0.75,1)</f>
        <v>1</v>
      </c>
      <c r="BD289">
        <f>INT(POWER(((Constants!$G$2+$AW289+$AX289+$AY289+$BA289)*$AZ289)*$BC289, 1.05))+$AV289</f>
        <v>4</v>
      </c>
      <c r="BE289">
        <f>INT(POWER((((Constants!$G$1+$AW289+$AX289+$AY289+$BA289)*($AZ289))*$BB289),IF($D289="wagon",1,1.2)))+$AU289</f>
        <v>22</v>
      </c>
      <c r="BF289" s="15">
        <f t="shared" si="150"/>
        <v>3125</v>
      </c>
      <c r="BG289" s="15">
        <f t="shared" si="151"/>
        <v>1787.5</v>
      </c>
      <c r="BN289">
        <v>3</v>
      </c>
      <c r="BR289" t="str">
        <f>VLOOKUP(G289,Eras!$A$2:$C$10, 2, TRUE)</f>
        <v>lbr</v>
      </c>
      <c r="BS289" t="s">
        <v>378</v>
      </c>
      <c r="BT289" t="str">
        <f t="shared" si="152"/>
        <v>lbr_LU</v>
      </c>
      <c r="BU289" t="str">
        <f t="shared" si="141"/>
        <v>tube_RAIL</v>
      </c>
      <c r="BV289" t="str">
        <f>VLOOKUP($BU289, Constants!$M:$N, 2, FALSE)</f>
        <v/>
      </c>
      <c r="BW289" t="str">
        <f t="shared" si="163"/>
        <v/>
      </c>
      <c r="BY289" t="str">
        <f t="shared" si="164"/>
        <v/>
      </c>
      <c r="BZ289" t="str">
        <f t="shared" si="142"/>
        <v>{SILVER}</v>
      </c>
    </row>
    <row r="290" spans="1:78" x14ac:dyDescent="0.25">
      <c r="A290" t="s">
        <v>1243</v>
      </c>
      <c r="B290" t="s">
        <v>1245</v>
      </c>
      <c r="D290" t="s">
        <v>165</v>
      </c>
      <c r="E290" t="s">
        <v>305</v>
      </c>
      <c r="F290" t="s">
        <v>307</v>
      </c>
      <c r="X290" s="4" t="str">
        <f t="shared" si="185"/>
        <v/>
      </c>
      <c r="AF290" t="str">
        <f>CONCATENATE(VLOOKUP(AG290, 'Voxel Sizes'!$A$2:$B$18,2,FALSE),"x",INT(AC290*15), "x", INT(AD290*15))</f>
        <v>0x0x0</v>
      </c>
      <c r="AG290">
        <f t="shared" si="144"/>
        <v>0</v>
      </c>
      <c r="AI290" t="str">
        <f>CONCATENATE(VLOOKUP(AG290,Constants!$A$2:$C$16,IF(AH290&lt;&gt;"", 3, 2), FALSE),IF(AH290&lt;&gt;"",CONCATENATE(",",VLOOKUP(AH290,$B:$AI,34,FALSE)),""))</f>
        <v>na</v>
      </c>
      <c r="AS290">
        <v>21</v>
      </c>
      <c r="AT290" t="str">
        <f t="shared" si="145"/>
        <v/>
      </c>
      <c r="AW290">
        <f t="shared" si="146"/>
        <v>0</v>
      </c>
      <c r="AX290">
        <f t="shared" si="147"/>
        <v>0</v>
      </c>
      <c r="AY290">
        <f t="shared" si="148"/>
        <v>0</v>
      </c>
      <c r="AZ290" s="4">
        <f t="shared" si="143"/>
        <v>1</v>
      </c>
      <c r="BA290">
        <f t="shared" si="149"/>
        <v>0</v>
      </c>
      <c r="BB290">
        <f>VLOOKUP($E290,Constants!$I:$K, 2, FALSE)</f>
        <v>1</v>
      </c>
      <c r="BC290">
        <f>VLOOKUP($E290,Constants!$I:$K, 3, FALSE)*IF(AND(D290="multiple_unit",Y290&lt;110),0.75,1)</f>
        <v>2</v>
      </c>
      <c r="BD290">
        <f>INT(POWER(((Constants!$G$2+$AW290+$AX290+$AY290+$BA290)*$AZ290)*$BC290, 1.05))+$AV290</f>
        <v>11</v>
      </c>
      <c r="BE290">
        <f>INT(POWER((((Constants!$G$1+$AW290+$AX290+$AY290+$BA290)*($AZ290))*$BB290),IF($D290="wagon",1,1.2)))+$AU290</f>
        <v>25</v>
      </c>
      <c r="BF290" s="15">
        <f t="shared" si="150"/>
        <v>8593.75</v>
      </c>
      <c r="BG290" s="15">
        <f t="shared" si="151"/>
        <v>2031.25</v>
      </c>
      <c r="BN290">
        <v>4</v>
      </c>
      <c r="BR290" t="e">
        <f>VLOOKUP(G290,Eras!$A$2:$C$10, 2, TRUE)</f>
        <v>#N/A</v>
      </c>
      <c r="BT290" t="e">
        <f t="shared" si="152"/>
        <v>#N/A</v>
      </c>
      <c r="BU290" t="str">
        <f t="shared" si="141"/>
        <v>diesel_RAIL</v>
      </c>
      <c r="BV290" t="str">
        <f>VLOOKUP($BU290, Constants!$M:$N, 2, FALSE)</f>
        <v>{BLACK}Powered by: {GOLD}Diesel</v>
      </c>
      <c r="BW290" t="str">
        <f t="shared" si="163"/>
        <v/>
      </c>
      <c r="BZ290" t="str">
        <f t="shared" si="142"/>
        <v>{BLACK}Powered by: {GOLD}Diesel {}{SILVER}</v>
      </c>
    </row>
    <row r="291" spans="1:78" x14ac:dyDescent="0.25">
      <c r="A291" t="s">
        <v>1361</v>
      </c>
      <c r="B291" t="s">
        <v>1247</v>
      </c>
      <c r="C291">
        <v>355</v>
      </c>
      <c r="D291" t="s">
        <v>295</v>
      </c>
      <c r="E291" t="s">
        <v>305</v>
      </c>
      <c r="F291" t="s">
        <v>307</v>
      </c>
      <c r="G291">
        <v>1990</v>
      </c>
      <c r="K291">
        <v>1270</v>
      </c>
      <c r="T291">
        <v>90</v>
      </c>
      <c r="W291">
        <v>170</v>
      </c>
      <c r="X291" s="4">
        <f t="shared" si="185"/>
        <v>0.18888888888888888</v>
      </c>
      <c r="Y291">
        <v>62</v>
      </c>
      <c r="AA291">
        <v>14.4</v>
      </c>
      <c r="AB291">
        <v>14.4</v>
      </c>
      <c r="AF291" t="str">
        <f>CONCATENATE(VLOOKUP(AG291, 'Voxel Sizes'!$A$2:$B$18,2,FALSE),"x",INT(AC291*15), "x", INT(AD291*15))</f>
        <v>136x0x0</v>
      </c>
      <c r="AG291">
        <f t="shared" si="144"/>
        <v>8</v>
      </c>
      <c r="AI291" t="str">
        <f>CONCATENATE(VLOOKUP(AG291,Constants!$A$2:$C$16,IF(AH291&lt;&gt;"", 3, 2), FALSE),IF(AH291&lt;&gt;"",CONCATENATE(",",VLOOKUP(AH291,$B:$AI,34,FALSE)),""))</f>
        <v>2,4,2</v>
      </c>
      <c r="AS291">
        <v>34</v>
      </c>
      <c r="AT291" t="str">
        <f t="shared" si="145"/>
        <v/>
      </c>
      <c r="AV291">
        <v>-16</v>
      </c>
      <c r="AW291">
        <f t="shared" si="146"/>
        <v>12.4</v>
      </c>
      <c r="AX291">
        <f t="shared" si="147"/>
        <v>6.35</v>
      </c>
      <c r="AY291">
        <f t="shared" si="148"/>
        <v>8.5</v>
      </c>
      <c r="AZ291" s="4">
        <f t="shared" si="143"/>
        <v>0.88</v>
      </c>
      <c r="BA291">
        <f t="shared" si="149"/>
        <v>0</v>
      </c>
      <c r="BB291">
        <f>VLOOKUP($E291,Constants!$I:$K, 2, FALSE)</f>
        <v>1</v>
      </c>
      <c r="BC291">
        <f>VLOOKUP($E291,Constants!$I:$K, 3, FALSE)*IF(AND(D291="multiple_unit",Y291&lt;110),0.75,1)</f>
        <v>2</v>
      </c>
      <c r="BD291">
        <f>INT(POWER(((Constants!$G$2+$AW291+$AX291+$AY291+$BA291)*$AZ291)*$BC291, 1.05))+$AV291</f>
        <v>53</v>
      </c>
      <c r="BE291">
        <f>INT(POWER((((Constants!$G$1+$AW291+$AX291+$AY291+$BA291)*($AZ291))*$BB291),IF($D291="wagon",1,1.2)))+$AU291</f>
        <v>76</v>
      </c>
      <c r="BF291" s="15">
        <f t="shared" si="150"/>
        <v>41406.25</v>
      </c>
      <c r="BG291" s="15">
        <f t="shared" si="151"/>
        <v>6175</v>
      </c>
      <c r="BN291">
        <v>6</v>
      </c>
      <c r="BR291" t="str">
        <f>VLOOKUP(G291,Eras!$A$2:$C$10, 2, TRUE)</f>
        <v>lbr</v>
      </c>
      <c r="BS291" t="s">
        <v>359</v>
      </c>
      <c r="BT291" t="str">
        <f t="shared" si="152"/>
        <v>lbr_Cheap</v>
      </c>
      <c r="BU291" t="str">
        <f t="shared" si="141"/>
        <v>diesel_RAIL</v>
      </c>
      <c r="BV291" t="str">
        <f>VLOOKUP($BU291, Constants!$M:$N, 2, FALSE)</f>
        <v>{BLACK}Powered by: {GOLD}Diesel</v>
      </c>
      <c r="BX291" t="s">
        <v>1362</v>
      </c>
      <c r="BZ291" t="str">
        <f t="shared" si="142"/>
        <v>{BLACK}Powered by: {GOLD}Diesel {}{SILVER}Eurotunnel bought five MaK DE 1004 locomotives for use within the tunnel as service trains, later explanding the fleet with similar DE6400 locomotives bought from DB Schenker Nederland. When running on the UK mainline they are classified as Class 21/9.</v>
      </c>
    </row>
    <row r="292" spans="1:78" x14ac:dyDescent="0.25">
      <c r="A292" t="s">
        <v>1363</v>
      </c>
      <c r="B292" t="s">
        <v>1364</v>
      </c>
      <c r="C292">
        <v>505</v>
      </c>
      <c r="D292" t="s">
        <v>437</v>
      </c>
      <c r="E292" t="s">
        <v>1365</v>
      </c>
      <c r="F292" t="s">
        <v>307</v>
      </c>
      <c r="G292">
        <v>2009</v>
      </c>
      <c r="J292">
        <v>1</v>
      </c>
      <c r="K292">
        <v>86</v>
      </c>
      <c r="T292">
        <v>12</v>
      </c>
      <c r="V292">
        <f>8*J292</f>
        <v>8</v>
      </c>
      <c r="W292">
        <v>35</v>
      </c>
      <c r="X292" s="4">
        <f t="shared" si="185"/>
        <v>0.29166666666666669</v>
      </c>
      <c r="Y292">
        <v>35</v>
      </c>
      <c r="AA292">
        <v>9.6</v>
      </c>
      <c r="AB292">
        <v>9.6</v>
      </c>
      <c r="AC292">
        <v>2.4</v>
      </c>
      <c r="AD292">
        <v>3.2</v>
      </c>
      <c r="AE292" s="11">
        <v>42</v>
      </c>
      <c r="AF292" t="str">
        <f>CONCATENATE(VLOOKUP(AG292, 'Voxel Sizes'!$A$2:$B$18,2,FALSE),"x",INT(AC292*15), "x", INT(AD292*15))</f>
        <v>102x36x48</v>
      </c>
      <c r="AG292">
        <f t="shared" ref="AG292" si="186">ROUND(15*((AB292*10)/256),0)</f>
        <v>6</v>
      </c>
      <c r="AI292" t="str">
        <f>CONCATENATE(VLOOKUP(AG292,Constants!$A$2:$C$16,IF(AH292&lt;&gt;"", 3, 2), FALSE),IF(AH292&lt;&gt;"",CONCATENATE(",",VLOOKUP(AH292,$B:$AI,34,FALSE)),""))</f>
        <v>2,2,2</v>
      </c>
      <c r="AM292" t="s">
        <v>1364</v>
      </c>
      <c r="AO292">
        <v>1</v>
      </c>
      <c r="AS292">
        <v>28</v>
      </c>
      <c r="AT292" t="str">
        <f t="shared" si="145"/>
        <v/>
      </c>
      <c r="AW292">
        <f t="shared" ref="AW292" si="187">MIN(Y292/150, 1)*30</f>
        <v>7</v>
      </c>
      <c r="AX292">
        <f t="shared" ref="AX292" si="188">MIN(K292/4000, 1)*20</f>
        <v>0.42999999999999994</v>
      </c>
      <c r="AY292">
        <f t="shared" ref="AY292" si="189">MIN(W292/400,1)*20</f>
        <v>1.75</v>
      </c>
      <c r="AZ292" s="4">
        <f t="shared" ref="AZ292" si="190">1-(MAX(G292-1900, 0)/750)</f>
        <v>0.85466666666666669</v>
      </c>
      <c r="BA292">
        <f t="shared" ref="BA292" si="191">((MAX($J292,1)*MIN($AE292/300,1)))*IF(D292="Wagon",50,10)</f>
        <v>1.4000000000000001</v>
      </c>
      <c r="BB292">
        <f>VLOOKUP($E292,Constants!$I:$K, 2, FALSE)</f>
        <v>0.98</v>
      </c>
      <c r="BC292">
        <f>VLOOKUP($E292,Constants!$I:$K, 3, FALSE)*IF(AND(D292="multiple_unit",Y292&lt;110),0.75,1)</f>
        <v>1.41</v>
      </c>
      <c r="BD292">
        <f>INT(POWER(((Constants!$G$2+$AW292+$AX292+$AY292+$BA292)*$AZ292)*$BC292, 1.05))+$AV292</f>
        <v>21</v>
      </c>
      <c r="BE292">
        <f>INT(POWER((((Constants!$G$1+$AW292+$AX292+$AY292+$BA292)*($AZ292))*$BB292),IF($D292="wagon",1,1.2)))+$AU292</f>
        <v>39</v>
      </c>
      <c r="BF292" s="15">
        <f t="shared" ref="BF292" si="192">BD292*IF($D292="wagon",62.5,781.25)</f>
        <v>16406.25</v>
      </c>
      <c r="BG292" s="15">
        <f t="shared" ref="BG292" si="193">BE292*IF($D292="wagon",2.73,81.25)</f>
        <v>3168.75</v>
      </c>
      <c r="BN292">
        <v>6</v>
      </c>
      <c r="BQ292" t="s">
        <v>316</v>
      </c>
      <c r="BR292" t="str">
        <f>VLOOKUP(G292,Eras!$A$2:$C$10, 2, TRUE)</f>
        <v>mod</v>
      </c>
      <c r="BS292" t="s">
        <v>363</v>
      </c>
      <c r="BT292" t="str">
        <f t="shared" ref="BT292" si="194">CONCATENATE(BR292,"_",BS292)</f>
        <v>mod_DMU (Cheap)</v>
      </c>
      <c r="BU292" t="str">
        <f t="shared" si="141"/>
        <v>lpgflywheel_RAIL</v>
      </c>
      <c r="BV292" t="str">
        <f>VLOOKUP($BU292, Constants!$M:$N, 2, FALSE)</f>
        <v>{BLACK}Powered by: {GOLD}LPG / Flywheel</v>
      </c>
      <c r="BX292" t="s">
        <v>1368</v>
      </c>
      <c r="BZ292" t="str">
        <f t="shared" si="142"/>
        <v>{BLACK}Powered by: {GOLD}LPG / Flywheel {}{SILVER}The Parry People Mover PPM60 uses a small LPG engine with a flywheel to capture energy from braking. The units are currently used on the Stourbridge Town Branch Line, where they are limited to 20mph.</v>
      </c>
    </row>
  </sheetData>
  <autoFilter ref="A1:BX289" xr:uid="{CF2E8555-48EE-4386-A1B1-369F6A2E644F}">
    <sortState xmlns:xlrd2="http://schemas.microsoft.com/office/spreadsheetml/2017/richdata2" ref="A2:BX286">
      <sortCondition ref="C106"/>
    </sortState>
  </autoFilter>
  <sortState xmlns:xlrd2="http://schemas.microsoft.com/office/spreadsheetml/2017/richdata2" ref="A2:BZ291">
    <sortCondition ref="C240"/>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BS1:BS1048576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410</v>
      </c>
      <c r="D1" s="1" t="s">
        <v>360</v>
      </c>
      <c r="E1" s="1" t="s">
        <v>359</v>
      </c>
      <c r="F1" s="1" t="s">
        <v>361</v>
      </c>
      <c r="G1" s="1" t="s">
        <v>362</v>
      </c>
      <c r="H1" s="1" t="s">
        <v>370</v>
      </c>
      <c r="I1" s="1" t="s">
        <v>371</v>
      </c>
      <c r="J1" s="1" t="s">
        <v>372</v>
      </c>
      <c r="K1" s="1" t="s">
        <v>363</v>
      </c>
      <c r="L1" s="1" t="s">
        <v>364</v>
      </c>
      <c r="M1" s="1" t="s">
        <v>365</v>
      </c>
      <c r="N1" s="1" t="s">
        <v>366</v>
      </c>
      <c r="O1" s="1" t="s">
        <v>367</v>
      </c>
      <c r="P1" s="1" t="s">
        <v>378</v>
      </c>
      <c r="Q1" s="1" t="s">
        <v>368</v>
      </c>
      <c r="R1" s="1" t="s">
        <v>369</v>
      </c>
      <c r="S1" s="1" t="s">
        <v>373</v>
      </c>
      <c r="T1" s="1" t="s">
        <v>374</v>
      </c>
      <c r="U1" s="1" t="s">
        <v>375</v>
      </c>
      <c r="V1" s="1" t="s">
        <v>376</v>
      </c>
      <c r="W1" s="1" t="s">
        <v>741</v>
      </c>
    </row>
    <row r="2" spans="1:23" x14ac:dyDescent="0.25">
      <c r="A2" s="1" t="s">
        <v>357</v>
      </c>
      <c r="B2" s="1" t="s">
        <v>358</v>
      </c>
    </row>
    <row r="3" spans="1:23" x14ac:dyDescent="0.25">
      <c r="A3" t="s">
        <v>350</v>
      </c>
      <c r="B3" t="str">
        <f>VLOOKUP(A3, Eras!$B$2:$C$10, 2, FALSE)</f>
        <v>Early (1800-1850)</v>
      </c>
      <c r="C3">
        <f>COUNTIF(Table!$BT:$BT,CONCATENATE($A3,"_",C$1))</f>
        <v>0</v>
      </c>
      <c r="D3">
        <f>COUNTIF(Table!$BT:$BT,CONCATENATE($A3,"_",D$1))</f>
        <v>4</v>
      </c>
      <c r="E3">
        <f>COUNTIF(Table!$BT:$BT,CONCATENATE($A3,"_",E$1))</f>
        <v>0</v>
      </c>
      <c r="F3">
        <f>COUNTIF(Table!$BT:$BT,CONCATENATE($A3,"_",F$1))</f>
        <v>1</v>
      </c>
      <c r="G3">
        <f>COUNTIF(Table!$BT:$BT,CONCATENATE($A3,"_",G$1))</f>
        <v>0</v>
      </c>
      <c r="H3">
        <f>COUNTIF(Table!$BT:$BT,CONCATENATE($A3,"_",H$1))</f>
        <v>0</v>
      </c>
      <c r="I3">
        <f>COUNTIF(Table!$BT:$BT,CONCATENATE($A3,"_",I$1))</f>
        <v>0</v>
      </c>
      <c r="J3">
        <f>COUNTIF(Table!$BT:$BT,CONCATENATE($A3,"_",J$1))</f>
        <v>0</v>
      </c>
      <c r="K3">
        <f>COUNTIF(Table!$BT:$BT,CONCATENATE($A3,"_",K$1))</f>
        <v>0</v>
      </c>
      <c r="L3">
        <f>COUNTIF(Table!$BT:$BT,CONCATENATE($A3,"_",L$1))</f>
        <v>0</v>
      </c>
      <c r="M3">
        <f>COUNTIF(Table!$BT:$BT,CONCATENATE($A3,"_",M$1))</f>
        <v>0</v>
      </c>
      <c r="N3">
        <f>COUNTIF(Table!$BT:$BT,CONCATENATE($A3,"_",N$1))</f>
        <v>0</v>
      </c>
      <c r="O3">
        <f>COUNTIF(Table!$BT:$BT,CONCATENATE($A3,"_",O$1))</f>
        <v>0</v>
      </c>
      <c r="P3">
        <f>COUNTIF(Table!$BT:$BT,CONCATENATE($A3,"_",P$1))</f>
        <v>0</v>
      </c>
      <c r="Q3">
        <f>COUNTIF(Table!$BT:$BT,CONCATENATE($A3,"_",Q$1))</f>
        <v>0</v>
      </c>
      <c r="R3">
        <f>COUNTIF(Table!$BT:$BT,CONCATENATE($A3,"_",R$1))</f>
        <v>0</v>
      </c>
      <c r="S3">
        <f>COUNTIF(Table!$BT:$BT,CONCATENATE($A3,"_",S$1))</f>
        <v>0</v>
      </c>
      <c r="T3">
        <f>COUNTIF(Table!$BT:$BT,CONCATENATE($A3,"_",T$1))</f>
        <v>0</v>
      </c>
      <c r="U3">
        <f>COUNTIF(Table!$BT:$BT,CONCATENATE($A3,"_",U$1))</f>
        <v>0</v>
      </c>
      <c r="V3">
        <f>COUNTIF(Table!$BT:$BT,CONCATENATE($A3,"_",V$1))</f>
        <v>0</v>
      </c>
      <c r="W3">
        <f>COUNTIF(Table!$BT:$BT,CONCATENATE($A3,"_",W$1))</f>
        <v>0</v>
      </c>
    </row>
    <row r="4" spans="1:23" x14ac:dyDescent="0.25">
      <c r="A4" t="s">
        <v>417</v>
      </c>
      <c r="B4" t="str">
        <f>VLOOKUP(A4, Eras!$B$2:$C$10, 2, FALSE)</f>
        <v>Victorian (1850-1900)</v>
      </c>
      <c r="C4">
        <f>COUNTIF(Table!$BT:$BT,CONCATENATE($A4,"_",C$1))</f>
        <v>0</v>
      </c>
      <c r="D4">
        <f>COUNTIF(Table!$BT:$BT,CONCATENATE($A4,"_",D$1))</f>
        <v>4</v>
      </c>
      <c r="E4">
        <f>COUNTIF(Table!$BT:$BT,CONCATENATE($A4,"_",E$1))</f>
        <v>2</v>
      </c>
      <c r="F4">
        <f>COUNTIF(Table!$BT:$BT,CONCATENATE($A4,"_",F$1))</f>
        <v>2</v>
      </c>
      <c r="G4">
        <f>COUNTIF(Table!$BT:$BT,CONCATENATE($A4,"_",G$1))</f>
        <v>1</v>
      </c>
      <c r="H4">
        <f>COUNTIF(Table!$BT:$BT,CONCATENATE($A4,"_",H$1))</f>
        <v>0</v>
      </c>
      <c r="I4">
        <f>COUNTIF(Table!$BT:$BT,CONCATENATE($A4,"_",I$1))</f>
        <v>0</v>
      </c>
      <c r="J4">
        <f>COUNTIF(Table!$BT:$BT,CONCATENATE($A4,"_",J$1))</f>
        <v>0</v>
      </c>
      <c r="K4">
        <f>COUNTIF(Table!$BT:$BT,CONCATENATE($A4,"_",K$1))</f>
        <v>0</v>
      </c>
      <c r="L4">
        <f>COUNTIF(Table!$BT:$BT,CONCATENATE($A4,"_",L$1))</f>
        <v>0</v>
      </c>
      <c r="M4">
        <f>COUNTIF(Table!$BT:$BT,CONCATENATE($A4,"_",M$1))</f>
        <v>0</v>
      </c>
      <c r="N4">
        <f>COUNTIF(Table!$BT:$BT,CONCATENATE($A4,"_",N$1))</f>
        <v>1</v>
      </c>
      <c r="O4">
        <f>COUNTIF(Table!$BT:$BT,CONCATENATE($A4,"_",O$1))</f>
        <v>0</v>
      </c>
      <c r="P4">
        <f>COUNTIF(Table!$BT:$BT,CONCATENATE($A4,"_",P$1))</f>
        <v>0</v>
      </c>
      <c r="Q4">
        <f>COUNTIF(Table!$BT:$BT,CONCATENATE($A4,"_",Q$1))</f>
        <v>5</v>
      </c>
      <c r="R4">
        <f>COUNTIF(Table!$BT:$BT,CONCATENATE($A4,"_",R$1))</f>
        <v>1</v>
      </c>
      <c r="S4">
        <f>COUNTIF(Table!$BT:$BT,CONCATENATE($A4,"_",S$1))</f>
        <v>1</v>
      </c>
      <c r="T4">
        <f>COUNTIF(Table!$BT:$BT,CONCATENATE($A4,"_",T$1))</f>
        <v>1</v>
      </c>
      <c r="U4">
        <f>COUNTIF(Table!$BT:$BT,CONCATENATE($A4,"_",U$1))</f>
        <v>2</v>
      </c>
      <c r="V4">
        <f>COUNTIF(Table!$BT:$BT,CONCATENATE($A4,"_",V$1))</f>
        <v>1</v>
      </c>
      <c r="W4">
        <f>COUNTIF(Table!$BT:$BT,CONCATENATE($A4,"_",W$1))</f>
        <v>2</v>
      </c>
    </row>
    <row r="5" spans="1:23" x14ac:dyDescent="0.25">
      <c r="A5" t="s">
        <v>351</v>
      </c>
      <c r="B5" t="str">
        <f>VLOOKUP(A5, Eras!$B$2:$C$10, 2, FALSE)</f>
        <v>Edwardian (1900-1920)</v>
      </c>
      <c r="C5">
        <f>COUNTIF(Table!$BT:$BT,CONCATENATE($A5,"_",C$1))</f>
        <v>2</v>
      </c>
      <c r="D5">
        <f>COUNTIF(Table!$BT:$BT,CONCATENATE($A5,"_",D$1))</f>
        <v>1</v>
      </c>
      <c r="E5">
        <f>COUNTIF(Table!$BT:$BT,CONCATENATE($A5,"_",E$1))</f>
        <v>2</v>
      </c>
      <c r="F5">
        <f>COUNTIF(Table!$BT:$BT,CONCATENATE($A5,"_",F$1))</f>
        <v>3</v>
      </c>
      <c r="G5">
        <f>COUNTIF(Table!$BT:$BT,CONCATENATE($A5,"_",G$1))</f>
        <v>5</v>
      </c>
      <c r="H5">
        <f>COUNTIF(Table!$BT:$BT,CONCATENATE($A5,"_",H$1))</f>
        <v>0</v>
      </c>
      <c r="I5">
        <f>COUNTIF(Table!$BT:$BT,CONCATENATE($A5,"_",I$1))</f>
        <v>0</v>
      </c>
      <c r="J5">
        <f>COUNTIF(Table!$BT:$BT,CONCATENATE($A5,"_",J$1))</f>
        <v>2</v>
      </c>
      <c r="K5">
        <f>COUNTIF(Table!$BT:$BT,CONCATENATE($A5,"_",K$1))</f>
        <v>1</v>
      </c>
      <c r="L5">
        <f>COUNTIF(Table!$BT:$BT,CONCATENATE($A5,"_",L$1))</f>
        <v>0</v>
      </c>
      <c r="M5">
        <f>COUNTIF(Table!$BT:$BT,CONCATENATE($A5,"_",M$1))</f>
        <v>0</v>
      </c>
      <c r="N5">
        <f>COUNTIF(Table!$BT:$BT,CONCATENATE($A5,"_",N$1))</f>
        <v>1</v>
      </c>
      <c r="O5">
        <f>COUNTIF(Table!$BT:$BT,CONCATENATE($A5,"_",O$1))</f>
        <v>0</v>
      </c>
      <c r="P5">
        <f>COUNTIF(Table!$BT:$BT,CONCATENATE($A5,"_",P$1))</f>
        <v>1</v>
      </c>
      <c r="Q5">
        <f>COUNTIF(Table!$BT:$BT,CONCATENATE($A5,"_",Q$1))</f>
        <v>1</v>
      </c>
      <c r="R5">
        <f>COUNTIF(Table!$BT:$BT,CONCATENATE($A5,"_",R$1))</f>
        <v>2</v>
      </c>
      <c r="S5">
        <f>COUNTIF(Table!$BT:$BT,CONCATENATE($A5,"_",S$1))</f>
        <v>1</v>
      </c>
      <c r="T5">
        <f>COUNTIF(Table!$BT:$BT,CONCATENATE($A5,"_",T$1))</f>
        <v>2</v>
      </c>
      <c r="U5">
        <f>COUNTIF(Table!$BT:$BT,CONCATENATE($A5,"_",U$1))</f>
        <v>2</v>
      </c>
      <c r="V5">
        <f>COUNTIF(Table!$BT:$BT,CONCATENATE($A5,"_",V$1))</f>
        <v>1</v>
      </c>
      <c r="W5">
        <f>COUNTIF(Table!$BT:$BT,CONCATENATE($A5,"_",W$1))</f>
        <v>0</v>
      </c>
    </row>
    <row r="6" spans="1:23" x14ac:dyDescent="0.25">
      <c r="A6" t="s">
        <v>352</v>
      </c>
      <c r="B6" t="str">
        <f>VLOOKUP(A6, Eras!$B$2:$C$10, 2, FALSE)</f>
        <v>Big Four (1923-1948)</v>
      </c>
      <c r="C6">
        <f>COUNTIF(Table!$BT:$BT,CONCATENATE($A6,"_",C$1))</f>
        <v>1</v>
      </c>
      <c r="D6">
        <f>COUNTIF(Table!$BT:$BT,CONCATENATE($A6,"_",D$1))</f>
        <v>11</v>
      </c>
      <c r="E6">
        <f>COUNTIF(Table!$BT:$BT,CONCATENATE($A6,"_",E$1))</f>
        <v>6</v>
      </c>
      <c r="F6">
        <f>COUNTIF(Table!$BT:$BT,CONCATENATE($A6,"_",F$1))</f>
        <v>10</v>
      </c>
      <c r="G6">
        <f>COUNTIF(Table!$BT:$BT,CONCATENATE($A6,"_",G$1))</f>
        <v>3</v>
      </c>
      <c r="H6">
        <f>COUNTIF(Table!$BT:$BT,CONCATENATE($A6,"_",H$1))</f>
        <v>1</v>
      </c>
      <c r="I6">
        <f>COUNTIF(Table!$BT:$BT,CONCATENATE($A6,"_",I$1))</f>
        <v>0</v>
      </c>
      <c r="J6">
        <f>COUNTIF(Table!$BT:$BT,CONCATENATE($A6,"_",J$1))</f>
        <v>0</v>
      </c>
      <c r="K6">
        <f>COUNTIF(Table!$BT:$BT,CONCATENATE($A6,"_",K$1))</f>
        <v>1</v>
      </c>
      <c r="L6">
        <f>COUNTIF(Table!$BT:$BT,CONCATENATE($A6,"_",L$1))</f>
        <v>0</v>
      </c>
      <c r="M6">
        <f>COUNTIF(Table!$BT:$BT,CONCATENATE($A6,"_",M$1))</f>
        <v>0</v>
      </c>
      <c r="N6">
        <f>COUNTIF(Table!$BT:$BT,CONCATENATE($A6,"_",N$1))</f>
        <v>2</v>
      </c>
      <c r="O6">
        <f>COUNTIF(Table!$BT:$BT,CONCATENATE($A6,"_",O$1))</f>
        <v>1</v>
      </c>
      <c r="P6">
        <f>COUNTIF(Table!$BT:$BT,CONCATENATE($A6,"_",P$1))</f>
        <v>1</v>
      </c>
      <c r="Q6">
        <f>COUNTIF(Table!$BT:$BT,CONCATENATE($A6,"_",Q$1))</f>
        <v>2</v>
      </c>
      <c r="R6">
        <f>COUNTIF(Table!$BT:$BT,CONCATENATE($A6,"_",R$1))</f>
        <v>0</v>
      </c>
      <c r="S6">
        <f>COUNTIF(Table!$BT:$BT,CONCATENATE($A6,"_",S$1))</f>
        <v>1</v>
      </c>
      <c r="T6">
        <f>COUNTIF(Table!$BT:$BT,CONCATENATE($A6,"_",T$1))</f>
        <v>1</v>
      </c>
      <c r="U6">
        <f>COUNTIF(Table!$BT:$BT,CONCATENATE($A6,"_",U$1))</f>
        <v>2</v>
      </c>
      <c r="V6">
        <f>COUNTIF(Table!$BT:$BT,CONCATENATE($A6,"_",V$1))</f>
        <v>1</v>
      </c>
      <c r="W6">
        <f>COUNTIF(Table!$BT:$BT,CONCATENATE($A6,"_",W$1))</f>
        <v>2</v>
      </c>
    </row>
    <row r="7" spans="1:23" x14ac:dyDescent="0.25">
      <c r="A7" t="s">
        <v>678</v>
      </c>
      <c r="B7" t="str">
        <f>VLOOKUP(A7, Eras!$B$2:$C$10, 2, FALSE)</f>
        <v>Early BR (1948-1955)</v>
      </c>
      <c r="C7">
        <f>COUNTIF(Table!$BT:$BT,CONCATENATE($A7,"_",C$1))</f>
        <v>0</v>
      </c>
      <c r="D7">
        <f>COUNTIF(Table!$BT:$BT,CONCATENATE($A7,"_",D$1))</f>
        <v>2</v>
      </c>
      <c r="E7">
        <f>COUNTIF(Table!$BT:$BT,CONCATENATE($A7,"_",E$1))</f>
        <v>1</v>
      </c>
      <c r="F7">
        <f>COUNTIF(Table!$BT:$BT,CONCATENATE($A7,"_",F$1))</f>
        <v>1</v>
      </c>
      <c r="G7">
        <f>COUNTIF(Table!$BT:$BT,CONCATENATE($A7,"_",G$1))</f>
        <v>1</v>
      </c>
      <c r="H7">
        <f>COUNTIF(Table!$BT:$BT,CONCATENATE($A7,"_",H$1))</f>
        <v>0</v>
      </c>
      <c r="I7">
        <f>COUNTIF(Table!$BT:$BT,CONCATENATE($A7,"_",I$1))</f>
        <v>1</v>
      </c>
      <c r="J7">
        <f>COUNTIF(Table!$BT:$BT,CONCATENATE($A7,"_",J$1))</f>
        <v>1</v>
      </c>
      <c r="K7">
        <f>COUNTIF(Table!$BT:$BT,CONCATENATE($A7,"_",K$1))</f>
        <v>0</v>
      </c>
      <c r="L7">
        <f>COUNTIF(Table!$BT:$BT,CONCATENATE($A7,"_",L$1))</f>
        <v>0</v>
      </c>
      <c r="M7">
        <f>COUNTIF(Table!$BT:$BT,CONCATENATE($A7,"_",M$1))</f>
        <v>0</v>
      </c>
      <c r="N7">
        <f>COUNTIF(Table!$BT:$BT,CONCATENATE($A7,"_",N$1))</f>
        <v>1</v>
      </c>
      <c r="O7">
        <f>COUNTIF(Table!$BT:$BT,CONCATENATE($A7,"_",O$1))</f>
        <v>0</v>
      </c>
      <c r="P7">
        <f>COUNTIF(Table!$BT:$BT,CONCATENATE($A7,"_",P$1))</f>
        <v>0</v>
      </c>
      <c r="Q7">
        <f>COUNTIF(Table!$BT:$BT,CONCATENATE($A7,"_",Q$1))</f>
        <v>1</v>
      </c>
      <c r="R7">
        <f>COUNTIF(Table!$BT:$BT,CONCATENATE($A7,"_",R$1))</f>
        <v>2</v>
      </c>
      <c r="S7">
        <f>COUNTIF(Table!$BT:$BT,CONCATENATE($A7,"_",S$1))</f>
        <v>1</v>
      </c>
      <c r="T7">
        <f>COUNTIF(Table!$BT:$BT,CONCATENATE($A7,"_",T$1))</f>
        <v>1</v>
      </c>
      <c r="U7">
        <f>COUNTIF(Table!$BT:$BT,CONCATENATE($A7,"_",U$1))</f>
        <v>0</v>
      </c>
      <c r="V7">
        <f>COUNTIF(Table!$BT:$BT,CONCATENATE($A7,"_",V$1))</f>
        <v>0</v>
      </c>
      <c r="W7">
        <f>COUNTIF(Table!$BT:$BT,CONCATENATE($A7,"_",W$1))</f>
        <v>0</v>
      </c>
    </row>
    <row r="8" spans="1:23" x14ac:dyDescent="0.25">
      <c r="A8" t="s">
        <v>353</v>
      </c>
      <c r="B8" t="str">
        <f>VLOOKUP(A8, Eras!$B$2:$C$10, 2, FALSE)</f>
        <v>Dieselisation (1955-1970)</v>
      </c>
      <c r="C8">
        <f>COUNTIF(Table!$BT:$BT,CONCATENATE($A8,"_",C$1))</f>
        <v>1</v>
      </c>
      <c r="D8">
        <f>COUNTIF(Table!$BT:$BT,CONCATENATE($A8,"_",D$1))</f>
        <v>7</v>
      </c>
      <c r="E8">
        <f>COUNTIF(Table!$BT:$BT,CONCATENATE($A8,"_",E$1))</f>
        <v>2</v>
      </c>
      <c r="F8">
        <f>COUNTIF(Table!$BT:$BT,CONCATENATE($A8,"_",F$1))</f>
        <v>5</v>
      </c>
      <c r="G8">
        <f>COUNTIF(Table!$BT:$BT,CONCATENATE($A8,"_",G$1))</f>
        <v>4</v>
      </c>
      <c r="H8">
        <f>COUNTIF(Table!$BT:$BT,CONCATENATE($A8,"_",H$1))</f>
        <v>1</v>
      </c>
      <c r="I8">
        <f>COUNTIF(Table!$BT:$BT,CONCATENATE($A8,"_",I$1))</f>
        <v>2</v>
      </c>
      <c r="J8">
        <f>COUNTIF(Table!$BT:$BT,CONCATENATE($A8,"_",J$1))</f>
        <v>0</v>
      </c>
      <c r="K8">
        <f>COUNTIF(Table!$BT:$BT,CONCATENATE($A8,"_",K$1))</f>
        <v>0</v>
      </c>
      <c r="L8">
        <f>COUNTIF(Table!$BT:$BT,CONCATENATE($A8,"_",L$1))</f>
        <v>3</v>
      </c>
      <c r="M8">
        <f>COUNTIF(Table!$BT:$BT,CONCATENATE($A8,"_",M$1))</f>
        <v>3</v>
      </c>
      <c r="N8">
        <f>COUNTIF(Table!$BT:$BT,CONCATENATE($A8,"_",N$1))</f>
        <v>0</v>
      </c>
      <c r="O8">
        <f>COUNTIF(Table!$BT:$BT,CONCATENATE($A8,"_",O$1))</f>
        <v>2</v>
      </c>
      <c r="P8">
        <f>COUNTIF(Table!$BT:$BT,CONCATENATE($A8,"_",P$1))</f>
        <v>4</v>
      </c>
      <c r="Q8">
        <f>COUNTIF(Table!$BT:$BT,CONCATENATE($A8,"_",Q$1))</f>
        <v>2</v>
      </c>
      <c r="R8">
        <f>COUNTIF(Table!$BT:$BT,CONCATENATE($A8,"_",R$1))</f>
        <v>1</v>
      </c>
      <c r="S8">
        <f>COUNTIF(Table!$BT:$BT,CONCATENATE($A8,"_",S$1))</f>
        <v>1</v>
      </c>
      <c r="T8">
        <f>COUNTIF(Table!$BT:$BT,CONCATENATE($A8,"_",T$1))</f>
        <v>0</v>
      </c>
      <c r="U8">
        <f>COUNTIF(Table!$BT:$BT,CONCATENATE($A8,"_",U$1))</f>
        <v>3</v>
      </c>
      <c r="V8">
        <f>COUNTIF(Table!$BT:$BT,CONCATENATE($A8,"_",V$1))</f>
        <v>1</v>
      </c>
      <c r="W8">
        <f>COUNTIF(Table!$BT:$BT,CONCATENATE($A8,"_",W$1))</f>
        <v>1</v>
      </c>
    </row>
    <row r="9" spans="1:23" x14ac:dyDescent="0.25">
      <c r="A9" t="s">
        <v>679</v>
      </c>
      <c r="B9" t="str">
        <f>VLOOKUP(A9, Eras!$B$2:$C$10, 2, FALSE)</f>
        <v>Late BR (1970-1995)</v>
      </c>
      <c r="C9">
        <f>COUNTIF(Table!$BT:$BT,CONCATENATE($A9,"_",C$1))</f>
        <v>0</v>
      </c>
      <c r="D9">
        <f>COUNTIF(Table!$BT:$BT,CONCATENATE($A9,"_",D$1))</f>
        <v>0</v>
      </c>
      <c r="E9">
        <f>COUNTIF(Table!$BT:$BT,CONCATENATE($A9,"_",E$1))</f>
        <v>1</v>
      </c>
      <c r="F9">
        <f>COUNTIF(Table!$BT:$BT,CONCATENATE($A9,"_",F$1))</f>
        <v>3</v>
      </c>
      <c r="G9">
        <f>COUNTIF(Table!$BT:$BT,CONCATENATE($A9,"_",G$1))</f>
        <v>5</v>
      </c>
      <c r="H9">
        <f>COUNTIF(Table!$BT:$BT,CONCATENATE($A9,"_",H$1))</f>
        <v>0</v>
      </c>
      <c r="I9">
        <f>COUNTIF(Table!$BT:$BT,CONCATENATE($A9,"_",I$1))</f>
        <v>3</v>
      </c>
      <c r="J9">
        <f>COUNTIF(Table!$BT:$BT,CONCATENATE($A9,"_",J$1))</f>
        <v>0</v>
      </c>
      <c r="K9">
        <f>COUNTIF(Table!$BT:$BT,CONCATENATE($A9,"_",K$1))</f>
        <v>1</v>
      </c>
      <c r="L9">
        <f>COUNTIF(Table!$BT:$BT,CONCATENATE($A9,"_",L$1))</f>
        <v>3</v>
      </c>
      <c r="M9">
        <f>COUNTIF(Table!$BT:$BT,CONCATENATE($A9,"_",M$1))</f>
        <v>1</v>
      </c>
      <c r="N9">
        <f>COUNTIF(Table!$BT:$BT,CONCATENATE($A9,"_",N$1))</f>
        <v>6</v>
      </c>
      <c r="O9">
        <f>COUNTIF(Table!$BT:$BT,CONCATENATE($A9,"_",O$1))</f>
        <v>8</v>
      </c>
      <c r="P9">
        <f>COUNTIF(Table!$BT:$BT,CONCATENATE($A9,"_",P$1))</f>
        <v>4</v>
      </c>
      <c r="Q9">
        <f>COUNTIF(Table!$BT:$BT,CONCATENATE($A9,"_",Q$1))</f>
        <v>2</v>
      </c>
      <c r="R9">
        <f>COUNTIF(Table!$BT:$BT,CONCATENATE($A9,"_",R$1))</f>
        <v>0</v>
      </c>
      <c r="S9">
        <f>COUNTIF(Table!$BT:$BT,CONCATENATE($A9,"_",S$1))</f>
        <v>2</v>
      </c>
      <c r="T9">
        <f>COUNTIF(Table!$BT:$BT,CONCATENATE($A9,"_",T$1))</f>
        <v>2</v>
      </c>
      <c r="U9">
        <f>COUNTIF(Table!$BT:$BT,CONCATENATE($A9,"_",U$1))</f>
        <v>3</v>
      </c>
      <c r="V9">
        <f>COUNTIF(Table!$BT:$BT,CONCATENATE($A9,"_",V$1))</f>
        <v>1</v>
      </c>
      <c r="W9">
        <f>COUNTIF(Table!$BT:$BT,CONCATENATE($A9,"_",W$1))</f>
        <v>1</v>
      </c>
    </row>
    <row r="10" spans="1:23" x14ac:dyDescent="0.25">
      <c r="A10" t="s">
        <v>354</v>
      </c>
      <c r="B10" t="str">
        <f>VLOOKUP(A10, Eras!$B$2:$C$10, 2, FALSE)</f>
        <v>Privatisation (1995-2005)</v>
      </c>
      <c r="C10">
        <f>COUNTIF(Table!$BT:$BT,CONCATENATE($A10,"_",C$1))</f>
        <v>0</v>
      </c>
      <c r="D10">
        <f>COUNTIF(Table!$BT:$BT,CONCATENATE($A10,"_",D$1))</f>
        <v>0</v>
      </c>
      <c r="E10">
        <f>COUNTIF(Table!$BT:$BT,CONCATENATE($A10,"_",E$1))</f>
        <v>0</v>
      </c>
      <c r="F10">
        <f>COUNTIF(Table!$BT:$BT,CONCATENATE($A10,"_",F$1))</f>
        <v>0</v>
      </c>
      <c r="G10">
        <f>COUNTIF(Table!$BT:$BT,CONCATENATE($A10,"_",G$1))</f>
        <v>3</v>
      </c>
      <c r="H10">
        <f>COUNTIF(Table!$BT:$BT,CONCATENATE($A10,"_",H$1))</f>
        <v>0</v>
      </c>
      <c r="I10">
        <f>COUNTIF(Table!$BT:$BT,CONCATENATE($A10,"_",I$1))</f>
        <v>0</v>
      </c>
      <c r="J10">
        <f>COUNTIF(Table!$BT:$BT,CONCATENATE($A10,"_",J$1))</f>
        <v>0</v>
      </c>
      <c r="K10">
        <f>COUNTIF(Table!$BT:$BT,CONCATENATE($A10,"_",K$1))</f>
        <v>0</v>
      </c>
      <c r="L10">
        <f>COUNTIF(Table!$BT:$BT,CONCATENATE($A10,"_",L$1))</f>
        <v>2</v>
      </c>
      <c r="M10">
        <f>COUNTIF(Table!$BT:$BT,CONCATENATE($A10,"_",M$1))</f>
        <v>6</v>
      </c>
      <c r="N10">
        <f>COUNTIF(Table!$BT:$BT,CONCATENATE($A10,"_",N$1))</f>
        <v>3</v>
      </c>
      <c r="O10">
        <f>COUNTIF(Table!$BT:$BT,CONCATENATE($A10,"_",O$1))</f>
        <v>7</v>
      </c>
      <c r="P10">
        <f>COUNTIF(Table!$BT:$BT,CONCATENATE($A10,"_",P$1))</f>
        <v>1</v>
      </c>
      <c r="Q10">
        <f>COUNTIF(Table!$BT:$BT,CONCATENATE($A10,"_",Q$1))</f>
        <v>0</v>
      </c>
      <c r="R10">
        <f>COUNTIF(Table!$BT:$BT,CONCATENATE($A10,"_",R$1))</f>
        <v>0</v>
      </c>
      <c r="S10">
        <f>COUNTIF(Table!$BT:$BT,CONCATENATE($A10,"_",S$1))</f>
        <v>1</v>
      </c>
      <c r="T10">
        <f>COUNTIF(Table!$BT:$BT,CONCATENATE($A10,"_",T$1))</f>
        <v>1</v>
      </c>
      <c r="U10">
        <f>COUNTIF(Table!$BT:$BT,CONCATENATE($A10,"_",U$1))</f>
        <v>0</v>
      </c>
      <c r="V10">
        <f>COUNTIF(Table!$BT:$BT,CONCATENATE($A10,"_",V$1))</f>
        <v>0</v>
      </c>
      <c r="W10">
        <f>COUNTIF(Table!$BT:$BT,CONCATENATE($A10,"_",W$1))</f>
        <v>1</v>
      </c>
    </row>
    <row r="11" spans="1:23" x14ac:dyDescent="0.25">
      <c r="A11" t="s">
        <v>355</v>
      </c>
      <c r="B11" t="str">
        <f>VLOOKUP(A11, Eras!$B$2:$C$10, 2, FALSE)</f>
        <v>Modern (2005-)</v>
      </c>
      <c r="C11">
        <f>COUNTIF(Table!$BT:$BT,CONCATENATE($A11,"_",C$1))</f>
        <v>0</v>
      </c>
      <c r="D11">
        <f>COUNTIF(Table!$BT:$BT,CONCATENATE($A11,"_",D$1))</f>
        <v>1</v>
      </c>
      <c r="E11">
        <f>COUNTIF(Table!$BT:$BT,CONCATENATE($A11,"_",E$1))</f>
        <v>0</v>
      </c>
      <c r="F11">
        <f>COUNTIF(Table!$BT:$BT,CONCATENATE($A11,"_",F$1))</f>
        <v>0</v>
      </c>
      <c r="G11">
        <f>COUNTIF(Table!$BT:$BT,CONCATENATE($A11,"_",G$1))</f>
        <v>1</v>
      </c>
      <c r="H11">
        <f>COUNTIF(Table!$BT:$BT,CONCATENATE($A11,"_",H$1))</f>
        <v>0</v>
      </c>
      <c r="I11">
        <f>COUNTIF(Table!$BT:$BT,CONCATENATE($A11,"_",I$1))</f>
        <v>0</v>
      </c>
      <c r="J11">
        <f>COUNTIF(Table!$BT:$BT,CONCATENATE($A11,"_",J$1))</f>
        <v>1</v>
      </c>
      <c r="K11">
        <f>COUNTIF(Table!$BT:$BT,CONCATENATE($A11,"_",K$1))</f>
        <v>1</v>
      </c>
      <c r="L11">
        <f>COUNTIF(Table!$BT:$BT,CONCATENATE($A11,"_",L$1))</f>
        <v>1</v>
      </c>
      <c r="M11">
        <f>COUNTIF(Table!$BT:$BT,CONCATENATE($A11,"_",M$1))</f>
        <v>0</v>
      </c>
      <c r="N11">
        <f>COUNTIF(Table!$BT:$BT,CONCATENATE($A11,"_",N$1))</f>
        <v>10</v>
      </c>
      <c r="O11">
        <f>COUNTIF(Table!$BT:$BT,CONCATENATE($A11,"_",O$1))</f>
        <v>4</v>
      </c>
      <c r="P11">
        <f>COUNTIF(Table!$BT:$BT,CONCATENATE($A11,"_",P$1))</f>
        <v>2</v>
      </c>
      <c r="Q11">
        <f>COUNTIF(Table!$BT:$BT,CONCATENATE($A11,"_",Q$1))</f>
        <v>0</v>
      </c>
      <c r="R11">
        <f>COUNTIF(Table!$BT:$BT,CONCATENATE($A11,"_",R$1))</f>
        <v>0</v>
      </c>
      <c r="S11">
        <f>COUNTIF(Table!$BT:$BT,CONCATENATE($A11,"_",S$1))</f>
        <v>1</v>
      </c>
      <c r="T11">
        <f>COUNTIF(Table!$BT:$BT,CONCATENATE($A11,"_",T$1))</f>
        <v>1</v>
      </c>
      <c r="U11">
        <f>COUNTIF(Table!$BT:$BT,CONCATENATE($A11,"_",U$1))</f>
        <v>0</v>
      </c>
      <c r="V11">
        <f>COUNTIF(Table!$BT:$BT,CONCATENATE($A11,"_",V$1))</f>
        <v>0</v>
      </c>
      <c r="W11">
        <f>COUNTIF(Table!$BT:$BT,CONCATENATE($A11,"_",W$1))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343</v>
      </c>
      <c r="B1" s="1" t="s">
        <v>349</v>
      </c>
      <c r="C1" s="1" t="s">
        <v>344</v>
      </c>
    </row>
    <row r="2" spans="1:3" x14ac:dyDescent="0.25">
      <c r="A2">
        <v>1800</v>
      </c>
      <c r="B2" t="s">
        <v>350</v>
      </c>
      <c r="C2" t="s">
        <v>416</v>
      </c>
    </row>
    <row r="3" spans="1:3" x14ac:dyDescent="0.25">
      <c r="A3">
        <v>1850</v>
      </c>
      <c r="B3" t="s">
        <v>417</v>
      </c>
      <c r="C3" t="s">
        <v>415</v>
      </c>
    </row>
    <row r="4" spans="1:3" x14ac:dyDescent="0.25">
      <c r="A4">
        <v>1900</v>
      </c>
      <c r="B4" t="s">
        <v>351</v>
      </c>
      <c r="C4" t="s">
        <v>345</v>
      </c>
    </row>
    <row r="5" spans="1:3" x14ac:dyDescent="0.25">
      <c r="A5">
        <v>1923</v>
      </c>
      <c r="B5" t="s">
        <v>352</v>
      </c>
      <c r="C5" t="s">
        <v>449</v>
      </c>
    </row>
    <row r="6" spans="1:3" x14ac:dyDescent="0.25">
      <c r="A6">
        <v>1948</v>
      </c>
      <c r="B6" t="s">
        <v>678</v>
      </c>
      <c r="C6" t="s">
        <v>346</v>
      </c>
    </row>
    <row r="7" spans="1:3" x14ac:dyDescent="0.25">
      <c r="A7">
        <v>1955</v>
      </c>
      <c r="B7" t="s">
        <v>353</v>
      </c>
      <c r="C7" t="s">
        <v>681</v>
      </c>
    </row>
    <row r="8" spans="1:3" x14ac:dyDescent="0.25">
      <c r="A8">
        <v>1970</v>
      </c>
      <c r="B8" t="s">
        <v>679</v>
      </c>
      <c r="C8" t="s">
        <v>680</v>
      </c>
    </row>
    <row r="9" spans="1:3" x14ac:dyDescent="0.25">
      <c r="A9">
        <v>1995</v>
      </c>
      <c r="B9" t="s">
        <v>354</v>
      </c>
      <c r="C9" t="s">
        <v>347</v>
      </c>
    </row>
    <row r="10" spans="1:3" x14ac:dyDescent="0.25">
      <c r="A10">
        <v>2005</v>
      </c>
      <c r="B10" t="s">
        <v>355</v>
      </c>
      <c r="C10" t="s">
        <v>348</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O18"/>
  <sheetViews>
    <sheetView topLeftCell="C1" workbookViewId="0">
      <selection activeCell="K15" sqref="K15"/>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 min="13" max="13" width="19.7109375" bestFit="1" customWidth="1"/>
    <col min="14" max="14" width="27.28515625" bestFit="1" customWidth="1"/>
    <col min="15" max="15" width="6.7109375" bestFit="1" customWidth="1"/>
  </cols>
  <sheetData>
    <row r="1" spans="1:15" x14ac:dyDescent="0.25">
      <c r="A1" s="1" t="s">
        <v>278</v>
      </c>
      <c r="B1" s="1" t="s">
        <v>279</v>
      </c>
      <c r="C1" s="1" t="s">
        <v>535</v>
      </c>
      <c r="F1" s="1" t="s">
        <v>1146</v>
      </c>
      <c r="G1">
        <v>15</v>
      </c>
      <c r="I1" s="1" t="s">
        <v>1150</v>
      </c>
      <c r="J1" s="1" t="s">
        <v>1151</v>
      </c>
      <c r="K1" s="1" t="s">
        <v>1152</v>
      </c>
      <c r="M1" s="1" t="s">
        <v>1255</v>
      </c>
      <c r="N1" s="1" t="s">
        <v>1256</v>
      </c>
      <c r="O1" s="1" t="s">
        <v>158</v>
      </c>
    </row>
    <row r="2" spans="1:15" x14ac:dyDescent="0.25">
      <c r="A2" s="2">
        <v>0</v>
      </c>
      <c r="B2" s="2" t="s">
        <v>165</v>
      </c>
      <c r="F2" s="1" t="s">
        <v>1147</v>
      </c>
      <c r="G2">
        <v>5</v>
      </c>
      <c r="I2" t="s">
        <v>305</v>
      </c>
      <c r="J2">
        <v>1</v>
      </c>
      <c r="K2">
        <v>2</v>
      </c>
      <c r="M2" t="s">
        <v>1257</v>
      </c>
      <c r="N2" t="str">
        <f>IF(O2&lt;&gt;"", _xlfn.CONCAT("{BLACK}Powered by: {GOLD}",O2), "")</f>
        <v>{BLACK}Powered by: {GOLD}Diesel</v>
      </c>
      <c r="O2" t="s">
        <v>1266</v>
      </c>
    </row>
    <row r="3" spans="1:15" x14ac:dyDescent="0.25">
      <c r="A3">
        <v>3</v>
      </c>
      <c r="B3" t="s">
        <v>325</v>
      </c>
      <c r="C3" t="s">
        <v>325</v>
      </c>
      <c r="I3" t="s">
        <v>329</v>
      </c>
      <c r="J3">
        <v>0.85</v>
      </c>
      <c r="K3">
        <v>2.2999999999999998</v>
      </c>
      <c r="M3" t="s">
        <v>1258</v>
      </c>
      <c r="N3" t="str">
        <f t="shared" ref="N3:N18" si="0">IF(O3&lt;&gt;"", _xlfn.CONCAT("{BLACK}Powered by: {GOLD}",O3), "")</f>
        <v>{BLACK}Powered by: {GOLD}Steam</v>
      </c>
      <c r="O3" t="s">
        <v>1267</v>
      </c>
    </row>
    <row r="4" spans="1:15" x14ac:dyDescent="0.25">
      <c r="A4">
        <v>4</v>
      </c>
      <c r="B4" t="s">
        <v>755</v>
      </c>
      <c r="C4" t="s">
        <v>755</v>
      </c>
      <c r="I4" t="s">
        <v>304</v>
      </c>
      <c r="J4">
        <v>1.1499999999999999</v>
      </c>
      <c r="K4">
        <v>1.7</v>
      </c>
      <c r="M4" t="s">
        <v>1259</v>
      </c>
      <c r="N4" t="str">
        <f t="shared" si="0"/>
        <v>{BLACK}Powered by: {GOLD}25kV AC</v>
      </c>
      <c r="O4" t="s">
        <v>1268</v>
      </c>
    </row>
    <row r="5" spans="1:15" x14ac:dyDescent="0.25">
      <c r="A5">
        <v>5</v>
      </c>
      <c r="B5" t="s">
        <v>750</v>
      </c>
      <c r="C5" t="s">
        <v>750</v>
      </c>
      <c r="I5" t="s">
        <v>578</v>
      </c>
      <c r="J5">
        <v>0.9</v>
      </c>
      <c r="K5">
        <v>2.5</v>
      </c>
      <c r="M5" t="s">
        <v>1270</v>
      </c>
      <c r="N5" t="str">
        <f t="shared" si="0"/>
        <v>{BLACK}Powered by: {GOLD}750V DC</v>
      </c>
      <c r="O5" t="s">
        <v>1269</v>
      </c>
    </row>
    <row r="6" spans="1:15" x14ac:dyDescent="0.25">
      <c r="A6">
        <v>6</v>
      </c>
      <c r="B6" t="s">
        <v>337</v>
      </c>
      <c r="C6" t="s">
        <v>337</v>
      </c>
      <c r="I6" t="s">
        <v>589</v>
      </c>
      <c r="J6">
        <v>0.85</v>
      </c>
      <c r="K6">
        <v>2.4</v>
      </c>
      <c r="M6" t="s">
        <v>1261</v>
      </c>
      <c r="N6" t="str">
        <f t="shared" si="0"/>
        <v/>
      </c>
    </row>
    <row r="7" spans="1:15" x14ac:dyDescent="0.25">
      <c r="A7">
        <v>7</v>
      </c>
      <c r="B7" t="s">
        <v>748</v>
      </c>
      <c r="C7" t="s">
        <v>748</v>
      </c>
      <c r="I7" t="s">
        <v>1155</v>
      </c>
      <c r="J7">
        <v>1.2</v>
      </c>
      <c r="K7">
        <v>0.6</v>
      </c>
      <c r="M7" t="s">
        <v>1262</v>
      </c>
      <c r="N7" t="str">
        <f t="shared" si="0"/>
        <v/>
      </c>
    </row>
    <row r="8" spans="1:15" x14ac:dyDescent="0.25">
      <c r="A8">
        <v>8</v>
      </c>
      <c r="B8" t="s">
        <v>745</v>
      </c>
      <c r="C8" t="s">
        <v>745</v>
      </c>
      <c r="I8" t="s">
        <v>1156</v>
      </c>
      <c r="J8">
        <v>1.5</v>
      </c>
      <c r="K8">
        <v>0.7</v>
      </c>
      <c r="M8" t="s">
        <v>1263</v>
      </c>
      <c r="N8" t="str">
        <f t="shared" si="0"/>
        <v/>
      </c>
    </row>
    <row r="9" spans="1:15" x14ac:dyDescent="0.25">
      <c r="A9">
        <v>9</v>
      </c>
      <c r="B9" t="s">
        <v>747</v>
      </c>
      <c r="C9" t="s">
        <v>747</v>
      </c>
      <c r="I9" t="s">
        <v>314</v>
      </c>
      <c r="J9">
        <v>1</v>
      </c>
      <c r="K9">
        <v>0.45</v>
      </c>
      <c r="M9" t="s">
        <v>1264</v>
      </c>
      <c r="N9" t="str">
        <f t="shared" si="0"/>
        <v/>
      </c>
    </row>
    <row r="10" spans="1:15" x14ac:dyDescent="0.25">
      <c r="A10">
        <v>10</v>
      </c>
      <c r="B10" t="s">
        <v>749</v>
      </c>
      <c r="C10" t="s">
        <v>749</v>
      </c>
      <c r="I10" t="s">
        <v>1157</v>
      </c>
      <c r="J10">
        <v>1</v>
      </c>
      <c r="K10">
        <v>0.4</v>
      </c>
      <c r="M10" t="s">
        <v>1265</v>
      </c>
      <c r="N10" t="str">
        <f t="shared" si="0"/>
        <v/>
      </c>
    </row>
    <row r="11" spans="1:15" x14ac:dyDescent="0.25">
      <c r="A11">
        <v>11</v>
      </c>
      <c r="B11" t="s">
        <v>751</v>
      </c>
      <c r="C11" t="s">
        <v>751</v>
      </c>
      <c r="I11" t="s">
        <v>1158</v>
      </c>
      <c r="J11">
        <v>1</v>
      </c>
      <c r="K11">
        <v>1</v>
      </c>
      <c r="M11" t="s">
        <v>1271</v>
      </c>
      <c r="N11" t="str">
        <f t="shared" si="0"/>
        <v>{BLACK}Powered by: {GOLD}750V DC / Diesel</v>
      </c>
      <c r="O11" t="s">
        <v>1272</v>
      </c>
    </row>
    <row r="12" spans="1:15" x14ac:dyDescent="0.25">
      <c r="A12">
        <v>12</v>
      </c>
      <c r="B12" t="s">
        <v>744</v>
      </c>
      <c r="C12" t="s">
        <v>744</v>
      </c>
      <c r="I12" t="s">
        <v>324</v>
      </c>
      <c r="J12">
        <v>0</v>
      </c>
      <c r="K12">
        <v>0</v>
      </c>
      <c r="M12" t="s">
        <v>1273</v>
      </c>
      <c r="N12" t="str">
        <f t="shared" si="0"/>
        <v>{BLACK}Powered by: {GOLD}25kV AC / 750V DC</v>
      </c>
      <c r="O12" t="s">
        <v>1274</v>
      </c>
    </row>
    <row r="13" spans="1:15" x14ac:dyDescent="0.25">
      <c r="A13">
        <v>13</v>
      </c>
      <c r="B13" t="s">
        <v>752</v>
      </c>
      <c r="C13" t="s">
        <v>752</v>
      </c>
      <c r="I13" t="s">
        <v>1278</v>
      </c>
      <c r="J13">
        <v>1.05</v>
      </c>
      <c r="K13">
        <v>1.9</v>
      </c>
      <c r="M13" t="s">
        <v>1275</v>
      </c>
      <c r="N13" t="str">
        <f t="shared" si="0"/>
        <v/>
      </c>
    </row>
    <row r="14" spans="1:15" x14ac:dyDescent="0.25">
      <c r="A14">
        <v>14</v>
      </c>
      <c r="B14" t="s">
        <v>746</v>
      </c>
      <c r="C14" t="s">
        <v>746</v>
      </c>
      <c r="I14" t="s">
        <v>1365</v>
      </c>
      <c r="J14">
        <v>0.98</v>
      </c>
      <c r="K14">
        <v>1.88</v>
      </c>
      <c r="M14" t="s">
        <v>1276</v>
      </c>
      <c r="N14" t="str">
        <f t="shared" si="0"/>
        <v/>
      </c>
    </row>
    <row r="15" spans="1:15" x14ac:dyDescent="0.25">
      <c r="A15">
        <v>15</v>
      </c>
      <c r="B15" t="s">
        <v>753</v>
      </c>
      <c r="C15" t="s">
        <v>753</v>
      </c>
      <c r="M15" t="s">
        <v>1277</v>
      </c>
      <c r="N15" t="str">
        <f t="shared" si="0"/>
        <v/>
      </c>
    </row>
    <row r="16" spans="1:15" x14ac:dyDescent="0.25">
      <c r="A16">
        <v>16</v>
      </c>
      <c r="B16" t="s">
        <v>754</v>
      </c>
      <c r="C16" t="s">
        <v>754</v>
      </c>
      <c r="M16" t="s">
        <v>1279</v>
      </c>
      <c r="N16" t="str">
        <f t="shared" si="0"/>
        <v>{BLACK}Powered by: {GOLD}Petrol</v>
      </c>
      <c r="O16" t="s">
        <v>947</v>
      </c>
    </row>
    <row r="17" spans="13:15" x14ac:dyDescent="0.25">
      <c r="M17" t="s">
        <v>1294</v>
      </c>
      <c r="N17" t="str">
        <f t="shared" si="0"/>
        <v>{BLACK}Powered by: {GOLD}25kV AC / Diesel</v>
      </c>
      <c r="O17" t="s">
        <v>1295</v>
      </c>
    </row>
    <row r="18" spans="13:15" x14ac:dyDescent="0.25">
      <c r="M18" t="s">
        <v>1366</v>
      </c>
      <c r="N18" t="str">
        <f t="shared" si="0"/>
        <v>{BLACK}Powered by: {GOLD}LPG / Flywheel</v>
      </c>
      <c r="O18" t="s">
        <v>1367</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election activeCell="B11" sqref="B11"/>
    </sheetView>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332</v>
      </c>
      <c r="B1" s="1" t="s">
        <v>333</v>
      </c>
      <c r="C1" s="1" t="s">
        <v>334</v>
      </c>
      <c r="D1" s="1" t="s">
        <v>335</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52"/>
  <sheetViews>
    <sheetView topLeftCell="A28" workbookViewId="0">
      <selection activeCell="B52" sqref="B5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714</v>
      </c>
    </row>
    <row r="3" spans="1:21" x14ac:dyDescent="0.25">
      <c r="A3" t="s">
        <v>726</v>
      </c>
      <c r="B3" t="s">
        <v>710</v>
      </c>
      <c r="C3" t="s">
        <v>713</v>
      </c>
      <c r="D3" t="s">
        <v>713</v>
      </c>
      <c r="E3" t="s">
        <v>713</v>
      </c>
      <c r="F3" t="s">
        <v>713</v>
      </c>
      <c r="G3" t="s">
        <v>717</v>
      </c>
      <c r="H3" t="s">
        <v>716</v>
      </c>
      <c r="I3" t="s">
        <v>716</v>
      </c>
      <c r="J3" t="s">
        <v>718</v>
      </c>
      <c r="K3" t="s">
        <v>713</v>
      </c>
      <c r="L3" t="s">
        <v>713</v>
      </c>
      <c r="M3" t="s">
        <v>713</v>
      </c>
      <c r="N3" t="s">
        <v>713</v>
      </c>
      <c r="O3" t="s">
        <v>715</v>
      </c>
    </row>
    <row r="4" spans="1:21" x14ac:dyDescent="0.25">
      <c r="A4" t="s">
        <v>727</v>
      </c>
      <c r="B4">
        <v>1</v>
      </c>
      <c r="C4">
        <v>1</v>
      </c>
      <c r="D4">
        <v>0</v>
      </c>
      <c r="E4">
        <v>0</v>
      </c>
      <c r="F4">
        <v>0</v>
      </c>
      <c r="G4">
        <v>1</v>
      </c>
      <c r="H4">
        <v>1</v>
      </c>
      <c r="I4">
        <v>0</v>
      </c>
      <c r="J4">
        <v>1</v>
      </c>
      <c r="K4">
        <v>0</v>
      </c>
      <c r="L4">
        <v>0</v>
      </c>
      <c r="M4">
        <v>0</v>
      </c>
      <c r="N4">
        <v>0</v>
      </c>
      <c r="O4">
        <v>1</v>
      </c>
    </row>
    <row r="6" spans="1:21" ht="14.25" customHeight="1" x14ac:dyDescent="0.25">
      <c r="B6" t="s">
        <v>725</v>
      </c>
    </row>
    <row r="7" spans="1:21" x14ac:dyDescent="0.25">
      <c r="A7" t="s">
        <v>726</v>
      </c>
      <c r="B7" t="s">
        <v>685</v>
      </c>
      <c r="C7" t="s">
        <v>731</v>
      </c>
      <c r="D7" t="s">
        <v>730</v>
      </c>
      <c r="E7" t="s">
        <v>730</v>
      </c>
      <c r="F7" t="s">
        <v>730</v>
      </c>
      <c r="G7" t="s">
        <v>730</v>
      </c>
      <c r="H7" t="s">
        <v>732</v>
      </c>
      <c r="I7" t="s">
        <v>730</v>
      </c>
      <c r="J7" t="s">
        <v>730</v>
      </c>
      <c r="K7" t="s">
        <v>730</v>
      </c>
      <c r="L7" t="s">
        <v>730</v>
      </c>
      <c r="M7" t="s">
        <v>730</v>
      </c>
      <c r="N7" t="s">
        <v>730</v>
      </c>
      <c r="O7" t="s">
        <v>732</v>
      </c>
      <c r="P7" t="s">
        <v>730</v>
      </c>
      <c r="Q7" t="s">
        <v>730</v>
      </c>
      <c r="R7" t="s">
        <v>730</v>
      </c>
      <c r="S7" t="s">
        <v>730</v>
      </c>
      <c r="T7" t="s">
        <v>733</v>
      </c>
      <c r="U7" t="s">
        <v>734</v>
      </c>
    </row>
    <row r="8" spans="1:21" x14ac:dyDescent="0.25">
      <c r="A8" t="s">
        <v>727</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278</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728</v>
      </c>
      <c r="B10">
        <f t="shared" ref="B10:U10" si="0">ROUND(15*((B9*10)/256),0)</f>
        <v>13</v>
      </c>
      <c r="C10">
        <f t="shared" si="0"/>
        <v>13</v>
      </c>
      <c r="D10">
        <f t="shared" si="0"/>
        <v>11</v>
      </c>
      <c r="E10">
        <f t="shared" si="0"/>
        <v>11</v>
      </c>
      <c r="F10">
        <f t="shared" si="0"/>
        <v>11</v>
      </c>
      <c r="G10">
        <f t="shared" si="0"/>
        <v>11</v>
      </c>
      <c r="H10">
        <f t="shared" si="0"/>
        <v>11</v>
      </c>
      <c r="I10">
        <f t="shared" si="0"/>
        <v>11</v>
      </c>
      <c r="J10">
        <f t="shared" si="0"/>
        <v>11</v>
      </c>
      <c r="K10">
        <f t="shared" si="0"/>
        <v>11</v>
      </c>
      <c r="L10">
        <f t="shared" si="0"/>
        <v>11</v>
      </c>
      <c r="M10">
        <f t="shared" si="0"/>
        <v>11</v>
      </c>
      <c r="N10">
        <f t="shared" si="0"/>
        <v>11</v>
      </c>
      <c r="O10">
        <f t="shared" si="0"/>
        <v>11</v>
      </c>
      <c r="P10">
        <f t="shared" si="0"/>
        <v>11</v>
      </c>
      <c r="Q10">
        <f t="shared" si="0"/>
        <v>11</v>
      </c>
      <c r="R10">
        <f t="shared" si="0"/>
        <v>11</v>
      </c>
      <c r="S10">
        <f t="shared" si="0"/>
        <v>11</v>
      </c>
      <c r="T10">
        <f t="shared" si="0"/>
        <v>13</v>
      </c>
      <c r="U10">
        <f t="shared" si="0"/>
        <v>13</v>
      </c>
    </row>
    <row r="11" spans="1:21" x14ac:dyDescent="0.25">
      <c r="A11" t="s">
        <v>729</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6" spans="1:21" x14ac:dyDescent="0.25">
      <c r="B16" s="2" t="str">
        <f>_xlfn.TEXTJOIN(",",TRUE,  B10:U10)</f>
        <v>13,13,11,11,11,11,11,11,11,11,11,11,11,11,11,11,11,11,13,13</v>
      </c>
    </row>
    <row r="18" spans="1:9" x14ac:dyDescent="0.25">
      <c r="B18" t="s">
        <v>738</v>
      </c>
    </row>
    <row r="19" spans="1:9" x14ac:dyDescent="0.25">
      <c r="A19" t="s">
        <v>726</v>
      </c>
      <c r="B19" t="s">
        <v>685</v>
      </c>
      <c r="C19" t="s">
        <v>731</v>
      </c>
      <c r="D19" t="s">
        <v>730</v>
      </c>
      <c r="E19" t="s">
        <v>732</v>
      </c>
      <c r="F19" t="s">
        <v>730</v>
      </c>
      <c r="G19" t="s">
        <v>732</v>
      </c>
      <c r="H19" t="s">
        <v>733</v>
      </c>
      <c r="I19" t="s">
        <v>734</v>
      </c>
    </row>
    <row r="20" spans="1:9" x14ac:dyDescent="0.25">
      <c r="A20" t="s">
        <v>727</v>
      </c>
      <c r="B20">
        <v>0</v>
      </c>
      <c r="C20">
        <v>0</v>
      </c>
      <c r="D20">
        <v>0</v>
      </c>
      <c r="E20">
        <v>0</v>
      </c>
      <c r="F20">
        <v>0</v>
      </c>
      <c r="G20">
        <v>0</v>
      </c>
      <c r="H20">
        <v>0</v>
      </c>
      <c r="I20">
        <v>0</v>
      </c>
    </row>
    <row r="21" spans="1:9" x14ac:dyDescent="0.25">
      <c r="A21" t="s">
        <v>278</v>
      </c>
      <c r="B21">
        <v>22.15</v>
      </c>
      <c r="C21">
        <v>21.84</v>
      </c>
      <c r="D21">
        <v>18.7</v>
      </c>
      <c r="E21">
        <v>18.7</v>
      </c>
      <c r="F21">
        <v>18.7</v>
      </c>
      <c r="G21">
        <v>18.7</v>
      </c>
      <c r="H21">
        <v>21.84</v>
      </c>
      <c r="I21">
        <v>22.15</v>
      </c>
    </row>
    <row r="22" spans="1:9" x14ac:dyDescent="0.25">
      <c r="A22" t="s">
        <v>728</v>
      </c>
      <c r="B22">
        <f t="shared" ref="B22:I22" si="1">ROUND(15*((B21*10)/256),0)</f>
        <v>13</v>
      </c>
      <c r="C22">
        <f t="shared" si="1"/>
        <v>13</v>
      </c>
      <c r="D22">
        <f t="shared" si="1"/>
        <v>11</v>
      </c>
      <c r="E22">
        <f t="shared" si="1"/>
        <v>11</v>
      </c>
      <c r="F22">
        <f t="shared" si="1"/>
        <v>11</v>
      </c>
      <c r="G22">
        <f t="shared" si="1"/>
        <v>11</v>
      </c>
      <c r="H22">
        <f t="shared" si="1"/>
        <v>13</v>
      </c>
      <c r="I22">
        <f t="shared" si="1"/>
        <v>13</v>
      </c>
    </row>
    <row r="23" spans="1:9" x14ac:dyDescent="0.25">
      <c r="A23" t="s">
        <v>729</v>
      </c>
      <c r="B23" t="str">
        <f>VLOOKUP(B22,Constants!$A$1:$B$16,2,FALSE)</f>
        <v>4,5,4</v>
      </c>
      <c r="C23" t="str">
        <f>VLOOKUP(C22,Constants!$A$1:$B$16,2,FALSE)</f>
        <v>4,5,4</v>
      </c>
      <c r="D23" t="str">
        <f>VLOOKUP(D22,Constants!$A$1:$B$16,2,FALSE)</f>
        <v>4,3,4</v>
      </c>
      <c r="E23" t="str">
        <f>VLOOKUP(E22,Constants!$A$1:$B$16,2,FALSE)</f>
        <v>4,3,4</v>
      </c>
      <c r="F23" t="str">
        <f>VLOOKUP(F22,Constants!$A$1:$B$16,2,FALSE)</f>
        <v>4,3,4</v>
      </c>
      <c r="G23" t="str">
        <f>VLOOKUP(G22,Constants!$A$1:$B$16,2,FALSE)</f>
        <v>4,3,4</v>
      </c>
      <c r="H23" t="str">
        <f>VLOOKUP(H22,Constants!$A$1:$B$16,2,FALSE)</f>
        <v>4,5,4</v>
      </c>
      <c r="I23" t="str">
        <f>VLOOKUP(I22,Constants!$A$1:$B$16,2,FALSE)</f>
        <v>4,5,4</v>
      </c>
    </row>
    <row r="25" spans="1:9" x14ac:dyDescent="0.25">
      <c r="B25" s="2" t="str">
        <f>_xlfn.TEXTJOIN(",",TRUE,  B19:P19)</f>
        <v>eurostar,eurostar_motor,eurostar_mid,eurostar_tbk,eurostar_mid,eurostar_tbk,eurostar_motor_rev,eurostar_rear</v>
      </c>
    </row>
    <row r="26" spans="1:9" x14ac:dyDescent="0.25">
      <c r="B26" s="2" t="str">
        <f>_xlfn.TEXTJOIN(",",TRUE,  B20:P20)</f>
        <v>0,0,0,0,0,0,0,0</v>
      </c>
    </row>
    <row r="27" spans="1:9" x14ac:dyDescent="0.25">
      <c r="B27" s="2" t="str">
        <f>_xlfn.TEXTJOIN(",",TRUE,  B23:P23)</f>
        <v>4,5,4,4,5,4,4,3,4,4,3,4,4,3,4,4,3,4,4,5,4,4,5,4</v>
      </c>
    </row>
    <row r="28" spans="1:9" x14ac:dyDescent="0.25">
      <c r="B28" s="2" t="str">
        <f>_xlfn.TEXTJOIN(",",TRUE,  B22:U22)</f>
        <v>13,13,11,11,11,11,13,13</v>
      </c>
    </row>
    <row r="30" spans="1:9" x14ac:dyDescent="0.25">
      <c r="B30" t="s">
        <v>1287</v>
      </c>
    </row>
    <row r="31" spans="1:9" x14ac:dyDescent="0.25">
      <c r="A31" t="s">
        <v>726</v>
      </c>
      <c r="B31" t="s">
        <v>685</v>
      </c>
      <c r="C31" t="s">
        <v>731</v>
      </c>
      <c r="D31" t="s">
        <v>730</v>
      </c>
      <c r="E31" t="s">
        <v>733</v>
      </c>
      <c r="F31" t="s">
        <v>734</v>
      </c>
    </row>
    <row r="32" spans="1:9" x14ac:dyDescent="0.25">
      <c r="A32" t="s">
        <v>727</v>
      </c>
      <c r="B32">
        <v>0</v>
      </c>
      <c r="C32">
        <v>0</v>
      </c>
      <c r="D32">
        <v>0</v>
      </c>
      <c r="E32">
        <v>0</v>
      </c>
      <c r="F32">
        <v>0</v>
      </c>
    </row>
    <row r="33" spans="1:6" x14ac:dyDescent="0.25">
      <c r="A33" t="s">
        <v>278</v>
      </c>
      <c r="B33">
        <v>22.15</v>
      </c>
      <c r="C33">
        <v>21.84</v>
      </c>
      <c r="D33">
        <v>18.7</v>
      </c>
      <c r="E33">
        <v>21.84</v>
      </c>
      <c r="F33">
        <v>22.15</v>
      </c>
    </row>
    <row r="34" spans="1:6" x14ac:dyDescent="0.25">
      <c r="A34" t="s">
        <v>728</v>
      </c>
      <c r="B34">
        <f t="shared" ref="B34:F34" si="2">ROUND(15*((B33*10)/256),0)</f>
        <v>13</v>
      </c>
      <c r="C34">
        <f t="shared" si="2"/>
        <v>13</v>
      </c>
      <c r="D34">
        <f t="shared" si="2"/>
        <v>11</v>
      </c>
      <c r="E34">
        <f t="shared" si="2"/>
        <v>13</v>
      </c>
      <c r="F34">
        <f t="shared" si="2"/>
        <v>13</v>
      </c>
    </row>
    <row r="35" spans="1:6" x14ac:dyDescent="0.25">
      <c r="A35" t="s">
        <v>729</v>
      </c>
      <c r="B35" t="str">
        <f>VLOOKUP(B34,Constants!$A$1:$B$16,2,FALSE)</f>
        <v>4,5,4</v>
      </c>
      <c r="C35" t="str">
        <f>VLOOKUP(C34,Constants!$A$1:$B$16,2,FALSE)</f>
        <v>4,5,4</v>
      </c>
      <c r="D35" t="str">
        <f>VLOOKUP(D34,Constants!$A$1:$B$16,2,FALSE)</f>
        <v>4,3,4</v>
      </c>
      <c r="E35" t="str">
        <f>VLOOKUP(E34,Constants!$A$1:$B$16,2,FALSE)</f>
        <v>4,5,4</v>
      </c>
      <c r="F35" t="str">
        <f>VLOOKUP(F34,Constants!$A$1:$B$16,2,FALSE)</f>
        <v>4,5,4</v>
      </c>
    </row>
    <row r="37" spans="1:6" x14ac:dyDescent="0.25">
      <c r="B37" s="2" t="str">
        <f>_xlfn.TEXTJOIN(",",TRUE,  B31:P31)</f>
        <v>eurostar,eurostar_motor,eurostar_mid,eurostar_motor_rev,eurostar_rear</v>
      </c>
    </row>
    <row r="38" spans="1:6" x14ac:dyDescent="0.25">
      <c r="B38" s="2" t="str">
        <f>_xlfn.TEXTJOIN(",",TRUE,  B32:P32)</f>
        <v>0,0,0,0,0</v>
      </c>
    </row>
    <row r="39" spans="1:6" x14ac:dyDescent="0.25">
      <c r="B39" s="2" t="str">
        <f>_xlfn.TEXTJOIN(",",TRUE,  B35:P35)</f>
        <v>4,5,4,4,5,4,4,3,4,4,5,4,4,5,4</v>
      </c>
    </row>
    <row r="40" spans="1:6" x14ac:dyDescent="0.25">
      <c r="B40" s="2" t="str">
        <f>_xlfn.TEXTJOIN(",",TRUE,  B34:U34)</f>
        <v>13,13,11,13,13</v>
      </c>
    </row>
    <row r="42" spans="1:6" x14ac:dyDescent="0.25">
      <c r="B42" t="s">
        <v>1298</v>
      </c>
    </row>
    <row r="43" spans="1:6" x14ac:dyDescent="0.25">
      <c r="A43" t="s">
        <v>726</v>
      </c>
      <c r="B43" t="s">
        <v>1297</v>
      </c>
      <c r="C43" t="s">
        <v>1300</v>
      </c>
      <c r="D43" t="s">
        <v>1302</v>
      </c>
      <c r="E43" t="s">
        <v>1301</v>
      </c>
      <c r="F43" t="s">
        <v>1299</v>
      </c>
    </row>
    <row r="44" spans="1:6" x14ac:dyDescent="0.25">
      <c r="A44" t="s">
        <v>727</v>
      </c>
      <c r="B44">
        <v>1</v>
      </c>
      <c r="C44">
        <v>1</v>
      </c>
      <c r="D44">
        <v>1</v>
      </c>
      <c r="E44">
        <v>1</v>
      </c>
      <c r="F44">
        <v>1</v>
      </c>
    </row>
    <row r="45" spans="1:6" x14ac:dyDescent="0.25">
      <c r="A45" t="s">
        <v>278</v>
      </c>
      <c r="B45">
        <v>20.2</v>
      </c>
      <c r="C45">
        <v>15.7</v>
      </c>
      <c r="D45">
        <v>10</v>
      </c>
      <c r="E45">
        <v>15.7</v>
      </c>
      <c r="F45">
        <v>20.2</v>
      </c>
    </row>
    <row r="46" spans="1:6" x14ac:dyDescent="0.25">
      <c r="A46" t="s">
        <v>728</v>
      </c>
      <c r="B46">
        <f t="shared" ref="B46:F46" si="3">ROUND(15*((B45*10)/256),0)</f>
        <v>12</v>
      </c>
      <c r="C46">
        <f t="shared" si="3"/>
        <v>9</v>
      </c>
      <c r="D46">
        <f t="shared" si="3"/>
        <v>6</v>
      </c>
      <c r="E46">
        <f t="shared" si="3"/>
        <v>9</v>
      </c>
      <c r="F46">
        <f t="shared" si="3"/>
        <v>12</v>
      </c>
    </row>
    <row r="47" spans="1:6" x14ac:dyDescent="0.25">
      <c r="A47" t="s">
        <v>729</v>
      </c>
      <c r="B47" t="str">
        <f>VLOOKUP(B46,Constants!$A$1:$B$16,2,FALSE)</f>
        <v>4,4,4</v>
      </c>
      <c r="C47" t="str">
        <f>VLOOKUP(C46,Constants!$A$1:$B$16,2,FALSE)</f>
        <v>2,5,2</v>
      </c>
      <c r="D47" t="str">
        <f>VLOOKUP(D46,Constants!$A$1:$B$16,2,FALSE)</f>
        <v>2,2,2</v>
      </c>
      <c r="E47" t="str">
        <f>VLOOKUP(E46,Constants!$A$1:$B$16,2,FALSE)</f>
        <v>2,5,2</v>
      </c>
      <c r="F47" t="str">
        <f>VLOOKUP(F46,Constants!$A$1:$B$16,2,FALSE)</f>
        <v>4,4,4</v>
      </c>
    </row>
    <row r="49" spans="2:2" x14ac:dyDescent="0.25">
      <c r="B49" s="2" t="str">
        <f>_xlfn.TEXTJOIN(",",TRUE,  B43:P43)</f>
        <v>stadler_class_755,stadler_class_755_mid,stadler_class_755_motor,stadler_class_755_mid_rev,stadler_class_755_rear</v>
      </c>
    </row>
    <row r="50" spans="2:2" x14ac:dyDescent="0.25">
      <c r="B50" s="2" t="str">
        <f>_xlfn.TEXTJOIN(",",TRUE,  B44:P44)</f>
        <v>1,1,1,1,1</v>
      </c>
    </row>
    <row r="51" spans="2:2" x14ac:dyDescent="0.25">
      <c r="B51" s="2" t="str">
        <f>_xlfn.TEXTJOIN(",",TRUE,  B47:P47)</f>
        <v>4,4,4,2,5,2,2,2,2,2,5,2,4,4,4</v>
      </c>
    </row>
    <row r="52" spans="2:2" x14ac:dyDescent="0.25">
      <c r="B52" s="2" t="str">
        <f>_xlfn.TEXTJOIN(",",TRUE,  B46:U46)</f>
        <v>12,9,6,9,12</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863</v>
      </c>
      <c r="B1" s="1" t="s">
        <v>862</v>
      </c>
      <c r="C1" s="1" t="s">
        <v>1089</v>
      </c>
      <c r="F1" s="1" t="s">
        <v>1097</v>
      </c>
      <c r="G1" s="1" t="s">
        <v>344</v>
      </c>
      <c r="H1" s="1" t="s">
        <v>1099</v>
      </c>
      <c r="J1" s="1" t="s">
        <v>1112</v>
      </c>
      <c r="K1" s="1" t="s">
        <v>1113</v>
      </c>
      <c r="L1" s="1" t="s">
        <v>1114</v>
      </c>
      <c r="M1" s="1" t="s">
        <v>1115</v>
      </c>
      <c r="N1" s="1" t="s">
        <v>1100</v>
      </c>
      <c r="O1" s="1" t="s">
        <v>1108</v>
      </c>
      <c r="P1" s="1" t="s">
        <v>1106</v>
      </c>
      <c r="Q1" s="1" t="s">
        <v>1104</v>
      </c>
      <c r="R1" s="1" t="s">
        <v>1140</v>
      </c>
    </row>
    <row r="2" spans="1:18" ht="15.75" customHeight="1" x14ac:dyDescent="0.25">
      <c r="A2" t="s">
        <v>909</v>
      </c>
      <c r="B2" t="s">
        <v>967</v>
      </c>
      <c r="C2" t="s">
        <v>1015</v>
      </c>
      <c r="D2" t="str">
        <f t="shared" ref="D2:D33" si="0">CONCATENATE("""", A2, """,")</f>
        <v>"ACID",</v>
      </c>
      <c r="F2" t="s">
        <v>1065</v>
      </c>
      <c r="G2" s="14" t="str">
        <f>VLOOKUP(F2,A:B,2, FALSE)</f>
        <v>Batteries</v>
      </c>
      <c r="H2" s="14" t="s">
        <v>1108</v>
      </c>
      <c r="J2" t="s">
        <v>1111</v>
      </c>
      <c r="K2">
        <v>136</v>
      </c>
      <c r="L2">
        <v>38</v>
      </c>
      <c r="M2">
        <v>28</v>
      </c>
      <c r="N2">
        <f>K2/45</f>
        <v>3.0222222222222221</v>
      </c>
      <c r="O2">
        <f>K2/30</f>
        <v>4.5333333333333332</v>
      </c>
      <c r="P2">
        <f>K2/34</f>
        <v>4</v>
      </c>
      <c r="Q2">
        <f>K2/68</f>
        <v>2</v>
      </c>
      <c r="R2">
        <f>K2/60</f>
        <v>2.2666666666666666</v>
      </c>
    </row>
    <row r="3" spans="1:18" x14ac:dyDescent="0.25">
      <c r="A3" t="s">
        <v>868</v>
      </c>
      <c r="B3" t="s">
        <v>930</v>
      </c>
      <c r="C3" t="s">
        <v>987</v>
      </c>
      <c r="D3" t="str">
        <f t="shared" si="0"/>
        <v>"AORE",</v>
      </c>
      <c r="F3" t="s">
        <v>877</v>
      </c>
      <c r="G3" s="14" t="str">
        <f t="shared" ref="G3:G42" si="1">VLOOKUP(F3,A:B,2, FALSE)</f>
        <v>Bulding Materials</v>
      </c>
      <c r="H3" s="14" t="s">
        <v>1100</v>
      </c>
      <c r="J3" t="s">
        <v>1116</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1065</v>
      </c>
      <c r="B4" t="s">
        <v>1066</v>
      </c>
      <c r="C4" t="s">
        <v>991</v>
      </c>
      <c r="D4" t="str">
        <f t="shared" si="0"/>
        <v>"BATT",</v>
      </c>
      <c r="F4" t="s">
        <v>876</v>
      </c>
      <c r="G4" s="14" t="str">
        <f t="shared" si="1"/>
        <v>Beer</v>
      </c>
      <c r="H4" s="14" t="s">
        <v>1108</v>
      </c>
      <c r="J4" t="s">
        <v>1117</v>
      </c>
      <c r="K4">
        <v>136</v>
      </c>
      <c r="L4">
        <v>38</v>
      </c>
      <c r="M4">
        <v>28</v>
      </c>
      <c r="N4">
        <f t="shared" si="2"/>
        <v>3.0222222222222221</v>
      </c>
      <c r="O4">
        <f t="shared" si="3"/>
        <v>4.5333333333333332</v>
      </c>
      <c r="P4">
        <f t="shared" si="4"/>
        <v>4</v>
      </c>
      <c r="Q4">
        <f t="shared" si="5"/>
        <v>2</v>
      </c>
      <c r="R4">
        <f t="shared" si="6"/>
        <v>2.2666666666666666</v>
      </c>
    </row>
    <row r="5" spans="1:18" x14ac:dyDescent="0.25">
      <c r="A5" t="s">
        <v>877</v>
      </c>
      <c r="B5" t="s">
        <v>942</v>
      </c>
      <c r="C5" t="s">
        <v>1003</v>
      </c>
      <c r="D5" t="str">
        <f t="shared" si="0"/>
        <v>"BDMT",</v>
      </c>
      <c r="F5" t="s">
        <v>1004</v>
      </c>
      <c r="G5" s="14" t="str">
        <f t="shared" si="1"/>
        <v>Explosives</v>
      </c>
      <c r="H5" s="14" t="s">
        <v>1108</v>
      </c>
      <c r="J5" t="s">
        <v>1118</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1000</v>
      </c>
      <c r="B6" t="s">
        <v>1001</v>
      </c>
      <c r="C6" t="s">
        <v>987</v>
      </c>
      <c r="D6" t="str">
        <f t="shared" si="0"/>
        <v>"BEAN",</v>
      </c>
      <c r="F6" t="s">
        <v>906</v>
      </c>
      <c r="G6" s="14" t="str">
        <f t="shared" si="1"/>
        <v>Bricks</v>
      </c>
      <c r="H6" s="14" t="s">
        <v>1100</v>
      </c>
      <c r="J6" t="s">
        <v>1119</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876</v>
      </c>
      <c r="B7" t="s">
        <v>941</v>
      </c>
      <c r="C7" t="s">
        <v>1002</v>
      </c>
      <c r="D7" t="str">
        <f t="shared" si="0"/>
        <v>"BEER",</v>
      </c>
      <c r="F7" t="s">
        <v>1067</v>
      </c>
      <c r="G7" s="14" t="str">
        <f t="shared" si="1"/>
        <v>Bubbles</v>
      </c>
      <c r="H7" s="14" t="s">
        <v>1108</v>
      </c>
      <c r="J7" t="s">
        <v>1120</v>
      </c>
      <c r="K7">
        <v>180</v>
      </c>
      <c r="L7">
        <v>38</v>
      </c>
      <c r="M7">
        <v>28</v>
      </c>
      <c r="N7">
        <f t="shared" si="2"/>
        <v>4</v>
      </c>
      <c r="O7">
        <f t="shared" si="3"/>
        <v>6</v>
      </c>
      <c r="P7">
        <f t="shared" si="4"/>
        <v>5.2941176470588234</v>
      </c>
      <c r="Q7">
        <f t="shared" si="5"/>
        <v>2.6470588235294117</v>
      </c>
      <c r="R7">
        <f t="shared" si="6"/>
        <v>3</v>
      </c>
    </row>
    <row r="8" spans="1:18" x14ac:dyDescent="0.25">
      <c r="A8" t="s">
        <v>1004</v>
      </c>
      <c r="B8" t="s">
        <v>1005</v>
      </c>
      <c r="C8" t="s">
        <v>1006</v>
      </c>
      <c r="D8" t="str">
        <f t="shared" si="0"/>
        <v>"BOOM",</v>
      </c>
      <c r="F8" t="s">
        <v>1010</v>
      </c>
      <c r="G8" s="14" t="str">
        <f t="shared" si="1"/>
        <v>Ceramics</v>
      </c>
      <c r="H8" s="14" t="s">
        <v>1108</v>
      </c>
      <c r="J8" t="s">
        <v>1121</v>
      </c>
      <c r="K8">
        <v>180</v>
      </c>
      <c r="L8">
        <v>38</v>
      </c>
      <c r="M8">
        <v>28</v>
      </c>
      <c r="N8">
        <f t="shared" si="2"/>
        <v>4</v>
      </c>
      <c r="O8">
        <f t="shared" si="3"/>
        <v>6</v>
      </c>
      <c r="P8">
        <f t="shared" si="4"/>
        <v>5.2941176470588234</v>
      </c>
      <c r="Q8">
        <f t="shared" si="5"/>
        <v>2.6470588235294117</v>
      </c>
      <c r="R8">
        <f t="shared" si="6"/>
        <v>3</v>
      </c>
    </row>
    <row r="9" spans="1:18" x14ac:dyDescent="0.25">
      <c r="A9" t="s">
        <v>906</v>
      </c>
      <c r="B9" t="s">
        <v>965</v>
      </c>
      <c r="C9" t="s">
        <v>991</v>
      </c>
      <c r="D9" t="str">
        <f t="shared" si="0"/>
        <v>"BRCK",</v>
      </c>
      <c r="F9" t="s">
        <v>882</v>
      </c>
      <c r="G9" s="14" t="str">
        <f t="shared" si="1"/>
        <v>Copper</v>
      </c>
      <c r="H9" s="14" t="s">
        <v>1105</v>
      </c>
      <c r="J9" t="s">
        <v>1122</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1067</v>
      </c>
      <c r="B10" t="s">
        <v>1068</v>
      </c>
      <c r="C10" t="s">
        <v>991</v>
      </c>
      <c r="D10" t="str">
        <f t="shared" si="0"/>
        <v>"BUBL",</v>
      </c>
      <c r="F10" t="s">
        <v>907</v>
      </c>
      <c r="G10" s="14" t="str">
        <f t="shared" si="1"/>
        <v>Cast Iron</v>
      </c>
      <c r="H10" s="14" t="s">
        <v>1105</v>
      </c>
    </row>
    <row r="11" spans="1:18" x14ac:dyDescent="0.25">
      <c r="A11" t="s">
        <v>921</v>
      </c>
      <c r="B11" t="s">
        <v>978</v>
      </c>
      <c r="C11" t="s">
        <v>987</v>
      </c>
      <c r="D11" t="str">
        <f t="shared" si="0"/>
        <v>"CASS",</v>
      </c>
      <c r="F11" t="s">
        <v>1072</v>
      </c>
      <c r="G11" s="14" t="str">
        <f t="shared" si="1"/>
        <v>Fizzy Drinks</v>
      </c>
      <c r="H11" s="14" t="s">
        <v>1108</v>
      </c>
    </row>
    <row r="12" spans="1:18" x14ac:dyDescent="0.25">
      <c r="A12" t="s">
        <v>1007</v>
      </c>
      <c r="B12" t="s">
        <v>1008</v>
      </c>
      <c r="C12" t="s">
        <v>1009</v>
      </c>
      <c r="D12" t="str">
        <f t="shared" si="0"/>
        <v>"CBLK",</v>
      </c>
      <c r="F12" t="s">
        <v>913</v>
      </c>
      <c r="G12" s="14" t="str">
        <f t="shared" si="1"/>
        <v>Iron</v>
      </c>
      <c r="H12" s="14" t="s">
        <v>1105</v>
      </c>
    </row>
    <row r="13" spans="1:18" x14ac:dyDescent="0.25">
      <c r="A13" t="s">
        <v>1010</v>
      </c>
      <c r="B13" t="s">
        <v>1011</v>
      </c>
      <c r="C13" t="s">
        <v>991</v>
      </c>
      <c r="D13" t="str">
        <f t="shared" si="0"/>
        <v>"CERA",</v>
      </c>
      <c r="F13" t="s">
        <v>905</v>
      </c>
      <c r="G13" s="14" t="str">
        <f t="shared" si="1"/>
        <v>Coffee</v>
      </c>
      <c r="H13" s="14" t="s">
        <v>1108</v>
      </c>
    </row>
    <row r="14" spans="1:18" x14ac:dyDescent="0.25">
      <c r="A14" t="s">
        <v>889</v>
      </c>
      <c r="B14" t="s">
        <v>982</v>
      </c>
      <c r="C14" t="s">
        <v>1012</v>
      </c>
      <c r="D14" t="str">
        <f t="shared" si="0"/>
        <v>"CERE",</v>
      </c>
      <c r="F14" t="s">
        <v>903</v>
      </c>
      <c r="G14" s="14" t="str">
        <f t="shared" si="1"/>
        <v>Metal</v>
      </c>
      <c r="H14" s="14" t="s">
        <v>1105</v>
      </c>
    </row>
    <row r="15" spans="1:18" x14ac:dyDescent="0.25">
      <c r="A15" t="s">
        <v>910</v>
      </c>
      <c r="B15" t="s">
        <v>966</v>
      </c>
      <c r="C15" t="s">
        <v>1015</v>
      </c>
      <c r="D15" t="str">
        <f t="shared" si="0"/>
        <v>"CHLO",</v>
      </c>
      <c r="F15" t="s">
        <v>1048</v>
      </c>
      <c r="G15" s="14" t="str">
        <f t="shared" si="1"/>
        <v>Nuts</v>
      </c>
      <c r="H15" s="14" t="s">
        <v>1108</v>
      </c>
    </row>
    <row r="16" spans="1:18" x14ac:dyDescent="0.25">
      <c r="A16" t="s">
        <v>870</v>
      </c>
      <c r="B16" t="s">
        <v>932</v>
      </c>
      <c r="C16" t="s">
        <v>1013</v>
      </c>
      <c r="D16" t="str">
        <f t="shared" si="0"/>
        <v>"CLAY",</v>
      </c>
      <c r="F16" t="s">
        <v>879</v>
      </c>
      <c r="G16" s="14" t="str">
        <f t="shared" si="1"/>
        <v>Paper</v>
      </c>
      <c r="H16" s="14" t="s">
        <v>1108</v>
      </c>
    </row>
    <row r="17" spans="1:8" x14ac:dyDescent="0.25">
      <c r="A17" t="s">
        <v>912</v>
      </c>
      <c r="B17" t="s">
        <v>973</v>
      </c>
      <c r="C17" t="s">
        <v>1013</v>
      </c>
      <c r="D17" t="str">
        <f t="shared" si="0"/>
        <v>"CMNT",</v>
      </c>
      <c r="F17" t="s">
        <v>1050</v>
      </c>
      <c r="G17" s="14" t="str">
        <f t="shared" si="1"/>
        <v>Pipe</v>
      </c>
      <c r="H17" s="14" t="s">
        <v>1101</v>
      </c>
    </row>
    <row r="18" spans="1:8" x14ac:dyDescent="0.25">
      <c r="A18" t="s">
        <v>762</v>
      </c>
      <c r="B18" t="s">
        <v>926</v>
      </c>
      <c r="C18" t="s">
        <v>987</v>
      </c>
      <c r="D18" t="str">
        <f t="shared" si="0"/>
        <v>"COAL",</v>
      </c>
      <c r="F18" t="s">
        <v>1052</v>
      </c>
      <c r="G18" s="14" t="str">
        <f t="shared" si="1"/>
        <v>Electrical Equipment</v>
      </c>
      <c r="H18" s="14" t="s">
        <v>1108</v>
      </c>
    </row>
    <row r="19" spans="1:8" x14ac:dyDescent="0.25">
      <c r="A19" t="s">
        <v>911</v>
      </c>
      <c r="B19" t="s">
        <v>968</v>
      </c>
      <c r="C19" t="s">
        <v>987</v>
      </c>
      <c r="D19" t="str">
        <f t="shared" si="0"/>
        <v>"COKE",</v>
      </c>
      <c r="F19" t="s">
        <v>1054</v>
      </c>
      <c r="G19" s="14" t="str">
        <f t="shared" si="1"/>
        <v>Alloy Steel</v>
      </c>
      <c r="H19" s="14" t="s">
        <v>1105</v>
      </c>
    </row>
    <row r="20" spans="1:8" x14ac:dyDescent="0.25">
      <c r="A20" t="s">
        <v>1069</v>
      </c>
      <c r="B20" t="s">
        <v>1070</v>
      </c>
      <c r="C20" t="s">
        <v>989</v>
      </c>
      <c r="D20" t="str">
        <f t="shared" si="0"/>
        <v>"COLA",</v>
      </c>
      <c r="F20" t="s">
        <v>1056</v>
      </c>
      <c r="G20" s="14" t="str">
        <f t="shared" si="1"/>
        <v>Carbon Steel</v>
      </c>
      <c r="H20" s="14" t="s">
        <v>1105</v>
      </c>
    </row>
    <row r="21" spans="1:8" x14ac:dyDescent="0.25">
      <c r="A21" t="s">
        <v>882</v>
      </c>
      <c r="B21" t="s">
        <v>1014</v>
      </c>
      <c r="C21" t="s">
        <v>991</v>
      </c>
      <c r="D21" t="str">
        <f t="shared" si="0"/>
        <v>"COPR",</v>
      </c>
      <c r="F21" t="s">
        <v>841</v>
      </c>
      <c r="G21" s="14" t="str">
        <f t="shared" si="1"/>
        <v>Steel</v>
      </c>
      <c r="H21" s="14" t="s">
        <v>1105</v>
      </c>
    </row>
    <row r="22" spans="1:8" x14ac:dyDescent="0.25">
      <c r="A22" t="s">
        <v>869</v>
      </c>
      <c r="B22" t="s">
        <v>931</v>
      </c>
      <c r="C22" t="s">
        <v>987</v>
      </c>
      <c r="D22" t="str">
        <f t="shared" si="0"/>
        <v>"CORE",</v>
      </c>
      <c r="F22" t="s">
        <v>1058</v>
      </c>
      <c r="G22" s="14" t="str">
        <f t="shared" si="1"/>
        <v>Stainless Steel</v>
      </c>
      <c r="H22" s="14" t="s">
        <v>1105</v>
      </c>
    </row>
    <row r="23" spans="1:8" x14ac:dyDescent="0.25">
      <c r="A23" t="s">
        <v>907</v>
      </c>
      <c r="B23" t="s">
        <v>983</v>
      </c>
      <c r="C23" t="s">
        <v>991</v>
      </c>
      <c r="D23" t="str">
        <f t="shared" si="0"/>
        <v>"CSTI",</v>
      </c>
      <c r="F23" t="s">
        <v>1078</v>
      </c>
      <c r="G23" s="14" t="str">
        <f t="shared" si="1"/>
        <v>Toys</v>
      </c>
      <c r="H23" s="14" t="s">
        <v>1108</v>
      </c>
    </row>
    <row r="24" spans="1:8" x14ac:dyDescent="0.25">
      <c r="A24" t="s">
        <v>908</v>
      </c>
      <c r="B24" t="s">
        <v>984</v>
      </c>
      <c r="C24" t="s">
        <v>1015</v>
      </c>
      <c r="D24" t="str">
        <f t="shared" si="0"/>
        <v>"CTAR",</v>
      </c>
      <c r="F24" t="s">
        <v>1040</v>
      </c>
      <c r="G24" s="14" t="str">
        <f t="shared" si="1"/>
        <v>Tyres</v>
      </c>
      <c r="H24" s="14" t="s">
        <v>1109</v>
      </c>
    </row>
    <row r="25" spans="1:8" x14ac:dyDescent="0.25">
      <c r="A25" t="s">
        <v>1071</v>
      </c>
      <c r="B25" t="s">
        <v>1085</v>
      </c>
      <c r="C25" t="s">
        <v>987</v>
      </c>
      <c r="D25" t="str">
        <f t="shared" si="0"/>
        <v>"CTCD",</v>
      </c>
      <c r="F25" t="s">
        <v>1060</v>
      </c>
      <c r="G25" s="14" t="str">
        <f t="shared" si="1"/>
        <v>Vehicle Bodies</v>
      </c>
      <c r="H25" s="14" t="s">
        <v>1110</v>
      </c>
    </row>
    <row r="26" spans="1:8" x14ac:dyDescent="0.25">
      <c r="A26" t="s">
        <v>998</v>
      </c>
      <c r="B26" t="s">
        <v>999</v>
      </c>
      <c r="C26" t="s">
        <v>993</v>
      </c>
      <c r="D26" t="str">
        <f t="shared" si="0"/>
        <v>"DIAM",</v>
      </c>
      <c r="F26" t="s">
        <v>1061</v>
      </c>
      <c r="G26" s="14" t="str">
        <f t="shared" si="1"/>
        <v>Vehicle Engines</v>
      </c>
      <c r="H26" s="14" t="s">
        <v>1108</v>
      </c>
    </row>
    <row r="27" spans="1:8" x14ac:dyDescent="0.25">
      <c r="A27" t="s">
        <v>883</v>
      </c>
      <c r="B27" t="s">
        <v>945</v>
      </c>
      <c r="C27" t="s">
        <v>1016</v>
      </c>
      <c r="D27" t="str">
        <f t="shared" si="0"/>
        <v>"DYES",</v>
      </c>
      <c r="F27" t="s">
        <v>444</v>
      </c>
      <c r="G27" s="14" t="str">
        <f t="shared" si="1"/>
        <v>Wood</v>
      </c>
      <c r="H27" s="14" t="s">
        <v>1102</v>
      </c>
    </row>
    <row r="28" spans="1:8" x14ac:dyDescent="0.25">
      <c r="A28" t="s">
        <v>875</v>
      </c>
      <c r="B28" t="s">
        <v>940</v>
      </c>
      <c r="C28" t="s">
        <v>1006</v>
      </c>
      <c r="D28" t="str">
        <f t="shared" si="0"/>
        <v>"ENSP",</v>
      </c>
      <c r="F28" t="s">
        <v>918</v>
      </c>
      <c r="G28" s="14" t="str">
        <f t="shared" si="1"/>
        <v>Zinc</v>
      </c>
      <c r="H28" s="14" t="s">
        <v>1105</v>
      </c>
    </row>
    <row r="29" spans="1:8" x14ac:dyDescent="0.25">
      <c r="A29" t="s">
        <v>1045</v>
      </c>
      <c r="B29" t="s">
        <v>1046</v>
      </c>
      <c r="C29" t="s">
        <v>1016</v>
      </c>
      <c r="D29" t="str">
        <f t="shared" si="0"/>
        <v>"EOIL",</v>
      </c>
      <c r="F29" t="s">
        <v>875</v>
      </c>
      <c r="G29" s="14" t="str">
        <f t="shared" si="1"/>
        <v>Engineering Supplies</v>
      </c>
      <c r="H29" s="14" t="s">
        <v>1103</v>
      </c>
    </row>
    <row r="30" spans="1:8" x14ac:dyDescent="0.25">
      <c r="A30" t="s">
        <v>1017</v>
      </c>
      <c r="B30" t="s">
        <v>1018</v>
      </c>
      <c r="C30" t="s">
        <v>987</v>
      </c>
      <c r="D30" t="str">
        <f t="shared" si="0"/>
        <v>"FECR",</v>
      </c>
      <c r="F30" t="s">
        <v>874</v>
      </c>
      <c r="G30" s="14" t="str">
        <f t="shared" si="1"/>
        <v>Farm Supplies</v>
      </c>
      <c r="H30" s="14" t="s">
        <v>1104</v>
      </c>
    </row>
    <row r="31" spans="1:8" x14ac:dyDescent="0.25">
      <c r="A31" t="s">
        <v>1019</v>
      </c>
      <c r="B31" t="s">
        <v>1020</v>
      </c>
      <c r="C31" t="s">
        <v>1021</v>
      </c>
      <c r="D31" t="str">
        <f t="shared" si="0"/>
        <v>"FERT",</v>
      </c>
      <c r="F31" t="s">
        <v>1063</v>
      </c>
      <c r="G31" s="14" t="str">
        <f t="shared" si="1"/>
        <v>Vehicle Parts</v>
      </c>
      <c r="H31" s="14" t="s">
        <v>1108</v>
      </c>
    </row>
    <row r="32" spans="1:8" x14ac:dyDescent="0.25">
      <c r="A32" t="s">
        <v>890</v>
      </c>
      <c r="B32" t="s">
        <v>979</v>
      </c>
      <c r="C32" t="s">
        <v>1021</v>
      </c>
      <c r="D32" t="str">
        <f t="shared" si="0"/>
        <v>"FICR",</v>
      </c>
      <c r="F32" t="s">
        <v>880</v>
      </c>
      <c r="G32" s="14" t="str">
        <f t="shared" si="1"/>
        <v>Timber</v>
      </c>
      <c r="H32" s="14" t="s">
        <v>1106</v>
      </c>
    </row>
    <row r="33" spans="1:8" x14ac:dyDescent="0.25">
      <c r="A33" t="s">
        <v>888</v>
      </c>
      <c r="B33" t="s">
        <v>950</v>
      </c>
      <c r="C33" t="s">
        <v>994</v>
      </c>
      <c r="D33" t="str">
        <f t="shared" si="0"/>
        <v>"FISH",</v>
      </c>
      <c r="F33" t="s">
        <v>886</v>
      </c>
      <c r="G33" s="14" t="str">
        <f t="shared" si="1"/>
        <v>Plastics</v>
      </c>
      <c r="H33" s="14" t="s">
        <v>1108</v>
      </c>
    </row>
    <row r="34" spans="1:8" x14ac:dyDescent="0.25">
      <c r="A34" t="s">
        <v>874</v>
      </c>
      <c r="B34" t="s">
        <v>939</v>
      </c>
      <c r="C34" t="s">
        <v>1006</v>
      </c>
      <c r="D34" t="str">
        <f t="shared" ref="D34:D65" si="7">CONCATENATE("""", A34, """,")</f>
        <v>"FMSP",</v>
      </c>
      <c r="F34" t="s">
        <v>883</v>
      </c>
      <c r="G34" s="14" t="str">
        <f t="shared" si="1"/>
        <v>Dyes</v>
      </c>
      <c r="H34" s="14" t="s">
        <v>1108</v>
      </c>
    </row>
    <row r="35" spans="1:8" x14ac:dyDescent="0.25">
      <c r="A35" t="s">
        <v>873</v>
      </c>
      <c r="B35" t="s">
        <v>937</v>
      </c>
      <c r="C35" t="s">
        <v>994</v>
      </c>
      <c r="D35" t="str">
        <f t="shared" si="7"/>
        <v>"FOOD",</v>
      </c>
      <c r="F35" t="s">
        <v>881</v>
      </c>
      <c r="G35" s="14" t="str">
        <f t="shared" si="1"/>
        <v>Vehicles</v>
      </c>
      <c r="H35" s="14" t="s">
        <v>1107</v>
      </c>
    </row>
    <row r="36" spans="1:8" x14ac:dyDescent="0.25">
      <c r="A36" t="s">
        <v>892</v>
      </c>
      <c r="B36" t="s">
        <v>956</v>
      </c>
      <c r="C36" t="s">
        <v>997</v>
      </c>
      <c r="D36" t="str">
        <f t="shared" si="7"/>
        <v>"FRUT",</v>
      </c>
      <c r="F36" t="s">
        <v>890</v>
      </c>
      <c r="G36" s="14" t="str">
        <f t="shared" si="1"/>
        <v>Fibre Crops</v>
      </c>
      <c r="H36" s="14" t="s">
        <v>1108</v>
      </c>
    </row>
    <row r="37" spans="1:8" x14ac:dyDescent="0.25">
      <c r="A37" t="s">
        <v>891</v>
      </c>
      <c r="B37" t="s">
        <v>980</v>
      </c>
      <c r="C37" t="s">
        <v>1082</v>
      </c>
      <c r="D37" t="str">
        <f t="shared" si="7"/>
        <v>"FRVG",</v>
      </c>
      <c r="F37" t="s">
        <v>878</v>
      </c>
      <c r="G37" s="14" t="str">
        <f t="shared" si="1"/>
        <v>Packaging</v>
      </c>
      <c r="H37" s="14" t="s">
        <v>1108</v>
      </c>
    </row>
    <row r="38" spans="1:8" x14ac:dyDescent="0.25">
      <c r="A38" t="s">
        <v>1072</v>
      </c>
      <c r="B38" t="s">
        <v>1073</v>
      </c>
      <c r="C38" t="s">
        <v>991</v>
      </c>
      <c r="D38" t="str">
        <f t="shared" si="7"/>
        <v>"FZDR",</v>
      </c>
      <c r="F38" t="s">
        <v>1136</v>
      </c>
      <c r="G38" s="14" t="str">
        <f t="shared" si="1"/>
        <v>Steel Sheet</v>
      </c>
      <c r="H38" s="14"/>
    </row>
    <row r="39" spans="1:8" x14ac:dyDescent="0.25">
      <c r="A39" t="s">
        <v>995</v>
      </c>
      <c r="B39" t="s">
        <v>996</v>
      </c>
      <c r="C39" t="s">
        <v>993</v>
      </c>
      <c r="D39" t="str">
        <f t="shared" si="7"/>
        <v>"GOLD",</v>
      </c>
      <c r="F39" t="s">
        <v>1138</v>
      </c>
      <c r="G39" s="14" t="str">
        <f t="shared" si="1"/>
        <v>Steel Wire Rod</v>
      </c>
      <c r="H39" s="14"/>
    </row>
    <row r="40" spans="1:8" x14ac:dyDescent="0.25">
      <c r="A40" t="s">
        <v>319</v>
      </c>
      <c r="B40" t="s">
        <v>936</v>
      </c>
      <c r="C40" t="s">
        <v>992</v>
      </c>
      <c r="D40" t="str">
        <f t="shared" si="7"/>
        <v>"GOOD",</v>
      </c>
      <c r="F40" t="s">
        <v>1135</v>
      </c>
      <c r="G40" s="14" t="str">
        <f t="shared" si="1"/>
        <v>Rebar</v>
      </c>
      <c r="H40" s="14"/>
    </row>
    <row r="41" spans="1:8" x14ac:dyDescent="0.25">
      <c r="A41" t="s">
        <v>893</v>
      </c>
      <c r="B41" t="s">
        <v>955</v>
      </c>
      <c r="C41" t="s">
        <v>987</v>
      </c>
      <c r="D41" t="str">
        <f t="shared" si="7"/>
        <v>"GRAI",</v>
      </c>
      <c r="F41" s="14" t="s">
        <v>1126</v>
      </c>
      <c r="G41" s="14" t="str">
        <f t="shared" si="1"/>
        <v>Cleaning Agents</v>
      </c>
      <c r="H41" s="14" t="s">
        <v>1108</v>
      </c>
    </row>
    <row r="42" spans="1:8" x14ac:dyDescent="0.25">
      <c r="A42" t="s">
        <v>866</v>
      </c>
      <c r="B42" t="s">
        <v>928</v>
      </c>
      <c r="C42" t="s">
        <v>987</v>
      </c>
      <c r="D42" t="str">
        <f t="shared" si="7"/>
        <v>"GRVL",</v>
      </c>
      <c r="F42" s="14" t="s">
        <v>1133</v>
      </c>
      <c r="G42" s="14" t="str">
        <f t="shared" si="1"/>
        <v>Paints and coatings</v>
      </c>
      <c r="H42" s="14" t="s">
        <v>1108</v>
      </c>
    </row>
    <row r="43" spans="1:8" x14ac:dyDescent="0.25">
      <c r="A43" t="s">
        <v>865</v>
      </c>
      <c r="B43" t="s">
        <v>927</v>
      </c>
      <c r="C43" t="s">
        <v>987</v>
      </c>
      <c r="D43" t="str">
        <f t="shared" si="7"/>
        <v>"IORE",</v>
      </c>
    </row>
    <row r="44" spans="1:8" x14ac:dyDescent="0.25">
      <c r="A44" t="s">
        <v>913</v>
      </c>
      <c r="B44" t="s">
        <v>969</v>
      </c>
      <c r="C44" t="s">
        <v>991</v>
      </c>
      <c r="D44" t="str">
        <f t="shared" si="7"/>
        <v>"IRON",</v>
      </c>
    </row>
    <row r="45" spans="1:8" x14ac:dyDescent="0.25">
      <c r="A45" t="s">
        <v>905</v>
      </c>
      <c r="B45" t="s">
        <v>964</v>
      </c>
      <c r="C45" t="s">
        <v>991</v>
      </c>
      <c r="D45" t="str">
        <f t="shared" si="7"/>
        <v>"JAVA",</v>
      </c>
    </row>
    <row r="46" spans="1:8" x14ac:dyDescent="0.25">
      <c r="A46" t="s">
        <v>1023</v>
      </c>
      <c r="B46" t="s">
        <v>1083</v>
      </c>
      <c r="C46" t="s">
        <v>1024</v>
      </c>
      <c r="D46" t="str">
        <f t="shared" si="7"/>
        <v>"KAOL",</v>
      </c>
    </row>
    <row r="47" spans="1:8" x14ac:dyDescent="0.25">
      <c r="A47" t="s">
        <v>872</v>
      </c>
      <c r="B47" t="s">
        <v>935</v>
      </c>
      <c r="C47" t="s">
        <v>987</v>
      </c>
      <c r="D47" t="str">
        <f t="shared" si="7"/>
        <v>"LIME",</v>
      </c>
    </row>
    <row r="48" spans="1:8" x14ac:dyDescent="0.25">
      <c r="A48" t="s">
        <v>801</v>
      </c>
      <c r="B48" t="s">
        <v>954</v>
      </c>
      <c r="C48" t="s">
        <v>991</v>
      </c>
      <c r="D48" t="str">
        <f t="shared" si="7"/>
        <v>"LVST",</v>
      </c>
    </row>
    <row r="49" spans="1:4" x14ac:dyDescent="0.25">
      <c r="A49" t="s">
        <v>692</v>
      </c>
      <c r="B49" t="s">
        <v>925</v>
      </c>
      <c r="C49" t="s">
        <v>988</v>
      </c>
      <c r="D49" t="str">
        <f t="shared" si="7"/>
        <v>"MAIL",</v>
      </c>
    </row>
    <row r="50" spans="1:4" x14ac:dyDescent="0.25">
      <c r="A50" t="s">
        <v>894</v>
      </c>
      <c r="B50" t="s">
        <v>953</v>
      </c>
      <c r="C50" t="s">
        <v>987</v>
      </c>
      <c r="D50" t="str">
        <f t="shared" si="7"/>
        <v>"MAIZ",</v>
      </c>
    </row>
    <row r="51" spans="1:4" x14ac:dyDescent="0.25">
      <c r="A51" t="s">
        <v>903</v>
      </c>
      <c r="B51" t="s">
        <v>962</v>
      </c>
      <c r="C51" t="s">
        <v>991</v>
      </c>
      <c r="D51" t="str">
        <f t="shared" si="7"/>
        <v>"METL",</v>
      </c>
    </row>
    <row r="52" spans="1:4" x14ac:dyDescent="0.25">
      <c r="A52" t="s">
        <v>895</v>
      </c>
      <c r="B52" t="s">
        <v>951</v>
      </c>
      <c r="C52" t="s">
        <v>1025</v>
      </c>
      <c r="D52" t="str">
        <f t="shared" si="7"/>
        <v>"MILK",</v>
      </c>
    </row>
    <row r="53" spans="1:4" x14ac:dyDescent="0.25">
      <c r="A53" t="s">
        <v>922</v>
      </c>
      <c r="B53" t="s">
        <v>974</v>
      </c>
      <c r="C53" t="s">
        <v>987</v>
      </c>
      <c r="D53" t="str">
        <f t="shared" si="7"/>
        <v>"MNO2",</v>
      </c>
    </row>
    <row r="54" spans="1:4" x14ac:dyDescent="0.25">
      <c r="A54" t="s">
        <v>878</v>
      </c>
      <c r="B54" t="s">
        <v>1123</v>
      </c>
      <c r="C54" t="s">
        <v>1047</v>
      </c>
      <c r="D54" t="str">
        <f t="shared" si="7"/>
        <v>"MNSP",</v>
      </c>
    </row>
    <row r="55" spans="1:4" x14ac:dyDescent="0.25">
      <c r="A55" t="s">
        <v>1026</v>
      </c>
      <c r="B55" t="s">
        <v>1027</v>
      </c>
      <c r="C55" t="s">
        <v>987</v>
      </c>
      <c r="D55" t="str">
        <f t="shared" si="7"/>
        <v>"NITR",</v>
      </c>
    </row>
    <row r="56" spans="1:4" x14ac:dyDescent="0.25">
      <c r="A56" t="s">
        <v>1048</v>
      </c>
      <c r="B56" t="s">
        <v>1049</v>
      </c>
      <c r="C56" t="s">
        <v>991</v>
      </c>
      <c r="D56" t="str">
        <f t="shared" si="7"/>
        <v>"NUTS",</v>
      </c>
    </row>
    <row r="57" spans="1:4" x14ac:dyDescent="0.25">
      <c r="A57" t="s">
        <v>317</v>
      </c>
      <c r="B57" t="s">
        <v>946</v>
      </c>
      <c r="C57" t="s">
        <v>989</v>
      </c>
      <c r="D57" t="str">
        <f t="shared" si="7"/>
        <v>"OIL_",</v>
      </c>
    </row>
    <row r="58" spans="1:4" x14ac:dyDescent="0.25">
      <c r="A58" t="s">
        <v>901</v>
      </c>
      <c r="B58" t="s">
        <v>981</v>
      </c>
      <c r="C58" t="s">
        <v>1012</v>
      </c>
      <c r="D58" t="str">
        <f t="shared" si="7"/>
        <v>"OLSD",</v>
      </c>
    </row>
    <row r="59" spans="1:4" x14ac:dyDescent="0.25">
      <c r="A59" t="s">
        <v>879</v>
      </c>
      <c r="B59" t="s">
        <v>943</v>
      </c>
      <c r="C59" t="s">
        <v>991</v>
      </c>
      <c r="D59" t="str">
        <f t="shared" si="7"/>
        <v>"PAPR",</v>
      </c>
    </row>
    <row r="60" spans="1:4" x14ac:dyDescent="0.25">
      <c r="A60" t="s">
        <v>316</v>
      </c>
      <c r="B60" t="s">
        <v>923</v>
      </c>
      <c r="C60" t="s">
        <v>986</v>
      </c>
      <c r="D60" t="str">
        <f t="shared" si="7"/>
        <v>"PASS",</v>
      </c>
    </row>
    <row r="61" spans="1:4" x14ac:dyDescent="0.25">
      <c r="A61" t="s">
        <v>1028</v>
      </c>
      <c r="B61" t="s">
        <v>1029</v>
      </c>
      <c r="C61" t="s">
        <v>987</v>
      </c>
      <c r="D61" t="str">
        <f t="shared" si="7"/>
        <v>"PEAT",</v>
      </c>
    </row>
    <row r="62" spans="1:4" x14ac:dyDescent="0.25">
      <c r="A62" t="s">
        <v>885</v>
      </c>
      <c r="B62" t="s">
        <v>947</v>
      </c>
      <c r="C62" t="s">
        <v>989</v>
      </c>
      <c r="D62" t="str">
        <f t="shared" si="7"/>
        <v>"PETR",</v>
      </c>
    </row>
    <row r="63" spans="1:4" x14ac:dyDescent="0.25">
      <c r="A63" t="s">
        <v>1030</v>
      </c>
      <c r="B63" t="s">
        <v>1031</v>
      </c>
      <c r="C63" t="s">
        <v>987</v>
      </c>
      <c r="D63" t="str">
        <f t="shared" si="7"/>
        <v>"PHOS",</v>
      </c>
    </row>
    <row r="64" spans="1:4" x14ac:dyDescent="0.25">
      <c r="A64" t="s">
        <v>1050</v>
      </c>
      <c r="B64" t="s">
        <v>1051</v>
      </c>
      <c r="C64" t="s">
        <v>991</v>
      </c>
      <c r="D64" t="str">
        <f t="shared" si="7"/>
        <v>"PIPE",</v>
      </c>
    </row>
    <row r="65" spans="1:4" x14ac:dyDescent="0.25">
      <c r="A65" t="s">
        <v>886</v>
      </c>
      <c r="B65" t="s">
        <v>948</v>
      </c>
      <c r="C65" t="s">
        <v>1033</v>
      </c>
      <c r="D65" t="str">
        <f t="shared" si="7"/>
        <v>"PLAS",</v>
      </c>
    </row>
    <row r="66" spans="1:4" x14ac:dyDescent="0.25">
      <c r="A66" t="s">
        <v>1074</v>
      </c>
      <c r="B66" t="s">
        <v>1032</v>
      </c>
      <c r="C66" t="s">
        <v>989</v>
      </c>
      <c r="D66" t="str">
        <f t="shared" ref="D66:D97" si="8">CONCATENATE("""", A66, """,")</f>
        <v>"PLST",</v>
      </c>
    </row>
    <row r="67" spans="1:4" x14ac:dyDescent="0.25">
      <c r="A67" t="s">
        <v>1034</v>
      </c>
      <c r="B67" t="s">
        <v>1035</v>
      </c>
      <c r="C67" t="s">
        <v>987</v>
      </c>
      <c r="D67" t="str">
        <f t="shared" si="8"/>
        <v>"PORE",</v>
      </c>
    </row>
    <row r="68" spans="1:4" x14ac:dyDescent="0.25">
      <c r="A68" t="s">
        <v>1036</v>
      </c>
      <c r="B68" t="s">
        <v>1037</v>
      </c>
      <c r="C68" t="s">
        <v>1012</v>
      </c>
      <c r="D68" t="str">
        <f t="shared" si="8"/>
        <v>"POTA",</v>
      </c>
    </row>
    <row r="69" spans="1:4" x14ac:dyDescent="0.25">
      <c r="A69" t="s">
        <v>1052</v>
      </c>
      <c r="B69" t="s">
        <v>1130</v>
      </c>
      <c r="C69" t="s">
        <v>991</v>
      </c>
      <c r="D69" t="str">
        <f t="shared" si="8"/>
        <v>"POWR",</v>
      </c>
    </row>
    <row r="70" spans="1:4" x14ac:dyDescent="0.25">
      <c r="A70" t="s">
        <v>914</v>
      </c>
      <c r="B70" t="s">
        <v>975</v>
      </c>
      <c r="C70" t="s">
        <v>1012</v>
      </c>
      <c r="D70" t="str">
        <f t="shared" si="8"/>
        <v>"QLME",</v>
      </c>
    </row>
    <row r="71" spans="1:4" x14ac:dyDescent="0.25">
      <c r="A71" t="s">
        <v>920</v>
      </c>
      <c r="B71" t="s">
        <v>977</v>
      </c>
      <c r="C71" t="s">
        <v>1053</v>
      </c>
      <c r="D71" t="str">
        <f t="shared" si="8"/>
        <v>"RCYC",</v>
      </c>
    </row>
    <row r="72" spans="1:4" x14ac:dyDescent="0.25">
      <c r="A72" t="s">
        <v>884</v>
      </c>
      <c r="B72" t="s">
        <v>1129</v>
      </c>
      <c r="C72" t="s">
        <v>989</v>
      </c>
      <c r="D72" t="str">
        <f t="shared" si="8"/>
        <v>"RFPR",</v>
      </c>
    </row>
    <row r="73" spans="1:4" x14ac:dyDescent="0.25">
      <c r="A73" t="s">
        <v>896</v>
      </c>
      <c r="B73" t="s">
        <v>957</v>
      </c>
      <c r="C73" t="s">
        <v>989</v>
      </c>
      <c r="D73" t="str">
        <f t="shared" si="8"/>
        <v>"RUBR",</v>
      </c>
    </row>
    <row r="74" spans="1:4" x14ac:dyDescent="0.25">
      <c r="A74" t="s">
        <v>915</v>
      </c>
      <c r="B74" t="s">
        <v>970</v>
      </c>
      <c r="C74" t="s">
        <v>987</v>
      </c>
      <c r="D74" t="str">
        <f t="shared" si="8"/>
        <v>"SALT",</v>
      </c>
    </row>
    <row r="75" spans="1:4" x14ac:dyDescent="0.25">
      <c r="A75" t="s">
        <v>867</v>
      </c>
      <c r="B75" t="s">
        <v>929</v>
      </c>
      <c r="C75" t="s">
        <v>987</v>
      </c>
      <c r="D75" t="str">
        <f t="shared" si="8"/>
        <v>"SAND",</v>
      </c>
    </row>
    <row r="76" spans="1:4" x14ac:dyDescent="0.25">
      <c r="A76" t="s">
        <v>916</v>
      </c>
      <c r="B76" t="s">
        <v>985</v>
      </c>
      <c r="C76" t="s">
        <v>1012</v>
      </c>
      <c r="D76" t="str">
        <f t="shared" si="8"/>
        <v>"SASH",</v>
      </c>
    </row>
    <row r="77" spans="1:4" x14ac:dyDescent="0.25">
      <c r="A77" t="s">
        <v>871</v>
      </c>
      <c r="B77" t="s">
        <v>933</v>
      </c>
      <c r="C77" t="s">
        <v>1038</v>
      </c>
      <c r="D77" t="str">
        <f t="shared" si="8"/>
        <v>"SCMT",</v>
      </c>
    </row>
    <row r="78" spans="1:4" x14ac:dyDescent="0.25">
      <c r="A78" t="s">
        <v>897</v>
      </c>
      <c r="B78" t="s">
        <v>958</v>
      </c>
      <c r="C78" t="s">
        <v>987</v>
      </c>
      <c r="D78" t="str">
        <f t="shared" si="8"/>
        <v>"SGBT",</v>
      </c>
    </row>
    <row r="79" spans="1:4" x14ac:dyDescent="0.25">
      <c r="A79" t="s">
        <v>898</v>
      </c>
      <c r="B79" t="s">
        <v>959</v>
      </c>
      <c r="C79" t="s">
        <v>1038</v>
      </c>
      <c r="D79" t="str">
        <f t="shared" si="8"/>
        <v>"SGCN",</v>
      </c>
    </row>
    <row r="80" spans="1:4" x14ac:dyDescent="0.25">
      <c r="A80" t="s">
        <v>919</v>
      </c>
      <c r="B80" t="s">
        <v>972</v>
      </c>
      <c r="C80" t="s">
        <v>987</v>
      </c>
      <c r="D80" t="str">
        <f t="shared" si="8"/>
        <v>"SLAG",</v>
      </c>
    </row>
    <row r="81" spans="1:4" x14ac:dyDescent="0.25">
      <c r="A81" t="s">
        <v>1054</v>
      </c>
      <c r="B81" t="s">
        <v>1055</v>
      </c>
      <c r="C81" t="s">
        <v>991</v>
      </c>
      <c r="D81" t="str">
        <f t="shared" si="8"/>
        <v>"STAL",</v>
      </c>
    </row>
    <row r="82" spans="1:4" x14ac:dyDescent="0.25">
      <c r="A82" t="s">
        <v>1056</v>
      </c>
      <c r="B82" t="s">
        <v>1057</v>
      </c>
      <c r="C82" t="s">
        <v>991</v>
      </c>
      <c r="D82" t="str">
        <f t="shared" si="8"/>
        <v>"STCB",</v>
      </c>
    </row>
    <row r="83" spans="1:4" x14ac:dyDescent="0.25">
      <c r="A83" t="s">
        <v>841</v>
      </c>
      <c r="B83" t="s">
        <v>938</v>
      </c>
      <c r="C83" t="s">
        <v>991</v>
      </c>
      <c r="D83" t="str">
        <f t="shared" si="8"/>
        <v>"STEL",</v>
      </c>
    </row>
    <row r="84" spans="1:4" x14ac:dyDescent="0.25">
      <c r="A84" t="s">
        <v>1058</v>
      </c>
      <c r="B84" t="s">
        <v>1059</v>
      </c>
      <c r="C84" t="s">
        <v>991</v>
      </c>
      <c r="D84" t="str">
        <f t="shared" si="8"/>
        <v>"STST",</v>
      </c>
    </row>
    <row r="85" spans="1:4" x14ac:dyDescent="0.25">
      <c r="A85" t="s">
        <v>902</v>
      </c>
      <c r="B85" t="s">
        <v>961</v>
      </c>
      <c r="C85" t="s">
        <v>987</v>
      </c>
      <c r="D85" t="str">
        <f t="shared" si="8"/>
        <v>"SUGR",</v>
      </c>
    </row>
    <row r="86" spans="1:4" x14ac:dyDescent="0.25">
      <c r="A86" t="s">
        <v>917</v>
      </c>
      <c r="B86" t="s">
        <v>976</v>
      </c>
      <c r="C86" t="s">
        <v>1012</v>
      </c>
      <c r="D86" t="str">
        <f t="shared" si="8"/>
        <v>"SULP",</v>
      </c>
    </row>
    <row r="87" spans="1:4" x14ac:dyDescent="0.25">
      <c r="A87" t="s">
        <v>1075</v>
      </c>
      <c r="B87" t="s">
        <v>1086</v>
      </c>
      <c r="C87" t="s">
        <v>992</v>
      </c>
      <c r="D87" t="str">
        <f t="shared" si="8"/>
        <v>"SWET",</v>
      </c>
    </row>
    <row r="88" spans="1:4" x14ac:dyDescent="0.25">
      <c r="A88" t="s">
        <v>1076</v>
      </c>
      <c r="B88" t="s">
        <v>1077</v>
      </c>
      <c r="C88" t="s">
        <v>987</v>
      </c>
      <c r="D88" t="str">
        <f t="shared" si="8"/>
        <v>"TOFF",</v>
      </c>
    </row>
    <row r="89" spans="1:4" x14ac:dyDescent="0.25">
      <c r="A89" t="s">
        <v>864</v>
      </c>
      <c r="B89" t="s">
        <v>924</v>
      </c>
      <c r="C89" t="s">
        <v>1039</v>
      </c>
      <c r="D89" t="str">
        <f t="shared" si="8"/>
        <v>"TOUR",</v>
      </c>
    </row>
    <row r="90" spans="1:4" x14ac:dyDescent="0.25">
      <c r="A90" t="s">
        <v>1078</v>
      </c>
      <c r="B90" t="s">
        <v>1079</v>
      </c>
      <c r="C90" t="s">
        <v>991</v>
      </c>
      <c r="D90" t="str">
        <f t="shared" si="8"/>
        <v>"TOYS",</v>
      </c>
    </row>
    <row r="91" spans="1:4" x14ac:dyDescent="0.25">
      <c r="A91" t="s">
        <v>1040</v>
      </c>
      <c r="B91" t="s">
        <v>1041</v>
      </c>
      <c r="C91" t="s">
        <v>991</v>
      </c>
      <c r="D91" t="str">
        <f t="shared" si="8"/>
        <v>"TYRE",</v>
      </c>
    </row>
    <row r="92" spans="1:4" x14ac:dyDescent="0.25">
      <c r="A92" t="s">
        <v>1042</v>
      </c>
      <c r="B92" t="s">
        <v>1043</v>
      </c>
      <c r="C92" t="s">
        <v>1044</v>
      </c>
      <c r="D92" t="str">
        <f t="shared" si="8"/>
        <v>"URAN",</v>
      </c>
    </row>
    <row r="93" spans="1:4" x14ac:dyDescent="0.25">
      <c r="A93" t="s">
        <v>904</v>
      </c>
      <c r="B93" t="s">
        <v>963</v>
      </c>
      <c r="C93" t="s">
        <v>993</v>
      </c>
      <c r="D93" t="str">
        <f t="shared" si="8"/>
        <v>"VALU",</v>
      </c>
    </row>
    <row r="94" spans="1:4" x14ac:dyDescent="0.25">
      <c r="A94" t="s">
        <v>1060</v>
      </c>
      <c r="B94" t="s">
        <v>1084</v>
      </c>
      <c r="C94" t="s">
        <v>991</v>
      </c>
      <c r="D94" t="str">
        <f t="shared" si="8"/>
        <v>"VBOD",</v>
      </c>
    </row>
    <row r="95" spans="1:4" x14ac:dyDescent="0.25">
      <c r="A95" t="s">
        <v>881</v>
      </c>
      <c r="B95" t="s">
        <v>944</v>
      </c>
      <c r="C95" t="s">
        <v>1022</v>
      </c>
      <c r="D95" t="str">
        <f t="shared" si="8"/>
        <v>"VEHI",</v>
      </c>
    </row>
    <row r="96" spans="1:4" x14ac:dyDescent="0.25">
      <c r="A96" t="s">
        <v>1061</v>
      </c>
      <c r="B96" t="s">
        <v>1062</v>
      </c>
      <c r="C96" t="s">
        <v>991</v>
      </c>
      <c r="D96" t="str">
        <f t="shared" si="8"/>
        <v>"VENG",</v>
      </c>
    </row>
    <row r="97" spans="1:4" x14ac:dyDescent="0.25">
      <c r="A97" t="s">
        <v>1063</v>
      </c>
      <c r="B97" t="s">
        <v>1064</v>
      </c>
      <c r="C97" t="s">
        <v>1047</v>
      </c>
      <c r="D97" t="str">
        <f t="shared" si="8"/>
        <v>"VPTS",</v>
      </c>
    </row>
    <row r="98" spans="1:4" x14ac:dyDescent="0.25">
      <c r="A98" t="s">
        <v>887</v>
      </c>
      <c r="B98" t="s">
        <v>949</v>
      </c>
      <c r="C98" t="s">
        <v>989</v>
      </c>
      <c r="D98" t="str">
        <f t="shared" ref="D98:D112" si="9">CONCATENATE("""", A98, """,")</f>
        <v>"WATR",</v>
      </c>
    </row>
    <row r="99" spans="1:4" x14ac:dyDescent="0.25">
      <c r="A99" t="s">
        <v>880</v>
      </c>
      <c r="B99" t="s">
        <v>1098</v>
      </c>
      <c r="C99" t="s">
        <v>1021</v>
      </c>
      <c r="D99" t="str">
        <f t="shared" si="9"/>
        <v>"WDPR",</v>
      </c>
    </row>
    <row r="100" spans="1:4" x14ac:dyDescent="0.25">
      <c r="A100" t="s">
        <v>899</v>
      </c>
      <c r="B100" t="s">
        <v>960</v>
      </c>
      <c r="C100" t="s">
        <v>987</v>
      </c>
      <c r="D100" t="str">
        <f t="shared" si="9"/>
        <v>"WHEA",</v>
      </c>
    </row>
    <row r="101" spans="1:4" x14ac:dyDescent="0.25">
      <c r="A101" t="s">
        <v>444</v>
      </c>
      <c r="B101" t="s">
        <v>934</v>
      </c>
      <c r="C101" t="s">
        <v>991</v>
      </c>
      <c r="D101" t="str">
        <f t="shared" si="9"/>
        <v>"WOOD",</v>
      </c>
    </row>
    <row r="102" spans="1:4" x14ac:dyDescent="0.25">
      <c r="A102" t="s">
        <v>900</v>
      </c>
      <c r="B102" t="s">
        <v>952</v>
      </c>
      <c r="C102" t="s">
        <v>1003</v>
      </c>
      <c r="D102" t="str">
        <f t="shared" si="9"/>
        <v>"WOOL",</v>
      </c>
    </row>
    <row r="103" spans="1:4" x14ac:dyDescent="0.25">
      <c r="A103" t="s">
        <v>990</v>
      </c>
      <c r="B103" t="s">
        <v>1087</v>
      </c>
      <c r="C103" t="s">
        <v>1080</v>
      </c>
      <c r="D103" t="str">
        <f t="shared" si="9"/>
        <v>"YETI",</v>
      </c>
    </row>
    <row r="104" spans="1:4" x14ac:dyDescent="0.25">
      <c r="A104" t="s">
        <v>1081</v>
      </c>
      <c r="B104" t="s">
        <v>1088</v>
      </c>
      <c r="C104" t="s">
        <v>1080</v>
      </c>
      <c r="D104" t="str">
        <f t="shared" si="9"/>
        <v>"YETY",</v>
      </c>
    </row>
    <row r="105" spans="1:4" x14ac:dyDescent="0.25">
      <c r="A105" t="s">
        <v>918</v>
      </c>
      <c r="B105" t="s">
        <v>971</v>
      </c>
      <c r="C105" t="s">
        <v>991</v>
      </c>
      <c r="D105" t="str">
        <f t="shared" si="9"/>
        <v>"ZINC",</v>
      </c>
    </row>
    <row r="106" spans="1:4" x14ac:dyDescent="0.25">
      <c r="A106" t="s">
        <v>1126</v>
      </c>
      <c r="B106" t="s">
        <v>1125</v>
      </c>
      <c r="C106" t="s">
        <v>1033</v>
      </c>
      <c r="D106" t="str">
        <f t="shared" si="9"/>
        <v>"SOAP",</v>
      </c>
    </row>
    <row r="107" spans="1:4" x14ac:dyDescent="0.25">
      <c r="A107" t="s">
        <v>1127</v>
      </c>
      <c r="B107" t="s">
        <v>1128</v>
      </c>
      <c r="C107" t="s">
        <v>1015</v>
      </c>
      <c r="D107" t="str">
        <f t="shared" si="9"/>
        <v>"NH3_",</v>
      </c>
    </row>
    <row r="108" spans="1:4" x14ac:dyDescent="0.25">
      <c r="A108" t="s">
        <v>1131</v>
      </c>
      <c r="B108" t="s">
        <v>1132</v>
      </c>
      <c r="C108" t="s">
        <v>1015</v>
      </c>
      <c r="D108" t="str">
        <f t="shared" si="9"/>
        <v>"O2__",</v>
      </c>
    </row>
    <row r="109" spans="1:4" x14ac:dyDescent="0.25">
      <c r="A109" t="s">
        <v>1133</v>
      </c>
      <c r="B109" t="s">
        <v>1134</v>
      </c>
      <c r="C109" t="s">
        <v>1033</v>
      </c>
      <c r="D109" t="str">
        <f t="shared" si="9"/>
        <v>"COAT",</v>
      </c>
    </row>
    <row r="110" spans="1:4" x14ac:dyDescent="0.25">
      <c r="A110" t="s">
        <v>1135</v>
      </c>
      <c r="B110" t="s">
        <v>1124</v>
      </c>
      <c r="C110" t="s">
        <v>991</v>
      </c>
      <c r="D110" t="str">
        <f t="shared" si="9"/>
        <v>"RBAR",</v>
      </c>
    </row>
    <row r="111" spans="1:4" x14ac:dyDescent="0.25">
      <c r="A111" t="s">
        <v>1136</v>
      </c>
      <c r="B111" t="s">
        <v>1137</v>
      </c>
      <c r="C111" t="s">
        <v>991</v>
      </c>
      <c r="D111" t="str">
        <f t="shared" si="9"/>
        <v>"STSH",</v>
      </c>
    </row>
    <row r="112" spans="1:4" x14ac:dyDescent="0.25">
      <c r="A112" t="s">
        <v>1138</v>
      </c>
      <c r="B112" t="s">
        <v>1139</v>
      </c>
      <c r="C112" t="s">
        <v>991</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cp:lastModifiedBy>
  <dcterms:created xsi:type="dcterms:W3CDTF">2018-09-29T15:27:54Z</dcterms:created>
  <dcterms:modified xsi:type="dcterms:W3CDTF">2020-08-19T21:40:23Z</dcterms:modified>
</cp:coreProperties>
</file>