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F154F7C-A467-4AB0-A2DD-BDE0B05BE51C}" xr6:coauthVersionLast="45" xr6:coauthVersionMax="45" xr10:uidLastSave="{00000000-0000-0000-0000-000000000000}"/>
  <bookViews>
    <workbookView xWindow="6090" yWindow="3195" windowWidth="19530" windowHeight="11490" activeTab="3"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Table!$A$1:$BY$275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3" i="2" l="1"/>
  <c r="N14" i="2"/>
  <c r="N15" i="2"/>
  <c r="N16" i="2"/>
  <c r="N3" i="2"/>
  <c r="N4" i="2"/>
  <c r="N5" i="2"/>
  <c r="N6" i="2"/>
  <c r="N7" i="2"/>
  <c r="N8" i="2"/>
  <c r="N9" i="2"/>
  <c r="N10" i="2"/>
  <c r="N11" i="2"/>
  <c r="N12" i="2"/>
  <c r="N2" i="2"/>
  <c r="CA275" i="1"/>
  <c r="BX3" i="1"/>
  <c r="BX4" i="1"/>
  <c r="BX5" i="1"/>
  <c r="BX6" i="1"/>
  <c r="BX7" i="1"/>
  <c r="BX8" i="1"/>
  <c r="BX9" i="1"/>
  <c r="BX10" i="1"/>
  <c r="BX11" i="1"/>
  <c r="BX12" i="1"/>
  <c r="BX13" i="1"/>
  <c r="BX14" i="1"/>
  <c r="BX15" i="1"/>
  <c r="BX16" i="1"/>
  <c r="BX17" i="1"/>
  <c r="BX18" i="1"/>
  <c r="BX19" i="1"/>
  <c r="BX20" i="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 i="1"/>
  <c r="BV3" i="1"/>
  <c r="BV4" i="1"/>
  <c r="BV5" i="1"/>
  <c r="BV6" i="1"/>
  <c r="BV7" i="1"/>
  <c r="BV8" i="1"/>
  <c r="BV9" i="1"/>
  <c r="BV10" i="1"/>
  <c r="BW10" i="1" s="1"/>
  <c r="BV11" i="1"/>
  <c r="BV12" i="1"/>
  <c r="BV13" i="1"/>
  <c r="BV14" i="1"/>
  <c r="BV15" i="1"/>
  <c r="BV16" i="1"/>
  <c r="BV17" i="1"/>
  <c r="BV18" i="1"/>
  <c r="BW18" i="1" s="1"/>
  <c r="BV19" i="1"/>
  <c r="BW19" i="1" s="1"/>
  <c r="BV20" i="1"/>
  <c r="BW20" i="1" s="1"/>
  <c r="BV21" i="1"/>
  <c r="BW21" i="1" s="1"/>
  <c r="BV22" i="1"/>
  <c r="BW22" i="1" s="1"/>
  <c r="BV23" i="1"/>
  <c r="BW23" i="1" s="1"/>
  <c r="BV24" i="1"/>
  <c r="BW24" i="1" s="1"/>
  <c r="BV25" i="1"/>
  <c r="BW25" i="1" s="1"/>
  <c r="BV26" i="1"/>
  <c r="BW26" i="1" s="1"/>
  <c r="BV27" i="1"/>
  <c r="BV28" i="1"/>
  <c r="BV29" i="1"/>
  <c r="BV30" i="1"/>
  <c r="BV31" i="1"/>
  <c r="BV32" i="1"/>
  <c r="BW32" i="1" s="1"/>
  <c r="BV33" i="1"/>
  <c r="BV34" i="1"/>
  <c r="BV35" i="1"/>
  <c r="BV36" i="1"/>
  <c r="BV37" i="1"/>
  <c r="BV38" i="1"/>
  <c r="BV39" i="1"/>
  <c r="BV40" i="1"/>
  <c r="BW40" i="1" s="1"/>
  <c r="BV41" i="1"/>
  <c r="BV42" i="1"/>
  <c r="BV43" i="1"/>
  <c r="BV44" i="1"/>
  <c r="BV45" i="1"/>
  <c r="BV46" i="1"/>
  <c r="BV47" i="1"/>
  <c r="BV48" i="1"/>
  <c r="BW48" i="1" s="1"/>
  <c r="BV49" i="1"/>
  <c r="BV50" i="1"/>
  <c r="BV51" i="1"/>
  <c r="BV52" i="1"/>
  <c r="BV53" i="1"/>
  <c r="BV54" i="1"/>
  <c r="BV55" i="1"/>
  <c r="BV56" i="1"/>
  <c r="BW56" i="1" s="1"/>
  <c r="BV57" i="1"/>
  <c r="BV58" i="1"/>
  <c r="BV59" i="1"/>
  <c r="BV60" i="1"/>
  <c r="BV61" i="1"/>
  <c r="BV62" i="1"/>
  <c r="BV63" i="1"/>
  <c r="BV64" i="1"/>
  <c r="BW64" i="1" s="1"/>
  <c r="BV65" i="1"/>
  <c r="BV66" i="1"/>
  <c r="BV67" i="1"/>
  <c r="BW67" i="1" s="1"/>
  <c r="BV68" i="1"/>
  <c r="BW68" i="1" s="1"/>
  <c r="BV69" i="1"/>
  <c r="BW69" i="1" s="1"/>
  <c r="BV70" i="1"/>
  <c r="BW70" i="1" s="1"/>
  <c r="BV71" i="1"/>
  <c r="BV72" i="1"/>
  <c r="BV73" i="1"/>
  <c r="BW73" i="1" s="1"/>
  <c r="BV74" i="1"/>
  <c r="BW74" i="1" s="1"/>
  <c r="BV75" i="1"/>
  <c r="BW75" i="1" s="1"/>
  <c r="BV76" i="1"/>
  <c r="BW76" i="1" s="1"/>
  <c r="BV77" i="1"/>
  <c r="BW77" i="1" s="1"/>
  <c r="BV78" i="1"/>
  <c r="BW78" i="1" s="1"/>
  <c r="BV79" i="1"/>
  <c r="BW79" i="1" s="1"/>
  <c r="BV80" i="1"/>
  <c r="BW80" i="1" s="1"/>
  <c r="BV81" i="1"/>
  <c r="BW81" i="1" s="1"/>
  <c r="BV82" i="1"/>
  <c r="BW82" i="1" s="1"/>
  <c r="BV83" i="1"/>
  <c r="BW83" i="1" s="1"/>
  <c r="BV84" i="1"/>
  <c r="BW84" i="1" s="1"/>
  <c r="BV85" i="1"/>
  <c r="BW85" i="1" s="1"/>
  <c r="BV86" i="1"/>
  <c r="BW86" i="1" s="1"/>
  <c r="BV87" i="1"/>
  <c r="BW87" i="1" s="1"/>
  <c r="BV88" i="1"/>
  <c r="BW88" i="1" s="1"/>
  <c r="BV89" i="1"/>
  <c r="BW89" i="1" s="1"/>
  <c r="BV90" i="1"/>
  <c r="BW90" i="1" s="1"/>
  <c r="BV91" i="1"/>
  <c r="BW91" i="1" s="1"/>
  <c r="BV92" i="1"/>
  <c r="BW92" i="1" s="1"/>
  <c r="BV93" i="1"/>
  <c r="BW93" i="1" s="1"/>
  <c r="BV94" i="1"/>
  <c r="BW94" i="1" s="1"/>
  <c r="BV95" i="1"/>
  <c r="BW95" i="1" s="1"/>
  <c r="BV96" i="1"/>
  <c r="BW96" i="1" s="1"/>
  <c r="BV97" i="1"/>
  <c r="BW97" i="1" s="1"/>
  <c r="BV98" i="1"/>
  <c r="BW98" i="1" s="1"/>
  <c r="BV99" i="1"/>
  <c r="BW99" i="1" s="1"/>
  <c r="BV100" i="1"/>
  <c r="BW100" i="1" s="1"/>
  <c r="BV101" i="1"/>
  <c r="BW101" i="1" s="1"/>
  <c r="BV102" i="1"/>
  <c r="BW102" i="1" s="1"/>
  <c r="BV103" i="1"/>
  <c r="BW103" i="1" s="1"/>
  <c r="BV104" i="1"/>
  <c r="BW104" i="1" s="1"/>
  <c r="BV105" i="1"/>
  <c r="BW105" i="1" s="1"/>
  <c r="BV106" i="1"/>
  <c r="BW106" i="1" s="1"/>
  <c r="BV107" i="1"/>
  <c r="BW107" i="1" s="1"/>
  <c r="BV108" i="1"/>
  <c r="BW108" i="1" s="1"/>
  <c r="BV109" i="1"/>
  <c r="BW109" i="1" s="1"/>
  <c r="BV110" i="1"/>
  <c r="BW110" i="1" s="1"/>
  <c r="BV111" i="1"/>
  <c r="BW111" i="1" s="1"/>
  <c r="BV112" i="1"/>
  <c r="BW112" i="1" s="1"/>
  <c r="BV113" i="1"/>
  <c r="BW113" i="1" s="1"/>
  <c r="BV114" i="1"/>
  <c r="BW114" i="1" s="1"/>
  <c r="BV115" i="1"/>
  <c r="BW115" i="1" s="1"/>
  <c r="BV116" i="1"/>
  <c r="BW116" i="1" s="1"/>
  <c r="BV117" i="1"/>
  <c r="BW117" i="1" s="1"/>
  <c r="BV118" i="1"/>
  <c r="BW118" i="1" s="1"/>
  <c r="BV119" i="1"/>
  <c r="BW119" i="1" s="1"/>
  <c r="BV120" i="1"/>
  <c r="BW120" i="1" s="1"/>
  <c r="BV121" i="1"/>
  <c r="BW121" i="1" s="1"/>
  <c r="BV122" i="1"/>
  <c r="BW122" i="1" s="1"/>
  <c r="BV123" i="1"/>
  <c r="BW123" i="1" s="1"/>
  <c r="BV124" i="1"/>
  <c r="BW124" i="1" s="1"/>
  <c r="BV125" i="1"/>
  <c r="BW125" i="1" s="1"/>
  <c r="BV126" i="1"/>
  <c r="BW126" i="1" s="1"/>
  <c r="BV127" i="1"/>
  <c r="BW127" i="1" s="1"/>
  <c r="BV128" i="1"/>
  <c r="BW128" i="1" s="1"/>
  <c r="BV129" i="1"/>
  <c r="BW129" i="1" s="1"/>
  <c r="BV130" i="1"/>
  <c r="BW130" i="1" s="1"/>
  <c r="BV131" i="1"/>
  <c r="BW131" i="1" s="1"/>
  <c r="BV132" i="1"/>
  <c r="BW132" i="1" s="1"/>
  <c r="BV133" i="1"/>
  <c r="BW133" i="1" s="1"/>
  <c r="BV134" i="1"/>
  <c r="BW134" i="1" s="1"/>
  <c r="BV135" i="1"/>
  <c r="BW135" i="1" s="1"/>
  <c r="BV136" i="1"/>
  <c r="BW136" i="1" s="1"/>
  <c r="BV137" i="1"/>
  <c r="BW137" i="1" s="1"/>
  <c r="BV138" i="1"/>
  <c r="BW138" i="1" s="1"/>
  <c r="BV139" i="1"/>
  <c r="BW139" i="1" s="1"/>
  <c r="BV140" i="1"/>
  <c r="BW140" i="1" s="1"/>
  <c r="BV141" i="1"/>
  <c r="BW141" i="1" s="1"/>
  <c r="BV142" i="1"/>
  <c r="BW142" i="1" s="1"/>
  <c r="BV143" i="1"/>
  <c r="BW143" i="1" s="1"/>
  <c r="BV144" i="1"/>
  <c r="BW144" i="1" s="1"/>
  <c r="BV145" i="1"/>
  <c r="BW145" i="1" s="1"/>
  <c r="BV146" i="1"/>
  <c r="BW146" i="1" s="1"/>
  <c r="BV147" i="1"/>
  <c r="BW147" i="1" s="1"/>
  <c r="BV148" i="1"/>
  <c r="BW148" i="1" s="1"/>
  <c r="BV149" i="1"/>
  <c r="BW149" i="1" s="1"/>
  <c r="BV150" i="1"/>
  <c r="BW150" i="1" s="1"/>
  <c r="BV151" i="1"/>
  <c r="BW151" i="1" s="1"/>
  <c r="BV152" i="1"/>
  <c r="BW152" i="1" s="1"/>
  <c r="BV153" i="1"/>
  <c r="BW153" i="1" s="1"/>
  <c r="BV154" i="1"/>
  <c r="BW154" i="1" s="1"/>
  <c r="BV155" i="1"/>
  <c r="BW155" i="1" s="1"/>
  <c r="BV156" i="1"/>
  <c r="BW156" i="1" s="1"/>
  <c r="BV157" i="1"/>
  <c r="BW157" i="1" s="1"/>
  <c r="BV158" i="1"/>
  <c r="BW158" i="1" s="1"/>
  <c r="BV159" i="1"/>
  <c r="BW159" i="1" s="1"/>
  <c r="BV160" i="1"/>
  <c r="BW160" i="1" s="1"/>
  <c r="BV161" i="1"/>
  <c r="BW161" i="1" s="1"/>
  <c r="BV162" i="1"/>
  <c r="BW162" i="1" s="1"/>
  <c r="BV163" i="1"/>
  <c r="BW163" i="1" s="1"/>
  <c r="BV164" i="1"/>
  <c r="BW164" i="1" s="1"/>
  <c r="BV165" i="1"/>
  <c r="BW165" i="1" s="1"/>
  <c r="BV166" i="1"/>
  <c r="BW166" i="1" s="1"/>
  <c r="BV167" i="1"/>
  <c r="BW167" i="1" s="1"/>
  <c r="BV168" i="1"/>
  <c r="BW168" i="1" s="1"/>
  <c r="BV169" i="1"/>
  <c r="BW169" i="1" s="1"/>
  <c r="BV170" i="1"/>
  <c r="BW170" i="1" s="1"/>
  <c r="BV171" i="1"/>
  <c r="BW171" i="1" s="1"/>
  <c r="BV172" i="1"/>
  <c r="BW172" i="1" s="1"/>
  <c r="BV173" i="1"/>
  <c r="BW173" i="1" s="1"/>
  <c r="BV174" i="1"/>
  <c r="BW174" i="1" s="1"/>
  <c r="BV175" i="1"/>
  <c r="BW175" i="1" s="1"/>
  <c r="BV176" i="1"/>
  <c r="BW176" i="1" s="1"/>
  <c r="BV177" i="1"/>
  <c r="BW177" i="1" s="1"/>
  <c r="BV178" i="1"/>
  <c r="BW178" i="1" s="1"/>
  <c r="BV179" i="1"/>
  <c r="BW179" i="1" s="1"/>
  <c r="BV180" i="1"/>
  <c r="BW180" i="1" s="1"/>
  <c r="BV181" i="1"/>
  <c r="BW181" i="1" s="1"/>
  <c r="BV182" i="1"/>
  <c r="BW182" i="1" s="1"/>
  <c r="BV183" i="1"/>
  <c r="BW183" i="1" s="1"/>
  <c r="BV184" i="1"/>
  <c r="BW184" i="1" s="1"/>
  <c r="BV185" i="1"/>
  <c r="BW185" i="1" s="1"/>
  <c r="BV186" i="1"/>
  <c r="BW186" i="1" s="1"/>
  <c r="BV187" i="1"/>
  <c r="BW187" i="1" s="1"/>
  <c r="BV188" i="1"/>
  <c r="BW188" i="1" s="1"/>
  <c r="BV189" i="1"/>
  <c r="BW189" i="1" s="1"/>
  <c r="BV190" i="1"/>
  <c r="BW190" i="1" s="1"/>
  <c r="BV191" i="1"/>
  <c r="BW191" i="1" s="1"/>
  <c r="BV192" i="1"/>
  <c r="BW192" i="1" s="1"/>
  <c r="BV193" i="1"/>
  <c r="BW193" i="1" s="1"/>
  <c r="BV194" i="1"/>
  <c r="BW194" i="1" s="1"/>
  <c r="BV195" i="1"/>
  <c r="BW195" i="1" s="1"/>
  <c r="BV196" i="1"/>
  <c r="BW196" i="1" s="1"/>
  <c r="BV197" i="1"/>
  <c r="BW197" i="1" s="1"/>
  <c r="BV198" i="1"/>
  <c r="BW198" i="1" s="1"/>
  <c r="BV199" i="1"/>
  <c r="BW199" i="1" s="1"/>
  <c r="BV200" i="1"/>
  <c r="BW200" i="1" s="1"/>
  <c r="BV201" i="1"/>
  <c r="BW201" i="1" s="1"/>
  <c r="BV202" i="1"/>
  <c r="BW202" i="1" s="1"/>
  <c r="BV203" i="1"/>
  <c r="BW203" i="1" s="1"/>
  <c r="BV204" i="1"/>
  <c r="BW204" i="1" s="1"/>
  <c r="BV205" i="1"/>
  <c r="BW205" i="1" s="1"/>
  <c r="BV206" i="1"/>
  <c r="BW206" i="1" s="1"/>
  <c r="BV207" i="1"/>
  <c r="BW207" i="1" s="1"/>
  <c r="BV208" i="1"/>
  <c r="BW208" i="1" s="1"/>
  <c r="BV209" i="1"/>
  <c r="BW209" i="1" s="1"/>
  <c r="BV210" i="1"/>
  <c r="BW210" i="1" s="1"/>
  <c r="BV211" i="1"/>
  <c r="BW211" i="1" s="1"/>
  <c r="BV212" i="1"/>
  <c r="BW212" i="1" s="1"/>
  <c r="BV213" i="1"/>
  <c r="BW213" i="1" s="1"/>
  <c r="BV214" i="1"/>
  <c r="BW214" i="1" s="1"/>
  <c r="BV215" i="1"/>
  <c r="BW215" i="1" s="1"/>
  <c r="BV216" i="1"/>
  <c r="BW216" i="1" s="1"/>
  <c r="BV217" i="1"/>
  <c r="BW217" i="1" s="1"/>
  <c r="BV218" i="1"/>
  <c r="BW218" i="1" s="1"/>
  <c r="BV219" i="1"/>
  <c r="BW219" i="1" s="1"/>
  <c r="BV220" i="1"/>
  <c r="BW220" i="1" s="1"/>
  <c r="BV221" i="1"/>
  <c r="BW221" i="1" s="1"/>
  <c r="BV222" i="1"/>
  <c r="BW222" i="1" s="1"/>
  <c r="BV223" i="1"/>
  <c r="BW223" i="1" s="1"/>
  <c r="BV224" i="1"/>
  <c r="BW224" i="1" s="1"/>
  <c r="BV225" i="1"/>
  <c r="BW225" i="1" s="1"/>
  <c r="BV226" i="1"/>
  <c r="BW226" i="1" s="1"/>
  <c r="BV227" i="1"/>
  <c r="BW227" i="1" s="1"/>
  <c r="BV228" i="1"/>
  <c r="BW228" i="1" s="1"/>
  <c r="BV229" i="1"/>
  <c r="BW229" i="1" s="1"/>
  <c r="BV230" i="1"/>
  <c r="BW230" i="1" s="1"/>
  <c r="BV231" i="1"/>
  <c r="BW231" i="1" s="1"/>
  <c r="BV232" i="1"/>
  <c r="BW232" i="1" s="1"/>
  <c r="BV233" i="1"/>
  <c r="BW233" i="1" s="1"/>
  <c r="BV234" i="1"/>
  <c r="BW234" i="1" s="1"/>
  <c r="BV235" i="1"/>
  <c r="BW235" i="1" s="1"/>
  <c r="BV236" i="1"/>
  <c r="BW236" i="1" s="1"/>
  <c r="BV237" i="1"/>
  <c r="BW237" i="1" s="1"/>
  <c r="BV238" i="1"/>
  <c r="BW238" i="1" s="1"/>
  <c r="BV239" i="1"/>
  <c r="BW239" i="1" s="1"/>
  <c r="BV240" i="1"/>
  <c r="BW240" i="1" s="1"/>
  <c r="BV241" i="1"/>
  <c r="BW241" i="1" s="1"/>
  <c r="BV242" i="1"/>
  <c r="BW242" i="1" s="1"/>
  <c r="BV243" i="1"/>
  <c r="BW243" i="1" s="1"/>
  <c r="BV244" i="1"/>
  <c r="BW244" i="1" s="1"/>
  <c r="BV245" i="1"/>
  <c r="BW245" i="1" s="1"/>
  <c r="BV246" i="1"/>
  <c r="BW246" i="1" s="1"/>
  <c r="BV247" i="1"/>
  <c r="BW247" i="1" s="1"/>
  <c r="BV248" i="1"/>
  <c r="BV249" i="1"/>
  <c r="BV250" i="1"/>
  <c r="BV251" i="1"/>
  <c r="BV252" i="1"/>
  <c r="BW252" i="1" s="1"/>
  <c r="BV253" i="1"/>
  <c r="BW253" i="1" s="1"/>
  <c r="BV254" i="1"/>
  <c r="BW254" i="1" s="1"/>
  <c r="BV255" i="1"/>
  <c r="BW255" i="1" s="1"/>
  <c r="BV256" i="1"/>
  <c r="BW256" i="1" s="1"/>
  <c r="BV257" i="1"/>
  <c r="BW257" i="1" s="1"/>
  <c r="BV258" i="1"/>
  <c r="BW258" i="1" s="1"/>
  <c r="BV259" i="1"/>
  <c r="BW259" i="1" s="1"/>
  <c r="BV260" i="1"/>
  <c r="BV261" i="1"/>
  <c r="BV262" i="1"/>
  <c r="BV263" i="1"/>
  <c r="BV264" i="1"/>
  <c r="BV265" i="1"/>
  <c r="BV266" i="1"/>
  <c r="BW266" i="1" s="1"/>
  <c r="BV267" i="1"/>
  <c r="BV268" i="1"/>
  <c r="BW268" i="1" s="1"/>
  <c r="BV269" i="1"/>
  <c r="BV270" i="1"/>
  <c r="BV271" i="1"/>
  <c r="BV272" i="1"/>
  <c r="BV273" i="1"/>
  <c r="BW273" i="1" s="1"/>
  <c r="BV274" i="1"/>
  <c r="BW274" i="1" s="1"/>
  <c r="CA274" i="1" s="1"/>
  <c r="BV2" i="1"/>
  <c r="CA273" i="1" l="1"/>
  <c r="BW72" i="1"/>
  <c r="BW249" i="1"/>
  <c r="BW263" i="1"/>
  <c r="BW262" i="1"/>
  <c r="BW272" i="1"/>
  <c r="BW260" i="1"/>
  <c r="BW271" i="1"/>
  <c r="BW250" i="1"/>
  <c r="BW270" i="1"/>
  <c r="BW248" i="1"/>
  <c r="BW264" i="1"/>
  <c r="BW17" i="1"/>
  <c r="BW9" i="1"/>
  <c r="BW269" i="1"/>
  <c r="BW261" i="1"/>
  <c r="BW16" i="1"/>
  <c r="BW8" i="1"/>
  <c r="BW15" i="1"/>
  <c r="BW7" i="1"/>
  <c r="BW2" i="1"/>
  <c r="BW267" i="1"/>
  <c r="BW251" i="1"/>
  <c r="BW14" i="1"/>
  <c r="BW6" i="1"/>
  <c r="BW13" i="1"/>
  <c r="BW5" i="1"/>
  <c r="BW265" i="1"/>
  <c r="BW12" i="1"/>
  <c r="BW4" i="1"/>
  <c r="BW11" i="1"/>
  <c r="BW3" i="1"/>
  <c r="BW65" i="1"/>
  <c r="BW57" i="1"/>
  <c r="BW49" i="1"/>
  <c r="BW41" i="1"/>
  <c r="BW33" i="1"/>
  <c r="BW71" i="1"/>
  <c r="BW63" i="1"/>
  <c r="BW55" i="1"/>
  <c r="BW47" i="1"/>
  <c r="BW39" i="1"/>
  <c r="BW31" i="1"/>
  <c r="BW62" i="1"/>
  <c r="BW54" i="1"/>
  <c r="BW46" i="1"/>
  <c r="BW38" i="1"/>
  <c r="BW30" i="1"/>
  <c r="BW61" i="1"/>
  <c r="BW53" i="1"/>
  <c r="BW45" i="1"/>
  <c r="BW37" i="1"/>
  <c r="BW29" i="1"/>
  <c r="BW60" i="1"/>
  <c r="BW52" i="1"/>
  <c r="BW44" i="1"/>
  <c r="BW36" i="1"/>
  <c r="BW28" i="1"/>
  <c r="BW59" i="1"/>
  <c r="BW51" i="1"/>
  <c r="BW43" i="1"/>
  <c r="BW35" i="1"/>
  <c r="BW27" i="1"/>
  <c r="BW66" i="1"/>
  <c r="BW58" i="1"/>
  <c r="BW50" i="1"/>
  <c r="BW42" i="1"/>
  <c r="BW34" i="1"/>
  <c r="BZ4" i="1"/>
  <c r="BU4" i="1"/>
  <c r="BR4" i="1"/>
  <c r="BT4" i="1" s="1"/>
  <c r="BA4" i="1"/>
  <c r="AZ4" i="1"/>
  <c r="AY4" i="1"/>
  <c r="AW4" i="1"/>
  <c r="AV4" i="1"/>
  <c r="AU4" i="1"/>
  <c r="AR4" i="1"/>
  <c r="AG4" i="1"/>
  <c r="AI4" i="1" s="1"/>
  <c r="X4" i="1"/>
  <c r="CA4" i="1" l="1"/>
  <c r="BC4" i="1"/>
  <c r="BE4" i="1" s="1"/>
  <c r="BB4" i="1"/>
  <c r="BD4" i="1" s="1"/>
  <c r="BZ98" i="1"/>
  <c r="BU98" i="1"/>
  <c r="CA98" i="1" s="1"/>
  <c r="BR98" i="1"/>
  <c r="BT98" i="1" s="1"/>
  <c r="BA98" i="1"/>
  <c r="AZ98" i="1"/>
  <c r="AY98" i="1"/>
  <c r="AW98" i="1"/>
  <c r="AV98" i="1"/>
  <c r="AU98" i="1"/>
  <c r="AR98" i="1"/>
  <c r="AG98" i="1"/>
  <c r="X98" i="1"/>
  <c r="Q98" i="1"/>
  <c r="S98" i="1" s="1"/>
  <c r="BC98" i="1" l="1"/>
  <c r="BE98" i="1" s="1"/>
  <c r="BB98" i="1"/>
  <c r="BD98" i="1" s="1"/>
  <c r="AY275" i="1"/>
  <c r="AY274" i="1"/>
  <c r="AY273" i="1"/>
  <c r="BU3" i="1" l="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Z21" i="1" l="1"/>
  <c r="CA21" i="1" s="1"/>
  <c r="BZ22" i="1"/>
  <c r="CA22" i="1" s="1"/>
  <c r="BZ23" i="1"/>
  <c r="CA23" i="1" s="1"/>
  <c r="BZ24" i="1"/>
  <c r="CA24" i="1" s="1"/>
  <c r="BZ25" i="1"/>
  <c r="CA25" i="1" s="1"/>
  <c r="BZ26" i="1"/>
  <c r="CA26" i="1" s="1"/>
  <c r="BZ27" i="1"/>
  <c r="CA27" i="1" s="1"/>
  <c r="BZ28" i="1"/>
  <c r="CA28" i="1" s="1"/>
  <c r="BZ29" i="1"/>
  <c r="CA29" i="1" s="1"/>
  <c r="BZ30" i="1"/>
  <c r="CA30" i="1" s="1"/>
  <c r="BZ31" i="1"/>
  <c r="CA31" i="1" s="1"/>
  <c r="BZ32" i="1"/>
  <c r="CA32" i="1" s="1"/>
  <c r="BZ33" i="1"/>
  <c r="CA33" i="1" s="1"/>
  <c r="BZ34" i="1"/>
  <c r="CA34" i="1" s="1"/>
  <c r="BZ35" i="1"/>
  <c r="CA35" i="1" s="1"/>
  <c r="BZ36" i="1"/>
  <c r="CA36" i="1" s="1"/>
  <c r="BZ37" i="1"/>
  <c r="CA37" i="1" s="1"/>
  <c r="BZ38" i="1"/>
  <c r="CA38" i="1" s="1"/>
  <c r="BZ39" i="1"/>
  <c r="CA39" i="1" s="1"/>
  <c r="BZ40" i="1"/>
  <c r="CA40" i="1" s="1"/>
  <c r="BZ41" i="1"/>
  <c r="CA41" i="1" s="1"/>
  <c r="BZ42" i="1"/>
  <c r="CA42" i="1" s="1"/>
  <c r="BZ43" i="1"/>
  <c r="CA43" i="1" s="1"/>
  <c r="BZ44" i="1"/>
  <c r="CA44" i="1" s="1"/>
  <c r="BZ45" i="1"/>
  <c r="CA45" i="1" s="1"/>
  <c r="BZ46" i="1"/>
  <c r="CA46" i="1" s="1"/>
  <c r="BZ47" i="1"/>
  <c r="CA47" i="1" s="1"/>
  <c r="BZ48" i="1"/>
  <c r="CA48" i="1" s="1"/>
  <c r="BZ49" i="1"/>
  <c r="CA49" i="1" s="1"/>
  <c r="BZ50" i="1"/>
  <c r="CA50" i="1" s="1"/>
  <c r="BZ51" i="1"/>
  <c r="CA51" i="1" s="1"/>
  <c r="BZ52" i="1"/>
  <c r="CA52" i="1" s="1"/>
  <c r="BZ53" i="1"/>
  <c r="CA53" i="1" s="1"/>
  <c r="BZ54" i="1"/>
  <c r="CA54" i="1" s="1"/>
  <c r="BZ55" i="1"/>
  <c r="CA55" i="1" s="1"/>
  <c r="BZ56" i="1"/>
  <c r="CA56" i="1" s="1"/>
  <c r="BZ57" i="1"/>
  <c r="CA57" i="1" s="1"/>
  <c r="BZ58" i="1"/>
  <c r="CA58" i="1" s="1"/>
  <c r="BZ59" i="1"/>
  <c r="CA59" i="1" s="1"/>
  <c r="BZ60" i="1"/>
  <c r="CA60" i="1" s="1"/>
  <c r="BZ61" i="1"/>
  <c r="CA61" i="1" s="1"/>
  <c r="BZ62" i="1"/>
  <c r="CA62" i="1" s="1"/>
  <c r="BZ63" i="1"/>
  <c r="CA63" i="1" s="1"/>
  <c r="BZ64" i="1"/>
  <c r="CA64" i="1" s="1"/>
  <c r="BZ65" i="1"/>
  <c r="CA65" i="1" s="1"/>
  <c r="BZ66" i="1"/>
  <c r="CA66" i="1" s="1"/>
  <c r="BZ67" i="1"/>
  <c r="CA67" i="1" s="1"/>
  <c r="BZ68" i="1"/>
  <c r="CA68" i="1" s="1"/>
  <c r="BZ69" i="1"/>
  <c r="CA69" i="1" s="1"/>
  <c r="BZ70" i="1"/>
  <c r="CA70" i="1" s="1"/>
  <c r="BZ71" i="1"/>
  <c r="CA71" i="1" s="1"/>
  <c r="BZ72" i="1"/>
  <c r="CA72" i="1" s="1"/>
  <c r="BZ73" i="1"/>
  <c r="CA73" i="1" s="1"/>
  <c r="BZ74" i="1"/>
  <c r="CA74" i="1" s="1"/>
  <c r="BZ75" i="1"/>
  <c r="CA75" i="1" s="1"/>
  <c r="BZ76" i="1"/>
  <c r="CA76" i="1" s="1"/>
  <c r="BZ77" i="1"/>
  <c r="CA77" i="1" s="1"/>
  <c r="BZ78" i="1"/>
  <c r="CA78" i="1" s="1"/>
  <c r="BZ79" i="1"/>
  <c r="CA79" i="1" s="1"/>
  <c r="BZ80" i="1"/>
  <c r="CA80" i="1" s="1"/>
  <c r="BZ81" i="1"/>
  <c r="CA81" i="1" s="1"/>
  <c r="BZ82" i="1"/>
  <c r="CA82" i="1" s="1"/>
  <c r="BZ83" i="1"/>
  <c r="CA83" i="1" s="1"/>
  <c r="BZ84" i="1"/>
  <c r="CA84" i="1" s="1"/>
  <c r="BZ85" i="1"/>
  <c r="CA85" i="1" s="1"/>
  <c r="BZ86" i="1"/>
  <c r="CA86" i="1" s="1"/>
  <c r="BZ87" i="1"/>
  <c r="CA87" i="1" s="1"/>
  <c r="BZ88" i="1"/>
  <c r="CA88" i="1" s="1"/>
  <c r="BZ89" i="1"/>
  <c r="CA89" i="1" s="1"/>
  <c r="BZ90" i="1"/>
  <c r="CA90" i="1" s="1"/>
  <c r="BZ91" i="1"/>
  <c r="CA91" i="1" s="1"/>
  <c r="BZ92" i="1"/>
  <c r="CA92" i="1" s="1"/>
  <c r="BZ93" i="1"/>
  <c r="CA93" i="1" s="1"/>
  <c r="BZ94" i="1"/>
  <c r="CA94" i="1" s="1"/>
  <c r="BZ95" i="1"/>
  <c r="CA95" i="1" s="1"/>
  <c r="BZ96" i="1"/>
  <c r="CA96" i="1" s="1"/>
  <c r="BZ97" i="1"/>
  <c r="CA97" i="1" s="1"/>
  <c r="BZ99" i="1"/>
  <c r="CA99" i="1" s="1"/>
  <c r="BZ100" i="1"/>
  <c r="CA100" i="1" s="1"/>
  <c r="BZ101" i="1"/>
  <c r="CA101" i="1" s="1"/>
  <c r="BZ102" i="1"/>
  <c r="CA102" i="1" s="1"/>
  <c r="BZ103" i="1"/>
  <c r="CA103" i="1" s="1"/>
  <c r="BZ104" i="1"/>
  <c r="CA104" i="1" s="1"/>
  <c r="BZ105" i="1"/>
  <c r="CA105" i="1" s="1"/>
  <c r="BZ106" i="1"/>
  <c r="CA106" i="1" s="1"/>
  <c r="BZ107" i="1"/>
  <c r="CA107" i="1" s="1"/>
  <c r="BZ108" i="1"/>
  <c r="CA108" i="1" s="1"/>
  <c r="BZ109" i="1"/>
  <c r="CA109" i="1" s="1"/>
  <c r="BZ110" i="1"/>
  <c r="CA110" i="1" s="1"/>
  <c r="BZ111" i="1"/>
  <c r="CA111" i="1" s="1"/>
  <c r="BZ112" i="1"/>
  <c r="CA112" i="1" s="1"/>
  <c r="BZ113" i="1"/>
  <c r="CA113" i="1" s="1"/>
  <c r="BZ114" i="1"/>
  <c r="CA114" i="1" s="1"/>
  <c r="BZ115" i="1"/>
  <c r="CA115" i="1" s="1"/>
  <c r="BZ116" i="1"/>
  <c r="CA116" i="1" s="1"/>
  <c r="BZ117" i="1"/>
  <c r="CA117" i="1" s="1"/>
  <c r="BZ118" i="1"/>
  <c r="CA118" i="1" s="1"/>
  <c r="BZ119" i="1"/>
  <c r="CA119" i="1" s="1"/>
  <c r="BZ120" i="1"/>
  <c r="CA120" i="1" s="1"/>
  <c r="BZ121" i="1"/>
  <c r="CA121" i="1" s="1"/>
  <c r="BZ122" i="1"/>
  <c r="CA122" i="1" s="1"/>
  <c r="BZ123" i="1"/>
  <c r="CA123" i="1" s="1"/>
  <c r="BZ124" i="1"/>
  <c r="CA124" i="1" s="1"/>
  <c r="BZ125" i="1"/>
  <c r="CA125" i="1" s="1"/>
  <c r="BZ126" i="1"/>
  <c r="CA126" i="1" s="1"/>
  <c r="BZ127" i="1"/>
  <c r="CA127" i="1" s="1"/>
  <c r="BZ128" i="1"/>
  <c r="CA128" i="1" s="1"/>
  <c r="BZ129" i="1"/>
  <c r="CA129" i="1" s="1"/>
  <c r="BZ130" i="1"/>
  <c r="CA130" i="1" s="1"/>
  <c r="BZ131" i="1"/>
  <c r="CA131" i="1" s="1"/>
  <c r="BZ132" i="1"/>
  <c r="CA132" i="1" s="1"/>
  <c r="BZ133" i="1"/>
  <c r="CA133" i="1" s="1"/>
  <c r="BZ134" i="1"/>
  <c r="CA134" i="1" s="1"/>
  <c r="BZ135" i="1"/>
  <c r="CA135" i="1" s="1"/>
  <c r="BZ136" i="1"/>
  <c r="CA136" i="1" s="1"/>
  <c r="BZ137" i="1"/>
  <c r="CA137" i="1" s="1"/>
  <c r="BZ138" i="1"/>
  <c r="CA138" i="1" s="1"/>
  <c r="BZ139" i="1"/>
  <c r="CA139" i="1" s="1"/>
  <c r="BZ140" i="1"/>
  <c r="CA140" i="1" s="1"/>
  <c r="BZ141" i="1"/>
  <c r="CA141" i="1" s="1"/>
  <c r="BZ142" i="1"/>
  <c r="CA142" i="1" s="1"/>
  <c r="BZ143" i="1"/>
  <c r="CA143" i="1" s="1"/>
  <c r="BZ144" i="1"/>
  <c r="CA144" i="1" s="1"/>
  <c r="BZ145" i="1"/>
  <c r="CA145" i="1" s="1"/>
  <c r="BZ146" i="1"/>
  <c r="CA146" i="1" s="1"/>
  <c r="BZ147" i="1"/>
  <c r="CA147" i="1" s="1"/>
  <c r="BZ148" i="1"/>
  <c r="CA148" i="1" s="1"/>
  <c r="BZ149" i="1"/>
  <c r="CA149" i="1" s="1"/>
  <c r="BZ150" i="1"/>
  <c r="CA150" i="1" s="1"/>
  <c r="BZ151" i="1"/>
  <c r="CA151" i="1" s="1"/>
  <c r="BZ152" i="1"/>
  <c r="CA152" i="1" s="1"/>
  <c r="BZ153" i="1"/>
  <c r="CA153" i="1" s="1"/>
  <c r="BZ154" i="1"/>
  <c r="CA154" i="1" s="1"/>
  <c r="BZ155" i="1"/>
  <c r="CA155" i="1" s="1"/>
  <c r="BZ156" i="1"/>
  <c r="CA156" i="1" s="1"/>
  <c r="BZ157" i="1"/>
  <c r="CA157" i="1" s="1"/>
  <c r="BZ158" i="1"/>
  <c r="CA158" i="1" s="1"/>
  <c r="BZ159" i="1"/>
  <c r="CA159" i="1" s="1"/>
  <c r="BZ160" i="1"/>
  <c r="CA160" i="1" s="1"/>
  <c r="BZ161" i="1"/>
  <c r="CA161" i="1" s="1"/>
  <c r="BZ162" i="1"/>
  <c r="CA162" i="1" s="1"/>
  <c r="BZ163" i="1"/>
  <c r="CA163" i="1" s="1"/>
  <c r="BZ164" i="1"/>
  <c r="CA164" i="1" s="1"/>
  <c r="BZ165" i="1"/>
  <c r="CA165" i="1" s="1"/>
  <c r="BZ166" i="1"/>
  <c r="CA166" i="1" s="1"/>
  <c r="BZ167" i="1"/>
  <c r="CA167" i="1" s="1"/>
  <c r="BZ168" i="1"/>
  <c r="CA168" i="1" s="1"/>
  <c r="BZ169" i="1"/>
  <c r="CA169" i="1" s="1"/>
  <c r="BZ170" i="1"/>
  <c r="CA170" i="1" s="1"/>
  <c r="BZ171" i="1"/>
  <c r="CA171" i="1" s="1"/>
  <c r="BZ172" i="1"/>
  <c r="CA172" i="1" s="1"/>
  <c r="BZ173" i="1"/>
  <c r="CA173" i="1" s="1"/>
  <c r="BZ174" i="1"/>
  <c r="CA174" i="1" s="1"/>
  <c r="BZ175" i="1"/>
  <c r="CA175" i="1" s="1"/>
  <c r="BZ176" i="1"/>
  <c r="CA176" i="1" s="1"/>
  <c r="BZ177" i="1"/>
  <c r="CA177" i="1" s="1"/>
  <c r="BZ178" i="1"/>
  <c r="CA178" i="1" s="1"/>
  <c r="BZ179" i="1"/>
  <c r="CA179" i="1" s="1"/>
  <c r="BZ180" i="1"/>
  <c r="CA180" i="1" s="1"/>
  <c r="BZ181" i="1"/>
  <c r="CA181" i="1" s="1"/>
  <c r="BZ182" i="1"/>
  <c r="CA182" i="1" s="1"/>
  <c r="BZ183" i="1"/>
  <c r="CA183" i="1" s="1"/>
  <c r="BZ184" i="1"/>
  <c r="CA184" i="1" s="1"/>
  <c r="BZ185" i="1"/>
  <c r="CA185" i="1" s="1"/>
  <c r="BZ186" i="1"/>
  <c r="CA186" i="1" s="1"/>
  <c r="BZ187" i="1"/>
  <c r="CA187" i="1" s="1"/>
  <c r="BZ188" i="1"/>
  <c r="CA188" i="1" s="1"/>
  <c r="BZ189" i="1"/>
  <c r="CA189" i="1" s="1"/>
  <c r="BZ190" i="1"/>
  <c r="CA190" i="1" s="1"/>
  <c r="BZ191" i="1"/>
  <c r="CA191" i="1" s="1"/>
  <c r="BZ192" i="1"/>
  <c r="CA192" i="1" s="1"/>
  <c r="BZ193" i="1"/>
  <c r="CA193" i="1" s="1"/>
  <c r="BZ194" i="1"/>
  <c r="CA194" i="1" s="1"/>
  <c r="BZ195" i="1"/>
  <c r="CA195" i="1" s="1"/>
  <c r="BZ196" i="1"/>
  <c r="CA196" i="1" s="1"/>
  <c r="BZ197" i="1"/>
  <c r="CA197" i="1" s="1"/>
  <c r="BZ198" i="1"/>
  <c r="CA198" i="1" s="1"/>
  <c r="BZ199" i="1"/>
  <c r="CA199" i="1" s="1"/>
  <c r="BZ200" i="1"/>
  <c r="CA200" i="1" s="1"/>
  <c r="BZ201" i="1"/>
  <c r="CA201" i="1" s="1"/>
  <c r="BZ202" i="1"/>
  <c r="CA202" i="1" s="1"/>
  <c r="BZ203" i="1"/>
  <c r="CA203" i="1" s="1"/>
  <c r="BZ204" i="1"/>
  <c r="CA204" i="1" s="1"/>
  <c r="BZ205" i="1"/>
  <c r="CA205" i="1" s="1"/>
  <c r="BZ206" i="1"/>
  <c r="CA206" i="1" s="1"/>
  <c r="BZ207" i="1"/>
  <c r="CA207" i="1" s="1"/>
  <c r="BZ208" i="1"/>
  <c r="CA208" i="1" s="1"/>
  <c r="BZ209" i="1"/>
  <c r="CA209" i="1" s="1"/>
  <c r="BZ210" i="1"/>
  <c r="CA210" i="1" s="1"/>
  <c r="BZ211" i="1"/>
  <c r="CA211" i="1" s="1"/>
  <c r="BZ212" i="1"/>
  <c r="CA212" i="1" s="1"/>
  <c r="BZ213" i="1"/>
  <c r="CA213" i="1" s="1"/>
  <c r="BZ214" i="1"/>
  <c r="CA214" i="1" s="1"/>
  <c r="BZ215" i="1"/>
  <c r="CA215" i="1" s="1"/>
  <c r="BZ216" i="1"/>
  <c r="CA216" i="1" s="1"/>
  <c r="BZ217" i="1"/>
  <c r="CA217" i="1" s="1"/>
  <c r="BZ218" i="1"/>
  <c r="CA218" i="1" s="1"/>
  <c r="BZ219" i="1"/>
  <c r="CA219" i="1" s="1"/>
  <c r="BZ220" i="1"/>
  <c r="CA220" i="1" s="1"/>
  <c r="BZ221" i="1"/>
  <c r="CA221" i="1" s="1"/>
  <c r="BZ222" i="1"/>
  <c r="CA222" i="1" s="1"/>
  <c r="BZ223" i="1"/>
  <c r="CA223" i="1" s="1"/>
  <c r="BZ224" i="1"/>
  <c r="CA224" i="1" s="1"/>
  <c r="BZ225" i="1"/>
  <c r="CA225" i="1" s="1"/>
  <c r="BZ226" i="1"/>
  <c r="CA226" i="1" s="1"/>
  <c r="BZ227" i="1"/>
  <c r="CA227" i="1" s="1"/>
  <c r="BZ228" i="1"/>
  <c r="CA228" i="1" s="1"/>
  <c r="BZ229" i="1"/>
  <c r="CA229" i="1" s="1"/>
  <c r="BZ230" i="1"/>
  <c r="CA230" i="1" s="1"/>
  <c r="BZ231" i="1"/>
  <c r="CA231" i="1" s="1"/>
  <c r="BZ232" i="1"/>
  <c r="CA232" i="1" s="1"/>
  <c r="BZ233" i="1"/>
  <c r="CA233" i="1" s="1"/>
  <c r="BZ234" i="1"/>
  <c r="CA234" i="1" s="1"/>
  <c r="BZ235" i="1"/>
  <c r="CA235" i="1" s="1"/>
  <c r="BZ236" i="1"/>
  <c r="CA236" i="1" s="1"/>
  <c r="BZ237" i="1"/>
  <c r="CA237" i="1" s="1"/>
  <c r="BZ238" i="1"/>
  <c r="CA238" i="1" s="1"/>
  <c r="BZ239" i="1"/>
  <c r="CA239" i="1" s="1"/>
  <c r="BZ240" i="1"/>
  <c r="CA240" i="1" s="1"/>
  <c r="BZ241" i="1"/>
  <c r="CA241" i="1" s="1"/>
  <c r="BZ242" i="1"/>
  <c r="CA242" i="1" s="1"/>
  <c r="BZ243" i="1"/>
  <c r="CA243" i="1" s="1"/>
  <c r="BZ244" i="1"/>
  <c r="CA244" i="1" s="1"/>
  <c r="BZ245" i="1"/>
  <c r="CA245" i="1" s="1"/>
  <c r="BZ246" i="1"/>
  <c r="CA246" i="1" s="1"/>
  <c r="BZ247" i="1"/>
  <c r="CA247" i="1" s="1"/>
  <c r="BZ248" i="1"/>
  <c r="CA248" i="1" s="1"/>
  <c r="BZ249" i="1"/>
  <c r="CA249" i="1" s="1"/>
  <c r="BZ250" i="1"/>
  <c r="CA250" i="1" s="1"/>
  <c r="BZ251" i="1"/>
  <c r="CA251" i="1" s="1"/>
  <c r="BZ252" i="1"/>
  <c r="CA252" i="1" s="1"/>
  <c r="BZ253" i="1"/>
  <c r="CA253" i="1" s="1"/>
  <c r="BZ254" i="1"/>
  <c r="CA254" i="1" s="1"/>
  <c r="BZ255" i="1"/>
  <c r="CA255" i="1" s="1"/>
  <c r="BZ256" i="1"/>
  <c r="CA256" i="1" s="1"/>
  <c r="BZ257" i="1"/>
  <c r="CA257" i="1" s="1"/>
  <c r="BZ258" i="1"/>
  <c r="CA258" i="1" s="1"/>
  <c r="BZ259" i="1"/>
  <c r="CA259" i="1" s="1"/>
  <c r="BZ260" i="1"/>
  <c r="CA260" i="1" s="1"/>
  <c r="BZ261" i="1"/>
  <c r="CA261" i="1" s="1"/>
  <c r="BZ262" i="1"/>
  <c r="CA262" i="1" s="1"/>
  <c r="BZ263" i="1"/>
  <c r="CA263" i="1" s="1"/>
  <c r="BZ264" i="1"/>
  <c r="CA264" i="1" s="1"/>
  <c r="BZ265" i="1"/>
  <c r="CA265" i="1" s="1"/>
  <c r="BZ266" i="1"/>
  <c r="CA266" i="1" s="1"/>
  <c r="BZ267" i="1"/>
  <c r="CA267" i="1" s="1"/>
  <c r="BZ268" i="1"/>
  <c r="CA268" i="1" s="1"/>
  <c r="BZ269" i="1"/>
  <c r="CA269" i="1" s="1"/>
  <c r="BZ270" i="1"/>
  <c r="CA270" i="1" s="1"/>
  <c r="BZ271" i="1"/>
  <c r="CA271" i="1" s="1"/>
  <c r="BZ272" i="1"/>
  <c r="CA272" i="1" s="1"/>
  <c r="BZ2" i="1"/>
  <c r="CA2" i="1" s="1"/>
  <c r="BZ3" i="1"/>
  <c r="CA3" i="1" s="1"/>
  <c r="BZ5" i="1"/>
  <c r="CA5" i="1" s="1"/>
  <c r="BZ6" i="1"/>
  <c r="CA6" i="1" s="1"/>
  <c r="BZ7" i="1"/>
  <c r="CA7" i="1" s="1"/>
  <c r="BZ8" i="1"/>
  <c r="CA8" i="1" s="1"/>
  <c r="BZ9" i="1"/>
  <c r="CA9" i="1" s="1"/>
  <c r="BZ10" i="1"/>
  <c r="CA10" i="1" s="1"/>
  <c r="BZ11" i="1"/>
  <c r="CA11" i="1" s="1"/>
  <c r="BZ12" i="1"/>
  <c r="CA12" i="1" s="1"/>
  <c r="BZ13" i="1"/>
  <c r="CA13" i="1" s="1"/>
  <c r="BZ14" i="1"/>
  <c r="CA14" i="1" s="1"/>
  <c r="BZ15" i="1"/>
  <c r="CA15" i="1" s="1"/>
  <c r="BZ16" i="1"/>
  <c r="CA16" i="1" s="1"/>
  <c r="BZ17" i="1"/>
  <c r="CA17" i="1" s="1"/>
  <c r="BZ18" i="1"/>
  <c r="CA18" i="1" s="1"/>
  <c r="BZ19" i="1"/>
  <c r="CA19" i="1" s="1"/>
  <c r="BZ20" i="1"/>
  <c r="CA20" i="1" s="1"/>
  <c r="BR5" i="1" l="1"/>
  <c r="BT5" i="1" s="1"/>
  <c r="BA5" i="1"/>
  <c r="AZ5" i="1"/>
  <c r="AY5" i="1"/>
  <c r="AW5" i="1"/>
  <c r="AV5" i="1"/>
  <c r="AU5" i="1"/>
  <c r="AR5" i="1"/>
  <c r="AG5" i="1"/>
  <c r="AI5" i="1" s="1"/>
  <c r="X5" i="1"/>
  <c r="BR7" i="1"/>
  <c r="BT7" i="1" s="1"/>
  <c r="BA7" i="1"/>
  <c r="AZ7" i="1"/>
  <c r="AY7" i="1"/>
  <c r="AW7" i="1"/>
  <c r="AV7" i="1"/>
  <c r="AU7" i="1"/>
  <c r="AR7" i="1"/>
  <c r="AG7" i="1"/>
  <c r="AI7" i="1" s="1"/>
  <c r="X7" i="1"/>
  <c r="U106" i="1"/>
  <c r="X106" i="1" s="1"/>
  <c r="Q107" i="1"/>
  <c r="S107" i="1" s="1"/>
  <c r="Q106" i="1"/>
  <c r="S106" i="1" s="1"/>
  <c r="U103" i="1"/>
  <c r="X103" i="1" s="1"/>
  <c r="BR106" i="1"/>
  <c r="BT106" i="1" s="1"/>
  <c r="BA106" i="1"/>
  <c r="AZ106" i="1"/>
  <c r="AY106" i="1"/>
  <c r="AW106" i="1"/>
  <c r="AV106" i="1"/>
  <c r="AU106" i="1"/>
  <c r="AR106" i="1"/>
  <c r="AG106" i="1"/>
  <c r="BR104" i="1"/>
  <c r="BT104" i="1" s="1"/>
  <c r="BA104" i="1"/>
  <c r="AZ104" i="1"/>
  <c r="AY104" i="1"/>
  <c r="AW104" i="1"/>
  <c r="AV104" i="1"/>
  <c r="AU104" i="1"/>
  <c r="AR104" i="1"/>
  <c r="AG104" i="1"/>
  <c r="X104" i="1"/>
  <c r="Q104" i="1"/>
  <c r="S104" i="1" s="1"/>
  <c r="BR108" i="1"/>
  <c r="BT108" i="1" s="1"/>
  <c r="BA108" i="1"/>
  <c r="AZ108" i="1"/>
  <c r="AY108" i="1"/>
  <c r="AW108" i="1"/>
  <c r="AV108" i="1"/>
  <c r="AU108" i="1"/>
  <c r="AR108" i="1"/>
  <c r="AG108" i="1"/>
  <c r="X108" i="1"/>
  <c r="Q108" i="1"/>
  <c r="S108" i="1" s="1"/>
  <c r="BR105" i="1"/>
  <c r="BT105" i="1" s="1"/>
  <c r="BA105" i="1"/>
  <c r="AZ105" i="1"/>
  <c r="AY105" i="1"/>
  <c r="AW105" i="1"/>
  <c r="AV105" i="1"/>
  <c r="AU105" i="1"/>
  <c r="AR105" i="1"/>
  <c r="AG105" i="1"/>
  <c r="X105" i="1"/>
  <c r="Q105" i="1"/>
  <c r="S105" i="1" s="1"/>
  <c r="BR103" i="1"/>
  <c r="BT103" i="1" s="1"/>
  <c r="BA103" i="1"/>
  <c r="AZ103" i="1"/>
  <c r="AY103" i="1"/>
  <c r="AW103" i="1"/>
  <c r="AV103" i="1"/>
  <c r="AU103" i="1"/>
  <c r="AR103" i="1"/>
  <c r="AG103" i="1"/>
  <c r="Q103" i="1"/>
  <c r="S103" i="1" s="1"/>
  <c r="BC5" i="1" l="1"/>
  <c r="BE5" i="1" s="1"/>
  <c r="BC7" i="1"/>
  <c r="BE7" i="1" s="1"/>
  <c r="BB5" i="1"/>
  <c r="BD5" i="1" s="1"/>
  <c r="BC106" i="1"/>
  <c r="BE106" i="1" s="1"/>
  <c r="BB7" i="1"/>
  <c r="BD7" i="1" s="1"/>
  <c r="BB106" i="1"/>
  <c r="BD106" i="1" s="1"/>
  <c r="BC104" i="1"/>
  <c r="BE104" i="1" s="1"/>
  <c r="BB104" i="1"/>
  <c r="BD104" i="1" s="1"/>
  <c r="BC108" i="1"/>
  <c r="BE108" i="1" s="1"/>
  <c r="BC105" i="1"/>
  <c r="BE105" i="1" s="1"/>
  <c r="BB105" i="1"/>
  <c r="BD105" i="1" s="1"/>
  <c r="BB108" i="1"/>
  <c r="BD108" i="1" s="1"/>
  <c r="BC103" i="1"/>
  <c r="BE103" i="1" s="1"/>
  <c r="BB103" i="1"/>
  <c r="BD103" i="1" s="1"/>
  <c r="BR70" i="1" l="1"/>
  <c r="BT70" i="1" s="1"/>
  <c r="BH70" i="1"/>
  <c r="BA70" i="1"/>
  <c r="AZ70" i="1"/>
  <c r="AY70" i="1"/>
  <c r="AW70" i="1"/>
  <c r="AV70" i="1"/>
  <c r="AU70" i="1"/>
  <c r="AR70" i="1"/>
  <c r="AG70" i="1"/>
  <c r="AI70" i="1" s="1"/>
  <c r="X70" i="1"/>
  <c r="BR67" i="1"/>
  <c r="BT67" i="1" s="1"/>
  <c r="BH67" i="1"/>
  <c r="BA67" i="1"/>
  <c r="AZ67" i="1"/>
  <c r="AY67" i="1"/>
  <c r="AW67" i="1"/>
  <c r="AV67" i="1"/>
  <c r="AU67" i="1"/>
  <c r="AR67" i="1"/>
  <c r="AG67" i="1"/>
  <c r="AI67" i="1" s="1"/>
  <c r="X67" i="1"/>
  <c r="BR69" i="1"/>
  <c r="BT69" i="1" s="1"/>
  <c r="BH69" i="1"/>
  <c r="BA69" i="1"/>
  <c r="AZ69" i="1"/>
  <c r="AY69" i="1"/>
  <c r="AW69" i="1"/>
  <c r="AV69" i="1"/>
  <c r="AU69" i="1"/>
  <c r="AR69" i="1"/>
  <c r="AG69" i="1"/>
  <c r="AI69" i="1" s="1"/>
  <c r="X69"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C70" i="1" l="1"/>
  <c r="BE70" i="1" s="1"/>
  <c r="BC68" i="1"/>
  <c r="BE68" i="1" s="1"/>
  <c r="BC67" i="1"/>
  <c r="BE67" i="1" s="1"/>
  <c r="BC69" i="1"/>
  <c r="BE69" i="1" s="1"/>
  <c r="BB69" i="1"/>
  <c r="BD69" i="1" s="1"/>
  <c r="BB70" i="1"/>
  <c r="BD70" i="1" s="1"/>
  <c r="BB67" i="1"/>
  <c r="BD67" i="1" s="1"/>
  <c r="BB68" i="1"/>
  <c r="BD68" i="1" s="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07" i="1" l="1"/>
  <c r="BE207" i="1" s="1"/>
  <c r="BC200" i="1"/>
  <c r="BE200" i="1" s="1"/>
  <c r="BC228" i="1"/>
  <c r="BE228" i="1" s="1"/>
  <c r="BC232" i="1"/>
  <c r="BE232" i="1" s="1"/>
  <c r="BC222" i="1"/>
  <c r="BE222" i="1" s="1"/>
  <c r="BC215" i="1"/>
  <c r="BE215" i="1" s="1"/>
  <c r="BC229" i="1"/>
  <c r="BE229" i="1" s="1"/>
  <c r="BC206" i="1"/>
  <c r="BE206" i="1" s="1"/>
  <c r="BC236" i="1"/>
  <c r="BE236" i="1" s="1"/>
  <c r="BC225" i="1"/>
  <c r="BE225" i="1" s="1"/>
  <c r="BB229" i="1"/>
  <c r="BD229" i="1" s="1"/>
  <c r="BB207" i="1"/>
  <c r="BD207" i="1" s="1"/>
  <c r="BB225" i="1"/>
  <c r="BD225" i="1" s="1"/>
  <c r="AF236" i="1"/>
  <c r="BB236" i="1"/>
  <c r="BD236" i="1" s="1"/>
  <c r="BB232" i="1"/>
  <c r="BD232" i="1" s="1"/>
  <c r="AF215" i="1"/>
  <c r="BB215" i="1"/>
  <c r="BD215" i="1" s="1"/>
  <c r="BB200" i="1"/>
  <c r="BD200" i="1" s="1"/>
  <c r="BB228" i="1"/>
  <c r="BD228" i="1" s="1"/>
  <c r="BB206" i="1"/>
  <c r="BD206" i="1" s="1"/>
  <c r="AF222" i="1"/>
  <c r="BB222" i="1"/>
  <c r="BD222" i="1" s="1"/>
  <c r="BR21" i="1"/>
  <c r="BT21" i="1" s="1"/>
  <c r="BH21" i="1"/>
  <c r="BA21" i="1"/>
  <c r="AZ21" i="1"/>
  <c r="AY21" i="1"/>
  <c r="AW21" i="1"/>
  <c r="AV21" i="1"/>
  <c r="AU21" i="1"/>
  <c r="AR21" i="1"/>
  <c r="AG21" i="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26" i="1"/>
  <c r="BH66" i="1" l="1"/>
  <c r="BH71" i="1"/>
  <c r="BH65" i="1"/>
  <c r="BH19" i="1"/>
  <c r="BH20" i="1"/>
  <c r="BH22" i="1"/>
  <c r="BH23" i="1"/>
  <c r="BH24" i="1"/>
  <c r="BH25" i="1"/>
  <c r="BH18" i="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C188" i="1" l="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237" i="1"/>
  <c r="BE237" i="1" s="1"/>
  <c r="BC234" i="1"/>
  <c r="BE234" i="1" s="1"/>
  <c r="BC233" i="1"/>
  <c r="BE233" i="1" s="1"/>
  <c r="BC214" i="1"/>
  <c r="BE214" i="1" s="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241" i="1"/>
  <c r="BE241" i="1" s="1"/>
  <c r="BC19" i="1"/>
  <c r="BE19" i="1" s="1"/>
  <c r="BC18" i="1"/>
  <c r="BE18" i="1" s="1"/>
  <c r="BC20" i="1"/>
  <c r="BE20" i="1" s="1"/>
  <c r="BC240" i="1"/>
  <c r="BE24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C221" i="1"/>
  <c r="BE221" i="1" s="1"/>
  <c r="BC217" i="1"/>
  <c r="BE217" i="1" s="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272" i="1"/>
  <c r="BE272"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8" i="1"/>
  <c r="BE258"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C230" i="1"/>
  <c r="BE230" i="1" s="1"/>
  <c r="BC227" i="1"/>
  <c r="BE227" i="1" s="1"/>
  <c r="BC224" i="1"/>
  <c r="BE224" i="1" s="1"/>
  <c r="BC223" i="1"/>
  <c r="BE223" i="1" s="1"/>
  <c r="BC220" i="1"/>
  <c r="BE220" i="1" s="1"/>
  <c r="BC219" i="1"/>
  <c r="BE219" i="1" s="1"/>
  <c r="BC211" i="1"/>
  <c r="BE211" i="1" s="1"/>
  <c r="BB187" i="1"/>
  <c r="BD187" i="1" s="1"/>
  <c r="BB175" i="1"/>
  <c r="BD175" i="1" s="1"/>
  <c r="BB237" i="1"/>
  <c r="BD237" i="1" s="1"/>
  <c r="BB233" i="1"/>
  <c r="BD233"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241" i="1"/>
  <c r="BD241"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272" i="1"/>
  <c r="BD272"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185" i="1"/>
  <c r="BD185" i="1" s="1"/>
  <c r="BB173" i="1"/>
  <c r="BD173" i="1" s="1"/>
  <c r="BB160" i="1"/>
  <c r="BD160" i="1" s="1"/>
  <c r="BB158" i="1"/>
  <c r="BD158" i="1" s="1"/>
  <c r="BB156" i="1"/>
  <c r="BD156" i="1" s="1"/>
  <c r="BB224" i="1"/>
  <c r="BD224" i="1" s="1"/>
  <c r="BB220" i="1"/>
  <c r="BD220" i="1" s="1"/>
  <c r="BB227" i="1"/>
  <c r="BD227" i="1" s="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234" i="1"/>
  <c r="BD234" i="1" s="1"/>
  <c r="BB181" i="1"/>
  <c r="BD181" i="1" s="1"/>
  <c r="BB171" i="1"/>
  <c r="BD171" i="1" s="1"/>
  <c r="BB165" i="1"/>
  <c r="BD165" i="1" s="1"/>
  <c r="BB214" i="1"/>
  <c r="BD214"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B221" i="1"/>
  <c r="BD221" i="1" s="1"/>
  <c r="BB217" i="1"/>
  <c r="BD217" i="1" s="1"/>
  <c r="BB209" i="1"/>
  <c r="BD209" i="1" s="1"/>
  <c r="BB205" i="1"/>
  <c r="BD205" i="1" s="1"/>
  <c r="BB203" i="1"/>
  <c r="BD203" i="1" s="1"/>
  <c r="BB201" i="1"/>
  <c r="BD201" i="1" s="1"/>
  <c r="BB197" i="1"/>
  <c r="BD197" i="1" s="1"/>
  <c r="BB195" i="1"/>
  <c r="BD195" i="1" s="1"/>
  <c r="BB193" i="1"/>
  <c r="BD193" i="1" s="1"/>
  <c r="BB191" i="1"/>
  <c r="BD191" i="1" s="1"/>
  <c r="BB271" i="1"/>
  <c r="BD271" i="1" s="1"/>
  <c r="BB269" i="1"/>
  <c r="BD269" i="1" s="1"/>
  <c r="BB267" i="1"/>
  <c r="BD267" i="1" s="1"/>
  <c r="BB265" i="1"/>
  <c r="BD265" i="1" s="1"/>
  <c r="BB263" i="1"/>
  <c r="BD263" i="1" s="1"/>
  <c r="BB261" i="1"/>
  <c r="BD261" i="1" s="1"/>
  <c r="BB257" i="1"/>
  <c r="BD257" i="1" s="1"/>
  <c r="BB255" i="1"/>
  <c r="BD255" i="1" s="1"/>
  <c r="BB253" i="1"/>
  <c r="BD253" i="1" s="1"/>
  <c r="BB251" i="1"/>
  <c r="BD251" i="1" s="1"/>
  <c r="BB249" i="1"/>
  <c r="BD249" i="1" s="1"/>
  <c r="BB247" i="1"/>
  <c r="BD247" i="1" s="1"/>
  <c r="BB245" i="1"/>
  <c r="BD245" i="1" s="1"/>
  <c r="BB243" i="1"/>
  <c r="BD243"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240" i="1"/>
  <c r="BD240" i="1" s="1"/>
  <c r="BB159" i="1"/>
  <c r="BD159" i="1" s="1"/>
  <c r="BB157" i="1"/>
  <c r="BD157" i="1" s="1"/>
  <c r="BB230" i="1"/>
  <c r="BD230" i="1" s="1"/>
  <c r="BB223" i="1"/>
  <c r="BD223" i="1" s="1"/>
  <c r="BB219" i="1"/>
  <c r="BD219" i="1" s="1"/>
  <c r="BB211" i="1"/>
  <c r="BD21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BR35" i="1" l="1"/>
  <c r="BT35" i="1" s="1"/>
  <c r="AG35" i="1"/>
  <c r="AI35" i="1" s="1"/>
  <c r="X35" i="1"/>
  <c r="BR66" i="1" l="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X44" i="1"/>
  <c r="BR42" i="1"/>
  <c r="BT42" i="1" s="1"/>
  <c r="AG42" i="1"/>
  <c r="AI42" i="1" s="1"/>
  <c r="X42" i="1"/>
  <c r="BR38" i="1"/>
  <c r="BT38" i="1" s="1"/>
  <c r="AG38" i="1"/>
  <c r="AI38" i="1" s="1"/>
  <c r="X38" i="1"/>
  <c r="BR37" i="1"/>
  <c r="BT37" i="1" s="1"/>
  <c r="AG37" i="1"/>
  <c r="AI37" i="1" s="1"/>
  <c r="X37" i="1"/>
  <c r="BB43" i="1" l="1"/>
  <c r="BD43" i="1" s="1"/>
  <c r="AI44"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I56" i="1" l="1"/>
  <c r="AI61" i="1"/>
  <c r="AI54" i="1"/>
  <c r="AI58" i="1"/>
  <c r="AI57" i="1"/>
  <c r="AI64" i="1"/>
  <c r="AI55" i="1"/>
  <c r="BR50" i="1"/>
  <c r="BT50" i="1" s="1"/>
  <c r="BR51" i="1"/>
  <c r="AG50" i="1"/>
  <c r="AG51" i="1"/>
  <c r="BR33" i="1"/>
  <c r="BT33" i="1" s="1"/>
  <c r="AG33" i="1"/>
  <c r="AI33" i="1" s="1"/>
  <c r="X33" i="1"/>
  <c r="AI51" i="1" l="1"/>
  <c r="AI50" i="1"/>
  <c r="BR31" i="1"/>
  <c r="BT31" i="1" s="1"/>
  <c r="BR32" i="1"/>
  <c r="BT32" i="1" s="1"/>
  <c r="BR34" i="1"/>
  <c r="AG31" i="1"/>
  <c r="X31" i="1"/>
  <c r="AI31" i="1" l="1"/>
  <c r="AG30" i="1"/>
  <c r="X30" i="1"/>
  <c r="BR29" i="1"/>
  <c r="BT29" i="1" s="1"/>
  <c r="BR30" i="1"/>
  <c r="BT30" i="1" s="1"/>
  <c r="BT34" i="1"/>
  <c r="AG29" i="1"/>
  <c r="AI29" i="1" s="1"/>
  <c r="X29" i="1"/>
  <c r="AI30" i="1" l="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BC259" i="1" s="1"/>
  <c r="BE259" i="1" s="1"/>
  <c r="AG254" i="1"/>
  <c r="AG255" i="1"/>
  <c r="AG256" i="1"/>
  <c r="AG257" i="1"/>
  <c r="AG258" i="1"/>
  <c r="AG259" i="1"/>
  <c r="X259" i="1"/>
  <c r="BB259" i="1" l="1"/>
  <c r="BD259" i="1" s="1"/>
  <c r="AI259" i="1"/>
  <c r="AI258" i="1"/>
  <c r="AI257" i="1"/>
  <c r="AI256" i="1"/>
  <c r="AI255" i="1"/>
  <c r="AI254" i="1"/>
  <c r="B15" i="6"/>
  <c r="K231" i="1"/>
  <c r="AV231" i="1" s="1"/>
  <c r="BC231" i="1" s="1"/>
  <c r="BE231" i="1" s="1"/>
  <c r="K235" i="1"/>
  <c r="AV235" i="1" s="1"/>
  <c r="BC235" i="1" s="1"/>
  <c r="BE235" i="1" s="1"/>
  <c r="BR253" i="1"/>
  <c r="BT253" i="1" s="1"/>
  <c r="AG253" i="1"/>
  <c r="AI253" i="1" s="1"/>
  <c r="X253" i="1"/>
  <c r="BB231" i="1" l="1"/>
  <c r="BD231" i="1" s="1"/>
  <c r="BB235" i="1"/>
  <c r="BD235" i="1" s="1"/>
  <c r="T211" i="1"/>
  <c r="K218" i="1"/>
  <c r="AV218" i="1" s="1"/>
  <c r="BC218" i="1" s="1"/>
  <c r="BE218" i="1" s="1"/>
  <c r="BR17" i="1"/>
  <c r="BT17" i="1" s="1"/>
  <c r="AG17" i="1"/>
  <c r="AI17" i="1" s="1"/>
  <c r="X17" i="1"/>
  <c r="BR216" i="1"/>
  <c r="K216" i="1"/>
  <c r="AV216" i="1" s="1"/>
  <c r="BC216" i="1" s="1"/>
  <c r="BE216" i="1" s="1"/>
  <c r="T216" i="1"/>
  <c r="BB218" i="1" l="1"/>
  <c r="BD218" i="1" s="1"/>
  <c r="BB216" i="1"/>
  <c r="BD216" i="1" s="1"/>
  <c r="K213" i="1"/>
  <c r="AV213" i="1" s="1"/>
  <c r="BC213" i="1" s="1"/>
  <c r="BE213" i="1" s="1"/>
  <c r="T213" i="1"/>
  <c r="BB213" i="1" l="1"/>
  <c r="BD213" i="1" s="1"/>
  <c r="K210" i="1"/>
  <c r="AV210" i="1" s="1"/>
  <c r="BC210" i="1" s="1"/>
  <c r="BE210" i="1" s="1"/>
  <c r="T210" i="1"/>
  <c r="BB210" i="1" l="1"/>
  <c r="BD210" i="1" s="1"/>
  <c r="AA202" i="1"/>
  <c r="T197" i="1" l="1"/>
  <c r="T195" i="1"/>
  <c r="BR182" i="1"/>
  <c r="BT182" i="1" s="1"/>
  <c r="AG182" i="1"/>
  <c r="X182" i="1"/>
  <c r="AF182" i="1" l="1"/>
  <c r="AI182" i="1"/>
  <c r="K239" i="1"/>
  <c r="AV239" i="1" s="1"/>
  <c r="BC239" i="1" s="1"/>
  <c r="BE239" i="1" s="1"/>
  <c r="BR189" i="1"/>
  <c r="BT189" i="1" s="1"/>
  <c r="AG189" i="1"/>
  <c r="X189" i="1"/>
  <c r="BB239" i="1" l="1"/>
  <c r="BD239" i="1" s="1"/>
  <c r="AI189" i="1"/>
  <c r="AE226" i="1"/>
  <c r="AY226" i="1" s="1"/>
  <c r="BC226" i="1" s="1"/>
  <c r="BE226" i="1" s="1"/>
  <c r="BB226" i="1" l="1"/>
  <c r="BD226" i="1" s="1"/>
  <c r="BR25" i="1"/>
  <c r="BT25" i="1" s="1"/>
  <c r="AG25" i="1"/>
  <c r="X25" i="1"/>
  <c r="BR180" i="1"/>
  <c r="BT180" i="1" s="1"/>
  <c r="AG180" i="1"/>
  <c r="AI180" i="1" s="1"/>
  <c r="X180" i="1"/>
  <c r="AF25" i="1" l="1"/>
  <c r="AI25"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Q139" i="1" l="1"/>
  <c r="S139" i="1" s="1"/>
  <c r="Q138" i="1"/>
  <c r="S138" i="1" s="1"/>
  <c r="Q137" i="1"/>
  <c r="S137" i="1" s="1"/>
  <c r="BR15" i="1"/>
  <c r="BT15" i="1" s="1"/>
  <c r="AG15" i="1"/>
  <c r="AI15" i="1" s="1"/>
  <c r="X15" i="1"/>
  <c r="Q136" i="1"/>
  <c r="S136" i="1" s="1"/>
  <c r="Q112" i="1"/>
  <c r="S112" i="1" s="1"/>
  <c r="Q135" i="1"/>
  <c r="S135" i="1" s="1"/>
  <c r="BR14" i="1" l="1"/>
  <c r="BT14" i="1" s="1"/>
  <c r="AG14" i="1"/>
  <c r="AI14" i="1" s="1"/>
  <c r="X14" i="1"/>
  <c r="U134" i="1"/>
  <c r="Q134" i="1"/>
  <c r="S134" i="1" s="1"/>
  <c r="BR13" i="1" l="1"/>
  <c r="BT13" i="1" s="1"/>
  <c r="AG13" i="1"/>
  <c r="AI13" i="1" s="1"/>
  <c r="X13" i="1"/>
  <c r="AB131" i="1"/>
  <c r="Q131" i="1"/>
  <c r="S131" i="1" s="1"/>
  <c r="AE194" i="1"/>
  <c r="AY194" i="1" s="1"/>
  <c r="BC194" i="1" s="1"/>
  <c r="BE194" i="1" s="1"/>
  <c r="BB194" i="1" l="1"/>
  <c r="BD194" i="1" s="1"/>
  <c r="BR12" i="1"/>
  <c r="BT12" i="1" s="1"/>
  <c r="AG12" i="1"/>
  <c r="AI12" i="1" s="1"/>
  <c r="X12" i="1"/>
  <c r="AB130" i="1"/>
  <c r="AB129" i="1"/>
  <c r="Q129" i="1"/>
  <c r="S129" i="1" s="1"/>
  <c r="AB128" i="1" l="1"/>
  <c r="Q128" i="1"/>
  <c r="S128" i="1" s="1"/>
  <c r="X129" i="1"/>
  <c r="X130" i="1"/>
  <c r="X193" i="1"/>
  <c r="X194" i="1"/>
  <c r="X261"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262" i="1"/>
  <c r="X162" i="1"/>
  <c r="X163" i="1"/>
  <c r="X164" i="1"/>
  <c r="X199" i="1"/>
  <c r="X201" i="1"/>
  <c r="X263" i="1"/>
  <c r="X165" i="1"/>
  <c r="X166" i="1"/>
  <c r="X167" i="1"/>
  <c r="X159" i="1"/>
  <c r="X168" i="1"/>
  <c r="X169" i="1"/>
  <c r="X170" i="1"/>
  <c r="X171" i="1"/>
  <c r="X172" i="1"/>
  <c r="X173" i="1"/>
  <c r="X264" i="1"/>
  <c r="X265" i="1"/>
  <c r="X174" i="1"/>
  <c r="X266" i="1"/>
  <c r="X175" i="1"/>
  <c r="X24" i="1"/>
  <c r="X176" i="1"/>
  <c r="X268" i="1"/>
  <c r="X177" i="1"/>
  <c r="X267" i="1"/>
  <c r="X178" i="1"/>
  <c r="X179" i="1"/>
  <c r="X212" i="1"/>
  <c r="X181" i="1"/>
  <c r="X219" i="1"/>
  <c r="X272" i="1"/>
  <c r="X183" i="1"/>
  <c r="X271" i="1"/>
  <c r="X184" i="1"/>
  <c r="X185" i="1"/>
  <c r="X186" i="1"/>
  <c r="X226" i="1"/>
  <c r="X233" i="1"/>
  <c r="X238" i="1"/>
  <c r="X187" i="1"/>
  <c r="X269" i="1"/>
  <c r="X270"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260"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Q120" i="1" l="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BR93" i="1"/>
  <c r="BT93" i="1" s="1"/>
  <c r="AG93" i="1"/>
  <c r="AI93" i="1" s="1"/>
  <c r="Q93" i="1"/>
  <c r="S93" i="1" s="1"/>
  <c r="BR19" i="1"/>
  <c r="BT19" i="1" s="1"/>
  <c r="AG19" i="1"/>
  <c r="AI19" i="1" s="1"/>
  <c r="BR6" i="1" l="1"/>
  <c r="BT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59"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58" i="1"/>
  <c r="AF254" i="1"/>
  <c r="AF257" i="1"/>
  <c r="AF255" i="1"/>
  <c r="AF256" i="1"/>
  <c r="AF253"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I272" i="1" s="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125" i="1" l="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72"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BC212" i="1" s="1"/>
  <c r="BE212" i="1" s="1"/>
  <c r="K238" i="1"/>
  <c r="AV238" i="1" s="1"/>
  <c r="BC238" i="1" s="1"/>
  <c r="BE238" i="1" s="1"/>
  <c r="T196" i="1"/>
  <c r="X196" i="1" s="1"/>
  <c r="BB238" i="1" l="1"/>
  <c r="BD238" i="1" s="1"/>
  <c r="BB212" i="1"/>
  <c r="BD212" i="1" s="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<sst xmlns="http://schemas.openxmlformats.org/spreadsheetml/2006/main" count="2841" uniqueCount="1302">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</sst>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A275"/>
  <sheetViews>
    <sheetView workbookViewId="0">
      <pane xSplit="1" ySplit="1" topLeftCell="AE2" activePane="bottomRight" state="frozenSplit"/>
      <selection pane="topRight" activeCell="B1" sqref="B1"/>
      <selection pane="bottomLeft" activeCell="A2" sqref="A2"/>
      <selection pane="bottomRight" activeCell="AI3" sqref="AI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26.28515625" bestFit="1" customWidth="1"/>
    <col min="75" max="75" width="29" customWidth="1"/>
    <col min="76" max="76" width="38.42578125" customWidth="1"/>
  </cols>
  <sheetData>
    <row r="1" spans="1:79"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1282</v>
      </c>
      <c r="BW1" s="1" t="s">
        <v>1276</v>
      </c>
      <c r="BX1" s="1" t="s">
        <v>1221</v>
      </c>
      <c r="BY1" s="1" t="s">
        <v>1186</v>
      </c>
      <c r="BZ1" s="1" t="s">
        <v>1222</v>
      </c>
      <c r="CA1" s="1" t="s">
        <v>387</v>
      </c>
    </row>
    <row r="2" spans="1:79"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_xlfn.CONCAT(E2, "_",F2)</f>
        <v>tender_RAIL</v>
      </c>
      <c r="BW2" t="str">
        <f>VLOOKUP($BV2, Constants!$M:$N, 2, FALSE)</f>
        <v/>
      </c>
      <c r="BX2" t="str">
        <f>IF(J2&gt;1,_xlfn.CONCAT("{BLACK}Cars: {GOLD}", J2),"")</f>
        <v/>
      </c>
      <c r="BZ2" t="str">
        <f t="shared" ref="BZ2:BZ19" si="10">IF(BQ2="BRAKE","{YELLOW}Speed bonus for slow wagons{}",IF(BO2&gt;190,CONCATENATE("{YELLOW}",INT((BO2-185)/1.85),"% Bonus for long distance travel{}"),IF(AND(BO2&lt;180,BO2&lt;&gt;0),CONCATENATE("{YELLOW}",INT((185-BO2)/1.85),"% Penalty for long distance travel{}"),"")))</f>
        <v/>
      </c>
      <c r="CA2" t="str">
        <f>_xlfn.CONCAT(BU2,BW2,IF(BW2 &lt;&gt; "", " ", ""),BX2,IF(OR(BX2&lt;&gt;"", BW2&lt;&gt;""), "{}",""), BZ2,"{SILVER}", BY2)</f>
        <v>{SILVER}</v>
      </c>
    </row>
    <row r="3" spans="1:79"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1">IF(AND(BG3&lt;&gt;Y3,BG3&lt;&gt;""),_xlfn.CONCAT("{BLACK}","Tare speed: ","{GOLD}{VELOCITY}{}"), "")</f>
        <v/>
      </c>
      <c r="BV3" t="str">
        <f t="shared" ref="BV3:BV66" si="12">_xlfn.CONCAT(E3, "_",F3)</f>
        <v>tender_RAIL</v>
      </c>
      <c r="BW3" t="str">
        <f>VLOOKUP($BV3, Constants!$M:$N, 2, FALSE)</f>
        <v/>
      </c>
      <c r="BX3" t="str">
        <f t="shared" ref="BX3:BX66" si="13">IF(J3&gt;1,_xlfn.CONCAT("{BLACK}Cars: {GOLD}", J3),"")</f>
        <v/>
      </c>
      <c r="BZ3" t="str">
        <f t="shared" si="10"/>
        <v/>
      </c>
      <c r="CA3" t="str">
        <f t="shared" ref="CA3:CA66" si="14">_xlfn.CONCAT(BU3,BW3,IF(BW3 &lt;&gt; "", " ", ""),BX3,IF(OR(BX3&lt;&gt;"", BW3&lt;&gt;""), "{}",""), BZ3,"{SILVER}", BY3)</f>
        <v>{SILVER}</v>
      </c>
    </row>
    <row r="4" spans="1:79" x14ac:dyDescent="0.25">
      <c r="A4" t="s">
        <v>1274</v>
      </c>
      <c r="B4" t="s">
        <v>1275</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Q4">
        <v>30</v>
      </c>
      <c r="AR4" t="str">
        <f>IF(I4&lt;&gt;"",MAX(8,(I4-G4)-4),"")</f>
        <v/>
      </c>
      <c r="AU4">
        <f>MIN(Y4/150, 1)*30</f>
        <v>0</v>
      </c>
      <c r="AV4">
        <f>MIN(K4/4000, 1)*20</f>
        <v>0</v>
      </c>
      <c r="AW4">
        <f>MIN(W4/400,1)*20</f>
        <v>0</v>
      </c>
      <c r="AX4" s="4">
        <v>1</v>
      </c>
      <c r="AY4">
        <f>((MAX($J4,1)*MIN($AE4/300,1)))*IF(D4="Wagon",50,10)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BB4*IF($D4="wagon",62.5,781.25)</f>
        <v>0</v>
      </c>
      <c r="BE4" s="15">
        <f>BC4*IF($D4="wagon",2.73,81.25)</f>
        <v>0</v>
      </c>
      <c r="BR4" t="str">
        <f>VLOOKUP(G4,Eras!$A$2:$C$10, 2, TRUE)</f>
        <v>edw</v>
      </c>
      <c r="BT4" t="str">
        <f>CONCATENATE(BR4,"_",BS4)</f>
        <v>edw_</v>
      </c>
      <c r="BU4" t="str">
        <f>IF(AND(BG4&lt;&gt;Y4,BG4&lt;&gt;""),_xlfn.CONCAT("{BLACK}","Tare speed: ","{GOLD}{VELOCITY}{}"), "")</f>
        <v/>
      </c>
      <c r="BV4" t="str">
        <f t="shared" si="12"/>
        <v>tender_RAIL</v>
      </c>
      <c r="BW4" t="str">
        <f>VLOOKUP($BV4, Constants!$M:$N, 2, FALSE)</f>
        <v/>
      </c>
      <c r="BX4" t="str">
        <f t="shared" si="13"/>
        <v/>
      </c>
      <c r="BZ4" t="str">
        <f>IF(BQ4="BRAKE","{YELLOW}Speed bonus for slow wagons{}",IF(BO4&gt;190,CONCATENATE("{YELLOW}",INT((BO4-185)/1.85),"% Bonus for long distance travel{}"),IF(AND(BO4&lt;180,BO4&lt;&gt;0),CONCATENATE("{YELLOW}",INT((185-BO4)/1.85),"% Penalty for long distance travel{}"),"")))</f>
        <v/>
      </c>
      <c r="CA4" t="str">
        <f t="shared" si="14"/>
        <v>{SILVER}</v>
      </c>
    </row>
    <row r="5" spans="1:79" x14ac:dyDescent="0.25">
      <c r="A5" t="s">
        <v>1261</v>
      </c>
      <c r="B5" t="s">
        <v>1260</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BB5*IF($D5="wagon",62.5,781.25)</f>
        <v>0</v>
      </c>
      <c r="BE5" s="15">
        <f>BC5*IF($D5="wagon",2.73,81.25)</f>
        <v>0</v>
      </c>
      <c r="BR5" t="str">
        <f>VLOOKUP(G5,Eras!$A$2:$C$10, 2, TRUE)</f>
        <v>edw</v>
      </c>
      <c r="BT5" t="str">
        <f>CONCATENATE(BR5,"_",BS5)</f>
        <v>edw_</v>
      </c>
      <c r="BU5" t="str">
        <f t="shared" si="11"/>
        <v/>
      </c>
      <c r="BV5" t="str">
        <f t="shared" si="12"/>
        <v>tender_RAIL</v>
      </c>
      <c r="BW5" t="str">
        <f>VLOOKUP($BV5, Constants!$M:$N, 2, FALSE)</f>
        <v/>
      </c>
      <c r="BX5" t="str">
        <f t="shared" si="13"/>
        <v/>
      </c>
      <c r="BZ5" t="str">
        <f t="shared" si="10"/>
        <v/>
      </c>
      <c r="CA5" t="str">
        <f t="shared" si="14"/>
        <v>{SILVER}</v>
      </c>
    </row>
    <row r="6" spans="1:79"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1"/>
        <v/>
      </c>
      <c r="BV6" t="str">
        <f t="shared" si="12"/>
        <v>tender_RAIL</v>
      </c>
      <c r="BW6" t="str">
        <f>VLOOKUP($BV6, Constants!$M:$N, 2, FALSE)</f>
        <v/>
      </c>
      <c r="BX6" t="str">
        <f t="shared" si="13"/>
        <v/>
      </c>
      <c r="BZ6" t="str">
        <f t="shared" si="10"/>
        <v/>
      </c>
      <c r="CA6" t="str">
        <f t="shared" si="14"/>
        <v>{SILVER}</v>
      </c>
    </row>
    <row r="7" spans="1:79" x14ac:dyDescent="0.25">
      <c r="A7" t="s">
        <v>1256</v>
      </c>
      <c r="B7" t="s">
        <v>1255</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BB7*IF($D7="wagon",62.5,781.25)</f>
        <v>0</v>
      </c>
      <c r="BE7" s="15">
        <f>BC7*IF($D7="wagon",2.73,81.25)</f>
        <v>0</v>
      </c>
      <c r="BR7" t="str">
        <f>VLOOKUP(G7,Eras!$A$2:$C$10, 2, TRUE)</f>
        <v>edw</v>
      </c>
      <c r="BT7" t="str">
        <f>CONCATENATE(BR7,"_",BS7)</f>
        <v>edw_</v>
      </c>
      <c r="BU7" t="str">
        <f t="shared" si="11"/>
        <v/>
      </c>
      <c r="BV7" t="str">
        <f t="shared" si="12"/>
        <v>tender_RAIL</v>
      </c>
      <c r="BW7" t="str">
        <f>VLOOKUP($BV7, Constants!$M:$N, 2, FALSE)</f>
        <v/>
      </c>
      <c r="BX7" t="str">
        <f t="shared" si="13"/>
        <v/>
      </c>
      <c r="BZ7" t="str">
        <f t="shared" si="10"/>
        <v/>
      </c>
      <c r="CA7" t="str">
        <f t="shared" si="14"/>
        <v>{SILVER}</v>
      </c>
    </row>
    <row r="8" spans="1:79"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1"/>
        <v/>
      </c>
      <c r="BV8" t="str">
        <f t="shared" si="12"/>
        <v>tender_RAIL</v>
      </c>
      <c r="BW8" t="str">
        <f>VLOOKUP($BV8, Constants!$M:$N, 2, FALSE)</f>
        <v/>
      </c>
      <c r="BX8" t="str">
        <f t="shared" si="13"/>
        <v/>
      </c>
      <c r="BZ8" t="str">
        <f t="shared" si="10"/>
        <v/>
      </c>
      <c r="CA8" t="str">
        <f t="shared" si="14"/>
        <v>{SILVER}</v>
      </c>
    </row>
    <row r="9" spans="1:79"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1"/>
        <v/>
      </c>
      <c r="BV9" t="str">
        <f t="shared" si="12"/>
        <v>tender_RAIL</v>
      </c>
      <c r="BW9" t="str">
        <f>VLOOKUP($BV9, Constants!$M:$N, 2, FALSE)</f>
        <v/>
      </c>
      <c r="BX9" t="str">
        <f t="shared" si="13"/>
        <v/>
      </c>
      <c r="BZ9" t="str">
        <f t="shared" si="10"/>
        <v/>
      </c>
      <c r="CA9" t="str">
        <f t="shared" si="14"/>
        <v>{SILVER}</v>
      </c>
    </row>
    <row r="10" spans="1:79"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1"/>
        <v/>
      </c>
      <c r="BV10" t="str">
        <f t="shared" si="12"/>
        <v>tender_RAIL</v>
      </c>
      <c r="BW10" t="str">
        <f>VLOOKUP($BV10, Constants!$M:$N, 2, FALSE)</f>
        <v/>
      </c>
      <c r="BX10" t="str">
        <f t="shared" si="13"/>
        <v/>
      </c>
      <c r="BZ10" t="str">
        <f t="shared" si="10"/>
        <v/>
      </c>
      <c r="CA10" t="str">
        <f t="shared" si="14"/>
        <v>{SILVER}</v>
      </c>
    </row>
    <row r="11" spans="1:79"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1"/>
        <v/>
      </c>
      <c r="BV11" t="str">
        <f t="shared" si="12"/>
        <v>tender_RAIL</v>
      </c>
      <c r="BW11" t="str">
        <f>VLOOKUP($BV11, Constants!$M:$N, 2, FALSE)</f>
        <v/>
      </c>
      <c r="BX11" t="str">
        <f t="shared" si="13"/>
        <v/>
      </c>
      <c r="BZ11" t="str">
        <f t="shared" si="10"/>
        <v/>
      </c>
      <c r="CA11" t="str">
        <f t="shared" si="14"/>
        <v>{SILVER}</v>
      </c>
    </row>
    <row r="12" spans="1:79"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1"/>
        <v/>
      </c>
      <c r="BV12" t="str">
        <f t="shared" si="12"/>
        <v>tender_RAIL</v>
      </c>
      <c r="BW12" t="str">
        <f>VLOOKUP($BV12, Constants!$M:$N, 2, FALSE)</f>
        <v/>
      </c>
      <c r="BX12" t="str">
        <f t="shared" si="13"/>
        <v/>
      </c>
      <c r="BZ12" t="str">
        <f t="shared" si="10"/>
        <v/>
      </c>
      <c r="CA12" t="str">
        <f t="shared" si="14"/>
        <v>{SILVER}</v>
      </c>
    </row>
    <row r="13" spans="1:79"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1"/>
        <v/>
      </c>
      <c r="BV13" t="str">
        <f t="shared" si="12"/>
        <v>tender_RAIL</v>
      </c>
      <c r="BW13" t="str">
        <f>VLOOKUP($BV13, Constants!$M:$N, 2, FALSE)</f>
        <v/>
      </c>
      <c r="BX13" t="str">
        <f t="shared" si="13"/>
        <v/>
      </c>
      <c r="BZ13" t="str">
        <f t="shared" si="10"/>
        <v/>
      </c>
      <c r="CA13" t="str">
        <f t="shared" si="14"/>
        <v>{SILVER}</v>
      </c>
    </row>
    <row r="14" spans="1:79"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1"/>
        <v/>
      </c>
      <c r="BV14" t="str">
        <f t="shared" si="12"/>
        <v>tender_RAIL</v>
      </c>
      <c r="BW14" t="str">
        <f>VLOOKUP($BV14, Constants!$M:$N, 2, FALSE)</f>
        <v/>
      </c>
      <c r="BX14" t="str">
        <f t="shared" si="13"/>
        <v/>
      </c>
      <c r="BZ14" t="str">
        <f t="shared" si="10"/>
        <v/>
      </c>
      <c r="CA14" t="str">
        <f t="shared" si="14"/>
        <v>{SILVER}</v>
      </c>
    </row>
    <row r="15" spans="1:79"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1"/>
        <v/>
      </c>
      <c r="BV15" t="str">
        <f t="shared" si="12"/>
        <v>tender_RAIL</v>
      </c>
      <c r="BW15" t="str">
        <f>VLOOKUP($BV15, Constants!$M:$N, 2, FALSE)</f>
        <v/>
      </c>
      <c r="BX15" t="str">
        <f t="shared" si="13"/>
        <v/>
      </c>
      <c r="BZ15" t="str">
        <f t="shared" si="10"/>
        <v/>
      </c>
      <c r="CA15" t="str">
        <f t="shared" si="14"/>
        <v>{SILVER}</v>
      </c>
    </row>
    <row r="16" spans="1:79"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1"/>
        <v/>
      </c>
      <c r="BV16" t="str">
        <f t="shared" si="12"/>
        <v>tender_RAIL</v>
      </c>
      <c r="BW16" t="str">
        <f>VLOOKUP($BV16, Constants!$M:$N, 2, FALSE)</f>
        <v/>
      </c>
      <c r="BX16" t="str">
        <f t="shared" si="13"/>
        <v/>
      </c>
      <c r="BZ16" t="str">
        <f t="shared" si="10"/>
        <v/>
      </c>
      <c r="CA16" t="str">
        <f t="shared" si="14"/>
        <v>{SILVER}</v>
      </c>
    </row>
    <row r="17" spans="1:79"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1"/>
        <v/>
      </c>
      <c r="BV17" t="str">
        <f t="shared" si="12"/>
        <v>tender_RAIL</v>
      </c>
      <c r="BW17" t="str">
        <f>VLOOKUP($BV17, Constants!$M:$N, 2, FALSE)</f>
        <v/>
      </c>
      <c r="BX17" t="str">
        <f t="shared" si="13"/>
        <v/>
      </c>
      <c r="BZ17" t="str">
        <f t="shared" si="10"/>
        <v/>
      </c>
      <c r="CA17" t="str">
        <f t="shared" si="14"/>
        <v>{SILVER}</v>
      </c>
    </row>
    <row r="18" spans="1:79"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15">Y18</f>
        <v>80</v>
      </c>
      <c r="BN18">
        <v>1</v>
      </c>
      <c r="BO18">
        <v>185</v>
      </c>
      <c r="BP18" t="s">
        <v>940</v>
      </c>
      <c r="BQ18" t="s">
        <v>323</v>
      </c>
      <c r="BR18" t="str">
        <f>VLOOKUP(G18,Eras!$A$2:$C$10, 2, TRUE)</f>
        <v>vct</v>
      </c>
      <c r="BS18" t="s">
        <v>375</v>
      </c>
      <c r="BT18" t="str">
        <f t="shared" si="9"/>
        <v>vct_Carriage</v>
      </c>
      <c r="BU18" t="str">
        <f t="shared" si="11"/>
        <v/>
      </c>
      <c r="BV18" t="str">
        <f t="shared" si="12"/>
        <v>carriage_RAIL</v>
      </c>
      <c r="BW18" t="str">
        <f>VLOOKUP($BV18, Constants!$M:$N, 2, FALSE)</f>
        <v/>
      </c>
      <c r="BX18" t="str">
        <f t="shared" si="13"/>
        <v/>
      </c>
      <c r="BY18" t="s">
        <v>774</v>
      </c>
      <c r="BZ18" t="str">
        <f t="shared" si="10"/>
        <v/>
      </c>
      <c r="CA18" t="str">
        <f t="shared" si="14"/>
        <v>{SILVER}Toward the end of the Victorian era, passenger carriages began to be mounted on bogies rather than fixed axles. Many featured clerestory-style roofs.</v>
      </c>
    </row>
    <row r="19" spans="1:79"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15"/>
        <v>85</v>
      </c>
      <c r="BN19">
        <v>1</v>
      </c>
      <c r="BO19">
        <v>185</v>
      </c>
      <c r="BP19" t="s">
        <v>940</v>
      </c>
      <c r="BQ19" t="s">
        <v>323</v>
      </c>
      <c r="BR19" t="str">
        <f>VLOOKUP(G19,Eras!$A$2:$C$10, 2, TRUE)</f>
        <v>edw</v>
      </c>
      <c r="BS19" t="s">
        <v>375</v>
      </c>
      <c r="BT19" t="str">
        <f t="shared" si="9"/>
        <v>edw_Carriage</v>
      </c>
      <c r="BU19" t="str">
        <f t="shared" si="11"/>
        <v/>
      </c>
      <c r="BV19" t="str">
        <f t="shared" si="12"/>
        <v>carriage_RAIL</v>
      </c>
      <c r="BW19" t="str">
        <f>VLOOKUP($BV19, Constants!$M:$N, 2, FALSE)</f>
        <v/>
      </c>
      <c r="BX19" t="str">
        <f t="shared" si="13"/>
        <v/>
      </c>
      <c r="BY19" t="s">
        <v>445</v>
      </c>
      <c r="BZ19" t="str">
        <f t="shared" si="10"/>
        <v/>
      </c>
      <c r="CA19" t="str">
        <f t="shared" si="14"/>
        <v>{SILVER}In the early 20th century passenger coaches were stretched to greater lengths. This is a typical LNWR design.</v>
      </c>
    </row>
    <row r="20" spans="1:79"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15"/>
        <v>95</v>
      </c>
      <c r="BN20">
        <v>1</v>
      </c>
      <c r="BO20">
        <v>260</v>
      </c>
      <c r="BP20" t="s">
        <v>940</v>
      </c>
      <c r="BQ20" t="s">
        <v>323</v>
      </c>
      <c r="BR20" t="str">
        <f>VLOOKUP(G20,Eras!$A$2:$C$10, 2, TRUE)</f>
        <v>big4</v>
      </c>
      <c r="BS20" t="s">
        <v>375</v>
      </c>
      <c r="BT20" t="str">
        <f t="shared" si="9"/>
        <v>big4_Carriage</v>
      </c>
      <c r="BU20" t="str">
        <f t="shared" si="11"/>
        <v/>
      </c>
      <c r="BV20" t="str">
        <f t="shared" si="12"/>
        <v>luxury_carriage_RAIL</v>
      </c>
      <c r="BW20" t="str">
        <f>VLOOKUP($BV20, Constants!$M:$N, 2, FALSE)</f>
        <v/>
      </c>
      <c r="BX20" t="str">
        <f t="shared" si="13"/>
        <v/>
      </c>
      <c r="BY20" t="s">
        <v>496</v>
      </c>
      <c r="BZ20" t="str">
        <f>IF(BQ20="BRAKE","{YELLOW}Speed bonus for slow wagons{}",IF(BO20&gt;190,CONCATENATE("{YELLOW}",INT((BO20-185)/1.85),"% Bonus for long distance travel{}"),IF(AND(BO20&lt;180,BO20&lt;&gt;0),CONCATENATE("{YELLOW}",INT((185-BO20)/1.85),"% Penalty for long distance travel{}"),"")))</f>
        <v>{YELLOW}40% Bonus for long distance travel{}</v>
      </c>
      <c r="CA20" t="str">
        <f t="shared" si="14"/>
        <v>{YELLOW}40% Bonus for long distance travel{}{SILVER}The luxurious Pullman cars were large  and heavy, with many still in use today for restaurant services.</v>
      </c>
    </row>
    <row r="21" spans="1:79"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15"/>
        <v>130</v>
      </c>
      <c r="BN21">
        <v>1</v>
      </c>
      <c r="BO21">
        <v>222</v>
      </c>
      <c r="BP21" t="s">
        <v>940</v>
      </c>
      <c r="BQ21" t="s">
        <v>323</v>
      </c>
      <c r="BR21" t="str">
        <f>VLOOKUP(G21,Eras!$A$2:$C$10, 2, TRUE)</f>
        <v>big4</v>
      </c>
      <c r="BS21" t="s">
        <v>375</v>
      </c>
      <c r="BT21" t="str">
        <f t="shared" si="9"/>
        <v>big4_Carriage</v>
      </c>
      <c r="BU21" t="str">
        <f t="shared" si="11"/>
        <v/>
      </c>
      <c r="BV21" t="str">
        <f t="shared" si="12"/>
        <v>luxury_carriage_RAIL</v>
      </c>
      <c r="BW21" t="str">
        <f>VLOOKUP($BV21, Constants!$M:$N, 2, FALSE)</f>
        <v/>
      </c>
      <c r="BX21" t="str">
        <f t="shared" si="13"/>
        <v/>
      </c>
      <c r="BY21" t="s">
        <v>1190</v>
      </c>
      <c r="BZ21" t="str">
        <f t="shared" ref="BZ21:BZ84" si="16">IF(BQ21="BRAKE","{YELLOW}Speed bonus for slow wagons{}",IF(BO21&gt;190,CONCATENATE("{YELLOW}",INT((BO21-185)/1.85),"% Bonus for long distance travel{}"),IF(AND(BO21&lt;180,BO21&lt;&gt;0),CONCATENATE("{YELLOW}",INT((185-BO21)/1.85),"% Penalty for long distance travel{}"),"")))</f>
        <v>{YELLOW}20% Bonus for long distance travel{}</v>
      </c>
      <c r="CA21" t="str">
        <f t="shared" si="14"/>
        <v>{YELLOW}20% Bonus for long distance travel{}{SILVER}As express services increased in speed, carriages were streamlined with valances between bogies and flexible walls connecting each carriage.</v>
      </c>
    </row>
    <row r="22" spans="1:79"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15"/>
        <v>100</v>
      </c>
      <c r="BN22">
        <v>1</v>
      </c>
      <c r="BO22">
        <v>185</v>
      </c>
      <c r="BP22" t="s">
        <v>940</v>
      </c>
      <c r="BQ22" t="s">
        <v>323</v>
      </c>
      <c r="BR22" t="str">
        <f>VLOOKUP(G22,Eras!$A$2:$C$10, 2, TRUE)</f>
        <v>ebr</v>
      </c>
      <c r="BS22" t="s">
        <v>375</v>
      </c>
      <c r="BT22" t="str">
        <f t="shared" si="9"/>
        <v>ebr_Carriage</v>
      </c>
      <c r="BU22" t="str">
        <f t="shared" si="11"/>
        <v/>
      </c>
      <c r="BV22" t="str">
        <f t="shared" si="12"/>
        <v>carriage_RAIL</v>
      </c>
      <c r="BW22" t="str">
        <f>VLOOKUP($BV22, Constants!$M:$N, 2, FALSE)</f>
        <v/>
      </c>
      <c r="BX22" t="str">
        <f t="shared" si="13"/>
        <v/>
      </c>
      <c r="BY22" t="s">
        <v>678</v>
      </c>
      <c r="BZ22" t="str">
        <f t="shared" si="16"/>
        <v/>
      </c>
      <c r="CA22" t="str">
        <f t="shared" si="14"/>
        <v>{SILVER}The Mk1 carriage combined best practice from the different Big Four carriage designs into a single standard design that could be used across the BR network.</v>
      </c>
    </row>
    <row r="23" spans="1:79"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15"/>
        <v>110</v>
      </c>
      <c r="BN23">
        <v>1</v>
      </c>
      <c r="BO23">
        <v>185</v>
      </c>
      <c r="BP23" t="s">
        <v>940</v>
      </c>
      <c r="BQ23" t="s">
        <v>323</v>
      </c>
      <c r="BR23" t="str">
        <f>VLOOKUP(G23,Eras!$A$2:$C$10, 2, TRUE)</f>
        <v>dsl</v>
      </c>
      <c r="BS23" t="s">
        <v>375</v>
      </c>
      <c r="BT23" t="str">
        <f t="shared" si="9"/>
        <v>dsl_Carriage</v>
      </c>
      <c r="BU23" t="str">
        <f t="shared" si="11"/>
        <v/>
      </c>
      <c r="BV23" t="str">
        <f t="shared" si="12"/>
        <v>carriage_RAIL</v>
      </c>
      <c r="BW23" t="str">
        <f>VLOOKUP($BV23, Constants!$M:$N, 2, FALSE)</f>
        <v/>
      </c>
      <c r="BX23" t="str">
        <f t="shared" si="13"/>
        <v/>
      </c>
      <c r="BY23" t="s">
        <v>401</v>
      </c>
      <c r="BZ23" t="str">
        <f t="shared" si="16"/>
        <v/>
      </c>
      <c r="CA23" t="str">
        <f t="shared" si="14"/>
        <v>{SILVER}The Mk2 carriage is the second BR carriage design. It was built to be stronger than the Mk1, giving better corrosion resistance and being safer for passengers in an accident.</v>
      </c>
    </row>
    <row r="24" spans="1:79"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15"/>
        <v>125</v>
      </c>
      <c r="BN24">
        <v>2</v>
      </c>
      <c r="BO24">
        <v>205</v>
      </c>
      <c r="BP24" t="s">
        <v>940</v>
      </c>
      <c r="BQ24" t="s">
        <v>323</v>
      </c>
      <c r="BR24" t="str">
        <f>VLOOKUP(G24,Eras!$A$2:$C$10, 2, TRUE)</f>
        <v>lbr</v>
      </c>
      <c r="BS24" t="s">
        <v>375</v>
      </c>
      <c r="BT24" t="str">
        <f t="shared" si="9"/>
        <v>lbr_Carriage</v>
      </c>
      <c r="BU24" t="str">
        <f t="shared" si="11"/>
        <v/>
      </c>
      <c r="BV24" t="str">
        <f t="shared" si="12"/>
        <v>carriage_RAIL</v>
      </c>
      <c r="BW24" t="str">
        <f>VLOOKUP($BV24, Constants!$M:$N, 2, FALSE)</f>
        <v/>
      </c>
      <c r="BX24" t="str">
        <f t="shared" si="13"/>
        <v/>
      </c>
      <c r="BY24" t="s">
        <v>402</v>
      </c>
      <c r="BZ24" t="str">
        <f t="shared" si="16"/>
        <v>{YELLOW}10% Bonus for long distance travel{}</v>
      </c>
      <c r="CA24" t="str">
        <f t="shared" si="14"/>
        <v xml:space="preserve">{YELLOW}10% Bonus for long distance travel{}{SILVER}The Mk3 carriage is designed for higher speed operation, capable of running at up to 125mph. The first Mk3 carriages were built for the prototype HST. </v>
      </c>
    </row>
    <row r="25" spans="1:79"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15"/>
        <v>140</v>
      </c>
      <c r="BN25">
        <v>7</v>
      </c>
      <c r="BO25">
        <v>222</v>
      </c>
      <c r="BP25" t="s">
        <v>940</v>
      </c>
      <c r="BQ25" t="s">
        <v>323</v>
      </c>
      <c r="BR25" t="str">
        <f>VLOOKUP(G25,Eras!$A$2:$C$10, 2, TRUE)</f>
        <v>lbr</v>
      </c>
      <c r="BS25" t="s">
        <v>375</v>
      </c>
      <c r="BT25" t="str">
        <f t="shared" si="9"/>
        <v>lbr_Carriage</v>
      </c>
      <c r="BU25" t="str">
        <f t="shared" si="11"/>
        <v/>
      </c>
      <c r="BV25" t="str">
        <f t="shared" si="12"/>
        <v>carriage_RAIL</v>
      </c>
      <c r="BW25" t="str">
        <f>VLOOKUP($BV25, Constants!$M:$N, 2, FALSE)</f>
        <v/>
      </c>
      <c r="BX25" t="str">
        <f t="shared" si="13"/>
        <v/>
      </c>
      <c r="BY25" t="s">
        <v>625</v>
      </c>
      <c r="BZ25" t="str">
        <f t="shared" si="16"/>
        <v>{YELLOW}20% Bonus for long distance travel{}</v>
      </c>
      <c r="CA25" t="str">
        <f t="shared" si="14"/>
        <v>{YELLOW}20% Bonus for long distance travel{}{SILVER}The Mk4 carriage is a further improvement on the Mk3. It's designed for use with the Class 91 for Intercity 225 services.</v>
      </c>
    </row>
    <row r="26" spans="1:79"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17">INT(Y26*1.25)</f>
        <v>43</v>
      </c>
      <c r="BN26">
        <v>1</v>
      </c>
      <c r="BO26">
        <v>185</v>
      </c>
      <c r="BP26" t="s">
        <v>1107</v>
      </c>
      <c r="BQ26" t="s">
        <v>779</v>
      </c>
      <c r="BR26" t="str">
        <f>VLOOKUP(G26,Eras!$A$2:$C$10, 2, TRUE)</f>
        <v>vct</v>
      </c>
      <c r="BS26" t="s">
        <v>380</v>
      </c>
      <c r="BT26" t="str">
        <f t="shared" si="9"/>
        <v>vct_Open Wagon</v>
      </c>
      <c r="BU26" t="str">
        <f t="shared" si="11"/>
        <v/>
      </c>
      <c r="BV26" t="str">
        <f t="shared" si="12"/>
        <v>wagon_RAIL</v>
      </c>
      <c r="BW26" t="str">
        <f>VLOOKUP($BV26, Constants!$M:$N, 2, FALSE)</f>
        <v/>
      </c>
      <c r="BX26" t="str">
        <f t="shared" si="13"/>
        <v/>
      </c>
      <c r="BY26" t="s">
        <v>404</v>
      </c>
      <c r="BZ26" t="str">
        <f t="shared" si="16"/>
        <v/>
      </c>
      <c r="CA26" t="str">
        <f t="shared" si="14"/>
        <v>{SILVER}Open "plank" wagons are named for the number of planks used in the construction of their sides.</v>
      </c>
    </row>
    <row r="27" spans="1:79"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17"/>
        <v>56</v>
      </c>
      <c r="BN27">
        <v>1</v>
      </c>
      <c r="BO27">
        <v>185</v>
      </c>
      <c r="BP27" t="s">
        <v>1107</v>
      </c>
      <c r="BQ27" t="s">
        <v>779</v>
      </c>
      <c r="BR27" t="str">
        <f>VLOOKUP(G27,Eras!$A$2:$C$10, 2, TRUE)</f>
        <v>edw</v>
      </c>
      <c r="BS27" t="s">
        <v>380</v>
      </c>
      <c r="BT27" t="str">
        <f t="shared" si="9"/>
        <v>edw_Open Wagon</v>
      </c>
      <c r="BU27" t="str">
        <f t="shared" si="11"/>
        <v/>
      </c>
      <c r="BV27" t="str">
        <f t="shared" si="12"/>
        <v>wagon_RAIL</v>
      </c>
      <c r="BW27" t="str">
        <f>VLOOKUP($BV27, Constants!$M:$N, 2, FALSE)</f>
        <v/>
      </c>
      <c r="BX27" t="str">
        <f t="shared" si="13"/>
        <v/>
      </c>
      <c r="BY27" t="s">
        <v>405</v>
      </c>
      <c r="BZ27" t="str">
        <f t="shared" si="16"/>
        <v/>
      </c>
      <c r="CA27" t="str">
        <f t="shared" si="14"/>
        <v>{SILVER}The 5 plank wagon became one of the common standard types used by the GWR, with thousands built.</v>
      </c>
    </row>
    <row r="28" spans="1:79"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17"/>
        <v>62</v>
      </c>
      <c r="BN28">
        <v>1</v>
      </c>
      <c r="BO28">
        <v>185</v>
      </c>
      <c r="BP28" t="s">
        <v>1107</v>
      </c>
      <c r="BQ28" t="s">
        <v>779</v>
      </c>
      <c r="BR28" t="str">
        <f>VLOOKUP(G28,Eras!$A$2:$C$10, 2, TRUE)</f>
        <v>big4</v>
      </c>
      <c r="BS28" t="s">
        <v>380</v>
      </c>
      <c r="BT28" t="str">
        <f t="shared" si="9"/>
        <v>big4_Open Wagon</v>
      </c>
      <c r="BU28" t="str">
        <f t="shared" si="11"/>
        <v/>
      </c>
      <c r="BV28" t="str">
        <f t="shared" si="12"/>
        <v>wagon_RAIL</v>
      </c>
      <c r="BW28" t="str">
        <f>VLOOKUP($BV28, Constants!$M:$N, 2, FALSE)</f>
        <v/>
      </c>
      <c r="BX28" t="str">
        <f t="shared" si="13"/>
        <v/>
      </c>
      <c r="BY28" t="s">
        <v>780</v>
      </c>
      <c r="BZ28" t="str">
        <f t="shared" si="16"/>
        <v/>
      </c>
      <c r="CA28" t="str">
        <f t="shared" si="14"/>
        <v>{SILVER}Steel wagons were introduced in the 1930s to have a longer service life than wooden wagons, which were proving uneconomical for many owners to operate after recessions at the start of the decade.</v>
      </c>
    </row>
    <row r="29" spans="1:79"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17"/>
        <v>75</v>
      </c>
      <c r="BN29">
        <v>1</v>
      </c>
      <c r="BO29">
        <v>185</v>
      </c>
      <c r="BP29" t="s">
        <v>1107</v>
      </c>
      <c r="BQ29" t="s">
        <v>779</v>
      </c>
      <c r="BR29" t="str">
        <f>VLOOKUP(G29,Eras!$A$2:$C$10, 2, TRUE)</f>
        <v>ebr</v>
      </c>
      <c r="BS29" t="s">
        <v>380</v>
      </c>
      <c r="BT29" t="str">
        <f t="shared" si="9"/>
        <v>ebr_Open Wagon</v>
      </c>
      <c r="BU29" t="str">
        <f t="shared" si="11"/>
        <v/>
      </c>
      <c r="BV29" t="str">
        <f t="shared" si="12"/>
        <v>wagon_RAIL</v>
      </c>
      <c r="BW29" t="str">
        <f>VLOOKUP($BV29, Constants!$M:$N, 2, FALSE)</f>
        <v/>
      </c>
      <c r="BX29" t="str">
        <f t="shared" si="13"/>
        <v/>
      </c>
      <c r="BY29" t="s">
        <v>786</v>
      </c>
      <c r="BZ29" t="str">
        <f t="shared" si="16"/>
        <v/>
      </c>
      <c r="CA29" t="str">
        <f t="shared" si="14"/>
        <v>{SILVER}BR continued to make steel bodied wagons following LNER designs, gradually altering the body style.</v>
      </c>
    </row>
    <row r="30" spans="1:79"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17"/>
        <v>87</v>
      </c>
      <c r="BN30">
        <v>1</v>
      </c>
      <c r="BO30">
        <v>185</v>
      </c>
      <c r="BP30" t="s">
        <v>1107</v>
      </c>
      <c r="BQ30" t="s">
        <v>779</v>
      </c>
      <c r="BR30" t="str">
        <f>VLOOKUP(G30,Eras!$A$2:$C$10, 2, TRUE)</f>
        <v>lbr</v>
      </c>
      <c r="BS30" t="s">
        <v>380</v>
      </c>
      <c r="BT30" t="str">
        <f t="shared" si="9"/>
        <v>lbr_Open Wagon</v>
      </c>
      <c r="BU30" t="str">
        <f t="shared" si="11"/>
        <v/>
      </c>
      <c r="BV30" t="str">
        <f t="shared" si="12"/>
        <v>wagon_RAIL</v>
      </c>
      <c r="BW30" t="str">
        <f>VLOOKUP($BV30, Constants!$M:$N, 2, FALSE)</f>
        <v/>
      </c>
      <c r="BX30" t="str">
        <f t="shared" si="13"/>
        <v/>
      </c>
      <c r="BY30" t="s">
        <v>787</v>
      </c>
      <c r="BZ30" t="str">
        <f t="shared" si="16"/>
        <v/>
      </c>
      <c r="CA30" t="str">
        <f t="shared" si="14"/>
        <v>{SILVER}The OAA/OBA wagons were BR's first air braked open wagons, later forming part of the Speedlink network. They featured steel end frames with wooden drop sides.</v>
      </c>
    </row>
    <row r="31" spans="1:79"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17"/>
        <v>100</v>
      </c>
      <c r="BN31">
        <v>1</v>
      </c>
      <c r="BO31">
        <v>185</v>
      </c>
      <c r="BP31" t="s">
        <v>1107</v>
      </c>
      <c r="BQ31" t="s">
        <v>779</v>
      </c>
      <c r="BR31" t="str">
        <f>VLOOKUP(G31,Eras!$A$2:$C$10, 2, TRUE)</f>
        <v>lbr</v>
      </c>
      <c r="BS31" t="s">
        <v>380</v>
      </c>
      <c r="BT31" t="str">
        <f t="shared" si="9"/>
        <v>lbr_Open Wagon</v>
      </c>
      <c r="BU31" t="str">
        <f t="shared" si="11"/>
        <v/>
      </c>
      <c r="BV31" t="str">
        <f t="shared" si="12"/>
        <v>wagon_RAIL</v>
      </c>
      <c r="BW31" t="str">
        <f>VLOOKUP($BV31, Constants!$M:$N, 2, FALSE)</f>
        <v/>
      </c>
      <c r="BX31" t="str">
        <f t="shared" si="13"/>
        <v/>
      </c>
      <c r="BY31" t="s">
        <v>791</v>
      </c>
      <c r="BZ31" t="str">
        <f t="shared" si="16"/>
        <v/>
      </c>
      <c r="CA31" t="str">
        <f t="shared" si="14"/>
        <v>{SILVER}MEA wagons used frames from old hopper wagons combined with a new box body.</v>
      </c>
    </row>
    <row r="32" spans="1:79"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17"/>
        <v>100</v>
      </c>
      <c r="BN32">
        <v>1</v>
      </c>
      <c r="BO32">
        <v>185</v>
      </c>
      <c r="BP32" t="s">
        <v>1107</v>
      </c>
      <c r="BQ32" t="s">
        <v>779</v>
      </c>
      <c r="BR32" t="str">
        <f>VLOOKUP(G32,Eras!$A$2:$C$10, 2, TRUE)</f>
        <v>mod</v>
      </c>
      <c r="BS32" t="s">
        <v>380</v>
      </c>
      <c r="BT32" t="str">
        <f t="shared" si="9"/>
        <v>mod_Open Wagon</v>
      </c>
      <c r="BU32" t="str">
        <f t="shared" si="11"/>
        <v/>
      </c>
      <c r="BV32" t="str">
        <f t="shared" si="12"/>
        <v>wagon_RAIL</v>
      </c>
      <c r="BW32" t="str">
        <f>VLOOKUP($BV32, Constants!$M:$N, 2, FALSE)</f>
        <v/>
      </c>
      <c r="BX32" t="str">
        <f t="shared" si="13"/>
        <v/>
      </c>
      <c r="BY32" t="s">
        <v>792</v>
      </c>
      <c r="BZ32" t="str">
        <f t="shared" si="16"/>
        <v/>
      </c>
      <c r="CA32" t="str">
        <f t="shared" si="14"/>
        <v>{SILVER}The MWA is another wagon rebuilt using new bodies on an old frame, resulting in a high capacity bogie open wagon.</v>
      </c>
    </row>
    <row r="33" spans="1:79"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17"/>
        <v>75</v>
      </c>
      <c r="BN33">
        <v>1</v>
      </c>
      <c r="BO33">
        <v>185</v>
      </c>
      <c r="BP33" t="s">
        <v>1107</v>
      </c>
      <c r="BQ33" t="s">
        <v>779</v>
      </c>
      <c r="BR33" t="str">
        <f>VLOOKUP(G33,Eras!$A$2:$C$10, 2, TRUE)</f>
        <v>dsl</v>
      </c>
      <c r="BS33" t="s">
        <v>380</v>
      </c>
      <c r="BT33" t="str">
        <f t="shared" si="9"/>
        <v>dsl_Open Wagon</v>
      </c>
      <c r="BU33" t="str">
        <f t="shared" si="11"/>
        <v/>
      </c>
      <c r="BV33" t="str">
        <f t="shared" si="12"/>
        <v>wagon_RAIL</v>
      </c>
      <c r="BW33" t="str">
        <f>VLOOKUP($BV33, Constants!$M:$N, 2, FALSE)</f>
        <v/>
      </c>
      <c r="BX33" t="str">
        <f t="shared" si="13"/>
        <v/>
      </c>
      <c r="BY33" t="s">
        <v>797</v>
      </c>
      <c r="BZ33" t="str">
        <f t="shared" si="16"/>
        <v/>
      </c>
      <c r="CA33" t="str">
        <f t="shared" si="14"/>
        <v>{SILVER}MGR "merry-go-round" hoppers enabled coal trains to load and unload without stopping, emptying coal into discharge hoppers underneath the wagons. In OpenTTD this is represented by faster loading speeds.</v>
      </c>
    </row>
    <row r="34" spans="1:79"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17"/>
        <v>100</v>
      </c>
      <c r="BN34">
        <v>1</v>
      </c>
      <c r="BO34">
        <v>185</v>
      </c>
      <c r="BP34" t="s">
        <v>1107</v>
      </c>
      <c r="BQ34" t="s">
        <v>779</v>
      </c>
      <c r="BR34" t="str">
        <f>VLOOKUP(G34,Eras!$A$2:$C$10, 2, TRUE)</f>
        <v>prv</v>
      </c>
      <c r="BS34" t="s">
        <v>380</v>
      </c>
      <c r="BT34" t="str">
        <f t="shared" si="9"/>
        <v>prv_Open Wagon</v>
      </c>
      <c r="BU34" t="str">
        <f t="shared" si="11"/>
        <v/>
      </c>
      <c r="BV34" t="str">
        <f t="shared" si="12"/>
        <v>wagon_RAIL</v>
      </c>
      <c r="BW34" t="str">
        <f>VLOOKUP($BV34, Constants!$M:$N, 2, FALSE)</f>
        <v/>
      </c>
      <c r="BX34" t="str">
        <f t="shared" si="13"/>
        <v/>
      </c>
      <c r="BY34" t="s">
        <v>793</v>
      </c>
      <c r="BZ34" t="str">
        <f t="shared" si="16"/>
        <v/>
      </c>
      <c r="CA34" t="str">
        <f t="shared" si="14"/>
        <v>{SILVER}The HHA is a large self-discharging hopper built for Freightliner to use on coal trains.</v>
      </c>
    </row>
    <row r="35" spans="1:79"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17"/>
        <v>75</v>
      </c>
      <c r="BN35">
        <v>1</v>
      </c>
      <c r="BO35">
        <v>185</v>
      </c>
      <c r="BP35" t="s">
        <v>1110</v>
      </c>
      <c r="BQ35" t="s">
        <v>326</v>
      </c>
      <c r="BR35" t="str">
        <f>VLOOKUP(G35,Eras!$A$2:$C$10, 2, TRUE)</f>
        <v>big4</v>
      </c>
      <c r="BS35" t="s">
        <v>758</v>
      </c>
      <c r="BT35" t="str">
        <f t="shared" si="9"/>
        <v>big4_Extra</v>
      </c>
      <c r="BU35" t="str">
        <f t="shared" si="11"/>
        <v/>
      </c>
      <c r="BV35" t="str">
        <f t="shared" si="12"/>
        <v>wagon_RAIL</v>
      </c>
      <c r="BW35" t="str">
        <f>VLOOKUP($BV35, Constants!$M:$N, 2, FALSE)</f>
        <v/>
      </c>
      <c r="BX35" t="str">
        <f t="shared" si="13"/>
        <v/>
      </c>
      <c r="BY35" t="s">
        <v>862</v>
      </c>
      <c r="BZ35" t="str">
        <f t="shared" si="16"/>
        <v/>
      </c>
      <c r="CA35" t="str">
        <f t="shared" si="14"/>
        <v>{SILVER}Conflats were built to carry containers, meaning goods could be loaded seperately and then the whole container placed on the train in one operation.</v>
      </c>
    </row>
    <row r="36" spans="1:79"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17"/>
        <v>87</v>
      </c>
      <c r="BN36">
        <v>1</v>
      </c>
      <c r="BO36">
        <v>185</v>
      </c>
      <c r="BP36" t="s">
        <v>1110</v>
      </c>
      <c r="BQ36" t="s">
        <v>326</v>
      </c>
      <c r="BR36" t="str">
        <f>VLOOKUP(G36,Eras!$A$2:$C$10, 2, TRUE)</f>
        <v>dsl</v>
      </c>
      <c r="BS36" t="s">
        <v>758</v>
      </c>
      <c r="BT36" t="str">
        <f t="shared" si="9"/>
        <v>dsl_Extra</v>
      </c>
      <c r="BU36" t="str">
        <f t="shared" si="11"/>
        <v/>
      </c>
      <c r="BV36" t="str">
        <f t="shared" si="12"/>
        <v>wagon_RAIL</v>
      </c>
      <c r="BW36" t="str">
        <f>VLOOKUP($BV36, Constants!$M:$N, 2, FALSE)</f>
        <v/>
      </c>
      <c r="BX36" t="str">
        <f t="shared" si="13"/>
        <v/>
      </c>
      <c r="BY36" t="s">
        <v>863</v>
      </c>
      <c r="BZ36" t="str">
        <f t="shared" si="16"/>
        <v/>
      </c>
      <c r="CA36" t="str">
        <f t="shared" si="14"/>
        <v>{SILVER}The FFA container wagons were a major advance over short-wheelbase conflats when built, and being easily adapted to the then-new ISO container standard only increased this advantage.</v>
      </c>
    </row>
    <row r="37" spans="1:79"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17"/>
        <v>112</v>
      </c>
      <c r="BN37">
        <v>1</v>
      </c>
      <c r="BO37">
        <v>185</v>
      </c>
      <c r="BP37" t="s">
        <v>1110</v>
      </c>
      <c r="BQ37" t="s">
        <v>326</v>
      </c>
      <c r="BR37" t="str">
        <f>VLOOKUP(G37,Eras!$A$2:$C$10, 2, TRUE)</f>
        <v>lbr</v>
      </c>
      <c r="BS37" t="s">
        <v>758</v>
      </c>
      <c r="BT37" t="str">
        <f t="shared" si="9"/>
        <v>lbr_Extra</v>
      </c>
      <c r="BU37" t="str">
        <f t="shared" si="11"/>
        <v/>
      </c>
      <c r="BV37" t="str">
        <f t="shared" si="12"/>
        <v>wagon_RAIL</v>
      </c>
      <c r="BW37" t="str">
        <f>VLOOKUP($BV37, Constants!$M:$N, 2, FALSE)</f>
        <v/>
      </c>
      <c r="BX37" t="str">
        <f t="shared" si="13"/>
        <v/>
      </c>
      <c r="BY37" t="s">
        <v>864</v>
      </c>
      <c r="BZ37" t="str">
        <f t="shared" si="16"/>
        <v/>
      </c>
      <c r="CA37" t="str">
        <f t="shared" si="14"/>
        <v>{SILVER}Freightliner had considered replacing the FFA wagons with a shorter 40ft container flat, but the poor running quality of fixed axle wagons resulted in the choice of another standard bogie flat.</v>
      </c>
    </row>
    <row r="38" spans="1:79"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17"/>
        <v>112</v>
      </c>
      <c r="BN38">
        <v>1</v>
      </c>
      <c r="BO38">
        <v>185</v>
      </c>
      <c r="BP38" t="s">
        <v>1110</v>
      </c>
      <c r="BQ38" t="s">
        <v>326</v>
      </c>
      <c r="BR38" t="str">
        <f>VLOOKUP(G38,Eras!$A$2:$C$10, 2, TRUE)</f>
        <v>prv</v>
      </c>
      <c r="BS38" t="s">
        <v>758</v>
      </c>
      <c r="BT38" t="str">
        <f t="shared" si="9"/>
        <v>prv_Extra</v>
      </c>
      <c r="BU38" t="str">
        <f t="shared" si="11"/>
        <v/>
      </c>
      <c r="BV38" t="str">
        <f t="shared" si="12"/>
        <v>wagon_RAIL</v>
      </c>
      <c r="BW38" t="str">
        <f>VLOOKUP($BV38, Constants!$M:$N, 2, FALSE)</f>
        <v/>
      </c>
      <c r="BX38" t="str">
        <f t="shared" si="13"/>
        <v/>
      </c>
      <c r="BY38" t="s">
        <v>877</v>
      </c>
      <c r="BZ38" t="str">
        <f t="shared" si="16"/>
        <v/>
      </c>
      <c r="CA38" t="str">
        <f t="shared" si="14"/>
        <v>{SILVER}KTA wagons solve the problem of carrying high-cube containers in the small British loading gauge, using a "pocket" between the axles that can take either a single 40ft container or two 20ft ones.</v>
      </c>
    </row>
    <row r="39" spans="1:79"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17"/>
        <v>43</v>
      </c>
      <c r="BN39">
        <v>1</v>
      </c>
      <c r="BO39">
        <v>185</v>
      </c>
      <c r="BP39" t="s">
        <v>1109</v>
      </c>
      <c r="BQ39" t="s">
        <v>459</v>
      </c>
      <c r="BR39" t="str">
        <f>VLOOKUP(G39,Eras!$A$2:$C$10, 2, TRUE)</f>
        <v>vct</v>
      </c>
      <c r="BS39" t="s">
        <v>381</v>
      </c>
      <c r="BT39" t="str">
        <f t="shared" si="9"/>
        <v>vct_Flat Wagon</v>
      </c>
      <c r="BU39" t="str">
        <f t="shared" si="11"/>
        <v/>
      </c>
      <c r="BV39" t="str">
        <f t="shared" si="12"/>
        <v>wagon_RAIL</v>
      </c>
      <c r="BW39" t="str">
        <f>VLOOKUP($BV39, Constants!$M:$N, 2, FALSE)</f>
        <v/>
      </c>
      <c r="BX39" t="str">
        <f t="shared" si="13"/>
        <v/>
      </c>
      <c r="BY39" t="s">
        <v>846</v>
      </c>
      <c r="BZ39" t="str">
        <f t="shared" si="16"/>
        <v/>
      </c>
      <c r="CA39" t="str">
        <f t="shared" si="14"/>
        <v>{SILVER}Flat wagons carried goods such as metal pipes and wood, where a flat surface with bolsters for tying loads down was most convenient.</v>
      </c>
    </row>
    <row r="40" spans="1:79"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17"/>
        <v>56</v>
      </c>
      <c r="BN40">
        <v>1</v>
      </c>
      <c r="BO40">
        <v>185</v>
      </c>
      <c r="BP40" t="s">
        <v>1109</v>
      </c>
      <c r="BQ40" t="s">
        <v>459</v>
      </c>
      <c r="BR40" t="str">
        <f>VLOOKUP(G40,Eras!$A$2:$C$10, 2, TRUE)</f>
        <v>edw</v>
      </c>
      <c r="BS40" t="s">
        <v>381</v>
      </c>
      <c r="BT40" t="str">
        <f t="shared" si="9"/>
        <v>edw_Flat Wagon</v>
      </c>
      <c r="BU40" t="str">
        <f t="shared" si="11"/>
        <v/>
      </c>
      <c r="BV40" t="str">
        <f t="shared" si="12"/>
        <v>wagon_RAIL</v>
      </c>
      <c r="BW40" t="str">
        <f>VLOOKUP($BV40, Constants!$M:$N, 2, FALSE)</f>
        <v/>
      </c>
      <c r="BX40" t="str">
        <f t="shared" si="13"/>
        <v/>
      </c>
      <c r="BY40" t="s">
        <v>460</v>
      </c>
      <c r="BZ40" t="str">
        <f t="shared" si="16"/>
        <v/>
      </c>
      <c r="CA40" t="str">
        <f t="shared" si="14"/>
        <v>{SILVER}"Beaver" was the GWR telegraph code for a flat wagon, with an additional letter used to identify the length.</v>
      </c>
    </row>
    <row r="41" spans="1:79"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17"/>
        <v>56</v>
      </c>
      <c r="BN41">
        <v>1</v>
      </c>
      <c r="BO41">
        <v>185</v>
      </c>
      <c r="BP41" t="s">
        <v>1109</v>
      </c>
      <c r="BQ41" t="s">
        <v>459</v>
      </c>
      <c r="BR41" t="str">
        <f>VLOOKUP(G41,Eras!$A$2:$C$10, 2, TRUE)</f>
        <v>edw</v>
      </c>
      <c r="BS41" t="s">
        <v>381</v>
      </c>
      <c r="BT41" t="str">
        <f t="shared" si="9"/>
        <v>edw_Flat Wagon</v>
      </c>
      <c r="BU41" t="str">
        <f t="shared" si="11"/>
        <v/>
      </c>
      <c r="BV41" t="str">
        <f t="shared" si="12"/>
        <v>wagon_RAIL</v>
      </c>
      <c r="BW41" t="str">
        <f>VLOOKUP($BV41, Constants!$M:$N, 2, FALSE)</f>
        <v/>
      </c>
      <c r="BX41" t="str">
        <f t="shared" si="13"/>
        <v/>
      </c>
      <c r="BY41" t="s">
        <v>827</v>
      </c>
      <c r="BZ41" t="str">
        <f t="shared" si="16"/>
        <v/>
      </c>
      <c r="CA41" t="str">
        <f t="shared" si="14"/>
        <v>{SILVER}Bolster wagons were some of the earliest goods vehicles to use bogies rather than fixed axles. The wooden bolsters running across the wagon made long, rigid loads easy to tie down.</v>
      </c>
    </row>
    <row r="42" spans="1:79"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17"/>
        <v>62</v>
      </c>
      <c r="BN42">
        <v>1</v>
      </c>
      <c r="BO42">
        <v>185</v>
      </c>
      <c r="BP42" t="s">
        <v>1109</v>
      </c>
      <c r="BQ42" t="s">
        <v>459</v>
      </c>
      <c r="BR42" t="str">
        <f>VLOOKUP(G42,Eras!$A$2:$C$10, 2, TRUE)</f>
        <v>big4</v>
      </c>
      <c r="BS42" t="s">
        <v>381</v>
      </c>
      <c r="BT42" t="str">
        <f t="shared" si="9"/>
        <v>big4_Flat Wagon</v>
      </c>
      <c r="BU42" t="str">
        <f t="shared" si="11"/>
        <v/>
      </c>
      <c r="BV42" t="str">
        <f t="shared" si="12"/>
        <v>wagon_RAIL</v>
      </c>
      <c r="BW42" t="str">
        <f>VLOOKUP($BV42, Constants!$M:$N, 2, FALSE)</f>
        <v/>
      </c>
      <c r="BX42" t="str">
        <f t="shared" si="13"/>
        <v/>
      </c>
      <c r="BY42" t="s">
        <v>835</v>
      </c>
      <c r="BZ42" t="str">
        <f t="shared" si="16"/>
        <v/>
      </c>
      <c r="CA42" t="str">
        <f t="shared" si="14"/>
        <v>{SILVER}The LMS built double bolsters to carry welded rail, with single rails laid across multiple bolster wagons.</v>
      </c>
    </row>
    <row r="43" spans="1:79"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17"/>
        <v>75</v>
      </c>
      <c r="BN43">
        <v>1</v>
      </c>
      <c r="BO43">
        <v>185</v>
      </c>
      <c r="BP43" t="s">
        <v>1109</v>
      </c>
      <c r="BQ43" t="s">
        <v>459</v>
      </c>
      <c r="BR43" t="str">
        <f>VLOOKUP(G43,Eras!$A$2:$C$10, 2, TRUE)</f>
        <v>ebr</v>
      </c>
      <c r="BS43" t="s">
        <v>381</v>
      </c>
      <c r="BT43" t="str">
        <f t="shared" si="9"/>
        <v>ebr_Flat Wagon</v>
      </c>
      <c r="BU43" t="str">
        <f t="shared" si="11"/>
        <v/>
      </c>
      <c r="BV43" t="str">
        <f t="shared" si="12"/>
        <v>wagon_RAIL</v>
      </c>
      <c r="BW43" t="str">
        <f>VLOOKUP($BV43, Constants!$M:$N, 2, FALSE)</f>
        <v/>
      </c>
      <c r="BX43" t="str">
        <f t="shared" si="13"/>
        <v/>
      </c>
      <c r="BY43" t="s">
        <v>841</v>
      </c>
      <c r="BZ43" t="str">
        <f t="shared" si="16"/>
        <v/>
      </c>
      <c r="CA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79"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17"/>
        <v>87</v>
      </c>
      <c r="BN44">
        <v>1</v>
      </c>
      <c r="BO44">
        <v>185</v>
      </c>
      <c r="BP44" t="s">
        <v>1109</v>
      </c>
      <c r="BQ44" t="s">
        <v>459</v>
      </c>
      <c r="BR44" t="str">
        <f>VLOOKUP(G44,Eras!$A$2:$C$10, 2, TRUE)</f>
        <v>lbr</v>
      </c>
      <c r="BS44" t="s">
        <v>381</v>
      </c>
      <c r="BT44" t="str">
        <f t="shared" si="9"/>
        <v>lbr_Flat Wagon</v>
      </c>
      <c r="BU44" t="str">
        <f t="shared" si="11"/>
        <v/>
      </c>
      <c r="BV44" t="str">
        <f t="shared" si="12"/>
        <v>wagon_RAIL</v>
      </c>
      <c r="BW44" t="str">
        <f>VLOOKUP($BV44, Constants!$M:$N, 2, FALSE)</f>
        <v/>
      </c>
      <c r="BX44" t="str">
        <f t="shared" si="13"/>
        <v/>
      </c>
      <c r="BY44" t="s">
        <v>838</v>
      </c>
      <c r="BZ44" t="str">
        <f t="shared" si="16"/>
        <v/>
      </c>
      <c r="CA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9"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17"/>
        <v>106</v>
      </c>
      <c r="BN45">
        <v>1</v>
      </c>
      <c r="BO45">
        <v>185</v>
      </c>
      <c r="BP45" t="s">
        <v>1109</v>
      </c>
      <c r="BQ45" t="s">
        <v>459</v>
      </c>
      <c r="BR45" t="str">
        <f>VLOOKUP(G45,Eras!$A$2:$C$10, 2, TRUE)</f>
        <v>mod</v>
      </c>
      <c r="BS45" t="s">
        <v>381</v>
      </c>
      <c r="BT45" t="str">
        <f t="shared" si="9"/>
        <v>mod_Flat Wagon</v>
      </c>
      <c r="BU45" t="str">
        <f t="shared" si="11"/>
        <v/>
      </c>
      <c r="BV45" t="str">
        <f t="shared" si="12"/>
        <v>wagon_RAIL</v>
      </c>
      <c r="BW45" t="str">
        <f>VLOOKUP($BV45, Constants!$M:$N, 2, FALSE)</f>
        <v/>
      </c>
      <c r="BX45" t="str">
        <f t="shared" si="13"/>
        <v/>
      </c>
      <c r="BY45" t="s">
        <v>844</v>
      </c>
      <c r="BZ45" t="str">
        <f t="shared" si="16"/>
        <v/>
      </c>
      <c r="CA45" t="str">
        <f t="shared" si="14"/>
        <v>{SILVER}Despite the age of the "Salmon" bolster wagons, in 2009 they were refurbished with new end plates to make loading track panels simpler.</v>
      </c>
    </row>
    <row r="46" spans="1:79"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17"/>
        <v>87</v>
      </c>
      <c r="BN46">
        <v>1</v>
      </c>
      <c r="BO46">
        <v>185</v>
      </c>
      <c r="BP46" t="s">
        <v>955</v>
      </c>
      <c r="BQ46" t="s">
        <v>858</v>
      </c>
      <c r="BR46" t="str">
        <f>VLOOKUP(G46,Eras!$A$2:$C$10, 2, TRUE)</f>
        <v>lbr</v>
      </c>
      <c r="BS46" t="s">
        <v>381</v>
      </c>
      <c r="BT46" t="str">
        <f t="shared" si="9"/>
        <v>lbr_Flat Wagon</v>
      </c>
      <c r="BU46" t="str">
        <f t="shared" si="11"/>
        <v/>
      </c>
      <c r="BV46" t="str">
        <f t="shared" si="12"/>
        <v>wagon_RAIL</v>
      </c>
      <c r="BW46" t="str">
        <f>VLOOKUP($BV46, Constants!$M:$N, 2, FALSE)</f>
        <v/>
      </c>
      <c r="BX46" t="str">
        <f t="shared" si="13"/>
        <v/>
      </c>
      <c r="BY46" t="s">
        <v>859</v>
      </c>
      <c r="BZ46" t="str">
        <f t="shared" si="16"/>
        <v/>
      </c>
      <c r="CA46" t="str">
        <f t="shared" si="14"/>
        <v>{SILVER}BAA wagons could initially carry steel in a large variety of forms, although many were later modified to be dedicated coil carriers.</v>
      </c>
    </row>
    <row r="47" spans="1:79"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17"/>
        <v>106</v>
      </c>
      <c r="BN47">
        <v>1</v>
      </c>
      <c r="BO47">
        <v>185</v>
      </c>
      <c r="BP47" t="s">
        <v>955</v>
      </c>
      <c r="BQ47" t="s">
        <v>858</v>
      </c>
      <c r="BR47" t="str">
        <f>VLOOKUP(G47,Eras!$A$2:$C$10, 2, TRUE)</f>
        <v>prv</v>
      </c>
      <c r="BS47" t="s">
        <v>381</v>
      </c>
      <c r="BT47" t="str">
        <f t="shared" si="9"/>
        <v>prv_Flat Wagon</v>
      </c>
      <c r="BU47" t="str">
        <f t="shared" si="11"/>
        <v/>
      </c>
      <c r="BV47" t="str">
        <f t="shared" si="12"/>
        <v>wagon_RAIL</v>
      </c>
      <c r="BW47" t="str">
        <f>VLOOKUP($BV47, Constants!$M:$N, 2, FALSE)</f>
        <v/>
      </c>
      <c r="BX47" t="str">
        <f t="shared" si="13"/>
        <v/>
      </c>
      <c r="BY47" t="s">
        <v>857</v>
      </c>
      <c r="BZ47" t="str">
        <f t="shared" si="16"/>
        <v/>
      </c>
      <c r="CA47" t="str">
        <f t="shared" si="14"/>
        <v>{SILVER}The BYA/BRA covered steel carriers gained their name from the corrugated sliding cover and its curved cross section.</v>
      </c>
    </row>
    <row r="48" spans="1:79"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17"/>
        <v>43</v>
      </c>
      <c r="BN48">
        <v>1</v>
      </c>
      <c r="BO48">
        <v>185</v>
      </c>
      <c r="BP48" t="s">
        <v>383</v>
      </c>
      <c r="BQ48" t="s">
        <v>324</v>
      </c>
      <c r="BR48" t="str">
        <f>VLOOKUP(G48,Eras!$A$2:$C$10, 2, TRUE)</f>
        <v>vct</v>
      </c>
      <c r="BS48" t="s">
        <v>383</v>
      </c>
      <c r="BT48" t="str">
        <f t="shared" si="9"/>
        <v>vct_Tanker</v>
      </c>
      <c r="BU48" t="str">
        <f t="shared" si="11"/>
        <v/>
      </c>
      <c r="BV48" t="str">
        <f t="shared" si="12"/>
        <v>wagon_RAIL</v>
      </c>
      <c r="BW48" t="str">
        <f>VLOOKUP($BV48, Constants!$M:$N, 2, FALSE)</f>
        <v/>
      </c>
      <c r="BX48" t="str">
        <f t="shared" si="13"/>
        <v/>
      </c>
      <c r="BY48" t="s">
        <v>403</v>
      </c>
      <c r="BZ48" t="str">
        <f t="shared" si="16"/>
        <v/>
      </c>
      <c r="CA48" t="str">
        <f t="shared" si="14"/>
        <v>{SILVER}Early four wheel tank wagons are limited to low speeds by their construction and primitive suspension.</v>
      </c>
    </row>
    <row r="49" spans="1:79"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17"/>
        <v>56</v>
      </c>
      <c r="BN49">
        <v>1</v>
      </c>
      <c r="BO49">
        <v>185</v>
      </c>
      <c r="BP49" t="s">
        <v>383</v>
      </c>
      <c r="BQ49" t="s">
        <v>324</v>
      </c>
      <c r="BR49" t="str">
        <f>VLOOKUP(G49,Eras!$A$2:$C$10, 2, TRUE)</f>
        <v>edw</v>
      </c>
      <c r="BS49" t="s">
        <v>383</v>
      </c>
      <c r="BT49" t="str">
        <f t="shared" si="9"/>
        <v>edw_Tanker</v>
      </c>
      <c r="BU49" t="str">
        <f t="shared" si="11"/>
        <v/>
      </c>
      <c r="BV49" t="str">
        <f t="shared" si="12"/>
        <v>wagon_RAIL</v>
      </c>
      <c r="BW49" t="str">
        <f>VLOOKUP($BV49, Constants!$M:$N, 2, FALSE)</f>
        <v/>
      </c>
      <c r="BX49" t="str">
        <f t="shared" si="13"/>
        <v/>
      </c>
      <c r="BY49" t="s">
        <v>456</v>
      </c>
      <c r="BZ49" t="str">
        <f t="shared" si="16"/>
        <v/>
      </c>
      <c r="CA49" t="str">
        <f t="shared" si="14"/>
        <v>{SILVER}The GWR's cylindrical tank wagons were built by the Locomotive department, as the iron cylinders used similar techniques to steam engines.</v>
      </c>
    </row>
    <row r="50" spans="1:79"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17"/>
        <v>62</v>
      </c>
      <c r="BN50">
        <v>1</v>
      </c>
      <c r="BO50">
        <v>185</v>
      </c>
      <c r="BP50" t="s">
        <v>383</v>
      </c>
      <c r="BQ50" t="s">
        <v>324</v>
      </c>
      <c r="BR50" t="str">
        <f>VLOOKUP(G50,Eras!$A$2:$C$10, 2, TRUE)</f>
        <v>big4</v>
      </c>
      <c r="BS50" t="s">
        <v>383</v>
      </c>
      <c r="BT50" t="str">
        <f t="shared" si="9"/>
        <v>big4_Tanker</v>
      </c>
      <c r="BU50" t="str">
        <f t="shared" si="11"/>
        <v/>
      </c>
      <c r="BV50" t="str">
        <f t="shared" si="12"/>
        <v>wagon_RAIL</v>
      </c>
      <c r="BW50" t="str">
        <f>VLOOKUP($BV50, Constants!$M:$N, 2, FALSE)</f>
        <v/>
      </c>
      <c r="BX50" t="str">
        <f t="shared" si="13"/>
        <v/>
      </c>
      <c r="BY50" t="s">
        <v>801</v>
      </c>
      <c r="BZ50" t="str">
        <f t="shared" si="16"/>
        <v/>
      </c>
      <c r="CA50" t="str">
        <f t="shared" si="14"/>
        <v>{SILVER}Six wheeled tank wagons formed the core of the GWR (and later BR) "milk trains", long freight consists transporting milk from farms to cities.</v>
      </c>
    </row>
    <row r="51" spans="1:79" x14ac:dyDescent="0.25">
      <c r="A51" t="s">
        <v>798</v>
      </c>
      <c r="B51" t="s">
        <v>777</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17"/>
        <v>81</v>
      </c>
      <c r="BN51">
        <v>1</v>
      </c>
      <c r="BO51">
        <v>185</v>
      </c>
      <c r="BP51" t="s">
        <v>383</v>
      </c>
      <c r="BQ51" t="s">
        <v>324</v>
      </c>
      <c r="BR51" t="str">
        <f>VLOOKUP(G51,Eras!$A$2:$C$10, 2, TRUE)</f>
        <v>dsl</v>
      </c>
      <c r="BS51" t="s">
        <v>383</v>
      </c>
      <c r="BT51" t="str">
        <f t="shared" si="9"/>
        <v>dsl_Tanker</v>
      </c>
      <c r="BU51" t="str">
        <f t="shared" si="11"/>
        <v/>
      </c>
      <c r="BV51" t="str">
        <f t="shared" si="12"/>
        <v>wagon_RAIL</v>
      </c>
      <c r="BW51" t="str">
        <f>VLOOKUP($BV51, Constants!$M:$N, 2, FALSE)</f>
        <v/>
      </c>
      <c r="BX51" t="str">
        <f t="shared" si="13"/>
        <v/>
      </c>
      <c r="BY51" t="s">
        <v>775</v>
      </c>
      <c r="BZ51" t="str">
        <f t="shared" si="16"/>
        <v/>
      </c>
      <c r="CA51" t="str">
        <f t="shared" si="14"/>
        <v>{SILVER}TTA tankers were constructed on "monobloc" principles and featured automatic braking.</v>
      </c>
    </row>
    <row r="52" spans="1:79" x14ac:dyDescent="0.25">
      <c r="A52" t="s">
        <v>799</v>
      </c>
      <c r="B52" t="s">
        <v>778</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17"/>
        <v>87</v>
      </c>
      <c r="BN52">
        <v>1</v>
      </c>
      <c r="BO52">
        <v>185</v>
      </c>
      <c r="BP52" t="s">
        <v>383</v>
      </c>
      <c r="BQ52" t="s">
        <v>324</v>
      </c>
      <c r="BR52" t="str">
        <f>VLOOKUP(G52,Eras!$A$2:$C$10, 2, TRUE)</f>
        <v>lbr</v>
      </c>
      <c r="BS52" t="s">
        <v>383</v>
      </c>
      <c r="BT52" t="str">
        <f t="shared" si="9"/>
        <v>lbr_Tanker</v>
      </c>
      <c r="BU52" t="str">
        <f t="shared" si="11"/>
        <v/>
      </c>
      <c r="BV52" t="str">
        <f t="shared" si="12"/>
        <v>wagon_RAIL</v>
      </c>
      <c r="BW52" t="str">
        <f>VLOOKUP($BV52, Constants!$M:$N, 2, FALSE)</f>
        <v/>
      </c>
      <c r="BX52" t="str">
        <f t="shared" si="13"/>
        <v/>
      </c>
      <c r="BY52" t="s">
        <v>776</v>
      </c>
      <c r="BZ52" t="str">
        <f t="shared" si="16"/>
        <v/>
      </c>
      <c r="CA52" t="str">
        <f t="shared" si="14"/>
        <v>{SILVER}Large bogie tankers allowed for carrying heavy loads of liquids at high speeds. The long frames allow tanks to take up more space without fouling axles.</v>
      </c>
    </row>
    <row r="53" spans="1:79" x14ac:dyDescent="0.25">
      <c r="A53" t="s">
        <v>869</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17"/>
        <v>50</v>
      </c>
      <c r="BN53">
        <v>1</v>
      </c>
      <c r="BO53">
        <v>185</v>
      </c>
      <c r="BP53" t="s">
        <v>971</v>
      </c>
      <c r="BQ53" t="s">
        <v>818</v>
      </c>
      <c r="BR53" t="str">
        <f>VLOOKUP(G53,Eras!$A$2:$C$10, 2, TRUE)</f>
        <v>vct</v>
      </c>
      <c r="BS53" t="s">
        <v>382</v>
      </c>
      <c r="BT53" t="str">
        <f t="shared" si="9"/>
        <v>vct_Van</v>
      </c>
      <c r="BU53" t="str">
        <f t="shared" si="11"/>
        <v/>
      </c>
      <c r="BV53" t="str">
        <f t="shared" si="12"/>
        <v>wagon_RAIL</v>
      </c>
      <c r="BW53" t="str">
        <f>VLOOKUP($BV53, Constants!$M:$N, 2, FALSE)</f>
        <v/>
      </c>
      <c r="BX53" t="str">
        <f t="shared" si="13"/>
        <v/>
      </c>
      <c r="BY53" t="s">
        <v>817</v>
      </c>
      <c r="BZ53" t="str">
        <f t="shared" si="16"/>
        <v/>
      </c>
      <c r="CA53" t="str">
        <f t="shared" si="14"/>
        <v>{SILVER}Livestock traffic was common early on in railway history, with specialised cattle wagons and stations equipped to handle loading and unloading.</v>
      </c>
    </row>
    <row r="54" spans="1:79" x14ac:dyDescent="0.25">
      <c r="A54" t="s">
        <v>870</v>
      </c>
      <c r="B54" t="s">
        <v>819</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17"/>
        <v>56</v>
      </c>
      <c r="BN54">
        <v>1</v>
      </c>
      <c r="BO54">
        <v>185</v>
      </c>
      <c r="BP54" t="s">
        <v>971</v>
      </c>
      <c r="BQ54" t="s">
        <v>818</v>
      </c>
      <c r="BR54" t="str">
        <f>VLOOKUP(G54,Eras!$A$2:$C$10, 2, TRUE)</f>
        <v>edw</v>
      </c>
      <c r="BS54" t="s">
        <v>382</v>
      </c>
      <c r="BT54" t="str">
        <f t="shared" si="9"/>
        <v>edw_Van</v>
      </c>
      <c r="BU54" t="str">
        <f t="shared" si="11"/>
        <v/>
      </c>
      <c r="BV54" t="str">
        <f t="shared" si="12"/>
        <v>wagon_RAIL</v>
      </c>
      <c r="BW54" t="str">
        <f>VLOOKUP($BV54, Constants!$M:$N, 2, FALSE)</f>
        <v/>
      </c>
      <c r="BX54" t="str">
        <f t="shared" si="13"/>
        <v/>
      </c>
      <c r="BY54" t="s">
        <v>821</v>
      </c>
      <c r="BZ54" t="str">
        <f t="shared" si="16"/>
        <v/>
      </c>
      <c r="CA54" t="str">
        <f t="shared" si="14"/>
        <v>{SILVER}Livestock vans evolved along with improvements in covered van design.</v>
      </c>
    </row>
    <row r="55" spans="1:79" x14ac:dyDescent="0.25">
      <c r="A55" t="s">
        <v>871</v>
      </c>
      <c r="B55" t="s">
        <v>820</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17"/>
        <v>62</v>
      </c>
      <c r="BN55">
        <v>1</v>
      </c>
      <c r="BO55">
        <v>185</v>
      </c>
      <c r="BP55" t="s">
        <v>971</v>
      </c>
      <c r="BQ55" t="s">
        <v>818</v>
      </c>
      <c r="BR55" t="str">
        <f>VLOOKUP(G55,Eras!$A$2:$C$10, 2, TRUE)</f>
        <v>big4</v>
      </c>
      <c r="BS55" t="s">
        <v>382</v>
      </c>
      <c r="BT55" t="str">
        <f t="shared" si="9"/>
        <v>big4_Van</v>
      </c>
      <c r="BU55" t="str">
        <f t="shared" si="11"/>
        <v/>
      </c>
      <c r="BV55" t="str">
        <f t="shared" si="12"/>
        <v>wagon_RAIL</v>
      </c>
      <c r="BW55" t="str">
        <f>VLOOKUP($BV55, Constants!$M:$N, 2, FALSE)</f>
        <v/>
      </c>
      <c r="BX55" t="str">
        <f t="shared" si="13"/>
        <v/>
      </c>
      <c r="BY55" t="s">
        <v>822</v>
      </c>
      <c r="BZ55" t="str">
        <f t="shared" si="16"/>
        <v/>
      </c>
      <c r="CA55" t="str">
        <f t="shared" si="14"/>
        <v>{SILVER}Specialised cattle vans such as this Southern Railway example were built from the 1930s to the 1950s, although livestock traffic reduced in the latter part of this period.</v>
      </c>
    </row>
    <row r="56" spans="1:79" x14ac:dyDescent="0.25">
      <c r="A56" t="s">
        <v>872</v>
      </c>
      <c r="B56" t="s">
        <v>823</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36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17"/>
        <v>81</v>
      </c>
      <c r="BN56">
        <v>1</v>
      </c>
      <c r="BO56">
        <v>185</v>
      </c>
      <c r="BP56" t="s">
        <v>971</v>
      </c>
      <c r="BQ56" t="s">
        <v>818</v>
      </c>
      <c r="BR56" t="str">
        <f>VLOOKUP(G56,Eras!$A$2:$C$10, 2, TRUE)</f>
        <v>dsl</v>
      </c>
      <c r="BS56" t="s">
        <v>382</v>
      </c>
      <c r="BT56" t="str">
        <f t="shared" si="9"/>
        <v>dsl_Van</v>
      </c>
      <c r="BU56" t="str">
        <f t="shared" si="11"/>
        <v/>
      </c>
      <c r="BV56" t="str">
        <f t="shared" si="12"/>
        <v>wagon_RAIL</v>
      </c>
      <c r="BW56" t="str">
        <f>VLOOKUP($BV56, Constants!$M:$N, 2, FALSE)</f>
        <v/>
      </c>
      <c r="BX56" t="str">
        <f t="shared" si="13"/>
        <v/>
      </c>
      <c r="BY56" t="s">
        <v>826</v>
      </c>
      <c r="BZ56" t="str">
        <f t="shared" si="16"/>
        <v/>
      </c>
      <c r="CA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79" x14ac:dyDescent="0.25">
      <c r="A57" t="s">
        <v>873</v>
      </c>
      <c r="B57" t="s">
        <v>824</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17"/>
        <v>93</v>
      </c>
      <c r="BN57">
        <v>1</v>
      </c>
      <c r="BO57">
        <v>185</v>
      </c>
      <c r="BP57" t="s">
        <v>971</v>
      </c>
      <c r="BQ57" t="s">
        <v>818</v>
      </c>
      <c r="BR57" t="str">
        <f>VLOOKUP(G57,Eras!$A$2:$C$10, 2, TRUE)</f>
        <v>lbr</v>
      </c>
      <c r="BS57" t="s">
        <v>382</v>
      </c>
      <c r="BT57" t="str">
        <f t="shared" si="9"/>
        <v>lbr_Van</v>
      </c>
      <c r="BU57" t="str">
        <f t="shared" si="11"/>
        <v/>
      </c>
      <c r="BV57" t="str">
        <f t="shared" si="12"/>
        <v>wagon_RAIL</v>
      </c>
      <c r="BW57" t="str">
        <f>VLOOKUP($BV57, Constants!$M:$N, 2, FALSE)</f>
        <v/>
      </c>
      <c r="BX57" t="str">
        <f t="shared" si="13"/>
        <v/>
      </c>
      <c r="BY57" t="s">
        <v>825</v>
      </c>
      <c r="BZ57" t="str">
        <f t="shared" si="16"/>
        <v/>
      </c>
      <c r="CA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79" x14ac:dyDescent="0.25">
      <c r="A58" t="s">
        <v>814</v>
      </c>
      <c r="B58" t="s">
        <v>815</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17"/>
        <v>56</v>
      </c>
      <c r="BN58">
        <v>1</v>
      </c>
      <c r="BO58">
        <v>185</v>
      </c>
      <c r="BP58" t="s">
        <v>382</v>
      </c>
      <c r="BQ58" t="s">
        <v>326</v>
      </c>
      <c r="BR58" t="str">
        <f>VLOOKUP(G58,Eras!$A$2:$C$10, 2, TRUE)</f>
        <v>vct</v>
      </c>
      <c r="BS58" t="s">
        <v>382</v>
      </c>
      <c r="BT58" t="str">
        <f t="shared" si="9"/>
        <v>vct_Van</v>
      </c>
      <c r="BU58" t="str">
        <f t="shared" si="11"/>
        <v/>
      </c>
      <c r="BV58" t="str">
        <f t="shared" si="12"/>
        <v>wagon_RAIL</v>
      </c>
      <c r="BW58" t="str">
        <f>VLOOKUP($BV58, Constants!$M:$N, 2, FALSE)</f>
        <v/>
      </c>
      <c r="BX58" t="str">
        <f t="shared" si="13"/>
        <v/>
      </c>
      <c r="BY58" t="s">
        <v>816</v>
      </c>
      <c r="BZ58" t="str">
        <f t="shared" si="16"/>
        <v/>
      </c>
      <c r="CA58" t="str">
        <f t="shared" si="14"/>
        <v>{SILVER}Piece goods were an important source of revenue for early railways, with most building large quantities of covered vans.</v>
      </c>
    </row>
    <row r="59" spans="1:79" x14ac:dyDescent="0.25">
      <c r="A59" t="s">
        <v>462</v>
      </c>
      <c r="B59" t="s">
        <v>463</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17"/>
        <v>62</v>
      </c>
      <c r="BN59">
        <v>1</v>
      </c>
      <c r="BO59">
        <v>185</v>
      </c>
      <c r="BP59" t="s">
        <v>382</v>
      </c>
      <c r="BQ59" t="s">
        <v>326</v>
      </c>
      <c r="BR59" t="str">
        <f>VLOOKUP(G59,Eras!$A$2:$C$10, 2, TRUE)</f>
        <v>edw</v>
      </c>
      <c r="BS59" t="s">
        <v>382</v>
      </c>
      <c r="BT59" t="str">
        <f t="shared" si="9"/>
        <v>edw_Van</v>
      </c>
      <c r="BU59" t="str">
        <f t="shared" si="11"/>
        <v/>
      </c>
      <c r="BV59" t="str">
        <f t="shared" si="12"/>
        <v>wagon_RAIL</v>
      </c>
      <c r="BW59" t="str">
        <f>VLOOKUP($BV59, Constants!$M:$N, 2, FALSE)</f>
        <v/>
      </c>
      <c r="BX59" t="str">
        <f t="shared" si="13"/>
        <v/>
      </c>
      <c r="BY59" t="s">
        <v>461</v>
      </c>
      <c r="BZ59" t="str">
        <f t="shared" si="16"/>
        <v/>
      </c>
      <c r="CA59" t="str">
        <f t="shared" si="14"/>
        <v>{SILVER}This goods van uses an iron frame with a wooden body, making it stronger than earlier wooden-framed vans.</v>
      </c>
    </row>
    <row r="60" spans="1:79" x14ac:dyDescent="0.25">
      <c r="A60" t="s">
        <v>802</v>
      </c>
      <c r="B60" t="s">
        <v>803</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17"/>
        <v>75</v>
      </c>
      <c r="BN60">
        <v>1</v>
      </c>
      <c r="BO60">
        <v>185</v>
      </c>
      <c r="BP60" t="s">
        <v>382</v>
      </c>
      <c r="BQ60" t="s">
        <v>326</v>
      </c>
      <c r="BR60" t="str">
        <f>VLOOKUP(G60,Eras!$A$2:$C$10, 2, TRUE)</f>
        <v>big4</v>
      </c>
      <c r="BS60" t="s">
        <v>382</v>
      </c>
      <c r="BT60" t="str">
        <f t="shared" si="9"/>
        <v>big4_Van</v>
      </c>
      <c r="BU60" t="str">
        <f t="shared" si="11"/>
        <v/>
      </c>
      <c r="BV60" t="str">
        <f t="shared" si="12"/>
        <v>wagon_RAIL</v>
      </c>
      <c r="BW60" t="str">
        <f>VLOOKUP($BV60, Constants!$M:$N, 2, FALSE)</f>
        <v/>
      </c>
      <c r="BX60" t="str">
        <f t="shared" si="13"/>
        <v/>
      </c>
      <c r="BY60" t="s">
        <v>804</v>
      </c>
      <c r="BZ60" t="str">
        <f t="shared" si="16"/>
        <v/>
      </c>
      <c r="CA60" t="str">
        <f t="shared" si="14"/>
        <v>{SILVER}Fitted vans had brakes which could be controlled from the locomotive or a brake van, allowing higher braking force and thus speed. This example is typical of a Southern Railways vacuum-braked model.</v>
      </c>
    </row>
    <row r="61" spans="1:79" x14ac:dyDescent="0.25">
      <c r="A61" t="s">
        <v>805</v>
      </c>
      <c r="B61" t="s">
        <v>806</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17"/>
        <v>81</v>
      </c>
      <c r="BN61">
        <v>1</v>
      </c>
      <c r="BO61">
        <v>185</v>
      </c>
      <c r="BP61" t="s">
        <v>382</v>
      </c>
      <c r="BQ61" t="s">
        <v>326</v>
      </c>
      <c r="BR61" t="str">
        <f>VLOOKUP(G61,Eras!$A$2:$C$10, 2, TRUE)</f>
        <v>dsl</v>
      </c>
      <c r="BS61" t="s">
        <v>382</v>
      </c>
      <c r="BT61" t="str">
        <f t="shared" si="9"/>
        <v>dsl_Van</v>
      </c>
      <c r="BU61" t="str">
        <f t="shared" si="11"/>
        <v/>
      </c>
      <c r="BV61" t="str">
        <f t="shared" si="12"/>
        <v>wagon_RAIL</v>
      </c>
      <c r="BW61" t="str">
        <f>VLOOKUP($BV61, Constants!$M:$N, 2, FALSE)</f>
        <v/>
      </c>
      <c r="BX61" t="str">
        <f t="shared" si="13"/>
        <v/>
      </c>
      <c r="BY61" t="s">
        <v>807</v>
      </c>
      <c r="BZ61" t="str">
        <f t="shared" si="16"/>
        <v/>
      </c>
      <c r="CA61" t="str">
        <f t="shared" si="14"/>
        <v>{SILVER}The Vanwide was BR's final development of the traditional van design, featuring wider doors for increased loading speed.</v>
      </c>
    </row>
    <row r="62" spans="1:79" x14ac:dyDescent="0.25">
      <c r="A62" t="s">
        <v>867</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17"/>
        <v>93</v>
      </c>
      <c r="BN62">
        <v>1</v>
      </c>
      <c r="BO62">
        <v>185</v>
      </c>
      <c r="BP62" t="s">
        <v>382</v>
      </c>
      <c r="BQ62" t="s">
        <v>326</v>
      </c>
      <c r="BR62" t="str">
        <f>VLOOKUP(G62,Eras!$A$2:$C$10, 2, TRUE)</f>
        <v>dsl</v>
      </c>
      <c r="BS62" t="s">
        <v>382</v>
      </c>
      <c r="BT62" t="str">
        <f t="shared" si="9"/>
        <v>dsl_Van</v>
      </c>
      <c r="BU62" t="str">
        <f t="shared" si="11"/>
        <v/>
      </c>
      <c r="BV62" t="str">
        <f t="shared" si="12"/>
        <v>wagon_RAIL</v>
      </c>
      <c r="BW62" t="str">
        <f>VLOOKUP($BV62, Constants!$M:$N, 2, FALSE)</f>
        <v/>
      </c>
      <c r="BX62" t="str">
        <f t="shared" si="13"/>
        <v/>
      </c>
      <c r="BY62" t="s">
        <v>811</v>
      </c>
      <c r="BZ62" t="str">
        <f t="shared" si="16"/>
        <v/>
      </c>
      <c r="CA62" t="str">
        <f t="shared" si="14"/>
        <v>{SILVER}The VDA was BR's first air braked general purpose van, later used for the Speedlink freight network.</v>
      </c>
    </row>
    <row r="63" spans="1:79" x14ac:dyDescent="0.25">
      <c r="A63" t="s">
        <v>808</v>
      </c>
      <c r="B63" t="s">
        <v>809</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17"/>
        <v>93</v>
      </c>
      <c r="BN63">
        <v>1</v>
      </c>
      <c r="BO63">
        <v>185</v>
      </c>
      <c r="BP63" t="s">
        <v>382</v>
      </c>
      <c r="BQ63" t="s">
        <v>326</v>
      </c>
      <c r="BR63" t="str">
        <f>VLOOKUP(G63,Eras!$A$2:$C$10, 2, TRUE)</f>
        <v>lbr</v>
      </c>
      <c r="BS63" t="s">
        <v>382</v>
      </c>
      <c r="BT63" t="str">
        <f t="shared" si="9"/>
        <v>lbr_Van</v>
      </c>
      <c r="BU63" t="str">
        <f t="shared" si="11"/>
        <v/>
      </c>
      <c r="BV63" t="str">
        <f t="shared" si="12"/>
        <v>wagon_RAIL</v>
      </c>
      <c r="BW63" t="str">
        <f>VLOOKUP($BV63, Constants!$M:$N, 2, FALSE)</f>
        <v/>
      </c>
      <c r="BX63" t="str">
        <f t="shared" si="13"/>
        <v/>
      </c>
      <c r="BY63" t="s">
        <v>810</v>
      </c>
      <c r="BZ63" t="str">
        <f t="shared" si="16"/>
        <v/>
      </c>
      <c r="CA63" t="str">
        <f t="shared" si="14"/>
        <v>{SILVER}VEA vans were refurbished vans fitted with improved suspension and air brakes, allowing higher speed operation while still being suitable for narrow radius curves in small yards.</v>
      </c>
    </row>
    <row r="64" spans="1:79" x14ac:dyDescent="0.25">
      <c r="A64" t="s">
        <v>868</v>
      </c>
      <c r="B64" t="s">
        <v>812</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1"/>
        <v/>
      </c>
      <c r="BV64" t="str">
        <f t="shared" si="12"/>
        <v>wagon_RAIL</v>
      </c>
      <c r="BW64" t="str">
        <f>VLOOKUP($BV64, Constants!$M:$N, 2, FALSE)</f>
        <v/>
      </c>
      <c r="BX64" t="str">
        <f t="shared" si="13"/>
        <v/>
      </c>
      <c r="BY64" t="s">
        <v>813</v>
      </c>
      <c r="BZ64" t="str">
        <f t="shared" si="16"/>
        <v/>
      </c>
      <c r="CA64" t="str">
        <f t="shared" si="14"/>
        <v>{SILVER}VGA vans followed continental practice with doors extending into the roof panel, providing a larger vertical opening.</v>
      </c>
    </row>
    <row r="65" spans="1:79" x14ac:dyDescent="0.25">
      <c r="A65" t="s">
        <v>875</v>
      </c>
      <c r="B65" t="s">
        <v>874</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19">Y65</f>
        <v>70</v>
      </c>
      <c r="BN65">
        <v>1</v>
      </c>
      <c r="BO65">
        <v>185</v>
      </c>
      <c r="BP65" t="s">
        <v>1113</v>
      </c>
      <c r="BQ65" t="s">
        <v>707</v>
      </c>
      <c r="BR65" t="str">
        <f>VLOOKUP(G65,Eras!$A$2:$C$10, 2, TRUE)</f>
        <v>edw</v>
      </c>
      <c r="BS65" t="s">
        <v>376</v>
      </c>
      <c r="BT65" t="str">
        <f t="shared" si="9"/>
        <v>edw_Mail Carriage</v>
      </c>
      <c r="BU65" t="str">
        <f t="shared" si="11"/>
        <v/>
      </c>
      <c r="BV65" t="str">
        <f t="shared" si="12"/>
        <v>wagon_RAIL</v>
      </c>
      <c r="BW65" t="str">
        <f>VLOOKUP($BV65, Constants!$M:$N, 2, FALSE)</f>
        <v/>
      </c>
      <c r="BX65" t="str">
        <f t="shared" si="13"/>
        <v/>
      </c>
      <c r="BY65" t="s">
        <v>876</v>
      </c>
      <c r="BZ65" t="str">
        <f t="shared" si="16"/>
        <v/>
      </c>
      <c r="CA65" t="str">
        <f t="shared" si="14"/>
        <v>{SILVER}GWR's "Siphon" vans were built to carry loads of milk churns at passenger train speeds. They were also used for parcel and newspaper traffic, the basic design being built well into the BR era.</v>
      </c>
    </row>
    <row r="66" spans="1:79" x14ac:dyDescent="0.25">
      <c r="A66" t="s">
        <v>852</v>
      </c>
      <c r="B66" t="s">
        <v>854</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19"/>
        <v>80</v>
      </c>
      <c r="BN66">
        <v>1</v>
      </c>
      <c r="BO66">
        <v>185</v>
      </c>
      <c r="BP66" t="s">
        <v>1111</v>
      </c>
      <c r="BQ66" t="s">
        <v>707</v>
      </c>
      <c r="BR66" t="str">
        <f>VLOOKUP(G66,Eras!$A$2:$C$10, 2, TRUE)</f>
        <v>ebr</v>
      </c>
      <c r="BS66" t="s">
        <v>376</v>
      </c>
      <c r="BT66" t="str">
        <f t="shared" si="9"/>
        <v>ebr_Mail Carriage</v>
      </c>
      <c r="BU66" t="str">
        <f t="shared" si="11"/>
        <v/>
      </c>
      <c r="BV66" t="str">
        <f t="shared" si="12"/>
        <v>wagon_RAIL</v>
      </c>
      <c r="BW66" t="str">
        <f>VLOOKUP($BV66, Constants!$M:$N, 2, FALSE)</f>
        <v/>
      </c>
      <c r="BX66" t="str">
        <f t="shared" si="13"/>
        <v/>
      </c>
      <c r="BY66" t="s">
        <v>878</v>
      </c>
      <c r="BZ66" t="str">
        <f t="shared" si="16"/>
        <v/>
      </c>
      <c r="CA66" t="str">
        <f t="shared" si="14"/>
        <v>{SILVER}BR built several of these six-wheeled parcels vans in the early 1950s.</v>
      </c>
    </row>
    <row r="67" spans="1:79" x14ac:dyDescent="0.25">
      <c r="A67" t="s">
        <v>1230</v>
      </c>
      <c r="B67" t="s">
        <v>1231</v>
      </c>
      <c r="C67">
        <v>140</v>
      </c>
      <c r="D67" t="s">
        <v>321</v>
      </c>
      <c r="E67" t="s">
        <v>1172</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Q67">
        <v>30</v>
      </c>
      <c r="AR67">
        <f t="shared" ref="AR67:AR131" si="20">IF(I67&lt;&gt;"",MAX(8,(I67-G67)-4),"")</f>
        <v>39</v>
      </c>
      <c r="AS67">
        <v>47</v>
      </c>
      <c r="AT67">
        <v>20</v>
      </c>
      <c r="AU67">
        <f t="shared" ref="AU67:AU131" si="21">MIN(Y67/150, 1)*30</f>
        <v>16</v>
      </c>
      <c r="AV67">
        <f t="shared" ref="AV67:AV131" si="22">MIN(K67/4000, 1)*20</f>
        <v>0</v>
      </c>
      <c r="AW67">
        <f t="shared" ref="AW67:AW131" si="23">MIN(W67/400,1)*20</f>
        <v>0</v>
      </c>
      <c r="AX67" s="4">
        <v>1</v>
      </c>
      <c r="AY67">
        <f t="shared" ref="AY67:AY131" si="24">((MAX($J67,1)*MIN($AE67/300,1)))*IF(D67="Wagon",50,10)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19"/>
        <v>80</v>
      </c>
      <c r="BN67">
        <v>1</v>
      </c>
      <c r="BO67">
        <v>185</v>
      </c>
      <c r="BP67" t="s">
        <v>1111</v>
      </c>
      <c r="BQ67" t="s">
        <v>707</v>
      </c>
      <c r="BR67" t="str">
        <f>VLOOKUP(G67,Eras!$A$2:$C$10, 2, TRUE)</f>
        <v>vct</v>
      </c>
      <c r="BS67" t="s">
        <v>376</v>
      </c>
      <c r="BT67" t="str">
        <f>CONCATENATE(BR67,"_",BS67)</f>
        <v>vct_Mail Carriage</v>
      </c>
      <c r="BU67" t="str">
        <f t="shared" si="11"/>
        <v/>
      </c>
      <c r="BV67" t="str">
        <f t="shared" ref="BV67:BV130" si="25">_xlfn.CONCAT(E67, "_",F67)</f>
        <v>carriage_RAIL</v>
      </c>
      <c r="BW67" t="str">
        <f>VLOOKUP($BV67, Constants!$M:$N, 2, FALSE)</f>
        <v/>
      </c>
      <c r="BX67" t="str">
        <f t="shared" ref="BX67:BX130" si="26">IF(J67&gt;1,_xlfn.CONCAT("{BLACK}Cars: {GOLD}", J67),"")</f>
        <v/>
      </c>
      <c r="BY67" t="s">
        <v>1232</v>
      </c>
      <c r="BZ67" t="str">
        <f t="shared" si="16"/>
        <v/>
      </c>
      <c r="CA67" t="str">
        <f t="shared" ref="CA67:CA130" si="27">_xlfn.CONCAT(BU67,BW67,IF(BW67 &lt;&gt; "", " ", ""),BX67,IF(OR(BX67&lt;&gt;"", BW67&lt;&gt;""), "{}",""), BZ67,"{SILVER}", BY67)</f>
        <v>{SILVER}This brake carriage is designed for use with clerestory carriages. It can carry parcels and mail.</v>
      </c>
    </row>
    <row r="68" spans="1:79" x14ac:dyDescent="0.25">
      <c r="A68" t="s">
        <v>1226</v>
      </c>
      <c r="B68" t="s">
        <v>1225</v>
      </c>
      <c r="C68">
        <v>141</v>
      </c>
      <c r="D68" t="s">
        <v>321</v>
      </c>
      <c r="E68" t="s">
        <v>1172</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Q68">
        <v>30</v>
      </c>
      <c r="AR68">
        <f t="shared" si="20"/>
        <v>47</v>
      </c>
      <c r="AS68">
        <v>49</v>
      </c>
      <c r="AT68">
        <v>21</v>
      </c>
      <c r="AU68">
        <f t="shared" si="21"/>
        <v>17</v>
      </c>
      <c r="AV68">
        <f t="shared" si="22"/>
        <v>0</v>
      </c>
      <c r="AW68">
        <f t="shared" si="23"/>
        <v>0</v>
      </c>
      <c r="AX68" s="4">
        <v>1</v>
      </c>
      <c r="AY68">
        <f t="shared" si="24"/>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19"/>
        <v>85</v>
      </c>
      <c r="BN68">
        <v>1</v>
      </c>
      <c r="BO68">
        <v>185</v>
      </c>
      <c r="BP68" t="s">
        <v>1111</v>
      </c>
      <c r="BQ68" t="s">
        <v>707</v>
      </c>
      <c r="BR68" t="str">
        <f>VLOOKUP(G68,Eras!$A$2:$C$10, 2, TRUE)</f>
        <v>edw</v>
      </c>
      <c r="BS68" t="s">
        <v>376</v>
      </c>
      <c r="BT68" t="str">
        <f>CONCATENATE(BR68,"_",BS68)</f>
        <v>edw_Mail Carriage</v>
      </c>
      <c r="BU68" t="str">
        <f t="shared" ref="BU68:BU132" si="28">IF(AND(BG68&lt;&gt;Y68,BG68&lt;&gt;""),_xlfn.CONCAT("{BLACK}","Tare speed: ","{GOLD}{VELOCITY}{}"), "")</f>
        <v/>
      </c>
      <c r="BV68" t="str">
        <f t="shared" si="25"/>
        <v>carriage_RAIL</v>
      </c>
      <c r="BW68" t="str">
        <f>VLOOKUP($BV68, Constants!$M:$N, 2, FALSE)</f>
        <v/>
      </c>
      <c r="BX68" t="str">
        <f t="shared" si="26"/>
        <v/>
      </c>
      <c r="BY68" t="s">
        <v>1233</v>
      </c>
      <c r="BZ68" t="str">
        <f t="shared" si="16"/>
        <v/>
      </c>
      <c r="CA68" t="str">
        <f t="shared" si="27"/>
        <v>{SILVER}Brake carriages continued to be a fixture of passenger trains during the steam era, carrying bulky luggage and parcels.</v>
      </c>
    </row>
    <row r="69" spans="1:79" x14ac:dyDescent="0.25">
      <c r="A69" t="s">
        <v>1227</v>
      </c>
      <c r="B69" t="s">
        <v>1228</v>
      </c>
      <c r="C69">
        <v>142</v>
      </c>
      <c r="D69" t="s">
        <v>321</v>
      </c>
      <c r="E69" t="s">
        <v>1172</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Q69">
        <v>30</v>
      </c>
      <c r="AR69">
        <f t="shared" si="20"/>
        <v>19</v>
      </c>
      <c r="AS69">
        <v>55</v>
      </c>
      <c r="AT69">
        <v>25</v>
      </c>
      <c r="AU69">
        <f t="shared" si="21"/>
        <v>20</v>
      </c>
      <c r="AV69">
        <f t="shared" si="22"/>
        <v>0</v>
      </c>
      <c r="AW69">
        <f t="shared" si="23"/>
        <v>0</v>
      </c>
      <c r="AX69" s="4">
        <v>1</v>
      </c>
      <c r="AY69">
        <f t="shared" si="24"/>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BB69*IF($D69="wagon",62.5,781.25)</f>
        <v>3125</v>
      </c>
      <c r="BE69" s="15">
        <f>BC69*IF($D69="wagon",2.73,81.25)</f>
        <v>300.3</v>
      </c>
      <c r="BH69">
        <f t="shared" si="19"/>
        <v>100</v>
      </c>
      <c r="BN69">
        <v>1</v>
      </c>
      <c r="BO69">
        <v>185</v>
      </c>
      <c r="BP69" t="s">
        <v>1111</v>
      </c>
      <c r="BQ69" t="s">
        <v>707</v>
      </c>
      <c r="BR69" t="str">
        <f>VLOOKUP(G69,Eras!$A$2:$C$10, 2, TRUE)</f>
        <v>ebr</v>
      </c>
      <c r="BS69" t="s">
        <v>376</v>
      </c>
      <c r="BT69" t="str">
        <f>CONCATENATE(BR69,"_",BS69)</f>
        <v>ebr_Mail Carriage</v>
      </c>
      <c r="BU69" t="str">
        <f t="shared" si="28"/>
        <v/>
      </c>
      <c r="BV69" t="str">
        <f t="shared" si="25"/>
        <v>carriage_RAIL</v>
      </c>
      <c r="BW69" t="str">
        <f>VLOOKUP($BV69, Constants!$M:$N, 2, FALSE)</f>
        <v/>
      </c>
      <c r="BX69" t="str">
        <f t="shared" si="26"/>
        <v/>
      </c>
      <c r="BY69" t="s">
        <v>1229</v>
      </c>
      <c r="BZ69" t="str">
        <f t="shared" si="16"/>
        <v/>
      </c>
      <c r="CA69" t="str">
        <f t="shared" si="27"/>
        <v>{SILVER}BG for (Brake Gangway) is the BR designation for a brake coach. As well as a guard's compartment it had two large areas for storing luggage.</v>
      </c>
    </row>
    <row r="70" spans="1:79" x14ac:dyDescent="0.25">
      <c r="A70" t="s">
        <v>1234</v>
      </c>
      <c r="B70" t="s">
        <v>1235</v>
      </c>
      <c r="C70">
        <v>143</v>
      </c>
      <c r="D70" t="s">
        <v>321</v>
      </c>
      <c r="E70" t="s">
        <v>1172</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Q70">
        <v>30</v>
      </c>
      <c r="AR70">
        <f t="shared" si="20"/>
        <v>50</v>
      </c>
      <c r="AS70">
        <v>58</v>
      </c>
      <c r="AT70">
        <v>27</v>
      </c>
      <c r="AU70">
        <f t="shared" si="21"/>
        <v>22</v>
      </c>
      <c r="AV70">
        <f t="shared" si="22"/>
        <v>0</v>
      </c>
      <c r="AW70">
        <f t="shared" si="23"/>
        <v>0</v>
      </c>
      <c r="AX70" s="4">
        <v>1</v>
      </c>
      <c r="AY70">
        <f t="shared" si="24"/>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BB70*IF($D70="wagon",62.5,781.25)</f>
        <v>3375</v>
      </c>
      <c r="BE70" s="15">
        <f>BC70*IF($D70="wagon",2.73,81.25)</f>
        <v>316.68</v>
      </c>
      <c r="BH70">
        <f t="shared" si="19"/>
        <v>110</v>
      </c>
      <c r="BN70">
        <v>1</v>
      </c>
      <c r="BO70">
        <v>185</v>
      </c>
      <c r="BP70" t="s">
        <v>1111</v>
      </c>
      <c r="BQ70" t="s">
        <v>707</v>
      </c>
      <c r="BR70" t="str">
        <f>VLOOKUP(G70,Eras!$A$2:$C$10, 2, TRUE)</f>
        <v>dsl</v>
      </c>
      <c r="BS70" t="s">
        <v>375</v>
      </c>
      <c r="BT70" t="str">
        <f>CONCATENATE(BR70,"_",BS70)</f>
        <v>dsl_Carriage</v>
      </c>
      <c r="BU70" t="str">
        <f t="shared" si="28"/>
        <v/>
      </c>
      <c r="BV70" t="str">
        <f t="shared" si="25"/>
        <v>carriage_RAIL</v>
      </c>
      <c r="BW70" t="str">
        <f>VLOOKUP($BV70, Constants!$M:$N, 2, FALSE)</f>
        <v/>
      </c>
      <c r="BX70" t="str">
        <f t="shared" si="26"/>
        <v/>
      </c>
      <c r="BY70" t="s">
        <v>1236</v>
      </c>
      <c r="BZ70" t="str">
        <f t="shared" si="16"/>
        <v/>
      </c>
      <c r="CA70" t="str">
        <f t="shared" si="27"/>
        <v>{SILVER}The Mk2 carriage also featured the BG Full Brake style, with luggage and parcel compartments.</v>
      </c>
    </row>
    <row r="71" spans="1:79" x14ac:dyDescent="0.25">
      <c r="A71" t="s">
        <v>856</v>
      </c>
      <c r="B71" t="s">
        <v>853</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20"/>
        <v/>
      </c>
      <c r="AS71">
        <v>48</v>
      </c>
      <c r="AT71">
        <v>19</v>
      </c>
      <c r="AU71">
        <f t="shared" si="21"/>
        <v>20</v>
      </c>
      <c r="AV71">
        <f t="shared" si="22"/>
        <v>0</v>
      </c>
      <c r="AW71">
        <f t="shared" si="23"/>
        <v>0</v>
      </c>
      <c r="AX71" s="4">
        <v>1</v>
      </c>
      <c r="AY71">
        <f t="shared" si="24"/>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BB71*IF($D71="wagon",62.5,781.25)</f>
        <v>2375</v>
      </c>
      <c r="BE71" s="15">
        <f>BC71*IF($D71="wagon",2.73,81.25)</f>
        <v>262.08</v>
      </c>
      <c r="BH71">
        <f t="shared" si="19"/>
        <v>100</v>
      </c>
      <c r="BN71">
        <v>1</v>
      </c>
      <c r="BO71">
        <v>233</v>
      </c>
      <c r="BP71" t="s">
        <v>1111</v>
      </c>
      <c r="BQ71" t="s">
        <v>707</v>
      </c>
      <c r="BR71" t="str">
        <f>VLOOKUP(G71,Eras!$A$2:$C$10, 2, TRUE)</f>
        <v>dsl</v>
      </c>
      <c r="BS71" t="s">
        <v>376</v>
      </c>
      <c r="BT71" t="str">
        <f t="shared" si="9"/>
        <v>dsl_Mail Carriage</v>
      </c>
      <c r="BU71" t="str">
        <f t="shared" si="28"/>
        <v/>
      </c>
      <c r="BV71" t="str">
        <f t="shared" si="25"/>
        <v>wagon_RAIL</v>
      </c>
      <c r="BW71" t="str">
        <f>VLOOKUP($BV71, Constants!$M:$N, 2, FALSE)</f>
        <v/>
      </c>
      <c r="BX71" t="str">
        <f t="shared" si="26"/>
        <v/>
      </c>
      <c r="BY71" t="s">
        <v>855</v>
      </c>
      <c r="BZ71" t="str">
        <f t="shared" si="16"/>
        <v>{YELLOW}25% Bonus for long distance travel{}</v>
      </c>
      <c r="CA71" t="str">
        <f t="shared" si="27"/>
        <v>{YELLOW}25% Bonus for long distance travel{}{SILVER}Based on the Mark 1 carriage, the TPO (Travelling Post Office) allowed mail to be sorted as it was transported.</v>
      </c>
    </row>
    <row r="72" spans="1:79"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20"/>
        <v/>
      </c>
      <c r="AU72">
        <f t="shared" si="21"/>
        <v>1</v>
      </c>
      <c r="AV72">
        <f t="shared" si="22"/>
        <v>0</v>
      </c>
      <c r="AW72">
        <f t="shared" si="23"/>
        <v>0</v>
      </c>
      <c r="AX72" s="4">
        <v>1</v>
      </c>
      <c r="AY72">
        <f t="shared" si="24"/>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28"/>
        <v/>
      </c>
      <c r="BV72" t="str">
        <f t="shared" si="25"/>
        <v>steam_NGRL</v>
      </c>
      <c r="BW72" t="str">
        <f>VLOOKUP($BV72, Constants!$M:$N, 2, FALSE)</f>
        <v/>
      </c>
      <c r="BX72" t="str">
        <f t="shared" si="26"/>
        <v/>
      </c>
      <c r="BZ72" t="str">
        <f t="shared" si="16"/>
        <v/>
      </c>
      <c r="CA72" t="str">
        <f t="shared" si="27"/>
        <v>{SILVER}</v>
      </c>
    </row>
    <row r="73" spans="1:79"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Q73">
        <v>30</v>
      </c>
      <c r="AR73" t="str">
        <f t="shared" si="20"/>
        <v/>
      </c>
      <c r="AU73">
        <f t="shared" si="21"/>
        <v>0</v>
      </c>
      <c r="AV73">
        <f t="shared" si="22"/>
        <v>0</v>
      </c>
      <c r="AW73">
        <f t="shared" si="23"/>
        <v>0</v>
      </c>
      <c r="AX73" s="4">
        <v>1</v>
      </c>
      <c r="AY73">
        <f t="shared" si="24"/>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30">BB73*IF($D73="wagon",62.5,781.25)</f>
        <v>7031.25</v>
      </c>
      <c r="BE73" s="15">
        <f t="shared" ref="BE73:BE142" si="31">BC73*IF($D73="wagon",2.73,81.25)</f>
        <v>2437.5</v>
      </c>
      <c r="BN73">
        <v>2</v>
      </c>
      <c r="BR73" t="str">
        <f>VLOOKUP(G73,Eras!$A$2:$C$10, 2, TRUE)</f>
        <v>early</v>
      </c>
      <c r="BT73" t="str">
        <f t="shared" ref="BT73:BT142" si="32">CONCATENATE(BR73,"_",BS73)</f>
        <v>early_</v>
      </c>
      <c r="BU73" t="str">
        <f t="shared" si="28"/>
        <v/>
      </c>
      <c r="BV73" t="str">
        <f t="shared" si="25"/>
        <v>steam_RAIL</v>
      </c>
      <c r="BW73" t="str">
        <f>VLOOKUP($BV73, Constants!$M:$N, 2, FALSE)</f>
        <v>{BLACK}Powered by: {GOLD}Steam</v>
      </c>
      <c r="BX73" t="str">
        <f t="shared" si="26"/>
        <v/>
      </c>
      <c r="BZ73" t="str">
        <f t="shared" si="16"/>
        <v/>
      </c>
      <c r="CA73" t="str">
        <f t="shared" si="27"/>
        <v>{BLACK}Powered by: {GOLD}Steam {}{SILVER}</v>
      </c>
    </row>
    <row r="74" spans="1:79"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Q74">
        <v>30</v>
      </c>
      <c r="AR74" t="str">
        <f t="shared" si="20"/>
        <v/>
      </c>
      <c r="AU74">
        <f t="shared" si="21"/>
        <v>3</v>
      </c>
      <c r="AV74">
        <f t="shared" si="22"/>
        <v>0</v>
      </c>
      <c r="AW74">
        <f t="shared" si="23"/>
        <v>0.42500000000000004</v>
      </c>
      <c r="AX74" s="4">
        <v>1</v>
      </c>
      <c r="AY74">
        <f t="shared" si="24"/>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30"/>
        <v>12500</v>
      </c>
      <c r="BE74" s="15">
        <f t="shared" si="31"/>
        <v>3168.75</v>
      </c>
      <c r="BN74">
        <v>3</v>
      </c>
      <c r="BR74" t="str">
        <f>VLOOKUP(G74,Eras!$A$2:$C$10, 2, TRUE)</f>
        <v>early</v>
      </c>
      <c r="BS74" t="s">
        <v>367</v>
      </c>
      <c r="BT74" t="str">
        <f t="shared" si="32"/>
        <v>early_Mixed Traffic</v>
      </c>
      <c r="BU74" t="str">
        <f t="shared" si="28"/>
        <v/>
      </c>
      <c r="BV74" t="str">
        <f t="shared" si="25"/>
        <v>steam_RAIL</v>
      </c>
      <c r="BW74" t="str">
        <f>VLOOKUP($BV74, Constants!$M:$N, 2, FALSE)</f>
        <v>{BLACK}Powered by: {GOLD}Steam</v>
      </c>
      <c r="BX74" t="str">
        <f t="shared" si="26"/>
        <v/>
      </c>
      <c r="BZ74" t="str">
        <f t="shared" si="16"/>
        <v/>
      </c>
      <c r="CA74" t="str">
        <f t="shared" si="27"/>
        <v>{BLACK}Powered by: {GOLD}Steam {}{SILVER}</v>
      </c>
    </row>
    <row r="75" spans="1:79"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Q75">
        <v>30</v>
      </c>
      <c r="AR75" t="str">
        <f t="shared" si="20"/>
        <v/>
      </c>
      <c r="AU75">
        <f t="shared" si="21"/>
        <v>0</v>
      </c>
      <c r="AV75">
        <f t="shared" si="22"/>
        <v>0</v>
      </c>
      <c r="AW75">
        <f t="shared" si="23"/>
        <v>0</v>
      </c>
      <c r="AX75" s="4">
        <v>1</v>
      </c>
      <c r="AY75">
        <f t="shared" si="24"/>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30"/>
        <v>7031.25</v>
      </c>
      <c r="BE75" s="15">
        <f t="shared" si="31"/>
        <v>2437.5</v>
      </c>
      <c r="BN75">
        <v>4</v>
      </c>
      <c r="BR75" t="str">
        <f>VLOOKUP(G75,Eras!$A$2:$C$10, 2, TRUE)</f>
        <v>early</v>
      </c>
      <c r="BS75" t="s">
        <v>367</v>
      </c>
      <c r="BT75" t="str">
        <f t="shared" si="32"/>
        <v>early_Mixed Traffic</v>
      </c>
      <c r="BU75" t="str">
        <f t="shared" si="28"/>
        <v/>
      </c>
      <c r="BV75" t="str">
        <f t="shared" si="25"/>
        <v>steam_RAIL</v>
      </c>
      <c r="BW75" t="str">
        <f>VLOOKUP($BV75, Constants!$M:$N, 2, FALSE)</f>
        <v>{BLACK}Powered by: {GOLD}Steam</v>
      </c>
      <c r="BX75" t="str">
        <f t="shared" si="26"/>
        <v/>
      </c>
      <c r="BZ75" t="str">
        <f t="shared" si="16"/>
        <v/>
      </c>
      <c r="CA75" t="str">
        <f t="shared" si="27"/>
        <v>{BLACK}Powered by: {GOLD}Steam {}{SILVER}</v>
      </c>
    </row>
    <row r="76" spans="1:79"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Q76">
        <v>30</v>
      </c>
      <c r="AR76" t="str">
        <f t="shared" si="20"/>
        <v/>
      </c>
      <c r="AU76">
        <f t="shared" si="21"/>
        <v>9</v>
      </c>
      <c r="AV76">
        <f t="shared" si="22"/>
        <v>0</v>
      </c>
      <c r="AW76">
        <f t="shared" si="23"/>
        <v>0.48</v>
      </c>
      <c r="AX76" s="4">
        <v>1</v>
      </c>
      <c r="AY76">
        <f t="shared" si="24"/>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30"/>
        <v>21875</v>
      </c>
      <c r="BE76" s="15">
        <f t="shared" si="31"/>
        <v>4387.5</v>
      </c>
      <c r="BN76">
        <v>5</v>
      </c>
      <c r="BR76" t="str">
        <f>VLOOKUP(G76,Eras!$A$2:$C$10, 2, TRUE)</f>
        <v>early</v>
      </c>
      <c r="BS76" t="s">
        <v>367</v>
      </c>
      <c r="BT76" t="str">
        <f t="shared" si="32"/>
        <v>early_Mixed Traffic</v>
      </c>
      <c r="BU76" t="str">
        <f t="shared" si="28"/>
        <v/>
      </c>
      <c r="BV76" t="str">
        <f t="shared" si="25"/>
        <v>steam_RAIL</v>
      </c>
      <c r="BW76" t="str">
        <f>VLOOKUP($BV76, Constants!$M:$N, 2, FALSE)</f>
        <v>{BLACK}Powered by: {GOLD}Steam</v>
      </c>
      <c r="BX76" t="str">
        <f t="shared" si="26"/>
        <v/>
      </c>
      <c r="BZ76" t="str">
        <f t="shared" si="16"/>
        <v/>
      </c>
      <c r="CA76" t="str">
        <f t="shared" si="27"/>
        <v>{BLACK}Powered by: {GOLD}Steam {}{SILVER}</v>
      </c>
    </row>
    <row r="77" spans="1:79"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Q77">
        <v>30</v>
      </c>
      <c r="AR77" t="str">
        <f t="shared" si="20"/>
        <v/>
      </c>
      <c r="AU77">
        <f t="shared" si="21"/>
        <v>0</v>
      </c>
      <c r="AV77">
        <f t="shared" si="22"/>
        <v>0</v>
      </c>
      <c r="AW77">
        <f t="shared" si="23"/>
        <v>0</v>
      </c>
      <c r="AX77" s="4">
        <v>1</v>
      </c>
      <c r="AY77">
        <f t="shared" si="24"/>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30"/>
        <v>7031.25</v>
      </c>
      <c r="BE77" s="15">
        <f t="shared" si="31"/>
        <v>2437.5</v>
      </c>
      <c r="BN77">
        <v>6</v>
      </c>
      <c r="BR77" t="str">
        <f>VLOOKUP(G77,Eras!$A$2:$C$10, 2, TRUE)</f>
        <v>early</v>
      </c>
      <c r="BS77" t="s">
        <v>368</v>
      </c>
      <c r="BT77" t="str">
        <f t="shared" si="32"/>
        <v>early_Express</v>
      </c>
      <c r="BU77" t="str">
        <f t="shared" si="28"/>
        <v/>
      </c>
      <c r="BV77" t="str">
        <f t="shared" si="25"/>
        <v>steam_RAIL</v>
      </c>
      <c r="BW77" t="str">
        <f>VLOOKUP($BV77, Constants!$M:$N, 2, FALSE)</f>
        <v>{BLACK}Powered by: {GOLD}Steam</v>
      </c>
      <c r="BX77" t="str">
        <f t="shared" si="26"/>
        <v/>
      </c>
      <c r="BZ77" t="str">
        <f t="shared" si="16"/>
        <v/>
      </c>
      <c r="CA77" t="str">
        <f t="shared" si="27"/>
        <v>{BLACK}Powered by: {GOLD}Steam {}{SILVER}</v>
      </c>
    </row>
    <row r="78" spans="1:79"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Q78">
        <v>30</v>
      </c>
      <c r="AR78" t="str">
        <f t="shared" si="20"/>
        <v/>
      </c>
      <c r="AU78">
        <f t="shared" si="21"/>
        <v>0</v>
      </c>
      <c r="AV78">
        <f t="shared" si="22"/>
        <v>0</v>
      </c>
      <c r="AW78">
        <f t="shared" si="23"/>
        <v>1.7000000000000002</v>
      </c>
      <c r="AX78" s="4">
        <v>1</v>
      </c>
      <c r="AY78">
        <f t="shared" si="24"/>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30"/>
        <v>9375</v>
      </c>
      <c r="BE78" s="15">
        <f t="shared" si="31"/>
        <v>2762.5</v>
      </c>
      <c r="BN78">
        <v>7</v>
      </c>
      <c r="BR78" t="str">
        <f>VLOOKUP(G78,Eras!$A$2:$C$10, 2, TRUE)</f>
        <v>early</v>
      </c>
      <c r="BT78" t="str">
        <f t="shared" si="32"/>
        <v>early_</v>
      </c>
      <c r="BU78" t="str">
        <f t="shared" si="28"/>
        <v/>
      </c>
      <c r="BV78" t="str">
        <f t="shared" si="25"/>
        <v>steam_RAIL</v>
      </c>
      <c r="BW78" t="str">
        <f>VLOOKUP($BV78, Constants!$M:$N, 2, FALSE)</f>
        <v>{BLACK}Powered by: {GOLD}Steam</v>
      </c>
      <c r="BX78" t="str">
        <f t="shared" si="26"/>
        <v/>
      </c>
      <c r="BZ78" t="str">
        <f t="shared" si="16"/>
        <v/>
      </c>
      <c r="CA78" t="str">
        <f t="shared" si="27"/>
        <v>{BLACK}Powered by: {GOLD}Steam {}{SILVER}</v>
      </c>
    </row>
    <row r="79" spans="1:79"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Q79">
        <v>30</v>
      </c>
      <c r="AR79" t="str">
        <f t="shared" si="20"/>
        <v/>
      </c>
      <c r="AU79">
        <f t="shared" si="21"/>
        <v>0</v>
      </c>
      <c r="AV79">
        <f t="shared" si="22"/>
        <v>0</v>
      </c>
      <c r="AW79">
        <f t="shared" si="23"/>
        <v>0</v>
      </c>
      <c r="AX79" s="4">
        <v>1</v>
      </c>
      <c r="AY79">
        <f t="shared" si="24"/>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30"/>
        <v>7031.25</v>
      </c>
      <c r="BE79" s="15">
        <f t="shared" si="31"/>
        <v>2437.5</v>
      </c>
      <c r="BN79">
        <v>8</v>
      </c>
      <c r="BR79" t="str">
        <f>VLOOKUP(G79,Eras!$A$2:$C$10, 2, TRUE)</f>
        <v>early</v>
      </c>
      <c r="BT79" t="str">
        <f t="shared" si="32"/>
        <v>early_</v>
      </c>
      <c r="BU79" t="str">
        <f t="shared" si="28"/>
        <v/>
      </c>
      <c r="BV79" t="str">
        <f t="shared" si="25"/>
        <v>steam_RAIL</v>
      </c>
      <c r="BW79" t="str">
        <f>VLOOKUP($BV79, Constants!$M:$N, 2, FALSE)</f>
        <v>{BLACK}Powered by: {GOLD}Steam</v>
      </c>
      <c r="BX79" t="str">
        <f t="shared" si="26"/>
        <v/>
      </c>
      <c r="BZ79" t="str">
        <f t="shared" si="16"/>
        <v/>
      </c>
      <c r="CA79" t="str">
        <f t="shared" si="27"/>
        <v>{BLACK}Powered by: {GOLD}Steam {}{SILVER}</v>
      </c>
    </row>
    <row r="80" spans="1:79"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Q80">
        <v>30</v>
      </c>
      <c r="AR80" t="str">
        <f t="shared" si="20"/>
        <v/>
      </c>
      <c r="AU80">
        <f t="shared" si="21"/>
        <v>12</v>
      </c>
      <c r="AV80">
        <f t="shared" si="22"/>
        <v>0</v>
      </c>
      <c r="AW80">
        <f t="shared" si="23"/>
        <v>0</v>
      </c>
      <c r="AX80" s="4">
        <v>1</v>
      </c>
      <c r="AY80">
        <f t="shared" si="24"/>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30"/>
        <v>26562.5</v>
      </c>
      <c r="BE80" s="15">
        <f t="shared" si="31"/>
        <v>4956.25</v>
      </c>
      <c r="BN80">
        <v>9</v>
      </c>
      <c r="BR80" t="str">
        <f>VLOOKUP(G80,Eras!$A$2:$C$10, 2, TRUE)</f>
        <v>early</v>
      </c>
      <c r="BT80" t="str">
        <f t="shared" si="32"/>
        <v>early_</v>
      </c>
      <c r="BU80" t="str">
        <f t="shared" si="28"/>
        <v/>
      </c>
      <c r="BV80" t="str">
        <f t="shared" si="25"/>
        <v>steam_RAIL</v>
      </c>
      <c r="BW80" t="str">
        <f>VLOOKUP($BV80, Constants!$M:$N, 2, FALSE)</f>
        <v>{BLACK}Powered by: {GOLD}Steam</v>
      </c>
      <c r="BX80" t="str">
        <f t="shared" si="26"/>
        <v/>
      </c>
      <c r="BZ80" t="str">
        <f t="shared" si="16"/>
        <v/>
      </c>
      <c r="CA80" t="str">
        <f t="shared" si="27"/>
        <v>{BLACK}Powered by: {GOLD}Steam {}{SILVER}</v>
      </c>
    </row>
    <row r="81" spans="1:79"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Q81">
        <v>30</v>
      </c>
      <c r="AR81" t="str">
        <f t="shared" si="20"/>
        <v/>
      </c>
      <c r="AU81">
        <f t="shared" si="21"/>
        <v>0</v>
      </c>
      <c r="AV81">
        <f t="shared" si="22"/>
        <v>0</v>
      </c>
      <c r="AW81">
        <f t="shared" si="23"/>
        <v>3.25</v>
      </c>
      <c r="AX81" s="4">
        <v>1</v>
      </c>
      <c r="AY81">
        <f t="shared" si="24"/>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30"/>
        <v>12500</v>
      </c>
      <c r="BE81" s="15">
        <f t="shared" si="31"/>
        <v>3087.5</v>
      </c>
      <c r="BN81">
        <v>10</v>
      </c>
      <c r="BR81" t="str">
        <f>VLOOKUP(G81,Eras!$A$2:$C$10, 2, TRUE)</f>
        <v>vct</v>
      </c>
      <c r="BT81" t="str">
        <f t="shared" si="32"/>
        <v>vct_</v>
      </c>
      <c r="BU81" t="str">
        <f t="shared" si="28"/>
        <v/>
      </c>
      <c r="BV81" t="str">
        <f t="shared" si="25"/>
        <v>steam_RAIL</v>
      </c>
      <c r="BW81" t="str">
        <f>VLOOKUP($BV81, Constants!$M:$N, 2, FALSE)</f>
        <v>{BLACK}Powered by: {GOLD}Steam</v>
      </c>
      <c r="BX81" t="str">
        <f t="shared" si="26"/>
        <v/>
      </c>
      <c r="BZ81" t="str">
        <f t="shared" si="16"/>
        <v/>
      </c>
      <c r="CA81" t="str">
        <f t="shared" si="27"/>
        <v>{BLACK}Powered by: {GOLD}Steam {}{SILVER}</v>
      </c>
    </row>
    <row r="82" spans="1:79"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Q82">
        <v>30</v>
      </c>
      <c r="AR82" t="str">
        <f t="shared" si="20"/>
        <v/>
      </c>
      <c r="AU82">
        <f t="shared" si="21"/>
        <v>14</v>
      </c>
      <c r="AV82">
        <f t="shared" si="22"/>
        <v>0</v>
      </c>
      <c r="AW82">
        <f t="shared" si="23"/>
        <v>0</v>
      </c>
      <c r="AX82" s="4">
        <v>1</v>
      </c>
      <c r="AY82">
        <f t="shared" si="24"/>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30"/>
        <v>29687.5</v>
      </c>
      <c r="BE82" s="15">
        <f t="shared" si="31"/>
        <v>5443.75</v>
      </c>
      <c r="BN82">
        <v>11</v>
      </c>
      <c r="BR82" t="str">
        <f>VLOOKUP(G82,Eras!$A$2:$C$10, 2, TRUE)</f>
        <v>vct</v>
      </c>
      <c r="BT82" t="str">
        <f t="shared" si="32"/>
        <v>vct_</v>
      </c>
      <c r="BU82" t="str">
        <f t="shared" si="28"/>
        <v/>
      </c>
      <c r="BV82" t="str">
        <f t="shared" si="25"/>
        <v>steam_RAIL</v>
      </c>
      <c r="BW82" t="str">
        <f>VLOOKUP($BV82, Constants!$M:$N, 2, FALSE)</f>
        <v>{BLACK}Powered by: {GOLD}Steam</v>
      </c>
      <c r="BX82" t="str">
        <f t="shared" si="26"/>
        <v/>
      </c>
      <c r="BZ82" t="str">
        <f t="shared" si="16"/>
        <v/>
      </c>
      <c r="CA82" t="str">
        <f t="shared" si="27"/>
        <v>{BLACK}Powered by: {GOLD}Steam {}{SILVER}</v>
      </c>
    </row>
    <row r="83" spans="1:79"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Q83">
        <v>30</v>
      </c>
      <c r="AR83" t="str">
        <f t="shared" si="20"/>
        <v/>
      </c>
      <c r="AU83">
        <f t="shared" si="21"/>
        <v>0</v>
      </c>
      <c r="AV83">
        <f t="shared" si="22"/>
        <v>0</v>
      </c>
      <c r="AW83">
        <f t="shared" si="23"/>
        <v>3.25</v>
      </c>
      <c r="AX83" s="4">
        <v>1</v>
      </c>
      <c r="AY83">
        <f t="shared" si="24"/>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30"/>
        <v>12500</v>
      </c>
      <c r="BE83" s="15">
        <f t="shared" si="31"/>
        <v>3087.5</v>
      </c>
      <c r="BN83">
        <v>12</v>
      </c>
      <c r="BR83" t="str">
        <f>VLOOKUP(G83,Eras!$A$2:$C$10, 2, TRUE)</f>
        <v>vct</v>
      </c>
      <c r="BT83" t="str">
        <f t="shared" si="32"/>
        <v>vct_</v>
      </c>
      <c r="BU83" t="str">
        <f t="shared" si="28"/>
        <v/>
      </c>
      <c r="BV83" t="str">
        <f t="shared" si="25"/>
        <v>steam_RAIL</v>
      </c>
      <c r="BW83" t="str">
        <f>VLOOKUP($BV83, Constants!$M:$N, 2, FALSE)</f>
        <v>{BLACK}Powered by: {GOLD}Steam</v>
      </c>
      <c r="BX83" t="str">
        <f t="shared" si="26"/>
        <v/>
      </c>
      <c r="BZ83" t="str">
        <f t="shared" si="16"/>
        <v/>
      </c>
      <c r="CA83" t="str">
        <f t="shared" si="27"/>
        <v>{BLACK}Powered by: {GOLD}Steam {}{SILVER}</v>
      </c>
    </row>
    <row r="84" spans="1:79"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Q84">
        <v>30</v>
      </c>
      <c r="AR84" t="str">
        <f t="shared" si="20"/>
        <v/>
      </c>
      <c r="AU84">
        <f t="shared" si="21"/>
        <v>9</v>
      </c>
      <c r="AV84">
        <f t="shared" si="22"/>
        <v>0</v>
      </c>
      <c r="AW84">
        <f t="shared" si="23"/>
        <v>1.7000000000000002</v>
      </c>
      <c r="AX84" s="4">
        <v>1</v>
      </c>
      <c r="AY84">
        <f t="shared" si="24"/>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30"/>
        <v>24218.75</v>
      </c>
      <c r="BE84" s="15">
        <f t="shared" si="31"/>
        <v>4712.5</v>
      </c>
      <c r="BN84">
        <v>1</v>
      </c>
      <c r="BR84" t="str">
        <f>VLOOKUP(G84,Eras!$A$2:$C$10, 2, TRUE)</f>
        <v>vct</v>
      </c>
      <c r="BT84" t="str">
        <f t="shared" si="32"/>
        <v>vct_</v>
      </c>
      <c r="BU84" t="str">
        <f t="shared" si="28"/>
        <v/>
      </c>
      <c r="BV84" t="str">
        <f t="shared" si="25"/>
        <v>steam_RAIL</v>
      </c>
      <c r="BW84" t="str">
        <f>VLOOKUP($BV84, Constants!$M:$N, 2, FALSE)</f>
        <v>{BLACK}Powered by: {GOLD}Steam</v>
      </c>
      <c r="BX84" t="str">
        <f t="shared" si="26"/>
        <v/>
      </c>
      <c r="BZ84" t="str">
        <f t="shared" si="16"/>
        <v/>
      </c>
      <c r="CA84" t="str">
        <f t="shared" si="27"/>
        <v>{BLACK}Powered by: {GOLD}Steam {}{SILVER}</v>
      </c>
    </row>
    <row r="85" spans="1:79"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Q85">
        <v>30</v>
      </c>
      <c r="AR85" t="str">
        <f t="shared" si="20"/>
        <v/>
      </c>
      <c r="AU85">
        <f t="shared" si="21"/>
        <v>0</v>
      </c>
      <c r="AV85">
        <f t="shared" si="22"/>
        <v>0</v>
      </c>
      <c r="AW85">
        <f t="shared" si="23"/>
        <v>3.77</v>
      </c>
      <c r="AX85" s="4">
        <v>1</v>
      </c>
      <c r="AY85">
        <f t="shared" si="24"/>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30"/>
        <v>13281.25</v>
      </c>
      <c r="BE85" s="15">
        <f t="shared" si="31"/>
        <v>3168.75</v>
      </c>
      <c r="BN85">
        <v>2</v>
      </c>
      <c r="BR85" t="str">
        <f>VLOOKUP(G85,Eras!$A$2:$C$10, 2, TRUE)</f>
        <v>vct</v>
      </c>
      <c r="BT85" t="str">
        <f t="shared" si="32"/>
        <v>vct_</v>
      </c>
      <c r="BU85" t="str">
        <f t="shared" si="28"/>
        <v/>
      </c>
      <c r="BV85" t="str">
        <f t="shared" si="25"/>
        <v>steam_RAIL</v>
      </c>
      <c r="BW85" t="str">
        <f>VLOOKUP($BV85, Constants!$M:$N, 2, FALSE)</f>
        <v>{BLACK}Powered by: {GOLD}Steam</v>
      </c>
      <c r="BX85" t="str">
        <f t="shared" si="26"/>
        <v/>
      </c>
      <c r="BZ85" t="str">
        <f t="shared" ref="BZ85:BZ149" si="33">IF(BQ85="BRAKE","{YELLOW}Speed bonus for slow wagons{}",IF(BO85&gt;190,CONCATENATE("{YELLOW}",INT((BO85-185)/1.85),"% Bonus for long distance travel{}"),IF(AND(BO85&lt;180,BO85&lt;&gt;0),CONCATENATE("{YELLOW}",INT((185-BO85)/1.85),"% Penalty for long distance travel{}"),"")))</f>
        <v/>
      </c>
      <c r="CA85" t="str">
        <f t="shared" si="27"/>
        <v>{BLACK}Powered by: {GOLD}Steam {}{SILVER}</v>
      </c>
    </row>
    <row r="86" spans="1:79"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Q86">
        <v>30</v>
      </c>
      <c r="AR86" t="str">
        <f t="shared" si="20"/>
        <v/>
      </c>
      <c r="AU86">
        <f t="shared" si="21"/>
        <v>0</v>
      </c>
      <c r="AV86">
        <f t="shared" si="22"/>
        <v>0</v>
      </c>
      <c r="AW86">
        <f t="shared" si="23"/>
        <v>3.8</v>
      </c>
      <c r="AX86" s="4">
        <v>1</v>
      </c>
      <c r="AY86">
        <f t="shared" si="24"/>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30"/>
        <v>13281.25</v>
      </c>
      <c r="BE86" s="15">
        <f t="shared" si="31"/>
        <v>3168.75</v>
      </c>
      <c r="BN86">
        <v>3</v>
      </c>
      <c r="BR86" t="str">
        <f>VLOOKUP(G86,Eras!$A$2:$C$10, 2, TRUE)</f>
        <v>vct</v>
      </c>
      <c r="BT86" t="str">
        <f t="shared" si="32"/>
        <v>vct_</v>
      </c>
      <c r="BU86" t="str">
        <f t="shared" si="28"/>
        <v/>
      </c>
      <c r="BV86" t="str">
        <f t="shared" si="25"/>
        <v>steam_RAIL</v>
      </c>
      <c r="BW86" t="str">
        <f>VLOOKUP($BV86, Constants!$M:$N, 2, FALSE)</f>
        <v>{BLACK}Powered by: {GOLD}Steam</v>
      </c>
      <c r="BX86" t="str">
        <f t="shared" si="26"/>
        <v/>
      </c>
      <c r="BZ86" t="str">
        <f t="shared" si="33"/>
        <v/>
      </c>
      <c r="CA86" t="str">
        <f t="shared" si="27"/>
        <v>{BLACK}Powered by: {GOLD}Steam {}{SILVER}</v>
      </c>
    </row>
    <row r="87" spans="1:79"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Q87">
        <v>30</v>
      </c>
      <c r="AR87" t="str">
        <f t="shared" si="20"/>
        <v/>
      </c>
      <c r="AU87">
        <f t="shared" si="21"/>
        <v>0</v>
      </c>
      <c r="AV87">
        <f t="shared" si="22"/>
        <v>0</v>
      </c>
      <c r="AW87">
        <f t="shared" si="23"/>
        <v>4.4000000000000004</v>
      </c>
      <c r="AX87" s="4">
        <v>1</v>
      </c>
      <c r="AY87">
        <f t="shared" si="24"/>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30"/>
        <v>14062.5</v>
      </c>
      <c r="BE87" s="15">
        <f t="shared" si="31"/>
        <v>3331.25</v>
      </c>
      <c r="BN87">
        <v>4</v>
      </c>
      <c r="BR87" t="str">
        <f>VLOOKUP(G87,Eras!$A$2:$C$10, 2, TRUE)</f>
        <v>vct</v>
      </c>
      <c r="BT87" t="str">
        <f t="shared" si="32"/>
        <v>vct_</v>
      </c>
      <c r="BU87" t="str">
        <f t="shared" si="28"/>
        <v/>
      </c>
      <c r="BV87" t="str">
        <f t="shared" si="25"/>
        <v>steam_RAIL</v>
      </c>
      <c r="BW87" t="str">
        <f>VLOOKUP($BV87, Constants!$M:$N, 2, FALSE)</f>
        <v>{BLACK}Powered by: {GOLD}Steam</v>
      </c>
      <c r="BX87" t="str">
        <f t="shared" si="26"/>
        <v/>
      </c>
      <c r="BZ87" t="str">
        <f t="shared" si="33"/>
        <v/>
      </c>
      <c r="CA87" t="str">
        <f t="shared" si="27"/>
        <v>{BLACK}Powered by: {GOLD}Steam {}{SILVER}</v>
      </c>
    </row>
    <row r="88" spans="1:79"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Q88">
        <v>30</v>
      </c>
      <c r="AR88" t="str">
        <f t="shared" si="20"/>
        <v/>
      </c>
      <c r="AU88">
        <f t="shared" si="21"/>
        <v>0</v>
      </c>
      <c r="AV88">
        <f t="shared" si="22"/>
        <v>0</v>
      </c>
      <c r="AW88">
        <f t="shared" si="23"/>
        <v>0</v>
      </c>
      <c r="AX88" s="4">
        <v>1</v>
      </c>
      <c r="AY88">
        <f t="shared" si="24"/>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30"/>
        <v>7031.25</v>
      </c>
      <c r="BE88" s="15">
        <f t="shared" si="31"/>
        <v>2437.5</v>
      </c>
      <c r="BN88">
        <v>5</v>
      </c>
      <c r="BR88" t="str">
        <f>VLOOKUP(G88,Eras!$A$2:$C$10, 2, TRUE)</f>
        <v>vct</v>
      </c>
      <c r="BS88" t="s">
        <v>368</v>
      </c>
      <c r="BT88" t="str">
        <f t="shared" si="32"/>
        <v>vct_Express</v>
      </c>
      <c r="BU88" t="str">
        <f t="shared" si="28"/>
        <v/>
      </c>
      <c r="BV88" t="str">
        <f t="shared" si="25"/>
        <v>steam_RAIL</v>
      </c>
      <c r="BW88" t="str">
        <f>VLOOKUP($BV88, Constants!$M:$N, 2, FALSE)</f>
        <v>{BLACK}Powered by: {GOLD}Steam</v>
      </c>
      <c r="BX88" t="str">
        <f t="shared" si="26"/>
        <v/>
      </c>
      <c r="BZ88" t="str">
        <f t="shared" si="33"/>
        <v/>
      </c>
      <c r="CA88" t="str">
        <f t="shared" si="27"/>
        <v>{BLACK}Powered by: {GOLD}Steam {}{SILVER}</v>
      </c>
    </row>
    <row r="89" spans="1:79"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Q89">
        <v>30</v>
      </c>
      <c r="AR89" t="str">
        <f t="shared" si="20"/>
        <v/>
      </c>
      <c r="AU89">
        <f t="shared" si="21"/>
        <v>18</v>
      </c>
      <c r="AV89">
        <f t="shared" si="22"/>
        <v>0</v>
      </c>
      <c r="AW89">
        <f t="shared" si="23"/>
        <v>3.4000000000000004</v>
      </c>
      <c r="AX89" s="4">
        <v>1</v>
      </c>
      <c r="AY89">
        <f t="shared" si="24"/>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30"/>
        <v>42187.5</v>
      </c>
      <c r="BE89" s="15">
        <f t="shared" si="31"/>
        <v>7150</v>
      </c>
      <c r="BN89">
        <v>6</v>
      </c>
      <c r="BR89" t="str">
        <f>VLOOKUP(G89,Eras!$A$2:$C$10, 2, TRUE)</f>
        <v>vct</v>
      </c>
      <c r="BT89" t="str">
        <f t="shared" si="32"/>
        <v>vct_</v>
      </c>
      <c r="BU89" t="str">
        <f t="shared" si="28"/>
        <v/>
      </c>
      <c r="BV89" t="str">
        <f t="shared" si="25"/>
        <v>steam_RAIL</v>
      </c>
      <c r="BW89" t="str">
        <f>VLOOKUP($BV89, Constants!$M:$N, 2, FALSE)</f>
        <v>{BLACK}Powered by: {GOLD}Steam</v>
      </c>
      <c r="BX89" t="str">
        <f t="shared" si="26"/>
        <v/>
      </c>
      <c r="BZ89" t="str">
        <f t="shared" si="33"/>
        <v/>
      </c>
      <c r="CA89" t="str">
        <f t="shared" si="27"/>
        <v>{BLACK}Powered by: {GOLD}Steam {}{SILVER}</v>
      </c>
    </row>
    <row r="90" spans="1:79"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Q90">
        <v>30</v>
      </c>
      <c r="AR90" t="str">
        <f t="shared" si="20"/>
        <v/>
      </c>
      <c r="AU90">
        <f t="shared" si="21"/>
        <v>0</v>
      </c>
      <c r="AV90">
        <f t="shared" si="22"/>
        <v>0</v>
      </c>
      <c r="AW90">
        <f t="shared" si="23"/>
        <v>4.3499999999999996</v>
      </c>
      <c r="AX90" s="4">
        <v>1</v>
      </c>
      <c r="AY90">
        <f t="shared" si="24"/>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30"/>
        <v>14062.5</v>
      </c>
      <c r="BE90" s="15">
        <f t="shared" si="31"/>
        <v>3331.25</v>
      </c>
      <c r="BN90">
        <v>7</v>
      </c>
      <c r="BR90" t="str">
        <f>VLOOKUP(G90,Eras!$A$2:$C$10, 2, TRUE)</f>
        <v>vct</v>
      </c>
      <c r="BT90" t="str">
        <f t="shared" si="32"/>
        <v>vct_</v>
      </c>
      <c r="BU90" t="str">
        <f t="shared" si="28"/>
        <v/>
      </c>
      <c r="BV90" t="str">
        <f t="shared" si="25"/>
        <v>steam_RAIL</v>
      </c>
      <c r="BW90" t="str">
        <f>VLOOKUP($BV90, Constants!$M:$N, 2, FALSE)</f>
        <v>{BLACK}Powered by: {GOLD}Steam</v>
      </c>
      <c r="BX90" t="str">
        <f t="shared" si="26"/>
        <v/>
      </c>
      <c r="BZ90" t="str">
        <f t="shared" si="33"/>
        <v/>
      </c>
      <c r="CA90" t="str">
        <f t="shared" si="27"/>
        <v>{BLACK}Powered by: {GOLD}Steam {}{SILVER}</v>
      </c>
    </row>
    <row r="91" spans="1:79"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Q91">
        <v>30</v>
      </c>
      <c r="AR91" t="str">
        <f t="shared" si="20"/>
        <v/>
      </c>
      <c r="AU91">
        <f t="shared" si="21"/>
        <v>0</v>
      </c>
      <c r="AV91">
        <f t="shared" si="22"/>
        <v>0</v>
      </c>
      <c r="AW91">
        <f t="shared" si="23"/>
        <v>0</v>
      </c>
      <c r="AX91" s="4">
        <v>1</v>
      </c>
      <c r="AY91">
        <f t="shared" si="24"/>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30"/>
        <v>7031.25</v>
      </c>
      <c r="BE91" s="15">
        <f t="shared" si="31"/>
        <v>2437.5</v>
      </c>
      <c r="BN91">
        <v>8</v>
      </c>
      <c r="BR91" t="str">
        <f>VLOOKUP(G91,Eras!$A$2:$C$10, 2, TRUE)</f>
        <v>vct</v>
      </c>
      <c r="BT91" t="str">
        <f t="shared" si="32"/>
        <v>vct_</v>
      </c>
      <c r="BU91" t="str">
        <f t="shared" si="28"/>
        <v/>
      </c>
      <c r="BV91" t="str">
        <f t="shared" si="25"/>
        <v>steam_RAIL</v>
      </c>
      <c r="BW91" t="str">
        <f>VLOOKUP($BV91, Constants!$M:$N, 2, FALSE)</f>
        <v>{BLACK}Powered by: {GOLD}Steam</v>
      </c>
      <c r="BX91" t="str">
        <f t="shared" si="26"/>
        <v/>
      </c>
      <c r="BZ91" t="str">
        <f t="shared" si="33"/>
        <v/>
      </c>
      <c r="CA91" t="str">
        <f t="shared" si="27"/>
        <v>{BLACK}Powered by: {GOLD}Steam {}{SILVER}</v>
      </c>
    </row>
    <row r="92" spans="1:79"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O92">
        <v>1</v>
      </c>
      <c r="AQ92">
        <v>30</v>
      </c>
      <c r="AR92">
        <f t="shared" si="20"/>
        <v>51</v>
      </c>
      <c r="AU92">
        <f t="shared" si="21"/>
        <v>8</v>
      </c>
      <c r="AV92">
        <f t="shared" si="22"/>
        <v>3</v>
      </c>
      <c r="AW92">
        <f t="shared" si="23"/>
        <v>4.6000000000000005</v>
      </c>
      <c r="AX92" s="4">
        <v>1</v>
      </c>
      <c r="AY92">
        <f t="shared" si="24"/>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30"/>
        <v>32031.25</v>
      </c>
      <c r="BE92" s="15">
        <f t="shared" si="31"/>
        <v>5768.75</v>
      </c>
      <c r="BN92">
        <v>9</v>
      </c>
      <c r="BR92" t="str">
        <f>VLOOKUP(G92,Eras!$A$2:$C$10, 2, TRUE)</f>
        <v>vct</v>
      </c>
      <c r="BS92" t="s">
        <v>366</v>
      </c>
      <c r="BT92" t="str">
        <f t="shared" si="32"/>
        <v>vct_Cheap</v>
      </c>
      <c r="BU92" t="str">
        <f t="shared" si="28"/>
        <v/>
      </c>
      <c r="BV92" t="str">
        <f t="shared" si="25"/>
        <v>steam_RAIL</v>
      </c>
      <c r="BW92" t="str">
        <f>VLOOKUP($BV92, Constants!$M:$N, 2, FALSE)</f>
        <v>{BLACK}Powered by: {GOLD}Steam</v>
      </c>
      <c r="BX92" t="str">
        <f t="shared" si="26"/>
        <v/>
      </c>
      <c r="BY92" t="s">
        <v>1220</v>
      </c>
      <c r="BZ92" t="str">
        <f t="shared" si="33"/>
        <v/>
      </c>
      <c r="CA92" t="str">
        <f t="shared" si="27"/>
        <v>{BLACK}Powered by: {GOLD}Steam {}{SILVER}Samuel Johnson's tank engine design were rebuilt later in life by Henry Fowler, providing the inspiration for Fowler's own 3F "Jinty" design.</v>
      </c>
    </row>
    <row r="93" spans="1:79"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O93">
        <v>1</v>
      </c>
      <c r="AQ93">
        <v>30</v>
      </c>
      <c r="AR93">
        <f t="shared" si="20"/>
        <v>50</v>
      </c>
      <c r="AU93">
        <f t="shared" si="21"/>
        <v>6</v>
      </c>
      <c r="AV93">
        <f t="shared" si="22"/>
        <v>1.75</v>
      </c>
      <c r="AW93">
        <f t="shared" si="23"/>
        <v>2.4500000000000002</v>
      </c>
      <c r="AX93" s="4">
        <v>1</v>
      </c>
      <c r="AY93">
        <f t="shared" si="24"/>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30"/>
        <v>23437.5</v>
      </c>
      <c r="BE93" s="15">
        <f t="shared" si="31"/>
        <v>4550</v>
      </c>
      <c r="BN93">
        <v>10</v>
      </c>
      <c r="BR93" t="str">
        <f>VLOOKUP(G93,Eras!$A$2:$C$10, 2, TRUE)</f>
        <v>edw</v>
      </c>
      <c r="BS93" t="s">
        <v>366</v>
      </c>
      <c r="BT93" t="str">
        <f t="shared" si="32"/>
        <v>edw_Cheap</v>
      </c>
      <c r="BU93" t="str">
        <f t="shared" si="28"/>
        <v/>
      </c>
      <c r="BV93" t="str">
        <f t="shared" si="25"/>
        <v>steam_RAIL</v>
      </c>
      <c r="BW93" t="str">
        <f>VLOOKUP($BV93, Constants!$M:$N, 2, FALSE)</f>
        <v>{BLACK}Powered by: {GOLD}Steam</v>
      </c>
      <c r="BX93" t="str">
        <f t="shared" si="26"/>
        <v/>
      </c>
      <c r="BY93" t="s">
        <v>448</v>
      </c>
      <c r="BZ93" t="str">
        <f t="shared" si="33"/>
        <v/>
      </c>
      <c r="CA93" t="str">
        <f t="shared" si="27"/>
        <v>{BLACK}Powered by: {GOLD}Steam {}{SILVER}This 0-4-0 saddle tank engine is typical of the many acquired by the GWR from smaller railways during the 1923 grouping of railway companies into the Big Four.</v>
      </c>
    </row>
    <row r="94" spans="1:79"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O94">
        <v>1</v>
      </c>
      <c r="AQ94">
        <v>30</v>
      </c>
      <c r="AR94">
        <f t="shared" si="20"/>
        <v>29</v>
      </c>
      <c r="AU94">
        <f t="shared" si="21"/>
        <v>16</v>
      </c>
      <c r="AV94">
        <f t="shared" si="22"/>
        <v>4.75</v>
      </c>
      <c r="AW94">
        <f t="shared" si="23"/>
        <v>4.8499999999999996</v>
      </c>
      <c r="AX94" s="4">
        <v>1</v>
      </c>
      <c r="AY94">
        <f t="shared" si="24"/>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30"/>
        <v>49218.75</v>
      </c>
      <c r="BE94" s="15">
        <f t="shared" si="31"/>
        <v>8125</v>
      </c>
      <c r="BN94">
        <v>11</v>
      </c>
      <c r="BR94" t="str">
        <f>VLOOKUP(G94,Eras!$A$2:$C$10, 2, TRUE)</f>
        <v>edw</v>
      </c>
      <c r="BS94" t="s">
        <v>368</v>
      </c>
      <c r="BT94" t="str">
        <f t="shared" si="32"/>
        <v>edw_Express</v>
      </c>
      <c r="BU94" t="str">
        <f t="shared" si="28"/>
        <v/>
      </c>
      <c r="BV94" t="str">
        <f t="shared" si="25"/>
        <v>steam_RAIL</v>
      </c>
      <c r="BW94" t="str">
        <f>VLOOKUP($BV94, Constants!$M:$N, 2, FALSE)</f>
        <v>{BLACK}Powered by: {GOLD}Steam</v>
      </c>
      <c r="BX94" t="str">
        <f t="shared" si="26"/>
        <v/>
      </c>
      <c r="BY94" t="s">
        <v>388</v>
      </c>
      <c r="BZ94" t="str">
        <f t="shared" si="33"/>
        <v/>
      </c>
      <c r="CA94" t="str">
        <f t="shared" si="27"/>
        <v>{BLACK}Powered by: {GOLD}Steam {}{SILVER}The 1000 class is an express locomotive with a three-cylinder arrangement, using a high pressure cylinder inside the frame and two low pressure cylinders on the outside.</v>
      </c>
    </row>
    <row r="95" spans="1:79"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Q95">
        <v>30</v>
      </c>
      <c r="AR95">
        <f t="shared" si="20"/>
        <v>20</v>
      </c>
      <c r="AU95">
        <f t="shared" si="21"/>
        <v>5.3999999999999995</v>
      </c>
      <c r="AV95">
        <f t="shared" si="22"/>
        <v>3.2</v>
      </c>
      <c r="AW95">
        <f t="shared" si="23"/>
        <v>5.5500000000000007</v>
      </c>
      <c r="AX95" s="4">
        <v>1</v>
      </c>
      <c r="AY95">
        <f t="shared" si="24"/>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30"/>
        <v>41406.25</v>
      </c>
      <c r="BE95" s="15">
        <f t="shared" si="31"/>
        <v>3818.75</v>
      </c>
      <c r="BN95">
        <v>12</v>
      </c>
      <c r="BR95" t="str">
        <f>VLOOKUP(G95,Eras!$A$2:$C$10, 2, TRUE)</f>
        <v>edw</v>
      </c>
      <c r="BS95" t="s">
        <v>379</v>
      </c>
      <c r="BT95" t="str">
        <f t="shared" si="32"/>
        <v>edw_Freight (Electric)</v>
      </c>
      <c r="BU95" t="str">
        <f t="shared" si="28"/>
        <v/>
      </c>
      <c r="BV95" t="str">
        <f t="shared" si="25"/>
        <v>electric_ELRL</v>
      </c>
      <c r="BW95" t="str">
        <f>VLOOKUP($BV95, Constants!$M:$N, 2, FALSE)</f>
        <v>{BLACK}Powered by: {GOLD}25kV AC</v>
      </c>
      <c r="BX95" t="str">
        <f t="shared" si="26"/>
        <v/>
      </c>
      <c r="BY95" t="s">
        <v>390</v>
      </c>
      <c r="BZ95" t="str">
        <f t="shared" si="33"/>
        <v/>
      </c>
      <c r="CA95" t="str">
        <f t="shared" si="27"/>
        <v>{BLACK}Powered by: {GOLD}25kV AC {}{SILVER}The LNER ES1 (ES for Electric Shunter) is designed for hauling heavy freight trains on steep inclines.</v>
      </c>
    </row>
    <row r="96" spans="1:79"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O96">
        <v>1</v>
      </c>
      <c r="AQ96">
        <v>30</v>
      </c>
      <c r="AR96">
        <f t="shared" si="20"/>
        <v>54</v>
      </c>
      <c r="AU96">
        <f t="shared" si="21"/>
        <v>11</v>
      </c>
      <c r="AV96">
        <f t="shared" si="22"/>
        <v>3.65</v>
      </c>
      <c r="AW96">
        <f t="shared" si="23"/>
        <v>3.85</v>
      </c>
      <c r="AX96" s="4">
        <v>1</v>
      </c>
      <c r="AY96">
        <f t="shared" si="24"/>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30"/>
        <v>37500</v>
      </c>
      <c r="BE96" s="15">
        <f t="shared" si="31"/>
        <v>6418.75</v>
      </c>
      <c r="BN96">
        <v>1</v>
      </c>
      <c r="BR96" t="str">
        <f>VLOOKUP(G96,Eras!$A$2:$C$10, 2, TRUE)</f>
        <v>edw</v>
      </c>
      <c r="BS96" t="s">
        <v>417</v>
      </c>
      <c r="BT96" t="str">
        <f t="shared" si="32"/>
        <v>edw_Passenger</v>
      </c>
      <c r="BU96" t="str">
        <f t="shared" si="28"/>
        <v/>
      </c>
      <c r="BV96" t="str">
        <f t="shared" si="25"/>
        <v>steam_RAIL</v>
      </c>
      <c r="BW96" t="str">
        <f>VLOOKUP($BV96, Constants!$M:$N, 2, FALSE)</f>
        <v>{BLACK}Powered by: {GOLD}Steam</v>
      </c>
      <c r="BX96" t="str">
        <f t="shared" si="26"/>
        <v/>
      </c>
      <c r="BY96" t="s">
        <v>409</v>
      </c>
      <c r="BZ96" t="str">
        <f t="shared" si="33"/>
        <v/>
      </c>
      <c r="CA96" t="str">
        <f t="shared" si="27"/>
        <v>{BLACK}Powered by: {GOLD}Steam {}{SILVER}The South Eastern and Chatham Railway H Class is an 0-4-4T tank engine designed for suburban passenger routes. It was in use until the 1960s.</v>
      </c>
    </row>
    <row r="97" spans="1:79"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O97">
        <v>1</v>
      </c>
      <c r="AQ97">
        <v>38</v>
      </c>
      <c r="AR97">
        <f t="shared" si="20"/>
        <v>47</v>
      </c>
      <c r="AU97">
        <f t="shared" si="21"/>
        <v>11</v>
      </c>
      <c r="AV97">
        <f t="shared" si="22"/>
        <v>4.25</v>
      </c>
      <c r="AW97">
        <f t="shared" si="23"/>
        <v>4.75</v>
      </c>
      <c r="AX97" s="4">
        <v>1</v>
      </c>
      <c r="AY97">
        <f t="shared" si="24"/>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30"/>
        <v>39843.75</v>
      </c>
      <c r="BE97" s="15">
        <f t="shared" si="31"/>
        <v>6825</v>
      </c>
      <c r="BN97">
        <v>2</v>
      </c>
      <c r="BR97" t="str">
        <f>VLOOKUP(G97,Eras!$A$2:$C$10, 2, TRUE)</f>
        <v>edw</v>
      </c>
      <c r="BS97" t="s">
        <v>367</v>
      </c>
      <c r="BT97" t="str">
        <f t="shared" si="32"/>
        <v>edw_Mixed Traffic</v>
      </c>
      <c r="BU97" t="str">
        <f t="shared" si="28"/>
        <v/>
      </c>
      <c r="BV97" t="str">
        <f t="shared" si="25"/>
        <v>steam_RAIL</v>
      </c>
      <c r="BW97" t="str">
        <f>VLOOKUP($BV97, Constants!$M:$N, 2, FALSE)</f>
        <v>{BLACK}Powered by: {GOLD}Steam</v>
      </c>
      <c r="BX97" t="str">
        <f t="shared" si="26"/>
        <v/>
      </c>
      <c r="BY97" t="s">
        <v>418</v>
      </c>
      <c r="BZ97" t="str">
        <f t="shared" si="33"/>
        <v/>
      </c>
      <c r="CA97" t="str">
        <f t="shared" si="27"/>
        <v>{BLACK}Powered by: {GOLD}Steam {}{SILVER}The GWR "Small Prairie" tank engines were designed for operating branch lines.</v>
      </c>
    </row>
    <row r="98" spans="1:79"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1275</v>
      </c>
      <c r="AI98" t="str">
        <f>CONCATENATE(VLOOKUP(AG98,Constants!$A$2:$C$16,IF(AH98&lt;&gt;"", 3, 2), FALSE),IF(AH98&lt;&gt;"",CONCATENATE(",",VLOOKUP(AH98,$B:$AI,34,FALSE)),""))</f>
        <v>2,3,2,2,1,2</v>
      </c>
      <c r="AO98">
        <v>1</v>
      </c>
      <c r="AQ98">
        <v>29</v>
      </c>
      <c r="AR98">
        <f>IF(I98&lt;&gt;"",MAX(8,(I98-G98)-4),"")</f>
        <v>47</v>
      </c>
      <c r="AS98">
        <v>12</v>
      </c>
      <c r="AT98">
        <v>10</v>
      </c>
      <c r="AU98">
        <f>MIN(Y98/150, 1)*30</f>
        <v>17</v>
      </c>
      <c r="AV98">
        <f>MIN(K98/4000, 1)*20</f>
        <v>6</v>
      </c>
      <c r="AW98">
        <f>MIN(W98/400,1)*20</f>
        <v>5.5500000000000007</v>
      </c>
      <c r="AX98" s="4">
        <v>1</v>
      </c>
      <c r="AY98">
        <f>((MAX($J98,1)*MIN($AE98/300,1)))*IF(D98="Wagon",50,10)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BB98*IF($D98="wagon",62.5,781.25)</f>
        <v>61718.75</v>
      </c>
      <c r="BE98" s="15">
        <f>BC98*IF($D98="wagon",2.73,81.25)</f>
        <v>9831.25</v>
      </c>
      <c r="BN98">
        <v>1</v>
      </c>
      <c r="BR98" t="str">
        <f>VLOOKUP(G98,Eras!$A$2:$C$10, 2, TRUE)</f>
        <v>edw</v>
      </c>
      <c r="BS98" t="s">
        <v>368</v>
      </c>
      <c r="BT98" t="str">
        <f>CONCATENATE(BR98,"_",BS98)</f>
        <v>edw_Express</v>
      </c>
      <c r="BU98" t="str">
        <f>IF(AND(BG98&lt;&gt;Y98,BG98&lt;&gt;""),_xlfn.CONCAT("{BLACK}","Tare speed: ","{GOLD}{VELOCITY}{}"), "")</f>
        <v/>
      </c>
      <c r="BV98" t="str">
        <f t="shared" si="25"/>
        <v>steam_RAIL</v>
      </c>
      <c r="BW98" t="str">
        <f>VLOOKUP($BV98, Constants!$M:$N, 2, FALSE)</f>
        <v>{BLACK}Powered by: {GOLD}Steam</v>
      </c>
      <c r="BX98" t="str">
        <f t="shared" si="26"/>
        <v/>
      </c>
      <c r="BY98" t="s">
        <v>1273</v>
      </c>
      <c r="BZ98" t="str">
        <f>IF(BQ98="BRAKE","{YELLOW}Speed bonus for slow wagons{}",IF(BO98&gt;190,CONCATENATE("{YELLOW}",INT((BO98-185)/1.85),"% Bonus for long distance travel{}"),IF(AND(BO98&lt;180,BO98&lt;&gt;0),CONCATENATE("{YELLOW}",INT((185-BO98)/1.85),"% Penalty for long distance travel{}"),"")))</f>
        <v/>
      </c>
      <c r="CA98" t="str">
        <f t="shared" si="27"/>
        <v>{BLACK}Powered by: {GOLD}Steam {}{SILVER}The Star class was the first in a string of successful four cylinder express locomotives built by the GWR.</v>
      </c>
    </row>
    <row r="99" spans="1:79"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O99">
        <v>1</v>
      </c>
      <c r="AQ99">
        <v>32</v>
      </c>
      <c r="AR99">
        <f t="shared" si="20"/>
        <v>45</v>
      </c>
      <c r="AU99">
        <f t="shared" si="21"/>
        <v>10</v>
      </c>
      <c r="AV99">
        <f t="shared" si="22"/>
        <v>4.25</v>
      </c>
      <c r="AW99">
        <f t="shared" si="23"/>
        <v>5.3000000000000007</v>
      </c>
      <c r="AX99" s="4">
        <v>1</v>
      </c>
      <c r="AY99">
        <f t="shared" si="24"/>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30"/>
        <v>39062.5</v>
      </c>
      <c r="BE99" s="15">
        <f t="shared" si="31"/>
        <v>6662.5</v>
      </c>
      <c r="BN99">
        <v>3</v>
      </c>
      <c r="BR99" t="str">
        <f>VLOOKUP(G99,Eras!$A$2:$C$10, 2, TRUE)</f>
        <v>edw</v>
      </c>
      <c r="BS99" t="s">
        <v>417</v>
      </c>
      <c r="BT99" t="str">
        <f t="shared" si="32"/>
        <v>edw_Passenger</v>
      </c>
      <c r="BU99" t="str">
        <f t="shared" si="28"/>
        <v/>
      </c>
      <c r="BV99" t="str">
        <f t="shared" si="25"/>
        <v>steam_RAIL</v>
      </c>
      <c r="BW99" t="str">
        <f>VLOOKUP($BV99, Constants!$M:$N, 2, FALSE)</f>
        <v>{BLACK}Powered by: {GOLD}Steam</v>
      </c>
      <c r="BX99" t="str">
        <f t="shared" si="26"/>
        <v/>
      </c>
      <c r="BY99" t="s">
        <v>421</v>
      </c>
      <c r="BZ99" t="str">
        <f t="shared" si="33"/>
        <v/>
      </c>
      <c r="CA99" t="str">
        <f t="shared" si="27"/>
        <v>{BLACK}Powered by: {GOLD}Steam {}{SILVER}The GCR 9N (later LNER A5) is a 4-6-2 tank locomotive designed for suburban passenger services.</v>
      </c>
    </row>
    <row r="100" spans="1:79"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O100">
        <v>1</v>
      </c>
      <c r="AQ100">
        <v>34</v>
      </c>
      <c r="AR100">
        <f t="shared" si="20"/>
        <v>51</v>
      </c>
      <c r="AU100">
        <f t="shared" si="21"/>
        <v>8</v>
      </c>
      <c r="AV100">
        <f t="shared" si="22"/>
        <v>6.25</v>
      </c>
      <c r="AW100">
        <f t="shared" si="23"/>
        <v>6.9499999999999993</v>
      </c>
      <c r="AX100" s="4">
        <v>1</v>
      </c>
      <c r="AY100">
        <f t="shared" si="24"/>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30"/>
        <v>41406.25</v>
      </c>
      <c r="BE100" s="15">
        <f t="shared" si="31"/>
        <v>7068.75</v>
      </c>
      <c r="BN100">
        <v>4</v>
      </c>
      <c r="BR100" t="str">
        <f>VLOOKUP(G100,Eras!$A$2:$C$10, 2, TRUE)</f>
        <v>edw</v>
      </c>
      <c r="BS100" t="s">
        <v>369</v>
      </c>
      <c r="BT100" t="str">
        <f t="shared" si="32"/>
        <v>edw_Freight</v>
      </c>
      <c r="BU100" t="str">
        <f t="shared" si="28"/>
        <v/>
      </c>
      <c r="BV100" t="str">
        <f t="shared" si="25"/>
        <v>steam_RAIL</v>
      </c>
      <c r="BW100" t="str">
        <f>VLOOKUP($BV100, Constants!$M:$N, 2, FALSE)</f>
        <v>{BLACK}Powered by: {GOLD}Steam</v>
      </c>
      <c r="BX100" t="str">
        <f t="shared" si="26"/>
        <v/>
      </c>
      <c r="BY100" t="s">
        <v>1270</v>
      </c>
      <c r="BZ100" t="str">
        <f t="shared" si="33"/>
        <v/>
      </c>
      <c r="CA100" t="str">
        <f t="shared" si="27"/>
        <v>{BLACK}Powered by: {GOLD}Steam {}{SILVER}The Robinson 8K is a heavy freight engine based on earlier 0-8-0 designs, with a front pony truck to improve the ride and axle loads at the front of the locomotive.</v>
      </c>
    </row>
    <row r="101" spans="1:79" x14ac:dyDescent="0.25">
      <c r="A101" t="s">
        <v>431</v>
      </c>
      <c r="B101" t="s">
        <v>436</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438</v>
      </c>
      <c r="AI101" t="str">
        <f>CONCATENATE(VLOOKUP(AG101,Constants!$A$2:$C$16,IF(AH101&lt;&gt;"", 3, 2), FALSE),IF(AH101&lt;&gt;"",CONCATENATE(",",VLOOKUP(AH101,$B:$AI,34,FALSE)),""))</f>
        <v>2,2,2,2,1,2</v>
      </c>
      <c r="AO101">
        <v>1</v>
      </c>
      <c r="AQ101">
        <v>30</v>
      </c>
      <c r="AR101">
        <f t="shared" si="20"/>
        <v>46</v>
      </c>
      <c r="AS101">
        <v>5</v>
      </c>
      <c r="AU101">
        <f t="shared" si="21"/>
        <v>11</v>
      </c>
      <c r="AV101">
        <f t="shared" si="22"/>
        <v>5.25</v>
      </c>
      <c r="AW101">
        <f t="shared" si="23"/>
        <v>5.2</v>
      </c>
      <c r="AX101" s="4">
        <v>1</v>
      </c>
      <c r="AY101">
        <f t="shared" si="24"/>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30"/>
        <v>42187.5</v>
      </c>
      <c r="BE101" s="15">
        <f t="shared" si="31"/>
        <v>7556.25</v>
      </c>
      <c r="BN101">
        <v>5</v>
      </c>
      <c r="BR101" t="str">
        <f>VLOOKUP(G101,Eras!$A$2:$C$10, 2, TRUE)</f>
        <v>edw</v>
      </c>
      <c r="BS101" t="s">
        <v>369</v>
      </c>
      <c r="BT101" t="str">
        <f t="shared" si="32"/>
        <v>edw_Freight</v>
      </c>
      <c r="BU101" t="str">
        <f t="shared" si="28"/>
        <v/>
      </c>
      <c r="BV101" t="str">
        <f t="shared" si="25"/>
        <v>steam_RAIL</v>
      </c>
      <c r="BW101" t="str">
        <f>VLOOKUP($BV101, Constants!$M:$N, 2, FALSE)</f>
        <v>{BLACK}Powered by: {GOLD}Steam</v>
      </c>
      <c r="BX101" t="str">
        <f t="shared" si="26"/>
        <v/>
      </c>
      <c r="BY101" t="s">
        <v>430</v>
      </c>
      <c r="BZ101" t="str">
        <f t="shared" si="33"/>
        <v/>
      </c>
      <c r="CA101" t="str">
        <f t="shared" si="27"/>
        <v>{BLACK}Powered by: {GOLD}Steam {}{SILVER}The Gresley K2 is a freight engine, designed for the GNR which had been using passenger engines to haul goods trains.</v>
      </c>
    </row>
    <row r="102" spans="1:79"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Q102">
        <v>16</v>
      </c>
      <c r="AR102">
        <f t="shared" si="20"/>
        <v>32</v>
      </c>
      <c r="AT102">
        <v>8</v>
      </c>
      <c r="AU102">
        <f t="shared" si="21"/>
        <v>7</v>
      </c>
      <c r="AV102">
        <f t="shared" si="22"/>
        <v>5.5</v>
      </c>
      <c r="AW102">
        <f t="shared" si="23"/>
        <v>7</v>
      </c>
      <c r="AX102" s="4">
        <v>1</v>
      </c>
      <c r="AY102">
        <f t="shared" si="24"/>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30"/>
        <v>59375</v>
      </c>
      <c r="BE102" s="15">
        <f t="shared" si="31"/>
        <v>4631.25</v>
      </c>
      <c r="BN102">
        <v>6</v>
      </c>
      <c r="BR102" t="str">
        <f>VLOOKUP(G102,Eras!$A$2:$C$10, 2, TRUE)</f>
        <v>edw</v>
      </c>
      <c r="BS102" t="s">
        <v>379</v>
      </c>
      <c r="BT102" t="str">
        <f t="shared" si="32"/>
        <v>edw_Freight (Electric)</v>
      </c>
      <c r="BU102" t="str">
        <f t="shared" si="28"/>
        <v/>
      </c>
      <c r="BV102" t="str">
        <f t="shared" si="25"/>
        <v>electric_ELRL</v>
      </c>
      <c r="BW102" t="str">
        <f>VLOOKUP($BV102, Constants!$M:$N, 2, FALSE)</f>
        <v>{BLACK}Powered by: {GOLD}25kV AC</v>
      </c>
      <c r="BX102" t="str">
        <f t="shared" si="26"/>
        <v/>
      </c>
      <c r="BY102" t="s">
        <v>439</v>
      </c>
      <c r="BZ102" t="str">
        <f t="shared" si="33"/>
        <v/>
      </c>
      <c r="CA102" t="str">
        <f t="shared" si="27"/>
        <v>{BLACK}Powered by: {GOLD}25kV AC {}{SILVER}The LNER EF1 is an early electric freight engine designed for hauling heavy coal trains.</v>
      </c>
    </row>
    <row r="103" spans="1:79"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1260</v>
      </c>
      <c r="AI103" t="str">
        <f>CONCATENATE(VLOOKUP(AG103,Constants!$A$2:$C$16,IF(AH103&lt;&gt;"", 3, 2), FALSE),IF(AH103&lt;&gt;"",CONCATENATE(",",VLOOKUP(AH103,$B:$AI,34,FALSE)),""))</f>
        <v>2,4,2,2,1,2</v>
      </c>
      <c r="AO103">
        <v>1</v>
      </c>
      <c r="AQ103">
        <v>31</v>
      </c>
      <c r="AR103">
        <f t="shared" si="20"/>
        <v>33</v>
      </c>
      <c r="AT103">
        <v>4</v>
      </c>
      <c r="AU103">
        <f t="shared" si="21"/>
        <v>8</v>
      </c>
      <c r="AV103">
        <f t="shared" si="22"/>
        <v>7</v>
      </c>
      <c r="AW103">
        <f t="shared" si="23"/>
        <v>9.65</v>
      </c>
      <c r="AX103" s="4">
        <v>1</v>
      </c>
      <c r="AY103">
        <f t="shared" si="24"/>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BB103*IF($D103="wagon",62.5,781.25)</f>
        <v>50781.25</v>
      </c>
      <c r="BE103" s="15">
        <f>BC103*IF($D103="wagon",2.73,81.25)</f>
        <v>7881.25</v>
      </c>
      <c r="BN103">
        <v>3</v>
      </c>
      <c r="BR103" t="str">
        <f>VLOOKUP(G103,Eras!$A$2:$C$10, 2, TRUE)</f>
        <v>edw</v>
      </c>
      <c r="BS103" t="s">
        <v>369</v>
      </c>
      <c r="BT103" t="str">
        <f>CONCATENATE(BR103,"_",BS103)</f>
        <v>edw_Freight</v>
      </c>
      <c r="BU103" t="str">
        <f t="shared" si="28"/>
        <v/>
      </c>
      <c r="BV103" t="str">
        <f t="shared" si="25"/>
        <v>steam_RAIL</v>
      </c>
      <c r="BW103" t="str">
        <f>VLOOKUP($BV103, Constants!$M:$N, 2, FALSE)</f>
        <v>{BLACK}Powered by: {GOLD}Steam</v>
      </c>
      <c r="BX103" t="str">
        <f t="shared" si="26"/>
        <v/>
      </c>
      <c r="BY103" t="s">
        <v>1253</v>
      </c>
      <c r="BZ103" t="str">
        <f t="shared" si="33"/>
        <v/>
      </c>
      <c r="CA103" t="str">
        <f t="shared" si="27"/>
        <v>{BLACK}Powered by: {GOLD}Steam {}{SILVER}The "Lickey Banker" was a single 0-10-0 engine built to help add power and tractive effort to trains climbing the 1 in 37 Lickey Incline.</v>
      </c>
    </row>
    <row r="104" spans="1:79" x14ac:dyDescent="0.25">
      <c r="A104" t="s">
        <v>1249</v>
      </c>
      <c r="B104" t="s">
        <v>1250</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438</v>
      </c>
      <c r="AI104" t="str">
        <f>CONCATENATE(VLOOKUP(AG104,Constants!$A$2:$C$16,IF(AH104&lt;&gt;"", 3, 2), FALSE),IF(AH104&lt;&gt;"",CONCATENATE(",",VLOOKUP(AH104,$B:$AI,34,FALSE)),""))</f>
        <v>2,2,2,2,1,2</v>
      </c>
      <c r="AO104">
        <v>1</v>
      </c>
      <c r="AQ104">
        <v>30</v>
      </c>
      <c r="AR104">
        <f t="shared" si="20"/>
        <v>36</v>
      </c>
      <c r="AU104">
        <f t="shared" si="21"/>
        <v>12</v>
      </c>
      <c r="AV104">
        <f t="shared" si="22"/>
        <v>6.25</v>
      </c>
      <c r="AW104">
        <f t="shared" si="23"/>
        <v>6.45</v>
      </c>
      <c r="AX104" s="4">
        <v>1</v>
      </c>
      <c r="AY104">
        <f t="shared" si="24"/>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BB104*IF($D104="wagon",62.5,781.25)</f>
        <v>47656.25</v>
      </c>
      <c r="BE104" s="15">
        <f>BC104*IF($D104="wagon",2.73,81.25)</f>
        <v>7962.5</v>
      </c>
      <c r="BN104">
        <v>4</v>
      </c>
      <c r="BR104" t="str">
        <f>VLOOKUP(G104,Eras!$A$2:$C$10, 2, TRUE)</f>
        <v>edw</v>
      </c>
      <c r="BS104" t="s">
        <v>369</v>
      </c>
      <c r="BT104" t="str">
        <f>CONCATENATE(BR104,"_",BS104)</f>
        <v>edw_Freight</v>
      </c>
      <c r="BU104" t="str">
        <f t="shared" si="28"/>
        <v/>
      </c>
      <c r="BV104" t="str">
        <f t="shared" si="25"/>
        <v>steam_RAIL</v>
      </c>
      <c r="BW104" t="str">
        <f>VLOOKUP($BV104, Constants!$M:$N, 2, FALSE)</f>
        <v>{BLACK}Powered by: {GOLD}Steam</v>
      </c>
      <c r="BX104" t="str">
        <f t="shared" si="26"/>
        <v/>
      </c>
      <c r="BY104" t="s">
        <v>1254</v>
      </c>
      <c r="BZ104" t="str">
        <f t="shared" si="33"/>
        <v/>
      </c>
      <c r="CA104" t="str">
        <f t="shared" si="27"/>
        <v>{BLACK}Powered by: {GOLD}Steam {}{SILVER}The D81 (later LNER J20 Class) was the most powerful British 0-6-0 tender locomotive for over twenty years.</v>
      </c>
    </row>
    <row r="105" spans="1:79" x14ac:dyDescent="0.25">
      <c r="A105" t="s">
        <v>1243</v>
      </c>
      <c r="B105" t="s">
        <v>1245</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O105">
        <v>1</v>
      </c>
      <c r="AQ105">
        <v>33</v>
      </c>
      <c r="AR105">
        <f t="shared" si="20"/>
        <v>37</v>
      </c>
      <c r="AS105">
        <v>-15</v>
      </c>
      <c r="AT105">
        <v>-9</v>
      </c>
      <c r="AU105">
        <f t="shared" si="21"/>
        <v>8</v>
      </c>
      <c r="AV105">
        <f t="shared" si="22"/>
        <v>2.25</v>
      </c>
      <c r="AW105">
        <f t="shared" si="23"/>
        <v>3.25</v>
      </c>
      <c r="AX105" s="4">
        <v>1</v>
      </c>
      <c r="AY105">
        <f t="shared" si="24"/>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BB105*IF($D105="wagon",62.5,781.25)</f>
        <v>21875</v>
      </c>
      <c r="BE105" s="15">
        <f>BC105*IF($D105="wagon",2.73,81.25)</f>
        <v>4062.5</v>
      </c>
      <c r="BN105">
        <v>6</v>
      </c>
      <c r="BR105" t="str">
        <f>VLOOKUP(G105,Eras!$A$2:$C$10, 2, TRUE)</f>
        <v>edw</v>
      </c>
      <c r="BS105" t="s">
        <v>366</v>
      </c>
      <c r="BT105" t="str">
        <f>CONCATENATE(BR105,"_",BS105)</f>
        <v>edw_Cheap</v>
      </c>
      <c r="BU105" t="str">
        <f t="shared" si="28"/>
        <v/>
      </c>
      <c r="BV105" t="str">
        <f t="shared" si="25"/>
        <v>steam_RAIL</v>
      </c>
      <c r="BW105" t="str">
        <f>VLOOKUP($BV105, Constants!$M:$N, 2, FALSE)</f>
        <v>{BLACK}Powered by: {GOLD}Steam</v>
      </c>
      <c r="BX105" t="str">
        <f t="shared" si="26"/>
        <v/>
      </c>
      <c r="BY105" t="s">
        <v>1262</v>
      </c>
      <c r="BZ105" t="str">
        <f t="shared" si="33"/>
        <v/>
      </c>
      <c r="CA105" t="str">
        <f t="shared" si="27"/>
        <v>{BLACK}Powered by: {GOLD}Steam {}{SILVER}The 1528 class is a small 0-4-0 tank engine. Designed for shunting, it was built in two batches, the first in 1907 and the second (as here) with minor detail changes in 1921</v>
      </c>
    </row>
    <row r="106" spans="1:79"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1255</v>
      </c>
      <c r="AI106" t="str">
        <f>CONCATENATE(VLOOKUP(AG106,Constants!$A$2:$C$16,IF(AH106&lt;&gt;"", 3, 2), FALSE),IF(AH106&lt;&gt;"",CONCATENATE(",",VLOOKUP(AH106,$B:$AI,34,FALSE)),""))</f>
        <v>2,2,2,2,1,2</v>
      </c>
      <c r="AO106">
        <v>1</v>
      </c>
      <c r="AQ106">
        <v>30</v>
      </c>
      <c r="AR106">
        <f t="shared" si="20"/>
        <v>39</v>
      </c>
      <c r="AU106">
        <f t="shared" si="21"/>
        <v>10</v>
      </c>
      <c r="AV106">
        <f t="shared" si="22"/>
        <v>5</v>
      </c>
      <c r="AW106">
        <f t="shared" si="23"/>
        <v>6.25</v>
      </c>
      <c r="AX106" s="4">
        <v>1</v>
      </c>
      <c r="AY106">
        <f t="shared" si="24"/>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BB106*IF($D106="wagon",62.5,781.25)</f>
        <v>41406.25</v>
      </c>
      <c r="BE106" s="15">
        <f>BC106*IF($D106="wagon",2.73,81.25)</f>
        <v>7068.75</v>
      </c>
      <c r="BN106">
        <v>7</v>
      </c>
      <c r="BR106" t="str">
        <f>VLOOKUP(G106,Eras!$A$2:$C$10, 2, TRUE)</f>
        <v>edw</v>
      </c>
      <c r="BS106" t="s">
        <v>369</v>
      </c>
      <c r="BT106" t="str">
        <f>CONCATENATE(BR106,"_",BS106)</f>
        <v>edw_Freight</v>
      </c>
      <c r="BU106" t="str">
        <f t="shared" si="28"/>
        <v/>
      </c>
      <c r="BV106" t="str">
        <f t="shared" si="25"/>
        <v>steam_RAIL</v>
      </c>
      <c r="BW106" t="str">
        <f>VLOOKUP($BV106, Constants!$M:$N, 2, FALSE)</f>
        <v>{BLACK}Powered by: {GOLD}Steam</v>
      </c>
      <c r="BX106" t="str">
        <f t="shared" si="26"/>
        <v/>
      </c>
      <c r="BY106" t="s">
        <v>1257</v>
      </c>
      <c r="BZ106" t="str">
        <f t="shared" si="33"/>
        <v/>
      </c>
      <c r="CA106" t="str">
        <f t="shared" si="27"/>
        <v>{BLACK}Powered by: {GOLD}Steam {}{SILVER}The LNWR G2 is an 0-8-0 freight locomotive, built from scratch as a new class and never rebuilt instead of the usual LNWR practice of rebuilding existing 8-coupled locomotives.</v>
      </c>
    </row>
    <row r="107" spans="1:79"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1255</v>
      </c>
      <c r="AI107" t="str">
        <f>CONCATENATE(VLOOKUP(AG107,Constants!$A$2:$C$16,IF(AH107&lt;&gt;"", 3, 2), FALSE),IF(AH107&lt;&gt;"",CONCATENATE(",",VLOOKUP(AH107,$B:$AI,34,FALSE)),""))</f>
        <v>2,2,2,2,1,2</v>
      </c>
      <c r="AQ107">
        <v>31</v>
      </c>
      <c r="AR107">
        <f t="shared" si="20"/>
        <v>34</v>
      </c>
      <c r="AU107">
        <f t="shared" si="21"/>
        <v>17</v>
      </c>
      <c r="AV107">
        <f t="shared" si="22"/>
        <v>6.75</v>
      </c>
      <c r="AW107">
        <f t="shared" si="23"/>
        <v>4.75</v>
      </c>
      <c r="AX107" s="4">
        <v>1</v>
      </c>
      <c r="AY107">
        <f t="shared" si="24"/>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30"/>
        <v>53906.25</v>
      </c>
      <c r="BE107" s="15">
        <f t="shared" si="31"/>
        <v>8856.25</v>
      </c>
      <c r="BN107">
        <v>8</v>
      </c>
      <c r="BR107" t="str">
        <f>VLOOKUP(G107,Eras!$A$2:$C$10, 2, TRUE)</f>
        <v>edw</v>
      </c>
      <c r="BS107" t="s">
        <v>368</v>
      </c>
      <c r="BT107" t="str">
        <f t="shared" si="32"/>
        <v>edw_Express</v>
      </c>
      <c r="BU107" t="str">
        <f t="shared" si="28"/>
        <v/>
      </c>
      <c r="BV107" t="str">
        <f t="shared" si="25"/>
        <v>steam_RAIL</v>
      </c>
      <c r="BW107" t="str">
        <f>VLOOKUP($BV107, Constants!$M:$N, 2, FALSE)</f>
        <v>{BLACK}Powered by: {GOLD}Steam</v>
      </c>
      <c r="BX107" t="str">
        <f t="shared" si="26"/>
        <v/>
      </c>
      <c r="BY107" t="s">
        <v>1258</v>
      </c>
      <c r="BZ107" t="str">
        <f t="shared" si="33"/>
        <v/>
      </c>
      <c r="CA107" t="str">
        <f t="shared" si="27"/>
        <v>{BLACK}Powered by: {GOLD}Steam {}{SILVER}The Caledonian 72 class was a 4-4-0 express locomotive, later inherited by the LMS after grouping.</v>
      </c>
    </row>
    <row r="108" spans="1:79" x14ac:dyDescent="0.25">
      <c r="A108" t="s">
        <v>1246</v>
      </c>
      <c r="B108" t="s">
        <v>1247</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O108">
        <v>1</v>
      </c>
      <c r="AQ108">
        <v>30</v>
      </c>
      <c r="AR108">
        <f t="shared" si="20"/>
        <v>24</v>
      </c>
      <c r="AU108">
        <f t="shared" si="21"/>
        <v>9</v>
      </c>
      <c r="AV108">
        <f t="shared" si="22"/>
        <v>5</v>
      </c>
      <c r="AW108">
        <f t="shared" si="23"/>
        <v>6.65</v>
      </c>
      <c r="AX108" s="4">
        <v>1</v>
      </c>
      <c r="AY108">
        <f t="shared" si="24"/>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30"/>
        <v>40625</v>
      </c>
      <c r="BE108" s="15">
        <f t="shared" si="31"/>
        <v>6987.5</v>
      </c>
      <c r="BN108">
        <v>5</v>
      </c>
      <c r="BR108" t="str">
        <f>VLOOKUP(G108,Eras!$A$2:$C$10, 2, TRUE)</f>
        <v>big4</v>
      </c>
      <c r="BS108" t="s">
        <v>369</v>
      </c>
      <c r="BT108" t="str">
        <f t="shared" si="32"/>
        <v>big4_Freight</v>
      </c>
      <c r="BU108" t="str">
        <f t="shared" si="28"/>
        <v/>
      </c>
      <c r="BV108" t="str">
        <f t="shared" si="25"/>
        <v>steam_RAIL</v>
      </c>
      <c r="BW108" t="str">
        <f>VLOOKUP($BV108, Constants!$M:$N, 2, FALSE)</f>
        <v>{BLACK}Powered by: {GOLD}Steam</v>
      </c>
      <c r="BX108" t="str">
        <f t="shared" si="26"/>
        <v/>
      </c>
      <c r="BY108" t="s">
        <v>1259</v>
      </c>
      <c r="BZ108" t="str">
        <f t="shared" si="33"/>
        <v/>
      </c>
      <c r="CA108" t="str">
        <f t="shared" si="27"/>
        <v>{BLACK}Powered by: {GOLD}Steam {}{SILVER}The LNWR 380 class is a large tank locomotive with an 0-8-4T chassis. It was derived from the LNWR's 0-8-0 tender engines and similar 0-8-2T tanks.</v>
      </c>
    </row>
    <row r="109" spans="1:79"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O109">
        <v>1</v>
      </c>
      <c r="AQ109">
        <v>30</v>
      </c>
      <c r="AR109" t="str">
        <f t="shared" si="20"/>
        <v/>
      </c>
      <c r="AU109">
        <f t="shared" si="21"/>
        <v>0</v>
      </c>
      <c r="AV109">
        <f t="shared" si="22"/>
        <v>0</v>
      </c>
      <c r="AW109">
        <f t="shared" si="23"/>
        <v>5.9499999999999993</v>
      </c>
      <c r="AX109" s="4">
        <v>1</v>
      </c>
      <c r="AY109">
        <f t="shared" si="24"/>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30"/>
        <v>16406.25</v>
      </c>
      <c r="BE109" s="15">
        <f t="shared" si="31"/>
        <v>3656.25</v>
      </c>
      <c r="BN109">
        <v>8</v>
      </c>
      <c r="BR109" t="str">
        <f>VLOOKUP(G109,Eras!$A$2:$C$10, 2, TRUE)</f>
        <v>edw</v>
      </c>
      <c r="BT109" t="str">
        <f t="shared" si="32"/>
        <v>edw_</v>
      </c>
      <c r="BU109" t="str">
        <f t="shared" si="28"/>
        <v/>
      </c>
      <c r="BV109" t="str">
        <f t="shared" si="25"/>
        <v>steam_RAIL</v>
      </c>
      <c r="BW109" t="str">
        <f>VLOOKUP($BV109, Constants!$M:$N, 2, FALSE)</f>
        <v>{BLACK}Powered by: {GOLD}Steam</v>
      </c>
      <c r="BX109" t="str">
        <f t="shared" si="26"/>
        <v/>
      </c>
      <c r="BZ109" t="str">
        <f t="shared" si="33"/>
        <v/>
      </c>
      <c r="CA109" t="str">
        <f t="shared" si="27"/>
        <v>{BLACK}Powered by: {GOLD}Steam {}{SILVER}</v>
      </c>
    </row>
    <row r="110" spans="1:79"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O110">
        <v>1</v>
      </c>
      <c r="AQ110">
        <v>36</v>
      </c>
      <c r="AR110">
        <f t="shared" si="20"/>
        <v>39</v>
      </c>
      <c r="AU110">
        <f t="shared" si="21"/>
        <v>11</v>
      </c>
      <c r="AV110">
        <f t="shared" si="22"/>
        <v>4.75</v>
      </c>
      <c r="AW110">
        <f t="shared" si="23"/>
        <v>5.45</v>
      </c>
      <c r="AX110" s="4">
        <v>1</v>
      </c>
      <c r="AY110">
        <f t="shared" si="24"/>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30"/>
        <v>41406.25</v>
      </c>
      <c r="BE110" s="15">
        <f t="shared" si="31"/>
        <v>7068.75</v>
      </c>
      <c r="BN110">
        <v>9</v>
      </c>
      <c r="BR110" t="str">
        <f>VLOOKUP(G110,Eras!$A$2:$C$10, 2, TRUE)</f>
        <v>big4</v>
      </c>
      <c r="BS110" t="s">
        <v>367</v>
      </c>
      <c r="BT110" t="str">
        <f t="shared" si="32"/>
        <v>big4_Mixed Traffic</v>
      </c>
      <c r="BU110" t="str">
        <f t="shared" si="28"/>
        <v/>
      </c>
      <c r="BV110" t="str">
        <f t="shared" si="25"/>
        <v>steam_RAIL</v>
      </c>
      <c r="BW110" t="str">
        <f>VLOOKUP($BV110, Constants!$M:$N, 2, FALSE)</f>
        <v>{BLACK}Powered by: {GOLD}Steam</v>
      </c>
      <c r="BX110" t="str">
        <f t="shared" si="26"/>
        <v/>
      </c>
      <c r="BY110" t="s">
        <v>465</v>
      </c>
      <c r="BZ110" t="str">
        <f t="shared" si="33"/>
        <v/>
      </c>
      <c r="CA110" t="str">
        <f t="shared" si="27"/>
        <v>{BLACK}Powered by: {GOLD}Steam {}{SILVER}The Fowler 4F is a development of the earlier Midland 3835 class.</v>
      </c>
    </row>
    <row r="111" spans="1:79"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469</v>
      </c>
      <c r="AI111" t="str">
        <f>CONCATENATE(VLOOKUP(AG111,Constants!$A$2:$C$16,IF(AH111&lt;&gt;"", 3, 2), FALSE),IF(AH111&lt;&gt;"",CONCATENATE(",",VLOOKUP(AH111,$B:$AI,34,FALSE)),""))</f>
        <v>2,3,2,2,1,2</v>
      </c>
      <c r="AO111">
        <v>1</v>
      </c>
      <c r="AQ111">
        <v>30</v>
      </c>
      <c r="AR111">
        <f t="shared" si="20"/>
        <v>23</v>
      </c>
      <c r="AU111">
        <f t="shared" si="21"/>
        <v>20.400000000000002</v>
      </c>
      <c r="AV111">
        <f t="shared" si="22"/>
        <v>9.5</v>
      </c>
      <c r="AW111">
        <f t="shared" si="23"/>
        <v>7.05</v>
      </c>
      <c r="AX111" s="4">
        <v>1</v>
      </c>
      <c r="AY111">
        <f t="shared" si="24"/>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30"/>
        <v>68750</v>
      </c>
      <c r="BE111" s="15">
        <f t="shared" si="31"/>
        <v>10968.75</v>
      </c>
      <c r="BN111">
        <v>10</v>
      </c>
      <c r="BR111" t="str">
        <f>VLOOKUP(G111,Eras!$A$2:$C$10, 2, TRUE)</f>
        <v>big4</v>
      </c>
      <c r="BS111" t="s">
        <v>368</v>
      </c>
      <c r="BT111" t="str">
        <f t="shared" si="32"/>
        <v>big4_Express</v>
      </c>
      <c r="BU111" t="str">
        <f t="shared" si="28"/>
        <v/>
      </c>
      <c r="BV111" t="str">
        <f t="shared" si="25"/>
        <v>steam_RAIL</v>
      </c>
      <c r="BW111" t="str">
        <f>VLOOKUP($BV111, Constants!$M:$N, 2, FALSE)</f>
        <v>{BLACK}Powered by: {GOLD}Steam</v>
      </c>
      <c r="BX111" t="str">
        <f t="shared" si="26"/>
        <v/>
      </c>
      <c r="BY111" t="s">
        <v>470</v>
      </c>
      <c r="BZ111" t="str">
        <f t="shared" si="33"/>
        <v/>
      </c>
      <c r="CA111" t="str">
        <f t="shared" si="27"/>
        <v>{BLACK}Powered by: {GOLD}Steam {}{SILVER}The Castle Class is a large, powerful express locomotive designed by GWR Chief Mechanical Engineer Charles Collett</v>
      </c>
    </row>
    <row r="112" spans="1:79"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O112">
        <v>1</v>
      </c>
      <c r="AQ112">
        <v>48</v>
      </c>
      <c r="AR112">
        <f t="shared" si="20"/>
        <v>39</v>
      </c>
      <c r="AU112">
        <f t="shared" si="21"/>
        <v>9</v>
      </c>
      <c r="AV112">
        <f t="shared" si="22"/>
        <v>3.25</v>
      </c>
      <c r="AW112">
        <f t="shared" si="23"/>
        <v>4.6500000000000004</v>
      </c>
      <c r="AX112" s="4">
        <v>1</v>
      </c>
      <c r="AY112">
        <f t="shared" si="24"/>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30"/>
        <v>34375</v>
      </c>
      <c r="BE112" s="15">
        <f t="shared" si="31"/>
        <v>6093.75</v>
      </c>
      <c r="BN112">
        <v>11</v>
      </c>
      <c r="BR112" t="str">
        <f>VLOOKUP(G112,Eras!$A$2:$C$10, 2, TRUE)</f>
        <v>big4</v>
      </c>
      <c r="BS112" t="s">
        <v>366</v>
      </c>
      <c r="BT112" t="str">
        <f t="shared" si="32"/>
        <v>big4_Cheap</v>
      </c>
      <c r="BU112" t="str">
        <f t="shared" si="28"/>
        <v/>
      </c>
      <c r="BV112" t="str">
        <f t="shared" si="25"/>
        <v>steam_RAIL</v>
      </c>
      <c r="BW112" t="str">
        <f>VLOOKUP($BV112, Constants!$M:$N, 2, FALSE)</f>
        <v>{BLACK}Powered by: {GOLD}Steam</v>
      </c>
      <c r="BX112" t="str">
        <f t="shared" si="26"/>
        <v/>
      </c>
      <c r="BY112" t="s">
        <v>391</v>
      </c>
      <c r="BZ112" t="str">
        <f t="shared" si="33"/>
        <v/>
      </c>
      <c r="CA112" t="str">
        <f t="shared" si="27"/>
        <v>{BLACK}Powered by: {GOLD}Steam {}{SILVER}The Jinty is a popular tank engine that was built in large quantities. Although small and low powered it is reliable and cheap to run. Jinties were sometimes run in pairs (or more) for working on steep inclines.</v>
      </c>
    </row>
    <row r="113" spans="1:79"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O113">
        <v>1</v>
      </c>
      <c r="AQ113">
        <v>33</v>
      </c>
      <c r="AR113">
        <f t="shared" si="20"/>
        <v>37</v>
      </c>
      <c r="AU113">
        <f t="shared" si="21"/>
        <v>10</v>
      </c>
      <c r="AV113">
        <f t="shared" si="22"/>
        <v>4.5</v>
      </c>
      <c r="AW113">
        <f t="shared" si="23"/>
        <v>5.75</v>
      </c>
      <c r="AX113" s="4">
        <v>1</v>
      </c>
      <c r="AY113">
        <f t="shared" si="24"/>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30"/>
        <v>39843.75</v>
      </c>
      <c r="BE113" s="15">
        <f t="shared" si="31"/>
        <v>6906.25</v>
      </c>
      <c r="BN113">
        <v>12</v>
      </c>
      <c r="BR113" t="str">
        <f>VLOOKUP(G113,Eras!$A$2:$C$10, 2, TRUE)</f>
        <v>big4</v>
      </c>
      <c r="BS113" t="s">
        <v>367</v>
      </c>
      <c r="BT113" t="str">
        <f t="shared" si="32"/>
        <v>big4_Mixed Traffic</v>
      </c>
      <c r="BU113" t="str">
        <f t="shared" si="28"/>
        <v/>
      </c>
      <c r="BV113" t="str">
        <f t="shared" si="25"/>
        <v>steam_RAIL</v>
      </c>
      <c r="BW113" t="str">
        <f>VLOOKUP($BV113, Constants!$M:$N, 2, FALSE)</f>
        <v>{BLACK}Powered by: {GOLD}Steam</v>
      </c>
      <c r="BX113" t="str">
        <f t="shared" si="26"/>
        <v/>
      </c>
      <c r="BY113" t="s">
        <v>392</v>
      </c>
      <c r="BZ113" t="str">
        <f t="shared" si="33"/>
        <v/>
      </c>
      <c r="CA113" t="str">
        <f t="shared" si="27"/>
        <v>{BLACK}Powered by: {GOLD}Steam {}{SILVER}The 5600 Class is a large tank engine that offers more power and tractive effort than smaller 0-6-0 tank engines, at the expense of greater weight and higher running costs.</v>
      </c>
    </row>
    <row r="114" spans="1:79"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O114">
        <v>1</v>
      </c>
      <c r="AQ114">
        <v>28</v>
      </c>
      <c r="AR114">
        <f t="shared" si="20"/>
        <v>37</v>
      </c>
      <c r="AU114">
        <f t="shared" si="21"/>
        <v>14</v>
      </c>
      <c r="AV114">
        <f t="shared" si="22"/>
        <v>7</v>
      </c>
      <c r="AW114">
        <f t="shared" si="23"/>
        <v>5.8999999999999995</v>
      </c>
      <c r="AX114" s="4">
        <v>1</v>
      </c>
      <c r="AY114">
        <f t="shared" si="24"/>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30"/>
        <v>51562.5</v>
      </c>
      <c r="BE114" s="15">
        <f t="shared" si="31"/>
        <v>8450</v>
      </c>
      <c r="BN114">
        <v>1</v>
      </c>
      <c r="BR114" t="str">
        <f>VLOOKUP(G114,Eras!$A$2:$C$10, 2, TRUE)</f>
        <v>big4</v>
      </c>
      <c r="BS114" t="s">
        <v>368</v>
      </c>
      <c r="BT114" t="str">
        <f t="shared" si="32"/>
        <v>big4_Express</v>
      </c>
      <c r="BU114" t="str">
        <f t="shared" si="28"/>
        <v/>
      </c>
      <c r="BV114" t="str">
        <f t="shared" si="25"/>
        <v>steam_RAIL</v>
      </c>
      <c r="BW114" t="str">
        <f>VLOOKUP($BV114, Constants!$M:$N, 2, FALSE)</f>
        <v>{BLACK}Powered by: {GOLD}Steam</v>
      </c>
      <c r="BX114" t="str">
        <f t="shared" si="26"/>
        <v/>
      </c>
      <c r="BY114" t="s">
        <v>393</v>
      </c>
      <c r="BZ114" t="str">
        <f t="shared" si="33"/>
        <v/>
      </c>
      <c r="CA114" t="str">
        <f t="shared" si="27"/>
        <v>{BLACK}Powered by: {GOLD}Steam {}{SILVER}The Hughes Crab was named for its distinctive "scuttling" motion, caused by the inclined cylinders.</v>
      </c>
    </row>
    <row r="115" spans="1:79" x14ac:dyDescent="0.25">
      <c r="A115" t="s">
        <v>147</v>
      </c>
      <c r="B115" t="s">
        <v>472</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438</v>
      </c>
      <c r="AI115" t="str">
        <f>CONCATENATE(VLOOKUP(AG115,Constants!$A$2:$C$16,IF(AH115&lt;&gt;"", 3, 2), FALSE),IF(AH115&lt;&gt;"",CONCATENATE(",",VLOOKUP(AH115,$B:$AI,34,FALSE)),""))</f>
        <v>2,2,2,2,1,2</v>
      </c>
      <c r="AO115">
        <v>1</v>
      </c>
      <c r="AQ115">
        <v>30</v>
      </c>
      <c r="AR115">
        <f t="shared" si="20"/>
        <v>30</v>
      </c>
      <c r="AU115">
        <f t="shared" si="21"/>
        <v>15</v>
      </c>
      <c r="AV115">
        <f t="shared" si="22"/>
        <v>6</v>
      </c>
      <c r="AW115">
        <f t="shared" si="23"/>
        <v>4.8</v>
      </c>
      <c r="AX115" s="4">
        <v>1</v>
      </c>
      <c r="AY115">
        <f t="shared" si="24"/>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30"/>
        <v>49218.75</v>
      </c>
      <c r="BE115" s="15">
        <f t="shared" si="31"/>
        <v>8206.25</v>
      </c>
      <c r="BN115">
        <v>2</v>
      </c>
      <c r="BR115" t="str">
        <f>VLOOKUP(G115,Eras!$A$2:$C$10, 2, TRUE)</f>
        <v>big4</v>
      </c>
      <c r="BS115" t="s">
        <v>417</v>
      </c>
      <c r="BT115" t="str">
        <f t="shared" si="32"/>
        <v>big4_Passenger</v>
      </c>
      <c r="BU115" t="str">
        <f t="shared" si="28"/>
        <v/>
      </c>
      <c r="BV115" t="str">
        <f t="shared" si="25"/>
        <v>steam_RAIL</v>
      </c>
      <c r="BW115" t="str">
        <f>VLOOKUP($BV115, Constants!$M:$N, 2, FALSE)</f>
        <v>{BLACK}Powered by: {GOLD}Steam</v>
      </c>
      <c r="BX115" t="str">
        <f t="shared" si="26"/>
        <v/>
      </c>
      <c r="BY115" t="s">
        <v>471</v>
      </c>
      <c r="BZ115" t="str">
        <f t="shared" si="33"/>
        <v/>
      </c>
      <c r="CA115" t="str">
        <f t="shared" si="27"/>
        <v>{BLACK}Powered by: {GOLD}Steam {}{SILVER}The D49 is a Nigel Gresley designed 4-4-0 locomotive for passenger traffic.</v>
      </c>
    </row>
    <row r="116" spans="1:79"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469</v>
      </c>
      <c r="AI116" t="str">
        <f>CONCATENATE(VLOOKUP(AG116,Constants!$A$2:$C$16,IF(AH116&lt;&gt;"", 3, 2), FALSE),IF(AH116&lt;&gt;"",CONCATENATE(",",VLOOKUP(AH116,$B:$AI,34,FALSE)),""))</f>
        <v>2,4,2,2,1,2</v>
      </c>
      <c r="AO116">
        <v>1</v>
      </c>
      <c r="AQ116">
        <v>30</v>
      </c>
      <c r="AR116">
        <f t="shared" si="20"/>
        <v>31</v>
      </c>
      <c r="AU116">
        <f t="shared" si="21"/>
        <v>21</v>
      </c>
      <c r="AV116">
        <f t="shared" si="22"/>
        <v>11.5</v>
      </c>
      <c r="AW116">
        <f t="shared" si="23"/>
        <v>8.9499999999999993</v>
      </c>
      <c r="AX116" s="4">
        <v>1</v>
      </c>
      <c r="AY116">
        <f t="shared" si="24"/>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30"/>
        <v>76562.5</v>
      </c>
      <c r="BE116" s="15">
        <f t="shared" si="31"/>
        <v>12106.25</v>
      </c>
      <c r="BN116">
        <v>3</v>
      </c>
      <c r="BR116" t="str">
        <f>VLOOKUP(G116,Eras!$A$2:$C$10, 2, TRUE)</f>
        <v>big4</v>
      </c>
      <c r="BS116" t="s">
        <v>368</v>
      </c>
      <c r="BT116" t="str">
        <f t="shared" si="32"/>
        <v>big4_Express</v>
      </c>
      <c r="BU116" t="str">
        <f t="shared" si="28"/>
        <v/>
      </c>
      <c r="BV116" t="str">
        <f t="shared" si="25"/>
        <v>steam_RAIL</v>
      </c>
      <c r="BW116" t="str">
        <f>VLOOKUP($BV116, Constants!$M:$N, 2, FALSE)</f>
        <v>{BLACK}Powered by: {GOLD}Steam</v>
      </c>
      <c r="BX116" t="str">
        <f t="shared" si="26"/>
        <v/>
      </c>
      <c r="BY116" t="s">
        <v>475</v>
      </c>
      <c r="BZ116" t="str">
        <f t="shared" si="33"/>
        <v/>
      </c>
      <c r="CA116" t="str">
        <f t="shared" si="27"/>
        <v>{BLACK}Powered by: {GOLD}Steam {}{SILVER}The King Class is a larger and more powerful development of the Castle Class, designed for even higher sustained speeds.</v>
      </c>
    </row>
    <row r="117" spans="1:79"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O117">
        <v>1</v>
      </c>
      <c r="AQ117">
        <v>30</v>
      </c>
      <c r="AR117">
        <f t="shared" si="20"/>
        <v>35</v>
      </c>
      <c r="AU117">
        <f t="shared" si="21"/>
        <v>16</v>
      </c>
      <c r="AV117">
        <f t="shared" si="22"/>
        <v>4.75</v>
      </c>
      <c r="AW117">
        <f t="shared" si="23"/>
        <v>5.0999999999999996</v>
      </c>
      <c r="AX117" s="4">
        <v>1</v>
      </c>
      <c r="AY117">
        <f t="shared" si="24"/>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30"/>
        <v>49218.75</v>
      </c>
      <c r="BE117" s="15">
        <f t="shared" si="31"/>
        <v>8206.25</v>
      </c>
      <c r="BN117">
        <v>4</v>
      </c>
      <c r="BR117" t="str">
        <f>VLOOKUP(G117,Eras!$A$2:$C$10, 2, TRUE)</f>
        <v>big4</v>
      </c>
      <c r="BS117" t="s">
        <v>367</v>
      </c>
      <c r="BT117" t="str">
        <f t="shared" si="32"/>
        <v>big4_Mixed Traffic</v>
      </c>
      <c r="BU117" t="str">
        <f t="shared" si="28"/>
        <v/>
      </c>
      <c r="BV117" t="str">
        <f t="shared" si="25"/>
        <v>steam_RAIL</v>
      </c>
      <c r="BW117" t="str">
        <f>VLOOKUP($BV117, Constants!$M:$N, 2, FALSE)</f>
        <v>{BLACK}Powered by: {GOLD}Steam</v>
      </c>
      <c r="BX117" t="str">
        <f t="shared" si="26"/>
        <v/>
      </c>
      <c r="BY117" t="s">
        <v>476</v>
      </c>
      <c r="BZ117" t="str">
        <f t="shared" si="33"/>
        <v/>
      </c>
      <c r="CA117" t="str">
        <f t="shared" si="27"/>
        <v>{BLACK}Powered by: {GOLD}Steam {}{SILVER}Fowler's 2-6-4T achieved high speeds for a tank engine, and was typically used on longer distance services.</v>
      </c>
    </row>
    <row r="118" spans="1:79"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469</v>
      </c>
      <c r="AI118" t="str">
        <f>CONCATENATE(VLOOKUP(AG118,Constants!$A$2:$C$16,IF(AH118&lt;&gt;"", 3, 2), FALSE),IF(AH118&lt;&gt;"",CONCATENATE(",",VLOOKUP(AH118,$B:$AI,34,FALSE)),""))</f>
        <v>2,3,2,2,1,2</v>
      </c>
      <c r="AO118">
        <v>1</v>
      </c>
      <c r="AQ118">
        <v>30</v>
      </c>
      <c r="AR118">
        <f t="shared" si="20"/>
        <v>33</v>
      </c>
      <c r="AU118">
        <f t="shared" si="21"/>
        <v>16</v>
      </c>
      <c r="AV118">
        <f t="shared" si="22"/>
        <v>8</v>
      </c>
      <c r="AW118">
        <f t="shared" si="23"/>
        <v>6.05</v>
      </c>
      <c r="AX118" s="4">
        <v>1</v>
      </c>
      <c r="AY118">
        <f t="shared" si="24"/>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30"/>
        <v>57031.25</v>
      </c>
      <c r="BE118" s="15">
        <f t="shared" si="31"/>
        <v>9262.5</v>
      </c>
      <c r="BN118">
        <v>5</v>
      </c>
      <c r="BR118" t="str">
        <f>VLOOKUP(G118,Eras!$A$2:$C$10, 2, TRUE)</f>
        <v>big4</v>
      </c>
      <c r="BS118" t="s">
        <v>367</v>
      </c>
      <c r="BT118" t="str">
        <f t="shared" si="32"/>
        <v>big4_Mixed Traffic</v>
      </c>
      <c r="BU118" t="str">
        <f t="shared" si="28"/>
        <v/>
      </c>
      <c r="BV118" t="str">
        <f t="shared" si="25"/>
        <v>steam_RAIL</v>
      </c>
      <c r="BW118" t="str">
        <f>VLOOKUP($BV118, Constants!$M:$N, 2, FALSE)</f>
        <v>{BLACK}Powered by: {GOLD}Steam</v>
      </c>
      <c r="BX118" t="str">
        <f t="shared" si="26"/>
        <v/>
      </c>
      <c r="BY118" t="s">
        <v>479</v>
      </c>
      <c r="BZ118" t="str">
        <f t="shared" si="33"/>
        <v/>
      </c>
      <c r="CA118" t="str">
        <f t="shared" si="27"/>
        <v>{BLACK}Powered by: {GOLD}Steam {}{SILVER}The GWR 4900 Hall Class set the template for the 4-6-0 mixed traffic locomotive, fast enough for express passenger services with enough tractive effort for freight.</v>
      </c>
    </row>
    <row r="119" spans="1:79"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484</v>
      </c>
      <c r="AI119" t="str">
        <f>CONCATENATE(VLOOKUP(AG119,Constants!$A$2:$C$16,IF(AH119&lt;&gt;"", 3, 2), FALSE),IF(AH119&lt;&gt;"",CONCATENATE(",",VLOOKUP(AH119,$B:$AI,34,FALSE)),""))</f>
        <v>2,4,2,2,1,2</v>
      </c>
      <c r="AO119">
        <v>1</v>
      </c>
      <c r="AQ119">
        <v>32</v>
      </c>
      <c r="AR119">
        <f t="shared" si="20"/>
        <v>34</v>
      </c>
      <c r="AU119">
        <f t="shared" si="21"/>
        <v>21.599999999999998</v>
      </c>
      <c r="AV119">
        <f t="shared" si="22"/>
        <v>10.5</v>
      </c>
      <c r="AW119">
        <f t="shared" si="23"/>
        <v>7.3</v>
      </c>
      <c r="AX119" s="4">
        <v>1</v>
      </c>
      <c r="AY119">
        <f t="shared" si="24"/>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30"/>
        <v>72656.25</v>
      </c>
      <c r="BE119" s="15">
        <f t="shared" si="31"/>
        <v>11618.75</v>
      </c>
      <c r="BN119">
        <v>6</v>
      </c>
      <c r="BR119" t="str">
        <f>VLOOKUP(G119,Eras!$A$2:$C$10, 2, TRUE)</f>
        <v>big4</v>
      </c>
      <c r="BS119" t="s">
        <v>368</v>
      </c>
      <c r="BT119" t="str">
        <f t="shared" si="32"/>
        <v>big4_Express</v>
      </c>
      <c r="BU119" t="str">
        <f t="shared" si="28"/>
        <v/>
      </c>
      <c r="BV119" t="str">
        <f t="shared" si="25"/>
        <v>steam_RAIL</v>
      </c>
      <c r="BW119" t="str">
        <f>VLOOKUP($BV119, Constants!$M:$N, 2, FALSE)</f>
        <v>{BLACK}Powered by: {GOLD}Steam</v>
      </c>
      <c r="BX119" t="str">
        <f t="shared" si="26"/>
        <v/>
      </c>
      <c r="BY119" t="s">
        <v>481</v>
      </c>
      <c r="BZ119" t="str">
        <f t="shared" si="33"/>
        <v/>
      </c>
      <c r="CA119" t="str">
        <f t="shared" si="27"/>
        <v>{BLACK}Powered by: {GOLD}Steam {}{SILVER}The Gresley A3 is a Pacific (4-6-2) locomotive famed for its 100mph+ performance hauling LNER's Flying Scotsman service.</v>
      </c>
    </row>
    <row r="120" spans="1:79"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O120">
        <v>1</v>
      </c>
      <c r="AQ120">
        <v>37</v>
      </c>
      <c r="AR120">
        <f t="shared" si="20"/>
        <v>38</v>
      </c>
      <c r="AU120">
        <f t="shared" si="21"/>
        <v>12</v>
      </c>
      <c r="AV120">
        <f t="shared" si="22"/>
        <v>3.75</v>
      </c>
      <c r="AW120">
        <f t="shared" si="23"/>
        <v>5</v>
      </c>
      <c r="AX120" s="4">
        <v>1</v>
      </c>
      <c r="AY120">
        <f t="shared" si="24"/>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30"/>
        <v>40625</v>
      </c>
      <c r="BE120" s="15">
        <f t="shared" si="31"/>
        <v>6987.5</v>
      </c>
      <c r="BN120">
        <v>7</v>
      </c>
      <c r="BR120" t="str">
        <f>VLOOKUP(G120,Eras!$A$2:$C$10, 2, TRUE)</f>
        <v>big4</v>
      </c>
      <c r="BS120" t="s">
        <v>366</v>
      </c>
      <c r="BT120" t="str">
        <f t="shared" si="32"/>
        <v>big4_Cheap</v>
      </c>
      <c r="BU120" t="str">
        <f t="shared" si="28"/>
        <v/>
      </c>
      <c r="BV120" t="str">
        <f t="shared" si="25"/>
        <v>steam_RAIL</v>
      </c>
      <c r="BW120" t="str">
        <f>VLOOKUP($BV120, Constants!$M:$N, 2, FALSE)</f>
        <v>{BLACK}Powered by: {GOLD}Steam</v>
      </c>
      <c r="BX120" t="str">
        <f t="shared" si="26"/>
        <v/>
      </c>
      <c r="BY120" t="s">
        <v>485</v>
      </c>
      <c r="BZ120" t="str">
        <f t="shared" si="33"/>
        <v/>
      </c>
      <c r="CA120" t="str">
        <f t="shared" si="27"/>
        <v>{BLACK}Powered by: {GOLD}Steam {}{SILVER}The 5700 class numbered 863 locomotives, and was ubiquitous across the GWR network.</v>
      </c>
    </row>
    <row r="121" spans="1:79"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489</v>
      </c>
      <c r="AI121" t="str">
        <f>CONCATENATE(VLOOKUP(AG121,Constants!$A$2:$C$16,IF(AH121&lt;&gt;"", 3, 2), FALSE),IF(AH121&lt;&gt;"",CONCATENATE(",",VLOOKUP(AH121,$B:$AI,34,FALSE)),""))</f>
        <v>2,2,2,2,1,2</v>
      </c>
      <c r="AO121">
        <v>1</v>
      </c>
      <c r="AQ121">
        <v>29</v>
      </c>
      <c r="AR121">
        <f t="shared" si="20"/>
        <v>27</v>
      </c>
      <c r="AU121">
        <f t="shared" si="21"/>
        <v>19</v>
      </c>
      <c r="AV121">
        <f t="shared" si="22"/>
        <v>8.75</v>
      </c>
      <c r="AW121">
        <f t="shared" si="23"/>
        <v>5.5500000000000007</v>
      </c>
      <c r="AX121" s="4">
        <v>1</v>
      </c>
      <c r="AY121">
        <f t="shared" si="24"/>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30"/>
        <v>62500</v>
      </c>
      <c r="BE121" s="15">
        <f t="shared" si="31"/>
        <v>10075</v>
      </c>
      <c r="BN121">
        <v>8</v>
      </c>
      <c r="BR121" t="str">
        <f>VLOOKUP(G121,Eras!$A$2:$C$10, 2, TRUE)</f>
        <v>big4</v>
      </c>
      <c r="BS121" t="s">
        <v>368</v>
      </c>
      <c r="BT121" t="str">
        <f t="shared" si="32"/>
        <v>big4_Express</v>
      </c>
      <c r="BU121" t="str">
        <f t="shared" si="28"/>
        <v/>
      </c>
      <c r="BV121" t="str">
        <f t="shared" si="25"/>
        <v>steam_RAIL</v>
      </c>
      <c r="BW121" t="str">
        <f>VLOOKUP($BV121, Constants!$M:$N, 2, FALSE)</f>
        <v>{BLACK}Powered by: {GOLD}Steam</v>
      </c>
      <c r="BX121" t="str">
        <f t="shared" si="26"/>
        <v/>
      </c>
      <c r="BY121" t="s">
        <v>487</v>
      </c>
      <c r="BZ121" t="str">
        <f t="shared" si="33"/>
        <v/>
      </c>
      <c r="CA121" t="str">
        <f t="shared" si="27"/>
        <v>{BLACK}Powered by: {GOLD}Steam {}{SILVER}The Schools class was the most powerful 4-4-0 locomotive produced in  Europe, and the last British locomotive with such a wheel layout.</v>
      </c>
    </row>
    <row r="122" spans="1:79" x14ac:dyDescent="0.25">
      <c r="A122" t="s">
        <v>77</v>
      </c>
      <c r="B122" t="s">
        <v>211</v>
      </c>
      <c r="C122">
        <v>236</v>
      </c>
      <c r="D122" t="s">
        <v>452</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K122" t="s">
        <v>211</v>
      </c>
      <c r="AM122">
        <v>1</v>
      </c>
      <c r="AQ122">
        <v>16</v>
      </c>
      <c r="AR122">
        <f t="shared" si="20"/>
        <v>25</v>
      </c>
      <c r="AU122">
        <f t="shared" si="21"/>
        <v>12.6</v>
      </c>
      <c r="AV122">
        <f t="shared" si="22"/>
        <v>1.3</v>
      </c>
      <c r="AW122">
        <f t="shared" si="23"/>
        <v>2.75</v>
      </c>
      <c r="AX122" s="4">
        <v>1</v>
      </c>
      <c r="AY122">
        <f t="shared" si="24"/>
        <v>2.3000000000000003</v>
      </c>
      <c r="AZ122">
        <f>VLOOKUP($E122,Constants!$I:$K, 2, FALSE)</f>
        <v>1</v>
      </c>
      <c r="BA122">
        <f>VLOOKUP($E122,Constants!$I:$K, 3, FALSE)*IF(AND(D122="multiple_unit",Y122&lt;110),0.75,1)</f>
        <v>1.5</v>
      </c>
      <c r="BB122">
        <f>INT(POWER(((Constants!$G$2+$AU122+$AV122+$AW122+$AY122)*$AX122)*$BA122, 1.05))+$AT122</f>
        <v>42</v>
      </c>
      <c r="BC122">
        <f>INT(POWER((((Constants!$G$1+$AU122+$AV122+$AW122+$AY122)*(1/$AX122))*$AZ122),IF($D122="wagon",1,1.2)))+$AS122</f>
        <v>68</v>
      </c>
      <c r="BD122" s="15">
        <f t="shared" si="30"/>
        <v>32812.5</v>
      </c>
      <c r="BE122" s="15">
        <f t="shared" si="31"/>
        <v>5525</v>
      </c>
      <c r="BN122">
        <v>9</v>
      </c>
      <c r="BQ122" t="s">
        <v>323</v>
      </c>
      <c r="BR122" t="str">
        <f>VLOOKUP(G122,Eras!$A$2:$C$10, 2, TRUE)</f>
        <v>big4</v>
      </c>
      <c r="BS122" t="s">
        <v>370</v>
      </c>
      <c r="BT122" t="str">
        <f t="shared" si="32"/>
        <v>big4_DMU (Cheap)</v>
      </c>
      <c r="BU122" t="str">
        <f t="shared" si="28"/>
        <v/>
      </c>
      <c r="BV122" t="str">
        <f t="shared" si="25"/>
        <v>diesel_RAIL</v>
      </c>
      <c r="BW122" t="str">
        <f>VLOOKUP($BV122, Constants!$M:$N, 2, FALSE)</f>
        <v>{BLACK}Powered by: {GOLD}Diesel</v>
      </c>
      <c r="BX122" t="str">
        <f t="shared" si="26"/>
        <v/>
      </c>
      <c r="BY122" t="s">
        <v>498</v>
      </c>
      <c r="BZ122" t="str">
        <f t="shared" si="33"/>
        <v/>
      </c>
      <c r="CA122" t="str">
        <f t="shared" si="27"/>
        <v>{BLACK}Powered by: {GOLD}Diesel {}{SILVER}The GWR Railcars used AEC bus hardware in a lightweight streamlined body.</v>
      </c>
    </row>
    <row r="123" spans="1:79"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O123">
        <v>1</v>
      </c>
      <c r="AQ123">
        <v>36</v>
      </c>
      <c r="AR123">
        <f t="shared" si="20"/>
        <v>29</v>
      </c>
      <c r="AU123">
        <f t="shared" si="21"/>
        <v>16</v>
      </c>
      <c r="AV123">
        <f t="shared" si="22"/>
        <v>3</v>
      </c>
      <c r="AW123">
        <f t="shared" si="23"/>
        <v>3.1</v>
      </c>
      <c r="AX123" s="4">
        <v>1</v>
      </c>
      <c r="AY123">
        <f t="shared" si="24"/>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30"/>
        <v>42968.75</v>
      </c>
      <c r="BE123" s="15">
        <f t="shared" si="31"/>
        <v>7312.5</v>
      </c>
      <c r="BN123">
        <v>10</v>
      </c>
      <c r="BR123" t="str">
        <f>VLOOKUP(G123,Eras!$A$2:$C$10, 2, TRUE)</f>
        <v>big4</v>
      </c>
      <c r="BS123" t="s">
        <v>366</v>
      </c>
      <c r="BT123" t="str">
        <f t="shared" si="32"/>
        <v>big4_Cheap</v>
      </c>
      <c r="BU123" t="str">
        <f t="shared" si="28"/>
        <v/>
      </c>
      <c r="BV123" t="str">
        <f t="shared" si="25"/>
        <v>steam_RAIL</v>
      </c>
      <c r="BW123" t="str">
        <f>VLOOKUP($BV123, Constants!$M:$N, 2, FALSE)</f>
        <v>{BLACK}Powered by: {GOLD}Steam</v>
      </c>
      <c r="BX123" t="str">
        <f t="shared" si="26"/>
        <v/>
      </c>
      <c r="BY123" t="s">
        <v>491</v>
      </c>
      <c r="BZ123" t="str">
        <f t="shared" si="33"/>
        <v/>
      </c>
      <c r="CA123" t="str">
        <f t="shared" si="27"/>
        <v>{BLACK}Powered by: {GOLD}Steam {}{SILVER}The 1400 class (originally the 4800 class) is an update of an 1868 design with more modern features. Although small, it is capable of high speed.</v>
      </c>
    </row>
    <row r="124" spans="1:79"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O124">
        <v>1</v>
      </c>
      <c r="AQ124">
        <v>34</v>
      </c>
      <c r="AR124">
        <f t="shared" si="20"/>
        <v>29</v>
      </c>
      <c r="AU124">
        <f t="shared" si="21"/>
        <v>18.399999999999999</v>
      </c>
      <c r="AV124">
        <f t="shared" si="22"/>
        <v>6.25</v>
      </c>
      <c r="AW124">
        <f t="shared" si="23"/>
        <v>5.6499999999999995</v>
      </c>
      <c r="AX124" s="4">
        <v>1</v>
      </c>
      <c r="AY124">
        <f t="shared" si="24"/>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30"/>
        <v>57031.25</v>
      </c>
      <c r="BE124" s="15">
        <f t="shared" si="31"/>
        <v>9262.5</v>
      </c>
      <c r="BN124">
        <v>11</v>
      </c>
      <c r="BR124" t="str">
        <f>VLOOKUP(G124,Eras!$A$2:$C$10, 2, TRUE)</f>
        <v>big4</v>
      </c>
      <c r="BS124" t="s">
        <v>367</v>
      </c>
      <c r="BT124" t="str">
        <f t="shared" si="32"/>
        <v>big4_Mixed Traffic</v>
      </c>
      <c r="BU124" t="str">
        <f t="shared" si="28"/>
        <v/>
      </c>
      <c r="BV124" t="str">
        <f t="shared" si="25"/>
        <v>steam_RAIL</v>
      </c>
      <c r="BW124" t="str">
        <f>VLOOKUP($BV124, Constants!$M:$N, 2, FALSE)</f>
        <v>{BLACK}Powered by: {GOLD}Steam</v>
      </c>
      <c r="BX124" t="str">
        <f t="shared" si="26"/>
        <v/>
      </c>
      <c r="BY124" t="s">
        <v>408</v>
      </c>
      <c r="BZ124" t="str">
        <f t="shared" si="33"/>
        <v/>
      </c>
      <c r="CA124" t="str">
        <f t="shared" si="27"/>
        <v>{BLACK}Powered by: {GOLD}Steam {}{SILVER}The Stanier Class 5, commonly known as the "Black 5", was a workhorse for the LMS and into the British Rail era. Although intended as a mixed traffic locomotive it was capable of high top speeds.</v>
      </c>
    </row>
    <row r="125" spans="1:79"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O125">
        <v>1</v>
      </c>
      <c r="AQ125">
        <v>34</v>
      </c>
      <c r="AR125">
        <f t="shared" si="20"/>
        <v>29</v>
      </c>
      <c r="AU125">
        <f t="shared" si="21"/>
        <v>19</v>
      </c>
      <c r="AV125">
        <f t="shared" si="22"/>
        <v>6.875</v>
      </c>
      <c r="AW125">
        <f t="shared" si="23"/>
        <v>5.8999999999999995</v>
      </c>
      <c r="AX125" s="4">
        <v>1</v>
      </c>
      <c r="AY125">
        <f t="shared" si="24"/>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30"/>
        <v>59375</v>
      </c>
      <c r="BE125" s="15">
        <f t="shared" si="31"/>
        <v>9668.75</v>
      </c>
      <c r="BN125">
        <v>12</v>
      </c>
      <c r="BR125" t="str">
        <f>VLOOKUP(G125,Eras!$A$2:$C$10, 2, TRUE)</f>
        <v>big4</v>
      </c>
      <c r="BS125" t="s">
        <v>368</v>
      </c>
      <c r="BT125" t="str">
        <f t="shared" si="32"/>
        <v>big4_Express</v>
      </c>
      <c r="BU125" t="str">
        <f t="shared" si="28"/>
        <v/>
      </c>
      <c r="BV125" t="str">
        <f t="shared" si="25"/>
        <v>steam_RAIL</v>
      </c>
      <c r="BW125" t="str">
        <f>VLOOKUP($BV125, Constants!$M:$N, 2, FALSE)</f>
        <v>{BLACK}Powered by: {GOLD}Steam</v>
      </c>
      <c r="BX125" t="str">
        <f t="shared" si="26"/>
        <v/>
      </c>
      <c r="BY125" t="s">
        <v>394</v>
      </c>
      <c r="BZ125" t="str">
        <f t="shared" si="33"/>
        <v/>
      </c>
      <c r="CA125" t="str">
        <f t="shared" si="27"/>
        <v>{BLACK}Powered by: {GOLD}Steam {}{SILVER}The Jubilee is the counterpart to the Class 5, often called the "Red Stanier" due to its red LMS livery. It was intended for passenger work, with slightly larger diameter driving wheels giving a higher top speed.</v>
      </c>
    </row>
    <row r="126" spans="1:79" x14ac:dyDescent="0.25">
      <c r="A126" t="s">
        <v>499</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O126">
        <v>1</v>
      </c>
      <c r="AQ126">
        <v>34</v>
      </c>
      <c r="AR126">
        <f t="shared" si="20"/>
        <v>29</v>
      </c>
      <c r="AU126">
        <f t="shared" si="21"/>
        <v>14</v>
      </c>
      <c r="AV126">
        <f t="shared" si="22"/>
        <v>6.5</v>
      </c>
      <c r="AW126">
        <f t="shared" si="23"/>
        <v>7.1999999999999993</v>
      </c>
      <c r="AX126" s="4">
        <v>1</v>
      </c>
      <c r="AY126">
        <f t="shared" si="24"/>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30"/>
        <v>52343.75</v>
      </c>
      <c r="BE126" s="15">
        <f t="shared" si="31"/>
        <v>8612.5</v>
      </c>
      <c r="BN126">
        <v>1</v>
      </c>
      <c r="BR126" t="str">
        <f>VLOOKUP(G126,Eras!$A$2:$C$10, 2, TRUE)</f>
        <v>big4</v>
      </c>
      <c r="BS126" t="s">
        <v>369</v>
      </c>
      <c r="BT126" t="str">
        <f t="shared" si="32"/>
        <v>big4_Freight</v>
      </c>
      <c r="BU126" t="str">
        <f t="shared" si="28"/>
        <v/>
      </c>
      <c r="BV126" t="str">
        <f t="shared" si="25"/>
        <v>steam_RAIL</v>
      </c>
      <c r="BW126" t="str">
        <f>VLOOKUP($BV126, Constants!$M:$N, 2, FALSE)</f>
        <v>{BLACK}Powered by: {GOLD}Steam</v>
      </c>
      <c r="BX126" t="str">
        <f t="shared" si="26"/>
        <v/>
      </c>
      <c r="BY126" t="s">
        <v>500</v>
      </c>
      <c r="BZ126" t="str">
        <f t="shared" si="33"/>
        <v/>
      </c>
      <c r="CA126" t="str">
        <f t="shared" si="27"/>
        <v>{BLACK}Powered by: {GOLD}Steam {}{SILVER}The Stanier 8F is a further development of the Class 5, specialised for freight traffic with a 2-8-0 layout.</v>
      </c>
    </row>
    <row r="127" spans="1:79" x14ac:dyDescent="0.25">
      <c r="A127" t="s">
        <v>27</v>
      </c>
      <c r="B127" t="s">
        <v>502</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484</v>
      </c>
      <c r="AI127" t="str">
        <f>CONCATENATE(VLOOKUP(AG127,Constants!$A$2:$C$16,IF(AH127&lt;&gt;"", 3, 2), FALSE),IF(AH127&lt;&gt;"",CONCATENATE(",",VLOOKUP(AH127,$B:$AI,34,FALSE)),""))</f>
        <v>2,4,2,2,1,2</v>
      </c>
      <c r="AO127">
        <v>1</v>
      </c>
      <c r="AQ127">
        <v>28</v>
      </c>
      <c r="AR127">
        <f t="shared" si="20"/>
        <v>27</v>
      </c>
      <c r="AU127">
        <f t="shared" si="21"/>
        <v>25.2</v>
      </c>
      <c r="AV127">
        <f t="shared" si="22"/>
        <v>12.25</v>
      </c>
      <c r="AW127">
        <f t="shared" si="23"/>
        <v>7.8500000000000005</v>
      </c>
      <c r="AX127" s="4">
        <v>1</v>
      </c>
      <c r="AY127">
        <f t="shared" si="24"/>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30"/>
        <v>82812.5</v>
      </c>
      <c r="BE127" s="15">
        <f t="shared" si="31"/>
        <v>13081.25</v>
      </c>
      <c r="BN127">
        <v>2</v>
      </c>
      <c r="BR127" t="str">
        <f>VLOOKUP(G127,Eras!$A$2:$C$10, 2, TRUE)</f>
        <v>big4</v>
      </c>
      <c r="BS127" t="s">
        <v>368</v>
      </c>
      <c r="BT127" t="str">
        <f t="shared" si="32"/>
        <v>big4_Express</v>
      </c>
      <c r="BU127" t="str">
        <f t="shared" si="28"/>
        <v/>
      </c>
      <c r="BV127" t="str">
        <f t="shared" si="25"/>
        <v>steam_RAIL</v>
      </c>
      <c r="BW127" t="str">
        <f>VLOOKUP($BV127, Constants!$M:$N, 2, FALSE)</f>
        <v>{BLACK}Powered by: {GOLD}Steam</v>
      </c>
      <c r="BX127" t="str">
        <f t="shared" si="26"/>
        <v/>
      </c>
      <c r="BY127" t="s">
        <v>501</v>
      </c>
      <c r="BZ127" t="str">
        <f t="shared" si="33"/>
        <v/>
      </c>
      <c r="CA127" t="str">
        <f t="shared" si="27"/>
        <v>{BLACK}Powered by: {GOLD}Steam {}{SILVER}The Gresley A4 is the iconic pinnacle of high-speed British steam, holding numerous speed and power records.</v>
      </c>
    </row>
    <row r="128" spans="1:79"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484</v>
      </c>
      <c r="AI128" t="str">
        <f>CONCATENATE(VLOOKUP(AG128,Constants!$A$2:$C$16,IF(AH128&lt;&gt;"", 3, 2), FALSE),IF(AH128&lt;&gt;"",CONCATENATE(",",VLOOKUP(AH128,$B:$AI,34,FALSE)),""))</f>
        <v>2,3,2,2,1,2</v>
      </c>
      <c r="AO128">
        <v>1</v>
      </c>
      <c r="AQ128">
        <v>32</v>
      </c>
      <c r="AR128">
        <f t="shared" si="20"/>
        <v>26</v>
      </c>
      <c r="AU128">
        <f t="shared" si="21"/>
        <v>18.600000000000001</v>
      </c>
      <c r="AV128">
        <f t="shared" si="22"/>
        <v>9.5</v>
      </c>
      <c r="AW128">
        <f t="shared" si="23"/>
        <v>7.5</v>
      </c>
      <c r="AX128" s="4">
        <v>1</v>
      </c>
      <c r="AY128">
        <f t="shared" si="24"/>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30"/>
        <v>66406.25</v>
      </c>
      <c r="BE128" s="15">
        <f t="shared" si="31"/>
        <v>10643.75</v>
      </c>
      <c r="BN128">
        <v>3</v>
      </c>
      <c r="BR128" t="str">
        <f>VLOOKUP(G128,Eras!$A$2:$C$10, 2, TRUE)</f>
        <v>big4</v>
      </c>
      <c r="BS128" t="s">
        <v>367</v>
      </c>
      <c r="BT128" t="str">
        <f t="shared" si="32"/>
        <v>big4_Mixed Traffic</v>
      </c>
      <c r="BU128" t="str">
        <f t="shared" si="28"/>
        <v/>
      </c>
      <c r="BV128" t="str">
        <f t="shared" si="25"/>
        <v>steam_RAIL</v>
      </c>
      <c r="BW128" t="str">
        <f>VLOOKUP($BV128, Constants!$M:$N, 2, FALSE)</f>
        <v>{BLACK}Powered by: {GOLD}Steam</v>
      </c>
      <c r="BX128" t="str">
        <f t="shared" si="26"/>
        <v/>
      </c>
      <c r="BY128" t="s">
        <v>504</v>
      </c>
      <c r="BZ128" t="str">
        <f t="shared" si="33"/>
        <v/>
      </c>
      <c r="CA128" t="str">
        <f t="shared" si="27"/>
        <v>{BLACK}Powered by: {GOLD}Steam {}{SILVER}The Gresley V2 is derived from the A3 type, adapted to mixed traffic with a shorter boiler, smaller driving wheels and a 2-6-2 layout.</v>
      </c>
    </row>
    <row r="129" spans="1:79"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469</v>
      </c>
      <c r="AI129" t="str">
        <f>CONCATENATE(VLOOKUP(AG129,Constants!$A$2:$C$16,IF(AH129&lt;&gt;"", 3, 2), FALSE),IF(AH129&lt;&gt;"",CONCATENATE(",",VLOOKUP(AH129,$B:$AI,34,FALSE)),""))</f>
        <v>2,3,2,2,1,2</v>
      </c>
      <c r="AO129">
        <v>1</v>
      </c>
      <c r="AQ129">
        <v>30</v>
      </c>
      <c r="AR129">
        <f t="shared" si="20"/>
        <v>25</v>
      </c>
      <c r="AU129">
        <f t="shared" si="21"/>
        <v>15</v>
      </c>
      <c r="AV129">
        <f t="shared" si="22"/>
        <v>8</v>
      </c>
      <c r="AW129">
        <f t="shared" si="23"/>
        <v>6.4</v>
      </c>
      <c r="AX129" s="4">
        <v>1</v>
      </c>
      <c r="AY129">
        <f t="shared" si="24"/>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30"/>
        <v>55468.75</v>
      </c>
      <c r="BE129" s="15">
        <f t="shared" si="31"/>
        <v>9100</v>
      </c>
      <c r="BN129">
        <v>4</v>
      </c>
      <c r="BR129" t="str">
        <f>VLOOKUP(G129,Eras!$A$2:$C$10, 2, TRUE)</f>
        <v>big4</v>
      </c>
      <c r="BS129" t="s">
        <v>367</v>
      </c>
      <c r="BT129" t="str">
        <f t="shared" si="32"/>
        <v>big4_Mixed Traffic</v>
      </c>
      <c r="BU129" t="str">
        <f t="shared" si="28"/>
        <v/>
      </c>
      <c r="BV129" t="str">
        <f t="shared" si="25"/>
        <v>steam_RAIL</v>
      </c>
      <c r="BW129" t="str">
        <f>VLOOKUP($BV129, Constants!$M:$N, 2, FALSE)</f>
        <v>{BLACK}Powered by: {GOLD}Steam</v>
      </c>
      <c r="BX129" t="str">
        <f t="shared" si="26"/>
        <v/>
      </c>
      <c r="BY129" t="s">
        <v>507</v>
      </c>
      <c r="BZ129" t="str">
        <f t="shared" si="33"/>
        <v/>
      </c>
      <c r="CA129" t="str">
        <f t="shared" si="27"/>
        <v>{BLACK}Powered by: {GOLD}Steam {}{SILVER}The Grange class is a conservative design similar to the Hall class with smaller driving wheels, but proved to be reliable in service.</v>
      </c>
    </row>
    <row r="130" spans="1:79" x14ac:dyDescent="0.25">
      <c r="A130" t="s">
        <v>33</v>
      </c>
      <c r="B130" t="s">
        <v>506</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509</v>
      </c>
      <c r="AI130" t="str">
        <f>CONCATENATE(VLOOKUP(AG130,Constants!$A$2:$C$16,IF(AH130&lt;&gt;"", 3, 2), FALSE),IF(AH130&lt;&gt;"",CONCATENATE(",",VLOOKUP(AH130,$B:$AI,34,FALSE)),""))</f>
        <v>2,5,2,2,1,2</v>
      </c>
      <c r="AO130">
        <v>1</v>
      </c>
      <c r="AQ130">
        <v>35</v>
      </c>
      <c r="AR130">
        <f t="shared" si="20"/>
        <v>23</v>
      </c>
      <c r="AU130">
        <f t="shared" si="21"/>
        <v>23</v>
      </c>
      <c r="AV130">
        <f t="shared" si="22"/>
        <v>12.5</v>
      </c>
      <c r="AW130">
        <f t="shared" si="23"/>
        <v>9</v>
      </c>
      <c r="AX130" s="4">
        <v>1</v>
      </c>
      <c r="AY130">
        <f t="shared" si="24"/>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30"/>
        <v>82031.25</v>
      </c>
      <c r="BE130" s="15">
        <f t="shared" si="31"/>
        <v>12918.75</v>
      </c>
      <c r="BN130">
        <v>5</v>
      </c>
      <c r="BR130" t="str">
        <f>VLOOKUP(G130,Eras!$A$2:$C$10, 2, TRUE)</f>
        <v>big4</v>
      </c>
      <c r="BS130" t="s">
        <v>368</v>
      </c>
      <c r="BT130" t="str">
        <f t="shared" si="32"/>
        <v>big4_Express</v>
      </c>
      <c r="BU130" t="str">
        <f t="shared" si="28"/>
        <v/>
      </c>
      <c r="BV130" t="str">
        <f t="shared" si="25"/>
        <v>steam_RAIL</v>
      </c>
      <c r="BW130" t="str">
        <f>VLOOKUP($BV130, Constants!$M:$N, 2, FALSE)</f>
        <v>{BLACK}Powered by: {GOLD}Steam</v>
      </c>
      <c r="BX130" t="str">
        <f t="shared" si="26"/>
        <v/>
      </c>
      <c r="BY130" t="s">
        <v>508</v>
      </c>
      <c r="BZ130" t="str">
        <f t="shared" si="33"/>
        <v/>
      </c>
      <c r="CA130" t="str">
        <f t="shared" si="27"/>
        <v>{BLACK}Powered by: {GOLD}Steam {}{SILVER}The Stanier Coronation briefly held the British speed record for a steam locomotive. In real life, the streamlined casing was only fitted to early examples.</v>
      </c>
    </row>
    <row r="131" spans="1:79"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518</v>
      </c>
      <c r="AI131" t="str">
        <f>CONCATENATE(VLOOKUP(AG131,Constants!$A$2:$C$16,IF(AH131&lt;&gt;"", 3, 2), FALSE),IF(AH131&lt;&gt;"",CONCATENATE(",",VLOOKUP(AH131,$B:$AI,34,FALSE)),""))</f>
        <v>2,4,2,2,1,2</v>
      </c>
      <c r="AO131">
        <v>1</v>
      </c>
      <c r="AQ131">
        <v>32</v>
      </c>
      <c r="AR131">
        <f t="shared" si="20"/>
        <v>22</v>
      </c>
      <c r="AU131">
        <f t="shared" si="21"/>
        <v>21</v>
      </c>
      <c r="AV131">
        <f t="shared" si="22"/>
        <v>10.5</v>
      </c>
      <c r="AW131">
        <f t="shared" si="23"/>
        <v>8.35</v>
      </c>
      <c r="AX131" s="4">
        <v>1</v>
      </c>
      <c r="AY131">
        <f t="shared" si="24"/>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30"/>
        <v>73437.5</v>
      </c>
      <c r="BE131" s="15">
        <f t="shared" si="31"/>
        <v>11700</v>
      </c>
      <c r="BN131">
        <v>6</v>
      </c>
      <c r="BR131" t="str">
        <f>VLOOKUP(G131,Eras!$A$2:$C$10, 2, TRUE)</f>
        <v>big4</v>
      </c>
      <c r="BS131" t="s">
        <v>368</v>
      </c>
      <c r="BT131" t="str">
        <f t="shared" si="32"/>
        <v>big4_Express</v>
      </c>
      <c r="BU131" t="str">
        <f t="shared" si="28"/>
        <v/>
      </c>
      <c r="BV131" t="str">
        <f t="shared" ref="BV131:BV194" si="42">_xlfn.CONCAT(E131, "_",F131)</f>
        <v>steam_RAIL</v>
      </c>
      <c r="BW131" t="str">
        <f>VLOOKUP($BV131, Constants!$M:$N, 2, FALSE)</f>
        <v>{BLACK}Powered by: {GOLD}Steam</v>
      </c>
      <c r="BX131" t="str">
        <f t="shared" ref="BX131:BX194" si="43">IF(J131&gt;1,_xlfn.CONCAT("{BLACK}Cars: {GOLD}", J131),"")</f>
        <v/>
      </c>
      <c r="BY131" t="s">
        <v>520</v>
      </c>
      <c r="BZ131" t="str">
        <f t="shared" si="33"/>
        <v/>
      </c>
      <c r="CA131" t="str">
        <f t="shared" ref="CA131:CA194" si="44">_xlfn.CONCAT(BU131,BW131,IF(BW131 &lt;&gt; "", " ", ""),BX131,IF(OR(BX131&lt;&gt;"", BW131&lt;&gt;""), "{}",""), BZ131,"{SILVER}", BY131)</f>
        <v>{BLACK}Powered by: {GOLD}Steam {}{SILVER}The SR Merchant Navy is a large, powerful locomotive with an air-smoothed casing. Bulleid's novel design features proved to be troublesome, and the class was later rebuilt.</v>
      </c>
    </row>
    <row r="132" spans="1:79"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Q132">
        <v>30</v>
      </c>
      <c r="AR132" t="str">
        <f t="shared" ref="AR132:AR195" si="45">IF(I132&lt;&gt;"",MAX(8,(I132-G132)-4),"")</f>
        <v/>
      </c>
      <c r="AU132">
        <f t="shared" ref="AU132:AU195" si="46">MIN(Y132/150, 1)*30</f>
        <v>0</v>
      </c>
      <c r="AV132">
        <f t="shared" ref="AV132:AV195" si="47">MIN(K132/4000, 1)*20</f>
        <v>0</v>
      </c>
      <c r="AW132">
        <f t="shared" ref="AW132:AW195" si="48">MIN(W132/400,1)*20</f>
        <v>5.9499999999999993</v>
      </c>
      <c r="AX132" s="4">
        <v>1</v>
      </c>
      <c r="AY132">
        <f t="shared" ref="AY132:AY195" si="49">((MAX($J132,1)*MIN($AE132/300,1)))*IF(D132="Wagon",50,10)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30"/>
        <v>16406.25</v>
      </c>
      <c r="BE132" s="15">
        <f t="shared" si="31"/>
        <v>3656.25</v>
      </c>
      <c r="BN132">
        <v>7</v>
      </c>
      <c r="BR132" t="str">
        <f>VLOOKUP(G132,Eras!$A$2:$C$10, 2, TRUE)</f>
        <v>big4</v>
      </c>
      <c r="BT132" t="str">
        <f t="shared" si="32"/>
        <v>big4_</v>
      </c>
      <c r="BU132" t="str">
        <f t="shared" si="28"/>
        <v/>
      </c>
      <c r="BV132" t="str">
        <f t="shared" si="42"/>
        <v>steam_RAIL</v>
      </c>
      <c r="BW132" t="str">
        <f>VLOOKUP($BV132, Constants!$M:$N, 2, FALSE)</f>
        <v>{BLACK}Powered by: {GOLD}Steam</v>
      </c>
      <c r="BX132" t="str">
        <f t="shared" si="43"/>
        <v/>
      </c>
      <c r="BZ132" t="str">
        <f t="shared" si="33"/>
        <v/>
      </c>
      <c r="CA132" t="str">
        <f t="shared" si="44"/>
        <v>{BLACK}Powered by: {GOLD}Steam {}{SILVER}</v>
      </c>
    </row>
    <row r="133" spans="1:79"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Q133">
        <v>31</v>
      </c>
      <c r="AR133">
        <f t="shared" si="45"/>
        <v>23</v>
      </c>
      <c r="AU133">
        <f t="shared" si="46"/>
        <v>15</v>
      </c>
      <c r="AV133">
        <f t="shared" si="47"/>
        <v>7.35</v>
      </c>
      <c r="AW133">
        <f t="shared" si="48"/>
        <v>8.9</v>
      </c>
      <c r="AX133" s="4">
        <v>1</v>
      </c>
      <c r="AY133">
        <f t="shared" si="49"/>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30"/>
        <v>81250</v>
      </c>
      <c r="BE133" s="15">
        <f t="shared" si="31"/>
        <v>6581.25</v>
      </c>
      <c r="BN133">
        <v>8</v>
      </c>
      <c r="BR133" t="str">
        <f>VLOOKUP(G133,Eras!$A$2:$C$10, 2, TRUE)</f>
        <v>big4</v>
      </c>
      <c r="BS133" t="s">
        <v>377</v>
      </c>
      <c r="BT133" t="str">
        <f t="shared" si="32"/>
        <v>big4_MT (Electric)</v>
      </c>
      <c r="BU133" t="str">
        <f t="shared" ref="BU133:BU196" si="50">IF(AND(BG133&lt;&gt;Y133,BG133&lt;&gt;""),_xlfn.CONCAT("{BLACK}","Tare speed: ","{GOLD}{VELOCITY}{}"), "")</f>
        <v/>
      </c>
      <c r="BV133" t="str">
        <f t="shared" si="42"/>
        <v>electric_THIRD_RAIL</v>
      </c>
      <c r="BW133" t="str">
        <f>VLOOKUP($BV133, Constants!$M:$N, 2, FALSE)</f>
        <v>{BLACK}Powered by: {GOLD}750V DC</v>
      </c>
      <c r="BX133" t="str">
        <f t="shared" si="43"/>
        <v/>
      </c>
      <c r="BY133" t="s">
        <v>521</v>
      </c>
      <c r="BZ133" t="str">
        <f t="shared" si="33"/>
        <v/>
      </c>
      <c r="CA133" t="str">
        <f t="shared" si="44"/>
        <v>{BLACK}Powered by: {GOLD}750V DC {}{SILVER}With six traction motors, the CC is adept at handling both heavy freight and long passenger trains.</v>
      </c>
    </row>
    <row r="134" spans="1:79"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524</v>
      </c>
      <c r="AI134" t="str">
        <f>CONCATENATE(VLOOKUP(AG134,Constants!$A$2:$C$16,IF(AH134&lt;&gt;"", 3, 2), FALSE),IF(AH134&lt;&gt;"",CONCATENATE(",",VLOOKUP(AH134,$B:$AI,34,FALSE)),""))</f>
        <v>2,2,2,1,2,1</v>
      </c>
      <c r="AO134">
        <v>1</v>
      </c>
      <c r="AQ134">
        <v>25</v>
      </c>
      <c r="AR134">
        <f t="shared" si="45"/>
        <v>20</v>
      </c>
      <c r="AU134">
        <f t="shared" si="46"/>
        <v>15</v>
      </c>
      <c r="AV134">
        <f t="shared" si="47"/>
        <v>8</v>
      </c>
      <c r="AW134">
        <f t="shared" si="48"/>
        <v>6.7</v>
      </c>
      <c r="AX134" s="4">
        <v>1</v>
      </c>
      <c r="AY134">
        <f t="shared" si="49"/>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30"/>
        <v>56250</v>
      </c>
      <c r="BE134" s="15">
        <f t="shared" si="31"/>
        <v>9181.25</v>
      </c>
      <c r="BN134">
        <v>9</v>
      </c>
      <c r="BR134" t="str">
        <f>VLOOKUP(G134,Eras!$A$2:$C$10, 2, TRUE)</f>
        <v>big4</v>
      </c>
      <c r="BS134" t="s">
        <v>366</v>
      </c>
      <c r="BT134" t="str">
        <f t="shared" si="32"/>
        <v>big4_Cheap</v>
      </c>
      <c r="BU134" t="str">
        <f t="shared" si="50"/>
        <v/>
      </c>
      <c r="BV134" t="str">
        <f t="shared" si="42"/>
        <v>steam_RAIL</v>
      </c>
      <c r="BW134" t="str">
        <f>VLOOKUP($BV134, Constants!$M:$N, 2, FALSE)</f>
        <v>{BLACK}Powered by: {GOLD}Steam</v>
      </c>
      <c r="BX134" t="str">
        <f t="shared" si="43"/>
        <v/>
      </c>
      <c r="BY134" t="s">
        <v>523</v>
      </c>
      <c r="BZ134" t="str">
        <f t="shared" si="33"/>
        <v/>
      </c>
      <c r="CA134" t="str">
        <f t="shared" si="44"/>
        <v>{BLACK}Powered by: {GOLD}Steam {}{SILVER}The Q1 was designed for function over form and the most efficient possible use of materials.</v>
      </c>
    </row>
    <row r="135" spans="1:79"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O135">
        <v>1</v>
      </c>
      <c r="AQ135">
        <v>23</v>
      </c>
      <c r="AR135">
        <f t="shared" si="45"/>
        <v>20</v>
      </c>
      <c r="AU135">
        <f t="shared" si="46"/>
        <v>5.6000000000000005</v>
      </c>
      <c r="AV135">
        <f t="shared" si="47"/>
        <v>2.5</v>
      </c>
      <c r="AW135">
        <f t="shared" si="48"/>
        <v>5.3000000000000007</v>
      </c>
      <c r="AX135" s="4">
        <v>1</v>
      </c>
      <c r="AY135">
        <f t="shared" si="49"/>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30"/>
        <v>28906.25</v>
      </c>
      <c r="BE135" s="15">
        <f t="shared" si="31"/>
        <v>5281.25</v>
      </c>
      <c r="BN135">
        <v>10</v>
      </c>
      <c r="BR135" t="str">
        <f>VLOOKUP(G135,Eras!$A$2:$C$10, 2, TRUE)</f>
        <v>big4</v>
      </c>
      <c r="BS135" t="s">
        <v>366</v>
      </c>
      <c r="BT135" t="str">
        <f t="shared" si="32"/>
        <v>big4_Cheap</v>
      </c>
      <c r="BU135" t="str">
        <f t="shared" si="50"/>
        <v/>
      </c>
      <c r="BV135" t="str">
        <f t="shared" si="42"/>
        <v>steam_RAIL</v>
      </c>
      <c r="BW135" t="str">
        <f>VLOOKUP($BV135, Constants!$M:$N, 2, FALSE)</f>
        <v>{BLACK}Powered by: {GOLD}Steam</v>
      </c>
      <c r="BX135" t="str">
        <f t="shared" si="43"/>
        <v/>
      </c>
      <c r="BY135" t="s">
        <v>527</v>
      </c>
      <c r="BZ135" t="str">
        <f t="shared" si="33"/>
        <v/>
      </c>
      <c r="CA135" t="str">
        <f t="shared" si="44"/>
        <v>{BLACK}Powered by: {GOLD}Steam {}{SILVER}Hunslet's Austerity was designed for shunting duties. It's powerful for its size with good adhesion, but does not run well at higher speeds.</v>
      </c>
    </row>
    <row r="136" spans="1:79"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531</v>
      </c>
      <c r="AI136" t="str">
        <f>CONCATENATE(VLOOKUP(AG136,Constants!$A$2:$C$16,IF(AH136&lt;&gt;"", 3, 2), FALSE),IF(AH136&lt;&gt;"",CONCATENATE(",",VLOOKUP(AH136,$B:$AI,34,FALSE)),""))</f>
        <v>2,3,2,1,2,1</v>
      </c>
      <c r="AO136">
        <v>1</v>
      </c>
      <c r="AQ136">
        <v>26</v>
      </c>
      <c r="AR136">
        <f t="shared" si="45"/>
        <v>15</v>
      </c>
      <c r="AU136">
        <f t="shared" si="46"/>
        <v>13.6</v>
      </c>
      <c r="AV136">
        <f t="shared" si="47"/>
        <v>6</v>
      </c>
      <c r="AW136">
        <f t="shared" si="48"/>
        <v>7.6</v>
      </c>
      <c r="AX136" s="4">
        <v>1</v>
      </c>
      <c r="AY136">
        <f t="shared" si="49"/>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30"/>
        <v>51562.5</v>
      </c>
      <c r="BE136" s="15">
        <f t="shared" si="31"/>
        <v>8531.25</v>
      </c>
      <c r="BN136">
        <v>11</v>
      </c>
      <c r="BR136" t="str">
        <f>VLOOKUP(G136,Eras!$A$2:$C$10, 2, TRUE)</f>
        <v>big4</v>
      </c>
      <c r="BS136" t="s">
        <v>369</v>
      </c>
      <c r="BT136" t="str">
        <f t="shared" si="32"/>
        <v>big4_Freight</v>
      </c>
      <c r="BU136" t="str">
        <f t="shared" si="50"/>
        <v/>
      </c>
      <c r="BV136" t="str">
        <f t="shared" si="42"/>
        <v>steam_RAIL</v>
      </c>
      <c r="BW136" t="str">
        <f>VLOOKUP($BV136, Constants!$M:$N, 2, FALSE)</f>
        <v>{BLACK}Powered by: {GOLD}Steam</v>
      </c>
      <c r="BX136" t="str">
        <f t="shared" si="43"/>
        <v/>
      </c>
      <c r="BY136" t="s">
        <v>528</v>
      </c>
      <c r="BZ136" t="str">
        <f t="shared" si="33"/>
        <v/>
      </c>
      <c r="CA136" t="str">
        <f t="shared" si="44"/>
        <v>{BLACK}Powered by: {GOLD}Steam {}{SILVER}Robert Riddles adapted the LMS 8F for low cost and simple construction, resulting in this "austerity" freight locomotive.</v>
      </c>
    </row>
    <row r="137" spans="1:79"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469</v>
      </c>
      <c r="AI137" t="str">
        <f>CONCATENATE(VLOOKUP(AG137,Constants!$A$2:$C$16,IF(AH137&lt;&gt;"", 3, 2), FALSE),IF(AH137&lt;&gt;"",CONCATENATE(",",VLOOKUP(AH137,$B:$AI,34,FALSE)),""))</f>
        <v>2,3,2,2,1,2</v>
      </c>
      <c r="AN137" t="s">
        <v>480</v>
      </c>
      <c r="AO137">
        <v>1</v>
      </c>
      <c r="AQ137">
        <v>31</v>
      </c>
      <c r="AR137">
        <f t="shared" si="45"/>
        <v>17</v>
      </c>
      <c r="AU137">
        <f t="shared" si="46"/>
        <v>17</v>
      </c>
      <c r="AV137">
        <f t="shared" si="47"/>
        <v>8.5</v>
      </c>
      <c r="AW137">
        <f t="shared" si="48"/>
        <v>6.05</v>
      </c>
      <c r="AX137" s="4">
        <v>1</v>
      </c>
      <c r="AY137">
        <f t="shared" si="49"/>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30"/>
        <v>59375</v>
      </c>
      <c r="BE137" s="15">
        <f t="shared" si="31"/>
        <v>9587.5</v>
      </c>
      <c r="BN137">
        <v>12</v>
      </c>
      <c r="BR137" t="str">
        <f>VLOOKUP(G137,Eras!$A$2:$C$10, 2, TRUE)</f>
        <v>big4</v>
      </c>
      <c r="BS137" t="s">
        <v>367</v>
      </c>
      <c r="BT137" t="str">
        <f t="shared" si="32"/>
        <v>big4_Mixed Traffic</v>
      </c>
      <c r="BU137" t="str">
        <f t="shared" si="50"/>
        <v/>
      </c>
      <c r="BV137" t="str">
        <f t="shared" si="42"/>
        <v>steam_RAIL</v>
      </c>
      <c r="BW137" t="str">
        <f>VLOOKUP($BV137, Constants!$M:$N, 2, FALSE)</f>
        <v>{BLACK}Powered by: {GOLD}Steam</v>
      </c>
      <c r="BX137" t="str">
        <f t="shared" si="43"/>
        <v/>
      </c>
      <c r="BY137" t="s">
        <v>533</v>
      </c>
      <c r="BZ137" t="str">
        <f t="shared" si="33"/>
        <v/>
      </c>
      <c r="CA137" t="str">
        <f t="shared" si="44"/>
        <v>{BLACK}Powered by: {GOLD}Steam {}{SILVER}While externally identical to the original Hall class, the Modified Hall was completely new on the inside with many design innovations.</v>
      </c>
    </row>
    <row r="138" spans="1:79"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469</v>
      </c>
      <c r="AI138" t="str">
        <f>CONCATENATE(VLOOKUP(AG138,Constants!$A$2:$C$16,IF(AH138&lt;&gt;"", 3, 2), FALSE),IF(AH138&lt;&gt;"",CONCATENATE(",",VLOOKUP(AH138,$B:$AI,34,FALSE)),""))</f>
        <v>2,3,2,2,1,2</v>
      </c>
      <c r="AO138">
        <v>1</v>
      </c>
      <c r="AQ138">
        <v>30</v>
      </c>
      <c r="AR138">
        <f t="shared" si="45"/>
        <v>15</v>
      </c>
      <c r="AU138">
        <f t="shared" si="46"/>
        <v>20</v>
      </c>
      <c r="AV138">
        <f t="shared" si="47"/>
        <v>11</v>
      </c>
      <c r="AW138">
        <f t="shared" si="48"/>
        <v>7.25</v>
      </c>
      <c r="AX138" s="4">
        <v>1</v>
      </c>
      <c r="AY138">
        <f t="shared" si="49"/>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30"/>
        <v>71093.75</v>
      </c>
      <c r="BE138" s="15">
        <f t="shared" si="31"/>
        <v>11293.75</v>
      </c>
      <c r="BN138">
        <v>1</v>
      </c>
      <c r="BR138" t="str">
        <f>VLOOKUP(G138,Eras!$A$2:$C$10, 2, TRUE)</f>
        <v>big4</v>
      </c>
      <c r="BS138" t="s">
        <v>368</v>
      </c>
      <c r="BT138" t="str">
        <f t="shared" si="32"/>
        <v>big4_Express</v>
      </c>
      <c r="BU138" t="str">
        <f t="shared" si="50"/>
        <v/>
      </c>
      <c r="BV138" t="str">
        <f t="shared" si="42"/>
        <v>steam_RAIL</v>
      </c>
      <c r="BW138" t="str">
        <f>VLOOKUP($BV138, Constants!$M:$N, 2, FALSE)</f>
        <v>{BLACK}Powered by: {GOLD}Steam</v>
      </c>
      <c r="BX138" t="str">
        <f t="shared" si="43"/>
        <v/>
      </c>
      <c r="BY138" t="s">
        <v>537</v>
      </c>
      <c r="BZ138" t="str">
        <f t="shared" si="33"/>
        <v/>
      </c>
      <c r="CA138" t="str">
        <f t="shared" si="44"/>
        <v>{BLACK}Powered by: {GOLD}Steam {}{SILVER}The County Class was  Frederick Hawksworth's test of design ideas for a new Pacific. Sadly there was not enough demand for express steam locomotives in the late 1940s.</v>
      </c>
    </row>
    <row r="139" spans="1:79"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518</v>
      </c>
      <c r="AI139" t="str">
        <f>CONCATENATE(VLOOKUP(AG139,Constants!$A$2:$C$16,IF(AH139&lt;&gt;"", 3, 2), FALSE),IF(AH139&lt;&gt;"",CONCATENATE(",",VLOOKUP(AH139,$B:$AI,34,FALSE)),""))</f>
        <v>2,4,2,2,1,2</v>
      </c>
      <c r="AO139">
        <v>1</v>
      </c>
      <c r="AQ139">
        <v>30</v>
      </c>
      <c r="AR139">
        <f t="shared" si="45"/>
        <v>18</v>
      </c>
      <c r="AU139">
        <f t="shared" si="46"/>
        <v>20.400000000000002</v>
      </c>
      <c r="AV139">
        <f t="shared" si="47"/>
        <v>9</v>
      </c>
      <c r="AW139">
        <f t="shared" si="48"/>
        <v>6.8999999999999995</v>
      </c>
      <c r="AX139" s="4">
        <v>1</v>
      </c>
      <c r="AY139">
        <f t="shared" si="49"/>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30"/>
        <v>67187.5</v>
      </c>
      <c r="BE139" s="15">
        <f t="shared" si="31"/>
        <v>10806.25</v>
      </c>
      <c r="BN139">
        <v>2</v>
      </c>
      <c r="BR139" t="str">
        <f>VLOOKUP(G139,Eras!$A$2:$C$10, 2, TRUE)</f>
        <v>big4</v>
      </c>
      <c r="BS139" t="s">
        <v>367</v>
      </c>
      <c r="BT139" t="str">
        <f t="shared" si="32"/>
        <v>big4_Mixed Traffic</v>
      </c>
      <c r="BU139" t="str">
        <f t="shared" si="50"/>
        <v/>
      </c>
      <c r="BV139" t="str">
        <f t="shared" si="42"/>
        <v>steam_RAIL</v>
      </c>
      <c r="BW139" t="str">
        <f>VLOOKUP($BV139, Constants!$M:$N, 2, FALSE)</f>
        <v>{BLACK}Powered by: {GOLD}Steam</v>
      </c>
      <c r="BX139" t="str">
        <f t="shared" si="43"/>
        <v/>
      </c>
      <c r="BY139" t="s">
        <v>538</v>
      </c>
      <c r="BZ139" t="str">
        <f t="shared" si="33"/>
        <v/>
      </c>
      <c r="CA139" t="str">
        <f t="shared" si="44"/>
        <v>{BLACK}Powered by: {GOLD}Steam {}{SILVER}Bulleid's "Light Pacific" is a smaller and lighter version of the Merchant Navy, capable of operating on more routes.</v>
      </c>
    </row>
    <row r="140" spans="1:79"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Q140">
        <v>19</v>
      </c>
      <c r="AR140">
        <f t="shared" si="45"/>
        <v>8</v>
      </c>
      <c r="AU140">
        <f t="shared" si="46"/>
        <v>18</v>
      </c>
      <c r="AV140">
        <f t="shared" si="47"/>
        <v>9</v>
      </c>
      <c r="AW140">
        <f t="shared" si="48"/>
        <v>5.85</v>
      </c>
      <c r="AX140" s="4">
        <v>1</v>
      </c>
      <c r="AY140">
        <f t="shared" si="49"/>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30"/>
        <v>61718.75</v>
      </c>
      <c r="BE140" s="15">
        <f t="shared" si="31"/>
        <v>9912.5</v>
      </c>
      <c r="BN140">
        <v>3</v>
      </c>
      <c r="BR140" t="str">
        <f>VLOOKUP(G140,Eras!$A$2:$C$10, 2, TRUE)</f>
        <v>big4</v>
      </c>
      <c r="BS140" t="s">
        <v>367</v>
      </c>
      <c r="BT140" t="str">
        <f t="shared" si="32"/>
        <v>big4_Mixed Traffic</v>
      </c>
      <c r="BU140" t="str">
        <f t="shared" si="50"/>
        <v/>
      </c>
      <c r="BV140" t="str">
        <f t="shared" si="42"/>
        <v>steam_RAIL</v>
      </c>
      <c r="BW140" t="str">
        <f>VLOOKUP($BV140, Constants!$M:$N, 2, FALSE)</f>
        <v>{BLACK}Powered by: {GOLD}Steam</v>
      </c>
      <c r="BX140" t="str">
        <f t="shared" si="43"/>
        <v/>
      </c>
      <c r="BY140" t="s">
        <v>540</v>
      </c>
      <c r="BZ140" t="str">
        <f t="shared" si="33"/>
        <v/>
      </c>
      <c r="CA140" t="str">
        <f t="shared" si="44"/>
        <v>{BLACK}Powered by: {GOLD}Steam {}{SILVER}The Leader was an attempt to make a steam locomotive as easy to operate as a diesel or electric. Complexity, poor reliability and uncomfortably hot cabs caused the project to be scrapped by 1951.</v>
      </c>
    </row>
    <row r="141" spans="1:79"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544</v>
      </c>
      <c r="AI141" t="str">
        <f>CONCATENATE(VLOOKUP(AG141,Constants!$A$2:$C$16,IF(AH141&lt;&gt;"", 3, 2), FALSE),IF(AH141&lt;&gt;"",CONCATENATE(",",VLOOKUP(AH141,$B:$AI,34,FALSE)),""))</f>
        <v>2,2,2,1,2,1</v>
      </c>
      <c r="AO141">
        <v>1</v>
      </c>
      <c r="AQ141">
        <v>30</v>
      </c>
      <c r="AR141">
        <f t="shared" si="45"/>
        <v>17</v>
      </c>
      <c r="AU141">
        <f t="shared" si="46"/>
        <v>16</v>
      </c>
      <c r="AV141">
        <f t="shared" si="47"/>
        <v>5</v>
      </c>
      <c r="AW141">
        <f t="shared" si="48"/>
        <v>3.85</v>
      </c>
      <c r="AX141" s="4">
        <v>1</v>
      </c>
      <c r="AY141">
        <f t="shared" si="49"/>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30"/>
        <v>47656.25</v>
      </c>
      <c r="BE141" s="15">
        <f t="shared" si="31"/>
        <v>7962.5</v>
      </c>
      <c r="BN141">
        <v>4</v>
      </c>
      <c r="BR141" t="str">
        <f>VLOOKUP(G141,Eras!$A$2:$C$10, 2, TRUE)</f>
        <v>big4</v>
      </c>
      <c r="BS141" t="s">
        <v>366</v>
      </c>
      <c r="BT141" t="str">
        <f t="shared" si="32"/>
        <v>big4_Cheap</v>
      </c>
      <c r="BU141" t="str">
        <f t="shared" si="50"/>
        <v/>
      </c>
      <c r="BV141" t="str">
        <f t="shared" si="42"/>
        <v>steam_RAIL</v>
      </c>
      <c r="BW141" t="str">
        <f>VLOOKUP($BV141, Constants!$M:$N, 2, FALSE)</f>
        <v>{BLACK}Powered by: {GOLD}Steam</v>
      </c>
      <c r="BX141" t="str">
        <f t="shared" si="43"/>
        <v/>
      </c>
      <c r="BY141" t="s">
        <v>546</v>
      </c>
      <c r="BZ141" t="str">
        <f t="shared" si="33"/>
        <v/>
      </c>
      <c r="CA141" t="str">
        <f t="shared" si="44"/>
        <v>{BLACK}Powered by: {GOLD}Steam {}{SILVER}The Ivatt Class 2 is a light, low-powered Mogul designed to replace the LMS fleet of 0-6-0 engines.</v>
      </c>
    </row>
    <row r="142" spans="1:79"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Q142">
        <v>26</v>
      </c>
      <c r="AR142">
        <f t="shared" si="45"/>
        <v>15</v>
      </c>
      <c r="AU142">
        <f t="shared" si="46"/>
        <v>18.600000000000001</v>
      </c>
      <c r="AV142">
        <f t="shared" si="47"/>
        <v>8</v>
      </c>
      <c r="AW142">
        <f t="shared" si="48"/>
        <v>9.2000000000000011</v>
      </c>
      <c r="AX142" s="4">
        <v>1</v>
      </c>
      <c r="AY142">
        <f t="shared" si="49"/>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30"/>
        <v>78906.25</v>
      </c>
      <c r="BE142" s="15">
        <f t="shared" si="31"/>
        <v>9018.75</v>
      </c>
      <c r="BN142">
        <v>5</v>
      </c>
      <c r="BR142" t="str">
        <f>VLOOKUP(G142,Eras!$A$2:$C$10, 2, TRUE)</f>
        <v>big4</v>
      </c>
      <c r="BS142" t="s">
        <v>367</v>
      </c>
      <c r="BT142" t="str">
        <f t="shared" si="32"/>
        <v>big4_Mixed Traffic</v>
      </c>
      <c r="BU142" t="str">
        <f t="shared" si="50"/>
        <v/>
      </c>
      <c r="BV142" t="str">
        <f t="shared" si="42"/>
        <v>diesel_RAIL</v>
      </c>
      <c r="BW142" t="str">
        <f>VLOOKUP($BV142, Constants!$M:$N, 2, FALSE)</f>
        <v>{BLACK}Powered by: {GOLD}Diesel</v>
      </c>
      <c r="BX142" t="str">
        <f t="shared" si="43"/>
        <v/>
      </c>
      <c r="BY142" t="s">
        <v>547</v>
      </c>
      <c r="BZ142" t="str">
        <f t="shared" si="33"/>
        <v/>
      </c>
      <c r="CA142" t="str">
        <f t="shared" si="44"/>
        <v>{BLACK}Powered by: {GOLD}Diesel {}{SILVER}The EE 10000 is the first mainline diesel locomotive built in the UK. Two were built for the LMS.</v>
      </c>
    </row>
    <row r="143" spans="1:79"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484</v>
      </c>
      <c r="AI143" t="str">
        <f>CONCATENATE(VLOOKUP(AG143,Constants!$A$2:$C$16,IF(AH143&lt;&gt;"", 3, 2), FALSE),IF(AH143&lt;&gt;"",CONCATENATE(",",VLOOKUP(AH143,$B:$AI,34,FALSE)),""))</f>
        <v>2,5,2,2,1,2</v>
      </c>
      <c r="AO143">
        <v>1</v>
      </c>
      <c r="AQ143">
        <v>32</v>
      </c>
      <c r="AR143">
        <f t="shared" si="45"/>
        <v>14</v>
      </c>
      <c r="AU143">
        <f t="shared" si="46"/>
        <v>20</v>
      </c>
      <c r="AV143">
        <f t="shared" si="47"/>
        <v>13.5</v>
      </c>
      <c r="AW143">
        <f t="shared" si="48"/>
        <v>8.2999999999999989</v>
      </c>
      <c r="AX143" s="4">
        <v>1</v>
      </c>
      <c r="AY143">
        <f t="shared" si="49"/>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54">BB143*IF($D143="wagon",62.5,781.25)</f>
        <v>77343.75</v>
      </c>
      <c r="BE143" s="15">
        <f t="shared" ref="BE143:BE206" si="55">BC143*IF($D143="wagon",2.73,81.25)</f>
        <v>12187.5</v>
      </c>
      <c r="BN143">
        <v>6</v>
      </c>
      <c r="BR143" t="str">
        <f>VLOOKUP(G143,Eras!$A$2:$C$10, 2, TRUE)</f>
        <v>ebr</v>
      </c>
      <c r="BS143" t="s">
        <v>368</v>
      </c>
      <c r="BT143" t="str">
        <f t="shared" ref="BT143:BT206" si="56">CONCATENATE(BR143,"_",BS143)</f>
        <v>ebr_Express</v>
      </c>
      <c r="BU143" t="str">
        <f t="shared" si="50"/>
        <v/>
      </c>
      <c r="BV143" t="str">
        <f t="shared" si="42"/>
        <v>steam_RAIL</v>
      </c>
      <c r="BW143" t="str">
        <f>VLOOKUP($BV143, Constants!$M:$N, 2, FALSE)</f>
        <v>{BLACK}Powered by: {GOLD}Steam</v>
      </c>
      <c r="BX143" t="str">
        <f t="shared" si="43"/>
        <v/>
      </c>
      <c r="BY143" t="s">
        <v>548</v>
      </c>
      <c r="BZ143" t="str">
        <f t="shared" si="33"/>
        <v/>
      </c>
      <c r="CA143" t="str">
        <f t="shared" si="44"/>
        <v>{BLACK}Powered by: {GOLD}Steam {}{SILVER}The Peppercorn A1 is designed for hauling heavy passenger trains of 12 or more carriages. A continuation of the series, 'Tornado', was built in 2008.</v>
      </c>
    </row>
    <row r="144" spans="1:79"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Q144">
        <v>30</v>
      </c>
      <c r="AR144">
        <f t="shared" si="45"/>
        <v>27</v>
      </c>
      <c r="AU144">
        <f t="shared" si="46"/>
        <v>13</v>
      </c>
      <c r="AV144">
        <f t="shared" si="47"/>
        <v>6.5</v>
      </c>
      <c r="AW144">
        <f t="shared" si="48"/>
        <v>10</v>
      </c>
      <c r="AX144" s="4">
        <v>1</v>
      </c>
      <c r="AY144">
        <f t="shared" si="49"/>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54"/>
        <v>76562.5</v>
      </c>
      <c r="BE144" s="15">
        <f t="shared" si="55"/>
        <v>6337.5</v>
      </c>
      <c r="BN144">
        <v>7</v>
      </c>
      <c r="BR144" t="str">
        <f>VLOOKUP(G144,Eras!$A$2:$C$10, 2, TRUE)</f>
        <v>ebr</v>
      </c>
      <c r="BS144" t="s">
        <v>379</v>
      </c>
      <c r="BT144" t="str">
        <f t="shared" si="56"/>
        <v>ebr_Freight (Electric)</v>
      </c>
      <c r="BU144" t="str">
        <f t="shared" si="50"/>
        <v/>
      </c>
      <c r="BV144" t="str">
        <f t="shared" si="42"/>
        <v>electric_ELRL</v>
      </c>
      <c r="BW144" t="str">
        <f>VLOOKUP($BV144, Constants!$M:$N, 2, FALSE)</f>
        <v>{BLACK}Powered by: {GOLD}25kV AC</v>
      </c>
      <c r="BX144" t="str">
        <f t="shared" si="43"/>
        <v/>
      </c>
      <c r="BY144" t="s">
        <v>395</v>
      </c>
      <c r="BZ144" t="str">
        <f t="shared" si="33"/>
        <v/>
      </c>
      <c r="CA144" t="str">
        <f t="shared" si="44"/>
        <v>{BLACK}Powered by: {GOLD}25kV AC {}{SILVER}The Class 76 is an electric freight locomotive designed for the Woodhead Line in the northern Peak District. With high tractive effort, electric traction lent itself to the steep gradients and many tunnels of the line.</v>
      </c>
    </row>
    <row r="145" spans="1:79"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489</v>
      </c>
      <c r="AI145" t="str">
        <f>CONCATENATE(VLOOKUP(AG145,Constants!$A$2:$C$16,IF(AH145&lt;&gt;"", 3, 2), FALSE),IF(AH145&lt;&gt;"",CONCATENATE(",",VLOOKUP(AH145,$B:$AI,34,FALSE)),""))</f>
        <v>2,4,2,2,1,2</v>
      </c>
      <c r="AO145">
        <v>1</v>
      </c>
      <c r="AQ145">
        <v>30</v>
      </c>
      <c r="AR145">
        <f t="shared" si="45"/>
        <v>11</v>
      </c>
      <c r="AU145">
        <f t="shared" si="46"/>
        <v>16</v>
      </c>
      <c r="AV145">
        <f t="shared" si="47"/>
        <v>7.5</v>
      </c>
      <c r="AW145">
        <f t="shared" si="48"/>
        <v>6.1</v>
      </c>
      <c r="AX145" s="4">
        <v>1</v>
      </c>
      <c r="AY145">
        <f t="shared" si="49"/>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54"/>
        <v>56250</v>
      </c>
      <c r="BE145" s="15">
        <f t="shared" si="55"/>
        <v>9100</v>
      </c>
      <c r="BN145">
        <v>8</v>
      </c>
      <c r="BR145" t="str">
        <f>VLOOKUP(G145,Eras!$A$2:$C$10, 2, TRUE)</f>
        <v>ebr</v>
      </c>
      <c r="BS145" t="s">
        <v>367</v>
      </c>
      <c r="BT145" t="str">
        <f t="shared" si="56"/>
        <v>ebr_Mixed Traffic</v>
      </c>
      <c r="BU145" t="str">
        <f t="shared" si="50"/>
        <v/>
      </c>
      <c r="BV145" t="str">
        <f t="shared" si="42"/>
        <v>steam_RAIL</v>
      </c>
      <c r="BW145" t="str">
        <f>VLOOKUP($BV145, Constants!$M:$N, 2, FALSE)</f>
        <v>{BLACK}Powered by: {GOLD}Steam</v>
      </c>
      <c r="BX145" t="str">
        <f t="shared" si="43"/>
        <v/>
      </c>
      <c r="BY145" t="s">
        <v>556</v>
      </c>
      <c r="BZ145" t="str">
        <f t="shared" si="33"/>
        <v/>
      </c>
      <c r="CA145" t="str">
        <f t="shared" si="44"/>
        <v>{BLACK}Powered by: {GOLD}Steam {}{SILVER}The Class 6 is a lighter version of the Class 7 "Britannia", with a smaller boiler. Only 10 were produced due to steel shortages.</v>
      </c>
    </row>
    <row r="146" spans="1:79"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489</v>
      </c>
      <c r="AI146" t="str">
        <f>CONCATENATE(VLOOKUP(AG146,Constants!$A$2:$C$16,IF(AH146&lt;&gt;"", 3, 2), FALSE),IF(AH146&lt;&gt;"",CONCATENATE(",",VLOOKUP(AH146,$B:$AI,34,FALSE)),""))</f>
        <v>2,4,2,2,1,2</v>
      </c>
      <c r="AO146">
        <v>1</v>
      </c>
      <c r="AQ146">
        <v>30</v>
      </c>
      <c r="AR146">
        <f t="shared" si="45"/>
        <v>13</v>
      </c>
      <c r="AU146">
        <f t="shared" si="46"/>
        <v>18</v>
      </c>
      <c r="AV146">
        <f t="shared" si="47"/>
        <v>10</v>
      </c>
      <c r="AW146">
        <f t="shared" si="48"/>
        <v>7.1499999999999995</v>
      </c>
      <c r="AX146" s="4">
        <v>1</v>
      </c>
      <c r="AY146">
        <f t="shared" si="49"/>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54"/>
        <v>65625</v>
      </c>
      <c r="BE146" s="15">
        <f t="shared" si="55"/>
        <v>10481.25</v>
      </c>
      <c r="BN146">
        <v>9</v>
      </c>
      <c r="BR146" t="str">
        <f>VLOOKUP(G146,Eras!$A$2:$C$10, 2, TRUE)</f>
        <v>ebr</v>
      </c>
      <c r="BS146" t="s">
        <v>367</v>
      </c>
      <c r="BT146" t="str">
        <f t="shared" si="56"/>
        <v>ebr_Mixed Traffic</v>
      </c>
      <c r="BU146" t="str">
        <f t="shared" si="50"/>
        <v/>
      </c>
      <c r="BV146" t="str">
        <f t="shared" si="42"/>
        <v>steam_RAIL</v>
      </c>
      <c r="BW146" t="str">
        <f>VLOOKUP($BV146, Constants!$M:$N, 2, FALSE)</f>
        <v>{BLACK}Powered by: {GOLD}Steam</v>
      </c>
      <c r="BX146" t="str">
        <f t="shared" si="43"/>
        <v/>
      </c>
      <c r="BY146" t="s">
        <v>555</v>
      </c>
      <c r="BZ146" t="str">
        <f t="shared" si="33"/>
        <v/>
      </c>
      <c r="CA146" t="str">
        <f t="shared" si="44"/>
        <v>{BLACK}Powered by: {GOLD}Steam {}{SILVER}The Class 7 combines the best features of pre-BR designs from the Big Four, with the aim of reducing maintenance costs.</v>
      </c>
    </row>
    <row r="147" spans="1:79"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O147">
        <v>1</v>
      </c>
      <c r="AQ147">
        <v>42</v>
      </c>
      <c r="AR147" t="str">
        <f t="shared" si="45"/>
        <v/>
      </c>
      <c r="AU147">
        <f t="shared" si="46"/>
        <v>4</v>
      </c>
      <c r="AV147">
        <f t="shared" si="47"/>
        <v>1.75</v>
      </c>
      <c r="AW147">
        <f t="shared" si="48"/>
        <v>8</v>
      </c>
      <c r="AX147" s="4">
        <v>1</v>
      </c>
      <c r="AY147">
        <f t="shared" si="49"/>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54"/>
        <v>34375</v>
      </c>
      <c r="BE147" s="15">
        <f t="shared" si="55"/>
        <v>4550</v>
      </c>
      <c r="BN147">
        <v>10</v>
      </c>
      <c r="BR147" t="str">
        <f>VLOOKUP(G147,Eras!$A$2:$C$10, 2, TRUE)</f>
        <v>ebr</v>
      </c>
      <c r="BS147" t="s">
        <v>366</v>
      </c>
      <c r="BT147" t="str">
        <f t="shared" si="56"/>
        <v>ebr_Cheap</v>
      </c>
      <c r="BU147" t="str">
        <f t="shared" si="50"/>
        <v/>
      </c>
      <c r="BV147" t="str">
        <f t="shared" si="42"/>
        <v>diesel_RAIL</v>
      </c>
      <c r="BW147" t="str">
        <f>VLOOKUP($BV147, Constants!$M:$N, 2, FALSE)</f>
        <v>{BLACK}Powered by: {GOLD}Diesel</v>
      </c>
      <c r="BX147" t="str">
        <f t="shared" si="43"/>
        <v/>
      </c>
      <c r="BY147" t="s">
        <v>396</v>
      </c>
      <c r="BZ147" t="str">
        <f t="shared" si="33"/>
        <v/>
      </c>
      <c r="CA147" t="str">
        <f t="shared" si="4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79"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Q148">
        <v>25</v>
      </c>
      <c r="AR148">
        <f t="shared" si="45"/>
        <v>11</v>
      </c>
      <c r="AU148">
        <f t="shared" si="46"/>
        <v>18</v>
      </c>
      <c r="AV148">
        <f t="shared" si="47"/>
        <v>12.450000000000001</v>
      </c>
      <c r="AW148">
        <f t="shared" si="48"/>
        <v>10</v>
      </c>
      <c r="AX148" s="4">
        <v>1</v>
      </c>
      <c r="AY148">
        <f t="shared" si="49"/>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54"/>
        <v>102343.75</v>
      </c>
      <c r="BE148" s="15">
        <f t="shared" si="55"/>
        <v>8206.25</v>
      </c>
      <c r="BN148">
        <v>11</v>
      </c>
      <c r="BR148" t="str">
        <f>VLOOKUP(G148,Eras!$A$2:$C$10, 2, TRUE)</f>
        <v>ebr</v>
      </c>
      <c r="BS148" t="s">
        <v>378</v>
      </c>
      <c r="BT148" t="str">
        <f t="shared" si="56"/>
        <v>ebr_Express (Electric)</v>
      </c>
      <c r="BU148" t="str">
        <f t="shared" si="50"/>
        <v/>
      </c>
      <c r="BV148" t="str">
        <f t="shared" si="42"/>
        <v>electric_ELRL</v>
      </c>
      <c r="BW148" t="str">
        <f>VLOOKUP($BV148, Constants!$M:$N, 2, FALSE)</f>
        <v>{BLACK}Powered by: {GOLD}25kV AC</v>
      </c>
      <c r="BX148" t="str">
        <f t="shared" si="43"/>
        <v/>
      </c>
      <c r="BY148" t="s">
        <v>557</v>
      </c>
      <c r="BZ148" t="str">
        <f t="shared" si="33"/>
        <v/>
      </c>
      <c r="CA148" t="str">
        <f t="shared" si="44"/>
        <v>{BLACK}Powered by: {GOLD}25kV AC {}{SILVER}The Class 77  is a larger version of the earlier Class 76, designed to haul passenger services on the Woodhead Line.</v>
      </c>
    </row>
    <row r="149" spans="1:79"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489</v>
      </c>
      <c r="AI149" t="str">
        <f>CONCATENATE(VLOOKUP(AG149,Constants!$A$2:$C$16,IF(AH149&lt;&gt;"", 3, 2), FALSE),IF(AH149&lt;&gt;"",CONCATENATE(",",VLOOKUP(AH149,$B:$AI,34,FALSE)),""))</f>
        <v>2,5,2,2,1,2</v>
      </c>
      <c r="AO149">
        <v>1</v>
      </c>
      <c r="AQ149">
        <v>33</v>
      </c>
      <c r="AR149">
        <f t="shared" si="45"/>
        <v>10</v>
      </c>
      <c r="AU149">
        <f t="shared" si="46"/>
        <v>18</v>
      </c>
      <c r="AV149">
        <f t="shared" si="47"/>
        <v>12.5</v>
      </c>
      <c r="AW149">
        <f t="shared" si="48"/>
        <v>8.8000000000000007</v>
      </c>
      <c r="AX149" s="4">
        <v>1</v>
      </c>
      <c r="AY149">
        <f t="shared" si="49"/>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54"/>
        <v>72656.25</v>
      </c>
      <c r="BE149" s="15">
        <f t="shared" si="55"/>
        <v>11537.5</v>
      </c>
      <c r="BN149">
        <v>12</v>
      </c>
      <c r="BR149" t="str">
        <f>VLOOKUP(G149,Eras!$A$2:$C$10, 2, TRUE)</f>
        <v>ebr</v>
      </c>
      <c r="BS149" t="s">
        <v>369</v>
      </c>
      <c r="BT149" t="str">
        <f t="shared" si="56"/>
        <v>ebr_Freight</v>
      </c>
      <c r="BU149" t="str">
        <f t="shared" si="50"/>
        <v/>
      </c>
      <c r="BV149" t="str">
        <f t="shared" si="42"/>
        <v>steam_RAIL</v>
      </c>
      <c r="BW149" t="str">
        <f>VLOOKUP($BV149, Constants!$M:$N, 2, FALSE)</f>
        <v>{BLACK}Powered by: {GOLD}Steam</v>
      </c>
      <c r="BX149" t="str">
        <f t="shared" si="43"/>
        <v/>
      </c>
      <c r="BY149" t="s">
        <v>560</v>
      </c>
      <c r="BZ149" t="str">
        <f t="shared" si="33"/>
        <v/>
      </c>
      <c r="CA149" t="str">
        <f t="shared" si="44"/>
        <v>{BLACK}Powered by: {GOLD}Steam {}{SILVER}The 9F class included the last steam locomotive ever to be built by British Railways, "Evening Star"</v>
      </c>
    </row>
    <row r="150" spans="1:79"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Q150">
        <v>26</v>
      </c>
      <c r="AR150">
        <f t="shared" si="45"/>
        <v>23</v>
      </c>
      <c r="AU150">
        <f t="shared" si="46"/>
        <v>21.2</v>
      </c>
      <c r="AV150">
        <f t="shared" si="47"/>
        <v>16.5</v>
      </c>
      <c r="AW150">
        <f t="shared" si="48"/>
        <v>11.65</v>
      </c>
      <c r="AX150" s="4">
        <v>1</v>
      </c>
      <c r="AY150">
        <f t="shared" si="49"/>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54"/>
        <v>107031.25</v>
      </c>
      <c r="BE150" s="15">
        <f t="shared" si="55"/>
        <v>11943.75</v>
      </c>
      <c r="BN150">
        <v>1</v>
      </c>
      <c r="BR150" t="str">
        <f>VLOOKUP(G150,Eras!$A$2:$C$10, 2, TRUE)</f>
        <v>dsl</v>
      </c>
      <c r="BS150" t="s">
        <v>368</v>
      </c>
      <c r="BT150" t="str">
        <f t="shared" si="56"/>
        <v>dsl_Express</v>
      </c>
      <c r="BU150" t="str">
        <f t="shared" si="50"/>
        <v/>
      </c>
      <c r="BV150" t="str">
        <f t="shared" si="42"/>
        <v>diesel_RAIL</v>
      </c>
      <c r="BW150" t="str">
        <f>VLOOKUP($BV150, Constants!$M:$N, 2, FALSE)</f>
        <v>{BLACK}Powered by: {GOLD}Diesel</v>
      </c>
      <c r="BX150" t="str">
        <f t="shared" si="43"/>
        <v/>
      </c>
      <c r="BY150" t="s">
        <v>561</v>
      </c>
      <c r="BZ150" t="str">
        <f t="shared" ref="BZ150:BZ213" si="57">IF(BQ150="BRAKE","{YELLOW}Speed bonus for slow wagons{}",IF(BO150&gt;190,CONCATENATE("{YELLOW}",INT((BO150-185)/1.85),"% Bonus for long distance travel{}"),IF(AND(BO150&lt;180,BO150&lt;&gt;0),CONCATENATE("{YELLOW}",INT((185-BO150)/1.85),"% Penalty for long distance travel{}"),"")))</f>
        <v/>
      </c>
      <c r="CA150" t="str">
        <f t="shared" si="44"/>
        <v>{BLACK}Powered by: {GOLD}Diesel {}{SILVER}The Class 55 uses two Napier Deltic marine engines to create a high speed express diesel locomotive.</v>
      </c>
    </row>
    <row r="151" spans="1:79" x14ac:dyDescent="0.25">
      <c r="A151" t="s">
        <v>81</v>
      </c>
      <c r="B151" t="s">
        <v>272</v>
      </c>
      <c r="C151">
        <v>292</v>
      </c>
      <c r="D151" t="s">
        <v>452</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K151" t="s">
        <v>563</v>
      </c>
      <c r="AM151" t="s">
        <v>516</v>
      </c>
      <c r="AQ151">
        <v>45</v>
      </c>
      <c r="AR151">
        <f t="shared" si="45"/>
        <v>43</v>
      </c>
      <c r="AU151">
        <f t="shared" si="46"/>
        <v>14</v>
      </c>
      <c r="AV151">
        <f t="shared" si="47"/>
        <v>3</v>
      </c>
      <c r="AW151">
        <f t="shared" si="48"/>
        <v>4.25</v>
      </c>
      <c r="AX151" s="4">
        <v>1</v>
      </c>
      <c r="AY151">
        <f t="shared" si="49"/>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54"/>
        <v>41406.25</v>
      </c>
      <c r="BE151" s="15">
        <f t="shared" si="55"/>
        <v>6662.5</v>
      </c>
      <c r="BN151">
        <v>2</v>
      </c>
      <c r="BQ151" t="s">
        <v>323</v>
      </c>
      <c r="BR151" t="str">
        <f>VLOOKUP(G151,Eras!$A$2:$C$10, 2, TRUE)</f>
        <v>dsl</v>
      </c>
      <c r="BS151" t="s">
        <v>371</v>
      </c>
      <c r="BT151" t="str">
        <f t="shared" si="56"/>
        <v>dsl_DMU</v>
      </c>
      <c r="BU151" t="str">
        <f t="shared" si="50"/>
        <v/>
      </c>
      <c r="BV151" t="str">
        <f t="shared" si="42"/>
        <v>diesel_RAIL</v>
      </c>
      <c r="BW151" t="str">
        <f>VLOOKUP($BV151, Constants!$M:$N, 2, FALSE)</f>
        <v>{BLACK}Powered by: {GOLD}Diesel</v>
      </c>
      <c r="BX151" t="str">
        <f t="shared" si="43"/>
        <v>{BLACK}Cars: {GOLD}2</v>
      </c>
      <c r="BY151" t="s">
        <v>562</v>
      </c>
      <c r="BZ151" t="str">
        <f t="shared" si="57"/>
        <v/>
      </c>
      <c r="CA151" t="str">
        <f t="shared" si="44"/>
        <v>{BLACK}Powered by: {GOLD}Diesel {BLACK}Cars: {GOLD}2{}{SILVER}The Class 101 has a four speed gearbox with a manual shift. It was exceptionally long-lived, the final examples being retired in December 2003.</v>
      </c>
    </row>
    <row r="152" spans="1:79" x14ac:dyDescent="0.25">
      <c r="A152" t="s">
        <v>565</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Q152">
        <v>30</v>
      </c>
      <c r="AR152">
        <f t="shared" si="45"/>
        <v>56</v>
      </c>
      <c r="AU152">
        <f t="shared" si="46"/>
        <v>16</v>
      </c>
      <c r="AV152">
        <f t="shared" si="47"/>
        <v>6.25</v>
      </c>
      <c r="AW152">
        <f t="shared" si="48"/>
        <v>8</v>
      </c>
      <c r="AX152" s="4">
        <v>1</v>
      </c>
      <c r="AY152">
        <f t="shared" si="49"/>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54"/>
        <v>67968.75</v>
      </c>
      <c r="BE152" s="15">
        <f t="shared" si="55"/>
        <v>7800</v>
      </c>
      <c r="BN152">
        <v>3</v>
      </c>
      <c r="BR152" t="str">
        <f>VLOOKUP(G152,Eras!$A$2:$C$10, 2, TRUE)</f>
        <v>dsl</v>
      </c>
      <c r="BS152" t="s">
        <v>369</v>
      </c>
      <c r="BT152" t="str">
        <f t="shared" si="56"/>
        <v>dsl_Freight</v>
      </c>
      <c r="BU152" t="str">
        <f t="shared" si="50"/>
        <v/>
      </c>
      <c r="BV152" t="str">
        <f t="shared" si="42"/>
        <v>diesel_RAIL</v>
      </c>
      <c r="BW152" t="str">
        <f>VLOOKUP($BV152, Constants!$M:$N, 2, FALSE)</f>
        <v>{BLACK}Powered by: {GOLD}Diesel</v>
      </c>
      <c r="BX152" t="str">
        <f t="shared" si="43"/>
        <v/>
      </c>
      <c r="BY152" t="s">
        <v>566</v>
      </c>
      <c r="BZ152" t="str">
        <f t="shared" si="57"/>
        <v/>
      </c>
      <c r="CA152" t="str">
        <f t="shared" si="44"/>
        <v>{BLACK}Powered by: {GOLD}Diesel {}{SILVER}The Class 31 (Brush Type 2) was part of BR's pilot scheme to test replacing steam locmotives with diesel traction. It had many nicknames including "Ped", "Gargoyle" and "Gurgler"</v>
      </c>
    </row>
    <row r="153" spans="1:79"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Q153">
        <v>33</v>
      </c>
      <c r="AR153" t="str">
        <f t="shared" si="45"/>
        <v/>
      </c>
      <c r="AU153">
        <f t="shared" si="46"/>
        <v>15</v>
      </c>
      <c r="AV153">
        <f t="shared" si="47"/>
        <v>5</v>
      </c>
      <c r="AW153">
        <f t="shared" si="48"/>
        <v>9.3000000000000007</v>
      </c>
      <c r="AX153" s="4">
        <v>1</v>
      </c>
      <c r="AY153">
        <f t="shared" si="49"/>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54"/>
        <v>65625</v>
      </c>
      <c r="BE153" s="15">
        <f t="shared" si="55"/>
        <v>7637.5</v>
      </c>
      <c r="BN153">
        <v>4</v>
      </c>
      <c r="BR153" t="str">
        <f>VLOOKUP(G153,Eras!$A$2:$C$10, 2, TRUE)</f>
        <v>dsl</v>
      </c>
      <c r="BS153" t="s">
        <v>367</v>
      </c>
      <c r="BT153" t="str">
        <f t="shared" si="56"/>
        <v>dsl_Mixed Traffic</v>
      </c>
      <c r="BU153" t="str">
        <f t="shared" si="50"/>
        <v/>
      </c>
      <c r="BV153" t="str">
        <f t="shared" si="42"/>
        <v>diesel_RAIL</v>
      </c>
      <c r="BW153" t="str">
        <f>VLOOKUP($BV153, Constants!$M:$N, 2, FALSE)</f>
        <v>{BLACK}Powered by: {GOLD}Diesel</v>
      </c>
      <c r="BX153" t="str">
        <f t="shared" si="43"/>
        <v/>
      </c>
      <c r="BY153" t="s">
        <v>397</v>
      </c>
      <c r="BZ153" t="str">
        <f t="shared" si="57"/>
        <v/>
      </c>
      <c r="CA153" t="str">
        <f t="shared" si="44"/>
        <v>{BLACK}Powered by: {GOLD}Diesel {}{SILVER}The Class 20 (English Electric Type 1) is a diesel-electric locomotive designed for light freight duties. Due to its simple design it was more reliable than many contemporary locomotives, leading to a large number being built.</v>
      </c>
    </row>
    <row r="154" spans="1:79"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689</v>
      </c>
      <c r="AI154" t="str">
        <f>CONCATENATE(VLOOKUP(AG154,Constants!$A$2:$C$16,IF(AH154&lt;&gt;"", 3, 2), FALSE),IF(AH154&lt;&gt;"",CONCATENATE(",",VLOOKUP(AH154,$B:$AI,34,FALSE)),""))</f>
        <v>2,4,2,2,1,2</v>
      </c>
      <c r="AO154">
        <v>1</v>
      </c>
      <c r="AQ154">
        <v>9</v>
      </c>
      <c r="AR154">
        <f t="shared" si="45"/>
        <v>8</v>
      </c>
      <c r="AU154">
        <f t="shared" si="46"/>
        <v>18</v>
      </c>
      <c r="AV154">
        <f t="shared" si="47"/>
        <v>13.75</v>
      </c>
      <c r="AW154">
        <f t="shared" si="48"/>
        <v>8.4499999999999993</v>
      </c>
      <c r="AX154" s="4">
        <v>1</v>
      </c>
      <c r="AY154">
        <f t="shared" si="49"/>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54"/>
        <v>88281.25</v>
      </c>
      <c r="BE154" s="15">
        <f t="shared" si="55"/>
        <v>9993.75</v>
      </c>
      <c r="BN154">
        <v>5</v>
      </c>
      <c r="BR154" t="str">
        <f>VLOOKUP(G154,Eras!$A$2:$C$10, 2, TRUE)</f>
        <v>dsl</v>
      </c>
      <c r="BS154" t="s">
        <v>368</v>
      </c>
      <c r="BT154" t="str">
        <f t="shared" si="56"/>
        <v>dsl_Express</v>
      </c>
      <c r="BU154" t="str">
        <f t="shared" si="50"/>
        <v/>
      </c>
      <c r="BV154" t="str">
        <f t="shared" si="42"/>
        <v>diesel_RAIL</v>
      </c>
      <c r="BW154" t="str">
        <f>VLOOKUP($BV154, Constants!$M:$N, 2, FALSE)</f>
        <v>{BLACK}Powered by: {GOLD}Diesel</v>
      </c>
      <c r="BX154" t="str">
        <f t="shared" si="43"/>
        <v/>
      </c>
      <c r="BY154" t="s">
        <v>564</v>
      </c>
      <c r="BZ154" t="str">
        <f t="shared" si="57"/>
        <v/>
      </c>
      <c r="CA154" t="str">
        <f t="shared" si="44"/>
        <v>{BLACK}Powered by: {GOLD}Diesel {}{SILVER}The GT3 was part of a programme to test gas turbine locomotives. It used a conventional steam driving wheel arrangement to keep the design simple.</v>
      </c>
    </row>
    <row r="155" spans="1:79"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Q155">
        <v>32</v>
      </c>
      <c r="AR155">
        <f t="shared" si="45"/>
        <v>10</v>
      </c>
      <c r="AU155">
        <f t="shared" si="46"/>
        <v>18</v>
      </c>
      <c r="AV155">
        <f t="shared" si="47"/>
        <v>10.35</v>
      </c>
      <c r="AW155">
        <f t="shared" si="48"/>
        <v>10.700000000000001</v>
      </c>
      <c r="AX155" s="4">
        <v>1</v>
      </c>
      <c r="AY155">
        <f t="shared" si="49"/>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54"/>
        <v>85937.5</v>
      </c>
      <c r="BE155" s="15">
        <f t="shared" si="55"/>
        <v>9750</v>
      </c>
      <c r="BN155">
        <v>6</v>
      </c>
      <c r="BR155" t="str">
        <f>VLOOKUP(G155,Eras!$A$2:$C$10, 2, TRUE)</f>
        <v>dsl</v>
      </c>
      <c r="BS155" t="s">
        <v>417</v>
      </c>
      <c r="BT155" t="str">
        <f t="shared" si="56"/>
        <v>dsl_Passenger</v>
      </c>
      <c r="BU155" t="str">
        <f t="shared" si="50"/>
        <v/>
      </c>
      <c r="BV155" t="str">
        <f t="shared" si="42"/>
        <v>diesel_RAIL</v>
      </c>
      <c r="BW155" t="str">
        <f>VLOOKUP($BV155, Constants!$M:$N, 2, FALSE)</f>
        <v>{BLACK}Powered by: {GOLD}Diesel</v>
      </c>
      <c r="BX155" t="str">
        <f t="shared" si="43"/>
        <v/>
      </c>
      <c r="BY155" t="s">
        <v>567</v>
      </c>
      <c r="BZ155" t="str">
        <f t="shared" si="57"/>
        <v/>
      </c>
      <c r="CA155" t="str">
        <f t="shared" si="44"/>
        <v>{BLACK}Powered by: {GOLD}Diesel {}{SILVER}The Class 42 is based on the German V200 design, scaled down to fit the smaller British loading gauge and built under licence by British manufacturers.</v>
      </c>
    </row>
    <row r="156" spans="1:79" x14ac:dyDescent="0.25">
      <c r="A156" t="s">
        <v>51</v>
      </c>
      <c r="B156" t="s">
        <v>569</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Q156">
        <v>29</v>
      </c>
      <c r="AR156">
        <f t="shared" si="45"/>
        <v>23</v>
      </c>
      <c r="AU156">
        <f t="shared" si="46"/>
        <v>18</v>
      </c>
      <c r="AV156">
        <f t="shared" si="47"/>
        <v>10</v>
      </c>
      <c r="AW156">
        <f t="shared" si="48"/>
        <v>11.55</v>
      </c>
      <c r="AX156" s="4">
        <v>1</v>
      </c>
      <c r="AY156">
        <f t="shared" si="49"/>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54"/>
        <v>86718.75</v>
      </c>
      <c r="BE156" s="15">
        <f t="shared" si="55"/>
        <v>9831.25</v>
      </c>
      <c r="BN156">
        <v>7</v>
      </c>
      <c r="BR156" t="str">
        <f>VLOOKUP(G156,Eras!$A$2:$C$10, 2, TRUE)</f>
        <v>dsl</v>
      </c>
      <c r="BS156" t="s">
        <v>368</v>
      </c>
      <c r="BT156" t="str">
        <f t="shared" si="56"/>
        <v>dsl_Express</v>
      </c>
      <c r="BU156" t="str">
        <f t="shared" si="50"/>
        <v/>
      </c>
      <c r="BV156" t="str">
        <f t="shared" si="42"/>
        <v>diesel_RAIL</v>
      </c>
      <c r="BW156" t="str">
        <f>VLOOKUP($BV156, Constants!$M:$N, 2, FALSE)</f>
        <v>{BLACK}Powered by: {GOLD}Diesel</v>
      </c>
      <c r="BX156" t="str">
        <f t="shared" si="43"/>
        <v/>
      </c>
      <c r="BY156" t="s">
        <v>568</v>
      </c>
      <c r="BZ156" t="str">
        <f t="shared" si="57"/>
        <v/>
      </c>
      <c r="CA156" t="str">
        <f t="shared" si="44"/>
        <v>{BLACK}Powered by: {GOLD}Diesel {}{SILVER}Initially unwanted due to the small improvement in performance over the Class 7 Britannia, the Class 40 (English Electric Type 4) found its home on the West Coast Main Line.</v>
      </c>
    </row>
    <row r="157" spans="1:79"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Q157">
        <v>21</v>
      </c>
      <c r="AR157">
        <f t="shared" si="45"/>
        <v>8</v>
      </c>
      <c r="AU157">
        <f t="shared" si="46"/>
        <v>15</v>
      </c>
      <c r="AV157">
        <f t="shared" si="47"/>
        <v>6</v>
      </c>
      <c r="AW157">
        <f t="shared" si="48"/>
        <v>11.100000000000001</v>
      </c>
      <c r="AX157" s="4">
        <v>1</v>
      </c>
      <c r="AY157">
        <f t="shared" si="49"/>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54"/>
        <v>71875</v>
      </c>
      <c r="BE157" s="15">
        <f t="shared" si="55"/>
        <v>8206.25</v>
      </c>
      <c r="BN157">
        <v>8</v>
      </c>
      <c r="BR157" t="str">
        <f>VLOOKUP(G157,Eras!$A$2:$C$10, 2, TRUE)</f>
        <v>dsl</v>
      </c>
      <c r="BS157" t="s">
        <v>367</v>
      </c>
      <c r="BT157" t="str">
        <f t="shared" si="56"/>
        <v>dsl_Mixed Traffic</v>
      </c>
      <c r="BU157" t="str">
        <f t="shared" si="50"/>
        <v/>
      </c>
      <c r="BV157" t="str">
        <f t="shared" si="42"/>
        <v>diesel_RAIL</v>
      </c>
      <c r="BW157" t="str">
        <f>VLOOKUP($BV157, Constants!$M:$N, 2, FALSE)</f>
        <v>{BLACK}Powered by: {GOLD}Diesel</v>
      </c>
      <c r="BX157" t="str">
        <f t="shared" si="43"/>
        <v/>
      </c>
      <c r="BY157" t="s">
        <v>398</v>
      </c>
      <c r="BZ157" t="str">
        <f t="shared" si="57"/>
        <v/>
      </c>
      <c r="CA157" t="str">
        <f t="shared" si="4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9"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Q158">
        <v>32</v>
      </c>
      <c r="AR158">
        <f t="shared" si="45"/>
        <v>15</v>
      </c>
      <c r="AU158">
        <f t="shared" si="46"/>
        <v>18</v>
      </c>
      <c r="AV158">
        <f t="shared" si="47"/>
        <v>11.5</v>
      </c>
      <c r="AW158">
        <f t="shared" si="48"/>
        <v>9.75</v>
      </c>
      <c r="AX158" s="4">
        <v>1</v>
      </c>
      <c r="AY158">
        <f t="shared" si="49"/>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54"/>
        <v>100000</v>
      </c>
      <c r="BE158" s="15">
        <f t="shared" si="55"/>
        <v>8043.75</v>
      </c>
      <c r="BN158">
        <v>9</v>
      </c>
      <c r="BR158" t="str">
        <f>VLOOKUP(G158,Eras!$A$2:$C$10, 2, TRUE)</f>
        <v>dsl</v>
      </c>
      <c r="BS158" t="s">
        <v>377</v>
      </c>
      <c r="BT158" t="str">
        <f t="shared" si="56"/>
        <v>dsl_MT (Electric)</v>
      </c>
      <c r="BU158" t="str">
        <f t="shared" si="50"/>
        <v/>
      </c>
      <c r="BV158" t="str">
        <f t="shared" si="42"/>
        <v>electric_THIRD_RAIL</v>
      </c>
      <c r="BW158" t="str">
        <f>VLOOKUP($BV158, Constants!$M:$N, 2, FALSE)</f>
        <v>{BLACK}Powered by: {GOLD}750V DC</v>
      </c>
      <c r="BX158" t="str">
        <f t="shared" si="43"/>
        <v/>
      </c>
      <c r="BY158" t="s">
        <v>399</v>
      </c>
      <c r="BZ158" t="str">
        <f t="shared" si="57"/>
        <v/>
      </c>
      <c r="CA158" t="str">
        <f t="shared" si="44"/>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79" x14ac:dyDescent="0.25">
      <c r="A159" t="s">
        <v>585</v>
      </c>
      <c r="B159" t="s">
        <v>587</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Q159">
        <v>30</v>
      </c>
      <c r="AR159">
        <f t="shared" si="45"/>
        <v>32</v>
      </c>
      <c r="AU159">
        <f t="shared" si="46"/>
        <v>16</v>
      </c>
      <c r="AV159">
        <f t="shared" si="47"/>
        <v>5.8</v>
      </c>
      <c r="AW159">
        <f t="shared" si="48"/>
        <v>9.3500000000000014</v>
      </c>
      <c r="AX159" s="4">
        <v>1</v>
      </c>
      <c r="AY159">
        <f t="shared" si="49"/>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54"/>
        <v>69531.25</v>
      </c>
      <c r="BE159" s="15">
        <f t="shared" si="55"/>
        <v>8043.75</v>
      </c>
      <c r="BN159">
        <v>10</v>
      </c>
      <c r="BR159" t="str">
        <f>VLOOKUP(G159,Eras!$A$2:$C$10, 2, TRUE)</f>
        <v>dsl</v>
      </c>
      <c r="BS159" t="s">
        <v>367</v>
      </c>
      <c r="BT159" t="str">
        <f t="shared" si="56"/>
        <v>dsl_Mixed Traffic</v>
      </c>
      <c r="BU159" t="str">
        <f t="shared" si="50"/>
        <v/>
      </c>
      <c r="BV159" t="str">
        <f t="shared" si="42"/>
        <v>diesel_RAIL</v>
      </c>
      <c r="BW159" t="str">
        <f>VLOOKUP($BV159, Constants!$M:$N, 2, FALSE)</f>
        <v>{BLACK}Powered by: {GOLD}Diesel</v>
      </c>
      <c r="BX159" t="str">
        <f t="shared" si="43"/>
        <v/>
      </c>
      <c r="BY159" t="s">
        <v>586</v>
      </c>
      <c r="BZ159" t="str">
        <f t="shared" si="57"/>
        <v/>
      </c>
      <c r="CA159" t="str">
        <f t="shared" si="44"/>
        <v>{BLACK}Powered by: {GOLD}Diesel {}{SILVER}The Class 26 "Teacup" (so named for its idling sound) was an early Type 2 locomotive, small diesels with engine output between 800 and 1,250 hp.</v>
      </c>
    </row>
    <row r="160" spans="1:79"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Q160">
        <v>26</v>
      </c>
      <c r="AR160">
        <f t="shared" si="45"/>
        <v>8</v>
      </c>
      <c r="AU160">
        <f t="shared" si="46"/>
        <v>15</v>
      </c>
      <c r="AV160">
        <f t="shared" si="47"/>
        <v>5.5</v>
      </c>
      <c r="AW160">
        <f t="shared" si="48"/>
        <v>10.45</v>
      </c>
      <c r="AX160" s="4">
        <v>1</v>
      </c>
      <c r="AY160">
        <f t="shared" si="49"/>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54"/>
        <v>69531.25</v>
      </c>
      <c r="BE160" s="15">
        <f t="shared" si="55"/>
        <v>7962.5</v>
      </c>
      <c r="BN160">
        <v>11</v>
      </c>
      <c r="BR160" t="str">
        <f>VLOOKUP(G160,Eras!$A$2:$C$10, 2, TRUE)</f>
        <v>dsl</v>
      </c>
      <c r="BS160" t="s">
        <v>367</v>
      </c>
      <c r="BT160" t="str">
        <f t="shared" si="56"/>
        <v>dsl_Mixed Traffic</v>
      </c>
      <c r="BU160" t="str">
        <f t="shared" si="50"/>
        <v/>
      </c>
      <c r="BV160" t="str">
        <f t="shared" si="42"/>
        <v>diesel_RAIL</v>
      </c>
      <c r="BW160" t="str">
        <f>VLOOKUP($BV160, Constants!$M:$N, 2, FALSE)</f>
        <v>{BLACK}Powered by: {GOLD}Diesel</v>
      </c>
      <c r="BX160" t="str">
        <f t="shared" si="43"/>
        <v/>
      </c>
      <c r="BY160" t="s">
        <v>407</v>
      </c>
      <c r="BZ160" t="str">
        <f t="shared" si="57"/>
        <v/>
      </c>
      <c r="CA160" t="str">
        <f t="shared" si="44"/>
        <v>{BLACK}Powered by: {GOLD}Diesel {}{SILVER}The Class 23 uses a smaller version of the Napier Deltic engine fitted to the Class 55, leading to its nickname of "Baby Deltic".</v>
      </c>
    </row>
    <row r="161" spans="1:79"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Q161">
        <v>27</v>
      </c>
      <c r="AR161">
        <f t="shared" si="45"/>
        <v>28</v>
      </c>
      <c r="AU161">
        <f t="shared" si="46"/>
        <v>20</v>
      </c>
      <c r="AV161">
        <f t="shared" si="47"/>
        <v>16.939999999999998</v>
      </c>
      <c r="AW161">
        <f t="shared" si="48"/>
        <v>11.100000000000001</v>
      </c>
      <c r="AX161" s="4">
        <v>1</v>
      </c>
      <c r="AY161">
        <f t="shared" si="49"/>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54"/>
        <v>121093.75</v>
      </c>
      <c r="BE161" s="15">
        <f t="shared" si="55"/>
        <v>9587.5</v>
      </c>
      <c r="BN161">
        <v>12</v>
      </c>
      <c r="BR161" t="str">
        <f>VLOOKUP(G161,Eras!$A$2:$C$10, 2, TRUE)</f>
        <v>dsl</v>
      </c>
      <c r="BS161" t="s">
        <v>378</v>
      </c>
      <c r="BT161" t="str">
        <f t="shared" si="56"/>
        <v>dsl_Express (Electric)</v>
      </c>
      <c r="BU161" t="str">
        <f t="shared" si="50"/>
        <v/>
      </c>
      <c r="BV161" t="str">
        <f t="shared" si="42"/>
        <v>electric_ELRL</v>
      </c>
      <c r="BW161" t="str">
        <f>VLOOKUP($BV161, Constants!$M:$N, 2, FALSE)</f>
        <v>{BLACK}Powered by: {GOLD}25kV AC</v>
      </c>
      <c r="BX161" t="str">
        <f t="shared" si="43"/>
        <v/>
      </c>
      <c r="BY161" t="s">
        <v>570</v>
      </c>
      <c r="BZ161" t="str">
        <f t="shared" si="57"/>
        <v/>
      </c>
      <c r="CA161" t="str">
        <f t="shared" si="44"/>
        <v>{BLACK}Powered by: {GOLD}25kV AC {}{SILVER}Built by Associated Electrical Industries, the Class 81 was British Railways' first AC electric locomotive. Two types were envisioned, but all delivered were geared for 100mph passenger and express freight usage.</v>
      </c>
    </row>
    <row r="162" spans="1:79"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Q162">
        <v>42</v>
      </c>
      <c r="AR162" t="str">
        <f t="shared" si="45"/>
        <v/>
      </c>
      <c r="AU162">
        <f t="shared" si="46"/>
        <v>18</v>
      </c>
      <c r="AV162">
        <f t="shared" si="47"/>
        <v>8.75</v>
      </c>
      <c r="AW162">
        <f t="shared" si="48"/>
        <v>12.350000000000001</v>
      </c>
      <c r="AX162" s="4">
        <v>1</v>
      </c>
      <c r="AY162">
        <f t="shared" si="49"/>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54"/>
        <v>85937.5</v>
      </c>
      <c r="BE162" s="15">
        <f t="shared" si="55"/>
        <v>9750</v>
      </c>
      <c r="BN162">
        <v>1</v>
      </c>
      <c r="BR162" t="str">
        <f>VLOOKUP(G162,Eras!$A$2:$C$10, 2, TRUE)</f>
        <v>dsl</v>
      </c>
      <c r="BS162" t="s">
        <v>369</v>
      </c>
      <c r="BT162" t="str">
        <f t="shared" si="56"/>
        <v>dsl_Freight</v>
      </c>
      <c r="BU162" t="str">
        <f t="shared" si="50"/>
        <v/>
      </c>
      <c r="BV162" t="str">
        <f t="shared" si="42"/>
        <v>diesel_RAIL</v>
      </c>
      <c r="BW162" t="str">
        <f>VLOOKUP($BV162, Constants!$M:$N, 2, FALSE)</f>
        <v>{BLACK}Powered by: {GOLD}Diesel</v>
      </c>
      <c r="BX162" t="str">
        <f t="shared" si="43"/>
        <v/>
      </c>
      <c r="BY162" t="s">
        <v>400</v>
      </c>
      <c r="BZ162" t="str">
        <f t="shared" si="57"/>
        <v/>
      </c>
      <c r="CA162" t="str">
        <f t="shared" si="44"/>
        <v>{BLACK}Powered by: {GOLD}Diesel {}{SILVER}The Class 37 (English Electric Type 3) is widely used, especially in Scotland where the high power, low axle load and lack of need for electrification make it ideal for hauling long trains in the Highlands.</v>
      </c>
    </row>
    <row r="163" spans="1:79" x14ac:dyDescent="0.25">
      <c r="A163" t="s">
        <v>58</v>
      </c>
      <c r="B163" t="s">
        <v>575</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Q163">
        <v>30</v>
      </c>
      <c r="AR163">
        <f t="shared" si="45"/>
        <v>25</v>
      </c>
      <c r="AU163">
        <f t="shared" si="46"/>
        <v>18</v>
      </c>
      <c r="AV163">
        <f t="shared" si="47"/>
        <v>12.5</v>
      </c>
      <c r="AW163">
        <f t="shared" si="48"/>
        <v>12.25</v>
      </c>
      <c r="AX163" s="4">
        <v>1</v>
      </c>
      <c r="AY163">
        <f t="shared" si="49"/>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54"/>
        <v>92968.75</v>
      </c>
      <c r="BE163" s="15">
        <f t="shared" si="55"/>
        <v>10481.25</v>
      </c>
      <c r="BN163">
        <v>2</v>
      </c>
      <c r="BR163" t="str">
        <f>VLOOKUP(G163,Eras!$A$2:$C$10, 2, TRUE)</f>
        <v>dsl</v>
      </c>
      <c r="BS163" t="s">
        <v>368</v>
      </c>
      <c r="BT163" t="str">
        <f t="shared" si="56"/>
        <v>dsl_Express</v>
      </c>
      <c r="BU163" t="str">
        <f t="shared" si="50"/>
        <v/>
      </c>
      <c r="BV163" t="str">
        <f t="shared" si="42"/>
        <v>diesel_RAIL</v>
      </c>
      <c r="BW163" t="str">
        <f>VLOOKUP($BV163, Constants!$M:$N, 2, FALSE)</f>
        <v>{BLACK}Powered by: {GOLD}Diesel</v>
      </c>
      <c r="BX163" t="str">
        <f t="shared" si="43"/>
        <v/>
      </c>
      <c r="BY163" t="s">
        <v>574</v>
      </c>
      <c r="BZ163" t="str">
        <f t="shared" si="57"/>
        <v/>
      </c>
      <c r="CA163" t="str">
        <f t="shared" si="44"/>
        <v>{BLACK}Powered by: {GOLD}Diesel {}{SILVER}The Sulzer Peaks served express passenger trains on the Midland Main Line until the introduction of the HST.</v>
      </c>
    </row>
    <row r="164" spans="1:79" x14ac:dyDescent="0.25">
      <c r="A164" t="s">
        <v>59</v>
      </c>
      <c r="B164" t="s">
        <v>577</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Q164">
        <v>30</v>
      </c>
      <c r="AR164" t="str">
        <f t="shared" si="45"/>
        <v/>
      </c>
      <c r="AU164">
        <f t="shared" si="46"/>
        <v>17</v>
      </c>
      <c r="AV164">
        <f t="shared" si="47"/>
        <v>7.75</v>
      </c>
      <c r="AW164">
        <f t="shared" si="48"/>
        <v>10</v>
      </c>
      <c r="AX164" s="4">
        <v>1</v>
      </c>
      <c r="AY164">
        <f t="shared" si="49"/>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54"/>
        <v>76562.5</v>
      </c>
      <c r="BE164" s="15">
        <f t="shared" si="55"/>
        <v>8775</v>
      </c>
      <c r="BN164">
        <v>3</v>
      </c>
      <c r="BR164" t="str">
        <f>VLOOKUP(G164,Eras!$A$2:$C$10, 2, TRUE)</f>
        <v>dsl</v>
      </c>
      <c r="BS164" t="s">
        <v>367</v>
      </c>
      <c r="BT164" t="str">
        <f t="shared" si="56"/>
        <v>dsl_Mixed Traffic</v>
      </c>
      <c r="BU164" t="str">
        <f t="shared" si="50"/>
        <v/>
      </c>
      <c r="BV164" t="str">
        <f t="shared" si="42"/>
        <v>diesel_RAIL</v>
      </c>
      <c r="BW164" t="str">
        <f>VLOOKUP($BV164, Constants!$M:$N, 2, FALSE)</f>
        <v>{BLACK}Powered by: {GOLD}Diesel</v>
      </c>
      <c r="BX164" t="str">
        <f t="shared" si="43"/>
        <v/>
      </c>
      <c r="BY164" t="s">
        <v>576</v>
      </c>
      <c r="BZ164" t="str">
        <f t="shared" si="57"/>
        <v/>
      </c>
      <c r="CA164" t="str">
        <f t="shared" si="44"/>
        <v>{BLACK}Powered by: {GOLD}Diesel {}{SILVER}The Class 33 was built without carriage heating, using the space for an 8 cylinder engine. This meant it was used for tourist-loaded passenger trains in summer, and freight in winter.</v>
      </c>
    </row>
    <row r="165" spans="1:79"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Q165">
        <v>30</v>
      </c>
      <c r="AR165">
        <f t="shared" si="45"/>
        <v>10</v>
      </c>
      <c r="AU165">
        <f t="shared" si="46"/>
        <v>18</v>
      </c>
      <c r="AV165">
        <f t="shared" si="47"/>
        <v>8.5</v>
      </c>
      <c r="AW165">
        <f t="shared" si="48"/>
        <v>10.35</v>
      </c>
      <c r="AX165" s="4">
        <v>1</v>
      </c>
      <c r="AY165">
        <f t="shared" si="49"/>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54"/>
        <v>81250</v>
      </c>
      <c r="BE165" s="15">
        <f t="shared" si="55"/>
        <v>9262.5</v>
      </c>
      <c r="BN165">
        <v>4</v>
      </c>
      <c r="BR165" t="str">
        <f>VLOOKUP(G165,Eras!$A$2:$C$10, 2, TRUE)</f>
        <v>dsl</v>
      </c>
      <c r="BS165" t="s">
        <v>367</v>
      </c>
      <c r="BT165" t="str">
        <f t="shared" si="56"/>
        <v>dsl_Mixed Traffic</v>
      </c>
      <c r="BU165" t="str">
        <f t="shared" si="50"/>
        <v/>
      </c>
      <c r="BV165" t="str">
        <f t="shared" si="42"/>
        <v>diesel_RAIL</v>
      </c>
      <c r="BW165" t="str">
        <f>VLOOKUP($BV165, Constants!$M:$N, 2, FALSE)</f>
        <v>{BLACK}Powered by: {GOLD}Diesel</v>
      </c>
      <c r="BX165" t="str">
        <f t="shared" si="43"/>
        <v/>
      </c>
      <c r="BY165" t="s">
        <v>582</v>
      </c>
      <c r="BZ165" t="str">
        <f t="shared" si="57"/>
        <v/>
      </c>
      <c r="CA165" t="str">
        <f t="shared" si="44"/>
        <v>{BLACK}Powered by: {GOLD}Diesel {}{SILVER}The Hymeks were named for their hydraulic transmission. Sadly this also caused their early withdrawal, with BR viewing diesel-hydraulics as non-standard.</v>
      </c>
    </row>
    <row r="166" spans="1:79"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Q166">
        <v>30</v>
      </c>
      <c r="AR166">
        <f t="shared" si="45"/>
        <v>12</v>
      </c>
      <c r="AU166">
        <f t="shared" si="46"/>
        <v>18</v>
      </c>
      <c r="AV166">
        <f t="shared" si="47"/>
        <v>10</v>
      </c>
      <c r="AW166">
        <f t="shared" si="48"/>
        <v>14.850000000000001</v>
      </c>
      <c r="AX166" s="4">
        <v>1</v>
      </c>
      <c r="AY166">
        <f t="shared" si="49"/>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54"/>
        <v>93750</v>
      </c>
      <c r="BE166" s="15">
        <f t="shared" si="55"/>
        <v>10562.5</v>
      </c>
      <c r="BN166">
        <v>5</v>
      </c>
      <c r="BR166" t="str">
        <f>VLOOKUP(G166,Eras!$A$2:$C$10, 2, TRUE)</f>
        <v>dsl</v>
      </c>
      <c r="BS166" t="s">
        <v>367</v>
      </c>
      <c r="BT166" t="str">
        <f t="shared" si="56"/>
        <v>dsl_Mixed Traffic</v>
      </c>
      <c r="BU166" t="str">
        <f t="shared" si="50"/>
        <v/>
      </c>
      <c r="BV166" t="str">
        <f t="shared" si="42"/>
        <v>diesel_RAIL</v>
      </c>
      <c r="BW166" t="str">
        <f>VLOOKUP($BV166, Constants!$M:$N, 2, FALSE)</f>
        <v>{BLACK}Powered by: {GOLD}Diesel</v>
      </c>
      <c r="BX166" t="str">
        <f t="shared" si="43"/>
        <v/>
      </c>
      <c r="BY166" t="s">
        <v>583</v>
      </c>
      <c r="BZ166" t="str">
        <f t="shared" si="57"/>
        <v/>
      </c>
      <c r="CA166" t="str">
        <f t="shared" si="44"/>
        <v>{BLACK}Powered by: {GOLD}Diesel {}{SILVER}The Class 52 was the most powerful of the Western Region's diesel-hydraulic locomotives, pushing the limits of what 1960s transmission technology could achieve.</v>
      </c>
    </row>
    <row r="167" spans="1:79"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Q167">
        <v>40</v>
      </c>
      <c r="AR167">
        <f t="shared" si="45"/>
        <v>22</v>
      </c>
      <c r="AU167">
        <f t="shared" si="46"/>
        <v>18</v>
      </c>
      <c r="AV167">
        <f t="shared" si="47"/>
        <v>6.25</v>
      </c>
      <c r="AW167">
        <f t="shared" si="48"/>
        <v>8.5</v>
      </c>
      <c r="AX167" s="4">
        <v>1</v>
      </c>
      <c r="AY167">
        <f t="shared" si="49"/>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54"/>
        <v>72656.25</v>
      </c>
      <c r="BE167" s="15">
        <f t="shared" si="55"/>
        <v>8368.75</v>
      </c>
      <c r="BN167">
        <v>6</v>
      </c>
      <c r="BR167" t="str">
        <f>VLOOKUP(G167,Eras!$A$2:$C$10, 2, TRUE)</f>
        <v>dsl</v>
      </c>
      <c r="BS167" t="s">
        <v>369</v>
      </c>
      <c r="BT167" t="str">
        <f t="shared" si="56"/>
        <v>dsl_Freight</v>
      </c>
      <c r="BU167" t="str">
        <f t="shared" si="50"/>
        <v/>
      </c>
      <c r="BV167" t="str">
        <f t="shared" si="42"/>
        <v>diesel_RAIL</v>
      </c>
      <c r="BW167" t="str">
        <f>VLOOKUP($BV167, Constants!$M:$N, 2, FALSE)</f>
        <v>{BLACK}Powered by: {GOLD}Diesel</v>
      </c>
      <c r="BX167" t="str">
        <f t="shared" si="43"/>
        <v/>
      </c>
      <c r="BY167" t="s">
        <v>584</v>
      </c>
      <c r="BZ167" t="str">
        <f t="shared" si="57"/>
        <v/>
      </c>
      <c r="CA167" t="str">
        <f t="shared" si="44"/>
        <v>{BLACK}Powered by: {GOLD}Diesel {}{SILVER}The Class 25 locomotives became known as "Rats" because they were found all over the British Rail network.</v>
      </c>
    </row>
    <row r="168" spans="1:79" x14ac:dyDescent="0.25">
      <c r="A168" t="s">
        <v>589</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Q168">
        <v>33</v>
      </c>
      <c r="AR168" t="str">
        <f t="shared" si="45"/>
        <v/>
      </c>
      <c r="AU168">
        <f t="shared" si="46"/>
        <v>19</v>
      </c>
      <c r="AV168">
        <f t="shared" si="47"/>
        <v>13.75</v>
      </c>
      <c r="AW168">
        <f t="shared" si="48"/>
        <v>12.25</v>
      </c>
      <c r="AX168" s="4">
        <v>1</v>
      </c>
      <c r="AY168">
        <f t="shared" si="49"/>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54"/>
        <v>97656.25</v>
      </c>
      <c r="BE168" s="15">
        <f t="shared" si="55"/>
        <v>11050</v>
      </c>
      <c r="BN168">
        <v>7</v>
      </c>
      <c r="BR168" t="str">
        <f>VLOOKUP(G168,Eras!$A$2:$C$10, 2, TRUE)</f>
        <v>dsl</v>
      </c>
      <c r="BS168" t="s">
        <v>369</v>
      </c>
      <c r="BT168" t="str">
        <f t="shared" si="56"/>
        <v>dsl_Freight</v>
      </c>
      <c r="BU168" t="str">
        <f t="shared" si="50"/>
        <v/>
      </c>
      <c r="BV168" t="str">
        <f t="shared" si="42"/>
        <v>diesel_RAIL</v>
      </c>
      <c r="BW168" t="str">
        <f>VLOOKUP($BV168, Constants!$M:$N, 2, FALSE)</f>
        <v>{BLACK}Powered by: {GOLD}Diesel</v>
      </c>
      <c r="BX168" t="str">
        <f t="shared" si="43"/>
        <v/>
      </c>
      <c r="BY168" t="s">
        <v>588</v>
      </c>
      <c r="BZ168" t="str">
        <f t="shared" si="57"/>
        <v/>
      </c>
      <c r="CA168" t="str">
        <f t="shared" si="44"/>
        <v>{BLACK}Powered by: {GOLD}Diesel {}{SILVER}The Class 47 diesel-electric arose from BR's desire for a lighter Type 4 (over 2000hp) locomotive, without using the diesel-hydraulic technology favoured by the Western Region.</v>
      </c>
    </row>
    <row r="169" spans="1:79"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Q169">
        <v>14</v>
      </c>
      <c r="AR169">
        <f t="shared" si="45"/>
        <v>8</v>
      </c>
      <c r="AU169">
        <f t="shared" si="46"/>
        <v>12</v>
      </c>
      <c r="AV169">
        <f t="shared" si="47"/>
        <v>4.5</v>
      </c>
      <c r="AW169">
        <f t="shared" si="48"/>
        <v>8.9</v>
      </c>
      <c r="AX169" s="4">
        <v>1</v>
      </c>
      <c r="AY169">
        <f t="shared" si="49"/>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54"/>
        <v>57812.5</v>
      </c>
      <c r="BE169" s="15">
        <f t="shared" si="55"/>
        <v>6825</v>
      </c>
      <c r="BN169">
        <v>8</v>
      </c>
      <c r="BR169" t="str">
        <f>VLOOKUP(G169,Eras!$A$2:$C$10, 2, TRUE)</f>
        <v>dsl</v>
      </c>
      <c r="BS169" t="s">
        <v>366</v>
      </c>
      <c r="BT169" t="str">
        <f t="shared" si="56"/>
        <v>dsl_Cheap</v>
      </c>
      <c r="BU169" t="str">
        <f t="shared" si="50"/>
        <v/>
      </c>
      <c r="BV169" t="str">
        <f t="shared" si="42"/>
        <v>diesel_RAIL</v>
      </c>
      <c r="BW169" t="str">
        <f>VLOOKUP($BV169, Constants!$M:$N, 2, FALSE)</f>
        <v>{BLACK}Powered by: {GOLD}Diesel</v>
      </c>
      <c r="BX169" t="str">
        <f t="shared" si="43"/>
        <v/>
      </c>
      <c r="BY169" t="s">
        <v>590</v>
      </c>
      <c r="BZ169" t="str">
        <f t="shared" si="57"/>
        <v/>
      </c>
      <c r="CA169" t="str">
        <f t="shared" si="44"/>
        <v>{BLACK}Powered by: {GOLD}Diesel {}{SILVER}The Class 17 attempted to solve the problems of visibility from a single cab. It had an unsuccessful life beset by engine reliability problems, and all examples were withdrawn early.</v>
      </c>
    </row>
    <row r="170" spans="1:79" x14ac:dyDescent="0.25">
      <c r="A170" t="s">
        <v>61</v>
      </c>
      <c r="B170" t="s">
        <v>591</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O170">
        <v>1</v>
      </c>
      <c r="AQ170">
        <v>18</v>
      </c>
      <c r="AR170">
        <f t="shared" si="45"/>
        <v>16</v>
      </c>
      <c r="AU170">
        <f t="shared" si="46"/>
        <v>8</v>
      </c>
      <c r="AV170">
        <f t="shared" si="47"/>
        <v>3.25</v>
      </c>
      <c r="AW170">
        <f t="shared" si="48"/>
        <v>6.8500000000000005</v>
      </c>
      <c r="AX170" s="4">
        <v>1</v>
      </c>
      <c r="AY170">
        <f t="shared" si="49"/>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54"/>
        <v>42968.75</v>
      </c>
      <c r="BE170" s="15">
        <f t="shared" si="55"/>
        <v>5362.5</v>
      </c>
      <c r="BN170">
        <v>9</v>
      </c>
      <c r="BR170" t="str">
        <f>VLOOKUP(G170,Eras!$A$2:$C$10, 2, TRUE)</f>
        <v>dsl</v>
      </c>
      <c r="BS170" t="s">
        <v>366</v>
      </c>
      <c r="BT170" t="str">
        <f t="shared" si="56"/>
        <v>dsl_Cheap</v>
      </c>
      <c r="BU170" t="str">
        <f t="shared" si="50"/>
        <v/>
      </c>
      <c r="BV170" t="str">
        <f t="shared" si="42"/>
        <v>diesel_RAIL</v>
      </c>
      <c r="BW170" t="str">
        <f>VLOOKUP($BV170, Constants!$M:$N, 2, FALSE)</f>
        <v>{BLACK}Powered by: {GOLD}Diesel</v>
      </c>
      <c r="BX170" t="str">
        <f t="shared" si="43"/>
        <v/>
      </c>
      <c r="BY170" t="s">
        <v>592</v>
      </c>
      <c r="BZ170" t="str">
        <f t="shared" si="57"/>
        <v/>
      </c>
      <c r="CA170" t="str">
        <f t="shared" si="44"/>
        <v>{BLACK}Powered by: {GOLD}Diesel {}{SILVER}BR envisaged a need  for small diesel locomotives to run short-distance freight trains, but by the end of the 1960s this need had evaporated. The Class 14s were sold to industry, and saw continued use on private railways.</v>
      </c>
    </row>
    <row r="171" spans="1:79" x14ac:dyDescent="0.25">
      <c r="A171" t="s">
        <v>63</v>
      </c>
      <c r="B171" t="s">
        <v>289</v>
      </c>
      <c r="C171">
        <v>332</v>
      </c>
      <c r="D171" t="s">
        <v>302</v>
      </c>
      <c r="E171" t="s">
        <v>593</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Q171">
        <v>33</v>
      </c>
      <c r="AR171" t="str">
        <f t="shared" si="45"/>
        <v/>
      </c>
      <c r="AU171">
        <f t="shared" si="46"/>
        <v>16</v>
      </c>
      <c r="AV171">
        <f t="shared" si="47"/>
        <v>7.1</v>
      </c>
      <c r="AW171">
        <f t="shared" si="48"/>
        <v>9.3000000000000007</v>
      </c>
      <c r="AX171" s="4">
        <v>1</v>
      </c>
      <c r="AY171">
        <f t="shared" si="49"/>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54"/>
        <v>91406.25</v>
      </c>
      <c r="BE171" s="15">
        <f t="shared" si="55"/>
        <v>7312.5</v>
      </c>
      <c r="BN171">
        <v>10</v>
      </c>
      <c r="BR171" t="str">
        <f>VLOOKUP(G171,Eras!$A$2:$C$10, 2, TRUE)</f>
        <v>dsl</v>
      </c>
      <c r="BT171" t="str">
        <f t="shared" si="56"/>
        <v>dsl_</v>
      </c>
      <c r="BU171" t="str">
        <f t="shared" si="50"/>
        <v/>
      </c>
      <c r="BV171" t="str">
        <f t="shared" si="42"/>
        <v>dual_power_RAIL</v>
      </c>
      <c r="BW171" t="str">
        <f>VLOOKUP($BV171, Constants!$M:$N, 2, FALSE)</f>
        <v>{BLACK}Powered by: {GOLD}750V DC / Diesel</v>
      </c>
      <c r="BX171" t="str">
        <f t="shared" si="43"/>
        <v/>
      </c>
      <c r="BY171" t="s">
        <v>595</v>
      </c>
      <c r="BZ171" t="str">
        <f t="shared" si="57"/>
        <v/>
      </c>
      <c r="CA171" t="str">
        <f t="shared" si="44"/>
        <v>{BLACK}Powered by: {GOLD}750V DC / Diesel {}{SILVER}The Class 73 is a dual-power locomotive, running at full power when connected to a third rail supply but carrying a small diesel engine for running on non-electrified track.</v>
      </c>
    </row>
    <row r="172" spans="1:79"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Q172">
        <v>37</v>
      </c>
      <c r="AR172" t="str">
        <f t="shared" si="45"/>
        <v/>
      </c>
      <c r="AU172">
        <f t="shared" si="46"/>
        <v>20</v>
      </c>
      <c r="AV172">
        <f t="shared" si="47"/>
        <v>18</v>
      </c>
      <c r="AW172">
        <f t="shared" si="48"/>
        <v>13.35</v>
      </c>
      <c r="AX172" s="4">
        <v>1</v>
      </c>
      <c r="AY172">
        <f t="shared" si="49"/>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54"/>
        <v>128906.25</v>
      </c>
      <c r="BE172" s="15">
        <f t="shared" si="55"/>
        <v>10237.5</v>
      </c>
      <c r="BN172">
        <v>11</v>
      </c>
      <c r="BR172" t="str">
        <f>VLOOKUP(G172,Eras!$A$2:$C$10, 2, TRUE)</f>
        <v>dsl</v>
      </c>
      <c r="BS172" t="s">
        <v>378</v>
      </c>
      <c r="BT172" t="str">
        <f t="shared" si="56"/>
        <v>dsl_Express (Electric)</v>
      </c>
      <c r="BU172" t="str">
        <f t="shared" si="50"/>
        <v/>
      </c>
      <c r="BV172" t="str">
        <f t="shared" si="42"/>
        <v>electric_ELRL</v>
      </c>
      <c r="BW172" t="str">
        <f>VLOOKUP($BV172, Constants!$M:$N, 2, FALSE)</f>
        <v>{BLACK}Powered by: {GOLD}25kV AC</v>
      </c>
      <c r="BX172" t="str">
        <f t="shared" si="43"/>
        <v/>
      </c>
      <c r="BY172" t="s">
        <v>571</v>
      </c>
      <c r="BZ172" t="str">
        <f t="shared" si="57"/>
        <v/>
      </c>
      <c r="CA172" t="str">
        <f t="shared" si="44"/>
        <v>{BLACK}Powered by: {GOLD}25kV AC {}{SILVER}The Class 86 (originally AL6) was BR's first standard electric locomotive, incorporating experience from prototypes such as the Class 81.</v>
      </c>
    </row>
    <row r="173" spans="1:79"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Q173">
        <v>30</v>
      </c>
      <c r="AR173">
        <f t="shared" si="45"/>
        <v>23</v>
      </c>
      <c r="AU173">
        <f t="shared" si="46"/>
        <v>20</v>
      </c>
      <c r="AV173">
        <f t="shared" si="47"/>
        <v>13.5</v>
      </c>
      <c r="AW173">
        <f t="shared" si="48"/>
        <v>10.8</v>
      </c>
      <c r="AX173" s="4">
        <v>1</v>
      </c>
      <c r="AY173">
        <f t="shared" si="49"/>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54"/>
        <v>96875</v>
      </c>
      <c r="BE173" s="15">
        <f t="shared" si="55"/>
        <v>10887.5</v>
      </c>
      <c r="BN173">
        <v>12</v>
      </c>
      <c r="BR173" t="str">
        <f>VLOOKUP(G173,Eras!$A$2:$C$10, 2, TRUE)</f>
        <v>dsl</v>
      </c>
      <c r="BS173" t="s">
        <v>368</v>
      </c>
      <c r="BT173" t="str">
        <f t="shared" si="56"/>
        <v>dsl_Express</v>
      </c>
      <c r="BU173" t="str">
        <f t="shared" si="50"/>
        <v/>
      </c>
      <c r="BV173" t="str">
        <f t="shared" si="42"/>
        <v>diesel_RAIL</v>
      </c>
      <c r="BW173" t="str">
        <f>VLOOKUP($BV173, Constants!$M:$N, 2, FALSE)</f>
        <v>{BLACK}Powered by: {GOLD}Diesel</v>
      </c>
      <c r="BX173" t="str">
        <f t="shared" si="43"/>
        <v/>
      </c>
      <c r="BY173" t="s">
        <v>596</v>
      </c>
      <c r="BZ173" t="str">
        <f t="shared" si="57"/>
        <v/>
      </c>
      <c r="CA173" t="str">
        <f t="shared" si="44"/>
        <v>{BLACK}Powered by: {GOLD}Diesel {}{SILVER}The Class 50 hauled express services on the West Coast Main Line until electrification, at which point they were used to replace diesel-hydraulic engines in the Western Region.</v>
      </c>
    </row>
    <row r="174" spans="1:79"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Q174">
        <v>30</v>
      </c>
      <c r="AR174">
        <f t="shared" si="45"/>
        <v>29</v>
      </c>
      <c r="AU174">
        <f t="shared" si="46"/>
        <v>22</v>
      </c>
      <c r="AV174">
        <f t="shared" si="47"/>
        <v>20</v>
      </c>
      <c r="AW174">
        <f t="shared" si="48"/>
        <v>12.9</v>
      </c>
      <c r="AX174" s="4">
        <v>1</v>
      </c>
      <c r="AY174">
        <f t="shared" si="49"/>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54"/>
        <v>137500</v>
      </c>
      <c r="BE174" s="15">
        <f t="shared" si="55"/>
        <v>10887.5</v>
      </c>
      <c r="BN174">
        <v>1</v>
      </c>
      <c r="BR174" t="str">
        <f>VLOOKUP(G174,Eras!$A$2:$C$10, 2, TRUE)</f>
        <v>lbr</v>
      </c>
      <c r="BS174" t="s">
        <v>378</v>
      </c>
      <c r="BT174" t="str">
        <f t="shared" si="56"/>
        <v>lbr_Express (Electric)</v>
      </c>
      <c r="BU174" t="str">
        <f t="shared" si="50"/>
        <v/>
      </c>
      <c r="BV174" t="str">
        <f t="shared" si="42"/>
        <v>electric_ELRL</v>
      </c>
      <c r="BW174" t="str">
        <f>VLOOKUP($BV174, Constants!$M:$N, 2, FALSE)</f>
        <v>{BLACK}Powered by: {GOLD}25kV AC</v>
      </c>
      <c r="BX174" t="str">
        <f t="shared" si="43"/>
        <v/>
      </c>
      <c r="BY174" t="s">
        <v>597</v>
      </c>
      <c r="BZ174" t="str">
        <f t="shared" si="57"/>
        <v/>
      </c>
      <c r="CA174" t="str">
        <f t="shared" si="44"/>
        <v>{BLACK}Powered by: {GOLD}25kV AC {}{SILVER}The Class 87 was a further development of the Class 86 with even more power and performance, serving as the flagship of the British Rail electric fleet.</v>
      </c>
    </row>
    <row r="175" spans="1:79"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Q175">
        <v>35</v>
      </c>
      <c r="AR175">
        <f t="shared" si="45"/>
        <v>42</v>
      </c>
      <c r="AU175">
        <f t="shared" si="46"/>
        <v>25</v>
      </c>
      <c r="AV175">
        <f t="shared" si="47"/>
        <v>8.85</v>
      </c>
      <c r="AW175">
        <f t="shared" si="48"/>
        <v>8</v>
      </c>
      <c r="AX175" s="4">
        <v>1</v>
      </c>
      <c r="AY175">
        <f t="shared" si="49"/>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54"/>
        <v>91406.25</v>
      </c>
      <c r="BE175" s="15">
        <f t="shared" si="55"/>
        <v>10318.75</v>
      </c>
      <c r="BF175">
        <v>1</v>
      </c>
      <c r="BL175">
        <v>1</v>
      </c>
      <c r="BN175">
        <v>2</v>
      </c>
      <c r="BR175" t="str">
        <f>VLOOKUP(G175,Eras!$A$2:$C$10, 2, TRUE)</f>
        <v>lbr</v>
      </c>
      <c r="BS175" t="s">
        <v>368</v>
      </c>
      <c r="BT175" t="str">
        <f t="shared" si="56"/>
        <v>lbr_Express</v>
      </c>
      <c r="BU175" t="str">
        <f t="shared" si="50"/>
        <v/>
      </c>
      <c r="BV175" t="str">
        <f t="shared" si="42"/>
        <v>diesel_RAIL</v>
      </c>
      <c r="BW175" t="str">
        <f>VLOOKUP($BV175, Constants!$M:$N, 2, FALSE)</f>
        <v>{BLACK}Powered by: {GOLD}Diesel</v>
      </c>
      <c r="BX175" t="str">
        <f t="shared" si="43"/>
        <v/>
      </c>
      <c r="BY175" t="s">
        <v>406</v>
      </c>
      <c r="BZ175" t="str">
        <f t="shared" si="57"/>
        <v/>
      </c>
      <c r="CA175" t="str">
        <f t="shared" si="44"/>
        <v>{BLACK}Powered by: {GOLD}Diesel {}{SILVER}The Class 43 HST is a high-speed diesel-electric locomotive, also known as the Intercity 125 for its 125mph service speed and intended use on long routes between cities.</v>
      </c>
    </row>
    <row r="176" spans="1:79" x14ac:dyDescent="0.25">
      <c r="A176" t="s">
        <v>598</v>
      </c>
      <c r="B176" t="s">
        <v>600</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Q176">
        <v>30</v>
      </c>
      <c r="AR176" t="str">
        <f t="shared" si="45"/>
        <v/>
      </c>
      <c r="AU176">
        <f t="shared" si="46"/>
        <v>16</v>
      </c>
      <c r="AV176">
        <f t="shared" si="47"/>
        <v>16.25</v>
      </c>
      <c r="AW176">
        <f t="shared" si="48"/>
        <v>13.75</v>
      </c>
      <c r="AX176" s="4">
        <v>1</v>
      </c>
      <c r="AY176">
        <f t="shared" si="49"/>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54"/>
        <v>100000</v>
      </c>
      <c r="BE176" s="15">
        <f t="shared" si="55"/>
        <v>11212.5</v>
      </c>
      <c r="BN176">
        <v>3</v>
      </c>
      <c r="BR176" t="str">
        <f>VLOOKUP(G176,Eras!$A$2:$C$10, 2, TRUE)</f>
        <v>lbr</v>
      </c>
      <c r="BS176" t="s">
        <v>369</v>
      </c>
      <c r="BT176" t="str">
        <f t="shared" si="56"/>
        <v>lbr_Freight</v>
      </c>
      <c r="BU176" t="str">
        <f t="shared" si="50"/>
        <v/>
      </c>
      <c r="BV176" t="str">
        <f t="shared" si="42"/>
        <v>diesel_RAIL</v>
      </c>
      <c r="BW176" t="str">
        <f>VLOOKUP($BV176, Constants!$M:$N, 2, FALSE)</f>
        <v>{BLACK}Powered by: {GOLD}Diesel</v>
      </c>
      <c r="BX176" t="str">
        <f t="shared" si="43"/>
        <v/>
      </c>
      <c r="BY176" t="s">
        <v>599</v>
      </c>
      <c r="BZ176" t="str">
        <f t="shared" si="57"/>
        <v/>
      </c>
      <c r="CA176" t="str">
        <f t="shared" si="44"/>
        <v>{BLACK}Powered by: {GOLD}Diesel {}{SILVER}The Class 56 is designed for heavy freight work. It contains many improvements to the electric drivetrain compared to earlier diesel-electric locomotives, making it more reliable and easier to operate.</v>
      </c>
    </row>
    <row r="177" spans="1:79" x14ac:dyDescent="0.25">
      <c r="A177" t="s">
        <v>54</v>
      </c>
      <c r="B177" t="s">
        <v>611</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Q177">
        <v>30</v>
      </c>
      <c r="AR177" t="str">
        <f t="shared" si="45"/>
        <v/>
      </c>
      <c r="AU177">
        <f t="shared" si="46"/>
        <v>16</v>
      </c>
      <c r="AV177">
        <f t="shared" si="47"/>
        <v>16.5</v>
      </c>
      <c r="AW177">
        <f t="shared" si="48"/>
        <v>13.35</v>
      </c>
      <c r="AX177" s="4">
        <v>1</v>
      </c>
      <c r="AY177">
        <f t="shared" si="49"/>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54"/>
        <v>100000</v>
      </c>
      <c r="BE177" s="15">
        <f t="shared" si="55"/>
        <v>11212.5</v>
      </c>
      <c r="BN177">
        <v>4</v>
      </c>
      <c r="BR177" t="str">
        <f>VLOOKUP(G177,Eras!$A$2:$C$10, 2, TRUE)</f>
        <v>lbr</v>
      </c>
      <c r="BS177" t="s">
        <v>369</v>
      </c>
      <c r="BT177" t="str">
        <f t="shared" si="56"/>
        <v>lbr_Freight</v>
      </c>
      <c r="BU177" t="str">
        <f t="shared" si="50"/>
        <v/>
      </c>
      <c r="BV177" t="str">
        <f t="shared" si="42"/>
        <v>diesel_RAIL</v>
      </c>
      <c r="BW177" t="str">
        <f>VLOOKUP($BV177, Constants!$M:$N, 2, FALSE)</f>
        <v>{BLACK}Powered by: {GOLD}Diesel</v>
      </c>
      <c r="BX177" t="str">
        <f t="shared" si="43"/>
        <v/>
      </c>
      <c r="BY177" t="s">
        <v>610</v>
      </c>
      <c r="BZ177" t="str">
        <f t="shared" si="57"/>
        <v/>
      </c>
      <c r="CA177" t="str">
        <f t="shared" si="44"/>
        <v>{BLACK}Powered by: {GOLD}Diesel {}{SILVER}The Class 58 used a modular design with replaceable modules mounted to an underframe. It was nicknamed "Bone" after the narrow central section.</v>
      </c>
    </row>
    <row r="178" spans="1:79"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Q178">
        <v>30</v>
      </c>
      <c r="AR178" t="str">
        <f t="shared" si="45"/>
        <v/>
      </c>
      <c r="AU178">
        <f t="shared" si="46"/>
        <v>15</v>
      </c>
      <c r="AV178">
        <f t="shared" si="47"/>
        <v>16.5</v>
      </c>
      <c r="AW178">
        <f t="shared" si="48"/>
        <v>14.5</v>
      </c>
      <c r="AX178" s="4">
        <v>1</v>
      </c>
      <c r="AY178">
        <f t="shared" si="49"/>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54"/>
        <v>100000</v>
      </c>
      <c r="BE178" s="15">
        <f t="shared" si="55"/>
        <v>11212.5</v>
      </c>
      <c r="BN178">
        <v>5</v>
      </c>
      <c r="BR178" t="str">
        <f>VLOOKUP(G178,Eras!$A$2:$C$10, 2, TRUE)</f>
        <v>lbr</v>
      </c>
      <c r="BS178" t="s">
        <v>369</v>
      </c>
      <c r="BT178" t="str">
        <f t="shared" si="56"/>
        <v>lbr_Freight</v>
      </c>
      <c r="BU178" t="str">
        <f t="shared" si="50"/>
        <v/>
      </c>
      <c r="BV178" t="str">
        <f t="shared" si="42"/>
        <v>diesel_RAIL</v>
      </c>
      <c r="BW178" t="str">
        <f>VLOOKUP($BV178, Constants!$M:$N, 2, FALSE)</f>
        <v>{BLACK}Powered by: {GOLD}Diesel</v>
      </c>
      <c r="BX178" t="str">
        <f t="shared" si="43"/>
        <v/>
      </c>
      <c r="BY178" t="s">
        <v>612</v>
      </c>
      <c r="BZ178" t="str">
        <f t="shared" si="57"/>
        <v/>
      </c>
      <c r="CA178" t="str">
        <f t="shared" si="44"/>
        <v>{BLACK}Powered by: {GOLD}Diesel {}{SILVER}The Class 59 is the first US-built locomotive to operate in mainland Great Britain. It is derived from the SD40, with a British cab layout.</v>
      </c>
    </row>
    <row r="179" spans="1:79"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Q179">
        <v>30</v>
      </c>
      <c r="AR179" t="str">
        <f t="shared" si="45"/>
        <v/>
      </c>
      <c r="AU179">
        <f t="shared" si="46"/>
        <v>22</v>
      </c>
      <c r="AV179">
        <f t="shared" si="47"/>
        <v>20</v>
      </c>
      <c r="AW179">
        <f t="shared" si="48"/>
        <v>12.9</v>
      </c>
      <c r="AX179" s="4">
        <v>1</v>
      </c>
      <c r="AY179">
        <f t="shared" si="49"/>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54"/>
        <v>137500</v>
      </c>
      <c r="BE179" s="15">
        <f t="shared" si="55"/>
        <v>10887.5</v>
      </c>
      <c r="BN179">
        <v>6</v>
      </c>
      <c r="BR179" t="str">
        <f>VLOOKUP(G179,Eras!$A$2:$C$10, 2, TRUE)</f>
        <v>lbr</v>
      </c>
      <c r="BS179" t="s">
        <v>368</v>
      </c>
      <c r="BT179" t="str">
        <f t="shared" si="56"/>
        <v>lbr_Express</v>
      </c>
      <c r="BU179" t="str">
        <f t="shared" si="50"/>
        <v/>
      </c>
      <c r="BV179" t="str">
        <f t="shared" si="42"/>
        <v>electric_ELRL</v>
      </c>
      <c r="BW179" t="str">
        <f>VLOOKUP($BV179, Constants!$M:$N, 2, FALSE)</f>
        <v>{BLACK}Powered by: {GOLD}25kV AC</v>
      </c>
      <c r="BX179" t="str">
        <f t="shared" si="43"/>
        <v/>
      </c>
      <c r="BY179" t="s">
        <v>615</v>
      </c>
      <c r="BZ179" t="str">
        <f t="shared" si="57"/>
        <v/>
      </c>
      <c r="CA179" t="str">
        <f t="shared" si="44"/>
        <v>{BLACK}Powered by: {GOLD}25kV AC {}{SILVER}The Class 90 is a powerful electric locomotive. Initially used for Intercity express services, several were also used for freight.</v>
      </c>
    </row>
    <row r="180" spans="1:79" x14ac:dyDescent="0.25">
      <c r="A180" t="s">
        <v>621</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Q180">
        <v>27</v>
      </c>
      <c r="AR180" t="str">
        <f t="shared" si="45"/>
        <v/>
      </c>
      <c r="AU180">
        <f t="shared" si="46"/>
        <v>28</v>
      </c>
      <c r="AV180">
        <f t="shared" si="47"/>
        <v>20</v>
      </c>
      <c r="AW180">
        <f t="shared" si="48"/>
        <v>9.5</v>
      </c>
      <c r="AX180" s="4">
        <v>1</v>
      </c>
      <c r="AY180">
        <f t="shared" si="49"/>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54"/>
        <v>143750</v>
      </c>
      <c r="BE180" s="15">
        <f t="shared" si="55"/>
        <v>11375</v>
      </c>
      <c r="BN180">
        <v>7</v>
      </c>
      <c r="BR180" t="str">
        <f>VLOOKUP(G180,Eras!$A$2:$C$10, 2, TRUE)</f>
        <v>lbr</v>
      </c>
      <c r="BS180" t="s">
        <v>378</v>
      </c>
      <c r="BT180" t="str">
        <f t="shared" si="56"/>
        <v>lbr_Express (Electric)</v>
      </c>
      <c r="BU180" t="str">
        <f t="shared" si="50"/>
        <v/>
      </c>
      <c r="BV180" t="str">
        <f t="shared" si="42"/>
        <v>electric_ELRL</v>
      </c>
      <c r="BW180" t="str">
        <f>VLOOKUP($BV180, Constants!$M:$N, 2, FALSE)</f>
        <v>{BLACK}Powered by: {GOLD}25kV AC</v>
      </c>
      <c r="BX180" t="str">
        <f t="shared" si="43"/>
        <v/>
      </c>
      <c r="BY180" t="s">
        <v>620</v>
      </c>
      <c r="BZ180" t="str">
        <f t="shared" si="57"/>
        <v/>
      </c>
      <c r="CA180" t="str">
        <f t="shared" si="44"/>
        <v>{BLACK}Powered by: {GOLD}25kV AC {}{SILVER}The Class 91 is a high speed electric locomotive, designed for Intercity 225 services.</v>
      </c>
    </row>
    <row r="181" spans="1:79" x14ac:dyDescent="0.25">
      <c r="A181" t="s">
        <v>622</v>
      </c>
      <c r="B181" t="s">
        <v>624</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Q181">
        <v>27</v>
      </c>
      <c r="AR181" t="str">
        <f t="shared" si="45"/>
        <v/>
      </c>
      <c r="AS181">
        <v>-35</v>
      </c>
      <c r="AT181">
        <v>-60</v>
      </c>
      <c r="AU181">
        <f t="shared" si="46"/>
        <v>28</v>
      </c>
      <c r="AV181">
        <f t="shared" si="47"/>
        <v>0.5</v>
      </c>
      <c r="AW181">
        <f t="shared" si="48"/>
        <v>0.25</v>
      </c>
      <c r="AX181" s="4">
        <v>1</v>
      </c>
      <c r="AY181">
        <f t="shared" si="49"/>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54"/>
        <v>28125</v>
      </c>
      <c r="BE181" s="15">
        <f t="shared" si="55"/>
        <v>3331.25</v>
      </c>
      <c r="BF181">
        <v>1</v>
      </c>
      <c r="BI181">
        <v>1</v>
      </c>
      <c r="BN181">
        <v>7</v>
      </c>
      <c r="BR181" t="str">
        <f>VLOOKUP(G181,Eras!$A$2:$C$10, 2, TRUE)</f>
        <v>lbr</v>
      </c>
      <c r="BS181" t="s">
        <v>378</v>
      </c>
      <c r="BT181" t="str">
        <f t="shared" si="56"/>
        <v>lbr_Express (Electric)</v>
      </c>
      <c r="BU181" t="str">
        <f t="shared" si="50"/>
        <v/>
      </c>
      <c r="BV181" t="str">
        <f t="shared" si="42"/>
        <v>electric_ELRL</v>
      </c>
      <c r="BW181" t="str">
        <f>VLOOKUP($BV181, Constants!$M:$N, 2, FALSE)</f>
        <v>{BLACK}Powered by: {GOLD}25kV AC</v>
      </c>
      <c r="BX181" t="str">
        <f t="shared" si="43"/>
        <v/>
      </c>
      <c r="BY181" t="s">
        <v>623</v>
      </c>
      <c r="BZ181" t="str">
        <f t="shared" si="57"/>
        <v/>
      </c>
      <c r="CA181" t="str">
        <f t="shared" si="44"/>
        <v>{BLACK}Powered by: {GOLD}25kV AC {}{SILVER}This driving van trailer can be used with other electric locomotives, either as a leading or trailing vehicle. It is recommended for use with the Class 91.</v>
      </c>
    </row>
    <row r="182" spans="1:79" x14ac:dyDescent="0.25">
      <c r="A182" t="s">
        <v>664</v>
      </c>
      <c r="B182" t="s">
        <v>628</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Q182">
        <v>30</v>
      </c>
      <c r="AR182" t="str">
        <f t="shared" si="45"/>
        <v/>
      </c>
      <c r="AU182">
        <f t="shared" si="46"/>
        <v>12</v>
      </c>
      <c r="AV182">
        <f t="shared" si="47"/>
        <v>15.5</v>
      </c>
      <c r="AW182">
        <f t="shared" si="48"/>
        <v>20</v>
      </c>
      <c r="AX182" s="4">
        <v>1</v>
      </c>
      <c r="AY182">
        <f t="shared" si="49"/>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54"/>
        <v>103125</v>
      </c>
      <c r="BE182" s="15">
        <f t="shared" si="55"/>
        <v>11537.5</v>
      </c>
      <c r="BN182">
        <v>9</v>
      </c>
      <c r="BR182" t="str">
        <f>VLOOKUP(G182,Eras!$A$2:$C$10, 2, TRUE)</f>
        <v>lbr</v>
      </c>
      <c r="BS182" t="s">
        <v>369</v>
      </c>
      <c r="BT182" t="str">
        <f t="shared" si="56"/>
        <v>lbr_Freight</v>
      </c>
      <c r="BU182" t="str">
        <f t="shared" si="50"/>
        <v/>
      </c>
      <c r="BV182" t="str">
        <f t="shared" si="42"/>
        <v>diesel_RAIL</v>
      </c>
      <c r="BW182" t="str">
        <f>VLOOKUP($BV182, Constants!$M:$N, 2, FALSE)</f>
        <v>{BLACK}Powered by: {GOLD}Diesel</v>
      </c>
      <c r="BX182" t="str">
        <f t="shared" si="43"/>
        <v/>
      </c>
      <c r="BY182" t="s">
        <v>665</v>
      </c>
      <c r="BZ182" t="str">
        <f t="shared" si="57"/>
        <v/>
      </c>
      <c r="CA182" t="str">
        <f t="shared" si="44"/>
        <v>{BLACK}Powered by: {GOLD}Diesel {}{SILVER}The Brush Class 60 is a Type 5 diesel, designed for high power and tractive effort to haul heavy freight trains.</v>
      </c>
    </row>
    <row r="183" spans="1:79" x14ac:dyDescent="0.25">
      <c r="A183" t="s">
        <v>649</v>
      </c>
      <c r="B183" t="s">
        <v>207</v>
      </c>
      <c r="C183">
        <v>356</v>
      </c>
      <c r="D183" t="s">
        <v>302</v>
      </c>
      <c r="E183" t="s">
        <v>604</v>
      </c>
      <c r="F183" t="s">
        <v>603</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L183" t="s">
        <v>207</v>
      </c>
      <c r="AQ183">
        <v>24</v>
      </c>
      <c r="AR183" t="str">
        <f t="shared" si="45"/>
        <v/>
      </c>
      <c r="AU183">
        <f t="shared" si="46"/>
        <v>17.399999999999999</v>
      </c>
      <c r="AV183">
        <f t="shared" si="47"/>
        <v>20</v>
      </c>
      <c r="AW183">
        <f t="shared" si="48"/>
        <v>18</v>
      </c>
      <c r="AX183" s="4">
        <v>1</v>
      </c>
      <c r="AY183">
        <f t="shared" si="49"/>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54"/>
        <v>144531.25</v>
      </c>
      <c r="BE183" s="15">
        <f t="shared" si="55"/>
        <v>10968.75</v>
      </c>
      <c r="BN183">
        <v>10</v>
      </c>
      <c r="BR183" t="str">
        <f>VLOOKUP(G183,Eras!$A$2:$C$10, 2, TRUE)</f>
        <v>lbr</v>
      </c>
      <c r="BS183" t="s">
        <v>369</v>
      </c>
      <c r="BT183" t="str">
        <f t="shared" si="56"/>
        <v>lbr_Freight</v>
      </c>
      <c r="BU183" t="str">
        <f t="shared" si="50"/>
        <v/>
      </c>
      <c r="BV183" t="str">
        <f t="shared" si="42"/>
        <v>dual_electric_DUAL_POWER</v>
      </c>
      <c r="BW183" t="str">
        <f>VLOOKUP($BV183, Constants!$M:$N, 2, FALSE)</f>
        <v>{BLACK}Powered by: {GOLD}25kV AC / 750V DC</v>
      </c>
      <c r="BX183" t="str">
        <f t="shared" si="43"/>
        <v/>
      </c>
      <c r="BY183" t="s">
        <v>633</v>
      </c>
      <c r="BZ183" t="str">
        <f t="shared" si="57"/>
        <v/>
      </c>
      <c r="CA183" t="str">
        <f t="shared" si="44"/>
        <v>{BLACK}Powered by: {GOLD}25kV AC / 750V DC {}{SILVER}The Class 92 was designed to operate services through the Channel Tunnel. It can run on both the Southern Region third rail system and overhead wires.</v>
      </c>
    </row>
    <row r="184" spans="1:79"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Q184">
        <v>30</v>
      </c>
      <c r="AR184" t="str">
        <f t="shared" si="45"/>
        <v/>
      </c>
      <c r="AU184">
        <f t="shared" si="46"/>
        <v>15</v>
      </c>
      <c r="AV184">
        <f t="shared" si="47"/>
        <v>16.5</v>
      </c>
      <c r="AW184">
        <f t="shared" si="48"/>
        <v>13</v>
      </c>
      <c r="AX184" s="4">
        <v>1</v>
      </c>
      <c r="AY184">
        <f t="shared" si="49"/>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54"/>
        <v>96875</v>
      </c>
      <c r="BE184" s="15">
        <f t="shared" si="55"/>
        <v>10887.5</v>
      </c>
      <c r="BN184">
        <v>11</v>
      </c>
      <c r="BR184" t="str">
        <f>VLOOKUP(G184,Eras!$A$2:$C$10, 2, TRUE)</f>
        <v>prv</v>
      </c>
      <c r="BS184" t="s">
        <v>369</v>
      </c>
      <c r="BT184" t="str">
        <f t="shared" si="56"/>
        <v>prv_Freight</v>
      </c>
      <c r="BU184" t="str">
        <f t="shared" si="50"/>
        <v/>
      </c>
      <c r="BV184" t="str">
        <f t="shared" si="42"/>
        <v>diesel_RAIL</v>
      </c>
      <c r="BW184" t="str">
        <f>VLOOKUP($BV184, Constants!$M:$N, 2, FALSE)</f>
        <v>{BLACK}Powered by: {GOLD}Diesel</v>
      </c>
      <c r="BX184" t="str">
        <f t="shared" si="43"/>
        <v/>
      </c>
      <c r="BY184" t="s">
        <v>613</v>
      </c>
      <c r="BZ184" t="str">
        <f t="shared" si="57"/>
        <v/>
      </c>
      <c r="CA184" t="str">
        <f t="shared" si="44"/>
        <v>{BLACK}Powered by: {GOLD}Diesel {}{SILVER}After the successful introduction of the Class 59, EWS approached GM's Electro-Motive diesel with a huge order of 250 locomotives which would become Class 66.</v>
      </c>
    </row>
    <row r="185" spans="1:79"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Q185">
        <v>30</v>
      </c>
      <c r="AR185" t="str">
        <f t="shared" si="45"/>
        <v/>
      </c>
      <c r="AU185">
        <f t="shared" si="46"/>
        <v>19</v>
      </c>
      <c r="AV185">
        <f t="shared" si="47"/>
        <v>15</v>
      </c>
      <c r="AW185">
        <f t="shared" si="48"/>
        <v>12.5</v>
      </c>
      <c r="AX185" s="4">
        <v>1</v>
      </c>
      <c r="AY185">
        <f t="shared" si="49"/>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54"/>
        <v>100781.25</v>
      </c>
      <c r="BE185" s="15">
        <f t="shared" si="55"/>
        <v>11375</v>
      </c>
      <c r="BN185">
        <v>12</v>
      </c>
      <c r="BR185" t="str">
        <f>VLOOKUP(G185,Eras!$A$2:$C$10, 2, TRUE)</f>
        <v>prv</v>
      </c>
      <c r="BS185" t="s">
        <v>369</v>
      </c>
      <c r="BT185" t="str">
        <f t="shared" si="56"/>
        <v>prv_Freight</v>
      </c>
      <c r="BU185" t="str">
        <f t="shared" si="50"/>
        <v/>
      </c>
      <c r="BV185" t="str">
        <f t="shared" si="42"/>
        <v>diesel_RAIL</v>
      </c>
      <c r="BW185" t="str">
        <f>VLOOKUP($BV185, Constants!$M:$N, 2, FALSE)</f>
        <v>{BLACK}Powered by: {GOLD}Diesel</v>
      </c>
      <c r="BX185" t="str">
        <f t="shared" si="43"/>
        <v/>
      </c>
      <c r="BY185" t="s">
        <v>614</v>
      </c>
      <c r="BZ185" t="str">
        <f t="shared" si="57"/>
        <v/>
      </c>
      <c r="CA185" t="str">
        <f t="shared" si="44"/>
        <v>{BLACK}Powered by: {GOLD}Diesel {}{SILVER}The Class 57 is a re-engineered locomotive using Class 47 bodyshells and parts, giving rise to its "Bodysnatcher" nickname.</v>
      </c>
    </row>
    <row r="186" spans="1:79" x14ac:dyDescent="0.25">
      <c r="A186" t="s">
        <v>648</v>
      </c>
      <c r="B186" t="s">
        <v>632</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Q186">
        <v>30</v>
      </c>
      <c r="AR186" t="str">
        <f t="shared" si="45"/>
        <v/>
      </c>
      <c r="AU186">
        <f t="shared" si="46"/>
        <v>25</v>
      </c>
      <c r="AV186">
        <f t="shared" si="47"/>
        <v>16</v>
      </c>
      <c r="AW186">
        <f t="shared" si="48"/>
        <v>7.1999999999999993</v>
      </c>
      <c r="AX186" s="4">
        <v>1</v>
      </c>
      <c r="AY186">
        <f t="shared" si="49"/>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54"/>
        <v>104687.5</v>
      </c>
      <c r="BE186" s="15">
        <f t="shared" si="55"/>
        <v>11700</v>
      </c>
      <c r="BN186">
        <v>1</v>
      </c>
      <c r="BR186" t="str">
        <f>VLOOKUP(G186,Eras!$A$2:$C$10, 2, TRUE)</f>
        <v>prv</v>
      </c>
      <c r="BS186" t="s">
        <v>369</v>
      </c>
      <c r="BT186" t="str">
        <f t="shared" si="56"/>
        <v>prv_Freight</v>
      </c>
      <c r="BU186" t="str">
        <f t="shared" si="50"/>
        <v/>
      </c>
      <c r="BV186" t="str">
        <f t="shared" si="42"/>
        <v>diesel_RAIL</v>
      </c>
      <c r="BW186" t="str">
        <f>VLOOKUP($BV186, Constants!$M:$N, 2, FALSE)</f>
        <v>{BLACK}Powered by: {GOLD}Diesel</v>
      </c>
      <c r="BX186" t="str">
        <f t="shared" si="43"/>
        <v/>
      </c>
      <c r="BY186" t="s">
        <v>631</v>
      </c>
      <c r="BZ186" t="str">
        <f t="shared" si="57"/>
        <v/>
      </c>
      <c r="CA186" t="str">
        <f t="shared" si="44"/>
        <v>{BLACK}Powered by: {GOLD}Diesel {}{SILVER}The Class 67 is a high speed freight locomotive designed for mail service. It uses EMD engines, generators and traction motors.</v>
      </c>
    </row>
    <row r="187" spans="1:79"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Q187">
        <v>30</v>
      </c>
      <c r="AR187" t="str">
        <f t="shared" si="45"/>
        <v/>
      </c>
      <c r="AU187">
        <f t="shared" si="46"/>
        <v>15</v>
      </c>
      <c r="AV187">
        <f t="shared" si="47"/>
        <v>18.45</v>
      </c>
      <c r="AW187">
        <f t="shared" si="48"/>
        <v>16.5</v>
      </c>
      <c r="AX187" s="4">
        <v>1</v>
      </c>
      <c r="AY187">
        <f t="shared" si="49"/>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54"/>
        <v>108593.75</v>
      </c>
      <c r="BE187" s="15">
        <f t="shared" si="55"/>
        <v>12106.25</v>
      </c>
      <c r="BN187">
        <v>2</v>
      </c>
      <c r="BR187" t="str">
        <f>VLOOKUP(G187,Eras!$A$2:$C$10, 2, TRUE)</f>
        <v>mod</v>
      </c>
      <c r="BS187" t="s">
        <v>369</v>
      </c>
      <c r="BT187" t="str">
        <f t="shared" si="56"/>
        <v>mod_Freight</v>
      </c>
      <c r="BU187" t="str">
        <f t="shared" si="50"/>
        <v/>
      </c>
      <c r="BV187" t="str">
        <f t="shared" si="42"/>
        <v>diesel_RAIL</v>
      </c>
      <c r="BW187" t="str">
        <f>VLOOKUP($BV187, Constants!$M:$N, 2, FALSE)</f>
        <v>{BLACK}Powered by: {GOLD}Diesel</v>
      </c>
      <c r="BX187" t="str">
        <f t="shared" si="43"/>
        <v/>
      </c>
      <c r="BY187" t="s">
        <v>645</v>
      </c>
      <c r="BZ187" t="str">
        <f t="shared" si="57"/>
        <v/>
      </c>
      <c r="CA187" t="str">
        <f t="shared" si="44"/>
        <v>{BLACK}Powered by: {GOLD}Diesel {}{SILVER}The General Electric Class 70 is designed with crash safety in mind, hence the bonnet-like structure at each end.</v>
      </c>
    </row>
    <row r="188" spans="1:79" x14ac:dyDescent="0.25">
      <c r="A188" t="s">
        <v>647</v>
      </c>
      <c r="B188" t="s">
        <v>646</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Q188">
        <v>30</v>
      </c>
      <c r="AR188" t="str">
        <f t="shared" si="45"/>
        <v/>
      </c>
      <c r="AU188">
        <f t="shared" si="46"/>
        <v>20</v>
      </c>
      <c r="AV188">
        <f t="shared" si="47"/>
        <v>19</v>
      </c>
      <c r="AW188">
        <f t="shared" si="48"/>
        <v>15.85</v>
      </c>
      <c r="AX188" s="4">
        <v>1</v>
      </c>
      <c r="AY188">
        <f t="shared" si="49"/>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54"/>
        <v>118750</v>
      </c>
      <c r="BE188" s="15">
        <f t="shared" si="55"/>
        <v>13243.75</v>
      </c>
      <c r="BN188">
        <v>3</v>
      </c>
      <c r="BR188" t="str">
        <f>VLOOKUP(G188,Eras!$A$2:$C$10, 2, TRUE)</f>
        <v>mod</v>
      </c>
      <c r="BS188" t="s">
        <v>367</v>
      </c>
      <c r="BT188" t="str">
        <f t="shared" si="56"/>
        <v>mod_Mixed Traffic</v>
      </c>
      <c r="BU188" t="str">
        <f t="shared" si="50"/>
        <v/>
      </c>
      <c r="BV188" t="str">
        <f t="shared" si="42"/>
        <v>diesel_RAIL</v>
      </c>
      <c r="BW188" t="str">
        <f>VLOOKUP($BV188, Constants!$M:$N, 2, FALSE)</f>
        <v>{BLACK}Powered by: {GOLD}Diesel</v>
      </c>
      <c r="BX188" t="str">
        <f t="shared" si="43"/>
        <v/>
      </c>
      <c r="BY188" t="s">
        <v>650</v>
      </c>
      <c r="BZ188" t="str">
        <f t="shared" si="57"/>
        <v/>
      </c>
      <c r="CA188" t="str">
        <f t="shared" si="44"/>
        <v>{BLACK}Powered by: {GOLD}Diesel {}{SILVER}The Class 68 is a modern mixed traffic disel locomotive with a powerful 16-cylinder Caterpillar engine.</v>
      </c>
    </row>
    <row r="189" spans="1:79" x14ac:dyDescent="0.25">
      <c r="A189" t="s">
        <v>64</v>
      </c>
      <c r="B189" t="s">
        <v>210</v>
      </c>
      <c r="C189">
        <v>368</v>
      </c>
      <c r="D189" t="s">
        <v>168</v>
      </c>
      <c r="E189" t="s">
        <v>593</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Q189">
        <v>30</v>
      </c>
      <c r="AR189" t="str">
        <f t="shared" si="45"/>
        <v/>
      </c>
      <c r="AU189">
        <f t="shared" si="46"/>
        <v>20</v>
      </c>
      <c r="AV189">
        <f t="shared" si="47"/>
        <v>20</v>
      </c>
      <c r="AW189">
        <f t="shared" si="48"/>
        <v>15.85</v>
      </c>
      <c r="AX189" s="4">
        <v>1</v>
      </c>
      <c r="AY189">
        <f t="shared" si="49"/>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54"/>
        <v>152343.75</v>
      </c>
      <c r="BE189" s="15">
        <f t="shared" si="55"/>
        <v>11862.5</v>
      </c>
      <c r="BN189">
        <v>4</v>
      </c>
      <c r="BR189" t="str">
        <f>VLOOKUP(G189,Eras!$A$2:$C$10, 2, TRUE)</f>
        <v>mod</v>
      </c>
      <c r="BS189" t="s">
        <v>379</v>
      </c>
      <c r="BT189" t="str">
        <f t="shared" si="56"/>
        <v>mod_Freight (Electric)</v>
      </c>
      <c r="BU189" t="str">
        <f t="shared" si="50"/>
        <v/>
      </c>
      <c r="BV189" t="str">
        <f t="shared" si="42"/>
        <v>dual_power_RAIL</v>
      </c>
      <c r="BW189" t="str">
        <f>VLOOKUP($BV189, Constants!$M:$N, 2, FALSE)</f>
        <v>{BLACK}Powered by: {GOLD}750V DC / Diesel</v>
      </c>
      <c r="BX189" t="str">
        <f t="shared" si="43"/>
        <v/>
      </c>
      <c r="BZ189" t="str">
        <f t="shared" si="57"/>
        <v/>
      </c>
      <c r="CA189" t="str">
        <f t="shared" si="44"/>
        <v>{BLACK}Powered by: {GOLD}750V DC / Diesel {}{SILVER}</v>
      </c>
    </row>
    <row r="190" spans="1:79" x14ac:dyDescent="0.25">
      <c r="A190" t="s">
        <v>150</v>
      </c>
      <c r="B190" t="s">
        <v>182</v>
      </c>
      <c r="C190">
        <v>420</v>
      </c>
      <c r="D190" t="s">
        <v>452</v>
      </c>
      <c r="E190" t="s">
        <v>1300</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K190" t="s">
        <v>182</v>
      </c>
      <c r="AM190">
        <v>1</v>
      </c>
      <c r="AQ190">
        <v>17</v>
      </c>
      <c r="AR190">
        <f t="shared" si="45"/>
        <v>33</v>
      </c>
      <c r="AS190">
        <v>-15</v>
      </c>
      <c r="AT190">
        <v>-10</v>
      </c>
      <c r="AU190">
        <f t="shared" si="46"/>
        <v>8</v>
      </c>
      <c r="AV190">
        <f t="shared" si="47"/>
        <v>0.42500000000000004</v>
      </c>
      <c r="AW190">
        <f t="shared" si="48"/>
        <v>2.25</v>
      </c>
      <c r="AX190" s="4">
        <v>1</v>
      </c>
      <c r="AY190">
        <f t="shared" si="49"/>
        <v>1.6</v>
      </c>
      <c r="AZ190">
        <f>VLOOKUP($E190,Constants!$I:$K, 2, FALSE)</f>
        <v>1.05</v>
      </c>
      <c r="BA190">
        <f>VLOOKUP($E190,Constants!$I:$K, 3, FALSE)*IF(AND(D190="multiple_unit",Y190&lt;110),0.75,1)</f>
        <v>1.4249999999999998</v>
      </c>
      <c r="BB190">
        <f>INT(POWER(((Constants!$G$2+$AU190+$AV190+$AW190+$AY190)*$AX190)*$BA190, 1.05))+$AT190</f>
        <v>18</v>
      </c>
      <c r="BC190">
        <f>INT(POWER((((Constants!$G$1+$AU190+$AV190+$AW190+$AY190)*(1/$AX190))*$AZ190),IF($D190="wagon",1,1.2)))+$AS190</f>
        <v>41</v>
      </c>
      <c r="BD190" s="15">
        <f t="shared" si="54"/>
        <v>14062.5</v>
      </c>
      <c r="BE190" s="15">
        <f t="shared" si="55"/>
        <v>3331.25</v>
      </c>
      <c r="BK190" t="s">
        <v>235</v>
      </c>
      <c r="BN190">
        <v>5</v>
      </c>
      <c r="BO190">
        <v>185</v>
      </c>
      <c r="BQ190" t="s">
        <v>323</v>
      </c>
      <c r="BR190" t="str">
        <f>VLOOKUP(G190,Eras!$A$2:$C$10, 2, TRUE)</f>
        <v>edw</v>
      </c>
      <c r="BS190" t="s">
        <v>370</v>
      </c>
      <c r="BT190" t="str">
        <f t="shared" si="56"/>
        <v>edw_DMU (Cheap)</v>
      </c>
      <c r="BU190" t="str">
        <f t="shared" si="50"/>
        <v/>
      </c>
      <c r="BV190" t="str">
        <f t="shared" si="42"/>
        <v>petrol_RAIL</v>
      </c>
      <c r="BW190" t="str">
        <f>VLOOKUP($BV190, Constants!$M:$N, 2, FALSE)</f>
        <v>{BLACK}Powered by: {GOLD}Petrol</v>
      </c>
      <c r="BX190" t="str">
        <f t="shared" si="43"/>
        <v/>
      </c>
      <c r="BY190" t="s">
        <v>389</v>
      </c>
      <c r="BZ190" t="str">
        <f t="shared" si="57"/>
        <v/>
      </c>
      <c r="CA190" t="str">
        <f t="shared" si="44"/>
        <v>{BLACK}Powered by: {GOLD}Petrol {}{SILVER}The NER Autocar is a petrol-electric railcar with a petrol engine driving two electric motors. It was the first use of an internal combustion engine in a railway vehicle.</v>
      </c>
    </row>
    <row r="191" spans="1:79" x14ac:dyDescent="0.25">
      <c r="A191" t="s">
        <v>440</v>
      </c>
      <c r="B191" t="s">
        <v>442</v>
      </c>
      <c r="C191">
        <v>422</v>
      </c>
      <c r="D191" t="s">
        <v>452</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K191" t="s">
        <v>453</v>
      </c>
      <c r="AM191" t="s">
        <v>451</v>
      </c>
      <c r="AQ191">
        <v>25</v>
      </c>
      <c r="AR191">
        <f t="shared" si="45"/>
        <v>42</v>
      </c>
      <c r="AS191">
        <v>-10</v>
      </c>
      <c r="AT191">
        <v>-15</v>
      </c>
      <c r="AU191">
        <f t="shared" si="46"/>
        <v>12</v>
      </c>
      <c r="AV191">
        <f t="shared" si="47"/>
        <v>5</v>
      </c>
      <c r="AW191">
        <f t="shared" si="48"/>
        <v>5.6000000000000005</v>
      </c>
      <c r="AX191" s="4">
        <v>1</v>
      </c>
      <c r="AY191">
        <f t="shared" si="49"/>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54"/>
        <v>40625</v>
      </c>
      <c r="BE191" s="15">
        <f t="shared" si="55"/>
        <v>5118.75</v>
      </c>
      <c r="BN191">
        <v>6</v>
      </c>
      <c r="BO191">
        <v>185</v>
      </c>
      <c r="BQ191" t="s">
        <v>323</v>
      </c>
      <c r="BR191" t="str">
        <f>VLOOKUP(G191,Eras!$A$2:$C$10, 2, TRUE)</f>
        <v>edw</v>
      </c>
      <c r="BS191" t="s">
        <v>373</v>
      </c>
      <c r="BT191" t="str">
        <f t="shared" si="56"/>
        <v>edw_EMU</v>
      </c>
      <c r="BU191" t="str">
        <f t="shared" si="50"/>
        <v/>
      </c>
      <c r="BV191" t="str">
        <f t="shared" si="42"/>
        <v>electric_THIRD_RAIL</v>
      </c>
      <c r="BW191" t="str">
        <f>VLOOKUP($BV191, Constants!$M:$N, 2, FALSE)</f>
        <v>{BLACK}Powered by: {GOLD}750V DC</v>
      </c>
      <c r="BX191" t="str">
        <f t="shared" si="43"/>
        <v>{BLACK}Cars: {GOLD}3</v>
      </c>
      <c r="BY191" t="s">
        <v>441</v>
      </c>
      <c r="BZ191" t="str">
        <f t="shared" si="57"/>
        <v/>
      </c>
      <c r="CA191" t="str">
        <f t="shared" si="44"/>
        <v>{BLACK}Powered by: {GOLD}750V DC {BLACK}Cars: {GOLD}3{}{SILVER}The LNWR built electric multiple units for its inner suburban London routes, sharing track with the Bakerloo and District lines.</v>
      </c>
    </row>
    <row r="192" spans="1:79" x14ac:dyDescent="0.25">
      <c r="A192" t="s">
        <v>78</v>
      </c>
      <c r="B192" t="s">
        <v>269</v>
      </c>
      <c r="C192">
        <v>424</v>
      </c>
      <c r="D192" t="s">
        <v>452</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K192" t="s">
        <v>494</v>
      </c>
      <c r="AM192" t="s">
        <v>497</v>
      </c>
      <c r="AQ192">
        <v>28</v>
      </c>
      <c r="AR192">
        <f t="shared" si="45"/>
        <v>36</v>
      </c>
      <c r="AS192">
        <v>-10</v>
      </c>
      <c r="AT192">
        <v>-10</v>
      </c>
      <c r="AU192">
        <f t="shared" si="46"/>
        <v>15</v>
      </c>
      <c r="AV192">
        <f t="shared" si="47"/>
        <v>9</v>
      </c>
      <c r="AW192">
        <f t="shared" si="48"/>
        <v>7.25</v>
      </c>
      <c r="AX192" s="4">
        <v>1</v>
      </c>
      <c r="AY192">
        <f t="shared" si="49"/>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54"/>
        <v>61718.75</v>
      </c>
      <c r="BE192" s="15">
        <f t="shared" si="55"/>
        <v>6743.75</v>
      </c>
      <c r="BN192">
        <v>7</v>
      </c>
      <c r="BO192">
        <v>260</v>
      </c>
      <c r="BQ192" t="s">
        <v>323</v>
      </c>
      <c r="BR192" t="str">
        <f>VLOOKUP(G192,Eras!$A$2:$C$10, 2, TRUE)</f>
        <v>big4</v>
      </c>
      <c r="BS192" t="s">
        <v>374</v>
      </c>
      <c r="BT192" t="str">
        <f t="shared" si="56"/>
        <v>big4_EMU (Express)</v>
      </c>
      <c r="BU192" t="str">
        <f t="shared" si="50"/>
        <v/>
      </c>
      <c r="BV192" t="str">
        <f t="shared" si="42"/>
        <v>electric_THIRD_RAIL</v>
      </c>
      <c r="BW192" t="str">
        <f>VLOOKUP($BV192, Constants!$M:$N, 2, FALSE)</f>
        <v>{BLACK}Powered by: {GOLD}750V DC</v>
      </c>
      <c r="BX192" t="str">
        <f t="shared" si="43"/>
        <v>{BLACK}Cars: {GOLD}5</v>
      </c>
      <c r="BY192" t="s">
        <v>493</v>
      </c>
      <c r="BZ192" t="str">
        <f t="shared" si="57"/>
        <v>{YELLOW}40% Bonus for long distance travel{}</v>
      </c>
      <c r="CA192" t="str">
        <f t="shared" si="44"/>
        <v>{BLACK}Powered by: {GOLD}750V DC {BLACK}Cars: {GOLD}5{}{YELLOW}40% Bonus for long distance travel{}{SILVER}The Southern Railway's "Brighton Belle" used Pullman coaches and remained in use well into the BR era.</v>
      </c>
    </row>
    <row r="193" spans="1:79"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K193" t="s">
        <v>513</v>
      </c>
      <c r="AM193" t="s">
        <v>514</v>
      </c>
      <c r="AQ193">
        <v>36</v>
      </c>
      <c r="AR193">
        <f t="shared" si="45"/>
        <v>31</v>
      </c>
      <c r="AS193">
        <v>-10</v>
      </c>
      <c r="AT193">
        <v>-15</v>
      </c>
      <c r="AU193">
        <f t="shared" si="46"/>
        <v>15</v>
      </c>
      <c r="AV193">
        <f t="shared" si="47"/>
        <v>4.5</v>
      </c>
      <c r="AW193">
        <f t="shared" si="48"/>
        <v>6</v>
      </c>
      <c r="AX193" s="4">
        <v>1</v>
      </c>
      <c r="AY193">
        <f t="shared" si="49"/>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54"/>
        <v>51562.5</v>
      </c>
      <c r="BE193" s="15">
        <f t="shared" si="55"/>
        <v>6093.75</v>
      </c>
      <c r="BN193">
        <v>8</v>
      </c>
      <c r="BO193">
        <v>185</v>
      </c>
      <c r="BQ193" t="s">
        <v>323</v>
      </c>
      <c r="BR193" t="str">
        <f>VLOOKUP(G193,Eras!$A$2:$C$10, 2, TRUE)</f>
        <v>big4</v>
      </c>
      <c r="BS193" t="s">
        <v>373</v>
      </c>
      <c r="BT193" t="str">
        <f t="shared" si="56"/>
        <v>big4_EMU</v>
      </c>
      <c r="BU193" t="str">
        <f t="shared" si="50"/>
        <v/>
      </c>
      <c r="BV193" t="str">
        <f t="shared" si="42"/>
        <v>electric_THIRD_RAIL</v>
      </c>
      <c r="BW193" t="str">
        <f>VLOOKUP($BV193, Constants!$M:$N, 2, FALSE)</f>
        <v>{BLACK}Powered by: {GOLD}750V DC</v>
      </c>
      <c r="BX193" t="str">
        <f t="shared" si="43"/>
        <v>{BLACK}Cars: {GOLD}4</v>
      </c>
      <c r="BY193" t="s">
        <v>511</v>
      </c>
      <c r="BZ193" t="str">
        <f t="shared" si="57"/>
        <v/>
      </c>
      <c r="CA193" t="str">
        <f t="shared" si="44"/>
        <v>{BLACK}Powered by: {GOLD}750V DC {BLACK}Cars: {GOLD}4{}{SILVER}The Southern Railway was an early pioneer of electrification, with 4-COR units used between London Waterloo and Portsmouth.</v>
      </c>
    </row>
    <row r="194" spans="1:79"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K194" t="s">
        <v>515</v>
      </c>
      <c r="AM194" t="s">
        <v>516</v>
      </c>
      <c r="AQ194">
        <v>36</v>
      </c>
      <c r="AR194">
        <f t="shared" si="45"/>
        <v>29</v>
      </c>
      <c r="AS194">
        <v>-10</v>
      </c>
      <c r="AT194">
        <v>-15</v>
      </c>
      <c r="AU194">
        <f t="shared" si="46"/>
        <v>15</v>
      </c>
      <c r="AV194">
        <f t="shared" si="47"/>
        <v>2.75</v>
      </c>
      <c r="AW194">
        <f t="shared" si="48"/>
        <v>6</v>
      </c>
      <c r="AX194" s="4">
        <v>1</v>
      </c>
      <c r="AY194">
        <f t="shared" si="49"/>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54"/>
        <v>42187.5</v>
      </c>
      <c r="BE194" s="15">
        <f t="shared" si="55"/>
        <v>5200</v>
      </c>
      <c r="BN194">
        <v>9</v>
      </c>
      <c r="BO194">
        <v>185</v>
      </c>
      <c r="BQ194" t="s">
        <v>323</v>
      </c>
      <c r="BR194" t="str">
        <f>VLOOKUP(G194,Eras!$A$2:$C$10, 2, TRUE)</f>
        <v>big4</v>
      </c>
      <c r="BS194" t="s">
        <v>373</v>
      </c>
      <c r="BT194" t="str">
        <f t="shared" si="56"/>
        <v>big4_EMU</v>
      </c>
      <c r="BU194" t="str">
        <f t="shared" si="50"/>
        <v/>
      </c>
      <c r="BV194" t="str">
        <f t="shared" si="42"/>
        <v>electric_THIRD_RAIL</v>
      </c>
      <c r="BW194" t="str">
        <f>VLOOKUP($BV194, Constants!$M:$N, 2, FALSE)</f>
        <v>{BLACK}Powered by: {GOLD}750V DC</v>
      </c>
      <c r="BX194" t="str">
        <f t="shared" si="43"/>
        <v>{BLACK}Cars: {GOLD}2</v>
      </c>
      <c r="BY194" t="s">
        <v>512</v>
      </c>
      <c r="BZ194" t="str">
        <f t="shared" si="57"/>
        <v/>
      </c>
      <c r="CA194" t="str">
        <f t="shared" si="44"/>
        <v>{BLACK}Powered by: {GOLD}750V DC {BLACK}Cars: {GOLD}2{}{SILVER}The 2-HAL (named for 2 units, Half Lavatory) is designed for suburban commuter services.</v>
      </c>
    </row>
    <row r="195" spans="1:79"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K195" t="s">
        <v>666</v>
      </c>
      <c r="AM195" t="s">
        <v>332</v>
      </c>
      <c r="AQ195">
        <v>35</v>
      </c>
      <c r="AR195">
        <f t="shared" si="45"/>
        <v>26</v>
      </c>
      <c r="AS195">
        <v>-10</v>
      </c>
      <c r="AT195">
        <v>-15</v>
      </c>
      <c r="AU195">
        <f t="shared" si="46"/>
        <v>15</v>
      </c>
      <c r="AV195">
        <f t="shared" si="47"/>
        <v>3.7</v>
      </c>
      <c r="AW195">
        <f t="shared" si="48"/>
        <v>5.5</v>
      </c>
      <c r="AX195" s="4">
        <v>1</v>
      </c>
      <c r="AY195">
        <f t="shared" si="49"/>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54"/>
        <v>45312.5</v>
      </c>
      <c r="BE195" s="15">
        <f t="shared" si="55"/>
        <v>5606.25</v>
      </c>
      <c r="BN195">
        <v>10</v>
      </c>
      <c r="BO195">
        <v>185</v>
      </c>
      <c r="BQ195" t="s">
        <v>323</v>
      </c>
      <c r="BR195" t="str">
        <f>VLOOKUP(G195,Eras!$A$2:$C$10, 2, TRUE)</f>
        <v>ebr</v>
      </c>
      <c r="BS195" t="s">
        <v>373</v>
      </c>
      <c r="BT195" t="str">
        <f t="shared" si="56"/>
        <v>ebr_EMU</v>
      </c>
      <c r="BU195" t="str">
        <f t="shared" si="50"/>
        <v/>
      </c>
      <c r="BV195" t="str">
        <f t="shared" ref="BV195:BV258" si="60">_xlfn.CONCAT(E195, "_",F195)</f>
        <v>electric_ELRL</v>
      </c>
      <c r="BW195" t="str">
        <f>VLOOKUP($BV195, Constants!$M:$N, 2, FALSE)</f>
        <v>{BLACK}Powered by: {GOLD}25kV AC</v>
      </c>
      <c r="BX195" t="str">
        <f t="shared" ref="BX195:BX258" si="61">IF(J195&gt;1,_xlfn.CONCAT("{BLACK}Cars: {GOLD}", J195),"")</f>
        <v>{BLACK}Cars: {GOLD}3</v>
      </c>
      <c r="BY195" t="s">
        <v>667</v>
      </c>
      <c r="BZ195" t="str">
        <f t="shared" si="57"/>
        <v/>
      </c>
      <c r="CA195" t="str">
        <f t="shared" ref="CA195:CA258" si="62">_xlfn.CONCAT(BU195,BW195,IF(BW195 &lt;&gt; "", " ", ""),BX195,IF(OR(BX195&lt;&gt;"", BW195&lt;&gt;""), "{}",""), BZ195,"{SILVER}", BY195)</f>
        <v>{BLACK}Powered by: {GOLD}25kV AC {BLACK}Cars: {GOLD}3{}{SILVER}The Class 506 was built by Metro Cammell and BRCW for the Woodhead Line.</v>
      </c>
    </row>
    <row r="196" spans="1:79"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Q196">
        <v>45</v>
      </c>
      <c r="AR196">
        <f t="shared" ref="AR196:AR259" si="63">IF(I196&lt;&gt;"",MAX(8,(I196-G196)-4),"")</f>
        <v>28</v>
      </c>
      <c r="AS196">
        <v>-10</v>
      </c>
      <c r="AT196">
        <v>-15</v>
      </c>
      <c r="AU196">
        <f t="shared" ref="AU196:AU259" si="64">MIN(Y196/150, 1)*30</f>
        <v>14</v>
      </c>
      <c r="AV196">
        <f t="shared" ref="AV196:AV259" si="65">MIN(K196/4000, 1)*20</f>
        <v>1.5</v>
      </c>
      <c r="AW196">
        <f t="shared" ref="AW196:AW259" si="66">MIN(W196/400,1)*20</f>
        <v>0</v>
      </c>
      <c r="AX196" s="4">
        <v>1</v>
      </c>
      <c r="AY196">
        <f t="shared" ref="AY196:AY259" si="6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54"/>
        <v>26562.5</v>
      </c>
      <c r="BE196" s="15">
        <f t="shared" si="55"/>
        <v>4062.5</v>
      </c>
      <c r="BN196">
        <v>11</v>
      </c>
      <c r="BO196">
        <v>185</v>
      </c>
      <c r="BR196" t="str">
        <f>VLOOKUP(G196,Eras!$A$2:$C$10, 2, TRUE)</f>
        <v>dsl</v>
      </c>
      <c r="BT196" t="str">
        <f t="shared" si="56"/>
        <v>dsl_</v>
      </c>
      <c r="BU196" t="str">
        <f t="shared" si="50"/>
        <v/>
      </c>
      <c r="BV196" t="str">
        <f t="shared" si="60"/>
        <v>diesel_RAIL</v>
      </c>
      <c r="BW196" t="str">
        <f>VLOOKUP($BV196, Constants!$M:$N, 2, FALSE)</f>
        <v>{BLACK}Powered by: {GOLD}Diesel</v>
      </c>
      <c r="BX196" t="str">
        <f t="shared" si="61"/>
        <v/>
      </c>
      <c r="BZ196" t="str">
        <f t="shared" si="57"/>
        <v/>
      </c>
      <c r="CA196" t="str">
        <f t="shared" si="62"/>
        <v>{BLACK}Powered by: {GOLD}Diesel {}{SILVER}</v>
      </c>
    </row>
    <row r="197" spans="1:79" x14ac:dyDescent="0.25">
      <c r="A197" t="s">
        <v>668</v>
      </c>
      <c r="B197" t="s">
        <v>670</v>
      </c>
      <c r="C197">
        <v>434</v>
      </c>
      <c r="D197" t="s">
        <v>452</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K197" t="s">
        <v>671</v>
      </c>
      <c r="AM197" t="s">
        <v>516</v>
      </c>
      <c r="AQ197">
        <v>33</v>
      </c>
      <c r="AR197">
        <f t="shared" si="63"/>
        <v>35</v>
      </c>
      <c r="AS197">
        <v>-10</v>
      </c>
      <c r="AT197">
        <v>-15</v>
      </c>
      <c r="AU197">
        <f t="shared" si="64"/>
        <v>18</v>
      </c>
      <c r="AV197">
        <f t="shared" si="65"/>
        <v>2.5</v>
      </c>
      <c r="AW197">
        <f t="shared" si="66"/>
        <v>4.75</v>
      </c>
      <c r="AX197" s="4">
        <v>1</v>
      </c>
      <c r="AY197">
        <f t="shared" si="6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54"/>
        <v>43750</v>
      </c>
      <c r="BE197" s="15">
        <f t="shared" si="55"/>
        <v>5362.5</v>
      </c>
      <c r="BK197" t="s">
        <v>292</v>
      </c>
      <c r="BN197">
        <v>12</v>
      </c>
      <c r="BO197">
        <v>185</v>
      </c>
      <c r="BQ197" t="s">
        <v>323</v>
      </c>
      <c r="BR197" t="str">
        <f>VLOOKUP(G197,Eras!$A$2:$C$10, 2, TRUE)</f>
        <v>dsl</v>
      </c>
      <c r="BS197" t="s">
        <v>374</v>
      </c>
      <c r="BT197" t="str">
        <f t="shared" si="56"/>
        <v>dsl_EMU (Express)</v>
      </c>
      <c r="BU197" t="str">
        <f t="shared" ref="BU197:BU260" si="68">IF(AND(BG197&lt;&gt;Y197,BG197&lt;&gt;""),_xlfn.CONCAT("{BLACK}","Tare speed: ","{GOLD}{VELOCITY}{}"), "")</f>
        <v/>
      </c>
      <c r="BV197" t="str">
        <f t="shared" si="60"/>
        <v>electric_THIRD_RAIL</v>
      </c>
      <c r="BW197" t="str">
        <f>VLOOKUP($BV197, Constants!$M:$N, 2, FALSE)</f>
        <v>{BLACK}Powered by: {GOLD}750V DC</v>
      </c>
      <c r="BX197" t="str">
        <f t="shared" si="61"/>
        <v>{BLACK}Cars: {GOLD}2</v>
      </c>
      <c r="BY197" t="s">
        <v>672</v>
      </c>
      <c r="BZ197" t="str">
        <f t="shared" si="57"/>
        <v/>
      </c>
      <c r="CA197" t="str">
        <f t="shared" si="62"/>
        <v>{BLACK}Powered by: {GOLD}750V DC {BLACK}Cars: {GOLD}2{}{SILVER}The Class 414 2 HAP (Half Lavatory, electro-Pneumatic brake) is a Southern Region electric multiple unit, geared for express duties.</v>
      </c>
    </row>
    <row r="198" spans="1:79" x14ac:dyDescent="0.25">
      <c r="A198" t="s">
        <v>572</v>
      </c>
      <c r="B198" t="s">
        <v>573</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Q198">
        <v>39</v>
      </c>
      <c r="AR198">
        <f t="shared" si="63"/>
        <v>27</v>
      </c>
      <c r="AS198">
        <v>-10</v>
      </c>
      <c r="AT198">
        <v>-15</v>
      </c>
      <c r="AU198">
        <f t="shared" si="64"/>
        <v>14</v>
      </c>
      <c r="AV198">
        <f t="shared" si="65"/>
        <v>3</v>
      </c>
      <c r="AW198">
        <f t="shared" si="66"/>
        <v>0</v>
      </c>
      <c r="AX198" s="4">
        <v>1</v>
      </c>
      <c r="AY198">
        <f t="shared" si="6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54"/>
        <v>29687.5</v>
      </c>
      <c r="BE198" s="15">
        <f t="shared" si="55"/>
        <v>4387.5</v>
      </c>
      <c r="BN198">
        <v>1</v>
      </c>
      <c r="BO198">
        <v>185</v>
      </c>
      <c r="BR198" t="str">
        <f>VLOOKUP(G198,Eras!$A$2:$C$10, 2, TRUE)</f>
        <v>dsl</v>
      </c>
      <c r="BS198" t="s">
        <v>371</v>
      </c>
      <c r="BT198" t="str">
        <f t="shared" si="56"/>
        <v>dsl_DMU</v>
      </c>
      <c r="BU198" t="str">
        <f t="shared" si="68"/>
        <v/>
      </c>
      <c r="BV198" t="str">
        <f t="shared" si="60"/>
        <v>diesel_RAIL</v>
      </c>
      <c r="BW198" t="str">
        <f>VLOOKUP($BV198, Constants!$M:$N, 2, FALSE)</f>
        <v>{BLACK}Powered by: {GOLD}Diesel</v>
      </c>
      <c r="BX198" t="str">
        <f t="shared" si="61"/>
        <v/>
      </c>
      <c r="BZ198" t="str">
        <f t="shared" si="57"/>
        <v/>
      </c>
      <c r="CA198" t="str">
        <f t="shared" si="62"/>
        <v>{BLACK}Powered by: {GOLD}Diesel {}{SILVER}</v>
      </c>
    </row>
    <row r="199" spans="1:79" x14ac:dyDescent="0.25">
      <c r="A199" t="s">
        <v>146</v>
      </c>
      <c r="B199" t="s">
        <v>275</v>
      </c>
      <c r="C199">
        <v>438</v>
      </c>
      <c r="D199" t="s">
        <v>452</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K199" t="s">
        <v>578</v>
      </c>
      <c r="AM199" t="s">
        <v>579</v>
      </c>
      <c r="AQ199">
        <v>22</v>
      </c>
      <c r="AR199">
        <f t="shared" si="63"/>
        <v>9</v>
      </c>
      <c r="AS199">
        <v>-10</v>
      </c>
      <c r="AT199">
        <v>-15</v>
      </c>
      <c r="AU199">
        <f t="shared" si="64"/>
        <v>18</v>
      </c>
      <c r="AV199">
        <f t="shared" si="65"/>
        <v>5</v>
      </c>
      <c r="AW199">
        <f t="shared" si="66"/>
        <v>7.75</v>
      </c>
      <c r="AX199" s="4">
        <v>1</v>
      </c>
      <c r="AY199">
        <f t="shared" si="67"/>
        <v>7.1999999999999993</v>
      </c>
      <c r="AZ199">
        <f>VLOOKUP($E199,Constants!$I:$K, 2, FALSE)</f>
        <v>1</v>
      </c>
      <c r="BA199">
        <f>VLOOKUP($E199,Constants!$I:$K, 3, FALSE)*IF(AND(D199="multiple_unit",Y199&lt;110),0.75,1)</f>
        <v>1.5</v>
      </c>
      <c r="BB199">
        <f>INT(POWER(((Constants!$G$2+$AU199+$AV199+$AW199+$AY199)*$AX199)*$BA199, 1.05))+$AT199</f>
        <v>64</v>
      </c>
      <c r="BC199">
        <f>INT(POWER((((Constants!$G$1+$AU199+$AV199+$AW199+$AY199)*(1/$AX199))*$AZ199),IF($D199="wagon",1,1.2)))+$AS199</f>
        <v>107</v>
      </c>
      <c r="BD199" s="15">
        <f t="shared" si="54"/>
        <v>50000</v>
      </c>
      <c r="BE199" s="15">
        <f t="shared" si="55"/>
        <v>8693.75</v>
      </c>
      <c r="BM199" t="s">
        <v>1215</v>
      </c>
      <c r="BN199">
        <v>2</v>
      </c>
      <c r="BO199">
        <v>222</v>
      </c>
      <c r="BQ199" t="s">
        <v>323</v>
      </c>
      <c r="BR199" t="str">
        <f>VLOOKUP(G199,Eras!$A$2:$C$10, 2, TRUE)</f>
        <v>dsl</v>
      </c>
      <c r="BS199" t="s">
        <v>372</v>
      </c>
      <c r="BT199" t="str">
        <f t="shared" si="56"/>
        <v>dsl_DMU (Express)</v>
      </c>
      <c r="BU199" t="str">
        <f t="shared" si="68"/>
        <v/>
      </c>
      <c r="BV199" t="str">
        <f t="shared" si="60"/>
        <v>diesel_RAIL</v>
      </c>
      <c r="BW199" t="str">
        <f>VLOOKUP($BV199, Constants!$M:$N, 2, FALSE)</f>
        <v>{BLACK}Powered by: {GOLD}Diesel</v>
      </c>
      <c r="BX199" t="str">
        <f t="shared" si="61"/>
        <v>{BLACK}Cars: {GOLD}6</v>
      </c>
      <c r="BY199" t="s">
        <v>580</v>
      </c>
      <c r="BZ199" t="str">
        <f t="shared" si="57"/>
        <v>{YELLOW}20% Bonus for long distance travel{}</v>
      </c>
      <c r="CA199" t="str">
        <f t="shared" si="62"/>
        <v>{BLACK}Powered by: {GOLD}Diesel {BLACK}Cars: {GOLD}6{}{YELLOW}20% Bonus for long distance travel{}{SILVER}The Blue Pullman is an express diesel multiple unit, designed to tempt motorists from their cars with a luxurious inter-city service.</v>
      </c>
    </row>
    <row r="200" spans="1:79"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K200" t="s">
        <v>1202</v>
      </c>
      <c r="AM200" t="s">
        <v>719</v>
      </c>
      <c r="AN200" t="s">
        <v>275</v>
      </c>
      <c r="AQ200">
        <v>22</v>
      </c>
      <c r="AR200">
        <f t="shared" si="63"/>
        <v>9</v>
      </c>
      <c r="AS200">
        <v>-10</v>
      </c>
      <c r="AT200">
        <v>-15</v>
      </c>
      <c r="AU200">
        <f t="shared" si="64"/>
        <v>18</v>
      </c>
      <c r="AV200">
        <f t="shared" si="65"/>
        <v>5</v>
      </c>
      <c r="AW200">
        <f t="shared" si="66"/>
        <v>7.75</v>
      </c>
      <c r="AX200" s="4">
        <v>1</v>
      </c>
      <c r="AY200">
        <f t="shared" si="67"/>
        <v>6</v>
      </c>
      <c r="AZ200">
        <f>VLOOKUP($E200,Constants!$I:$K, 2, FALSE)</f>
        <v>1</v>
      </c>
      <c r="BA200">
        <f>VLOOKUP($E200,Constants!$I:$K, 3, FALSE)*IF(AND(D200="multiple_unit",Y200&lt;110),0.75,1)</f>
        <v>1.5</v>
      </c>
      <c r="BB200">
        <f>INT(POWER(((Constants!$G$2+$AU200+$AV200+$AW200+$AY200)*$AX200)*$BA200, 1.05))+$AT200</f>
        <v>62</v>
      </c>
      <c r="BC200">
        <f>INT(POWER((((Constants!$G$1+$AU200+$AV200+$AW200+$AY200)*(1/$AX200))*$AZ200),IF($D200="wagon",1,1.2)))+$AS200</f>
        <v>103</v>
      </c>
      <c r="BD200" s="15">
        <f t="shared" si="54"/>
        <v>48437.5</v>
      </c>
      <c r="BE200" s="15">
        <f t="shared" si="55"/>
        <v>8368.75</v>
      </c>
      <c r="BM200" t="s">
        <v>1217</v>
      </c>
      <c r="BN200">
        <v>2</v>
      </c>
      <c r="BO200">
        <v>222</v>
      </c>
      <c r="BQ200" t="s">
        <v>323</v>
      </c>
      <c r="BR200" t="str">
        <f>VLOOKUP(G200,Eras!$A$2:$C$10, 2, TRUE)</f>
        <v>dsl</v>
      </c>
      <c r="BS200" t="s">
        <v>372</v>
      </c>
      <c r="BT200" t="str">
        <f t="shared" si="56"/>
        <v>dsl_DMU (Express)</v>
      </c>
      <c r="BU200" t="str">
        <f t="shared" si="68"/>
        <v/>
      </c>
      <c r="BV200" t="str">
        <f t="shared" si="60"/>
        <v>diesel_RAIL</v>
      </c>
      <c r="BW200" t="str">
        <f>VLOOKUP($BV200, Constants!$M:$N, 2, FALSE)</f>
        <v>{BLACK}Powered by: {GOLD}Diesel</v>
      </c>
      <c r="BX200" t="str">
        <f t="shared" si="61"/>
        <v>{BLACK}Cars: {GOLD}5</v>
      </c>
      <c r="BY200" t="s">
        <v>580</v>
      </c>
      <c r="BZ200" t="str">
        <f t="shared" si="57"/>
        <v>{YELLOW}20% Bonus for long distance travel{}</v>
      </c>
      <c r="CA200" t="str">
        <f t="shared" si="62"/>
        <v>{BLACK}Powered by: {GOLD}Diesel {BLACK}Cars: {GOLD}5{}{YELLOW}20% Bonus for long distance travel{}{SILVER}The Blue Pullman is an express diesel multiple unit, designed to tempt motorists from their cars with a luxurious inter-city service.</v>
      </c>
    </row>
    <row r="201" spans="1:79" x14ac:dyDescent="0.25">
      <c r="A201" t="s">
        <v>82</v>
      </c>
      <c r="B201" t="s">
        <v>255</v>
      </c>
      <c r="C201">
        <v>440</v>
      </c>
      <c r="D201" t="s">
        <v>452</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K201" t="s">
        <v>255</v>
      </c>
      <c r="AM201">
        <v>1</v>
      </c>
      <c r="AQ201">
        <v>50</v>
      </c>
      <c r="AR201">
        <f t="shared" si="63"/>
        <v>53</v>
      </c>
      <c r="AS201">
        <v>-10</v>
      </c>
      <c r="AT201">
        <v>-15</v>
      </c>
      <c r="AU201">
        <f t="shared" si="64"/>
        <v>14</v>
      </c>
      <c r="AV201">
        <f t="shared" si="65"/>
        <v>1.5</v>
      </c>
      <c r="AW201">
        <f t="shared" si="66"/>
        <v>3.25</v>
      </c>
      <c r="AX201" s="4">
        <v>1</v>
      </c>
      <c r="AY201">
        <f t="shared" si="6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54"/>
        <v>24218.75</v>
      </c>
      <c r="BE201" s="15">
        <f t="shared" si="55"/>
        <v>5118.75</v>
      </c>
      <c r="BN201">
        <v>4</v>
      </c>
      <c r="BO201">
        <v>185</v>
      </c>
      <c r="BQ201" t="s">
        <v>323</v>
      </c>
      <c r="BR201" t="str">
        <f>VLOOKUP(G201,Eras!$A$2:$C$10, 2, TRUE)</f>
        <v>dsl</v>
      </c>
      <c r="BS201" t="s">
        <v>371</v>
      </c>
      <c r="BT201" t="str">
        <f t="shared" si="56"/>
        <v>dsl_DMU</v>
      </c>
      <c r="BU201" t="str">
        <f t="shared" si="68"/>
        <v/>
      </c>
      <c r="BV201" t="str">
        <f t="shared" si="60"/>
        <v>diesel_RAIL</v>
      </c>
      <c r="BW201" t="str">
        <f>VLOOKUP($BV201, Constants!$M:$N, 2, FALSE)</f>
        <v>{BLACK}Powered by: {GOLD}Diesel</v>
      </c>
      <c r="BX201" t="str">
        <f t="shared" si="61"/>
        <v/>
      </c>
      <c r="BY201" t="s">
        <v>581</v>
      </c>
      <c r="BZ201" t="str">
        <f t="shared" si="57"/>
        <v/>
      </c>
      <c r="CA201" t="str">
        <f t="shared" si="62"/>
        <v>{BLACK}Powered by: {GOLD}Diesel {}{SILVER}The "Bubble Car" units saw a long life on branch lines and rural railways. Two six-cylinder AEC or Leyland engines of 150hp each drive the wheels through a mechanical transmission.</v>
      </c>
    </row>
    <row r="202" spans="1:79"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K202" t="s">
        <v>679</v>
      </c>
      <c r="AM202" t="s">
        <v>677</v>
      </c>
      <c r="AQ202">
        <v>40</v>
      </c>
      <c r="AR202">
        <f t="shared" si="63"/>
        <v>37</v>
      </c>
      <c r="AS202">
        <v>-10</v>
      </c>
      <c r="AT202">
        <v>-20</v>
      </c>
      <c r="AU202">
        <f t="shared" si="64"/>
        <v>18</v>
      </c>
      <c r="AV202">
        <f t="shared" si="65"/>
        <v>5</v>
      </c>
      <c r="AW202">
        <f t="shared" si="66"/>
        <v>6.25</v>
      </c>
      <c r="AX202" s="4">
        <v>1</v>
      </c>
      <c r="AY202">
        <f t="shared" si="6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54"/>
        <v>53125</v>
      </c>
      <c r="BE202" s="15">
        <f t="shared" si="55"/>
        <v>6743.75</v>
      </c>
      <c r="BK202" t="s">
        <v>670</v>
      </c>
      <c r="BN202">
        <v>5</v>
      </c>
      <c r="BO202">
        <v>185</v>
      </c>
      <c r="BQ202" t="s">
        <v>323</v>
      </c>
      <c r="BR202" t="str">
        <f>VLOOKUP(G202,Eras!$A$2:$C$10, 2, TRUE)</f>
        <v>dsl</v>
      </c>
      <c r="BS202" t="s">
        <v>374</v>
      </c>
      <c r="BT202" t="str">
        <f t="shared" si="56"/>
        <v>dsl_EMU (Express)</v>
      </c>
      <c r="BU202" t="str">
        <f t="shared" si="68"/>
        <v/>
      </c>
      <c r="BV202" t="str">
        <f t="shared" si="60"/>
        <v>electric_THIRD_RAIL</v>
      </c>
      <c r="BW202" t="str">
        <f>VLOOKUP($BV202, Constants!$M:$N, 2, FALSE)</f>
        <v>{BLACK}Powered by: {GOLD}750V DC</v>
      </c>
      <c r="BX202" t="str">
        <f t="shared" si="61"/>
        <v>{BLACK}Cars: {GOLD}4</v>
      </c>
      <c r="BY202" t="s">
        <v>676</v>
      </c>
      <c r="BZ202" t="str">
        <f t="shared" si="57"/>
        <v/>
      </c>
      <c r="CA202" t="str">
        <f t="shared" si="62"/>
        <v>{BLACK}Powered by: {GOLD}750V DC {BLACK}Cars: {GOLD}4{}{SILVER}The Class 421 4 CIG (Corridor, brIGhton) was a third rail EMU with express gearing, used in the Southern Region. It was based on the Mk1 carriage design.</v>
      </c>
    </row>
    <row r="203" spans="1:79" x14ac:dyDescent="0.25">
      <c r="A203" t="s">
        <v>97</v>
      </c>
      <c r="B203" t="s">
        <v>673</v>
      </c>
      <c r="C203">
        <v>444</v>
      </c>
      <c r="D203" t="s">
        <v>452</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K203" t="s">
        <v>674</v>
      </c>
      <c r="AM203" t="s">
        <v>607</v>
      </c>
      <c r="AQ203">
        <v>32</v>
      </c>
      <c r="AR203">
        <f t="shared" si="63"/>
        <v>33</v>
      </c>
      <c r="AS203">
        <v>-10</v>
      </c>
      <c r="AT203">
        <v>-20</v>
      </c>
      <c r="AU203">
        <f t="shared" si="64"/>
        <v>15</v>
      </c>
      <c r="AV203">
        <f t="shared" si="65"/>
        <v>5.4</v>
      </c>
      <c r="AW203">
        <f t="shared" si="66"/>
        <v>6.5</v>
      </c>
      <c r="AX203" s="4">
        <v>1</v>
      </c>
      <c r="AY203">
        <f t="shared" si="6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54"/>
        <v>50000</v>
      </c>
      <c r="BE203" s="15">
        <f t="shared" si="55"/>
        <v>6337.5</v>
      </c>
      <c r="BN203">
        <v>6</v>
      </c>
      <c r="BO203">
        <v>185</v>
      </c>
      <c r="BQ203" t="s">
        <v>323</v>
      </c>
      <c r="BR203" t="str">
        <f>VLOOKUP(G203,Eras!$A$2:$C$10, 2, TRUE)</f>
        <v>dsl</v>
      </c>
      <c r="BS203" t="s">
        <v>372</v>
      </c>
      <c r="BT203" t="str">
        <f t="shared" si="56"/>
        <v>dsl_DMU (Express)</v>
      </c>
      <c r="BU203" t="str">
        <f t="shared" si="68"/>
        <v/>
      </c>
      <c r="BV203" t="str">
        <f t="shared" si="60"/>
        <v>electric_ELRL</v>
      </c>
      <c r="BW203" t="str">
        <f>VLOOKUP($BV203, Constants!$M:$N, 2, FALSE)</f>
        <v>{BLACK}Powered by: {GOLD}25kV AC</v>
      </c>
      <c r="BX203" t="str">
        <f t="shared" si="61"/>
        <v>{BLACK}Cars: {GOLD}4</v>
      </c>
      <c r="BY203" t="s">
        <v>675</v>
      </c>
      <c r="BZ203" t="str">
        <f t="shared" si="57"/>
        <v/>
      </c>
      <c r="CA203" t="str">
        <f t="shared" si="62"/>
        <v>{BLACK}Powered by: {GOLD}25kV AC {BLACK}Cars: {GOLD}4{}{SILVER}The AM10 was the first EMU to be based on the Mk2 carriage bodyshell. They were introduced as part of the West Coast Main Line electrification.</v>
      </c>
    </row>
    <row r="204" spans="1:79" x14ac:dyDescent="0.25">
      <c r="A204" t="s">
        <v>89</v>
      </c>
      <c r="B204" t="s">
        <v>215</v>
      </c>
      <c r="C204">
        <v>446</v>
      </c>
      <c r="D204" t="s">
        <v>452</v>
      </c>
      <c r="E204" t="s">
        <v>604</v>
      </c>
      <c r="F204" t="s">
        <v>603</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K204" t="s">
        <v>601</v>
      </c>
      <c r="AL204" t="s">
        <v>606</v>
      </c>
      <c r="AM204" t="s">
        <v>332</v>
      </c>
      <c r="AQ204">
        <v>35</v>
      </c>
      <c r="AR204" t="str">
        <f t="shared" si="63"/>
        <v/>
      </c>
      <c r="AS204">
        <v>-10</v>
      </c>
      <c r="AT204">
        <v>-20</v>
      </c>
      <c r="AU204">
        <f t="shared" si="64"/>
        <v>15</v>
      </c>
      <c r="AV204">
        <f t="shared" si="65"/>
        <v>4.4000000000000004</v>
      </c>
      <c r="AW204">
        <f t="shared" si="66"/>
        <v>7</v>
      </c>
      <c r="AX204" s="4">
        <v>1</v>
      </c>
      <c r="AY204">
        <f t="shared" si="6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54"/>
        <v>51562.5</v>
      </c>
      <c r="BE204" s="15">
        <f t="shared" si="55"/>
        <v>6256.25</v>
      </c>
      <c r="BN204">
        <v>7</v>
      </c>
      <c r="BO204">
        <v>185</v>
      </c>
      <c r="BQ204" t="s">
        <v>323</v>
      </c>
      <c r="BR204" t="str">
        <f>VLOOKUP(G204,Eras!$A$2:$C$10, 2, TRUE)</f>
        <v>lbr</v>
      </c>
      <c r="BS204" t="s">
        <v>373</v>
      </c>
      <c r="BT204" t="str">
        <f t="shared" si="56"/>
        <v>lbr_EMU</v>
      </c>
      <c r="BU204" t="str">
        <f t="shared" si="68"/>
        <v/>
      </c>
      <c r="BV204" t="str">
        <f t="shared" si="60"/>
        <v>dual_electric_DUAL_POWER</v>
      </c>
      <c r="BW204" t="str">
        <f>VLOOKUP($BV204, Constants!$M:$N, 2, FALSE)</f>
        <v>{BLACK}Powered by: {GOLD}25kV AC / 750V DC</v>
      </c>
      <c r="BX204" t="str">
        <f t="shared" si="61"/>
        <v>{BLACK}Cars: {GOLD}3</v>
      </c>
      <c r="BY204" t="s">
        <v>602</v>
      </c>
      <c r="BZ204" t="str">
        <f t="shared" si="57"/>
        <v/>
      </c>
      <c r="CA204" t="str">
        <f t="shared" si="62"/>
        <v>{BLACK}Powered by: {GOLD}25kV AC / 750V DC {BLACK}Cars: {GOLD}3{}{SILVER}The Class 313 is a dual voltage EMU capable of running both on overhead electrified lines and third rail systems.</v>
      </c>
    </row>
    <row r="205" spans="1:79"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K205" t="s">
        <v>727</v>
      </c>
      <c r="AM205" t="s">
        <v>734</v>
      </c>
      <c r="AQ205">
        <v>12</v>
      </c>
      <c r="AR205">
        <f t="shared" si="63"/>
        <v>8</v>
      </c>
      <c r="AU205">
        <f t="shared" si="64"/>
        <v>30</v>
      </c>
      <c r="AV205">
        <f t="shared" si="65"/>
        <v>20</v>
      </c>
      <c r="AW205">
        <f t="shared" si="66"/>
        <v>10.5</v>
      </c>
      <c r="AX205" s="4">
        <v>1</v>
      </c>
      <c r="AY205">
        <f t="shared" si="6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54"/>
        <v>195312.5</v>
      </c>
      <c r="BE205" s="15">
        <f t="shared" si="55"/>
        <v>15518.75</v>
      </c>
      <c r="BJ205">
        <v>1</v>
      </c>
      <c r="BM205" t="s">
        <v>1219</v>
      </c>
      <c r="BN205">
        <v>8</v>
      </c>
      <c r="BO205">
        <v>222</v>
      </c>
      <c r="BQ205" t="s">
        <v>323</v>
      </c>
      <c r="BR205" t="str">
        <f>VLOOKUP(G205,Eras!$A$2:$C$10, 2, TRUE)</f>
        <v>lbr</v>
      </c>
      <c r="BS205" t="s">
        <v>374</v>
      </c>
      <c r="BT205" t="str">
        <f t="shared" si="56"/>
        <v>lbr_EMU (Express)</v>
      </c>
      <c r="BU205" t="str">
        <f t="shared" si="68"/>
        <v/>
      </c>
      <c r="BV205" t="str">
        <f t="shared" si="60"/>
        <v>electric_ELRL</v>
      </c>
      <c r="BW205" t="str">
        <f>VLOOKUP($BV205, Constants!$M:$N, 2, FALSE)</f>
        <v>{BLACK}Powered by: {GOLD}25kV AC</v>
      </c>
      <c r="BX205" t="str">
        <f t="shared" si="61"/>
        <v>{BLACK}Cars: {GOLD}14</v>
      </c>
      <c r="BY205" t="s">
        <v>726</v>
      </c>
      <c r="BZ205" t="str">
        <f t="shared" si="57"/>
        <v>{YELLOW}20% Bonus for long distance travel{}</v>
      </c>
      <c r="CA205" t="str">
        <f t="shared" si="6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9"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K206" t="s">
        <v>1210</v>
      </c>
      <c r="AM206" t="s">
        <v>756</v>
      </c>
      <c r="AN206" t="s">
        <v>725</v>
      </c>
      <c r="AQ206">
        <v>12</v>
      </c>
      <c r="AR206">
        <f t="shared" si="63"/>
        <v>8</v>
      </c>
      <c r="AU206">
        <f t="shared" si="64"/>
        <v>30</v>
      </c>
      <c r="AV206">
        <f t="shared" si="65"/>
        <v>20</v>
      </c>
      <c r="AW206">
        <f t="shared" si="66"/>
        <v>10.5</v>
      </c>
      <c r="AX206" s="4">
        <v>1</v>
      </c>
      <c r="AY206">
        <f t="shared" si="6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54"/>
        <v>175781.25</v>
      </c>
      <c r="BE206" s="15">
        <f t="shared" si="55"/>
        <v>13975</v>
      </c>
      <c r="BJ206">
        <v>1</v>
      </c>
      <c r="BM206" t="s">
        <v>1218</v>
      </c>
      <c r="BN206">
        <v>8</v>
      </c>
      <c r="BO206">
        <v>222</v>
      </c>
      <c r="BQ206" t="s">
        <v>323</v>
      </c>
      <c r="BR206" t="str">
        <f>VLOOKUP(G206,Eras!$A$2:$C$10, 2, TRUE)</f>
        <v>lbr</v>
      </c>
      <c r="BS206" t="s">
        <v>374</v>
      </c>
      <c r="BT206" t="str">
        <f t="shared" si="56"/>
        <v>lbr_EMU (Express)</v>
      </c>
      <c r="BU206" t="str">
        <f t="shared" si="68"/>
        <v/>
      </c>
      <c r="BV206" t="str">
        <f t="shared" si="60"/>
        <v>electric_ELRL</v>
      </c>
      <c r="BW206" t="str">
        <f>VLOOKUP($BV206, Constants!$M:$N, 2, FALSE)</f>
        <v>{BLACK}Powered by: {GOLD}25kV AC</v>
      </c>
      <c r="BX206" t="str">
        <f t="shared" si="61"/>
        <v>{BLACK}Cars: {GOLD}8</v>
      </c>
      <c r="BY206" t="s">
        <v>726</v>
      </c>
      <c r="BZ206" t="str">
        <f t="shared" si="57"/>
        <v>{YELLOW}20% Bonus for long distance travel{}</v>
      </c>
      <c r="CA206" t="str">
        <f t="shared" si="6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9"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2" si="69">ROUND(15*((AB207*10)/256),0)</f>
        <v>12</v>
      </c>
      <c r="AI207" t="str">
        <f>CONCATENATE(VLOOKUP(AG207,Constants!$A$2:$C$16,IF(AH207&lt;&gt;"", 3, 2), FALSE),IF(AH207&lt;&gt;"",CONCATENATE(",",VLOOKUP(AH207,$B:$AI,34,FALSE)),""))</f>
        <v>4,4,4</v>
      </c>
      <c r="AK207" t="s">
        <v>1216</v>
      </c>
      <c r="AM207" t="s">
        <v>719</v>
      </c>
      <c r="AN207" t="s">
        <v>725</v>
      </c>
      <c r="AQ207">
        <v>12</v>
      </c>
      <c r="AR207">
        <f t="shared" si="63"/>
        <v>8</v>
      </c>
      <c r="AU207">
        <f t="shared" si="64"/>
        <v>30</v>
      </c>
      <c r="AV207">
        <f t="shared" si="65"/>
        <v>20</v>
      </c>
      <c r="AW207">
        <f t="shared" si="66"/>
        <v>10.5</v>
      </c>
      <c r="AX207" s="4">
        <v>1</v>
      </c>
      <c r="AY207">
        <f t="shared" si="6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70" si="70">BB207*IF($D207="wagon",62.5,781.25)</f>
        <v>166406.25</v>
      </c>
      <c r="BE207" s="15">
        <f t="shared" ref="BE207:BE270" si="71">BC207*IF($D207="wagon",2.73,81.25)</f>
        <v>13162.5</v>
      </c>
      <c r="BJ207">
        <v>1</v>
      </c>
      <c r="BM207" t="s">
        <v>1217</v>
      </c>
      <c r="BN207">
        <v>8</v>
      </c>
      <c r="BO207">
        <v>222</v>
      </c>
      <c r="BQ207" t="s">
        <v>323</v>
      </c>
      <c r="BR207" t="str">
        <f>VLOOKUP(G207,Eras!$A$2:$C$10, 2, TRUE)</f>
        <v>lbr</v>
      </c>
      <c r="BS207" t="s">
        <v>374</v>
      </c>
      <c r="BT207" t="str">
        <f t="shared" ref="BT207:BT270" si="72">CONCATENATE(BR207,"_",BS207)</f>
        <v>lbr_EMU (Express)</v>
      </c>
      <c r="BU207" t="str">
        <f t="shared" si="68"/>
        <v/>
      </c>
      <c r="BV207" t="str">
        <f t="shared" si="60"/>
        <v>electric_ELRL</v>
      </c>
      <c r="BW207" t="str">
        <f>VLOOKUP($BV207, Constants!$M:$N, 2, FALSE)</f>
        <v>{BLACK}Powered by: {GOLD}25kV AC</v>
      </c>
      <c r="BX207" t="str">
        <f t="shared" si="61"/>
        <v>{BLACK}Cars: {GOLD}5</v>
      </c>
      <c r="BY207" t="s">
        <v>726</v>
      </c>
      <c r="BZ207" t="str">
        <f t="shared" si="57"/>
        <v>{YELLOW}20% Bonus for long distance travel{}</v>
      </c>
      <c r="CA207" t="str">
        <f t="shared" si="6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9" x14ac:dyDescent="0.25">
      <c r="A208" t="s">
        <v>88</v>
      </c>
      <c r="B208" t="s">
        <v>214</v>
      </c>
      <c r="C208">
        <v>452</v>
      </c>
      <c r="D208" t="s">
        <v>452</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K208" t="s">
        <v>609</v>
      </c>
      <c r="AM208" t="s">
        <v>607</v>
      </c>
      <c r="AQ208">
        <v>35</v>
      </c>
      <c r="AR208" t="str">
        <f t="shared" si="63"/>
        <v/>
      </c>
      <c r="AS208">
        <v>-10</v>
      </c>
      <c r="AT208">
        <v>-20</v>
      </c>
      <c r="AU208">
        <f t="shared" si="64"/>
        <v>15</v>
      </c>
      <c r="AV208">
        <f t="shared" si="65"/>
        <v>4.4000000000000004</v>
      </c>
      <c r="AW208">
        <f t="shared" si="66"/>
        <v>7</v>
      </c>
      <c r="AX208" s="4">
        <v>1</v>
      </c>
      <c r="AY208">
        <f t="shared" si="6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70"/>
        <v>53906.25</v>
      </c>
      <c r="BE208" s="15">
        <f t="shared" si="71"/>
        <v>6743.75</v>
      </c>
      <c r="BN208">
        <v>11</v>
      </c>
      <c r="BO208">
        <v>185</v>
      </c>
      <c r="BQ208" t="s">
        <v>323</v>
      </c>
      <c r="BR208" t="str">
        <f>VLOOKUP(G208,Eras!$A$2:$C$10, 2, TRUE)</f>
        <v>lbr</v>
      </c>
      <c r="BS208" t="s">
        <v>373</v>
      </c>
      <c r="BT208" t="str">
        <f t="shared" si="72"/>
        <v>lbr_EMU</v>
      </c>
      <c r="BU208" t="str">
        <f t="shared" si="68"/>
        <v/>
      </c>
      <c r="BV208" t="str">
        <f t="shared" si="60"/>
        <v>electric_ELRL</v>
      </c>
      <c r="BW208" t="str">
        <f>VLOOKUP($BV208, Constants!$M:$N, 2, FALSE)</f>
        <v>{BLACK}Powered by: {GOLD}25kV AC</v>
      </c>
      <c r="BX208" t="str">
        <f t="shared" si="61"/>
        <v>{BLACK}Cars: {GOLD}4</v>
      </c>
      <c r="BY208" t="s">
        <v>608</v>
      </c>
      <c r="BZ208" t="str">
        <f t="shared" si="57"/>
        <v/>
      </c>
      <c r="CA208" t="str">
        <f t="shared" si="62"/>
        <v>{BLACK}Powered by: {GOLD}25kV AC {BLACK}Cars: {GOLD}4{}{SILVER}The Class 315 is the last class of the 1972 standard EMU design, running on 25kV overhead AC power and used for inner suburban services.</v>
      </c>
    </row>
    <row r="209" spans="1:79" x14ac:dyDescent="0.25">
      <c r="A209" t="s">
        <v>94</v>
      </c>
      <c r="B209" t="s">
        <v>216</v>
      </c>
      <c r="C209">
        <v>454</v>
      </c>
      <c r="D209" t="s">
        <v>452</v>
      </c>
      <c r="E209" t="s">
        <v>336</v>
      </c>
      <c r="F209" t="s">
        <v>343</v>
      </c>
      <c r="G209">
        <v>1982</v>
      </c>
      <c r="J209">
        <v>4</v>
      </c>
      <c r="K209">
        <v>992</v>
      </c>
      <c r="T209">
        <v>136</v>
      </c>
      <c r="V209">
        <f t="shared" ref="V209:V237"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K209" t="s">
        <v>660</v>
      </c>
      <c r="AM209" t="s">
        <v>514</v>
      </c>
      <c r="AQ209">
        <v>35</v>
      </c>
      <c r="AR209" t="str">
        <f t="shared" si="63"/>
        <v/>
      </c>
      <c r="AS209">
        <v>-10</v>
      </c>
      <c r="AT209">
        <v>-20</v>
      </c>
      <c r="AU209">
        <f t="shared" si="64"/>
        <v>15</v>
      </c>
      <c r="AV209">
        <f t="shared" si="65"/>
        <v>4.96</v>
      </c>
      <c r="AW209">
        <f t="shared" si="66"/>
        <v>7.5</v>
      </c>
      <c r="AX209" s="4">
        <v>1</v>
      </c>
      <c r="AY209">
        <f t="shared" si="6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70"/>
        <v>55468.75</v>
      </c>
      <c r="BE209" s="15">
        <f t="shared" si="71"/>
        <v>6987.5</v>
      </c>
      <c r="BK209" t="s">
        <v>217</v>
      </c>
      <c r="BN209">
        <v>12</v>
      </c>
      <c r="BO209">
        <v>185</v>
      </c>
      <c r="BQ209" t="s">
        <v>323</v>
      </c>
      <c r="BR209" t="str">
        <f>VLOOKUP(G209,Eras!$A$2:$C$10, 2, TRUE)</f>
        <v>lbr</v>
      </c>
      <c r="BS209" t="s">
        <v>373</v>
      </c>
      <c r="BT209" t="str">
        <f t="shared" si="72"/>
        <v>lbr_EMU</v>
      </c>
      <c r="BU209" t="str">
        <f t="shared" si="68"/>
        <v/>
      </c>
      <c r="BV209" t="str">
        <f t="shared" si="60"/>
        <v>electric_THIRD_RAIL</v>
      </c>
      <c r="BW209" t="str">
        <f>VLOOKUP($BV209, Constants!$M:$N, 2, FALSE)</f>
        <v>{BLACK}Powered by: {GOLD}750V DC</v>
      </c>
      <c r="BX209" t="str">
        <f t="shared" si="61"/>
        <v>{BLACK}Cars: {GOLD}4</v>
      </c>
      <c r="BY209" t="s">
        <v>661</v>
      </c>
      <c r="BZ209" t="str">
        <f t="shared" si="57"/>
        <v/>
      </c>
      <c r="CA209" t="str">
        <f t="shared" si="62"/>
        <v>{BLACK}Powered by: {GOLD}750V DC {BLACK}Cars: {GOLD}4{}{SILVER}The Class 455 is a DC third rail version of British Rail's second generation EMU design. Some units re-used existing carriages from the Class 508, recognisable by the different side profile.</v>
      </c>
    </row>
    <row r="210" spans="1:79" x14ac:dyDescent="0.25">
      <c r="A210" t="s">
        <v>98</v>
      </c>
      <c r="B210" t="s">
        <v>682</v>
      </c>
      <c r="C210">
        <v>456</v>
      </c>
      <c r="D210" t="s">
        <v>452</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K210" t="s">
        <v>681</v>
      </c>
      <c r="AM210" t="s">
        <v>516</v>
      </c>
      <c r="AQ210">
        <v>28</v>
      </c>
      <c r="AR210" t="str">
        <f t="shared" si="63"/>
        <v/>
      </c>
      <c r="AS210">
        <v>-10</v>
      </c>
      <c r="AT210">
        <v>-15</v>
      </c>
      <c r="AU210">
        <f t="shared" si="64"/>
        <v>15</v>
      </c>
      <c r="AV210">
        <f t="shared" si="65"/>
        <v>2.86</v>
      </c>
      <c r="AW210">
        <f t="shared" si="66"/>
        <v>5.5</v>
      </c>
      <c r="AX210" s="4">
        <v>1</v>
      </c>
      <c r="AY210">
        <f t="shared" si="6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70"/>
        <v>34375</v>
      </c>
      <c r="BE210" s="15">
        <f t="shared" si="71"/>
        <v>6500</v>
      </c>
      <c r="BK210" t="s">
        <v>1179</v>
      </c>
      <c r="BN210">
        <v>1</v>
      </c>
      <c r="BO210">
        <v>185</v>
      </c>
      <c r="BQ210" t="s">
        <v>323</v>
      </c>
      <c r="BR210" t="str">
        <f>VLOOKUP(G210,Eras!$A$2:$C$10, 2, TRUE)</f>
        <v>lbr</v>
      </c>
      <c r="BS210" t="s">
        <v>371</v>
      </c>
      <c r="BT210" t="str">
        <f t="shared" si="72"/>
        <v>lbr_DMU</v>
      </c>
      <c r="BU210" t="str">
        <f t="shared" si="68"/>
        <v/>
      </c>
      <c r="BV210" t="str">
        <f t="shared" si="60"/>
        <v>diesel_RAIL</v>
      </c>
      <c r="BW210" t="str">
        <f>VLOOKUP($BV210, Constants!$M:$N, 2, FALSE)</f>
        <v>{BLACK}Powered by: {GOLD}Diesel</v>
      </c>
      <c r="BX210" t="str">
        <f t="shared" si="61"/>
        <v>{BLACK}Cars: {GOLD}2</v>
      </c>
      <c r="BY210" t="s">
        <v>680</v>
      </c>
      <c r="BZ210" t="str">
        <f t="shared" si="57"/>
        <v/>
      </c>
      <c r="CA210" t="str">
        <f t="shared" si="62"/>
        <v>{BLACK}Powered by: {GOLD}Diesel {BLACK}Cars: {GOLD}2{}{SILVER}The Sprinter replaced first-generation DMUs. Like other second-generation units it was based on the Mark 3 bodyshell. The name refers to its faster acceleration compared to the units it replaced.</v>
      </c>
    </row>
    <row r="211" spans="1:79" x14ac:dyDescent="0.25">
      <c r="A211" t="s">
        <v>697</v>
      </c>
      <c r="B211" t="s">
        <v>264</v>
      </c>
      <c r="C211">
        <v>458</v>
      </c>
      <c r="D211" t="s">
        <v>452</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K211" t="s">
        <v>692</v>
      </c>
      <c r="AM211" t="s">
        <v>516</v>
      </c>
      <c r="AQ211">
        <v>18</v>
      </c>
      <c r="AR211">
        <f t="shared" si="63"/>
        <v>17</v>
      </c>
      <c r="AS211">
        <v>-35</v>
      </c>
      <c r="AT211">
        <v>-20</v>
      </c>
      <c r="AU211">
        <f t="shared" si="64"/>
        <v>15</v>
      </c>
      <c r="AV211">
        <f t="shared" si="65"/>
        <v>1.0249999999999999</v>
      </c>
      <c r="AW211">
        <f t="shared" si="66"/>
        <v>3.5</v>
      </c>
      <c r="AX211" s="4">
        <v>1</v>
      </c>
      <c r="AY211">
        <f t="shared" si="6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70"/>
        <v>22656.25</v>
      </c>
      <c r="BE211" s="15">
        <f t="shared" si="71"/>
        <v>3412.5</v>
      </c>
      <c r="BK211" t="s">
        <v>1180</v>
      </c>
      <c r="BN211">
        <v>2</v>
      </c>
      <c r="BO211">
        <v>148</v>
      </c>
      <c r="BQ211" t="s">
        <v>323</v>
      </c>
      <c r="BR211" t="str">
        <f>VLOOKUP(G211,Eras!$A$2:$C$10, 2, TRUE)</f>
        <v>lbr</v>
      </c>
      <c r="BS211" t="s">
        <v>370</v>
      </c>
      <c r="BT211" t="str">
        <f t="shared" si="72"/>
        <v>lbr_DMU (Cheap)</v>
      </c>
      <c r="BU211" t="str">
        <f t="shared" si="68"/>
        <v/>
      </c>
      <c r="BV211" t="str">
        <f t="shared" si="60"/>
        <v>diesel_RAIL</v>
      </c>
      <c r="BW211" t="str">
        <f>VLOOKUP($BV211, Constants!$M:$N, 2, FALSE)</f>
        <v>{BLACK}Powered by: {GOLD}Diesel</v>
      </c>
      <c r="BX211" t="str">
        <f t="shared" si="61"/>
        <v>{BLACK}Cars: {GOLD}2</v>
      </c>
      <c r="BY211" t="s">
        <v>698</v>
      </c>
      <c r="BZ211" t="str">
        <f t="shared" si="57"/>
        <v>{YELLOW}20% Penalty for long distance travel{}</v>
      </c>
      <c r="CA211" t="str">
        <f t="shared" si="62"/>
        <v>{BLACK}Powered by: {GOLD}Diesel {BLACK}Cars: {GOLD}2{}{YELLOW}20% Penalty for long distance travel{}{SILVER}The Class 141 is a multiple unit built from Leyland National bus parts. While cheap and light, it is criticised for its poor ride quality.</v>
      </c>
    </row>
    <row r="212" spans="1:79" x14ac:dyDescent="0.25">
      <c r="A212" t="s">
        <v>87</v>
      </c>
      <c r="B212" t="s">
        <v>213</v>
      </c>
      <c r="C212">
        <v>460</v>
      </c>
      <c r="D212" t="s">
        <v>452</v>
      </c>
      <c r="E212" t="s">
        <v>604</v>
      </c>
      <c r="F212" t="s">
        <v>603</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K212" t="s">
        <v>617</v>
      </c>
      <c r="AL212" t="s">
        <v>618</v>
      </c>
      <c r="AM212" t="s">
        <v>607</v>
      </c>
      <c r="AQ212">
        <v>32</v>
      </c>
      <c r="AR212" t="str">
        <f t="shared" si="63"/>
        <v/>
      </c>
      <c r="AS212">
        <v>-10</v>
      </c>
      <c r="AT212">
        <v>-20</v>
      </c>
      <c r="AU212">
        <f t="shared" si="64"/>
        <v>20</v>
      </c>
      <c r="AV212">
        <f t="shared" si="65"/>
        <v>6.6400000000000006</v>
      </c>
      <c r="AW212">
        <f t="shared" si="66"/>
        <v>8</v>
      </c>
      <c r="AX212" s="4">
        <v>1</v>
      </c>
      <c r="AY212">
        <f t="shared" si="6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70"/>
        <v>71875</v>
      </c>
      <c r="BE212" s="15">
        <f t="shared" si="71"/>
        <v>8287.5</v>
      </c>
      <c r="BN212">
        <v>3</v>
      </c>
      <c r="BO212">
        <v>185</v>
      </c>
      <c r="BQ212" t="s">
        <v>323</v>
      </c>
      <c r="BR212" t="str">
        <f>VLOOKUP(G212,Eras!$A$2:$C$10, 2, TRUE)</f>
        <v>lbr</v>
      </c>
      <c r="BS212" t="s">
        <v>373</v>
      </c>
      <c r="BT212" t="str">
        <f t="shared" si="72"/>
        <v>lbr_EMU</v>
      </c>
      <c r="BU212" t="str">
        <f t="shared" si="68"/>
        <v/>
      </c>
      <c r="BV212" t="str">
        <f t="shared" si="60"/>
        <v>dual_electric_DUAL_POWER</v>
      </c>
      <c r="BW212" t="str">
        <f>VLOOKUP($BV212, Constants!$M:$N, 2, FALSE)</f>
        <v>{BLACK}Powered by: {GOLD}25kV AC / 750V DC</v>
      </c>
      <c r="BX212" t="str">
        <f t="shared" si="61"/>
        <v>{BLACK}Cars: {GOLD}4</v>
      </c>
      <c r="BY212" t="s">
        <v>616</v>
      </c>
      <c r="BZ212" t="str">
        <f t="shared" si="57"/>
        <v/>
      </c>
      <c r="CA212" t="str">
        <f t="shared" si="62"/>
        <v>{BLACK}Powered by: {GOLD}25kV AC / 750V DC {BLACK}Cars: {GOLD}4{}{SILVER}The Class 319 is a dual-voltage EMU built for the then-new Thameslink service between Brighton and Bedford.</v>
      </c>
    </row>
    <row r="213" spans="1:79" x14ac:dyDescent="0.25">
      <c r="A213" t="s">
        <v>683</v>
      </c>
      <c r="B213" t="s">
        <v>261</v>
      </c>
      <c r="C213">
        <v>462</v>
      </c>
      <c r="D213" t="s">
        <v>452</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K213" t="s">
        <v>685</v>
      </c>
      <c r="AM213" t="s">
        <v>516</v>
      </c>
      <c r="AQ213">
        <v>33</v>
      </c>
      <c r="AR213" t="str">
        <f t="shared" si="63"/>
        <v/>
      </c>
      <c r="AS213">
        <v>-10</v>
      </c>
      <c r="AT213">
        <v>-15</v>
      </c>
      <c r="AU213">
        <f t="shared" si="64"/>
        <v>15</v>
      </c>
      <c r="AV213">
        <f t="shared" si="65"/>
        <v>2.8499999999999996</v>
      </c>
      <c r="AW213">
        <f t="shared" si="66"/>
        <v>5.5</v>
      </c>
      <c r="AX213" s="4">
        <v>1</v>
      </c>
      <c r="AY213">
        <f t="shared" si="6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70"/>
        <v>35156.25</v>
      </c>
      <c r="BE213" s="15">
        <f t="shared" si="71"/>
        <v>6581.25</v>
      </c>
      <c r="BK213" t="s">
        <v>1181</v>
      </c>
      <c r="BN213">
        <v>4</v>
      </c>
      <c r="BO213">
        <v>185</v>
      </c>
      <c r="BQ213" t="s">
        <v>323</v>
      </c>
      <c r="BR213" t="str">
        <f>VLOOKUP(G213,Eras!$A$2:$C$10, 2, TRUE)</f>
        <v>lbr</v>
      </c>
      <c r="BS213" t="s">
        <v>371</v>
      </c>
      <c r="BT213" t="str">
        <f t="shared" si="72"/>
        <v>lbr_DMU</v>
      </c>
      <c r="BU213" t="str">
        <f t="shared" si="68"/>
        <v/>
      </c>
      <c r="BV213" t="str">
        <f t="shared" si="60"/>
        <v>diesel_RAIL</v>
      </c>
      <c r="BW213" t="str">
        <f>VLOOKUP($BV213, Constants!$M:$N, 2, FALSE)</f>
        <v>{BLACK}Powered by: {GOLD}Diesel</v>
      </c>
      <c r="BX213" t="str">
        <f t="shared" si="61"/>
        <v>{BLACK}Cars: {GOLD}2</v>
      </c>
      <c r="BY213" t="s">
        <v>684</v>
      </c>
      <c r="BZ213" t="str">
        <f t="shared" si="57"/>
        <v/>
      </c>
      <c r="CA213" t="str">
        <f t="shared" si="62"/>
        <v>{BLACK}Powered by: {GOLD}Diesel {BLACK}Cars: {GOLD}2{}{SILVER}The Class 156 is a member of the Sprinter family designed for longer journeys, with single doors at each end rather than the metro-style doors of the Class 150s.</v>
      </c>
    </row>
    <row r="214" spans="1:79" x14ac:dyDescent="0.25">
      <c r="A214" t="s">
        <v>105</v>
      </c>
      <c r="B214" t="s">
        <v>268</v>
      </c>
      <c r="C214">
        <v>464</v>
      </c>
      <c r="D214" t="s">
        <v>452</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K214" t="s">
        <v>721</v>
      </c>
      <c r="AM214" t="s">
        <v>659</v>
      </c>
      <c r="AQ214">
        <v>35</v>
      </c>
      <c r="AR214" t="str">
        <f t="shared" si="63"/>
        <v/>
      </c>
      <c r="AS214">
        <v>-10</v>
      </c>
      <c r="AT214">
        <v>-25</v>
      </c>
      <c r="AU214">
        <f t="shared" si="64"/>
        <v>21.599999999999998</v>
      </c>
      <c r="AV214">
        <f t="shared" si="65"/>
        <v>8.0500000000000007</v>
      </c>
      <c r="AW214">
        <f t="shared" si="66"/>
        <v>9.5</v>
      </c>
      <c r="AX214" s="4">
        <v>1</v>
      </c>
      <c r="AY214">
        <f t="shared" si="6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70"/>
        <v>73437.5</v>
      </c>
      <c r="BE214" s="15">
        <f t="shared" si="71"/>
        <v>9181.25</v>
      </c>
      <c r="BK214" t="s">
        <v>1183</v>
      </c>
      <c r="BM214" t="s">
        <v>1215</v>
      </c>
      <c r="BN214">
        <v>5</v>
      </c>
      <c r="BO214">
        <v>205</v>
      </c>
      <c r="BQ214" t="s">
        <v>323</v>
      </c>
      <c r="BR214" t="str">
        <f>VLOOKUP(G214,Eras!$A$2:$C$10, 2, TRUE)</f>
        <v>lbr</v>
      </c>
      <c r="BS214" t="s">
        <v>374</v>
      </c>
      <c r="BT214" t="str">
        <f t="shared" si="72"/>
        <v>lbr_EMU (Express)</v>
      </c>
      <c r="BU214" t="str">
        <f t="shared" si="68"/>
        <v/>
      </c>
      <c r="BV214" t="str">
        <f t="shared" si="60"/>
        <v>electric_THIRD_RAIL</v>
      </c>
      <c r="BW214" t="str">
        <f>VLOOKUP($BV214, Constants!$M:$N, 2, FALSE)</f>
        <v>{BLACK}Powered by: {GOLD}750V DC</v>
      </c>
      <c r="BX214" t="str">
        <f t="shared" si="61"/>
        <v>{BLACK}Cars: {GOLD}5</v>
      </c>
      <c r="BY214" t="s">
        <v>722</v>
      </c>
      <c r="BZ214" t="str">
        <f t="shared" ref="BZ214:BZ272" si="74">IF(BQ214="BRAKE","{YELLOW}Speed bonus for slow wagons{}",IF(BO214&gt;190,CONCATENATE("{YELLOW}",INT((BO214-185)/1.85),"% Bonus for long distance travel{}"),IF(AND(BO214&lt;180,BO214&lt;&gt;0),CONCATENATE("{YELLOW}",INT((185-BO214)/1.85),"% Penalty for long distance travel{}"),"")))</f>
        <v>{YELLOW}10% Bonus for long distance travel{}</v>
      </c>
      <c r="CA214" t="str">
        <f t="shared" si="62"/>
        <v>{BLACK}Powered by: {GOLD}750V DC {BLACK}Cars: {GOLD}5{}{YELLOW}10% Bonus for long distance travel{}{SILVER}The Class 442 holds the speed record for a third rail EMU at 108mph. Unlike most of its generation of Mk3-based multiple units, it uses the full-length carriage bodyshell.</v>
      </c>
    </row>
    <row r="215" spans="1:79" x14ac:dyDescent="0.25">
      <c r="A215" t="s">
        <v>105</v>
      </c>
      <c r="B215" t="s">
        <v>1203</v>
      </c>
      <c r="C215">
        <v>465</v>
      </c>
      <c r="D215" t="s">
        <v>452</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K215" t="s">
        <v>1204</v>
      </c>
      <c r="AM215" t="s">
        <v>1194</v>
      </c>
      <c r="AN215" t="s">
        <v>268</v>
      </c>
      <c r="AQ215">
        <v>35</v>
      </c>
      <c r="AR215" t="str">
        <f t="shared" si="63"/>
        <v/>
      </c>
      <c r="AS215">
        <v>-10</v>
      </c>
      <c r="AT215">
        <v>-25</v>
      </c>
      <c r="AU215">
        <f t="shared" si="64"/>
        <v>21.599999999999998</v>
      </c>
      <c r="AV215">
        <f t="shared" si="65"/>
        <v>8.0500000000000007</v>
      </c>
      <c r="AW215">
        <f t="shared" si="66"/>
        <v>9.5</v>
      </c>
      <c r="AX215" s="4">
        <v>1</v>
      </c>
      <c r="AY215">
        <f t="shared" si="6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70"/>
        <v>69531.25</v>
      </c>
      <c r="BE215" s="15">
        <f t="shared" si="71"/>
        <v>8775</v>
      </c>
      <c r="BK215" t="s">
        <v>1183</v>
      </c>
      <c r="BM215" t="s">
        <v>1217</v>
      </c>
      <c r="BN215">
        <v>5</v>
      </c>
      <c r="BO215">
        <v>205</v>
      </c>
      <c r="BQ215" t="s">
        <v>323</v>
      </c>
      <c r="BR215" t="str">
        <f>VLOOKUP(G215,Eras!$A$2:$C$10, 2, TRUE)</f>
        <v>lbr</v>
      </c>
      <c r="BS215" t="s">
        <v>374</v>
      </c>
      <c r="BT215" t="str">
        <f t="shared" si="72"/>
        <v>lbr_EMU (Express)</v>
      </c>
      <c r="BU215" t="str">
        <f t="shared" si="68"/>
        <v/>
      </c>
      <c r="BV215" t="str">
        <f t="shared" si="60"/>
        <v>electric_THIRD_RAIL</v>
      </c>
      <c r="BW215" t="str">
        <f>VLOOKUP($BV215, Constants!$M:$N, 2, FALSE)</f>
        <v>{BLACK}Powered by: {GOLD}750V DC</v>
      </c>
      <c r="BX215" t="str">
        <f t="shared" si="61"/>
        <v>{BLACK}Cars: {GOLD}4</v>
      </c>
      <c r="BY215" t="s">
        <v>722</v>
      </c>
      <c r="BZ215" t="str">
        <f t="shared" si="74"/>
        <v>{YELLOW}10% Bonus for long distance travel{}</v>
      </c>
      <c r="CA215" t="str">
        <f t="shared" si="62"/>
        <v>{BLACK}Powered by: {GOLD}750V DC {BLACK}Cars: {GOLD}4{}{YELLOW}10% Bonus for long distance travel{}{SILVER}The Class 442 holds the speed record for a third rail EMU at 108mph. Unlike most of its generation of Mk3-based multiple units, it uses the full-length carriage bodyshell.</v>
      </c>
    </row>
    <row r="216" spans="1:79" x14ac:dyDescent="0.25">
      <c r="A216" t="s">
        <v>99</v>
      </c>
      <c r="B216" t="s">
        <v>262</v>
      </c>
      <c r="C216">
        <v>466</v>
      </c>
      <c r="D216" t="s">
        <v>452</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K216" t="s">
        <v>686</v>
      </c>
      <c r="AM216" t="s">
        <v>332</v>
      </c>
      <c r="AQ216">
        <v>33</v>
      </c>
      <c r="AR216" t="str">
        <f t="shared" si="63"/>
        <v/>
      </c>
      <c r="AS216">
        <v>-10</v>
      </c>
      <c r="AT216">
        <v>-15</v>
      </c>
      <c r="AU216">
        <f t="shared" si="64"/>
        <v>18</v>
      </c>
      <c r="AV216">
        <f t="shared" si="65"/>
        <v>5.25</v>
      </c>
      <c r="AW216">
        <f t="shared" si="66"/>
        <v>6</v>
      </c>
      <c r="AX216" s="4">
        <v>1</v>
      </c>
      <c r="AY216">
        <f t="shared" si="6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70"/>
        <v>46875</v>
      </c>
      <c r="BE216" s="15">
        <f t="shared" si="71"/>
        <v>8287.5</v>
      </c>
      <c r="BK216" t="s">
        <v>1182</v>
      </c>
      <c r="BN216">
        <v>7</v>
      </c>
      <c r="BO216">
        <v>205</v>
      </c>
      <c r="BQ216" t="s">
        <v>323</v>
      </c>
      <c r="BR216" t="str">
        <f>VLOOKUP(G216,Eras!$A$2:$C$10, 2, TRUE)</f>
        <v>lbr</v>
      </c>
      <c r="BS216" t="s">
        <v>372</v>
      </c>
      <c r="BT216" t="str">
        <f t="shared" si="72"/>
        <v>lbr_DMU (Express)</v>
      </c>
      <c r="BU216" t="str">
        <f t="shared" si="68"/>
        <v/>
      </c>
      <c r="BV216" t="str">
        <f t="shared" si="60"/>
        <v>diesel_RAIL</v>
      </c>
      <c r="BW216" t="str">
        <f>VLOOKUP($BV216, Constants!$M:$N, 2, FALSE)</f>
        <v>{BLACK}Powered by: {GOLD}Diesel</v>
      </c>
      <c r="BX216" t="str">
        <f t="shared" si="61"/>
        <v>{BLACK}Cars: {GOLD}3</v>
      </c>
      <c r="BY216" t="s">
        <v>687</v>
      </c>
      <c r="BZ216" t="str">
        <f t="shared" si="74"/>
        <v>{YELLOW}10% Bonus for long distance travel{}</v>
      </c>
      <c r="CA216" t="str">
        <f t="shared" si="62"/>
        <v>{BLACK}Powered by: {GOLD}Diesel {BLACK}Cars: {GOLD}3{}{YELLOW}10% Bonus for long distance travel{}{SILVER}The Class 158 has many improvements over earlier generation Sprinters, including air conditioning and a more comfortable ride.</v>
      </c>
    </row>
    <row r="217" spans="1:79" x14ac:dyDescent="0.25">
      <c r="A217" t="s">
        <v>95</v>
      </c>
      <c r="B217" t="s">
        <v>217</v>
      </c>
      <c r="C217">
        <v>468</v>
      </c>
      <c r="D217" t="s">
        <v>452</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K217" t="s">
        <v>662</v>
      </c>
      <c r="AM217" t="s">
        <v>516</v>
      </c>
      <c r="AQ217">
        <v>31</v>
      </c>
      <c r="AR217" t="str">
        <f t="shared" si="63"/>
        <v/>
      </c>
      <c r="AS217">
        <v>-10</v>
      </c>
      <c r="AT217">
        <v>-20</v>
      </c>
      <c r="AU217">
        <f t="shared" si="64"/>
        <v>15</v>
      </c>
      <c r="AV217">
        <f t="shared" si="65"/>
        <v>2.5</v>
      </c>
      <c r="AW217">
        <f t="shared" si="66"/>
        <v>6</v>
      </c>
      <c r="AX217" s="4">
        <v>1</v>
      </c>
      <c r="AY217">
        <f t="shared" si="6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70"/>
        <v>39062.5</v>
      </c>
      <c r="BE217" s="15">
        <f t="shared" si="71"/>
        <v>5362.5</v>
      </c>
      <c r="BK217" t="s">
        <v>216</v>
      </c>
      <c r="BN217">
        <v>8</v>
      </c>
      <c r="BO217">
        <v>185</v>
      </c>
      <c r="BQ217" t="s">
        <v>323</v>
      </c>
      <c r="BR217" t="str">
        <f>VLOOKUP(G217,Eras!$A$2:$C$10, 2, TRUE)</f>
        <v>lbr</v>
      </c>
      <c r="BS217" t="s">
        <v>373</v>
      </c>
      <c r="BT217" t="str">
        <f t="shared" si="72"/>
        <v>lbr_EMU</v>
      </c>
      <c r="BU217" t="str">
        <f t="shared" si="68"/>
        <v/>
      </c>
      <c r="BV217" t="str">
        <f t="shared" si="60"/>
        <v>electric_THIRD_RAIL</v>
      </c>
      <c r="BW217" t="str">
        <f>VLOOKUP($BV217, Constants!$M:$N, 2, FALSE)</f>
        <v>{BLACK}Powered by: {GOLD}750V DC</v>
      </c>
      <c r="BX217" t="str">
        <f t="shared" si="61"/>
        <v>{BLACK}Cars: {GOLD}2</v>
      </c>
      <c r="BY217" t="s">
        <v>663</v>
      </c>
      <c r="BZ217" t="str">
        <f t="shared" si="74"/>
        <v/>
      </c>
      <c r="CA217" t="str">
        <f t="shared" si="62"/>
        <v>{BLACK}Powered by: {GOLD}750V DC {BLACK}Cars: {GOLD}2{}{SILVER}The Class 456 is a two-car EMU used for inner suburban services - either as a single unit for services with low demand or coupled to other Class 456 or 455 units for higher capacity routes.</v>
      </c>
    </row>
    <row r="218" spans="1:79" x14ac:dyDescent="0.25">
      <c r="A218" t="s">
        <v>100</v>
      </c>
      <c r="B218" t="s">
        <v>263</v>
      </c>
      <c r="C218">
        <v>470</v>
      </c>
      <c r="D218" t="s">
        <v>452</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K218" t="s">
        <v>690</v>
      </c>
      <c r="AM218" t="s">
        <v>516</v>
      </c>
      <c r="AQ218">
        <v>32</v>
      </c>
      <c r="AR218" t="str">
        <f t="shared" si="63"/>
        <v/>
      </c>
      <c r="AS218">
        <v>-10</v>
      </c>
      <c r="AT218">
        <v>-15</v>
      </c>
      <c r="AU218">
        <f t="shared" si="64"/>
        <v>15</v>
      </c>
      <c r="AV218">
        <f t="shared" si="65"/>
        <v>3.5</v>
      </c>
      <c r="AW218">
        <f t="shared" si="66"/>
        <v>5.25</v>
      </c>
      <c r="AX218" s="4">
        <v>1</v>
      </c>
      <c r="AY218">
        <f t="shared" si="6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70"/>
        <v>37500</v>
      </c>
      <c r="BE218" s="15">
        <f t="shared" si="71"/>
        <v>6987.5</v>
      </c>
      <c r="BN218">
        <v>9</v>
      </c>
      <c r="BO218">
        <v>185</v>
      </c>
      <c r="BQ218" t="s">
        <v>323</v>
      </c>
      <c r="BR218" t="str">
        <f>VLOOKUP(G218,Eras!$A$2:$C$10, 2, TRUE)</f>
        <v>lbr</v>
      </c>
      <c r="BS218" t="s">
        <v>371</v>
      </c>
      <c r="BT218" t="str">
        <f t="shared" si="72"/>
        <v>lbr_DMU</v>
      </c>
      <c r="BU218" t="str">
        <f t="shared" si="68"/>
        <v/>
      </c>
      <c r="BV218" t="str">
        <f t="shared" si="60"/>
        <v>diesel_RAIL</v>
      </c>
      <c r="BW218" t="str">
        <f>VLOOKUP($BV218, Constants!$M:$N, 2, FALSE)</f>
        <v>{BLACK}Powered by: {GOLD}Diesel</v>
      </c>
      <c r="BX218" t="str">
        <f t="shared" si="61"/>
        <v>{BLACK}Cars: {GOLD}2</v>
      </c>
      <c r="BY218" t="s">
        <v>691</v>
      </c>
      <c r="BZ218" t="str">
        <f t="shared" si="74"/>
        <v/>
      </c>
      <c r="CA218" t="str">
        <f t="shared" si="62"/>
        <v>{BLACK}Powered by: {GOLD}Diesel {BLACK}Cars: {GOLD}2{}{SILVER}The Class 165 is a high capacity DMU with 2+3 seating.</v>
      </c>
    </row>
    <row r="219" spans="1:79" x14ac:dyDescent="0.25">
      <c r="A219" t="s">
        <v>85</v>
      </c>
      <c r="B219" t="s">
        <v>281</v>
      </c>
      <c r="C219">
        <v>472</v>
      </c>
      <c r="D219" t="s">
        <v>452</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K219" t="s">
        <v>626</v>
      </c>
      <c r="AM219" t="s">
        <v>514</v>
      </c>
      <c r="AQ219">
        <v>32</v>
      </c>
      <c r="AR219" t="str">
        <f t="shared" si="63"/>
        <v/>
      </c>
      <c r="AS219">
        <v>-10</v>
      </c>
      <c r="AT219">
        <v>-20</v>
      </c>
      <c r="AU219">
        <f t="shared" si="64"/>
        <v>15</v>
      </c>
      <c r="AV219">
        <f t="shared" si="65"/>
        <v>8.0400000000000009</v>
      </c>
      <c r="AW219">
        <f t="shared" si="66"/>
        <v>8.25</v>
      </c>
      <c r="AX219" s="4">
        <v>1</v>
      </c>
      <c r="AY219">
        <f t="shared" si="6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70"/>
        <v>63281.25</v>
      </c>
      <c r="BE219" s="15">
        <f t="shared" si="71"/>
        <v>7718.75</v>
      </c>
      <c r="BN219">
        <v>10</v>
      </c>
      <c r="BO219">
        <v>185</v>
      </c>
      <c r="BQ219" t="s">
        <v>323</v>
      </c>
      <c r="BR219" t="str">
        <f>VLOOKUP(G219,Eras!$A$2:$C$10, 2, TRUE)</f>
        <v>lbr</v>
      </c>
      <c r="BS219" t="s">
        <v>373</v>
      </c>
      <c r="BT219" t="str">
        <f t="shared" si="72"/>
        <v>lbr_EMU</v>
      </c>
      <c r="BU219" t="str">
        <f t="shared" si="68"/>
        <v/>
      </c>
      <c r="BV219" t="str">
        <f t="shared" si="60"/>
        <v>electric_THIRD_RAIL</v>
      </c>
      <c r="BW219" t="str">
        <f>VLOOKUP($BV219, Constants!$M:$N, 2, FALSE)</f>
        <v>{BLACK}Powered by: {GOLD}750V DC</v>
      </c>
      <c r="BX219" t="str">
        <f t="shared" si="61"/>
        <v>{BLACK}Cars: {GOLD}4</v>
      </c>
      <c r="BY219" t="s">
        <v>627</v>
      </c>
      <c r="BZ219" t="str">
        <f t="shared" si="74"/>
        <v/>
      </c>
      <c r="CA219" t="str">
        <f t="shared" si="62"/>
        <v>{BLACK}Powered by: {GOLD}750V DC {BLACK}Cars: {GOLD}4{}{SILVER}The BREL Networker was built by three different companies (ABB, Metro-Cammell and BREL) with minor detail differences between each manufacturer's output.</v>
      </c>
    </row>
    <row r="220" spans="1:79"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J220" s="13" t="s">
        <v>752</v>
      </c>
      <c r="AK220" t="s">
        <v>750</v>
      </c>
      <c r="AL220" t="s">
        <v>700</v>
      </c>
      <c r="AM220" t="s">
        <v>751</v>
      </c>
      <c r="AQ220">
        <v>25</v>
      </c>
      <c r="AR220" t="str">
        <f t="shared" si="63"/>
        <v/>
      </c>
      <c r="AT220">
        <v>-35</v>
      </c>
      <c r="AU220">
        <f t="shared" si="64"/>
        <v>30</v>
      </c>
      <c r="AV220">
        <f t="shared" si="65"/>
        <v>20</v>
      </c>
      <c r="AW220">
        <f t="shared" si="66"/>
        <v>11</v>
      </c>
      <c r="AX220" s="4">
        <v>1</v>
      </c>
      <c r="AY220">
        <f t="shared" si="6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70"/>
        <v>198437.5</v>
      </c>
      <c r="BE220" s="15">
        <f t="shared" si="71"/>
        <v>17143.75</v>
      </c>
      <c r="BM220" t="s">
        <v>1219</v>
      </c>
      <c r="BN220">
        <v>11</v>
      </c>
      <c r="BO220">
        <v>232</v>
      </c>
      <c r="BQ220" t="s">
        <v>323</v>
      </c>
      <c r="BR220" t="str">
        <f>VLOOKUP(G220,Eras!$A$2:$C$10, 2, TRUE)</f>
        <v>lbr</v>
      </c>
      <c r="BS220" t="s">
        <v>374</v>
      </c>
      <c r="BT220" t="str">
        <f t="shared" si="72"/>
        <v>lbr_EMU (Express)</v>
      </c>
      <c r="BU220" t="str">
        <f t="shared" si="68"/>
        <v/>
      </c>
      <c r="BV220" t="str">
        <f t="shared" si="60"/>
        <v>dual_electric_DUAL_POWER</v>
      </c>
      <c r="BW220" t="str">
        <f>VLOOKUP($BV220, Constants!$M:$N, 2, FALSE)</f>
        <v>{BLACK}Powered by: {GOLD}25kV AC / 750V DC</v>
      </c>
      <c r="BX220" t="str">
        <f t="shared" si="61"/>
        <v>{BLACK}Cars: {GOLD}20</v>
      </c>
      <c r="BY220" t="s">
        <v>753</v>
      </c>
      <c r="BZ220" t="str">
        <f t="shared" si="74"/>
        <v>{YELLOW}25% Bonus for long distance travel{}</v>
      </c>
      <c r="CA220" t="str">
        <f t="shared" si="6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9"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63"/>
        <v/>
      </c>
      <c r="AU221">
        <f t="shared" si="64"/>
        <v>30</v>
      </c>
      <c r="AV221">
        <f t="shared" si="65"/>
        <v>20</v>
      </c>
      <c r="AW221">
        <f t="shared" si="66"/>
        <v>11</v>
      </c>
      <c r="AX221" s="4">
        <v>1</v>
      </c>
      <c r="AY221">
        <f t="shared" si="6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70"/>
        <v>185156.25</v>
      </c>
      <c r="BE221" s="15">
        <f t="shared" si="71"/>
        <v>14056.25</v>
      </c>
      <c r="BM221" t="s">
        <v>1218</v>
      </c>
      <c r="BN221">
        <v>11</v>
      </c>
      <c r="BO221">
        <v>232</v>
      </c>
      <c r="BQ221" t="s">
        <v>323</v>
      </c>
      <c r="BR221" t="str">
        <f>VLOOKUP(G221,Eras!$A$2:$C$10, 2, TRUE)</f>
        <v>lbr</v>
      </c>
      <c r="BS221" t="s">
        <v>374</v>
      </c>
      <c r="BT221" t="str">
        <f t="shared" si="72"/>
        <v>lbr_EMU (Express)</v>
      </c>
      <c r="BU221" t="str">
        <f t="shared" si="68"/>
        <v/>
      </c>
      <c r="BV221" t="str">
        <f t="shared" si="60"/>
        <v>dual_electric_DUAL_POWER</v>
      </c>
      <c r="BW221" t="str">
        <f>VLOOKUP($BV221, Constants!$M:$N, 2, FALSE)</f>
        <v>{BLACK}Powered by: {GOLD}25kV AC / 750V DC</v>
      </c>
      <c r="BX221" t="str">
        <f t="shared" si="61"/>
        <v>{BLACK}Cars: {GOLD}8</v>
      </c>
      <c r="BY221" t="s">
        <v>753</v>
      </c>
      <c r="BZ221" t="str">
        <f t="shared" si="74"/>
        <v>{YELLOW}25% Bonus for long distance travel{}</v>
      </c>
      <c r="CA221" t="str">
        <f t="shared" si="6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9"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63"/>
        <v/>
      </c>
      <c r="AU222">
        <f t="shared" si="64"/>
        <v>30</v>
      </c>
      <c r="AV222">
        <f t="shared" si="65"/>
        <v>20</v>
      </c>
      <c r="AW222">
        <f t="shared" si="66"/>
        <v>11</v>
      </c>
      <c r="AX222" s="4">
        <v>1</v>
      </c>
      <c r="AY222">
        <f t="shared" si="6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70"/>
        <v>175781.25</v>
      </c>
      <c r="BE222" s="15">
        <f t="shared" si="71"/>
        <v>13325</v>
      </c>
      <c r="BM222" t="s">
        <v>1217</v>
      </c>
      <c r="BN222">
        <v>11</v>
      </c>
      <c r="BO222">
        <v>232</v>
      </c>
      <c r="BQ222" t="s">
        <v>323</v>
      </c>
      <c r="BR222" t="str">
        <f>VLOOKUP(G222,Eras!$A$2:$C$10, 2, TRUE)</f>
        <v>lbr</v>
      </c>
      <c r="BS222" t="s">
        <v>374</v>
      </c>
      <c r="BT222" t="str">
        <f t="shared" si="72"/>
        <v>lbr_EMU (Express)</v>
      </c>
      <c r="BU222" t="str">
        <f t="shared" si="68"/>
        <v/>
      </c>
      <c r="BV222" t="str">
        <f t="shared" si="60"/>
        <v>dual_electric_DUAL_POWER</v>
      </c>
      <c r="BW222" t="str">
        <f>VLOOKUP($BV222, Constants!$M:$N, 2, FALSE)</f>
        <v>{BLACK}Powered by: {GOLD}25kV AC / 750V DC</v>
      </c>
      <c r="BX222" t="str">
        <f t="shared" si="61"/>
        <v>{BLACK}Cars: {GOLD}5</v>
      </c>
      <c r="BY222" t="s">
        <v>753</v>
      </c>
      <c r="BZ222" t="str">
        <f t="shared" si="74"/>
        <v>{YELLOW}25% Bonus for long distance travel{}</v>
      </c>
      <c r="CA222" t="str">
        <f t="shared" si="6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9" x14ac:dyDescent="0.25">
      <c r="A223" t="s">
        <v>102</v>
      </c>
      <c r="B223" t="s">
        <v>219</v>
      </c>
      <c r="C223">
        <v>480</v>
      </c>
      <c r="D223" t="s">
        <v>452</v>
      </c>
      <c r="E223" t="s">
        <v>604</v>
      </c>
      <c r="F223" t="s">
        <v>603</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K223" t="s">
        <v>706</v>
      </c>
      <c r="AL223" t="s">
        <v>709</v>
      </c>
      <c r="AM223" t="s">
        <v>607</v>
      </c>
      <c r="AQ223">
        <v>30</v>
      </c>
      <c r="AR223" t="str">
        <f t="shared" si="63"/>
        <v/>
      </c>
      <c r="AS223">
        <v>-15</v>
      </c>
      <c r="AT223">
        <v>-40</v>
      </c>
      <c r="AU223">
        <f t="shared" si="64"/>
        <v>20</v>
      </c>
      <c r="AV223">
        <f t="shared" si="65"/>
        <v>6.6400000000000006</v>
      </c>
      <c r="AW223">
        <f t="shared" si="66"/>
        <v>8</v>
      </c>
      <c r="AX223" s="4">
        <v>1</v>
      </c>
      <c r="AY223">
        <f t="shared" si="6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70"/>
        <v>56250</v>
      </c>
      <c r="BE223" s="15">
        <f t="shared" si="71"/>
        <v>7881.25</v>
      </c>
      <c r="BN223">
        <v>2</v>
      </c>
      <c r="BO223">
        <v>185</v>
      </c>
      <c r="BQ223" t="s">
        <v>707</v>
      </c>
      <c r="BR223" t="str">
        <f>VLOOKUP(G223,Eras!$A$2:$C$10, 2, TRUE)</f>
        <v>prv</v>
      </c>
      <c r="BS223" t="s">
        <v>372</v>
      </c>
      <c r="BT223" t="str">
        <f t="shared" si="72"/>
        <v>prv_DMU (Express)</v>
      </c>
      <c r="BU223" t="str">
        <f t="shared" si="68"/>
        <v/>
      </c>
      <c r="BV223" t="str">
        <f t="shared" si="60"/>
        <v>dual_electric_DUAL_POWER</v>
      </c>
      <c r="BW223" t="str">
        <f>VLOOKUP($BV223, Constants!$M:$N, 2, FALSE)</f>
        <v>{BLACK}Powered by: {GOLD}25kV AC / 750V DC</v>
      </c>
      <c r="BX223" t="str">
        <f t="shared" si="61"/>
        <v>{BLACK}Cars: {GOLD}4</v>
      </c>
      <c r="BY223" t="s">
        <v>708</v>
      </c>
      <c r="BZ223" t="str">
        <f t="shared" si="74"/>
        <v/>
      </c>
      <c r="CA223" t="str">
        <f t="shared" si="62"/>
        <v>{BLACK}Powered by: {GOLD}25kV AC / 750V DC {BLACK}Cars: {GOLD}4{}{SILVER}The Class 325 is a multiple unit designed for carrying mail and parcels more economically than a locomotive-hauled train. It is based on Class 319 hardware.</v>
      </c>
    </row>
    <row r="224" spans="1:79" x14ac:dyDescent="0.25">
      <c r="A224" t="s">
        <v>90</v>
      </c>
      <c r="B224" t="s">
        <v>644</v>
      </c>
      <c r="C224">
        <v>482</v>
      </c>
      <c r="D224" t="s">
        <v>452</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K224" t="s">
        <v>643</v>
      </c>
      <c r="AM224" t="s">
        <v>332</v>
      </c>
      <c r="AQ224">
        <v>29</v>
      </c>
      <c r="AR224" t="str">
        <f t="shared" si="63"/>
        <v/>
      </c>
      <c r="AS224">
        <v>-15</v>
      </c>
      <c r="AT224">
        <v>-25</v>
      </c>
      <c r="AU224">
        <f t="shared" si="64"/>
        <v>20</v>
      </c>
      <c r="AV224">
        <f t="shared" si="65"/>
        <v>6.33</v>
      </c>
      <c r="AW224">
        <f t="shared" si="66"/>
        <v>9</v>
      </c>
      <c r="AX224" s="4">
        <v>1</v>
      </c>
      <c r="AY224">
        <f t="shared" si="6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70"/>
        <v>47656.25</v>
      </c>
      <c r="BE224" s="15">
        <f t="shared" si="71"/>
        <v>9018.75</v>
      </c>
      <c r="BK224" t="s">
        <v>1184</v>
      </c>
      <c r="BN224">
        <v>3</v>
      </c>
      <c r="BO224">
        <v>185</v>
      </c>
      <c r="BQ224" t="s">
        <v>323</v>
      </c>
      <c r="BR224" t="str">
        <f>VLOOKUP(G224,Eras!$A$2:$C$10, 2, TRUE)</f>
        <v>prv</v>
      </c>
      <c r="BS224" t="s">
        <v>371</v>
      </c>
      <c r="BT224" t="str">
        <f t="shared" si="72"/>
        <v>prv_DMU</v>
      </c>
      <c r="BU224" t="str">
        <f t="shared" si="68"/>
        <v/>
      </c>
      <c r="BV224" t="str">
        <f t="shared" si="60"/>
        <v>diesel_RAIL</v>
      </c>
      <c r="BW224" t="str">
        <f>VLOOKUP($BV224, Constants!$M:$N, 2, FALSE)</f>
        <v>{BLACK}Powered by: {GOLD}Diesel</v>
      </c>
      <c r="BX224" t="str">
        <f t="shared" si="61"/>
        <v>{BLACK}Cars: {GOLD}3</v>
      </c>
      <c r="BY224" t="s">
        <v>642</v>
      </c>
      <c r="BZ224" t="str">
        <f t="shared" si="74"/>
        <v/>
      </c>
      <c r="CA224" t="str">
        <f t="shared" si="62"/>
        <v>{BLACK}Powered by: {GOLD}Diesel {BLACK}Cars: {GOLD}3{}{SILVER}The Turbostar is a further development of the BR "Networker" units. It is used for regional and long distance services.</v>
      </c>
    </row>
    <row r="225" spans="1:79"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K225" t="s">
        <v>637</v>
      </c>
      <c r="AM225" t="s">
        <v>636</v>
      </c>
      <c r="AQ225">
        <v>27</v>
      </c>
      <c r="AR225">
        <f t="shared" si="63"/>
        <v>8</v>
      </c>
      <c r="AS225">
        <v>-15</v>
      </c>
      <c r="AT225">
        <v>-30</v>
      </c>
      <c r="AU225">
        <f t="shared" si="64"/>
        <v>20</v>
      </c>
      <c r="AV225">
        <f t="shared" si="65"/>
        <v>18.100000000000001</v>
      </c>
      <c r="AW225">
        <f t="shared" si="66"/>
        <v>12</v>
      </c>
      <c r="AX225" s="4">
        <v>1</v>
      </c>
      <c r="AY225">
        <f t="shared" si="6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70"/>
        <v>102343.75</v>
      </c>
      <c r="BE225" s="15">
        <f t="shared" si="71"/>
        <v>12268.75</v>
      </c>
      <c r="BM225" t="s">
        <v>1215</v>
      </c>
      <c r="BN225">
        <v>4</v>
      </c>
      <c r="BO225">
        <v>205</v>
      </c>
      <c r="BQ225" t="s">
        <v>323</v>
      </c>
      <c r="BR225" t="str">
        <f>VLOOKUP(G225,Eras!$A$2:$C$10, 2, TRUE)</f>
        <v>prv</v>
      </c>
      <c r="BS225" t="s">
        <v>374</v>
      </c>
      <c r="BT225" t="str">
        <f t="shared" si="72"/>
        <v>prv_EMU (Express)</v>
      </c>
      <c r="BU225" t="str">
        <f t="shared" si="68"/>
        <v/>
      </c>
      <c r="BV225" t="str">
        <f t="shared" si="60"/>
        <v>electric_THIRD_RAIL</v>
      </c>
      <c r="BW225" t="str">
        <f>VLOOKUP($BV225, Constants!$M:$N, 2, FALSE)</f>
        <v>{BLACK}Powered by: {GOLD}750V DC</v>
      </c>
      <c r="BX225" t="str">
        <f t="shared" si="61"/>
        <v>{BLACK}Cars: {GOLD}8</v>
      </c>
      <c r="BY225" t="s">
        <v>635</v>
      </c>
      <c r="BZ225" t="str">
        <f t="shared" si="74"/>
        <v>{YELLOW}10% Bonus for long distance travel{}</v>
      </c>
      <c r="CA225" t="str">
        <f t="shared" si="62"/>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79" x14ac:dyDescent="0.25">
      <c r="A226" t="s">
        <v>629</v>
      </c>
      <c r="B226" t="s">
        <v>1208</v>
      </c>
      <c r="C226">
        <v>485</v>
      </c>
      <c r="D226" t="s">
        <v>452</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K226" t="s">
        <v>1209</v>
      </c>
      <c r="AM226" t="s">
        <v>719</v>
      </c>
      <c r="AN226" t="s">
        <v>634</v>
      </c>
      <c r="AQ226">
        <v>27</v>
      </c>
      <c r="AR226">
        <f t="shared" si="63"/>
        <v>8</v>
      </c>
      <c r="AS226">
        <v>-15</v>
      </c>
      <c r="AT226">
        <v>-30</v>
      </c>
      <c r="AU226">
        <f t="shared" si="64"/>
        <v>20</v>
      </c>
      <c r="AV226">
        <f t="shared" si="65"/>
        <v>18.100000000000001</v>
      </c>
      <c r="AW226">
        <f t="shared" si="66"/>
        <v>12</v>
      </c>
      <c r="AX226" s="4">
        <v>1</v>
      </c>
      <c r="AY226">
        <f t="shared" si="6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70"/>
        <v>89843.75</v>
      </c>
      <c r="BE226" s="15">
        <f t="shared" si="71"/>
        <v>10968.75</v>
      </c>
      <c r="BM226" t="s">
        <v>1217</v>
      </c>
      <c r="BN226">
        <v>4</v>
      </c>
      <c r="BO226">
        <v>205</v>
      </c>
      <c r="BQ226" t="s">
        <v>323</v>
      </c>
      <c r="BR226" t="str">
        <f>VLOOKUP(G226,Eras!$A$2:$C$10, 2, TRUE)</f>
        <v>prv</v>
      </c>
      <c r="BS226" t="s">
        <v>374</v>
      </c>
      <c r="BT226" t="str">
        <f t="shared" si="72"/>
        <v>prv_EMU (Express)</v>
      </c>
      <c r="BU226" t="str">
        <f t="shared" si="68"/>
        <v/>
      </c>
      <c r="BV226" t="str">
        <f t="shared" si="60"/>
        <v>electric_THIRD_RAIL</v>
      </c>
      <c r="BW226" t="str">
        <f>VLOOKUP($BV226, Constants!$M:$N, 2, FALSE)</f>
        <v>{BLACK}Powered by: {GOLD}750V DC</v>
      </c>
      <c r="BX226" t="str">
        <f t="shared" si="61"/>
        <v>{BLACK}Cars: {GOLD}5</v>
      </c>
      <c r="BY226" t="s">
        <v>635</v>
      </c>
      <c r="BZ226" t="str">
        <f t="shared" si="74"/>
        <v>{YELLOW}10% Bonus for long distance travel{}</v>
      </c>
      <c r="CA226" t="str">
        <f t="shared" si="62"/>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79" x14ac:dyDescent="0.25">
      <c r="A227" t="s">
        <v>630</v>
      </c>
      <c r="B227" t="s">
        <v>711</v>
      </c>
      <c r="C227">
        <v>488</v>
      </c>
      <c r="D227" t="s">
        <v>452</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K227" t="s">
        <v>710</v>
      </c>
      <c r="AM227" t="s">
        <v>713</v>
      </c>
      <c r="AQ227">
        <v>29</v>
      </c>
      <c r="AR227" t="str">
        <f t="shared" si="63"/>
        <v/>
      </c>
      <c r="AS227">
        <v>-15</v>
      </c>
      <c r="AT227">
        <v>-35</v>
      </c>
      <c r="AU227">
        <f t="shared" si="64"/>
        <v>28</v>
      </c>
      <c r="AV227">
        <f t="shared" si="65"/>
        <v>20</v>
      </c>
      <c r="AW227">
        <f t="shared" si="66"/>
        <v>16.25</v>
      </c>
      <c r="AX227" s="4">
        <v>1</v>
      </c>
      <c r="AY227">
        <f t="shared" si="6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70"/>
        <v>171875</v>
      </c>
      <c r="BE227" s="15">
        <f t="shared" si="71"/>
        <v>14543.75</v>
      </c>
      <c r="BJ227">
        <v>1</v>
      </c>
      <c r="BM227" t="s">
        <v>1219</v>
      </c>
      <c r="BN227">
        <v>6</v>
      </c>
      <c r="BO227">
        <v>205</v>
      </c>
      <c r="BQ227" t="s">
        <v>323</v>
      </c>
      <c r="BR227" t="str">
        <f>VLOOKUP(G227,Eras!$A$2:$C$10, 2, TRUE)</f>
        <v>prv</v>
      </c>
      <c r="BS227" t="s">
        <v>374</v>
      </c>
      <c r="BT227" t="str">
        <f t="shared" si="72"/>
        <v>prv_EMU (Express)</v>
      </c>
      <c r="BU227" t="str">
        <f t="shared" si="68"/>
        <v/>
      </c>
      <c r="BV227" t="str">
        <f t="shared" si="60"/>
        <v>electric_ELRL</v>
      </c>
      <c r="BW227" t="str">
        <f>VLOOKUP($BV227, Constants!$M:$N, 2, FALSE)</f>
        <v>{BLACK}Powered by: {GOLD}25kV AC</v>
      </c>
      <c r="BX227" t="str">
        <f t="shared" si="61"/>
        <v>{BLACK}Cars: {GOLD}8</v>
      </c>
      <c r="BY227" t="s">
        <v>712</v>
      </c>
      <c r="BZ227" t="str">
        <f t="shared" si="74"/>
        <v>{YELLOW}10% Bonus for long distance travel{}</v>
      </c>
      <c r="CA227" t="str">
        <f t="shared" si="62"/>
        <v>{BLACK}Powered by: {GOLD}25kV AC {BLACK}Cars: {GOLD}8{}{YELLOW}10% Bonus for long distance travel{}{SILVER}The Pendolino is a tilting multiple unit with a design speed of 140mph.  The tilt system is supplied by Fiat Ferroviaria.</v>
      </c>
    </row>
    <row r="228" spans="1:79" x14ac:dyDescent="0.25">
      <c r="A228" t="s">
        <v>630</v>
      </c>
      <c r="B228" t="s">
        <v>1196</v>
      </c>
      <c r="C228">
        <v>489</v>
      </c>
      <c r="D228" t="s">
        <v>452</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K228" t="s">
        <v>1197</v>
      </c>
      <c r="AM228" t="s">
        <v>1198</v>
      </c>
      <c r="AN228" t="s">
        <v>711</v>
      </c>
      <c r="AQ228">
        <v>29</v>
      </c>
      <c r="AR228" t="str">
        <f t="shared" si="63"/>
        <v/>
      </c>
      <c r="AS228">
        <v>-15</v>
      </c>
      <c r="AT228">
        <v>-35</v>
      </c>
      <c r="AU228">
        <f t="shared" si="64"/>
        <v>28</v>
      </c>
      <c r="AV228">
        <f t="shared" si="65"/>
        <v>20</v>
      </c>
      <c r="AW228">
        <f t="shared" si="66"/>
        <v>16.25</v>
      </c>
      <c r="AX228" s="4">
        <v>1</v>
      </c>
      <c r="AY228">
        <f t="shared" si="6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70"/>
        <v>161718.75</v>
      </c>
      <c r="BE228" s="15">
        <f t="shared" si="71"/>
        <v>13812.5</v>
      </c>
      <c r="BJ228">
        <v>1</v>
      </c>
      <c r="BM228" t="s">
        <v>1218</v>
      </c>
      <c r="BN228">
        <v>6</v>
      </c>
      <c r="BO228">
        <v>205</v>
      </c>
      <c r="BQ228" t="s">
        <v>323</v>
      </c>
      <c r="BR228" t="str">
        <f>VLOOKUP(G228,Eras!$A$2:$C$10, 2, TRUE)</f>
        <v>prv</v>
      </c>
      <c r="BS228" t="s">
        <v>374</v>
      </c>
      <c r="BT228" t="str">
        <f t="shared" si="72"/>
        <v>prv_EMU (Express)</v>
      </c>
      <c r="BU228" t="str">
        <f t="shared" si="68"/>
        <v/>
      </c>
      <c r="BV228" t="str">
        <f t="shared" si="60"/>
        <v>electric_ELRL</v>
      </c>
      <c r="BW228" t="str">
        <f>VLOOKUP($BV228, Constants!$M:$N, 2, FALSE)</f>
        <v>{BLACK}Powered by: {GOLD}25kV AC</v>
      </c>
      <c r="BX228" t="str">
        <f t="shared" si="61"/>
        <v>{BLACK}Cars: {GOLD}6</v>
      </c>
      <c r="BY228" t="s">
        <v>712</v>
      </c>
      <c r="BZ228" t="str">
        <f t="shared" si="74"/>
        <v>{YELLOW}10% Bonus for long distance travel{}</v>
      </c>
      <c r="CA228" t="str">
        <f t="shared" si="62"/>
        <v>{BLACK}Powered by: {GOLD}25kV AC {BLACK}Cars: {GOLD}6{}{YELLOW}10% Bonus for long distance travel{}{SILVER}The Pendolino is a tilting multiple unit with a design speed of 140mph.  The tilt system is supplied by Fiat Ferroviaria.</v>
      </c>
    </row>
    <row r="229" spans="1:79" x14ac:dyDescent="0.25">
      <c r="A229" t="s">
        <v>630</v>
      </c>
      <c r="B229" t="s">
        <v>1212</v>
      </c>
      <c r="C229">
        <v>490</v>
      </c>
      <c r="D229" t="s">
        <v>452</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K229" t="s">
        <v>1213</v>
      </c>
      <c r="AM229" t="s">
        <v>1194</v>
      </c>
      <c r="AN229" t="s">
        <v>711</v>
      </c>
      <c r="AQ229">
        <v>29</v>
      </c>
      <c r="AR229" t="str">
        <f t="shared" si="63"/>
        <v/>
      </c>
      <c r="AS229">
        <v>-15</v>
      </c>
      <c r="AT229">
        <v>-35</v>
      </c>
      <c r="AU229">
        <f t="shared" si="64"/>
        <v>28</v>
      </c>
      <c r="AV229">
        <f t="shared" si="65"/>
        <v>20</v>
      </c>
      <c r="AW229">
        <f t="shared" si="66"/>
        <v>16.25</v>
      </c>
      <c r="AX229" s="4">
        <v>1</v>
      </c>
      <c r="AY229">
        <f t="shared" si="6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70"/>
        <v>152343.75</v>
      </c>
      <c r="BE229" s="15">
        <f t="shared" si="71"/>
        <v>13000</v>
      </c>
      <c r="BJ229">
        <v>1</v>
      </c>
      <c r="BM229" t="s">
        <v>1217</v>
      </c>
      <c r="BN229">
        <v>6</v>
      </c>
      <c r="BO229">
        <v>205</v>
      </c>
      <c r="BQ229" t="s">
        <v>323</v>
      </c>
      <c r="BR229" t="str">
        <f>VLOOKUP(G229,Eras!$A$2:$C$10, 2, TRUE)</f>
        <v>prv</v>
      </c>
      <c r="BS229" t="s">
        <v>374</v>
      </c>
      <c r="BT229" t="str">
        <f t="shared" si="72"/>
        <v>prv_EMU (Express)</v>
      </c>
      <c r="BU229" t="str">
        <f t="shared" si="68"/>
        <v/>
      </c>
      <c r="BV229" t="str">
        <f t="shared" si="60"/>
        <v>electric_ELRL</v>
      </c>
      <c r="BW229" t="str">
        <f>VLOOKUP($BV229, Constants!$M:$N, 2, FALSE)</f>
        <v>{BLACK}Powered by: {GOLD}25kV AC</v>
      </c>
      <c r="BX229" t="str">
        <f t="shared" si="61"/>
        <v>{BLACK}Cars: {GOLD}4</v>
      </c>
      <c r="BY229" t="s">
        <v>712</v>
      </c>
      <c r="BZ229" t="str">
        <f t="shared" si="74"/>
        <v>{YELLOW}10% Bonus for long distance travel{}</v>
      </c>
      <c r="CA229" t="str">
        <f t="shared" si="62"/>
        <v>{BLACK}Powered by: {GOLD}25kV AC {BLACK}Cars: {GOLD}4{}{YELLOW}10% Bonus for long distance travel{}{SILVER}The Pendolino is a tilting multiple unit with a design speed of 140mph.  The tilt system is supplied by Fiat Ferroviaria.</v>
      </c>
    </row>
    <row r="230" spans="1:79" x14ac:dyDescent="0.25">
      <c r="A230" t="s">
        <v>103</v>
      </c>
      <c r="B230" t="s">
        <v>260</v>
      </c>
      <c r="C230">
        <v>492</v>
      </c>
      <c r="D230" t="s">
        <v>452</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K230" t="s">
        <v>717</v>
      </c>
      <c r="AM230" t="s">
        <v>514</v>
      </c>
      <c r="AQ230">
        <v>29</v>
      </c>
      <c r="AR230" t="str">
        <f t="shared" si="63"/>
        <v/>
      </c>
      <c r="AS230">
        <v>-15</v>
      </c>
      <c r="AT230">
        <v>-35</v>
      </c>
      <c r="AU230">
        <f t="shared" si="64"/>
        <v>25</v>
      </c>
      <c r="AV230">
        <f t="shared" si="65"/>
        <v>15</v>
      </c>
      <c r="AW230">
        <f t="shared" si="66"/>
        <v>9.25</v>
      </c>
      <c r="AX230" s="4">
        <v>1</v>
      </c>
      <c r="AY230">
        <f t="shared" si="6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70"/>
        <v>93750</v>
      </c>
      <c r="BE230" s="15">
        <f t="shared" si="71"/>
        <v>12268.75</v>
      </c>
      <c r="BN230">
        <v>9</v>
      </c>
      <c r="BO230">
        <v>205</v>
      </c>
      <c r="BQ230" t="s">
        <v>323</v>
      </c>
      <c r="BR230" t="str">
        <f>VLOOKUP(G230,Eras!$A$2:$C$10, 2, TRUE)</f>
        <v>prv</v>
      </c>
      <c r="BS230" t="s">
        <v>372</v>
      </c>
      <c r="BT230" t="str">
        <f t="shared" si="72"/>
        <v>prv_DMU (Express)</v>
      </c>
      <c r="BU230" t="str">
        <f t="shared" si="68"/>
        <v/>
      </c>
      <c r="BV230" t="str">
        <f t="shared" si="60"/>
        <v>diesel_RAIL</v>
      </c>
      <c r="BW230" t="str">
        <f>VLOOKUP($BV230, Constants!$M:$N, 2, FALSE)</f>
        <v>{BLACK}Powered by: {GOLD}Diesel</v>
      </c>
      <c r="BX230" t="str">
        <f t="shared" si="61"/>
        <v>{BLACK}Cars: {GOLD}4</v>
      </c>
      <c r="BY230" t="s">
        <v>715</v>
      </c>
      <c r="BZ230" t="str">
        <f t="shared" si="74"/>
        <v>{YELLOW}10% Bonus for long distance travel{}</v>
      </c>
      <c r="CA230" t="str">
        <f t="shared" si="62"/>
        <v>{BLACK}Powered by: {GOLD}Diesel {BLACK}Cars: {GOLD}4{}{YELLOW}10% Bonus for long distance travel{}{SILVER}The Voyager is a high speed diesel multiple unit, built to replace both the HST and locomotive-hauled passenger services on the Cross Country route.</v>
      </c>
    </row>
    <row r="231" spans="1:79" x14ac:dyDescent="0.25">
      <c r="A231" t="s">
        <v>104</v>
      </c>
      <c r="B231" t="s">
        <v>259</v>
      </c>
      <c r="C231">
        <v>494</v>
      </c>
      <c r="D231" t="s">
        <v>452</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K231" t="s">
        <v>718</v>
      </c>
      <c r="AM231" t="s">
        <v>719</v>
      </c>
      <c r="AN231" t="s">
        <v>260</v>
      </c>
      <c r="AQ231">
        <v>29</v>
      </c>
      <c r="AR231" t="str">
        <f t="shared" si="63"/>
        <v/>
      </c>
      <c r="AS231">
        <v>-15</v>
      </c>
      <c r="AT231">
        <v>-35</v>
      </c>
      <c r="AU231">
        <f t="shared" si="64"/>
        <v>25</v>
      </c>
      <c r="AV231">
        <f t="shared" si="65"/>
        <v>18.75</v>
      </c>
      <c r="AW231">
        <f t="shared" si="66"/>
        <v>13.5</v>
      </c>
      <c r="AX231" s="4">
        <v>1</v>
      </c>
      <c r="AY231">
        <f t="shared" si="6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70"/>
        <v>114062.5</v>
      </c>
      <c r="BE231" s="15">
        <f t="shared" si="71"/>
        <v>14543.75</v>
      </c>
      <c r="BJ231">
        <v>1</v>
      </c>
      <c r="BM231" t="s">
        <v>1215</v>
      </c>
      <c r="BN231">
        <v>10</v>
      </c>
      <c r="BO231">
        <v>205</v>
      </c>
      <c r="BQ231" t="s">
        <v>323</v>
      </c>
      <c r="BR231" t="str">
        <f>VLOOKUP(G231,Eras!$A$2:$C$10, 2, TRUE)</f>
        <v>prv</v>
      </c>
      <c r="BS231" t="s">
        <v>372</v>
      </c>
      <c r="BT231" t="str">
        <f t="shared" si="72"/>
        <v>prv_DMU (Express)</v>
      </c>
      <c r="BU231" t="str">
        <f t="shared" si="68"/>
        <v/>
      </c>
      <c r="BV231" t="str">
        <f t="shared" si="60"/>
        <v>diesel_RAIL</v>
      </c>
      <c r="BW231" t="str">
        <f>VLOOKUP($BV231, Constants!$M:$N, 2, FALSE)</f>
        <v>{BLACK}Powered by: {GOLD}Diesel</v>
      </c>
      <c r="BX231" t="str">
        <f t="shared" si="61"/>
        <v>{BLACK}Cars: {GOLD}5</v>
      </c>
      <c r="BY231" t="s">
        <v>716</v>
      </c>
      <c r="BZ231" t="str">
        <f t="shared" si="74"/>
        <v>{YELLOW}10% Bonus for long distance travel{}</v>
      </c>
      <c r="CA231" t="str">
        <f t="shared" si="62"/>
        <v>{BLACK}Powered by: {GOLD}Diesel {BLACK}Cars: {GOLD}5{}{YELLOW}10% Bonus for long distance travel{}{SILVER}The Class 221 is outwardly very similar to the Class 220, but internally it has different bogies and features a tilt mechanism for faster cornering.</v>
      </c>
    </row>
    <row r="232" spans="1:79" x14ac:dyDescent="0.25">
      <c r="A232" t="s">
        <v>104</v>
      </c>
      <c r="B232" t="s">
        <v>1205</v>
      </c>
      <c r="C232">
        <v>495</v>
      </c>
      <c r="D232" t="s">
        <v>452</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K232" t="s">
        <v>717</v>
      </c>
      <c r="AM232" t="s">
        <v>1194</v>
      </c>
      <c r="AN232" t="s">
        <v>260</v>
      </c>
      <c r="AQ232">
        <v>29</v>
      </c>
      <c r="AR232" t="str">
        <f t="shared" si="63"/>
        <v/>
      </c>
      <c r="AS232">
        <v>-15</v>
      </c>
      <c r="AT232">
        <v>-35</v>
      </c>
      <c r="AU232">
        <f t="shared" si="64"/>
        <v>25</v>
      </c>
      <c r="AV232">
        <f t="shared" si="65"/>
        <v>18.75</v>
      </c>
      <c r="AW232">
        <f t="shared" si="66"/>
        <v>13.5</v>
      </c>
      <c r="AX232" s="4">
        <v>1</v>
      </c>
      <c r="AY232">
        <f t="shared" si="6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70"/>
        <v>110156.25</v>
      </c>
      <c r="BE232" s="15">
        <f t="shared" si="71"/>
        <v>14137.5</v>
      </c>
      <c r="BJ232">
        <v>1</v>
      </c>
      <c r="BM232" t="s">
        <v>1217</v>
      </c>
      <c r="BN232">
        <v>10</v>
      </c>
      <c r="BO232">
        <v>205</v>
      </c>
      <c r="BQ232" t="s">
        <v>323</v>
      </c>
      <c r="BR232" t="str">
        <f>VLOOKUP(G232,Eras!$A$2:$C$10, 2, TRUE)</f>
        <v>prv</v>
      </c>
      <c r="BS232" t="s">
        <v>372</v>
      </c>
      <c r="BT232" t="str">
        <f t="shared" si="72"/>
        <v>prv_DMU (Express)</v>
      </c>
      <c r="BU232" t="str">
        <f t="shared" si="68"/>
        <v/>
      </c>
      <c r="BV232" t="str">
        <f t="shared" si="60"/>
        <v>diesel_RAIL</v>
      </c>
      <c r="BW232" t="str">
        <f>VLOOKUP($BV232, Constants!$M:$N, 2, FALSE)</f>
        <v>{BLACK}Powered by: {GOLD}Diesel</v>
      </c>
      <c r="BX232" t="str">
        <f t="shared" si="61"/>
        <v>{BLACK}Cars: {GOLD}4</v>
      </c>
      <c r="BY232" t="s">
        <v>716</v>
      </c>
      <c r="BZ232" t="str">
        <f t="shared" si="74"/>
        <v>{YELLOW}10% Bonus for long distance travel{}</v>
      </c>
      <c r="CA232" t="str">
        <f t="shared" si="62"/>
        <v>{BLACK}Powered by: {GOLD}Diesel {BLACK}Cars: {GOLD}4{}{YELLOW}10% Bonus for long distance travel{}{SILVER}The Class 221 is outwardly very similar to the Class 220, but internally it has different bogies and features a tilt mechanism for faster cornering.</v>
      </c>
    </row>
    <row r="233" spans="1:79" x14ac:dyDescent="0.25">
      <c r="A233" t="s">
        <v>84</v>
      </c>
      <c r="B233" t="s">
        <v>639</v>
      </c>
      <c r="C233">
        <v>498</v>
      </c>
      <c r="D233" t="s">
        <v>452</v>
      </c>
      <c r="E233" t="s">
        <v>604</v>
      </c>
      <c r="F233" t="s">
        <v>603</v>
      </c>
      <c r="G233">
        <v>2003</v>
      </c>
      <c r="J233">
        <v>4</v>
      </c>
      <c r="K233">
        <v>1600</v>
      </c>
      <c r="T233">
        <v>173.6</v>
      </c>
      <c r="V233">
        <f t="shared" si="73"/>
        <v>32</v>
      </c>
      <c r="W233">
        <v>175</v>
      </c>
      <c r="X233" s="4">
        <f t="shared" si="75"/>
        <v>0.10080645161290322</v>
      </c>
      <c r="Y233">
        <v>100</v>
      </c>
      <c r="AA233">
        <v>20.399999999999999</v>
      </c>
      <c r="AB233">
        <v>20.399999999999999</v>
      </c>
      <c r="AD233">
        <v>3.78</v>
      </c>
      <c r="AE233" s="11">
        <v>60</v>
      </c>
      <c r="AF233" t="str">
        <f>CONCATENATE(VLOOKUP(AG233, 'Voxel Sizes'!$A$2:$B$18,2,FALSE),"x",INT(AC233*15), "x", INT(AD233*15))</f>
        <v>198x0x56</v>
      </c>
      <c r="AG233">
        <f t="shared" si="69"/>
        <v>12</v>
      </c>
      <c r="AI233" t="str">
        <f>CONCATENATE(VLOOKUP(AG233,Constants!$A$2:$C$16,IF(AH233&lt;&gt;"", 3, 2), FALSE),IF(AH233&lt;&gt;"",CONCATENATE(",",VLOOKUP(AH233,$B:$AI,34,FALSE)),""))</f>
        <v>4,4,4</v>
      </c>
      <c r="AK233" t="s">
        <v>640</v>
      </c>
      <c r="AL233" t="s">
        <v>641</v>
      </c>
      <c r="AM233" t="s">
        <v>607</v>
      </c>
      <c r="AQ233">
        <v>29</v>
      </c>
      <c r="AR233" t="str">
        <f t="shared" si="63"/>
        <v/>
      </c>
      <c r="AS233">
        <v>-15</v>
      </c>
      <c r="AT233">
        <v>-30</v>
      </c>
      <c r="AU233">
        <f t="shared" si="64"/>
        <v>20</v>
      </c>
      <c r="AV233">
        <f t="shared" si="65"/>
        <v>8</v>
      </c>
      <c r="AW233">
        <f t="shared" si="66"/>
        <v>8.75</v>
      </c>
      <c r="AX233" s="4">
        <v>1</v>
      </c>
      <c r="AY233">
        <f t="shared" si="6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si="70"/>
        <v>64062.5</v>
      </c>
      <c r="BE233" s="15">
        <f t="shared" si="71"/>
        <v>7800</v>
      </c>
      <c r="BN233">
        <v>12</v>
      </c>
      <c r="BO233">
        <v>185</v>
      </c>
      <c r="BQ233" t="s">
        <v>323</v>
      </c>
      <c r="BR233" t="str">
        <f>VLOOKUP(G233,Eras!$A$2:$C$10, 2, TRUE)</f>
        <v>prv</v>
      </c>
      <c r="BS233" t="s">
        <v>373</v>
      </c>
      <c r="BT233" t="str">
        <f t="shared" si="72"/>
        <v>prv_EMU</v>
      </c>
      <c r="BU233" t="str">
        <f t="shared" si="68"/>
        <v/>
      </c>
      <c r="BV233" t="str">
        <f t="shared" si="60"/>
        <v>dual_electric_DUAL_POWER</v>
      </c>
      <c r="BW233" t="str">
        <f>VLOOKUP($BV233, Constants!$M:$N, 2, FALSE)</f>
        <v>{BLACK}Powered by: {GOLD}25kV AC / 750V DC</v>
      </c>
      <c r="BX233" t="str">
        <f t="shared" si="61"/>
        <v>{BLACK}Cars: {GOLD}4</v>
      </c>
      <c r="BY233" t="s">
        <v>638</v>
      </c>
      <c r="BZ233" t="str">
        <f t="shared" si="74"/>
        <v/>
      </c>
      <c r="CA233" t="str">
        <f t="shared" si="62"/>
        <v>{BLACK}Powered by: {GOLD}25kV AC / 750V DC {BLACK}Cars: {GOLD}4{}{SILVER}The Class 377 is a dual-voltage EMU, and is a common sight around London and South East England.</v>
      </c>
    </row>
    <row r="234" spans="1:79" x14ac:dyDescent="0.25">
      <c r="A234" t="s">
        <v>92</v>
      </c>
      <c r="B234" t="s">
        <v>257</v>
      </c>
      <c r="C234">
        <v>500</v>
      </c>
      <c r="D234" t="s">
        <v>452</v>
      </c>
      <c r="E234" t="s">
        <v>336</v>
      </c>
      <c r="F234" t="s">
        <v>343</v>
      </c>
      <c r="G234">
        <v>2003</v>
      </c>
      <c r="H234">
        <v>2006</v>
      </c>
      <c r="J234">
        <v>4</v>
      </c>
      <c r="K234">
        <v>2010</v>
      </c>
      <c r="T234">
        <v>170</v>
      </c>
      <c r="V234">
        <f t="shared" si="73"/>
        <v>32</v>
      </c>
      <c r="W234">
        <v>180</v>
      </c>
      <c r="X234" s="4">
        <f t="shared" si="75"/>
        <v>0.10588235294117647</v>
      </c>
      <c r="Y234">
        <v>100</v>
      </c>
      <c r="AA234">
        <v>20.399999999999999</v>
      </c>
      <c r="AB234">
        <v>20.399999999999999</v>
      </c>
      <c r="AC234">
        <v>2.8</v>
      </c>
      <c r="AE234" s="11">
        <v>66</v>
      </c>
      <c r="AF234" t="str">
        <f>CONCATENATE(VLOOKUP(AG234, 'Voxel Sizes'!$A$2:$B$18,2,FALSE),"x",INT(AC234*15), "x", INT(AD234*15))</f>
        <v>198x42x0</v>
      </c>
      <c r="AG234">
        <f t="shared" si="69"/>
        <v>12</v>
      </c>
      <c r="AI234" t="str">
        <f>CONCATENATE(VLOOKUP(AG234,Constants!$A$2:$C$16,IF(AH234&lt;&gt;"", 3, 2), FALSE),IF(AH234&lt;&gt;"",CONCATENATE(",",VLOOKUP(AH234,$B:$AI,34,FALSE)),""))</f>
        <v>4,4,4</v>
      </c>
      <c r="AK234" t="s">
        <v>657</v>
      </c>
      <c r="AM234" t="s">
        <v>607</v>
      </c>
      <c r="AQ234">
        <v>28</v>
      </c>
      <c r="AR234" t="str">
        <f t="shared" si="63"/>
        <v/>
      </c>
      <c r="AS234">
        <v>-15</v>
      </c>
      <c r="AT234">
        <v>-30</v>
      </c>
      <c r="AU234">
        <f t="shared" si="64"/>
        <v>20</v>
      </c>
      <c r="AV234">
        <f t="shared" si="65"/>
        <v>10.049999999999999</v>
      </c>
      <c r="AW234">
        <f t="shared" si="66"/>
        <v>9</v>
      </c>
      <c r="AX234" s="4">
        <v>1</v>
      </c>
      <c r="AY234">
        <f t="shared" si="6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70"/>
        <v>65625</v>
      </c>
      <c r="BE234" s="15">
        <f t="shared" si="71"/>
        <v>8368.75</v>
      </c>
      <c r="BK234" t="s">
        <v>258</v>
      </c>
      <c r="BN234">
        <v>1</v>
      </c>
      <c r="BO234">
        <v>185</v>
      </c>
      <c r="BQ234" t="s">
        <v>323</v>
      </c>
      <c r="BR234" t="str">
        <f>VLOOKUP(G234,Eras!$A$2:$C$10, 2, TRUE)</f>
        <v>prv</v>
      </c>
      <c r="BS234" t="s">
        <v>373</v>
      </c>
      <c r="BT234" t="str">
        <f t="shared" si="72"/>
        <v>prv_EMU</v>
      </c>
      <c r="BU234" t="str">
        <f t="shared" si="68"/>
        <v/>
      </c>
      <c r="BV234" t="str">
        <f t="shared" si="60"/>
        <v>electric_THIRD_RAIL</v>
      </c>
      <c r="BW234" t="str">
        <f>VLOOKUP($BV234, Constants!$M:$N, 2, FALSE)</f>
        <v>{BLACK}Powered by: {GOLD}750V DC</v>
      </c>
      <c r="BX234" t="str">
        <f t="shared" si="61"/>
        <v>{BLACK}Cars: {GOLD}4</v>
      </c>
      <c r="BY234" t="s">
        <v>655</v>
      </c>
      <c r="BZ234" t="str">
        <f t="shared" si="74"/>
        <v/>
      </c>
      <c r="CA234" t="str">
        <f t="shared" si="62"/>
        <v>{BLACK}Powered by: {GOLD}750V DC {BLACK}Cars: {GOLD}4{}{SILVER}The Class 450 was designed for South West Trains to replace all slam-door stock. The large order meant the Class 450 became the most numerous type of Desiro unit in the UK.</v>
      </c>
    </row>
    <row r="235" spans="1:79" x14ac:dyDescent="0.25">
      <c r="A235" t="s">
        <v>101</v>
      </c>
      <c r="B235" t="s">
        <v>703</v>
      </c>
      <c r="C235">
        <v>510</v>
      </c>
      <c r="D235" t="s">
        <v>452</v>
      </c>
      <c r="E235" t="s">
        <v>312</v>
      </c>
      <c r="F235" t="s">
        <v>314</v>
      </c>
      <c r="G235">
        <v>2019</v>
      </c>
      <c r="J235">
        <v>2</v>
      </c>
      <c r="K235">
        <f>523*2</f>
        <v>1046</v>
      </c>
      <c r="T235">
        <v>80</v>
      </c>
      <c r="V235">
        <f t="shared" si="73"/>
        <v>16</v>
      </c>
      <c r="W235">
        <v>145</v>
      </c>
      <c r="X235" s="4">
        <f t="shared" si="75"/>
        <v>0.18124999999999999</v>
      </c>
      <c r="Y235">
        <v>100</v>
      </c>
      <c r="AA235">
        <v>24</v>
      </c>
      <c r="AB235">
        <v>24</v>
      </c>
      <c r="AC235">
        <v>2.7</v>
      </c>
      <c r="AD235">
        <v>3.85</v>
      </c>
      <c r="AE235" s="11">
        <v>63</v>
      </c>
      <c r="AF235" t="str">
        <f>CONCATENATE(VLOOKUP(AG235, 'Voxel Sizes'!$A$2:$B$18,2,FALSE),"x",INT(AC235*15), "x", INT(AD235*15))</f>
        <v>238x40x57</v>
      </c>
      <c r="AG235">
        <f t="shared" si="69"/>
        <v>14</v>
      </c>
      <c r="AI235" t="str">
        <f>CONCATENATE(VLOOKUP(AG235,Constants!$A$2:$C$16,IF(AH235&lt;&gt;"", 3, 2), FALSE),IF(AH235&lt;&gt;"",CONCATENATE(",",VLOOKUP(AH235,$B:$AI,34,FALSE)),""))</f>
        <v>4,6,4</v>
      </c>
      <c r="AK235" t="s">
        <v>704</v>
      </c>
      <c r="AM235" t="s">
        <v>516</v>
      </c>
      <c r="AQ235">
        <v>30</v>
      </c>
      <c r="AR235" t="str">
        <f t="shared" si="63"/>
        <v/>
      </c>
      <c r="AS235">
        <v>-15</v>
      </c>
      <c r="AT235">
        <v>-25</v>
      </c>
      <c r="AU235">
        <f t="shared" si="64"/>
        <v>20</v>
      </c>
      <c r="AV235">
        <f t="shared" si="65"/>
        <v>5.23</v>
      </c>
      <c r="AW235">
        <f t="shared" si="66"/>
        <v>7.25</v>
      </c>
      <c r="AX235" s="4">
        <v>1</v>
      </c>
      <c r="AY235">
        <f t="shared" si="6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70"/>
        <v>39843.75</v>
      </c>
      <c r="BE235" s="15">
        <f t="shared" si="71"/>
        <v>7962.5</v>
      </c>
      <c r="BN235">
        <v>2</v>
      </c>
      <c r="BO235">
        <v>185</v>
      </c>
      <c r="BQ235" t="s">
        <v>323</v>
      </c>
      <c r="BR235" t="str">
        <f>VLOOKUP(G235,Eras!$A$2:$C$10, 2, TRUE)</f>
        <v>mod</v>
      </c>
      <c r="BS235" t="s">
        <v>371</v>
      </c>
      <c r="BT235" t="str">
        <f t="shared" si="72"/>
        <v>mod_DMU</v>
      </c>
      <c r="BU235" t="str">
        <f t="shared" si="68"/>
        <v/>
      </c>
      <c r="BV235" t="str">
        <f t="shared" si="60"/>
        <v>diesel_RAIL</v>
      </c>
      <c r="BW235" t="str">
        <f>VLOOKUP($BV235, Constants!$M:$N, 2, FALSE)</f>
        <v>{BLACK}Powered by: {GOLD}Diesel</v>
      </c>
      <c r="BX235" t="str">
        <f t="shared" si="61"/>
        <v>{BLACK}Cars: {GOLD}2</v>
      </c>
      <c r="BY235" t="s">
        <v>705</v>
      </c>
      <c r="BZ235" t="str">
        <f t="shared" si="74"/>
        <v/>
      </c>
      <c r="CA235" t="str">
        <f t="shared" si="62"/>
        <v>{BLACK}Powered by: {GOLD}Diesel {BLACK}Cars: {GOLD}2{}{SILVER}The Class 195 is designed to replace Sprinter and Pacer units with a multiple unit of far higher quality and passenger comfort.</v>
      </c>
    </row>
    <row r="236" spans="1:79" x14ac:dyDescent="0.25">
      <c r="A236" t="s">
        <v>93</v>
      </c>
      <c r="B236" t="s">
        <v>258</v>
      </c>
      <c r="C236">
        <v>502</v>
      </c>
      <c r="D236" t="s">
        <v>452</v>
      </c>
      <c r="E236" t="s">
        <v>336</v>
      </c>
      <c r="F236" t="s">
        <v>343</v>
      </c>
      <c r="G236">
        <v>2004</v>
      </c>
      <c r="J236">
        <v>5</v>
      </c>
      <c r="K236">
        <v>2680</v>
      </c>
      <c r="T236">
        <v>227</v>
      </c>
      <c r="V236">
        <f t="shared" si="73"/>
        <v>40</v>
      </c>
      <c r="W236">
        <v>210</v>
      </c>
      <c r="X236" s="4">
        <f t="shared" si="75"/>
        <v>9.2511013215859028E-2</v>
      </c>
      <c r="Y236">
        <v>100</v>
      </c>
      <c r="AA236">
        <v>23</v>
      </c>
      <c r="AB236">
        <v>23</v>
      </c>
      <c r="AC236">
        <v>2.8</v>
      </c>
      <c r="AE236" s="11">
        <v>66</v>
      </c>
      <c r="AF236" t="str">
        <f>CONCATENATE(VLOOKUP(AG236, 'Voxel Sizes'!$A$2:$B$18,2,FALSE),"x",INT(AC236*15), "x", INT(AD236*15))</f>
        <v>214x42x0</v>
      </c>
      <c r="AG236">
        <f t="shared" si="69"/>
        <v>13</v>
      </c>
      <c r="AI236" t="str">
        <f>CONCATENATE(VLOOKUP(AG236,Constants!$A$2:$C$16,IF(AH236&lt;&gt;"", 3, 2), FALSE),IF(AH236&lt;&gt;"",CONCATENATE(",",VLOOKUP(AH236,$B:$AI,34,FALSE)),""))</f>
        <v>4,5,4</v>
      </c>
      <c r="AK236" t="s">
        <v>658</v>
      </c>
      <c r="AM236" t="s">
        <v>659</v>
      </c>
      <c r="AQ236">
        <v>28</v>
      </c>
      <c r="AR236" t="str">
        <f t="shared" si="63"/>
        <v/>
      </c>
      <c r="AS236">
        <v>-15</v>
      </c>
      <c r="AT236">
        <v>-35</v>
      </c>
      <c r="AU236">
        <f t="shared" si="64"/>
        <v>20</v>
      </c>
      <c r="AV236">
        <f t="shared" si="65"/>
        <v>13.4</v>
      </c>
      <c r="AW236">
        <f t="shared" si="66"/>
        <v>10.5</v>
      </c>
      <c r="AX236" s="4">
        <v>1</v>
      </c>
      <c r="AY236">
        <f t="shared" si="6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70"/>
        <v>74218.75</v>
      </c>
      <c r="BE236" s="15">
        <f t="shared" si="71"/>
        <v>9668.75</v>
      </c>
      <c r="BK236" t="s">
        <v>257</v>
      </c>
      <c r="BM236" t="s">
        <v>1215</v>
      </c>
      <c r="BN236">
        <v>3</v>
      </c>
      <c r="BO236">
        <v>205</v>
      </c>
      <c r="BQ236" t="s">
        <v>323</v>
      </c>
      <c r="BR236" t="str">
        <f>VLOOKUP(G236,Eras!$A$2:$C$10, 2, TRUE)</f>
        <v>prv</v>
      </c>
      <c r="BS236" t="s">
        <v>374</v>
      </c>
      <c r="BT236" t="str">
        <f t="shared" si="72"/>
        <v>prv_EMU (Express)</v>
      </c>
      <c r="BU236" t="str">
        <f t="shared" si="68"/>
        <v/>
      </c>
      <c r="BV236" t="str">
        <f t="shared" si="60"/>
        <v>electric_THIRD_RAIL</v>
      </c>
      <c r="BW236" t="str">
        <f>VLOOKUP($BV236, Constants!$M:$N, 2, FALSE)</f>
        <v>{BLACK}Powered by: {GOLD}750V DC</v>
      </c>
      <c r="BX236" t="str">
        <f t="shared" si="61"/>
        <v>{BLACK}Cars: {GOLD}5</v>
      </c>
      <c r="BY236" t="s">
        <v>656</v>
      </c>
      <c r="BZ236" t="str">
        <f t="shared" si="74"/>
        <v>{YELLOW}10% Bonus for long distance travel{}</v>
      </c>
      <c r="CA236" t="str">
        <f t="shared" si="6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9" x14ac:dyDescent="0.25">
      <c r="A237" t="s">
        <v>93</v>
      </c>
      <c r="B237" t="s">
        <v>1206</v>
      </c>
      <c r="C237">
        <v>503</v>
      </c>
      <c r="D237" t="s">
        <v>452</v>
      </c>
      <c r="E237" t="s">
        <v>336</v>
      </c>
      <c r="F237" t="s">
        <v>343</v>
      </c>
      <c r="G237">
        <v>2004</v>
      </c>
      <c r="J237">
        <v>4</v>
      </c>
      <c r="K237">
        <v>2680</v>
      </c>
      <c r="T237">
        <f>227/5*4</f>
        <v>181.6</v>
      </c>
      <c r="V237">
        <f t="shared" si="73"/>
        <v>32</v>
      </c>
      <c r="W237">
        <v>210</v>
      </c>
      <c r="X237" s="4">
        <f t="shared" si="75"/>
        <v>0.11563876651982379</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K237" t="s">
        <v>1207</v>
      </c>
      <c r="AM237" t="s">
        <v>1194</v>
      </c>
      <c r="AN237" t="s">
        <v>258</v>
      </c>
      <c r="AQ237">
        <v>28</v>
      </c>
      <c r="AR237" t="str">
        <f t="shared" si="63"/>
        <v/>
      </c>
      <c r="AS237">
        <v>-15</v>
      </c>
      <c r="AT237">
        <v>-35</v>
      </c>
      <c r="AU237">
        <f t="shared" si="64"/>
        <v>20</v>
      </c>
      <c r="AV237">
        <f t="shared" si="65"/>
        <v>13.4</v>
      </c>
      <c r="AW237">
        <f t="shared" si="66"/>
        <v>10.5</v>
      </c>
      <c r="AX237" s="4">
        <v>1</v>
      </c>
      <c r="AY237">
        <f t="shared" si="6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70"/>
        <v>70312.5</v>
      </c>
      <c r="BE237" s="15">
        <f t="shared" si="71"/>
        <v>9262.5</v>
      </c>
      <c r="BK237" t="s">
        <v>257</v>
      </c>
      <c r="BM237" t="s">
        <v>1217</v>
      </c>
      <c r="BN237">
        <v>4</v>
      </c>
      <c r="BO237">
        <v>205</v>
      </c>
      <c r="BQ237" t="s">
        <v>323</v>
      </c>
      <c r="BR237" t="str">
        <f>VLOOKUP(G237,Eras!$A$2:$C$10, 2, TRUE)</f>
        <v>prv</v>
      </c>
      <c r="BS237" t="s">
        <v>374</v>
      </c>
      <c r="BT237" t="str">
        <f t="shared" si="72"/>
        <v>prv_EMU (Express)</v>
      </c>
      <c r="BU237" t="str">
        <f t="shared" si="68"/>
        <v/>
      </c>
      <c r="BV237" t="str">
        <f t="shared" si="60"/>
        <v>electric_THIRD_RAIL</v>
      </c>
      <c r="BW237" t="str">
        <f>VLOOKUP($BV237, Constants!$M:$N, 2, FALSE)</f>
        <v>{BLACK}Powered by: {GOLD}750V DC</v>
      </c>
      <c r="BX237" t="str">
        <f t="shared" si="61"/>
        <v>{BLACK}Cars: {GOLD}4</v>
      </c>
      <c r="BY237" t="s">
        <v>656</v>
      </c>
      <c r="BZ237" t="str">
        <f t="shared" si="74"/>
        <v>{YELLOW}10% Bonus for long distance travel{}</v>
      </c>
      <c r="CA237" t="str">
        <f t="shared" si="6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9" x14ac:dyDescent="0.25">
      <c r="A238" t="s">
        <v>86</v>
      </c>
      <c r="B238" t="s">
        <v>282</v>
      </c>
      <c r="C238">
        <v>506</v>
      </c>
      <c r="D238" t="s">
        <v>168</v>
      </c>
      <c r="E238" t="s">
        <v>336</v>
      </c>
      <c r="F238" t="s">
        <v>337</v>
      </c>
      <c r="G238">
        <v>2007</v>
      </c>
      <c r="H238">
        <v>2009</v>
      </c>
      <c r="K238">
        <f>16*280</f>
        <v>4480</v>
      </c>
      <c r="T238">
        <v>265</v>
      </c>
      <c r="X238" s="4" t="str">
        <f t="shared" si="75"/>
        <v/>
      </c>
      <c r="Y238">
        <v>157</v>
      </c>
      <c r="AA238">
        <v>20.88</v>
      </c>
      <c r="AB238">
        <v>20.88</v>
      </c>
      <c r="AD238">
        <v>3.82</v>
      </c>
      <c r="AE238" s="11">
        <v>352</v>
      </c>
      <c r="AF238" t="str">
        <f>CONCATENATE(VLOOKUP(AG238, 'Voxel Sizes'!$A$2:$B$18,2,FALSE),"x",INT(AC238*15), "x", INT(AD238*15))</f>
        <v>198x0x57</v>
      </c>
      <c r="AG238">
        <f t="shared" si="69"/>
        <v>12</v>
      </c>
      <c r="AI238" t="str">
        <f>CONCATENATE(VLOOKUP(AG238,Constants!$A$2:$C$16,IF(AH238&lt;&gt;"", 3, 2), FALSE),IF(AH238&lt;&gt;"",CONCATENATE(",",VLOOKUP(AH238,$B:$AI,34,FALSE)),""))</f>
        <v>4,4,4</v>
      </c>
      <c r="AQ238">
        <v>30</v>
      </c>
      <c r="AR238" t="str">
        <f t="shared" si="63"/>
        <v/>
      </c>
      <c r="AS238">
        <v>-15</v>
      </c>
      <c r="AU238">
        <f t="shared" si="64"/>
        <v>30</v>
      </c>
      <c r="AV238">
        <f t="shared" si="65"/>
        <v>20</v>
      </c>
      <c r="AW238">
        <f t="shared" si="66"/>
        <v>0</v>
      </c>
      <c r="AX238" s="4">
        <v>1</v>
      </c>
      <c r="AY238">
        <f t="shared" si="6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70"/>
        <v>150000</v>
      </c>
      <c r="BE238" s="15">
        <f t="shared" si="71"/>
        <v>10643.75</v>
      </c>
      <c r="BN238">
        <v>5</v>
      </c>
      <c r="BO238">
        <v>185</v>
      </c>
      <c r="BR238" t="str">
        <f>VLOOKUP(G238,Eras!$A$2:$C$10, 2, TRUE)</f>
        <v>mod</v>
      </c>
      <c r="BS238" t="s">
        <v>374</v>
      </c>
      <c r="BT238" t="str">
        <f t="shared" si="72"/>
        <v>mod_EMU (Express)</v>
      </c>
      <c r="BU238" t="str">
        <f t="shared" si="68"/>
        <v/>
      </c>
      <c r="BV238" t="str">
        <f t="shared" si="60"/>
        <v>electric_ELRL</v>
      </c>
      <c r="BW238" t="str">
        <f>VLOOKUP($BV238, Constants!$M:$N, 2, FALSE)</f>
        <v>{BLACK}Powered by: {GOLD}25kV AC</v>
      </c>
      <c r="BX238" t="str">
        <f t="shared" si="61"/>
        <v/>
      </c>
      <c r="BZ238" t="str">
        <f t="shared" si="74"/>
        <v/>
      </c>
      <c r="CA238" t="str">
        <f t="shared" si="62"/>
        <v>{BLACK}Powered by: {GOLD}25kV AC {}{SILVER}</v>
      </c>
    </row>
    <row r="239" spans="1:79" x14ac:dyDescent="0.25">
      <c r="A239" t="s">
        <v>91</v>
      </c>
      <c r="B239" t="s">
        <v>256</v>
      </c>
      <c r="C239">
        <v>508</v>
      </c>
      <c r="D239" t="s">
        <v>452</v>
      </c>
      <c r="E239" t="s">
        <v>604</v>
      </c>
      <c r="F239" t="s">
        <v>603</v>
      </c>
      <c r="G239">
        <v>2009</v>
      </c>
      <c r="J239">
        <v>5</v>
      </c>
      <c r="K239">
        <f>800*2</f>
        <v>1600</v>
      </c>
      <c r="T239">
        <v>212.8</v>
      </c>
      <c r="V239">
        <f>10*J239</f>
        <v>50</v>
      </c>
      <c r="W239">
        <v>180</v>
      </c>
      <c r="X239" s="4">
        <f t="shared" si="75"/>
        <v>8.4586466165413529E-2</v>
      </c>
      <c r="Y239">
        <v>75</v>
      </c>
      <c r="AA239">
        <v>20.399999999999999</v>
      </c>
      <c r="AB239">
        <v>20.399999999999999</v>
      </c>
      <c r="AC239">
        <v>2.8</v>
      </c>
      <c r="AD239">
        <v>3.78</v>
      </c>
      <c r="AE239" s="11">
        <v>90</v>
      </c>
      <c r="AF239" t="str">
        <f>CONCATENATE(VLOOKUP(AG239, 'Voxel Sizes'!$A$2:$B$18,2,FALSE),"x",INT(AC239*15), "x", INT(AD239*15))</f>
        <v>198x42x56</v>
      </c>
      <c r="AG239">
        <f t="shared" si="69"/>
        <v>12</v>
      </c>
      <c r="AI239" t="str">
        <f>CONCATENATE(VLOOKUP(AG239,Constants!$A$2:$C$16,IF(AH239&lt;&gt;"", 3, 2), FALSE),IF(AH239&lt;&gt;"",CONCATENATE(",",VLOOKUP(AH239,$B:$AI,34,FALSE)),""))</f>
        <v>4,4,4</v>
      </c>
      <c r="AK239" t="s">
        <v>652</v>
      </c>
      <c r="AL239" t="s">
        <v>653</v>
      </c>
      <c r="AM239" t="s">
        <v>654</v>
      </c>
      <c r="AQ239">
        <v>30</v>
      </c>
      <c r="AR239" t="str">
        <f t="shared" si="63"/>
        <v/>
      </c>
      <c r="AS239">
        <v>-15</v>
      </c>
      <c r="AT239">
        <v>-35</v>
      </c>
      <c r="AU239">
        <f t="shared" si="64"/>
        <v>15</v>
      </c>
      <c r="AV239">
        <f t="shared" si="65"/>
        <v>8</v>
      </c>
      <c r="AW239">
        <f t="shared" si="66"/>
        <v>9</v>
      </c>
      <c r="AX239" s="4">
        <v>1</v>
      </c>
      <c r="AY239">
        <f t="shared" si="6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70"/>
        <v>64062.5</v>
      </c>
      <c r="BE239" s="15">
        <f t="shared" si="71"/>
        <v>8206.25</v>
      </c>
      <c r="BN239">
        <v>6</v>
      </c>
      <c r="BO239">
        <v>165</v>
      </c>
      <c r="BQ239" t="s">
        <v>323</v>
      </c>
      <c r="BR239" t="str">
        <f>VLOOKUP(G239,Eras!$A$2:$C$10, 2, TRUE)</f>
        <v>mod</v>
      </c>
      <c r="BS239" t="s">
        <v>373</v>
      </c>
      <c r="BT239" t="str">
        <f t="shared" si="72"/>
        <v>mod_EMU</v>
      </c>
      <c r="BU239" t="str">
        <f t="shared" si="68"/>
        <v/>
      </c>
      <c r="BV239" t="str">
        <f t="shared" si="60"/>
        <v>dual_electric_DUAL_POWER</v>
      </c>
      <c r="BW239" t="str">
        <f>VLOOKUP($BV239, Constants!$M:$N, 2, FALSE)</f>
        <v>{BLACK}Powered by: {GOLD}25kV AC / 750V DC</v>
      </c>
      <c r="BX239" t="str">
        <f t="shared" si="61"/>
        <v>{BLACK}Cars: {GOLD}5</v>
      </c>
      <c r="BY239" t="s">
        <v>651</v>
      </c>
      <c r="BZ239" t="str">
        <f t="shared" si="74"/>
        <v>{YELLOW}10% Penalty for long distance travel{}</v>
      </c>
      <c r="CA239" t="str">
        <f t="shared" si="6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9" x14ac:dyDescent="0.25">
      <c r="A240" t="s">
        <v>134</v>
      </c>
      <c r="B240" t="s">
        <v>237</v>
      </c>
      <c r="C240">
        <v>602</v>
      </c>
      <c r="D240" t="s">
        <v>321</v>
      </c>
      <c r="E240" t="s">
        <v>1174</v>
      </c>
      <c r="F240" t="s">
        <v>314</v>
      </c>
      <c r="G240">
        <v>1894</v>
      </c>
      <c r="I240">
        <v>1970</v>
      </c>
      <c r="T240">
        <v>20</v>
      </c>
      <c r="X240" s="4" t="str">
        <f t="shared" si="75"/>
        <v/>
      </c>
      <c r="Y240">
        <v>70</v>
      </c>
      <c r="AA240">
        <v>7.3</v>
      </c>
      <c r="AB240">
        <v>11</v>
      </c>
      <c r="AE240" s="11">
        <v>0</v>
      </c>
      <c r="AF240" t="str">
        <f>CONCATENATE(VLOOKUP(AG240, 'Voxel Sizes'!$A$2:$B$18,2,FALSE),"x",INT(AC240*15), "x", INT(AD240*15))</f>
        <v>102x0x0</v>
      </c>
      <c r="AG240">
        <f t="shared" si="69"/>
        <v>6</v>
      </c>
      <c r="AI240" t="str">
        <f>CONCATENATE(VLOOKUP(AG240,Constants!$A$2:$C$16,IF(AH240&lt;&gt;"", 3, 2), FALSE),IF(AH240&lt;&gt;"",CONCATENATE(",",VLOOKUP(AH240,$B:$AI,34,FALSE)),""))</f>
        <v>2,2,2</v>
      </c>
      <c r="AQ240">
        <v>30</v>
      </c>
      <c r="AR240">
        <f t="shared" si="63"/>
        <v>72</v>
      </c>
      <c r="AU240">
        <f t="shared" si="64"/>
        <v>14</v>
      </c>
      <c r="AV240">
        <f t="shared" si="65"/>
        <v>0</v>
      </c>
      <c r="AW240">
        <f t="shared" si="66"/>
        <v>0</v>
      </c>
      <c r="AX240" s="4">
        <v>1</v>
      </c>
      <c r="AY240">
        <f t="shared" si="6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70"/>
        <v>500</v>
      </c>
      <c r="BE240" s="15">
        <f t="shared" si="71"/>
        <v>79.17</v>
      </c>
      <c r="BN240">
        <v>7</v>
      </c>
      <c r="BP240" t="s">
        <v>1112</v>
      </c>
      <c r="BQ240" t="s">
        <v>760</v>
      </c>
      <c r="BR240" t="str">
        <f>VLOOKUP(G240,Eras!$A$2:$C$10, 2, TRUE)</f>
        <v>vct</v>
      </c>
      <c r="BS240" t="s">
        <v>758</v>
      </c>
      <c r="BT240" t="str">
        <f t="shared" si="72"/>
        <v>vct_Extra</v>
      </c>
      <c r="BU240" t="str">
        <f t="shared" si="68"/>
        <v/>
      </c>
      <c r="BV240" t="str">
        <f t="shared" si="60"/>
        <v>brake_RAIL</v>
      </c>
      <c r="BW240" t="str">
        <f>VLOOKUP($BV240, Constants!$M:$N, 2, FALSE)</f>
        <v/>
      </c>
      <c r="BX240" t="str">
        <f t="shared" si="61"/>
        <v/>
      </c>
      <c r="BY240" t="s">
        <v>759</v>
      </c>
      <c r="BZ240" t="str">
        <f t="shared" si="74"/>
        <v>{YELLOW}Speed bonus for slow wagons{}</v>
      </c>
      <c r="CA240" t="str">
        <f t="shared" si="62"/>
        <v>{YELLOW}Speed bonus for slow wagons{}{SILVER}The Great Western Railway standardised brake van designs from 1894. The distinctive design includes an open "veranda" at the back of the vehicle.</v>
      </c>
    </row>
    <row r="241" spans="1:79" x14ac:dyDescent="0.25">
      <c r="A241" t="s">
        <v>135</v>
      </c>
      <c r="B241" t="s">
        <v>238</v>
      </c>
      <c r="C241">
        <v>604</v>
      </c>
      <c r="D241" t="s">
        <v>321</v>
      </c>
      <c r="E241" t="s">
        <v>1174</v>
      </c>
      <c r="F241" t="s">
        <v>314</v>
      </c>
      <c r="G241">
        <v>1941</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Q241">
        <v>30</v>
      </c>
      <c r="AR241">
        <f t="shared" si="63"/>
        <v>25</v>
      </c>
      <c r="AU241">
        <f t="shared" si="64"/>
        <v>14</v>
      </c>
      <c r="AV241">
        <f t="shared" si="65"/>
        <v>0</v>
      </c>
      <c r="AW241">
        <f t="shared" si="66"/>
        <v>0</v>
      </c>
      <c r="AX241" s="4">
        <v>1</v>
      </c>
      <c r="AY241">
        <f t="shared" si="6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70"/>
        <v>500</v>
      </c>
      <c r="BE241" s="15">
        <f t="shared" si="71"/>
        <v>79.17</v>
      </c>
      <c r="BN241">
        <v>8</v>
      </c>
      <c r="BP241" t="s">
        <v>1112</v>
      </c>
      <c r="BQ241" t="s">
        <v>760</v>
      </c>
      <c r="BR241" t="str">
        <f>VLOOKUP(G241,Eras!$A$2:$C$10, 2, TRUE)</f>
        <v>big4</v>
      </c>
      <c r="BS241" t="s">
        <v>758</v>
      </c>
      <c r="BT241" t="str">
        <f t="shared" si="72"/>
        <v>big4_Extra</v>
      </c>
      <c r="BU241" t="str">
        <f t="shared" si="68"/>
        <v/>
      </c>
      <c r="BV241" t="str">
        <f t="shared" si="60"/>
        <v>brake_RAIL</v>
      </c>
      <c r="BW241" t="str">
        <f>VLOOKUP($BV241, Constants!$M:$N, 2, FALSE)</f>
        <v/>
      </c>
      <c r="BX241" t="str">
        <f t="shared" si="61"/>
        <v/>
      </c>
      <c r="BY241" t="s">
        <v>773</v>
      </c>
      <c r="BZ241" t="str">
        <f t="shared" si="74"/>
        <v>{YELLOW}Speed bonus for slow wagons{}</v>
      </c>
      <c r="CA241" t="str">
        <f t="shared" si="62"/>
        <v>{YELLOW}Speed bonus for slow wagons{}{SILVER}BR inherited a large number of brake vans from the Big Four, but quickly set about introducing their own standard model based on 1940s LNER practice.</v>
      </c>
    </row>
    <row r="242" spans="1:79" x14ac:dyDescent="0.25">
      <c r="A242" t="s">
        <v>136</v>
      </c>
      <c r="B242" t="s">
        <v>239</v>
      </c>
      <c r="D242" t="s">
        <v>168</v>
      </c>
      <c r="E242" t="s">
        <v>1174</v>
      </c>
      <c r="F242" t="s">
        <v>314</v>
      </c>
      <c r="X242" s="4" t="str">
        <f t="shared" si="75"/>
        <v/>
      </c>
      <c r="AF242" t="str">
        <f>CONCATENATE(VLOOKUP(AG242, 'Voxel Sizes'!$A$2:$B$18,2,FALSE),"x",INT(AC242*15), "x", INT(AD242*15))</f>
        <v>0x0x0</v>
      </c>
      <c r="AG242">
        <f t="shared" si="69"/>
        <v>0</v>
      </c>
      <c r="AI242" t="str">
        <f>CONCATENATE(VLOOKUP(AG242,Constants!$A$2:$C$16,IF(AH242&lt;&gt;"", 3, 2), FALSE),IF(AH242&lt;&gt;"",CONCATENATE(",",VLOOKUP(AH242,$B:$AI,34,FALSE)),""))</f>
        <v>na</v>
      </c>
      <c r="AQ242">
        <v>30</v>
      </c>
      <c r="AR242" t="str">
        <f t="shared" si="63"/>
        <v/>
      </c>
      <c r="AU242">
        <f t="shared" si="64"/>
        <v>0</v>
      </c>
      <c r="AV242">
        <f t="shared" si="65"/>
        <v>0</v>
      </c>
      <c r="AW242">
        <f t="shared" si="66"/>
        <v>0</v>
      </c>
      <c r="AX242" s="4">
        <v>1</v>
      </c>
      <c r="AY242">
        <f t="shared" si="6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70"/>
        <v>1562.5</v>
      </c>
      <c r="BE242" s="15">
        <f t="shared" si="71"/>
        <v>2031.25</v>
      </c>
      <c r="BN242">
        <v>9</v>
      </c>
      <c r="BR242" t="e">
        <f>VLOOKUP(G242,Eras!$A$2:$C$10, 2, TRUE)</f>
        <v>#N/A</v>
      </c>
      <c r="BT242" t="e">
        <f t="shared" si="72"/>
        <v>#N/A</v>
      </c>
      <c r="BU242" t="str">
        <f t="shared" si="68"/>
        <v/>
      </c>
      <c r="BV242" t="str">
        <f t="shared" si="60"/>
        <v>brake_RAIL</v>
      </c>
      <c r="BW242" t="str">
        <f>VLOOKUP($BV242, Constants!$M:$N, 2, FALSE)</f>
        <v/>
      </c>
      <c r="BX242" t="str">
        <f t="shared" si="61"/>
        <v/>
      </c>
      <c r="BZ242" t="str">
        <f t="shared" si="74"/>
        <v/>
      </c>
      <c r="CA242" t="str">
        <f t="shared" si="62"/>
        <v>{SILVER}</v>
      </c>
    </row>
    <row r="243" spans="1:79" x14ac:dyDescent="0.25">
      <c r="A243" t="s">
        <v>125</v>
      </c>
      <c r="B243" t="s">
        <v>293</v>
      </c>
      <c r="D243" t="s">
        <v>168</v>
      </c>
      <c r="E243" t="s">
        <v>1172</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Q243">
        <v>30</v>
      </c>
      <c r="AR243" t="str">
        <f t="shared" si="63"/>
        <v/>
      </c>
      <c r="AU243">
        <f t="shared" si="64"/>
        <v>0</v>
      </c>
      <c r="AV243">
        <f t="shared" si="65"/>
        <v>0</v>
      </c>
      <c r="AW243">
        <f t="shared" si="66"/>
        <v>0</v>
      </c>
      <c r="AX243" s="4">
        <v>1</v>
      </c>
      <c r="AY243">
        <f t="shared" si="6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70"/>
        <v>2343.75</v>
      </c>
      <c r="BE243" s="15">
        <f t="shared" si="71"/>
        <v>2600</v>
      </c>
      <c r="BN243">
        <v>10</v>
      </c>
      <c r="BR243" t="e">
        <f>VLOOKUP(G243,Eras!$A$2:$C$10, 2, TRUE)</f>
        <v>#N/A</v>
      </c>
      <c r="BT243" t="e">
        <f t="shared" si="72"/>
        <v>#N/A</v>
      </c>
      <c r="BU243" t="str">
        <f t="shared" si="68"/>
        <v/>
      </c>
      <c r="BV243" t="str">
        <f t="shared" si="60"/>
        <v>carriage_RAIL</v>
      </c>
      <c r="BW243" t="str">
        <f>VLOOKUP($BV243, Constants!$M:$N, 2, FALSE)</f>
        <v/>
      </c>
      <c r="BX243" t="str">
        <f t="shared" si="61"/>
        <v/>
      </c>
      <c r="BZ243" t="str">
        <f t="shared" si="74"/>
        <v/>
      </c>
      <c r="CA243" t="str">
        <f t="shared" si="62"/>
        <v>{SILVER}</v>
      </c>
    </row>
    <row r="244" spans="1:79" x14ac:dyDescent="0.25">
      <c r="A244" t="s">
        <v>126</v>
      </c>
      <c r="B244" t="s">
        <v>294</v>
      </c>
      <c r="D244" t="s">
        <v>168</v>
      </c>
      <c r="E244" t="s">
        <v>1172</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Q244">
        <v>30</v>
      </c>
      <c r="AR244" t="str">
        <f t="shared" si="63"/>
        <v/>
      </c>
      <c r="AU244">
        <f t="shared" si="64"/>
        <v>0</v>
      </c>
      <c r="AV244">
        <f t="shared" si="65"/>
        <v>0</v>
      </c>
      <c r="AW244">
        <f t="shared" si="66"/>
        <v>0</v>
      </c>
      <c r="AX244" s="4">
        <v>1</v>
      </c>
      <c r="AY244">
        <f t="shared" si="6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70"/>
        <v>2343.75</v>
      </c>
      <c r="BE244" s="15">
        <f t="shared" si="71"/>
        <v>2600</v>
      </c>
      <c r="BN244">
        <v>11</v>
      </c>
      <c r="BR244" t="e">
        <f>VLOOKUP(G244,Eras!$A$2:$C$10, 2, TRUE)</f>
        <v>#N/A</v>
      </c>
      <c r="BT244" t="e">
        <f t="shared" si="72"/>
        <v>#N/A</v>
      </c>
      <c r="BU244" t="str">
        <f t="shared" si="68"/>
        <v/>
      </c>
      <c r="BV244" t="str">
        <f t="shared" si="60"/>
        <v>carriage_RAIL</v>
      </c>
      <c r="BW244" t="str">
        <f>VLOOKUP($BV244, Constants!$M:$N, 2, FALSE)</f>
        <v/>
      </c>
      <c r="BX244" t="str">
        <f t="shared" si="61"/>
        <v/>
      </c>
      <c r="BZ244" t="str">
        <f t="shared" si="74"/>
        <v/>
      </c>
      <c r="CA244" t="str">
        <f t="shared" si="62"/>
        <v>{SILVER}</v>
      </c>
    </row>
    <row r="245" spans="1:79" x14ac:dyDescent="0.25">
      <c r="A245" t="s">
        <v>129</v>
      </c>
      <c r="B245" t="s">
        <v>236</v>
      </c>
      <c r="D245" t="s">
        <v>168</v>
      </c>
      <c r="E245" t="s">
        <v>1172</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Q245">
        <v>30</v>
      </c>
      <c r="AR245" t="str">
        <f t="shared" si="63"/>
        <v/>
      </c>
      <c r="AU245">
        <f t="shared" si="64"/>
        <v>0</v>
      </c>
      <c r="AV245">
        <f t="shared" si="65"/>
        <v>0</v>
      </c>
      <c r="AW245">
        <f t="shared" si="66"/>
        <v>0</v>
      </c>
      <c r="AX245" s="4">
        <v>1</v>
      </c>
      <c r="AY245">
        <f t="shared" si="6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70"/>
        <v>2343.75</v>
      </c>
      <c r="BE245" s="15">
        <f t="shared" si="71"/>
        <v>2600</v>
      </c>
      <c r="BN245">
        <v>12</v>
      </c>
      <c r="BR245" t="e">
        <f>VLOOKUP(G245,Eras!$A$2:$C$10, 2, TRUE)</f>
        <v>#N/A</v>
      </c>
      <c r="BT245" t="e">
        <f t="shared" si="72"/>
        <v>#N/A</v>
      </c>
      <c r="BU245" t="str">
        <f t="shared" si="68"/>
        <v/>
      </c>
      <c r="BV245" t="str">
        <f t="shared" si="60"/>
        <v>carriage_RAIL</v>
      </c>
      <c r="BW245" t="str">
        <f>VLOOKUP($BV245, Constants!$M:$N, 2, FALSE)</f>
        <v/>
      </c>
      <c r="BX245" t="str">
        <f t="shared" si="61"/>
        <v/>
      </c>
      <c r="BZ245" t="str">
        <f t="shared" si="74"/>
        <v/>
      </c>
      <c r="CA245" t="str">
        <f t="shared" si="62"/>
        <v>{SILVER}</v>
      </c>
    </row>
    <row r="246" spans="1:79" x14ac:dyDescent="0.25">
      <c r="A246" t="s">
        <v>106</v>
      </c>
      <c r="B246" t="s">
        <v>267</v>
      </c>
      <c r="D246" t="s">
        <v>168</v>
      </c>
      <c r="E246" t="s">
        <v>1175</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Q246">
        <v>30</v>
      </c>
      <c r="AR246" t="str">
        <f t="shared" si="63"/>
        <v/>
      </c>
      <c r="AU246">
        <f t="shared" si="64"/>
        <v>0</v>
      </c>
      <c r="AV246">
        <f t="shared" si="65"/>
        <v>0</v>
      </c>
      <c r="AW246">
        <f t="shared" si="66"/>
        <v>0</v>
      </c>
      <c r="AX246" s="4">
        <v>1</v>
      </c>
      <c r="AY246">
        <f t="shared" si="6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70"/>
        <v>3906.25</v>
      </c>
      <c r="BE246" s="15">
        <f t="shared" si="71"/>
        <v>2031.25</v>
      </c>
      <c r="BN246">
        <v>1</v>
      </c>
      <c r="BR246" t="e">
        <f>VLOOKUP(G246,Eras!$A$2:$C$10, 2, TRUE)</f>
        <v>#N/A</v>
      </c>
      <c r="BT246" t="e">
        <f t="shared" si="72"/>
        <v>#N/A</v>
      </c>
      <c r="BU246" t="str">
        <f t="shared" si="68"/>
        <v/>
      </c>
      <c r="BV246" t="str">
        <f t="shared" si="60"/>
        <v>tube_RAIL</v>
      </c>
      <c r="BW246" t="str">
        <f>VLOOKUP($BV246, Constants!$M:$N, 2, FALSE)</f>
        <v/>
      </c>
      <c r="BX246" t="str">
        <f t="shared" si="61"/>
        <v/>
      </c>
      <c r="BZ246" t="str">
        <f t="shared" si="74"/>
        <v/>
      </c>
      <c r="CA246" t="str">
        <f t="shared" si="62"/>
        <v>{SILVER}</v>
      </c>
    </row>
    <row r="247" spans="1:79" x14ac:dyDescent="0.25">
      <c r="A247" t="s">
        <v>108</v>
      </c>
      <c r="B247" t="s">
        <v>221</v>
      </c>
      <c r="D247" t="s">
        <v>168</v>
      </c>
      <c r="E247" t="s">
        <v>1175</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Q247">
        <v>30</v>
      </c>
      <c r="AR247" t="str">
        <f t="shared" si="63"/>
        <v/>
      </c>
      <c r="AU247">
        <f t="shared" si="64"/>
        <v>0</v>
      </c>
      <c r="AV247">
        <f t="shared" si="65"/>
        <v>0</v>
      </c>
      <c r="AW247">
        <f t="shared" si="66"/>
        <v>0</v>
      </c>
      <c r="AX247" s="4">
        <v>1</v>
      </c>
      <c r="AY247">
        <f t="shared" si="6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70"/>
        <v>3906.25</v>
      </c>
      <c r="BE247" s="15">
        <f t="shared" si="71"/>
        <v>2031.25</v>
      </c>
      <c r="BN247">
        <v>2</v>
      </c>
      <c r="BR247" t="e">
        <f>VLOOKUP(G247,Eras!$A$2:$C$10, 2, TRUE)</f>
        <v>#N/A</v>
      </c>
      <c r="BT247" t="e">
        <f t="shared" si="72"/>
        <v>#N/A</v>
      </c>
      <c r="BU247" t="str">
        <f t="shared" si="68"/>
        <v/>
      </c>
      <c r="BV247" t="str">
        <f t="shared" si="60"/>
        <v>tube_RAIL</v>
      </c>
      <c r="BW247" t="str">
        <f>VLOOKUP($BV247, Constants!$M:$N, 2, FALSE)</f>
        <v/>
      </c>
      <c r="BX247" t="str">
        <f t="shared" si="61"/>
        <v/>
      </c>
      <c r="BZ247" t="str">
        <f t="shared" si="74"/>
        <v/>
      </c>
      <c r="CA247" t="str">
        <f t="shared" si="62"/>
        <v>{SILVER}</v>
      </c>
    </row>
    <row r="248" spans="1:79" x14ac:dyDescent="0.25">
      <c r="A248" t="s">
        <v>109</v>
      </c>
      <c r="B248" t="s">
        <v>222</v>
      </c>
      <c r="D248" t="s">
        <v>168</v>
      </c>
      <c r="E248" t="s">
        <v>1175</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Q248">
        <v>30</v>
      </c>
      <c r="AR248" t="str">
        <f t="shared" si="63"/>
        <v/>
      </c>
      <c r="AU248">
        <f t="shared" si="64"/>
        <v>0</v>
      </c>
      <c r="AV248">
        <f t="shared" si="65"/>
        <v>0</v>
      </c>
      <c r="AW248">
        <f t="shared" si="66"/>
        <v>0</v>
      </c>
      <c r="AX248" s="4">
        <v>1</v>
      </c>
      <c r="AY248">
        <f t="shared" si="6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70"/>
        <v>3906.25</v>
      </c>
      <c r="BE248" s="15">
        <f t="shared" si="71"/>
        <v>2031.25</v>
      </c>
      <c r="BN248">
        <v>3</v>
      </c>
      <c r="BR248" t="e">
        <f>VLOOKUP(G248,Eras!$A$2:$C$10, 2, TRUE)</f>
        <v>#N/A</v>
      </c>
      <c r="BT248" t="e">
        <f t="shared" si="72"/>
        <v>#N/A</v>
      </c>
      <c r="BU248" t="str">
        <f t="shared" si="68"/>
        <v/>
      </c>
      <c r="BV248" t="str">
        <f t="shared" si="60"/>
        <v>tube_RAIL</v>
      </c>
      <c r="BW248" t="str">
        <f>VLOOKUP($BV248, Constants!$M:$N, 2, FALSE)</f>
        <v/>
      </c>
      <c r="BX248" t="str">
        <f t="shared" si="61"/>
        <v/>
      </c>
      <c r="BZ248" t="str">
        <f t="shared" si="74"/>
        <v/>
      </c>
      <c r="CA248" t="str">
        <f t="shared" si="62"/>
        <v>{SILVER}</v>
      </c>
    </row>
    <row r="249" spans="1:79" x14ac:dyDescent="0.25">
      <c r="A249" t="s">
        <v>110</v>
      </c>
      <c r="B249" t="s">
        <v>265</v>
      </c>
      <c r="D249" t="s">
        <v>168</v>
      </c>
      <c r="E249" t="s">
        <v>1175</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Q249">
        <v>30</v>
      </c>
      <c r="AR249" t="str">
        <f t="shared" si="63"/>
        <v/>
      </c>
      <c r="AU249">
        <f t="shared" si="64"/>
        <v>0</v>
      </c>
      <c r="AV249">
        <f t="shared" si="65"/>
        <v>0</v>
      </c>
      <c r="AW249">
        <f t="shared" si="66"/>
        <v>0</v>
      </c>
      <c r="AX249" s="4">
        <v>1</v>
      </c>
      <c r="AY249">
        <f t="shared" si="6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70"/>
        <v>3906.25</v>
      </c>
      <c r="BE249" s="15">
        <f t="shared" si="71"/>
        <v>2031.25</v>
      </c>
      <c r="BN249">
        <v>4</v>
      </c>
      <c r="BR249" t="e">
        <f>VLOOKUP(G249,Eras!$A$2:$C$10, 2, TRUE)</f>
        <v>#N/A</v>
      </c>
      <c r="BT249" t="e">
        <f t="shared" si="72"/>
        <v>#N/A</v>
      </c>
      <c r="BU249" t="str">
        <f t="shared" si="68"/>
        <v/>
      </c>
      <c r="BV249" t="str">
        <f t="shared" si="60"/>
        <v>tube_RAIL</v>
      </c>
      <c r="BW249" t="str">
        <f>VLOOKUP($BV249, Constants!$M:$N, 2, FALSE)</f>
        <v/>
      </c>
      <c r="BX249" t="str">
        <f t="shared" si="61"/>
        <v/>
      </c>
      <c r="BZ249" t="str">
        <f t="shared" si="74"/>
        <v/>
      </c>
      <c r="CA249" t="str">
        <f t="shared" si="62"/>
        <v>{SILVER}</v>
      </c>
    </row>
    <row r="250" spans="1:79" x14ac:dyDescent="0.25">
      <c r="A250" t="s">
        <v>111</v>
      </c>
      <c r="B250" t="s">
        <v>291</v>
      </c>
      <c r="D250" t="s">
        <v>168</v>
      </c>
      <c r="E250" t="s">
        <v>1175</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Q250">
        <v>30</v>
      </c>
      <c r="AR250" t="str">
        <f t="shared" si="63"/>
        <v/>
      </c>
      <c r="AU250">
        <f t="shared" si="64"/>
        <v>0</v>
      </c>
      <c r="AV250">
        <f t="shared" si="65"/>
        <v>0</v>
      </c>
      <c r="AW250">
        <f t="shared" si="66"/>
        <v>0</v>
      </c>
      <c r="AX250" s="4">
        <v>1</v>
      </c>
      <c r="AY250">
        <f t="shared" si="6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70"/>
        <v>3906.25</v>
      </c>
      <c r="BE250" s="15">
        <f t="shared" si="71"/>
        <v>2031.25</v>
      </c>
      <c r="BN250">
        <v>5</v>
      </c>
      <c r="BR250" t="e">
        <f>VLOOKUP(G250,Eras!$A$2:$C$10, 2, TRUE)</f>
        <v>#N/A</v>
      </c>
      <c r="BS250" t="s">
        <v>385</v>
      </c>
      <c r="BT250" t="e">
        <f t="shared" si="72"/>
        <v>#N/A</v>
      </c>
      <c r="BU250" t="str">
        <f t="shared" si="68"/>
        <v/>
      </c>
      <c r="BV250" t="str">
        <f t="shared" si="60"/>
        <v>tube_RAIL</v>
      </c>
      <c r="BW250" t="str">
        <f>VLOOKUP($BV250, Constants!$M:$N, 2, FALSE)</f>
        <v/>
      </c>
      <c r="BX250" t="str">
        <f t="shared" si="61"/>
        <v/>
      </c>
      <c r="BZ250" t="str">
        <f t="shared" si="74"/>
        <v/>
      </c>
      <c r="CA250" t="str">
        <f t="shared" si="62"/>
        <v>{SILVER}</v>
      </c>
    </row>
    <row r="251" spans="1:79" x14ac:dyDescent="0.25">
      <c r="A251" t="s">
        <v>112</v>
      </c>
      <c r="B251" t="s">
        <v>223</v>
      </c>
      <c r="D251" t="s">
        <v>168</v>
      </c>
      <c r="E251" t="s">
        <v>1175</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Q251">
        <v>30</v>
      </c>
      <c r="AR251" t="str">
        <f t="shared" si="63"/>
        <v/>
      </c>
      <c r="AU251">
        <f t="shared" si="64"/>
        <v>0</v>
      </c>
      <c r="AV251">
        <f t="shared" si="65"/>
        <v>0</v>
      </c>
      <c r="AW251">
        <f t="shared" si="66"/>
        <v>0</v>
      </c>
      <c r="AX251" s="4">
        <v>1</v>
      </c>
      <c r="AY251">
        <f t="shared" si="6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70"/>
        <v>3906.25</v>
      </c>
      <c r="BE251" s="15">
        <f t="shared" si="71"/>
        <v>2031.25</v>
      </c>
      <c r="BN251">
        <v>6</v>
      </c>
      <c r="BR251" t="e">
        <f>VLOOKUP(G251,Eras!$A$2:$C$10, 2, TRUE)</f>
        <v>#N/A</v>
      </c>
      <c r="BS251" t="s">
        <v>385</v>
      </c>
      <c r="BT251" t="e">
        <f t="shared" si="72"/>
        <v>#N/A</v>
      </c>
      <c r="BU251" t="str">
        <f t="shared" si="68"/>
        <v/>
      </c>
      <c r="BV251" t="str">
        <f t="shared" si="60"/>
        <v>tube_RAIL</v>
      </c>
      <c r="BW251" t="str">
        <f>VLOOKUP($BV251, Constants!$M:$N, 2, FALSE)</f>
        <v/>
      </c>
      <c r="BX251" t="str">
        <f t="shared" si="61"/>
        <v/>
      </c>
      <c r="BZ251" t="str">
        <f t="shared" si="74"/>
        <v/>
      </c>
      <c r="CA251" t="str">
        <f t="shared" si="62"/>
        <v>{SILVER}</v>
      </c>
    </row>
    <row r="252" spans="1:79" x14ac:dyDescent="0.25">
      <c r="A252" t="s">
        <v>142</v>
      </c>
      <c r="B252" t="s">
        <v>243</v>
      </c>
      <c r="D252" t="s">
        <v>168</v>
      </c>
      <c r="E252" t="s">
        <v>321</v>
      </c>
      <c r="F252" t="s">
        <v>314</v>
      </c>
      <c r="X252" s="4" t="str">
        <f t="shared" si="75"/>
        <v/>
      </c>
      <c r="AE252" s="11">
        <v>0</v>
      </c>
      <c r="AF252" t="str">
        <f>CONCATENATE(VLOOKUP(AG252, 'Voxel Sizes'!$A$2:$B$18,2,FALSE),"x",INT(AC252*15), "x", INT(AD252*15))</f>
        <v>0x0x0</v>
      </c>
      <c r="AG252">
        <f t="shared" si="69"/>
        <v>0</v>
      </c>
      <c r="AI252" t="str">
        <f>CONCATENATE(VLOOKUP(AG252,Constants!$A$2:$C$16,IF(AH252&lt;&gt;"", 3, 2), FALSE),IF(AH252&lt;&gt;"",CONCATENATE(",",VLOOKUP(AH252,$B:$AI,34,FALSE)),""))</f>
        <v>na</v>
      </c>
      <c r="AQ252">
        <v>30</v>
      </c>
      <c r="AR252" t="str">
        <f t="shared" si="63"/>
        <v/>
      </c>
      <c r="AU252">
        <f t="shared" si="64"/>
        <v>0</v>
      </c>
      <c r="AV252">
        <f t="shared" si="65"/>
        <v>0</v>
      </c>
      <c r="AW252">
        <f t="shared" si="66"/>
        <v>0</v>
      </c>
      <c r="AX252" s="4">
        <v>1</v>
      </c>
      <c r="AY252">
        <f t="shared" si="6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70"/>
        <v>1562.5</v>
      </c>
      <c r="BE252" s="15">
        <f t="shared" si="71"/>
        <v>2031.25</v>
      </c>
      <c r="BN252">
        <v>7</v>
      </c>
      <c r="BR252" t="e">
        <f>VLOOKUP(G252,Eras!$A$2:$C$10, 2, TRUE)</f>
        <v>#N/A</v>
      </c>
      <c r="BT252" t="e">
        <f t="shared" si="72"/>
        <v>#N/A</v>
      </c>
      <c r="BU252" t="str">
        <f t="shared" si="68"/>
        <v/>
      </c>
      <c r="BV252" t="str">
        <f t="shared" si="60"/>
        <v>wagon_RAIL</v>
      </c>
      <c r="BW252" t="str">
        <f>VLOOKUP($BV252, Constants!$M:$N, 2, FALSE)</f>
        <v/>
      </c>
      <c r="BX252" t="str">
        <f t="shared" si="61"/>
        <v/>
      </c>
      <c r="BZ252" t="str">
        <f t="shared" si="74"/>
        <v/>
      </c>
      <c r="CA252" t="str">
        <f t="shared" si="62"/>
        <v>{SILVER}</v>
      </c>
    </row>
    <row r="253" spans="1:79" x14ac:dyDescent="0.25">
      <c r="A253" t="s">
        <v>702</v>
      </c>
      <c r="B253" t="s">
        <v>701</v>
      </c>
      <c r="D253" t="s">
        <v>168</v>
      </c>
      <c r="E253" t="s">
        <v>336</v>
      </c>
      <c r="F253" t="s">
        <v>337</v>
      </c>
      <c r="X253" s="4" t="str">
        <f>IF(AND(T253&gt;0,W253&gt;0),(W253/((T253+U253)*10)),"")</f>
        <v/>
      </c>
      <c r="AF253" t="str">
        <f>CONCATENATE(VLOOKUP(AG253, 'Voxel Sizes'!$A$2:$B$18,2,FALSE),"x",INT(AC253*15), "x", INT(AD253*15))</f>
        <v>0x0x0</v>
      </c>
      <c r="AG253">
        <f t="shared" si="69"/>
        <v>0</v>
      </c>
      <c r="AI253" t="str">
        <f>CONCATENATE(VLOOKUP(AG253,Constants!$A$2:$C$16,IF(AH253&lt;&gt;"", 3, 2), FALSE),IF(AH253&lt;&gt;"",CONCATENATE(",",VLOOKUP(AH253,$B:$AI,34,FALSE)),""))</f>
        <v>na</v>
      </c>
      <c r="AQ253">
        <v>30</v>
      </c>
      <c r="AR253" t="str">
        <f t="shared" si="63"/>
        <v/>
      </c>
      <c r="AU253">
        <f t="shared" si="64"/>
        <v>0</v>
      </c>
      <c r="AV253">
        <f t="shared" si="65"/>
        <v>0</v>
      </c>
      <c r="AW253">
        <f t="shared" si="66"/>
        <v>0</v>
      </c>
      <c r="AX253" s="4">
        <v>1</v>
      </c>
      <c r="AY253">
        <f t="shared" si="6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70"/>
        <v>9375</v>
      </c>
      <c r="BE253" s="15">
        <f t="shared" si="71"/>
        <v>1706.25</v>
      </c>
      <c r="BN253">
        <v>8</v>
      </c>
      <c r="BR253" t="e">
        <f>VLOOKUP(G253,Eras!$A$2:$C$10, 2, TRUE)</f>
        <v>#N/A</v>
      </c>
      <c r="BT253" t="e">
        <f t="shared" si="72"/>
        <v>#N/A</v>
      </c>
      <c r="BU253" t="str">
        <f t="shared" si="68"/>
        <v/>
      </c>
      <c r="BV253" t="str">
        <f t="shared" si="60"/>
        <v>electric_ELRL</v>
      </c>
      <c r="BW253" t="str">
        <f>VLOOKUP($BV253, Constants!$M:$N, 2, FALSE)</f>
        <v>{BLACK}Powered by: {GOLD}25kV AC</v>
      </c>
      <c r="BX253" t="str">
        <f t="shared" si="61"/>
        <v/>
      </c>
      <c r="BZ253" t="str">
        <f t="shared" si="74"/>
        <v/>
      </c>
      <c r="CA253" t="str">
        <f t="shared" si="62"/>
        <v>{BLACK}Powered by: {GOLD}25kV AC {}{SILVER}</v>
      </c>
    </row>
    <row r="254" spans="1:79" x14ac:dyDescent="0.25">
      <c r="A254" t="s">
        <v>426</v>
      </c>
      <c r="B254" t="s">
        <v>432</v>
      </c>
      <c r="D254" t="s">
        <v>168</v>
      </c>
      <c r="E254" t="s">
        <v>336</v>
      </c>
      <c r="F254" t="s">
        <v>337</v>
      </c>
      <c r="X254" s="4" t="str">
        <f>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Q254">
        <v>30</v>
      </c>
      <c r="AR254" t="str">
        <f t="shared" si="63"/>
        <v/>
      </c>
      <c r="AU254">
        <f t="shared" si="64"/>
        <v>0</v>
      </c>
      <c r="AV254">
        <f t="shared" si="65"/>
        <v>0</v>
      </c>
      <c r="AW254">
        <f t="shared" si="66"/>
        <v>0</v>
      </c>
      <c r="AX254" s="4">
        <v>1</v>
      </c>
      <c r="AY254">
        <f t="shared" si="6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70"/>
        <v>9375</v>
      </c>
      <c r="BE254" s="15">
        <f t="shared" si="71"/>
        <v>1706.25</v>
      </c>
      <c r="BN254">
        <v>9</v>
      </c>
      <c r="BR254" t="e">
        <f>VLOOKUP(G254,Eras!$A$2:$C$10, 2, TRUE)</f>
        <v>#N/A</v>
      </c>
      <c r="BT254" t="e">
        <f t="shared" si="72"/>
        <v>#N/A</v>
      </c>
      <c r="BU254" t="str">
        <f t="shared" si="68"/>
        <v/>
      </c>
      <c r="BV254" t="str">
        <f t="shared" si="60"/>
        <v>electric_ELRL</v>
      </c>
      <c r="BW254" t="str">
        <f>VLOOKUP($BV254, Constants!$M:$N, 2, FALSE)</f>
        <v>{BLACK}Powered by: {GOLD}25kV AC</v>
      </c>
      <c r="BX254" t="str">
        <f t="shared" si="61"/>
        <v/>
      </c>
      <c r="BZ254" t="str">
        <f t="shared" si="74"/>
        <v/>
      </c>
      <c r="CA254" t="str">
        <f t="shared" si="62"/>
        <v>{BLACK}Powered by: {GOLD}25kV AC {}{SILVER}</v>
      </c>
    </row>
    <row r="255" spans="1:79" x14ac:dyDescent="0.25">
      <c r="A255" t="s">
        <v>427</v>
      </c>
      <c r="B255" t="s">
        <v>433</v>
      </c>
      <c r="D255" t="s">
        <v>168</v>
      </c>
      <c r="E255" t="s">
        <v>336</v>
      </c>
      <c r="F255" t="s">
        <v>337</v>
      </c>
      <c r="X255" s="4" t="str">
        <f>IF(AND(T255&gt;0,W255&gt;0),(W255/((T255+U255)*10)),"")</f>
        <v/>
      </c>
      <c r="AF255" t="str">
        <f>CONCATENATE(VLOOKUP(AG255, 'Voxel Sizes'!$A$2:$B$18,2,FALSE),"x",INT(AC255*15), "x", INT(AD255*15))</f>
        <v>0x0x0</v>
      </c>
      <c r="AG255">
        <f t="shared" si="69"/>
        <v>0</v>
      </c>
      <c r="AI255" t="str">
        <f>CONCATENATE(VLOOKUP(AG255,Constants!$A$2:$C$16,IF(AH255&lt;&gt;"", 3, 2), FALSE),IF(AH255&lt;&gt;"",CONCATENATE(",",VLOOKUP(AH255,$B:$AI,34,FALSE)),""))</f>
        <v>na</v>
      </c>
      <c r="AQ255">
        <v>30</v>
      </c>
      <c r="AR255" t="str">
        <f t="shared" si="63"/>
        <v/>
      </c>
      <c r="AU255">
        <f t="shared" si="64"/>
        <v>0</v>
      </c>
      <c r="AV255">
        <f t="shared" si="65"/>
        <v>0</v>
      </c>
      <c r="AW255">
        <f t="shared" si="66"/>
        <v>0</v>
      </c>
      <c r="AX255" s="4">
        <v>1</v>
      </c>
      <c r="AY255">
        <f t="shared" si="6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70"/>
        <v>9375</v>
      </c>
      <c r="BE255" s="15">
        <f t="shared" si="71"/>
        <v>1706.25</v>
      </c>
      <c r="BN255">
        <v>10</v>
      </c>
      <c r="BR255" t="e">
        <f>VLOOKUP(G255,Eras!$A$2:$C$10, 2, TRUE)</f>
        <v>#N/A</v>
      </c>
      <c r="BT255" t="e">
        <f t="shared" si="72"/>
        <v>#N/A</v>
      </c>
      <c r="BU255" t="str">
        <f t="shared" si="68"/>
        <v/>
      </c>
      <c r="BV255" t="str">
        <f t="shared" si="60"/>
        <v>electric_ELRL</v>
      </c>
      <c r="BW255" t="str">
        <f>VLOOKUP($BV255, Constants!$M:$N, 2, FALSE)</f>
        <v>{BLACK}Powered by: {GOLD}25kV AC</v>
      </c>
      <c r="BX255" t="str">
        <f t="shared" si="61"/>
        <v/>
      </c>
      <c r="BZ255" t="str">
        <f t="shared" si="74"/>
        <v/>
      </c>
      <c r="CA255" t="str">
        <f t="shared" si="62"/>
        <v>{BLACK}Powered by: {GOLD}25kV AC {}{SILVER}</v>
      </c>
    </row>
    <row r="256" spans="1:79" x14ac:dyDescent="0.25">
      <c r="A256" t="s">
        <v>428</v>
      </c>
      <c r="B256" t="s">
        <v>434</v>
      </c>
      <c r="D256" t="s">
        <v>168</v>
      </c>
      <c r="E256" t="s">
        <v>336</v>
      </c>
      <c r="F256" t="s">
        <v>337</v>
      </c>
      <c r="X256" s="4" t="str">
        <f>IF(AND(T256&gt;0,W256&gt;0),(W256/((T256+U256)*10)),"")</f>
        <v/>
      </c>
      <c r="AF256" t="str">
        <f>CONCATENATE(VLOOKUP(AG256, 'Voxel Sizes'!$A$2:$B$18,2,FALSE),"x",INT(AC256*15), "x", INT(AD256*15))</f>
        <v>0x0x0</v>
      </c>
      <c r="AG256">
        <f t="shared" si="69"/>
        <v>0</v>
      </c>
      <c r="AI256" t="str">
        <f>CONCATENATE(VLOOKUP(AG256,Constants!$A$2:$C$16,IF(AH256&lt;&gt;"", 3, 2), FALSE),IF(AH256&lt;&gt;"",CONCATENATE(",",VLOOKUP(AH256,$B:$AI,34,FALSE)),""))</f>
        <v>na</v>
      </c>
      <c r="AQ256">
        <v>30</v>
      </c>
      <c r="AR256" t="str">
        <f t="shared" si="63"/>
        <v/>
      </c>
      <c r="AU256">
        <f t="shared" si="64"/>
        <v>0</v>
      </c>
      <c r="AV256">
        <f t="shared" si="65"/>
        <v>0</v>
      </c>
      <c r="AW256">
        <f t="shared" si="66"/>
        <v>0</v>
      </c>
      <c r="AX256" s="4">
        <v>1</v>
      </c>
      <c r="AY256">
        <f t="shared" si="6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70"/>
        <v>9375</v>
      </c>
      <c r="BE256" s="15">
        <f t="shared" si="71"/>
        <v>1706.25</v>
      </c>
      <c r="BN256">
        <v>11</v>
      </c>
      <c r="BR256" t="e">
        <f>VLOOKUP(G256,Eras!$A$2:$C$10, 2, TRUE)</f>
        <v>#N/A</v>
      </c>
      <c r="BT256" t="e">
        <f t="shared" si="72"/>
        <v>#N/A</v>
      </c>
      <c r="BU256" t="str">
        <f t="shared" si="68"/>
        <v/>
      </c>
      <c r="BV256" t="str">
        <f t="shared" si="60"/>
        <v>electric_ELRL</v>
      </c>
      <c r="BW256" t="str">
        <f>VLOOKUP($BV256, Constants!$M:$N, 2, FALSE)</f>
        <v>{BLACK}Powered by: {GOLD}25kV AC</v>
      </c>
      <c r="BX256" t="str">
        <f t="shared" si="61"/>
        <v/>
      </c>
      <c r="BZ256" t="str">
        <f t="shared" si="74"/>
        <v/>
      </c>
      <c r="CA256" t="str">
        <f t="shared" si="62"/>
        <v>{BLACK}Powered by: {GOLD}25kV AC {}{SILVER}</v>
      </c>
    </row>
    <row r="257" spans="1:79" x14ac:dyDescent="0.25">
      <c r="A257" t="s">
        <v>429</v>
      </c>
      <c r="B257" t="s">
        <v>435</v>
      </c>
      <c r="D257" t="s">
        <v>168</v>
      </c>
      <c r="E257" t="s">
        <v>336</v>
      </c>
      <c r="F257" t="s">
        <v>337</v>
      </c>
      <c r="X257" s="4" t="str">
        <f>IF(AND(T257&gt;0,W257&gt;0),(W257/((T257+U257)*10)),"")</f>
        <v/>
      </c>
      <c r="AF257" t="str">
        <f>CONCATENATE(VLOOKUP(AG257, 'Voxel Sizes'!$A$2:$B$18,2,FALSE),"x",INT(AC257*15), "x", INT(AD257*15))</f>
        <v>0x0x0</v>
      </c>
      <c r="AG257">
        <f t="shared" si="69"/>
        <v>0</v>
      </c>
      <c r="AI257" t="str">
        <f>CONCATENATE(VLOOKUP(AG257,Constants!$A$2:$C$16,IF(AH257&lt;&gt;"", 3, 2), FALSE),IF(AH257&lt;&gt;"",CONCATENATE(",",VLOOKUP(AH257,$B:$AI,34,FALSE)),""))</f>
        <v>na</v>
      </c>
      <c r="AQ257">
        <v>30</v>
      </c>
      <c r="AR257" t="str">
        <f t="shared" si="63"/>
        <v/>
      </c>
      <c r="AU257">
        <f t="shared" si="64"/>
        <v>0</v>
      </c>
      <c r="AV257">
        <f t="shared" si="65"/>
        <v>0</v>
      </c>
      <c r="AW257">
        <f t="shared" si="66"/>
        <v>0</v>
      </c>
      <c r="AX257" s="4">
        <v>1</v>
      </c>
      <c r="AY257">
        <f t="shared" si="6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70"/>
        <v>9375</v>
      </c>
      <c r="BE257" s="15">
        <f t="shared" si="71"/>
        <v>1706.25</v>
      </c>
      <c r="BN257">
        <v>12</v>
      </c>
      <c r="BR257" t="e">
        <f>VLOOKUP(G257,Eras!$A$2:$C$10, 2, TRUE)</f>
        <v>#N/A</v>
      </c>
      <c r="BT257" t="e">
        <f t="shared" si="72"/>
        <v>#N/A</v>
      </c>
      <c r="BU257" t="str">
        <f t="shared" si="68"/>
        <v/>
      </c>
      <c r="BV257" t="str">
        <f t="shared" si="60"/>
        <v>electric_ELRL</v>
      </c>
      <c r="BW257" t="str">
        <f>VLOOKUP($BV257, Constants!$M:$N, 2, FALSE)</f>
        <v>{BLACK}Powered by: {GOLD}25kV AC</v>
      </c>
      <c r="BX257" t="str">
        <f t="shared" si="61"/>
        <v/>
      </c>
      <c r="BZ257" t="str">
        <f t="shared" si="74"/>
        <v/>
      </c>
      <c r="CA257" t="str">
        <f t="shared" si="62"/>
        <v>{BLACK}Powered by: {GOLD}25kV AC {}{SILVER}</v>
      </c>
    </row>
    <row r="258" spans="1:79" x14ac:dyDescent="0.25">
      <c r="A258" t="s">
        <v>720</v>
      </c>
      <c r="B258" t="s">
        <v>723</v>
      </c>
      <c r="D258" t="s">
        <v>168</v>
      </c>
      <c r="E258" t="s">
        <v>336</v>
      </c>
      <c r="F258" t="s">
        <v>343</v>
      </c>
      <c r="AF258" t="str">
        <f>CONCATENATE(VLOOKUP(AG258, 'Voxel Sizes'!$A$2:$B$18,2,FALSE),"x",INT(AC258*15), "x", INT(AD258*15))</f>
        <v>0x0x0</v>
      </c>
      <c r="AG258">
        <f t="shared" si="69"/>
        <v>0</v>
      </c>
      <c r="AI258" t="str">
        <f>CONCATENATE(VLOOKUP(AG258,Constants!$A$2:$C$16,IF(AH258&lt;&gt;"", 3, 2), FALSE),IF(AH258&lt;&gt;"",CONCATENATE(",",VLOOKUP(AH258,$B:$AI,34,FALSE)),""))</f>
        <v>na</v>
      </c>
      <c r="AQ258">
        <v>30</v>
      </c>
      <c r="AR258" t="str">
        <f t="shared" si="63"/>
        <v/>
      </c>
      <c r="AU258">
        <f t="shared" si="64"/>
        <v>0</v>
      </c>
      <c r="AV258">
        <f t="shared" si="65"/>
        <v>0</v>
      </c>
      <c r="AW258">
        <f t="shared" si="66"/>
        <v>0</v>
      </c>
      <c r="AX258" s="4">
        <v>1</v>
      </c>
      <c r="AY258">
        <f t="shared" si="6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70"/>
        <v>9375</v>
      </c>
      <c r="BE258" s="15">
        <f t="shared" si="71"/>
        <v>1706.25</v>
      </c>
      <c r="BN258">
        <v>1</v>
      </c>
      <c r="BR258" t="e">
        <f>VLOOKUP(G258,Eras!$A$2:$C$10, 2, TRUE)</f>
        <v>#N/A</v>
      </c>
      <c r="BT258" t="e">
        <f t="shared" si="72"/>
        <v>#N/A</v>
      </c>
      <c r="BU258" t="str">
        <f t="shared" si="68"/>
        <v/>
      </c>
      <c r="BV258" t="str">
        <f t="shared" si="60"/>
        <v>electric_THIRD_RAIL</v>
      </c>
      <c r="BW258" t="str">
        <f>VLOOKUP($BV258, Constants!$M:$N, 2, FALSE)</f>
        <v>{BLACK}Powered by: {GOLD}750V DC</v>
      </c>
      <c r="BX258" t="str">
        <f t="shared" si="61"/>
        <v/>
      </c>
      <c r="BZ258" t="str">
        <f t="shared" si="74"/>
        <v/>
      </c>
      <c r="CA258" t="str">
        <f t="shared" si="62"/>
        <v>{BLACK}Powered by: {GOLD}750V DC {}{SILVER}</v>
      </c>
    </row>
    <row r="259" spans="1:79" x14ac:dyDescent="0.25">
      <c r="A259" t="s">
        <v>735</v>
      </c>
      <c r="B259" t="s">
        <v>736</v>
      </c>
      <c r="D259" t="s">
        <v>168</v>
      </c>
      <c r="E259" t="s">
        <v>336</v>
      </c>
      <c r="F259" t="s">
        <v>343</v>
      </c>
      <c r="G259">
        <v>1893</v>
      </c>
      <c r="H259">
        <v>1896</v>
      </c>
      <c r="I259">
        <v>1956</v>
      </c>
      <c r="J259">
        <v>2</v>
      </c>
      <c r="K259">
        <v>120</v>
      </c>
      <c r="T259">
        <v>10</v>
      </c>
      <c r="V259">
        <v>7</v>
      </c>
      <c r="W259">
        <v>30</v>
      </c>
      <c r="X259" s="4">
        <f t="shared" ref="X259:X272" si="76">IF(AND(T259&gt;0,W259&gt;0),(W259/((T259+U259)*10)),"")</f>
        <v>0.3</v>
      </c>
      <c r="Y259">
        <v>35</v>
      </c>
      <c r="AA259">
        <v>14</v>
      </c>
      <c r="AB259">
        <v>14</v>
      </c>
      <c r="AC259">
        <v>2.59</v>
      </c>
      <c r="AE259" s="11">
        <f>41+16</f>
        <v>57</v>
      </c>
      <c r="AF259" t="str">
        <f>CONCATENATE(VLOOKUP(AG259, 'Voxel Sizes'!$A$2:$B$18,2,FALSE),"x",INT(AC259*15), "x", INT(AD259*15))</f>
        <v>136x38x0</v>
      </c>
      <c r="AG259">
        <f t="shared" si="69"/>
        <v>8</v>
      </c>
      <c r="AI259" t="str">
        <f>CONCATENATE(VLOOKUP(AG259,Constants!$A$2:$C$16,IF(AH259&lt;&gt;"", 3, 2), FALSE),IF(AH259&lt;&gt;"",CONCATENATE(",",VLOOKUP(AH259,$B:$AI,34,FALSE)),""))</f>
        <v>2,4,2</v>
      </c>
      <c r="AK259" t="s">
        <v>737</v>
      </c>
      <c r="AM259" t="s">
        <v>516</v>
      </c>
      <c r="AQ259">
        <v>25</v>
      </c>
      <c r="AR259">
        <f t="shared" si="63"/>
        <v>59</v>
      </c>
      <c r="AU259">
        <f t="shared" si="64"/>
        <v>7</v>
      </c>
      <c r="AV259">
        <f t="shared" si="65"/>
        <v>0.6</v>
      </c>
      <c r="AW259">
        <f t="shared" si="66"/>
        <v>1.5</v>
      </c>
      <c r="AX259" s="4">
        <v>1</v>
      </c>
      <c r="AY259">
        <f t="shared" si="6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70"/>
        <v>38281.25</v>
      </c>
      <c r="BE259" s="15">
        <f t="shared" si="71"/>
        <v>3575</v>
      </c>
      <c r="BN259">
        <v>2</v>
      </c>
      <c r="BQ259" t="s">
        <v>323</v>
      </c>
      <c r="BR259" t="str">
        <f>VLOOKUP(G259,Eras!$A$2:$C$10, 2, TRUE)</f>
        <v>vct</v>
      </c>
      <c r="BS259" t="s">
        <v>373</v>
      </c>
      <c r="BT259" t="str">
        <f t="shared" si="72"/>
        <v>vct_EMU</v>
      </c>
      <c r="BU259" t="str">
        <f t="shared" si="68"/>
        <v/>
      </c>
      <c r="BV259" t="str">
        <f t="shared" ref="BV259:BV274" si="77">_xlfn.CONCAT(E259, "_",F259)</f>
        <v>electric_THIRD_RAIL</v>
      </c>
      <c r="BW259" t="str">
        <f>VLOOKUP($BV259, Constants!$M:$N, 2, FALSE)</f>
        <v>{BLACK}Powered by: {GOLD}750V DC</v>
      </c>
      <c r="BX259" t="str">
        <f t="shared" ref="BX259:BX274" si="78">IF(J259&gt;1,_xlfn.CONCAT("{BLACK}Cars: {GOLD}", J259),"")</f>
        <v>{BLACK}Cars: {GOLD}2</v>
      </c>
      <c r="BY259" t="s">
        <v>738</v>
      </c>
      <c r="BZ259" t="str">
        <f t="shared" si="74"/>
        <v/>
      </c>
      <c r="CA259" t="str">
        <f t="shared" ref="CA259:CA275" si="79">_xlfn.CONCAT(BU259,BW259,IF(BW259 &lt;&gt; "", " ", ""),BX259,IF(OR(BX259&lt;&gt;"", BW259&lt;&gt;""), "{}",""), BZ259,"{SILVER}", BY259)</f>
        <v>{BLACK}Powered by: {GOLD}750V DC {BLACK}Cars: {GOLD}2{}{SILVER}These lightweight multiple units were built for the Liverpool Overhead Railway, a since closed elevated railway operating around the Liverpool docks.</v>
      </c>
    </row>
    <row r="260" spans="1:79" x14ac:dyDescent="0.25">
      <c r="A260" t="s">
        <v>107</v>
      </c>
      <c r="B260" t="s">
        <v>220</v>
      </c>
      <c r="D260" t="s">
        <v>168</v>
      </c>
      <c r="E260" t="s">
        <v>1175</v>
      </c>
      <c r="F260" t="s">
        <v>314</v>
      </c>
      <c r="G260">
        <v>1900</v>
      </c>
      <c r="X260" s="4" t="str">
        <f t="shared" si="76"/>
        <v/>
      </c>
      <c r="AF260" t="str">
        <f>CONCATENATE(VLOOKUP(AG260, 'Voxel Sizes'!$A$2:$B$18,2,FALSE),"x",INT(AC260*15), "x", INT(AD260*15))</f>
        <v>0x0x0</v>
      </c>
      <c r="AG260">
        <f t="shared" si="69"/>
        <v>0</v>
      </c>
      <c r="AI260" t="str">
        <f>CONCATENATE(VLOOKUP(AG260,Constants!$A$2:$C$16,IF(AH260&lt;&gt;"", 3, 2), FALSE),IF(AH260&lt;&gt;"",CONCATENATE(",",VLOOKUP(AH260,$B:$AI,34,FALSE)),""))</f>
        <v>na</v>
      </c>
      <c r="AQ260">
        <v>30</v>
      </c>
      <c r="AR260" t="str">
        <f t="shared" ref="AR260:AR272" si="80">IF(I260&lt;&gt;"",MAX(8,(I260-G260)-4),"")</f>
        <v/>
      </c>
      <c r="AU260">
        <f t="shared" ref="AU260:AU272" si="81">MIN(Y260/150, 1)*30</f>
        <v>0</v>
      </c>
      <c r="AV260">
        <f t="shared" ref="AV260:AV272" si="82">MIN(K260/4000, 1)*20</f>
        <v>0</v>
      </c>
      <c r="AW260">
        <f t="shared" ref="AW260:AW272" si="83">MIN(W260/400,1)*20</f>
        <v>0</v>
      </c>
      <c r="AX260" s="4">
        <v>1</v>
      </c>
      <c r="AY260">
        <f t="shared" ref="AY260:AY275" si="84">((MAX($J260,1)*MIN($AE260/300,1)))*IF(D260="Wagon",50,10)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70"/>
        <v>3906.25</v>
      </c>
      <c r="BE260" s="15">
        <f t="shared" si="71"/>
        <v>2031.25</v>
      </c>
      <c r="BN260">
        <v>3</v>
      </c>
      <c r="BR260" t="str">
        <f>VLOOKUP(G260,Eras!$A$2:$C$10, 2, TRUE)</f>
        <v>edw</v>
      </c>
      <c r="BS260" t="s">
        <v>385</v>
      </c>
      <c r="BT260" t="str">
        <f t="shared" si="72"/>
        <v>edw_LU</v>
      </c>
      <c r="BU260" t="str">
        <f t="shared" si="68"/>
        <v/>
      </c>
      <c r="BV260" t="str">
        <f t="shared" si="77"/>
        <v>tube_RAIL</v>
      </c>
      <c r="BW260" t="str">
        <f>VLOOKUP($BV260, Constants!$M:$N, 2, FALSE)</f>
        <v/>
      </c>
      <c r="BX260" t="str">
        <f t="shared" si="78"/>
        <v/>
      </c>
      <c r="BZ260" t="str">
        <f t="shared" si="74"/>
        <v/>
      </c>
      <c r="CA260" t="str">
        <f t="shared" si="79"/>
        <v>{SILVER}</v>
      </c>
    </row>
    <row r="261" spans="1:79" x14ac:dyDescent="0.25">
      <c r="A261" t="s">
        <v>113</v>
      </c>
      <c r="B261" t="s">
        <v>224</v>
      </c>
      <c r="D261" t="s">
        <v>168</v>
      </c>
      <c r="E261" t="s">
        <v>1175</v>
      </c>
      <c r="F261" t="s">
        <v>314</v>
      </c>
      <c r="G261">
        <v>1938</v>
      </c>
      <c r="X261" s="4" t="str">
        <f t="shared" si="76"/>
        <v/>
      </c>
      <c r="AF261" t="str">
        <f>CONCATENATE(VLOOKUP(AG261, 'Voxel Sizes'!$A$2:$B$18,2,FALSE),"x",INT(AC261*15), "x", INT(AD261*15))</f>
        <v>0x0x0</v>
      </c>
      <c r="AG261">
        <f t="shared" si="69"/>
        <v>0</v>
      </c>
      <c r="AI261" t="str">
        <f>CONCATENATE(VLOOKUP(AG261,Constants!$A$2:$C$16,IF(AH261&lt;&gt;"", 3, 2), FALSE),IF(AH261&lt;&gt;"",CONCATENATE(",",VLOOKUP(AH261,$B:$AI,34,FALSE)),""))</f>
        <v>na</v>
      </c>
      <c r="AQ261">
        <v>30</v>
      </c>
      <c r="AR261" t="str">
        <f t="shared" si="80"/>
        <v/>
      </c>
      <c r="AU261">
        <f t="shared" si="81"/>
        <v>0</v>
      </c>
      <c r="AV261">
        <f t="shared" si="82"/>
        <v>0</v>
      </c>
      <c r="AW261">
        <f t="shared" si="83"/>
        <v>0</v>
      </c>
      <c r="AX261" s="4">
        <v>1</v>
      </c>
      <c r="AY261">
        <f t="shared" si="8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70"/>
        <v>3906.25</v>
      </c>
      <c r="BE261" s="15">
        <f t="shared" si="71"/>
        <v>2031.25</v>
      </c>
      <c r="BN261">
        <v>4</v>
      </c>
      <c r="BR261" t="str">
        <f>VLOOKUP(G261,Eras!$A$2:$C$10, 2, TRUE)</f>
        <v>big4</v>
      </c>
      <c r="BS261" t="s">
        <v>385</v>
      </c>
      <c r="BT261" t="str">
        <f t="shared" si="72"/>
        <v>big4_LU</v>
      </c>
      <c r="BU261" t="str">
        <f t="shared" ref="BU261:BU272" si="85">IF(AND(BG261&lt;&gt;Y261,BG261&lt;&gt;""),_xlfn.CONCAT("{BLACK}","Tare speed: ","{GOLD}{VELOCITY}{}"), "")</f>
        <v/>
      </c>
      <c r="BV261" t="str">
        <f t="shared" si="77"/>
        <v>tube_RAIL</v>
      </c>
      <c r="BW261" t="str">
        <f>VLOOKUP($BV261, Constants!$M:$N, 2, FALSE)</f>
        <v/>
      </c>
      <c r="BX261" t="str">
        <f t="shared" si="78"/>
        <v/>
      </c>
      <c r="BZ261" t="str">
        <f t="shared" si="74"/>
        <v/>
      </c>
      <c r="CA261" t="str">
        <f t="shared" si="79"/>
        <v>{SILVER}</v>
      </c>
    </row>
    <row r="262" spans="1:79" x14ac:dyDescent="0.25">
      <c r="A262" t="s">
        <v>114</v>
      </c>
      <c r="B262" t="s">
        <v>225</v>
      </c>
      <c r="D262" t="s">
        <v>168</v>
      </c>
      <c r="E262" t="s">
        <v>1175</v>
      </c>
      <c r="F262" t="s">
        <v>314</v>
      </c>
      <c r="G262">
        <v>1959</v>
      </c>
      <c r="X262" s="4" t="str">
        <f t="shared" si="76"/>
        <v/>
      </c>
      <c r="AF262" t="str">
        <f>CONCATENATE(VLOOKUP(AG262, 'Voxel Sizes'!$A$2:$B$18,2,FALSE),"x",INT(AC262*15), "x", INT(AD262*15))</f>
        <v>0x0x0</v>
      </c>
      <c r="AG262">
        <f t="shared" si="69"/>
        <v>0</v>
      </c>
      <c r="AI262" t="str">
        <f>CONCATENATE(VLOOKUP(AG262,Constants!$A$2:$C$16,IF(AH262&lt;&gt;"", 3, 2), FALSE),IF(AH262&lt;&gt;"",CONCATENATE(",",VLOOKUP(AH262,$B:$AI,34,FALSE)),""))</f>
        <v>na</v>
      </c>
      <c r="AQ262">
        <v>30</v>
      </c>
      <c r="AR262" t="str">
        <f t="shared" si="80"/>
        <v/>
      </c>
      <c r="AU262">
        <f t="shared" si="81"/>
        <v>0</v>
      </c>
      <c r="AV262">
        <f t="shared" si="82"/>
        <v>0</v>
      </c>
      <c r="AW262">
        <f t="shared" si="83"/>
        <v>0</v>
      </c>
      <c r="AX262" s="4">
        <v>1</v>
      </c>
      <c r="AY262">
        <f t="shared" si="8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70"/>
        <v>3906.25</v>
      </c>
      <c r="BE262" s="15">
        <f t="shared" si="71"/>
        <v>2031.25</v>
      </c>
      <c r="BN262">
        <v>5</v>
      </c>
      <c r="BR262" t="str">
        <f>VLOOKUP(G262,Eras!$A$2:$C$10, 2, TRUE)</f>
        <v>dsl</v>
      </c>
      <c r="BS262" t="s">
        <v>385</v>
      </c>
      <c r="BT262" t="str">
        <f t="shared" si="72"/>
        <v>dsl_LU</v>
      </c>
      <c r="BU262" t="str">
        <f t="shared" si="85"/>
        <v/>
      </c>
      <c r="BV262" t="str">
        <f t="shared" si="77"/>
        <v>tube_RAIL</v>
      </c>
      <c r="BW262" t="str">
        <f>VLOOKUP($BV262, Constants!$M:$N, 2, FALSE)</f>
        <v/>
      </c>
      <c r="BX262" t="str">
        <f t="shared" si="78"/>
        <v/>
      </c>
      <c r="BZ262" t="str">
        <f t="shared" si="74"/>
        <v/>
      </c>
      <c r="CA262" t="str">
        <f t="shared" si="79"/>
        <v>{SILVER}</v>
      </c>
    </row>
    <row r="263" spans="1:79" x14ac:dyDescent="0.25">
      <c r="A263" t="s">
        <v>115</v>
      </c>
      <c r="B263" t="s">
        <v>226</v>
      </c>
      <c r="D263" t="s">
        <v>168</v>
      </c>
      <c r="E263" t="s">
        <v>1175</v>
      </c>
      <c r="F263" t="s">
        <v>314</v>
      </c>
      <c r="G263">
        <v>1960</v>
      </c>
      <c r="X263" s="4" t="str">
        <f t="shared" si="76"/>
        <v/>
      </c>
      <c r="AF263" t="str">
        <f>CONCATENATE(VLOOKUP(AG263, 'Voxel Sizes'!$A$2:$B$18,2,FALSE),"x",INT(AC263*15), "x", INT(AD263*15))</f>
        <v>0x0x0</v>
      </c>
      <c r="AG263">
        <f t="shared" si="69"/>
        <v>0</v>
      </c>
      <c r="AI263" t="str">
        <f>CONCATENATE(VLOOKUP(AG263,Constants!$A$2:$C$16,IF(AH263&lt;&gt;"", 3, 2), FALSE),IF(AH263&lt;&gt;"",CONCATENATE(",",VLOOKUP(AH263,$B:$AI,34,FALSE)),""))</f>
        <v>na</v>
      </c>
      <c r="AQ263">
        <v>30</v>
      </c>
      <c r="AR263" t="str">
        <f t="shared" si="80"/>
        <v/>
      </c>
      <c r="AU263">
        <f t="shared" si="81"/>
        <v>0</v>
      </c>
      <c r="AV263">
        <f t="shared" si="82"/>
        <v>0</v>
      </c>
      <c r="AW263">
        <f t="shared" si="83"/>
        <v>0</v>
      </c>
      <c r="AX263" s="4">
        <v>1</v>
      </c>
      <c r="AY263">
        <f t="shared" si="8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70"/>
        <v>3906.25</v>
      </c>
      <c r="BE263" s="15">
        <f t="shared" si="71"/>
        <v>2031.25</v>
      </c>
      <c r="BN263">
        <v>6</v>
      </c>
      <c r="BR263" t="str">
        <f>VLOOKUP(G263,Eras!$A$2:$C$10, 2, TRUE)</f>
        <v>dsl</v>
      </c>
      <c r="BS263" t="s">
        <v>385</v>
      </c>
      <c r="BT263" t="str">
        <f t="shared" si="72"/>
        <v>dsl_LU</v>
      </c>
      <c r="BU263" t="str">
        <f t="shared" si="85"/>
        <v/>
      </c>
      <c r="BV263" t="str">
        <f t="shared" si="77"/>
        <v>tube_RAIL</v>
      </c>
      <c r="BW263" t="str">
        <f>VLOOKUP($BV263, Constants!$M:$N, 2, FALSE)</f>
        <v/>
      </c>
      <c r="BX263" t="str">
        <f t="shared" si="78"/>
        <v/>
      </c>
      <c r="BZ263" t="str">
        <f t="shared" si="74"/>
        <v/>
      </c>
      <c r="CA263" t="str">
        <f t="shared" si="79"/>
        <v>{SILVER}</v>
      </c>
    </row>
    <row r="264" spans="1:79" x14ac:dyDescent="0.25">
      <c r="A264" t="s">
        <v>116</v>
      </c>
      <c r="B264" t="s">
        <v>227</v>
      </c>
      <c r="D264" t="s">
        <v>168</v>
      </c>
      <c r="E264" t="s">
        <v>1175</v>
      </c>
      <c r="F264" t="s">
        <v>314</v>
      </c>
      <c r="G264">
        <v>1967</v>
      </c>
      <c r="X264" s="4" t="str">
        <f t="shared" si="76"/>
        <v/>
      </c>
      <c r="AF264" t="str">
        <f>CONCATENATE(VLOOKUP(AG264, 'Voxel Sizes'!$A$2:$B$18,2,FALSE),"x",INT(AC264*15), "x", INT(AD264*15))</f>
        <v>0x0x0</v>
      </c>
      <c r="AG264">
        <f t="shared" si="69"/>
        <v>0</v>
      </c>
      <c r="AI264" t="str">
        <f>CONCATENATE(VLOOKUP(AG264,Constants!$A$2:$C$16,IF(AH264&lt;&gt;"", 3, 2), FALSE),IF(AH264&lt;&gt;"",CONCATENATE(",",VLOOKUP(AH264,$B:$AI,34,FALSE)),""))</f>
        <v>na</v>
      </c>
      <c r="AQ264">
        <v>30</v>
      </c>
      <c r="AR264" t="str">
        <f t="shared" si="80"/>
        <v/>
      </c>
      <c r="AU264">
        <f t="shared" si="81"/>
        <v>0</v>
      </c>
      <c r="AV264">
        <f t="shared" si="82"/>
        <v>0</v>
      </c>
      <c r="AW264">
        <f t="shared" si="83"/>
        <v>0</v>
      </c>
      <c r="AX264" s="4">
        <v>1</v>
      </c>
      <c r="AY264">
        <f t="shared" si="8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70"/>
        <v>3906.25</v>
      </c>
      <c r="BE264" s="15">
        <f t="shared" si="71"/>
        <v>2031.25</v>
      </c>
      <c r="BN264">
        <v>7</v>
      </c>
      <c r="BR264" t="str">
        <f>VLOOKUP(G264,Eras!$A$2:$C$10, 2, TRUE)</f>
        <v>dsl</v>
      </c>
      <c r="BS264" t="s">
        <v>385</v>
      </c>
      <c r="BT264" t="str">
        <f t="shared" si="72"/>
        <v>dsl_LU</v>
      </c>
      <c r="BU264" t="str">
        <f t="shared" si="85"/>
        <v/>
      </c>
      <c r="BV264" t="str">
        <f t="shared" si="77"/>
        <v>tube_RAIL</v>
      </c>
      <c r="BW264" t="str">
        <f>VLOOKUP($BV264, Constants!$M:$N, 2, FALSE)</f>
        <v/>
      </c>
      <c r="BX264" t="str">
        <f t="shared" si="78"/>
        <v/>
      </c>
      <c r="BZ264" t="str">
        <f t="shared" si="74"/>
        <v/>
      </c>
      <c r="CA264" t="str">
        <f t="shared" si="79"/>
        <v>{SILVER}</v>
      </c>
    </row>
    <row r="265" spans="1:79" x14ac:dyDescent="0.25">
      <c r="A265" t="s">
        <v>117</v>
      </c>
      <c r="B265" t="s">
        <v>228</v>
      </c>
      <c r="D265" t="s">
        <v>168</v>
      </c>
      <c r="E265" t="s">
        <v>1175</v>
      </c>
      <c r="F265" t="s">
        <v>314</v>
      </c>
      <c r="G265">
        <v>1969</v>
      </c>
      <c r="X265" s="4" t="str">
        <f t="shared" si="76"/>
        <v/>
      </c>
      <c r="AF265" t="str">
        <f>CONCATENATE(VLOOKUP(AG265, 'Voxel Sizes'!$A$2:$B$18,2,FALSE),"x",INT(AC265*15), "x", INT(AD265*15))</f>
        <v>0x0x0</v>
      </c>
      <c r="AG265">
        <f t="shared" si="69"/>
        <v>0</v>
      </c>
      <c r="AI265" t="str">
        <f>CONCATENATE(VLOOKUP(AG265,Constants!$A$2:$C$16,IF(AH265&lt;&gt;"", 3, 2), FALSE),IF(AH265&lt;&gt;"",CONCATENATE(",",VLOOKUP(AH265,$B:$AI,34,FALSE)),""))</f>
        <v>na</v>
      </c>
      <c r="AQ265">
        <v>30</v>
      </c>
      <c r="AR265" t="str">
        <f t="shared" si="80"/>
        <v/>
      </c>
      <c r="AU265">
        <f t="shared" si="81"/>
        <v>0</v>
      </c>
      <c r="AV265">
        <f t="shared" si="82"/>
        <v>0</v>
      </c>
      <c r="AW265">
        <f t="shared" si="83"/>
        <v>0</v>
      </c>
      <c r="AX265" s="4">
        <v>1</v>
      </c>
      <c r="AY265">
        <f t="shared" si="8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70"/>
        <v>3906.25</v>
      </c>
      <c r="BE265" s="15">
        <f t="shared" si="71"/>
        <v>2031.25</v>
      </c>
      <c r="BN265">
        <v>8</v>
      </c>
      <c r="BR265" t="str">
        <f>VLOOKUP(G265,Eras!$A$2:$C$10, 2, TRUE)</f>
        <v>dsl</v>
      </c>
      <c r="BS265" t="s">
        <v>385</v>
      </c>
      <c r="BT265" t="str">
        <f t="shared" si="72"/>
        <v>dsl_LU</v>
      </c>
      <c r="BU265" t="str">
        <f t="shared" si="85"/>
        <v/>
      </c>
      <c r="BV265" t="str">
        <f t="shared" si="77"/>
        <v>tube_RAIL</v>
      </c>
      <c r="BW265" t="str">
        <f>VLOOKUP($BV265, Constants!$M:$N, 2, FALSE)</f>
        <v/>
      </c>
      <c r="BX265" t="str">
        <f t="shared" si="78"/>
        <v/>
      </c>
      <c r="BZ265" t="str">
        <f t="shared" si="74"/>
        <v/>
      </c>
      <c r="CA265" t="str">
        <f t="shared" si="79"/>
        <v>{SILVER}</v>
      </c>
    </row>
    <row r="266" spans="1:79" x14ac:dyDescent="0.25">
      <c r="A266" t="s">
        <v>118</v>
      </c>
      <c r="B266" t="s">
        <v>229</v>
      </c>
      <c r="D266" t="s">
        <v>168</v>
      </c>
      <c r="E266" t="s">
        <v>1175</v>
      </c>
      <c r="F266" t="s">
        <v>314</v>
      </c>
      <c r="G266">
        <v>1973</v>
      </c>
      <c r="X266" s="4" t="str">
        <f t="shared" si="76"/>
        <v/>
      </c>
      <c r="AF266" t="str">
        <f>CONCATENATE(VLOOKUP(AG266, 'Voxel Sizes'!$A$2:$B$18,2,FALSE),"x",INT(AC266*15), "x", INT(AD266*15))</f>
        <v>0x0x0</v>
      </c>
      <c r="AG266">
        <f t="shared" si="69"/>
        <v>0</v>
      </c>
      <c r="AI266" t="str">
        <f>CONCATENATE(VLOOKUP(AG266,Constants!$A$2:$C$16,IF(AH266&lt;&gt;"", 3, 2), FALSE),IF(AH266&lt;&gt;"",CONCATENATE(",",VLOOKUP(AH266,$B:$AI,34,FALSE)),""))</f>
        <v>na</v>
      </c>
      <c r="AQ266">
        <v>30</v>
      </c>
      <c r="AR266" t="str">
        <f t="shared" si="80"/>
        <v/>
      </c>
      <c r="AU266">
        <f t="shared" si="81"/>
        <v>0</v>
      </c>
      <c r="AV266">
        <f t="shared" si="82"/>
        <v>0</v>
      </c>
      <c r="AW266">
        <f t="shared" si="83"/>
        <v>0</v>
      </c>
      <c r="AX266" s="4">
        <v>1</v>
      </c>
      <c r="AY266">
        <f t="shared" si="8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70"/>
        <v>3906.25</v>
      </c>
      <c r="BE266" s="15">
        <f t="shared" si="71"/>
        <v>2031.25</v>
      </c>
      <c r="BN266">
        <v>9</v>
      </c>
      <c r="BR266" t="str">
        <f>VLOOKUP(G266,Eras!$A$2:$C$10, 2, TRUE)</f>
        <v>lbr</v>
      </c>
      <c r="BS266" t="s">
        <v>385</v>
      </c>
      <c r="BT266" t="str">
        <f t="shared" si="72"/>
        <v>lbr_LU</v>
      </c>
      <c r="BU266" t="str">
        <f t="shared" si="85"/>
        <v/>
      </c>
      <c r="BV266" t="str">
        <f t="shared" si="77"/>
        <v>tube_RAIL</v>
      </c>
      <c r="BW266" t="str">
        <f>VLOOKUP($BV266, Constants!$M:$N, 2, FALSE)</f>
        <v/>
      </c>
      <c r="BX266" t="str">
        <f t="shared" si="78"/>
        <v/>
      </c>
      <c r="BZ266" t="str">
        <f t="shared" si="74"/>
        <v/>
      </c>
      <c r="CA266" t="str">
        <f t="shared" si="79"/>
        <v>{SILVER}</v>
      </c>
    </row>
    <row r="267" spans="1:79" x14ac:dyDescent="0.25">
      <c r="A267" t="s">
        <v>120</v>
      </c>
      <c r="B267" t="s">
        <v>231</v>
      </c>
      <c r="D267" t="s">
        <v>168</v>
      </c>
      <c r="E267" t="s">
        <v>1175</v>
      </c>
      <c r="F267" t="s">
        <v>314</v>
      </c>
      <c r="G267">
        <v>1983</v>
      </c>
      <c r="X267" s="4" t="str">
        <f t="shared" si="76"/>
        <v/>
      </c>
      <c r="AF267" t="str">
        <f>CONCATENATE(VLOOKUP(AG267, 'Voxel Sizes'!$A$2:$B$18,2,FALSE),"x",INT(AC267*15), "x", INT(AD267*15))</f>
        <v>0x0x0</v>
      </c>
      <c r="AG267">
        <f t="shared" si="69"/>
        <v>0</v>
      </c>
      <c r="AI267" t="str">
        <f>CONCATENATE(VLOOKUP(AG267,Constants!$A$2:$C$16,IF(AH267&lt;&gt;"", 3, 2), FALSE),IF(AH267&lt;&gt;"",CONCATENATE(",",VLOOKUP(AH267,$B:$AI,34,FALSE)),""))</f>
        <v>na</v>
      </c>
      <c r="AQ267">
        <v>30</v>
      </c>
      <c r="AR267" t="str">
        <f t="shared" si="80"/>
        <v/>
      </c>
      <c r="AU267">
        <f t="shared" si="81"/>
        <v>0</v>
      </c>
      <c r="AV267">
        <f t="shared" si="82"/>
        <v>0</v>
      </c>
      <c r="AW267">
        <f t="shared" si="83"/>
        <v>0</v>
      </c>
      <c r="AX267" s="4">
        <v>1</v>
      </c>
      <c r="AY267">
        <f t="shared" si="8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70"/>
        <v>3906.25</v>
      </c>
      <c r="BE267" s="15">
        <f t="shared" si="71"/>
        <v>2031.25</v>
      </c>
      <c r="BN267">
        <v>10</v>
      </c>
      <c r="BR267" t="str">
        <f>VLOOKUP(G267,Eras!$A$2:$C$10, 2, TRUE)</f>
        <v>lbr</v>
      </c>
      <c r="BS267" t="s">
        <v>385</v>
      </c>
      <c r="BT267" t="str">
        <f t="shared" si="72"/>
        <v>lbr_LU</v>
      </c>
      <c r="BU267" t="str">
        <f t="shared" si="85"/>
        <v/>
      </c>
      <c r="BV267" t="str">
        <f t="shared" si="77"/>
        <v>tube_RAIL</v>
      </c>
      <c r="BW267" t="str">
        <f>VLOOKUP($BV267, Constants!$M:$N, 2, FALSE)</f>
        <v/>
      </c>
      <c r="BX267" t="str">
        <f t="shared" si="78"/>
        <v/>
      </c>
      <c r="BZ267" t="str">
        <f t="shared" si="74"/>
        <v/>
      </c>
      <c r="CA267" t="str">
        <f t="shared" si="79"/>
        <v>{SILVER}</v>
      </c>
    </row>
    <row r="268" spans="1:79" x14ac:dyDescent="0.25">
      <c r="A268" t="s">
        <v>119</v>
      </c>
      <c r="B268" t="s">
        <v>230</v>
      </c>
      <c r="D268" t="s">
        <v>168</v>
      </c>
      <c r="E268" t="s">
        <v>1175</v>
      </c>
      <c r="F268" t="s">
        <v>314</v>
      </c>
      <c r="G268">
        <v>1978</v>
      </c>
      <c r="X268" s="4" t="str">
        <f t="shared" si="76"/>
        <v/>
      </c>
      <c r="AF268" t="str">
        <f>CONCATENATE(VLOOKUP(AG268, 'Voxel Sizes'!$A$2:$B$18,2,FALSE),"x",INT(AC268*15), "x", INT(AD268*15))</f>
        <v>0x0x0</v>
      </c>
      <c r="AG268">
        <f t="shared" si="69"/>
        <v>0</v>
      </c>
      <c r="AI268" t="str">
        <f>CONCATENATE(VLOOKUP(AG268,Constants!$A$2:$C$16,IF(AH268&lt;&gt;"", 3, 2), FALSE),IF(AH268&lt;&gt;"",CONCATENATE(",",VLOOKUP(AH268,$B:$AI,34,FALSE)),""))</f>
        <v>na</v>
      </c>
      <c r="AQ268">
        <v>30</v>
      </c>
      <c r="AR268" t="str">
        <f t="shared" si="80"/>
        <v/>
      </c>
      <c r="AU268">
        <f t="shared" si="81"/>
        <v>0</v>
      </c>
      <c r="AV268">
        <f t="shared" si="82"/>
        <v>0</v>
      </c>
      <c r="AW268">
        <f t="shared" si="83"/>
        <v>0</v>
      </c>
      <c r="AX268" s="4">
        <v>1</v>
      </c>
      <c r="AY268">
        <f t="shared" si="8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70"/>
        <v>3906.25</v>
      </c>
      <c r="BE268" s="15">
        <f t="shared" si="71"/>
        <v>2031.25</v>
      </c>
      <c r="BN268">
        <v>11</v>
      </c>
      <c r="BR268" t="str">
        <f>VLOOKUP(G268,Eras!$A$2:$C$10, 2, TRUE)</f>
        <v>lbr</v>
      </c>
      <c r="BS268" t="s">
        <v>385</v>
      </c>
      <c r="BT268" t="str">
        <f t="shared" si="72"/>
        <v>lbr_LU</v>
      </c>
      <c r="BU268" t="str">
        <f t="shared" si="85"/>
        <v/>
      </c>
      <c r="BV268" t="str">
        <f t="shared" si="77"/>
        <v>tube_RAIL</v>
      </c>
      <c r="BW268" t="str">
        <f>VLOOKUP($BV268, Constants!$M:$N, 2, FALSE)</f>
        <v/>
      </c>
      <c r="BX268" t="str">
        <f t="shared" si="78"/>
        <v/>
      </c>
      <c r="BZ268" t="str">
        <f t="shared" si="74"/>
        <v/>
      </c>
      <c r="CA268" t="str">
        <f t="shared" si="79"/>
        <v>{SILVER}</v>
      </c>
    </row>
    <row r="269" spans="1:79" x14ac:dyDescent="0.25">
      <c r="A269" t="s">
        <v>123</v>
      </c>
      <c r="B269" t="s">
        <v>233</v>
      </c>
      <c r="D269" t="s">
        <v>168</v>
      </c>
      <c r="E269" t="s">
        <v>1175</v>
      </c>
      <c r="F269" t="s">
        <v>314</v>
      </c>
      <c r="G269">
        <v>2009</v>
      </c>
      <c r="X269" s="4" t="str">
        <f t="shared" si="76"/>
        <v/>
      </c>
      <c r="AF269" t="str">
        <f>CONCATENATE(VLOOKUP(AG269, 'Voxel Sizes'!$A$2:$B$18,2,FALSE),"x",INT(AC269*15), "x", INT(AD269*15))</f>
        <v>0x0x0</v>
      </c>
      <c r="AG269">
        <f t="shared" si="69"/>
        <v>0</v>
      </c>
      <c r="AI269" t="str">
        <f>CONCATENATE(VLOOKUP(AG269,Constants!$A$2:$C$16,IF(AH269&lt;&gt;"", 3, 2), FALSE),IF(AH269&lt;&gt;"",CONCATENATE(",",VLOOKUP(AH269,$B:$AI,34,FALSE)),""))</f>
        <v>na</v>
      </c>
      <c r="AQ269">
        <v>30</v>
      </c>
      <c r="AR269" t="str">
        <f t="shared" si="80"/>
        <v/>
      </c>
      <c r="AU269">
        <f t="shared" si="81"/>
        <v>0</v>
      </c>
      <c r="AV269">
        <f t="shared" si="82"/>
        <v>0</v>
      </c>
      <c r="AW269">
        <f t="shared" si="83"/>
        <v>0</v>
      </c>
      <c r="AX269" s="4">
        <v>1</v>
      </c>
      <c r="AY269">
        <f t="shared" si="8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70"/>
        <v>3906.25</v>
      </c>
      <c r="BE269" s="15">
        <f t="shared" si="71"/>
        <v>2031.25</v>
      </c>
      <c r="BN269">
        <v>12</v>
      </c>
      <c r="BR269" t="str">
        <f>VLOOKUP(G269,Eras!$A$2:$C$10, 2, TRUE)</f>
        <v>mod</v>
      </c>
      <c r="BS269" t="s">
        <v>385</v>
      </c>
      <c r="BT269" t="str">
        <f t="shared" si="72"/>
        <v>mod_LU</v>
      </c>
      <c r="BU269" t="str">
        <f t="shared" si="85"/>
        <v/>
      </c>
      <c r="BV269" t="str">
        <f t="shared" si="77"/>
        <v>tube_RAIL</v>
      </c>
      <c r="BW269" t="str">
        <f>VLOOKUP($BV269, Constants!$M:$N, 2, FALSE)</f>
        <v/>
      </c>
      <c r="BX269" t="str">
        <f t="shared" si="78"/>
        <v/>
      </c>
      <c r="BZ269" t="str">
        <f t="shared" si="74"/>
        <v/>
      </c>
      <c r="CA269" t="str">
        <f t="shared" si="79"/>
        <v>{SILVER}</v>
      </c>
    </row>
    <row r="270" spans="1:79" x14ac:dyDescent="0.25">
      <c r="A270" t="s">
        <v>124</v>
      </c>
      <c r="B270" t="s">
        <v>234</v>
      </c>
      <c r="D270" t="s">
        <v>168</v>
      </c>
      <c r="E270" t="s">
        <v>1175</v>
      </c>
      <c r="F270" t="s">
        <v>314</v>
      </c>
      <c r="G270">
        <v>2010</v>
      </c>
      <c r="X270" s="4" t="str">
        <f t="shared" si="76"/>
        <v/>
      </c>
      <c r="AF270" t="str">
        <f>CONCATENATE(VLOOKUP(AG270, 'Voxel Sizes'!$A$2:$B$18,2,FALSE),"x",INT(AC270*15), "x", INT(AD270*15))</f>
        <v>0x0x0</v>
      </c>
      <c r="AG270">
        <f t="shared" si="69"/>
        <v>0</v>
      </c>
      <c r="AI270" t="str">
        <f>CONCATENATE(VLOOKUP(AG270,Constants!$A$2:$C$16,IF(AH270&lt;&gt;"", 3, 2), FALSE),IF(AH270&lt;&gt;"",CONCATENATE(",",VLOOKUP(AH270,$B:$AI,34,FALSE)),""))</f>
        <v>na</v>
      </c>
      <c r="AQ270">
        <v>30</v>
      </c>
      <c r="AR270" t="str">
        <f t="shared" si="80"/>
        <v/>
      </c>
      <c r="AU270">
        <f t="shared" si="81"/>
        <v>0</v>
      </c>
      <c r="AV270">
        <f t="shared" si="82"/>
        <v>0</v>
      </c>
      <c r="AW270">
        <f t="shared" si="83"/>
        <v>0</v>
      </c>
      <c r="AX270" s="4">
        <v>1</v>
      </c>
      <c r="AY270">
        <f t="shared" si="8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70"/>
        <v>3906.25</v>
      </c>
      <c r="BE270" s="15">
        <f t="shared" si="71"/>
        <v>2031.25</v>
      </c>
      <c r="BN270">
        <v>1</v>
      </c>
      <c r="BR270" t="str">
        <f>VLOOKUP(G270,Eras!$A$2:$C$10, 2, TRUE)</f>
        <v>mod</v>
      </c>
      <c r="BS270" t="s">
        <v>385</v>
      </c>
      <c r="BT270" t="str">
        <f t="shared" si="72"/>
        <v>mod_LU</v>
      </c>
      <c r="BU270" t="str">
        <f t="shared" si="85"/>
        <v/>
      </c>
      <c r="BV270" t="str">
        <f t="shared" si="77"/>
        <v>tube_RAIL</v>
      </c>
      <c r="BW270" t="str">
        <f>VLOOKUP($BV270, Constants!$M:$N, 2, FALSE)</f>
        <v/>
      </c>
      <c r="BX270" t="str">
        <f t="shared" si="78"/>
        <v/>
      </c>
      <c r="BZ270" t="str">
        <f t="shared" si="74"/>
        <v/>
      </c>
      <c r="CA270" t="str">
        <f t="shared" si="79"/>
        <v>{SILVER}</v>
      </c>
    </row>
    <row r="271" spans="1:79" x14ac:dyDescent="0.25">
      <c r="A271" t="s">
        <v>122</v>
      </c>
      <c r="B271" t="s">
        <v>266</v>
      </c>
      <c r="D271" t="s">
        <v>168</v>
      </c>
      <c r="E271" t="s">
        <v>1175</v>
      </c>
      <c r="F271" t="s">
        <v>314</v>
      </c>
      <c r="G271">
        <v>1995</v>
      </c>
      <c r="X271" s="4" t="str">
        <f t="shared" si="76"/>
        <v/>
      </c>
      <c r="AF271" t="str">
        <f>CONCATENATE(VLOOKUP(AG271, 'Voxel Sizes'!$A$2:$B$18,2,FALSE),"x",INT(AC271*15), "x", INT(AD271*15))</f>
        <v>0x0x0</v>
      </c>
      <c r="AG271">
        <f t="shared" si="69"/>
        <v>0</v>
      </c>
      <c r="AI271" t="str">
        <f>CONCATENATE(VLOOKUP(AG271,Constants!$A$2:$C$16,IF(AH271&lt;&gt;"", 3, 2), FALSE),IF(AH271&lt;&gt;"",CONCATENATE(",",VLOOKUP(AH271,$B:$AI,34,FALSE)),""))</f>
        <v>na</v>
      </c>
      <c r="AQ271">
        <v>30</v>
      </c>
      <c r="AR271" t="str">
        <f t="shared" si="80"/>
        <v/>
      </c>
      <c r="AU271">
        <f t="shared" si="81"/>
        <v>0</v>
      </c>
      <c r="AV271">
        <f t="shared" si="82"/>
        <v>0</v>
      </c>
      <c r="AW271">
        <f t="shared" si="83"/>
        <v>0</v>
      </c>
      <c r="AX271" s="4">
        <v>1</v>
      </c>
      <c r="AY271">
        <f t="shared" si="84"/>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BB271*IF($D271="wagon",62.5,781.25)</f>
        <v>3906.25</v>
      </c>
      <c r="BE271" s="15">
        <f>BC271*IF($D271="wagon",2.73,81.25)</f>
        <v>2031.25</v>
      </c>
      <c r="BN271">
        <v>2</v>
      </c>
      <c r="BR271" t="str">
        <f>VLOOKUP(G271,Eras!$A$2:$C$10, 2, TRUE)</f>
        <v>prv</v>
      </c>
      <c r="BS271" t="s">
        <v>385</v>
      </c>
      <c r="BT271" t="str">
        <f>CONCATENATE(BR271,"_",BS271)</f>
        <v>prv_LU</v>
      </c>
      <c r="BU271" t="str">
        <f t="shared" si="85"/>
        <v/>
      </c>
      <c r="BV271" t="str">
        <f t="shared" si="77"/>
        <v>tube_RAIL</v>
      </c>
      <c r="BW271" t="str">
        <f>VLOOKUP($BV271, Constants!$M:$N, 2, FALSE)</f>
        <v/>
      </c>
      <c r="BX271" t="str">
        <f t="shared" si="78"/>
        <v/>
      </c>
      <c r="BZ271" t="str">
        <f t="shared" si="74"/>
        <v/>
      </c>
      <c r="CA271" t="str">
        <f t="shared" si="79"/>
        <v>{SILVER}</v>
      </c>
    </row>
    <row r="272" spans="1:79" x14ac:dyDescent="0.25">
      <c r="A272" t="s">
        <v>121</v>
      </c>
      <c r="B272" t="s">
        <v>232</v>
      </c>
      <c r="D272" t="s">
        <v>168</v>
      </c>
      <c r="E272" t="s">
        <v>1175</v>
      </c>
      <c r="F272" t="s">
        <v>314</v>
      </c>
      <c r="G272">
        <v>1992</v>
      </c>
      <c r="X272" s="4" t="str">
        <f t="shared" si="76"/>
        <v/>
      </c>
      <c r="AF272" t="str">
        <f>CONCATENATE(VLOOKUP(AG272, 'Voxel Sizes'!$A$2:$B$18,2,FALSE),"x",INT(AC272*15), "x", INT(AD272*15))</f>
        <v>0x0x0</v>
      </c>
      <c r="AG272">
        <f t="shared" si="69"/>
        <v>0</v>
      </c>
      <c r="AI272" t="str">
        <f>CONCATENATE(VLOOKUP(AG272,Constants!$A$2:$C$16,IF(AH272&lt;&gt;"", 3, 2), FALSE),IF(AH272&lt;&gt;"",CONCATENATE(",",VLOOKUP(AH272,$B:$AI,34,FALSE)),""))</f>
        <v>na</v>
      </c>
      <c r="AQ272">
        <v>30</v>
      </c>
      <c r="AR272" t="str">
        <f t="shared" si="80"/>
        <v/>
      </c>
      <c r="AU272">
        <f t="shared" si="81"/>
        <v>0</v>
      </c>
      <c r="AV272">
        <f t="shared" si="82"/>
        <v>0</v>
      </c>
      <c r="AW272">
        <f t="shared" si="83"/>
        <v>0</v>
      </c>
      <c r="AX272" s="4">
        <v>1</v>
      </c>
      <c r="AY272">
        <f t="shared" si="84"/>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BB272*IF($D272="wagon",62.5,781.25)</f>
        <v>3906.25</v>
      </c>
      <c r="BE272" s="15">
        <f>BC272*IF($D272="wagon",2.73,81.25)</f>
        <v>2031.25</v>
      </c>
      <c r="BN272">
        <v>3</v>
      </c>
      <c r="BR272" t="str">
        <f>VLOOKUP(G272,Eras!$A$2:$C$10, 2, TRUE)</f>
        <v>lbr</v>
      </c>
      <c r="BS272" t="s">
        <v>385</v>
      </c>
      <c r="BT272" t="str">
        <f>CONCATENATE(BR272,"_",BS272)</f>
        <v>lbr_LU</v>
      </c>
      <c r="BU272" t="str">
        <f t="shared" si="85"/>
        <v/>
      </c>
      <c r="BV272" t="str">
        <f t="shared" si="77"/>
        <v>tube_RAIL</v>
      </c>
      <c r="BW272" t="str">
        <f>VLOOKUP($BV272, Constants!$M:$N, 2, FALSE)</f>
        <v/>
      </c>
      <c r="BX272" t="str">
        <f t="shared" si="78"/>
        <v/>
      </c>
      <c r="BZ272" t="str">
        <f t="shared" si="74"/>
        <v/>
      </c>
      <c r="CA272" t="str">
        <f t="shared" si="79"/>
        <v>{SILVER}</v>
      </c>
    </row>
    <row r="273" spans="1:79" x14ac:dyDescent="0.25">
      <c r="A273" t="s">
        <v>1264</v>
      </c>
      <c r="B273" t="s">
        <v>1267</v>
      </c>
      <c r="D273" t="s">
        <v>168</v>
      </c>
      <c r="AY273">
        <f t="shared" si="84"/>
        <v>0</v>
      </c>
      <c r="BV273" t="str">
        <f t="shared" si="77"/>
        <v>_</v>
      </c>
      <c r="BW273" t="str">
        <f>VLOOKUP($BV273, Constants!$M:$N, 2, FALSE)</f>
        <v/>
      </c>
      <c r="BX273" t="str">
        <f t="shared" si="78"/>
        <v/>
      </c>
      <c r="CA273" t="str">
        <f t="shared" si="79"/>
        <v>{SILVER}</v>
      </c>
    </row>
    <row r="274" spans="1:79" x14ac:dyDescent="0.25">
      <c r="A274" t="s">
        <v>1265</v>
      </c>
      <c r="B274" t="s">
        <v>1268</v>
      </c>
      <c r="D274" t="s">
        <v>168</v>
      </c>
      <c r="AY274">
        <f t="shared" si="84"/>
        <v>0</v>
      </c>
      <c r="BV274" t="str">
        <f t="shared" si="77"/>
        <v>_</v>
      </c>
      <c r="BW274" t="str">
        <f>VLOOKUP($BV274, Constants!$M:$N, 2, FALSE)</f>
        <v/>
      </c>
      <c r="BX274" t="str">
        <f t="shared" si="78"/>
        <v/>
      </c>
      <c r="CA274" t="str">
        <f t="shared" si="79"/>
        <v>{SILVER}</v>
      </c>
    </row>
    <row r="275" spans="1:79" x14ac:dyDescent="0.25">
      <c r="A275" t="s">
        <v>1266</v>
      </c>
      <c r="B275" t="s">
        <v>1269</v>
      </c>
      <c r="D275" t="s">
        <v>168</v>
      </c>
      <c r="AY275">
        <f t="shared" si="84"/>
        <v>0</v>
      </c>
      <c r="CA275" t="str">
        <f t="shared" si="79"/>
        <v>{SILVER}</v>
      </c>
    </row>
  </sheetData>
  <autoFilter ref="A1:BY275" xr:uid="{CF2E8555-48EE-4386-A1B1-369F6A2E644F}">
    <sortState xmlns:xlrd2="http://schemas.microsoft.com/office/spreadsheetml/2017/richdata2" ref="A2:BY272">
      <sortCondition ref="C100"/>
    </sortState>
  </autoFilter>
  <sortState xmlns:xlrd2="http://schemas.microsoft.com/office/spreadsheetml/2017/richdata2" ref="A2:CA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6"/>
  <sheetViews>
    <sheetView tabSelected="1" workbookViewId="0">
      <selection activeCell="C8" sqref="C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550</v>
      </c>
      <c r="F1" s="1" t="s">
        <v>1163</v>
      </c>
      <c r="G1">
        <v>15</v>
      </c>
      <c r="I1" s="1" t="s">
        <v>1167</v>
      </c>
      <c r="J1" s="1" t="s">
        <v>1168</v>
      </c>
      <c r="K1" s="1" t="s">
        <v>1169</v>
      </c>
      <c r="M1" s="1" t="s">
        <v>1277</v>
      </c>
      <c r="N1" s="1" t="s">
        <v>1278</v>
      </c>
      <c r="O1" s="1" t="s">
        <v>161</v>
      </c>
    </row>
    <row r="2" spans="1:15" x14ac:dyDescent="0.25">
      <c r="A2" s="2">
        <v>0</v>
      </c>
      <c r="B2" s="2" t="s">
        <v>168</v>
      </c>
      <c r="F2" s="1" t="s">
        <v>1164</v>
      </c>
      <c r="G2">
        <v>5</v>
      </c>
      <c r="I2" t="s">
        <v>312</v>
      </c>
      <c r="J2">
        <v>1</v>
      </c>
      <c r="K2">
        <v>2</v>
      </c>
      <c r="M2" t="s">
        <v>1279</v>
      </c>
      <c r="N2" t="str">
        <f>IF(O2&lt;&gt;"", _xlfn.CONCAT("{BLACK}Powered by: {GOLD}",O2), "")</f>
        <v>{BLACK}Powered by: {GOLD}Diesel</v>
      </c>
      <c r="O2" t="s">
        <v>1288</v>
      </c>
    </row>
    <row r="3" spans="1:15" x14ac:dyDescent="0.25">
      <c r="A3">
        <v>3</v>
      </c>
      <c r="B3" t="s">
        <v>332</v>
      </c>
      <c r="C3" t="s">
        <v>332</v>
      </c>
      <c r="I3" t="s">
        <v>336</v>
      </c>
      <c r="J3">
        <v>0.85</v>
      </c>
      <c r="K3">
        <v>2.2999999999999998</v>
      </c>
      <c r="M3" t="s">
        <v>1280</v>
      </c>
      <c r="N3" t="str">
        <f t="shared" ref="N3:N16" si="0">IF(O3&lt;&gt;"", _xlfn.CONCAT("{BLACK}Powered by: {GOLD}",O3), "")</f>
        <v>{BLACK}Powered by: {GOLD}Steam</v>
      </c>
      <c r="O3" t="s">
        <v>1289</v>
      </c>
    </row>
    <row r="4" spans="1:15" x14ac:dyDescent="0.25">
      <c r="A4">
        <v>4</v>
      </c>
      <c r="B4" t="s">
        <v>772</v>
      </c>
      <c r="C4" t="s">
        <v>772</v>
      </c>
      <c r="I4" t="s">
        <v>311</v>
      </c>
      <c r="J4">
        <v>1.1499999999999999</v>
      </c>
      <c r="K4">
        <v>1.7</v>
      </c>
      <c r="M4" t="s">
        <v>1281</v>
      </c>
      <c r="N4" t="str">
        <f t="shared" si="0"/>
        <v>{BLACK}Powered by: {GOLD}25kV AC</v>
      </c>
      <c r="O4" t="s">
        <v>1290</v>
      </c>
    </row>
    <row r="5" spans="1:15" x14ac:dyDescent="0.25">
      <c r="A5">
        <v>5</v>
      </c>
      <c r="B5" t="s">
        <v>767</v>
      </c>
      <c r="C5" t="s">
        <v>767</v>
      </c>
      <c r="I5" t="s">
        <v>593</v>
      </c>
      <c r="J5">
        <v>0.9</v>
      </c>
      <c r="K5">
        <v>2.5</v>
      </c>
      <c r="M5" t="s">
        <v>1292</v>
      </c>
      <c r="N5" t="str">
        <f t="shared" si="0"/>
        <v>{BLACK}Powered by: {GOLD}750V DC</v>
      </c>
      <c r="O5" t="s">
        <v>1291</v>
      </c>
    </row>
    <row r="6" spans="1:15" x14ac:dyDescent="0.25">
      <c r="A6">
        <v>6</v>
      </c>
      <c r="B6" t="s">
        <v>344</v>
      </c>
      <c r="C6" t="s">
        <v>344</v>
      </c>
      <c r="I6" t="s">
        <v>604</v>
      </c>
      <c r="J6">
        <v>0.85</v>
      </c>
      <c r="K6">
        <v>2.4</v>
      </c>
      <c r="M6" t="s">
        <v>1283</v>
      </c>
      <c r="N6" t="str">
        <f t="shared" si="0"/>
        <v/>
      </c>
    </row>
    <row r="7" spans="1:15" x14ac:dyDescent="0.25">
      <c r="A7">
        <v>7</v>
      </c>
      <c r="B7" t="s">
        <v>765</v>
      </c>
      <c r="C7" t="s">
        <v>765</v>
      </c>
      <c r="I7" t="s">
        <v>1172</v>
      </c>
      <c r="J7">
        <v>1.2</v>
      </c>
      <c r="K7">
        <v>0.6</v>
      </c>
      <c r="M7" t="s">
        <v>1284</v>
      </c>
      <c r="N7" t="str">
        <f t="shared" si="0"/>
        <v/>
      </c>
    </row>
    <row r="8" spans="1:15" x14ac:dyDescent="0.25">
      <c r="A8">
        <v>8</v>
      </c>
      <c r="B8" t="s">
        <v>762</v>
      </c>
      <c r="C8" t="s">
        <v>762</v>
      </c>
      <c r="I8" t="s">
        <v>1173</v>
      </c>
      <c r="J8">
        <v>1.5</v>
      </c>
      <c r="K8">
        <v>0.7</v>
      </c>
      <c r="M8" t="s">
        <v>1285</v>
      </c>
      <c r="N8" t="str">
        <f t="shared" si="0"/>
        <v/>
      </c>
    </row>
    <row r="9" spans="1:15" x14ac:dyDescent="0.25">
      <c r="A9">
        <v>9</v>
      </c>
      <c r="B9" t="s">
        <v>764</v>
      </c>
      <c r="C9" t="s">
        <v>764</v>
      </c>
      <c r="I9" t="s">
        <v>321</v>
      </c>
      <c r="J9">
        <v>1</v>
      </c>
      <c r="K9">
        <v>0.45</v>
      </c>
      <c r="M9" t="s">
        <v>1286</v>
      </c>
      <c r="N9" t="str">
        <f t="shared" si="0"/>
        <v/>
      </c>
    </row>
    <row r="10" spans="1:15" x14ac:dyDescent="0.25">
      <c r="A10">
        <v>10</v>
      </c>
      <c r="B10" t="s">
        <v>766</v>
      </c>
      <c r="C10" t="s">
        <v>766</v>
      </c>
      <c r="I10" t="s">
        <v>1174</v>
      </c>
      <c r="J10">
        <v>1</v>
      </c>
      <c r="K10">
        <v>0.4</v>
      </c>
      <c r="M10" t="s">
        <v>1287</v>
      </c>
      <c r="N10" t="str">
        <f t="shared" si="0"/>
        <v/>
      </c>
    </row>
    <row r="11" spans="1:15" x14ac:dyDescent="0.25">
      <c r="A11">
        <v>11</v>
      </c>
      <c r="B11" t="s">
        <v>768</v>
      </c>
      <c r="C11" t="s">
        <v>768</v>
      </c>
      <c r="I11" t="s">
        <v>1175</v>
      </c>
      <c r="J11">
        <v>1</v>
      </c>
      <c r="K11">
        <v>1</v>
      </c>
      <c r="M11" t="s">
        <v>1293</v>
      </c>
      <c r="N11" t="str">
        <f t="shared" si="0"/>
        <v>{BLACK}Powered by: {GOLD}750V DC / Diesel</v>
      </c>
      <c r="O11" t="s">
        <v>1294</v>
      </c>
    </row>
    <row r="12" spans="1:15" x14ac:dyDescent="0.25">
      <c r="A12">
        <v>12</v>
      </c>
      <c r="B12" t="s">
        <v>761</v>
      </c>
      <c r="C12" t="s">
        <v>761</v>
      </c>
      <c r="I12" t="s">
        <v>331</v>
      </c>
      <c r="J12">
        <v>0</v>
      </c>
      <c r="K12">
        <v>0</v>
      </c>
      <c r="M12" t="s">
        <v>1295</v>
      </c>
      <c r="N12" t="str">
        <f t="shared" si="0"/>
        <v>{BLACK}Powered by: {GOLD}25kV AC / 750V DC</v>
      </c>
      <c r="O12" t="s">
        <v>1296</v>
      </c>
    </row>
    <row r="13" spans="1:15" x14ac:dyDescent="0.25">
      <c r="A13">
        <v>13</v>
      </c>
      <c r="B13" t="s">
        <v>769</v>
      </c>
      <c r="C13" t="s">
        <v>769</v>
      </c>
      <c r="I13" t="s">
        <v>1300</v>
      </c>
      <c r="J13">
        <v>1.05</v>
      </c>
      <c r="K13">
        <v>1.9</v>
      </c>
      <c r="M13" t="s">
        <v>1297</v>
      </c>
      <c r="N13" t="str">
        <f t="shared" si="0"/>
        <v/>
      </c>
    </row>
    <row r="14" spans="1:15" x14ac:dyDescent="0.25">
      <c r="A14">
        <v>14</v>
      </c>
      <c r="B14" t="s">
        <v>763</v>
      </c>
      <c r="C14" t="s">
        <v>763</v>
      </c>
      <c r="M14" t="s">
        <v>1298</v>
      </c>
      <c r="N14" t="str">
        <f t="shared" si="0"/>
        <v/>
      </c>
    </row>
    <row r="15" spans="1:15" x14ac:dyDescent="0.25">
      <c r="A15">
        <v>15</v>
      </c>
      <c r="B15" t="s">
        <v>770</v>
      </c>
      <c r="C15" t="s">
        <v>770</v>
      </c>
      <c r="M15" t="s">
        <v>1299</v>
      </c>
      <c r="N15" t="str">
        <f t="shared" si="0"/>
        <v/>
      </c>
    </row>
    <row r="16" spans="1:15" x14ac:dyDescent="0.25">
      <c r="A16">
        <v>16</v>
      </c>
      <c r="B16" t="s">
        <v>771</v>
      </c>
      <c r="C16" t="s">
        <v>771</v>
      </c>
      <c r="M16" t="s">
        <v>1301</v>
      </c>
      <c r="N16" t="str">
        <f t="shared" si="0"/>
        <v>{BLACK}Powered by: {GOLD}Petrol</v>
      </c>
      <c r="O16" t="s">
        <v>964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0" sqref="B10"/>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 t="shared" ref="B21:I21" si="1">ROUND(15*((B20*10)/256),0)</f>
        <v>13</v>
      </c>
      <c r="C21">
        <f t="shared" si="1"/>
        <v>13</v>
      </c>
      <c r="D21">
        <f t="shared" si="1"/>
        <v>11</v>
      </c>
      <c r="E21">
        <f t="shared" si="1"/>
        <v>11</v>
      </c>
      <c r="F21">
        <f t="shared" si="1"/>
        <v>11</v>
      </c>
      <c r="G21">
        <f t="shared" si="1"/>
        <v>11</v>
      </c>
      <c r="H21">
        <f t="shared" si="1"/>
        <v>13</v>
      </c>
      <c r="I21">
        <f t="shared" si="1"/>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2020-08-02T14:22:14Z</dcterms:modified>
</cp:coreProperties>
</file>