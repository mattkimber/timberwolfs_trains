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CA10173-3903-47A7-BE93-FD10A2B246A9}" xr6:coauthVersionLast="47" xr6:coauthVersionMax="47" xr10:uidLastSave="{00000000-0000-0000-0000-000000000000}"/>
  <bookViews>
    <workbookView xWindow="17835" yWindow="2340" windowWidth="22755" windowHeight="1638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Table!$A$1:$CC$305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70" i="1" l="1"/>
  <c r="BY70" i="1"/>
  <c r="CA70" i="1" s="1"/>
  <c r="BV70" i="1"/>
  <c r="BX70" i="1" s="1"/>
  <c r="BG70" i="1"/>
  <c r="BF70" i="1"/>
  <c r="BE70" i="1"/>
  <c r="BD70" i="1"/>
  <c r="BC70" i="1"/>
  <c r="BB70" i="1"/>
  <c r="BA70" i="1"/>
  <c r="AX70" i="1"/>
  <c r="AM70" i="1"/>
  <c r="BZ70" i="1" s="1" a="1"/>
  <c r="BZ70" i="1" s="1"/>
  <c r="AK70" i="1"/>
  <c r="AJ70" i="1"/>
  <c r="AB70" i="1"/>
  <c r="Z70" i="1"/>
  <c r="BZ275" i="1" a="1"/>
  <c r="BZ275" i="1" s="1"/>
  <c r="BZ250" i="1" a="1"/>
  <c r="BZ250" i="1" s="1"/>
  <c r="BZ249" i="1" a="1"/>
  <c r="BZ249" i="1" s="1"/>
  <c r="BZ248" i="1" a="1"/>
  <c r="BZ248" i="1" s="1"/>
  <c r="CD50" i="1"/>
  <c r="CB50" i="1"/>
  <c r="BY50" i="1"/>
  <c r="BV50" i="1"/>
  <c r="BX50" i="1" s="1"/>
  <c r="BG50" i="1"/>
  <c r="BF50" i="1"/>
  <c r="BE50" i="1"/>
  <c r="BD50" i="1"/>
  <c r="BC50" i="1"/>
  <c r="BB50" i="1"/>
  <c r="BA50" i="1"/>
  <c r="AX50" i="1"/>
  <c r="AK50" i="1"/>
  <c r="AM50" i="1" s="1"/>
  <c r="BZ50" i="1" s="1" a="1"/>
  <c r="BZ50" i="1" s="1"/>
  <c r="AB50" i="1"/>
  <c r="Z50" i="1"/>
  <c r="CD67" i="1"/>
  <c r="CB67" i="1"/>
  <c r="BY67" i="1"/>
  <c r="BV67" i="1"/>
  <c r="BX67" i="1" s="1"/>
  <c r="BG67" i="1"/>
  <c r="BF67" i="1"/>
  <c r="BE67" i="1"/>
  <c r="BD67" i="1"/>
  <c r="BC67" i="1"/>
  <c r="BB67" i="1"/>
  <c r="BA67" i="1"/>
  <c r="AX67" i="1"/>
  <c r="AK67" i="1"/>
  <c r="AM67" i="1" s="1"/>
  <c r="BZ67" i="1" s="1" a="1"/>
  <c r="BZ67" i="1" s="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1" i="1"/>
  <c r="AB72" i="1"/>
  <c r="AB73" i="1"/>
  <c r="AB74" i="1"/>
  <c r="AB75" i="1"/>
  <c r="AB76" i="1"/>
  <c r="AB77" i="1"/>
  <c r="AB78" i="1"/>
  <c r="AB79" i="1"/>
  <c r="AB80" i="1"/>
  <c r="AB81" i="1"/>
  <c r="AB82" i="1"/>
  <c r="AB83" i="1"/>
  <c r="AB84" i="1"/>
  <c r="AB85" i="1"/>
  <c r="AB86" i="1"/>
  <c r="AB87" i="1"/>
  <c r="AB88" i="1"/>
  <c r="AB89" i="1"/>
  <c r="AB90" i="1"/>
  <c r="AB91" i="1"/>
  <c r="AB92" i="1"/>
  <c r="AB38" i="1"/>
  <c r="AB39" i="1"/>
  <c r="AB40" i="1"/>
  <c r="AB41" i="1"/>
  <c r="AB42" i="1"/>
  <c r="AB43" i="1"/>
  <c r="AB44" i="1"/>
  <c r="AB45"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217"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218"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93" i="1"/>
  <c r="AB94" i="1"/>
  <c r="AB95" i="1"/>
  <c r="AB96" i="1"/>
  <c r="AB286" i="1"/>
  <c r="AB287" i="1"/>
  <c r="AB288" i="1"/>
  <c r="AB289" i="1"/>
  <c r="AB290" i="1"/>
  <c r="AB291" i="1"/>
  <c r="AB292" i="1"/>
  <c r="AB293" i="1"/>
  <c r="AB294" i="1"/>
  <c r="AB295" i="1"/>
  <c r="AB296" i="1"/>
  <c r="AB297" i="1"/>
  <c r="AB298" i="1"/>
  <c r="AB299" i="1"/>
  <c r="AB300" i="1"/>
  <c r="AB301" i="1"/>
  <c r="AB302" i="1"/>
  <c r="AB303" i="1"/>
  <c r="AB304" i="1"/>
  <c r="AB305" i="1"/>
  <c r="AB26" i="1"/>
  <c r="CD285" i="1"/>
  <c r="N28" i="2"/>
  <c r="BX285" i="1"/>
  <c r="BF285" i="1"/>
  <c r="BG285" i="1"/>
  <c r="BE285" i="1"/>
  <c r="AK285" i="1"/>
  <c r="BA285" i="1"/>
  <c r="Z285" i="1"/>
  <c r="BC285" i="1"/>
  <c r="BB285" i="1"/>
  <c r="CB285" i="1"/>
  <c r="AX285" i="1"/>
  <c r="BD285" i="1"/>
  <c r="BY285" i="1"/>
  <c r="BE304" i="1"/>
  <c r="AE304" i="1"/>
  <c r="CD304" i="1"/>
  <c r="CB304" i="1"/>
  <c r="BY304" i="1"/>
  <c r="BV304" i="1"/>
  <c r="BX304" i="1" s="1"/>
  <c r="BG304" i="1"/>
  <c r="BF304" i="1"/>
  <c r="BD304" i="1"/>
  <c r="BC304" i="1"/>
  <c r="BB304" i="1"/>
  <c r="BA304" i="1"/>
  <c r="AX304" i="1"/>
  <c r="AK304" i="1"/>
  <c r="AM304" i="1" s="1"/>
  <c r="BZ304" i="1" s="1" a="1"/>
  <c r="BZ304" i="1" s="1"/>
  <c r="Z304"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1" i="1"/>
  <c r="AX72" i="1"/>
  <c r="AX73" i="1"/>
  <c r="AX74" i="1"/>
  <c r="AX75" i="1"/>
  <c r="AX76" i="1"/>
  <c r="AX77" i="1"/>
  <c r="AX78" i="1"/>
  <c r="AX79" i="1"/>
  <c r="AX80" i="1"/>
  <c r="AX81" i="1"/>
  <c r="AX82" i="1"/>
  <c r="AX83" i="1"/>
  <c r="AX84" i="1"/>
  <c r="AX85" i="1"/>
  <c r="AX86" i="1"/>
  <c r="AX87" i="1"/>
  <c r="AX88" i="1"/>
  <c r="AX89" i="1"/>
  <c r="AX90" i="1"/>
  <c r="AX91" i="1"/>
  <c r="AX92" i="1"/>
  <c r="AX38" i="1"/>
  <c r="AX39" i="1"/>
  <c r="AX40" i="1"/>
  <c r="AX41" i="1"/>
  <c r="AX42" i="1"/>
  <c r="AX43" i="1"/>
  <c r="AX44" i="1"/>
  <c r="AX45"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217"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218"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93" i="1"/>
  <c r="AX94" i="1"/>
  <c r="AX95" i="1"/>
  <c r="AX96" i="1"/>
  <c r="AX286" i="1"/>
  <c r="AX287" i="1"/>
  <c r="AX288" i="1"/>
  <c r="AX289" i="1"/>
  <c r="AX290" i="1"/>
  <c r="AX291" i="1"/>
  <c r="AX292" i="1"/>
  <c r="AX293" i="1"/>
  <c r="AX294" i="1"/>
  <c r="AX295" i="1"/>
  <c r="AX296" i="1"/>
  <c r="AX297" i="1"/>
  <c r="AX298" i="1"/>
  <c r="AX299" i="1"/>
  <c r="AX300" i="1"/>
  <c r="AX301" i="1"/>
  <c r="AX302" i="1"/>
  <c r="AX303" i="1"/>
  <c r="AX305" i="1"/>
  <c r="AX2" i="1"/>
  <c r="N26" i="2"/>
  <c r="CD120" i="1"/>
  <c r="CB120" i="1"/>
  <c r="BY120" i="1"/>
  <c r="BV120" i="1"/>
  <c r="BX120" i="1" s="1"/>
  <c r="BG120" i="1"/>
  <c r="BF120" i="1"/>
  <c r="BE120" i="1"/>
  <c r="BD120" i="1"/>
  <c r="BC120" i="1"/>
  <c r="BB120" i="1"/>
  <c r="BA120" i="1"/>
  <c r="AK120" i="1"/>
  <c r="Z120" i="1"/>
  <c r="S120" i="1"/>
  <c r="U120" i="1" s="1"/>
  <c r="CD9" i="1"/>
  <c r="CB9" i="1"/>
  <c r="BY9" i="1"/>
  <c r="BV9" i="1"/>
  <c r="BX9" i="1" s="1"/>
  <c r="BG9" i="1"/>
  <c r="BF9" i="1"/>
  <c r="BE9" i="1"/>
  <c r="BD9" i="1"/>
  <c r="BC9" i="1"/>
  <c r="BB9" i="1"/>
  <c r="BA9" i="1"/>
  <c r="AK9" i="1"/>
  <c r="AM9" i="1" s="1"/>
  <c r="BZ9" i="1" s="1" a="1"/>
  <c r="BZ9" i="1" s="1"/>
  <c r="Z9" i="1"/>
  <c r="CD108" i="1"/>
  <c r="CB108" i="1"/>
  <c r="BY108" i="1"/>
  <c r="BV108" i="1"/>
  <c r="BX108" i="1" s="1"/>
  <c r="BG108" i="1"/>
  <c r="BF108" i="1"/>
  <c r="BE108" i="1"/>
  <c r="BD108" i="1"/>
  <c r="BC108" i="1"/>
  <c r="BB108" i="1"/>
  <c r="BA108" i="1"/>
  <c r="AK108" i="1"/>
  <c r="Z108" i="1"/>
  <c r="S108" i="1"/>
  <c r="U108" i="1" s="1"/>
  <c r="CD111" i="1"/>
  <c r="BX111" i="1"/>
  <c r="BG111" i="1"/>
  <c r="BF111" i="1"/>
  <c r="BE111" i="1"/>
  <c r="BB111" i="1"/>
  <c r="AK111" i="1"/>
  <c r="BA111" i="1"/>
  <c r="Z111" i="1"/>
  <c r="BC111" i="1"/>
  <c r="S111" i="1"/>
  <c r="U111" i="1" s="1"/>
  <c r="BD111" i="1"/>
  <c r="BY111" i="1"/>
  <c r="CD296" i="1"/>
  <c r="CB296" i="1"/>
  <c r="BY296" i="1"/>
  <c r="BV296" i="1"/>
  <c r="BX296" i="1" s="1"/>
  <c r="BG296" i="1"/>
  <c r="BF296" i="1"/>
  <c r="BE296" i="1"/>
  <c r="BD296" i="1"/>
  <c r="BC296" i="1"/>
  <c r="BB296" i="1"/>
  <c r="BA296" i="1"/>
  <c r="AK296" i="1"/>
  <c r="AM296" i="1" s="1"/>
  <c r="BZ296" i="1" s="1" a="1"/>
  <c r="BZ296" i="1" s="1"/>
  <c r="V296" i="1"/>
  <c r="Z296" i="1" s="1"/>
  <c r="BI70" i="1" l="1"/>
  <c r="BK70" i="1" s="1"/>
  <c r="BH70" i="1"/>
  <c r="BJ70" i="1" s="1"/>
  <c r="BI50" i="1"/>
  <c r="BK50" i="1" s="1"/>
  <c r="BH50" i="1"/>
  <c r="BJ50" i="1" s="1"/>
  <c r="BI67" i="1"/>
  <c r="BK67" i="1" s="1"/>
  <c r="BH67" i="1"/>
  <c r="BJ67" i="1" s="1"/>
  <c r="AM108" i="1"/>
  <c r="BZ108" i="1" s="1" a="1"/>
  <c r="BZ108" i="1" s="1"/>
  <c r="AM285" i="1"/>
  <c r="BZ285" i="1" s="1" a="1"/>
  <c r="BZ285" i="1" s="1"/>
  <c r="CE285" i="1" s="1"/>
  <c r="CA285" i="1"/>
  <c r="BH285" i="1"/>
  <c r="BJ285" i="1" s="1"/>
  <c r="BI285" i="1"/>
  <c r="BK285" i="1" s="1"/>
  <c r="BI304" i="1"/>
  <c r="BK304" i="1" s="1"/>
  <c r="BH304" i="1"/>
  <c r="BJ304" i="1" s="1"/>
  <c r="BI120" i="1"/>
  <c r="BK120" i="1" s="1"/>
  <c r="BI9" i="1"/>
  <c r="BK9" i="1" s="1"/>
  <c r="BH120" i="1"/>
  <c r="BJ120" i="1" s="1"/>
  <c r="BH9" i="1"/>
  <c r="BJ9" i="1" s="1"/>
  <c r="BH108" i="1"/>
  <c r="BJ108" i="1" s="1"/>
  <c r="BI108" i="1"/>
  <c r="BK108" i="1" s="1"/>
  <c r="BI111" i="1"/>
  <c r="BK111" i="1" s="1"/>
  <c r="BH111" i="1"/>
  <c r="BJ111" i="1" s="1"/>
  <c r="BI296" i="1"/>
  <c r="BK296" i="1" s="1"/>
  <c r="BH296" i="1"/>
  <c r="BJ296" i="1" s="1"/>
  <c r="V287" i="1" l="1"/>
  <c r="N25" i="2" l="1"/>
  <c r="BV305" i="1" l="1"/>
  <c r="BX305" i="1" s="1"/>
  <c r="CD305" i="1"/>
  <c r="BG305" i="1"/>
  <c r="BF305" i="1"/>
  <c r="BE305" i="1"/>
  <c r="AK305" i="1"/>
  <c r="AM305" i="1" s="1"/>
  <c r="BZ305" i="1" s="1" a="1"/>
  <c r="BZ305" i="1" s="1"/>
  <c r="BA305" i="1"/>
  <c r="Z305" i="1"/>
  <c r="BC305" i="1"/>
  <c r="BB305" i="1"/>
  <c r="CB305" i="1"/>
  <c r="BD305" i="1"/>
  <c r="BY305" i="1"/>
  <c r="BI305" i="1" l="1"/>
  <c r="BK305" i="1" s="1"/>
  <c r="BH305" i="1"/>
  <c r="BJ305" i="1" s="1"/>
  <c r="N24" i="2"/>
  <c r="V303" i="1" l="1"/>
  <c r="Z303" i="1" s="1"/>
  <c r="CD303" i="1"/>
  <c r="CB303" i="1"/>
  <c r="BY303" i="1"/>
  <c r="BV303" i="1"/>
  <c r="BX303" i="1" s="1"/>
  <c r="BG303" i="1"/>
  <c r="BF303" i="1"/>
  <c r="BE303" i="1"/>
  <c r="BD303" i="1"/>
  <c r="BC303" i="1"/>
  <c r="BB303" i="1"/>
  <c r="BA303" i="1"/>
  <c r="AK303" i="1"/>
  <c r="AM303" i="1" s="1"/>
  <c r="BZ303" i="1" s="1" a="1"/>
  <c r="BZ303" i="1" s="1"/>
  <c r="BI303" i="1" l="1"/>
  <c r="BK303" i="1" s="1"/>
  <c r="BH303" i="1"/>
  <c r="BJ303" i="1" s="1"/>
  <c r="V301" i="1"/>
  <c r="CD240" i="1"/>
  <c r="CB240" i="1"/>
  <c r="BY240" i="1"/>
  <c r="BV240" i="1"/>
  <c r="BX240" i="1" s="1"/>
  <c r="BG240" i="1"/>
  <c r="BF240" i="1"/>
  <c r="BE240" i="1"/>
  <c r="BD240" i="1"/>
  <c r="BC240" i="1"/>
  <c r="BA240" i="1"/>
  <c r="AK240" i="1"/>
  <c r="AM240" i="1" s="1"/>
  <c r="BZ240" i="1" s="1" a="1"/>
  <c r="BZ240" i="1" s="1"/>
  <c r="Z240" i="1"/>
  <c r="BB240" i="1"/>
  <c r="V300" i="1"/>
  <c r="BI240" i="1" l="1"/>
  <c r="BK240" i="1" s="1"/>
  <c r="BH240" i="1"/>
  <c r="BJ240" i="1" s="1"/>
  <c r="V299" i="1"/>
  <c r="V297" i="1" l="1"/>
  <c r="BY293" i="1"/>
  <c r="V298" i="1"/>
  <c r="V295" i="1"/>
  <c r="BE294" i="1" l="1"/>
  <c r="V294" i="1"/>
  <c r="V293" i="1"/>
  <c r="N23" i="2" l="1"/>
  <c r="V290" i="1"/>
  <c r="CA304" i="1" l="1"/>
  <c r="CE304" i="1" s="1"/>
  <c r="CA296" i="1"/>
  <c r="CE296" i="1" s="1"/>
  <c r="CA305" i="1"/>
  <c r="CE305" i="1" s="1"/>
  <c r="CA303" i="1"/>
  <c r="CE303" i="1" s="1"/>
  <c r="CD147" i="1"/>
  <c r="CB147" i="1"/>
  <c r="BY147" i="1"/>
  <c r="BV147" i="1"/>
  <c r="BX147" i="1" s="1"/>
  <c r="BG147" i="1"/>
  <c r="BF147" i="1"/>
  <c r="BE147" i="1"/>
  <c r="BD147" i="1"/>
  <c r="BC147" i="1"/>
  <c r="BB147" i="1"/>
  <c r="BA147" i="1"/>
  <c r="AK147" i="1"/>
  <c r="Z147" i="1"/>
  <c r="BI147" i="1" l="1"/>
  <c r="BK147" i="1" s="1"/>
  <c r="BH147" i="1"/>
  <c r="BJ147" i="1" s="1"/>
  <c r="S109" i="1"/>
  <c r="U109" i="1" s="1"/>
  <c r="CD100" i="1"/>
  <c r="CB100" i="1"/>
  <c r="BY100" i="1"/>
  <c r="BV100" i="1"/>
  <c r="BX100" i="1" s="1"/>
  <c r="BG100" i="1"/>
  <c r="BF100" i="1"/>
  <c r="BE100" i="1"/>
  <c r="BD100" i="1"/>
  <c r="BC100" i="1"/>
  <c r="BB100" i="1"/>
  <c r="BA100" i="1"/>
  <c r="AK100" i="1"/>
  <c r="AM100" i="1" s="1"/>
  <c r="BZ100" i="1" s="1" a="1"/>
  <c r="BZ100" i="1" s="1"/>
  <c r="Z100" i="1"/>
  <c r="BI100" i="1" l="1"/>
  <c r="BK100" i="1" s="1"/>
  <c r="BH100" i="1"/>
  <c r="BJ100" i="1" s="1"/>
  <c r="CD98" i="1"/>
  <c r="CB98" i="1"/>
  <c r="BY98" i="1"/>
  <c r="BV98" i="1"/>
  <c r="BX98" i="1" s="1"/>
  <c r="BG98" i="1"/>
  <c r="BF98" i="1"/>
  <c r="BE98" i="1"/>
  <c r="BD98" i="1"/>
  <c r="BC98" i="1"/>
  <c r="BB98" i="1"/>
  <c r="BA98" i="1"/>
  <c r="AK98" i="1"/>
  <c r="AM98" i="1" s="1"/>
  <c r="BZ98" i="1" s="1" a="1"/>
  <c r="BZ98" i="1" s="1"/>
  <c r="Z98" i="1"/>
  <c r="S99" i="1"/>
  <c r="U99" i="1" s="1"/>
  <c r="Z99" i="1"/>
  <c r="AK99" i="1"/>
  <c r="BA99" i="1"/>
  <c r="BB99" i="1"/>
  <c r="BC99" i="1"/>
  <c r="BD99" i="1"/>
  <c r="BE99" i="1"/>
  <c r="BF99" i="1"/>
  <c r="BG99" i="1"/>
  <c r="BV99" i="1"/>
  <c r="BX99" i="1" s="1"/>
  <c r="BY99" i="1"/>
  <c r="CB99" i="1"/>
  <c r="CD99" i="1"/>
  <c r="N22" i="2"/>
  <c r="CA100" i="1" s="1"/>
  <c r="CE100" i="1" s="1"/>
  <c r="CD97" i="1"/>
  <c r="CB97" i="1"/>
  <c r="BY97" i="1"/>
  <c r="BV97" i="1"/>
  <c r="BX97" i="1" s="1"/>
  <c r="BG97" i="1"/>
  <c r="BF97" i="1"/>
  <c r="BE97" i="1"/>
  <c r="BD97" i="1"/>
  <c r="BC97" i="1"/>
  <c r="BB97" i="1"/>
  <c r="BA97" i="1"/>
  <c r="AK97" i="1"/>
  <c r="AM97" i="1" s="1"/>
  <c r="BZ97" i="1" s="1" a="1"/>
  <c r="BZ97" i="1" s="1"/>
  <c r="Z97" i="1"/>
  <c r="N21" i="2"/>
  <c r="N20" i="2"/>
  <c r="CD3" i="1"/>
  <c r="CB3" i="1"/>
  <c r="BY3" i="1"/>
  <c r="BV3" i="1"/>
  <c r="BX3" i="1" s="1"/>
  <c r="BG3" i="1"/>
  <c r="BF3" i="1"/>
  <c r="BE3" i="1"/>
  <c r="BD3" i="1"/>
  <c r="BC3" i="1"/>
  <c r="BB3" i="1"/>
  <c r="BA3" i="1"/>
  <c r="AK3" i="1"/>
  <c r="AM3" i="1" s="1"/>
  <c r="BZ3" i="1" s="1" a="1"/>
  <c r="BZ3" i="1" s="1"/>
  <c r="Z3" i="1"/>
  <c r="CD38" i="1"/>
  <c r="CB38" i="1"/>
  <c r="BY38" i="1"/>
  <c r="BV38" i="1"/>
  <c r="BX38" i="1" s="1"/>
  <c r="BG38" i="1"/>
  <c r="BF38" i="1"/>
  <c r="BE38" i="1"/>
  <c r="BD38" i="1"/>
  <c r="BC38" i="1"/>
  <c r="BB38" i="1"/>
  <c r="BA38" i="1"/>
  <c r="AK38" i="1"/>
  <c r="AM38" i="1" s="1"/>
  <c r="BZ38" i="1" s="1" a="1"/>
  <c r="BZ38" i="1" s="1"/>
  <c r="Z38" i="1"/>
  <c r="CD26" i="1"/>
  <c r="CB26" i="1"/>
  <c r="BY26" i="1"/>
  <c r="BV26" i="1"/>
  <c r="BX26" i="1" s="1"/>
  <c r="BG26" i="1"/>
  <c r="BF26" i="1"/>
  <c r="BE26" i="1"/>
  <c r="BD26" i="1"/>
  <c r="BC26" i="1"/>
  <c r="BB26" i="1"/>
  <c r="BA26" i="1"/>
  <c r="AK26" i="1"/>
  <c r="AM26" i="1" s="1"/>
  <c r="BZ26" i="1" s="1" a="1"/>
  <c r="BZ26" i="1" s="1"/>
  <c r="Z26" i="1"/>
  <c r="CD4" i="1"/>
  <c r="CB4" i="1"/>
  <c r="BY4" i="1"/>
  <c r="BV4" i="1"/>
  <c r="BX4" i="1" s="1"/>
  <c r="BG4" i="1"/>
  <c r="BF4" i="1"/>
  <c r="BE4" i="1"/>
  <c r="BD4" i="1"/>
  <c r="BC4" i="1"/>
  <c r="BB4" i="1"/>
  <c r="BA4" i="1"/>
  <c r="AK4" i="1"/>
  <c r="AM4" i="1" s="1"/>
  <c r="BZ4" i="1" s="1" a="1"/>
  <c r="BZ4" i="1" s="1"/>
  <c r="Z4" i="1"/>
  <c r="S101" i="1"/>
  <c r="U101" i="1" s="1"/>
  <c r="Z101" i="1"/>
  <c r="CD103" i="1"/>
  <c r="CB103" i="1"/>
  <c r="BY103" i="1"/>
  <c r="BV103" i="1"/>
  <c r="BX103" i="1" s="1"/>
  <c r="BG103" i="1"/>
  <c r="BF103" i="1"/>
  <c r="BE103" i="1"/>
  <c r="BD103" i="1"/>
  <c r="BC103" i="1"/>
  <c r="BB103" i="1"/>
  <c r="BA103" i="1"/>
  <c r="AK103" i="1"/>
  <c r="Z103" i="1"/>
  <c r="S103" i="1"/>
  <c r="U103" i="1" s="1"/>
  <c r="S102" i="1"/>
  <c r="U102" i="1" s="1"/>
  <c r="CD5" i="1"/>
  <c r="CB5" i="1"/>
  <c r="BY5" i="1"/>
  <c r="BV5" i="1"/>
  <c r="BX5" i="1" s="1"/>
  <c r="BG5" i="1"/>
  <c r="BF5" i="1"/>
  <c r="BE5" i="1"/>
  <c r="BD5" i="1"/>
  <c r="BC5" i="1"/>
  <c r="BB5" i="1"/>
  <c r="BA5" i="1"/>
  <c r="AK5" i="1"/>
  <c r="AM5" i="1" s="1"/>
  <c r="BZ5" i="1" s="1" a="1"/>
  <c r="BZ5" i="1" s="1"/>
  <c r="Z5" i="1"/>
  <c r="CD83" i="1"/>
  <c r="CB83" i="1"/>
  <c r="BY83" i="1"/>
  <c r="BV83" i="1"/>
  <c r="BX83" i="1" s="1"/>
  <c r="BG83" i="1"/>
  <c r="BF83" i="1"/>
  <c r="BE83" i="1"/>
  <c r="BD83" i="1"/>
  <c r="BC83" i="1"/>
  <c r="BB83" i="1"/>
  <c r="BA83" i="1"/>
  <c r="AK83" i="1"/>
  <c r="AM83" i="1" s="1"/>
  <c r="BZ83" i="1" s="1" a="1"/>
  <c r="BZ83" i="1" s="1"/>
  <c r="Z83" i="1"/>
  <c r="AM103" i="1" l="1"/>
  <c r="BZ103" i="1" s="1" a="1"/>
  <c r="BZ103" i="1" s="1"/>
  <c r="AM99" i="1"/>
  <c r="BZ99" i="1" s="1" a="1"/>
  <c r="BZ99" i="1" s="1"/>
  <c r="CE99" i="1" s="1"/>
  <c r="CA99" i="1"/>
  <c r="CA97" i="1"/>
  <c r="CE97" i="1" s="1"/>
  <c r="CA26" i="1"/>
  <c r="CE26" i="1" s="1"/>
  <c r="CA98" i="1"/>
  <c r="CE98" i="1" s="1"/>
  <c r="BH99" i="1"/>
  <c r="BJ99" i="1" s="1"/>
  <c r="BH98" i="1"/>
  <c r="BJ98" i="1" s="1"/>
  <c r="BI99" i="1"/>
  <c r="BK99" i="1" s="1"/>
  <c r="BI98" i="1"/>
  <c r="BK98" i="1" s="1"/>
  <c r="BI97" i="1"/>
  <c r="BK97" i="1" s="1"/>
  <c r="BH97" i="1"/>
  <c r="BJ97" i="1" s="1"/>
  <c r="CA38" i="1"/>
  <c r="CE38" i="1" s="1"/>
  <c r="BH4" i="1"/>
  <c r="BJ4" i="1" s="1"/>
  <c r="BH38" i="1"/>
  <c r="BJ38" i="1" s="1"/>
  <c r="BI3" i="1"/>
  <c r="BK3" i="1" s="1"/>
  <c r="BH3" i="1"/>
  <c r="BJ3" i="1" s="1"/>
  <c r="BI38" i="1"/>
  <c r="BK38" i="1" s="1"/>
  <c r="BI26" i="1"/>
  <c r="BK26" i="1" s="1"/>
  <c r="BI4" i="1"/>
  <c r="BK4" i="1" s="1"/>
  <c r="BH26" i="1"/>
  <c r="BJ26" i="1" s="1"/>
  <c r="BI103" i="1"/>
  <c r="BK103" i="1" s="1"/>
  <c r="BH103" i="1"/>
  <c r="BJ103" i="1" s="1"/>
  <c r="BH5" i="1"/>
  <c r="BJ5" i="1" s="1"/>
  <c r="BI5" i="1"/>
  <c r="BK5" i="1" s="1"/>
  <c r="BI83" i="1"/>
  <c r="BK83" i="1" s="1"/>
  <c r="BH83" i="1"/>
  <c r="BJ83" i="1" s="1"/>
  <c r="CD61" i="1"/>
  <c r="CB61" i="1"/>
  <c r="BY61" i="1"/>
  <c r="BV61" i="1"/>
  <c r="BX61" i="1" s="1"/>
  <c r="BG61" i="1"/>
  <c r="BF61" i="1"/>
  <c r="BE61" i="1"/>
  <c r="BD61" i="1"/>
  <c r="BC61" i="1"/>
  <c r="BB61" i="1"/>
  <c r="BA61" i="1"/>
  <c r="AK61" i="1"/>
  <c r="AM61" i="1" s="1"/>
  <c r="BZ61" i="1" s="1" a="1"/>
  <c r="BZ61" i="1" s="1"/>
  <c r="Z61" i="1"/>
  <c r="CD93" i="1"/>
  <c r="CB93" i="1"/>
  <c r="BY93" i="1"/>
  <c r="CA93" i="1" s="1"/>
  <c r="BV93" i="1"/>
  <c r="BX93" i="1" s="1"/>
  <c r="BG93" i="1"/>
  <c r="BF93" i="1"/>
  <c r="BE93" i="1"/>
  <c r="BD93" i="1"/>
  <c r="BC93" i="1"/>
  <c r="BB93" i="1"/>
  <c r="BA93" i="1"/>
  <c r="AK93" i="1"/>
  <c r="AM93" i="1" s="1"/>
  <c r="BZ93" i="1" s="1" a="1"/>
  <c r="BZ93" i="1" s="1"/>
  <c r="Z93" i="1"/>
  <c r="N19" i="2"/>
  <c r="CA83" i="1" s="1"/>
  <c r="CE83" i="1" s="1"/>
  <c r="CD46" i="1"/>
  <c r="CB46" i="1"/>
  <c r="BY46" i="1"/>
  <c r="BV46" i="1"/>
  <c r="BX46" i="1" s="1"/>
  <c r="BG46" i="1"/>
  <c r="BF46" i="1"/>
  <c r="BE46" i="1"/>
  <c r="BD46" i="1"/>
  <c r="BC46" i="1"/>
  <c r="BB46" i="1"/>
  <c r="BA46" i="1"/>
  <c r="AK46" i="1"/>
  <c r="AM46" i="1" s="1"/>
  <c r="BZ46" i="1" s="1" a="1"/>
  <c r="BZ46" i="1" s="1"/>
  <c r="Z46" i="1"/>
  <c r="S104" i="1"/>
  <c r="U104" i="1" s="1"/>
  <c r="CD6" i="1"/>
  <c r="CB6" i="1"/>
  <c r="BY6" i="1"/>
  <c r="BV6" i="1"/>
  <c r="BX6" i="1" s="1"/>
  <c r="BG6" i="1"/>
  <c r="BF6" i="1"/>
  <c r="BE6" i="1"/>
  <c r="BD6" i="1"/>
  <c r="BC6" i="1"/>
  <c r="BB6" i="1"/>
  <c r="BA6" i="1"/>
  <c r="AK6" i="1"/>
  <c r="AM6" i="1" s="1"/>
  <c r="BZ6" i="1" s="1" a="1"/>
  <c r="BZ6" i="1" s="1"/>
  <c r="Z6" i="1"/>
  <c r="S106" i="1"/>
  <c r="U106" i="1" s="1"/>
  <c r="CD7" i="1"/>
  <c r="CB7" i="1"/>
  <c r="BY7" i="1"/>
  <c r="BV7" i="1"/>
  <c r="BX7" i="1" s="1"/>
  <c r="BG7" i="1"/>
  <c r="BF7" i="1"/>
  <c r="BE7" i="1"/>
  <c r="BD7" i="1"/>
  <c r="BC7" i="1"/>
  <c r="BB7" i="1"/>
  <c r="BA7" i="1"/>
  <c r="AK7" i="1"/>
  <c r="AM7" i="1" s="1"/>
  <c r="BZ7" i="1" s="1" a="1"/>
  <c r="BZ7" i="1" s="1"/>
  <c r="Z7" i="1"/>
  <c r="S105" i="1"/>
  <c r="U105" i="1" s="1"/>
  <c r="CD8" i="1"/>
  <c r="CB8" i="1"/>
  <c r="BY8" i="1"/>
  <c r="BV8" i="1"/>
  <c r="BX8" i="1" s="1"/>
  <c r="BG8" i="1"/>
  <c r="BF8" i="1"/>
  <c r="BE8" i="1"/>
  <c r="BD8" i="1"/>
  <c r="BC8" i="1"/>
  <c r="BB8" i="1"/>
  <c r="BA8" i="1"/>
  <c r="AK8" i="1"/>
  <c r="AM8" i="1" s="1"/>
  <c r="BZ8" i="1" s="1" a="1"/>
  <c r="BZ8" i="1" s="1"/>
  <c r="Z8" i="1"/>
  <c r="S107" i="1"/>
  <c r="U107" i="1" s="1"/>
  <c r="CE93" i="1" l="1"/>
  <c r="CA46" i="1"/>
  <c r="CE46" i="1" s="1"/>
  <c r="AM111" i="1"/>
  <c r="BZ111" i="1" s="1" a="1"/>
  <c r="BZ111" i="1" s="1"/>
  <c r="CA61" i="1"/>
  <c r="CE61" i="1" s="1"/>
  <c r="BH61" i="1"/>
  <c r="BJ61" i="1" s="1"/>
  <c r="BI61" i="1"/>
  <c r="BK61" i="1" s="1"/>
  <c r="BI6" i="1"/>
  <c r="BK6" i="1" s="1"/>
  <c r="BI93" i="1"/>
  <c r="BK93" i="1" s="1"/>
  <c r="BH8" i="1"/>
  <c r="BJ8" i="1" s="1"/>
  <c r="BH6" i="1"/>
  <c r="BJ6" i="1" s="1"/>
  <c r="BH93" i="1"/>
  <c r="BJ93" i="1" s="1"/>
  <c r="BI46" i="1"/>
  <c r="BK46" i="1" s="1"/>
  <c r="BH46" i="1"/>
  <c r="BJ46" i="1" s="1"/>
  <c r="BI7" i="1"/>
  <c r="BK7" i="1" s="1"/>
  <c r="BH7" i="1"/>
  <c r="BJ7" i="1" s="1"/>
  <c r="BI8" i="1"/>
  <c r="BK8" i="1" s="1"/>
  <c r="S110" i="1"/>
  <c r="U110" i="1" s="1"/>
  <c r="S115" i="1"/>
  <c r="U115" i="1" s="1"/>
  <c r="S114" i="1" l="1"/>
  <c r="U114" i="1" s="1"/>
  <c r="BA114" i="1"/>
  <c r="CD94" i="1" l="1"/>
  <c r="CB94" i="1"/>
  <c r="BY94" i="1"/>
  <c r="BV94" i="1"/>
  <c r="BX94" i="1" s="1"/>
  <c r="BG94" i="1"/>
  <c r="BF94" i="1"/>
  <c r="BE94" i="1"/>
  <c r="BD94" i="1"/>
  <c r="BC94" i="1"/>
  <c r="BB94" i="1"/>
  <c r="BA94" i="1"/>
  <c r="AK94" i="1"/>
  <c r="AM94" i="1" s="1"/>
  <c r="BZ94" i="1" s="1" a="1"/>
  <c r="BZ94" i="1" s="1"/>
  <c r="Z94" i="1"/>
  <c r="S112" i="1"/>
  <c r="U112" i="1" s="1"/>
  <c r="CD40" i="1"/>
  <c r="CB40" i="1"/>
  <c r="BY40" i="1"/>
  <c r="BV40" i="1"/>
  <c r="BX40" i="1" s="1"/>
  <c r="BG40" i="1"/>
  <c r="BF40" i="1"/>
  <c r="BE40" i="1"/>
  <c r="BD40" i="1"/>
  <c r="BC40" i="1"/>
  <c r="BB40" i="1"/>
  <c r="BA40" i="1"/>
  <c r="AK40" i="1"/>
  <c r="AM40" i="1" s="1"/>
  <c r="BZ40" i="1" s="1" a="1"/>
  <c r="BZ40" i="1" s="1"/>
  <c r="Z40" i="1"/>
  <c r="CD39" i="1"/>
  <c r="CB39" i="1"/>
  <c r="BY39" i="1"/>
  <c r="BV39" i="1"/>
  <c r="BX39" i="1" s="1"/>
  <c r="BG39" i="1"/>
  <c r="BF39" i="1"/>
  <c r="BE39" i="1"/>
  <c r="BD39" i="1"/>
  <c r="BC39" i="1"/>
  <c r="BB39" i="1"/>
  <c r="BA39" i="1"/>
  <c r="AK39" i="1"/>
  <c r="AM39" i="1" s="1"/>
  <c r="BZ39" i="1" s="1" a="1"/>
  <c r="BZ39" i="1" s="1"/>
  <c r="Z39" i="1"/>
  <c r="CD113" i="1"/>
  <c r="CB113" i="1"/>
  <c r="BY113" i="1"/>
  <c r="BV113" i="1"/>
  <c r="BX113" i="1" s="1"/>
  <c r="BG113" i="1"/>
  <c r="BF113" i="1"/>
  <c r="BE113" i="1"/>
  <c r="BD113" i="1"/>
  <c r="BC113" i="1"/>
  <c r="BB113" i="1"/>
  <c r="BA113" i="1"/>
  <c r="AK113" i="1"/>
  <c r="Z113" i="1"/>
  <c r="S113" i="1"/>
  <c r="U113" i="1" s="1"/>
  <c r="CD10" i="1"/>
  <c r="CB10" i="1"/>
  <c r="BY10" i="1"/>
  <c r="BV10" i="1"/>
  <c r="BX10" i="1" s="1"/>
  <c r="BG10" i="1"/>
  <c r="BF10" i="1"/>
  <c r="BE10" i="1"/>
  <c r="BD10" i="1"/>
  <c r="BC10" i="1"/>
  <c r="BB10" i="1"/>
  <c r="BA10" i="1"/>
  <c r="AK10" i="1"/>
  <c r="AM10" i="1" s="1"/>
  <c r="BZ10" i="1" s="1" a="1"/>
  <c r="BZ10" i="1" s="1"/>
  <c r="Z10" i="1"/>
  <c r="S116" i="1"/>
  <c r="U116" i="1" s="1"/>
  <c r="S117" i="1"/>
  <c r="AM120" i="1" l="1"/>
  <c r="BZ120" i="1" s="1" a="1"/>
  <c r="BZ120" i="1" s="1"/>
  <c r="AM113" i="1"/>
  <c r="BZ113" i="1" s="1" a="1"/>
  <c r="BZ113" i="1" s="1"/>
  <c r="BI94" i="1"/>
  <c r="BK94" i="1" s="1"/>
  <c r="BH94" i="1"/>
  <c r="BJ94" i="1" s="1"/>
  <c r="BI40" i="1"/>
  <c r="BK40" i="1" s="1"/>
  <c r="BI39" i="1"/>
  <c r="BK39" i="1" s="1"/>
  <c r="BH39" i="1"/>
  <c r="BJ39" i="1" s="1"/>
  <c r="BH40" i="1"/>
  <c r="BJ40" i="1" s="1"/>
  <c r="BI113" i="1"/>
  <c r="BK113" i="1" s="1"/>
  <c r="BH113" i="1"/>
  <c r="BJ113" i="1" s="1"/>
  <c r="BI10" i="1"/>
  <c r="BK10" i="1" s="1"/>
  <c r="BH10" i="1"/>
  <c r="BJ10" i="1" s="1"/>
  <c r="U117" i="1"/>
  <c r="S118" i="1"/>
  <c r="U118" i="1" s="1"/>
  <c r="BF269" i="1" l="1"/>
  <c r="N18" i="2"/>
  <c r="AK269" i="1"/>
  <c r="AM269" i="1" s="1"/>
  <c r="BZ269" i="1" s="1" a="1"/>
  <c r="BZ269" i="1" s="1"/>
  <c r="CE269" i="1" s="1"/>
  <c r="BA269" i="1"/>
  <c r="BB269" i="1"/>
  <c r="BC269" i="1"/>
  <c r="BD269" i="1"/>
  <c r="BE269" i="1"/>
  <c r="BG269" i="1"/>
  <c r="BV269" i="1"/>
  <c r="BX269" i="1" s="1"/>
  <c r="BY269" i="1"/>
  <c r="CA269" i="1" s="1"/>
  <c r="Z269" i="1"/>
  <c r="BH269" i="1" l="1"/>
  <c r="BJ269" i="1" s="1"/>
  <c r="BI269" i="1"/>
  <c r="BK269" i="1" s="1"/>
  <c r="BD289"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1" i="1"/>
  <c r="BD72" i="1"/>
  <c r="BD73" i="1"/>
  <c r="BD74" i="1"/>
  <c r="BD75" i="1"/>
  <c r="BD76" i="1"/>
  <c r="BD77" i="1"/>
  <c r="BD78" i="1"/>
  <c r="BD79" i="1"/>
  <c r="BD80" i="1"/>
  <c r="BD81" i="1"/>
  <c r="BD82" i="1"/>
  <c r="BD84" i="1"/>
  <c r="BD85" i="1"/>
  <c r="BD86" i="1"/>
  <c r="BD87" i="1"/>
  <c r="BD88" i="1"/>
  <c r="BD89" i="1"/>
  <c r="BD90" i="1"/>
  <c r="BD91" i="1"/>
  <c r="BD92" i="1"/>
  <c r="BD41" i="1"/>
  <c r="BD42" i="1"/>
  <c r="BD43" i="1"/>
  <c r="BD44" i="1"/>
  <c r="BD45" i="1"/>
  <c r="BD101" i="1"/>
  <c r="BD102" i="1"/>
  <c r="BD104" i="1"/>
  <c r="BD105" i="1"/>
  <c r="BD106" i="1"/>
  <c r="BD107" i="1"/>
  <c r="BD109" i="1"/>
  <c r="BD110" i="1"/>
  <c r="BD112" i="1"/>
  <c r="BD114" i="1"/>
  <c r="BD115" i="1"/>
  <c r="BD116" i="1"/>
  <c r="BD117" i="1"/>
  <c r="BD118" i="1"/>
  <c r="BD119"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6" i="1"/>
  <c r="BD148" i="1"/>
  <c r="BD149" i="1"/>
  <c r="BD217"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176" i="1"/>
  <c r="BD218"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8" i="1"/>
  <c r="BD210" i="1"/>
  <c r="BD211" i="1"/>
  <c r="BD212" i="1"/>
  <c r="BD213" i="1"/>
  <c r="BD214" i="1"/>
  <c r="BD215" i="1"/>
  <c r="BD216" i="1"/>
  <c r="BD219" i="1"/>
  <c r="BD220" i="1"/>
  <c r="BD221" i="1"/>
  <c r="BD222" i="1"/>
  <c r="BD223" i="1"/>
  <c r="BD224" i="1"/>
  <c r="BD225" i="1"/>
  <c r="BD226" i="1"/>
  <c r="BD227" i="1"/>
  <c r="BD228" i="1"/>
  <c r="BD229" i="1"/>
  <c r="BD230" i="1"/>
  <c r="BD231" i="1"/>
  <c r="BD232" i="1"/>
  <c r="BD233" i="1"/>
  <c r="BD234" i="1"/>
  <c r="BD235" i="1"/>
  <c r="BD236" i="1"/>
  <c r="BD237" i="1"/>
  <c r="BD238" i="1"/>
  <c r="BD239"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8" i="1"/>
  <c r="BD270" i="1"/>
  <c r="BD271" i="1"/>
  <c r="BD272" i="1"/>
  <c r="BD273" i="1"/>
  <c r="BD284" i="1"/>
  <c r="BD274" i="1"/>
  <c r="BD275" i="1"/>
  <c r="BD276" i="1"/>
  <c r="BD95" i="1"/>
  <c r="BD96" i="1"/>
  <c r="BD27" i="1"/>
  <c r="BD28" i="1"/>
  <c r="BD29" i="1"/>
  <c r="BD286" i="1"/>
  <c r="BD287" i="1"/>
  <c r="BD288" i="1"/>
  <c r="BD278" i="1"/>
  <c r="BD281" i="1"/>
  <c r="BD282" i="1"/>
  <c r="BD280" i="1"/>
  <c r="BD277" i="1"/>
  <c r="BD283" i="1"/>
  <c r="BD279" i="1"/>
  <c r="BD290" i="1"/>
  <c r="BD291" i="1"/>
  <c r="BD292" i="1"/>
  <c r="BD293" i="1"/>
  <c r="BD294" i="1"/>
  <c r="BD295" i="1"/>
  <c r="BD297" i="1"/>
  <c r="BD298" i="1"/>
  <c r="BD301" i="1"/>
  <c r="BD302" i="1"/>
  <c r="BD300" i="1"/>
  <c r="BD299" i="1"/>
  <c r="BD209" i="1"/>
  <c r="BD2" i="1"/>
  <c r="CD271" i="1" l="1"/>
  <c r="CB271" i="1"/>
  <c r="BY271" i="1"/>
  <c r="BV271" i="1"/>
  <c r="BX271" i="1" s="1"/>
  <c r="BG271" i="1"/>
  <c r="BF271" i="1"/>
  <c r="BE271" i="1"/>
  <c r="BC271" i="1"/>
  <c r="BA271" i="1"/>
  <c r="AK271" i="1"/>
  <c r="AM271" i="1" s="1"/>
  <c r="BZ271" i="1" s="1" a="1"/>
  <c r="BZ271" i="1" s="1"/>
  <c r="Z271" i="1"/>
  <c r="M271" i="1"/>
  <c r="BB271" i="1" s="1"/>
  <c r="BY257" i="1"/>
  <c r="BV257" i="1"/>
  <c r="BX257" i="1" s="1"/>
  <c r="BG257" i="1"/>
  <c r="BF257" i="1"/>
  <c r="BE257" i="1"/>
  <c r="BC257" i="1"/>
  <c r="BA257" i="1"/>
  <c r="AK257" i="1"/>
  <c r="AM257" i="1" s="1"/>
  <c r="BZ257" i="1" s="1" a="1"/>
  <c r="BZ257" i="1" s="1"/>
  <c r="CE257" i="1" s="1"/>
  <c r="Z257" i="1"/>
  <c r="M257" i="1"/>
  <c r="BB257" i="1" s="1"/>
  <c r="CD284" i="1"/>
  <c r="CB284" i="1"/>
  <c r="BY284" i="1"/>
  <c r="BV284" i="1"/>
  <c r="BX284" i="1" s="1"/>
  <c r="BG284" i="1"/>
  <c r="BF284" i="1"/>
  <c r="BE284" i="1"/>
  <c r="BC284" i="1"/>
  <c r="BB284" i="1"/>
  <c r="BA284" i="1"/>
  <c r="AK284" i="1"/>
  <c r="AM284" i="1" s="1"/>
  <c r="BZ284" i="1" s="1" a="1"/>
  <c r="BZ284" i="1" s="1"/>
  <c r="Z284" i="1"/>
  <c r="CD283" i="1"/>
  <c r="CB283" i="1"/>
  <c r="BY283" i="1"/>
  <c r="BV283" i="1"/>
  <c r="BX283" i="1" s="1"/>
  <c r="BG283" i="1"/>
  <c r="BF283" i="1"/>
  <c r="BE283" i="1"/>
  <c r="BC283" i="1"/>
  <c r="BB283" i="1"/>
  <c r="BA283" i="1"/>
  <c r="AK283" i="1"/>
  <c r="AM283" i="1" s="1"/>
  <c r="BZ283" i="1" s="1" a="1"/>
  <c r="BZ283" i="1" s="1"/>
  <c r="Z283" i="1"/>
  <c r="CD282" i="1"/>
  <c r="CB282" i="1"/>
  <c r="BY282" i="1"/>
  <c r="BV282" i="1"/>
  <c r="BX282" i="1" s="1"/>
  <c r="BG282" i="1"/>
  <c r="BF282" i="1"/>
  <c r="BE282" i="1"/>
  <c r="BC282" i="1"/>
  <c r="BB282" i="1"/>
  <c r="BA282" i="1"/>
  <c r="AK282" i="1"/>
  <c r="AM282" i="1" s="1"/>
  <c r="BZ282" i="1" s="1" a="1"/>
  <c r="BZ282" i="1" s="1"/>
  <c r="Z282" i="1"/>
  <c r="CD281" i="1"/>
  <c r="CB281" i="1"/>
  <c r="BY281" i="1"/>
  <c r="BV281" i="1"/>
  <c r="BX281" i="1" s="1"/>
  <c r="BG281" i="1"/>
  <c r="BF281" i="1"/>
  <c r="BE281" i="1"/>
  <c r="BC281" i="1"/>
  <c r="BB281" i="1"/>
  <c r="BA281" i="1"/>
  <c r="AK281" i="1"/>
  <c r="AM281" i="1" s="1"/>
  <c r="BZ281" i="1" s="1" a="1"/>
  <c r="BZ281" i="1" s="1"/>
  <c r="Z281" i="1"/>
  <c r="AJ281" i="1" l="1"/>
  <c r="AJ282" i="1"/>
  <c r="BI271" i="1"/>
  <c r="BK271" i="1" s="1"/>
  <c r="BI281" i="1"/>
  <c r="BK281" i="1" s="1"/>
  <c r="BI283" i="1"/>
  <c r="BK283" i="1" s="1"/>
  <c r="BI284" i="1"/>
  <c r="BK284" i="1" s="1"/>
  <c r="BI257" i="1"/>
  <c r="BK257" i="1" s="1"/>
  <c r="BI282" i="1"/>
  <c r="BK282" i="1" s="1"/>
  <c r="BH271" i="1"/>
  <c r="BJ271" i="1" s="1"/>
  <c r="BH257" i="1"/>
  <c r="BJ257" i="1" s="1"/>
  <c r="BH284" i="1"/>
  <c r="BJ284" i="1" s="1"/>
  <c r="BH283" i="1"/>
  <c r="BJ283" i="1" s="1"/>
  <c r="BH282" i="1"/>
  <c r="BJ282" i="1" s="1"/>
  <c r="BH281" i="1"/>
  <c r="BJ281" i="1" s="1"/>
  <c r="M276" i="1" l="1"/>
  <c r="M253" i="1" l="1"/>
  <c r="BG253" i="1" l="1"/>
  <c r="BF253" i="1"/>
  <c r="BE253" i="1"/>
  <c r="BG256" i="1"/>
  <c r="BF256" i="1"/>
  <c r="BE256" i="1"/>
  <c r="BY253" i="1"/>
  <c r="BV253" i="1"/>
  <c r="BX253" i="1" s="1"/>
  <c r="BC253" i="1"/>
  <c r="BA253" i="1"/>
  <c r="AK253" i="1"/>
  <c r="AM253" i="1" s="1"/>
  <c r="BZ253" i="1" s="1" a="1"/>
  <c r="BZ253" i="1" s="1"/>
  <c r="CE253" i="1" s="1"/>
  <c r="Z253" i="1"/>
  <c r="BB253" i="1"/>
  <c r="CD279" i="1"/>
  <c r="CB279" i="1"/>
  <c r="BY279" i="1"/>
  <c r="BV279" i="1"/>
  <c r="BX279" i="1" s="1"/>
  <c r="BG279" i="1"/>
  <c r="BF279" i="1"/>
  <c r="BE279" i="1"/>
  <c r="BC279" i="1"/>
  <c r="BB279" i="1"/>
  <c r="BA279" i="1"/>
  <c r="AK279" i="1"/>
  <c r="AM279" i="1" s="1"/>
  <c r="BZ279" i="1" s="1" a="1"/>
  <c r="BZ279" i="1" s="1"/>
  <c r="Z279" i="1"/>
  <c r="CD277" i="1"/>
  <c r="CB277" i="1"/>
  <c r="BY277" i="1"/>
  <c r="BV277" i="1"/>
  <c r="BX277" i="1" s="1"/>
  <c r="BG277" i="1"/>
  <c r="BF277" i="1"/>
  <c r="BE277" i="1"/>
  <c r="BC277" i="1"/>
  <c r="BB277" i="1"/>
  <c r="BA277" i="1"/>
  <c r="AK277" i="1"/>
  <c r="AM277" i="1" s="1"/>
  <c r="BZ277" i="1" s="1" a="1"/>
  <c r="BZ277" i="1" s="1"/>
  <c r="Z277" i="1"/>
  <c r="CD280" i="1"/>
  <c r="CB280" i="1"/>
  <c r="BY280" i="1"/>
  <c r="BV280" i="1"/>
  <c r="BX280" i="1" s="1"/>
  <c r="BG280" i="1"/>
  <c r="BF280" i="1"/>
  <c r="BE280" i="1"/>
  <c r="BC280" i="1"/>
  <c r="BB280" i="1"/>
  <c r="BA280" i="1"/>
  <c r="AK280" i="1"/>
  <c r="AM280" i="1" s="1"/>
  <c r="BZ280" i="1" s="1" a="1"/>
  <c r="BZ280" i="1" s="1"/>
  <c r="Z280" i="1"/>
  <c r="M256" i="1"/>
  <c r="BB256" i="1" s="1"/>
  <c r="Z256" i="1"/>
  <c r="AK256" i="1"/>
  <c r="AM256" i="1" s="1"/>
  <c r="BZ256" i="1" s="1" a="1"/>
  <c r="BZ256" i="1" s="1"/>
  <c r="CE256" i="1" s="1"/>
  <c r="BA256" i="1"/>
  <c r="BC256" i="1"/>
  <c r="BV256" i="1"/>
  <c r="BX256" i="1" s="1"/>
  <c r="BY256" i="1"/>
  <c r="AJ280" i="1" l="1"/>
  <c r="BI279" i="1"/>
  <c r="BK279" i="1" s="1"/>
  <c r="BI277" i="1"/>
  <c r="BK277" i="1" s="1"/>
  <c r="BI256" i="1"/>
  <c r="BK256" i="1" s="1"/>
  <c r="BI280" i="1"/>
  <c r="BK280" i="1" s="1"/>
  <c r="BI253" i="1"/>
  <c r="BK253" i="1" s="1"/>
  <c r="BH256" i="1"/>
  <c r="BJ256" i="1" s="1"/>
  <c r="BH253" i="1"/>
  <c r="BJ253" i="1" s="1"/>
  <c r="BH277" i="1"/>
  <c r="BJ277" i="1" s="1"/>
  <c r="BH279" i="1"/>
  <c r="BJ279" i="1" s="1"/>
  <c r="BH280" i="1"/>
  <c r="BJ280" i="1" s="1"/>
  <c r="B50" i="6"/>
  <c r="B49" i="6"/>
  <c r="F46" i="6"/>
  <c r="F47" i="6" s="1"/>
  <c r="E46" i="6"/>
  <c r="E47" i="6" s="1"/>
  <c r="D46" i="6"/>
  <c r="D47" i="6" s="1"/>
  <c r="C46" i="6"/>
  <c r="C47" i="6" s="1"/>
  <c r="B46" i="6"/>
  <c r="B52" i="6" s="1"/>
  <c r="B47" i="6" l="1"/>
  <c r="B51" i="6" s="1"/>
  <c r="N17" i="2"/>
  <c r="CA284" i="1" s="1"/>
  <c r="CE284"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D264" i="1"/>
  <c r="CB264" i="1"/>
  <c r="BY264" i="1"/>
  <c r="BV264" i="1"/>
  <c r="BX264" i="1" s="1"/>
  <c r="BG264" i="1"/>
  <c r="BF264" i="1"/>
  <c r="BE264" i="1"/>
  <c r="BC264" i="1"/>
  <c r="BB264" i="1"/>
  <c r="BA264" i="1"/>
  <c r="AK264" i="1"/>
  <c r="AM264" i="1" s="1"/>
  <c r="BZ264" i="1" s="1" a="1"/>
  <c r="BZ264" i="1" s="1"/>
  <c r="Z264" i="1"/>
  <c r="B40" i="6" l="1"/>
  <c r="BI264" i="1"/>
  <c r="BK264" i="1" s="1"/>
  <c r="B39" i="6"/>
  <c r="BH264" i="1"/>
  <c r="BJ264" i="1" s="1"/>
  <c r="BV204" i="1"/>
  <c r="BX204" i="1" s="1"/>
  <c r="BV209" i="1"/>
  <c r="BX209" i="1" s="1"/>
  <c r="BA204" i="1"/>
  <c r="BB204" i="1"/>
  <c r="BC204" i="1"/>
  <c r="BA209" i="1"/>
  <c r="BB209" i="1"/>
  <c r="BC209" i="1"/>
  <c r="BY209" i="1"/>
  <c r="BG204" i="1"/>
  <c r="BG209" i="1"/>
  <c r="BF204" i="1"/>
  <c r="BF209" i="1"/>
  <c r="AK204" i="1"/>
  <c r="AM204" i="1" s="1"/>
  <c r="BZ204" i="1" s="1" a="1"/>
  <c r="BZ204" i="1" s="1"/>
  <c r="AK209" i="1"/>
  <c r="AM209" i="1" s="1"/>
  <c r="BZ209" i="1" s="1" a="1"/>
  <c r="BZ209" i="1" s="1"/>
  <c r="Z290" i="1"/>
  <c r="Z291" i="1"/>
  <c r="Z292" i="1"/>
  <c r="Z293" i="1"/>
  <c r="Z294" i="1"/>
  <c r="Z295" i="1"/>
  <c r="Z297" i="1"/>
  <c r="Z298" i="1"/>
  <c r="Z301" i="1"/>
  <c r="Z302" i="1"/>
  <c r="Z300" i="1"/>
  <c r="Z299" i="1"/>
  <c r="Z204" i="1"/>
  <c r="Z209" i="1"/>
  <c r="N13" i="2" l="1"/>
  <c r="CA94" i="1" s="1"/>
  <c r="CE94" i="1" s="1"/>
  <c r="N14" i="2"/>
  <c r="N15" i="2"/>
  <c r="N16" i="2"/>
  <c r="N3" i="2"/>
  <c r="N4" i="2"/>
  <c r="N5" i="2"/>
  <c r="CA279" i="1" s="1"/>
  <c r="CE279" i="1" s="1"/>
  <c r="N6" i="2"/>
  <c r="N7" i="2"/>
  <c r="N8" i="2"/>
  <c r="N9" i="2"/>
  <c r="N10" i="2"/>
  <c r="N11" i="2"/>
  <c r="N12" i="2"/>
  <c r="N2" i="2"/>
  <c r="CA209" i="1" s="1"/>
  <c r="CE209" i="1" s="1"/>
  <c r="CB11" i="1"/>
  <c r="CB12" i="1"/>
  <c r="CB13" i="1"/>
  <c r="CB14" i="1"/>
  <c r="CB15" i="1"/>
  <c r="CB16" i="1"/>
  <c r="CB17" i="1"/>
  <c r="CB18" i="1"/>
  <c r="CB19" i="1"/>
  <c r="CB20" i="1"/>
  <c r="CB21" i="1"/>
  <c r="CB22" i="1"/>
  <c r="CB23" i="1"/>
  <c r="CB24" i="1"/>
  <c r="CB25" i="1"/>
  <c r="CB30" i="1"/>
  <c r="CB31" i="1"/>
  <c r="CB32" i="1"/>
  <c r="CB33" i="1"/>
  <c r="CB34" i="1"/>
  <c r="CB35" i="1"/>
  <c r="CB36" i="1"/>
  <c r="CB37" i="1"/>
  <c r="CB47" i="1"/>
  <c r="CB48" i="1"/>
  <c r="CB49" i="1"/>
  <c r="CB51" i="1"/>
  <c r="CB52" i="1"/>
  <c r="CB53" i="1"/>
  <c r="CB54" i="1"/>
  <c r="CB55" i="1"/>
  <c r="CB56" i="1"/>
  <c r="CB57" i="1"/>
  <c r="CB58" i="1"/>
  <c r="CB59" i="1"/>
  <c r="CB60" i="1"/>
  <c r="CB62" i="1"/>
  <c r="CB63" i="1"/>
  <c r="CB64" i="1"/>
  <c r="CB65" i="1"/>
  <c r="CB66" i="1"/>
  <c r="CB68" i="1"/>
  <c r="CB69" i="1"/>
  <c r="CB71" i="1"/>
  <c r="CB72" i="1"/>
  <c r="CB73" i="1"/>
  <c r="CB74" i="1"/>
  <c r="CB75" i="1"/>
  <c r="CB76" i="1"/>
  <c r="CB77" i="1"/>
  <c r="CB78" i="1"/>
  <c r="CB79" i="1"/>
  <c r="CB80" i="1"/>
  <c r="CB81" i="1"/>
  <c r="CB82" i="1"/>
  <c r="CB84" i="1"/>
  <c r="CB85" i="1"/>
  <c r="CB86" i="1"/>
  <c r="CB87" i="1"/>
  <c r="CB88" i="1"/>
  <c r="CB89" i="1"/>
  <c r="CB90" i="1"/>
  <c r="CB91" i="1"/>
  <c r="CB92" i="1"/>
  <c r="CB41" i="1"/>
  <c r="CB42" i="1"/>
  <c r="CB43" i="1"/>
  <c r="CB44" i="1"/>
  <c r="CB45" i="1"/>
  <c r="CB101" i="1"/>
  <c r="CB102" i="1"/>
  <c r="CB104" i="1"/>
  <c r="CB105" i="1"/>
  <c r="CB106" i="1"/>
  <c r="CB107" i="1"/>
  <c r="CB109" i="1"/>
  <c r="CB110" i="1"/>
  <c r="CB112" i="1"/>
  <c r="CB114" i="1"/>
  <c r="CB115" i="1"/>
  <c r="CB116" i="1"/>
  <c r="CB117" i="1"/>
  <c r="CB118" i="1"/>
  <c r="CB119" i="1"/>
  <c r="CB121" i="1"/>
  <c r="CB122" i="1"/>
  <c r="CB123" i="1"/>
  <c r="CB124" i="1"/>
  <c r="CB125" i="1"/>
  <c r="CB126" i="1"/>
  <c r="CB127" i="1"/>
  <c r="CB128" i="1"/>
  <c r="CB130" i="1"/>
  <c r="CB132" i="1"/>
  <c r="CB129" i="1"/>
  <c r="CB131" i="1"/>
  <c r="CB134" i="1"/>
  <c r="CB136" i="1"/>
  <c r="CB138" i="1"/>
  <c r="CB140" i="1"/>
  <c r="CB133" i="1"/>
  <c r="CB135" i="1"/>
  <c r="CB137" i="1"/>
  <c r="CB139" i="1"/>
  <c r="CB141" i="1"/>
  <c r="CB142" i="1"/>
  <c r="CB143" i="1"/>
  <c r="CB144" i="1"/>
  <c r="CB145" i="1"/>
  <c r="CB146" i="1"/>
  <c r="CB148" i="1"/>
  <c r="CB149" i="1"/>
  <c r="CB217" i="1"/>
  <c r="CB150" i="1"/>
  <c r="CB151" i="1"/>
  <c r="CB152" i="1"/>
  <c r="CB153" i="1"/>
  <c r="CB154" i="1"/>
  <c r="CB155" i="1"/>
  <c r="CB156" i="1"/>
  <c r="CB157" i="1"/>
  <c r="CB158" i="1"/>
  <c r="CB159" i="1"/>
  <c r="CB160" i="1"/>
  <c r="CB161" i="1"/>
  <c r="CB162" i="1"/>
  <c r="CB163" i="1"/>
  <c r="CB164" i="1"/>
  <c r="CB165" i="1"/>
  <c r="CB166" i="1"/>
  <c r="CB167" i="1"/>
  <c r="CB168" i="1"/>
  <c r="CB169" i="1"/>
  <c r="CB170" i="1"/>
  <c r="CB171" i="1"/>
  <c r="CB172" i="1"/>
  <c r="CB173" i="1"/>
  <c r="CB174" i="1"/>
  <c r="CB175" i="1"/>
  <c r="CB176" i="1"/>
  <c r="CB218"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1" i="1"/>
  <c r="CB202" i="1"/>
  <c r="CB203" i="1"/>
  <c r="CB205" i="1"/>
  <c r="CB206" i="1"/>
  <c r="CB207" i="1"/>
  <c r="CB208" i="1"/>
  <c r="CB210" i="1"/>
  <c r="CB211" i="1"/>
  <c r="CB212" i="1"/>
  <c r="CB213" i="1"/>
  <c r="CB214" i="1"/>
  <c r="CB215" i="1"/>
  <c r="CB216" i="1"/>
  <c r="CB219" i="1"/>
  <c r="CB220" i="1"/>
  <c r="CB221" i="1"/>
  <c r="CB222" i="1"/>
  <c r="CB223" i="1"/>
  <c r="CB224" i="1"/>
  <c r="CB225" i="1"/>
  <c r="CB226" i="1"/>
  <c r="CB227" i="1"/>
  <c r="CB228" i="1"/>
  <c r="CB229" i="1"/>
  <c r="CB230" i="1"/>
  <c r="CB231" i="1"/>
  <c r="CB232" i="1"/>
  <c r="CB233" i="1"/>
  <c r="CB234" i="1"/>
  <c r="CB235" i="1"/>
  <c r="CB236" i="1"/>
  <c r="CB237" i="1"/>
  <c r="CB238" i="1"/>
  <c r="CB239" i="1"/>
  <c r="CB241" i="1"/>
  <c r="CB242" i="1"/>
  <c r="CB243" i="1"/>
  <c r="CB244" i="1"/>
  <c r="CB245" i="1"/>
  <c r="CB246" i="1"/>
  <c r="CB247" i="1"/>
  <c r="CB248" i="1"/>
  <c r="CB249" i="1"/>
  <c r="CB250" i="1"/>
  <c r="CB251" i="1"/>
  <c r="CB252" i="1"/>
  <c r="CB254" i="1"/>
  <c r="CB255" i="1"/>
  <c r="CB258" i="1"/>
  <c r="CB259" i="1"/>
  <c r="CB260" i="1"/>
  <c r="CB261" i="1"/>
  <c r="CB262" i="1"/>
  <c r="CB263" i="1"/>
  <c r="CB265" i="1"/>
  <c r="CB266" i="1"/>
  <c r="CB274" i="1"/>
  <c r="CB267" i="1"/>
  <c r="CB268" i="1"/>
  <c r="CB270" i="1"/>
  <c r="CB272" i="1"/>
  <c r="CB95" i="1"/>
  <c r="CB96" i="1"/>
  <c r="CB27" i="1"/>
  <c r="CB28" i="1"/>
  <c r="CB29" i="1"/>
  <c r="CB286" i="1"/>
  <c r="CB287" i="1"/>
  <c r="CB288" i="1"/>
  <c r="CB289" i="1"/>
  <c r="CB275" i="1"/>
  <c r="CB273" i="1"/>
  <c r="CB276" i="1"/>
  <c r="CB278" i="1"/>
  <c r="CB290" i="1"/>
  <c r="CB291" i="1"/>
  <c r="CB292" i="1"/>
  <c r="CB293" i="1"/>
  <c r="CB294" i="1"/>
  <c r="CB295" i="1"/>
  <c r="CB297" i="1"/>
  <c r="CB298" i="1"/>
  <c r="CB301" i="1"/>
  <c r="CB302" i="1"/>
  <c r="CB300" i="1"/>
  <c r="CB299" i="1"/>
  <c r="CB204" i="1"/>
  <c r="CB2" i="1"/>
  <c r="BY11" i="1"/>
  <c r="BY12" i="1"/>
  <c r="BY13" i="1"/>
  <c r="BY14" i="1"/>
  <c r="BY15" i="1"/>
  <c r="BY16" i="1"/>
  <c r="BY17" i="1"/>
  <c r="BY18" i="1"/>
  <c r="BY19" i="1"/>
  <c r="BY20" i="1"/>
  <c r="BY21" i="1"/>
  <c r="BY22" i="1"/>
  <c r="BY23" i="1"/>
  <c r="BY24" i="1"/>
  <c r="BY25" i="1"/>
  <c r="BY30" i="1"/>
  <c r="CA30" i="1" s="1"/>
  <c r="BY31" i="1"/>
  <c r="BY32" i="1"/>
  <c r="BY33" i="1"/>
  <c r="BY34" i="1"/>
  <c r="BY35" i="1"/>
  <c r="BY36" i="1"/>
  <c r="BY37" i="1"/>
  <c r="BY47" i="1"/>
  <c r="BY48" i="1"/>
  <c r="BY49" i="1"/>
  <c r="BY51" i="1"/>
  <c r="BY52" i="1"/>
  <c r="BY53" i="1"/>
  <c r="BY54" i="1"/>
  <c r="BY55" i="1"/>
  <c r="BY56" i="1"/>
  <c r="BY57" i="1"/>
  <c r="BY58" i="1"/>
  <c r="BY59" i="1"/>
  <c r="BY60" i="1"/>
  <c r="BY62" i="1"/>
  <c r="BY63" i="1"/>
  <c r="BY64" i="1"/>
  <c r="BY65" i="1"/>
  <c r="BY66" i="1"/>
  <c r="BY68" i="1"/>
  <c r="BY69" i="1"/>
  <c r="BY71" i="1"/>
  <c r="BY72" i="1"/>
  <c r="BY73" i="1"/>
  <c r="CA73" i="1" s="1"/>
  <c r="BY74" i="1"/>
  <c r="BY75" i="1"/>
  <c r="BY76" i="1"/>
  <c r="BY77" i="1"/>
  <c r="BY78" i="1"/>
  <c r="BY79" i="1"/>
  <c r="BY80" i="1"/>
  <c r="BY81" i="1"/>
  <c r="BY82" i="1"/>
  <c r="BY84" i="1"/>
  <c r="BY85" i="1"/>
  <c r="BY86" i="1"/>
  <c r="BY87" i="1"/>
  <c r="BY88" i="1"/>
  <c r="BY89" i="1"/>
  <c r="BY90" i="1"/>
  <c r="CA90" i="1" s="1"/>
  <c r="BY91" i="1"/>
  <c r="BY92" i="1"/>
  <c r="BY41" i="1"/>
  <c r="BY42" i="1"/>
  <c r="BY43" i="1"/>
  <c r="BY44" i="1"/>
  <c r="BY45" i="1"/>
  <c r="BY101" i="1"/>
  <c r="CA101" i="1" s="1"/>
  <c r="BY102" i="1"/>
  <c r="CA102" i="1" s="1"/>
  <c r="BY104" i="1"/>
  <c r="BY105" i="1"/>
  <c r="BY106" i="1"/>
  <c r="BY107" i="1"/>
  <c r="BY109" i="1"/>
  <c r="CA109" i="1" s="1"/>
  <c r="BY110" i="1"/>
  <c r="CA110" i="1" s="1"/>
  <c r="BY112" i="1"/>
  <c r="CA112" i="1" s="1"/>
  <c r="BY114" i="1"/>
  <c r="BY115" i="1"/>
  <c r="BY116" i="1"/>
  <c r="BY117" i="1"/>
  <c r="BY118" i="1"/>
  <c r="BY119" i="1"/>
  <c r="BY121" i="1"/>
  <c r="BY122" i="1"/>
  <c r="BY123" i="1"/>
  <c r="BY124" i="1"/>
  <c r="CA124" i="1" s="1"/>
  <c r="BY125" i="1"/>
  <c r="BY126" i="1"/>
  <c r="BY127" i="1"/>
  <c r="BY128" i="1"/>
  <c r="BY130" i="1"/>
  <c r="BY132" i="1"/>
  <c r="BY129" i="1"/>
  <c r="BY131" i="1"/>
  <c r="CA131" i="1" s="1"/>
  <c r="BY134" i="1"/>
  <c r="BY136" i="1"/>
  <c r="BY138" i="1"/>
  <c r="BY140" i="1"/>
  <c r="BY133" i="1"/>
  <c r="BY135" i="1"/>
  <c r="BY137" i="1"/>
  <c r="BY139" i="1"/>
  <c r="BY141" i="1"/>
  <c r="CA141" i="1" s="1"/>
  <c r="BY142" i="1"/>
  <c r="CA142" i="1" s="1"/>
  <c r="BY143" i="1"/>
  <c r="CA143" i="1" s="1"/>
  <c r="BY144" i="1"/>
  <c r="CA144" i="1" s="1"/>
  <c r="BY145" i="1"/>
  <c r="BY146" i="1"/>
  <c r="BY148" i="1"/>
  <c r="BY149" i="1"/>
  <c r="BY217" i="1"/>
  <c r="BY150" i="1"/>
  <c r="BY151" i="1"/>
  <c r="BY152" i="1"/>
  <c r="BY153" i="1"/>
  <c r="BY154" i="1"/>
  <c r="BY155" i="1"/>
  <c r="BY156" i="1"/>
  <c r="BY157" i="1"/>
  <c r="BY158" i="1"/>
  <c r="BY159" i="1"/>
  <c r="BY160" i="1"/>
  <c r="BY161" i="1"/>
  <c r="CA161" i="1" s="1"/>
  <c r="BY162" i="1"/>
  <c r="CA162" i="1" s="1"/>
  <c r="BY163" i="1"/>
  <c r="CA163" i="1" s="1"/>
  <c r="BY164" i="1"/>
  <c r="CA164" i="1" s="1"/>
  <c r="BY165" i="1"/>
  <c r="BY166" i="1"/>
  <c r="BY167" i="1"/>
  <c r="BY168" i="1"/>
  <c r="BY169" i="1"/>
  <c r="BY170" i="1"/>
  <c r="BY171" i="1"/>
  <c r="BY172" i="1"/>
  <c r="CA172" i="1" s="1"/>
  <c r="BY173" i="1"/>
  <c r="CA173" i="1" s="1"/>
  <c r="BY174" i="1"/>
  <c r="CA174" i="1" s="1"/>
  <c r="BY175" i="1"/>
  <c r="BY176" i="1"/>
  <c r="BY218" i="1"/>
  <c r="BY177" i="1"/>
  <c r="BY178" i="1"/>
  <c r="BY179" i="1"/>
  <c r="CA179" i="1" s="1"/>
  <c r="BY180" i="1"/>
  <c r="BY181" i="1"/>
  <c r="CA181" i="1" s="1"/>
  <c r="BY182" i="1"/>
  <c r="CA182" i="1" s="1"/>
  <c r="BY183" i="1"/>
  <c r="BY184" i="1"/>
  <c r="BY185" i="1"/>
  <c r="BY186" i="1"/>
  <c r="BY187" i="1"/>
  <c r="BY188" i="1"/>
  <c r="BY189" i="1"/>
  <c r="BY190" i="1"/>
  <c r="BY191" i="1"/>
  <c r="BY192" i="1"/>
  <c r="CA192" i="1" s="1"/>
  <c r="BY193" i="1"/>
  <c r="CA193" i="1" s="1"/>
  <c r="BY194" i="1"/>
  <c r="BY195" i="1"/>
  <c r="BY196" i="1"/>
  <c r="BY197" i="1"/>
  <c r="BY198" i="1"/>
  <c r="BY199" i="1"/>
  <c r="BY200" i="1"/>
  <c r="BY201" i="1"/>
  <c r="CA201" i="1" s="1"/>
  <c r="BY202" i="1"/>
  <c r="CA202" i="1" s="1"/>
  <c r="BY203" i="1"/>
  <c r="CA203" i="1" s="1"/>
  <c r="BY205" i="1"/>
  <c r="BY206" i="1"/>
  <c r="BY207" i="1"/>
  <c r="CA207" i="1" s="1"/>
  <c r="BY208" i="1"/>
  <c r="BY210" i="1"/>
  <c r="BY211" i="1"/>
  <c r="BY212" i="1"/>
  <c r="BY213" i="1"/>
  <c r="BY214" i="1"/>
  <c r="CA214" i="1" s="1"/>
  <c r="BY215" i="1"/>
  <c r="CA215" i="1" s="1"/>
  <c r="BY216" i="1"/>
  <c r="CA216" i="1" s="1"/>
  <c r="BY219" i="1"/>
  <c r="BY220" i="1"/>
  <c r="BY221" i="1"/>
  <c r="BY222" i="1"/>
  <c r="BY223" i="1"/>
  <c r="BY224" i="1"/>
  <c r="BY225" i="1"/>
  <c r="CA225" i="1" s="1"/>
  <c r="BY226" i="1"/>
  <c r="CA226" i="1" s="1"/>
  <c r="BY227" i="1"/>
  <c r="CA227" i="1" s="1"/>
  <c r="BY228" i="1"/>
  <c r="BY229" i="1"/>
  <c r="BY230" i="1"/>
  <c r="BY231" i="1"/>
  <c r="BY232" i="1"/>
  <c r="BY233" i="1"/>
  <c r="BY234" i="1"/>
  <c r="BY235" i="1"/>
  <c r="BY236" i="1"/>
  <c r="BY237" i="1"/>
  <c r="CA237" i="1" s="1"/>
  <c r="BY238" i="1"/>
  <c r="BY239" i="1"/>
  <c r="BY241" i="1"/>
  <c r="BY242" i="1"/>
  <c r="BY243" i="1"/>
  <c r="BY244" i="1"/>
  <c r="BY245" i="1"/>
  <c r="BY246" i="1"/>
  <c r="CA246" i="1" s="1"/>
  <c r="BY247" i="1"/>
  <c r="CA247" i="1" s="1"/>
  <c r="BY248" i="1"/>
  <c r="CA248" i="1" s="1"/>
  <c r="BY249" i="1"/>
  <c r="BY250" i="1"/>
  <c r="BY251" i="1"/>
  <c r="BY252" i="1"/>
  <c r="BY254" i="1"/>
  <c r="BY255" i="1"/>
  <c r="BY258" i="1"/>
  <c r="BY259" i="1"/>
  <c r="BY260" i="1"/>
  <c r="CA260" i="1" s="1"/>
  <c r="BY261" i="1"/>
  <c r="CA261" i="1" s="1"/>
  <c r="BY262" i="1"/>
  <c r="BY263" i="1"/>
  <c r="BY265" i="1"/>
  <c r="BY266" i="1"/>
  <c r="BY274" i="1"/>
  <c r="BY267" i="1"/>
  <c r="BY268" i="1"/>
  <c r="BY270" i="1"/>
  <c r="CA270" i="1" s="1"/>
  <c r="BY272" i="1"/>
  <c r="CA272" i="1" s="1"/>
  <c r="BY95" i="1"/>
  <c r="CA95" i="1" s="1"/>
  <c r="BY96" i="1"/>
  <c r="BY27" i="1"/>
  <c r="BY28" i="1"/>
  <c r="BY29" i="1"/>
  <c r="CA29" i="1" s="1"/>
  <c r="BY286" i="1"/>
  <c r="CA286" i="1" s="1"/>
  <c r="BY287" i="1"/>
  <c r="CA287" i="1" s="1"/>
  <c r="BY288" i="1"/>
  <c r="BY289" i="1"/>
  <c r="BY275" i="1"/>
  <c r="CA275" i="1" s="1"/>
  <c r="BY273" i="1"/>
  <c r="CA273" i="1" s="1"/>
  <c r="BY276" i="1"/>
  <c r="BY278" i="1"/>
  <c r="BY290" i="1"/>
  <c r="BY291" i="1"/>
  <c r="BY292" i="1"/>
  <c r="BY294" i="1"/>
  <c r="BY295" i="1"/>
  <c r="BY297" i="1"/>
  <c r="CA297" i="1" s="1"/>
  <c r="BY298" i="1"/>
  <c r="CA298" i="1" s="1"/>
  <c r="BY301" i="1"/>
  <c r="BY302" i="1"/>
  <c r="BY300" i="1"/>
  <c r="BY299" i="1"/>
  <c r="BY204" i="1"/>
  <c r="BY2" i="1"/>
  <c r="CA224" i="1" l="1"/>
  <c r="CA274" i="1"/>
  <c r="CA159" i="1"/>
  <c r="CA266" i="1"/>
  <c r="CA158" i="1"/>
  <c r="CA265" i="1"/>
  <c r="CA176" i="1"/>
  <c r="CA245" i="1"/>
  <c r="CA200" i="1"/>
  <c r="CA180" i="1"/>
  <c r="CA267" i="1"/>
  <c r="CA244" i="1"/>
  <c r="CA160" i="1"/>
  <c r="CA139" i="1"/>
  <c r="CA243" i="1"/>
  <c r="CA198" i="1"/>
  <c r="CA178" i="1"/>
  <c r="CA242" i="1"/>
  <c r="CA177" i="1"/>
  <c r="CA67" i="1"/>
  <c r="CE67" i="1" s="1"/>
  <c r="CA50" i="1"/>
  <c r="CE50" i="1" s="1"/>
  <c r="CA241" i="1"/>
  <c r="CA218" i="1"/>
  <c r="CA157" i="1"/>
  <c r="CA278" i="1"/>
  <c r="CA263" i="1"/>
  <c r="CA239" i="1"/>
  <c r="CA195" i="1"/>
  <c r="CA156" i="1"/>
  <c r="CA115" i="1"/>
  <c r="CA276" i="1"/>
  <c r="CA262" i="1"/>
  <c r="CA238" i="1"/>
  <c r="CA194" i="1"/>
  <c r="CA175" i="1"/>
  <c r="CA114" i="1"/>
  <c r="CA213" i="1"/>
  <c r="CA191" i="1"/>
  <c r="CA212" i="1"/>
  <c r="CA129" i="1"/>
  <c r="CA211" i="1"/>
  <c r="CA132" i="1"/>
  <c r="CA188" i="1"/>
  <c r="CA130" i="1"/>
  <c r="CA231" i="1"/>
  <c r="CA208" i="1"/>
  <c r="CA168" i="1"/>
  <c r="CA149" i="1"/>
  <c r="CA128" i="1"/>
  <c r="CA251" i="1"/>
  <c r="CA230" i="1"/>
  <c r="CA148" i="1"/>
  <c r="CA127" i="1"/>
  <c r="CA250" i="1"/>
  <c r="CA229" i="1"/>
  <c r="CA206" i="1"/>
  <c r="CA185" i="1"/>
  <c r="CA146" i="1"/>
  <c r="CA126" i="1"/>
  <c r="CA54" i="1"/>
  <c r="CA190" i="1"/>
  <c r="CA107" i="1"/>
  <c r="CA189" i="1"/>
  <c r="CA106" i="1"/>
  <c r="CA210" i="1"/>
  <c r="CA217" i="1"/>
  <c r="CA105" i="1"/>
  <c r="CA204" i="1"/>
  <c r="CE204" i="1" s="1"/>
  <c r="CA252" i="1"/>
  <c r="CA187" i="1"/>
  <c r="CA104" i="1"/>
  <c r="CA96" i="1"/>
  <c r="CA249" i="1"/>
  <c r="CA228" i="1"/>
  <c r="CA205" i="1"/>
  <c r="CA184" i="1"/>
  <c r="CA145" i="1"/>
  <c r="CA125" i="1"/>
  <c r="CA108" i="1"/>
  <c r="CE108" i="1" s="1"/>
  <c r="CA111" i="1"/>
  <c r="CE111" i="1" s="1"/>
  <c r="CA120" i="1"/>
  <c r="CE120" i="1" s="1"/>
  <c r="CA147" i="1"/>
  <c r="CA103" i="1"/>
  <c r="CE103" i="1" s="1"/>
  <c r="CA113" i="1"/>
  <c r="CE113" i="1" s="1"/>
  <c r="CA222" i="1"/>
  <c r="CA123" i="1"/>
  <c r="CA27" i="1"/>
  <c r="CA255" i="1"/>
  <c r="CA221" i="1"/>
  <c r="CA170" i="1"/>
  <c r="CA154" i="1"/>
  <c r="CA135" i="1"/>
  <c r="CA122" i="1"/>
  <c r="CA81" i="1"/>
  <c r="CA63" i="1"/>
  <c r="CA36" i="1"/>
  <c r="CA240" i="1"/>
  <c r="CE240" i="1" s="1"/>
  <c r="CA281" i="1"/>
  <c r="CE281" i="1" s="1"/>
  <c r="CA282" i="1"/>
  <c r="CE282" i="1" s="1"/>
  <c r="CA264" i="1"/>
  <c r="CE264" i="1" s="1"/>
  <c r="CA186" i="1"/>
  <c r="CA254" i="1"/>
  <c r="CA236" i="1"/>
  <c r="CA220" i="1"/>
  <c r="CA169" i="1"/>
  <c r="CA153" i="1"/>
  <c r="CA133" i="1"/>
  <c r="CA121" i="1"/>
  <c r="CA35" i="1"/>
  <c r="CA40" i="1"/>
  <c r="CE40" i="1" s="1"/>
  <c r="CA39" i="1"/>
  <c r="CE39" i="1" s="1"/>
  <c r="CA235" i="1"/>
  <c r="CA219" i="1"/>
  <c r="CA199" i="1"/>
  <c r="CA183" i="1"/>
  <c r="CA152" i="1"/>
  <c r="CA140" i="1"/>
  <c r="CA119" i="1"/>
  <c r="CA44" i="1"/>
  <c r="CA34" i="1"/>
  <c r="CA9" i="1"/>
  <c r="CE9" i="1" s="1"/>
  <c r="CA4" i="1"/>
  <c r="CE4" i="1" s="1"/>
  <c r="CA5" i="1"/>
  <c r="CE5" i="1" s="1"/>
  <c r="CA3" i="1"/>
  <c r="CE3" i="1" s="1"/>
  <c r="CA7" i="1"/>
  <c r="CE7" i="1" s="1"/>
  <c r="CA6" i="1"/>
  <c r="CE6" i="1" s="1"/>
  <c r="CA8" i="1"/>
  <c r="CE8" i="1" s="1"/>
  <c r="CA10" i="1"/>
  <c r="CE10" i="1" s="1"/>
  <c r="CA259" i="1"/>
  <c r="CA47" i="1"/>
  <c r="CA28" i="1"/>
  <c r="CA171" i="1"/>
  <c r="CA37" i="1"/>
  <c r="CA234" i="1"/>
  <c r="CA167" i="1"/>
  <c r="CA151" i="1"/>
  <c r="CA138" i="1"/>
  <c r="CA118" i="1"/>
  <c r="CA43" i="1"/>
  <c r="CA33" i="1"/>
  <c r="CA223" i="1"/>
  <c r="CA137" i="1"/>
  <c r="CA233" i="1"/>
  <c r="CA197" i="1"/>
  <c r="CA166" i="1"/>
  <c r="CA150" i="1"/>
  <c r="CA136" i="1"/>
  <c r="CA117" i="1"/>
  <c r="CA42" i="1"/>
  <c r="CA32" i="1"/>
  <c r="CA18" i="1"/>
  <c r="CA258" i="1"/>
  <c r="CA155" i="1"/>
  <c r="CA268" i="1"/>
  <c r="CA232" i="1"/>
  <c r="CA196" i="1"/>
  <c r="CA165" i="1"/>
  <c r="CA134" i="1"/>
  <c r="CA116" i="1"/>
  <c r="CA41" i="1"/>
  <c r="CA31" i="1"/>
  <c r="CA271" i="1"/>
  <c r="CE271" i="1" s="1"/>
  <c r="CA283" i="1"/>
  <c r="CE283" i="1" s="1"/>
  <c r="CA280" i="1"/>
  <c r="CE280" i="1" s="1"/>
  <c r="CA277" i="1"/>
  <c r="CE277" i="1" s="1"/>
  <c r="CA293" i="1"/>
  <c r="CA292" i="1"/>
  <c r="CA299" i="1"/>
  <c r="CA290" i="1"/>
  <c r="CA300" i="1"/>
  <c r="CA289" i="1"/>
  <c r="CA302" i="1"/>
  <c r="CA288" i="1"/>
  <c r="CA294" i="1"/>
  <c r="CA25" i="1"/>
  <c r="CA17" i="1"/>
  <c r="CA301" i="1"/>
  <c r="CA291" i="1"/>
  <c r="CA24" i="1"/>
  <c r="CA16" i="1"/>
  <c r="CA23" i="1"/>
  <c r="CA15" i="1"/>
  <c r="CA2" i="1"/>
  <c r="CA22" i="1"/>
  <c r="CA14" i="1"/>
  <c r="CA21" i="1"/>
  <c r="CA13" i="1"/>
  <c r="CA295" i="1"/>
  <c r="CA20" i="1"/>
  <c r="CA12" i="1"/>
  <c r="CA19" i="1"/>
  <c r="CA11" i="1"/>
  <c r="CA91" i="1"/>
  <c r="CA82" i="1"/>
  <c r="CA74" i="1"/>
  <c r="CA64" i="1"/>
  <c r="CA55" i="1"/>
  <c r="CA45" i="1"/>
  <c r="CA89" i="1"/>
  <c r="CA80" i="1"/>
  <c r="CA72" i="1"/>
  <c r="CA62" i="1"/>
  <c r="CA53" i="1"/>
  <c r="CA88" i="1"/>
  <c r="CA79" i="1"/>
  <c r="CA71" i="1"/>
  <c r="CA60" i="1"/>
  <c r="CA52" i="1"/>
  <c r="CA87" i="1"/>
  <c r="CA78" i="1"/>
  <c r="CA69" i="1"/>
  <c r="CA59" i="1"/>
  <c r="CA51" i="1"/>
  <c r="CA86" i="1"/>
  <c r="CA77" i="1"/>
  <c r="CA68" i="1"/>
  <c r="CA58" i="1"/>
  <c r="CA49" i="1"/>
  <c r="CA85" i="1"/>
  <c r="CA76" i="1"/>
  <c r="CA66" i="1"/>
  <c r="CA57" i="1"/>
  <c r="CA48" i="1"/>
  <c r="CA92" i="1"/>
  <c r="CA84" i="1"/>
  <c r="CA75" i="1"/>
  <c r="CA65" i="1"/>
  <c r="CA56" i="1"/>
  <c r="CD12" i="1"/>
  <c r="BV12" i="1"/>
  <c r="BX12" i="1" s="1"/>
  <c r="BG12" i="1"/>
  <c r="BF12" i="1"/>
  <c r="BE12" i="1"/>
  <c r="BC12" i="1"/>
  <c r="BB12" i="1"/>
  <c r="BA12" i="1"/>
  <c r="AK12" i="1"/>
  <c r="AM12" i="1" s="1"/>
  <c r="BZ12" i="1" s="1" a="1"/>
  <c r="BZ12" i="1" s="1"/>
  <c r="CE12" i="1" s="1"/>
  <c r="Z12" i="1"/>
  <c r="BI12" i="1" l="1"/>
  <c r="BK12" i="1" s="1"/>
  <c r="BH12" i="1"/>
  <c r="BJ12" i="1" s="1"/>
  <c r="CD126" i="1"/>
  <c r="BV126" i="1"/>
  <c r="BX126" i="1" s="1"/>
  <c r="BG126" i="1"/>
  <c r="BF126" i="1"/>
  <c r="BE126" i="1"/>
  <c r="BC126" i="1"/>
  <c r="BB126" i="1"/>
  <c r="BA126" i="1"/>
  <c r="AK126" i="1"/>
  <c r="AM126" i="1" s="1"/>
  <c r="BZ126" i="1" s="1" a="1"/>
  <c r="BZ126" i="1" s="1"/>
  <c r="CE126" i="1" s="1"/>
  <c r="Z126" i="1"/>
  <c r="S126" i="1"/>
  <c r="U126" i="1" s="1"/>
  <c r="BI126" i="1" l="1"/>
  <c r="BK126" i="1" s="1"/>
  <c r="BH126" i="1"/>
  <c r="BJ126" i="1" s="1"/>
  <c r="BE209" i="1"/>
  <c r="BI209" i="1" s="1"/>
  <c r="BE204" i="1"/>
  <c r="BI204" i="1" s="1"/>
  <c r="BH204" i="1" l="1"/>
  <c r="BJ204" i="1" s="1"/>
  <c r="BK204" i="1"/>
  <c r="BH209" i="1"/>
  <c r="BJ209" i="1" s="1"/>
  <c r="BK209" i="1"/>
  <c r="CD33" i="1" l="1"/>
  <c r="CD34" i="1"/>
  <c r="CD35" i="1"/>
  <c r="CD36" i="1"/>
  <c r="CD37" i="1"/>
  <c r="CD47" i="1"/>
  <c r="CD48" i="1"/>
  <c r="CD49" i="1"/>
  <c r="CD51" i="1"/>
  <c r="CD52" i="1"/>
  <c r="CD53" i="1"/>
  <c r="CD54" i="1"/>
  <c r="CD55" i="1"/>
  <c r="CD56" i="1"/>
  <c r="CD57" i="1"/>
  <c r="CD58" i="1"/>
  <c r="CD59" i="1"/>
  <c r="CD60" i="1"/>
  <c r="CD62" i="1"/>
  <c r="CD63" i="1"/>
  <c r="CD64" i="1"/>
  <c r="CD65" i="1"/>
  <c r="CD66" i="1"/>
  <c r="CD68" i="1"/>
  <c r="CD69" i="1"/>
  <c r="CD71" i="1"/>
  <c r="CD72" i="1"/>
  <c r="CD73" i="1"/>
  <c r="CD74" i="1"/>
  <c r="CD75" i="1"/>
  <c r="CD76" i="1"/>
  <c r="CD77" i="1"/>
  <c r="CD78" i="1"/>
  <c r="CD79" i="1"/>
  <c r="CD80" i="1"/>
  <c r="CD81" i="1"/>
  <c r="CD82" i="1"/>
  <c r="CD84" i="1"/>
  <c r="CD85" i="1"/>
  <c r="CD86" i="1"/>
  <c r="CD87" i="1"/>
  <c r="CD88" i="1"/>
  <c r="CD89" i="1"/>
  <c r="CD90" i="1"/>
  <c r="CD91" i="1"/>
  <c r="CD92" i="1"/>
  <c r="CD41" i="1"/>
  <c r="CD42" i="1"/>
  <c r="CD43" i="1"/>
  <c r="CD44" i="1"/>
  <c r="CD45" i="1"/>
  <c r="CD101" i="1"/>
  <c r="CD102" i="1"/>
  <c r="CD104" i="1"/>
  <c r="CD105" i="1"/>
  <c r="CD106" i="1"/>
  <c r="CD107" i="1"/>
  <c r="CD109" i="1"/>
  <c r="CD110" i="1"/>
  <c r="CD112" i="1"/>
  <c r="CD114" i="1"/>
  <c r="CD115" i="1"/>
  <c r="CD116" i="1"/>
  <c r="CD117" i="1"/>
  <c r="CD118" i="1"/>
  <c r="CD119" i="1"/>
  <c r="CD121" i="1"/>
  <c r="CD122" i="1"/>
  <c r="CD123" i="1"/>
  <c r="CD124" i="1"/>
  <c r="CD125" i="1"/>
  <c r="CD127" i="1"/>
  <c r="CD128" i="1"/>
  <c r="CD130" i="1"/>
  <c r="CD132" i="1"/>
  <c r="CD129" i="1"/>
  <c r="CD131" i="1"/>
  <c r="CD134" i="1"/>
  <c r="CD136" i="1"/>
  <c r="CD138" i="1"/>
  <c r="CD140" i="1"/>
  <c r="CD133" i="1"/>
  <c r="CD135" i="1"/>
  <c r="CD137" i="1"/>
  <c r="CD139" i="1"/>
  <c r="CD141" i="1"/>
  <c r="CD142" i="1"/>
  <c r="CD143" i="1"/>
  <c r="CD144" i="1"/>
  <c r="CD145" i="1"/>
  <c r="CD146" i="1"/>
  <c r="CD148" i="1"/>
  <c r="CD149" i="1"/>
  <c r="CD217" i="1"/>
  <c r="CD150" i="1"/>
  <c r="CD151" i="1"/>
  <c r="CD152" i="1"/>
  <c r="CD153" i="1"/>
  <c r="CD154" i="1"/>
  <c r="CD155" i="1"/>
  <c r="CD156" i="1"/>
  <c r="CD157" i="1"/>
  <c r="CD158" i="1"/>
  <c r="CD159" i="1"/>
  <c r="CD160" i="1"/>
  <c r="CD161" i="1"/>
  <c r="CD162" i="1"/>
  <c r="CD163" i="1"/>
  <c r="CD164" i="1"/>
  <c r="CD165" i="1"/>
  <c r="CD166" i="1"/>
  <c r="CD167" i="1"/>
  <c r="CD168" i="1"/>
  <c r="CD169" i="1"/>
  <c r="CD170" i="1"/>
  <c r="CD171" i="1"/>
  <c r="CD172" i="1"/>
  <c r="CD173" i="1"/>
  <c r="CD174" i="1"/>
  <c r="CD175" i="1"/>
  <c r="CD176" i="1"/>
  <c r="CD218" i="1"/>
  <c r="CD177" i="1"/>
  <c r="CD178" i="1"/>
  <c r="CD179" i="1"/>
  <c r="CD180" i="1"/>
  <c r="CD181" i="1"/>
  <c r="CD182" i="1"/>
  <c r="CD183" i="1"/>
  <c r="CD184" i="1"/>
  <c r="CD185" i="1"/>
  <c r="CD186" i="1"/>
  <c r="CD187" i="1"/>
  <c r="CD188" i="1"/>
  <c r="CD189" i="1"/>
  <c r="CD190" i="1"/>
  <c r="CD191" i="1"/>
  <c r="CD192" i="1"/>
  <c r="CD193" i="1"/>
  <c r="CD194" i="1"/>
  <c r="CD195" i="1"/>
  <c r="CD196" i="1"/>
  <c r="CD197" i="1"/>
  <c r="CD198" i="1"/>
  <c r="CD199" i="1"/>
  <c r="CD200" i="1"/>
  <c r="CD201" i="1"/>
  <c r="CD202" i="1"/>
  <c r="CD203" i="1"/>
  <c r="CD205" i="1"/>
  <c r="CD206" i="1"/>
  <c r="CD207" i="1"/>
  <c r="CD208" i="1"/>
  <c r="CD210" i="1"/>
  <c r="CD211" i="1"/>
  <c r="CD212" i="1"/>
  <c r="CD213" i="1"/>
  <c r="CD214" i="1"/>
  <c r="CD215" i="1"/>
  <c r="CD216" i="1"/>
  <c r="CD219" i="1"/>
  <c r="CD220" i="1"/>
  <c r="CD221" i="1"/>
  <c r="CD222" i="1"/>
  <c r="CD223" i="1"/>
  <c r="CD224" i="1"/>
  <c r="CD225" i="1"/>
  <c r="CD226" i="1"/>
  <c r="CD227" i="1"/>
  <c r="CD228" i="1"/>
  <c r="CD229" i="1"/>
  <c r="CD230" i="1"/>
  <c r="CD231" i="1"/>
  <c r="CD232" i="1"/>
  <c r="CD233" i="1"/>
  <c r="CD234" i="1"/>
  <c r="CD235" i="1"/>
  <c r="CD236" i="1"/>
  <c r="CD237" i="1"/>
  <c r="CD238" i="1"/>
  <c r="CD239" i="1"/>
  <c r="CD241" i="1"/>
  <c r="CD242" i="1"/>
  <c r="CD243" i="1"/>
  <c r="CD244" i="1"/>
  <c r="CD245" i="1"/>
  <c r="CD246" i="1"/>
  <c r="CD247" i="1"/>
  <c r="CD248" i="1"/>
  <c r="CE248" i="1" s="1"/>
  <c r="CD249" i="1"/>
  <c r="CE249" i="1" s="1"/>
  <c r="CD250" i="1"/>
  <c r="CE250" i="1" s="1"/>
  <c r="CD251" i="1"/>
  <c r="CD252" i="1"/>
  <c r="CD254" i="1"/>
  <c r="CD255" i="1"/>
  <c r="CD258" i="1"/>
  <c r="CD259" i="1"/>
  <c r="CD260" i="1"/>
  <c r="CD261" i="1"/>
  <c r="CD262" i="1"/>
  <c r="CD263" i="1"/>
  <c r="CD265" i="1"/>
  <c r="CD266" i="1"/>
  <c r="CD274" i="1"/>
  <c r="CD267" i="1"/>
  <c r="CD268" i="1"/>
  <c r="CD270" i="1"/>
  <c r="CD272" i="1"/>
  <c r="CD95" i="1"/>
  <c r="CD96" i="1"/>
  <c r="CD27" i="1"/>
  <c r="CD28" i="1"/>
  <c r="CD29" i="1"/>
  <c r="CD286" i="1"/>
  <c r="CD287" i="1"/>
  <c r="CD288" i="1"/>
  <c r="CD289" i="1"/>
  <c r="CD275" i="1"/>
  <c r="CE275" i="1" s="1"/>
  <c r="CD273" i="1"/>
  <c r="CD276" i="1"/>
  <c r="CD278" i="1"/>
  <c r="CD290" i="1"/>
  <c r="CD291" i="1"/>
  <c r="CD292" i="1"/>
  <c r="CD293" i="1"/>
  <c r="CD294" i="1"/>
  <c r="CD295" i="1"/>
  <c r="CD297" i="1"/>
  <c r="CD298" i="1"/>
  <c r="CD301" i="1"/>
  <c r="CD302" i="1"/>
  <c r="CD300" i="1"/>
  <c r="CD299" i="1"/>
  <c r="CD2" i="1"/>
  <c r="CD11" i="1"/>
  <c r="CD13" i="1"/>
  <c r="CD14" i="1"/>
  <c r="CD15" i="1"/>
  <c r="CD16" i="1"/>
  <c r="CD17" i="1"/>
  <c r="CD18" i="1"/>
  <c r="CD19" i="1"/>
  <c r="CD20" i="1"/>
  <c r="CD21" i="1"/>
  <c r="CD22" i="1"/>
  <c r="CD23" i="1"/>
  <c r="CD24" i="1"/>
  <c r="CD25" i="1"/>
  <c r="CD30" i="1"/>
  <c r="CD31" i="1"/>
  <c r="CD32" i="1"/>
  <c r="BV13" i="1" l="1"/>
  <c r="BX13" i="1" s="1"/>
  <c r="BG13" i="1"/>
  <c r="BF13" i="1"/>
  <c r="BE13" i="1"/>
  <c r="BC13" i="1"/>
  <c r="BB13" i="1"/>
  <c r="BA13" i="1"/>
  <c r="AK13" i="1"/>
  <c r="AM13" i="1" s="1"/>
  <c r="BZ13" i="1" s="1" a="1"/>
  <c r="BZ13" i="1" s="1"/>
  <c r="CE13" i="1" s="1"/>
  <c r="Z13" i="1"/>
  <c r="BV15" i="1"/>
  <c r="BX15" i="1" s="1"/>
  <c r="BG15" i="1"/>
  <c r="BF15" i="1"/>
  <c r="BE15" i="1"/>
  <c r="BC15" i="1"/>
  <c r="BB15" i="1"/>
  <c r="BA15" i="1"/>
  <c r="AK15" i="1"/>
  <c r="AM15" i="1" s="1"/>
  <c r="BZ15" i="1" s="1" a="1"/>
  <c r="BZ15" i="1" s="1"/>
  <c r="CE15" i="1" s="1"/>
  <c r="Z15" i="1"/>
  <c r="W136" i="1"/>
  <c r="Z136" i="1" s="1"/>
  <c r="S138" i="1"/>
  <c r="U138" i="1" s="1"/>
  <c r="S136" i="1"/>
  <c r="U136" i="1" s="1"/>
  <c r="W129" i="1"/>
  <c r="Z129" i="1" s="1"/>
  <c r="BV136" i="1"/>
  <c r="BX136" i="1" s="1"/>
  <c r="BG136" i="1"/>
  <c r="BF136" i="1"/>
  <c r="BE136" i="1"/>
  <c r="BC136" i="1"/>
  <c r="BB136" i="1"/>
  <c r="BA136" i="1"/>
  <c r="AK136" i="1"/>
  <c r="BV131" i="1"/>
  <c r="BX131" i="1" s="1"/>
  <c r="BG131" i="1"/>
  <c r="BF131" i="1"/>
  <c r="BE131" i="1"/>
  <c r="BC131" i="1"/>
  <c r="BB131" i="1"/>
  <c r="BA131" i="1"/>
  <c r="AK131" i="1"/>
  <c r="Z131" i="1"/>
  <c r="S131" i="1"/>
  <c r="U131" i="1" s="1"/>
  <c r="BV140" i="1"/>
  <c r="BX140" i="1" s="1"/>
  <c r="BG140" i="1"/>
  <c r="BF140" i="1"/>
  <c r="BE140" i="1"/>
  <c r="BC140" i="1"/>
  <c r="BB140" i="1"/>
  <c r="BA140" i="1"/>
  <c r="AK140" i="1"/>
  <c r="AM140" i="1" s="1"/>
  <c r="BZ140" i="1" s="1" a="1"/>
  <c r="BZ140" i="1" s="1"/>
  <c r="CE140" i="1" s="1"/>
  <c r="Z140" i="1"/>
  <c r="S140" i="1"/>
  <c r="U140" i="1" s="1"/>
  <c r="BV134" i="1"/>
  <c r="BX134" i="1" s="1"/>
  <c r="BG134" i="1"/>
  <c r="BF134" i="1"/>
  <c r="BE134" i="1"/>
  <c r="BC134" i="1"/>
  <c r="BB134" i="1"/>
  <c r="BA134" i="1"/>
  <c r="AK134" i="1"/>
  <c r="AM134" i="1" s="1"/>
  <c r="BZ134" i="1" s="1" a="1"/>
  <c r="BZ134" i="1" s="1"/>
  <c r="CE134" i="1" s="1"/>
  <c r="Z134" i="1"/>
  <c r="S134" i="1"/>
  <c r="U134" i="1" s="1"/>
  <c r="BV129" i="1"/>
  <c r="BX129" i="1" s="1"/>
  <c r="BG129" i="1"/>
  <c r="BF129" i="1"/>
  <c r="BE129" i="1"/>
  <c r="BC129" i="1"/>
  <c r="BB129" i="1"/>
  <c r="BA129" i="1"/>
  <c r="AK129" i="1"/>
  <c r="S129" i="1"/>
  <c r="U129" i="1" s="1"/>
  <c r="AM129" i="1" l="1"/>
  <c r="BZ129" i="1" s="1" a="1"/>
  <c r="BZ129" i="1" s="1"/>
  <c r="CE129" i="1" s="1"/>
  <c r="AM136" i="1"/>
  <c r="BZ136" i="1" s="1" a="1"/>
  <c r="BZ136" i="1" s="1"/>
  <c r="CE136" i="1" s="1"/>
  <c r="BI136" i="1"/>
  <c r="BK136" i="1" s="1"/>
  <c r="BI140" i="1"/>
  <c r="BK140" i="1" s="1"/>
  <c r="BI129" i="1"/>
  <c r="BK129" i="1" s="1"/>
  <c r="BI15" i="1"/>
  <c r="BK15" i="1" s="1"/>
  <c r="BI131" i="1"/>
  <c r="BK131" i="1" s="1"/>
  <c r="BI13" i="1"/>
  <c r="BK13" i="1" s="1"/>
  <c r="BI134" i="1"/>
  <c r="BK134" i="1" s="1"/>
  <c r="BH13" i="1"/>
  <c r="BJ13" i="1" s="1"/>
  <c r="BH15" i="1"/>
  <c r="BJ15" i="1" s="1"/>
  <c r="BH136" i="1"/>
  <c r="BJ136" i="1" s="1"/>
  <c r="BH131" i="1"/>
  <c r="BJ131" i="1" s="1"/>
  <c r="BH134" i="1"/>
  <c r="BJ134" i="1" s="1"/>
  <c r="BH140" i="1"/>
  <c r="BJ140" i="1" s="1"/>
  <c r="BH129" i="1"/>
  <c r="BJ129" i="1" s="1"/>
  <c r="BV44" i="1" l="1"/>
  <c r="BX44" i="1" s="1"/>
  <c r="BG44" i="1"/>
  <c r="BF44" i="1"/>
  <c r="BE44" i="1"/>
  <c r="BC44" i="1"/>
  <c r="BB44" i="1"/>
  <c r="BA44" i="1"/>
  <c r="AK44" i="1"/>
  <c r="AM44" i="1" s="1"/>
  <c r="BZ44" i="1" s="1" a="1"/>
  <c r="BZ44" i="1" s="1"/>
  <c r="CE44" i="1" s="1"/>
  <c r="Z44" i="1"/>
  <c r="BV41" i="1"/>
  <c r="BX41" i="1" s="1"/>
  <c r="BG41" i="1"/>
  <c r="BF41" i="1"/>
  <c r="BE41" i="1"/>
  <c r="BC41" i="1"/>
  <c r="BB41" i="1"/>
  <c r="BA41" i="1"/>
  <c r="AK41" i="1"/>
  <c r="AM41" i="1" s="1"/>
  <c r="BZ41" i="1" s="1" a="1"/>
  <c r="BZ41" i="1" s="1"/>
  <c r="CE41" i="1" s="1"/>
  <c r="Z41" i="1"/>
  <c r="BV43" i="1"/>
  <c r="BX43" i="1" s="1"/>
  <c r="BG43" i="1"/>
  <c r="BF43" i="1"/>
  <c r="BE43" i="1"/>
  <c r="BC43" i="1"/>
  <c r="BB43" i="1"/>
  <c r="BA43" i="1"/>
  <c r="AK43" i="1"/>
  <c r="AM43" i="1" s="1"/>
  <c r="BZ43" i="1" s="1" a="1"/>
  <c r="BZ43" i="1" s="1"/>
  <c r="CE43" i="1" s="1"/>
  <c r="Z43" i="1"/>
  <c r="BV42" i="1"/>
  <c r="BX42" i="1" s="1"/>
  <c r="BG42" i="1"/>
  <c r="BF42" i="1"/>
  <c r="BE42" i="1"/>
  <c r="BC42" i="1"/>
  <c r="BB42" i="1"/>
  <c r="BA42" i="1"/>
  <c r="AK42" i="1"/>
  <c r="AM42" i="1" s="1"/>
  <c r="BZ42" i="1" s="1" a="1"/>
  <c r="BZ42" i="1" s="1"/>
  <c r="CE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9" i="1"/>
  <c r="U119" i="1" s="1"/>
  <c r="V260" i="1"/>
  <c r="Z260" i="1" s="1"/>
  <c r="BV260" i="1"/>
  <c r="BX260" i="1" s="1"/>
  <c r="BG260" i="1"/>
  <c r="BF260" i="1"/>
  <c r="BE260" i="1"/>
  <c r="BC260" i="1"/>
  <c r="BB260" i="1"/>
  <c r="BA260" i="1"/>
  <c r="AK260" i="1"/>
  <c r="AM260" i="1" s="1"/>
  <c r="BZ260" i="1" s="1" a="1"/>
  <c r="BZ260" i="1" s="1"/>
  <c r="CE260" i="1" s="1"/>
  <c r="V234" i="1"/>
  <c r="Z234" i="1" s="1"/>
  <c r="BV234" i="1"/>
  <c r="BX234" i="1" s="1"/>
  <c r="BG234" i="1"/>
  <c r="BF234" i="1"/>
  <c r="BE234" i="1"/>
  <c r="BC234" i="1"/>
  <c r="BB234" i="1"/>
  <c r="BA234" i="1"/>
  <c r="AK234" i="1"/>
  <c r="AM234" i="1" s="1"/>
  <c r="BZ234" i="1" s="1" a="1"/>
  <c r="BZ234" i="1" s="1"/>
  <c r="CE234" i="1" s="1"/>
  <c r="V255" i="1"/>
  <c r="BV254" i="1"/>
  <c r="BX254" i="1" s="1"/>
  <c r="BG254" i="1"/>
  <c r="BF254" i="1"/>
  <c r="BC254" i="1"/>
  <c r="BB254" i="1"/>
  <c r="BA254" i="1"/>
  <c r="AK254" i="1"/>
  <c r="AM254" i="1" s="1"/>
  <c r="BZ254" i="1" s="1" a="1"/>
  <c r="BZ254" i="1" s="1"/>
  <c r="CE254" i="1" s="1"/>
  <c r="AI254" i="1"/>
  <c r="BE254" i="1" s="1"/>
  <c r="Z254" i="1"/>
  <c r="V268" i="1"/>
  <c r="BV267" i="1"/>
  <c r="BX267" i="1" s="1"/>
  <c r="BG267" i="1"/>
  <c r="BF267" i="1"/>
  <c r="BE267" i="1"/>
  <c r="BC267" i="1"/>
  <c r="BB267" i="1"/>
  <c r="BA267" i="1"/>
  <c r="AK267" i="1"/>
  <c r="AM267" i="1" s="1"/>
  <c r="BZ267" i="1" s="1" a="1"/>
  <c r="BZ267" i="1" s="1"/>
  <c r="CE267" i="1" s="1"/>
  <c r="Z267" i="1"/>
  <c r="V263" i="1"/>
  <c r="Z263" i="1" s="1"/>
  <c r="BV263" i="1"/>
  <c r="BX263" i="1" s="1"/>
  <c r="BG263" i="1"/>
  <c r="BF263" i="1"/>
  <c r="BE263" i="1"/>
  <c r="BC263" i="1"/>
  <c r="BA263" i="1"/>
  <c r="AK263" i="1"/>
  <c r="AM263" i="1" s="1"/>
  <c r="BZ263" i="1" s="1" a="1"/>
  <c r="BZ263" i="1" s="1"/>
  <c r="CE263" i="1" s="1"/>
  <c r="M263" i="1"/>
  <c r="BB263" i="1" s="1"/>
  <c r="V243" i="1"/>
  <c r="Z243" i="1" s="1"/>
  <c r="BV243" i="1"/>
  <c r="BX243" i="1" s="1"/>
  <c r="BG243" i="1"/>
  <c r="BF243" i="1"/>
  <c r="BE243" i="1"/>
  <c r="BC243" i="1"/>
  <c r="BB243" i="1"/>
  <c r="BA243" i="1"/>
  <c r="AK243" i="1"/>
  <c r="AM243" i="1" s="1"/>
  <c r="BZ243" i="1" s="1" a="1"/>
  <c r="BZ243" i="1" s="1"/>
  <c r="CE243" i="1" s="1"/>
  <c r="V227" i="1"/>
  <c r="Z227" i="1" s="1"/>
  <c r="BV227" i="1"/>
  <c r="BX227" i="1" s="1"/>
  <c r="BG227" i="1"/>
  <c r="BF227" i="1"/>
  <c r="BE227" i="1"/>
  <c r="BC227" i="1"/>
  <c r="BB227" i="1"/>
  <c r="BA227" i="1"/>
  <c r="AK227" i="1"/>
  <c r="AM227" i="1" s="1"/>
  <c r="BZ227" i="1" s="1" a="1"/>
  <c r="BZ227" i="1" s="1"/>
  <c r="CE227" i="1" s="1"/>
  <c r="V250" i="1"/>
  <c r="Z250" i="1" s="1"/>
  <c r="V259" i="1"/>
  <c r="Z259" i="1" s="1"/>
  <c r="BV259" i="1"/>
  <c r="BX259" i="1" s="1"/>
  <c r="BG259" i="1"/>
  <c r="BF259" i="1"/>
  <c r="BE259" i="1"/>
  <c r="BC259" i="1"/>
  <c r="BB259" i="1"/>
  <c r="BA259" i="1"/>
  <c r="AK259" i="1"/>
  <c r="AM259" i="1" s="1"/>
  <c r="BZ259" i="1" s="1" a="1"/>
  <c r="BZ259" i="1" s="1"/>
  <c r="CE259" i="1" s="1"/>
  <c r="V233" i="1"/>
  <c r="Z233" i="1" s="1"/>
  <c r="BV233" i="1"/>
  <c r="BX233" i="1" s="1"/>
  <c r="BG233" i="1"/>
  <c r="BF233" i="1"/>
  <c r="BE233" i="1"/>
  <c r="BC233" i="1"/>
  <c r="BB233" i="1"/>
  <c r="BA233" i="1"/>
  <c r="AK233" i="1"/>
  <c r="AM233" i="1" s="1"/>
  <c r="BZ233" i="1" s="1" a="1"/>
  <c r="BZ233" i="1" s="1"/>
  <c r="CE233" i="1" s="1"/>
  <c r="BV250" i="1"/>
  <c r="BX250" i="1" s="1"/>
  <c r="BG250" i="1"/>
  <c r="BF250" i="1"/>
  <c r="BE250" i="1"/>
  <c r="BC250" i="1"/>
  <c r="BB250" i="1"/>
  <c r="BA250" i="1"/>
  <c r="AK250" i="1"/>
  <c r="AM250" i="1" s="1"/>
  <c r="BI260" i="1" l="1"/>
  <c r="BK260" i="1" s="1"/>
  <c r="BI267" i="1"/>
  <c r="BK267" i="1" s="1"/>
  <c r="BI227" i="1"/>
  <c r="BK227" i="1" s="1"/>
  <c r="BI250" i="1"/>
  <c r="BK250" i="1" s="1"/>
  <c r="BI243" i="1"/>
  <c r="BK243" i="1" s="1"/>
  <c r="BI254" i="1"/>
  <c r="BK254" i="1" s="1"/>
  <c r="BI233" i="1"/>
  <c r="BK233" i="1" s="1"/>
  <c r="BI263" i="1"/>
  <c r="BK263" i="1" s="1"/>
  <c r="BI234" i="1"/>
  <c r="BK234" i="1" s="1"/>
  <c r="BI259" i="1"/>
  <c r="BK259" i="1" s="1"/>
  <c r="BH267" i="1"/>
  <c r="BJ267" i="1" s="1"/>
  <c r="BH254" i="1"/>
  <c r="BJ254" i="1" s="1"/>
  <c r="BH250" i="1"/>
  <c r="BJ250" i="1" s="1"/>
  <c r="BH259" i="1"/>
  <c r="BJ259" i="1" s="1"/>
  <c r="BH263" i="1"/>
  <c r="BJ263" i="1" s="1"/>
  <c r="BH243" i="1"/>
  <c r="BJ243" i="1" s="1"/>
  <c r="BH260" i="1"/>
  <c r="BJ260" i="1" s="1"/>
  <c r="BH234" i="1"/>
  <c r="BJ234" i="1" s="1"/>
  <c r="AJ267" i="1"/>
  <c r="AJ243" i="1"/>
  <c r="BH227" i="1"/>
  <c r="BJ227" i="1" s="1"/>
  <c r="BH233" i="1"/>
  <c r="BJ233" i="1" s="1"/>
  <c r="AJ250" i="1"/>
  <c r="BV33" i="1"/>
  <c r="BX33" i="1" s="1"/>
  <c r="BG33" i="1"/>
  <c r="BF33" i="1"/>
  <c r="BE33" i="1"/>
  <c r="BC33" i="1"/>
  <c r="BB33" i="1"/>
  <c r="BA33" i="1"/>
  <c r="AK33" i="1"/>
  <c r="AM33" i="1" s="1"/>
  <c r="BZ33" i="1" s="1" a="1"/>
  <c r="BZ33" i="1" s="1"/>
  <c r="CE33" i="1" s="1"/>
  <c r="Z33" i="1"/>
  <c r="BI33" i="1" l="1"/>
  <c r="BK33" i="1" s="1"/>
  <c r="BH33" i="1"/>
  <c r="BJ33" i="1" s="1"/>
  <c r="BG32" i="1" l="1"/>
  <c r="BG30" i="1"/>
  <c r="BG31" i="1"/>
  <c r="BG96" i="1"/>
  <c r="BG84" i="1"/>
  <c r="BG78" i="1"/>
  <c r="BG62" i="1"/>
  <c r="BG47" i="1"/>
  <c r="BG35" i="1"/>
  <c r="BG37" i="1"/>
  <c r="BG36" i="1"/>
  <c r="BG34" i="1"/>
  <c r="BG73" i="1"/>
  <c r="BG91" i="1"/>
  <c r="BG85" i="1"/>
  <c r="BG45" i="1"/>
  <c r="BG48" i="1"/>
  <c r="BG74" i="1"/>
  <c r="BG63" i="1"/>
  <c r="BG79" i="1"/>
  <c r="BG64" i="1"/>
  <c r="BG92" i="1"/>
  <c r="BG57" i="1"/>
  <c r="BG86" i="1"/>
  <c r="BG65" i="1"/>
  <c r="BG75" i="1"/>
  <c r="BG80" i="1"/>
  <c r="BG66" i="1"/>
  <c r="BG49" i="1"/>
  <c r="BG58" i="1"/>
  <c r="BG77" i="1"/>
  <c r="BG51" i="1"/>
  <c r="BG59" i="1"/>
  <c r="BG90" i="1"/>
  <c r="BG88" i="1"/>
  <c r="BG81" i="1"/>
  <c r="BG71" i="1"/>
  <c r="BG52" i="1"/>
  <c r="BG76" i="1"/>
  <c r="BG87" i="1"/>
  <c r="BG72" i="1"/>
  <c r="BG60" i="1"/>
  <c r="BG53" i="1"/>
  <c r="BG68" i="1"/>
  <c r="BG89" i="1"/>
  <c r="BG55" i="1"/>
  <c r="BG54" i="1"/>
  <c r="BG56" i="1"/>
  <c r="BG69" i="1"/>
  <c r="BG82" i="1"/>
  <c r="BG2" i="1"/>
  <c r="BG11" i="1"/>
  <c r="BG14" i="1"/>
  <c r="BG16" i="1"/>
  <c r="BG17" i="1"/>
  <c r="BG18" i="1"/>
  <c r="BG19" i="1"/>
  <c r="BG20" i="1"/>
  <c r="BG21" i="1"/>
  <c r="BG22" i="1"/>
  <c r="BG23" i="1"/>
  <c r="BG24" i="1"/>
  <c r="BG25" i="1"/>
  <c r="BG101" i="1"/>
  <c r="BG102" i="1"/>
  <c r="BG104" i="1"/>
  <c r="BG105" i="1"/>
  <c r="BG106" i="1"/>
  <c r="BG107" i="1"/>
  <c r="BG109" i="1"/>
  <c r="BG110" i="1"/>
  <c r="BG112" i="1"/>
  <c r="BG114" i="1"/>
  <c r="BG115" i="1"/>
  <c r="BG116" i="1"/>
  <c r="BG117" i="1"/>
  <c r="BG118" i="1"/>
  <c r="BG119" i="1"/>
  <c r="BG138" i="1"/>
  <c r="BG270" i="1"/>
  <c r="BG216" i="1"/>
  <c r="BG27" i="1"/>
  <c r="BG28" i="1"/>
  <c r="BG29" i="1"/>
  <c r="BG286" i="1"/>
  <c r="BG287" i="1"/>
  <c r="BG288" i="1"/>
  <c r="BG289" i="1"/>
  <c r="BG275" i="1"/>
  <c r="BG273" i="1"/>
  <c r="BG276" i="1"/>
  <c r="BG278" i="1"/>
  <c r="BG290" i="1"/>
  <c r="BG291" i="1"/>
  <c r="BG292" i="1"/>
  <c r="BG293" i="1"/>
  <c r="BG294" i="1"/>
  <c r="BG295" i="1"/>
  <c r="BG297" i="1"/>
  <c r="BG298" i="1"/>
  <c r="BG301" i="1"/>
  <c r="BG302" i="1"/>
  <c r="BG300" i="1"/>
  <c r="BG299" i="1"/>
  <c r="BG220" i="1"/>
  <c r="BG221" i="1"/>
  <c r="BG222" i="1"/>
  <c r="BG223" i="1"/>
  <c r="BG224" i="1"/>
  <c r="BG218" i="1"/>
  <c r="BG225" i="1"/>
  <c r="BG226" i="1"/>
  <c r="BG228" i="1"/>
  <c r="BG229" i="1"/>
  <c r="BG230" i="1"/>
  <c r="BG231" i="1"/>
  <c r="BG232" i="1"/>
  <c r="BG235" i="1"/>
  <c r="BG236" i="1"/>
  <c r="BG237" i="1"/>
  <c r="BG238" i="1"/>
  <c r="BG239" i="1"/>
  <c r="BG241" i="1"/>
  <c r="BG242" i="1"/>
  <c r="BG244" i="1"/>
  <c r="BG245" i="1"/>
  <c r="BG246" i="1"/>
  <c r="BG247" i="1"/>
  <c r="BG248" i="1"/>
  <c r="BG251" i="1"/>
  <c r="BG252" i="1"/>
  <c r="BG255" i="1"/>
  <c r="BG258" i="1"/>
  <c r="BG261" i="1"/>
  <c r="BG262" i="1"/>
  <c r="BG265" i="1"/>
  <c r="BG266" i="1"/>
  <c r="BG268" i="1"/>
  <c r="BG272" i="1"/>
  <c r="BG274" i="1"/>
  <c r="BG249" i="1"/>
  <c r="BG121" i="1"/>
  <c r="BG122" i="1"/>
  <c r="BG123" i="1"/>
  <c r="BG219" i="1"/>
  <c r="BG124" i="1"/>
  <c r="BG125" i="1"/>
  <c r="BG127" i="1"/>
  <c r="BG128" i="1"/>
  <c r="BG130" i="1"/>
  <c r="BG132" i="1"/>
  <c r="BG133" i="1"/>
  <c r="BG135" i="1"/>
  <c r="BG137" i="1"/>
  <c r="BG139" i="1"/>
  <c r="BG141" i="1"/>
  <c r="BG142" i="1"/>
  <c r="BG143" i="1"/>
  <c r="BG144" i="1"/>
  <c r="BG145" i="1"/>
  <c r="BG146" i="1"/>
  <c r="BG148" i="1"/>
  <c r="BG149" i="1"/>
  <c r="BG150" i="1"/>
  <c r="BG217"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5" i="1"/>
  <c r="BG206" i="1"/>
  <c r="BG207" i="1"/>
  <c r="BG208" i="1"/>
  <c r="BG210" i="1"/>
  <c r="BG211" i="1"/>
  <c r="BG212" i="1"/>
  <c r="BG213" i="1"/>
  <c r="BG214" i="1"/>
  <c r="BG215" i="1"/>
  <c r="BG95" i="1"/>
  <c r="BE32" i="1"/>
  <c r="BE30" i="1"/>
  <c r="BE31" i="1"/>
  <c r="BE96" i="1"/>
  <c r="BE84" i="1"/>
  <c r="BE78" i="1"/>
  <c r="BE62" i="1"/>
  <c r="BE47" i="1"/>
  <c r="BE35" i="1"/>
  <c r="BE37" i="1"/>
  <c r="BE36" i="1"/>
  <c r="BE34" i="1"/>
  <c r="BE73" i="1"/>
  <c r="BE91" i="1"/>
  <c r="BE85" i="1"/>
  <c r="BE45" i="1"/>
  <c r="BE48" i="1"/>
  <c r="BE74" i="1"/>
  <c r="BE63" i="1"/>
  <c r="BE79" i="1"/>
  <c r="BE64" i="1"/>
  <c r="BE92" i="1"/>
  <c r="BE57" i="1"/>
  <c r="BE86" i="1"/>
  <c r="BE65" i="1"/>
  <c r="BE75" i="1"/>
  <c r="BE80" i="1"/>
  <c r="BE49" i="1"/>
  <c r="BE58" i="1"/>
  <c r="BE77" i="1"/>
  <c r="BE51" i="1"/>
  <c r="BE59" i="1"/>
  <c r="BE90" i="1"/>
  <c r="BE88" i="1"/>
  <c r="BE81" i="1"/>
  <c r="BE71" i="1"/>
  <c r="BE52" i="1"/>
  <c r="BE76" i="1"/>
  <c r="BE87" i="1"/>
  <c r="BE72" i="1"/>
  <c r="BE60" i="1"/>
  <c r="BE53" i="1"/>
  <c r="BE68" i="1"/>
  <c r="BE89" i="1"/>
  <c r="BE55" i="1"/>
  <c r="BE54" i="1"/>
  <c r="BE56" i="1"/>
  <c r="BE69" i="1"/>
  <c r="BE82" i="1"/>
  <c r="BE2" i="1"/>
  <c r="BE11" i="1"/>
  <c r="BE14" i="1"/>
  <c r="BE16" i="1"/>
  <c r="BE17" i="1"/>
  <c r="BE18" i="1"/>
  <c r="BE19" i="1"/>
  <c r="BE20" i="1"/>
  <c r="BE21" i="1"/>
  <c r="BE22" i="1"/>
  <c r="BE23" i="1"/>
  <c r="BE24" i="1"/>
  <c r="BE25" i="1"/>
  <c r="BE101" i="1"/>
  <c r="BE102" i="1"/>
  <c r="BE104" i="1"/>
  <c r="BE105" i="1"/>
  <c r="BE106" i="1"/>
  <c r="BE107" i="1"/>
  <c r="BE109" i="1"/>
  <c r="BE110" i="1"/>
  <c r="BE112" i="1"/>
  <c r="BE114" i="1"/>
  <c r="BE115" i="1"/>
  <c r="BE116" i="1"/>
  <c r="BE117" i="1"/>
  <c r="BE118" i="1"/>
  <c r="BE119" i="1"/>
  <c r="BE138" i="1"/>
  <c r="BE270" i="1"/>
  <c r="BE216" i="1"/>
  <c r="BE27" i="1"/>
  <c r="BE28" i="1"/>
  <c r="BE29" i="1"/>
  <c r="BE286" i="1"/>
  <c r="BE287" i="1"/>
  <c r="BE288" i="1"/>
  <c r="BE289" i="1"/>
  <c r="BE275" i="1"/>
  <c r="BE273" i="1"/>
  <c r="BE276" i="1"/>
  <c r="BE278" i="1"/>
  <c r="BE290" i="1"/>
  <c r="BE291" i="1"/>
  <c r="BE292" i="1"/>
  <c r="BE293" i="1"/>
  <c r="BE295" i="1"/>
  <c r="BE297" i="1"/>
  <c r="BE298" i="1"/>
  <c r="BE301" i="1"/>
  <c r="BE302" i="1"/>
  <c r="BE300" i="1"/>
  <c r="BE299" i="1"/>
  <c r="BE220" i="1"/>
  <c r="BE221" i="1"/>
  <c r="BE222" i="1"/>
  <c r="BE224" i="1"/>
  <c r="BE218" i="1"/>
  <c r="BE225" i="1"/>
  <c r="BE226" i="1"/>
  <c r="BE228" i="1"/>
  <c r="BE229" i="1"/>
  <c r="BE230" i="1"/>
  <c r="BE231" i="1"/>
  <c r="BE232" i="1"/>
  <c r="BE235" i="1"/>
  <c r="BE236" i="1"/>
  <c r="BE237" i="1"/>
  <c r="BE238" i="1"/>
  <c r="BE239" i="1"/>
  <c r="BE241" i="1"/>
  <c r="BE242" i="1"/>
  <c r="BE244" i="1"/>
  <c r="BE245" i="1"/>
  <c r="BE246" i="1"/>
  <c r="BE247" i="1"/>
  <c r="BE248" i="1"/>
  <c r="BE251" i="1"/>
  <c r="BE252" i="1"/>
  <c r="BE258" i="1"/>
  <c r="BE261" i="1"/>
  <c r="BE262" i="1"/>
  <c r="BE265" i="1"/>
  <c r="BE266" i="1"/>
  <c r="BE268" i="1"/>
  <c r="BE272" i="1"/>
  <c r="BE274" i="1"/>
  <c r="BE249" i="1"/>
  <c r="BE121" i="1"/>
  <c r="BE122" i="1"/>
  <c r="BE123" i="1"/>
  <c r="BE219" i="1"/>
  <c r="BE124" i="1"/>
  <c r="BE125" i="1"/>
  <c r="BE127" i="1"/>
  <c r="BE128" i="1"/>
  <c r="BE130" i="1"/>
  <c r="BE132" i="1"/>
  <c r="BE133" i="1"/>
  <c r="BE135" i="1"/>
  <c r="BE137" i="1"/>
  <c r="BE139" i="1"/>
  <c r="BE141" i="1"/>
  <c r="BE142" i="1"/>
  <c r="BE143" i="1"/>
  <c r="BE144" i="1"/>
  <c r="BE145" i="1"/>
  <c r="BE146" i="1"/>
  <c r="BE148" i="1"/>
  <c r="BE149" i="1"/>
  <c r="BE150" i="1"/>
  <c r="BE217"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5" i="1"/>
  <c r="BE206" i="1"/>
  <c r="BE207" i="1"/>
  <c r="BE208" i="1"/>
  <c r="BE210" i="1"/>
  <c r="BE211" i="1"/>
  <c r="BE212" i="1"/>
  <c r="BE213" i="1"/>
  <c r="BE214" i="1"/>
  <c r="BE215" i="1"/>
  <c r="BE95" i="1"/>
  <c r="BA32" i="1"/>
  <c r="BB32" i="1"/>
  <c r="BC32" i="1"/>
  <c r="BF32" i="1"/>
  <c r="BA30" i="1"/>
  <c r="BB30" i="1"/>
  <c r="BC30" i="1"/>
  <c r="BF30" i="1"/>
  <c r="BA31" i="1"/>
  <c r="BB31" i="1"/>
  <c r="BC31" i="1"/>
  <c r="BF31" i="1"/>
  <c r="BA96" i="1"/>
  <c r="BB96" i="1"/>
  <c r="BC96" i="1"/>
  <c r="BF96" i="1"/>
  <c r="BA84" i="1"/>
  <c r="BB84" i="1"/>
  <c r="BC84" i="1"/>
  <c r="BF84" i="1"/>
  <c r="BA78" i="1"/>
  <c r="BB78" i="1"/>
  <c r="BC78" i="1"/>
  <c r="BF78" i="1"/>
  <c r="BA62" i="1"/>
  <c r="BB62" i="1"/>
  <c r="BC62" i="1"/>
  <c r="BF62" i="1"/>
  <c r="BA47" i="1"/>
  <c r="BB47" i="1"/>
  <c r="BC47" i="1"/>
  <c r="BF47" i="1"/>
  <c r="BA35" i="1"/>
  <c r="BB35" i="1"/>
  <c r="BC35" i="1"/>
  <c r="BF35" i="1"/>
  <c r="BA37" i="1"/>
  <c r="BB37" i="1"/>
  <c r="BC37" i="1"/>
  <c r="BF37" i="1"/>
  <c r="BA36" i="1"/>
  <c r="BB36" i="1"/>
  <c r="BC36" i="1"/>
  <c r="BF36" i="1"/>
  <c r="BA34" i="1"/>
  <c r="BB34" i="1"/>
  <c r="BC34" i="1"/>
  <c r="BF34" i="1"/>
  <c r="BA73" i="1"/>
  <c r="BB73" i="1"/>
  <c r="BC73" i="1"/>
  <c r="BF73" i="1"/>
  <c r="BA91" i="1"/>
  <c r="BB91" i="1"/>
  <c r="BC91" i="1"/>
  <c r="BF91" i="1"/>
  <c r="BA85" i="1"/>
  <c r="BB85" i="1"/>
  <c r="BC85" i="1"/>
  <c r="BF85" i="1"/>
  <c r="BA45" i="1"/>
  <c r="BB45" i="1"/>
  <c r="BC45" i="1"/>
  <c r="BF45" i="1"/>
  <c r="BA48" i="1"/>
  <c r="BB48" i="1"/>
  <c r="BC48" i="1"/>
  <c r="BF48" i="1"/>
  <c r="BA74" i="1"/>
  <c r="BB74" i="1"/>
  <c r="BC74" i="1"/>
  <c r="BF74" i="1"/>
  <c r="BA63" i="1"/>
  <c r="BB63" i="1"/>
  <c r="BC63" i="1"/>
  <c r="BF63" i="1"/>
  <c r="BA79" i="1"/>
  <c r="BB79" i="1"/>
  <c r="BC79" i="1"/>
  <c r="BF79" i="1"/>
  <c r="BA64" i="1"/>
  <c r="BB64" i="1"/>
  <c r="BC64" i="1"/>
  <c r="BF64" i="1"/>
  <c r="BA92" i="1"/>
  <c r="BB92" i="1"/>
  <c r="BC92" i="1"/>
  <c r="BF92" i="1"/>
  <c r="BA57" i="1"/>
  <c r="BB57" i="1"/>
  <c r="BC57" i="1"/>
  <c r="BF57" i="1"/>
  <c r="BA86" i="1"/>
  <c r="BB86" i="1"/>
  <c r="BC86" i="1"/>
  <c r="BF86" i="1"/>
  <c r="BA65" i="1"/>
  <c r="BB65" i="1"/>
  <c r="BC65" i="1"/>
  <c r="BF65" i="1"/>
  <c r="BA75" i="1"/>
  <c r="BB75" i="1"/>
  <c r="BC75" i="1"/>
  <c r="BF75" i="1"/>
  <c r="BA80" i="1"/>
  <c r="BB80" i="1"/>
  <c r="BC80" i="1"/>
  <c r="BF80" i="1"/>
  <c r="BA66" i="1"/>
  <c r="BB66" i="1"/>
  <c r="BC66" i="1"/>
  <c r="BF66" i="1"/>
  <c r="BA49" i="1"/>
  <c r="BB49" i="1"/>
  <c r="BC49" i="1"/>
  <c r="BF49" i="1"/>
  <c r="BA58" i="1"/>
  <c r="BB58" i="1"/>
  <c r="BC58" i="1"/>
  <c r="BF58" i="1"/>
  <c r="BA77" i="1"/>
  <c r="BB77" i="1"/>
  <c r="BC77" i="1"/>
  <c r="BF77" i="1"/>
  <c r="BA51" i="1"/>
  <c r="BB51" i="1"/>
  <c r="BC51" i="1"/>
  <c r="BF51" i="1"/>
  <c r="BA59" i="1"/>
  <c r="BB59" i="1"/>
  <c r="BC59" i="1"/>
  <c r="BF59" i="1"/>
  <c r="BA90" i="1"/>
  <c r="BB90" i="1"/>
  <c r="BC90" i="1"/>
  <c r="BF90" i="1"/>
  <c r="BA88" i="1"/>
  <c r="BB88" i="1"/>
  <c r="BC88" i="1"/>
  <c r="BF88" i="1"/>
  <c r="BA81" i="1"/>
  <c r="BB81" i="1"/>
  <c r="BC81" i="1"/>
  <c r="BF81" i="1"/>
  <c r="BA71" i="1"/>
  <c r="BB71" i="1"/>
  <c r="BC71" i="1"/>
  <c r="BF71" i="1"/>
  <c r="BA52" i="1"/>
  <c r="BB52" i="1"/>
  <c r="BC52" i="1"/>
  <c r="BF52" i="1"/>
  <c r="BA76" i="1"/>
  <c r="BB76" i="1"/>
  <c r="BC76" i="1"/>
  <c r="BF76" i="1"/>
  <c r="BA87" i="1"/>
  <c r="BB87" i="1"/>
  <c r="BC87" i="1"/>
  <c r="BF87" i="1"/>
  <c r="BA72" i="1"/>
  <c r="BB72" i="1"/>
  <c r="BC72" i="1"/>
  <c r="BF72" i="1"/>
  <c r="BA60" i="1"/>
  <c r="BB60" i="1"/>
  <c r="BC60" i="1"/>
  <c r="BF60" i="1"/>
  <c r="BA53" i="1"/>
  <c r="BB53" i="1"/>
  <c r="BC53" i="1"/>
  <c r="BF53" i="1"/>
  <c r="BA68" i="1"/>
  <c r="BB68" i="1"/>
  <c r="BC68" i="1"/>
  <c r="BF68" i="1"/>
  <c r="BA89" i="1"/>
  <c r="BB89" i="1"/>
  <c r="BC89" i="1"/>
  <c r="BF89" i="1"/>
  <c r="BA55" i="1"/>
  <c r="BB55" i="1"/>
  <c r="BC55" i="1"/>
  <c r="BF55" i="1"/>
  <c r="BA54" i="1"/>
  <c r="BB54" i="1"/>
  <c r="BC54" i="1"/>
  <c r="BF54" i="1"/>
  <c r="BA56" i="1"/>
  <c r="BB56" i="1"/>
  <c r="BC56" i="1"/>
  <c r="BF56" i="1"/>
  <c r="BA69" i="1"/>
  <c r="BB69" i="1"/>
  <c r="BC69" i="1"/>
  <c r="BF69" i="1"/>
  <c r="BA82" i="1"/>
  <c r="BB82" i="1"/>
  <c r="BC82" i="1"/>
  <c r="BF82"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1" i="1"/>
  <c r="BB101" i="1"/>
  <c r="BC101" i="1"/>
  <c r="BF101" i="1"/>
  <c r="BA102" i="1"/>
  <c r="BB102" i="1"/>
  <c r="BC102" i="1"/>
  <c r="BF102" i="1"/>
  <c r="BA104" i="1"/>
  <c r="BB104" i="1"/>
  <c r="BC104" i="1"/>
  <c r="BF104" i="1"/>
  <c r="BA105" i="1"/>
  <c r="BB105" i="1"/>
  <c r="BC105" i="1"/>
  <c r="BF105" i="1"/>
  <c r="BA106" i="1"/>
  <c r="BB106" i="1"/>
  <c r="BC106" i="1"/>
  <c r="BF106" i="1"/>
  <c r="BA107" i="1"/>
  <c r="BB107" i="1"/>
  <c r="BC107" i="1"/>
  <c r="BF107" i="1"/>
  <c r="BA109" i="1"/>
  <c r="BB109" i="1"/>
  <c r="BC109" i="1"/>
  <c r="BF109" i="1"/>
  <c r="BA110" i="1"/>
  <c r="BB110" i="1"/>
  <c r="BC110" i="1"/>
  <c r="BF110" i="1"/>
  <c r="BA112" i="1"/>
  <c r="BB112" i="1"/>
  <c r="BC112" i="1"/>
  <c r="BF112" i="1"/>
  <c r="BB114" i="1"/>
  <c r="BC114" i="1"/>
  <c r="BF114" i="1"/>
  <c r="BA115" i="1"/>
  <c r="BB115" i="1"/>
  <c r="BC115" i="1"/>
  <c r="BF115" i="1"/>
  <c r="BA116" i="1"/>
  <c r="BB116" i="1"/>
  <c r="BC116" i="1"/>
  <c r="BF116" i="1"/>
  <c r="BA117" i="1"/>
  <c r="BB117" i="1"/>
  <c r="BC117" i="1"/>
  <c r="BF117" i="1"/>
  <c r="BA118" i="1"/>
  <c r="BB118" i="1"/>
  <c r="BC118" i="1"/>
  <c r="BF118" i="1"/>
  <c r="BA119" i="1"/>
  <c r="BB119" i="1"/>
  <c r="BC119" i="1"/>
  <c r="BF119" i="1"/>
  <c r="BA138" i="1"/>
  <c r="BB138" i="1"/>
  <c r="BC138" i="1"/>
  <c r="BF138" i="1"/>
  <c r="BA270" i="1"/>
  <c r="BC270" i="1"/>
  <c r="BF270" i="1"/>
  <c r="BA216" i="1"/>
  <c r="BB216" i="1"/>
  <c r="BC216" i="1"/>
  <c r="BF216" i="1"/>
  <c r="BA27" i="1"/>
  <c r="BB27" i="1"/>
  <c r="BC27" i="1"/>
  <c r="BF27" i="1"/>
  <c r="BA28" i="1"/>
  <c r="BB28" i="1"/>
  <c r="BC28" i="1"/>
  <c r="BF28" i="1"/>
  <c r="BA29" i="1"/>
  <c r="BB29" i="1"/>
  <c r="BC29" i="1"/>
  <c r="BF29" i="1"/>
  <c r="BA286" i="1"/>
  <c r="BB286" i="1"/>
  <c r="BC286" i="1"/>
  <c r="BF286" i="1"/>
  <c r="BA287" i="1"/>
  <c r="BB287" i="1"/>
  <c r="BC287" i="1"/>
  <c r="BF287" i="1"/>
  <c r="BA288" i="1"/>
  <c r="BB288" i="1"/>
  <c r="BC288" i="1"/>
  <c r="BF288" i="1"/>
  <c r="BA289" i="1"/>
  <c r="BB289" i="1"/>
  <c r="BC289" i="1"/>
  <c r="BF289" i="1"/>
  <c r="BA275" i="1"/>
  <c r="BB275" i="1"/>
  <c r="BC275" i="1"/>
  <c r="BF275" i="1"/>
  <c r="BA273" i="1"/>
  <c r="BB273" i="1"/>
  <c r="BC273" i="1"/>
  <c r="BF273" i="1"/>
  <c r="BA276" i="1"/>
  <c r="BB276" i="1"/>
  <c r="BC276" i="1"/>
  <c r="BF276" i="1"/>
  <c r="BA278" i="1"/>
  <c r="BB278" i="1"/>
  <c r="BC278" i="1"/>
  <c r="BF278" i="1"/>
  <c r="BA290" i="1"/>
  <c r="BB290" i="1"/>
  <c r="BC290" i="1"/>
  <c r="BF290" i="1"/>
  <c r="BA291" i="1"/>
  <c r="BB291" i="1"/>
  <c r="BC291" i="1"/>
  <c r="BF291" i="1"/>
  <c r="BA292" i="1"/>
  <c r="BB292" i="1"/>
  <c r="BC292" i="1"/>
  <c r="BF292" i="1"/>
  <c r="BA293" i="1"/>
  <c r="BB293" i="1"/>
  <c r="BC293" i="1"/>
  <c r="BF293" i="1"/>
  <c r="BA294" i="1"/>
  <c r="BB294" i="1"/>
  <c r="BC294" i="1"/>
  <c r="BF294" i="1"/>
  <c r="BA295" i="1"/>
  <c r="BB295" i="1"/>
  <c r="BC295" i="1"/>
  <c r="BF295" i="1"/>
  <c r="BA297" i="1"/>
  <c r="BB297" i="1"/>
  <c r="BC297" i="1"/>
  <c r="BF297" i="1"/>
  <c r="BA298" i="1"/>
  <c r="BB298" i="1"/>
  <c r="BC298" i="1"/>
  <c r="BF298" i="1"/>
  <c r="BA301" i="1"/>
  <c r="BB301" i="1"/>
  <c r="BC301" i="1"/>
  <c r="BF301" i="1"/>
  <c r="BA302" i="1"/>
  <c r="BB302" i="1"/>
  <c r="BC302" i="1"/>
  <c r="BF302" i="1"/>
  <c r="BA300" i="1"/>
  <c r="BB300" i="1"/>
  <c r="BC300" i="1"/>
  <c r="BF300" i="1"/>
  <c r="BA299" i="1"/>
  <c r="BB299" i="1"/>
  <c r="BC299" i="1"/>
  <c r="BF299" i="1"/>
  <c r="BA220" i="1"/>
  <c r="BB220" i="1"/>
  <c r="BC220" i="1"/>
  <c r="BF220" i="1"/>
  <c r="BA221" i="1"/>
  <c r="BB221" i="1"/>
  <c r="BC221" i="1"/>
  <c r="BF221" i="1"/>
  <c r="BA222" i="1"/>
  <c r="BB222" i="1"/>
  <c r="BC222" i="1"/>
  <c r="BF222" i="1"/>
  <c r="BA223" i="1"/>
  <c r="BB223" i="1"/>
  <c r="BC223" i="1"/>
  <c r="BF223" i="1"/>
  <c r="BA224" i="1"/>
  <c r="BB224" i="1"/>
  <c r="BC224" i="1"/>
  <c r="BF224" i="1"/>
  <c r="BA218" i="1"/>
  <c r="BB218" i="1"/>
  <c r="BC218" i="1"/>
  <c r="BF218" i="1"/>
  <c r="BA225" i="1"/>
  <c r="BB225" i="1"/>
  <c r="BC225" i="1"/>
  <c r="BF225" i="1"/>
  <c r="BA226" i="1"/>
  <c r="BB226" i="1"/>
  <c r="BC226" i="1"/>
  <c r="BF226" i="1"/>
  <c r="BA228" i="1"/>
  <c r="BB228" i="1"/>
  <c r="BC228" i="1"/>
  <c r="BF228" i="1"/>
  <c r="BA229" i="1"/>
  <c r="BB229" i="1"/>
  <c r="BC229" i="1"/>
  <c r="BF229" i="1"/>
  <c r="BA230" i="1"/>
  <c r="BB230" i="1"/>
  <c r="BC230" i="1"/>
  <c r="BF230" i="1"/>
  <c r="BA231" i="1"/>
  <c r="BB231" i="1"/>
  <c r="BC231" i="1"/>
  <c r="BF231" i="1"/>
  <c r="BA232" i="1"/>
  <c r="BB232" i="1"/>
  <c r="BC232" i="1"/>
  <c r="BF232" i="1"/>
  <c r="BA235" i="1"/>
  <c r="BB235" i="1"/>
  <c r="BC235" i="1"/>
  <c r="BF235" i="1"/>
  <c r="BA236" i="1"/>
  <c r="BB236" i="1"/>
  <c r="BC236" i="1"/>
  <c r="BF236" i="1"/>
  <c r="BA237" i="1"/>
  <c r="BC237" i="1"/>
  <c r="BF237" i="1"/>
  <c r="BA238" i="1"/>
  <c r="BB238" i="1"/>
  <c r="BC238" i="1"/>
  <c r="BF238" i="1"/>
  <c r="BA239" i="1"/>
  <c r="BC239" i="1"/>
  <c r="BF239" i="1"/>
  <c r="BA241" i="1"/>
  <c r="BC241" i="1"/>
  <c r="BF241" i="1"/>
  <c r="BA242" i="1"/>
  <c r="BB242" i="1"/>
  <c r="BC242" i="1"/>
  <c r="BF242" i="1"/>
  <c r="BA244" i="1"/>
  <c r="BC244" i="1"/>
  <c r="BF244" i="1"/>
  <c r="BA245" i="1"/>
  <c r="BB245" i="1"/>
  <c r="BC245" i="1"/>
  <c r="BF245" i="1"/>
  <c r="BA246" i="1"/>
  <c r="BC246" i="1"/>
  <c r="BF246" i="1"/>
  <c r="BA247" i="1"/>
  <c r="BB247" i="1"/>
  <c r="BC247" i="1"/>
  <c r="BF247" i="1"/>
  <c r="BA248" i="1"/>
  <c r="BB248" i="1"/>
  <c r="BC248" i="1"/>
  <c r="BF248" i="1"/>
  <c r="BA251" i="1"/>
  <c r="BB251" i="1"/>
  <c r="BC251" i="1"/>
  <c r="BF251" i="1"/>
  <c r="BA252" i="1"/>
  <c r="BB252" i="1"/>
  <c r="BC252" i="1"/>
  <c r="BF252" i="1"/>
  <c r="BA255" i="1"/>
  <c r="BB255" i="1"/>
  <c r="BC255" i="1"/>
  <c r="BF255" i="1"/>
  <c r="BA258" i="1"/>
  <c r="BB258" i="1"/>
  <c r="BC258" i="1"/>
  <c r="BF258" i="1"/>
  <c r="BA261" i="1"/>
  <c r="BB261" i="1"/>
  <c r="BC261" i="1"/>
  <c r="BF261" i="1"/>
  <c r="BA262" i="1"/>
  <c r="BC262" i="1"/>
  <c r="BF262" i="1"/>
  <c r="BA265" i="1"/>
  <c r="BB265" i="1"/>
  <c r="BC265" i="1"/>
  <c r="BF265" i="1"/>
  <c r="BA266" i="1"/>
  <c r="BB266" i="1"/>
  <c r="BC266" i="1"/>
  <c r="BF266" i="1"/>
  <c r="BA268" i="1"/>
  <c r="BB268" i="1"/>
  <c r="BC268" i="1"/>
  <c r="BF268" i="1"/>
  <c r="BA272" i="1"/>
  <c r="BC272" i="1"/>
  <c r="BF272" i="1"/>
  <c r="BA274" i="1"/>
  <c r="BC274" i="1"/>
  <c r="BF274" i="1"/>
  <c r="BA249" i="1"/>
  <c r="BB249" i="1"/>
  <c r="BC249" i="1"/>
  <c r="BF249" i="1"/>
  <c r="BA121" i="1"/>
  <c r="BB121" i="1"/>
  <c r="BC121" i="1"/>
  <c r="BF121" i="1"/>
  <c r="BA122" i="1"/>
  <c r="BB122" i="1"/>
  <c r="BC122" i="1"/>
  <c r="BF122" i="1"/>
  <c r="BA123" i="1"/>
  <c r="BB123" i="1"/>
  <c r="BC123" i="1"/>
  <c r="BF123" i="1"/>
  <c r="BA219" i="1"/>
  <c r="BB219" i="1"/>
  <c r="BC219" i="1"/>
  <c r="BF219" i="1"/>
  <c r="BA124" i="1"/>
  <c r="BB124" i="1"/>
  <c r="BC124" i="1"/>
  <c r="BF124" i="1"/>
  <c r="BA125" i="1"/>
  <c r="BB125" i="1"/>
  <c r="BC125" i="1"/>
  <c r="BF125" i="1"/>
  <c r="BA127" i="1"/>
  <c r="BB127" i="1"/>
  <c r="BC127" i="1"/>
  <c r="BF127" i="1"/>
  <c r="BA128" i="1"/>
  <c r="BB128" i="1"/>
  <c r="BC128" i="1"/>
  <c r="BF128" i="1"/>
  <c r="BA130" i="1"/>
  <c r="BB130" i="1"/>
  <c r="BC130" i="1"/>
  <c r="BF130" i="1"/>
  <c r="BA132" i="1"/>
  <c r="BB132" i="1"/>
  <c r="BC132" i="1"/>
  <c r="BF132" i="1"/>
  <c r="BA133" i="1"/>
  <c r="BB133" i="1"/>
  <c r="BC133" i="1"/>
  <c r="BF133" i="1"/>
  <c r="BA135" i="1"/>
  <c r="BB135" i="1"/>
  <c r="BC135" i="1"/>
  <c r="BF135" i="1"/>
  <c r="BA137" i="1"/>
  <c r="BB137" i="1"/>
  <c r="BC137" i="1"/>
  <c r="BF137" i="1"/>
  <c r="BA139" i="1"/>
  <c r="BB139" i="1"/>
  <c r="BC139" i="1"/>
  <c r="BF139" i="1"/>
  <c r="BA141" i="1"/>
  <c r="BB141" i="1"/>
  <c r="BC141" i="1"/>
  <c r="BF141" i="1"/>
  <c r="BA142" i="1"/>
  <c r="BB142" i="1"/>
  <c r="BC142" i="1"/>
  <c r="BF142" i="1"/>
  <c r="BA143" i="1"/>
  <c r="BB143" i="1"/>
  <c r="BC143" i="1"/>
  <c r="BF143" i="1"/>
  <c r="BA144" i="1"/>
  <c r="BB144" i="1"/>
  <c r="BC144" i="1"/>
  <c r="BF144" i="1"/>
  <c r="BA145" i="1"/>
  <c r="BB145" i="1"/>
  <c r="BC145" i="1"/>
  <c r="BF145" i="1"/>
  <c r="BA146" i="1"/>
  <c r="BB146" i="1"/>
  <c r="BC146" i="1"/>
  <c r="BF146" i="1"/>
  <c r="BA148" i="1"/>
  <c r="BB148" i="1"/>
  <c r="BC148" i="1"/>
  <c r="BF148" i="1"/>
  <c r="BA149" i="1"/>
  <c r="BB149" i="1"/>
  <c r="BC149" i="1"/>
  <c r="BF149" i="1"/>
  <c r="BA150" i="1"/>
  <c r="BB150" i="1"/>
  <c r="BC150" i="1"/>
  <c r="BF150" i="1"/>
  <c r="BA217" i="1"/>
  <c r="BB217" i="1"/>
  <c r="BC217" i="1"/>
  <c r="BF217"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B179" i="1"/>
  <c r="BC179" i="1"/>
  <c r="BF179" i="1"/>
  <c r="BA180" i="1"/>
  <c r="BC180" i="1"/>
  <c r="BF180" i="1"/>
  <c r="BA181" i="1"/>
  <c r="BB181" i="1"/>
  <c r="BC181" i="1"/>
  <c r="BF181" i="1"/>
  <c r="BA182" i="1"/>
  <c r="BB182" i="1"/>
  <c r="BC182" i="1"/>
  <c r="BF182" i="1"/>
  <c r="BA183" i="1"/>
  <c r="BB183" i="1"/>
  <c r="BC183" i="1"/>
  <c r="BF183" i="1"/>
  <c r="BA184" i="1"/>
  <c r="BB184" i="1"/>
  <c r="BC184" i="1"/>
  <c r="BF184" i="1"/>
  <c r="BA185" i="1"/>
  <c r="BB185" i="1"/>
  <c r="BC185" i="1"/>
  <c r="BF185" i="1"/>
  <c r="BA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3" i="1"/>
  <c r="BB203" i="1"/>
  <c r="BC203" i="1"/>
  <c r="BF203" i="1"/>
  <c r="BA205" i="1"/>
  <c r="BB205" i="1"/>
  <c r="BC205" i="1"/>
  <c r="BF205" i="1"/>
  <c r="BA206" i="1"/>
  <c r="BB206" i="1"/>
  <c r="BC206" i="1"/>
  <c r="BF206" i="1"/>
  <c r="BA207" i="1"/>
  <c r="BB207" i="1"/>
  <c r="BC207" i="1"/>
  <c r="BF207" i="1"/>
  <c r="BA208" i="1"/>
  <c r="BB208" i="1"/>
  <c r="BC208" i="1"/>
  <c r="BF208" i="1"/>
  <c r="BA210" i="1"/>
  <c r="BB210" i="1"/>
  <c r="BC210" i="1"/>
  <c r="BF210" i="1"/>
  <c r="BA211" i="1"/>
  <c r="BB211" i="1"/>
  <c r="BC211" i="1"/>
  <c r="BF211" i="1"/>
  <c r="BA212" i="1"/>
  <c r="BB212" i="1"/>
  <c r="BC212" i="1"/>
  <c r="BF212" i="1"/>
  <c r="BA213" i="1"/>
  <c r="BB213" i="1"/>
  <c r="BC213" i="1"/>
  <c r="BF213" i="1"/>
  <c r="BA214" i="1"/>
  <c r="BB214" i="1"/>
  <c r="BC214" i="1"/>
  <c r="BF214" i="1"/>
  <c r="BA215" i="1"/>
  <c r="BB215" i="1"/>
  <c r="BC215" i="1"/>
  <c r="BF215" i="1"/>
  <c r="BC95" i="1"/>
  <c r="BB95" i="1"/>
  <c r="BA95" i="1"/>
  <c r="BF95" i="1"/>
  <c r="BI292" i="1" l="1"/>
  <c r="BK292" i="1" s="1"/>
  <c r="BI242" i="1"/>
  <c r="BI138" i="1"/>
  <c r="BK138" i="1" s="1"/>
  <c r="BI114" i="1"/>
  <c r="BK114" i="1" s="1"/>
  <c r="BI25" i="1"/>
  <c r="BK25" i="1" s="1"/>
  <c r="BI23" i="1"/>
  <c r="BK23" i="1" s="1"/>
  <c r="BI17" i="1"/>
  <c r="BK17" i="1" s="1"/>
  <c r="BI14" i="1"/>
  <c r="BK14" i="1" s="1"/>
  <c r="BI54" i="1"/>
  <c r="BK54" i="1" s="1"/>
  <c r="BI89" i="1"/>
  <c r="BK89" i="1" s="1"/>
  <c r="BI107" i="1"/>
  <c r="BK107" i="1" s="1"/>
  <c r="BI19" i="1"/>
  <c r="BK19" i="1" s="1"/>
  <c r="BI69" i="1"/>
  <c r="BK69" i="1" s="1"/>
  <c r="BI72" i="1"/>
  <c r="BK72" i="1" s="1"/>
  <c r="BI185" i="1"/>
  <c r="BK185" i="1" s="1"/>
  <c r="BI183" i="1"/>
  <c r="BK183" i="1" s="1"/>
  <c r="BI258" i="1"/>
  <c r="BK258" i="1" s="1"/>
  <c r="BI248" i="1"/>
  <c r="BK248" i="1" s="1"/>
  <c r="BI252" i="1"/>
  <c r="BK252" i="1" s="1"/>
  <c r="BI110" i="1"/>
  <c r="BK110" i="1" s="1"/>
  <c r="BI102" i="1"/>
  <c r="BK102" i="1" s="1"/>
  <c r="BI21" i="1"/>
  <c r="BK21" i="1" s="1"/>
  <c r="BI2" i="1"/>
  <c r="BK2" i="1" s="1"/>
  <c r="BI53" i="1"/>
  <c r="BK53" i="1" s="1"/>
  <c r="BI76" i="1"/>
  <c r="BK76" i="1" s="1"/>
  <c r="BI71" i="1"/>
  <c r="BK71" i="1" s="1"/>
  <c r="BI88" i="1"/>
  <c r="BK88" i="1" s="1"/>
  <c r="BI59" i="1"/>
  <c r="BK59" i="1" s="1"/>
  <c r="BI77" i="1"/>
  <c r="BK77" i="1" s="1"/>
  <c r="BI49" i="1"/>
  <c r="BK49" i="1" s="1"/>
  <c r="BI80" i="1"/>
  <c r="BK80" i="1" s="1"/>
  <c r="BI181" i="1"/>
  <c r="BK181" i="1" s="1"/>
  <c r="BI215" i="1"/>
  <c r="BK215" i="1" s="1"/>
  <c r="BI213" i="1"/>
  <c r="BK213" i="1" s="1"/>
  <c r="BI211" i="1"/>
  <c r="BK211" i="1" s="1"/>
  <c r="BI208" i="1"/>
  <c r="BK208" i="1" s="1"/>
  <c r="BI206" i="1"/>
  <c r="BK206" i="1" s="1"/>
  <c r="BI203" i="1"/>
  <c r="BK203" i="1" s="1"/>
  <c r="BI201" i="1"/>
  <c r="BK201" i="1" s="1"/>
  <c r="BI199" i="1"/>
  <c r="BK199" i="1" s="1"/>
  <c r="BI197" i="1"/>
  <c r="BK197" i="1" s="1"/>
  <c r="BI195" i="1"/>
  <c r="BK195" i="1" s="1"/>
  <c r="BI193" i="1"/>
  <c r="BK193" i="1" s="1"/>
  <c r="BI191" i="1"/>
  <c r="BK191" i="1" s="1"/>
  <c r="BI189" i="1"/>
  <c r="BK189" i="1" s="1"/>
  <c r="BI187" i="1"/>
  <c r="BK187" i="1" s="1"/>
  <c r="BI266" i="1"/>
  <c r="BK266" i="1" s="1"/>
  <c r="BI65" i="1"/>
  <c r="BK65" i="1" s="1"/>
  <c r="BI57" i="1"/>
  <c r="BK57" i="1" s="1"/>
  <c r="BI64" i="1"/>
  <c r="BK64" i="1" s="1"/>
  <c r="BI63" i="1"/>
  <c r="BK63" i="1" s="1"/>
  <c r="BI48" i="1"/>
  <c r="BK48" i="1" s="1"/>
  <c r="BI85" i="1"/>
  <c r="BK85" i="1" s="1"/>
  <c r="BI73" i="1"/>
  <c r="BK73" i="1" s="1"/>
  <c r="BI36" i="1"/>
  <c r="BK36" i="1" s="1"/>
  <c r="BI35" i="1"/>
  <c r="BK35" i="1" s="1"/>
  <c r="BI62" i="1"/>
  <c r="BK62" i="1" s="1"/>
  <c r="BI84" i="1"/>
  <c r="BK84" i="1" s="1"/>
  <c r="BI178" i="1"/>
  <c r="BK178" i="1" s="1"/>
  <c r="BI174" i="1"/>
  <c r="BK174" i="1" s="1"/>
  <c r="BI170" i="1"/>
  <c r="BK170" i="1" s="1"/>
  <c r="BI166" i="1"/>
  <c r="BK166" i="1" s="1"/>
  <c r="BI162" i="1"/>
  <c r="BK162" i="1" s="1"/>
  <c r="BI158" i="1"/>
  <c r="BK158" i="1" s="1"/>
  <c r="BI154" i="1"/>
  <c r="BK154" i="1" s="1"/>
  <c r="BI217" i="1"/>
  <c r="BK217" i="1" s="1"/>
  <c r="BI146" i="1"/>
  <c r="BK146" i="1" s="1"/>
  <c r="BI142" i="1"/>
  <c r="BK142" i="1" s="1"/>
  <c r="BI132" i="1"/>
  <c r="BK132" i="1" s="1"/>
  <c r="BI125" i="1"/>
  <c r="BK125" i="1" s="1"/>
  <c r="BI122" i="1"/>
  <c r="BK122" i="1" s="1"/>
  <c r="BI245" i="1"/>
  <c r="BK245" i="1" s="1"/>
  <c r="BI236" i="1"/>
  <c r="BK236" i="1" s="1"/>
  <c r="BI232" i="1"/>
  <c r="BK232" i="1" s="1"/>
  <c r="BI230" i="1"/>
  <c r="BK230" i="1" s="1"/>
  <c r="BI228" i="1"/>
  <c r="BK228" i="1" s="1"/>
  <c r="BI225" i="1"/>
  <c r="BK225" i="1" s="1"/>
  <c r="BI224" i="1"/>
  <c r="BK224" i="1" s="1"/>
  <c r="BI222" i="1"/>
  <c r="BK222" i="1" s="1"/>
  <c r="BI220" i="1"/>
  <c r="BK220" i="1" s="1"/>
  <c r="BI300" i="1"/>
  <c r="BK300" i="1" s="1"/>
  <c r="BI301" i="1"/>
  <c r="BK301" i="1" s="1"/>
  <c r="BI295" i="1"/>
  <c r="BK295" i="1" s="1"/>
  <c r="BI293" i="1"/>
  <c r="BK293" i="1" s="1"/>
  <c r="BI291" i="1"/>
  <c r="BK291" i="1" s="1"/>
  <c r="BI278" i="1"/>
  <c r="BK278" i="1" s="1"/>
  <c r="BI273" i="1"/>
  <c r="BK273" i="1" s="1"/>
  <c r="BI287" i="1"/>
  <c r="BK287" i="1" s="1"/>
  <c r="BI29" i="1"/>
  <c r="BK29" i="1" s="1"/>
  <c r="BI27" i="1"/>
  <c r="BK27" i="1" s="1"/>
  <c r="BI216" i="1"/>
  <c r="BK216" i="1" s="1"/>
  <c r="BI176" i="1"/>
  <c r="BK176" i="1" s="1"/>
  <c r="BI172" i="1"/>
  <c r="BK172" i="1" s="1"/>
  <c r="BI168" i="1"/>
  <c r="BK168" i="1" s="1"/>
  <c r="BI164" i="1"/>
  <c r="BK164" i="1" s="1"/>
  <c r="BI160" i="1"/>
  <c r="BK160" i="1" s="1"/>
  <c r="BI156" i="1"/>
  <c r="BK156" i="1" s="1"/>
  <c r="BI152" i="1"/>
  <c r="BK152" i="1" s="1"/>
  <c r="BI149" i="1"/>
  <c r="BK149" i="1" s="1"/>
  <c r="BI144" i="1"/>
  <c r="BK144" i="1" s="1"/>
  <c r="BI139" i="1"/>
  <c r="BK139" i="1" s="1"/>
  <c r="BI135" i="1"/>
  <c r="BK135" i="1" s="1"/>
  <c r="BI128" i="1"/>
  <c r="BK128" i="1" s="1"/>
  <c r="BI219" i="1"/>
  <c r="BK219" i="1" s="1"/>
  <c r="BI249" i="1"/>
  <c r="BK249" i="1" s="1"/>
  <c r="BI184" i="1"/>
  <c r="BK184" i="1" s="1"/>
  <c r="BI182" i="1"/>
  <c r="BK182" i="1" s="1"/>
  <c r="BI261" i="1"/>
  <c r="BK261" i="1" s="1"/>
  <c r="BI251" i="1"/>
  <c r="BK251" i="1" s="1"/>
  <c r="BI247" i="1"/>
  <c r="BK247" i="1" s="1"/>
  <c r="BI238" i="1"/>
  <c r="BK238" i="1" s="1"/>
  <c r="BI95" i="1"/>
  <c r="BK95"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268" i="1"/>
  <c r="BK268" i="1" s="1"/>
  <c r="BI265" i="1"/>
  <c r="BK265" i="1" s="1"/>
  <c r="BI119" i="1"/>
  <c r="BK119" i="1" s="1"/>
  <c r="BI115" i="1"/>
  <c r="BK115" i="1" s="1"/>
  <c r="BI112" i="1"/>
  <c r="BK112" i="1" s="1"/>
  <c r="BI109" i="1"/>
  <c r="BK109" i="1" s="1"/>
  <c r="BI106" i="1"/>
  <c r="BK106" i="1" s="1"/>
  <c r="BI105" i="1"/>
  <c r="BK105" i="1" s="1"/>
  <c r="BI104" i="1"/>
  <c r="BK104" i="1" s="1"/>
  <c r="BI101" i="1"/>
  <c r="BK101" i="1" s="1"/>
  <c r="BI24" i="1"/>
  <c r="BK24" i="1" s="1"/>
  <c r="BI22" i="1"/>
  <c r="BK22" i="1" s="1"/>
  <c r="BI20" i="1"/>
  <c r="BK20" i="1" s="1"/>
  <c r="BI18" i="1"/>
  <c r="BK18" i="1" s="1"/>
  <c r="BI16" i="1"/>
  <c r="BK16" i="1" s="1"/>
  <c r="BI11" i="1"/>
  <c r="BK11" i="1" s="1"/>
  <c r="BI82" i="1"/>
  <c r="BK82" i="1" s="1"/>
  <c r="BI56" i="1"/>
  <c r="BK56" i="1" s="1"/>
  <c r="BI55" i="1"/>
  <c r="BK55" i="1" s="1"/>
  <c r="BI68" i="1"/>
  <c r="BK68" i="1" s="1"/>
  <c r="BI60" i="1"/>
  <c r="BK60" i="1" s="1"/>
  <c r="BI87" i="1"/>
  <c r="BK87" i="1" s="1"/>
  <c r="BI52" i="1"/>
  <c r="BK52" i="1" s="1"/>
  <c r="BI81" i="1"/>
  <c r="BK81" i="1" s="1"/>
  <c r="BI90" i="1"/>
  <c r="BK90" i="1" s="1"/>
  <c r="BI51" i="1"/>
  <c r="BK51" i="1" s="1"/>
  <c r="BI58" i="1"/>
  <c r="BK58" i="1" s="1"/>
  <c r="BI75" i="1"/>
  <c r="BK75" i="1" s="1"/>
  <c r="BI86" i="1"/>
  <c r="BK86" i="1" s="1"/>
  <c r="BI92" i="1"/>
  <c r="BK92" i="1" s="1"/>
  <c r="BI79" i="1"/>
  <c r="BK79" i="1" s="1"/>
  <c r="BI74" i="1"/>
  <c r="BK74" i="1" s="1"/>
  <c r="BI45" i="1"/>
  <c r="BK45" i="1" s="1"/>
  <c r="BI91" i="1"/>
  <c r="BK91" i="1" s="1"/>
  <c r="BI34" i="1"/>
  <c r="BK34" i="1" s="1"/>
  <c r="BI37" i="1"/>
  <c r="BK37" i="1" s="1"/>
  <c r="BI47" i="1"/>
  <c r="BK47" i="1" s="1"/>
  <c r="BI78" i="1"/>
  <c r="BK78" i="1" s="1"/>
  <c r="BI96" i="1"/>
  <c r="BK96" i="1" s="1"/>
  <c r="BI179" i="1"/>
  <c r="BK179" i="1" s="1"/>
  <c r="BI177" i="1"/>
  <c r="BK177" i="1" s="1"/>
  <c r="BI175" i="1"/>
  <c r="BK175" i="1" s="1"/>
  <c r="BI173" i="1"/>
  <c r="BK173" i="1" s="1"/>
  <c r="BI171" i="1"/>
  <c r="BK171" i="1" s="1"/>
  <c r="BI169" i="1"/>
  <c r="BK169" i="1" s="1"/>
  <c r="BI167" i="1"/>
  <c r="BK167" i="1" s="1"/>
  <c r="BI165" i="1"/>
  <c r="BK165" i="1" s="1"/>
  <c r="BI163" i="1"/>
  <c r="BK163" i="1" s="1"/>
  <c r="BI161" i="1"/>
  <c r="BK161" i="1" s="1"/>
  <c r="BI159" i="1"/>
  <c r="BK159" i="1" s="1"/>
  <c r="BI157" i="1"/>
  <c r="BK157" i="1" s="1"/>
  <c r="BI155" i="1"/>
  <c r="BK155" i="1" s="1"/>
  <c r="BI153" i="1"/>
  <c r="BK153" i="1" s="1"/>
  <c r="BI151" i="1"/>
  <c r="BK151" i="1" s="1"/>
  <c r="BI150" i="1"/>
  <c r="BK150" i="1" s="1"/>
  <c r="BI148" i="1"/>
  <c r="BK148" i="1" s="1"/>
  <c r="BI145" i="1"/>
  <c r="BK145" i="1" s="1"/>
  <c r="BI143" i="1"/>
  <c r="BK143" i="1" s="1"/>
  <c r="BI141" i="1"/>
  <c r="BK141" i="1" s="1"/>
  <c r="BI137" i="1"/>
  <c r="BK137" i="1" s="1"/>
  <c r="BI133" i="1"/>
  <c r="BK133" i="1" s="1"/>
  <c r="BI130" i="1"/>
  <c r="BK130" i="1" s="1"/>
  <c r="BI127" i="1"/>
  <c r="BK127" i="1" s="1"/>
  <c r="BI124" i="1"/>
  <c r="BK124" i="1" s="1"/>
  <c r="BI123" i="1"/>
  <c r="BK123" i="1" s="1"/>
  <c r="BI121" i="1"/>
  <c r="BK121" i="1" s="1"/>
  <c r="BI235" i="1"/>
  <c r="BK235" i="1" s="1"/>
  <c r="BI231" i="1"/>
  <c r="BK231" i="1" s="1"/>
  <c r="BI229" i="1"/>
  <c r="BK229" i="1" s="1"/>
  <c r="BI226" i="1"/>
  <c r="BK226" i="1" s="1"/>
  <c r="BI218" i="1"/>
  <c r="BK218" i="1" s="1"/>
  <c r="BI221" i="1"/>
  <c r="BK221" i="1" s="1"/>
  <c r="BI299" i="1"/>
  <c r="BK299" i="1" s="1"/>
  <c r="BI302" i="1"/>
  <c r="BK302" i="1" s="1"/>
  <c r="BI298" i="1"/>
  <c r="BK298" i="1" s="1"/>
  <c r="BI297" i="1"/>
  <c r="BK297" i="1" s="1"/>
  <c r="BI294" i="1"/>
  <c r="BK294" i="1" s="1"/>
  <c r="BI290" i="1"/>
  <c r="BK290" i="1" s="1"/>
  <c r="BI276" i="1"/>
  <c r="BK276" i="1" s="1"/>
  <c r="BI275" i="1"/>
  <c r="BK275" i="1" s="1"/>
  <c r="BI289" i="1"/>
  <c r="BK289" i="1" s="1"/>
  <c r="BI288" i="1"/>
  <c r="BK288" i="1" s="1"/>
  <c r="BI286" i="1"/>
  <c r="BK286" i="1" s="1"/>
  <c r="BI28" i="1"/>
  <c r="BK28" i="1" s="1"/>
  <c r="BI116" i="1"/>
  <c r="BK116" i="1" s="1"/>
  <c r="BI32" i="1"/>
  <c r="BK32" i="1" s="1"/>
  <c r="BI31" i="1"/>
  <c r="BK31" i="1" s="1"/>
  <c r="BI30" i="1"/>
  <c r="BK30" i="1" s="1"/>
  <c r="BI117" i="1"/>
  <c r="BK117" i="1" s="1"/>
  <c r="BI118" i="1"/>
  <c r="BK118" i="1" s="1"/>
  <c r="BH300" i="1"/>
  <c r="BJ300" i="1" s="1"/>
  <c r="BH298" i="1"/>
  <c r="BJ298" i="1" s="1"/>
  <c r="BH295" i="1"/>
  <c r="BJ295" i="1" s="1"/>
  <c r="BH291" i="1"/>
  <c r="BJ291" i="1" s="1"/>
  <c r="BH278" i="1"/>
  <c r="BJ278" i="1" s="1"/>
  <c r="BH275" i="1"/>
  <c r="BJ275" i="1" s="1"/>
  <c r="BH288" i="1"/>
  <c r="BJ288" i="1" s="1"/>
  <c r="BH29" i="1"/>
  <c r="BJ29" i="1" s="1"/>
  <c r="BH258" i="1"/>
  <c r="BJ258" i="1" s="1"/>
  <c r="BH252" i="1"/>
  <c r="BJ252" i="1" s="1"/>
  <c r="BH248" i="1"/>
  <c r="BJ248" i="1" s="1"/>
  <c r="BH268" i="1"/>
  <c r="BJ268" i="1" s="1"/>
  <c r="BH266" i="1"/>
  <c r="BJ266" i="1" s="1"/>
  <c r="BH265" i="1"/>
  <c r="BJ265" i="1" s="1"/>
  <c r="BH245" i="1"/>
  <c r="BJ245" i="1" s="1"/>
  <c r="BH299" i="1"/>
  <c r="BJ299" i="1" s="1"/>
  <c r="BH301" i="1"/>
  <c r="BJ301" i="1" s="1"/>
  <c r="BH297" i="1"/>
  <c r="BJ297" i="1" s="1"/>
  <c r="BH293" i="1"/>
  <c r="BJ293" i="1" s="1"/>
  <c r="BH290" i="1"/>
  <c r="BJ290" i="1" s="1"/>
  <c r="BH273" i="1"/>
  <c r="BJ273" i="1" s="1"/>
  <c r="BH286" i="1"/>
  <c r="BJ286" i="1" s="1"/>
  <c r="BH27" i="1"/>
  <c r="BJ27" i="1" s="1"/>
  <c r="BH261" i="1"/>
  <c r="BJ261" i="1" s="1"/>
  <c r="BK242" i="1"/>
  <c r="BH242" i="1"/>
  <c r="BJ242" i="1" s="1"/>
  <c r="BH96" i="1"/>
  <c r="BJ96" i="1" s="1"/>
  <c r="BH95" i="1"/>
  <c r="BJ95" i="1" s="1"/>
  <c r="BH249" i="1"/>
  <c r="BJ249" i="1" s="1"/>
  <c r="BH302" i="1"/>
  <c r="BJ302" i="1" s="1"/>
  <c r="BH294" i="1"/>
  <c r="BJ294" i="1" s="1"/>
  <c r="BH292" i="1"/>
  <c r="BJ292" i="1" s="1"/>
  <c r="BH276" i="1"/>
  <c r="BJ276" i="1" s="1"/>
  <c r="BH289" i="1"/>
  <c r="BJ289" i="1" s="1"/>
  <c r="BH287" i="1"/>
  <c r="BJ287" i="1" s="1"/>
  <c r="BH28" i="1"/>
  <c r="BJ28" i="1" s="1"/>
  <c r="BH251" i="1"/>
  <c r="BJ251" i="1" s="1"/>
  <c r="BH247" i="1"/>
  <c r="BJ247" i="1" s="1"/>
  <c r="BH238" i="1"/>
  <c r="BJ238"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4" i="1"/>
  <c r="BJ214" i="1" s="1"/>
  <c r="BH200" i="1"/>
  <c r="BJ200" i="1" s="1"/>
  <c r="BH118" i="1"/>
  <c r="BJ118" i="1" s="1"/>
  <c r="BH112" i="1"/>
  <c r="BJ112" i="1" s="1"/>
  <c r="BH105" i="1"/>
  <c r="BJ105" i="1" s="1"/>
  <c r="BH101" i="1"/>
  <c r="BJ101" i="1" s="1"/>
  <c r="BH82" i="1"/>
  <c r="BJ82" i="1" s="1"/>
  <c r="BH56" i="1"/>
  <c r="BJ56" i="1" s="1"/>
  <c r="BH55" i="1"/>
  <c r="BJ55" i="1" s="1"/>
  <c r="BH68" i="1"/>
  <c r="BJ68" i="1" s="1"/>
  <c r="BH87" i="1"/>
  <c r="BJ87" i="1" s="1"/>
  <c r="BH52" i="1"/>
  <c r="BJ52" i="1" s="1"/>
  <c r="BH81" i="1"/>
  <c r="BJ81" i="1" s="1"/>
  <c r="BH90" i="1"/>
  <c r="BJ90" i="1" s="1"/>
  <c r="BH51" i="1"/>
  <c r="BJ51" i="1" s="1"/>
  <c r="BH58" i="1"/>
  <c r="BJ58" i="1" s="1"/>
  <c r="BH75" i="1"/>
  <c r="BJ75" i="1" s="1"/>
  <c r="BH86" i="1"/>
  <c r="BJ86" i="1" s="1"/>
  <c r="BH92" i="1"/>
  <c r="BJ92" i="1" s="1"/>
  <c r="BH79" i="1"/>
  <c r="BJ79" i="1" s="1"/>
  <c r="BH74" i="1"/>
  <c r="BJ74" i="1" s="1"/>
  <c r="BH45" i="1"/>
  <c r="BJ45" i="1" s="1"/>
  <c r="BH91" i="1"/>
  <c r="BJ91" i="1" s="1"/>
  <c r="BH34" i="1"/>
  <c r="BJ34" i="1" s="1"/>
  <c r="BH37" i="1"/>
  <c r="BJ37" i="1" s="1"/>
  <c r="BH47" i="1"/>
  <c r="BJ47" i="1" s="1"/>
  <c r="BH78" i="1"/>
  <c r="BJ78" i="1" s="1"/>
  <c r="BH30" i="1"/>
  <c r="BJ30" i="1" s="1"/>
  <c r="BH205" i="1"/>
  <c r="BJ205" i="1" s="1"/>
  <c r="BH194" i="1"/>
  <c r="BJ194" i="1" s="1"/>
  <c r="BH119" i="1"/>
  <c r="BJ119" i="1" s="1"/>
  <c r="BH115" i="1"/>
  <c r="BJ115" i="1" s="1"/>
  <c r="BH109" i="1"/>
  <c r="BJ109" i="1" s="1"/>
  <c r="BH106" i="1"/>
  <c r="BJ106" i="1" s="1"/>
  <c r="BH104" i="1"/>
  <c r="BJ104" i="1" s="1"/>
  <c r="BH60" i="1"/>
  <c r="BJ60" i="1" s="1"/>
  <c r="BH179" i="1"/>
  <c r="BJ179"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150" i="1"/>
  <c r="BJ150" i="1" s="1"/>
  <c r="BH148" i="1"/>
  <c r="BJ148" i="1" s="1"/>
  <c r="BH145" i="1"/>
  <c r="BJ145" i="1" s="1"/>
  <c r="BH143" i="1"/>
  <c r="BJ143" i="1" s="1"/>
  <c r="BH141" i="1"/>
  <c r="BJ141" i="1" s="1"/>
  <c r="BH137" i="1"/>
  <c r="BJ137" i="1" s="1"/>
  <c r="BH133" i="1"/>
  <c r="BJ133" i="1" s="1"/>
  <c r="BH130" i="1"/>
  <c r="BJ130" i="1" s="1"/>
  <c r="BH127" i="1"/>
  <c r="BJ127" i="1" s="1"/>
  <c r="BH124" i="1"/>
  <c r="BJ124" i="1" s="1"/>
  <c r="BH123" i="1"/>
  <c r="BJ123" i="1" s="1"/>
  <c r="BH121" i="1"/>
  <c r="BJ121" i="1" s="1"/>
  <c r="BH235" i="1"/>
  <c r="BJ235" i="1" s="1"/>
  <c r="BH231" i="1"/>
  <c r="BJ231" i="1" s="1"/>
  <c r="BH229" i="1"/>
  <c r="BJ229" i="1" s="1"/>
  <c r="BH226" i="1"/>
  <c r="BJ226" i="1" s="1"/>
  <c r="BH218" i="1"/>
  <c r="BJ218" i="1" s="1"/>
  <c r="BH221" i="1"/>
  <c r="BJ221" i="1" s="1"/>
  <c r="BH212" i="1"/>
  <c r="BJ212" i="1" s="1"/>
  <c r="BH198" i="1"/>
  <c r="BJ198" i="1" s="1"/>
  <c r="BH185" i="1"/>
  <c r="BJ185" i="1" s="1"/>
  <c r="BH183" i="1"/>
  <c r="BJ183" i="1" s="1"/>
  <c r="BH181" i="1"/>
  <c r="BJ181" i="1" s="1"/>
  <c r="BH215" i="1"/>
  <c r="BJ215" i="1" s="1"/>
  <c r="BH213" i="1"/>
  <c r="BJ213" i="1" s="1"/>
  <c r="BH211" i="1"/>
  <c r="BJ211" i="1" s="1"/>
  <c r="BH208" i="1"/>
  <c r="BJ208" i="1" s="1"/>
  <c r="BH206" i="1"/>
  <c r="BJ206" i="1" s="1"/>
  <c r="BH203" i="1"/>
  <c r="BJ203" i="1" s="1"/>
  <c r="BH201" i="1"/>
  <c r="BJ201" i="1" s="1"/>
  <c r="BH199" i="1"/>
  <c r="BJ199" i="1" s="1"/>
  <c r="BH197" i="1"/>
  <c r="BJ197" i="1" s="1"/>
  <c r="BH195" i="1"/>
  <c r="BJ195" i="1" s="1"/>
  <c r="BH193" i="1"/>
  <c r="BJ193" i="1" s="1"/>
  <c r="BH191" i="1"/>
  <c r="BJ191" i="1" s="1"/>
  <c r="BH189" i="1"/>
  <c r="BJ189" i="1" s="1"/>
  <c r="BH187" i="1"/>
  <c r="BJ187" i="1" s="1"/>
  <c r="BH207" i="1"/>
  <c r="BJ207" i="1" s="1"/>
  <c r="BH196" i="1"/>
  <c r="BJ196" i="1" s="1"/>
  <c r="BH190" i="1"/>
  <c r="BJ190" i="1" s="1"/>
  <c r="BH138" i="1"/>
  <c r="BJ138" i="1" s="1"/>
  <c r="BH117" i="1"/>
  <c r="BJ117" i="1" s="1"/>
  <c r="BH114" i="1"/>
  <c r="BJ114" i="1" s="1"/>
  <c r="BH110" i="1"/>
  <c r="BJ110" i="1" s="1"/>
  <c r="BH107" i="1"/>
  <c r="BJ107" i="1" s="1"/>
  <c r="BH102" i="1"/>
  <c r="BJ102" i="1" s="1"/>
  <c r="BH69" i="1"/>
  <c r="BJ69" i="1" s="1"/>
  <c r="BH89" i="1"/>
  <c r="BJ89" i="1" s="1"/>
  <c r="BH72" i="1"/>
  <c r="BJ72" i="1" s="1"/>
  <c r="BH71" i="1"/>
  <c r="BJ71" i="1" s="1"/>
  <c r="BH59" i="1"/>
  <c r="BJ59" i="1" s="1"/>
  <c r="BH80" i="1"/>
  <c r="BJ80" i="1" s="1"/>
  <c r="BH57" i="1"/>
  <c r="BJ57" i="1" s="1"/>
  <c r="BH63" i="1"/>
  <c r="BJ63" i="1" s="1"/>
  <c r="BH85" i="1"/>
  <c r="BJ85" i="1" s="1"/>
  <c r="BH36" i="1"/>
  <c r="BJ36" i="1" s="1"/>
  <c r="BH84" i="1"/>
  <c r="BJ84" i="1" s="1"/>
  <c r="BH32" i="1"/>
  <c r="BJ32"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217" i="1"/>
  <c r="BJ217" i="1" s="1"/>
  <c r="BH149" i="1"/>
  <c r="BJ149" i="1" s="1"/>
  <c r="BH146" i="1"/>
  <c r="BJ146" i="1" s="1"/>
  <c r="BH144" i="1"/>
  <c r="BJ144" i="1" s="1"/>
  <c r="BH142" i="1"/>
  <c r="BJ142" i="1" s="1"/>
  <c r="BH139" i="1"/>
  <c r="BJ139" i="1" s="1"/>
  <c r="BH135" i="1"/>
  <c r="BJ135" i="1" s="1"/>
  <c r="BH132" i="1"/>
  <c r="BJ132" i="1" s="1"/>
  <c r="BH128" i="1"/>
  <c r="BJ128" i="1" s="1"/>
  <c r="BH125" i="1"/>
  <c r="BJ125" i="1" s="1"/>
  <c r="BH219" i="1"/>
  <c r="BJ219" i="1" s="1"/>
  <c r="BH122" i="1"/>
  <c r="BJ122" i="1" s="1"/>
  <c r="BH236" i="1"/>
  <c r="BJ236" i="1" s="1"/>
  <c r="BH232" i="1"/>
  <c r="BJ232" i="1" s="1"/>
  <c r="BH230" i="1"/>
  <c r="BJ230" i="1" s="1"/>
  <c r="BH228" i="1"/>
  <c r="BJ228" i="1" s="1"/>
  <c r="BH225" i="1"/>
  <c r="BJ225" i="1" s="1"/>
  <c r="BH224" i="1"/>
  <c r="BJ224" i="1" s="1"/>
  <c r="BH222" i="1"/>
  <c r="BJ222" i="1" s="1"/>
  <c r="BH220" i="1"/>
  <c r="BJ220" i="1" s="1"/>
  <c r="BH216" i="1"/>
  <c r="BJ216" i="1" s="1"/>
  <c r="BH210" i="1"/>
  <c r="BJ210" i="1" s="1"/>
  <c r="BH202" i="1"/>
  <c r="BJ202" i="1" s="1"/>
  <c r="BH192" i="1"/>
  <c r="BJ192" i="1" s="1"/>
  <c r="BH188" i="1"/>
  <c r="BJ188" i="1" s="1"/>
  <c r="BH116" i="1"/>
  <c r="BJ116" i="1" s="1"/>
  <c r="BH54" i="1"/>
  <c r="BJ54" i="1" s="1"/>
  <c r="BH53" i="1"/>
  <c r="BJ53" i="1" s="1"/>
  <c r="BH76" i="1"/>
  <c r="BJ76" i="1" s="1"/>
  <c r="BH88" i="1"/>
  <c r="BJ88" i="1" s="1"/>
  <c r="BH77" i="1"/>
  <c r="BJ77" i="1" s="1"/>
  <c r="BH49" i="1"/>
  <c r="BJ49" i="1" s="1"/>
  <c r="BH65" i="1"/>
  <c r="BJ65" i="1" s="1"/>
  <c r="BH64" i="1"/>
  <c r="BJ64" i="1" s="1"/>
  <c r="BH48" i="1"/>
  <c r="BJ48" i="1" s="1"/>
  <c r="BH73" i="1"/>
  <c r="BJ73" i="1" s="1"/>
  <c r="BH35" i="1"/>
  <c r="BJ35" i="1" s="1"/>
  <c r="BH62" i="1"/>
  <c r="BJ62" i="1" s="1"/>
  <c r="BH31" i="1"/>
  <c r="BJ31" i="1" s="1"/>
  <c r="BH184" i="1"/>
  <c r="BJ184" i="1" s="1"/>
  <c r="BH182" i="1"/>
  <c r="BJ182"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1" i="1" l="1"/>
  <c r="BX91" i="1" s="1"/>
  <c r="AK91" i="1"/>
  <c r="AM91" i="1" s="1"/>
  <c r="BZ91" i="1" s="1" a="1"/>
  <c r="BZ91" i="1" s="1"/>
  <c r="CE91" i="1" s="1"/>
  <c r="Z91" i="1"/>
  <c r="BV57" i="1" l="1"/>
  <c r="BX57" i="1" s="1"/>
  <c r="AK57" i="1"/>
  <c r="AM57" i="1" s="1"/>
  <c r="BZ57" i="1" s="1" a="1"/>
  <c r="BZ57" i="1" s="1"/>
  <c r="CE57" i="1" s="1"/>
  <c r="Z57" i="1"/>
  <c r="BV92" i="1" l="1"/>
  <c r="BX92" i="1" s="1"/>
  <c r="AK92" i="1"/>
  <c r="AM92" i="1" s="1"/>
  <c r="BZ92" i="1" s="1" a="1"/>
  <c r="BZ92" i="1" s="1"/>
  <c r="CE92" i="1" s="1"/>
  <c r="Z92" i="1"/>
  <c r="BV45" i="1"/>
  <c r="BX45" i="1" s="1"/>
  <c r="AK45" i="1"/>
  <c r="AM45" i="1" s="1"/>
  <c r="BZ45" i="1" s="1" a="1"/>
  <c r="BZ45" i="1" s="1"/>
  <c r="CE45" i="1" s="1"/>
  <c r="Z45" i="1"/>
  <c r="BV72" i="1"/>
  <c r="BX72" i="1" s="1"/>
  <c r="AK72" i="1"/>
  <c r="AM72" i="1" s="1"/>
  <c r="BZ72" i="1" s="1" a="1"/>
  <c r="BZ72" i="1" s="1"/>
  <c r="CE72" i="1" s="1"/>
  <c r="Z72" i="1"/>
  <c r="BV62" i="1"/>
  <c r="BX62" i="1" s="1"/>
  <c r="AK62" i="1"/>
  <c r="AM62" i="1" s="1"/>
  <c r="BZ62" i="1" s="1" a="1"/>
  <c r="BZ62" i="1" s="1"/>
  <c r="CE62" i="1" s="1"/>
  <c r="Z62" i="1"/>
  <c r="BV69" i="1"/>
  <c r="BX69" i="1" s="1"/>
  <c r="AK69" i="1"/>
  <c r="AM69" i="1" s="1"/>
  <c r="BZ69" i="1" s="1" a="1"/>
  <c r="BZ69" i="1" s="1"/>
  <c r="CE69" i="1" s="1"/>
  <c r="Z69" i="1"/>
  <c r="AI66" i="1"/>
  <c r="BE66" i="1" s="1"/>
  <c r="BV66" i="1"/>
  <c r="BX66" i="1" s="1"/>
  <c r="AK66" i="1"/>
  <c r="AM66" i="1" s="1"/>
  <c r="BZ66" i="1" s="1" a="1"/>
  <c r="BZ66" i="1" s="1"/>
  <c r="CE66" i="1" s="1"/>
  <c r="Z66" i="1"/>
  <c r="BV68" i="1"/>
  <c r="BX68" i="1" s="1"/>
  <c r="AK68" i="1"/>
  <c r="AM68" i="1" s="1"/>
  <c r="BZ68" i="1" s="1" a="1"/>
  <c r="BZ68" i="1" s="1"/>
  <c r="CE68" i="1" s="1"/>
  <c r="Z68" i="1"/>
  <c r="BV65" i="1"/>
  <c r="BX65" i="1" s="1"/>
  <c r="AK65" i="1"/>
  <c r="AM65" i="1" s="1"/>
  <c r="BZ65" i="1" s="1" a="1"/>
  <c r="BZ65" i="1" s="1"/>
  <c r="CE65" i="1" s="1"/>
  <c r="Z65" i="1"/>
  <c r="BV60" i="1"/>
  <c r="BX60" i="1" s="1"/>
  <c r="AK60" i="1"/>
  <c r="AM60" i="1" s="1"/>
  <c r="BZ60" i="1" s="1" a="1"/>
  <c r="BZ60" i="1" s="1"/>
  <c r="CE60" i="1" s="1"/>
  <c r="Z60" i="1"/>
  <c r="BV59" i="1"/>
  <c r="BX59" i="1" s="1"/>
  <c r="AK59" i="1"/>
  <c r="AM59" i="1" s="1"/>
  <c r="BZ59" i="1" s="1" a="1"/>
  <c r="BZ59" i="1" s="1"/>
  <c r="CE59" i="1" s="1"/>
  <c r="Z59" i="1"/>
  <c r="BI66" i="1" l="1"/>
  <c r="BK66" i="1" s="1"/>
  <c r="BH66" i="1"/>
  <c r="BJ66" i="1" s="1"/>
  <c r="BV82" i="1"/>
  <c r="BX82" i="1" s="1"/>
  <c r="AK82" i="1"/>
  <c r="AM82" i="1" s="1"/>
  <c r="BZ82" i="1" s="1" a="1"/>
  <c r="BZ82" i="1" s="1"/>
  <c r="CE82" i="1" s="1"/>
  <c r="Z82" i="1"/>
  <c r="BV81" i="1"/>
  <c r="BX81" i="1" s="1"/>
  <c r="AK81" i="1"/>
  <c r="AM81" i="1" s="1"/>
  <c r="BZ81" i="1" s="1" a="1"/>
  <c r="BZ81" i="1" s="1"/>
  <c r="CE81" i="1" s="1"/>
  <c r="Z81" i="1"/>
  <c r="BV80" i="1"/>
  <c r="BX80" i="1" s="1"/>
  <c r="AK80" i="1"/>
  <c r="AM80" i="1" s="1"/>
  <c r="BZ80" i="1" s="1" a="1"/>
  <c r="BZ80" i="1" s="1"/>
  <c r="CE80" i="1" s="1"/>
  <c r="Z80" i="1"/>
  <c r="BV79" i="1"/>
  <c r="BX79" i="1" s="1"/>
  <c r="AK79" i="1"/>
  <c r="AM79" i="1" s="1"/>
  <c r="BZ79" i="1" s="1" a="1"/>
  <c r="BZ79" i="1" s="1"/>
  <c r="CE79" i="1" s="1"/>
  <c r="Z79" i="1"/>
  <c r="BV84" i="1"/>
  <c r="BX84" i="1" s="1"/>
  <c r="AK84" i="1"/>
  <c r="AM84" i="1" s="1"/>
  <c r="BZ84" i="1" s="1" a="1"/>
  <c r="BZ84" i="1" s="1"/>
  <c r="CE84" i="1" s="1"/>
  <c r="Z84" i="1"/>
  <c r="BV90" i="1"/>
  <c r="BX90" i="1" s="1"/>
  <c r="AK90" i="1"/>
  <c r="AM90" i="1" s="1"/>
  <c r="BZ90" i="1" s="1" a="1"/>
  <c r="BZ90" i="1" s="1"/>
  <c r="CE90" i="1" s="1"/>
  <c r="Z90" i="1"/>
  <c r="BV89" i="1"/>
  <c r="BX89" i="1" s="1"/>
  <c r="AK89" i="1"/>
  <c r="AM89" i="1" s="1"/>
  <c r="BZ89" i="1" s="1" a="1"/>
  <c r="BZ89" i="1" s="1"/>
  <c r="CE89" i="1" s="1"/>
  <c r="Z89" i="1"/>
  <c r="BV87" i="1"/>
  <c r="BX87" i="1" s="1"/>
  <c r="AK87" i="1"/>
  <c r="AM87" i="1" s="1"/>
  <c r="BZ87" i="1" s="1" a="1"/>
  <c r="BZ87" i="1" s="1"/>
  <c r="CE87" i="1" s="1"/>
  <c r="Z87" i="1"/>
  <c r="BV75" i="1" l="1"/>
  <c r="BX75" i="1" s="1"/>
  <c r="BV76" i="1"/>
  <c r="AK75" i="1"/>
  <c r="AM75" i="1" s="1"/>
  <c r="BZ75" i="1" s="1" a="1"/>
  <c r="BZ75" i="1" s="1"/>
  <c r="CE75" i="1" s="1"/>
  <c r="AK76" i="1"/>
  <c r="AM76" i="1" s="1"/>
  <c r="BZ76" i="1" s="1" a="1"/>
  <c r="BZ76" i="1" s="1"/>
  <c r="CE76" i="1" s="1"/>
  <c r="BV55" i="1"/>
  <c r="BX55" i="1" s="1"/>
  <c r="AK55" i="1"/>
  <c r="AM55" i="1" s="1"/>
  <c r="BZ55" i="1" s="1" a="1"/>
  <c r="BZ55" i="1" s="1"/>
  <c r="CE55" i="1" s="1"/>
  <c r="Z55" i="1"/>
  <c r="BV53" i="1" l="1"/>
  <c r="BX53" i="1" s="1"/>
  <c r="BV54" i="1"/>
  <c r="BX54" i="1" s="1"/>
  <c r="BV56" i="1"/>
  <c r="AK53" i="1"/>
  <c r="AM53" i="1" s="1"/>
  <c r="BZ53" i="1" s="1" a="1"/>
  <c r="BZ53" i="1" s="1"/>
  <c r="CE53" i="1" s="1"/>
  <c r="Z53" i="1"/>
  <c r="AK52" i="1" l="1"/>
  <c r="AM52" i="1" s="1"/>
  <c r="BZ52" i="1" s="1" a="1"/>
  <c r="BZ52" i="1" s="1"/>
  <c r="CE52" i="1" s="1"/>
  <c r="Z52" i="1"/>
  <c r="BV51" i="1"/>
  <c r="BX51" i="1" s="1"/>
  <c r="BV52" i="1"/>
  <c r="BX52" i="1" s="1"/>
  <c r="BX56" i="1"/>
  <c r="AK51" i="1"/>
  <c r="AM51" i="1" s="1"/>
  <c r="BZ51" i="1" s="1" a="1"/>
  <c r="BZ51" i="1" s="1"/>
  <c r="CE51" i="1" s="1"/>
  <c r="Z51" i="1"/>
  <c r="G23" i="6" l="1"/>
  <c r="B26" i="6"/>
  <c r="B25" i="6"/>
  <c r="I23" i="6"/>
  <c r="H23" i="6"/>
  <c r="F23" i="6"/>
  <c r="E23" i="6"/>
  <c r="D23" i="6"/>
  <c r="C23" i="6"/>
  <c r="B22" i="6"/>
  <c r="V249" i="1"/>
  <c r="BV248" i="1"/>
  <c r="BX248" i="1" s="1"/>
  <c r="AK248" i="1"/>
  <c r="AM248" i="1" s="1"/>
  <c r="Z248" i="1"/>
  <c r="B23" i="6" l="1"/>
  <c r="B28" i="6"/>
  <c r="AJ248" i="1"/>
  <c r="B27" i="6"/>
  <c r="B14" i="6"/>
  <c r="B13" i="6"/>
  <c r="E11" i="6"/>
  <c r="F11" i="6"/>
  <c r="G11" i="6"/>
  <c r="H11" i="6"/>
  <c r="I11" i="6"/>
  <c r="J11" i="6"/>
  <c r="K11" i="6"/>
  <c r="L11" i="6"/>
  <c r="M11" i="6"/>
  <c r="N11" i="6"/>
  <c r="O11" i="6"/>
  <c r="P11" i="6"/>
  <c r="Q11" i="6"/>
  <c r="R11" i="6"/>
  <c r="S11" i="6"/>
  <c r="T11" i="6"/>
  <c r="U11" i="6"/>
  <c r="C11" i="6"/>
  <c r="D11" i="6"/>
  <c r="B10" i="6"/>
  <c r="AK232" i="1"/>
  <c r="AM232" i="1" s="1"/>
  <c r="BZ232" i="1" s="1" a="1"/>
  <c r="BZ232" i="1" s="1"/>
  <c r="CE232" i="1" s="1"/>
  <c r="BV275" i="1"/>
  <c r="BX275" i="1" s="1"/>
  <c r="BV273" i="1"/>
  <c r="BX273" i="1" s="1"/>
  <c r="BV276" i="1"/>
  <c r="BX276" i="1" s="1"/>
  <c r="BV278" i="1"/>
  <c r="BX278" i="1" s="1"/>
  <c r="AK275" i="1"/>
  <c r="AM275" i="1" s="1"/>
  <c r="AK273" i="1"/>
  <c r="AM273" i="1" s="1"/>
  <c r="BZ273" i="1" s="1" a="1"/>
  <c r="BZ273" i="1" s="1"/>
  <c r="CE273" i="1" s="1"/>
  <c r="AK276" i="1"/>
  <c r="AM276" i="1" s="1"/>
  <c r="BZ276" i="1" s="1" a="1"/>
  <c r="BZ276" i="1" s="1"/>
  <c r="CE276" i="1" s="1"/>
  <c r="AK278" i="1"/>
  <c r="AM278" i="1" s="1"/>
  <c r="BZ278" i="1" s="1" a="1"/>
  <c r="BZ278" i="1" s="1"/>
  <c r="CE278" i="1" s="1"/>
  <c r="B11" i="6" l="1"/>
  <c r="B16" i="6"/>
  <c r="B15" i="6"/>
  <c r="M262" i="1"/>
  <c r="BB262" i="1" s="1"/>
  <c r="BI262" i="1" s="1"/>
  <c r="M274" i="1"/>
  <c r="BB274" i="1" s="1"/>
  <c r="BI274" i="1" s="1"/>
  <c r="BH274" i="1" l="1"/>
  <c r="BJ274" i="1" s="1"/>
  <c r="BK274" i="1"/>
  <c r="BH262" i="1"/>
  <c r="BJ262" i="1" s="1"/>
  <c r="BK262" i="1"/>
  <c r="V238" i="1"/>
  <c r="M246" i="1"/>
  <c r="BB246" i="1" s="1"/>
  <c r="BI246" i="1" s="1"/>
  <c r="BV25" i="1"/>
  <c r="BX25" i="1" s="1"/>
  <c r="AK25" i="1"/>
  <c r="AM25" i="1" s="1"/>
  <c r="BZ25" i="1" s="1" a="1"/>
  <c r="BZ25" i="1" s="1"/>
  <c r="CE25" i="1" s="1"/>
  <c r="Z25" i="1"/>
  <c r="BV244" i="1"/>
  <c r="M244" i="1"/>
  <c r="BB244" i="1" s="1"/>
  <c r="BI244" i="1" s="1"/>
  <c r="V244" i="1"/>
  <c r="BK246" i="1" l="1"/>
  <c r="BH246" i="1"/>
  <c r="BJ246" i="1" s="1"/>
  <c r="BK244" i="1"/>
  <c r="BH244" i="1"/>
  <c r="BJ244" i="1" s="1"/>
  <c r="M241" i="1"/>
  <c r="BB241" i="1" s="1"/>
  <c r="BI241" i="1" s="1"/>
  <c r="V241" i="1"/>
  <c r="BH241" i="1" l="1"/>
  <c r="BJ241" i="1" s="1"/>
  <c r="BK241" i="1"/>
  <c r="M237" i="1"/>
  <c r="BB237" i="1" s="1"/>
  <c r="BI237" i="1" s="1"/>
  <c r="V237" i="1"/>
  <c r="BK237" i="1" l="1"/>
  <c r="BH237" i="1"/>
  <c r="BJ237" i="1" s="1"/>
  <c r="AE229" i="1"/>
  <c r="V225" i="1" l="1"/>
  <c r="V224" i="1"/>
  <c r="BV208" i="1"/>
  <c r="BX208" i="1" s="1"/>
  <c r="AK208" i="1"/>
  <c r="AM208" i="1" s="1"/>
  <c r="BZ208" i="1" s="1" a="1"/>
  <c r="BZ208" i="1" s="1"/>
  <c r="CE208" i="1" s="1"/>
  <c r="Z208" i="1"/>
  <c r="AJ208" i="1" l="1"/>
  <c r="M272" i="1"/>
  <c r="BB272" i="1" s="1"/>
  <c r="BI272" i="1" s="1"/>
  <c r="BV216" i="1"/>
  <c r="BX216" i="1" s="1"/>
  <c r="AK216" i="1"/>
  <c r="AM216" i="1" s="1"/>
  <c r="BZ216" i="1" s="1" a="1"/>
  <c r="BZ216" i="1" s="1"/>
  <c r="CE216" i="1" s="1"/>
  <c r="Z216" i="1"/>
  <c r="BH272" i="1" l="1"/>
  <c r="BJ272" i="1" s="1"/>
  <c r="BK272" i="1"/>
  <c r="AI255" i="1"/>
  <c r="BE255" i="1" s="1"/>
  <c r="BI255" i="1" s="1"/>
  <c r="BH255" i="1" l="1"/>
  <c r="BJ255" i="1" s="1"/>
  <c r="BK255" i="1"/>
  <c r="BV37" i="1"/>
  <c r="BX37" i="1" s="1"/>
  <c r="AK37" i="1"/>
  <c r="AM37" i="1" s="1"/>
  <c r="BZ37" i="1" s="1" a="1"/>
  <c r="BZ37" i="1" s="1"/>
  <c r="CE37" i="1" s="1"/>
  <c r="Z37" i="1"/>
  <c r="BV206" i="1"/>
  <c r="BX206" i="1" s="1"/>
  <c r="AK206" i="1"/>
  <c r="AM206" i="1" s="1"/>
  <c r="BZ206" i="1" s="1" a="1"/>
  <c r="BZ206" i="1" s="1"/>
  <c r="CE206" i="1" s="1"/>
  <c r="Z206" i="1"/>
  <c r="AJ37" i="1" l="1"/>
  <c r="Z235" i="1"/>
  <c r="Z231" i="1"/>
  <c r="S175" i="1" l="1"/>
  <c r="U175" i="1" s="1"/>
  <c r="S171" i="1" l="1"/>
  <c r="U171" i="1" s="1"/>
  <c r="AF171" i="1"/>
  <c r="AF172" i="1"/>
  <c r="S172" i="1"/>
  <c r="U172" i="1" s="1"/>
  <c r="AF169" i="1" l="1"/>
  <c r="AK169" i="1" s="1"/>
  <c r="BV24" i="1"/>
  <c r="BX24" i="1" s="1"/>
  <c r="AK24" i="1"/>
  <c r="AM24" i="1" s="1"/>
  <c r="BZ24" i="1" s="1" a="1"/>
  <c r="BZ24" i="1" s="1"/>
  <c r="CE24" i="1" s="1"/>
  <c r="Z24" i="1"/>
  <c r="AF167" i="1"/>
  <c r="S167" i="1"/>
  <c r="U167" i="1" s="1"/>
  <c r="S166" i="1"/>
  <c r="U166" i="1" s="1"/>
  <c r="S165" i="1" l="1"/>
  <c r="U165" i="1" s="1"/>
  <c r="S164" i="1"/>
  <c r="U164" i="1" s="1"/>
  <c r="S163" i="1"/>
  <c r="U163" i="1" s="1"/>
  <c r="BV23" i="1"/>
  <c r="BX23" i="1" s="1"/>
  <c r="AK23" i="1"/>
  <c r="AM23" i="1" s="1"/>
  <c r="BZ23" i="1" s="1" a="1"/>
  <c r="BZ23" i="1" s="1"/>
  <c r="CE23" i="1" s="1"/>
  <c r="Z23" i="1"/>
  <c r="S162" i="1"/>
  <c r="U162" i="1" s="1"/>
  <c r="S137" i="1"/>
  <c r="U137" i="1" s="1"/>
  <c r="S161" i="1"/>
  <c r="U161" i="1" s="1"/>
  <c r="BV22" i="1" l="1"/>
  <c r="BX22" i="1" s="1"/>
  <c r="AK22" i="1"/>
  <c r="AM22" i="1" s="1"/>
  <c r="BZ22" i="1" s="1" a="1"/>
  <c r="BZ22" i="1" s="1"/>
  <c r="CE22" i="1" s="1"/>
  <c r="Z22" i="1"/>
  <c r="W160" i="1"/>
  <c r="S160" i="1"/>
  <c r="U160" i="1" s="1"/>
  <c r="BV21" i="1" l="1"/>
  <c r="BX21" i="1" s="1"/>
  <c r="AK21" i="1"/>
  <c r="AM21" i="1" s="1"/>
  <c r="BZ21" i="1" s="1" a="1"/>
  <c r="BZ21" i="1" s="1"/>
  <c r="CE21" i="1" s="1"/>
  <c r="Z21" i="1"/>
  <c r="AF158" i="1"/>
  <c r="S158" i="1"/>
  <c r="U158" i="1" s="1"/>
  <c r="AI223" i="1"/>
  <c r="BE223" i="1" s="1"/>
  <c r="BI223" i="1" l="1"/>
  <c r="BK223" i="1" s="1"/>
  <c r="BH223" i="1"/>
  <c r="BJ223" i="1" s="1"/>
  <c r="BV20" i="1"/>
  <c r="BX20" i="1" s="1"/>
  <c r="AK20" i="1"/>
  <c r="AM20" i="1" s="1"/>
  <c r="BZ20" i="1" s="1" a="1"/>
  <c r="BZ20" i="1" s="1"/>
  <c r="CE20" i="1" s="1"/>
  <c r="Z20" i="1"/>
  <c r="AF157" i="1"/>
  <c r="AF156" i="1"/>
  <c r="S156" i="1"/>
  <c r="U156" i="1" s="1"/>
  <c r="AF155" i="1" l="1"/>
  <c r="S155" i="1"/>
  <c r="U155" i="1" s="1"/>
  <c r="Z156" i="1"/>
  <c r="Z157" i="1"/>
  <c r="Z222" i="1"/>
  <c r="Z223" i="1"/>
  <c r="Z158" i="1"/>
  <c r="Z159" i="1"/>
  <c r="Z160" i="1"/>
  <c r="Z161" i="1"/>
  <c r="Z162" i="1"/>
  <c r="Z163" i="1"/>
  <c r="Z164" i="1"/>
  <c r="Z165" i="1"/>
  <c r="Z166" i="1"/>
  <c r="Z167" i="1"/>
  <c r="Z168" i="1"/>
  <c r="Z169" i="1"/>
  <c r="Z170" i="1"/>
  <c r="Z171" i="1"/>
  <c r="Z172" i="1"/>
  <c r="Z173" i="1"/>
  <c r="Z174" i="1"/>
  <c r="Z175" i="1"/>
  <c r="Z176" i="1"/>
  <c r="Z35" i="1"/>
  <c r="Z177" i="1"/>
  <c r="Z178" i="1"/>
  <c r="Z179" i="1"/>
  <c r="Z180" i="1"/>
  <c r="Z181" i="1"/>
  <c r="Z182" i="1"/>
  <c r="Z183" i="1"/>
  <c r="Z185" i="1"/>
  <c r="Z186" i="1"/>
  <c r="Z187" i="1"/>
  <c r="Z188" i="1"/>
  <c r="Z189" i="1"/>
  <c r="Z226" i="1"/>
  <c r="Z228" i="1"/>
  <c r="Z190" i="1"/>
  <c r="Z191" i="1"/>
  <c r="Z192" i="1"/>
  <c r="Z184" i="1"/>
  <c r="Z193" i="1"/>
  <c r="Z194" i="1"/>
  <c r="Z195" i="1"/>
  <c r="Z196" i="1"/>
  <c r="Z197" i="1"/>
  <c r="Z198" i="1"/>
  <c r="Z199" i="1"/>
  <c r="Z200" i="1"/>
  <c r="Z36" i="1"/>
  <c r="Z201" i="1"/>
  <c r="Z202" i="1"/>
  <c r="Z203" i="1"/>
  <c r="Z205" i="1"/>
  <c r="Z239" i="1"/>
  <c r="Z207" i="1"/>
  <c r="Z247" i="1"/>
  <c r="Z210" i="1"/>
  <c r="Z211" i="1"/>
  <c r="Z212" i="1"/>
  <c r="Z213" i="1"/>
  <c r="Z255" i="1"/>
  <c r="Z265" i="1"/>
  <c r="Z270" i="1"/>
  <c r="Z214" i="1"/>
  <c r="Z215" i="1"/>
  <c r="Z252" i="1"/>
  <c r="Z272" i="1"/>
  <c r="Z266" i="1"/>
  <c r="Z268" i="1"/>
  <c r="Z236" i="1"/>
  <c r="Z245" i="1"/>
  <c r="Z224" i="1"/>
  <c r="Z225" i="1"/>
  <c r="Z230" i="1"/>
  <c r="Z229" i="1"/>
  <c r="Z237" i="1"/>
  <c r="Z241" i="1"/>
  <c r="Z244" i="1"/>
  <c r="Z246" i="1"/>
  <c r="Z238" i="1"/>
  <c r="Z274" i="1"/>
  <c r="Z251" i="1"/>
  <c r="Z232" i="1"/>
  <c r="Z258" i="1"/>
  <c r="Z261" i="1"/>
  <c r="Z262" i="1"/>
  <c r="Z242" i="1"/>
  <c r="Z249" i="1"/>
  <c r="Z286" i="1"/>
  <c r="Z287" i="1"/>
  <c r="Z288" i="1"/>
  <c r="Z289" i="1"/>
  <c r="Z27" i="1"/>
  <c r="Z28" i="1"/>
  <c r="Z30" i="1"/>
  <c r="Z29" i="1"/>
  <c r="Z34" i="1"/>
  <c r="Z95" i="1"/>
  <c r="Z96" i="1"/>
  <c r="Z76" i="1"/>
  <c r="Z77" i="1"/>
  <c r="Z49" i="1"/>
  <c r="Z54" i="1"/>
  <c r="Z56" i="1"/>
  <c r="Z64" i="1"/>
  <c r="Z58" i="1"/>
  <c r="Z86" i="1"/>
  <c r="Z78" i="1"/>
  <c r="Z88" i="1"/>
  <c r="Z71" i="1"/>
  <c r="Z275" i="1"/>
  <c r="Z273" i="1"/>
  <c r="Z276" i="1"/>
  <c r="Z278" i="1"/>
  <c r="Z47" i="1"/>
  <c r="Z102" i="1"/>
  <c r="Z104" i="1"/>
  <c r="Z105" i="1"/>
  <c r="Z106" i="1"/>
  <c r="Z107" i="1"/>
  <c r="Z109" i="1"/>
  <c r="Z73" i="1"/>
  <c r="Z110" i="1"/>
  <c r="Z112" i="1"/>
  <c r="Z115" i="1"/>
  <c r="Z116" i="1"/>
  <c r="Z117" i="1"/>
  <c r="Z118" i="1"/>
  <c r="Z119" i="1"/>
  <c r="Z2" i="1"/>
  <c r="Z11" i="1"/>
  <c r="Z19" i="1"/>
  <c r="Z14" i="1"/>
  <c r="Z121" i="1"/>
  <c r="Z122" i="1"/>
  <c r="Z48" i="1"/>
  <c r="Z123" i="1"/>
  <c r="Z219" i="1"/>
  <c r="Z85" i="1"/>
  <c r="Z63" i="1"/>
  <c r="Z74" i="1"/>
  <c r="Z31" i="1"/>
  <c r="Z32" i="1"/>
  <c r="Z124" i="1"/>
  <c r="Z125" i="1"/>
  <c r="Z127" i="1"/>
  <c r="Z128" i="1"/>
  <c r="Z130" i="1"/>
  <c r="Z132" i="1"/>
  <c r="Z220" i="1"/>
  <c r="Z138" i="1"/>
  <c r="Z135" i="1"/>
  <c r="Z137" i="1"/>
  <c r="Z139" i="1"/>
  <c r="Z16" i="1"/>
  <c r="Z17" i="1"/>
  <c r="Z18" i="1"/>
  <c r="Z141" i="1"/>
  <c r="Z142" i="1"/>
  <c r="Z143" i="1"/>
  <c r="Z144" i="1"/>
  <c r="Z145" i="1"/>
  <c r="Z146" i="1"/>
  <c r="Z148" i="1"/>
  <c r="Z149" i="1"/>
  <c r="Z150" i="1"/>
  <c r="Z221" i="1"/>
  <c r="Z217" i="1"/>
  <c r="Z151" i="1"/>
  <c r="Z152" i="1"/>
  <c r="Z153" i="1"/>
  <c r="Z154" i="1"/>
  <c r="Z155" i="1"/>
  <c r="AF154" i="1"/>
  <c r="AF153" i="1" l="1"/>
  <c r="S150" i="1" l="1"/>
  <c r="U150" i="1" s="1"/>
  <c r="BV16" i="1"/>
  <c r="BX16" i="1" s="1"/>
  <c r="AK16" i="1"/>
  <c r="AM16" i="1" s="1"/>
  <c r="BZ16" i="1" s="1" a="1"/>
  <c r="BZ16" i="1" s="1"/>
  <c r="CE16" i="1" s="1"/>
  <c r="S149" i="1"/>
  <c r="U149" i="1" s="1"/>
  <c r="AF149" i="1"/>
  <c r="S148" i="1" l="1"/>
  <c r="U148" i="1" s="1"/>
  <c r="BV19" i="1" l="1"/>
  <c r="BX19" i="1" s="1"/>
  <c r="AK19" i="1"/>
  <c r="AM19" i="1" s="1"/>
  <c r="BZ19" i="1" s="1" a="1"/>
  <c r="BZ19" i="1" s="1"/>
  <c r="CE19" i="1" s="1"/>
  <c r="S146" i="1"/>
  <c r="U146" i="1" s="1"/>
  <c r="AF146" i="1"/>
  <c r="S145" i="1"/>
  <c r="U145" i="1" s="1"/>
  <c r="AF145" i="1"/>
  <c r="S144" i="1"/>
  <c r="U144" i="1" s="1"/>
  <c r="AF143" i="1"/>
  <c r="S143" i="1"/>
  <c r="U143" i="1" s="1"/>
  <c r="AF142" i="1"/>
  <c r="S142" i="1"/>
  <c r="U142" i="1" s="1"/>
  <c r="S141" i="1"/>
  <c r="U141" i="1" s="1"/>
  <c r="AF135" i="1"/>
  <c r="BV2" i="1"/>
  <c r="BX2" i="1" s="1"/>
  <c r="AK2" i="1"/>
  <c r="AM2" i="1" s="1"/>
  <c r="BZ2" i="1" s="1" a="1"/>
  <c r="BZ2" i="1" s="1"/>
  <c r="CE2" i="1" s="1"/>
  <c r="S135" i="1"/>
  <c r="U135" i="1" s="1"/>
  <c r="S133" i="1"/>
  <c r="U133" i="1" s="1"/>
  <c r="BV85" i="1"/>
  <c r="BX85" i="1" s="1"/>
  <c r="AK85" i="1"/>
  <c r="AM85" i="1" s="1"/>
  <c r="BZ85" i="1" s="1" a="1"/>
  <c r="BZ85" i="1" s="1"/>
  <c r="CE85" i="1" s="1"/>
  <c r="BV63" i="1"/>
  <c r="BX63" i="1" s="1"/>
  <c r="BV74" i="1"/>
  <c r="BX74" i="1" s="1"/>
  <c r="AK63" i="1"/>
  <c r="AM63" i="1" s="1"/>
  <c r="BZ63" i="1" s="1" a="1"/>
  <c r="BZ63" i="1" s="1"/>
  <c r="CE63" i="1" s="1"/>
  <c r="AK74" i="1"/>
  <c r="AM74" i="1" s="1"/>
  <c r="BZ74" i="1" s="1" a="1"/>
  <c r="BZ74" i="1" s="1"/>
  <c r="CE74" i="1" s="1"/>
  <c r="AM169" i="1" l="1"/>
  <c r="BZ169" i="1" s="1" a="1"/>
  <c r="BZ169" i="1" s="1"/>
  <c r="CE169" i="1" s="1"/>
  <c r="BV121" i="1"/>
  <c r="BX121" i="1" s="1"/>
  <c r="AK121" i="1"/>
  <c r="AM121" i="1" s="1"/>
  <c r="BZ121" i="1" s="1" a="1"/>
  <c r="BZ121" i="1" s="1"/>
  <c r="CE121" i="1" s="1"/>
  <c r="S121" i="1"/>
  <c r="U121" i="1" s="1"/>
  <c r="BV31" i="1"/>
  <c r="BX31" i="1" s="1"/>
  <c r="AK31" i="1"/>
  <c r="AM31" i="1" s="1"/>
  <c r="BZ31" i="1" s="1" a="1"/>
  <c r="BZ31" i="1" s="1"/>
  <c r="CE31" i="1" s="1"/>
  <c r="BV14" i="1" l="1"/>
  <c r="BX14" i="1" s="1"/>
  <c r="AK14" i="1"/>
  <c r="AM14" i="1" s="1"/>
  <c r="BZ14" i="1" s="1" a="1"/>
  <c r="BZ14" i="1" s="1"/>
  <c r="CE14" i="1" s="1"/>
  <c r="S128" i="1"/>
  <c r="U128" i="1" s="1"/>
  <c r="S130" i="1"/>
  <c r="U130" i="1" s="1"/>
  <c r="AM131" i="1" l="1"/>
  <c r="BZ131" i="1" s="1" a="1"/>
  <c r="BZ131" i="1" s="1"/>
  <c r="CE131" i="1" s="1"/>
  <c r="S127" i="1"/>
  <c r="U127" i="1" s="1"/>
  <c r="S125" i="1"/>
  <c r="U125" i="1" s="1"/>
  <c r="R122" i="1" l="1"/>
  <c r="S122" i="1"/>
  <c r="S124" i="1"/>
  <c r="U124" i="1" s="1"/>
  <c r="S169" i="1"/>
  <c r="U169" i="1" s="1"/>
  <c r="U122" i="1" l="1"/>
  <c r="B4" i="4"/>
  <c r="B5" i="4"/>
  <c r="B6" i="4"/>
  <c r="B7" i="4"/>
  <c r="B8" i="4"/>
  <c r="B9" i="4"/>
  <c r="B10" i="4"/>
  <c r="B11" i="4"/>
  <c r="B3" i="4"/>
  <c r="BV112" i="1"/>
  <c r="BX112" i="1" s="1"/>
  <c r="BV114" i="1"/>
  <c r="BX114" i="1" s="1"/>
  <c r="BV115" i="1"/>
  <c r="BX115" i="1" s="1"/>
  <c r="BV116" i="1"/>
  <c r="BX116" i="1" s="1"/>
  <c r="BV117" i="1"/>
  <c r="BX117" i="1" s="1"/>
  <c r="BV118" i="1"/>
  <c r="BX118" i="1" s="1"/>
  <c r="BV122" i="1"/>
  <c r="BX122" i="1" s="1"/>
  <c r="BV123" i="1"/>
  <c r="BX123" i="1" s="1"/>
  <c r="BV219" i="1"/>
  <c r="BX219" i="1" s="1"/>
  <c r="BV124" i="1"/>
  <c r="BX124" i="1" s="1"/>
  <c r="BV125" i="1"/>
  <c r="BX125" i="1" s="1"/>
  <c r="BV127" i="1"/>
  <c r="BX127" i="1" s="1"/>
  <c r="BV128" i="1"/>
  <c r="BX128" i="1" s="1"/>
  <c r="BV130" i="1"/>
  <c r="BX130" i="1" s="1"/>
  <c r="BV132" i="1"/>
  <c r="BX132" i="1" s="1"/>
  <c r="BV138" i="1"/>
  <c r="BX138" i="1" s="1"/>
  <c r="BV133" i="1"/>
  <c r="BX133" i="1" s="1"/>
  <c r="BV135" i="1"/>
  <c r="BX135" i="1" s="1"/>
  <c r="BV119" i="1"/>
  <c r="BX119" i="1" s="1"/>
  <c r="BV137" i="1"/>
  <c r="BX137" i="1" s="1"/>
  <c r="BV139" i="1"/>
  <c r="BX139" i="1" s="1"/>
  <c r="BV141" i="1"/>
  <c r="BX141" i="1" s="1"/>
  <c r="BV142" i="1"/>
  <c r="BX142" i="1" s="1"/>
  <c r="BV143" i="1"/>
  <c r="BX143" i="1" s="1"/>
  <c r="BV144" i="1"/>
  <c r="BX144" i="1" s="1"/>
  <c r="BV145" i="1"/>
  <c r="BX145" i="1" s="1"/>
  <c r="BV146" i="1"/>
  <c r="BX146"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3" i="1"/>
  <c r="BX183" i="1" s="1"/>
  <c r="BV185" i="1"/>
  <c r="BX185" i="1" s="1"/>
  <c r="BV186" i="1"/>
  <c r="BX186" i="1" s="1"/>
  <c r="BV187" i="1"/>
  <c r="BX187" i="1" s="1"/>
  <c r="BV188" i="1"/>
  <c r="BX188" i="1" s="1"/>
  <c r="BV189" i="1"/>
  <c r="BX189" i="1" s="1"/>
  <c r="BV226" i="1"/>
  <c r="BX226" i="1" s="1"/>
  <c r="BV190" i="1"/>
  <c r="BX190" i="1" s="1"/>
  <c r="BV191" i="1"/>
  <c r="BX191" i="1" s="1"/>
  <c r="BV192" i="1"/>
  <c r="BX192" i="1" s="1"/>
  <c r="BV184" i="1"/>
  <c r="BX184"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3" i="1"/>
  <c r="BX203" i="1" s="1"/>
  <c r="BV205" i="1"/>
  <c r="BX205" i="1" s="1"/>
  <c r="BV207" i="1"/>
  <c r="BX207" i="1" s="1"/>
  <c r="BV210" i="1"/>
  <c r="BX210" i="1" s="1"/>
  <c r="BV211" i="1"/>
  <c r="BX211" i="1" s="1"/>
  <c r="BV212" i="1"/>
  <c r="BX212" i="1" s="1"/>
  <c r="BV213" i="1"/>
  <c r="BX213" i="1" s="1"/>
  <c r="BV214" i="1"/>
  <c r="BX214" i="1" s="1"/>
  <c r="BV215" i="1"/>
  <c r="BX215" i="1" s="1"/>
  <c r="BV217" i="1"/>
  <c r="BX217" i="1" s="1"/>
  <c r="BV220" i="1"/>
  <c r="BX220" i="1" s="1"/>
  <c r="BV221" i="1"/>
  <c r="BX221" i="1" s="1"/>
  <c r="BV222" i="1"/>
  <c r="BX222" i="1" s="1"/>
  <c r="BV223" i="1"/>
  <c r="BX223" i="1" s="1"/>
  <c r="BV218" i="1"/>
  <c r="BX218" i="1" s="1"/>
  <c r="BV228" i="1"/>
  <c r="BX228" i="1" s="1"/>
  <c r="BV265" i="1"/>
  <c r="BX265" i="1" s="1"/>
  <c r="BV247" i="1"/>
  <c r="BX247" i="1" s="1"/>
  <c r="BV255" i="1"/>
  <c r="BX255" i="1" s="1"/>
  <c r="BV270" i="1"/>
  <c r="BX270" i="1" s="1"/>
  <c r="BV239" i="1"/>
  <c r="BX239" i="1" s="1"/>
  <c r="BV235" i="1"/>
  <c r="BX235" i="1" s="1"/>
  <c r="BV231" i="1"/>
  <c r="BX231" i="1" s="1"/>
  <c r="BV252" i="1"/>
  <c r="BX252" i="1" s="1"/>
  <c r="BV272" i="1"/>
  <c r="BX272" i="1" s="1"/>
  <c r="BV266" i="1"/>
  <c r="BX266" i="1" s="1"/>
  <c r="BV268" i="1"/>
  <c r="BX268" i="1" s="1"/>
  <c r="BV236" i="1"/>
  <c r="BX236" i="1" s="1"/>
  <c r="BV245" i="1"/>
  <c r="BX245" i="1" s="1"/>
  <c r="BV224" i="1"/>
  <c r="BX224" i="1" s="1"/>
  <c r="BV225" i="1"/>
  <c r="BX225" i="1" s="1"/>
  <c r="BV230" i="1"/>
  <c r="BX230" i="1" s="1"/>
  <c r="BV229" i="1"/>
  <c r="BX229" i="1" s="1"/>
  <c r="BV237" i="1"/>
  <c r="BX237" i="1" s="1"/>
  <c r="BV241" i="1"/>
  <c r="BX241" i="1" s="1"/>
  <c r="BX244" i="1"/>
  <c r="BV246" i="1"/>
  <c r="BX246" i="1" s="1"/>
  <c r="BV238" i="1"/>
  <c r="BX238" i="1" s="1"/>
  <c r="BV274" i="1"/>
  <c r="BX274" i="1" s="1"/>
  <c r="BV251" i="1"/>
  <c r="BX251" i="1" s="1"/>
  <c r="BV232" i="1"/>
  <c r="BX232" i="1" s="1"/>
  <c r="BV258" i="1"/>
  <c r="BX258" i="1" s="1"/>
  <c r="BV261" i="1"/>
  <c r="BX261" i="1" s="1"/>
  <c r="BV262" i="1"/>
  <c r="BX262" i="1" s="1"/>
  <c r="BV242" i="1"/>
  <c r="BX242" i="1" s="1"/>
  <c r="BV249" i="1"/>
  <c r="BX249" i="1" s="1"/>
  <c r="BV286" i="1"/>
  <c r="BX286" i="1" s="1"/>
  <c r="BV290" i="1"/>
  <c r="BX290" i="1" s="1"/>
  <c r="BV287" i="1"/>
  <c r="BX287" i="1" s="1"/>
  <c r="BV288" i="1"/>
  <c r="BX288" i="1" s="1"/>
  <c r="BV289" i="1"/>
  <c r="BX289" i="1" s="1"/>
  <c r="BV291" i="1"/>
  <c r="BX291" i="1" s="1"/>
  <c r="BV292" i="1"/>
  <c r="BX292" i="1" s="1"/>
  <c r="BV293" i="1"/>
  <c r="BX293" i="1" s="1"/>
  <c r="BV294" i="1"/>
  <c r="BX294" i="1" s="1"/>
  <c r="BV295" i="1"/>
  <c r="BX295" i="1" s="1"/>
  <c r="BV297" i="1"/>
  <c r="BX297" i="1" s="1"/>
  <c r="BV298" i="1"/>
  <c r="BX298" i="1" s="1"/>
  <c r="BV299" i="1"/>
  <c r="BX299" i="1" s="1"/>
  <c r="BV300" i="1"/>
  <c r="BX300" i="1" s="1"/>
  <c r="BV301" i="1"/>
  <c r="BX301" i="1" s="1"/>
  <c r="BV302" i="1"/>
  <c r="BX302" i="1" s="1"/>
  <c r="BV27" i="1"/>
  <c r="BX27" i="1" s="1"/>
  <c r="BV28" i="1"/>
  <c r="BX28" i="1" s="1"/>
  <c r="BV30" i="1"/>
  <c r="BX30" i="1" s="1"/>
  <c r="BV32" i="1"/>
  <c r="BX32" i="1" s="1"/>
  <c r="BV29" i="1"/>
  <c r="BX29" i="1" s="1"/>
  <c r="BV34" i="1"/>
  <c r="BX34" i="1" s="1"/>
  <c r="BV35" i="1"/>
  <c r="BX35" i="1" s="1"/>
  <c r="BV36" i="1"/>
  <c r="BX36" i="1" s="1"/>
  <c r="BV95" i="1"/>
  <c r="BX95" i="1" s="1"/>
  <c r="BV96" i="1"/>
  <c r="BX96" i="1" s="1"/>
  <c r="BV73" i="1"/>
  <c r="BX73" i="1" s="1"/>
  <c r="BX76" i="1"/>
  <c r="BV77" i="1"/>
  <c r="BX77" i="1" s="1"/>
  <c r="BV47" i="1"/>
  <c r="BX47" i="1" s="1"/>
  <c r="BV48" i="1"/>
  <c r="BX48" i="1" s="1"/>
  <c r="BV49" i="1"/>
  <c r="BX49" i="1" s="1"/>
  <c r="BV64" i="1"/>
  <c r="BX64" i="1" s="1"/>
  <c r="BV58" i="1"/>
  <c r="BX58" i="1" s="1"/>
  <c r="BV86" i="1"/>
  <c r="BX86" i="1" s="1"/>
  <c r="BV78" i="1"/>
  <c r="BX78" i="1" s="1"/>
  <c r="BV88" i="1"/>
  <c r="BX88" i="1" s="1"/>
  <c r="BV71" i="1"/>
  <c r="BX71" i="1" s="1"/>
  <c r="BV18" i="1"/>
  <c r="BX18" i="1" s="1"/>
  <c r="BV11" i="1"/>
  <c r="BX11" i="1" s="1"/>
  <c r="BV101" i="1"/>
  <c r="BX101" i="1" s="1"/>
  <c r="BV102" i="1"/>
  <c r="BX102" i="1" s="1"/>
  <c r="BV104" i="1"/>
  <c r="BX104" i="1" s="1"/>
  <c r="BV105" i="1"/>
  <c r="BX105" i="1" s="1"/>
  <c r="BV106" i="1"/>
  <c r="BX106" i="1" s="1"/>
  <c r="BV107" i="1"/>
  <c r="BX107" i="1" s="1"/>
  <c r="BV109" i="1"/>
  <c r="BX109" i="1" s="1"/>
  <c r="BV110" i="1"/>
  <c r="BX110"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2" i="1"/>
  <c r="AK11" i="1"/>
  <c r="AM11" i="1" s="1"/>
  <c r="BZ11" i="1" s="1" a="1"/>
  <c r="BZ11" i="1" s="1"/>
  <c r="CE11" i="1" s="1"/>
  <c r="C2" i="3" l="1"/>
  <c r="B2" i="3" s="1"/>
  <c r="B7" i="3"/>
  <c r="B8" i="3"/>
  <c r="B9" i="3"/>
  <c r="B10" i="3"/>
  <c r="AJ209" i="1" s="1"/>
  <c r="B11" i="3"/>
  <c r="AJ285"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J304" i="1" l="1"/>
  <c r="AJ305" i="1"/>
  <c r="AJ147" i="1"/>
  <c r="AJ40" i="1"/>
  <c r="AJ108" i="1"/>
  <c r="AJ111" i="1"/>
  <c r="AJ120" i="1"/>
  <c r="AJ67" i="1"/>
  <c r="AJ113" i="1"/>
  <c r="AJ39" i="1"/>
  <c r="AJ269" i="1"/>
  <c r="AJ9" i="1"/>
  <c r="AJ97" i="1"/>
  <c r="AJ83" i="1"/>
  <c r="AJ99" i="1"/>
  <c r="AJ5" i="1"/>
  <c r="AJ3" i="1"/>
  <c r="AJ98" i="1"/>
  <c r="AJ4" i="1"/>
  <c r="AJ7" i="1"/>
  <c r="AJ46" i="1"/>
  <c r="AJ61" i="1"/>
  <c r="AJ8" i="1"/>
  <c r="AJ6" i="1"/>
  <c r="AJ93" i="1"/>
  <c r="AJ94" i="1"/>
  <c r="AJ240" i="1"/>
  <c r="AJ271" i="1"/>
  <c r="AJ283" i="1"/>
  <c r="AJ277" i="1"/>
  <c r="AJ279" i="1"/>
  <c r="AJ264" i="1"/>
  <c r="AJ204" i="1"/>
  <c r="AJ284" i="1"/>
  <c r="AJ257" i="1"/>
  <c r="AJ253" i="1"/>
  <c r="AJ256" i="1"/>
  <c r="AJ50" i="1"/>
  <c r="AJ100" i="1"/>
  <c r="AJ103" i="1"/>
  <c r="AJ38" i="1"/>
  <c r="AJ26" i="1"/>
  <c r="AJ10" i="1"/>
  <c r="AJ296" i="1"/>
  <c r="AJ303" i="1"/>
  <c r="AJ42" i="1"/>
  <c r="AJ33" i="1"/>
  <c r="AJ31" i="1"/>
  <c r="AJ41" i="1"/>
  <c r="AJ91" i="1"/>
  <c r="AJ68" i="1"/>
  <c r="AJ129" i="1"/>
  <c r="AJ140" i="1"/>
  <c r="AJ90" i="1"/>
  <c r="AJ11" i="1"/>
  <c r="AJ62" i="1"/>
  <c r="AJ84" i="1"/>
  <c r="AJ24" i="1"/>
  <c r="AJ23" i="1"/>
  <c r="AJ22" i="1"/>
  <c r="AJ121" i="1"/>
  <c r="AJ126" i="1"/>
  <c r="AJ92" i="1"/>
  <c r="AJ82" i="1"/>
  <c r="AJ136" i="1"/>
  <c r="AJ131" i="1"/>
  <c r="AJ65" i="1"/>
  <c r="AJ81" i="1"/>
  <c r="AJ76" i="1"/>
  <c r="AJ55" i="1"/>
  <c r="AJ53" i="1"/>
  <c r="AJ52" i="1"/>
  <c r="AJ59" i="1"/>
  <c r="AJ72" i="1"/>
  <c r="AJ60" i="1"/>
  <c r="AJ206" i="1"/>
  <c r="AJ12" i="1"/>
  <c r="AJ15" i="1"/>
  <c r="AJ134" i="1"/>
  <c r="AJ13" i="1"/>
  <c r="AJ57" i="1"/>
  <c r="AJ87" i="1"/>
  <c r="AJ80" i="1"/>
  <c r="AJ79" i="1"/>
  <c r="AJ89" i="1"/>
  <c r="AJ75" i="1"/>
  <c r="AJ51" i="1"/>
  <c r="AJ25" i="1"/>
  <c r="AJ21" i="1"/>
  <c r="AJ20" i="1"/>
  <c r="AJ16" i="1"/>
  <c r="AJ2" i="1"/>
  <c r="AJ19" i="1"/>
  <c r="AJ74" i="1"/>
  <c r="AJ85" i="1"/>
  <c r="AJ63" i="1"/>
  <c r="AJ14" i="1"/>
  <c r="AJ260" i="1"/>
  <c r="AJ259" i="1"/>
  <c r="AJ263" i="1"/>
  <c r="AJ44" i="1"/>
  <c r="AJ43" i="1"/>
  <c r="AJ233" i="1"/>
  <c r="AJ234" i="1"/>
  <c r="AJ227" i="1"/>
  <c r="AJ254" i="1"/>
  <c r="AJ66" i="1"/>
  <c r="AJ69" i="1"/>
  <c r="AJ45" i="1"/>
  <c r="AJ216" i="1"/>
  <c r="AJ275" i="1"/>
  <c r="AJ278" i="1"/>
  <c r="AJ273" i="1"/>
  <c r="AJ276" i="1"/>
  <c r="AK174" i="1"/>
  <c r="AM174" i="1" s="1"/>
  <c r="BZ174" i="1" s="1" a="1"/>
  <c r="BZ174" i="1" s="1"/>
  <c r="CE174" i="1" s="1"/>
  <c r="AK175" i="1"/>
  <c r="AM175" i="1" s="1"/>
  <c r="BZ175" i="1" s="1" a="1"/>
  <c r="BZ175" i="1" s="1"/>
  <c r="CE175" i="1" s="1"/>
  <c r="AK18" i="1"/>
  <c r="AM18" i="1" s="1"/>
  <c r="BZ18" i="1" s="1" a="1"/>
  <c r="BZ18" i="1" s="1"/>
  <c r="CE18" i="1" s="1"/>
  <c r="AK101" i="1"/>
  <c r="AM101" i="1" s="1"/>
  <c r="BZ101" i="1" s="1" a="1"/>
  <c r="BZ101" i="1" s="1"/>
  <c r="CE101" i="1" s="1"/>
  <c r="AK102" i="1"/>
  <c r="AM102" i="1" s="1"/>
  <c r="BZ102" i="1" s="1" a="1"/>
  <c r="BZ102" i="1" s="1"/>
  <c r="CE102" i="1" s="1"/>
  <c r="AK104" i="1"/>
  <c r="AM104" i="1" s="1"/>
  <c r="BZ104" i="1" s="1" a="1"/>
  <c r="BZ104" i="1" s="1"/>
  <c r="CE104" i="1" s="1"/>
  <c r="AK105" i="1"/>
  <c r="AM105" i="1" s="1"/>
  <c r="BZ105" i="1" s="1" a="1"/>
  <c r="BZ105" i="1" s="1"/>
  <c r="CE105" i="1" s="1"/>
  <c r="AK106" i="1"/>
  <c r="AM106" i="1" s="1"/>
  <c r="BZ106" i="1" s="1" a="1"/>
  <c r="BZ106" i="1" s="1"/>
  <c r="CE106" i="1" s="1"/>
  <c r="AK107" i="1"/>
  <c r="AM107" i="1" s="1"/>
  <c r="BZ107" i="1" s="1" a="1"/>
  <c r="BZ107" i="1" s="1"/>
  <c r="CE107" i="1" s="1"/>
  <c r="AK109" i="1"/>
  <c r="AM109" i="1" s="1"/>
  <c r="BZ109" i="1" s="1" a="1"/>
  <c r="BZ109" i="1" s="1"/>
  <c r="CE109" i="1" s="1"/>
  <c r="AK110" i="1"/>
  <c r="AM110" i="1" s="1"/>
  <c r="BZ110" i="1" s="1" a="1"/>
  <c r="BZ110" i="1" s="1"/>
  <c r="CE110" i="1" s="1"/>
  <c r="AK112" i="1"/>
  <c r="AM112" i="1" s="1"/>
  <c r="BZ112" i="1" s="1" a="1"/>
  <c r="BZ112" i="1" s="1"/>
  <c r="CE112" i="1" s="1"/>
  <c r="AK114" i="1"/>
  <c r="AM114" i="1" s="1"/>
  <c r="BZ114" i="1" s="1" a="1"/>
  <c r="BZ114" i="1" s="1"/>
  <c r="CE114" i="1" s="1"/>
  <c r="AK115" i="1"/>
  <c r="AM115" i="1" s="1"/>
  <c r="BZ115" i="1" s="1" a="1"/>
  <c r="BZ115" i="1" s="1"/>
  <c r="CE115" i="1" s="1"/>
  <c r="AK116" i="1"/>
  <c r="AM116" i="1" s="1"/>
  <c r="BZ116" i="1" s="1" a="1"/>
  <c r="BZ116" i="1" s="1"/>
  <c r="CE116" i="1" s="1"/>
  <c r="AK117" i="1"/>
  <c r="AM117" i="1" s="1"/>
  <c r="BZ117" i="1" s="1" a="1"/>
  <c r="BZ117" i="1" s="1"/>
  <c r="CE117" i="1" s="1"/>
  <c r="AK118" i="1"/>
  <c r="AM118" i="1" s="1"/>
  <c r="BZ118" i="1" s="1" a="1"/>
  <c r="BZ118" i="1" s="1"/>
  <c r="CE118" i="1" s="1"/>
  <c r="AK122" i="1"/>
  <c r="AM122" i="1" s="1"/>
  <c r="BZ122" i="1" s="1" a="1"/>
  <c r="BZ122" i="1" s="1"/>
  <c r="CE122" i="1" s="1"/>
  <c r="AK123" i="1"/>
  <c r="AM123" i="1" s="1"/>
  <c r="BZ123" i="1" s="1" a="1"/>
  <c r="BZ123" i="1" s="1"/>
  <c r="CE123" i="1" s="1"/>
  <c r="AK219" i="1"/>
  <c r="AM219" i="1" s="1"/>
  <c r="BZ219" i="1" s="1" a="1"/>
  <c r="BZ219" i="1" s="1"/>
  <c r="CE219" i="1" s="1"/>
  <c r="AK124" i="1"/>
  <c r="AM124" i="1" s="1"/>
  <c r="BZ124" i="1" s="1" a="1"/>
  <c r="BZ124" i="1" s="1"/>
  <c r="CE124" i="1" s="1"/>
  <c r="AK125" i="1"/>
  <c r="AM125" i="1" s="1"/>
  <c r="BZ125" i="1" s="1" a="1"/>
  <c r="BZ125" i="1" s="1"/>
  <c r="CE125" i="1" s="1"/>
  <c r="AK127" i="1"/>
  <c r="AM127" i="1" s="1"/>
  <c r="BZ127" i="1" s="1" a="1"/>
  <c r="BZ127" i="1" s="1"/>
  <c r="CE127" i="1" s="1"/>
  <c r="AK128" i="1"/>
  <c r="AM128" i="1" s="1"/>
  <c r="BZ128" i="1" s="1" a="1"/>
  <c r="BZ128" i="1" s="1"/>
  <c r="CE128" i="1" s="1"/>
  <c r="AK130" i="1"/>
  <c r="AM130" i="1" s="1"/>
  <c r="BZ130" i="1" s="1" a="1"/>
  <c r="BZ130" i="1" s="1"/>
  <c r="CE130" i="1" s="1"/>
  <c r="AK132" i="1"/>
  <c r="AM132" i="1" s="1"/>
  <c r="BZ132" i="1" s="1" a="1"/>
  <c r="BZ132" i="1" s="1"/>
  <c r="CE132" i="1" s="1"/>
  <c r="AK138" i="1"/>
  <c r="AM138" i="1" s="1"/>
  <c r="BZ138" i="1" s="1" a="1"/>
  <c r="BZ138" i="1" s="1"/>
  <c r="CE138" i="1" s="1"/>
  <c r="AK133" i="1"/>
  <c r="AM133" i="1" s="1"/>
  <c r="BZ133" i="1" s="1" a="1"/>
  <c r="BZ133" i="1" s="1"/>
  <c r="CE133" i="1" s="1"/>
  <c r="AK135" i="1"/>
  <c r="AM135" i="1" s="1"/>
  <c r="BZ135" i="1" s="1" a="1"/>
  <c r="BZ135" i="1" s="1"/>
  <c r="CE135" i="1" s="1"/>
  <c r="AK119" i="1"/>
  <c r="AM119" i="1" s="1"/>
  <c r="BZ119" i="1" s="1" a="1"/>
  <c r="BZ119" i="1" s="1"/>
  <c r="CE119" i="1" s="1"/>
  <c r="AK137" i="1"/>
  <c r="AM137" i="1" s="1"/>
  <c r="BZ137" i="1" s="1" a="1"/>
  <c r="BZ137" i="1" s="1"/>
  <c r="CE137" i="1" s="1"/>
  <c r="AK139" i="1"/>
  <c r="AM139" i="1" s="1"/>
  <c r="BZ139" i="1" s="1" a="1"/>
  <c r="BZ139" i="1" s="1"/>
  <c r="CE139" i="1" s="1"/>
  <c r="AK141" i="1"/>
  <c r="AK142" i="1"/>
  <c r="AM142" i="1" s="1"/>
  <c r="BZ142" i="1" s="1" a="1"/>
  <c r="BZ142" i="1" s="1"/>
  <c r="CE142" i="1" s="1"/>
  <c r="AK143" i="1"/>
  <c r="AM143" i="1" s="1"/>
  <c r="BZ143" i="1" s="1" a="1"/>
  <c r="BZ143" i="1" s="1"/>
  <c r="CE143" i="1" s="1"/>
  <c r="AK144" i="1"/>
  <c r="AM144" i="1" s="1"/>
  <c r="BZ144" i="1" s="1" a="1"/>
  <c r="BZ144" i="1" s="1"/>
  <c r="CE144" i="1" s="1"/>
  <c r="AK145" i="1"/>
  <c r="AM145" i="1" s="1"/>
  <c r="BZ145" i="1" s="1" a="1"/>
  <c r="BZ145" i="1" s="1"/>
  <c r="CE145" i="1" s="1"/>
  <c r="AK146" i="1"/>
  <c r="AM146" i="1" s="1"/>
  <c r="BZ146" i="1" s="1" a="1"/>
  <c r="BZ146" i="1" s="1"/>
  <c r="CE146" i="1" s="1"/>
  <c r="AK148" i="1"/>
  <c r="AM148" i="1" s="1"/>
  <c r="BZ148" i="1" s="1" a="1"/>
  <c r="BZ148" i="1" s="1"/>
  <c r="CE148" i="1" s="1"/>
  <c r="AK149" i="1"/>
  <c r="AM149" i="1" s="1"/>
  <c r="BZ149" i="1" s="1" a="1"/>
  <c r="BZ149" i="1" s="1"/>
  <c r="CE149" i="1" s="1"/>
  <c r="AK150" i="1"/>
  <c r="AM150" i="1" s="1"/>
  <c r="BZ150" i="1" s="1" a="1"/>
  <c r="BZ150" i="1" s="1"/>
  <c r="CE150" i="1" s="1"/>
  <c r="AK151" i="1"/>
  <c r="AK152" i="1"/>
  <c r="AK153" i="1"/>
  <c r="AK154" i="1"/>
  <c r="AM154" i="1" s="1"/>
  <c r="BZ154" i="1" s="1" a="1"/>
  <c r="BZ154" i="1" s="1"/>
  <c r="CE154" i="1" s="1"/>
  <c r="AK155" i="1"/>
  <c r="AM155" i="1" s="1"/>
  <c r="BZ155" i="1" s="1" a="1"/>
  <c r="BZ155" i="1" s="1"/>
  <c r="CE155" i="1" s="1"/>
  <c r="AK156" i="1"/>
  <c r="AM156" i="1" s="1"/>
  <c r="BZ156" i="1" s="1" a="1"/>
  <c r="BZ156" i="1" s="1"/>
  <c r="CE156" i="1" s="1"/>
  <c r="AK157" i="1"/>
  <c r="AM157" i="1" s="1"/>
  <c r="BZ157" i="1" s="1" a="1"/>
  <c r="BZ157" i="1" s="1"/>
  <c r="CE157" i="1" s="1"/>
  <c r="AK158" i="1"/>
  <c r="AM158" i="1" s="1"/>
  <c r="BZ158" i="1" s="1" a="1"/>
  <c r="BZ158" i="1" s="1"/>
  <c r="CE158" i="1" s="1"/>
  <c r="AK159" i="1"/>
  <c r="AM159" i="1" s="1"/>
  <c r="BZ159" i="1" s="1" a="1"/>
  <c r="BZ159" i="1" s="1"/>
  <c r="CE159" i="1" s="1"/>
  <c r="AK160" i="1"/>
  <c r="AM160" i="1" s="1"/>
  <c r="BZ160" i="1" s="1" a="1"/>
  <c r="BZ160" i="1" s="1"/>
  <c r="CE160" i="1" s="1"/>
  <c r="AK161" i="1"/>
  <c r="AM161" i="1" s="1"/>
  <c r="BZ161" i="1" s="1" a="1"/>
  <c r="BZ161" i="1" s="1"/>
  <c r="CE161" i="1" s="1"/>
  <c r="AK162" i="1"/>
  <c r="AM162" i="1" s="1"/>
  <c r="BZ162" i="1" s="1" a="1"/>
  <c r="BZ162" i="1" s="1"/>
  <c r="CE162" i="1" s="1"/>
  <c r="AK163" i="1"/>
  <c r="AM163" i="1" s="1"/>
  <c r="BZ163" i="1" s="1" a="1"/>
  <c r="BZ163" i="1" s="1"/>
  <c r="CE163" i="1" s="1"/>
  <c r="AK164" i="1"/>
  <c r="AM164" i="1" s="1"/>
  <c r="BZ164" i="1" s="1" a="1"/>
  <c r="BZ164" i="1" s="1"/>
  <c r="CE164" i="1" s="1"/>
  <c r="AK165" i="1"/>
  <c r="AM165" i="1" s="1"/>
  <c r="BZ165" i="1" s="1" a="1"/>
  <c r="BZ165" i="1" s="1"/>
  <c r="CE165" i="1" s="1"/>
  <c r="AK166" i="1"/>
  <c r="AM166" i="1" s="1"/>
  <c r="BZ166" i="1" s="1" a="1"/>
  <c r="BZ166" i="1" s="1"/>
  <c r="CE166" i="1" s="1"/>
  <c r="AK167" i="1"/>
  <c r="AM167" i="1" s="1"/>
  <c r="BZ167" i="1" s="1" a="1"/>
  <c r="BZ167" i="1" s="1"/>
  <c r="CE167" i="1" s="1"/>
  <c r="AK168" i="1"/>
  <c r="AM168" i="1" s="1"/>
  <c r="BZ168" i="1" s="1" a="1"/>
  <c r="BZ168" i="1" s="1"/>
  <c r="CE168" i="1" s="1"/>
  <c r="AK170" i="1"/>
  <c r="AM170" i="1" s="1"/>
  <c r="BZ170" i="1" s="1" a="1"/>
  <c r="BZ170" i="1" s="1"/>
  <c r="CE170" i="1" s="1"/>
  <c r="AK171" i="1"/>
  <c r="AM171" i="1" s="1"/>
  <c r="BZ171" i="1" s="1" a="1"/>
  <c r="BZ171" i="1" s="1"/>
  <c r="CE171" i="1" s="1"/>
  <c r="AK172" i="1"/>
  <c r="AM172" i="1" s="1"/>
  <c r="BZ172" i="1" s="1" a="1"/>
  <c r="BZ172" i="1" s="1"/>
  <c r="CE172" i="1" s="1"/>
  <c r="AK173" i="1"/>
  <c r="AM173" i="1" s="1"/>
  <c r="BZ173" i="1" s="1" a="1"/>
  <c r="BZ173" i="1" s="1"/>
  <c r="CE173" i="1" s="1"/>
  <c r="AK176" i="1"/>
  <c r="AM176" i="1" s="1"/>
  <c r="BZ176" i="1" s="1" a="1"/>
  <c r="BZ176" i="1" s="1"/>
  <c r="CE176" i="1" s="1"/>
  <c r="AK177" i="1"/>
  <c r="AM177" i="1" s="1"/>
  <c r="BZ177" i="1" s="1" a="1"/>
  <c r="BZ177" i="1" s="1"/>
  <c r="CE177" i="1" s="1"/>
  <c r="AK178" i="1"/>
  <c r="AM178" i="1" s="1"/>
  <c r="BZ178" i="1" s="1" a="1"/>
  <c r="BZ178" i="1" s="1"/>
  <c r="CE178" i="1" s="1"/>
  <c r="AK179" i="1"/>
  <c r="AM179" i="1" s="1"/>
  <c r="BZ179" i="1" s="1" a="1"/>
  <c r="BZ179" i="1" s="1"/>
  <c r="CE179" i="1" s="1"/>
  <c r="AK180" i="1"/>
  <c r="AM180" i="1" s="1"/>
  <c r="BZ180" i="1" s="1" a="1"/>
  <c r="BZ180" i="1" s="1"/>
  <c r="CE180" i="1" s="1"/>
  <c r="AK181" i="1"/>
  <c r="AM181" i="1" s="1"/>
  <c r="BZ181" i="1" s="1" a="1"/>
  <c r="BZ181" i="1" s="1"/>
  <c r="CE181" i="1" s="1"/>
  <c r="AK182" i="1"/>
  <c r="AM182" i="1" s="1"/>
  <c r="BZ182" i="1" s="1" a="1"/>
  <c r="BZ182" i="1" s="1"/>
  <c r="CE182" i="1" s="1"/>
  <c r="AK183" i="1"/>
  <c r="AM183" i="1" s="1"/>
  <c r="BZ183" i="1" s="1" a="1"/>
  <c r="BZ183" i="1" s="1"/>
  <c r="CE183" i="1" s="1"/>
  <c r="AK185" i="1"/>
  <c r="AM185" i="1" s="1"/>
  <c r="BZ185" i="1" s="1" a="1"/>
  <c r="BZ185" i="1" s="1"/>
  <c r="CE185" i="1" s="1"/>
  <c r="AK186" i="1"/>
  <c r="AM186" i="1" s="1"/>
  <c r="BZ186" i="1" s="1" a="1"/>
  <c r="BZ186" i="1" s="1"/>
  <c r="CE186" i="1" s="1"/>
  <c r="AK187" i="1"/>
  <c r="AM187" i="1" s="1"/>
  <c r="BZ187" i="1" s="1" a="1"/>
  <c r="BZ187" i="1" s="1"/>
  <c r="CE187" i="1" s="1"/>
  <c r="AK188" i="1"/>
  <c r="AM188" i="1" s="1"/>
  <c r="BZ188" i="1" s="1" a="1"/>
  <c r="BZ188" i="1" s="1"/>
  <c r="CE188" i="1" s="1"/>
  <c r="AK189" i="1"/>
  <c r="AM189" i="1" s="1"/>
  <c r="BZ189" i="1" s="1" a="1"/>
  <c r="BZ189" i="1" s="1"/>
  <c r="CE189" i="1" s="1"/>
  <c r="AK226" i="1"/>
  <c r="AM226" i="1" s="1"/>
  <c r="BZ226" i="1" s="1" a="1"/>
  <c r="BZ226" i="1" s="1"/>
  <c r="CE226" i="1" s="1"/>
  <c r="AK190" i="1"/>
  <c r="AM190" i="1" s="1"/>
  <c r="BZ190" i="1" s="1" a="1"/>
  <c r="BZ190" i="1" s="1"/>
  <c r="CE190" i="1" s="1"/>
  <c r="AK191" i="1"/>
  <c r="AM191" i="1" s="1"/>
  <c r="BZ191" i="1" s="1" a="1"/>
  <c r="BZ191" i="1" s="1"/>
  <c r="CE191" i="1" s="1"/>
  <c r="AK192" i="1"/>
  <c r="AM192" i="1" s="1"/>
  <c r="BZ192" i="1" s="1" a="1"/>
  <c r="BZ192" i="1" s="1"/>
  <c r="CE192" i="1" s="1"/>
  <c r="AK184" i="1"/>
  <c r="AM184" i="1" s="1"/>
  <c r="BZ184" i="1" s="1" a="1"/>
  <c r="BZ184" i="1" s="1"/>
  <c r="CE184" i="1" s="1"/>
  <c r="AK193" i="1"/>
  <c r="AM193" i="1" s="1"/>
  <c r="BZ193" i="1" s="1" a="1"/>
  <c r="BZ193" i="1" s="1"/>
  <c r="CE193" i="1" s="1"/>
  <c r="AK194" i="1"/>
  <c r="AM194" i="1" s="1"/>
  <c r="BZ194" i="1" s="1" a="1"/>
  <c r="BZ194" i="1" s="1"/>
  <c r="CE194" i="1" s="1"/>
  <c r="AK195" i="1"/>
  <c r="AM195" i="1" s="1"/>
  <c r="BZ195" i="1" s="1" a="1"/>
  <c r="BZ195" i="1" s="1"/>
  <c r="CE195" i="1" s="1"/>
  <c r="AK196" i="1"/>
  <c r="AM196" i="1" s="1"/>
  <c r="BZ196" i="1" s="1" a="1"/>
  <c r="BZ196" i="1" s="1"/>
  <c r="CE196" i="1" s="1"/>
  <c r="AK197" i="1"/>
  <c r="AM197" i="1" s="1"/>
  <c r="BZ197" i="1" s="1" a="1"/>
  <c r="BZ197" i="1" s="1"/>
  <c r="CE197" i="1" s="1"/>
  <c r="AK198" i="1"/>
  <c r="AM198" i="1" s="1"/>
  <c r="BZ198" i="1" s="1" a="1"/>
  <c r="BZ198" i="1" s="1"/>
  <c r="CE198" i="1" s="1"/>
  <c r="AK199" i="1"/>
  <c r="AM199" i="1" s="1"/>
  <c r="BZ199" i="1" s="1" a="1"/>
  <c r="BZ199" i="1" s="1"/>
  <c r="CE199" i="1" s="1"/>
  <c r="AK200" i="1"/>
  <c r="AM200" i="1" s="1"/>
  <c r="BZ200" i="1" s="1" a="1"/>
  <c r="BZ200" i="1" s="1"/>
  <c r="CE200" i="1" s="1"/>
  <c r="AK201" i="1"/>
  <c r="AM201" i="1" s="1"/>
  <c r="BZ201" i="1" s="1" a="1"/>
  <c r="BZ201" i="1" s="1"/>
  <c r="CE201" i="1" s="1"/>
  <c r="AK202" i="1"/>
  <c r="AM202" i="1" s="1"/>
  <c r="BZ202" i="1" s="1" a="1"/>
  <c r="BZ202" i="1" s="1"/>
  <c r="CE202" i="1" s="1"/>
  <c r="AK203" i="1"/>
  <c r="AM203" i="1" s="1"/>
  <c r="BZ203" i="1" s="1" a="1"/>
  <c r="BZ203" i="1" s="1"/>
  <c r="CE203" i="1" s="1"/>
  <c r="AK205" i="1"/>
  <c r="AM205" i="1" s="1"/>
  <c r="BZ205" i="1" s="1" a="1"/>
  <c r="BZ205" i="1" s="1"/>
  <c r="CE205" i="1" s="1"/>
  <c r="AK207" i="1"/>
  <c r="AM207" i="1" s="1"/>
  <c r="BZ207" i="1" s="1" a="1"/>
  <c r="BZ207" i="1" s="1"/>
  <c r="CE207" i="1" s="1"/>
  <c r="AK210" i="1"/>
  <c r="AM210" i="1" s="1"/>
  <c r="BZ210" i="1" s="1" a="1"/>
  <c r="BZ210" i="1" s="1"/>
  <c r="CE210" i="1" s="1"/>
  <c r="AK211" i="1"/>
  <c r="AM211" i="1" s="1"/>
  <c r="BZ211" i="1" s="1" a="1"/>
  <c r="BZ211" i="1" s="1"/>
  <c r="CE211" i="1" s="1"/>
  <c r="AK212" i="1"/>
  <c r="AM212" i="1" s="1"/>
  <c r="BZ212" i="1" s="1" a="1"/>
  <c r="BZ212" i="1" s="1"/>
  <c r="CE212" i="1" s="1"/>
  <c r="AK213" i="1"/>
  <c r="AM213" i="1" s="1"/>
  <c r="BZ213" i="1" s="1" a="1"/>
  <c r="BZ213" i="1" s="1"/>
  <c r="CE213" i="1" s="1"/>
  <c r="AK214" i="1"/>
  <c r="AM214" i="1" s="1"/>
  <c r="BZ214" i="1" s="1" a="1"/>
  <c r="BZ214" i="1" s="1"/>
  <c r="CE214" i="1" s="1"/>
  <c r="AK215" i="1"/>
  <c r="AM215" i="1" s="1"/>
  <c r="BZ215" i="1" s="1" a="1"/>
  <c r="BZ215" i="1" s="1"/>
  <c r="CE215" i="1" s="1"/>
  <c r="AK217" i="1"/>
  <c r="AM217" i="1" s="1"/>
  <c r="BZ217" i="1" s="1" a="1"/>
  <c r="BZ217" i="1" s="1"/>
  <c r="CE217" i="1" s="1"/>
  <c r="AK220" i="1"/>
  <c r="AM220" i="1" s="1"/>
  <c r="BZ220" i="1" s="1" a="1"/>
  <c r="BZ220" i="1" s="1"/>
  <c r="CE220" i="1" s="1"/>
  <c r="AK221" i="1"/>
  <c r="AM221" i="1" s="1"/>
  <c r="BZ221" i="1" s="1" a="1"/>
  <c r="BZ221" i="1" s="1"/>
  <c r="CE221" i="1" s="1"/>
  <c r="AK222" i="1"/>
  <c r="AM222" i="1" s="1"/>
  <c r="BZ222" i="1" s="1" a="1"/>
  <c r="BZ222" i="1" s="1"/>
  <c r="CE222" i="1" s="1"/>
  <c r="AK223" i="1"/>
  <c r="AM223" i="1" s="1"/>
  <c r="BZ223" i="1" s="1" a="1"/>
  <c r="BZ223" i="1" s="1"/>
  <c r="CE223" i="1" s="1"/>
  <c r="AK218" i="1"/>
  <c r="AM218" i="1" s="1"/>
  <c r="BZ218" i="1" s="1" a="1"/>
  <c r="BZ218" i="1" s="1"/>
  <c r="CE218" i="1" s="1"/>
  <c r="AK228" i="1"/>
  <c r="AM228" i="1" s="1"/>
  <c r="BZ228" i="1" s="1" a="1"/>
  <c r="BZ228" i="1" s="1"/>
  <c r="CE228" i="1" s="1"/>
  <c r="AK265" i="1"/>
  <c r="AM265" i="1" s="1"/>
  <c r="BZ265" i="1" s="1" a="1"/>
  <c r="BZ265" i="1" s="1"/>
  <c r="CE265" i="1" s="1"/>
  <c r="AK247" i="1"/>
  <c r="AM247" i="1" s="1"/>
  <c r="BZ247" i="1" s="1" a="1"/>
  <c r="BZ247" i="1" s="1"/>
  <c r="CE247" i="1" s="1"/>
  <c r="AK255" i="1"/>
  <c r="AM255" i="1" s="1"/>
  <c r="BZ255" i="1" s="1" a="1"/>
  <c r="BZ255" i="1" s="1"/>
  <c r="CE255" i="1" s="1"/>
  <c r="AK270" i="1"/>
  <c r="AM270" i="1" s="1"/>
  <c r="BZ270" i="1" s="1" a="1"/>
  <c r="BZ270" i="1" s="1"/>
  <c r="CE270" i="1" s="1"/>
  <c r="AK239" i="1"/>
  <c r="AM239" i="1" s="1"/>
  <c r="BZ239" i="1" s="1" a="1"/>
  <c r="BZ239" i="1" s="1"/>
  <c r="CE239" i="1" s="1"/>
  <c r="AK235" i="1"/>
  <c r="AM235" i="1" s="1"/>
  <c r="BZ235" i="1" s="1" a="1"/>
  <c r="BZ235" i="1" s="1"/>
  <c r="CE235" i="1" s="1"/>
  <c r="AK231" i="1"/>
  <c r="AM231" i="1" s="1"/>
  <c r="BZ231" i="1" s="1" a="1"/>
  <c r="BZ231" i="1" s="1"/>
  <c r="CE231" i="1" s="1"/>
  <c r="AK252" i="1"/>
  <c r="AM252" i="1" s="1"/>
  <c r="BZ252" i="1" s="1" a="1"/>
  <c r="BZ252" i="1" s="1"/>
  <c r="CE252" i="1" s="1"/>
  <c r="AK272" i="1"/>
  <c r="AM272" i="1" s="1"/>
  <c r="BZ272" i="1" s="1" a="1"/>
  <c r="BZ272" i="1" s="1"/>
  <c r="CE272" i="1" s="1"/>
  <c r="AK266" i="1"/>
  <c r="AM266" i="1" s="1"/>
  <c r="BZ266" i="1" s="1" a="1"/>
  <c r="BZ266" i="1" s="1"/>
  <c r="CE266" i="1" s="1"/>
  <c r="AK268" i="1"/>
  <c r="AM268" i="1" s="1"/>
  <c r="BZ268" i="1" s="1" a="1"/>
  <c r="BZ268" i="1" s="1"/>
  <c r="CE268" i="1" s="1"/>
  <c r="AK236" i="1"/>
  <c r="AM236" i="1" s="1"/>
  <c r="BZ236" i="1" s="1" a="1"/>
  <c r="BZ236" i="1" s="1"/>
  <c r="CE236" i="1" s="1"/>
  <c r="AK245" i="1"/>
  <c r="AM245" i="1" s="1"/>
  <c r="BZ245" i="1" s="1" a="1"/>
  <c r="BZ245" i="1" s="1"/>
  <c r="CE245" i="1" s="1"/>
  <c r="AK224" i="1"/>
  <c r="AM224" i="1" s="1"/>
  <c r="BZ224" i="1" s="1" a="1"/>
  <c r="BZ224" i="1" s="1"/>
  <c r="CE224" i="1" s="1"/>
  <c r="AK225" i="1"/>
  <c r="AM225" i="1" s="1"/>
  <c r="BZ225" i="1" s="1" a="1"/>
  <c r="BZ225" i="1" s="1"/>
  <c r="CE225" i="1" s="1"/>
  <c r="AK230" i="1"/>
  <c r="AM230" i="1" s="1"/>
  <c r="BZ230" i="1" s="1" a="1"/>
  <c r="BZ230" i="1" s="1"/>
  <c r="CE230" i="1" s="1"/>
  <c r="AK229" i="1"/>
  <c r="AM229" i="1" s="1"/>
  <c r="BZ229" i="1" s="1" a="1"/>
  <c r="BZ229" i="1" s="1"/>
  <c r="CE229" i="1" s="1"/>
  <c r="AK237" i="1"/>
  <c r="AM237" i="1" s="1"/>
  <c r="BZ237" i="1" s="1" a="1"/>
  <c r="BZ237" i="1" s="1"/>
  <c r="CE237" i="1" s="1"/>
  <c r="AK241" i="1"/>
  <c r="AM241" i="1" s="1"/>
  <c r="BZ241" i="1" s="1" a="1"/>
  <c r="BZ241" i="1" s="1"/>
  <c r="CE241" i="1" s="1"/>
  <c r="AK244" i="1"/>
  <c r="AM244" i="1" s="1"/>
  <c r="BZ244" i="1" s="1" a="1"/>
  <c r="BZ244" i="1" s="1"/>
  <c r="CE244" i="1" s="1"/>
  <c r="AK246" i="1"/>
  <c r="AM246" i="1" s="1"/>
  <c r="BZ246" i="1" s="1" a="1"/>
  <c r="BZ246" i="1" s="1"/>
  <c r="CE246" i="1" s="1"/>
  <c r="AK238" i="1"/>
  <c r="AM238" i="1" s="1"/>
  <c r="BZ238" i="1" s="1" a="1"/>
  <c r="BZ238" i="1" s="1"/>
  <c r="CE238" i="1" s="1"/>
  <c r="AK274" i="1"/>
  <c r="AM274" i="1" s="1"/>
  <c r="BZ274" i="1" s="1" a="1"/>
  <c r="BZ274" i="1" s="1"/>
  <c r="CE274" i="1" s="1"/>
  <c r="AK251" i="1"/>
  <c r="AM251" i="1" s="1"/>
  <c r="BZ251" i="1" s="1" a="1"/>
  <c r="BZ251" i="1" s="1"/>
  <c r="CE251" i="1" s="1"/>
  <c r="AK258" i="1"/>
  <c r="AM258" i="1" s="1"/>
  <c r="BZ258" i="1" s="1" a="1"/>
  <c r="BZ258" i="1" s="1"/>
  <c r="CE258" i="1" s="1"/>
  <c r="AK261" i="1"/>
  <c r="AM261" i="1" s="1"/>
  <c r="BZ261" i="1" s="1" a="1"/>
  <c r="BZ261" i="1" s="1"/>
  <c r="CE261" i="1" s="1"/>
  <c r="AK262" i="1"/>
  <c r="AM262" i="1" s="1"/>
  <c r="BZ262" i="1" s="1" a="1"/>
  <c r="BZ262" i="1" s="1"/>
  <c r="CE262" i="1" s="1"/>
  <c r="AK242" i="1"/>
  <c r="AM242" i="1" s="1"/>
  <c r="BZ242" i="1" s="1" a="1"/>
  <c r="BZ242" i="1" s="1"/>
  <c r="CE242" i="1" s="1"/>
  <c r="AK249" i="1"/>
  <c r="AM249" i="1" s="1"/>
  <c r="AK286" i="1"/>
  <c r="AM286" i="1" s="1"/>
  <c r="BZ286" i="1" s="1" a="1"/>
  <c r="BZ286" i="1" s="1"/>
  <c r="CE286" i="1" s="1"/>
  <c r="AK290" i="1"/>
  <c r="AM290" i="1" s="1"/>
  <c r="BZ290" i="1" s="1" a="1"/>
  <c r="BZ290" i="1" s="1"/>
  <c r="CE290" i="1" s="1"/>
  <c r="AK287" i="1"/>
  <c r="AM287" i="1" s="1"/>
  <c r="BZ287" i="1" s="1" a="1"/>
  <c r="BZ287" i="1" s="1"/>
  <c r="CE287" i="1" s="1"/>
  <c r="AK288" i="1"/>
  <c r="AM288" i="1" s="1"/>
  <c r="BZ288" i="1" s="1" a="1"/>
  <c r="BZ288" i="1" s="1"/>
  <c r="CE288" i="1" s="1"/>
  <c r="AK289" i="1"/>
  <c r="AM289" i="1" s="1"/>
  <c r="BZ289" i="1" s="1" a="1"/>
  <c r="BZ289" i="1" s="1"/>
  <c r="CE289" i="1" s="1"/>
  <c r="AK291" i="1"/>
  <c r="AM291" i="1" s="1"/>
  <c r="BZ291" i="1" s="1" a="1"/>
  <c r="BZ291" i="1" s="1"/>
  <c r="CE291" i="1" s="1"/>
  <c r="AK292" i="1"/>
  <c r="AM292" i="1" s="1"/>
  <c r="BZ292" i="1" s="1" a="1"/>
  <c r="BZ292" i="1" s="1"/>
  <c r="CE292" i="1" s="1"/>
  <c r="AK293" i="1"/>
  <c r="AM293" i="1" s="1"/>
  <c r="BZ293" i="1" s="1" a="1"/>
  <c r="BZ293" i="1" s="1"/>
  <c r="CE293" i="1" s="1"/>
  <c r="AK294" i="1"/>
  <c r="AM294" i="1" s="1"/>
  <c r="BZ294" i="1" s="1" a="1"/>
  <c r="BZ294" i="1" s="1"/>
  <c r="CE294" i="1" s="1"/>
  <c r="AK295" i="1"/>
  <c r="AM295" i="1" s="1"/>
  <c r="BZ295" i="1" s="1" a="1"/>
  <c r="BZ295" i="1" s="1"/>
  <c r="CE295" i="1" s="1"/>
  <c r="AK297" i="1"/>
  <c r="AM297" i="1" s="1"/>
  <c r="BZ297" i="1" s="1" a="1"/>
  <c r="BZ297" i="1" s="1"/>
  <c r="CE297" i="1" s="1"/>
  <c r="AK298" i="1"/>
  <c r="AM298" i="1" s="1"/>
  <c r="BZ298" i="1" s="1" a="1"/>
  <c r="BZ298" i="1" s="1"/>
  <c r="CE298" i="1" s="1"/>
  <c r="AK299" i="1"/>
  <c r="AM299" i="1" s="1"/>
  <c r="BZ299" i="1" s="1" a="1"/>
  <c r="BZ299" i="1" s="1"/>
  <c r="CE299" i="1" s="1"/>
  <c r="AK300" i="1"/>
  <c r="AM300" i="1" s="1"/>
  <c r="BZ300" i="1" s="1" a="1"/>
  <c r="BZ300" i="1" s="1"/>
  <c r="CE300" i="1" s="1"/>
  <c r="AK301" i="1"/>
  <c r="AM301" i="1" s="1"/>
  <c r="BZ301" i="1" s="1" a="1"/>
  <c r="BZ301" i="1" s="1"/>
  <c r="CE301" i="1" s="1"/>
  <c r="AK302" i="1"/>
  <c r="AM302" i="1" s="1"/>
  <c r="BZ302" i="1" s="1" a="1"/>
  <c r="BZ302" i="1" s="1"/>
  <c r="CE302" i="1" s="1"/>
  <c r="AK27" i="1"/>
  <c r="AM27" i="1" s="1"/>
  <c r="BZ27" i="1" s="1" a="1"/>
  <c r="BZ27" i="1" s="1"/>
  <c r="CE27" i="1" s="1"/>
  <c r="AK28" i="1"/>
  <c r="AM28" i="1" s="1"/>
  <c r="BZ28" i="1" s="1" a="1"/>
  <c r="BZ28" i="1" s="1"/>
  <c r="CE28" i="1" s="1"/>
  <c r="AK30" i="1"/>
  <c r="AM30" i="1" s="1"/>
  <c r="BZ30" i="1" s="1" a="1"/>
  <c r="BZ30" i="1" s="1"/>
  <c r="CE30" i="1" s="1"/>
  <c r="AK32" i="1"/>
  <c r="AM32" i="1" s="1"/>
  <c r="BZ32" i="1" s="1" a="1"/>
  <c r="BZ32" i="1" s="1"/>
  <c r="CE32" i="1" s="1"/>
  <c r="AK29" i="1"/>
  <c r="AM29" i="1" s="1"/>
  <c r="BZ29" i="1" s="1" a="1"/>
  <c r="BZ29" i="1" s="1"/>
  <c r="CE29" i="1" s="1"/>
  <c r="AK34" i="1"/>
  <c r="AM34" i="1" s="1"/>
  <c r="BZ34" i="1" s="1" a="1"/>
  <c r="BZ34" i="1" s="1"/>
  <c r="CE34" i="1" s="1"/>
  <c r="AK35" i="1"/>
  <c r="AM35" i="1" s="1"/>
  <c r="BZ35" i="1" s="1" a="1"/>
  <c r="BZ35" i="1" s="1"/>
  <c r="CE35" i="1" s="1"/>
  <c r="AK36" i="1"/>
  <c r="AM36" i="1" s="1"/>
  <c r="BZ36" i="1" s="1" a="1"/>
  <c r="BZ36" i="1" s="1"/>
  <c r="CE36" i="1" s="1"/>
  <c r="AK95" i="1"/>
  <c r="AM95" i="1" s="1"/>
  <c r="BZ95" i="1" s="1" a="1"/>
  <c r="BZ95" i="1" s="1"/>
  <c r="CE95" i="1" s="1"/>
  <c r="AK96" i="1"/>
  <c r="AM96" i="1" s="1"/>
  <c r="BZ96" i="1" s="1" a="1"/>
  <c r="BZ96" i="1" s="1"/>
  <c r="CE96" i="1" s="1"/>
  <c r="AK73" i="1"/>
  <c r="AM73" i="1" s="1"/>
  <c r="BZ73" i="1" s="1" a="1"/>
  <c r="BZ73" i="1" s="1"/>
  <c r="CE73" i="1" s="1"/>
  <c r="AK77" i="1"/>
  <c r="AM77" i="1" s="1"/>
  <c r="BZ77" i="1" s="1" a="1"/>
  <c r="BZ77" i="1" s="1"/>
  <c r="CE77" i="1" s="1"/>
  <c r="AK47" i="1"/>
  <c r="AM47" i="1" s="1"/>
  <c r="BZ47" i="1" s="1" a="1"/>
  <c r="BZ47" i="1" s="1"/>
  <c r="CE47" i="1" s="1"/>
  <c r="AK48" i="1"/>
  <c r="AM48" i="1" s="1"/>
  <c r="BZ48" i="1" s="1" a="1"/>
  <c r="BZ48" i="1" s="1"/>
  <c r="CE48" i="1" s="1"/>
  <c r="AK49" i="1"/>
  <c r="AM49" i="1" s="1"/>
  <c r="BZ49" i="1" s="1" a="1"/>
  <c r="BZ49" i="1" s="1"/>
  <c r="CE49" i="1" s="1"/>
  <c r="AK54" i="1"/>
  <c r="AM54" i="1" s="1"/>
  <c r="BZ54" i="1" s="1" a="1"/>
  <c r="BZ54" i="1" s="1"/>
  <c r="CE54" i="1" s="1"/>
  <c r="AK56" i="1"/>
  <c r="AM56" i="1" s="1"/>
  <c r="BZ56" i="1" s="1" a="1"/>
  <c r="BZ56" i="1" s="1"/>
  <c r="CE56" i="1" s="1"/>
  <c r="AK64" i="1"/>
  <c r="AM64" i="1" s="1"/>
  <c r="BZ64" i="1" s="1" a="1"/>
  <c r="BZ64" i="1" s="1"/>
  <c r="CE64" i="1" s="1"/>
  <c r="AK58" i="1"/>
  <c r="AM58" i="1" s="1"/>
  <c r="BZ58" i="1" s="1" a="1"/>
  <c r="BZ58" i="1" s="1"/>
  <c r="CE58" i="1" s="1"/>
  <c r="AK86" i="1"/>
  <c r="AM86" i="1" s="1"/>
  <c r="BZ86" i="1" s="1" a="1"/>
  <c r="BZ86" i="1" s="1"/>
  <c r="CE86" i="1" s="1"/>
  <c r="AK78" i="1"/>
  <c r="AM78" i="1" s="1"/>
  <c r="BZ78" i="1" s="1" a="1"/>
  <c r="BZ78" i="1" s="1"/>
  <c r="CE78" i="1" s="1"/>
  <c r="AK88" i="1"/>
  <c r="AM88" i="1" s="1"/>
  <c r="BZ88" i="1" s="1" a="1"/>
  <c r="BZ88" i="1" s="1"/>
  <c r="CE88" i="1" s="1"/>
  <c r="AK71" i="1"/>
  <c r="AM71" i="1" s="1"/>
  <c r="BZ71" i="1" s="1" a="1"/>
  <c r="BZ71" i="1" s="1"/>
  <c r="CE71" i="1" s="1"/>
  <c r="AK17" i="1"/>
  <c r="AM17" i="1" s="1"/>
  <c r="BZ17" i="1" s="1" a="1"/>
  <c r="BZ17" i="1" s="1"/>
  <c r="CE17" i="1" s="1"/>
  <c r="AM147" i="1" l="1"/>
  <c r="BZ147" i="1" s="1" a="1"/>
  <c r="BZ147" i="1" s="1"/>
  <c r="CE147" i="1" s="1"/>
  <c r="AM152" i="1"/>
  <c r="BZ152" i="1" s="1" a="1"/>
  <c r="BZ152" i="1" s="1"/>
  <c r="CE152" i="1" s="1"/>
  <c r="AM151" i="1"/>
  <c r="BZ151" i="1" s="1" a="1"/>
  <c r="BZ151" i="1" s="1"/>
  <c r="CE151" i="1" s="1"/>
  <c r="AM141" i="1"/>
  <c r="BZ141" i="1" s="1" a="1"/>
  <c r="BZ141" i="1" s="1"/>
  <c r="CE141" i="1" s="1"/>
  <c r="AM153" i="1"/>
  <c r="BZ153" i="1" s="1" a="1"/>
  <c r="BZ153" i="1" s="1"/>
  <c r="CE153" i="1" s="1"/>
  <c r="AJ299" i="1"/>
  <c r="AJ56" i="1"/>
  <c r="AJ54" i="1"/>
  <c r="AJ141" i="1"/>
  <c r="AJ152" i="1"/>
  <c r="AJ151" i="1"/>
  <c r="AJ17" i="1"/>
  <c r="AJ135" i="1"/>
  <c r="AJ132" i="1"/>
  <c r="AJ125" i="1"/>
  <c r="AJ122" i="1"/>
  <c r="AJ112" i="1"/>
  <c r="AJ106" i="1"/>
  <c r="AJ104" i="1"/>
  <c r="AJ32" i="1"/>
  <c r="AJ242" i="1"/>
  <c r="AJ229" i="1"/>
  <c r="AJ239" i="1"/>
  <c r="AJ213" i="1"/>
  <c r="AJ197" i="1"/>
  <c r="AJ187" i="1"/>
  <c r="AJ172" i="1"/>
  <c r="AJ164" i="1"/>
  <c r="AJ154" i="1"/>
  <c r="AJ298" i="1"/>
  <c r="AJ262" i="1"/>
  <c r="AJ230" i="1"/>
  <c r="AJ252" i="1"/>
  <c r="AJ223" i="1"/>
  <c r="AJ205" i="1"/>
  <c r="AJ184" i="1"/>
  <c r="AJ181" i="1"/>
  <c r="AJ171" i="1"/>
  <c r="AJ163" i="1"/>
  <c r="AJ153" i="1"/>
  <c r="AJ144" i="1"/>
  <c r="AJ139" i="1"/>
  <c r="AJ133" i="1"/>
  <c r="AJ124" i="1"/>
  <c r="AJ116" i="1"/>
  <c r="AJ110" i="1"/>
  <c r="AJ102" i="1"/>
  <c r="AJ18" i="1"/>
  <c r="AJ88" i="1"/>
  <c r="AJ77" i="1"/>
  <c r="AJ294" i="1"/>
  <c r="AJ287" i="1"/>
  <c r="AJ246" i="1"/>
  <c r="AJ272" i="1"/>
  <c r="AJ218" i="1"/>
  <c r="AJ207" i="1"/>
  <c r="AJ193" i="1"/>
  <c r="AJ182" i="1"/>
  <c r="AJ168" i="1"/>
  <c r="AJ157" i="1"/>
  <c r="AJ150" i="1"/>
  <c r="AJ49" i="1"/>
  <c r="AJ96" i="1"/>
  <c r="AJ30" i="1"/>
  <c r="AJ293" i="1"/>
  <c r="AJ290" i="1"/>
  <c r="AJ251" i="1"/>
  <c r="AJ236" i="1"/>
  <c r="AJ212" i="1"/>
  <c r="AJ200" i="1"/>
  <c r="AJ196" i="1"/>
  <c r="AJ186" i="1"/>
  <c r="AJ177" i="1"/>
  <c r="AJ167" i="1"/>
  <c r="AJ156" i="1"/>
  <c r="AJ149" i="1"/>
  <c r="AJ78" i="1"/>
  <c r="AJ64" i="1"/>
  <c r="AJ34" i="1"/>
  <c r="AJ28" i="1"/>
  <c r="AJ300" i="1"/>
  <c r="AJ297" i="1"/>
  <c r="AJ292" i="1"/>
  <c r="AJ286" i="1"/>
  <c r="AJ261" i="1"/>
  <c r="AJ274" i="1"/>
  <c r="AJ241" i="1"/>
  <c r="AJ225" i="1"/>
  <c r="AJ268" i="1"/>
  <c r="AJ231" i="1"/>
  <c r="AJ255" i="1"/>
  <c r="AJ228" i="1"/>
  <c r="AJ222" i="1"/>
  <c r="AJ215" i="1"/>
  <c r="AJ211" i="1"/>
  <c r="AJ203" i="1"/>
  <c r="AJ199" i="1"/>
  <c r="AJ195" i="1"/>
  <c r="AJ192" i="1"/>
  <c r="AJ189" i="1"/>
  <c r="AJ185" i="1"/>
  <c r="AJ180" i="1"/>
  <c r="AJ176" i="1"/>
  <c r="AJ170" i="1"/>
  <c r="AJ166" i="1"/>
  <c r="AJ162" i="1"/>
  <c r="AJ159" i="1"/>
  <c r="AJ155" i="1"/>
  <c r="AJ148" i="1"/>
  <c r="AJ143" i="1"/>
  <c r="AJ137" i="1"/>
  <c r="AJ219" i="1"/>
  <c r="AJ118" i="1"/>
  <c r="AJ115" i="1"/>
  <c r="AJ109" i="1"/>
  <c r="AJ105" i="1"/>
  <c r="AJ101" i="1"/>
  <c r="AJ175" i="1"/>
  <c r="AJ36" i="1"/>
  <c r="AJ302" i="1"/>
  <c r="AJ232" i="1"/>
  <c r="AJ245" i="1"/>
  <c r="AJ265" i="1"/>
  <c r="AJ220" i="1"/>
  <c r="AJ201" i="1"/>
  <c r="AJ190" i="1"/>
  <c r="AJ178" i="1"/>
  <c r="AJ160" i="1"/>
  <c r="AJ145" i="1"/>
  <c r="AJ58" i="1"/>
  <c r="AJ35" i="1"/>
  <c r="AJ301" i="1"/>
  <c r="AJ289" i="1"/>
  <c r="AJ244" i="1"/>
  <c r="AJ270" i="1"/>
  <c r="AJ217" i="1"/>
  <c r="AJ226" i="1"/>
  <c r="AJ48" i="1"/>
  <c r="AJ95" i="1"/>
  <c r="AJ71" i="1"/>
  <c r="AJ86" i="1"/>
  <c r="AJ47" i="1"/>
  <c r="AJ73" i="1"/>
  <c r="AJ29" i="1"/>
  <c r="AJ27" i="1"/>
  <c r="AJ295" i="1"/>
  <c r="AJ291" i="1"/>
  <c r="AJ288" i="1"/>
  <c r="AJ249" i="1"/>
  <c r="AJ258" i="1"/>
  <c r="AJ238" i="1"/>
  <c r="AJ237" i="1"/>
  <c r="AJ224" i="1"/>
  <c r="AJ266" i="1"/>
  <c r="AJ235" i="1"/>
  <c r="AJ247" i="1"/>
  <c r="AJ221" i="1"/>
  <c r="AJ214" i="1"/>
  <c r="AJ210" i="1"/>
  <c r="AJ202" i="1"/>
  <c r="AJ198" i="1"/>
  <c r="AJ194" i="1"/>
  <c r="AJ191" i="1"/>
  <c r="AJ188" i="1"/>
  <c r="AJ183" i="1"/>
  <c r="AJ179" i="1"/>
  <c r="AJ173" i="1"/>
  <c r="AJ169" i="1"/>
  <c r="AJ165" i="1"/>
  <c r="AJ161" i="1"/>
  <c r="AJ158" i="1"/>
  <c r="AJ146" i="1"/>
  <c r="AJ142" i="1"/>
  <c r="AJ119" i="1"/>
  <c r="AJ138" i="1"/>
  <c r="AJ127" i="1"/>
  <c r="AJ123" i="1"/>
  <c r="AJ117" i="1"/>
  <c r="AJ114" i="1"/>
  <c r="AJ107" i="1"/>
  <c r="AJ174" i="1"/>
  <c r="AJ130" i="1"/>
  <c r="AJ128" i="1"/>
  <c r="M239" i="1" l="1"/>
  <c r="BB239" i="1" s="1"/>
  <c r="BI239" i="1" s="1"/>
  <c r="M270" i="1"/>
  <c r="BB270" i="1" s="1"/>
  <c r="BI270" i="1" s="1"/>
  <c r="BK270" i="1" l="1"/>
  <c r="BH270" i="1"/>
  <c r="BJ270" i="1" s="1"/>
  <c r="BK239" i="1"/>
  <c r="BH239" i="1"/>
  <c r="BJ239" i="1" s="1"/>
  <c r="V218" i="1"/>
  <c r="Z218" i="1" s="1"/>
  <c r="M186" i="1" l="1"/>
  <c r="BB186" i="1" s="1"/>
  <c r="M180" i="1"/>
  <c r="BB180" i="1" s="1"/>
  <c r="BI180" i="1" l="1"/>
  <c r="BK180" i="1" s="1"/>
  <c r="BI186" i="1"/>
  <c r="BK186" i="1" s="1"/>
  <c r="BH180" i="1"/>
  <c r="BJ180" i="1" s="1"/>
  <c r="BH186" i="1"/>
  <c r="BJ186" i="1" s="1"/>
  <c r="V133" i="1"/>
  <c r="Z133" i="1" s="1"/>
  <c r="V114" i="1"/>
  <c r="Z11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<sst xmlns="http://schemas.openxmlformats.org/spreadsheetml/2006/main" count="3662" uniqueCount="1521">
  <si>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</si>
  <si>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</si>
  <si>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</si>
  <si>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</si>
  <si>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</si>
  <si>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</si>
  <si>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</si>
  <si>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</si>
  <si>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</si>
  <si>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</si>
  <si>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</si>
  <si>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</si>
  <si>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</si>
  <si>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</si>
  <si>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</si>
  <si>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</si>
  <si>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</si>
  <si>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</si>
  <si>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</si>
  <si>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</si>
  <si>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</si>
  <si>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</si>
  <si>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</si>
  <si>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</si>
  <si>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</si>
  <si>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</si>
  <si>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</si>
  <si>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</si>
  <si>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</si>
  <si>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</si>
  <si>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</si>
  <si>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</si>
  <si>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</si>
  <si>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</si>
  <si>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</si>
  <si>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</si>
  <si>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</si>
  <si>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</si>
  <si>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</si>
  <si>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</si>
  <si>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</si>
  <si>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</si>
  <si>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</si>
  <si>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</si>
  <si>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</si>
  <si>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</si>
  <si>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</si>
  <si>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</si>
  <si>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</si>
  <si>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</si>
  <si>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</si>
  <si>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</si>
  <si>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</si>
  <si>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</si>
  <si>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</si>
  <si>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</si>
  <si>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</si>
  <si>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</si>
  <si>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</si>
  <si>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</si>
  <si>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</si>
  <si>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</si>
  <si>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</si>
  <si>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</si>
  <si>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</si>
  <si>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</si>
  <si>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</si>
  <si>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</si>
  <si>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</si>
  <si>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</si>
  <si>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</si>
  <si>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</si>
  <si>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</si>
  <si>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</si>
  <si>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</si>
  <si>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</si>
  <si>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</si>
  <si>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</si>
  <si>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</si>
  <si>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</si>
  <si>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</si>
  <si>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</si>
  <si>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</si>
  <si>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</si>
  <si>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</si>
  <si>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</si>
  <si>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</si>
  <si>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</si>
  <si>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</si>
  <si>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</si>
  <si>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</si>
  <si>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</si>
  <si>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</si>
  <si>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</si>
  <si>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</si>
  <si>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</si>
  <si>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</si>
  <si>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</si>
  <si>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</si>
  <si>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</si>
  <si>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</si>
  <si>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</si>
  <si>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</si>
  <si>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</si>
  <si>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</si>
  <si>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</si>
  <si>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</si>
  <si>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</si>
  <si>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</si>
  <si>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</si>
  <si>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</si>
  <si>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</si>
  <si>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</si>
  <si>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</si>
  <si>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</si>
  <si>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</si>
  <si>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</si>
  <si>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</si>
  <si>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</si>
  <si>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</si>
  <si>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</si>
  <si>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</si>
  <si>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</si>
  <si>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</si>
  <si>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</si>
  <si>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</si>
  <si>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</si>
  <si>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</si>
  <si>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</si>
  <si>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</si>
  <si>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</si>
  <si>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</si>
  <si>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</si>
  <si>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</si>
  <si>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</si>
  <si>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</si>
  <si>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</si>
  <si>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</si>
  <si>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</si>
  <si>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</si>
  <si>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</si>
  <si>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</si>
  <si>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</si>
  <si>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</si>
  <si>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</si>
  <si>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</si>
  <si>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</si>
  <si>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</si>
  <si>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</si>
  <si>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</si>
  <si>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</si>
  <si>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</si>
  <si>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</si>
  <si>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</si>
  <si>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</si>
  <si>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</si>
  <si>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</si>
  <si>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</si>
  <si>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</si>
  <si>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</si>
  <si>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</si>
  <si>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</si>
  <si>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</si>
  <si>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</si>
  <si>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</si>
  <si>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</si>
  <si>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</si>
  <si>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</si>
  <si>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</si>
  <si>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</si>
  <si>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</si>
  <si>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</si>
  <si>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</si>
  <si>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</si>
  <si>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</si>
  <si>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</si>
  <si>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</si>
  <si>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</si>
  <si>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</si>
  <si>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</si>
  <si>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</si>
  <si>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</si>
  <si>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</si>
  <si>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</si>
  <si>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</si>
  <si>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</si>
  <si>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</si>
  <si>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</si>
  <si>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</si>
  <si>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</si>
  <si>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</si>
  <si>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</si>
  <si>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</si>
  <si>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</si>
  <si>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</si>
  <si>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</si>
  <si>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</si>
  <si>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</si>
  <si>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</si>
  <si>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</si>
  <si>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</si>
  <si>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</si>
  <si>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</si>
  <si>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</si>
  <si>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</si>
  <si>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</si>
  <si>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</si>
  <si>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</si>
  <si>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</si>
  <si>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</si>
  <si>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</si>
  <si>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</si>
  <si>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</si>
  <si>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</si>
  <si>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</si>
  <si>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</si>
  <si>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</si>
  <si>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</si>
  <si>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</si>
  <si>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</si>
  <si>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</si>
  <si>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</si>
  <si>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</si>
  <si>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</si>
  <si>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</si>
  <si>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</si>
  <si>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</si>
  <si>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</si>
  <si>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</si>
  <si>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</si>
  <si>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</si>
  <si>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</si>
  <si>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</si>
  <si>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</si>
  <si>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</si>
  <si>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</si>
  <si>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</si>
  <si>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</si>
  <si>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</si>
  <si>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</si>
  <si>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</si>
  <si>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</si>
  <si>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</si>
  <si>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</si>
  <si>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</si>
  <si>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</si>
  <si>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</si>
  <si>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</si>
  <si>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</si>
  <si>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</si>
  <si>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</si>
  <si>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</si>
  <si>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</si>
  <si>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</si>
  <si>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</si>
  <si>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</si>
  <si>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</si>
  <si>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</si>
  <si>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</si>
  <si>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</si>
  <si>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</si>
  <si>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</si>
  <si>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</si>
  <si>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</si>
  <si>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</si>
  <si>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</si>
  <si>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</si>
  <si>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</si>
  <si>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</si>
  <si>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</si>
  <si>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</si>
  <si>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</si>
  <si>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</si>
  <si>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</si>
  <si>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</si>
  <si>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</si>
  <si>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</si>
  <si>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</si>
  <si>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</si>
  <si>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</si>
  <si>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</si>
  <si>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</si>
  <si>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</si>
  <si>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</si>
  <si>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</si>
  <si>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</si>
  <si>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</si>
  <si>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</si>
  <si>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</si>
  <si>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</si>
  <si>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</si>
  <si>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</si>
  <si>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</si>
  <si>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</si>
  <si>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</si>
  <si>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</si>
  <si>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</si>
  <si>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</si>
  <si>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</si>
  <si>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</si>
  <si>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</si>
  <si>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</si>
  <si>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</si>
  <si>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</si>
  <si>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</si>
  <si>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</si>
  <si>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</si>
  <si>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</si>
  <si>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</si>
  <si>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</si>
  <si>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</si>
  <si>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</si>
  <si>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</si>
  <si>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</si>
  <si>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</si>
  <si>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</si>
  <si>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</si>
  <si>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</si>
  <si>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</si>
  <si>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</si>
  <si>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</si>
  <si>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</si>
  <si>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</si>
  <si>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</si>
  <si>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</si>
  <si>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</si>
  <si>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</si>
  <si>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</si>
  <si>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</si>
  <si>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</si>
  <si>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</si>
  <si>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</si>
  <si>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</si>
  <si>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</si>
  <si>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</si>
  <si>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</si>
  <si>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</si>
  <si>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</si>
  <si>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</si>
  <si>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</si>
  <si>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</si>
  <si>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</si>
  <si>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</si>
  <si>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</si>
  <si>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</si>
  <si>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</si>
  <si>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</si>
  <si>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</si>
  <si>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</si>
  <si>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</si>
  <si>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</si>
  <si>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</si>
  <si>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</si>
  <si>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</si>
  <si>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</si>
  <si>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</si>
  <si>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</si>
  <si>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</si>
  <si>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</si>
  <si>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</si>
  <si>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</si>
  <si>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</si>
  <si>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</si>
  <si>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</si>
  <si>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</si>
  <si>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</si>
  <si>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</si>
  <si>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</si>
  <si>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</si>
  <si>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</si>
  <si>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</si>
  <si>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</si>
  <si>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</si>
  <si>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</si>
  <si>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</si>
  <si>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</si>
  <si>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</si>
  <si>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</si>
  <si>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</si>
  <si>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</si>
  <si>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</si>
  <si>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</si>
  <si>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</si>
  <si>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</si>
  <si>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</si>
  <si>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</si>
  <si>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</si>
  <si>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</si>
  <si>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</si>
  <si>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</si>
  <si>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</si>
  <si>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</si>
  <si>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</si>
  <si>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</si>
  <si>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</si>
  <si>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</si>
  <si>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</si>
  <si>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</si>
  <si>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</si>
  <si>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</si>
  <si>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</si>
  <si>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</si>
  <si>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</si>
  <si>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</si>
  <si>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</si>
  <si>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</si>
  <si>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</si>
  <si>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</si>
  <si>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</si>
  <si>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</si>
  <si>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</si>
  <si>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</si>
  <si>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</si>
  <si>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</si>
  <si>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</si>
  <si>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</si>
  <si>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</si>
  <si>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</si>
  <si>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</si>
  <si>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</si>
  <si>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</si>
  <si>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</si>
  <si>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</si>
  <si>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</si>
  <si>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</si>
  <si>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</si>
  <si>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</si>
  <si>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</si>
  <si>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</si>
  <si>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</si>
  <si>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</si>
  <si>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</si>
  <si>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</si>
  <si>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</si>
  <si>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</si>
  <si>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</si>
  <si>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</si>
  <si>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</si>
  <si>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</si>
  <si>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</si>
  <si>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</si>
  <si>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</si>
  <si>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</si>
  <si>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</si>
  <si>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</si>
  <si>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</si>
  <si>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</si>
  <si>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</si>
  <si>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</si>
  <si>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</si>
  <si>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</si>
  <si>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</si>
  <si>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</si>
  <si>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</si>
  <si>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</si>
  <si>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</si>
  <si>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</si>
  <si>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</si>
  <si>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</si>
  <si>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</si>
  <si>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</si>
  <si>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</si>
  <si>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</si>
  <si>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</si>
  <si>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</si>
  <si>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</si>
  <si>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</si>
  <si>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</si>
  <si>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</si>
  <si>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</si>
  <si>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</si>
  <si>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</si>
  <si>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</si>
  <si>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</si>
  <si>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</si>
  <si>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</si>
  <si>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</si>
  <si>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</si>
  <si>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</si>
  <si>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</si>
  <si>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</si>
  <si>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</si>
  <si>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</si>
  <si>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</si>
  <si>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</si>
  <si>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</si>
  <si>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</si>
  <si>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</si>
  <si>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</si>
  <si>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</si>
  <si>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</si>
  <si>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</si>
  <si>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</si>
  <si>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</si>
  <si>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</si>
  <si>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</si>
  <si>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</si>
  <si>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</si>
  <si>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</si>
  <si>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</si>
  <si>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</si>
  <si>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</si>
  <si>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</si>
  <si>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</si>
  <si>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</si>
  <si>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</si>
  <si>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</si>
  <si>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</si>
  <si>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</si>
  <si>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</si>
  <si>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</si>
  <si>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</si>
  <si>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</si>
  <si>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</si>
  <si>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</si>
  <si>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</si>
  <si>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</si>
  <si>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</si>
  <si>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</si>
  <si>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</si>
  <si>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</si>
  <si>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</si>
  <si>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</si>
  <si>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</si>
  <si>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</si>
  <si>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</si>
  <si>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</si>
  <si>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</si>
  <si>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</si>
  <si>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</si>
  <si>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</si>
  <si>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</si>
  <si>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</si>
  <si>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</si>
  <si>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</si>
  <si>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</si>
  <si>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</si>
  <si>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</si>
  <si>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</si>
  <si>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</si>
  <si>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</si>
  <si>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</si>
  <si>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</si>
  <si>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</si>
  <si>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</si>
  <si>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</si>
  <si>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</si>
  <si>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</si>
  <si>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</si>
  <si>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</si>
  <si>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</si>
  <si>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</si>
  <si>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</si>
  <si>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</si>
  <si>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</si>
  <si>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</si>
  <si>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</si>
  <si>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</si>
  <si>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</si>
  <si>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</si>
  <si>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</si>
  <si>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</si>
  <si>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</si>
  <si>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</si>
  <si>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</si>
  <si>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</si>
  <si>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</si>
  <si>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</si>
  <si>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</si>
  <si>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</si>
  <si>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</si>
  <si>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</si>
  <si>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</si>
  <si>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</si>
  <si>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</si>
  <si>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</si>
  <si>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</si>
  <si>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</si>
  <si>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</si>
  <si>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</si>
  <si>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</si>
  <si>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</si>
  <si>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</si>
  <si>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</si>
  <si>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</si>
  <si>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</si>
  <si>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</si>
  <si>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</si>
  <si>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</si>
  <si>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</si>
  <si>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</si>
  <si>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</si>
  <si>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</si>
  <si>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</si>
  <si>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</si>
  <si>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</si>
  <si>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</si>
  <si>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</si>
  <si>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</si>
  <si>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</si>
  <si>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</si>
  <si>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</si>
  <si>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</si>
  <si>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</si>
  <si>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</si>
  <si>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</si>
  <si>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</si>
  <si>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</si>
  <si>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</si>
  <si>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</si>
  <si>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</si>
  <si>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</si>
  <si>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</si>
  <si>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</si>
  <si>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</si>
  <si>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</si>
  <si>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</si>
  <si>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</si>
  <si>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</si>
  <si>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</si>
  <si>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</si>
  <si>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</si>
  <si>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</si>
  <si>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</si>
  <si>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</si>
  <si>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</si>
  <si>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</si>
  <si>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</si>
  <si>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</si>
  <si>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</si>
  <si>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</si>
  <si>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</si>
  <si>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</si>
  <si>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</si>
  <si>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</si>
  <si>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</si>
  <si>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</si>
  <si>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</si>
  <si>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</si>
  <si>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</si>
  <si>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</si>
  <si>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</si>
  <si>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</si>
  <si>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</si>
  <si>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</si>
  <si>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</si>
  <si>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</si>
  <si>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</si>
  <si>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</si>
  <si>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</si>
  <si>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</si>
  <si>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</si>
  <si>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</si>
  <si>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</si>
  <si>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</si>
  <si>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</si>
  <si>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</si>
  <si>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</si>
  <si>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</si>
  <si>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</si>
  <si>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</si>
  <si>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</si>
  <si>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</si>
  <si>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</si>
  <si>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</si>
  <si>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</si>
  <si>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</si>
  <si>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</si>
  <si>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</si>
  <si>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</si>
  <si>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</si>
  <si>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</si>
  <si>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</si>
  <si>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</si>
  <si>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</si>
  <si>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</si>
  <si>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</si>
  <si>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</si>
  <si>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</si>
  <si>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</si>
  <si>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</si>
  <si>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</si>
  <si>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</si>
  <si>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</si>
  <si>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</si>
  <si>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</si>
  <si>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</si>
  <si>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</si>
  <si>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</si>
  <si>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</si>
  <si>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</si>
  <si>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</si>
  <si>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</si>
  <si>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</si>
  <si>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</si>
  <si>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</si>
  <si>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</si>
  <si>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</si>
  <si>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</si>
  <si>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</si>
  <si>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</si>
  <si>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</si>
  <si>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</si>
  <si>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</si>
  <si>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</si>
  <si>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</si>
  <si>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</si>
  <si>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</si>
  <si>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</si>
  <si>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</si>
  <si>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</si>
  <si>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</si>
  <si>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</si>
  <si>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</si>
  <si>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</si>
  <si>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</si>
  <si>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</si>
  <si>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</si>
  <si>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</si>
  <si>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</si>
  <si>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</si>
  <si>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</si>
  <si>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</si>
  <si>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</si>
  <si>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</si>
  <si>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</si>
  <si>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</si>
  <si>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</si>
  <si>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</si>
  <si>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</si>
  <si>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</si>
  <si>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</si>
  <si>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</si>
  <si>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</si>
  <si>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</si>
  <si>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</si>
  <si>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</si>
  <si>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</si>
  <si>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</si>
  <si>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</si>
  <si>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</si>
  <si>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</si>
  <si>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</si>
  <si>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</si>
  <si>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</si>
  <si>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</si>
  <si>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</si>
  <si>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</si>
  <si>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</si>
  <si>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</si>
  <si>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</si>
  <si>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</si>
  <si>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</si>
  <si>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</si>
  <si>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</si>
  <si>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</si>
  <si>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</si>
  <si>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</si>
  <si>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</si>
  <si>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</si>
  <si>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</si>
  <si>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</si>
  <si>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</si>
  <si>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</si>
  <si>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</si>
  <si>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</si>
  <si>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</si>
  <si>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</si>
  <si>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</si>
  <si>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</si>
  <si>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</si>
  <si>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</si>
  <si>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</si>
  <si>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</si>
  <si>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</si>
  <si>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</si>
  <si>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</si>
  <si>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</si>
  <si>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</si>
  <si>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</si>
  <si>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</si>
  <si>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</si>
  <si>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</si>
  <si>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</si>
  <si>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</si>
  <si>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</si>
  <si>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</si>
  <si>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</si>
  <si>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</si>
  <si>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</si>
  <si>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</si>
  <si>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</si>
  <si>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</si>
  <si>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</si>
  <si>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</si>
  <si>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</si>
  <si>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</si>
  <si>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</si>
  <si>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</si>
  <si>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</si>
  <si>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</si>
  <si>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</si>
  <si>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</si>
  <si>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</si>
  <si>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</si>
  <si>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</si>
  <si>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</si>
  <si>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</si>
  <si>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</si>
  <si>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</si>
  <si>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</si>
  <si>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</si>
  <si>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</si>
  <si>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</si>
  <si>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</si>
  <si>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</si>
  <si>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</si>
  <si>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</si>
  <si>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</si>
  <si>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</si>
  <si>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</si>
  <si>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</si>
  <si>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</si>
  <si>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</si>
  <si>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</si>
  <si>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</si>
  <si>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</si>
  <si>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</si>
  <si>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</si>
  <si>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</si>
  <si>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</si>
  <si>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</si>
  <si>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</si>
  <si>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</si>
  <si>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</si>
  <si>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</si>
  <si>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</si>
  <si>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</si>
  <si>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</si>
  <si>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</si>
  <si>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</si>
  <si>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</si>
  <si>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</si>
  <si>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</si>
  <si>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</si>
  <si>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</si>
  <si>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</si>
  <si>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</si>
  <si>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</si>
  <si>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</si>
  <si>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</si>
  <si>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</si>
  <si>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</si>
  <si>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</si>
  <si>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</si>
  <si>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</si>
  <si>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</si>
  <si>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</si>
  <si>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</si>
  <si>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</si>
  <si>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</si>
  <si>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</si>
  <si>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</si>
  <si>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</si>
  <si>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</si>
  <si>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</si>
  <si>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</si>
  <si>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</si>
  <si>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</si>
  <si>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</si>
  <si>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</si>
  <si>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</si>
  <si>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</si>
  <si>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</si>
  <si>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</si>
  <si>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</si>
  <si>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</si>
  <si>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</si>
  <si>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</si>
  <si>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</si>
  <si>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</si>
  <si>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</si>
  <si>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</si>
  <si>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</si>
  <si>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</si>
  <si>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</si>
  <si>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</si>
  <si>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</si>
  <si>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</si>
  <si>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</si>
  <si>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</si>
  <si>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</si>
  <si>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</si>
  <si>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</si>
  <si>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</si>
  <si>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</si>
  <si>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</si>
  <si>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</si>
  <si>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</si>
  <si>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</si>
  <si>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</si>
  <si>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</si>
  <si>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</si>
  <si>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</si>
  <si>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</si>
  <si>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</si>
  <si>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</si>
  <si>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</si>
  <si>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</si>
  <si>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</si>
  <si>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</si>
  <si>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</si>
  <si>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</si>
  <si>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</si>
  <si>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</si>
  <si>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</si>
  <si>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</si>
  <si>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</si>
  <si>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</si>
  <si>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</si>
  <si>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</si>
  <si>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</si>
  <si>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</si>
  <si>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</si>
  <si>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</si>
  <si>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</si>
  <si>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</si>
  <si>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</si>
  <si>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</si>
  <si>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</si>
  <si>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</si>
  <si>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</si>
  <si>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</si>
  <si>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</si>
  <si>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</si>
  <si>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</si>
  <si>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</si>
  <si>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</si>
  <si>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</si>
  <si>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</si>
  <si>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</si>
  <si>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</si>
  <si>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</si>
  <si>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</si>
  <si>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</si>
  <si>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</si>
  <si>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</si>
  <si>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</si>
  <si>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</si>
  <si>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</si>
  <si>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</si>
  <si>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</si>
  <si>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</si>
  <si>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</si>
  <si>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</si>
  <si>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</si>
  <si>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</si>
  <si>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</si>
  <si>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</si>
  <si>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</si>
  <si>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</si>
  <si>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</si>
  <si>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</si>
  <si>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</si>
  <si>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</si>
  <si>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</si>
  <si>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</si>
  <si>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</si>
  <si>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</si>
  <si>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</si>
  <si>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</si>
  <si>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</si>
  <si>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</si>
  <si>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</si>
  <si>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</si>
  <si>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</si>
  <si>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</si>
  <si>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</si>
  <si>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</si>
  <si>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</si>
  <si>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</si>
  <si>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</si>
  <si>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</si>
  <si>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</si>
  <si>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</si>
  <si>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</si>
  <si>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</si>
  <si>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</si>
  <si>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</si>
  <si>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</si>
  <si>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</si>
  <si>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</si>
  <si>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</si>
  <si>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</si>
  <si>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</si>
  <si>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</si>
  <si>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</si>
  <si>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</si>
  <si>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</si>
  <si>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</si>
  <si>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</si>
  <si>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</si>
  <si>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</si>
  <si>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</si>
  <si>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</si>
  <si>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</si>
  <si>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</si>
  <si>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</si>
  <si>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</si>
  <si>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</si>
  <si>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</si>
  <si>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</si>
  <si>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</si>
  <si>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</si>
  <si>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</si>
  <si>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</si>
  <si>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</si>
  <si>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</si>
  <si>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</si>
  <si>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</si>
  <si>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</si>
  <si>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</si>
  <si>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</si>
  <si>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</si>
  <si>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</si>
  <si>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</si>
  <si>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</si>
  <si>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</si>
  <si>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</si>
  <si>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</si>
  <si>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</si>
  <si>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</si>
  <si>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</si>
  <si>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</si>
  <si>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</si>
  <si>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</si>
  <si>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</si>
  <si>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</si>
  <si>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</si>
  <si>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</si>
  <si>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</si>
  <si>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</si>
  <si>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</si>
  <si>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</si>
  <si>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</si>
  <si>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</si>
  <si>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</si>
  <si>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</si>
  <si>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</si>
  <si>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</si>
  <si>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</si>
  <si>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</si>
  <si>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</si>
  <si>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</si>
  <si>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</si>
  <si>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</si>
  <si>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</si>
  <si>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</si>
  <si>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</si>
  <si>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</si>
  <si>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</si>
  <si>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</si>
  <si>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</si>
  <si>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</si>
  <si>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</si>
  <si>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</si>
  <si>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</si>
  <si>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</si>
  <si>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</si>
  <si>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</si>
  <si>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</si>
  <si>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</si>
  <si>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</si>
  <si>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</si>
  <si>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</si>
  <si>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</si>
  <si>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</si>
  <si>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</si>
  <si>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</si>
  <si>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</si>
  <si>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</si>
  <si>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</si>
  <si>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</si>
  <si>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</si>
  <si>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</si>
  <si>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</si>
  <si>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</si>
  <si>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</si>
  <si>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</si>
  <si>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</si>
  <si>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</si>
  <si>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</si>
  <si>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</si>
  <si>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</si>
  <si>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</si>
  <si>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</si>
  <si>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</si>
  <si>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</si>
  <si>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</si>
  <si>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</si>
  <si>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</si>
  <si>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</si>
  <si>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</si>
  <si>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</si>
  <si>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</si>
  <si>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</si>
  <si>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</si>
  <si>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</si>
  <si>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</si>
  <si>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</si>
  <si>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</si>
  <si>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</si>
  <si>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</si>
  <si>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</si>
  <si>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</si>
  <si>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</si>
  <si>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</si>
  <si>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</si>
  <si>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</si>
  <si>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</si>
  <si>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</si>
  <si>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</si>
  <si>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</si>
  <si>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</si>
  <si>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</si>
  <si>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</si>
  <si>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</si>
  <si>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</si>
  <si>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</si>
  <si>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</si>
  <si>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</si>
  <si>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</si>
  <si>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</si>
  <si>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</si>
  <si>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</si>
  <si>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</si>
  <si>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</si>
  <si>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</si>
  <si>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</si>
  <si>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</si>
  <si>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</si>
  <si>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</si>
  <si>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</si>
  <si>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</si>
  <si>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</si>
  <si>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</si>
  <si>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</si>
  <si>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</si>
  <si>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</si>
  <si>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</si>
  <si>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</si>
  <si>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</si>
  <si>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</si>
  <si>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</si>
  <si>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</si>
  <si>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</si>
  <si>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</si>
  <si>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</si>
  <si>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</si>
  <si>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</si>
  <si>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</si>
  <si>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</si>
  <si>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</si>
  <si>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</si>
  <si>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</si>
  <si>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</si>
  <si>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</si>
  <si>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</si>
  <si>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</si>
  <si>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</si>
  <si>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</si>
  <si>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</si>
  <si>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</si>
  <si>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</si>
  <si>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</si>
  <si>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</si>
  <si>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</si>
  <si>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</si>
  <si>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</si>
  <si>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</si>
  <si>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</si>
  <si>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</si>
  <si>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</si>
  <si>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</si>
  <si>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</si>
  <si>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</si>
  <si>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</si>
  <si>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</si>
  <si>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</si>
  <si>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</si>
  <si>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</si>
  <si>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</si>
  <si>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</si>
  <si>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</si>
  <si>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</si>
  <si>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</si>
  <si>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</si>
  <si>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</si>
  <si>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</si>
  <si>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</si>
  <si>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</si>
  <si>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</si>
  <si>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</si>
  <si>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</si>
  <si>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</si>
  <si>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</si>
  <si>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</si>
  <si>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</si>
  <si>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</si>
  <si>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</si>
  <si>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</si>
  <si>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</si>
  <si>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</si>
  <si>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</si>
  <si>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</si>
  <si>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</si>
  <si>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</si>
  <si>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</si>
  <si>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</si>
  <si>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</si>
  <si>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</si>
  <si>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</si>
  <si>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</si>
  <si>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</si>
  <si>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</si>
  <si>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</si>
  <si>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</si>
  <si>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</si>
  <si>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</si>
  <si>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</si>
  <si>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</si>
  <si>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</si>
  <si>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</si>
  <si>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</si>
  <si>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</si>
  <si>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</si>
  <si>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</si>
  <si>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</si>
  <si>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</si>
  <si>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</si>
  <si>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</si>
  <si>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</si>
  <si>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</si>
  <si>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</si>
  <si>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</si>
  <si>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</si>
  <si>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</si>
  <si>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</si>
  <si>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</si>
  <si>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</si>
  <si>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</si>
  <si>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</si>
  <si>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</si>
  <si>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</si>
  <si>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</si>
  <si>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</si>
  <si>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</si>
  <si>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</si>
  <si>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</si>
  <si>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</si>
  <si>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</si>
  <si>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</si>
  <si>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</si>
  <si>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</si>
  <si>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</si>
  <si>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</si>
  <si>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</si>
  <si>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</si>
  <si>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</si>
  <si>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</si>
  <si>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</si>
  <si>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</si>
  <si>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</si>
  <si>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</si>
  <si>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</si>
  <si>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</si>
  <si>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</si>
  <si>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</si>
  <si>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</si>
  <si>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</si>
  <si>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</si>
  <si>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</si>
  <si>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</si>
  <si>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</si>
  <si>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</si>
  <si>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</si>
  <si>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</si>
  <si>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</si>
  <si>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</si>
  <si>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</si>
  <si>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</si>
  <si>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</si>
  <si>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</si>
  <si>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</si>
  <si>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</si>
  <si>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</si>
  <si>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</si>
  <si>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</si>
  <si>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</si>
  <si>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</si>
  <si>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</si>
  <si>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</si>
  <si>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</si>
  <si>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</si>
  <si>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</si>
  <si>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</si>
  <si>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</si>
  <si>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</si>
  <si>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</si>
  <si>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</si>
  <si>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</si>
  <si>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</si>
  <si>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</si>
  <si>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</si>
  <si>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</si>
  <si>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</si>
  <si>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</si>
  <si>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</si>
  <si>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</si>
  <si>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</si>
  <si>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</si>
  <si>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</si>
  <si>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</si>
  <si>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</si>
  <si>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</si>
  <si>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</si>
  <si>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</si>
  <si>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</si>
  <si>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</si>
  <si>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</si>
  <si>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</si>
  <si>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</si>
  <si>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</si>
  <si>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</si>
  <si>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</si>
  <si>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</si>
  <si>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</si>
  <si>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</si>
  <si>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</si>
  <si>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</si>
  <si>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</si>
  <si>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</si>
  <si>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</si>
  <si>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</si>
  <si>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</si>
  <si>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</si>
  <si>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</si>
  <si>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</si>
  <si>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</si>
  <si>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</si>
  <si>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</si>
  <si>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</si>
  <si>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</si>
  <si>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</si>
  <si>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</si>
  <si>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</si>
  <si>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</si>
  <si>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</si>
  <si>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</si>
  <si>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</si>
  <si>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</si>
  <si>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</si>
  <si>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</si>
  <si>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</si>
  <si>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</si>
  <si>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</si>
  <si>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</si>
  <si>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</si>
  <si>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</si>
  <si>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</si>
  <si>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</si>
  <si>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</si>
  <si>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</si>
  <si>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</si>
  <si>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</si>
  <si>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</si>
  <si>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</si>
  <si>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</si>
  <si>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</si>
  <si>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</si>
  <si>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</si>
  <si>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</si>
  <si>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</si>
  <si>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</si>
  <si>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</si>
  <si>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</si>
  <si>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</si>
  <si>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</si>
  <si>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</si>
  <si>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</si>
  <si>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</si>
  <si>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</si>
  <si>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</si>
  <si>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</si>
  <si>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</si>
  <si>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</si>
  <si>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</si>
  <si>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</si>
  <si>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</si>
  <si>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</si>
  <si>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</si>
  <si>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</si>
  <si>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</si>
  <si>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</si>
  <si>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</si>
  <si>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</si>
  <si>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</si>
  <si>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</si>
  <si>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</si>
  <si>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</si>
  <si>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</si>
  <si>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</si>
  <si>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</si>
  <si>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</si>
  <si>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</si>
  <si>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</si>
  <si>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</si>
  <si>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</si>
  <si>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</si>
  <si>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</si>
  <si>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</si>
  <si>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</si>
  <si>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</si>
  <si>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</si>
  <si>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</si>
  <si>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</si>
  <si>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</si>
  <si>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</si>
  <si>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</si>
  <si>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</si>
  <si>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</si>
  <si>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</si>
  <si>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</si>
  <si>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</si>
  <si>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</si>
  <si>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</si>
  <si>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</si>
  <si>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</si>
  <si>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</si>
  <si>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</si>
  <si>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</si>
  <si>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</si>
  <si>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</si>
  <si>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</si>
  <si>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</si>
  <si>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</si>
  <si>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</si>
  <si>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</si>
  <si>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</si>
  <si>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</si>
  <si>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</si>
  <si>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</si>
  <si>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</si>
  <si>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</si>
  <si>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</si>
  <si>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</si>
  <si>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</si>
  <si>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</si>
  <si>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</si>
  <si>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</si>
  <si>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</si>
  <si>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</si>
  <si>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</si>
  <si>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</si>
  <si>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</si>
  <si>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</si>
  <si>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</si>
  <si>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</si>
  <si>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</si>
  <si>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</si>
  <si>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</si>
  <si>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</si>
  <si>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</si>
  <si>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</si>
  <si>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</si>
  <si>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</si>
  <si>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</si>
  <si>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</si>
  <si>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</si>
  <si>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</si>
  <si>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</si>
  <si>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</si>
  <si>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</si>
  <si>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</si>
  <si>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</si>
  <si>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</si>
  <si>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</si>
  <si>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</si>
  <si>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</si>
  <si>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</si>
  <si>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</si>
  <si>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</si>
  <si>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</si>
  <si>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</si>
  <si>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</si>
  <si>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</si>
  <si>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</si>
  <si>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</si>
  <si>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</si>
  <si>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</si>
  <si>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</si>
  <si>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</si>
  <si>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</si>
  <si>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</si>
  <si>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</si>
  <si>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</si>
  <si>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</si>
  <si>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</si>
  <si>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</si>
  <si>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</si>
  <si>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</si>
  <si>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</si>
  <si>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</si>
  <si>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</si>
  <si>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</si>
  <si>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</si>
  <si>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</si>
  <si>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</si>
  <si>
    <t>fea_bolster</t>
  </si>
  <si>
    <t>FEA-W "Wascosa" bolster wagon</t>
  </si>
  <si>
    <t>The FEA-W is a modular wagon based on a strong metal spine which can be topped by a variety of modules for different purposes.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</si>
</sst>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305"/>
  <sheetViews>
    <sheetView tabSelected="1" zoomScaleNormal="100" workbookViewId="0">
      <pane xSplit="1" ySplit="1" topLeftCell="B50" activePane="bottomRight" state="frozenSplit"/>
      <selection pane="topRight" activeCell="B1" sqref="B1"/>
      <selection pane="bottomLeft" activeCell="A2" sqref="A2"/>
      <selection pane="bottomRight" activeCell="B70" sqref="B70"/>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26.28515625" style="17" customWidth="1"/>
    <col min="79" max="79" width="44.28515625" customWidth="1"/>
    <col min="80" max="80" width="38.42578125" customWidth="1"/>
    <col min="81" max="81" width="255.7109375" bestFit="1" customWidth="1"/>
  </cols>
  <sheetData>
    <row r="1" spans="1:84"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6" t="s">
        <v>1517</v>
      </c>
      <c r="CA1" s="1" t="s">
        <v>1201</v>
      </c>
      <c r="CB1" s="1" t="s">
        <v>1151</v>
      </c>
      <c r="CC1" s="1" t="s">
        <v>1118</v>
      </c>
      <c r="CD1" s="1" t="s">
        <v>1152</v>
      </c>
      <c r="CE1" s="1" t="s">
        <v>346</v>
      </c>
      <c r="CF1" s="1" t="s">
        <v>1516</v>
      </c>
    </row>
    <row r="2" spans="1:84"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6" si="1">ROUND(15*((AF2*10)/256),0)</f>
        <v>5</v>
      </c>
      <c r="AM2" t="str">
        <f>CONCATENATE(VLOOKUP(AK2,Constants!$A$2:$C$16,IF(AL2&lt;&gt;"", 3, 2), FALSE),IF(AL2&lt;&gt;"",CONCATENATE(",",VLOOKUP(AL2,$B:$AM,38,FALSE)),""))</f>
        <v>2,1,2</v>
      </c>
      <c r="AW2">
        <v>30</v>
      </c>
      <c r="AX2" s="15" t="str">
        <f t="shared" ref="AX2:AX76" si="2">IF(K2&lt;&gt;"",MAX(16,(K2-I2)+8),"")</f>
        <v/>
      </c>
      <c r="BA2">
        <f t="shared" ref="BA2:BA76" si="3">MIN(AA2/150, 1)*30</f>
        <v>0</v>
      </c>
      <c r="BB2">
        <f t="shared" ref="BB2:BB76" si="4">MIN(M2/4000, 1)*20</f>
        <v>0</v>
      </c>
      <c r="BC2">
        <f t="shared" ref="BC2:BC76" si="5">MIN(Y2/400,1)*20</f>
        <v>0</v>
      </c>
      <c r="BD2" s="3">
        <f t="shared" ref="BD2:BD76" si="6">1-(MAX(I2-1900, 0)/750)</f>
        <v>1</v>
      </c>
      <c r="BE2">
        <f t="shared" ref="BE2:BE76"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6" si="8">BH2*IF($F2="wagon",62.5,781.25)</f>
        <v>0</v>
      </c>
      <c r="BK2" s="14">
        <f t="shared" ref="BK2:BK76" si="9">BI2*IF($F2="wagon",2.73,81.25)</f>
        <v>0</v>
      </c>
      <c r="BV2" t="str">
        <f>VLOOKUP(I2,Eras!$A$2:$C$10, 2, TRUE)</f>
        <v>edw</v>
      </c>
      <c r="BX2" t="str">
        <f t="shared" ref="BX2:BX76" si="10">CONCATENATE(BV2,"_",BW2)</f>
        <v>edw_</v>
      </c>
      <c r="BY2" t="str">
        <f t="shared" ref="BY2:BY76" si="11">_xlfn.CONCAT(G2, "_",H2)</f>
        <v>tender_RAIL</v>
      </c>
      <c r="BZ2" s="17" t="str" cm="1">
        <f t="array" ref="BZ2">_xlfn.CONCAT("{BLACK}Length: {GOLD}", TEXT(ROUNDUP(IF(AP2&lt;&gt;"",SUM(VALUE(_xlfn.TEXTSPLIT(AP2, ","))), SUM(VALUE(_xlfn.TEXTSPLIT(AM2, ",")))*IF(L2, L2, 1))/16, 1), "#,##0.0"), " tiles{}")</f>
        <v>{BLACK}Length: {GOLD}0.4 tiles{}</v>
      </c>
      <c r="CA2" t="str">
        <f>VLOOKUP($BY2, Constants!$M:$N, 2, FALSE)</f>
        <v/>
      </c>
      <c r="CB2" t="str">
        <f t="shared" ref="CB2:CB33" si="12">IF(L2&gt;1,_xlfn.CONCAT("{BLACK}Cars: {GOLD}", L2),"")</f>
        <v/>
      </c>
      <c r="CD2" t="str">
        <f t="shared" ref="CD2:CD33" si="13">IF(BU2="BRAKE","{YELLOW}Speed bonus for slow wagons{}",IF(BS2&gt;190,CONCATENATE("{YELLOW}",INT((BS2-185)/1.85),"% Bonus for long distance travel{}"),IF(AND(BS2&lt;180,BS2&lt;&gt;0),CONCATENATE("{YELLOW}",INT((185-BS2)/1.85),"% Penalty for long distance travel{}"),"")))</f>
        <v/>
      </c>
      <c r="CE2" t="str">
        <f>_xlfn.CONCAT(CA2,IF(CA2 &lt;&gt; "", " ", ""),CB2,IF(OR(CB2&lt;&gt;"", CA2&lt;&gt;""), "{}",""), BZ2, CD2,"{SILVER}", CC2)</f>
        <v>{BLACK}Length: {GOLD}0.4 tiles{}{SILVER}</v>
      </c>
    </row>
    <row r="3" spans="1:84"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s="17" t="str" cm="1">
        <f t="array" ref="BZ3">_xlfn.CONCAT("{BLACK}Length: {GOLD}", TEXT(ROUNDUP(IF(AP3&lt;&gt;"",SUM(VALUE(_xlfn.TEXTSPLIT(AP3, ","))), SUM(VALUE(_xlfn.TEXTSPLIT(AM3, ",")))*IF(L3, L3, 1))/16, 1), "#,##0.0"), " tiles{}")</f>
        <v>{BLACK}Length: {GOLD}0.3 tiles{}</v>
      </c>
      <c r="CA3" t="str">
        <f>VLOOKUP($BY3, Constants!$M:$N, 2, FALSE)</f>
        <v/>
      </c>
      <c r="CB3" t="str">
        <f t="shared" si="12"/>
        <v/>
      </c>
      <c r="CD3" t="str">
        <f t="shared" si="13"/>
        <v/>
      </c>
      <c r="CE3" t="str">
        <f t="shared" ref="CE3:CE66" si="14">_xlfn.CONCAT(CA3,IF(CA3 &lt;&gt; "", " ", ""),CB3,IF(OR(CB3&lt;&gt;"", CA3&lt;&gt;""), "{}",""), BZ3, CD3,"{SILVER}", CC3)</f>
        <v>{BLACK}Length: {GOLD}0.3 tiles{}{SILVER}</v>
      </c>
    </row>
    <row r="4" spans="1:84"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s="17" t="str" cm="1">
        <f t="array" ref="BZ4">_xlfn.CONCAT("{BLACK}Length: {GOLD}", TEXT(ROUNDUP(IF(AP4&lt;&gt;"",SUM(VALUE(_xlfn.TEXTSPLIT(AP4, ","))), SUM(VALUE(_xlfn.TEXTSPLIT(AM4, ",")))*IF(L4, L4, 1))/16, 1), "#,##0.0"), " tiles{}")</f>
        <v>{BLACK}Length: {GOLD}0.3 tiles{}</v>
      </c>
      <c r="CA4" t="str">
        <f>VLOOKUP($BY4, Constants!$M:$N, 2, FALSE)</f>
        <v/>
      </c>
      <c r="CB4" t="str">
        <f t="shared" si="12"/>
        <v/>
      </c>
      <c r="CD4" t="str">
        <f t="shared" si="13"/>
        <v/>
      </c>
      <c r="CE4" t="str">
        <f t="shared" si="14"/>
        <v>{BLACK}Length: {GOLD}0.3 tiles{}{SILVER}</v>
      </c>
    </row>
    <row r="5" spans="1:84"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s="17" t="str" cm="1">
        <f t="array" ref="BZ5">_xlfn.CONCAT("{BLACK}Length: {GOLD}", TEXT(ROUNDUP(IF(AP5&lt;&gt;"",SUM(VALUE(_xlfn.TEXTSPLIT(AP5, ","))), SUM(VALUE(_xlfn.TEXTSPLIT(AM5, ",")))*IF(L5, L5, 1))/16, 1), "#,##0.0"), " tiles{}")</f>
        <v>{BLACK}Length: {GOLD}0.3 tiles{}</v>
      </c>
      <c r="CA5" t="str">
        <f>VLOOKUP($BY5, Constants!$M:$N, 2, FALSE)</f>
        <v/>
      </c>
      <c r="CB5" t="str">
        <f t="shared" si="12"/>
        <v/>
      </c>
      <c r="CD5" t="str">
        <f t="shared" si="13"/>
        <v/>
      </c>
      <c r="CE5" t="str">
        <f t="shared" si="14"/>
        <v>{BLACK}Length: {GOLD}0.3 tiles{}{SILVER}</v>
      </c>
    </row>
    <row r="6" spans="1:84"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s="17" t="str" cm="1">
        <f t="array" ref="BZ6">_xlfn.CONCAT("{BLACK}Length: {GOLD}", TEXT(ROUNDUP(IF(AP6&lt;&gt;"",SUM(VALUE(_xlfn.TEXTSPLIT(AP6, ","))), SUM(VALUE(_xlfn.TEXTSPLIT(AM6, ",")))*IF(L6, L6, 1))/16, 1), "#,##0.0"), " tiles{}")</f>
        <v>{BLACK}Length: {GOLD}0.3 tiles{}</v>
      </c>
      <c r="CA6" t="str">
        <f>VLOOKUP($BY6, Constants!$M:$N, 2, FALSE)</f>
        <v/>
      </c>
      <c r="CB6" t="str">
        <f t="shared" si="12"/>
        <v/>
      </c>
      <c r="CD6" t="str">
        <f t="shared" si="13"/>
        <v/>
      </c>
      <c r="CE6" t="str">
        <f t="shared" si="14"/>
        <v>{BLACK}Length: {GOLD}0.3 tiles{}{SILVER}</v>
      </c>
    </row>
    <row r="7" spans="1:84"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s="17" t="str" cm="1">
        <f t="array" ref="BZ7">_xlfn.CONCAT("{BLACK}Length: {GOLD}", TEXT(ROUNDUP(IF(AP7&lt;&gt;"",SUM(VALUE(_xlfn.TEXTSPLIT(AP7, ","))), SUM(VALUE(_xlfn.TEXTSPLIT(AM7, ",")))*IF(L7, L7, 1))/16, 1), "#,##0.0"), " tiles{}")</f>
        <v>{BLACK}Length: {GOLD}0.3 tiles{}</v>
      </c>
      <c r="CA7" t="str">
        <f>VLOOKUP($BY7, Constants!$M:$N, 2, FALSE)</f>
        <v/>
      </c>
      <c r="CB7" t="str">
        <f t="shared" si="12"/>
        <v/>
      </c>
      <c r="CD7" t="str">
        <f t="shared" si="13"/>
        <v/>
      </c>
      <c r="CE7" t="str">
        <f t="shared" si="14"/>
        <v>{BLACK}Length: {GOLD}0.3 tiles{}{SILVER}</v>
      </c>
    </row>
    <row r="8" spans="1:84"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s="17" t="str" cm="1">
        <f t="array" ref="BZ8">_xlfn.CONCAT("{BLACK}Length: {GOLD}", TEXT(ROUNDUP(IF(AP8&lt;&gt;"",SUM(VALUE(_xlfn.TEXTSPLIT(AP8, ","))), SUM(VALUE(_xlfn.TEXTSPLIT(AM8, ",")))*IF(L8, L8, 1))/16, 1), "#,##0.0"), " tiles{}")</f>
        <v>{BLACK}Length: {GOLD}0.3 tiles{}</v>
      </c>
      <c r="CA8" t="str">
        <f>VLOOKUP($BY8, Constants!$M:$N, 2, FALSE)</f>
        <v/>
      </c>
      <c r="CB8" t="str">
        <f t="shared" si="12"/>
        <v/>
      </c>
      <c r="CD8" t="str">
        <f t="shared" si="13"/>
        <v/>
      </c>
      <c r="CE8" t="str">
        <f t="shared" si="14"/>
        <v>{BLACK}Length: {GOLD}0.3 tiles{}{SILVER}</v>
      </c>
    </row>
    <row r="9" spans="1:84"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s="17" t="str" cm="1">
        <f t="array" ref="BZ9">_xlfn.CONCAT("{BLACK}Length: {GOLD}", TEXT(ROUNDUP(IF(AP9&lt;&gt;"",SUM(VALUE(_xlfn.TEXTSPLIT(AP9, ","))), SUM(VALUE(_xlfn.TEXTSPLIT(AM9, ",")))*IF(L9, L9, 1))/16, 1), "#,##0.0"), " tiles{}")</f>
        <v>{BLACK}Length: {GOLD}0.3 tiles{}</v>
      </c>
      <c r="CA9" t="str">
        <f>VLOOKUP($BY9, Constants!$M:$N, 2, FALSE)</f>
        <v/>
      </c>
      <c r="CB9" t="str">
        <f t="shared" si="12"/>
        <v/>
      </c>
      <c r="CD9" t="str">
        <f t="shared" si="13"/>
        <v/>
      </c>
      <c r="CE9" t="str">
        <f t="shared" si="14"/>
        <v>{BLACK}Length: {GOLD}0.3 tiles{}{SILVER}</v>
      </c>
    </row>
    <row r="10" spans="1:84"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s="17" t="str" cm="1">
        <f t="array" ref="BZ10">_xlfn.CONCAT("{BLACK}Length: {GOLD}", TEXT(ROUNDUP(IF(AP10&lt;&gt;"",SUM(VALUE(_xlfn.TEXTSPLIT(AP10, ","))), SUM(VALUE(_xlfn.TEXTSPLIT(AM10, ",")))*IF(L10, L10, 1))/16, 1), "#,##0.0"), " tiles{}")</f>
        <v>{BLACK}Length: {GOLD}0.4 tiles{}</v>
      </c>
      <c r="CA10" t="str">
        <f>VLOOKUP($BY10, Constants!$M:$N, 2, FALSE)</f>
        <v/>
      </c>
      <c r="CB10" t="str">
        <f t="shared" si="12"/>
        <v/>
      </c>
      <c r="CD10" t="str">
        <f t="shared" si="13"/>
        <v/>
      </c>
      <c r="CE10" t="str">
        <f t="shared" si="14"/>
        <v>{BLACK}Length: {GOLD}0.4 tiles{}{SILVER}</v>
      </c>
    </row>
    <row r="11" spans="1:84"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s="17" t="str" cm="1">
        <f t="array" ref="BZ11">_xlfn.CONCAT("{BLACK}Length: {GOLD}", TEXT(ROUNDUP(IF(AP11&lt;&gt;"",SUM(VALUE(_xlfn.TEXTSPLIT(AP11, ","))), SUM(VALUE(_xlfn.TEXTSPLIT(AM11, ",")))*IF(L11, L11, 1))/16, 1), "#,##0.0"), " tiles{}")</f>
        <v>{BLACK}Length: {GOLD}0.4 tiles{}</v>
      </c>
      <c r="CA11" t="str">
        <f>VLOOKUP($BY11, Constants!$M:$N, 2, FALSE)</f>
        <v/>
      </c>
      <c r="CB11" t="str">
        <f t="shared" si="12"/>
        <v/>
      </c>
      <c r="CD11" t="str">
        <f t="shared" si="13"/>
        <v/>
      </c>
      <c r="CE11" t="str">
        <f t="shared" si="14"/>
        <v>{BLACK}Length: {GOLD}0.4 tiles{}{SILVER}</v>
      </c>
    </row>
    <row r="12" spans="1:84"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s="17" t="str" cm="1">
        <f t="array" ref="BZ12">_xlfn.CONCAT("{BLACK}Length: {GOLD}", TEXT(ROUNDUP(IF(AP12&lt;&gt;"",SUM(VALUE(_xlfn.TEXTSPLIT(AP12, ","))), SUM(VALUE(_xlfn.TEXTSPLIT(AM12, ",")))*IF(L12, L12, 1))/16, 1), "#,##0.0"), " tiles{}")</f>
        <v>{BLACK}Length: {GOLD}0.4 tiles{}</v>
      </c>
      <c r="CA12" t="str">
        <f>VLOOKUP($BY12, Constants!$M:$N, 2, FALSE)</f>
        <v/>
      </c>
      <c r="CB12" t="str">
        <f t="shared" si="12"/>
        <v/>
      </c>
      <c r="CD12" t="str">
        <f t="shared" si="13"/>
        <v/>
      </c>
      <c r="CE12" t="str">
        <f t="shared" si="14"/>
        <v>{BLACK}Length: {GOLD}0.4 tiles{}{SILVER}</v>
      </c>
    </row>
    <row r="13" spans="1:84"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s="17" t="str" cm="1">
        <f t="array" ref="BZ13">_xlfn.CONCAT("{BLACK}Length: {GOLD}", TEXT(ROUNDUP(IF(AP13&lt;&gt;"",SUM(VALUE(_xlfn.TEXTSPLIT(AP13, ","))), SUM(VALUE(_xlfn.TEXTSPLIT(AM13, ",")))*IF(L13, L13, 1))/16, 1), "#,##0.0"), " tiles{}")</f>
        <v>{BLACK}Length: {GOLD}0.4 tiles{}</v>
      </c>
      <c r="CA13" t="str">
        <f>VLOOKUP($BY13, Constants!$M:$N, 2, FALSE)</f>
        <v/>
      </c>
      <c r="CB13" t="str">
        <f t="shared" si="12"/>
        <v/>
      </c>
      <c r="CD13" t="str">
        <f t="shared" si="13"/>
        <v/>
      </c>
      <c r="CE13" t="str">
        <f t="shared" si="14"/>
        <v>{BLACK}Length: {GOLD}0.4 tiles{}{SILVER}</v>
      </c>
    </row>
    <row r="14" spans="1:84"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s="17" t="str" cm="1">
        <f t="array" ref="BZ14">_xlfn.CONCAT("{BLACK}Length: {GOLD}", TEXT(ROUNDUP(IF(AP14&lt;&gt;"",SUM(VALUE(_xlfn.TEXTSPLIT(AP14, ","))), SUM(VALUE(_xlfn.TEXTSPLIT(AM14, ",")))*IF(L14, L14, 1))/16, 1), "#,##0.0"), " tiles{}")</f>
        <v>{BLACK}Length: {GOLD}0.4 tiles{}</v>
      </c>
      <c r="CA14" t="str">
        <f>VLOOKUP($BY14, Constants!$M:$N, 2, FALSE)</f>
        <v/>
      </c>
      <c r="CB14" t="str">
        <f t="shared" si="12"/>
        <v/>
      </c>
      <c r="CD14" t="str">
        <f t="shared" si="13"/>
        <v/>
      </c>
      <c r="CE14" t="str">
        <f t="shared" si="14"/>
        <v>{BLACK}Length: {GOLD}0.4 tiles{}{SILVER}</v>
      </c>
    </row>
    <row r="15" spans="1:84"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s="17" t="str" cm="1">
        <f t="array" ref="BZ15">_xlfn.CONCAT("{BLACK}Length: {GOLD}", TEXT(ROUNDUP(IF(AP15&lt;&gt;"",SUM(VALUE(_xlfn.TEXTSPLIT(AP15, ","))), SUM(VALUE(_xlfn.TEXTSPLIT(AM15, ",")))*IF(L15, L15, 1))/16, 1), "#,##0.0"), " tiles{}")</f>
        <v>{BLACK}Length: {GOLD}0.4 tiles{}</v>
      </c>
      <c r="CA15" t="str">
        <f>VLOOKUP($BY15, Constants!$M:$N, 2, FALSE)</f>
        <v/>
      </c>
      <c r="CB15" t="str">
        <f t="shared" si="12"/>
        <v/>
      </c>
      <c r="CD15" t="str">
        <f t="shared" si="13"/>
        <v/>
      </c>
      <c r="CE15" t="str">
        <f t="shared" si="14"/>
        <v>{BLACK}Length: {GOLD}0.4 tiles{}{SILVER}</v>
      </c>
    </row>
    <row r="16" spans="1:84"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s="17" t="str" cm="1">
        <f t="array" ref="BZ16">_xlfn.CONCAT("{BLACK}Length: {GOLD}", TEXT(ROUNDUP(IF(AP16&lt;&gt;"",SUM(VALUE(_xlfn.TEXTSPLIT(AP16, ","))), SUM(VALUE(_xlfn.TEXTSPLIT(AM16, ",")))*IF(L16, L16, 1))/16, 1), "#,##0.0"), " tiles{}")</f>
        <v>{BLACK}Length: {GOLD}0.4 tiles{}</v>
      </c>
      <c r="CA16" t="str">
        <f>VLOOKUP($BY16, Constants!$M:$N, 2, FALSE)</f>
        <v/>
      </c>
      <c r="CB16" t="str">
        <f t="shared" si="12"/>
        <v/>
      </c>
      <c r="CD16" t="str">
        <f t="shared" si="13"/>
        <v/>
      </c>
      <c r="CE16" t="str">
        <f t="shared" si="14"/>
        <v>{BLACK}Length: {GOLD}0.4 tiles{}{SILVER}</v>
      </c>
    </row>
    <row r="17" spans="1:83"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s="17" t="str" cm="1">
        <f t="array" ref="BZ17">_xlfn.CONCAT("{BLACK}Length: {GOLD}", TEXT(ROUNDUP(IF(AP17&lt;&gt;"",SUM(VALUE(_xlfn.TEXTSPLIT(AP17, ","))), SUM(VALUE(_xlfn.TEXTSPLIT(AM17, ",")))*IF(L17, L17, 1))/16, 1), "#,##0.0"), " tiles{}")</f>
        <v>{BLACK}Length: {GOLD}0.4 tiles{}</v>
      </c>
      <c r="CA17" t="str">
        <f>VLOOKUP($BY17, Constants!$M:$N, 2, FALSE)</f>
        <v/>
      </c>
      <c r="CB17" t="str">
        <f t="shared" si="12"/>
        <v/>
      </c>
      <c r="CD17" t="str">
        <f t="shared" si="13"/>
        <v/>
      </c>
      <c r="CE17" t="str">
        <f t="shared" si="14"/>
        <v>{BLACK}Length: {GOLD}0.4 tiles{}{SILVER}</v>
      </c>
    </row>
    <row r="18" spans="1:83"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s="17" t="str" cm="1">
        <f t="array" ref="BZ18">_xlfn.CONCAT("{BLACK}Length: {GOLD}", TEXT(ROUNDUP(IF(AP18&lt;&gt;"",SUM(VALUE(_xlfn.TEXTSPLIT(AP18, ","))), SUM(VALUE(_xlfn.TEXTSPLIT(AM18, ",")))*IF(L18, L18, 1))/16, 1), "#,##0.0"), " tiles{}")</f>
        <v>{BLACK}Length: {GOLD}0.4 tiles{}</v>
      </c>
      <c r="CA18" t="str">
        <f>VLOOKUP($BY18, Constants!$M:$N, 2, FALSE)</f>
        <v/>
      </c>
      <c r="CB18" t="str">
        <f t="shared" si="12"/>
        <v/>
      </c>
      <c r="CD18" t="str">
        <f t="shared" si="13"/>
        <v/>
      </c>
      <c r="CE18" t="str">
        <f t="shared" si="14"/>
        <v>{BLACK}Length: {GOLD}0.4 tiles{}{SILVER}</v>
      </c>
    </row>
    <row r="19" spans="1:83"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s="17" t="str" cm="1">
        <f t="array" ref="BZ19">_xlfn.CONCAT("{BLACK}Length: {GOLD}", TEXT(ROUNDUP(IF(AP19&lt;&gt;"",SUM(VALUE(_xlfn.TEXTSPLIT(AP19, ","))), SUM(VALUE(_xlfn.TEXTSPLIT(AM19, ",")))*IF(L19, L19, 1))/16, 1), "#,##0.0"), " tiles{}")</f>
        <v>{BLACK}Length: {GOLD}0.4 tiles{}</v>
      </c>
      <c r="CA19" t="str">
        <f>VLOOKUP($BY19, Constants!$M:$N, 2, FALSE)</f>
        <v/>
      </c>
      <c r="CB19" t="str">
        <f t="shared" si="12"/>
        <v/>
      </c>
      <c r="CD19" t="str">
        <f t="shared" si="13"/>
        <v/>
      </c>
      <c r="CE19" t="str">
        <f t="shared" si="14"/>
        <v>{BLACK}Length: {GOLD}0.4 tiles{}{SILVER}</v>
      </c>
    </row>
    <row r="20" spans="1:83"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s="17" t="str" cm="1">
        <f t="array" ref="BZ20">_xlfn.CONCAT("{BLACK}Length: {GOLD}", TEXT(ROUNDUP(IF(AP20&lt;&gt;"",SUM(VALUE(_xlfn.TEXTSPLIT(AP20, ","))), SUM(VALUE(_xlfn.TEXTSPLIT(AM20, ",")))*IF(L20, L20, 1))/16, 1), "#,##0.0"), " tiles{}")</f>
        <v>{BLACK}Length: {GOLD}0.4 tiles{}</v>
      </c>
      <c r="CA20" t="str">
        <f>VLOOKUP($BY20, Constants!$M:$N, 2, FALSE)</f>
        <v/>
      </c>
      <c r="CB20" t="str">
        <f t="shared" si="12"/>
        <v/>
      </c>
      <c r="CD20" t="str">
        <f t="shared" si="13"/>
        <v/>
      </c>
      <c r="CE20" t="str">
        <f t="shared" si="14"/>
        <v>{BLACK}Length: {GOLD}0.4 tiles{}{SILVER}</v>
      </c>
    </row>
    <row r="21" spans="1:83"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s="17" t="str" cm="1">
        <f t="array" ref="BZ21">_xlfn.CONCAT("{BLACK}Length: {GOLD}", TEXT(ROUNDUP(IF(AP21&lt;&gt;"",SUM(VALUE(_xlfn.TEXTSPLIT(AP21, ","))), SUM(VALUE(_xlfn.TEXTSPLIT(AM21, ",")))*IF(L21, L21, 1))/16, 1), "#,##0.0"), " tiles{}")</f>
        <v>{BLACK}Length: {GOLD}0.4 tiles{}</v>
      </c>
      <c r="CA21" t="str">
        <f>VLOOKUP($BY21, Constants!$M:$N, 2, FALSE)</f>
        <v/>
      </c>
      <c r="CB21" t="str">
        <f t="shared" si="12"/>
        <v/>
      </c>
      <c r="CD21" t="str">
        <f t="shared" si="13"/>
        <v/>
      </c>
      <c r="CE21" t="str">
        <f t="shared" si="14"/>
        <v>{BLACK}Length: {GOLD}0.4 tiles{}{SILVER}</v>
      </c>
    </row>
    <row r="22" spans="1:83"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s="17" t="str" cm="1">
        <f t="array" ref="BZ22">_xlfn.CONCAT("{BLACK}Length: {GOLD}", TEXT(ROUNDUP(IF(AP22&lt;&gt;"",SUM(VALUE(_xlfn.TEXTSPLIT(AP22, ","))), SUM(VALUE(_xlfn.TEXTSPLIT(AM22, ",")))*IF(L22, L22, 1))/16, 1), "#,##0.0"), " tiles{}")</f>
        <v>{BLACK}Length: {GOLD}0.3 tiles{}</v>
      </c>
      <c r="CA22" t="str">
        <f>VLOOKUP($BY22, Constants!$M:$N, 2, FALSE)</f>
        <v/>
      </c>
      <c r="CB22" t="str">
        <f t="shared" si="12"/>
        <v/>
      </c>
      <c r="CD22" t="str">
        <f t="shared" si="13"/>
        <v/>
      </c>
      <c r="CE22" t="str">
        <f t="shared" si="14"/>
        <v>{BLACK}Length: {GOLD}0.3 tiles{}{SILVER}</v>
      </c>
    </row>
    <row r="23" spans="1:83"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s="17" t="str" cm="1">
        <f t="array" ref="BZ23">_xlfn.CONCAT("{BLACK}Length: {GOLD}", TEXT(ROUNDUP(IF(AP23&lt;&gt;"",SUM(VALUE(_xlfn.TEXTSPLIT(AP23, ","))), SUM(VALUE(_xlfn.TEXTSPLIT(AM23, ",")))*IF(L23, L23, 1))/16, 1), "#,##0.0"), " tiles{}")</f>
        <v>{BLACK}Length: {GOLD}0.3 tiles{}</v>
      </c>
      <c r="CA23" t="str">
        <f>VLOOKUP($BY23, Constants!$M:$N, 2, FALSE)</f>
        <v/>
      </c>
      <c r="CB23" t="str">
        <f t="shared" si="12"/>
        <v/>
      </c>
      <c r="CD23" t="str">
        <f t="shared" si="13"/>
        <v/>
      </c>
      <c r="CE23" t="str">
        <f t="shared" si="14"/>
        <v>{BLACK}Length: {GOLD}0.3 tiles{}{SILVER}</v>
      </c>
    </row>
    <row r="24" spans="1:83"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s="17" t="str" cm="1">
        <f t="array" ref="BZ24">_xlfn.CONCAT("{BLACK}Length: {GOLD}", TEXT(ROUNDUP(IF(AP24&lt;&gt;"",SUM(VALUE(_xlfn.TEXTSPLIT(AP24, ","))), SUM(VALUE(_xlfn.TEXTSPLIT(AM24, ",")))*IF(L24, L24, 1))/16, 1), "#,##0.0"), " tiles{}")</f>
        <v>{BLACK}Length: {GOLD}0.3 tiles{}</v>
      </c>
      <c r="CA24" t="str">
        <f>VLOOKUP($BY24, Constants!$M:$N, 2, FALSE)</f>
        <v/>
      </c>
      <c r="CB24" t="str">
        <f t="shared" si="12"/>
        <v/>
      </c>
      <c r="CD24" t="str">
        <f t="shared" si="13"/>
        <v/>
      </c>
      <c r="CE24" t="str">
        <f t="shared" si="14"/>
        <v>{BLACK}Length: {GOLD}0.3 tiles{}{SILVER}</v>
      </c>
    </row>
    <row r="25" spans="1:83"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s="17" t="str" cm="1">
        <f t="array" ref="BZ25">_xlfn.CONCAT("{BLACK}Length: {GOLD}", TEXT(ROUNDUP(IF(AP25&lt;&gt;"",SUM(VALUE(_xlfn.TEXTSPLIT(AP25, ","))), SUM(VALUE(_xlfn.TEXTSPLIT(AM25, ",")))*IF(L25, L25, 1))/16, 1), "#,##0.0"), " tiles{}")</f>
        <v>{BLACK}Length: {GOLD}0.4 tiles{}</v>
      </c>
      <c r="CA25" t="str">
        <f>VLOOKUP($BY25, Constants!$M:$N, 2, FALSE)</f>
        <v/>
      </c>
      <c r="CB25" t="str">
        <f t="shared" si="12"/>
        <v/>
      </c>
      <c r="CD25" t="str">
        <f t="shared" si="13"/>
        <v/>
      </c>
      <c r="CE25" t="str">
        <f t="shared" si="14"/>
        <v>{BLACK}Length: {GOLD}0.4 tiles{}{SILVER}</v>
      </c>
    </row>
    <row r="26" spans="1:83"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s="17" t="str" cm="1">
        <f t="array" ref="BZ26">_xlfn.CONCAT("{BLACK}Length: {GOLD}", TEXT(ROUNDUP(IF(AP26&lt;&gt;"",SUM(VALUE(_xlfn.TEXTSPLIT(AP26, ","))), SUM(VALUE(_xlfn.TEXTSPLIT(AM26, ",")))*IF(L26, L26, 1))/16, 1), "#,##0.0"), " tiles{}")</f>
        <v>{BLACK}Length: {GOLD}0.4 tiles{}</v>
      </c>
      <c r="CA26" t="str">
        <f>VLOOKUP($BY26, Constants!$M:$N, 2, FALSE)</f>
        <v/>
      </c>
      <c r="CB26" t="str">
        <f t="shared" si="12"/>
        <v/>
      </c>
      <c r="CC26" t="s">
        <v>1376</v>
      </c>
      <c r="CD26" t="str">
        <f t="shared" si="13"/>
        <v/>
      </c>
      <c r="CE26" t="str">
        <f t="shared" si="14"/>
        <v>{BLACK}Length: {GOLD}0.4 tiles{}{SILVER}The first enclosed passenger carriages were adapted from stagecoach bodies, with wooden frames.</v>
      </c>
    </row>
    <row r="27" spans="1:83"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7"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s="17" t="str" cm="1">
        <f t="array" ref="BZ27">_xlfn.CONCAT("{BLACK}Length: {GOLD}", TEXT(ROUNDUP(IF(AP27&lt;&gt;"",SUM(VALUE(_xlfn.TEXTSPLIT(AP27, ","))), SUM(VALUE(_xlfn.TEXTSPLIT(AM27, ",")))*IF(L27, L27, 1))/16, 1), "#,##0.0"), " tiles{}")</f>
        <v>{BLACK}Length: {GOLD}0.4 tiles{}</v>
      </c>
      <c r="CA27" t="str">
        <f>VLOOKUP($BY27, Constants!$M:$N, 2, FALSE)</f>
        <v/>
      </c>
      <c r="CB27" t="str">
        <f t="shared" si="12"/>
        <v/>
      </c>
      <c r="CC27" t="s">
        <v>1327</v>
      </c>
      <c r="CD27" t="str">
        <f t="shared" si="13"/>
        <v/>
      </c>
      <c r="CE27" t="str">
        <f t="shared" si="14"/>
        <v>{BLACK}Length: {GOLD}0.4 tiles{}{SILVER}Railway carriages from the 1850s to 1870s tended to be built on wooden or wrought iron frames of around 20-24ft in length, with oil lighting internally.</v>
      </c>
    </row>
    <row r="28" spans="1:83"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s="17" t="str" cm="1">
        <f t="array" ref="BZ28">_xlfn.CONCAT("{BLACK}Length: {GOLD}", TEXT(ROUNDUP(IF(AP28&lt;&gt;"",SUM(VALUE(_xlfn.TEXTSPLIT(AP28, ","))), SUM(VALUE(_xlfn.TEXTSPLIT(AM28, ",")))*IF(L28, L28, 1))/16, 1), "#,##0.0"), " tiles{}")</f>
        <v>{BLACK}Length: {GOLD}0.5 tiles{}</v>
      </c>
      <c r="CA28" t="str">
        <f>VLOOKUP($BY28, Constants!$M:$N, 2, FALSE)</f>
        <v/>
      </c>
      <c r="CB28" t="str">
        <f t="shared" si="12"/>
        <v/>
      </c>
      <c r="CC28" t="s">
        <v>1404</v>
      </c>
      <c r="CD28" t="str">
        <f t="shared" si="13"/>
        <v/>
      </c>
      <c r="CE28" t="str">
        <f t="shared" si="14"/>
        <v>{BLACK}Length: {GOLD}0.5 tiles{}{SILVER}After early experiments for royal saloons, smoother and faster-running six wheel carriages with then-modern fixtures such as gas lighting became common from the 1870s, displacing older four wheeled stock to smaller suburban lines.</v>
      </c>
    </row>
    <row r="29" spans="1:83"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s="17" t="str" cm="1">
        <f t="array" ref="BZ29">_xlfn.CONCAT("{BLACK}Length: {GOLD}", TEXT(ROUNDUP(IF(AP29&lt;&gt;"",SUM(VALUE(_xlfn.TEXTSPLIT(AP29, ","))), SUM(VALUE(_xlfn.TEXTSPLIT(AM29, ",")))*IF(L29, L29, 1))/16, 1), "#,##0.0"), " tiles{}")</f>
        <v>{BLACK}Length: {GOLD}0.5 tiles{}</v>
      </c>
      <c r="CA29" t="str">
        <f>VLOOKUP($BY29, Constants!$M:$N, 2, FALSE)</f>
        <v/>
      </c>
      <c r="CB29" t="str">
        <f t="shared" si="12"/>
        <v/>
      </c>
      <c r="CC29" t="s">
        <v>1456</v>
      </c>
      <c r="CD29" t="str">
        <f t="shared" si="13"/>
        <v>{YELLOW}35% Penalty for long distance travel{}</v>
      </c>
      <c r="CE29" t="str">
        <f t="shared" si="14"/>
        <v>{BLACK}Length: {GOLD}0.5 tiles{}{YELLOW}35% Penalty for long distance travel{}{SILVER}Early Tube carriages were nicknamed "Padded Cell" due to their tall cushion-backed seats and small windows.</v>
      </c>
    </row>
    <row r="30" spans="1:83"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s="17" t="str" cm="1">
        <f t="array" ref="BZ30">_xlfn.CONCAT("{BLACK}Length: {GOLD}", TEXT(ROUNDUP(IF(AP30&lt;&gt;"",SUM(VALUE(_xlfn.TEXTSPLIT(AP30, ","))), SUM(VALUE(_xlfn.TEXTSPLIT(AM30, ",")))*IF(L30, L30, 1))/16, 1), "#,##0.0"), " tiles{}")</f>
        <v>{BLACK}Length: {GOLD}0.6 tiles{}</v>
      </c>
      <c r="CA30" t="str">
        <f>VLOOKUP($BY30, Constants!$M:$N, 2, FALSE)</f>
        <v/>
      </c>
      <c r="CB30" t="str">
        <f t="shared" si="12"/>
        <v/>
      </c>
      <c r="CC30" t="s">
        <v>708</v>
      </c>
      <c r="CD30" t="str">
        <f t="shared" si="13"/>
        <v/>
      </c>
      <c r="CE30" t="str">
        <f t="shared" si="14"/>
        <v>{BLACK}Length: {GOLD}0.6 tiles{}{SILVER}Toward the end of the Victorian era, passenger carriages began to be mounted on bogies rather than fixed axles. Many featured clerestory-style roofs.</v>
      </c>
    </row>
    <row r="31" spans="1:83"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s="17" t="str" cm="1">
        <f t="array" ref="BZ31">_xlfn.CONCAT("{BLACK}Length: {GOLD}", TEXT(ROUNDUP(IF(AP31&lt;&gt;"",SUM(VALUE(_xlfn.TEXTSPLIT(AP31, ","))), SUM(VALUE(_xlfn.TEXTSPLIT(AM31, ",")))*IF(L31, L31, 1))/16, 1), "#,##0.0"), " tiles{}")</f>
        <v>{BLACK}Length: {GOLD}0.7 tiles{}</v>
      </c>
      <c r="CA31" t="str">
        <f>VLOOKUP($BY31, Constants!$M:$N, 2, FALSE)</f>
        <v/>
      </c>
      <c r="CB31" t="str">
        <f t="shared" si="12"/>
        <v/>
      </c>
      <c r="CC31" t="s">
        <v>396</v>
      </c>
      <c r="CD31" t="str">
        <f t="shared" si="13"/>
        <v/>
      </c>
      <c r="CE31" t="str">
        <f t="shared" si="14"/>
        <v>{BLACK}Length: {GOLD}0.7 tiles{}{SILVER}In the early 20th century passenger coaches were stretched to greater lengths. This is a typical LNWR design.</v>
      </c>
    </row>
    <row r="32" spans="1:83"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s="17" t="str" cm="1">
        <f t="array" ref="BZ32">_xlfn.CONCAT("{BLACK}Length: {GOLD}", TEXT(ROUNDUP(IF(AP32&lt;&gt;"",SUM(VALUE(_xlfn.TEXTSPLIT(AP32, ","))), SUM(VALUE(_xlfn.TEXTSPLIT(AM32, ",")))*IF(L32, L32, 1))/16, 1), "#,##0.0"), " tiles{}")</f>
        <v>{BLACK}Length: {GOLD}0.8 tiles{}</v>
      </c>
      <c r="CA32" t="str">
        <f>VLOOKUP($BY32, Constants!$M:$N, 2, FALSE)</f>
        <v/>
      </c>
      <c r="CB32" t="str">
        <f t="shared" si="12"/>
        <v/>
      </c>
      <c r="CC32" t="s">
        <v>1405</v>
      </c>
      <c r="CD32" t="str">
        <f t="shared" si="13"/>
        <v>{YELLOW}40% Bonus for long distance travel{}</v>
      </c>
      <c r="CE32" t="str">
        <f t="shared" si="14"/>
        <v>{BLACK}Length: {GOLD}0.8 tiles{}{YELLOW}40% Bonus for long distance travel{}{SILVER}The luxurious Pullman cars were large and heavy, with many still in use today for restaurant services.</v>
      </c>
    </row>
    <row r="33" spans="1:83"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s="17" t="str" cm="1">
        <f t="array" ref="BZ33">_xlfn.CONCAT("{BLACK}Length: {GOLD}", TEXT(ROUNDUP(IF(AP33&lt;&gt;"",SUM(VALUE(_xlfn.TEXTSPLIT(AP33, ","))), SUM(VALUE(_xlfn.TEXTSPLIT(AM33, ",")))*IF(L33, L33, 1))/16, 1), "#,##0.0"), " tiles{}")</f>
        <v>{BLACK}Length: {GOLD}0.7 tiles{}</v>
      </c>
      <c r="CA33" t="str">
        <f>VLOOKUP($BY33, Constants!$M:$N, 2, FALSE)</f>
        <v/>
      </c>
      <c r="CB33" t="str">
        <f t="shared" si="12"/>
        <v/>
      </c>
      <c r="CC33" t="s">
        <v>1121</v>
      </c>
      <c r="CD33" t="str">
        <f t="shared" si="13"/>
        <v>{YELLOW}20% Bonus for long distance travel{}</v>
      </c>
      <c r="CE33" t="str">
        <f t="shared" si="14"/>
        <v>{BLACK}Length: {GOLD}0.7 tiles{}{YELLOW}20% Bonus for long distance travel{}{SILVER}As express services increased in speed, carriages were streamlined with valances between bogies and flexible walls connecting each carriage.</v>
      </c>
    </row>
    <row r="34" spans="1:83" x14ac:dyDescent="0.25">
      <c r="A34" t="s">
        <v>112</v>
      </c>
      <c r="B34" t="s">
        <v>258</v>
      </c>
      <c r="C34">
        <v>16</v>
      </c>
      <c r="D34">
        <v>1009</v>
      </c>
      <c r="E34" t="s">
        <v>1508</v>
      </c>
      <c r="F34" t="s">
        <v>280</v>
      </c>
      <c r="G34" t="s">
        <v>1105</v>
      </c>
      <c r="H34" t="s">
        <v>274</v>
      </c>
      <c r="I34">
        <v>1951</v>
      </c>
      <c r="J34">
        <v>1963</v>
      </c>
      <c r="K34">
        <v>1974</v>
      </c>
      <c r="V34">
        <v>32.5</v>
      </c>
      <c r="X34">
        <v>5</v>
      </c>
      <c r="Z34" s="3" t="str">
        <f t="shared" ref="Z34:Z74"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s="17" t="str" cm="1">
        <f t="array" ref="BZ34">_xlfn.CONCAT("{BLACK}Length: {GOLD}", TEXT(ROUNDUP(IF(AP34&lt;&gt;"",SUM(VALUE(_xlfn.TEXTSPLIT(AP34, ","))), SUM(VALUE(_xlfn.TEXTSPLIT(AM34, ",")))*IF(L34, L34, 1))/16, 1), "#,##0.0"), " tiles{}")</f>
        <v>{BLACK}Length: {GOLD}0.8 tiles{}</v>
      </c>
      <c r="CA34" t="str">
        <f>VLOOKUP($BY34, Constants!$M:$N, 2, FALSE)</f>
        <v/>
      </c>
      <c r="CB34" t="str">
        <f t="shared" ref="CB34:CB76" si="17">IF(L34&gt;1,_xlfn.CONCAT("{BLACK}Cars: {GOLD}", L34),"")</f>
        <v/>
      </c>
      <c r="CC34" t="s">
        <v>624</v>
      </c>
      <c r="CD34" t="str">
        <f t="shared" ref="CD34:CD76" si="18">IF(BU34="BRAKE","{YELLOW}Speed bonus for slow wagons{}",IF(BS34&gt;190,CONCATENATE("{YELLOW}",INT((BS34-185)/1.85),"% Bonus for long distance travel{}"),IF(AND(BS34&lt;180,BS34&lt;&gt;0),CONCATENATE("{YELLOW}",INT((185-BS34)/1.85),"% Penalty for long distance travel{}"),"")))</f>
        <v/>
      </c>
      <c r="CE34" t="str">
        <f t="shared" si="14"/>
        <v>{BLACK}Length: {GOLD}0.8 tiles{}{SILVER}The Mk1 carriage combined best practice from the different Big Four carriage designs into a single standard design that could be used across the BR network.</v>
      </c>
    </row>
    <row r="35" spans="1:83"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s="17" t="str" cm="1">
        <f t="array" ref="BZ35">_xlfn.CONCAT("{BLACK}Length: {GOLD}", TEXT(ROUNDUP(IF(AP35&lt;&gt;"",SUM(VALUE(_xlfn.TEXTSPLIT(AP35, ","))), SUM(VALUE(_xlfn.TEXTSPLIT(AM35, ",")))*IF(L35, L35, 1))/16, 1), "#,##0.0"), " tiles{}")</f>
        <v>{BLACK}Length: {GOLD}0.8 tiles{}</v>
      </c>
      <c r="CA35" t="str">
        <f>VLOOKUP($BY35, Constants!$M:$N, 2, FALSE)</f>
        <v/>
      </c>
      <c r="CB35" t="str">
        <f t="shared" si="17"/>
        <v/>
      </c>
      <c r="CC35" t="s">
        <v>360</v>
      </c>
      <c r="CD35" t="str">
        <f t="shared" si="18"/>
        <v/>
      </c>
      <c r="CE35" t="str">
        <f t="shared" si="14"/>
        <v>{BLACK}Length: {GOLD}0.8 tiles{}{SILVER}The Mk2 carriage is the second BR carriage design. It was built to be stronger than the Mk1, giving better corrosion resistance and being safer for passengers in an accident.</v>
      </c>
    </row>
    <row r="36" spans="1:83"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s="17" t="str" cm="1">
        <f t="array" ref="BZ36">_xlfn.CONCAT("{BLACK}Length: {GOLD}", TEXT(ROUNDUP(IF(AP36&lt;&gt;"",SUM(VALUE(_xlfn.TEXTSPLIT(AP36, ","))), SUM(VALUE(_xlfn.TEXTSPLIT(AM36, ",")))*IF(L36, L36, 1))/16, 1), "#,##0.0"), " tiles{}")</f>
        <v>{BLACK}Length: {GOLD}0.9 tiles{}</v>
      </c>
      <c r="CA36" t="str">
        <f>VLOOKUP($BY36, Constants!$M:$N, 2, FALSE)</f>
        <v/>
      </c>
      <c r="CB36" t="str">
        <f t="shared" si="17"/>
        <v/>
      </c>
      <c r="CC36" t="s">
        <v>361</v>
      </c>
      <c r="CD36" t="str">
        <f t="shared" si="18"/>
        <v>{YELLOW}10% Bonus for long distance travel{}</v>
      </c>
      <c r="CE36" t="str">
        <f t="shared" si="14"/>
        <v xml:space="preserve">{BLACK}Length: {GOLD}0.9 tiles{}{YELLOW}10% Bonus for long distance travel{}{SILVER}The Mk3 carriage is designed for higher speed operation, capable of running at up to 125mph. The first Mk3 carriages were built for the prototype HST. </v>
      </c>
    </row>
    <row r="37" spans="1:83"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s="17" t="str" cm="1">
        <f t="array" ref="BZ37">_xlfn.CONCAT("{BLACK}Length: {GOLD}", TEXT(ROUNDUP(IF(AP37&lt;&gt;"",SUM(VALUE(_xlfn.TEXTSPLIT(AP37, ","))), SUM(VALUE(_xlfn.TEXTSPLIT(AM37, ",")))*IF(L37, L37, 1))/16, 1), "#,##0.0"), " tiles{}")</f>
        <v>{BLACK}Length: {GOLD}0.9 tiles{}</v>
      </c>
      <c r="CA37" t="str">
        <f>VLOOKUP($BY37, Constants!$M:$N, 2, FALSE)</f>
        <v/>
      </c>
      <c r="CB37" t="str">
        <f t="shared" si="17"/>
        <v/>
      </c>
      <c r="CC37" t="s">
        <v>571</v>
      </c>
      <c r="CD37" t="str">
        <f t="shared" si="18"/>
        <v>{YELLOW}20% Bonus for long distance travel{}</v>
      </c>
      <c r="CE37" t="str">
        <f t="shared" si="14"/>
        <v>{BLACK}Length: {GOLD}0.9 tiles{}{YELLOW}20% Bonus for long distance travel{}{SILVER}The Mk4 carriage is a further improvement on the Mk3. It's designed for use with the Class 91 for Intercity 225 services.</v>
      </c>
    </row>
    <row r="38" spans="1:83"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s="17" t="str" cm="1">
        <f t="array" ref="BZ38">_xlfn.CONCAT("{BLACK}Length: {GOLD}", TEXT(ROUNDUP(IF(AP38&lt;&gt;"",SUM(VALUE(_xlfn.TEXTSPLIT(AP38, ","))), SUM(VALUE(_xlfn.TEXTSPLIT(AM38, ",")))*IF(L38, L38, 1))/16, 1), "#,##0.0"), " tiles{}")</f>
        <v>{BLACK}Length: {GOLD}0.4 tiles{}</v>
      </c>
      <c r="CA38" t="str">
        <f>VLOOKUP($BY38, Constants!$M:$N, 2, FALSE)</f>
        <v/>
      </c>
      <c r="CB38" t="str">
        <f t="shared" ref="CB38:CB45" si="32">IF(L38&gt;1,_xlfn.CONCAT("{BLACK}Cars: {GOLD}", L38),"")</f>
        <v/>
      </c>
      <c r="CC38" t="s">
        <v>1379</v>
      </c>
      <c r="CD38" t="str">
        <f t="shared" ref="CD38:CD45" si="33">IF(BU38="BRAKE","{YELLOW}Speed bonus for slow wagons{}",IF(BS38&gt;190,CONCATENATE("{YELLOW}",INT((BS38-185)/1.85),"% Bonus for long distance travel{}"),IF(AND(BS38&lt;180,BS38&lt;&gt;0),CONCATENATE("{YELLOW}",INT((185-BS38)/1.85),"% Penalty for long distance travel{}"),"")))</f>
        <v/>
      </c>
      <c r="CE38" t="str">
        <f t="shared" si="14"/>
        <v>{BLACK}Length: {GOLD}0.4 tiles{}{SILVER}Although dedicated brake carriages were not common until the 1840s, this one is included in the set to allow early parcel and mail transport.</v>
      </c>
    </row>
    <row r="39" spans="1:83"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s="17" t="str" cm="1">
        <f t="array" ref="BZ39">_xlfn.CONCAT("{BLACK}Length: {GOLD}", TEXT(ROUNDUP(IF(AP39&lt;&gt;"",SUM(VALUE(_xlfn.TEXTSPLIT(AP39, ","))), SUM(VALUE(_xlfn.TEXTSPLIT(AM39, ",")))*IF(L39, L39, 1))/16, 1), "#,##0.0"), " tiles{}")</f>
        <v>{BLACK}Length: {GOLD}0.4 tiles{}</v>
      </c>
      <c r="CA39" t="str">
        <f>VLOOKUP($BY39, Constants!$M:$N, 2, FALSE)</f>
        <v/>
      </c>
      <c r="CB39" t="str">
        <f t="shared" si="32"/>
        <v/>
      </c>
      <c r="CC39" t="s">
        <v>1335</v>
      </c>
      <c r="CD39" t="str">
        <f t="shared" si="33"/>
        <v/>
      </c>
      <c r="CE39" t="str">
        <f t="shared" si="14"/>
        <v>{BLACK}Length: {GOLD}0.4 tiles{}{SILVER}Early four-wheel carriages did not have locomotive-controlled brakes so, like freight trains, were reliant on the brakes in the guard's van.</v>
      </c>
    </row>
    <row r="40" spans="1:83"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s="17" t="str" cm="1">
        <f t="array" ref="BZ40">_xlfn.CONCAT("{BLACK}Length: {GOLD}", TEXT(ROUNDUP(IF(AP40&lt;&gt;"",SUM(VALUE(_xlfn.TEXTSPLIT(AP40, ","))), SUM(VALUE(_xlfn.TEXTSPLIT(AM40, ",")))*IF(L40, L40, 1))/16, 1), "#,##0.0"), " tiles{}")</f>
        <v>{BLACK}Length: {GOLD}0.5 tiles{}</v>
      </c>
      <c r="CA40" t="str">
        <f>VLOOKUP($BY40, Constants!$M:$N, 2, FALSE)</f>
        <v/>
      </c>
      <c r="CB40" t="str">
        <f t="shared" si="32"/>
        <v/>
      </c>
      <c r="CC40" t="s">
        <v>1332</v>
      </c>
      <c r="CD40" t="str">
        <f t="shared" si="33"/>
        <v/>
      </c>
      <c r="CE40" t="str">
        <f t="shared" si="14"/>
        <v>{BLACK}Length: {GOLD}0.5 tiles{}{SILVER}Although carriages gained more luxurious fixtures and fittings through the Victorian era, braking still required a guard's van.</v>
      </c>
    </row>
    <row r="41" spans="1:83"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s="17" t="str" cm="1">
        <f t="array" ref="BZ41">_xlfn.CONCAT("{BLACK}Length: {GOLD}", TEXT(ROUNDUP(IF(AP41&lt;&gt;"",SUM(VALUE(_xlfn.TEXTSPLIT(AP41, ","))), SUM(VALUE(_xlfn.TEXTSPLIT(AM41, ",")))*IF(L41, L41, 1))/16, 1), "#,##0.0"), " tiles{}")</f>
        <v>{BLACK}Length: {GOLD}0.6 tiles{}</v>
      </c>
      <c r="CA41" t="str">
        <f>VLOOKUP($BY41, Constants!$M:$N, 2, FALSE)</f>
        <v/>
      </c>
      <c r="CB41" t="str">
        <f t="shared" si="32"/>
        <v/>
      </c>
      <c r="CC41" t="s">
        <v>1162</v>
      </c>
      <c r="CD41" t="str">
        <f t="shared" si="33"/>
        <v/>
      </c>
      <c r="CE41" t="str">
        <f t="shared" si="14"/>
        <v>{BLACK}Length: {GOLD}0.6 tiles{}{SILVER}This brake carriage is designed for use with clerestory carriages. It can carry parcels and mail.</v>
      </c>
    </row>
    <row r="42" spans="1:83"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s="17" t="str" cm="1">
        <f t="array" ref="BZ42">_xlfn.CONCAT("{BLACK}Length: {GOLD}", TEXT(ROUNDUP(IF(AP42&lt;&gt;"",SUM(VALUE(_xlfn.TEXTSPLIT(AP42, ","))), SUM(VALUE(_xlfn.TEXTSPLIT(AM42, ",")))*IF(L42, L42, 1))/16, 1), "#,##0.0"), " tiles{}")</f>
        <v>{BLACK}Length: {GOLD}0.7 tiles{}</v>
      </c>
      <c r="CA42" t="str">
        <f>VLOOKUP($BY42, Constants!$M:$N, 2, FALSE)</f>
        <v/>
      </c>
      <c r="CB42" t="str">
        <f t="shared" si="32"/>
        <v/>
      </c>
      <c r="CC42" t="s">
        <v>1163</v>
      </c>
      <c r="CD42" t="str">
        <f t="shared" si="33"/>
        <v/>
      </c>
      <c r="CE42" t="str">
        <f t="shared" si="14"/>
        <v>{BLACK}Length: {GOLD}0.7 tiles{}{SILVER}Brake carriages continued to be a fixture of passenger trains during the steam era, carrying bulky luggage and parcels.</v>
      </c>
    </row>
    <row r="43" spans="1:83"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s="17" t="str" cm="1">
        <f t="array" ref="BZ43">_xlfn.CONCAT("{BLACK}Length: {GOLD}", TEXT(ROUNDUP(IF(AP43&lt;&gt;"",SUM(VALUE(_xlfn.TEXTSPLIT(AP43, ","))), SUM(VALUE(_xlfn.TEXTSPLIT(AM43, ",")))*IF(L43, L43, 1))/16, 1), "#,##0.0"), " tiles{}")</f>
        <v>{BLACK}Length: {GOLD}0.8 tiles{}</v>
      </c>
      <c r="CA43" t="str">
        <f>VLOOKUP($BY43, Constants!$M:$N, 2, FALSE)</f>
        <v/>
      </c>
      <c r="CB43" t="str">
        <f t="shared" si="32"/>
        <v/>
      </c>
      <c r="CC43" t="s">
        <v>1159</v>
      </c>
      <c r="CD43" t="str">
        <f t="shared" si="33"/>
        <v/>
      </c>
      <c r="CE43" t="str">
        <f t="shared" si="14"/>
        <v>{BLACK}Length: {GOLD}0.8 tiles{}{SILVER}BG for (Brake Gangway) is the BR designation for a brake coach. As well as a guard's compartment it had two large areas for storing luggage.</v>
      </c>
    </row>
    <row r="44" spans="1:83"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s="17" t="str" cm="1">
        <f t="array" ref="BZ44">_xlfn.CONCAT("{BLACK}Length: {GOLD}", TEXT(ROUNDUP(IF(AP44&lt;&gt;"",SUM(VALUE(_xlfn.TEXTSPLIT(AP44, ","))), SUM(VALUE(_xlfn.TEXTSPLIT(AM44, ",")))*IF(L44, L44, 1))/16, 1), "#,##0.0"), " tiles{}")</f>
        <v>{BLACK}Length: {GOLD}0.8 tiles{}</v>
      </c>
      <c r="CA44" t="str">
        <f>VLOOKUP($BY44, Constants!$M:$N, 2, FALSE)</f>
        <v/>
      </c>
      <c r="CB44" t="str">
        <f t="shared" si="32"/>
        <v/>
      </c>
      <c r="CC44" t="s">
        <v>1166</v>
      </c>
      <c r="CD44" t="str">
        <f t="shared" si="33"/>
        <v/>
      </c>
      <c r="CE44" t="str">
        <f t="shared" si="14"/>
        <v>{BLACK}Length: {GOLD}0.8 tiles{}{SILVER}The Mk2 carriage also featured the BG Full Brake style, with luggage and parcel compartments.</v>
      </c>
    </row>
    <row r="45" spans="1:83"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s="17" t="str" cm="1">
        <f t="array" ref="BZ45">_xlfn.CONCAT("{BLACK}Length: {GOLD}", TEXT(ROUNDUP(IF(AP45&lt;&gt;"",SUM(VALUE(_xlfn.TEXTSPLIT(AP45, ","))), SUM(VALUE(_xlfn.TEXTSPLIT(AM45, ",")))*IF(L45, L45, 1))/16, 1), "#,##0.0"), " tiles{}")</f>
        <v>{BLACK}Length: {GOLD}0.8 tiles{}</v>
      </c>
      <c r="CA45" t="str">
        <f>VLOOKUP($BY45, Constants!$M:$N, 2, FALSE)</f>
        <v/>
      </c>
      <c r="CB45" t="str">
        <f t="shared" si="32"/>
        <v/>
      </c>
      <c r="CC45" t="s">
        <v>789</v>
      </c>
      <c r="CD45" t="str">
        <f t="shared" si="33"/>
        <v>{YELLOW}25% Bonus for long distance travel{}</v>
      </c>
      <c r="CE45" t="str">
        <f t="shared" si="14"/>
        <v>{BLACK}Length: {GOLD}0.8 tiles{}{YELLOW}25% Bonus for long distance travel{}{SILVER}Based on the Mark 1 carriage, the TPO (Travelling Post Office) allowed mail to be sorted as it was transported.</v>
      </c>
    </row>
    <row r="46" spans="1:83"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s="17" t="str" cm="1">
        <f t="array" ref="BZ46">_xlfn.CONCAT("{BLACK}Length: {GOLD}", TEXT(ROUNDUP(IF(AP46&lt;&gt;"",SUM(VALUE(_xlfn.TEXTSPLIT(AP46, ","))), SUM(VALUE(_xlfn.TEXTSPLIT(AM46, ",")))*IF(L46, L46, 1))/16, 1), "#,##0.0"), " tiles{}")</f>
        <v>{BLACK}Length: {GOLD}0.3 tiles{}</v>
      </c>
      <c r="CA46" t="str">
        <f>VLOOKUP($BY46, Constants!$M:$N, 2, FALSE)</f>
        <v/>
      </c>
      <c r="CB46" t="str">
        <f t="shared" si="17"/>
        <v/>
      </c>
      <c r="CC46" t="s">
        <v>1351</v>
      </c>
      <c r="CD46" t="str">
        <f t="shared" si="18"/>
        <v/>
      </c>
      <c r="CE46" t="str">
        <f t="shared" si="14"/>
        <v>{BLACK}Length: {GOLD}0.3 tiles{}{SILVER}Early open wagons had simple four-wheeled structures and were typically pulled by horses on quarry lines.</v>
      </c>
    </row>
    <row r="47" spans="1:83"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s="17" t="str" cm="1">
        <f t="array" ref="BZ47">_xlfn.CONCAT("{BLACK}Length: {GOLD}", TEXT(ROUNDUP(IF(AP47&lt;&gt;"",SUM(VALUE(_xlfn.TEXTSPLIT(AP47, ","))), SUM(VALUE(_xlfn.TEXTSPLIT(AM47, ",")))*IF(L47, L47, 1))/16, 1), "#,##0.0"), " tiles{}")</f>
        <v>{BLACK}Length: {GOLD}0.3 tiles{}</v>
      </c>
      <c r="CA47" t="str">
        <f>VLOOKUP($BY47, Constants!$M:$N, 2, FALSE)</f>
        <v/>
      </c>
      <c r="CB47" t="str">
        <f t="shared" si="17"/>
        <v/>
      </c>
      <c r="CC47" t="s">
        <v>363</v>
      </c>
      <c r="CD47" t="str">
        <f t="shared" si="18"/>
        <v/>
      </c>
      <c r="CE47" t="str">
        <f t="shared" si="14"/>
        <v>{BLACK}Length: {GOLD}0.3 tiles{}{SILVER}Open "plank" wagons are named for the number of planks used in the construction of their sides.</v>
      </c>
    </row>
    <row r="48" spans="1:83"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s="17" t="str" cm="1">
        <f t="array" ref="BZ48">_xlfn.CONCAT("{BLACK}Length: {GOLD}", TEXT(ROUNDUP(IF(AP48&lt;&gt;"",SUM(VALUE(_xlfn.TEXTSPLIT(AP48, ","))), SUM(VALUE(_xlfn.TEXTSPLIT(AM48, ",")))*IF(L48, L48, 1))/16, 1), "#,##0.0"), " tiles{}")</f>
        <v>{BLACK}Length: {GOLD}0.3 tiles{}</v>
      </c>
      <c r="CA48" t="str">
        <f>VLOOKUP($BY48, Constants!$M:$N, 2, FALSE)</f>
        <v/>
      </c>
      <c r="CB48" t="str">
        <f t="shared" si="17"/>
        <v/>
      </c>
      <c r="CC48" t="s">
        <v>364</v>
      </c>
      <c r="CD48" t="str">
        <f t="shared" si="18"/>
        <v/>
      </c>
      <c r="CE48" t="str">
        <f t="shared" si="14"/>
        <v>{BLACK}Length: {GOLD}0.3 tiles{}{SILVER}The 5 plank wagon became one of the common standard types used by the GWR, with thousands built.</v>
      </c>
    </row>
    <row r="49" spans="1:84"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s="17" t="str" cm="1">
        <f t="array" ref="BZ49">_xlfn.CONCAT("{BLACK}Length: {GOLD}", TEXT(ROUNDUP(IF(AP49&lt;&gt;"",SUM(VALUE(_xlfn.TEXTSPLIT(AP49, ","))), SUM(VALUE(_xlfn.TEXTSPLIT(AM49, ",")))*IF(L49, L49, 1))/16, 1), "#,##0.0"), " tiles{}")</f>
        <v>{BLACK}Length: {GOLD}0.4 tiles{}</v>
      </c>
      <c r="CA49" t="str">
        <f>VLOOKUP($BY49, Constants!$M:$N, 2, FALSE)</f>
        <v/>
      </c>
      <c r="CB49" t="str">
        <f t="shared" si="17"/>
        <v/>
      </c>
      <c r="CC49" t="s">
        <v>714</v>
      </c>
      <c r="CD49" t="str">
        <f t="shared" si="18"/>
        <v/>
      </c>
      <c r="CE49" t="str">
        <f t="shared" si="14"/>
        <v>{BLACK}Length: {GOLD}0.4 tiles{}{SILVER}Steel wagons were introduced in the 1930s to have a longer service life than wooden wagons, which were proving uneconomical for many owners to operate after recessions at the start of the decade.</v>
      </c>
      <c r="CF49">
        <v>1</v>
      </c>
    </row>
    <row r="50" spans="1:84" x14ac:dyDescent="0.25">
      <c r="A50" t="s">
        <v>1513</v>
      </c>
      <c r="B50" t="s">
        <v>1514</v>
      </c>
      <c r="C50">
        <v>25</v>
      </c>
      <c r="D50">
        <v>1025</v>
      </c>
      <c r="E50" t="s">
        <v>1508</v>
      </c>
      <c r="F50" t="s">
        <v>280</v>
      </c>
      <c r="G50" t="s">
        <v>280</v>
      </c>
      <c r="H50" t="s">
        <v>274</v>
      </c>
      <c r="I50">
        <v>1938</v>
      </c>
      <c r="K50">
        <v>1980</v>
      </c>
      <c r="V50">
        <v>11</v>
      </c>
      <c r="X50">
        <v>7</v>
      </c>
      <c r="Z50" s="3" t="str">
        <f t="shared" ref="Z50" si="34">IF(AND(V50&gt;0,Y50&gt;0),(Y50/((V50+W50)*10)),"")</f>
        <v/>
      </c>
      <c r="AA50">
        <v>50</v>
      </c>
      <c r="AB50">
        <f t="shared" ref="AB50" si="35">ROUND(AA50*1.6, 0)</f>
        <v>80</v>
      </c>
      <c r="AE50">
        <v>8</v>
      </c>
      <c r="AF50">
        <v>8</v>
      </c>
      <c r="AI50" s="10">
        <v>21</v>
      </c>
      <c r="AJ50" t="str">
        <f>CONCATENATE(VLOOKUP(AK50, 'Voxel Sizes'!$A$2:$B$18,2,FALSE),"x",INT(AG50*15), "x", INT(AH50*15))</f>
        <v>82x0x0</v>
      </c>
      <c r="AK50">
        <f t="shared" ref="AK50" si="36">ROUND(15*((AF50*10)/256),0)</f>
        <v>5</v>
      </c>
      <c r="AM50" t="str">
        <f>CONCATENATE(VLOOKUP(AK50,Constants!$A$2:$C$16,IF(AL50&lt;&gt;"", 3, 2), FALSE),IF(AL50&lt;&gt;"",CONCATENATE(",",VLOOKUP(AL50,$B:$AM,38,FALSE)),""))</f>
        <v>2,1,2</v>
      </c>
      <c r="AW50">
        <v>30</v>
      </c>
      <c r="AX50" s="15">
        <f t="shared" ref="AX50" si="37">IF(K50&lt;&gt;"",MAX(16,(K50-I50)+8),"")</f>
        <v>50</v>
      </c>
      <c r="BA50">
        <f t="shared" ref="BA50" si="38">MIN(AA50/150, 1)*30</f>
        <v>10</v>
      </c>
      <c r="BB50">
        <f t="shared" ref="BB50" si="39">MIN(M50/4000, 1)*20</f>
        <v>0</v>
      </c>
      <c r="BC50">
        <f t="shared" ref="BC50" si="40">MIN(Y50/400,1)*20</f>
        <v>0</v>
      </c>
      <c r="BD50" s="3">
        <f t="shared" ref="BD50" si="41">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2">CONCATENATE(BV50,"_",BW50)</f>
        <v>big4_Open Wagon</v>
      </c>
      <c r="BY50" t="str">
        <f t="shared" ref="BY50" si="43">_xlfn.CONCAT(G50, "_",H50)</f>
        <v>wagon_RAIL</v>
      </c>
      <c r="BZ50" s="17" t="str" cm="1">
        <f t="array" ref="BZ50">_xlfn.CONCAT("{BLACK}Length: {GOLD}", TEXT(ROUNDUP(IF(AP50&lt;&gt;"",SUM(VALUE(_xlfn.TEXTSPLIT(AP50, ","))), SUM(VALUE(_xlfn.TEXTSPLIT(AM50, ",")))*IF(L50, L50, 1))/16, 1), "#,##0.0"), " tiles{}")</f>
        <v>{BLACK}Length: {GOLD}0.4 tiles{}</v>
      </c>
      <c r="CA50" t="str">
        <f>VLOOKUP($BY50, Constants!$M:$N, 2, FALSE)</f>
        <v/>
      </c>
      <c r="CB50" t="str">
        <f t="shared" ref="CB50" si="44">IF(L50&gt;1,_xlfn.CONCAT("{BLACK}Cars: {GOLD}", L50),"")</f>
        <v/>
      </c>
      <c r="CC50" t="s">
        <v>1515</v>
      </c>
      <c r="CD50" t="str">
        <f t="shared" ref="CD50" si="45">IF(BU50="BRAKE","{YELLOW}Speed bonus for slow wagons{}",IF(BS50&gt;190,CONCATENATE("{YELLOW}",INT((BS50-185)/1.85),"% Bonus for long distance travel{}"),IF(AND(BS50&lt;180,BS50&lt;&gt;0),CONCATENATE("{YELLOW}",INT((185-BS50)/1.85),"% Penalty for long distance travel{}"),"")))</f>
        <v/>
      </c>
      <c r="CE50" t="str">
        <f t="shared" si="14"/>
        <v>{BLACK}Length: {GOLD}0.4 tiles{}{SILVER}The LNER built many of these coal hoppers, from 1935 to nationalisation. Although capacity is lower, these can be loaded faster than regular wagons.</v>
      </c>
      <c r="CF50">
        <v>1</v>
      </c>
    </row>
    <row r="51" spans="1:84"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s="17" t="str" cm="1">
        <f t="array" ref="BZ51">_xlfn.CONCAT("{BLACK}Length: {GOLD}", TEXT(ROUNDUP(IF(AP51&lt;&gt;"",SUM(VALUE(_xlfn.TEXTSPLIT(AP51, ","))), SUM(VALUE(_xlfn.TEXTSPLIT(AM51, ",")))*IF(L51, L51, 1))/16, 1), "#,##0.0"), " tiles{}")</f>
        <v>{BLACK}Length: {GOLD}0.4 tiles{}</v>
      </c>
      <c r="CA51" t="str">
        <f>VLOOKUP($BY51, Constants!$M:$N, 2, FALSE)</f>
        <v/>
      </c>
      <c r="CB51" t="str">
        <f t="shared" si="17"/>
        <v/>
      </c>
      <c r="CC51" t="s">
        <v>720</v>
      </c>
      <c r="CD51" t="str">
        <f t="shared" si="18"/>
        <v/>
      </c>
      <c r="CE51" t="str">
        <f t="shared" si="14"/>
        <v>{BLACK}Length: {GOLD}0.4 tiles{}{SILVER}BR continued to make steel bodied wagons following LNER designs, gradually altering the body style.</v>
      </c>
      <c r="CF51">
        <v>1</v>
      </c>
    </row>
    <row r="52" spans="1:84"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s="17" t="str" cm="1">
        <f t="array" ref="BZ52">_xlfn.CONCAT("{BLACK}Length: {GOLD}", TEXT(ROUNDUP(IF(AP52&lt;&gt;"",SUM(VALUE(_xlfn.TEXTSPLIT(AP52, ","))), SUM(VALUE(_xlfn.TEXTSPLIT(AM52, ",")))*IF(L52, L52, 1))/16, 1), "#,##0.0"), " tiles{}")</f>
        <v>{BLACK}Length: {GOLD}0.4 tiles{}</v>
      </c>
      <c r="CA52" t="str">
        <f>VLOOKUP($BY52, Constants!$M:$N, 2, FALSE)</f>
        <v/>
      </c>
      <c r="CB52" t="str">
        <f t="shared" si="17"/>
        <v/>
      </c>
      <c r="CC52" t="s">
        <v>721</v>
      </c>
      <c r="CD52" t="str">
        <f t="shared" si="18"/>
        <v/>
      </c>
      <c r="CE52" t="str">
        <f t="shared" si="14"/>
        <v>{BLACK}Length: {GOLD}0.4 tiles{}{SILVER}The OAA/OBA wagons were BR's first air braked open wagons, later forming part of the Speedlink network. They featured steel end frames with wooden drop sides.</v>
      </c>
      <c r="CF52">
        <v>1</v>
      </c>
    </row>
    <row r="53" spans="1:84"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s="17" t="str" cm="1">
        <f t="array" ref="BZ53">_xlfn.CONCAT("{BLACK}Length: {GOLD}", TEXT(ROUNDUP(IF(AP53&lt;&gt;"",SUM(VALUE(_xlfn.TEXTSPLIT(AP53, ","))), SUM(VALUE(_xlfn.TEXTSPLIT(AM53, ",")))*IF(L53, L53, 1))/16, 1), "#,##0.0"), " tiles{}")</f>
        <v>{BLACK}Length: {GOLD}0.4 tiles{}</v>
      </c>
      <c r="CA53" t="str">
        <f>VLOOKUP($BY53, Constants!$M:$N, 2, FALSE)</f>
        <v/>
      </c>
      <c r="CB53" t="str">
        <f t="shared" si="17"/>
        <v/>
      </c>
      <c r="CC53" t="s">
        <v>725</v>
      </c>
      <c r="CD53" t="str">
        <f t="shared" si="18"/>
        <v/>
      </c>
      <c r="CE53" t="str">
        <f t="shared" si="14"/>
        <v>{BLACK}Length: {GOLD}0.4 tiles{}{SILVER}MEA wagons used frames from old hopper wagons combined with a new box body.</v>
      </c>
      <c r="CF53">
        <v>1</v>
      </c>
    </row>
    <row r="54" spans="1:84"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s="17" t="str" cm="1">
        <f t="array" ref="BZ54">_xlfn.CONCAT("{BLACK}Length: {GOLD}", TEXT(ROUNDUP(IF(AP54&lt;&gt;"",SUM(VALUE(_xlfn.TEXTSPLIT(AP54, ","))), SUM(VALUE(_xlfn.TEXTSPLIT(AM54, ",")))*IF(L54, L54, 1))/16, 1), "#,##0.0"), " tiles{}")</f>
        <v>{BLACK}Length: {GOLD}0.7 tiles{}</v>
      </c>
      <c r="CA54" t="str">
        <f>VLOOKUP($BY54, Constants!$M:$N, 2, FALSE)</f>
        <v/>
      </c>
      <c r="CB54" t="str">
        <f t="shared" si="17"/>
        <v/>
      </c>
      <c r="CC54" t="s">
        <v>726</v>
      </c>
      <c r="CD54" t="str">
        <f t="shared" si="18"/>
        <v/>
      </c>
      <c r="CE54" t="str">
        <f t="shared" si="14"/>
        <v>{BLACK}Length: {GOLD}0.7 tiles{}{SILVER}The MWA is another wagon rebuilt using new bodies on an old frame, resulting in a high capacity bogie open wagon.</v>
      </c>
      <c r="CF54">
        <v>1</v>
      </c>
    </row>
    <row r="55" spans="1:84"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s="17" t="str" cm="1">
        <f t="array" ref="BZ55">_xlfn.CONCAT("{BLACK}Length: {GOLD}", TEXT(ROUNDUP(IF(AP55&lt;&gt;"",SUM(VALUE(_xlfn.TEXTSPLIT(AP55, ","))), SUM(VALUE(_xlfn.TEXTSPLIT(AM55, ",")))*IF(L55, L55, 1))/16, 1), "#,##0.0"), " tiles{}")</f>
        <v>{BLACK}Length: {GOLD}0.4 tiles{}</v>
      </c>
      <c r="CA55" t="str">
        <f>VLOOKUP($BY55, Constants!$M:$N, 2, FALSE)</f>
        <v/>
      </c>
      <c r="CB55" t="str">
        <f t="shared" si="17"/>
        <v/>
      </c>
      <c r="CC55" t="s">
        <v>731</v>
      </c>
      <c r="CD55" t="str">
        <f t="shared" si="18"/>
        <v/>
      </c>
      <c r="CE55" t="str">
        <f t="shared" si="14"/>
        <v>{BLACK}Length: {GOLD}0.4 tiles{}{SILVER}MGR "merry-go-round" hoppers enabled coal trains to load and unload without stopping, emptying coal into discharge hoppers underneath the wagons. In OpenTTD this is represented by faster loading speeds.</v>
      </c>
      <c r="CF55">
        <v>1</v>
      </c>
    </row>
    <row r="56" spans="1:84"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s="17" t="str" cm="1">
        <f t="array" ref="BZ56">_xlfn.CONCAT("{BLACK}Length: {GOLD}", TEXT(ROUNDUP(IF(AP56&lt;&gt;"",SUM(VALUE(_xlfn.TEXTSPLIT(AP56, ","))), SUM(VALUE(_xlfn.TEXTSPLIT(AM56, ",")))*IF(L56, L56, 1))/16, 1), "#,##0.0"), " tiles{}")</f>
        <v>{BLACK}Length: {GOLD}0.7 tiles{}</v>
      </c>
      <c r="CA56" t="str">
        <f>VLOOKUP($BY56, Constants!$M:$N, 2, FALSE)</f>
        <v/>
      </c>
      <c r="CB56" t="str">
        <f t="shared" si="17"/>
        <v/>
      </c>
      <c r="CC56" t="s">
        <v>727</v>
      </c>
      <c r="CD56" t="str">
        <f t="shared" si="18"/>
        <v/>
      </c>
      <c r="CE56" t="str">
        <f t="shared" si="14"/>
        <v>{BLACK}Length: {GOLD}0.7 tiles{}{SILVER}The HHA is a large self-discharging hopper built for Freightliner to use on coal trains.</v>
      </c>
      <c r="CF56">
        <v>1</v>
      </c>
    </row>
    <row r="57" spans="1:84"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s="17" t="str" cm="1">
        <f t="array" ref="BZ57">_xlfn.CONCAT("{BLACK}Length: {GOLD}", TEXT(ROUNDUP(IF(AP57&lt;&gt;"",SUM(VALUE(_xlfn.TEXTSPLIT(AP57, ","))), SUM(VALUE(_xlfn.TEXTSPLIT(AM57, ",")))*IF(L57, L57, 1))/16, 1), "#,##0.0"), " tiles{}")</f>
        <v>{BLACK}Length: {GOLD}0.4 tiles{}</v>
      </c>
      <c r="CA57" t="str">
        <f>VLOOKUP($BY57, Constants!$M:$N, 2, FALSE)</f>
        <v/>
      </c>
      <c r="CB57" t="str">
        <f t="shared" si="17"/>
        <v/>
      </c>
      <c r="CC57" t="s">
        <v>1406</v>
      </c>
      <c r="CD57" t="str">
        <f t="shared" si="18"/>
        <v/>
      </c>
      <c r="CE57" t="str">
        <f t="shared" si="14"/>
        <v>{BLACK}Length: {GOLD}0.4 tiles{}{SILVER}Conflats were built to carry containers, meaning goods could be loaded separately and then the whole container placed on the train in one operation.</v>
      </c>
    </row>
    <row r="58" spans="1:84"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s="17" t="str" cm="1">
        <f t="array" ref="BZ58">_xlfn.CONCAT("{BLACK}Length: {GOLD}", TEXT(ROUNDUP(IF(AP58&lt;&gt;"",SUM(VALUE(_xlfn.TEXTSPLIT(AP58, ","))), SUM(VALUE(_xlfn.TEXTSPLIT(AM58, ",")))*IF(L58, L58, 1))/16, 1), "#,##0.0"), " tiles{}")</f>
        <v>{BLACK}Length: {GOLD}0.7 tiles{}</v>
      </c>
      <c r="CA58" t="str">
        <f>VLOOKUP($BY58, Constants!$M:$N, 2, FALSE)</f>
        <v/>
      </c>
      <c r="CB58" t="str">
        <f t="shared" si="17"/>
        <v/>
      </c>
      <c r="CC58" t="s">
        <v>796</v>
      </c>
      <c r="CD58" t="str">
        <f t="shared" si="18"/>
        <v/>
      </c>
      <c r="CE58" t="str">
        <f t="shared" si="14"/>
        <v>{BLACK}Length: {GOLD}0.7 tiles{}{SILVER}The FFA container wagons were a major advance over short-wheelbase conflats when built, and being easily adapted to the then-new ISO container standard only increased this advantage.</v>
      </c>
    </row>
    <row r="59" spans="1:84"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s="17" t="str" cm="1">
        <f t="array" ref="BZ59">_xlfn.CONCAT("{BLACK}Length: {GOLD}", TEXT(ROUNDUP(IF(AP59&lt;&gt;"",SUM(VALUE(_xlfn.TEXTSPLIT(AP59, ","))), SUM(VALUE(_xlfn.TEXTSPLIT(AM59, ",")))*IF(L59, L59, 1))/16, 1), "#,##0.0"), " tiles{}")</f>
        <v>{BLACK}Length: {GOLD}0.7 tiles{}</v>
      </c>
      <c r="CA59" t="str">
        <f>VLOOKUP($BY59, Constants!$M:$N, 2, FALSE)</f>
        <v/>
      </c>
      <c r="CB59" t="str">
        <f t="shared" si="17"/>
        <v/>
      </c>
      <c r="CC59" t="s">
        <v>797</v>
      </c>
      <c r="CD59" t="str">
        <f t="shared" si="18"/>
        <v/>
      </c>
      <c r="CE59" t="str">
        <f t="shared" si="14"/>
        <v>{BLACK}Length: {GOLD}0.7 tiles{}{SILVER}Freightliner had considered replacing the FFA wagons with a shorter 40ft container flat, but the poor running quality of fixed axle wagons resulted in the choice of another standard bogie flat.</v>
      </c>
    </row>
    <row r="60" spans="1:84"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s="17" t="str" cm="1">
        <f t="array" ref="BZ60">_xlfn.CONCAT("{BLACK}Length: {GOLD}", TEXT(ROUNDUP(IF(AP60&lt;&gt;"",SUM(VALUE(_xlfn.TEXTSPLIT(AP60, ","))), SUM(VALUE(_xlfn.TEXTSPLIT(AM60, ",")))*IF(L60, L60, 1))/16, 1), "#,##0.0"), " tiles{}")</f>
        <v>{BLACK}Length: {GOLD}0.7 tiles{}</v>
      </c>
      <c r="CA60" t="str">
        <f>VLOOKUP($BY60, Constants!$M:$N, 2, FALSE)</f>
        <v/>
      </c>
      <c r="CB60" t="str">
        <f t="shared" si="17"/>
        <v/>
      </c>
      <c r="CC60" t="s">
        <v>810</v>
      </c>
      <c r="CD60" t="str">
        <f t="shared" si="18"/>
        <v/>
      </c>
      <c r="CE60" t="str">
        <f t="shared" si="14"/>
        <v>{BLACK}Length: {GOLD}0.7 tiles{}{SILVER}KTA wagons solve the problem of carrying high-cube containers in the small British loading gauge, using a "pocket" between the axles that can take either a single 40ft container or two 20ft ones.</v>
      </c>
    </row>
    <row r="61" spans="1:84"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s="17" t="str" cm="1">
        <f t="array" ref="BZ61">_xlfn.CONCAT("{BLACK}Length: {GOLD}", TEXT(ROUNDUP(IF(AP61&lt;&gt;"",SUM(VALUE(_xlfn.TEXTSPLIT(AP61, ","))), SUM(VALUE(_xlfn.TEXTSPLIT(AM61, ",")))*IF(L61, L61, 1))/16, 1), "#,##0.0"), " tiles{}")</f>
        <v>{BLACK}Length: {GOLD}0.3 tiles{}</v>
      </c>
      <c r="CA61" t="str">
        <f>VLOOKUP($BY61, Constants!$M:$N, 2, FALSE)</f>
        <v/>
      </c>
      <c r="CB61" t="str">
        <f t="shared" si="17"/>
        <v/>
      </c>
      <c r="CC61" t="s">
        <v>1357</v>
      </c>
      <c r="CD61" t="str">
        <f t="shared" si="18"/>
        <v/>
      </c>
      <c r="CE61" t="str">
        <f t="shared" si="14"/>
        <v>{BLACK}Length: {GOLD}0.3 tiles{}{SILVER}Early flat wagons had simple wooden construction, and sometimes featured stakes for securing loads.</v>
      </c>
    </row>
    <row r="62" spans="1:84"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s="17" t="str" cm="1">
        <f t="array" ref="BZ62">_xlfn.CONCAT("{BLACK}Length: {GOLD}", TEXT(ROUNDUP(IF(AP62&lt;&gt;"",SUM(VALUE(_xlfn.TEXTSPLIT(AP62, ","))), SUM(VALUE(_xlfn.TEXTSPLIT(AM62, ",")))*IF(L62, L62, 1))/16, 1), "#,##0.0"), " tiles{}")</f>
        <v>{BLACK}Length: {GOLD}0.3 tiles{}</v>
      </c>
      <c r="CA62" t="str">
        <f>VLOOKUP($BY62, Constants!$M:$N, 2, FALSE)</f>
        <v/>
      </c>
      <c r="CB62" t="str">
        <f t="shared" si="17"/>
        <v/>
      </c>
      <c r="CC62" t="s">
        <v>780</v>
      </c>
      <c r="CD62" t="str">
        <f t="shared" si="18"/>
        <v/>
      </c>
      <c r="CE62" t="str">
        <f t="shared" si="14"/>
        <v>{BLACK}Length: {GOLD}0.3 tiles{}{SILVER}Flat wagons carried goods such as metal pipes and wood, where a flat surface with bolsters for tying loads down was most convenient.</v>
      </c>
    </row>
    <row r="63" spans="1:84"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s="17" t="str" cm="1">
        <f t="array" ref="BZ63">_xlfn.CONCAT("{BLACK}Length: {GOLD}", TEXT(ROUNDUP(IF(AP63&lt;&gt;"",SUM(VALUE(_xlfn.TEXTSPLIT(AP63, ","))), SUM(VALUE(_xlfn.TEXTSPLIT(AM63, ",")))*IF(L63, L63, 1))/16, 1), "#,##0.0"), " tiles{}")</f>
        <v>{BLACK}Length: {GOLD}0.4 tiles{}</v>
      </c>
      <c r="CA63" t="str">
        <f>VLOOKUP($BY63, Constants!$M:$N, 2, FALSE)</f>
        <v/>
      </c>
      <c r="CB63" t="str">
        <f t="shared" si="17"/>
        <v/>
      </c>
      <c r="CC63" t="s">
        <v>411</v>
      </c>
      <c r="CD63" t="str">
        <f t="shared" si="18"/>
        <v/>
      </c>
      <c r="CE63" t="str">
        <f t="shared" si="14"/>
        <v>{BLACK}Length: {GOLD}0.4 tiles{}{SILVER}"Beaver" was the GWR telegraph code for a flat wagon, with an additional letter used to identify the length.</v>
      </c>
    </row>
    <row r="64" spans="1:84"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s="17" t="str" cm="1">
        <f t="array" ref="BZ64">_xlfn.CONCAT("{BLACK}Length: {GOLD}", TEXT(ROUNDUP(IF(AP64&lt;&gt;"",SUM(VALUE(_xlfn.TEXTSPLIT(AP64, ","))), SUM(VALUE(_xlfn.TEXTSPLIT(AM64, ",")))*IF(L64, L64, 1))/16, 1), "#,##0.0"), " tiles{}")</f>
        <v>{BLACK}Length: {GOLD}0.6 tiles{}</v>
      </c>
      <c r="CA64" t="str">
        <f>VLOOKUP($BY64, Constants!$M:$N, 2, FALSE)</f>
        <v/>
      </c>
      <c r="CB64" t="str">
        <f t="shared" si="17"/>
        <v/>
      </c>
      <c r="CC64" t="s">
        <v>761</v>
      </c>
      <c r="CD64" t="str">
        <f t="shared" si="18"/>
        <v/>
      </c>
      <c r="CE64" t="str">
        <f t="shared" si="14"/>
        <v>{BLACK}Length: {GOLD}0.6 tiles{}{SILVER}Bolster wagons were some of the earliest goods vehicles to use bogies rather than fixed axles. The wooden bolsters running across the wagon made long, rigid loads easy to tie down.</v>
      </c>
    </row>
    <row r="65" spans="1:84"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s="17" t="str" cm="1">
        <f t="array" ref="BZ65">_xlfn.CONCAT("{BLACK}Length: {GOLD}", TEXT(ROUNDUP(IF(AP65&lt;&gt;"",SUM(VALUE(_xlfn.TEXTSPLIT(AP65, ","))), SUM(VALUE(_xlfn.TEXTSPLIT(AM65, ",")))*IF(L65, L65, 1))/16, 1), "#,##0.0"), " tiles{}")</f>
        <v>{BLACK}Length: {GOLD}0.4 tiles{}</v>
      </c>
      <c r="CA65" t="str">
        <f>VLOOKUP($BY65, Constants!$M:$N, 2, FALSE)</f>
        <v/>
      </c>
      <c r="CB65" t="str">
        <f t="shared" si="17"/>
        <v/>
      </c>
      <c r="CC65" t="s">
        <v>769</v>
      </c>
      <c r="CD65" t="str">
        <f t="shared" si="18"/>
        <v/>
      </c>
      <c r="CE65" t="str">
        <f t="shared" si="14"/>
        <v>{BLACK}Length: {GOLD}0.4 tiles{}{SILVER}The LMS built double bolsters to carry welded rail, with single rails laid across multiple bolster wagons.</v>
      </c>
    </row>
    <row r="66" spans="1:84"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s="17" t="str" cm="1">
        <f t="array" ref="BZ66">_xlfn.CONCAT("{BLACK}Length: {GOLD}", TEXT(ROUNDUP(IF(AP66&lt;&gt;"",SUM(VALUE(_xlfn.TEXTSPLIT(AP66, ","))), SUM(VALUE(_xlfn.TEXTSPLIT(AM66, ",")))*IF(L66, L66, 1))/16, 1), "#,##0.0"), " tiles{}")</f>
        <v>{BLACK}Length: {GOLD}0.8 tiles{}</v>
      </c>
      <c r="CA66" t="str">
        <f>VLOOKUP($BY66, Constants!$M:$N, 2, FALSE)</f>
        <v/>
      </c>
      <c r="CB66" t="str">
        <f t="shared" si="17"/>
        <v/>
      </c>
      <c r="CC66" t="s">
        <v>775</v>
      </c>
      <c r="CD66" t="str">
        <f t="shared" si="18"/>
        <v/>
      </c>
      <c r="CE66" t="str">
        <f t="shared" si="14"/>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67" spans="1:84" x14ac:dyDescent="0.25">
      <c r="A67" t="s">
        <v>1510</v>
      </c>
      <c r="B67" t="s">
        <v>1511</v>
      </c>
      <c r="C67">
        <v>69</v>
      </c>
      <c r="D67">
        <v>1042</v>
      </c>
      <c r="E67" t="s">
        <v>1508</v>
      </c>
      <c r="F67" t="s">
        <v>280</v>
      </c>
      <c r="G67" t="s">
        <v>280</v>
      </c>
      <c r="H67" t="s">
        <v>274</v>
      </c>
      <c r="I67">
        <v>1952</v>
      </c>
      <c r="K67">
        <v>1985</v>
      </c>
      <c r="V67">
        <v>9</v>
      </c>
      <c r="X67">
        <v>4</v>
      </c>
      <c r="Z67" s="3" t="str">
        <f t="shared" ref="Z67" si="46">IF(AND(V67&gt;0,Y67&gt;0),(Y67/((V67+W67)*10)),"")</f>
        <v/>
      </c>
      <c r="AA67">
        <v>60</v>
      </c>
      <c r="AB67">
        <f t="shared" ref="AB67" si="47">ROUND(AA67*1.6, 0)</f>
        <v>96</v>
      </c>
      <c r="AE67">
        <v>11</v>
      </c>
      <c r="AF67">
        <v>11</v>
      </c>
      <c r="AI67" s="10">
        <v>24</v>
      </c>
      <c r="AJ67" t="str">
        <f>CONCATENATE(VLOOKUP(AK67, 'Voxel Sizes'!$A$2:$B$18,2,FALSE),"x",INT(AG67*15), "x", INT(AH67*15))</f>
        <v>102x0x0</v>
      </c>
      <c r="AK67">
        <f t="shared" ref="AK67" si="48">ROUND(15*((AF67*10)/256),0)</f>
        <v>6</v>
      </c>
      <c r="AM67" t="str">
        <f>CONCATENATE(VLOOKUP(AK67,Constants!$A$2:$C$16,IF(AL67&lt;&gt;"", 3, 2), FALSE),IF(AL67&lt;&gt;"",CONCATENATE(",",VLOOKUP(AL67,$B:$AM,38,FALSE)),""))</f>
        <v>2,2,2</v>
      </c>
      <c r="AW67">
        <v>30</v>
      </c>
      <c r="AX67" s="15">
        <f t="shared" ref="AX67" si="49">IF(K67&lt;&gt;"",MAX(16,(K67-I67)+8),"")</f>
        <v>41</v>
      </c>
      <c r="BA67">
        <f t="shared" ref="BA67" si="50">MIN(AA67/150, 1)*30</f>
        <v>12</v>
      </c>
      <c r="BB67">
        <f t="shared" ref="BB67" si="51">MIN(M67/4000, 1)*20</f>
        <v>0</v>
      </c>
      <c r="BC67">
        <f t="shared" ref="BC67" si="52">MIN(Y67/400,1)*20</f>
        <v>0</v>
      </c>
      <c r="BD67" s="3">
        <f t="shared" ref="BD67" si="53">1-(MAX(I67-1900, 0)/750)</f>
        <v>0.93066666666666664</v>
      </c>
      <c r="BE67">
        <f t="shared" ref="BE67" si="54">((MAX($L67,1)*MIN($AI67/300,1)))*IF(F67="Wagon",50,10)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5">BH67*IF($F67="wagon",62.5,781.25)</f>
        <v>562.5</v>
      </c>
      <c r="BK67" s="14">
        <f t="shared" ref="BK67" si="56">BI67*IF($F67="wagon",2.73,81.25)</f>
        <v>76.44</v>
      </c>
      <c r="BR67">
        <v>1</v>
      </c>
      <c r="BS67">
        <v>185</v>
      </c>
      <c r="BT67" t="s">
        <v>1042</v>
      </c>
      <c r="BU67" t="s">
        <v>410</v>
      </c>
      <c r="BV67" t="str">
        <f>VLOOKUP(I67,Eras!$A$2:$C$10, 2, TRUE)</f>
        <v>ebr</v>
      </c>
      <c r="BW67" t="s">
        <v>340</v>
      </c>
      <c r="BX67" t="str">
        <f t="shared" ref="BX67" si="57">CONCATENATE(BV67,"_",BW67)</f>
        <v>ebr_Flat Wagon</v>
      </c>
      <c r="BY67" t="str">
        <f t="shared" ref="BY67" si="58">_xlfn.CONCAT(G67, "_",H67)</f>
        <v>wagon_RAIL</v>
      </c>
      <c r="BZ67" s="17" t="str" cm="1">
        <f t="array" ref="BZ67">_xlfn.CONCAT("{BLACK}Length: {GOLD}", TEXT(ROUNDUP(IF(AP67&lt;&gt;"",SUM(VALUE(_xlfn.TEXTSPLIT(AP67, ","))), SUM(VALUE(_xlfn.TEXTSPLIT(AM67, ",")))*IF(L67, L67, 1))/16, 1), "#,##0.0"), " tiles{}")</f>
        <v>{BLACK}Length: {GOLD}0.4 tiles{}</v>
      </c>
      <c r="CA67" t="str">
        <f>VLOOKUP($BY67, Constants!$M:$N, 2, FALSE)</f>
        <v/>
      </c>
      <c r="CB67" t="str">
        <f t="shared" ref="CB67" si="59">IF(L67&gt;1,_xlfn.CONCAT("{BLACK}Cars: {GOLD}", L67),"")</f>
        <v/>
      </c>
      <c r="CC67" t="s">
        <v>1512</v>
      </c>
      <c r="CD67" t="str">
        <f t="shared" ref="CD67" si="60">IF(BU67="BRAKE","{YELLOW}Speed bonus for slow wagons{}",IF(BS67&gt;190,CONCATENATE("{YELLOW}",INT((BS67-185)/1.85),"% Bonus for long distance travel{}"),IF(AND(BS67&lt;180,BS67&lt;&gt;0),CONCATENATE("{YELLOW}",INT((185-BS67)/1.85),"% Penalty for long distance travel{}"),"")))</f>
        <v/>
      </c>
      <c r="CE67" t="str">
        <f t="shared" ref="CE67:CE131" si="61">_xlfn.CONCAT(CA67,IF(CA67 &lt;&gt; "", " ", ""),CB67,IF(OR(CB67&lt;&gt;"", CA67&lt;&gt;""), "{}",""), BZ67, CD67,"{SILVER}", CC67)</f>
        <v>{BLACK}Length: {GOLD}0.4 tiles{}{SILVER}"Lowmac" was a GWR code for a low wagon intended to fit tall, bulky cargo within the railway loading gauge. BR built a number of small Lowmac types in the early 1950s.</v>
      </c>
    </row>
    <row r="68" spans="1:84"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s="17" t="str" cm="1">
        <f t="array" ref="BZ68">_xlfn.CONCAT("{BLACK}Length: {GOLD}", TEXT(ROUNDUP(IF(AP68&lt;&gt;"",SUM(VALUE(_xlfn.TEXTSPLIT(AP68, ","))), SUM(VALUE(_xlfn.TEXTSPLIT(AM68, ",")))*IF(L68, L68, 1))/16, 1), "#,##0.0"), " tiles{}")</f>
        <v>{BLACK}Length: {GOLD}0.6 tiles{}</v>
      </c>
      <c r="CA68" t="str">
        <f>VLOOKUP($BY68, Constants!$M:$N, 2, FALSE)</f>
        <v/>
      </c>
      <c r="CB68" t="str">
        <f t="shared" si="17"/>
        <v/>
      </c>
      <c r="CC68" t="s">
        <v>772</v>
      </c>
      <c r="CD68" t="str">
        <f t="shared" si="18"/>
        <v/>
      </c>
      <c r="CE68" t="str">
        <f t="shared" si="61"/>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4"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s="17" t="str" cm="1">
        <f t="array" ref="BZ69">_xlfn.CONCAT("{BLACK}Length: {GOLD}", TEXT(ROUNDUP(IF(AP69&lt;&gt;"",SUM(VALUE(_xlfn.TEXTSPLIT(AP69, ","))), SUM(VALUE(_xlfn.TEXTSPLIT(AM69, ",")))*IF(L69, L69, 1))/16, 1), "#,##0.0"), " tiles{}")</f>
        <v>{BLACK}Length: {GOLD}0.8 tiles{}</v>
      </c>
      <c r="CA69" t="str">
        <f>VLOOKUP($BY69, Constants!$M:$N, 2, FALSE)</f>
        <v/>
      </c>
      <c r="CB69" t="str">
        <f t="shared" si="17"/>
        <v/>
      </c>
      <c r="CC69" t="s">
        <v>778</v>
      </c>
      <c r="CD69" t="str">
        <f t="shared" si="18"/>
        <v/>
      </c>
      <c r="CE69" t="str">
        <f t="shared" si="61"/>
        <v>{BLACK}Length: {GOLD}0.8 tiles{}{SILVER}Despite the age of the "Salmon" bolster wagons, in 2009 they were refurbished with new end plates to make loading track panels simpler.</v>
      </c>
    </row>
    <row r="70" spans="1:84" x14ac:dyDescent="0.25">
      <c r="A70" t="s">
        <v>1519</v>
      </c>
      <c r="B70" t="s">
        <v>1518</v>
      </c>
      <c r="C70">
        <v>74</v>
      </c>
      <c r="D70">
        <v>1045</v>
      </c>
      <c r="E70" t="s">
        <v>1508</v>
      </c>
      <c r="F70" t="s">
        <v>280</v>
      </c>
      <c r="G70" t="s">
        <v>280</v>
      </c>
      <c r="H70" t="s">
        <v>274</v>
      </c>
      <c r="I70">
        <v>2020</v>
      </c>
      <c r="V70">
        <v>15</v>
      </c>
      <c r="X70">
        <v>4</v>
      </c>
      <c r="Z70" s="3" t="str">
        <f t="shared" ref="Z70" si="62">IF(AND(V70&gt;0,Y70&gt;0),(Y70/((V70+W70)*10)),"")</f>
        <v/>
      </c>
      <c r="AA70">
        <v>85</v>
      </c>
      <c r="AB70">
        <f t="shared" ref="AB70" si="63">ROUND(AA70*1.6, 0)</f>
        <v>136</v>
      </c>
      <c r="AE70">
        <v>15.8</v>
      </c>
      <c r="AF70">
        <v>19.8</v>
      </c>
      <c r="AI70" s="10">
        <v>60</v>
      </c>
      <c r="AJ70" t="str">
        <f>CONCATENATE(VLOOKUP(AK70, 'Voxel Sizes'!$A$2:$B$18,2,FALSE),"x",INT(AG70*15), "x", INT(AH70*15))</f>
        <v>198x0x0</v>
      </c>
      <c r="AK70">
        <f t="shared" ref="AK70" si="64">ROUND(15*((AF70*10)/256),0)</f>
        <v>12</v>
      </c>
      <c r="AM70" t="str">
        <f>CONCATENATE(VLOOKUP(AK70,Constants!$A$2:$C$16,IF(AL70&lt;&gt;"", 3, 2), FALSE),IF(AL70&lt;&gt;"",CONCATENATE(",",VLOOKUP(AL70,$B:$AM,38,FALSE)),""))</f>
        <v>4,4,4</v>
      </c>
      <c r="AW70">
        <v>30</v>
      </c>
      <c r="AX70" s="15" t="str">
        <f t="shared" ref="AX70" si="65">IF(K70&lt;&gt;"",MAX(16,(K70-I70)+8),"")</f>
        <v/>
      </c>
      <c r="AY70">
        <v>-2</v>
      </c>
      <c r="AZ70">
        <v>2</v>
      </c>
      <c r="BA70">
        <f t="shared" ref="BA70" si="66">MIN(AA70/150, 1)*30</f>
        <v>17</v>
      </c>
      <c r="BB70">
        <f t="shared" ref="BB70" si="67">MIN(M70/4000, 1)*20</f>
        <v>0</v>
      </c>
      <c r="BC70">
        <f t="shared" ref="BC70" si="68">MIN(Y70/400,1)*20</f>
        <v>0</v>
      </c>
      <c r="BD70" s="3">
        <f t="shared" ref="BD70" si="69">1-(MAX(I70-1900, 0)/750)</f>
        <v>0.84</v>
      </c>
      <c r="BE70">
        <f t="shared" ref="BE70" si="70">((MAX($L70,1)*MIN($AI70/300,1)))*IF(F70="Wagon",50,10)</f>
        <v>10</v>
      </c>
      <c r="BF70">
        <f>VLOOKUP($G70,Constants!$I:$K, 2, FALSE)</f>
        <v>1</v>
      </c>
      <c r="BG70">
        <f>VLOOKUP($G70,Constants!$I:$K, 3, FALSE)*IF(AND(F70="multiple_unit",AA70&lt;110),0.75,1)</f>
        <v>0.45</v>
      </c>
      <c r="BH70">
        <f>INT(POWER(((Constants!$G$2+$BA70+$BB70+$BC70+$BE70)*$BD70)*$BG70, 1.05))+$AZ70</f>
        <v>15</v>
      </c>
      <c r="BI70">
        <f>INT(POWER((((Constants!$G$1+$BA70+$BB70+$BC70+$BE70)*($BD70))*$BF70),IF($F70="wagon",1,1.2)))+$AY70</f>
        <v>33</v>
      </c>
      <c r="BJ70" s="14">
        <f t="shared" ref="BJ70" si="71">BH70*IF($F70="wagon",62.5,781.25)</f>
        <v>937.5</v>
      </c>
      <c r="BK70" s="14">
        <f t="shared" ref="BK70" si="72">BI70*IF($F70="wagon",2.73,81.25)</f>
        <v>90.09</v>
      </c>
      <c r="BR70">
        <v>1</v>
      </c>
      <c r="BS70">
        <v>185</v>
      </c>
      <c r="BT70" t="s">
        <v>1042</v>
      </c>
      <c r="BU70" t="s">
        <v>410</v>
      </c>
      <c r="BV70" t="str">
        <f>VLOOKUP(I70,Eras!$A$2:$C$10, 2, TRUE)</f>
        <v>mod</v>
      </c>
      <c r="BW70" t="s">
        <v>340</v>
      </c>
      <c r="BX70" t="str">
        <f t="shared" ref="BX70" si="73">CONCATENATE(BV70,"_",BW70)</f>
        <v>mod_Flat Wagon</v>
      </c>
      <c r="BY70" t="str">
        <f t="shared" ref="BY70" si="74">_xlfn.CONCAT(G70, "_",H70)</f>
        <v>wagon_RAIL</v>
      </c>
      <c r="BZ70" s="17" t="str" cm="1">
        <f t="array" ref="BZ70">_xlfn.CONCAT("{BLACK}Length: {GOLD}", TEXT(ROUNDUP(IF(AP70&lt;&gt;"",SUM(VALUE(_xlfn.TEXTSPLIT(AP70, ","))), SUM(VALUE(_xlfn.TEXTSPLIT(AM70, ",")))*IF(L70, L70, 1))/16, 1), "#,##0.0"), " tiles{}")</f>
        <v>{BLACK}Length: {GOLD}0.8 tiles{}</v>
      </c>
      <c r="CA70" t="str">
        <f>VLOOKUP($BY70, Constants!$M:$N, 2, FALSE)</f>
        <v/>
      </c>
      <c r="CB70" t="str">
        <f t="shared" ref="CB70" si="75">IF(L70&gt;1,_xlfn.CONCAT("{BLACK}Cars: {GOLD}", L70),"")</f>
        <v/>
      </c>
      <c r="CC70" t="s">
        <v>1520</v>
      </c>
    </row>
    <row r="71" spans="1:84" x14ac:dyDescent="0.25">
      <c r="A71" t="s">
        <v>782</v>
      </c>
      <c r="B71" t="s">
        <v>783</v>
      </c>
      <c r="C71">
        <v>80</v>
      </c>
      <c r="D71">
        <v>1046</v>
      </c>
      <c r="E71" t="s">
        <v>1508</v>
      </c>
      <c r="F71" t="s">
        <v>280</v>
      </c>
      <c r="G71" t="s">
        <v>280</v>
      </c>
      <c r="H71" t="s">
        <v>274</v>
      </c>
      <c r="I71">
        <v>1972</v>
      </c>
      <c r="V71">
        <v>17</v>
      </c>
      <c r="X71">
        <v>5</v>
      </c>
      <c r="Z71" s="3" t="str">
        <f t="shared" si="16"/>
        <v/>
      </c>
      <c r="AA71">
        <v>70</v>
      </c>
      <c r="AB71">
        <f t="shared" si="15"/>
        <v>112</v>
      </c>
      <c r="AE71">
        <v>13.3</v>
      </c>
      <c r="AF71">
        <v>13.3</v>
      </c>
      <c r="AI71" s="10">
        <v>42</v>
      </c>
      <c r="AJ71" t="str">
        <f>CONCATENATE(VLOOKUP(AK71, 'Voxel Sizes'!$A$2:$B$18,2,FALSE),"x",INT(AG71*15), "x", INT(AH71*15))</f>
        <v>136x0x0</v>
      </c>
      <c r="AK71">
        <f t="shared" si="1"/>
        <v>8</v>
      </c>
      <c r="AM71" t="str">
        <f>CONCATENATE(VLOOKUP(AK71,Constants!$A$2:$C$16,IF(AL71&lt;&gt;"", 3, 2), FALSE),IF(AL71&lt;&gt;"",CONCATENATE(",",VLOOKUP(AL71,$B:$AM,38,FALSE)),""))</f>
        <v>2,4,2</v>
      </c>
      <c r="AW71">
        <v>30</v>
      </c>
      <c r="AX71" s="15" t="str">
        <f t="shared" si="2"/>
        <v/>
      </c>
      <c r="BA71">
        <f t="shared" si="3"/>
        <v>14</v>
      </c>
      <c r="BB71">
        <f t="shared" si="4"/>
        <v>0</v>
      </c>
      <c r="BC71">
        <f t="shared" si="5"/>
        <v>0</v>
      </c>
      <c r="BD71" s="3">
        <f t="shared" si="6"/>
        <v>0.90400000000000003</v>
      </c>
      <c r="BE71">
        <f t="shared" si="7"/>
        <v>7.0000000000000009</v>
      </c>
      <c r="BF71">
        <f>VLOOKUP($G71,Constants!$I:$K, 2, FALSE)</f>
        <v>1</v>
      </c>
      <c r="BG71">
        <f>VLOOKUP($G71,Constants!$I:$K, 3, FALSE)*IF(AND(F71="multiple_unit",AA71&lt;110),0.75,1)</f>
        <v>0.45</v>
      </c>
      <c r="BH71">
        <f>INT(POWER(((Constants!$G$2+$BA71+$BB71+$BC71+$BE71)*$BD71)*$BG71, 1.05))+$AZ71</f>
        <v>11</v>
      </c>
      <c r="BI71">
        <f>INT(POWER((((Constants!$G$1+$BA71+$BB71+$BC71+$BE71)*($BD71))*$BF71),IF($F71="wagon",1,1.2)))+$AY71</f>
        <v>32</v>
      </c>
      <c r="BJ71" s="14">
        <f t="shared" si="8"/>
        <v>687.5</v>
      </c>
      <c r="BK71" s="14">
        <f t="shared" si="9"/>
        <v>87.36</v>
      </c>
      <c r="BR71">
        <v>1</v>
      </c>
      <c r="BS71">
        <v>185</v>
      </c>
      <c r="BT71" t="s">
        <v>888</v>
      </c>
      <c r="BU71" t="s">
        <v>792</v>
      </c>
      <c r="BV71" t="str">
        <f>VLOOKUP(I71,Eras!$A$2:$C$10, 2, TRUE)</f>
        <v>lbr</v>
      </c>
      <c r="BW71" t="s">
        <v>340</v>
      </c>
      <c r="BX71" t="str">
        <f t="shared" si="10"/>
        <v>lbr_Flat Wagon</v>
      </c>
      <c r="BY71" t="str">
        <f t="shared" si="11"/>
        <v>wagon_RAIL</v>
      </c>
      <c r="BZ71" s="17" t="str" cm="1">
        <f t="array" ref="BZ71">_xlfn.CONCAT("{BLACK}Length: {GOLD}", TEXT(ROUNDUP(IF(AP71&lt;&gt;"",SUM(VALUE(_xlfn.TEXTSPLIT(AP71, ","))), SUM(VALUE(_xlfn.TEXTSPLIT(AM71, ",")))*IF(L71, L71, 1))/16, 1), "#,##0.0"), " tiles{}")</f>
        <v>{BLACK}Length: {GOLD}0.5 tiles{}</v>
      </c>
      <c r="CA71" t="str">
        <f>VLOOKUP($BY71, Constants!$M:$N, 2, FALSE)</f>
        <v/>
      </c>
      <c r="CB71" t="str">
        <f t="shared" si="17"/>
        <v/>
      </c>
      <c r="CC71" t="s">
        <v>793</v>
      </c>
      <c r="CD71" t="str">
        <f t="shared" si="18"/>
        <v/>
      </c>
      <c r="CE71" t="str">
        <f t="shared" si="61"/>
        <v>{BLACK}Length: {GOLD}0.5 tiles{}{SILVER}BAA wagons could initially carry steel in a large variety of forms, although many were later modified to be dedicated coil carriers.</v>
      </c>
    </row>
    <row r="72" spans="1:84" x14ac:dyDescent="0.25">
      <c r="A72" t="s">
        <v>784</v>
      </c>
      <c r="B72" t="s">
        <v>785</v>
      </c>
      <c r="C72">
        <v>82</v>
      </c>
      <c r="D72">
        <v>1047</v>
      </c>
      <c r="E72" t="s">
        <v>1508</v>
      </c>
      <c r="F72" t="s">
        <v>280</v>
      </c>
      <c r="G72" t="s">
        <v>280</v>
      </c>
      <c r="H72" t="s">
        <v>274</v>
      </c>
      <c r="I72">
        <v>1998</v>
      </c>
      <c r="V72">
        <v>24</v>
      </c>
      <c r="X72">
        <v>8</v>
      </c>
      <c r="Z72" s="3" t="str">
        <f t="shared" si="16"/>
        <v/>
      </c>
      <c r="AA72">
        <v>85</v>
      </c>
      <c r="AB72">
        <f t="shared" si="15"/>
        <v>136</v>
      </c>
      <c r="AE72">
        <v>18.600000000000001</v>
      </c>
      <c r="AF72">
        <v>18.600000000000001</v>
      </c>
      <c r="AI72" s="10">
        <v>78</v>
      </c>
      <c r="AJ72" t="str">
        <f>CONCATENATE(VLOOKUP(AK72, 'Voxel Sizes'!$A$2:$B$18,2,FALSE),"x",INT(AG72*15), "x", INT(AH72*15))</f>
        <v>186x0x0</v>
      </c>
      <c r="AK72">
        <f t="shared" si="1"/>
        <v>11</v>
      </c>
      <c r="AM72" t="str">
        <f>CONCATENATE(VLOOKUP(AK72,Constants!$A$2:$C$16,IF(AL72&lt;&gt;"", 3, 2), FALSE),IF(AL72&lt;&gt;"",CONCATENATE(",",VLOOKUP(AL72,$B:$AM,38,FALSE)),""))</f>
        <v>4,3,4</v>
      </c>
      <c r="AW72">
        <v>30</v>
      </c>
      <c r="AX72" s="15" t="str">
        <f t="shared" si="2"/>
        <v/>
      </c>
      <c r="BA72">
        <f t="shared" si="3"/>
        <v>17</v>
      </c>
      <c r="BB72">
        <f t="shared" si="4"/>
        <v>0</v>
      </c>
      <c r="BC72">
        <f t="shared" si="5"/>
        <v>0</v>
      </c>
      <c r="BD72" s="3">
        <f t="shared" si="6"/>
        <v>0.86933333333333329</v>
      </c>
      <c r="BE72">
        <f t="shared" si="7"/>
        <v>13</v>
      </c>
      <c r="BF72">
        <f>VLOOKUP($G72,Constants!$I:$K, 2, FALSE)</f>
        <v>1</v>
      </c>
      <c r="BG72">
        <f>VLOOKUP($G72,Constants!$I:$K, 3, FALSE)*IF(AND(F72="multiple_unit",AA72&lt;110),0.75,1)</f>
        <v>0.45</v>
      </c>
      <c r="BH72">
        <f>INT(POWER(((Constants!$G$2+$BA72+$BB72+$BC72+$BE72)*$BD72)*$BG72, 1.05))+$AZ72</f>
        <v>15</v>
      </c>
      <c r="BI72">
        <f>INT(POWER((((Constants!$G$1+$BA72+$BB72+$BC72+$BE72)*($BD72))*$BF72),IF($F72="wagon",1,1.2)))+$AY72</f>
        <v>39</v>
      </c>
      <c r="BJ72" s="14">
        <f t="shared" si="8"/>
        <v>937.5</v>
      </c>
      <c r="BK72" s="14">
        <f t="shared" si="9"/>
        <v>106.47</v>
      </c>
      <c r="BR72">
        <v>1</v>
      </c>
      <c r="BS72">
        <v>185</v>
      </c>
      <c r="BT72" t="s">
        <v>888</v>
      </c>
      <c r="BU72" t="s">
        <v>792</v>
      </c>
      <c r="BV72" t="str">
        <f>VLOOKUP(I72,Eras!$A$2:$C$10, 2, TRUE)</f>
        <v>prv</v>
      </c>
      <c r="BW72" t="s">
        <v>340</v>
      </c>
      <c r="BX72" t="str">
        <f t="shared" si="10"/>
        <v>prv_Flat Wagon</v>
      </c>
      <c r="BY72" t="str">
        <f t="shared" si="11"/>
        <v>wagon_RAIL</v>
      </c>
      <c r="BZ72" s="17" t="str" cm="1">
        <f t="array" ref="BZ72">_xlfn.CONCAT("{BLACK}Length: {GOLD}", TEXT(ROUNDUP(IF(AP72&lt;&gt;"",SUM(VALUE(_xlfn.TEXTSPLIT(AP72, ","))), SUM(VALUE(_xlfn.TEXTSPLIT(AM72, ",")))*IF(L72, L72, 1))/16, 1), "#,##0.0"), " tiles{}")</f>
        <v>{BLACK}Length: {GOLD}0.7 tiles{}</v>
      </c>
      <c r="CA72" t="str">
        <f>VLOOKUP($BY72, Constants!$M:$N, 2, FALSE)</f>
        <v/>
      </c>
      <c r="CB72" t="str">
        <f t="shared" si="17"/>
        <v/>
      </c>
      <c r="CC72" t="s">
        <v>791</v>
      </c>
      <c r="CD72" t="str">
        <f t="shared" si="18"/>
        <v/>
      </c>
      <c r="CE72" t="str">
        <f t="shared" si="61"/>
        <v>{BLACK}Length: {GOLD}0.7 tiles{}{SILVER}The BYA/BRA covered steel carriers gained their name from the corrugated sliding cover and its curved cross section.</v>
      </c>
      <c r="CF72">
        <v>1</v>
      </c>
    </row>
    <row r="73" spans="1:84" x14ac:dyDescent="0.25">
      <c r="A73" t="s">
        <v>119</v>
      </c>
      <c r="B73" t="s">
        <v>278</v>
      </c>
      <c r="C73">
        <v>93</v>
      </c>
      <c r="D73">
        <v>1048</v>
      </c>
      <c r="E73" t="s">
        <v>1508</v>
      </c>
      <c r="F73" t="s">
        <v>280</v>
      </c>
      <c r="G73" t="s">
        <v>280</v>
      </c>
      <c r="H73" t="s">
        <v>274</v>
      </c>
      <c r="I73">
        <v>1860</v>
      </c>
      <c r="K73">
        <v>1922</v>
      </c>
      <c r="V73">
        <v>5</v>
      </c>
      <c r="X73">
        <v>2</v>
      </c>
      <c r="Z73" s="3" t="str">
        <f t="shared" si="16"/>
        <v/>
      </c>
      <c r="AA73">
        <v>35</v>
      </c>
      <c r="AB73">
        <f t="shared" si="15"/>
        <v>56</v>
      </c>
      <c r="AE73">
        <v>4.9000000000000004</v>
      </c>
      <c r="AF73">
        <v>6</v>
      </c>
      <c r="AI73" s="10">
        <v>15</v>
      </c>
      <c r="AJ73" t="str">
        <f>CONCATENATE(VLOOKUP(AK73, 'Voxel Sizes'!$A$2:$B$18,2,FALSE),"x",INT(AG73*15), "x", INT(AH73*15))</f>
        <v>60x0x0</v>
      </c>
      <c r="AK73">
        <f t="shared" si="1"/>
        <v>4</v>
      </c>
      <c r="AM73" t="str">
        <f>CONCATENATE(VLOOKUP(AK73,Constants!$A$2:$C$16,IF(AL73&lt;&gt;"", 3, 2), FALSE),IF(AL73&lt;&gt;"",CONCATENATE(",",VLOOKUP(AL73,$B:$AM,38,FALSE)),""))</f>
        <v>1,2,1</v>
      </c>
      <c r="AW73">
        <v>30</v>
      </c>
      <c r="AX73" s="15">
        <f t="shared" si="2"/>
        <v>70</v>
      </c>
      <c r="BA73">
        <f t="shared" si="3"/>
        <v>7</v>
      </c>
      <c r="BB73">
        <f t="shared" si="4"/>
        <v>0</v>
      </c>
      <c r="BC73">
        <f t="shared" si="5"/>
        <v>0</v>
      </c>
      <c r="BD73" s="3">
        <f t="shared" si="6"/>
        <v>1</v>
      </c>
      <c r="BE73">
        <f t="shared" si="7"/>
        <v>2.5</v>
      </c>
      <c r="BF73">
        <f>VLOOKUP($G73,Constants!$I:$K, 2, FALSE)</f>
        <v>1</v>
      </c>
      <c r="BG73">
        <f>VLOOKUP($G73,Constants!$I:$K, 3, FALSE)*IF(AND(F73="multiple_unit",AA73&lt;110),0.75,1)</f>
        <v>0.45</v>
      </c>
      <c r="BH73">
        <f>INT(POWER(((Constants!$G$2+$BA73+$BB73+$BC73+$BE73)*$BD73)*$BG73, 1.05))+$AZ73</f>
        <v>7</v>
      </c>
      <c r="BI73">
        <f>INT(POWER((((Constants!$G$1+$BA73+$BB73+$BC73+$BE73)*($BD73))*$BF73),IF($F73="wagon",1,1.2)))+$AY73</f>
        <v>24</v>
      </c>
      <c r="BJ73" s="14">
        <f t="shared" si="8"/>
        <v>437.5</v>
      </c>
      <c r="BK73" s="14">
        <f t="shared" si="9"/>
        <v>65.52</v>
      </c>
      <c r="BR73">
        <v>1</v>
      </c>
      <c r="BS73">
        <v>185</v>
      </c>
      <c r="BT73" t="s">
        <v>342</v>
      </c>
      <c r="BU73" t="s">
        <v>283</v>
      </c>
      <c r="BV73" t="str">
        <f>VLOOKUP(I73,Eras!$A$2:$C$10, 2, TRUE)</f>
        <v>vct</v>
      </c>
      <c r="BW73" t="s">
        <v>342</v>
      </c>
      <c r="BX73" t="str">
        <f t="shared" si="10"/>
        <v>vct_Tanker</v>
      </c>
      <c r="BY73" t="str">
        <f t="shared" si="11"/>
        <v>wagon_RAIL</v>
      </c>
      <c r="BZ73" s="17" t="str" cm="1">
        <f t="array" ref="BZ73">_xlfn.CONCAT("{BLACK}Length: {GOLD}", TEXT(ROUNDUP(IF(AP73&lt;&gt;"",SUM(VALUE(_xlfn.TEXTSPLIT(AP73, ","))), SUM(VALUE(_xlfn.TEXTSPLIT(AM73, ",")))*IF(L73, L73, 1))/16, 1), "#,##0.0"), " tiles{}")</f>
        <v>{BLACK}Length: {GOLD}0.3 tiles{}</v>
      </c>
      <c r="CA73" t="str">
        <f>VLOOKUP($BY73, Constants!$M:$N, 2, FALSE)</f>
        <v/>
      </c>
      <c r="CB73" t="str">
        <f t="shared" si="17"/>
        <v/>
      </c>
      <c r="CC73" t="s">
        <v>362</v>
      </c>
      <c r="CD73" t="str">
        <f t="shared" si="18"/>
        <v/>
      </c>
      <c r="CE73" t="str">
        <f t="shared" si="61"/>
        <v>{BLACK}Length: {GOLD}0.3 tiles{}{SILVER}Early four wheel tank wagons are limited to low speeds by their construction and primitive suspension.</v>
      </c>
    </row>
    <row r="74" spans="1:84" x14ac:dyDescent="0.25">
      <c r="A74" t="s">
        <v>405</v>
      </c>
      <c r="B74" t="s">
        <v>406</v>
      </c>
      <c r="C74">
        <v>94</v>
      </c>
      <c r="D74">
        <v>1049</v>
      </c>
      <c r="E74" t="s">
        <v>1508</v>
      </c>
      <c r="F74" t="s">
        <v>280</v>
      </c>
      <c r="G74" t="s">
        <v>280</v>
      </c>
      <c r="H74" t="s">
        <v>274</v>
      </c>
      <c r="I74">
        <v>1901</v>
      </c>
      <c r="K74">
        <v>1939</v>
      </c>
      <c r="V74">
        <v>10</v>
      </c>
      <c r="X74">
        <v>3</v>
      </c>
      <c r="Z74" s="3" t="str">
        <f t="shared" si="16"/>
        <v/>
      </c>
      <c r="AA74">
        <v>45</v>
      </c>
      <c r="AB74">
        <f t="shared" si="15"/>
        <v>72</v>
      </c>
      <c r="AE74">
        <v>8</v>
      </c>
      <c r="AF74">
        <v>8</v>
      </c>
      <c r="AI74" s="10">
        <v>21</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46</v>
      </c>
      <c r="BA74">
        <f t="shared" si="3"/>
        <v>9</v>
      </c>
      <c r="BB74">
        <f t="shared" si="4"/>
        <v>0</v>
      </c>
      <c r="BC74">
        <f t="shared" si="5"/>
        <v>0</v>
      </c>
      <c r="BD74" s="3">
        <f t="shared" si="6"/>
        <v>0.9986666666666667</v>
      </c>
      <c r="BE74">
        <f t="shared" si="7"/>
        <v>3.5000000000000004</v>
      </c>
      <c r="BF74">
        <f>VLOOKUP($G74,Constants!$I:$K, 2, FALSE)</f>
        <v>1</v>
      </c>
      <c r="BG74">
        <f>VLOOKUP($G74,Constants!$I:$K, 3, FALSE)*IF(AND(F74="multiple_unit",AA74&lt;110),0.75,1)</f>
        <v>0.45</v>
      </c>
      <c r="BH74">
        <f>INT(POWER(((Constants!$G$2+$BA74+$BB74+$BC74+$BE74)*$BD74)*$BG74, 1.05))+$AZ74</f>
        <v>8</v>
      </c>
      <c r="BI74">
        <f>INT(POWER((((Constants!$G$1+$BA74+$BB74+$BC74+$BE74)*($BD74))*$BF74),IF($F74="wagon",1,1.2)))+$AY74</f>
        <v>27</v>
      </c>
      <c r="BJ74" s="14">
        <f t="shared" si="8"/>
        <v>500</v>
      </c>
      <c r="BK74" s="14">
        <f t="shared" si="9"/>
        <v>73.709999999999994</v>
      </c>
      <c r="BR74">
        <v>1</v>
      </c>
      <c r="BS74">
        <v>185</v>
      </c>
      <c r="BT74" t="s">
        <v>342</v>
      </c>
      <c r="BU74" t="s">
        <v>283</v>
      </c>
      <c r="BV74" t="str">
        <f>VLOOKUP(I74,Eras!$A$2:$C$10, 2, TRUE)</f>
        <v>edw</v>
      </c>
      <c r="BW74" t="s">
        <v>342</v>
      </c>
      <c r="BX74" t="str">
        <f t="shared" si="10"/>
        <v>edw_Tanker</v>
      </c>
      <c r="BY74" t="str">
        <f t="shared" si="11"/>
        <v>wagon_RAIL</v>
      </c>
      <c r="BZ74" s="17" t="str" cm="1">
        <f t="array" ref="BZ74">_xlfn.CONCAT("{BLACK}Length: {GOLD}", TEXT(ROUNDUP(IF(AP74&lt;&gt;"",SUM(VALUE(_xlfn.TEXTSPLIT(AP74, ","))), SUM(VALUE(_xlfn.TEXTSPLIT(AM74, ",")))*IF(L74, L74, 1))/16, 1), "#,##0.0"), " tiles{}")</f>
        <v>{BLACK}Length: {GOLD}0.4 tiles{}</v>
      </c>
      <c r="CA74" t="str">
        <f>VLOOKUP($BY74, Constants!$M:$N, 2, FALSE)</f>
        <v/>
      </c>
      <c r="CB74" t="str">
        <f t="shared" si="17"/>
        <v/>
      </c>
      <c r="CC74" t="s">
        <v>407</v>
      </c>
      <c r="CD74" t="str">
        <f t="shared" si="18"/>
        <v/>
      </c>
      <c r="CE74" t="str">
        <f t="shared" si="61"/>
        <v>{BLACK}Length: {GOLD}0.4 tiles{}{SILVER}The GWR's cylindrical tank wagons were built by the Locomotive department, as the iron cylinders used similar techniques to steam engines.</v>
      </c>
    </row>
    <row r="75" spans="1:84" x14ac:dyDescent="0.25">
      <c r="A75" t="s">
        <v>734</v>
      </c>
      <c r="B75" t="s">
        <v>279</v>
      </c>
      <c r="C75">
        <v>96</v>
      </c>
      <c r="D75">
        <v>1050</v>
      </c>
      <c r="E75" t="s">
        <v>1508</v>
      </c>
      <c r="F75" t="s">
        <v>280</v>
      </c>
      <c r="G75" t="s">
        <v>280</v>
      </c>
      <c r="H75" t="s">
        <v>274</v>
      </c>
      <c r="I75">
        <v>1928</v>
      </c>
      <c r="K75">
        <v>1975</v>
      </c>
      <c r="V75">
        <v>11</v>
      </c>
      <c r="X75">
        <v>3</v>
      </c>
      <c r="AA75">
        <v>50</v>
      </c>
      <c r="AB75">
        <f t="shared" si="15"/>
        <v>80</v>
      </c>
      <c r="AE75">
        <v>8</v>
      </c>
      <c r="AF75">
        <v>8</v>
      </c>
      <c r="AI75" s="10">
        <v>27</v>
      </c>
      <c r="AJ75" t="str">
        <f>CONCATENATE(VLOOKUP(AK75, 'Voxel Sizes'!$A$2:$B$18,2,FALSE),"x",INT(AG75*15), "x", INT(AH75*15))</f>
        <v>82x0x0</v>
      </c>
      <c r="AK75">
        <f t="shared" si="1"/>
        <v>5</v>
      </c>
      <c r="AM75" t="str">
        <f>CONCATENATE(VLOOKUP(AK75,Constants!$A$2:$C$16,IF(AL75&lt;&gt;"", 3, 2), FALSE),IF(AL75&lt;&gt;"",CONCATENATE(",",VLOOKUP(AL75,$B:$AM,38,FALSE)),""))</f>
        <v>2,1,2</v>
      </c>
      <c r="AW75">
        <v>30</v>
      </c>
      <c r="AX75" s="15">
        <f t="shared" si="2"/>
        <v>55</v>
      </c>
      <c r="BA75">
        <f t="shared" si="3"/>
        <v>10</v>
      </c>
      <c r="BB75">
        <f t="shared" si="4"/>
        <v>0</v>
      </c>
      <c r="BC75">
        <f t="shared" si="5"/>
        <v>0</v>
      </c>
      <c r="BD75" s="3">
        <f t="shared" si="6"/>
        <v>0.96266666666666667</v>
      </c>
      <c r="BE75">
        <f t="shared" si="7"/>
        <v>4.5</v>
      </c>
      <c r="BF75">
        <f>VLOOKUP($G75,Constants!$I:$K, 2, FALSE)</f>
        <v>1</v>
      </c>
      <c r="BG75">
        <f>VLOOKUP($G75,Constants!$I:$K, 3, FALSE)*IF(AND(F75="multiple_unit",AA75&lt;110),0.75,1)</f>
        <v>0.45</v>
      </c>
      <c r="BH75">
        <f>INT(POWER(((Constants!$G$2+$BA75+$BB75+$BC75+$BE75)*$BD75)*$BG75, 1.05))+$AZ75</f>
        <v>9</v>
      </c>
      <c r="BI75">
        <f>INT(POWER((((Constants!$G$1+$BA75+$BB75+$BC75+$BE75)*($BD75))*$BF75),IF($F75="wagon",1,1.2)))+$AY75</f>
        <v>28</v>
      </c>
      <c r="BJ75" s="14">
        <f t="shared" si="8"/>
        <v>562.5</v>
      </c>
      <c r="BK75" s="14">
        <f t="shared" si="9"/>
        <v>76.44</v>
      </c>
      <c r="BR75">
        <v>1</v>
      </c>
      <c r="BS75">
        <v>185</v>
      </c>
      <c r="BT75" t="s">
        <v>342</v>
      </c>
      <c r="BU75" t="s">
        <v>283</v>
      </c>
      <c r="BV75" t="str">
        <f>VLOOKUP(I75,Eras!$A$2:$C$10, 2, TRUE)</f>
        <v>big4</v>
      </c>
      <c r="BW75" t="s">
        <v>342</v>
      </c>
      <c r="BX75" t="str">
        <f t="shared" si="10"/>
        <v>big4_Tanker</v>
      </c>
      <c r="BY75" t="str">
        <f t="shared" si="11"/>
        <v>wagon_RAIL</v>
      </c>
      <c r="BZ75" s="17" t="str" cm="1">
        <f t="array" ref="BZ75">_xlfn.CONCAT("{BLACK}Length: {GOLD}", TEXT(ROUNDUP(IF(AP75&lt;&gt;"",SUM(VALUE(_xlfn.TEXTSPLIT(AP75, ","))), SUM(VALUE(_xlfn.TEXTSPLIT(AM75, ",")))*IF(L75, L75, 1))/16, 1), "#,##0.0"), " tiles{}")</f>
        <v>{BLACK}Length: {GOLD}0.4 tiles{}</v>
      </c>
      <c r="CA75" t="str">
        <f>VLOOKUP($BY75, Constants!$M:$N, 2, FALSE)</f>
        <v/>
      </c>
      <c r="CB75" t="str">
        <f t="shared" si="17"/>
        <v/>
      </c>
      <c r="CC75" t="s">
        <v>735</v>
      </c>
      <c r="CD75" t="str">
        <f t="shared" si="18"/>
        <v/>
      </c>
      <c r="CE75" t="str">
        <f t="shared" si="61"/>
        <v>{BLACK}Length: {GOLD}0.4 tiles{}{SILVER}Six wheeled tank wagons formed the core of the GWR (and later BR) "milk trains", long freight consists transporting milk from farms to cities.</v>
      </c>
      <c r="CF75">
        <v>1</v>
      </c>
    </row>
    <row r="76" spans="1:84" x14ac:dyDescent="0.25">
      <c r="A76" t="s">
        <v>732</v>
      </c>
      <c r="B76" t="s">
        <v>711</v>
      </c>
      <c r="C76">
        <v>97</v>
      </c>
      <c r="D76">
        <v>1051</v>
      </c>
      <c r="E76" t="s">
        <v>1508</v>
      </c>
      <c r="F76" t="s">
        <v>280</v>
      </c>
      <c r="G76" t="s">
        <v>280</v>
      </c>
      <c r="H76" t="s">
        <v>274</v>
      </c>
      <c r="I76">
        <v>1966</v>
      </c>
      <c r="V76">
        <v>12</v>
      </c>
      <c r="X76">
        <v>4</v>
      </c>
      <c r="Z76" s="3" t="str">
        <f t="shared" ref="Z76:Z135" si="76">IF(AND(V76&gt;0,Y76&gt;0),(Y76/((V76+W76)*10)),"")</f>
        <v/>
      </c>
      <c r="AA76">
        <v>65</v>
      </c>
      <c r="AB76">
        <f t="shared" si="15"/>
        <v>104</v>
      </c>
      <c r="AE76">
        <v>9.8000000000000007</v>
      </c>
      <c r="AF76">
        <v>9.8000000000000007</v>
      </c>
      <c r="AI76" s="10">
        <v>33</v>
      </c>
      <c r="AJ76" t="str">
        <f>CONCATENATE(VLOOKUP(AK76, 'Voxel Sizes'!$A$2:$B$18,2,FALSE),"x",INT(AG76*15), "x", INT(AH76*15))</f>
        <v>102x0x0</v>
      </c>
      <c r="AK76">
        <f t="shared" si="1"/>
        <v>6</v>
      </c>
      <c r="AM76" t="str">
        <f>CONCATENATE(VLOOKUP(AK76,Constants!$A$2:$C$16,IF(AL76&lt;&gt;"", 3, 2), FALSE),IF(AL76&lt;&gt;"",CONCATENATE(",",VLOOKUP(AL76,$B:$AM,38,FALSE)),""))</f>
        <v>2,2,2</v>
      </c>
      <c r="AW76">
        <v>30</v>
      </c>
      <c r="AX76" s="15" t="str">
        <f t="shared" si="2"/>
        <v/>
      </c>
      <c r="BA76">
        <f t="shared" si="3"/>
        <v>13</v>
      </c>
      <c r="BB76">
        <f t="shared" si="4"/>
        <v>0</v>
      </c>
      <c r="BC76">
        <f t="shared" si="5"/>
        <v>0</v>
      </c>
      <c r="BD76" s="3">
        <f t="shared" si="6"/>
        <v>0.91200000000000003</v>
      </c>
      <c r="BE76">
        <f t="shared" si="7"/>
        <v>5.5</v>
      </c>
      <c r="BF76">
        <f>VLOOKUP($G76,Constants!$I:$K, 2, FALSE)</f>
        <v>1</v>
      </c>
      <c r="BG76">
        <f>VLOOKUP($G76,Constants!$I:$K, 3, FALSE)*IF(AND(F76="multiple_unit",AA76&lt;110),0.75,1)</f>
        <v>0.45</v>
      </c>
      <c r="BH76">
        <f>INT(POWER(((Constants!$G$2+$BA76+$BB76+$BC76+$BE76)*$BD76)*$BG76, 1.05))+$AZ76</f>
        <v>10</v>
      </c>
      <c r="BI76">
        <f>INT(POWER((((Constants!$G$1+$BA76+$BB76+$BC76+$BE76)*($BD76))*$BF76),IF($F76="wagon",1,1.2)))+$AY76</f>
        <v>30</v>
      </c>
      <c r="BJ76" s="14">
        <f t="shared" si="8"/>
        <v>625</v>
      </c>
      <c r="BK76" s="14">
        <f t="shared" si="9"/>
        <v>81.900000000000006</v>
      </c>
      <c r="BR76">
        <v>1</v>
      </c>
      <c r="BS76">
        <v>185</v>
      </c>
      <c r="BT76" t="s">
        <v>342</v>
      </c>
      <c r="BU76" t="s">
        <v>283</v>
      </c>
      <c r="BV76" t="str">
        <f>VLOOKUP(I76,Eras!$A$2:$C$10, 2, TRUE)</f>
        <v>dsl</v>
      </c>
      <c r="BW76" t="s">
        <v>342</v>
      </c>
      <c r="BX76" t="str">
        <f t="shared" si="10"/>
        <v>dsl_Tanker</v>
      </c>
      <c r="BY76" t="str">
        <f t="shared" si="11"/>
        <v>wagon_RAIL</v>
      </c>
      <c r="BZ76" s="17" t="str" cm="1">
        <f t="array" ref="BZ76">_xlfn.CONCAT("{BLACK}Length: {GOLD}", TEXT(ROUNDUP(IF(AP76&lt;&gt;"",SUM(VALUE(_xlfn.TEXTSPLIT(AP76, ","))), SUM(VALUE(_xlfn.TEXTSPLIT(AM76, ",")))*IF(L76, L76, 1))/16, 1), "#,##0.0"), " tiles{}")</f>
        <v>{BLACK}Length: {GOLD}0.4 tiles{}</v>
      </c>
      <c r="CA76" t="str">
        <f>VLOOKUP($BY76, Constants!$M:$N, 2, FALSE)</f>
        <v/>
      </c>
      <c r="CB76" t="str">
        <f t="shared" si="17"/>
        <v/>
      </c>
      <c r="CC76" t="s">
        <v>709</v>
      </c>
      <c r="CD76" t="str">
        <f t="shared" si="18"/>
        <v/>
      </c>
      <c r="CE76" t="str">
        <f t="shared" si="61"/>
        <v>{BLACK}Length: {GOLD}0.4 tiles{}{SILVER}TTA tankers were constructed on "monobloc" principles and featured automatic braking.</v>
      </c>
      <c r="CF76">
        <v>1</v>
      </c>
    </row>
    <row r="77" spans="1:84" x14ac:dyDescent="0.25">
      <c r="A77" t="s">
        <v>733</v>
      </c>
      <c r="B77" t="s">
        <v>712</v>
      </c>
      <c r="C77">
        <v>99</v>
      </c>
      <c r="D77">
        <v>1052</v>
      </c>
      <c r="E77" t="s">
        <v>1508</v>
      </c>
      <c r="F77" t="s">
        <v>280</v>
      </c>
      <c r="G77" t="s">
        <v>280</v>
      </c>
      <c r="H77" t="s">
        <v>274</v>
      </c>
      <c r="I77">
        <v>1970</v>
      </c>
      <c r="V77">
        <v>24</v>
      </c>
      <c r="X77">
        <v>5</v>
      </c>
      <c r="Z77" s="3" t="str">
        <f t="shared" si="76"/>
        <v/>
      </c>
      <c r="AA77">
        <v>70</v>
      </c>
      <c r="AB77">
        <f t="shared" si="15"/>
        <v>112</v>
      </c>
      <c r="AE77">
        <v>17.7</v>
      </c>
      <c r="AF77">
        <v>17.7</v>
      </c>
      <c r="AI77" s="10">
        <v>78</v>
      </c>
      <c r="AJ77" t="str">
        <f>CONCATENATE(VLOOKUP(AK77, 'Voxel Sizes'!$A$2:$B$18,2,FALSE),"x",INT(AG77*15), "x", INT(AH77*15))</f>
        <v>164x0x0</v>
      </c>
      <c r="AK77">
        <f t="shared" ref="AK77:AK136" si="77">ROUND(15*((AF77*10)/256),0)</f>
        <v>10</v>
      </c>
      <c r="AM77" t="str">
        <f>CONCATENATE(VLOOKUP(AK77,Constants!$A$2:$C$16,IF(AL77&lt;&gt;"", 3, 2), FALSE),IF(AL77&lt;&gt;"",CONCATENATE(",",VLOOKUP(AL77,$B:$AM,38,FALSE)),""))</f>
        <v>4,2,4</v>
      </c>
      <c r="AW77">
        <v>30</v>
      </c>
      <c r="AX77" s="15" t="str">
        <f t="shared" ref="AX77:AX136" si="78">IF(K77&lt;&gt;"",MAX(16,(K77-I77)+8),"")</f>
        <v/>
      </c>
      <c r="BA77">
        <f t="shared" ref="BA77:BA136" si="79">MIN(AA77/150, 1)*30</f>
        <v>14</v>
      </c>
      <c r="BB77">
        <f t="shared" ref="BB77:BB136" si="80">MIN(M77/4000, 1)*20</f>
        <v>0</v>
      </c>
      <c r="BC77">
        <f t="shared" ref="BC77:BC136" si="81">MIN(Y77/400,1)*20</f>
        <v>0</v>
      </c>
      <c r="BD77" s="3">
        <f t="shared" ref="BD77:BD136" si="82">1-(MAX(I77-1900, 0)/750)</f>
        <v>0.90666666666666662</v>
      </c>
      <c r="BE77">
        <f t="shared" ref="BE77:BE136" si="83">((MAX($L77,1)*MIN($AI77/300,1)))*IF(F77="Wagon",50,10)</f>
        <v>13</v>
      </c>
      <c r="BF77">
        <f>VLOOKUP($G77,Constants!$I:$K, 2, FALSE)</f>
        <v>1</v>
      </c>
      <c r="BG77">
        <f>VLOOKUP($G77,Constants!$I:$K, 3, FALSE)*IF(AND(F77="multiple_unit",AA77&lt;110),0.75,1)</f>
        <v>0.45</v>
      </c>
      <c r="BH77">
        <f>INT(POWER(((Constants!$G$2+$BA77+$BB77+$BC77+$BE77)*$BD77)*$BG77, 1.05))+$AZ77</f>
        <v>14</v>
      </c>
      <c r="BI77">
        <f>INT(POWER((((Constants!$G$1+$BA77+$BB77+$BC77+$BE77)*($BD77))*$BF77),IF($F77="wagon",1,1.2)))+$AY77</f>
        <v>38</v>
      </c>
      <c r="BJ77" s="14">
        <f t="shared" ref="BJ77:BJ136" si="84">BH77*IF($F77="wagon",62.5,781.25)</f>
        <v>875</v>
      </c>
      <c r="BK77" s="14">
        <f t="shared" ref="BK77:BK136" si="85">BI77*IF($F77="wagon",2.73,81.25)</f>
        <v>103.74</v>
      </c>
      <c r="BR77">
        <v>1</v>
      </c>
      <c r="BS77">
        <v>185</v>
      </c>
      <c r="BT77" t="s">
        <v>342</v>
      </c>
      <c r="BU77" t="s">
        <v>283</v>
      </c>
      <c r="BV77" t="str">
        <f>VLOOKUP(I77,Eras!$A$2:$C$10, 2, TRUE)</f>
        <v>lbr</v>
      </c>
      <c r="BW77" t="s">
        <v>342</v>
      </c>
      <c r="BX77" t="str">
        <f t="shared" ref="BX77:BX136" si="86">CONCATENATE(BV77,"_",BW77)</f>
        <v>lbr_Tanker</v>
      </c>
      <c r="BY77" t="str">
        <f t="shared" ref="BY77:BY136" si="87">_xlfn.CONCAT(G77, "_",H77)</f>
        <v>wagon_RAIL</v>
      </c>
      <c r="BZ77" s="17" t="str" cm="1">
        <f t="array" ref="BZ77">_xlfn.CONCAT("{BLACK}Length: {GOLD}", TEXT(ROUNDUP(IF(AP77&lt;&gt;"",SUM(VALUE(_xlfn.TEXTSPLIT(AP77, ","))), SUM(VALUE(_xlfn.TEXTSPLIT(AM77, ",")))*IF(L77, L77, 1))/16, 1), "#,##0.0"), " tiles{}")</f>
        <v>{BLACK}Length: {GOLD}0.7 tiles{}</v>
      </c>
      <c r="CA77" t="str">
        <f>VLOOKUP($BY77, Constants!$M:$N, 2, FALSE)</f>
        <v/>
      </c>
      <c r="CB77" t="str">
        <f t="shared" ref="CB77:CB104" si="88">IF(L77&gt;1,_xlfn.CONCAT("{BLACK}Cars: {GOLD}", L77),"")</f>
        <v/>
      </c>
      <c r="CC77" t="s">
        <v>710</v>
      </c>
      <c r="CD77" t="str">
        <f t="shared" ref="CD77:CD104" si="89">IF(BU77="BRAKE","{YELLOW}Speed bonus for slow wagons{}",IF(BS77&gt;190,CONCATENATE("{YELLOW}",INT((BS77-185)/1.85),"% Bonus for long distance travel{}"),IF(AND(BS77&lt;180,BS77&lt;&gt;0),CONCATENATE("{YELLOW}",INT((185-BS77)/1.85),"% Penalty for long distance travel{}"),"")))</f>
        <v/>
      </c>
      <c r="CE77" t="str">
        <f t="shared" si="61"/>
        <v>{BLACK}Length: {GOLD}0.7 tiles{}{SILVER}Large bogie tankers allowed for carrying heavy loads of liquids at high speeds. The long frames allow tanks to take up more space without fouling axles.</v>
      </c>
      <c r="CF77">
        <v>1</v>
      </c>
    </row>
    <row r="78" spans="1:84" x14ac:dyDescent="0.25">
      <c r="A78" t="s">
        <v>802</v>
      </c>
      <c r="B78" t="s">
        <v>209</v>
      </c>
      <c r="C78">
        <v>100</v>
      </c>
      <c r="D78">
        <v>1053</v>
      </c>
      <c r="E78" t="s">
        <v>1508</v>
      </c>
      <c r="F78" t="s">
        <v>280</v>
      </c>
      <c r="G78" t="s">
        <v>280</v>
      </c>
      <c r="H78" t="s">
        <v>274</v>
      </c>
      <c r="I78">
        <v>1850</v>
      </c>
      <c r="K78">
        <v>1925</v>
      </c>
      <c r="V78">
        <v>8</v>
      </c>
      <c r="X78">
        <v>3</v>
      </c>
      <c r="Z78" s="3" t="str">
        <f t="shared" si="76"/>
        <v/>
      </c>
      <c r="AA78">
        <v>40</v>
      </c>
      <c r="AB78">
        <f t="shared" si="15"/>
        <v>64</v>
      </c>
      <c r="AE78">
        <v>6</v>
      </c>
      <c r="AF78">
        <v>6</v>
      </c>
      <c r="AI78" s="10">
        <v>18</v>
      </c>
      <c r="AJ78" t="str">
        <f>CONCATENATE(VLOOKUP(AK78, 'Voxel Sizes'!$A$2:$B$18,2,FALSE),"x",INT(AG78*15), "x", INT(AH78*15))</f>
        <v>60x0x0</v>
      </c>
      <c r="AK78">
        <f t="shared" si="77"/>
        <v>4</v>
      </c>
      <c r="AM78" t="str">
        <f>CONCATENATE(VLOOKUP(AK78,Constants!$A$2:$C$16,IF(AL78&lt;&gt;"", 3, 2), FALSE),IF(AL78&lt;&gt;"",CONCATENATE(",",VLOOKUP(AL78,$B:$AM,38,FALSE)),""))</f>
        <v>1,2,1</v>
      </c>
      <c r="AW78">
        <v>30</v>
      </c>
      <c r="AX78" s="15">
        <f t="shared" si="78"/>
        <v>83</v>
      </c>
      <c r="BA78">
        <f t="shared" si="79"/>
        <v>8</v>
      </c>
      <c r="BB78">
        <f t="shared" si="80"/>
        <v>0</v>
      </c>
      <c r="BC78">
        <f t="shared" si="81"/>
        <v>0</v>
      </c>
      <c r="BD78" s="3">
        <f t="shared" si="82"/>
        <v>1</v>
      </c>
      <c r="BE78">
        <f t="shared" si="83"/>
        <v>3</v>
      </c>
      <c r="BF78">
        <f>VLOOKUP($G78,Constants!$I:$K, 2, FALSE)</f>
        <v>1</v>
      </c>
      <c r="BG78">
        <f>VLOOKUP($G78,Constants!$I:$K, 3, FALSE)*IF(AND(F78="multiple_unit",AA78&lt;110),0.75,1)</f>
        <v>0.45</v>
      </c>
      <c r="BH78">
        <f>INT(POWER(((Constants!$G$2+$BA78+$BB78+$BC78+$BE78)*$BD78)*$BG78, 1.05))+$AZ78</f>
        <v>7</v>
      </c>
      <c r="BI78">
        <f>INT(POWER((((Constants!$G$1+$BA78+$BB78+$BC78+$BE78)*($BD78))*$BF78),IF($F78="wagon",1,1.2)))+$AY78</f>
        <v>26</v>
      </c>
      <c r="BJ78" s="14">
        <f t="shared" si="84"/>
        <v>437.5</v>
      </c>
      <c r="BK78" s="14">
        <f t="shared" si="85"/>
        <v>70.98</v>
      </c>
      <c r="BR78">
        <v>1</v>
      </c>
      <c r="BS78">
        <v>185</v>
      </c>
      <c r="BT78" t="s">
        <v>904</v>
      </c>
      <c r="BU78" t="s">
        <v>752</v>
      </c>
      <c r="BV78" t="str">
        <f>VLOOKUP(I78,Eras!$A$2:$C$10, 2, TRUE)</f>
        <v>vct</v>
      </c>
      <c r="BW78" t="s">
        <v>341</v>
      </c>
      <c r="BX78" t="str">
        <f t="shared" si="86"/>
        <v>vct_Van</v>
      </c>
      <c r="BY78" t="str">
        <f t="shared" si="87"/>
        <v>wagon_RAIL</v>
      </c>
      <c r="BZ78" s="17" t="str" cm="1">
        <f t="array" ref="BZ78">_xlfn.CONCAT("{BLACK}Length: {GOLD}", TEXT(ROUNDUP(IF(AP78&lt;&gt;"",SUM(VALUE(_xlfn.TEXTSPLIT(AP78, ","))), SUM(VALUE(_xlfn.TEXTSPLIT(AM78, ",")))*IF(L78, L78, 1))/16, 1), "#,##0.0"), " tiles{}")</f>
        <v>{BLACK}Length: {GOLD}0.3 tiles{}</v>
      </c>
      <c r="CA78" t="str">
        <f>VLOOKUP($BY78, Constants!$M:$N, 2, FALSE)</f>
        <v/>
      </c>
      <c r="CB78" t="str">
        <f t="shared" si="88"/>
        <v/>
      </c>
      <c r="CC78" t="s">
        <v>751</v>
      </c>
      <c r="CD78" t="str">
        <f t="shared" si="89"/>
        <v/>
      </c>
      <c r="CE78" t="str">
        <f t="shared" si="61"/>
        <v>{BLACK}Length: {GOLD}0.3 tiles{}{SILVER}Livestock traffic was common early on in railway history, with specialised cattle wagons and stations equipped to handle loading and unloading.</v>
      </c>
    </row>
    <row r="79" spans="1:84" x14ac:dyDescent="0.25">
      <c r="A79" t="s">
        <v>803</v>
      </c>
      <c r="B79" t="s">
        <v>753</v>
      </c>
      <c r="C79">
        <v>101</v>
      </c>
      <c r="D79">
        <v>1054</v>
      </c>
      <c r="E79" t="s">
        <v>1508</v>
      </c>
      <c r="F79" t="s">
        <v>280</v>
      </c>
      <c r="G79" t="s">
        <v>280</v>
      </c>
      <c r="H79" t="s">
        <v>274</v>
      </c>
      <c r="I79">
        <v>1905</v>
      </c>
      <c r="K79">
        <v>1955</v>
      </c>
      <c r="V79">
        <v>10</v>
      </c>
      <c r="X79">
        <v>3</v>
      </c>
      <c r="Z79" s="3" t="str">
        <f t="shared" si="76"/>
        <v/>
      </c>
      <c r="AA79">
        <v>45</v>
      </c>
      <c r="AB79">
        <f t="shared" si="15"/>
        <v>72</v>
      </c>
      <c r="AE79">
        <v>8.9</v>
      </c>
      <c r="AF79">
        <v>8.9</v>
      </c>
      <c r="AI79" s="10">
        <v>24</v>
      </c>
      <c r="AJ79" t="str">
        <f>CONCATENATE(VLOOKUP(AK79, 'Voxel Sizes'!$A$2:$B$18,2,FALSE),"x",INT(AG79*15), "x", INT(AH79*15))</f>
        <v>82x0x0</v>
      </c>
      <c r="AK79">
        <f t="shared" si="77"/>
        <v>5</v>
      </c>
      <c r="AM79" t="str">
        <f>CONCATENATE(VLOOKUP(AK79,Constants!$A$2:$C$16,IF(AL79&lt;&gt;"", 3, 2), FALSE),IF(AL79&lt;&gt;"",CONCATENATE(",",VLOOKUP(AL79,$B:$AM,38,FALSE)),""))</f>
        <v>2,1,2</v>
      </c>
      <c r="AW79">
        <v>30</v>
      </c>
      <c r="AX79" s="15">
        <f t="shared" si="78"/>
        <v>58</v>
      </c>
      <c r="BA79">
        <f t="shared" si="79"/>
        <v>9</v>
      </c>
      <c r="BB79">
        <f t="shared" si="80"/>
        <v>0</v>
      </c>
      <c r="BC79">
        <f t="shared" si="81"/>
        <v>0</v>
      </c>
      <c r="BD79" s="3">
        <f t="shared" si="82"/>
        <v>0.99333333333333329</v>
      </c>
      <c r="BE79">
        <f t="shared" si="83"/>
        <v>4</v>
      </c>
      <c r="BF79">
        <f>VLOOKUP($G79,Constants!$I:$K, 2, FALSE)</f>
        <v>1</v>
      </c>
      <c r="BG79">
        <f>VLOOKUP($G79,Constants!$I:$K, 3, FALSE)*IF(AND(F79="multiple_unit",AA79&lt;110),0.75,1)</f>
        <v>0.45</v>
      </c>
      <c r="BH79">
        <f>INT(POWER(((Constants!$G$2+$BA79+$BB79+$BC79+$BE79)*$BD79)*$BG79, 1.05))+$AZ79</f>
        <v>8</v>
      </c>
      <c r="BI79">
        <f>INT(POWER((((Constants!$G$1+$BA79+$BB79+$BC79+$BE79)*($BD79))*$BF79),IF($F79="wagon",1,1.2)))+$AY79</f>
        <v>27</v>
      </c>
      <c r="BJ79" s="14">
        <f t="shared" si="84"/>
        <v>500</v>
      </c>
      <c r="BK79" s="14">
        <f t="shared" si="85"/>
        <v>73.709999999999994</v>
      </c>
      <c r="BR79">
        <v>1</v>
      </c>
      <c r="BS79">
        <v>185</v>
      </c>
      <c r="BT79" t="s">
        <v>904</v>
      </c>
      <c r="BU79" t="s">
        <v>752</v>
      </c>
      <c r="BV79" t="str">
        <f>VLOOKUP(I79,Eras!$A$2:$C$10, 2, TRUE)</f>
        <v>edw</v>
      </c>
      <c r="BW79" t="s">
        <v>341</v>
      </c>
      <c r="BX79" t="str">
        <f t="shared" si="86"/>
        <v>edw_Van</v>
      </c>
      <c r="BY79" t="str">
        <f t="shared" si="87"/>
        <v>wagon_RAIL</v>
      </c>
      <c r="BZ79" s="17" t="str" cm="1">
        <f t="array" ref="BZ79">_xlfn.CONCAT("{BLACK}Length: {GOLD}", TEXT(ROUNDUP(IF(AP79&lt;&gt;"",SUM(VALUE(_xlfn.TEXTSPLIT(AP79, ","))), SUM(VALUE(_xlfn.TEXTSPLIT(AM79, ",")))*IF(L79, L79, 1))/16, 1), "#,##0.0"), " tiles{}")</f>
        <v>{BLACK}Length: {GOLD}0.4 tiles{}</v>
      </c>
      <c r="CA79" t="str">
        <f>VLOOKUP($BY79, Constants!$M:$N, 2, FALSE)</f>
        <v/>
      </c>
      <c r="CB79" t="str">
        <f t="shared" si="88"/>
        <v/>
      </c>
      <c r="CC79" t="s">
        <v>755</v>
      </c>
      <c r="CD79" t="str">
        <f t="shared" si="89"/>
        <v/>
      </c>
      <c r="CE79" t="str">
        <f t="shared" si="61"/>
        <v>{BLACK}Length: {GOLD}0.4 tiles{}{SILVER}Livestock vans evolved along with improvements in covered van design.</v>
      </c>
    </row>
    <row r="80" spans="1:84" x14ac:dyDescent="0.25">
      <c r="A80" t="s">
        <v>804</v>
      </c>
      <c r="B80" t="s">
        <v>754</v>
      </c>
      <c r="C80">
        <v>102</v>
      </c>
      <c r="D80">
        <v>1055</v>
      </c>
      <c r="E80" t="s">
        <v>1508</v>
      </c>
      <c r="F80" t="s">
        <v>280</v>
      </c>
      <c r="G80" t="s">
        <v>280</v>
      </c>
      <c r="H80" t="s">
        <v>274</v>
      </c>
      <c r="I80">
        <v>1930</v>
      </c>
      <c r="K80">
        <v>1975</v>
      </c>
      <c r="V80">
        <v>10</v>
      </c>
      <c r="X80">
        <v>3</v>
      </c>
      <c r="Z80" s="3" t="str">
        <f t="shared" si="76"/>
        <v/>
      </c>
      <c r="AA80">
        <v>50</v>
      </c>
      <c r="AB80">
        <f t="shared" si="15"/>
        <v>80</v>
      </c>
      <c r="AE80">
        <v>8.9</v>
      </c>
      <c r="AF80">
        <v>8.9</v>
      </c>
      <c r="AI80" s="10">
        <v>24</v>
      </c>
      <c r="AJ80" t="str">
        <f>CONCATENATE(VLOOKUP(AK80, 'Voxel Sizes'!$A$2:$B$18,2,FALSE),"x",INT(AG80*15), "x", INT(AH80*15))</f>
        <v>82x0x0</v>
      </c>
      <c r="AK80">
        <f t="shared" si="77"/>
        <v>5</v>
      </c>
      <c r="AM80" t="str">
        <f>CONCATENATE(VLOOKUP(AK80,Constants!$A$2:$C$16,IF(AL80&lt;&gt;"", 3, 2), FALSE),IF(AL80&lt;&gt;"",CONCATENATE(",",VLOOKUP(AL80,$B:$AM,38,FALSE)),""))</f>
        <v>2,1,2</v>
      </c>
      <c r="AW80">
        <v>30</v>
      </c>
      <c r="AX80" s="15">
        <f t="shared" si="78"/>
        <v>53</v>
      </c>
      <c r="BA80">
        <f t="shared" si="79"/>
        <v>10</v>
      </c>
      <c r="BB80">
        <f t="shared" si="80"/>
        <v>0</v>
      </c>
      <c r="BC80">
        <f t="shared" si="81"/>
        <v>0</v>
      </c>
      <c r="BD80" s="3">
        <f t="shared" si="82"/>
        <v>0.96</v>
      </c>
      <c r="BE80">
        <f t="shared" si="83"/>
        <v>4</v>
      </c>
      <c r="BF80">
        <f>VLOOKUP($G80,Constants!$I:$K, 2, FALSE)</f>
        <v>1</v>
      </c>
      <c r="BG80">
        <f>VLOOKUP($G80,Constants!$I:$K, 3, FALSE)*IF(AND(F80="multiple_unit",AA80&lt;110),0.75,1)</f>
        <v>0.45</v>
      </c>
      <c r="BH80">
        <f>INT(POWER(((Constants!$G$2+$BA80+$BB80+$BC80+$BE80)*$BD80)*$BG80, 1.05))+$AZ80</f>
        <v>9</v>
      </c>
      <c r="BI80">
        <f>INT(POWER((((Constants!$G$1+$BA80+$BB80+$BC80+$BE80)*($BD80))*$BF80),IF($F80="wagon",1,1.2)))+$AY80</f>
        <v>27</v>
      </c>
      <c r="BJ80" s="14">
        <f t="shared" si="84"/>
        <v>562.5</v>
      </c>
      <c r="BK80" s="14">
        <f t="shared" si="85"/>
        <v>73.709999999999994</v>
      </c>
      <c r="BR80">
        <v>1</v>
      </c>
      <c r="BS80">
        <v>185</v>
      </c>
      <c r="BT80" t="s">
        <v>904</v>
      </c>
      <c r="BU80" t="s">
        <v>752</v>
      </c>
      <c r="BV80" t="str">
        <f>VLOOKUP(I80,Eras!$A$2:$C$10, 2, TRUE)</f>
        <v>big4</v>
      </c>
      <c r="BW80" t="s">
        <v>341</v>
      </c>
      <c r="BX80" t="str">
        <f t="shared" si="86"/>
        <v>big4_Van</v>
      </c>
      <c r="BY80" t="str">
        <f t="shared" si="87"/>
        <v>wagon_RAIL</v>
      </c>
      <c r="BZ80" s="17" t="str" cm="1">
        <f t="array" ref="BZ80">_xlfn.CONCAT("{BLACK}Length: {GOLD}", TEXT(ROUNDUP(IF(AP80&lt;&gt;"",SUM(VALUE(_xlfn.TEXTSPLIT(AP80, ","))), SUM(VALUE(_xlfn.TEXTSPLIT(AM80, ",")))*IF(L80, L80, 1))/16, 1), "#,##0.0"), " tiles{}")</f>
        <v>{BLACK}Length: {GOLD}0.4 tiles{}</v>
      </c>
      <c r="CA80" t="str">
        <f>VLOOKUP($BY80, Constants!$M:$N, 2, FALSE)</f>
        <v/>
      </c>
      <c r="CB80" t="str">
        <f t="shared" si="88"/>
        <v/>
      </c>
      <c r="CC80" t="s">
        <v>756</v>
      </c>
      <c r="CD80" t="str">
        <f t="shared" si="89"/>
        <v/>
      </c>
      <c r="CE80" t="str">
        <f t="shared" si="61"/>
        <v>{BLACK}Length: {GOLD}0.4 tiles{}{SILVER}Specialised cattle vans such as this Southern Railway example were built from the 1930s to the 1950s, although livestock traffic reduced in the latter part of this period.</v>
      </c>
    </row>
    <row r="81" spans="1:84" x14ac:dyDescent="0.25">
      <c r="A81" t="s">
        <v>805</v>
      </c>
      <c r="B81" t="s">
        <v>757</v>
      </c>
      <c r="C81">
        <v>103</v>
      </c>
      <c r="D81">
        <v>1056</v>
      </c>
      <c r="E81" t="s">
        <v>1508</v>
      </c>
      <c r="F81" t="s">
        <v>280</v>
      </c>
      <c r="G81" t="s">
        <v>280</v>
      </c>
      <c r="H81" t="s">
        <v>274</v>
      </c>
      <c r="I81">
        <v>1960</v>
      </c>
      <c r="K81">
        <v>2000</v>
      </c>
      <c r="V81">
        <v>14</v>
      </c>
      <c r="X81">
        <v>4</v>
      </c>
      <c r="Z81" s="3" t="str">
        <f t="shared" si="76"/>
        <v/>
      </c>
      <c r="AA81">
        <v>65</v>
      </c>
      <c r="AB81">
        <f t="shared" si="15"/>
        <v>104</v>
      </c>
      <c r="AE81">
        <v>10.6</v>
      </c>
      <c r="AF81">
        <v>10.6</v>
      </c>
      <c r="AI81" s="10">
        <v>39</v>
      </c>
      <c r="AJ81" t="str">
        <f>CONCATENATE(VLOOKUP(AK81, 'Voxel Sizes'!$A$2:$B$18,2,FALSE),"x",INT(AG81*15), "x", INT(AH81*15))</f>
        <v>102x0x0</v>
      </c>
      <c r="AK81">
        <f t="shared" si="77"/>
        <v>6</v>
      </c>
      <c r="AM81" t="str">
        <f>CONCATENATE(VLOOKUP(AK81,Constants!$A$2:$C$16,IF(AL81&lt;&gt;"", 3, 2), FALSE),IF(AL81&lt;&gt;"",CONCATENATE(",",VLOOKUP(AL81,$B:$AM,38,FALSE)),""))</f>
        <v>2,2,2</v>
      </c>
      <c r="AW81">
        <v>30</v>
      </c>
      <c r="AX81" s="15">
        <f t="shared" si="78"/>
        <v>48</v>
      </c>
      <c r="BA81">
        <f t="shared" si="79"/>
        <v>13</v>
      </c>
      <c r="BB81">
        <f t="shared" si="80"/>
        <v>0</v>
      </c>
      <c r="BC81">
        <f t="shared" si="81"/>
        <v>0</v>
      </c>
      <c r="BD81" s="3">
        <f t="shared" si="82"/>
        <v>0.92</v>
      </c>
      <c r="BE81">
        <f t="shared" si="83"/>
        <v>6.5</v>
      </c>
      <c r="BF81">
        <f>VLOOKUP($G81,Constants!$I:$K, 2, FALSE)</f>
        <v>1</v>
      </c>
      <c r="BG81">
        <f>VLOOKUP($G81,Constants!$I:$K, 3, FALSE)*IF(AND(F81="multiple_unit",AA81&lt;110),0.75,1)</f>
        <v>0.45</v>
      </c>
      <c r="BH81">
        <f>INT(POWER(((Constants!$G$2+$BA81+$BB81+$BC81+$BE81)*$BD81)*$BG81, 1.05))+$AZ81</f>
        <v>11</v>
      </c>
      <c r="BI81">
        <f>INT(POWER((((Constants!$G$1+$BA81+$BB81+$BC81+$BE81)*($BD81))*$BF81),IF($F81="wagon",1,1.2)))+$AY81</f>
        <v>31</v>
      </c>
      <c r="BJ81" s="14">
        <f t="shared" si="84"/>
        <v>687.5</v>
      </c>
      <c r="BK81" s="14">
        <f t="shared" si="85"/>
        <v>84.63</v>
      </c>
      <c r="BR81">
        <v>1</v>
      </c>
      <c r="BS81">
        <v>185</v>
      </c>
      <c r="BT81" t="s">
        <v>904</v>
      </c>
      <c r="BU81" t="s">
        <v>752</v>
      </c>
      <c r="BV81" t="str">
        <f>VLOOKUP(I81,Eras!$A$2:$C$10, 2, TRUE)</f>
        <v>dsl</v>
      </c>
      <c r="BW81" t="s">
        <v>341</v>
      </c>
      <c r="BX81" t="str">
        <f t="shared" si="86"/>
        <v>dsl_Van</v>
      </c>
      <c r="BY81" t="str">
        <f t="shared" si="87"/>
        <v>wagon_RAIL</v>
      </c>
      <c r="BZ81" s="17" t="str" cm="1">
        <f t="array" ref="BZ81">_xlfn.CONCAT("{BLACK}Length: {GOLD}", TEXT(ROUNDUP(IF(AP81&lt;&gt;"",SUM(VALUE(_xlfn.TEXTSPLIT(AP81, ","))), SUM(VALUE(_xlfn.TEXTSPLIT(AM81, ",")))*IF(L81, L81, 1))/16, 1), "#,##0.0"), " tiles{}")</f>
        <v>{BLACK}Length: {GOLD}0.4 tiles{}</v>
      </c>
      <c r="CA81" t="str">
        <f>VLOOKUP($BY81, Constants!$M:$N, 2, FALSE)</f>
        <v/>
      </c>
      <c r="CB81" t="str">
        <f t="shared" si="88"/>
        <v/>
      </c>
      <c r="CC81" t="s">
        <v>760</v>
      </c>
      <c r="CD81" t="str">
        <f t="shared" si="89"/>
        <v/>
      </c>
      <c r="CE81" t="str">
        <f t="shared" si="61"/>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v>
      </c>
      <c r="CF81">
        <v>1</v>
      </c>
    </row>
    <row r="82" spans="1:84" x14ac:dyDescent="0.25">
      <c r="A82" t="s">
        <v>806</v>
      </c>
      <c r="B82" t="s">
        <v>758</v>
      </c>
      <c r="C82">
        <v>104</v>
      </c>
      <c r="D82">
        <v>1057</v>
      </c>
      <c r="E82" t="s">
        <v>1508</v>
      </c>
      <c r="F82" t="s">
        <v>280</v>
      </c>
      <c r="G82" t="s">
        <v>280</v>
      </c>
      <c r="H82" t="s">
        <v>274</v>
      </c>
      <c r="I82">
        <v>1990</v>
      </c>
      <c r="V82">
        <v>16</v>
      </c>
      <c r="X82">
        <v>4</v>
      </c>
      <c r="Z82" s="3" t="str">
        <f t="shared" si="76"/>
        <v/>
      </c>
      <c r="AA82">
        <v>75</v>
      </c>
      <c r="AB82">
        <f t="shared" si="15"/>
        <v>120</v>
      </c>
      <c r="AE82">
        <v>12.2</v>
      </c>
      <c r="AF82">
        <v>12.2</v>
      </c>
      <c r="AI82" s="10">
        <v>39</v>
      </c>
      <c r="AJ82" t="str">
        <f>CONCATENATE(VLOOKUP(AK82, 'Voxel Sizes'!$A$2:$B$18,2,FALSE),"x",INT(AG82*15), "x", INT(AH82*15))</f>
        <v>120x0x0</v>
      </c>
      <c r="AK82">
        <f t="shared" si="77"/>
        <v>7</v>
      </c>
      <c r="AM82" t="str">
        <f>CONCATENATE(VLOOKUP(AK82,Constants!$A$2:$C$16,IF(AL82&lt;&gt;"", 3, 2), FALSE),IF(AL82&lt;&gt;"",CONCATENATE(",",VLOOKUP(AL82,$B:$AM,38,FALSE)),""))</f>
        <v>2,3,2</v>
      </c>
      <c r="AW82">
        <v>30</v>
      </c>
      <c r="AX82" s="15" t="str">
        <f t="shared" si="78"/>
        <v/>
      </c>
      <c r="BA82">
        <f t="shared" si="79"/>
        <v>15</v>
      </c>
      <c r="BB82">
        <f t="shared" si="80"/>
        <v>0</v>
      </c>
      <c r="BC82">
        <f t="shared" si="81"/>
        <v>0</v>
      </c>
      <c r="BD82" s="3">
        <f t="shared" si="82"/>
        <v>0.88</v>
      </c>
      <c r="BE82">
        <f t="shared" si="83"/>
        <v>6.5</v>
      </c>
      <c r="BF82">
        <f>VLOOKUP($G82,Constants!$I:$K, 2, FALSE)</f>
        <v>1</v>
      </c>
      <c r="BG82">
        <f>VLOOKUP($G82,Constants!$I:$K, 3, FALSE)*IF(AND(F82="multiple_unit",AA82&lt;110),0.75,1)</f>
        <v>0.45</v>
      </c>
      <c r="BH82">
        <f>INT(POWER(((Constants!$G$2+$BA82+$BB82+$BC82+$BE82)*$BD82)*$BG82, 1.05))+$AZ82</f>
        <v>11</v>
      </c>
      <c r="BI82">
        <f>INT(POWER((((Constants!$G$1+$BA82+$BB82+$BC82+$BE82)*($BD82))*$BF82),IF($F82="wagon",1,1.2)))+$AY82</f>
        <v>32</v>
      </c>
      <c r="BJ82" s="14">
        <f t="shared" si="84"/>
        <v>687.5</v>
      </c>
      <c r="BK82" s="14">
        <f t="shared" si="85"/>
        <v>87.36</v>
      </c>
      <c r="BR82">
        <v>1</v>
      </c>
      <c r="BS82">
        <v>185</v>
      </c>
      <c r="BT82" t="s">
        <v>904</v>
      </c>
      <c r="BU82" t="s">
        <v>752</v>
      </c>
      <c r="BV82" t="str">
        <f>VLOOKUP(I82,Eras!$A$2:$C$10, 2, TRUE)</f>
        <v>lbr</v>
      </c>
      <c r="BW82" t="s">
        <v>341</v>
      </c>
      <c r="BX82" t="str">
        <f t="shared" si="86"/>
        <v>lbr_Van</v>
      </c>
      <c r="BY82" t="str">
        <f t="shared" si="87"/>
        <v>wagon_RAIL</v>
      </c>
      <c r="BZ82" s="17" t="str" cm="1">
        <f t="array" ref="BZ82">_xlfn.CONCAT("{BLACK}Length: {GOLD}", TEXT(ROUNDUP(IF(AP82&lt;&gt;"",SUM(VALUE(_xlfn.TEXTSPLIT(AP82, ","))), SUM(VALUE(_xlfn.TEXTSPLIT(AM82, ",")))*IF(L82, L82, 1))/16, 1), "#,##0.0"), " tiles{}")</f>
        <v>{BLACK}Length: {GOLD}0.5 tiles{}</v>
      </c>
      <c r="CA82" t="str">
        <f>VLOOKUP($BY82, Constants!$M:$N, 2, FALSE)</f>
        <v/>
      </c>
      <c r="CB82" t="str">
        <f t="shared" si="88"/>
        <v/>
      </c>
      <c r="CC82" t="s">
        <v>759</v>
      </c>
      <c r="CD82" t="str">
        <f t="shared" si="89"/>
        <v/>
      </c>
      <c r="CE82" t="str">
        <f t="shared" si="61"/>
        <v>{BLACK}Length: {GOLD}0.5 tiles{}{SILVER}Although there is no modern livestock traffic on railways in the UK, other countries have continued to build livestock wagons. This wagon is representative of contemporary livestock transport, if it were built to British loading gauge.</v>
      </c>
      <c r="CF82">
        <v>1</v>
      </c>
    </row>
    <row r="83" spans="1:84" x14ac:dyDescent="0.25">
      <c r="A83" t="s">
        <v>1358</v>
      </c>
      <c r="B83" t="s">
        <v>1359</v>
      </c>
      <c r="C83">
        <v>110</v>
      </c>
      <c r="D83">
        <v>1058</v>
      </c>
      <c r="E83" t="s">
        <v>1508</v>
      </c>
      <c r="F83" t="s">
        <v>280</v>
      </c>
      <c r="G83" t="s">
        <v>280</v>
      </c>
      <c r="H83" t="s">
        <v>1380</v>
      </c>
      <c r="I83">
        <v>1700</v>
      </c>
      <c r="K83">
        <v>1875</v>
      </c>
      <c r="V83">
        <v>3</v>
      </c>
      <c r="X83">
        <v>2</v>
      </c>
      <c r="Z83" s="3" t="str">
        <f t="shared" si="76"/>
        <v/>
      </c>
      <c r="AA83">
        <v>35</v>
      </c>
      <c r="AB83">
        <f t="shared" si="15"/>
        <v>56</v>
      </c>
      <c r="AE83">
        <v>6</v>
      </c>
      <c r="AF83">
        <v>6</v>
      </c>
      <c r="AI83" s="10">
        <v>15</v>
      </c>
      <c r="AJ83" t="str">
        <f>CONCATENATE(VLOOKUP(AK83, 'Voxel Sizes'!$A$2:$B$18,2,FALSE),"x",INT(AG83*15), "x", INT(AH83*15))</f>
        <v>60x0x0</v>
      </c>
      <c r="AK83">
        <f t="shared" si="77"/>
        <v>4</v>
      </c>
      <c r="AM83" t="str">
        <f>CONCATENATE(VLOOKUP(AK83,Constants!$A$2:$C$16,IF(AL83&lt;&gt;"", 3, 2), FALSE),IF(AL83&lt;&gt;"",CONCATENATE(",",VLOOKUP(AL83,$B:$AM,38,FALSE)),""))</f>
        <v>1,2,1</v>
      </c>
      <c r="AW83">
        <v>30</v>
      </c>
      <c r="AX83" s="15">
        <f t="shared" si="78"/>
        <v>183</v>
      </c>
      <c r="AY83">
        <v>-15</v>
      </c>
      <c r="AZ83">
        <v>-2</v>
      </c>
      <c r="BA83">
        <f t="shared" si="79"/>
        <v>7</v>
      </c>
      <c r="BB83">
        <f t="shared" si="80"/>
        <v>0</v>
      </c>
      <c r="BC83">
        <f t="shared" si="81"/>
        <v>0</v>
      </c>
      <c r="BD83" s="3">
        <f t="shared" si="82"/>
        <v>1</v>
      </c>
      <c r="BE83">
        <f t="shared" si="83"/>
        <v>2.5</v>
      </c>
      <c r="BF83">
        <f>VLOOKUP($G83,Constants!$I:$K, 2, FALSE)</f>
        <v>1</v>
      </c>
      <c r="BG83">
        <f>VLOOKUP($G83,Constants!$I:$K, 3, FALSE)*IF(AND(F83="multiple_unit",AA83&lt;110),0.75,1)</f>
        <v>0.45</v>
      </c>
      <c r="BH83">
        <f>INT(POWER(((Constants!$G$2+$BA83+$BB83+$BC83+$BE83)*$BD83)*$BG83, 1.05))+$AZ83</f>
        <v>5</v>
      </c>
      <c r="BI83">
        <f>INT(POWER((((Constants!$G$1+$BA83+$BB83+$BC83+$BE83)*($BD83))*$BF83),IF($F83="wagon",1,1.2)))+$AY83</f>
        <v>9</v>
      </c>
      <c r="BJ83" s="14">
        <f t="shared" si="84"/>
        <v>312.5</v>
      </c>
      <c r="BK83" s="14">
        <f t="shared" si="85"/>
        <v>24.57</v>
      </c>
      <c r="BR83">
        <v>1</v>
      </c>
      <c r="BS83">
        <v>185</v>
      </c>
      <c r="BT83" t="s">
        <v>341</v>
      </c>
      <c r="BU83" t="s">
        <v>285</v>
      </c>
      <c r="BV83" t="str">
        <f>VLOOKUP(I83,Eras!$A$2:$C$10, 2, TRUE)</f>
        <v>early</v>
      </c>
      <c r="BW83" t="s">
        <v>341</v>
      </c>
      <c r="BX83" t="str">
        <f t="shared" si="86"/>
        <v>early_Van</v>
      </c>
      <c r="BY83" t="str">
        <f t="shared" si="87"/>
        <v>wagon_PLATEWAY</v>
      </c>
      <c r="BZ83" s="17" t="str" cm="1">
        <f t="array" ref="BZ83">_xlfn.CONCAT("{BLACK}Length: {GOLD}", TEXT(ROUNDUP(IF(AP83&lt;&gt;"",SUM(VALUE(_xlfn.TEXTSPLIT(AP83, ","))), SUM(VALUE(_xlfn.TEXTSPLIT(AM83, ",")))*IF(L83, L83, 1))/16, 1), "#,##0.0"), " tiles{}")</f>
        <v>{BLACK}Length: {GOLD}0.3 tiles{}</v>
      </c>
      <c r="CA83" t="str">
        <f>VLOOKUP($BY83, Constants!$M:$N, 2, FALSE)</f>
        <v/>
      </c>
      <c r="CB83" t="str">
        <f t="shared" si="88"/>
        <v/>
      </c>
      <c r="CC83" t="s">
        <v>1360</v>
      </c>
      <c r="CD83" t="str">
        <f t="shared" si="89"/>
        <v/>
      </c>
      <c r="CE83" t="str">
        <f t="shared" si="61"/>
        <v>{BLACK}Length: {GOLD}0.3 tiles{}{SILVER}Simple canvas-covered wagons were some of the earliest vehicles for moving piece goods which needed to be sheltered from the elements.</v>
      </c>
    </row>
    <row r="84" spans="1:84" x14ac:dyDescent="0.25">
      <c r="A84" t="s">
        <v>748</v>
      </c>
      <c r="B84" t="s">
        <v>749</v>
      </c>
      <c r="C84">
        <v>112</v>
      </c>
      <c r="D84">
        <v>1059</v>
      </c>
      <c r="E84" t="s">
        <v>1508</v>
      </c>
      <c r="F84" t="s">
        <v>280</v>
      </c>
      <c r="G84" t="s">
        <v>280</v>
      </c>
      <c r="H84" t="s">
        <v>274</v>
      </c>
      <c r="I84">
        <v>1850</v>
      </c>
      <c r="K84">
        <v>1930</v>
      </c>
      <c r="V84">
        <v>6</v>
      </c>
      <c r="X84">
        <v>3</v>
      </c>
      <c r="Z84" s="3" t="str">
        <f t="shared" si="76"/>
        <v/>
      </c>
      <c r="AA84">
        <v>45</v>
      </c>
      <c r="AB84">
        <f t="shared" si="15"/>
        <v>72</v>
      </c>
      <c r="AE84">
        <v>6</v>
      </c>
      <c r="AF84">
        <v>6</v>
      </c>
      <c r="AI84" s="10">
        <v>18</v>
      </c>
      <c r="AJ84" t="str">
        <f>CONCATENATE(VLOOKUP(AK84, 'Voxel Sizes'!$A$2:$B$18,2,FALSE),"x",INT(AG84*15), "x", INT(AH84*15))</f>
        <v>60x0x0</v>
      </c>
      <c r="AK84">
        <f t="shared" si="77"/>
        <v>4</v>
      </c>
      <c r="AM84" t="str">
        <f>CONCATENATE(VLOOKUP(AK84,Constants!$A$2:$C$16,IF(AL84&lt;&gt;"", 3, 2), FALSE),IF(AL84&lt;&gt;"",CONCATENATE(",",VLOOKUP(AL84,$B:$AM,38,FALSE)),""))</f>
        <v>1,2,1</v>
      </c>
      <c r="AW84">
        <v>30</v>
      </c>
      <c r="AX84" s="15">
        <f t="shared" si="78"/>
        <v>88</v>
      </c>
      <c r="BA84">
        <f t="shared" si="79"/>
        <v>9</v>
      </c>
      <c r="BB84">
        <f t="shared" si="80"/>
        <v>0</v>
      </c>
      <c r="BC84">
        <f t="shared" si="81"/>
        <v>0</v>
      </c>
      <c r="BD84" s="3">
        <f t="shared" si="82"/>
        <v>1</v>
      </c>
      <c r="BE84">
        <f t="shared" si="83"/>
        <v>3</v>
      </c>
      <c r="BF84">
        <f>VLOOKUP($G84,Constants!$I:$K, 2, FALSE)</f>
        <v>1</v>
      </c>
      <c r="BG84">
        <f>VLOOKUP($G84,Constants!$I:$K, 3, FALSE)*IF(AND(F84="multiple_unit",AA84&lt;110),0.75,1)</f>
        <v>0.45</v>
      </c>
      <c r="BH84">
        <f>INT(POWER(((Constants!$G$2+$BA84+$BB84+$BC84+$BE84)*$BD84)*$BG84, 1.05))+$AZ84</f>
        <v>8</v>
      </c>
      <c r="BI84">
        <f>INT(POWER((((Constants!$G$1+$BA84+$BB84+$BC84+$BE84)*($BD84))*$BF84),IF($F84="wagon",1,1.2)))+$AY84</f>
        <v>27</v>
      </c>
      <c r="BJ84" s="14">
        <f t="shared" si="84"/>
        <v>500</v>
      </c>
      <c r="BK84" s="14">
        <f t="shared" si="85"/>
        <v>73.709999999999994</v>
      </c>
      <c r="BR84">
        <v>1</v>
      </c>
      <c r="BS84">
        <v>185</v>
      </c>
      <c r="BT84" t="s">
        <v>341</v>
      </c>
      <c r="BU84" t="s">
        <v>285</v>
      </c>
      <c r="BV84" t="str">
        <f>VLOOKUP(I84,Eras!$A$2:$C$10, 2, TRUE)</f>
        <v>vct</v>
      </c>
      <c r="BW84" t="s">
        <v>341</v>
      </c>
      <c r="BX84" t="str">
        <f t="shared" si="86"/>
        <v>vct_Van</v>
      </c>
      <c r="BY84" t="str">
        <f t="shared" si="87"/>
        <v>wagon_RAIL</v>
      </c>
      <c r="BZ84" s="17" t="str" cm="1">
        <f t="array" ref="BZ84">_xlfn.CONCAT("{BLACK}Length: {GOLD}", TEXT(ROUNDUP(IF(AP84&lt;&gt;"",SUM(VALUE(_xlfn.TEXTSPLIT(AP84, ","))), SUM(VALUE(_xlfn.TEXTSPLIT(AM84, ",")))*IF(L84, L84, 1))/16, 1), "#,##0.0"), " tiles{}")</f>
        <v>{BLACK}Length: {GOLD}0.3 tiles{}</v>
      </c>
      <c r="CA84" t="str">
        <f>VLOOKUP($BY84, Constants!$M:$N, 2, FALSE)</f>
        <v/>
      </c>
      <c r="CB84" t="str">
        <f t="shared" si="88"/>
        <v/>
      </c>
      <c r="CC84" t="s">
        <v>750</v>
      </c>
      <c r="CD84" t="str">
        <f t="shared" si="89"/>
        <v/>
      </c>
      <c r="CE84" t="str">
        <f t="shared" si="61"/>
        <v>{BLACK}Length: {GOLD}0.3 tiles{}{SILVER}Piece goods were an important source of revenue for early railways, with most building large quantities of covered vans.</v>
      </c>
    </row>
    <row r="85" spans="1:84" x14ac:dyDescent="0.25">
      <c r="A85" t="s">
        <v>413</v>
      </c>
      <c r="B85" t="s">
        <v>414</v>
      </c>
      <c r="C85">
        <v>114</v>
      </c>
      <c r="D85">
        <v>1060</v>
      </c>
      <c r="E85" t="s">
        <v>1508</v>
      </c>
      <c r="F85" t="s">
        <v>280</v>
      </c>
      <c r="G85" t="s">
        <v>280</v>
      </c>
      <c r="H85" t="s">
        <v>274</v>
      </c>
      <c r="I85">
        <v>1902</v>
      </c>
      <c r="K85">
        <v>1960</v>
      </c>
      <c r="V85">
        <v>7</v>
      </c>
      <c r="X85">
        <v>3</v>
      </c>
      <c r="Z85" s="3" t="str">
        <f t="shared" si="76"/>
        <v/>
      </c>
      <c r="AA85">
        <v>50</v>
      </c>
      <c r="AB85">
        <f t="shared" si="15"/>
        <v>80</v>
      </c>
      <c r="AE85">
        <v>8</v>
      </c>
      <c r="AF85">
        <v>8</v>
      </c>
      <c r="AI85" s="10">
        <v>24</v>
      </c>
      <c r="AJ85" t="str">
        <f>CONCATENATE(VLOOKUP(AK85, 'Voxel Sizes'!$A$2:$B$18,2,FALSE),"x",INT(AG85*15), "x", INT(AH85*15))</f>
        <v>82x0x0</v>
      </c>
      <c r="AK85">
        <f t="shared" si="77"/>
        <v>5</v>
      </c>
      <c r="AM85" t="str">
        <f>CONCATENATE(VLOOKUP(AK85,Constants!$A$2:$C$16,IF(AL85&lt;&gt;"", 3, 2), FALSE),IF(AL85&lt;&gt;"",CONCATENATE(",",VLOOKUP(AL85,$B:$AM,38,FALSE)),""))</f>
        <v>2,1,2</v>
      </c>
      <c r="AW85">
        <v>30</v>
      </c>
      <c r="AX85" s="15">
        <f t="shared" si="78"/>
        <v>66</v>
      </c>
      <c r="BA85">
        <f t="shared" si="79"/>
        <v>10</v>
      </c>
      <c r="BB85">
        <f t="shared" si="80"/>
        <v>0</v>
      </c>
      <c r="BC85">
        <f t="shared" si="81"/>
        <v>0</v>
      </c>
      <c r="BD85" s="3">
        <f t="shared" si="82"/>
        <v>0.99733333333333329</v>
      </c>
      <c r="BE85">
        <f t="shared" si="83"/>
        <v>4</v>
      </c>
      <c r="BF85">
        <f>VLOOKUP($G85,Constants!$I:$K, 2, FALSE)</f>
        <v>1</v>
      </c>
      <c r="BG85">
        <f>VLOOKUP($G85,Constants!$I:$K, 3, FALSE)*IF(AND(F85="multiple_unit",AA85&lt;110),0.75,1)</f>
        <v>0.45</v>
      </c>
      <c r="BH85">
        <f>INT(POWER(((Constants!$G$2+$BA85+$BB85+$BC85+$BE85)*$BD85)*$BG85, 1.05))+$AZ85</f>
        <v>9</v>
      </c>
      <c r="BI85">
        <f>INT(POWER((((Constants!$G$1+$BA85+$BB85+$BC85+$BE85)*($BD85))*$BF85),IF($F85="wagon",1,1.2)))+$AY85</f>
        <v>28</v>
      </c>
      <c r="BJ85" s="14">
        <f t="shared" si="84"/>
        <v>562.5</v>
      </c>
      <c r="BK85" s="14">
        <f t="shared" si="85"/>
        <v>76.44</v>
      </c>
      <c r="BR85">
        <v>1</v>
      </c>
      <c r="BS85">
        <v>185</v>
      </c>
      <c r="BT85" t="s">
        <v>341</v>
      </c>
      <c r="BU85" t="s">
        <v>285</v>
      </c>
      <c r="BV85" t="str">
        <f>VLOOKUP(I85,Eras!$A$2:$C$10, 2, TRUE)</f>
        <v>edw</v>
      </c>
      <c r="BW85" t="s">
        <v>341</v>
      </c>
      <c r="BX85" t="str">
        <f t="shared" si="86"/>
        <v>edw_Van</v>
      </c>
      <c r="BY85" t="str">
        <f t="shared" si="87"/>
        <v>wagon_RAIL</v>
      </c>
      <c r="BZ85" s="17" t="str" cm="1">
        <f t="array" ref="BZ85">_xlfn.CONCAT("{BLACK}Length: {GOLD}", TEXT(ROUNDUP(IF(AP85&lt;&gt;"",SUM(VALUE(_xlfn.TEXTSPLIT(AP85, ","))), SUM(VALUE(_xlfn.TEXTSPLIT(AM85, ",")))*IF(L85, L85, 1))/16, 1), "#,##0.0"), " tiles{}")</f>
        <v>{BLACK}Length: {GOLD}0.4 tiles{}</v>
      </c>
      <c r="CA85" t="str">
        <f>VLOOKUP($BY85, Constants!$M:$N, 2, FALSE)</f>
        <v/>
      </c>
      <c r="CB85" t="str">
        <f t="shared" si="88"/>
        <v/>
      </c>
      <c r="CC85" t="s">
        <v>412</v>
      </c>
      <c r="CD85" t="str">
        <f t="shared" si="89"/>
        <v/>
      </c>
      <c r="CE85" t="str">
        <f t="shared" si="61"/>
        <v>{BLACK}Length: {GOLD}0.4 tiles{}{SILVER}This goods van uses an iron frame with a wooden body, making it stronger than earlier wooden-framed vans.</v>
      </c>
    </row>
    <row r="86" spans="1:84" x14ac:dyDescent="0.25">
      <c r="A86" t="s">
        <v>736</v>
      </c>
      <c r="B86" t="s">
        <v>737</v>
      </c>
      <c r="C86">
        <v>116</v>
      </c>
      <c r="D86">
        <v>1061</v>
      </c>
      <c r="E86" t="s">
        <v>1508</v>
      </c>
      <c r="F86" t="s">
        <v>280</v>
      </c>
      <c r="G86" t="s">
        <v>280</v>
      </c>
      <c r="H86" t="s">
        <v>274</v>
      </c>
      <c r="I86">
        <v>1932</v>
      </c>
      <c r="K86">
        <v>1970</v>
      </c>
      <c r="V86">
        <v>8</v>
      </c>
      <c r="X86">
        <v>3</v>
      </c>
      <c r="Z86" s="3" t="str">
        <f t="shared" si="76"/>
        <v/>
      </c>
      <c r="AA86">
        <v>60</v>
      </c>
      <c r="AB86">
        <f t="shared" si="15"/>
        <v>96</v>
      </c>
      <c r="AE86">
        <v>8</v>
      </c>
      <c r="AF86">
        <v>8</v>
      </c>
      <c r="AI86" s="10">
        <v>27</v>
      </c>
      <c r="AJ86" t="str">
        <f>CONCATENATE(VLOOKUP(AK86, 'Voxel Sizes'!$A$2:$B$18,2,FALSE),"x",INT(AG86*15), "x", INT(AH86*15))</f>
        <v>82x0x0</v>
      </c>
      <c r="AK86">
        <f t="shared" si="77"/>
        <v>5</v>
      </c>
      <c r="AM86" t="str">
        <f>CONCATENATE(VLOOKUP(AK86,Constants!$A$2:$C$16,IF(AL86&lt;&gt;"", 3, 2), FALSE),IF(AL86&lt;&gt;"",CONCATENATE(",",VLOOKUP(AL86,$B:$AM,38,FALSE)),""))</f>
        <v>2,1,2</v>
      </c>
      <c r="AW86">
        <v>30</v>
      </c>
      <c r="AX86" s="15">
        <f t="shared" si="78"/>
        <v>46</v>
      </c>
      <c r="BA86">
        <f t="shared" si="79"/>
        <v>12</v>
      </c>
      <c r="BB86">
        <f t="shared" si="80"/>
        <v>0</v>
      </c>
      <c r="BC86">
        <f t="shared" si="81"/>
        <v>0</v>
      </c>
      <c r="BD86" s="3">
        <f t="shared" si="82"/>
        <v>0.95733333333333337</v>
      </c>
      <c r="BE86">
        <f t="shared" si="83"/>
        <v>4.5</v>
      </c>
      <c r="BF86">
        <f>VLOOKUP($G86,Constants!$I:$K, 2, FALSE)</f>
        <v>1</v>
      </c>
      <c r="BG86">
        <f>VLOOKUP($G86,Constants!$I:$K, 3, FALSE)*IF(AND(F86="multiple_unit",AA86&lt;110),0.75,1)</f>
        <v>0.45</v>
      </c>
      <c r="BH86">
        <f>INT(POWER(((Constants!$G$2+$BA86+$BB86+$BC86+$BE86)*$BD86)*$BG86, 1.05))+$AZ86</f>
        <v>10</v>
      </c>
      <c r="BI86">
        <f>INT(POWER((((Constants!$G$1+$BA86+$BB86+$BC86+$BE86)*($BD86))*$BF86),IF($F86="wagon",1,1.2)))+$AY86</f>
        <v>30</v>
      </c>
      <c r="BJ86" s="14">
        <f t="shared" si="84"/>
        <v>625</v>
      </c>
      <c r="BK86" s="14">
        <f t="shared" si="85"/>
        <v>81.900000000000006</v>
      </c>
      <c r="BR86">
        <v>1</v>
      </c>
      <c r="BS86">
        <v>185</v>
      </c>
      <c r="BT86" t="s">
        <v>341</v>
      </c>
      <c r="BU86" t="s">
        <v>285</v>
      </c>
      <c r="BV86" t="str">
        <f>VLOOKUP(I86,Eras!$A$2:$C$10, 2, TRUE)</f>
        <v>big4</v>
      </c>
      <c r="BW86" t="s">
        <v>341</v>
      </c>
      <c r="BX86" t="str">
        <f t="shared" si="86"/>
        <v>big4_Van</v>
      </c>
      <c r="BY86" t="str">
        <f t="shared" si="87"/>
        <v>wagon_RAIL</v>
      </c>
      <c r="BZ86" s="17" t="str" cm="1">
        <f t="array" ref="BZ86">_xlfn.CONCAT("{BLACK}Length: {GOLD}", TEXT(ROUNDUP(IF(AP86&lt;&gt;"",SUM(VALUE(_xlfn.TEXTSPLIT(AP86, ","))), SUM(VALUE(_xlfn.TEXTSPLIT(AM86, ",")))*IF(L86, L86, 1))/16, 1), "#,##0.0"), " tiles{}")</f>
        <v>{BLACK}Length: {GOLD}0.4 tiles{}</v>
      </c>
      <c r="CA86" t="str">
        <f>VLOOKUP($BY86, Constants!$M:$N, 2, FALSE)</f>
        <v/>
      </c>
      <c r="CB86" t="str">
        <f t="shared" si="88"/>
        <v/>
      </c>
      <c r="CC86" t="s">
        <v>738</v>
      </c>
      <c r="CD86" t="str">
        <f t="shared" si="89"/>
        <v/>
      </c>
      <c r="CE86" t="str">
        <f t="shared" si="61"/>
        <v>{BLACK}Length: {GOLD}0.4 tiles{}{SILVER}Fitted vans had brakes which could be controlled from the locomotive or a brake van, allowing higher braking force and thus speed. This example is typical of a Southern Railways vacuum-braked model.</v>
      </c>
    </row>
    <row r="87" spans="1:84" x14ac:dyDescent="0.25">
      <c r="A87" t="s">
        <v>739</v>
      </c>
      <c r="B87" t="s">
        <v>740</v>
      </c>
      <c r="C87">
        <v>118</v>
      </c>
      <c r="D87">
        <v>1062</v>
      </c>
      <c r="E87" t="s">
        <v>1508</v>
      </c>
      <c r="F87" t="s">
        <v>280</v>
      </c>
      <c r="G87" t="s">
        <v>280</v>
      </c>
      <c r="H87" t="s">
        <v>274</v>
      </c>
      <c r="I87">
        <v>1962</v>
      </c>
      <c r="K87">
        <v>1985</v>
      </c>
      <c r="V87">
        <v>8</v>
      </c>
      <c r="X87">
        <v>4</v>
      </c>
      <c r="Z87" s="3" t="str">
        <f t="shared" si="76"/>
        <v/>
      </c>
      <c r="AA87">
        <v>65</v>
      </c>
      <c r="AB87">
        <f t="shared" si="15"/>
        <v>104</v>
      </c>
      <c r="AE87">
        <v>8</v>
      </c>
      <c r="AF87">
        <v>8</v>
      </c>
      <c r="AI87" s="10">
        <v>27</v>
      </c>
      <c r="AJ87" t="str">
        <f>CONCATENATE(VLOOKUP(AK87, 'Voxel Sizes'!$A$2:$B$18,2,FALSE),"x",INT(AG87*15), "x", INT(AH87*15))</f>
        <v>82x0x0</v>
      </c>
      <c r="AK87">
        <f t="shared" si="77"/>
        <v>5</v>
      </c>
      <c r="AM87" t="str">
        <f>CONCATENATE(VLOOKUP(AK87,Constants!$A$2:$C$16,IF(AL87&lt;&gt;"", 3, 2), FALSE),IF(AL87&lt;&gt;"",CONCATENATE(",",VLOOKUP(AL87,$B:$AM,38,FALSE)),""))</f>
        <v>2,1,2</v>
      </c>
      <c r="AW87">
        <v>30</v>
      </c>
      <c r="AX87" s="15">
        <f t="shared" si="78"/>
        <v>31</v>
      </c>
      <c r="BA87">
        <f t="shared" si="79"/>
        <v>13</v>
      </c>
      <c r="BB87">
        <f t="shared" si="80"/>
        <v>0</v>
      </c>
      <c r="BC87">
        <f t="shared" si="81"/>
        <v>0</v>
      </c>
      <c r="BD87" s="3">
        <f t="shared" si="82"/>
        <v>0.91733333333333333</v>
      </c>
      <c r="BE87">
        <f t="shared" si="83"/>
        <v>4.5</v>
      </c>
      <c r="BF87">
        <f>VLOOKUP($G87,Constants!$I:$K, 2, FALSE)</f>
        <v>1</v>
      </c>
      <c r="BG87">
        <f>VLOOKUP($G87,Constants!$I:$K, 3, FALSE)*IF(AND(F87="multiple_unit",AA87&lt;110),0.75,1)</f>
        <v>0.45</v>
      </c>
      <c r="BH87">
        <f>INT(POWER(((Constants!$G$2+$BA87+$BB87+$BC87+$BE87)*$BD87)*$BG87, 1.05))+$AZ87</f>
        <v>10</v>
      </c>
      <c r="BI87">
        <f>INT(POWER((((Constants!$G$1+$BA87+$BB87+$BC87+$BE87)*($BD87))*$BF87),IF($F87="wagon",1,1.2)))+$AY87</f>
        <v>29</v>
      </c>
      <c r="BJ87" s="14">
        <f t="shared" si="84"/>
        <v>625</v>
      </c>
      <c r="BK87" s="14">
        <f t="shared" si="85"/>
        <v>79.17</v>
      </c>
      <c r="BR87">
        <v>1</v>
      </c>
      <c r="BS87">
        <v>185</v>
      </c>
      <c r="BT87" t="s">
        <v>341</v>
      </c>
      <c r="BU87" t="s">
        <v>285</v>
      </c>
      <c r="BV87" t="str">
        <f>VLOOKUP(I87,Eras!$A$2:$C$10, 2, TRUE)</f>
        <v>dsl</v>
      </c>
      <c r="BW87" t="s">
        <v>341</v>
      </c>
      <c r="BX87" t="str">
        <f t="shared" si="86"/>
        <v>dsl_Van</v>
      </c>
      <c r="BY87" t="str">
        <f t="shared" si="87"/>
        <v>wagon_RAIL</v>
      </c>
      <c r="BZ87" s="17" t="str" cm="1">
        <f t="array" ref="BZ87">_xlfn.CONCAT("{BLACK}Length: {GOLD}", TEXT(ROUNDUP(IF(AP87&lt;&gt;"",SUM(VALUE(_xlfn.TEXTSPLIT(AP87, ","))), SUM(VALUE(_xlfn.TEXTSPLIT(AM87, ",")))*IF(L87, L87, 1))/16, 1), "#,##0.0"), " tiles{}")</f>
        <v>{BLACK}Length: {GOLD}0.4 tiles{}</v>
      </c>
      <c r="CA87" t="str">
        <f>VLOOKUP($BY87, Constants!$M:$N, 2, FALSE)</f>
        <v/>
      </c>
      <c r="CB87" t="str">
        <f t="shared" si="88"/>
        <v/>
      </c>
      <c r="CC87" t="s">
        <v>741</v>
      </c>
      <c r="CD87" t="str">
        <f t="shared" si="89"/>
        <v/>
      </c>
      <c r="CE87" t="str">
        <f t="shared" si="61"/>
        <v>{BLACK}Length: {GOLD}0.4 tiles{}{SILVER}The Vanwide was BR's final development of the traditional van design, featuring wider doors for increased loading speed.</v>
      </c>
      <c r="CF87">
        <v>1</v>
      </c>
    </row>
    <row r="88" spans="1:84" x14ac:dyDescent="0.25">
      <c r="A88" t="s">
        <v>800</v>
      </c>
      <c r="B88" t="s">
        <v>210</v>
      </c>
      <c r="C88">
        <v>121</v>
      </c>
      <c r="D88">
        <v>1063</v>
      </c>
      <c r="E88" t="s">
        <v>1508</v>
      </c>
      <c r="F88" t="s">
        <v>280</v>
      </c>
      <c r="G88" t="s">
        <v>280</v>
      </c>
      <c r="H88" t="s">
        <v>274</v>
      </c>
      <c r="I88">
        <v>1969</v>
      </c>
      <c r="K88">
        <v>2010</v>
      </c>
      <c r="V88">
        <v>16</v>
      </c>
      <c r="X88">
        <v>4</v>
      </c>
      <c r="Z88" s="3" t="str">
        <f t="shared" si="76"/>
        <v/>
      </c>
      <c r="AA88">
        <v>75</v>
      </c>
      <c r="AB88">
        <f t="shared" si="15"/>
        <v>120</v>
      </c>
      <c r="AE88">
        <v>11.2</v>
      </c>
      <c r="AF88">
        <v>11.2</v>
      </c>
      <c r="AI88" s="10">
        <v>39</v>
      </c>
      <c r="AJ88" t="str">
        <f>CONCATENATE(VLOOKUP(AK88, 'Voxel Sizes'!$A$2:$B$18,2,FALSE),"x",INT(AG88*15), "x", INT(AH88*15))</f>
        <v>120x0x0</v>
      </c>
      <c r="AK88">
        <f t="shared" si="77"/>
        <v>7</v>
      </c>
      <c r="AM88" t="str">
        <f>CONCATENATE(VLOOKUP(AK88,Constants!$A$2:$C$16,IF(AL88&lt;&gt;"", 3, 2), FALSE),IF(AL88&lt;&gt;"",CONCATENATE(",",VLOOKUP(AL88,$B:$AM,38,FALSE)),""))</f>
        <v>2,3,2</v>
      </c>
      <c r="AW88">
        <v>30</v>
      </c>
      <c r="AX88" s="15">
        <f t="shared" si="78"/>
        <v>49</v>
      </c>
      <c r="BA88">
        <f t="shared" si="79"/>
        <v>15</v>
      </c>
      <c r="BB88">
        <f t="shared" si="80"/>
        <v>0</v>
      </c>
      <c r="BC88">
        <f t="shared" si="81"/>
        <v>0</v>
      </c>
      <c r="BD88" s="3">
        <f t="shared" si="82"/>
        <v>0.90800000000000003</v>
      </c>
      <c r="BE88">
        <f t="shared" si="83"/>
        <v>6.5</v>
      </c>
      <c r="BF88">
        <f>VLOOKUP($G88,Constants!$I:$K, 2, FALSE)</f>
        <v>1</v>
      </c>
      <c r="BG88">
        <f>VLOOKUP($G88,Constants!$I:$K, 3, FALSE)*IF(AND(F88="multiple_unit",AA88&lt;110),0.75,1)</f>
        <v>0.45</v>
      </c>
      <c r="BH88">
        <f>INT(POWER(((Constants!$G$2+$BA88+$BB88+$BC88+$BE88)*$BD88)*$BG88, 1.05))+$AZ88</f>
        <v>12</v>
      </c>
      <c r="BI88">
        <f>INT(POWER((((Constants!$G$1+$BA88+$BB88+$BC88+$BE88)*($BD88))*$BF88),IF($F88="wagon",1,1.2)))+$AY88</f>
        <v>33</v>
      </c>
      <c r="BJ88" s="14">
        <f t="shared" si="84"/>
        <v>750</v>
      </c>
      <c r="BK88" s="14">
        <f t="shared" si="85"/>
        <v>90.09</v>
      </c>
      <c r="BR88">
        <v>1</v>
      </c>
      <c r="BS88">
        <v>185</v>
      </c>
      <c r="BT88" t="s">
        <v>341</v>
      </c>
      <c r="BU88" t="s">
        <v>285</v>
      </c>
      <c r="BV88" t="str">
        <f>VLOOKUP(I88,Eras!$A$2:$C$10, 2, TRUE)</f>
        <v>dsl</v>
      </c>
      <c r="BW88" t="s">
        <v>341</v>
      </c>
      <c r="BX88" t="str">
        <f t="shared" si="86"/>
        <v>dsl_Van</v>
      </c>
      <c r="BY88" t="str">
        <f t="shared" si="87"/>
        <v>wagon_RAIL</v>
      </c>
      <c r="BZ88" s="17" t="str" cm="1">
        <f t="array" ref="BZ88">_xlfn.CONCAT("{BLACK}Length: {GOLD}", TEXT(ROUNDUP(IF(AP88&lt;&gt;"",SUM(VALUE(_xlfn.TEXTSPLIT(AP88, ","))), SUM(VALUE(_xlfn.TEXTSPLIT(AM88, ",")))*IF(L88, L88, 1))/16, 1), "#,##0.0"), " tiles{}")</f>
        <v>{BLACK}Length: {GOLD}0.5 tiles{}</v>
      </c>
      <c r="CA88" t="str">
        <f>VLOOKUP($BY88, Constants!$M:$N, 2, FALSE)</f>
        <v/>
      </c>
      <c r="CB88" t="str">
        <f t="shared" si="88"/>
        <v/>
      </c>
      <c r="CC88" t="s">
        <v>745</v>
      </c>
      <c r="CD88" t="str">
        <f t="shared" si="89"/>
        <v/>
      </c>
      <c r="CE88" t="str">
        <f t="shared" si="61"/>
        <v>{BLACK}Length: {GOLD}0.5 tiles{}{SILVER}The VDA was BR's first air braked general purpose van, later used for the Speedlink freight network.</v>
      </c>
      <c r="CF88">
        <v>1</v>
      </c>
    </row>
    <row r="89" spans="1:84" x14ac:dyDescent="0.25">
      <c r="A89" t="s">
        <v>742</v>
      </c>
      <c r="B89" t="s">
        <v>743</v>
      </c>
      <c r="C89">
        <v>123</v>
      </c>
      <c r="D89">
        <v>1064</v>
      </c>
      <c r="E89" t="s">
        <v>1508</v>
      </c>
      <c r="F89" t="s">
        <v>280</v>
      </c>
      <c r="G89" t="s">
        <v>280</v>
      </c>
      <c r="H89" t="s">
        <v>274</v>
      </c>
      <c r="I89">
        <v>1978</v>
      </c>
      <c r="V89">
        <v>8</v>
      </c>
      <c r="X89">
        <v>4</v>
      </c>
      <c r="Z89" s="3" t="str">
        <f t="shared" si="76"/>
        <v/>
      </c>
      <c r="AA89">
        <v>75</v>
      </c>
      <c r="AB89">
        <f t="shared" si="15"/>
        <v>120</v>
      </c>
      <c r="AE89">
        <v>8</v>
      </c>
      <c r="AF89">
        <v>8</v>
      </c>
      <c r="AI89" s="10">
        <v>27</v>
      </c>
      <c r="AJ89" t="str">
        <f>CONCATENATE(VLOOKUP(AK89, 'Voxel Sizes'!$A$2:$B$18,2,FALSE),"x",INT(AG89*15), "x", INT(AH89*15))</f>
        <v>82x0x0</v>
      </c>
      <c r="AK89">
        <f t="shared" si="77"/>
        <v>5</v>
      </c>
      <c r="AM89" t="str">
        <f>CONCATENATE(VLOOKUP(AK89,Constants!$A$2:$C$16,IF(AL89&lt;&gt;"", 3, 2), FALSE),IF(AL89&lt;&gt;"",CONCATENATE(",",VLOOKUP(AL89,$B:$AM,38,FALSE)),""))</f>
        <v>2,1,2</v>
      </c>
      <c r="AW89">
        <v>30</v>
      </c>
      <c r="AX89" s="15" t="str">
        <f t="shared" si="78"/>
        <v/>
      </c>
      <c r="BA89">
        <f t="shared" si="79"/>
        <v>15</v>
      </c>
      <c r="BB89">
        <f t="shared" si="80"/>
        <v>0</v>
      </c>
      <c r="BC89">
        <f t="shared" si="81"/>
        <v>0</v>
      </c>
      <c r="BD89" s="3">
        <f t="shared" si="82"/>
        <v>0.89600000000000002</v>
      </c>
      <c r="BE89">
        <f t="shared" si="83"/>
        <v>4.5</v>
      </c>
      <c r="BF89">
        <f>VLOOKUP($G89,Constants!$I:$K, 2, FALSE)</f>
        <v>1</v>
      </c>
      <c r="BG89">
        <f>VLOOKUP($G89,Constants!$I:$K, 3, FALSE)*IF(AND(F89="multiple_unit",AA89&lt;110),0.75,1)</f>
        <v>0.45</v>
      </c>
      <c r="BH89">
        <f>INT(POWER(((Constants!$G$2+$BA89+$BB89+$BC89+$BE89)*$BD89)*$BG89, 1.05))+$AZ89</f>
        <v>11</v>
      </c>
      <c r="BI89">
        <f>INT(POWER((((Constants!$G$1+$BA89+$BB89+$BC89+$BE89)*($BD89))*$BF89),IF($F89="wagon",1,1.2)))+$AY89</f>
        <v>30</v>
      </c>
      <c r="BJ89" s="14">
        <f t="shared" si="84"/>
        <v>687.5</v>
      </c>
      <c r="BK89" s="14">
        <f t="shared" si="85"/>
        <v>81.900000000000006</v>
      </c>
      <c r="BR89">
        <v>1</v>
      </c>
      <c r="BS89">
        <v>185</v>
      </c>
      <c r="BT89" t="s">
        <v>341</v>
      </c>
      <c r="BU89" t="s">
        <v>285</v>
      </c>
      <c r="BV89" t="str">
        <f>VLOOKUP(I89,Eras!$A$2:$C$10, 2, TRUE)</f>
        <v>lbr</v>
      </c>
      <c r="BW89" t="s">
        <v>341</v>
      </c>
      <c r="BX89" t="str">
        <f t="shared" si="86"/>
        <v>lbr_Van</v>
      </c>
      <c r="BY89" t="str">
        <f t="shared" si="87"/>
        <v>wagon_RAIL</v>
      </c>
      <c r="BZ89" s="17" t="str" cm="1">
        <f t="array" ref="BZ89">_xlfn.CONCAT("{BLACK}Length: {GOLD}", TEXT(ROUNDUP(IF(AP89&lt;&gt;"",SUM(VALUE(_xlfn.TEXTSPLIT(AP89, ","))), SUM(VALUE(_xlfn.TEXTSPLIT(AM89, ",")))*IF(L89, L89, 1))/16, 1), "#,##0.0"), " tiles{}")</f>
        <v>{BLACK}Length: {GOLD}0.4 tiles{}</v>
      </c>
      <c r="CA89" t="str">
        <f>VLOOKUP($BY89, Constants!$M:$N, 2, FALSE)</f>
        <v/>
      </c>
      <c r="CB89" t="str">
        <f t="shared" si="88"/>
        <v/>
      </c>
      <c r="CC89" t="s">
        <v>744</v>
      </c>
      <c r="CD89" t="str">
        <f t="shared" si="89"/>
        <v/>
      </c>
      <c r="CE89" t="str">
        <f t="shared" si="61"/>
        <v>{BLACK}Length: {GOLD}0.4 tiles{}{SILVER}VEA vans were refurbished vans fitted with improved suspension and air brakes, allowing higher speed operation while still being suitable for narrow radius curves in small yards.</v>
      </c>
      <c r="CF89">
        <v>1</v>
      </c>
    </row>
    <row r="90" spans="1:84" x14ac:dyDescent="0.25">
      <c r="A90" t="s">
        <v>801</v>
      </c>
      <c r="B90" t="s">
        <v>746</v>
      </c>
      <c r="C90">
        <v>125</v>
      </c>
      <c r="D90">
        <v>1065</v>
      </c>
      <c r="E90" t="s">
        <v>1508</v>
      </c>
      <c r="F90" t="s">
        <v>280</v>
      </c>
      <c r="G90" t="s">
        <v>280</v>
      </c>
      <c r="H90" t="s">
        <v>274</v>
      </c>
      <c r="I90">
        <v>1982</v>
      </c>
      <c r="V90">
        <v>21</v>
      </c>
      <c r="X90">
        <v>6</v>
      </c>
      <c r="Z90" s="3" t="str">
        <f t="shared" si="76"/>
        <v/>
      </c>
      <c r="AA90">
        <v>85</v>
      </c>
      <c r="AB90">
        <f t="shared" si="15"/>
        <v>136</v>
      </c>
      <c r="AE90">
        <v>12.8</v>
      </c>
      <c r="AF90">
        <v>12.8</v>
      </c>
      <c r="AI90" s="10">
        <v>45</v>
      </c>
      <c r="AJ90" t="str">
        <f>CONCATENATE(VLOOKUP(AK90, 'Voxel Sizes'!$A$2:$B$18,2,FALSE),"x",INT(AG90*15), "x", INT(AH90*15))</f>
        <v>136x0x0</v>
      </c>
      <c r="AK90">
        <f t="shared" si="77"/>
        <v>8</v>
      </c>
      <c r="AM90" t="str">
        <f>CONCATENATE(VLOOKUP(AK90,Constants!$A$2:$C$16,IF(AL90&lt;&gt;"", 3, 2), FALSE),IF(AL90&lt;&gt;"",CONCATENATE(",",VLOOKUP(AL90,$B:$AM,38,FALSE)),""))</f>
        <v>2,4,2</v>
      </c>
      <c r="AW90">
        <v>30</v>
      </c>
      <c r="AX90" s="15" t="str">
        <f t="shared" si="78"/>
        <v/>
      </c>
      <c r="BA90">
        <f t="shared" si="79"/>
        <v>17</v>
      </c>
      <c r="BB90">
        <f t="shared" si="80"/>
        <v>0</v>
      </c>
      <c r="BC90">
        <f t="shared" si="81"/>
        <v>0</v>
      </c>
      <c r="BD90" s="3">
        <f t="shared" si="82"/>
        <v>0.89066666666666672</v>
      </c>
      <c r="BE90">
        <f t="shared" si="83"/>
        <v>7.5</v>
      </c>
      <c r="BF90">
        <f>VLOOKUP($G90,Constants!$I:$K, 2, FALSE)</f>
        <v>1</v>
      </c>
      <c r="BG90">
        <f>VLOOKUP($G90,Constants!$I:$K, 3, FALSE)*IF(AND(F90="multiple_unit",AA90&lt;110),0.75,1)</f>
        <v>0.45</v>
      </c>
      <c r="BH90">
        <f>INT(POWER(((Constants!$G$2+$BA90+$BB90+$BC90+$BE90)*$BD90)*$BG90, 1.05))+$AZ90</f>
        <v>13</v>
      </c>
      <c r="BI90">
        <f>INT(POWER((((Constants!$G$1+$BA90+$BB90+$BC90+$BE90)*($BD90))*$BF90),IF($F90="wagon",1,1.2)))+$AY90</f>
        <v>35</v>
      </c>
      <c r="BJ90" s="14">
        <f t="shared" si="84"/>
        <v>812.5</v>
      </c>
      <c r="BK90" s="14">
        <f t="shared" si="85"/>
        <v>95.55</v>
      </c>
      <c r="BR90">
        <v>1</v>
      </c>
      <c r="BS90">
        <v>185</v>
      </c>
      <c r="BT90" t="s">
        <v>341</v>
      </c>
      <c r="BU90" t="s">
        <v>285</v>
      </c>
      <c r="BV90" t="str">
        <f>VLOOKUP(I90,Eras!$A$2:$C$10, 2, TRUE)</f>
        <v>lbr</v>
      </c>
      <c r="BW90" t="s">
        <v>341</v>
      </c>
      <c r="BX90" t="str">
        <f t="shared" si="86"/>
        <v>lbr_Van</v>
      </c>
      <c r="BY90" t="str">
        <f t="shared" si="87"/>
        <v>wagon_RAIL</v>
      </c>
      <c r="BZ90" s="17" t="str" cm="1">
        <f t="array" ref="BZ90">_xlfn.CONCAT("{BLACK}Length: {GOLD}", TEXT(ROUNDUP(IF(AP90&lt;&gt;"",SUM(VALUE(_xlfn.TEXTSPLIT(AP90, ","))), SUM(VALUE(_xlfn.TEXTSPLIT(AM90, ",")))*IF(L90, L90, 1))/16, 1), "#,##0.0"), " tiles{}")</f>
        <v>{BLACK}Length: {GOLD}0.5 tiles{}</v>
      </c>
      <c r="CA90" t="str">
        <f>VLOOKUP($BY90, Constants!$M:$N, 2, FALSE)</f>
        <v/>
      </c>
      <c r="CB90" t="str">
        <f t="shared" si="88"/>
        <v/>
      </c>
      <c r="CC90" t="s">
        <v>747</v>
      </c>
      <c r="CD90" t="str">
        <f t="shared" si="89"/>
        <v/>
      </c>
      <c r="CE90" t="str">
        <f t="shared" si="61"/>
        <v>{BLACK}Length: {GOLD}0.5 tiles{}{SILVER}VGA vans followed continental practice with doors extending into the roof panel, providing a larger vertical opening.</v>
      </c>
      <c r="CF90">
        <v>1</v>
      </c>
    </row>
    <row r="91" spans="1:84" x14ac:dyDescent="0.25">
      <c r="A91" t="s">
        <v>808</v>
      </c>
      <c r="B91" t="s">
        <v>807</v>
      </c>
      <c r="C91">
        <v>131</v>
      </c>
      <c r="D91">
        <v>1066</v>
      </c>
      <c r="E91" t="s">
        <v>1508</v>
      </c>
      <c r="F91" t="s">
        <v>280</v>
      </c>
      <c r="G91" t="s">
        <v>280</v>
      </c>
      <c r="H91" t="s">
        <v>274</v>
      </c>
      <c r="I91">
        <v>1913</v>
      </c>
      <c r="J91">
        <v>1955</v>
      </c>
      <c r="K91">
        <v>1965</v>
      </c>
      <c r="V91">
        <v>20</v>
      </c>
      <c r="X91">
        <v>4</v>
      </c>
      <c r="Z91" s="3" t="str">
        <f t="shared" si="76"/>
        <v/>
      </c>
      <c r="AA91">
        <v>70</v>
      </c>
      <c r="AB91">
        <f t="shared" si="15"/>
        <v>112</v>
      </c>
      <c r="AE91">
        <v>15</v>
      </c>
      <c r="AF91">
        <v>15</v>
      </c>
      <c r="AI91" s="10">
        <v>60</v>
      </c>
      <c r="AJ91" t="str">
        <f>CONCATENATE(VLOOKUP(AK91, 'Voxel Sizes'!$A$2:$B$18,2,FALSE),"x",INT(AG91*15), "x", INT(AH91*15))</f>
        <v>152x0x0</v>
      </c>
      <c r="AK91">
        <f t="shared" si="77"/>
        <v>9</v>
      </c>
      <c r="AM91" t="str">
        <f>CONCATENATE(VLOOKUP(AK91,Constants!$A$2:$C$16,IF(AL91&lt;&gt;"", 3, 2), FALSE),IF(AL91&lt;&gt;"",CONCATENATE(",",VLOOKUP(AL91,$B:$AM,38,FALSE)),""))</f>
        <v>2,5,2</v>
      </c>
      <c r="AW91">
        <v>30</v>
      </c>
      <c r="AX91" s="15">
        <f t="shared" si="78"/>
        <v>60</v>
      </c>
      <c r="AY91">
        <v>25</v>
      </c>
      <c r="AZ91">
        <v>8</v>
      </c>
      <c r="BA91">
        <f t="shared" si="79"/>
        <v>14</v>
      </c>
      <c r="BB91">
        <f t="shared" si="80"/>
        <v>0</v>
      </c>
      <c r="BC91">
        <f t="shared" si="81"/>
        <v>0</v>
      </c>
      <c r="BD91" s="3">
        <f t="shared" si="82"/>
        <v>0.98266666666666669</v>
      </c>
      <c r="BE91">
        <f t="shared" si="83"/>
        <v>10</v>
      </c>
      <c r="BF91">
        <f>VLOOKUP($G91,Constants!$I:$K, 2, FALSE)</f>
        <v>1</v>
      </c>
      <c r="BG91">
        <f>VLOOKUP($G91,Constants!$I:$K, 3, FALSE)*IF(AND(F91="multiple_unit",AA91&lt;110),0.75,1)</f>
        <v>0.45</v>
      </c>
      <c r="BH91">
        <f>INT(POWER(((Constants!$G$2+$BA91+$BB91+$BC91+$BE91)*$BD91)*$BG91, 1.05))+$AZ91</f>
        <v>22</v>
      </c>
      <c r="BI91">
        <f>INT(POWER((((Constants!$G$1+$BA91+$BB91+$BC91+$BE91)*($BD91))*$BF91),IF($F91="wagon",1,1.2)))+$AY91</f>
        <v>63</v>
      </c>
      <c r="BJ91" s="14">
        <f t="shared" si="84"/>
        <v>1375</v>
      </c>
      <c r="BK91" s="14">
        <f t="shared" si="85"/>
        <v>171.99</v>
      </c>
      <c r="BR91">
        <v>1</v>
      </c>
      <c r="BS91">
        <v>185</v>
      </c>
      <c r="BT91" t="s">
        <v>1046</v>
      </c>
      <c r="BU91" t="s">
        <v>651</v>
      </c>
      <c r="BV91" t="str">
        <f>VLOOKUP(I91,Eras!$A$2:$C$10, 2, TRUE)</f>
        <v>edw</v>
      </c>
      <c r="BW91" t="s">
        <v>335</v>
      </c>
      <c r="BX91" t="str">
        <f t="shared" si="86"/>
        <v>edw_Mail Carriage</v>
      </c>
      <c r="BY91" t="str">
        <f t="shared" si="87"/>
        <v>wagon_RAIL</v>
      </c>
      <c r="BZ91" s="17" t="str" cm="1">
        <f t="array" ref="BZ91">_xlfn.CONCAT("{BLACK}Length: {GOLD}", TEXT(ROUNDUP(IF(AP91&lt;&gt;"",SUM(VALUE(_xlfn.TEXTSPLIT(AP91, ","))), SUM(VALUE(_xlfn.TEXTSPLIT(AM91, ",")))*IF(L91, L91, 1))/16, 1), "#,##0.0"), " tiles{}")</f>
        <v>{BLACK}Length: {GOLD}0.6 tiles{}</v>
      </c>
      <c r="CA91" t="str">
        <f>VLOOKUP($BY91, Constants!$M:$N, 2, FALSE)</f>
        <v/>
      </c>
      <c r="CB91" t="str">
        <f t="shared" si="88"/>
        <v/>
      </c>
      <c r="CC91" t="s">
        <v>809</v>
      </c>
      <c r="CD91" t="str">
        <f t="shared" si="89"/>
        <v/>
      </c>
      <c r="CE91" t="str">
        <f t="shared" si="61"/>
        <v>{BLACK}Length: {GOLD}0.6 tiles{}{SILVER}GWR's "Siphon" vans were built to carry loads of milk churns at passenger train speeds. They were also used for parcel and newspaper traffic, the basic design being built well into the BR era.</v>
      </c>
    </row>
    <row r="92" spans="1:84" x14ac:dyDescent="0.25">
      <c r="A92" t="s">
        <v>786</v>
      </c>
      <c r="B92" t="s">
        <v>788</v>
      </c>
      <c r="C92">
        <v>133</v>
      </c>
      <c r="D92">
        <v>1067</v>
      </c>
      <c r="E92" t="s">
        <v>1508</v>
      </c>
      <c r="F92" t="s">
        <v>280</v>
      </c>
      <c r="G92" t="s">
        <v>280</v>
      </c>
      <c r="H92" t="s">
        <v>274</v>
      </c>
      <c r="I92">
        <v>1950</v>
      </c>
      <c r="K92">
        <v>1975</v>
      </c>
      <c r="V92">
        <v>18</v>
      </c>
      <c r="X92">
        <v>4</v>
      </c>
      <c r="Z92" s="3" t="str">
        <f t="shared" si="76"/>
        <v/>
      </c>
      <c r="AA92">
        <v>80</v>
      </c>
      <c r="AB92">
        <f t="shared" si="15"/>
        <v>128</v>
      </c>
      <c r="AE92">
        <v>11.2</v>
      </c>
      <c r="AF92">
        <v>11.2</v>
      </c>
      <c r="AI92" s="10">
        <v>45</v>
      </c>
      <c r="AJ92" t="str">
        <f>CONCATENATE(VLOOKUP(AK92, 'Voxel Sizes'!$A$2:$B$18,2,FALSE),"x",INT(AG92*15), "x", INT(AH92*15))</f>
        <v>120x0x0</v>
      </c>
      <c r="AK92">
        <f t="shared" si="77"/>
        <v>7</v>
      </c>
      <c r="AM92" t="str">
        <f>CONCATENATE(VLOOKUP(AK92,Constants!$A$2:$C$16,IF(AL92&lt;&gt;"", 3, 2), FALSE),IF(AL92&lt;&gt;"",CONCATENATE(",",VLOOKUP(AL92,$B:$AM,38,FALSE)),""))</f>
        <v>2,3,2</v>
      </c>
      <c r="AW92">
        <v>30</v>
      </c>
      <c r="AX92" s="15">
        <f t="shared" si="78"/>
        <v>33</v>
      </c>
      <c r="AY92">
        <v>25</v>
      </c>
      <c r="AZ92">
        <v>9</v>
      </c>
      <c r="BA92">
        <f t="shared" si="79"/>
        <v>16</v>
      </c>
      <c r="BB92">
        <f t="shared" si="80"/>
        <v>0</v>
      </c>
      <c r="BC92">
        <f t="shared" si="81"/>
        <v>0</v>
      </c>
      <c r="BD92" s="3">
        <f t="shared" si="82"/>
        <v>0.93333333333333335</v>
      </c>
      <c r="BE92">
        <f t="shared" si="83"/>
        <v>7.5</v>
      </c>
      <c r="BF92">
        <f>VLOOKUP($G92,Constants!$I:$K, 2, FALSE)</f>
        <v>1</v>
      </c>
      <c r="BG92">
        <f>VLOOKUP($G92,Constants!$I:$K, 3, FALSE)*IF(AND(F92="multiple_unit",AA92&lt;110),0.75,1)</f>
        <v>0.45</v>
      </c>
      <c r="BH92">
        <f>INT(POWER(((Constants!$G$2+$BA92+$BB92+$BC92+$BE92)*$BD92)*$BG92, 1.05))+$AZ92</f>
        <v>22</v>
      </c>
      <c r="BI92">
        <f>INT(POWER((((Constants!$G$1+$BA92+$BB92+$BC92+$BE92)*($BD92))*$BF92),IF($F92="wagon",1,1.2)))+$AY92</f>
        <v>60</v>
      </c>
      <c r="BJ92" s="14">
        <f t="shared" si="84"/>
        <v>1375</v>
      </c>
      <c r="BK92" s="14">
        <f t="shared" si="85"/>
        <v>163.80000000000001</v>
      </c>
      <c r="BR92">
        <v>1</v>
      </c>
      <c r="BS92">
        <v>185</v>
      </c>
      <c r="BT92" t="s">
        <v>1044</v>
      </c>
      <c r="BU92" t="s">
        <v>651</v>
      </c>
      <c r="BV92" t="str">
        <f>VLOOKUP(I92,Eras!$A$2:$C$10, 2, TRUE)</f>
        <v>ebr</v>
      </c>
      <c r="BW92" t="s">
        <v>335</v>
      </c>
      <c r="BX92" t="str">
        <f t="shared" si="86"/>
        <v>ebr_Mail Carriage</v>
      </c>
      <c r="BY92" t="str">
        <f t="shared" si="87"/>
        <v>wagon_RAIL</v>
      </c>
      <c r="BZ92" s="17" t="str" cm="1">
        <f t="array" ref="BZ92">_xlfn.CONCAT("{BLACK}Length: {GOLD}", TEXT(ROUNDUP(IF(AP92&lt;&gt;"",SUM(VALUE(_xlfn.TEXTSPLIT(AP92, ","))), SUM(VALUE(_xlfn.TEXTSPLIT(AM92, ",")))*IF(L92, L92, 1))/16, 1), "#,##0.0"), " tiles{}")</f>
        <v>{BLACK}Length: {GOLD}0.5 tiles{}</v>
      </c>
      <c r="CA92" t="str">
        <f>VLOOKUP($BY92, Constants!$M:$N, 2, FALSE)</f>
        <v/>
      </c>
      <c r="CB92" t="str">
        <f t="shared" si="88"/>
        <v/>
      </c>
      <c r="CC92" t="s">
        <v>811</v>
      </c>
      <c r="CD92" t="str">
        <f t="shared" si="89"/>
        <v/>
      </c>
      <c r="CE92" t="str">
        <f t="shared" si="61"/>
        <v>{BLACK}Length: {GOLD}0.5 tiles{}{SILVER}BR built several of these six-wheeled parcels vans in the early 1950s.</v>
      </c>
    </row>
    <row r="93" spans="1:84" x14ac:dyDescent="0.25">
      <c r="A93" t="s">
        <v>1352</v>
      </c>
      <c r="B93" t="s">
        <v>1353</v>
      </c>
      <c r="C93">
        <v>600</v>
      </c>
      <c r="D93">
        <v>1068</v>
      </c>
      <c r="E93" t="s">
        <v>1508</v>
      </c>
      <c r="F93" t="s">
        <v>280</v>
      </c>
      <c r="G93" t="s">
        <v>1107</v>
      </c>
      <c r="H93" t="s">
        <v>1380</v>
      </c>
      <c r="I93">
        <v>1700</v>
      </c>
      <c r="K93">
        <v>1860</v>
      </c>
      <c r="V93">
        <v>5</v>
      </c>
      <c r="Z93" s="3" t="str">
        <f>IF(AND(V93&gt;0,Y93&gt;0),(Y93/((V93+W93)*10)),"")</f>
        <v/>
      </c>
      <c r="AA93">
        <v>39</v>
      </c>
      <c r="AB93">
        <f>ROUND(AA93*1.6, 0)</f>
        <v>62</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168</v>
      </c>
      <c r="BA93">
        <f>MIN(AA93/150, 1)*30</f>
        <v>7.8000000000000007</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5</v>
      </c>
      <c r="BI93">
        <f>INT(POWER((((Constants!$G$1+$BA93+$BB93+$BC93+$BE93)*($BD93))*$BF93),IF($F93="wagon",1,1.2)))+$AY93</f>
        <v>22</v>
      </c>
      <c r="BJ93" s="14">
        <f>BH93*IF($F93="wagon",62.5,781.25)</f>
        <v>312.5</v>
      </c>
      <c r="BK93" s="14">
        <f>BI93*IF($F93="wagon",2.73,81.25)</f>
        <v>60.06</v>
      </c>
      <c r="BR93">
        <v>7</v>
      </c>
      <c r="BT93" t="s">
        <v>1045</v>
      </c>
      <c r="BU93" t="s">
        <v>696</v>
      </c>
      <c r="BV93" t="str">
        <f>VLOOKUP(I93,Eras!$A$2:$C$10, 2, TRUE)</f>
        <v>early</v>
      </c>
      <c r="BW93" t="s">
        <v>694</v>
      </c>
      <c r="BX93" t="str">
        <f>CONCATENATE(BV93,"_",BW93)</f>
        <v>early_Extra</v>
      </c>
      <c r="BY93" t="str">
        <f>_xlfn.CONCAT(G93, "_",H93)</f>
        <v>brake_PLATEWAY</v>
      </c>
      <c r="BZ93" s="17" t="str" cm="1">
        <f t="array" ref="BZ93">_xlfn.CONCAT("{BLACK}Length: {GOLD}", TEXT(ROUNDUP(IF(AP93&lt;&gt;"",SUM(VALUE(_xlfn.TEXTSPLIT(AP93, ","))), SUM(VALUE(_xlfn.TEXTSPLIT(AM93, ",")))*IF(L93, L93, 1))/16, 1), "#,##0.0"), " tiles{}")</f>
        <v>{BLACK}Length: {GOLD}0.3 tiles{}</v>
      </c>
      <c r="CA93" t="str">
        <f>VLOOKUP($BY93, Constants!$M:$N, 2, FALSE)</f>
        <v/>
      </c>
      <c r="CB93" t="str">
        <f>IF(L93&gt;1,_xlfn.CONCAT("{BLACK}Cars: {GOLD}", L93),"")</f>
        <v/>
      </c>
      <c r="CC93" t="s">
        <v>1354</v>
      </c>
      <c r="CD93" t="str">
        <f>IF(BU93="BRAKE","{YELLOW}Speed bonus for slow wagons{}",IF(BS93&gt;190,CONCATENATE("{YELLOW}",INT((BS93-185)/1.85),"% Bonus for long distance travel{}"),IF(AND(BS93&lt;180,BS93&lt;&gt;0),CONCATENATE("{YELLOW}",INT((185-BS93)/1.85),"% Penalty for long distance travel{}"),"")))</f>
        <v>{YELLOW}Speed bonus for slow wagons{}</v>
      </c>
      <c r="CE93" t="str">
        <f t="shared" si="61"/>
        <v>{BLACK}Length: {GOLD}0.3 tiles{}{YELLOW}Speed bonus for slow wagons{}{SILVER}Early brake wagons were little more than open wagons with basic friction brakes added.</v>
      </c>
    </row>
    <row r="94" spans="1:84" x14ac:dyDescent="0.25">
      <c r="A94" t="s">
        <v>118</v>
      </c>
      <c r="B94" t="s">
        <v>1509</v>
      </c>
      <c r="C94">
        <v>601</v>
      </c>
      <c r="D94">
        <v>1069</v>
      </c>
      <c r="E94" t="s">
        <v>1508</v>
      </c>
      <c r="F94" t="s">
        <v>280</v>
      </c>
      <c r="G94" t="s">
        <v>1107</v>
      </c>
      <c r="H94" t="s">
        <v>274</v>
      </c>
      <c r="I94">
        <v>1850</v>
      </c>
      <c r="K94">
        <v>1910</v>
      </c>
      <c r="V94">
        <v>10</v>
      </c>
      <c r="Z94" s="3" t="str">
        <f>IF(AND(V94&gt;0,Y94&gt;0),(Y94/((V94+W94)*10)),"")</f>
        <v/>
      </c>
      <c r="AA94">
        <v>50</v>
      </c>
      <c r="AB94">
        <f>ROUND(AA94*1.6, 0)</f>
        <v>80</v>
      </c>
      <c r="AE94">
        <v>6</v>
      </c>
      <c r="AF94">
        <v>6</v>
      </c>
      <c r="AI94" s="10">
        <v>0</v>
      </c>
      <c r="AJ94" t="str">
        <f>CONCATENATE(VLOOKUP(AK94, 'Voxel Sizes'!$A$2:$B$18,2,FALSE),"x",INT(AG94*15), "x", INT(AH94*15))</f>
        <v>60x0x0</v>
      </c>
      <c r="AK94">
        <f>ROUND(15*((AF94*10)/256),0)</f>
        <v>4</v>
      </c>
      <c r="AM94" t="str">
        <f>CONCATENATE(VLOOKUP(AK94,Constants!$A$2:$C$16,IF(AL94&lt;&gt;"", 3, 2), FALSE),IF(AL94&lt;&gt;"",CONCATENATE(",",VLOOKUP(AL94,$B:$AM,38,FALSE)),""))</f>
        <v>1,2,1</v>
      </c>
      <c r="AW94">
        <v>30</v>
      </c>
      <c r="AX94" s="15">
        <f>IF(K94&lt;&gt;"",MAX(16,(K94-I94)+8),"")</f>
        <v>68</v>
      </c>
      <c r="BA94">
        <f>MIN(AA94/150, 1)*30</f>
        <v>10</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6</v>
      </c>
      <c r="BI94">
        <f>INT(POWER((((Constants!$G$1+$BA94+$BB94+$BC94+$BE94)*($BD94))*$BF94),IF($F94="wagon",1,1.2)))+$AY94</f>
        <v>25</v>
      </c>
      <c r="BJ94" s="14">
        <f>BH94*IF($F94="wagon",62.5,781.25)</f>
        <v>375</v>
      </c>
      <c r="BK94" s="14">
        <f>BI94*IF($F94="wagon",2.73,81.25)</f>
        <v>68.25</v>
      </c>
      <c r="BR94">
        <v>7</v>
      </c>
      <c r="BT94" t="s">
        <v>1045</v>
      </c>
      <c r="BU94" t="s">
        <v>696</v>
      </c>
      <c r="BV94" t="str">
        <f>VLOOKUP(I94,Eras!$A$2:$C$10, 2, TRUE)</f>
        <v>vct</v>
      </c>
      <c r="BW94" t="s">
        <v>694</v>
      </c>
      <c r="BX94" t="str">
        <f>CONCATENATE(BV94,"_",BW94)</f>
        <v>vct_Extra</v>
      </c>
      <c r="BY94" t="str">
        <f>_xlfn.CONCAT(G94, "_",H94)</f>
        <v>brake_RAIL</v>
      </c>
      <c r="BZ94" s="17" t="str" cm="1">
        <f t="array" ref="BZ94">_xlfn.CONCAT("{BLACK}Length: {GOLD}", TEXT(ROUNDUP(IF(AP94&lt;&gt;"",SUM(VALUE(_xlfn.TEXTSPLIT(AP94, ","))), SUM(VALUE(_xlfn.TEXTSPLIT(AM94, ",")))*IF(L94, L94, 1))/16, 1), "#,##0.0"), " tiles{}")</f>
        <v>{BLACK}Length: {GOLD}0.3 tiles{}</v>
      </c>
      <c r="CA94" t="str">
        <f>VLOOKUP($BY94, Constants!$M:$N, 2, FALSE)</f>
        <v/>
      </c>
      <c r="CB94" t="str">
        <f>IF(L94&gt;1,_xlfn.CONCAT("{BLACK}Cars: {GOLD}", L94),"")</f>
        <v/>
      </c>
      <c r="CC94" t="s">
        <v>1334</v>
      </c>
      <c r="CD94" t="str">
        <f>IF(BU94="BRAKE","{YELLOW}Speed bonus for slow wagons{}",IF(BS94&gt;190,CONCATENATE("{YELLOW}",INT((BS94-185)/1.85),"% Bonus for long distance travel{}"),IF(AND(BS94&lt;180,BS94&lt;&gt;0),CONCATENATE("{YELLOW}",INT((185-BS94)/1.85),"% Penalty for long distance travel{}"),"")))</f>
        <v>{YELLOW}Speed bonus for slow wagons{}</v>
      </c>
      <c r="CE94" t="str">
        <f t="shared" si="61"/>
        <v>{BLACK}Length: {GOLD}0.3 tiles{}{YELLOW}Speed bonus for slow wagons{}{SILVER}Brake vans gave extra braking power to allow trains to run at higher speed, and also gave a place for a guard to look after the train from the rear.</v>
      </c>
    </row>
    <row r="95" spans="1:84" x14ac:dyDescent="0.25">
      <c r="A95" t="s">
        <v>116</v>
      </c>
      <c r="B95" t="s">
        <v>204</v>
      </c>
      <c r="C95">
        <v>602</v>
      </c>
      <c r="D95">
        <v>1070</v>
      </c>
      <c r="E95" t="s">
        <v>1508</v>
      </c>
      <c r="F95" t="s">
        <v>280</v>
      </c>
      <c r="G95" t="s">
        <v>1107</v>
      </c>
      <c r="H95" t="s">
        <v>274</v>
      </c>
      <c r="I95">
        <v>1894</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84</v>
      </c>
      <c r="BA95">
        <f>MIN(AA95/150, 1)*30</f>
        <v>14</v>
      </c>
      <c r="BB95">
        <f>MIN(M95/4000, 1)*20</f>
        <v>0</v>
      </c>
      <c r="BC95">
        <f>MIN(Y95/400,1)*20</f>
        <v>0</v>
      </c>
      <c r="BD95" s="3">
        <f>1-(MAX(I95-1900, 0)/750)</f>
        <v>1</v>
      </c>
      <c r="BE95">
        <f>((MAX($L95,1)*MIN($AI95/300,1)))*IF(F95="Wagon",50,10)</f>
        <v>0</v>
      </c>
      <c r="BF95">
        <f>VLOOKUP($G95,Constants!$I:$K, 2, FALSE)</f>
        <v>1</v>
      </c>
      <c r="BG95">
        <f>VLOOKUP($G95,Constants!$I:$K, 3, FALSE)*IF(AND(F95="multiple_unit",AA95&lt;110),0.75,1)</f>
        <v>0.4</v>
      </c>
      <c r="BH95">
        <f>INT(POWER(((Constants!$G$2+$BA95+$BB95+$BC95+$BE95)*$BD95)*$BG95, 1.05))+$AZ95</f>
        <v>8</v>
      </c>
      <c r="BI95">
        <f>INT(POWER((((Constants!$G$1+$BA95+$BB95+$BC95+$BE95)*($BD95))*$BF95),IF($F95="wagon",1,1.2)))+$AY95</f>
        <v>29</v>
      </c>
      <c r="BJ95" s="14">
        <f>BH95*IF($F95="wagon",62.5,781.25)</f>
        <v>500</v>
      </c>
      <c r="BK95" s="14">
        <f>BI95*IF($F95="wagon",2.73,81.25)</f>
        <v>79.17</v>
      </c>
      <c r="BR95">
        <v>7</v>
      </c>
      <c r="BT95" t="s">
        <v>1045</v>
      </c>
      <c r="BU95" t="s">
        <v>696</v>
      </c>
      <c r="BV95" t="str">
        <f>VLOOKUP(I95,Eras!$A$2:$C$10, 2, TRUE)</f>
        <v>vct</v>
      </c>
      <c r="BW95" t="s">
        <v>694</v>
      </c>
      <c r="BX95" t="str">
        <f>CONCATENATE(BV95,"_",BW95)</f>
        <v>vct_Extra</v>
      </c>
      <c r="BY95" t="str">
        <f>_xlfn.CONCAT(G95, "_",H95)</f>
        <v>brake_RAIL</v>
      </c>
      <c r="BZ95" s="17" t="str" cm="1">
        <f t="array" ref="BZ95">_xlfn.CONCAT("{BLACK}Length: {GOLD}", TEXT(ROUNDUP(IF(AP95&lt;&gt;"",SUM(VALUE(_xlfn.TEXTSPLIT(AP95, ","))), SUM(VALUE(_xlfn.TEXTSPLIT(AM95, ",")))*IF(L95, L95, 1))/16, 1), "#,##0.0"), " tiles{}")</f>
        <v>{BLACK}Length: {GOLD}0.4 tiles{}</v>
      </c>
      <c r="CA95" t="str">
        <f>VLOOKUP($BY95, Constants!$M:$N, 2, FALSE)</f>
        <v/>
      </c>
      <c r="CB95" t="str">
        <f>IF(L95&gt;1,_xlfn.CONCAT("{BLACK}Cars: {GOLD}", L95),"")</f>
        <v/>
      </c>
      <c r="CC95" t="s">
        <v>695</v>
      </c>
      <c r="CD95" t="str">
        <f>IF(BU95="BRAKE","{YELLOW}Speed bonus for slow wagons{}",IF(BS95&gt;190,CONCATENATE("{YELLOW}",INT((BS95-185)/1.85),"% Bonus for long distance travel{}"),IF(AND(BS95&lt;180,BS95&lt;&gt;0),CONCATENATE("{YELLOW}",INT((185-BS95)/1.85),"% Penalty for long distance travel{}"),"")))</f>
        <v>{YELLOW}Speed bonus for slow wagons{}</v>
      </c>
      <c r="CE95" t="str">
        <f t="shared" si="61"/>
        <v>{BLACK}Length: {GOLD}0.4 tiles{}{YELLOW}Speed bonus for slow wagons{}{SILVER}The Great Western Railway standardised brake van designs from 1894. The distinctive design includes an open "veranda" at the back of the vehicle.</v>
      </c>
    </row>
    <row r="96" spans="1:84" x14ac:dyDescent="0.25">
      <c r="A96" t="s">
        <v>117</v>
      </c>
      <c r="B96" t="s">
        <v>205</v>
      </c>
      <c r="C96">
        <v>604</v>
      </c>
      <c r="D96">
        <v>1071</v>
      </c>
      <c r="E96" t="s">
        <v>1508</v>
      </c>
      <c r="F96" t="s">
        <v>280</v>
      </c>
      <c r="G96" t="s">
        <v>1107</v>
      </c>
      <c r="H96" t="s">
        <v>274</v>
      </c>
      <c r="I96">
        <v>1941</v>
      </c>
      <c r="K96">
        <v>1970</v>
      </c>
      <c r="V96">
        <v>20</v>
      </c>
      <c r="Z96" s="3" t="str">
        <f>IF(AND(V96&gt;0,Y96&gt;0),(Y96/((V96+W96)*10)),"")</f>
        <v/>
      </c>
      <c r="AA96">
        <v>70</v>
      </c>
      <c r="AB96">
        <f>ROUND(AA96*1.6, 0)</f>
        <v>112</v>
      </c>
      <c r="AE96">
        <v>7.3</v>
      </c>
      <c r="AF96">
        <v>11</v>
      </c>
      <c r="AI96" s="10">
        <v>0</v>
      </c>
      <c r="AJ96" t="str">
        <f>CONCATENATE(VLOOKUP(AK96, 'Voxel Sizes'!$A$2:$B$18,2,FALSE),"x",INT(AG96*15), "x", INT(AH96*15))</f>
        <v>102x0x0</v>
      </c>
      <c r="AK96">
        <f>ROUND(15*((AF96*10)/256),0)</f>
        <v>6</v>
      </c>
      <c r="AM96" t="str">
        <f>CONCATENATE(VLOOKUP(AK96,Constants!$A$2:$C$16,IF(AL96&lt;&gt;"", 3, 2), FALSE),IF(AL96&lt;&gt;"",CONCATENATE(",",VLOOKUP(AL96,$B:$AM,38,FALSE)),""))</f>
        <v>2,2,2</v>
      </c>
      <c r="AW96">
        <v>30</v>
      </c>
      <c r="AX96" s="15">
        <f>IF(K96&lt;&gt;"",MAX(16,(K96-I96)+8),"")</f>
        <v>37</v>
      </c>
      <c r="BA96">
        <f>MIN(AA96/150, 1)*30</f>
        <v>14</v>
      </c>
      <c r="BB96">
        <f>MIN(M96/4000, 1)*20</f>
        <v>0</v>
      </c>
      <c r="BC96">
        <f>MIN(Y96/400,1)*20</f>
        <v>0</v>
      </c>
      <c r="BD96" s="3">
        <f>1-(MAX(I96-1900, 0)/750)</f>
        <v>0.94533333333333336</v>
      </c>
      <c r="BE96">
        <f>((MAX($L96,1)*MIN($AI96/300,1)))*IF(F96="Wagon",50,10)</f>
        <v>0</v>
      </c>
      <c r="BF96">
        <f>VLOOKUP($G96,Constants!$I:$K, 2, FALSE)</f>
        <v>1</v>
      </c>
      <c r="BG96">
        <f>VLOOKUP($G96,Constants!$I:$K, 3, FALSE)*IF(AND(F96="multiple_unit",AA96&lt;110),0.75,1)</f>
        <v>0.4</v>
      </c>
      <c r="BH96">
        <f>INT(POWER(((Constants!$G$2+$BA96+$BB96+$BC96+$BE96)*$BD96)*$BG96, 1.05))+$AZ96</f>
        <v>7</v>
      </c>
      <c r="BI96">
        <f>INT(POWER((((Constants!$G$1+$BA96+$BB96+$BC96+$BE96)*($BD96))*$BF96),IF($F96="wagon",1,1.2)))+$AY96</f>
        <v>27</v>
      </c>
      <c r="BJ96" s="14">
        <f>BH96*IF($F96="wagon",62.5,781.25)</f>
        <v>437.5</v>
      </c>
      <c r="BK96" s="14">
        <f>BI96*IF($F96="wagon",2.73,81.25)</f>
        <v>73.709999999999994</v>
      </c>
      <c r="BR96">
        <v>8</v>
      </c>
      <c r="BT96" t="s">
        <v>1045</v>
      </c>
      <c r="BU96" t="s">
        <v>696</v>
      </c>
      <c r="BV96" t="str">
        <f>VLOOKUP(I96,Eras!$A$2:$C$10, 2, TRUE)</f>
        <v>big4</v>
      </c>
      <c r="BW96" t="s">
        <v>694</v>
      </c>
      <c r="BX96" t="str">
        <f>CONCATENATE(BV96,"_",BW96)</f>
        <v>big4_Extra</v>
      </c>
      <c r="BY96" t="str">
        <f>_xlfn.CONCAT(G96, "_",H96)</f>
        <v>brake_RAIL</v>
      </c>
      <c r="BZ96" s="17" t="str" cm="1">
        <f t="array" ref="BZ96">_xlfn.CONCAT("{BLACK}Length: {GOLD}", TEXT(ROUNDUP(IF(AP96&lt;&gt;"",SUM(VALUE(_xlfn.TEXTSPLIT(AP96, ","))), SUM(VALUE(_xlfn.TEXTSPLIT(AM96, ",")))*IF(L96, L96, 1))/16, 1), "#,##0.0"), " tiles{}")</f>
        <v>{BLACK}Length: {GOLD}0.4 tiles{}</v>
      </c>
      <c r="CA96" t="str">
        <f>VLOOKUP($BY96, Constants!$M:$N, 2, FALSE)</f>
        <v/>
      </c>
      <c r="CB96" t="str">
        <f>IF(L96&gt;1,_xlfn.CONCAT("{BLACK}Cars: {GOLD}", L96),"")</f>
        <v/>
      </c>
      <c r="CC96" t="s">
        <v>707</v>
      </c>
      <c r="CD96" t="str">
        <f>IF(BU96="BRAKE","{YELLOW}Speed bonus for slow wagons{}",IF(BS96&gt;190,CONCATENATE("{YELLOW}",INT((BS96-185)/1.85),"% Bonus for long distance travel{}"),IF(AND(BS96&lt;180,BS96&lt;&gt;0),CONCATENATE("{YELLOW}",INT((185-BS96)/1.85),"% Penalty for long distance travel{}"),"")))</f>
        <v>{YELLOW}Speed bonus for slow wagons{}</v>
      </c>
      <c r="CE96" t="str">
        <f t="shared" si="61"/>
        <v>{BLACK}Length: {GOLD}0.4 tiles{}{YELLOW}Speed bonus for slow wagons{}{SILVER}BR inherited a large number of brake vans from the Big Four, but quickly set about introducing their own standard model based on 1940s LNER practice.</v>
      </c>
    </row>
    <row r="97" spans="1:83" x14ac:dyDescent="0.25">
      <c r="A97" t="s">
        <v>1389</v>
      </c>
      <c r="B97" t="s">
        <v>1390</v>
      </c>
      <c r="C97">
        <v>149</v>
      </c>
      <c r="D97">
        <v>1</v>
      </c>
      <c r="E97" t="s">
        <v>1508</v>
      </c>
      <c r="F97" t="s">
        <v>1391</v>
      </c>
      <c r="G97" t="s">
        <v>1391</v>
      </c>
      <c r="H97" t="s">
        <v>1380</v>
      </c>
      <c r="I97">
        <v>1700</v>
      </c>
      <c r="K97">
        <v>1870</v>
      </c>
      <c r="M97">
        <v>5</v>
      </c>
      <c r="S97" s="6"/>
      <c r="V97">
        <v>1</v>
      </c>
      <c r="Y97">
        <v>3</v>
      </c>
      <c r="Z97" s="3">
        <f t="shared" si="76"/>
        <v>0.3</v>
      </c>
      <c r="AA97">
        <v>18</v>
      </c>
      <c r="AB97">
        <f t="shared" si="15"/>
        <v>29</v>
      </c>
      <c r="AF97">
        <v>6</v>
      </c>
      <c r="AI97" s="10">
        <v>0</v>
      </c>
      <c r="AJ97" t="str">
        <f>CONCATENATE(VLOOKUP(AK97, 'Voxel Sizes'!$A$2:$B$18,2,FALSE),"x",INT(AG97*15), "x", INT(AH97*15))</f>
        <v>60x0x0</v>
      </c>
      <c r="AK97">
        <f t="shared" si="77"/>
        <v>4</v>
      </c>
      <c r="AM97" t="str">
        <f>CONCATENATE(VLOOKUP(AK97,Constants!$A$2:$C$16,IF(AL97&lt;&gt;"", 3, 2), FALSE),IF(AL97&lt;&gt;"",CONCATENATE(",",VLOOKUP(AL97,$B:$AM,38,FALSE)),""))</f>
        <v>1,2,1</v>
      </c>
      <c r="AU97">
        <v>1</v>
      </c>
      <c r="AW97">
        <v>12</v>
      </c>
      <c r="AX97" s="15">
        <f t="shared" si="78"/>
        <v>178</v>
      </c>
      <c r="AY97">
        <v>-13</v>
      </c>
      <c r="AZ97">
        <v>-3</v>
      </c>
      <c r="BA97">
        <f t="shared" si="79"/>
        <v>3.5999999999999996</v>
      </c>
      <c r="BB97">
        <f t="shared" si="80"/>
        <v>2.5000000000000001E-2</v>
      </c>
      <c r="BC97">
        <f t="shared" si="81"/>
        <v>0.15</v>
      </c>
      <c r="BD97" s="3">
        <f t="shared" si="82"/>
        <v>1</v>
      </c>
      <c r="BE97">
        <f t="shared" si="83"/>
        <v>0</v>
      </c>
      <c r="BF97">
        <f>VLOOKUP($G97,Constants!$I:$K, 2, FALSE)</f>
        <v>0.5</v>
      </c>
      <c r="BG97">
        <f>VLOOKUP($G97,Constants!$I:$K, 3, FALSE)*IF(AND(F97="multiple_unit",AA97&lt;110),0.75,1)</f>
        <v>0.5</v>
      </c>
      <c r="BH97">
        <f>INT(POWER(((Constants!$G$2+$BA97+$BB97+$BC97+$BE97)*$BD97)*$BG97, 1.05))+$AZ97</f>
        <v>1</v>
      </c>
      <c r="BI97">
        <f>INT(POWER((((Constants!$G$1+$BA97+$BB97+$BC97+$BE97)*($BD97))*$BF97),IF($F97="wagon",1,1.2)))+$AY97</f>
        <v>1</v>
      </c>
      <c r="BJ97" s="14">
        <f t="shared" si="84"/>
        <v>781.25</v>
      </c>
      <c r="BK97" s="14">
        <f t="shared" si="85"/>
        <v>81.25</v>
      </c>
      <c r="BR97">
        <v>1</v>
      </c>
      <c r="BV97" t="str">
        <f>VLOOKUP(I97,Eras!$A$2:$C$10, 2, TRUE)</f>
        <v>early</v>
      </c>
      <c r="BW97" t="s">
        <v>326</v>
      </c>
      <c r="BX97" t="str">
        <f t="shared" si="86"/>
        <v>early_Mixed Traffic</v>
      </c>
      <c r="BY97" t="str">
        <f t="shared" si="87"/>
        <v>horses_PLATEWAY</v>
      </c>
      <c r="BZ97" s="17" t="str" cm="1">
        <f t="array" ref="BZ97">_xlfn.CONCAT("{BLACK}Length: {GOLD}", TEXT(ROUNDUP(IF(AP97&lt;&gt;"",SUM(VALUE(_xlfn.TEXTSPLIT(AP97, ","))), SUM(VALUE(_xlfn.TEXTSPLIT(AM97, ",")))*IF(L97, L97, 1))/16, 1), "#,##0.0"), " tiles{}")</f>
        <v>{BLACK}Length: {GOLD}0.3 tiles{}</v>
      </c>
      <c r="CA97" t="str">
        <f>VLOOKUP($BY97, Constants!$M:$N, 2, FALSE)</f>
        <v>{BLACK}Powered by: {GOLD}Grass and hay</v>
      </c>
      <c r="CB97" t="str">
        <f t="shared" si="88"/>
        <v/>
      </c>
      <c r="CC97" t="s">
        <v>1394</v>
      </c>
      <c r="CD97" t="str">
        <f t="shared" si="89"/>
        <v/>
      </c>
      <c r="CE97" t="str">
        <f t="shared" si="61"/>
        <v>{BLACK}Powered by: {GOLD}Grass and hay {}{BLACK}Length: {GOLD}0.3 tiles{}{SILVER}Most early industrial railways used two sources of power: horses and gravity. Often horses would ride downhill in dandy wagons, to save their energy for pulling the train uphill.</v>
      </c>
    </row>
    <row r="98" spans="1:83" x14ac:dyDescent="0.25">
      <c r="A98" t="s">
        <v>1395</v>
      </c>
      <c r="B98" t="s">
        <v>1391</v>
      </c>
      <c r="C98">
        <v>150</v>
      </c>
      <c r="D98">
        <v>2</v>
      </c>
      <c r="E98" t="s">
        <v>1508</v>
      </c>
      <c r="F98" t="s">
        <v>1391</v>
      </c>
      <c r="G98" t="s">
        <v>1391</v>
      </c>
      <c r="H98" t="s">
        <v>1380</v>
      </c>
      <c r="I98">
        <v>1700</v>
      </c>
      <c r="K98">
        <v>1870</v>
      </c>
      <c r="M98">
        <v>10</v>
      </c>
      <c r="S98" s="6"/>
      <c r="V98">
        <v>2</v>
      </c>
      <c r="Y98">
        <v>6</v>
      </c>
      <c r="Z98" s="3">
        <f t="shared" si="76"/>
        <v>0.3</v>
      </c>
      <c r="AA98">
        <v>18</v>
      </c>
      <c r="AB98">
        <f t="shared" ref="AB98:AB160" si="90">ROUND(AA98*1.6, 0)</f>
        <v>29</v>
      </c>
      <c r="AF98">
        <v>6</v>
      </c>
      <c r="AI98" s="10">
        <v>0</v>
      </c>
      <c r="AJ98" t="str">
        <f>CONCATENATE(VLOOKUP(AK98, 'Voxel Sizes'!$A$2:$B$18,2,FALSE),"x",INT(AG98*15), "x", INT(AH98*15))</f>
        <v>60x0x0</v>
      </c>
      <c r="AK98">
        <f t="shared" si="77"/>
        <v>4</v>
      </c>
      <c r="AM98" t="str">
        <f>CONCATENATE(VLOOKUP(AK98,Constants!$A$2:$C$16,IF(AL98&lt;&gt;"", 3, 2), FALSE),IF(AL98&lt;&gt;"",CONCATENATE(",",VLOOKUP(AL98,$B:$AM,38,FALSE)),""))</f>
        <v>1,2,1</v>
      </c>
      <c r="AU98">
        <v>1</v>
      </c>
      <c r="AW98">
        <v>12</v>
      </c>
      <c r="AX98" s="15">
        <f t="shared" si="78"/>
        <v>178</v>
      </c>
      <c r="AY98">
        <v>-12</v>
      </c>
      <c r="AZ98">
        <v>-2</v>
      </c>
      <c r="BA98">
        <f t="shared" si="79"/>
        <v>3.5999999999999996</v>
      </c>
      <c r="BB98">
        <f t="shared" si="80"/>
        <v>0.05</v>
      </c>
      <c r="BC98">
        <f t="shared" si="81"/>
        <v>0.3</v>
      </c>
      <c r="BD98" s="3">
        <f t="shared" si="82"/>
        <v>1</v>
      </c>
      <c r="BE98">
        <f t="shared" si="83"/>
        <v>0</v>
      </c>
      <c r="BF98">
        <f>VLOOKUP($G98,Constants!$I:$K, 2, FALSE)</f>
        <v>0.5</v>
      </c>
      <c r="BG98">
        <f>VLOOKUP($G98,Constants!$I:$K, 3, FALSE)*IF(AND(F98="multiple_unit",AA98&lt;110),0.75,1)</f>
        <v>0.5</v>
      </c>
      <c r="BH98">
        <f>INT(POWER(((Constants!$G$2+$BA98+$BB98+$BC98+$BE98)*$BD98)*$BG98, 1.05))+$AZ98</f>
        <v>2</v>
      </c>
      <c r="BI98">
        <f>INT(POWER((((Constants!$G$1+$BA98+$BB98+$BC98+$BE98)*($BD98))*$BF98),IF($F98="wagon",1,1.2)))+$AY98</f>
        <v>2</v>
      </c>
      <c r="BJ98" s="14">
        <f t="shared" si="84"/>
        <v>1562.5</v>
      </c>
      <c r="BK98" s="14">
        <f t="shared" si="85"/>
        <v>162.5</v>
      </c>
      <c r="BR98">
        <v>1</v>
      </c>
      <c r="BV98" t="str">
        <f>VLOOKUP(I98,Eras!$A$2:$C$10, 2, TRUE)</f>
        <v>early</v>
      </c>
      <c r="BW98" t="s">
        <v>326</v>
      </c>
      <c r="BX98" t="str">
        <f t="shared" si="86"/>
        <v>early_Mixed Traffic</v>
      </c>
      <c r="BY98" t="str">
        <f t="shared" si="87"/>
        <v>horses_PLATEWAY</v>
      </c>
      <c r="BZ98" s="17" t="str" cm="1">
        <f t="array" ref="BZ98">_xlfn.CONCAT("{BLACK}Length: {GOLD}", TEXT(ROUNDUP(IF(AP98&lt;&gt;"",SUM(VALUE(_xlfn.TEXTSPLIT(AP98, ","))), SUM(VALUE(_xlfn.TEXTSPLIT(AM98, ",")))*IF(L98, L98, 1))/16, 1), "#,##0.0"), " tiles{}")</f>
        <v>{BLACK}Length: {GOLD}0.3 tiles{}</v>
      </c>
      <c r="CA98" t="str">
        <f>VLOOKUP($BY98, Constants!$M:$N, 2, FALSE)</f>
        <v>{BLACK}Powered by: {GOLD}Grass and hay</v>
      </c>
      <c r="CB98" t="str">
        <f t="shared" si="88"/>
        <v/>
      </c>
      <c r="CC98" t="s">
        <v>1396</v>
      </c>
      <c r="CD98" t="str">
        <f t="shared" si="89"/>
        <v/>
      </c>
      <c r="CE98" t="str">
        <f t="shared" si="61"/>
        <v>{BLACK}Powered by: {GOLD}Grass and hay {}{BLACK}Length: {GOLD}0.3 tiles{}{SILVER}The power of a horse-drawn train can easily be doubled by the expedient addition of a second horse.</v>
      </c>
    </row>
    <row r="99" spans="1:83" x14ac:dyDescent="0.25">
      <c r="A99" t="s">
        <v>1383</v>
      </c>
      <c r="B99" t="s">
        <v>1384</v>
      </c>
      <c r="C99">
        <v>151</v>
      </c>
      <c r="D99">
        <v>3</v>
      </c>
      <c r="E99" t="s">
        <v>1508</v>
      </c>
      <c r="F99" t="s">
        <v>262</v>
      </c>
      <c r="G99" t="s">
        <v>271</v>
      </c>
      <c r="H99" t="s">
        <v>1380</v>
      </c>
      <c r="I99">
        <v>1813</v>
      </c>
      <c r="K99">
        <v>1862</v>
      </c>
      <c r="M99">
        <v>15</v>
      </c>
      <c r="O99" s="5">
        <v>9</v>
      </c>
      <c r="P99" s="5">
        <v>36</v>
      </c>
      <c r="Q99" s="5">
        <v>2</v>
      </c>
      <c r="R99" s="5">
        <v>50</v>
      </c>
      <c r="S99" s="6">
        <f>((($AA99/2)/60)*5280)/($T99*3.2*PI())</f>
        <v>60.788346319821144</v>
      </c>
      <c r="T99" s="5">
        <v>1.44</v>
      </c>
      <c r="U99" s="5">
        <f>((($O99*$O99/4)*PI())*($P99/12)*$Q99*$R99*$S99)/(33000*1.1)</f>
        <v>31.96022727272728</v>
      </c>
      <c r="V99">
        <v>4</v>
      </c>
      <c r="W99" s="8">
        <v>3</v>
      </c>
      <c r="Y99">
        <v>7</v>
      </c>
      <c r="Z99" s="3">
        <f t="shared" si="76"/>
        <v>0.1</v>
      </c>
      <c r="AA99">
        <v>20</v>
      </c>
      <c r="AB99">
        <f t="shared" si="90"/>
        <v>32</v>
      </c>
      <c r="AF99">
        <v>6</v>
      </c>
      <c r="AI99" s="10">
        <v>0</v>
      </c>
      <c r="AJ99" t="str">
        <f>CONCATENATE(VLOOKUP(AK99, 'Voxel Sizes'!$A$2:$B$18,2,FALSE),"x",INT(AG99*15), "x", INT(AH99*15))</f>
        <v>60x0x0</v>
      </c>
      <c r="AK99">
        <f t="shared" si="77"/>
        <v>4</v>
      </c>
      <c r="AL99" t="s">
        <v>1382</v>
      </c>
      <c r="AM99" t="str">
        <f>CONCATENATE(VLOOKUP(AK99,Constants!$A$2:$C$16,IF(AL99&lt;&gt;"", 3, 2), FALSE),IF(AL99&lt;&gt;"",CONCATENATE(",",VLOOKUP(AL99,$B:$AM,38,FALSE)),""))</f>
        <v>1,2,1,1,2,1</v>
      </c>
      <c r="AW99">
        <v>28</v>
      </c>
      <c r="AX99" s="15">
        <f t="shared" si="78"/>
        <v>57</v>
      </c>
      <c r="AY99">
        <v>-35</v>
      </c>
      <c r="AZ99">
        <v>-12</v>
      </c>
      <c r="BA99">
        <f t="shared" si="79"/>
        <v>4</v>
      </c>
      <c r="BB99">
        <f t="shared" si="80"/>
        <v>7.4999999999999997E-2</v>
      </c>
      <c r="BC99">
        <f t="shared" si="81"/>
        <v>0.35000000000000003</v>
      </c>
      <c r="BD99" s="3">
        <f t="shared" si="82"/>
        <v>1</v>
      </c>
      <c r="BE99">
        <f t="shared" si="83"/>
        <v>0</v>
      </c>
      <c r="BF99">
        <f>VLOOKUP($G99,Constants!$I:$K, 2, FALSE)</f>
        <v>1.1499999999999999</v>
      </c>
      <c r="BG99">
        <f>VLOOKUP($G99,Constants!$I:$K, 3, FALSE)*IF(AND(F99="multiple_unit",AA99&lt;110),0.75,1)</f>
        <v>1.7</v>
      </c>
      <c r="BH99">
        <f>INT(POWER(((Constants!$G$2+$BA99+$BB99+$BC99+$BE99)*$BD99)*$BG99, 1.05))+$AZ99</f>
        <v>6</v>
      </c>
      <c r="BI99">
        <f>INT(POWER((((Constants!$G$1+$BA99+$BB99+$BC99+$BE99)*($BD99))*$BF99),IF($F99="wagon",1,1.2)))+$AY99</f>
        <v>6</v>
      </c>
      <c r="BJ99" s="14">
        <f t="shared" si="84"/>
        <v>4687.5</v>
      </c>
      <c r="BK99" s="14">
        <f t="shared" si="85"/>
        <v>487.5</v>
      </c>
      <c r="BR99">
        <v>3</v>
      </c>
      <c r="BV99" t="str">
        <f>VLOOKUP(I99,Eras!$A$2:$C$10, 2, TRUE)</f>
        <v>early</v>
      </c>
      <c r="BW99" t="s">
        <v>326</v>
      </c>
      <c r="BX99" t="str">
        <f t="shared" si="86"/>
        <v>early_Mixed Traffic</v>
      </c>
      <c r="BY99" t="str">
        <f t="shared" si="87"/>
        <v>steam_PLATEWAY</v>
      </c>
      <c r="BZ99" s="17" t="str" cm="1">
        <f t="array" ref="BZ99">_xlfn.CONCAT("{BLACK}Length: {GOLD}", TEXT(ROUNDUP(IF(AP99&lt;&gt;"",SUM(VALUE(_xlfn.TEXTSPLIT(AP99, ","))), SUM(VALUE(_xlfn.TEXTSPLIT(AM99, ",")))*IF(L99, L99, 1))/16, 1), "#,##0.0"), " tiles{}")</f>
        <v>{BLACK}Length: {GOLD}0.5 tiles{}</v>
      </c>
      <c r="CA99" t="str">
        <f>VLOOKUP($BY99, Constants!$M:$N, 2, FALSE)</f>
        <v>{BLACK}Powered by: {GOLD}Steam</v>
      </c>
      <c r="CB99" t="str">
        <f t="shared" si="88"/>
        <v/>
      </c>
      <c r="CC99" t="s">
        <v>1387</v>
      </c>
      <c r="CD99" t="str">
        <f t="shared" si="89"/>
        <v/>
      </c>
      <c r="CE99" t="str">
        <f t="shared" si="61"/>
        <v>{BLACK}Powered by: {GOLD}Steam {}{BLACK}Length: {GOLD}0.5 tiles{}{SILVER}Puffing Billy was the first steam locomotive to operate by the adhesion of the wheels alone, all previous locomotives using a rack by the railside. The real version was very slow, capable only of walking speeds.</v>
      </c>
    </row>
    <row r="100" spans="1:83" x14ac:dyDescent="0.25">
      <c r="A100" t="s">
        <v>1397</v>
      </c>
      <c r="B100" t="s">
        <v>1398</v>
      </c>
      <c r="C100">
        <v>152</v>
      </c>
      <c r="D100">
        <v>4</v>
      </c>
      <c r="E100" t="s">
        <v>1508</v>
      </c>
      <c r="F100" t="s">
        <v>1398</v>
      </c>
      <c r="G100" t="s">
        <v>1391</v>
      </c>
      <c r="H100" t="s">
        <v>1380</v>
      </c>
      <c r="I100">
        <v>1829</v>
      </c>
      <c r="K100">
        <v>1842</v>
      </c>
      <c r="M100">
        <v>10</v>
      </c>
      <c r="S100" s="6"/>
      <c r="V100">
        <v>3</v>
      </c>
      <c r="Y100">
        <v>8</v>
      </c>
      <c r="Z100" s="3">
        <f t="shared" si="76"/>
        <v>0.26666666666666666</v>
      </c>
      <c r="AA100">
        <v>22</v>
      </c>
      <c r="AB100">
        <f t="shared" si="90"/>
        <v>35</v>
      </c>
      <c r="AF100">
        <v>8</v>
      </c>
      <c r="AI100" s="10">
        <v>0</v>
      </c>
      <c r="AJ100" t="str">
        <f>CONCATENATE(VLOOKUP(AK100, 'Voxel Sizes'!$A$2:$B$18,2,FALSE),"x",INT(AG100*15), "x", INT(AH100*15))</f>
        <v>82x0x0</v>
      </c>
      <c r="AK100">
        <f t="shared" si="77"/>
        <v>5</v>
      </c>
      <c r="AM100" t="str">
        <f>CONCATENATE(VLOOKUP(AK100,Constants!$A$2:$C$16,IF(AL100&lt;&gt;"", 3, 2), FALSE),IF(AL100&lt;&gt;"",CONCATENATE(",",VLOOKUP(AL100,$B:$AM,38,FALSE)),""))</f>
        <v>2,1,2</v>
      </c>
      <c r="AU100">
        <v>1</v>
      </c>
      <c r="AW100">
        <v>12</v>
      </c>
      <c r="AX100" s="15">
        <f t="shared" si="78"/>
        <v>21</v>
      </c>
      <c r="AY100">
        <v>-13</v>
      </c>
      <c r="AZ100">
        <v>-1</v>
      </c>
      <c r="BA100">
        <f t="shared" si="79"/>
        <v>4.4000000000000004</v>
      </c>
      <c r="BB100">
        <f t="shared" si="80"/>
        <v>0.05</v>
      </c>
      <c r="BC100">
        <f t="shared" si="81"/>
        <v>0.4</v>
      </c>
      <c r="BD100" s="3">
        <f t="shared" si="82"/>
        <v>1</v>
      </c>
      <c r="BE100">
        <f t="shared" si="83"/>
        <v>0</v>
      </c>
      <c r="BF100">
        <f>VLOOKUP($G100,Constants!$I:$K, 2, FALSE)</f>
        <v>0.5</v>
      </c>
      <c r="BG100">
        <f>VLOOKUP($G100,Constants!$I:$K, 3, FALSE)*IF(AND(F100="multiple_unit",AA100&lt;110),0.75,1)</f>
        <v>0.5</v>
      </c>
      <c r="BH100">
        <f>INT(POWER(((Constants!$G$2+$BA100+$BB100+$BC100+$BE100)*$BD100)*$BG100, 1.05))+$AZ100</f>
        <v>4</v>
      </c>
      <c r="BI100">
        <f>INT(POWER((((Constants!$G$1+$BA100+$BB100+$BC100+$BE100)*($BD100))*$BF100),IF($F100="wagon",1,1.2)))+$AY100</f>
        <v>2</v>
      </c>
      <c r="BJ100" s="14">
        <f t="shared" si="84"/>
        <v>3125</v>
      </c>
      <c r="BK100" s="14">
        <f t="shared" si="85"/>
        <v>162.5</v>
      </c>
      <c r="BR100">
        <v>3</v>
      </c>
      <c r="BV100" t="str">
        <f>VLOOKUP(I100,Eras!$A$2:$C$10, 2, TRUE)</f>
        <v>early</v>
      </c>
      <c r="BW100" t="s">
        <v>326</v>
      </c>
      <c r="BX100" t="str">
        <f t="shared" si="86"/>
        <v>early_Mixed Traffic</v>
      </c>
      <c r="BY100" t="str">
        <f t="shared" si="87"/>
        <v>horses_PLATEWAY</v>
      </c>
      <c r="BZ100" s="17" t="str" cm="1">
        <f t="array" ref="BZ100">_xlfn.CONCAT("{BLACK}Length: {GOLD}", TEXT(ROUNDUP(IF(AP100&lt;&gt;"",SUM(VALUE(_xlfn.TEXTSPLIT(AP100, ","))), SUM(VALUE(_xlfn.TEXTSPLIT(AM100, ",")))*IF(L100, L100, 1))/16, 1), "#,##0.0"), " tiles{}")</f>
        <v>{BLACK}Length: {GOLD}0.4 tiles{}</v>
      </c>
      <c r="CA100" t="str">
        <f>VLOOKUP($BY100, Constants!$M:$N, 2, FALSE)</f>
        <v>{BLACK}Powered by: {GOLD}Grass and hay</v>
      </c>
      <c r="CB100" t="str">
        <f t="shared" si="88"/>
        <v/>
      </c>
      <c r="CC100" t="s">
        <v>1399</v>
      </c>
      <c r="CD100" t="str">
        <f t="shared" si="89"/>
        <v/>
      </c>
      <c r="CE100" t="str">
        <f t="shared" si="61"/>
        <v>{BLACK}Powered by: {GOLD}Grass and hay {}{BLACK}Length: {GOLD}0.4 tiles{}{SILVER}Brandreth's "Cycloped" was the only entry in the Rainhill Trials not powered by steam. Unfortunately during the trials the horse burst through the floor, withdrawing it from the competition.</v>
      </c>
    </row>
    <row r="101" spans="1:83" x14ac:dyDescent="0.25">
      <c r="A101" t="s">
        <v>1371</v>
      </c>
      <c r="B101" t="s">
        <v>1367</v>
      </c>
      <c r="C101">
        <v>153</v>
      </c>
      <c r="D101">
        <v>5</v>
      </c>
      <c r="E101" t="s">
        <v>1508</v>
      </c>
      <c r="F101" t="s">
        <v>262</v>
      </c>
      <c r="G101" t="s">
        <v>271</v>
      </c>
      <c r="H101" t="s">
        <v>1380</v>
      </c>
      <c r="I101">
        <v>1829</v>
      </c>
      <c r="K101">
        <v>1846</v>
      </c>
      <c r="M101">
        <v>30</v>
      </c>
      <c r="O101" s="5">
        <v>8</v>
      </c>
      <c r="P101" s="5">
        <v>17</v>
      </c>
      <c r="Q101" s="5">
        <v>2</v>
      </c>
      <c r="R101" s="5">
        <v>50</v>
      </c>
      <c r="S101" s="6">
        <f t="shared" ref="S101:S122" si="91">((($AA101/2)/60)*5280)/($T101*3.2*PI())</f>
        <v>91.18251947973171</v>
      </c>
      <c r="T101" s="5">
        <v>1.44</v>
      </c>
      <c r="U101" s="5">
        <f t="shared" ref="U101:U122" si="92">((($O101*$O101/4)*PI())*($P101/12)*$Q101*$R101*$S101)/(33000*1.1)</f>
        <v>17.887205387205388</v>
      </c>
      <c r="V101">
        <v>4</v>
      </c>
      <c r="W101" s="8">
        <v>3</v>
      </c>
      <c r="Y101">
        <v>8.5</v>
      </c>
      <c r="Z101" s="3">
        <f t="shared" si="76"/>
        <v>0.12142857142857143</v>
      </c>
      <c r="AA101">
        <v>30</v>
      </c>
      <c r="AB101">
        <f t="shared" si="90"/>
        <v>48</v>
      </c>
      <c r="AF101">
        <v>6</v>
      </c>
      <c r="AI101" s="10">
        <v>0</v>
      </c>
      <c r="AJ101" t="str">
        <f>CONCATENATE(VLOOKUP(AK101, 'Voxel Sizes'!$A$2:$B$18,2,FALSE),"x",INT(AG101*15), "x", INT(AH101*15))</f>
        <v>60x0x0</v>
      </c>
      <c r="AK101">
        <f t="shared" si="77"/>
        <v>4</v>
      </c>
      <c r="AL101" t="s">
        <v>1369</v>
      </c>
      <c r="AM101" t="str">
        <f>CONCATENATE(VLOOKUP(AK101,Constants!$A$2:$C$16,IF(AL101&lt;&gt;"", 3, 2), FALSE),IF(AL101&lt;&gt;"",CONCATENATE(",",VLOOKUP(AL101,$B:$AM,38,FALSE)),""))</f>
        <v>1,2,1,1,2,1</v>
      </c>
      <c r="AU101">
        <v>1</v>
      </c>
      <c r="AW101">
        <v>22</v>
      </c>
      <c r="AX101" s="15">
        <f t="shared" si="78"/>
        <v>25</v>
      </c>
      <c r="AY101">
        <v>-28</v>
      </c>
      <c r="AZ101">
        <v>-12</v>
      </c>
      <c r="BA101">
        <f t="shared" si="79"/>
        <v>6</v>
      </c>
      <c r="BB101">
        <f t="shared" si="80"/>
        <v>0.15</v>
      </c>
      <c r="BC101">
        <f t="shared" si="81"/>
        <v>0.42500000000000004</v>
      </c>
      <c r="BD101" s="3">
        <f t="shared" si="82"/>
        <v>1</v>
      </c>
      <c r="BE101">
        <f t="shared" si="83"/>
        <v>0</v>
      </c>
      <c r="BF101">
        <f>VLOOKUP($G101,Constants!$I:$K, 2, FALSE)</f>
        <v>1.1499999999999999</v>
      </c>
      <c r="BG101">
        <f>VLOOKUP($G101,Constants!$I:$K, 3, FALSE)*IF(AND(F101="multiple_unit",AA101&lt;110),0.75,1)</f>
        <v>1.7</v>
      </c>
      <c r="BH101">
        <f>INT(POWER(((Constants!$G$2+$BA101+$BB101+$BC101+$BE101)*$BD101)*$BG101, 1.05))+$AZ101</f>
        <v>10</v>
      </c>
      <c r="BI101">
        <f>INT(POWER((((Constants!$G$1+$BA101+$BB101+$BC101+$BE101)*($BD101))*$BF101),IF($F101="wagon",1,1.2)))+$AY101</f>
        <v>19</v>
      </c>
      <c r="BJ101" s="14">
        <f t="shared" si="84"/>
        <v>7812.5</v>
      </c>
      <c r="BK101" s="14">
        <f t="shared" si="85"/>
        <v>1543.75</v>
      </c>
      <c r="BR101">
        <v>3</v>
      </c>
      <c r="BV101" t="str">
        <f>VLOOKUP(I101,Eras!$A$2:$C$10, 2, TRUE)</f>
        <v>early</v>
      </c>
      <c r="BW101" t="s">
        <v>326</v>
      </c>
      <c r="BX101" t="str">
        <f t="shared" si="86"/>
        <v>early_Mixed Traffic</v>
      </c>
      <c r="BY101" t="str">
        <f t="shared" si="87"/>
        <v>steam_PLATEWAY</v>
      </c>
      <c r="BZ101" s="17" t="str" cm="1">
        <f t="array" ref="BZ101">_xlfn.CONCAT("{BLACK}Length: {GOLD}", TEXT(ROUNDUP(IF(AP101&lt;&gt;"",SUM(VALUE(_xlfn.TEXTSPLIT(AP101, ","))), SUM(VALUE(_xlfn.TEXTSPLIT(AM101, ",")))*IF(L101, L101, 1))/16, 1), "#,##0.0"), " tiles{}")</f>
        <v>{BLACK}Length: {GOLD}0.5 tiles{}</v>
      </c>
      <c r="CA101" t="str">
        <f>VLOOKUP($BY101, Constants!$M:$N, 2, FALSE)</f>
        <v>{BLACK}Powered by: {GOLD}Steam</v>
      </c>
      <c r="CB101" t="str">
        <f t="shared" si="88"/>
        <v/>
      </c>
      <c r="CC101" t="s">
        <v>1368</v>
      </c>
      <c r="CD101" t="str">
        <f t="shared" si="89"/>
        <v/>
      </c>
      <c r="CE101" t="str">
        <f t="shared" si="61"/>
        <v>{BLACK}Powered by: {GOLD}Steam {}{BLACK}Length: {GOLD}0.5 tiles{}{SILVER}Although not the first steam locomotive, Rocket's advanced design and success in the Rainhill trials made it the pivotal design for steam engines to replace horses on the railway.</v>
      </c>
    </row>
    <row r="102" spans="1:83" x14ac:dyDescent="0.25">
      <c r="A102" t="s">
        <v>1372</v>
      </c>
      <c r="B102" t="s">
        <v>148</v>
      </c>
      <c r="C102">
        <v>154</v>
      </c>
      <c r="D102">
        <v>6</v>
      </c>
      <c r="E102" t="s">
        <v>1508</v>
      </c>
      <c r="F102" t="s">
        <v>262</v>
      </c>
      <c r="G102" t="s">
        <v>271</v>
      </c>
      <c r="H102" t="s">
        <v>1380</v>
      </c>
      <c r="I102">
        <v>1830</v>
      </c>
      <c r="K102">
        <v>1850</v>
      </c>
      <c r="M102">
        <v>50</v>
      </c>
      <c r="O102" s="5">
        <v>11</v>
      </c>
      <c r="P102" s="5">
        <v>16</v>
      </c>
      <c r="Q102" s="5">
        <v>2</v>
      </c>
      <c r="R102" s="5">
        <v>50</v>
      </c>
      <c r="S102" s="6">
        <f t="shared" si="91"/>
        <v>100.78067942496661</v>
      </c>
      <c r="T102" s="5">
        <v>1.52</v>
      </c>
      <c r="U102" s="5">
        <f t="shared" si="92"/>
        <v>35.179093567251456</v>
      </c>
      <c r="V102">
        <v>4.3</v>
      </c>
      <c r="W102" s="8">
        <v>3</v>
      </c>
      <c r="Y102">
        <v>8.5</v>
      </c>
      <c r="Z102" s="3">
        <f t="shared" si="76"/>
        <v>0.11643835616438356</v>
      </c>
      <c r="AA102">
        <v>35</v>
      </c>
      <c r="AB102">
        <f t="shared" si="90"/>
        <v>56</v>
      </c>
      <c r="AF102">
        <v>6</v>
      </c>
      <c r="AI102" s="10">
        <v>0</v>
      </c>
      <c r="AJ102" t="str">
        <f>CONCATENATE(VLOOKUP(AK102, 'Voxel Sizes'!$A$2:$B$18,2,FALSE),"x",INT(AG102*15), "x", INT(AH102*15))</f>
        <v>60x0x0</v>
      </c>
      <c r="AK102">
        <f t="shared" si="77"/>
        <v>4</v>
      </c>
      <c r="AL102" t="s">
        <v>1363</v>
      </c>
      <c r="AM102" t="str">
        <f>CONCATENATE(VLOOKUP(AK102,Constants!$A$2:$C$16,IF(AL102&lt;&gt;"", 3, 2), FALSE),IF(AL102&lt;&gt;"",CONCATENATE(",",VLOOKUP(AL102,$B:$AM,38,FALSE)),""))</f>
        <v>1,2,1,1,2,1</v>
      </c>
      <c r="AW102">
        <v>26</v>
      </c>
      <c r="AX102" s="15">
        <f t="shared" si="78"/>
        <v>28</v>
      </c>
      <c r="AY102">
        <v>-24</v>
      </c>
      <c r="AZ102">
        <v>-12</v>
      </c>
      <c r="BA102">
        <f t="shared" si="79"/>
        <v>7</v>
      </c>
      <c r="BB102">
        <f t="shared" si="80"/>
        <v>0.25</v>
      </c>
      <c r="BC102">
        <f t="shared" si="81"/>
        <v>0.42500000000000004</v>
      </c>
      <c r="BD102" s="3">
        <f t="shared" si="82"/>
        <v>1</v>
      </c>
      <c r="BE102">
        <f t="shared" si="83"/>
        <v>0</v>
      </c>
      <c r="BF102">
        <f>VLOOKUP($G102,Constants!$I:$K, 2, FALSE)</f>
        <v>1.1499999999999999</v>
      </c>
      <c r="BG102">
        <f>VLOOKUP($G102,Constants!$I:$K, 3, FALSE)*IF(AND(F102="multiple_unit",AA102&lt;110),0.75,1)</f>
        <v>1.7</v>
      </c>
      <c r="BH102">
        <f>INT(POWER(((Constants!$G$2+$BA102+$BB102+$BC102+$BE102)*$BD102)*$BG102, 1.05))+$AZ102</f>
        <v>13</v>
      </c>
      <c r="BI102">
        <f>INT(POWER((((Constants!$G$1+$BA102+$BB102+$BC102+$BE102)*($BD102))*$BF102),IF($F102="wagon",1,1.2)))+$AY102</f>
        <v>26</v>
      </c>
      <c r="BJ102" s="14">
        <f t="shared" si="84"/>
        <v>10156.25</v>
      </c>
      <c r="BK102" s="14">
        <f t="shared" si="85"/>
        <v>2112.5</v>
      </c>
      <c r="BR102">
        <v>9</v>
      </c>
      <c r="BV102" t="str">
        <f>VLOOKUP(I102,Eras!$A$2:$C$10, 2, TRUE)</f>
        <v>early</v>
      </c>
      <c r="BW102" t="s">
        <v>326</v>
      </c>
      <c r="BX102" t="str">
        <f t="shared" si="86"/>
        <v>early_Mixed Traffic</v>
      </c>
      <c r="BY102" t="str">
        <f t="shared" si="87"/>
        <v>steam_PLATEWAY</v>
      </c>
      <c r="BZ102" s="17" t="str" cm="1">
        <f t="array" ref="BZ102">_xlfn.CONCAT("{BLACK}Length: {GOLD}", TEXT(ROUNDUP(IF(AP102&lt;&gt;"",SUM(VALUE(_xlfn.TEXTSPLIT(AP102, ","))), SUM(VALUE(_xlfn.TEXTSPLIT(AM102, ",")))*IF(L102, L102, 1))/16, 1), "#,##0.0"), " tiles{}")</f>
        <v>{BLACK}Length: {GOLD}0.5 tiles{}</v>
      </c>
      <c r="CA102" t="str">
        <f>VLOOKUP($BY102, Constants!$M:$N, 2, FALSE)</f>
        <v>{BLACK}Powered by: {GOLD}Steam</v>
      </c>
      <c r="CB102" t="str">
        <f t="shared" si="88"/>
        <v/>
      </c>
      <c r="CC102" t="s">
        <v>1364</v>
      </c>
      <c r="CD102" t="str">
        <f t="shared" si="89"/>
        <v/>
      </c>
      <c r="CE102" t="str">
        <f t="shared" si="61"/>
        <v>{BLACK}Powered by: {GOLD}Steam {}{BLACK}Length: {GOLD}0.5 tiles{}{SILVER}Stephenson's "Planet" locomotives made several improvements to the Rocket design, including being the first locomotive to feature cylinders inside the frame.</v>
      </c>
    </row>
    <row r="103" spans="1:83" x14ac:dyDescent="0.25">
      <c r="A103" t="s">
        <v>1373</v>
      </c>
      <c r="B103" t="s">
        <v>1365</v>
      </c>
      <c r="C103">
        <v>155</v>
      </c>
      <c r="D103">
        <v>7</v>
      </c>
      <c r="E103" t="s">
        <v>1508</v>
      </c>
      <c r="F103" t="s">
        <v>262</v>
      </c>
      <c r="G103" t="s">
        <v>271</v>
      </c>
      <c r="H103" t="s">
        <v>274</v>
      </c>
      <c r="I103">
        <v>1833</v>
      </c>
      <c r="K103">
        <v>1865</v>
      </c>
      <c r="M103">
        <v>75</v>
      </c>
      <c r="O103" s="5">
        <v>11</v>
      </c>
      <c r="P103" s="5">
        <v>16</v>
      </c>
      <c r="Q103" s="5">
        <v>2</v>
      </c>
      <c r="R103" s="5">
        <v>50</v>
      </c>
      <c r="S103" s="6">
        <f t="shared" si="91"/>
        <v>109.41902337567804</v>
      </c>
      <c r="T103" s="5">
        <v>1.52</v>
      </c>
      <c r="U103" s="5">
        <f t="shared" si="92"/>
        <v>38.194444444444443</v>
      </c>
      <c r="V103">
        <v>5</v>
      </c>
      <c r="W103" s="8">
        <v>3</v>
      </c>
      <c r="Y103">
        <v>11</v>
      </c>
      <c r="Z103" s="3">
        <f t="shared" si="76"/>
        <v>0.13750000000000001</v>
      </c>
      <c r="AA103">
        <v>38</v>
      </c>
      <c r="AB103">
        <f t="shared" si="90"/>
        <v>61</v>
      </c>
      <c r="AF103">
        <v>8</v>
      </c>
      <c r="AI103" s="10">
        <v>0</v>
      </c>
      <c r="AJ103" t="str">
        <f>CONCATENATE(VLOOKUP(AK103, 'Voxel Sizes'!$A$2:$B$18,2,FALSE),"x",INT(AG103*15), "x", INT(AH103*15))</f>
        <v>82x0x0</v>
      </c>
      <c r="AK103">
        <f t="shared" si="77"/>
        <v>5</v>
      </c>
      <c r="AL103" t="s">
        <v>1363</v>
      </c>
      <c r="AM103" t="str">
        <f>CONCATENATE(VLOOKUP(AK103,Constants!$A$2:$C$16,IF(AL103&lt;&gt;"", 3, 2), FALSE),IF(AL103&lt;&gt;"",CONCATENATE(",",VLOOKUP(AL103,$B:$AM,38,FALSE)),""))</f>
        <v>2,1,2,1,2,1</v>
      </c>
      <c r="AW103">
        <v>28</v>
      </c>
      <c r="AX103" s="15">
        <f t="shared" si="78"/>
        <v>40</v>
      </c>
      <c r="AY103">
        <v>-16</v>
      </c>
      <c r="AZ103">
        <v>-10</v>
      </c>
      <c r="BA103">
        <f t="shared" si="79"/>
        <v>7.6000000000000005</v>
      </c>
      <c r="BB103">
        <f t="shared" si="80"/>
        <v>0.375</v>
      </c>
      <c r="BC103">
        <f t="shared" si="81"/>
        <v>0.55000000000000004</v>
      </c>
      <c r="BD103" s="3">
        <f t="shared" si="82"/>
        <v>1</v>
      </c>
      <c r="BE103">
        <f t="shared" si="83"/>
        <v>0</v>
      </c>
      <c r="BF103">
        <f>VLOOKUP($G103,Constants!$I:$K, 2, FALSE)</f>
        <v>1.1499999999999999</v>
      </c>
      <c r="BG103">
        <f>VLOOKUP($G103,Constants!$I:$K, 3, FALSE)*IF(AND(F103="multiple_unit",AA103&lt;110),0.75,1)</f>
        <v>1.7</v>
      </c>
      <c r="BH103">
        <f>INT(POWER(((Constants!$G$2+$BA103+$BB103+$BC103+$BE103)*$BD103)*$BG103, 1.05))+$AZ103</f>
        <v>16</v>
      </c>
      <c r="BI103">
        <f>INT(POWER((((Constants!$G$1+$BA103+$BB103+$BC103+$BE103)*($BD103))*$BF103),IF($F103="wagon",1,1.2)))+$AY103</f>
        <v>36</v>
      </c>
      <c r="BJ103" s="14">
        <f t="shared" si="84"/>
        <v>12500</v>
      </c>
      <c r="BK103" s="14">
        <f t="shared" si="85"/>
        <v>2925</v>
      </c>
      <c r="BR103">
        <v>9</v>
      </c>
      <c r="BV103" t="str">
        <f>VLOOKUP(I103,Eras!$A$2:$C$10, 2, TRUE)</f>
        <v>early</v>
      </c>
      <c r="BW103" t="s">
        <v>326</v>
      </c>
      <c r="BX103" t="str">
        <f t="shared" si="86"/>
        <v>early_Mixed Traffic</v>
      </c>
      <c r="BY103" t="str">
        <f t="shared" si="87"/>
        <v>steam_RAIL</v>
      </c>
      <c r="BZ103" s="17" t="str" cm="1">
        <f t="array" ref="BZ103">_xlfn.CONCAT("{BLACK}Length: {GOLD}", TEXT(ROUNDUP(IF(AP103&lt;&gt;"",SUM(VALUE(_xlfn.TEXTSPLIT(AP103, ","))), SUM(VALUE(_xlfn.TEXTSPLIT(AM103, ",")))*IF(L103, L103, 1))/16, 1), "#,##0.0"), " tiles{}")</f>
        <v>{BLACK}Length: {GOLD}0.6 tiles{}</v>
      </c>
      <c r="CA103" t="str">
        <f>VLOOKUP($BY103, Constants!$M:$N, 2, FALSE)</f>
        <v>{BLACK}Powered by: {GOLD}Steam</v>
      </c>
      <c r="CB103" t="str">
        <f t="shared" si="88"/>
        <v/>
      </c>
      <c r="CC103" t="s">
        <v>1366</v>
      </c>
      <c r="CD103" t="str">
        <f t="shared" si="89"/>
        <v/>
      </c>
      <c r="CE103" t="str">
        <f t="shared" si="61"/>
        <v>{BLACK}Powered by: {GOLD}Steam {}{BLACK}Length: {GOLD}0.6 tiles{}{SILVER}The Patentee was an enlarged version of the Planet type with an additional trailing rear axle, making it more stable and allowing a larger firebox.</v>
      </c>
    </row>
    <row r="104" spans="1:83" x14ac:dyDescent="0.25">
      <c r="A104" t="s">
        <v>124</v>
      </c>
      <c r="B104" t="s">
        <v>211</v>
      </c>
      <c r="C104">
        <v>156</v>
      </c>
      <c r="D104">
        <v>8</v>
      </c>
      <c r="E104" t="s">
        <v>1508</v>
      </c>
      <c r="F104" t="s">
        <v>262</v>
      </c>
      <c r="G104" t="s">
        <v>271</v>
      </c>
      <c r="H104" t="s">
        <v>274</v>
      </c>
      <c r="I104">
        <v>1838</v>
      </c>
      <c r="K104">
        <v>1870</v>
      </c>
      <c r="M104">
        <v>100</v>
      </c>
      <c r="O104" s="5">
        <v>14</v>
      </c>
      <c r="P104" s="5">
        <v>18</v>
      </c>
      <c r="Q104" s="5">
        <v>2</v>
      </c>
      <c r="R104" s="5">
        <v>50</v>
      </c>
      <c r="S104" s="6">
        <f t="shared" si="91"/>
        <v>116.71362493405657</v>
      </c>
      <c r="T104" s="5">
        <v>1.5</v>
      </c>
      <c r="U104" s="5">
        <f t="shared" si="92"/>
        <v>74.242424242424235</v>
      </c>
      <c r="V104">
        <v>8</v>
      </c>
      <c r="W104" s="8">
        <v>4</v>
      </c>
      <c r="Y104">
        <v>18</v>
      </c>
      <c r="Z104" s="3">
        <f t="shared" si="76"/>
        <v>0.15</v>
      </c>
      <c r="AA104">
        <v>40</v>
      </c>
      <c r="AB104">
        <f t="shared" si="90"/>
        <v>64</v>
      </c>
      <c r="AF104">
        <v>8</v>
      </c>
      <c r="AI104" s="10">
        <v>0</v>
      </c>
      <c r="AJ104" t="str">
        <f>CONCATENATE(VLOOKUP(AK104, 'Voxel Sizes'!$A$2:$B$18,2,FALSE),"x",INT(AG104*15), "x", INT(AH104*15))</f>
        <v>82x0x0</v>
      </c>
      <c r="AK104">
        <f t="shared" si="77"/>
        <v>5</v>
      </c>
      <c r="AL104" t="s">
        <v>1347</v>
      </c>
      <c r="AM104" t="str">
        <f>CONCATENATE(VLOOKUP(AK104,Constants!$A$2:$C$16,IF(AL104&lt;&gt;"", 3, 2), FALSE),IF(AL104&lt;&gt;"",CONCATENATE(",",VLOOKUP(AL104,$B:$AM,38,FALSE)),""))</f>
        <v>2,1,2,1,2,1</v>
      </c>
      <c r="AU104">
        <v>1</v>
      </c>
      <c r="AW104">
        <v>32</v>
      </c>
      <c r="AX104" s="15">
        <f t="shared" si="78"/>
        <v>40</v>
      </c>
      <c r="AY104">
        <v>-5</v>
      </c>
      <c r="AZ104">
        <v>-8</v>
      </c>
      <c r="BA104">
        <f t="shared" si="79"/>
        <v>8</v>
      </c>
      <c r="BB104">
        <f t="shared" si="80"/>
        <v>0.5</v>
      </c>
      <c r="BC104">
        <f t="shared" si="81"/>
        <v>0.89999999999999991</v>
      </c>
      <c r="BD104" s="3">
        <f t="shared" si="82"/>
        <v>1</v>
      </c>
      <c r="BE104">
        <f t="shared" si="83"/>
        <v>0</v>
      </c>
      <c r="BF104">
        <f>VLOOKUP($G104,Constants!$I:$K, 2, FALSE)</f>
        <v>1.1499999999999999</v>
      </c>
      <c r="BG104">
        <f>VLOOKUP($G104,Constants!$I:$K, 3, FALSE)*IF(AND(F104="multiple_unit",AA104&lt;110),0.75,1)</f>
        <v>1.7</v>
      </c>
      <c r="BH104">
        <f>INT(POWER(((Constants!$G$2+$BA104+$BB104+$BC104+$BE104)*$BD104)*$BG104, 1.05))+$AZ104</f>
        <v>20</v>
      </c>
      <c r="BI104">
        <f>INT(POWER((((Constants!$G$1+$BA104+$BB104+$BC104+$BE104)*($BD104))*$BF104),IF($F104="wagon",1,1.2)))+$AY104</f>
        <v>49</v>
      </c>
      <c r="BJ104" s="14">
        <f t="shared" si="84"/>
        <v>15625</v>
      </c>
      <c r="BK104" s="14">
        <f t="shared" si="85"/>
        <v>3981.25</v>
      </c>
      <c r="BR104">
        <v>5</v>
      </c>
      <c r="BV104" t="str">
        <f>VLOOKUP(I104,Eras!$A$2:$C$10, 2, TRUE)</f>
        <v>early</v>
      </c>
      <c r="BW104" t="s">
        <v>326</v>
      </c>
      <c r="BX104" t="str">
        <f t="shared" si="86"/>
        <v>early_Mixed Traffic</v>
      </c>
      <c r="BY104" t="str">
        <f t="shared" si="87"/>
        <v>steam_RAIL</v>
      </c>
      <c r="BZ104" s="17" t="str" cm="1">
        <f t="array" ref="BZ104">_xlfn.CONCAT("{BLACK}Length: {GOLD}", TEXT(ROUNDUP(IF(AP104&lt;&gt;"",SUM(VALUE(_xlfn.TEXTSPLIT(AP104, ","))), SUM(VALUE(_xlfn.TEXTSPLIT(AM104, ",")))*IF(L104, L104, 1))/16, 1), "#,##0.0"), " tiles{}")</f>
        <v>{BLACK}Length: {GOLD}0.6 tiles{}</v>
      </c>
      <c r="CA104" t="str">
        <f>VLOOKUP($BY104, Constants!$M:$N, 2, FALSE)</f>
        <v>{BLACK}Powered by: {GOLD}Steam</v>
      </c>
      <c r="CB104" t="str">
        <f t="shared" si="88"/>
        <v/>
      </c>
      <c r="CC104" t="s">
        <v>1348</v>
      </c>
      <c r="CD104" t="str">
        <f t="shared" si="89"/>
        <v/>
      </c>
      <c r="CE104" t="str">
        <f t="shared" si="61"/>
        <v>{BLACK}Powered by: {GOLD}Steam {}{BLACK}Length: {GOLD}0.6 tiles{}{SILVER}The Liverpool and Manchester Railway's "Lion" is most famous for its appearance in the 1953 film "The Titfield Thunderbolt", in which it sustained a dent which can still be seen today.</v>
      </c>
    </row>
    <row r="105" spans="1:83" x14ac:dyDescent="0.25">
      <c r="A105" t="s">
        <v>0</v>
      </c>
      <c r="B105" t="s">
        <v>149</v>
      </c>
      <c r="C105">
        <v>160</v>
      </c>
      <c r="D105">
        <v>9</v>
      </c>
      <c r="E105" t="s">
        <v>1508</v>
      </c>
      <c r="F105" t="s">
        <v>262</v>
      </c>
      <c r="G105" t="s">
        <v>271</v>
      </c>
      <c r="H105" t="s">
        <v>274</v>
      </c>
      <c r="I105">
        <v>1846</v>
      </c>
      <c r="K105">
        <v>1900</v>
      </c>
      <c r="M105">
        <v>250</v>
      </c>
      <c r="O105" s="5">
        <v>14</v>
      </c>
      <c r="P105" s="5">
        <v>24</v>
      </c>
      <c r="Q105" s="5">
        <v>2</v>
      </c>
      <c r="R105" s="5">
        <v>110</v>
      </c>
      <c r="S105" s="6">
        <f t="shared" si="91"/>
        <v>121.57669263964229</v>
      </c>
      <c r="T105" s="5">
        <v>1.44</v>
      </c>
      <c r="U105" s="5">
        <f t="shared" si="92"/>
        <v>226.85185185185185</v>
      </c>
      <c r="V105">
        <v>19</v>
      </c>
      <c r="W105" s="8">
        <v>11</v>
      </c>
      <c r="Y105">
        <v>34</v>
      </c>
      <c r="Z105" s="3">
        <f t="shared" si="76"/>
        <v>0.11333333333333333</v>
      </c>
      <c r="AA105">
        <v>40</v>
      </c>
      <c r="AB105">
        <f t="shared" si="90"/>
        <v>64</v>
      </c>
      <c r="AF105">
        <v>8</v>
      </c>
      <c r="AI105" s="10">
        <v>0</v>
      </c>
      <c r="AJ105" t="str">
        <f>CONCATENATE(VLOOKUP(AK105, 'Voxel Sizes'!$A$2:$B$18,2,FALSE),"x",INT(AG105*15), "x", INT(AH105*15))</f>
        <v>82x0x0</v>
      </c>
      <c r="AK105">
        <f t="shared" si="77"/>
        <v>5</v>
      </c>
      <c r="AL105" t="s">
        <v>1345</v>
      </c>
      <c r="AM105" t="str">
        <f>CONCATENATE(VLOOKUP(AK105,Constants!$A$2:$C$16,IF(AL105&lt;&gt;"", 3, 2), FALSE),IF(AL105&lt;&gt;"",CONCATENATE(",",VLOOKUP(AL105,$B:$AM,38,FALSE)),""))</f>
        <v>2,1,2,1,2,1</v>
      </c>
      <c r="AU105">
        <v>1</v>
      </c>
      <c r="AW105">
        <v>30</v>
      </c>
      <c r="AX105" s="15">
        <f t="shared" si="78"/>
        <v>62</v>
      </c>
      <c r="AZ105">
        <v>-5</v>
      </c>
      <c r="BA105">
        <f t="shared" si="79"/>
        <v>8</v>
      </c>
      <c r="BB105">
        <f t="shared" si="80"/>
        <v>1.25</v>
      </c>
      <c r="BC105">
        <f t="shared" si="81"/>
        <v>1.7000000000000002</v>
      </c>
      <c r="BD105" s="3">
        <f t="shared" si="82"/>
        <v>1</v>
      </c>
      <c r="BE105">
        <f t="shared" si="83"/>
        <v>0</v>
      </c>
      <c r="BF105">
        <f>VLOOKUP($G105,Constants!$I:$K, 2, FALSE)</f>
        <v>1.1499999999999999</v>
      </c>
      <c r="BG105">
        <f>VLOOKUP($G105,Constants!$I:$K, 3, FALSE)*IF(AND(F105="multiple_unit",AA105&lt;110),0.75,1)</f>
        <v>1.7</v>
      </c>
      <c r="BH105">
        <f>INT(POWER(((Constants!$G$2+$BA105+$BB105+$BC105+$BE105)*$BD105)*$BG105, 1.05))+$AZ105</f>
        <v>26</v>
      </c>
      <c r="BI105">
        <f>INT(POWER((((Constants!$G$1+$BA105+$BB105+$BC105+$BE105)*($BD105))*$BF105),IF($F105="wagon",1,1.2)))+$AY105</f>
        <v>58</v>
      </c>
      <c r="BJ105" s="14">
        <f t="shared" si="84"/>
        <v>20312.5</v>
      </c>
      <c r="BK105" s="14">
        <f t="shared" si="85"/>
        <v>4712.5</v>
      </c>
      <c r="BR105">
        <v>7</v>
      </c>
      <c r="BV105" t="str">
        <f>VLOOKUP(I105,Eras!$A$2:$C$10, 2, TRUE)</f>
        <v>early</v>
      </c>
      <c r="BW105" t="s">
        <v>326</v>
      </c>
      <c r="BX105" t="str">
        <f t="shared" si="86"/>
        <v>early_Mixed Traffic</v>
      </c>
      <c r="BY105" t="str">
        <f t="shared" si="87"/>
        <v>steam_RAIL</v>
      </c>
      <c r="BZ105" s="17" t="str" cm="1">
        <f t="array" ref="BZ105">_xlfn.CONCAT("{BLACK}Length: {GOLD}", TEXT(ROUNDUP(IF(AP105&lt;&gt;"",SUM(VALUE(_xlfn.TEXTSPLIT(AP105, ","))), SUM(VALUE(_xlfn.TEXTSPLIT(AM105, ",")))*IF(L105, L105, 1))/16, 1), "#,##0.0"), " tiles{}")</f>
        <v>{BLACK}Length: {GOLD}0.6 tiles{}</v>
      </c>
      <c r="CA105" t="str">
        <f>VLOOKUP($BY105, Constants!$M:$N, 2, FALSE)</f>
        <v>{BLACK}Powered by: {GOLD}Steam</v>
      </c>
      <c r="CB105" t="str">
        <f t="shared" ref="CB105:CB110" si="93">IF(L105&gt;1,_xlfn.CONCAT("{BLACK}Cars: {GOLD}", L105),"")</f>
        <v/>
      </c>
      <c r="CC105" t="s">
        <v>1343</v>
      </c>
      <c r="CD105" t="str">
        <f t="shared" ref="CD105:CD136" si="94">IF(BU105="BRAKE","{YELLOW}Speed bonus for slow wagons{}",IF(BS105&gt;190,CONCATENATE("{YELLOW}",INT((BS105-185)/1.85),"% Bonus for long distance travel{}"),IF(AND(BS105&lt;180,BS105&lt;&gt;0),CONCATENATE("{YELLOW}",INT((185-BS105)/1.85),"% Penalty for long distance travel{}"),"")))</f>
        <v/>
      </c>
      <c r="CE105" t="str">
        <f t="shared" si="61"/>
        <v>{BLACK}Powered by: {GOLD}Steam {}{BLACK}Length: {GOLD}0.6 tiles{}{SILVER}Bury's bar frame locomotives used iron frames between the wheels to reduce weight. The "Coppernob" was named for its copper-plated firebox.</v>
      </c>
    </row>
    <row r="106" spans="1:83" x14ac:dyDescent="0.25">
      <c r="A106" t="s">
        <v>1</v>
      </c>
      <c r="B106" t="s">
        <v>150</v>
      </c>
      <c r="C106">
        <v>164</v>
      </c>
      <c r="D106">
        <v>10</v>
      </c>
      <c r="E106" t="s">
        <v>1508</v>
      </c>
      <c r="F106" t="s">
        <v>262</v>
      </c>
      <c r="G106" t="s">
        <v>271</v>
      </c>
      <c r="H106" t="s">
        <v>274</v>
      </c>
      <c r="I106">
        <v>1847</v>
      </c>
      <c r="K106">
        <v>1885</v>
      </c>
      <c r="M106">
        <v>300</v>
      </c>
      <c r="O106" s="5">
        <v>14</v>
      </c>
      <c r="P106" s="5">
        <v>24</v>
      </c>
      <c r="Q106" s="5">
        <v>2</v>
      </c>
      <c r="R106" s="5">
        <v>130</v>
      </c>
      <c r="S106" s="6">
        <f t="shared" si="91"/>
        <v>131.30282805081364</v>
      </c>
      <c r="T106" s="5">
        <v>2</v>
      </c>
      <c r="U106" s="5">
        <f t="shared" si="92"/>
        <v>289.5454545454545</v>
      </c>
      <c r="V106">
        <v>21</v>
      </c>
      <c r="W106" s="8">
        <v>11</v>
      </c>
      <c r="Y106">
        <v>28</v>
      </c>
      <c r="Z106" s="3">
        <f t="shared" si="76"/>
        <v>8.7499999999999994E-2</v>
      </c>
      <c r="AA106">
        <v>60</v>
      </c>
      <c r="AB106">
        <f t="shared" si="90"/>
        <v>96</v>
      </c>
      <c r="AE106">
        <v>8</v>
      </c>
      <c r="AF106">
        <v>8</v>
      </c>
      <c r="AI106" s="10">
        <v>0</v>
      </c>
      <c r="AJ106" t="str">
        <f>CONCATENATE(VLOOKUP(AK106, 'Voxel Sizes'!$A$2:$B$18,2,FALSE),"x",INT(AG106*15), "x", INT(AH106*15))</f>
        <v>82x0x0</v>
      </c>
      <c r="AK106">
        <f t="shared" si="77"/>
        <v>5</v>
      </c>
      <c r="AL106" t="s">
        <v>1347</v>
      </c>
      <c r="AM106" t="str">
        <f>CONCATENATE(VLOOKUP(AK106,Constants!$A$2:$C$16,IF(AL106&lt;&gt;"", 3, 2), FALSE),IF(AL106&lt;&gt;"",CONCATENATE(",",VLOOKUP(AL106,$B:$AM,38,FALSE)),""))</f>
        <v>2,1,2,1,2,1</v>
      </c>
      <c r="AU106">
        <v>1</v>
      </c>
      <c r="AW106">
        <v>28</v>
      </c>
      <c r="AX106" s="15">
        <f t="shared" si="78"/>
        <v>46</v>
      </c>
      <c r="AZ106">
        <v>-5</v>
      </c>
      <c r="BA106">
        <f t="shared" si="79"/>
        <v>12</v>
      </c>
      <c r="BB106">
        <f t="shared" si="80"/>
        <v>1.5</v>
      </c>
      <c r="BC106">
        <f t="shared" si="81"/>
        <v>1.4000000000000001</v>
      </c>
      <c r="BD106" s="3">
        <f t="shared" si="82"/>
        <v>1</v>
      </c>
      <c r="BE106">
        <f t="shared" si="83"/>
        <v>0</v>
      </c>
      <c r="BF106">
        <f>VLOOKUP($G106,Constants!$I:$K, 2, FALSE)</f>
        <v>1.1499999999999999</v>
      </c>
      <c r="BG106">
        <f>VLOOKUP($G106,Constants!$I:$K, 3, FALSE)*IF(AND(F106="multiple_unit",AA106&lt;110),0.75,1)</f>
        <v>1.7</v>
      </c>
      <c r="BH106">
        <f>INT(POWER(((Constants!$G$2+$BA106+$BB106+$BC106+$BE106)*$BD106)*$BG106, 1.05))+$AZ106</f>
        <v>35</v>
      </c>
      <c r="BI106">
        <f>INT(POWER((((Constants!$G$1+$BA106+$BB106+$BC106+$BE106)*($BD106))*$BF106),IF($F106="wagon",1,1.2)))+$AY106</f>
        <v>69</v>
      </c>
      <c r="BJ106" s="14">
        <f t="shared" si="84"/>
        <v>27343.75</v>
      </c>
      <c r="BK106" s="14">
        <f t="shared" si="85"/>
        <v>5606.25</v>
      </c>
      <c r="BR106">
        <v>9</v>
      </c>
      <c r="BV106" t="str">
        <f>VLOOKUP(I106,Eras!$A$2:$C$10, 2, TRUE)</f>
        <v>early</v>
      </c>
      <c r="BW106" t="s">
        <v>327</v>
      </c>
      <c r="BX106" t="str">
        <f t="shared" si="86"/>
        <v>early_Express</v>
      </c>
      <c r="BY106" t="str">
        <f t="shared" si="87"/>
        <v>steam_RAIL</v>
      </c>
      <c r="BZ106" s="17" t="str" cm="1">
        <f t="array" ref="BZ106">_xlfn.CONCAT("{BLACK}Length: {GOLD}", TEXT(ROUNDUP(IF(AP106&lt;&gt;"",SUM(VALUE(_xlfn.TEXTSPLIT(AP106, ","))), SUM(VALUE(_xlfn.TEXTSPLIT(AM106, ",")))*IF(L106, L106, 1))/16, 1), "#,##0.0"), " tiles{}")</f>
        <v>{BLACK}Length: {GOLD}0.6 tiles{}</v>
      </c>
      <c r="CA106" t="str">
        <f>VLOOKUP($BY106, Constants!$M:$N, 2, FALSE)</f>
        <v>{BLACK}Powered by: {GOLD}Steam</v>
      </c>
      <c r="CB106" t="str">
        <f t="shared" si="93"/>
        <v/>
      </c>
      <c r="CC106" t="s">
        <v>1340</v>
      </c>
      <c r="CD106" t="str">
        <f t="shared" si="94"/>
        <v/>
      </c>
      <c r="CE106" t="str">
        <f t="shared" si="61"/>
        <v>{BLACK}Powered by: {GOLD}Steam {}{BLACK}Length: {GOLD}0.6 tiles{}{SILVER}Crampton locomotives were designed for a low centre of gravity, to run at higher speeds on standard gauge track. Features included large driving wheels and an oval boiler.</v>
      </c>
    </row>
    <row r="107" spans="1:83" x14ac:dyDescent="0.25">
      <c r="A107" t="s">
        <v>2</v>
      </c>
      <c r="B107" t="s">
        <v>151</v>
      </c>
      <c r="C107">
        <v>166</v>
      </c>
      <c r="D107">
        <v>11</v>
      </c>
      <c r="E107" t="s">
        <v>1508</v>
      </c>
      <c r="F107" t="s">
        <v>262</v>
      </c>
      <c r="G107" t="s">
        <v>271</v>
      </c>
      <c r="H107" t="s">
        <v>274</v>
      </c>
      <c r="I107">
        <v>1852</v>
      </c>
      <c r="K107">
        <v>1923</v>
      </c>
      <c r="M107">
        <v>500</v>
      </c>
      <c r="O107" s="5">
        <v>17</v>
      </c>
      <c r="P107" s="5">
        <v>26</v>
      </c>
      <c r="Q107" s="5">
        <v>2</v>
      </c>
      <c r="R107" s="5">
        <v>140</v>
      </c>
      <c r="S107" s="6">
        <f t="shared" si="91"/>
        <v>145.89203116757071</v>
      </c>
      <c r="T107" s="5">
        <v>1.5</v>
      </c>
      <c r="U107" s="5">
        <f t="shared" si="92"/>
        <v>553.43013468013453</v>
      </c>
      <c r="V107">
        <v>36</v>
      </c>
      <c r="W107" s="8">
        <v>22.5</v>
      </c>
      <c r="Y107">
        <v>65</v>
      </c>
      <c r="Z107" s="3">
        <f t="shared" si="76"/>
        <v>0.1111111111111111</v>
      </c>
      <c r="AA107">
        <v>50</v>
      </c>
      <c r="AB107">
        <f t="shared" si="90"/>
        <v>80</v>
      </c>
      <c r="AF107">
        <v>10</v>
      </c>
      <c r="AI107" s="10">
        <v>0</v>
      </c>
      <c r="AJ107" t="str">
        <f>CONCATENATE(VLOOKUP(AK107, 'Voxel Sizes'!$A$2:$B$18,2,FALSE),"x",INT(AG107*15), "x", INT(AH107*15))</f>
        <v>102x0x0</v>
      </c>
      <c r="AK107">
        <f t="shared" si="77"/>
        <v>6</v>
      </c>
      <c r="AL107" t="s">
        <v>1342</v>
      </c>
      <c r="AM107" t="str">
        <f>CONCATENATE(VLOOKUP(AK107,Constants!$A$2:$C$16,IF(AL107&lt;&gt;"", 3, 2), FALSE),IF(AL107&lt;&gt;"",CONCATENATE(",",VLOOKUP(AL107,$B:$AM,38,FALSE)),""))</f>
        <v>2,2,2,1,2,1</v>
      </c>
      <c r="AU107">
        <v>1</v>
      </c>
      <c r="AW107">
        <v>30</v>
      </c>
      <c r="AX107" s="15">
        <f t="shared" si="78"/>
        <v>79</v>
      </c>
      <c r="BA107">
        <f t="shared" si="79"/>
        <v>10</v>
      </c>
      <c r="BB107">
        <f t="shared" si="80"/>
        <v>2.5</v>
      </c>
      <c r="BC107">
        <f t="shared" si="81"/>
        <v>3.25</v>
      </c>
      <c r="BD107" s="3">
        <f t="shared" si="82"/>
        <v>1</v>
      </c>
      <c r="BE107">
        <f t="shared" si="83"/>
        <v>0</v>
      </c>
      <c r="BF107">
        <f>VLOOKUP($G107,Constants!$I:$K, 2, FALSE)</f>
        <v>1.1499999999999999</v>
      </c>
      <c r="BG107">
        <f>VLOOKUP($G107,Constants!$I:$K, 3, FALSE)*IF(AND(F107="multiple_unit",AA107&lt;110),0.75,1)</f>
        <v>1.7</v>
      </c>
      <c r="BH107">
        <f>INT(POWER(((Constants!$G$2+$BA107+$BB107+$BC107+$BE107)*$BD107)*$BG107, 1.05))+$AZ107</f>
        <v>42</v>
      </c>
      <c r="BI107">
        <f>INT(POWER((((Constants!$G$1+$BA107+$BB107+$BC107+$BE107)*($BD107))*$BF107),IF($F107="wagon",1,1.2)))+$AY107</f>
        <v>72</v>
      </c>
      <c r="BJ107" s="14">
        <f t="shared" si="84"/>
        <v>32812.5</v>
      </c>
      <c r="BK107" s="14">
        <f t="shared" si="85"/>
        <v>5850</v>
      </c>
      <c r="BR107">
        <v>10</v>
      </c>
      <c r="BV107" t="str">
        <f>VLOOKUP(I107,Eras!$A$2:$C$10, 2, TRUE)</f>
        <v>vct</v>
      </c>
      <c r="BW107" t="s">
        <v>328</v>
      </c>
      <c r="BX107" t="str">
        <f t="shared" si="86"/>
        <v>vct_Freight</v>
      </c>
      <c r="BY107" t="str">
        <f t="shared" si="87"/>
        <v>steam_RAIL</v>
      </c>
      <c r="BZ107" s="17" t="str" cm="1">
        <f t="array" ref="BZ107">_xlfn.CONCAT("{BLACK}Length: {GOLD}", TEXT(ROUNDUP(IF(AP107&lt;&gt;"",SUM(VALUE(_xlfn.TEXTSPLIT(AP107, ","))), SUM(VALUE(_xlfn.TEXTSPLIT(AM107, ",")))*IF(L107, L107, 1))/16, 1), "#,##0.0"), " tiles{}")</f>
        <v>{BLACK}Length: {GOLD}0.7 tiles{}</v>
      </c>
      <c r="CA107" t="str">
        <f>VLOOKUP($BY107, Constants!$M:$N, 2, FALSE)</f>
        <v>{BLACK}Powered by: {GOLD}Steam</v>
      </c>
      <c r="CB107" t="str">
        <f t="shared" si="93"/>
        <v/>
      </c>
      <c r="CC107" t="s">
        <v>1339</v>
      </c>
      <c r="CD107" t="str">
        <f t="shared" si="94"/>
        <v/>
      </c>
      <c r="CE107" t="str">
        <f t="shared" si="61"/>
        <v>{BLACK}Powered by: {GOLD}Steam {}{BLACK}Length: {GOLD}0.7 tiles{}{SILVER}The NER 1001 Class is typical of a "long boiler" freight engine, with a small firebox mounted behind the rear axle.</v>
      </c>
    </row>
    <row r="108" spans="1:83" x14ac:dyDescent="0.25">
      <c r="A108" t="s">
        <v>1473</v>
      </c>
      <c r="B108" t="s">
        <v>1474</v>
      </c>
      <c r="C108">
        <v>167</v>
      </c>
      <c r="D108">
        <v>12</v>
      </c>
      <c r="E108" t="s">
        <v>1508</v>
      </c>
      <c r="F108" t="s">
        <v>262</v>
      </c>
      <c r="G108" t="s">
        <v>271</v>
      </c>
      <c r="H108" t="s">
        <v>274</v>
      </c>
      <c r="I108">
        <v>1858</v>
      </c>
      <c r="K108">
        <v>1930</v>
      </c>
      <c r="M108">
        <v>450</v>
      </c>
      <c r="O108" s="5">
        <v>17</v>
      </c>
      <c r="P108" s="5">
        <v>24</v>
      </c>
      <c r="Q108" s="5">
        <v>2</v>
      </c>
      <c r="R108" s="5">
        <v>120</v>
      </c>
      <c r="S108" s="6">
        <f t="shared" si="91"/>
        <v>111.15583327053008</v>
      </c>
      <c r="T108" s="5">
        <v>1.575</v>
      </c>
      <c r="U108" s="5">
        <f t="shared" si="92"/>
        <v>333.62193362193369</v>
      </c>
      <c r="V108">
        <v>19</v>
      </c>
      <c r="W108" s="8">
        <v>10</v>
      </c>
      <c r="Y108">
        <v>51</v>
      </c>
      <c r="Z108" s="3">
        <f t="shared" si="76"/>
        <v>0.17586206896551723</v>
      </c>
      <c r="AA108">
        <v>40</v>
      </c>
      <c r="AB108">
        <f t="shared" si="90"/>
        <v>64</v>
      </c>
      <c r="AF108">
        <v>10</v>
      </c>
      <c r="AI108" s="10">
        <v>0</v>
      </c>
      <c r="AJ108" t="str">
        <f>CONCATENATE(VLOOKUP(AK108, 'Voxel Sizes'!$A$2:$B$18,2,FALSE),"x",INT(AG108*15), "x", INT(AH108*15))</f>
        <v>102x0x0</v>
      </c>
      <c r="AK108">
        <f t="shared" si="77"/>
        <v>6</v>
      </c>
      <c r="AL108" t="s">
        <v>1476</v>
      </c>
      <c r="AM108" t="str">
        <f>CONCATENATE(VLOOKUP(AK108,Constants!$A$2:$C$16,IF(AL108&lt;&gt;"", 3, 2), FALSE),IF(AL108&lt;&gt;"",CONCATENATE(",",VLOOKUP(AL108,$B:$AM,38,FALSE)),""))</f>
        <v>2,2,2,1,2,1</v>
      </c>
      <c r="AU108">
        <v>1</v>
      </c>
      <c r="AW108">
        <v>31</v>
      </c>
      <c r="AX108" s="15">
        <f t="shared" si="78"/>
        <v>80</v>
      </c>
      <c r="BA108">
        <f t="shared" si="79"/>
        <v>8</v>
      </c>
      <c r="BB108">
        <f t="shared" si="80"/>
        <v>2.25</v>
      </c>
      <c r="BC108">
        <f t="shared" si="81"/>
        <v>2.5499999999999998</v>
      </c>
      <c r="BD108" s="3">
        <f t="shared" si="82"/>
        <v>1</v>
      </c>
      <c r="BE108">
        <f t="shared" si="83"/>
        <v>0</v>
      </c>
      <c r="BF108">
        <f>VLOOKUP($G108,Constants!$I:$K, 2, FALSE)</f>
        <v>1.1499999999999999</v>
      </c>
      <c r="BG108">
        <f>VLOOKUP($G108,Constants!$I:$K, 3, FALSE)*IF(AND(F108="multiple_unit",AA108&lt;110),0.75,1)</f>
        <v>1.7</v>
      </c>
      <c r="BH108">
        <f>INT(POWER(((Constants!$G$2+$BA108+$BB108+$BC108+$BE108)*$BD108)*$BG108, 1.05))+$AZ108</f>
        <v>35</v>
      </c>
      <c r="BI108">
        <f>INT(POWER((((Constants!$G$1+$BA108+$BB108+$BC108+$BE108)*($BD108))*$BF108),IF($F108="wagon",1,1.2)))+$AY108</f>
        <v>63</v>
      </c>
      <c r="BJ108" s="14">
        <f t="shared" si="84"/>
        <v>27343.75</v>
      </c>
      <c r="BK108" s="14">
        <f t="shared" si="85"/>
        <v>5118.75</v>
      </c>
      <c r="BR108">
        <v>9</v>
      </c>
      <c r="BV108" t="str">
        <f>VLOOKUP(I108,Eras!$A$2:$C$10, 2, TRUE)</f>
        <v>vct</v>
      </c>
      <c r="BW108" t="s">
        <v>327</v>
      </c>
      <c r="BX108" t="str">
        <f t="shared" si="86"/>
        <v>vct_Express</v>
      </c>
      <c r="BY108" t="str">
        <f t="shared" si="87"/>
        <v>steam_RAIL</v>
      </c>
      <c r="BZ108" s="17" t="str" cm="1">
        <f t="array" ref="BZ108">_xlfn.CONCAT("{BLACK}Length: {GOLD}", TEXT(ROUNDUP(IF(AP108&lt;&gt;"",SUM(VALUE(_xlfn.TEXTSPLIT(AP108, ","))), SUM(VALUE(_xlfn.TEXTSPLIT(AM108, ",")))*IF(L108, L108, 1))/16, 1), "#,##0.0"), " tiles{}")</f>
        <v>{BLACK}Length: {GOLD}0.7 tiles{}</v>
      </c>
      <c r="CA108" t="str">
        <f>VLOOKUP($BY108, Constants!$M:$N, 2, FALSE)</f>
        <v>{BLACK}Powered by: {GOLD}Steam</v>
      </c>
      <c r="CB108" t="str">
        <f t="shared" si="93"/>
        <v/>
      </c>
      <c r="CC108" t="s">
        <v>1475</v>
      </c>
      <c r="CD108" t="str">
        <f t="shared" si="94"/>
        <v/>
      </c>
      <c r="CE108" t="str">
        <f t="shared" si="61"/>
        <v>{BLACK}Powered by: {GOLD}Steam {}{BLACK}Length: {GOLD}0.7 tiles{}{SILVER}More LNWR DX Goods locomotives were produced than any other steam locomotive class: 943 in total.</v>
      </c>
    </row>
    <row r="109" spans="1:83" x14ac:dyDescent="0.25">
      <c r="A109" t="s">
        <v>3</v>
      </c>
      <c r="B109" t="s">
        <v>212</v>
      </c>
      <c r="C109">
        <v>168</v>
      </c>
      <c r="D109">
        <v>13</v>
      </c>
      <c r="E109" t="s">
        <v>1508</v>
      </c>
      <c r="F109" t="s">
        <v>262</v>
      </c>
      <c r="G109" t="s">
        <v>271</v>
      </c>
      <c r="H109" t="s">
        <v>274</v>
      </c>
      <c r="I109">
        <v>1859</v>
      </c>
      <c r="K109">
        <v>1907</v>
      </c>
      <c r="M109">
        <v>400</v>
      </c>
      <c r="O109" s="5">
        <v>16</v>
      </c>
      <c r="P109" s="5">
        <v>24</v>
      </c>
      <c r="Q109" s="5">
        <v>2</v>
      </c>
      <c r="R109" s="5">
        <v>120</v>
      </c>
      <c r="S109" s="6">
        <f t="shared" si="91"/>
        <v>134.37423923328885</v>
      </c>
      <c r="T109" s="5">
        <v>2.2799999999999998</v>
      </c>
      <c r="U109" s="5">
        <f t="shared" si="92"/>
        <v>357.25677830940992</v>
      </c>
      <c r="V109">
        <v>27.4</v>
      </c>
      <c r="W109" s="8">
        <v>15</v>
      </c>
      <c r="Y109">
        <v>31</v>
      </c>
      <c r="Z109" s="3">
        <f t="shared" si="76"/>
        <v>7.3113207547169809E-2</v>
      </c>
      <c r="AA109">
        <v>70</v>
      </c>
      <c r="AB109">
        <f t="shared" si="90"/>
        <v>112</v>
      </c>
      <c r="AF109">
        <v>8</v>
      </c>
      <c r="AI109" s="10">
        <v>0</v>
      </c>
      <c r="AJ109" t="str">
        <f>CONCATENATE(VLOOKUP(AK109, 'Voxel Sizes'!$A$2:$B$18,2,FALSE),"x",INT(AG109*15), "x", INT(AH109*15))</f>
        <v>82x0x0</v>
      </c>
      <c r="AK109">
        <f t="shared" si="77"/>
        <v>5</v>
      </c>
      <c r="AL109" t="s">
        <v>1347</v>
      </c>
      <c r="AM109" t="str">
        <f>CONCATENATE(VLOOKUP(AK109,Constants!$A$2:$C$16,IF(AL109&lt;&gt;"", 3, 2), FALSE),IF(AL109&lt;&gt;"",CONCATENATE(",",VLOOKUP(AL109,$B:$AM,38,FALSE)),""))</f>
        <v>2,1,2,1,2,1</v>
      </c>
      <c r="AU109">
        <v>1</v>
      </c>
      <c r="AW109">
        <v>30</v>
      </c>
      <c r="AX109" s="15">
        <f t="shared" si="78"/>
        <v>56</v>
      </c>
      <c r="AY109">
        <v>5</v>
      </c>
      <c r="AZ109">
        <v>6</v>
      </c>
      <c r="BA109">
        <f t="shared" si="79"/>
        <v>14</v>
      </c>
      <c r="BB109">
        <f t="shared" si="80"/>
        <v>2</v>
      </c>
      <c r="BC109">
        <f t="shared" si="81"/>
        <v>1.55</v>
      </c>
      <c r="BD109" s="3">
        <f t="shared" si="82"/>
        <v>1</v>
      </c>
      <c r="BE109">
        <f t="shared" si="83"/>
        <v>0</v>
      </c>
      <c r="BF109">
        <f>VLOOKUP($G109,Constants!$I:$K, 2, FALSE)</f>
        <v>1.1499999999999999</v>
      </c>
      <c r="BG109">
        <f>VLOOKUP($G109,Constants!$I:$K, 3, FALSE)*IF(AND(F109="multiple_unit",AA109&lt;110),0.75,1)</f>
        <v>1.7</v>
      </c>
      <c r="BH109">
        <f>INT(POWER(((Constants!$G$2+$BA109+$BB109+$BC109+$BE109)*$BD109)*$BG109, 1.05))+$AZ109</f>
        <v>52</v>
      </c>
      <c r="BI109">
        <f>INT(POWER((((Constants!$G$1+$BA109+$BB109+$BC109+$BE109)*($BD109))*$BF109),IF($F109="wagon",1,1.2)))+$AY109</f>
        <v>82</v>
      </c>
      <c r="BJ109" s="14">
        <f t="shared" si="84"/>
        <v>40625</v>
      </c>
      <c r="BK109" s="14">
        <f t="shared" si="85"/>
        <v>6662.5</v>
      </c>
      <c r="BR109">
        <v>11</v>
      </c>
      <c r="BV109" t="str">
        <f>VLOOKUP(I109,Eras!$A$2:$C$10, 2, TRUE)</f>
        <v>vct</v>
      </c>
      <c r="BW109" t="s">
        <v>327</v>
      </c>
      <c r="BX109" t="str">
        <f t="shared" si="86"/>
        <v>vct_Express</v>
      </c>
      <c r="BY109" t="str">
        <f t="shared" si="87"/>
        <v>steam_RAIL</v>
      </c>
      <c r="BZ109" s="17" t="str" cm="1">
        <f t="array" ref="BZ109">_xlfn.CONCAT("{BLACK}Length: {GOLD}", TEXT(ROUNDUP(IF(AP109&lt;&gt;"",SUM(VALUE(_xlfn.TEXTSPLIT(AP109, ","))), SUM(VALUE(_xlfn.TEXTSPLIT(AM109, ",")))*IF(L109, L109, 1))/16, 1), "#,##0.0"), " tiles{}")</f>
        <v>{BLACK}Length: {GOLD}0.6 tiles{}</v>
      </c>
      <c r="CA109" t="str">
        <f>VLOOKUP($BY109, Constants!$M:$N, 2, FALSE)</f>
        <v>{BLACK}Powered by: {GOLD}Steam</v>
      </c>
      <c r="CB109" t="str">
        <f t="shared" si="93"/>
        <v/>
      </c>
      <c r="CC109" t="s">
        <v>1400</v>
      </c>
      <c r="CD109" t="str">
        <f t="shared" si="94"/>
        <v/>
      </c>
      <c r="CE109" t="str">
        <f t="shared" si="61"/>
        <v>{BLACK}Powered by: {GOLD}Steam {}{BLACK}Length: {GOLD}0.6 tiles{}{SILVER}Cast iron coupling rods could not withstand high speeds, so early express locomotives used a large single driving wheel to reduce valve gear speeds.</v>
      </c>
    </row>
    <row r="110" spans="1:83" x14ac:dyDescent="0.25">
      <c r="A110" t="s">
        <v>10</v>
      </c>
      <c r="B110" t="s">
        <v>152</v>
      </c>
      <c r="C110">
        <v>170</v>
      </c>
      <c r="D110">
        <v>14</v>
      </c>
      <c r="E110" t="s">
        <v>1508</v>
      </c>
      <c r="F110" t="s">
        <v>262</v>
      </c>
      <c r="G110" t="s">
        <v>271</v>
      </c>
      <c r="H110" t="s">
        <v>274</v>
      </c>
      <c r="I110">
        <v>1868</v>
      </c>
      <c r="K110">
        <v>1945</v>
      </c>
      <c r="M110">
        <v>350</v>
      </c>
      <c r="O110" s="5">
        <v>15</v>
      </c>
      <c r="P110" s="5">
        <v>24</v>
      </c>
      <c r="Q110" s="5">
        <v>2</v>
      </c>
      <c r="R110" s="5">
        <v>150</v>
      </c>
      <c r="S110" s="6">
        <f t="shared" si="91"/>
        <v>116.71362493405657</v>
      </c>
      <c r="T110" s="5">
        <v>1.5</v>
      </c>
      <c r="U110" s="5">
        <f t="shared" si="92"/>
        <v>340.90909090909088</v>
      </c>
      <c r="V110">
        <v>35.799999999999997</v>
      </c>
      <c r="Y110">
        <v>65</v>
      </c>
      <c r="Z110" s="3">
        <f t="shared" si="76"/>
        <v>0.18156424581005587</v>
      </c>
      <c r="AA110">
        <v>40</v>
      </c>
      <c r="AB110">
        <f t="shared" si="90"/>
        <v>64</v>
      </c>
      <c r="AE110">
        <v>8.65</v>
      </c>
      <c r="AF110">
        <v>8.65</v>
      </c>
      <c r="AH110">
        <v>3.7</v>
      </c>
      <c r="AI110" s="10">
        <v>0</v>
      </c>
      <c r="AJ110" t="str">
        <f>CONCATENATE(VLOOKUP(AK110, 'Voxel Sizes'!$A$2:$B$18,2,FALSE),"x",INT(AG110*15), "x", INT(AH110*15))</f>
        <v>82x0x55</v>
      </c>
      <c r="AK110">
        <f t="shared" si="77"/>
        <v>5</v>
      </c>
      <c r="AM110" t="str">
        <f>CONCATENATE(VLOOKUP(AK110,Constants!$A$2:$C$16,IF(AL110&lt;&gt;"", 3, 2), FALSE),IF(AL110&lt;&gt;"",CONCATENATE(",",VLOOKUP(AL110,$B:$AM,38,FALSE)),""))</f>
        <v>2,1,2</v>
      </c>
      <c r="AU110">
        <v>1</v>
      </c>
      <c r="AW110">
        <v>30</v>
      </c>
      <c r="AX110" s="15">
        <f t="shared" si="78"/>
        <v>85</v>
      </c>
      <c r="BA110">
        <f t="shared" si="79"/>
        <v>8</v>
      </c>
      <c r="BB110">
        <f t="shared" si="80"/>
        <v>1.75</v>
      </c>
      <c r="BC110">
        <f t="shared" si="81"/>
        <v>3.25</v>
      </c>
      <c r="BD110" s="3">
        <f t="shared" si="82"/>
        <v>1</v>
      </c>
      <c r="BE110">
        <f t="shared" si="83"/>
        <v>0</v>
      </c>
      <c r="BF110">
        <f>VLOOKUP($G110,Constants!$I:$K, 2, FALSE)</f>
        <v>1.1499999999999999</v>
      </c>
      <c r="BG110">
        <f>VLOOKUP($G110,Constants!$I:$K, 3, FALSE)*IF(AND(F110="multiple_unit",AA110&lt;110),0.75,1)</f>
        <v>1.7</v>
      </c>
      <c r="BH110">
        <f>INT(POWER(((Constants!$G$2+$BA110+$BB110+$BC110+$BE110)*$BD110)*$BG110, 1.05))+$AZ110</f>
        <v>36</v>
      </c>
      <c r="BI110">
        <f>INT(POWER((((Constants!$G$1+$BA110+$BB110+$BC110+$BE110)*($BD110))*$BF110),IF($F110="wagon",1,1.2)))+$AY110</f>
        <v>64</v>
      </c>
      <c r="BJ110" s="14">
        <f t="shared" si="84"/>
        <v>28125</v>
      </c>
      <c r="BK110" s="14">
        <f t="shared" si="85"/>
        <v>5200</v>
      </c>
      <c r="BR110">
        <v>12</v>
      </c>
      <c r="BV110" t="str">
        <f>VLOOKUP(I110,Eras!$A$2:$C$10, 2, TRUE)</f>
        <v>vct</v>
      </c>
      <c r="BW110" t="s">
        <v>326</v>
      </c>
      <c r="BX110" t="str">
        <f t="shared" si="86"/>
        <v>vct_Mixed Traffic</v>
      </c>
      <c r="BY110" t="str">
        <f t="shared" si="87"/>
        <v>steam_RAIL</v>
      </c>
      <c r="BZ110" s="17" t="str" cm="1">
        <f t="array" ref="BZ110">_xlfn.CONCAT("{BLACK}Length: {GOLD}", TEXT(ROUNDUP(IF(AP110&lt;&gt;"",SUM(VALUE(_xlfn.TEXTSPLIT(AP110, ","))), SUM(VALUE(_xlfn.TEXTSPLIT(AM110, ",")))*IF(L110, L110, 1))/16, 1), "#,##0.0"), " tiles{}")</f>
        <v>{BLACK}Length: {GOLD}0.4 tiles{}</v>
      </c>
      <c r="CA110" t="str">
        <f>VLOOKUP($BY110, Constants!$M:$N, 2, FALSE)</f>
        <v>{BLACK}Powered by: {GOLD}Steam</v>
      </c>
      <c r="CB110" t="str">
        <f t="shared" si="93"/>
        <v/>
      </c>
      <c r="CC110" t="s">
        <v>1338</v>
      </c>
      <c r="CD110" t="str">
        <f t="shared" si="94"/>
        <v/>
      </c>
      <c r="CE110" t="str">
        <f t="shared" si="61"/>
        <v>{BLACK}Powered by: {GOLD}Steam {}{BLACK}Length: {GOLD}0.4 tiles{}{SILVER}The GWR 517 class encompassed a variety of 0-4-2 side tank engines, some having been rebuilt from existing saddle tanks.</v>
      </c>
    </row>
    <row r="111" spans="1:83" x14ac:dyDescent="0.25">
      <c r="A111" t="s">
        <v>1470</v>
      </c>
      <c r="B111" t="s">
        <v>1471</v>
      </c>
      <c r="C111">
        <v>171</v>
      </c>
      <c r="D111">
        <v>15</v>
      </c>
      <c r="E111" t="s">
        <v>1508</v>
      </c>
      <c r="F111" t="s">
        <v>262</v>
      </c>
      <c r="G111" t="s">
        <v>271</v>
      </c>
      <c r="H111" t="s">
        <v>274</v>
      </c>
      <c r="I111">
        <v>1869</v>
      </c>
      <c r="K111">
        <v>1951</v>
      </c>
      <c r="M111">
        <v>480</v>
      </c>
      <c r="O111" s="5">
        <v>17</v>
      </c>
      <c r="P111" s="5">
        <v>24</v>
      </c>
      <c r="Q111" s="5">
        <v>2</v>
      </c>
      <c r="R111" s="5">
        <v>140</v>
      </c>
      <c r="S111" s="6">
        <f t="shared" si="91"/>
        <v>138.5050928806051</v>
      </c>
      <c r="T111" s="5">
        <v>1.58</v>
      </c>
      <c r="U111" s="5">
        <f t="shared" si="92"/>
        <v>484.99232834675865</v>
      </c>
      <c r="V111">
        <v>36.6</v>
      </c>
      <c r="W111" s="8">
        <v>16</v>
      </c>
      <c r="Y111">
        <v>72</v>
      </c>
      <c r="Z111" s="3">
        <f t="shared" si="76"/>
        <v>0.13688212927756654</v>
      </c>
      <c r="AA111">
        <v>50</v>
      </c>
      <c r="AB111">
        <f t="shared" si="90"/>
        <v>80</v>
      </c>
      <c r="AF111">
        <v>10</v>
      </c>
      <c r="AI111" s="10">
        <v>0</v>
      </c>
      <c r="AJ111" t="str">
        <f>CONCATENATE(VLOOKUP(AK111, 'Voxel Sizes'!$A$2:$B$18,2,FALSE),"x",INT(AG111*15), "x", INT(AH111*15))</f>
        <v>102x0x0</v>
      </c>
      <c r="AK111">
        <f t="shared" si="77"/>
        <v>6</v>
      </c>
      <c r="AL111" t="s">
        <v>1342</v>
      </c>
      <c r="AM111" t="str">
        <f>CONCATENATE(VLOOKUP(AK111,Constants!$A$2:$C$16,IF(AL111&lt;&gt;"", 3, 2), FALSE),IF(AL111&lt;&gt;"",CONCATENATE(",",VLOOKUP(AL111,$B:$AM,38,FALSE)),""))</f>
        <v>2,2,2,1,2,1</v>
      </c>
      <c r="AU111">
        <v>1</v>
      </c>
      <c r="AW111">
        <v>33</v>
      </c>
      <c r="AX111" s="15">
        <f t="shared" si="78"/>
        <v>90</v>
      </c>
      <c r="AY111">
        <v>2</v>
      </c>
      <c r="AZ111">
        <v>-2</v>
      </c>
      <c r="BA111">
        <f t="shared" si="79"/>
        <v>10</v>
      </c>
      <c r="BB111">
        <f t="shared" si="80"/>
        <v>2.4</v>
      </c>
      <c r="BC111">
        <f t="shared" si="81"/>
        <v>3.5999999999999996</v>
      </c>
      <c r="BD111" s="3">
        <f t="shared" si="82"/>
        <v>1</v>
      </c>
      <c r="BE111">
        <f t="shared" si="83"/>
        <v>0</v>
      </c>
      <c r="BF111">
        <f>VLOOKUP($G111,Constants!$I:$K, 2, FALSE)</f>
        <v>1.1499999999999999</v>
      </c>
      <c r="BG111">
        <f>VLOOKUP($G111,Constants!$I:$K, 3, FALSE)*IF(AND(F111="multiple_unit",AA111&lt;110),0.75,1)</f>
        <v>1.7</v>
      </c>
      <c r="BH111">
        <f>INT(POWER(((Constants!$G$2+$BA111+$BB111+$BC111+$BE111)*$BD111)*$BG111, 1.05))+$AZ111</f>
        <v>40</v>
      </c>
      <c r="BI111">
        <f>INT(POWER((((Constants!$G$1+$BA111+$BB111+$BC111+$BE111)*($BD111))*$BF111),IF($F111="wagon",1,1.2)))+$AY111</f>
        <v>74</v>
      </c>
      <c r="BJ111" s="14">
        <f t="shared" si="84"/>
        <v>31250</v>
      </c>
      <c r="BK111" s="14">
        <f t="shared" si="85"/>
        <v>6012.5</v>
      </c>
      <c r="BR111">
        <v>5</v>
      </c>
      <c r="BV111" t="s">
        <v>383</v>
      </c>
      <c r="BW111" t="s">
        <v>328</v>
      </c>
      <c r="BX111" t="str">
        <f t="shared" si="86"/>
        <v>vct_Freight</v>
      </c>
      <c r="BY111" t="str">
        <f t="shared" si="87"/>
        <v>steam_RAIL</v>
      </c>
      <c r="BZ111" s="17" t="str" cm="1">
        <f t="array" ref="BZ111">_xlfn.CONCAT("{BLACK}Length: {GOLD}", TEXT(ROUNDUP(IF(AP111&lt;&gt;"",SUM(VALUE(_xlfn.TEXTSPLIT(AP111, ","))), SUM(VALUE(_xlfn.TEXTSPLIT(AM111, ",")))*IF(L111, L111, 1))/16, 1), "#,##0.0"), " tiles{}")</f>
        <v>{BLACK}Length: {GOLD}0.7 tiles{}</v>
      </c>
      <c r="CA111" t="str">
        <f>VLOOKUP($BY111, Constants!$M:$N, 2, FALSE)</f>
        <v>{BLACK}Powered by: {GOLD}Steam</v>
      </c>
      <c r="CC111" t="s">
        <v>1472</v>
      </c>
      <c r="CD111" t="str">
        <f t="shared" si="94"/>
        <v/>
      </c>
      <c r="CE111" t="str">
        <f t="shared" si="61"/>
        <v>{BLACK}Powered by: {GOLD}Steam {}{BLACK}Length: {GOLD}0.7 tiles{}{SILVER}The 700 class was a widely-produced freight engine. In its later years a sixth of the originally produced locomotives were sold to the Italian State Railway.</v>
      </c>
    </row>
    <row r="112" spans="1:83" x14ac:dyDescent="0.25">
      <c r="A112" t="s">
        <v>31</v>
      </c>
      <c r="B112" t="s">
        <v>213</v>
      </c>
      <c r="C112">
        <v>172</v>
      </c>
      <c r="D112">
        <v>16</v>
      </c>
      <c r="E112" t="s">
        <v>1508</v>
      </c>
      <c r="F112" t="s">
        <v>262</v>
      </c>
      <c r="G112" t="s">
        <v>271</v>
      </c>
      <c r="H112" t="s">
        <v>274</v>
      </c>
      <c r="I112">
        <v>1872</v>
      </c>
      <c r="J112">
        <v>1880</v>
      </c>
      <c r="K112">
        <v>1963</v>
      </c>
      <c r="M112">
        <v>300</v>
      </c>
      <c r="O112" s="5">
        <v>12</v>
      </c>
      <c r="P112" s="5">
        <v>20</v>
      </c>
      <c r="Q112" s="5">
        <v>2</v>
      </c>
      <c r="R112" s="5">
        <v>150</v>
      </c>
      <c r="S112" s="6">
        <f t="shared" si="91"/>
        <v>164.12853506351709</v>
      </c>
      <c r="T112" s="5">
        <v>1.2</v>
      </c>
      <c r="U112" s="5">
        <f t="shared" si="92"/>
        <v>255.68181818181824</v>
      </c>
      <c r="V112">
        <v>28</v>
      </c>
      <c r="Y112">
        <v>34</v>
      </c>
      <c r="Z112" s="3">
        <f t="shared" si="76"/>
        <v>0.12142857142857143</v>
      </c>
      <c r="AA112">
        <v>45</v>
      </c>
      <c r="AB112">
        <f t="shared" si="90"/>
        <v>72</v>
      </c>
      <c r="AE112">
        <v>7.94</v>
      </c>
      <c r="AF112">
        <v>8</v>
      </c>
      <c r="AI112" s="10">
        <v>0</v>
      </c>
      <c r="AJ112" t="str">
        <f>CONCATENATE(VLOOKUP(AK112, 'Voxel Sizes'!$A$2:$B$18,2,FALSE),"x",INT(AG112*15), "x", INT(AH112*15))</f>
        <v>82x0x0</v>
      </c>
      <c r="AK112">
        <f t="shared" si="77"/>
        <v>5</v>
      </c>
      <c r="AM112" t="str">
        <f>CONCATENATE(VLOOKUP(AK112,Constants!$A$2:$C$16,IF(AL112&lt;&gt;"", 3, 2), FALSE),IF(AL112&lt;&gt;"",CONCATENATE(",",VLOOKUP(AL112,$B:$AM,38,FALSE)),""))</f>
        <v>2,1,2</v>
      </c>
      <c r="AU112">
        <v>1</v>
      </c>
      <c r="AW112">
        <v>35</v>
      </c>
      <c r="AX112" s="15">
        <f t="shared" si="78"/>
        <v>99</v>
      </c>
      <c r="BA112">
        <f t="shared" si="79"/>
        <v>9</v>
      </c>
      <c r="BB112">
        <f t="shared" si="80"/>
        <v>1.5</v>
      </c>
      <c r="BC112">
        <f t="shared" si="81"/>
        <v>1.7000000000000002</v>
      </c>
      <c r="BD112" s="3">
        <f t="shared" si="82"/>
        <v>1</v>
      </c>
      <c r="BE112">
        <f t="shared" si="83"/>
        <v>0</v>
      </c>
      <c r="BF112">
        <f>VLOOKUP($G112,Constants!$I:$K, 2, FALSE)</f>
        <v>1.1499999999999999</v>
      </c>
      <c r="BG112">
        <f>VLOOKUP($G112,Constants!$I:$K, 3, FALSE)*IF(AND(F112="multiple_unit",AA112&lt;110),0.75,1)</f>
        <v>1.7</v>
      </c>
      <c r="BH112">
        <f>INT(POWER(((Constants!$G$2+$BA112+$BB112+$BC112+$BE112)*$BD112)*$BG112, 1.05))+$AZ112</f>
        <v>34</v>
      </c>
      <c r="BI112">
        <f>INT(POWER((((Constants!$G$1+$BA112+$BB112+$BC112+$BE112)*($BD112))*$BF112),IF($F112="wagon",1,1.2)))+$AY112</f>
        <v>62</v>
      </c>
      <c r="BJ112" s="14">
        <f t="shared" si="84"/>
        <v>26562.5</v>
      </c>
      <c r="BK112" s="14">
        <f t="shared" si="85"/>
        <v>5037.5</v>
      </c>
      <c r="BR112">
        <v>1</v>
      </c>
      <c r="BV112" t="str">
        <f>VLOOKUP(I112,Eras!$A$2:$C$10, 2, TRUE)</f>
        <v>vct</v>
      </c>
      <c r="BX112" t="str">
        <f t="shared" si="86"/>
        <v>vct_</v>
      </c>
      <c r="BY112" t="str">
        <f t="shared" si="87"/>
        <v>steam_RAIL</v>
      </c>
      <c r="BZ112" s="17" t="str" cm="1">
        <f t="array" ref="BZ112">_xlfn.CONCAT("{BLACK}Length: {GOLD}", TEXT(ROUNDUP(IF(AP112&lt;&gt;"",SUM(VALUE(_xlfn.TEXTSPLIT(AP112, ","))), SUM(VALUE(_xlfn.TEXTSPLIT(AM112, ",")))*IF(L112, L112, 1))/16, 1), "#,##0.0"), " tiles{}")</f>
        <v>{BLACK}Length: {GOLD}0.4 tiles{}</v>
      </c>
      <c r="CA112" t="str">
        <f>VLOOKUP($BY112, Constants!$M:$N, 2, FALSE)</f>
        <v>{BLACK}Powered by: {GOLD}Steam</v>
      </c>
      <c r="CB112" t="str">
        <f t="shared" ref="CB112:CB143" si="95">IF(L112&gt;1,_xlfn.CONCAT("{BLACK}Cars: {GOLD}", L112),"")</f>
        <v/>
      </c>
      <c r="CC112" t="s">
        <v>1333</v>
      </c>
      <c r="CD112" t="str">
        <f t="shared" si="94"/>
        <v/>
      </c>
      <c r="CE112" t="str">
        <f t="shared" si="61"/>
        <v>{BLACK}Powered by: {GOLD}Steam {}{BLACK}Length: {GOLD}0.4 tiles{}{SILVER}Originally designed to operate commuter services, the small A1 tank locomotives were still used into the 1960s on the Hayling Island branch line.</v>
      </c>
    </row>
    <row r="113" spans="1:83" x14ac:dyDescent="0.25">
      <c r="A113" t="s">
        <v>1322</v>
      </c>
      <c r="B113" t="s">
        <v>1325</v>
      </c>
      <c r="C113">
        <v>173</v>
      </c>
      <c r="D113">
        <v>17</v>
      </c>
      <c r="E113" t="s">
        <v>1508</v>
      </c>
      <c r="F113" t="s">
        <v>262</v>
      </c>
      <c r="G113" t="s">
        <v>271</v>
      </c>
      <c r="H113" t="s">
        <v>274</v>
      </c>
      <c r="I113">
        <v>1876</v>
      </c>
      <c r="K113">
        <v>1925</v>
      </c>
      <c r="M113">
        <v>750</v>
      </c>
      <c r="O113" s="5">
        <v>18</v>
      </c>
      <c r="P113" s="5">
        <v>26</v>
      </c>
      <c r="Q113" s="5">
        <v>2</v>
      </c>
      <c r="R113" s="5">
        <v>165</v>
      </c>
      <c r="S113" s="6">
        <f t="shared" si="91"/>
        <v>163.39907490767919</v>
      </c>
      <c r="T113" s="5">
        <v>1.5</v>
      </c>
      <c r="U113" s="5">
        <f t="shared" si="92"/>
        <v>818.99999999999966</v>
      </c>
      <c r="V113">
        <v>41</v>
      </c>
      <c r="W113" s="8">
        <v>40</v>
      </c>
      <c r="Y113">
        <v>86</v>
      </c>
      <c r="Z113" s="3">
        <f t="shared" si="76"/>
        <v>0.10617283950617284</v>
      </c>
      <c r="AA113">
        <v>56</v>
      </c>
      <c r="AB113">
        <f t="shared" si="90"/>
        <v>90</v>
      </c>
      <c r="AE113">
        <v>14.99</v>
      </c>
      <c r="AF113">
        <v>10</v>
      </c>
      <c r="AI113" s="10">
        <v>0</v>
      </c>
      <c r="AJ113" t="str">
        <f>CONCATENATE(VLOOKUP(AK113, 'Voxel Sizes'!$A$2:$B$18,2,FALSE),"x",INT(AG113*15), "x", INT(AH113*15))</f>
        <v>102x0x0</v>
      </c>
      <c r="AK113">
        <f t="shared" si="77"/>
        <v>6</v>
      </c>
      <c r="AL113" t="s">
        <v>1321</v>
      </c>
      <c r="AM113" t="str">
        <f>CONCATENATE(VLOOKUP(AK113,Constants!$A$2:$C$16,IF(AL113&lt;&gt;"", 3, 2), FALSE),IF(AL113&lt;&gt;"",CONCATENATE(",",VLOOKUP(AL113,$B:$AM,38,FALSE)),""))</f>
        <v>2,2,2,2,1,2</v>
      </c>
      <c r="AU113">
        <v>1</v>
      </c>
      <c r="AW113">
        <v>32</v>
      </c>
      <c r="AX113" s="15">
        <f t="shared" si="78"/>
        <v>57</v>
      </c>
      <c r="BA113">
        <f t="shared" si="79"/>
        <v>11.200000000000001</v>
      </c>
      <c r="BB113">
        <f t="shared" si="80"/>
        <v>3.75</v>
      </c>
      <c r="BC113">
        <f t="shared" si="81"/>
        <v>4.3</v>
      </c>
      <c r="BD113" s="3">
        <f t="shared" si="82"/>
        <v>1</v>
      </c>
      <c r="BE113">
        <f t="shared" si="83"/>
        <v>0</v>
      </c>
      <c r="BF113">
        <f>VLOOKUP($G113,Constants!$I:$K, 2, FALSE)</f>
        <v>1.1499999999999999</v>
      </c>
      <c r="BG113">
        <f>VLOOKUP($G113,Constants!$I:$K, 3, FALSE)*IF(AND(F113="multiple_unit",AA113&lt;110),0.75,1)</f>
        <v>1.7</v>
      </c>
      <c r="BH113">
        <f>INT(POWER(((Constants!$G$2+$BA113+$BB113+$BC113+$BE113)*$BD113)*$BG113, 1.05))+$AZ113</f>
        <v>49</v>
      </c>
      <c r="BI113">
        <f>INT(POWER((((Constants!$G$1+$BA113+$BB113+$BC113+$BE113)*($BD113))*$BF113),IF($F113="wagon",1,1.2)))+$AY113</f>
        <v>82</v>
      </c>
      <c r="BJ113" s="14">
        <f t="shared" si="84"/>
        <v>38281.25</v>
      </c>
      <c r="BK113" s="14">
        <f t="shared" si="85"/>
        <v>6662.5</v>
      </c>
      <c r="BR113">
        <v>4</v>
      </c>
      <c r="BV113" t="str">
        <f>VLOOKUP(I113,Eras!$A$2:$C$10, 2, TRUE)</f>
        <v>vct</v>
      </c>
      <c r="BW113" t="s">
        <v>326</v>
      </c>
      <c r="BX113" t="str">
        <f t="shared" si="86"/>
        <v>vct_Mixed Traffic</v>
      </c>
      <c r="BY113" t="str">
        <f t="shared" si="87"/>
        <v>steam_RAIL</v>
      </c>
      <c r="BZ113" s="17" t="str" cm="1">
        <f t="array" ref="BZ113">_xlfn.CONCAT("{BLACK}Length: {GOLD}", TEXT(ROUNDUP(IF(AP113&lt;&gt;"",SUM(VALUE(_xlfn.TEXTSPLIT(AP113, ","))), SUM(VALUE(_xlfn.TEXTSPLIT(AM113, ",")))*IF(L113, L113, 1))/16, 1), "#,##0.0"), " tiles{}")</f>
        <v>{BLACK}Length: {GOLD}0.7 tiles{}</v>
      </c>
      <c r="CA113" t="str">
        <f>VLOOKUP($BY113, Constants!$M:$N, 2, FALSE)</f>
        <v>{BLACK}Powered by: {GOLD}Steam</v>
      </c>
      <c r="CB113" t="str">
        <f t="shared" si="95"/>
        <v/>
      </c>
      <c r="CC113" t="s">
        <v>1324</v>
      </c>
      <c r="CD113" t="str">
        <f t="shared" si="94"/>
        <v/>
      </c>
      <c r="CE113" t="str">
        <f t="shared" si="61"/>
        <v>{BLACK}Powered by: {GOLD}Steam {}{BLACK}Length: {GOLD}0.7 tiles{}{SILVER}Dugald Drummond's C Class used large (for the time) 18 inch cylinders. They survived into LNER ownership as class J32, although rebuilt to Holmes' later design by that point.</v>
      </c>
    </row>
    <row r="114" spans="1:83" x14ac:dyDescent="0.25">
      <c r="A114" t="s">
        <v>4</v>
      </c>
      <c r="B114" t="s">
        <v>153</v>
      </c>
      <c r="C114">
        <v>174</v>
      </c>
      <c r="D114">
        <v>18</v>
      </c>
      <c r="E114" t="s">
        <v>1508</v>
      </c>
      <c r="F114" t="s">
        <v>262</v>
      </c>
      <c r="G114" t="s">
        <v>271</v>
      </c>
      <c r="H114" t="s">
        <v>274</v>
      </c>
      <c r="I114">
        <v>1883</v>
      </c>
      <c r="K114">
        <v>1957</v>
      </c>
      <c r="M114">
        <v>800</v>
      </c>
      <c r="O114" s="5">
        <v>17.5</v>
      </c>
      <c r="P114" s="5">
        <v>24</v>
      </c>
      <c r="Q114" s="5">
        <v>2</v>
      </c>
      <c r="R114" s="5">
        <v>160</v>
      </c>
      <c r="S114" s="6">
        <f t="shared" si="91"/>
        <v>189.65964051784192</v>
      </c>
      <c r="T114" s="5">
        <v>1.5</v>
      </c>
      <c r="U114" s="5">
        <f t="shared" si="92"/>
        <v>804.2929292929291</v>
      </c>
      <c r="V114">
        <f>41.6+34.3</f>
        <v>75.900000000000006</v>
      </c>
      <c r="W114" s="8">
        <v>30</v>
      </c>
      <c r="Y114">
        <v>75.400000000000006</v>
      </c>
      <c r="Z114" s="3">
        <f t="shared" si="76"/>
        <v>7.1199244570349388E-2</v>
      </c>
      <c r="AA114">
        <v>65</v>
      </c>
      <c r="AB114">
        <f t="shared" si="90"/>
        <v>104</v>
      </c>
      <c r="AE114">
        <v>14.4</v>
      </c>
      <c r="AF114">
        <v>10</v>
      </c>
      <c r="AI114" s="10">
        <v>0</v>
      </c>
      <c r="AJ114" t="str">
        <f>CONCATENATE(VLOOKUP(AK114, 'Voxel Sizes'!$A$2:$B$18,2,FALSE),"x",INT(AG114*15), "x", INT(AH114*15))</f>
        <v>102x0x0</v>
      </c>
      <c r="AK114">
        <f t="shared" si="77"/>
        <v>6</v>
      </c>
      <c r="AL114" t="s">
        <v>1321</v>
      </c>
      <c r="AM114" t="str">
        <f>CONCATENATE(VLOOKUP(AK114,Constants!$A$2:$C$16,IF(AL114&lt;&gt;"", 3, 2), FALSE),IF(AL114&lt;&gt;"",CONCATENATE(",",VLOOKUP(AL114,$B:$AM,38,FALSE)),""))</f>
        <v>2,2,2,2,1,2</v>
      </c>
      <c r="AU114">
        <v>1</v>
      </c>
      <c r="AW114">
        <v>38</v>
      </c>
      <c r="AX114" s="15">
        <f t="shared" si="78"/>
        <v>82</v>
      </c>
      <c r="BA114">
        <f t="shared" si="79"/>
        <v>13</v>
      </c>
      <c r="BB114">
        <f t="shared" si="80"/>
        <v>4</v>
      </c>
      <c r="BC114">
        <f t="shared" si="81"/>
        <v>3.77</v>
      </c>
      <c r="BD114" s="3">
        <f t="shared" si="82"/>
        <v>1</v>
      </c>
      <c r="BE114">
        <f t="shared" si="83"/>
        <v>0</v>
      </c>
      <c r="BF114">
        <f>VLOOKUP($G114,Constants!$I:$K, 2, FALSE)</f>
        <v>1.1499999999999999</v>
      </c>
      <c r="BG114">
        <f>VLOOKUP($G114,Constants!$I:$K, 3, FALSE)*IF(AND(F114="multiple_unit",AA114&lt;110),0.75,1)</f>
        <v>1.7</v>
      </c>
      <c r="BH114">
        <f>INT(POWER(((Constants!$G$2+$BA114+$BB114+$BC114+$BE114)*$BD114)*$BG114, 1.05))+$AZ114</f>
        <v>52</v>
      </c>
      <c r="BI114">
        <f>INT(POWER((((Constants!$G$1+$BA114+$BB114+$BC114+$BE114)*($BD114))*$BF114),IF($F114="wagon",1,1.2)))+$AY114</f>
        <v>86</v>
      </c>
      <c r="BJ114" s="14">
        <f t="shared" si="84"/>
        <v>40625</v>
      </c>
      <c r="BK114" s="14">
        <f t="shared" si="85"/>
        <v>6987.5</v>
      </c>
      <c r="BR114">
        <v>2</v>
      </c>
      <c r="BV114" t="str">
        <f>VLOOKUP(I114,Eras!$A$2:$C$10, 2, TRUE)</f>
        <v>vct</v>
      </c>
      <c r="BW114" t="s">
        <v>326</v>
      </c>
      <c r="BX114" t="str">
        <f t="shared" si="86"/>
        <v>vct_Mixed Traffic</v>
      </c>
      <c r="BY114" t="str">
        <f t="shared" si="87"/>
        <v>steam_RAIL</v>
      </c>
      <c r="BZ114" s="17" t="str" cm="1">
        <f t="array" ref="BZ114">_xlfn.CONCAT("{BLACK}Length: {GOLD}", TEXT(ROUNDUP(IF(AP114&lt;&gt;"",SUM(VALUE(_xlfn.TEXTSPLIT(AP114, ","))), SUM(VALUE(_xlfn.TEXTSPLIT(AM114, ",")))*IF(L114, L114, 1))/16, 1), "#,##0.0"), " tiles{}")</f>
        <v>{BLACK}Length: {GOLD}0.7 tiles{}</v>
      </c>
      <c r="CA114" t="str">
        <f>VLOOKUP($BY114, Constants!$M:$N, 2, FALSE)</f>
        <v>{BLACK}Powered by: {GOLD}Steam</v>
      </c>
      <c r="CB114" t="str">
        <f t="shared" si="95"/>
        <v/>
      </c>
      <c r="CC114" t="s">
        <v>1480</v>
      </c>
      <c r="CD114" t="str">
        <f t="shared" si="94"/>
        <v/>
      </c>
      <c r="CE114" t="str">
        <f t="shared" si="61"/>
        <v>{BLACK}Powered by: {GOLD}Steam {}{BLACK}Length: {GOLD}0.7 tiles{}{SILVER}GER's Y14 was a highly successful design, being built in much the same form through to 1913. One was built by the Stratford works in under 10 hours.</v>
      </c>
    </row>
    <row r="115" spans="1:83" x14ac:dyDescent="0.25">
      <c r="A115" t="s">
        <v>125</v>
      </c>
      <c r="B115" t="s">
        <v>1337</v>
      </c>
      <c r="C115">
        <v>176</v>
      </c>
      <c r="D115">
        <v>19</v>
      </c>
      <c r="E115" t="s">
        <v>1508</v>
      </c>
      <c r="F115" t="s">
        <v>262</v>
      </c>
      <c r="G115" t="s">
        <v>271</v>
      </c>
      <c r="H115" t="s">
        <v>274</v>
      </c>
      <c r="I115">
        <v>1883</v>
      </c>
      <c r="K115">
        <v>1957</v>
      </c>
      <c r="M115">
        <v>825</v>
      </c>
      <c r="O115" s="5">
        <v>17</v>
      </c>
      <c r="P115" s="5">
        <v>24</v>
      </c>
      <c r="Q115" s="5">
        <v>2</v>
      </c>
      <c r="R115" s="5">
        <v>180</v>
      </c>
      <c r="S115" s="6">
        <f t="shared" si="91"/>
        <v>183.64031895218693</v>
      </c>
      <c r="T115" s="5">
        <v>1.43</v>
      </c>
      <c r="U115" s="5">
        <f t="shared" si="92"/>
        <v>826.76414494596304</v>
      </c>
      <c r="V115">
        <v>41.2</v>
      </c>
      <c r="W115" s="8">
        <v>34</v>
      </c>
      <c r="Y115">
        <v>80</v>
      </c>
      <c r="Z115" s="3">
        <f t="shared" si="76"/>
        <v>0.10638297872340426</v>
      </c>
      <c r="AA115">
        <v>60</v>
      </c>
      <c r="AB115">
        <f t="shared" si="90"/>
        <v>96</v>
      </c>
      <c r="AE115">
        <v>14.4</v>
      </c>
      <c r="AF115">
        <v>10</v>
      </c>
      <c r="AI115" s="10">
        <v>0</v>
      </c>
      <c r="AJ115" t="str">
        <f>CONCATENATE(VLOOKUP(AK115, 'Voxel Sizes'!$A$2:$B$18,2,FALSE),"x",INT(AG115*15), "x", INT(AH115*15))</f>
        <v>102x0x0</v>
      </c>
      <c r="AK115">
        <f t="shared" si="77"/>
        <v>6</v>
      </c>
      <c r="AL115" t="s">
        <v>1200</v>
      </c>
      <c r="AM115" t="str">
        <f>CONCATENATE(VLOOKUP(AK115,Constants!$A$2:$C$16,IF(AL115&lt;&gt;"", 3, 2), FALSE),IF(AL115&lt;&gt;"",CONCATENATE(",",VLOOKUP(AL115,$B:$AM,38,FALSE)),""))</f>
        <v>2,2,2,2,1,2</v>
      </c>
      <c r="AU115">
        <v>1</v>
      </c>
      <c r="AW115">
        <v>34</v>
      </c>
      <c r="AX115" s="15">
        <f t="shared" si="78"/>
        <v>82</v>
      </c>
      <c r="AZ115">
        <v>-2</v>
      </c>
      <c r="BA115">
        <f t="shared" si="79"/>
        <v>12</v>
      </c>
      <c r="BB115">
        <f t="shared" si="80"/>
        <v>4.125</v>
      </c>
      <c r="BC115">
        <f t="shared" si="81"/>
        <v>4</v>
      </c>
      <c r="BD115" s="3">
        <f t="shared" si="82"/>
        <v>1</v>
      </c>
      <c r="BE115">
        <f t="shared" si="83"/>
        <v>0</v>
      </c>
      <c r="BF115">
        <f>VLOOKUP($G115,Constants!$I:$K, 2, FALSE)</f>
        <v>1.1499999999999999</v>
      </c>
      <c r="BG115">
        <f>VLOOKUP($G115,Constants!$I:$K, 3, FALSE)*IF(AND(F115="multiple_unit",AA115&lt;110),0.75,1)</f>
        <v>1.7</v>
      </c>
      <c r="BH115">
        <f>INT(POWER(((Constants!$G$2+$BA115+$BB115+$BC115+$BE115)*$BD115)*$BG115, 1.05))+$AZ115</f>
        <v>49</v>
      </c>
      <c r="BI115">
        <f>INT(POWER((((Constants!$G$1+$BA115+$BB115+$BC115+$BE115)*($BD115))*$BF115),IF($F115="wagon",1,1.2)))+$AY115</f>
        <v>84</v>
      </c>
      <c r="BJ115" s="14">
        <f t="shared" si="84"/>
        <v>38281.25</v>
      </c>
      <c r="BK115" s="14">
        <f t="shared" si="85"/>
        <v>6825</v>
      </c>
      <c r="BR115">
        <v>3</v>
      </c>
      <c r="BV115" t="str">
        <f>VLOOKUP(I115,Eras!$A$2:$C$10, 2, TRUE)</f>
        <v>vct</v>
      </c>
      <c r="BW115" t="s">
        <v>328</v>
      </c>
      <c r="BX115" t="str">
        <f t="shared" si="86"/>
        <v>vct_Freight</v>
      </c>
      <c r="BY115" t="str">
        <f t="shared" si="87"/>
        <v>steam_RAIL</v>
      </c>
      <c r="BZ115" s="17" t="str" cm="1">
        <f t="array" ref="BZ115">_xlfn.CONCAT("{BLACK}Length: {GOLD}", TEXT(ROUNDUP(IF(AP115&lt;&gt;"",SUM(VALUE(_xlfn.TEXTSPLIT(AP115, ","))), SUM(VALUE(_xlfn.TEXTSPLIT(AM115, ",")))*IF(L115, L115, 1))/16, 1), "#,##0.0"), " tiles{}")</f>
        <v>{BLACK}Length: {GOLD}0.7 tiles{}</v>
      </c>
      <c r="CA115" t="str">
        <f>VLOOKUP($BY115, Constants!$M:$N, 2, FALSE)</f>
        <v>{BLACK}Powered by: {GOLD}Steam</v>
      </c>
      <c r="CB115" t="str">
        <f t="shared" si="95"/>
        <v/>
      </c>
      <c r="CC115" t="s">
        <v>1336</v>
      </c>
      <c r="CD115" t="str">
        <f t="shared" si="94"/>
        <v/>
      </c>
      <c r="CE115" t="str">
        <f t="shared" si="61"/>
        <v>{BLACK}Powered by: {GOLD}Steam {}{BLACK}Length: {GOLD}0.7 tiles{}{SILVER}William Dean's 2301 class was the first GWR locomotive to have no outside frame. The light weight made them suited to branch lines.</v>
      </c>
    </row>
    <row r="116" spans="1:83" x14ac:dyDescent="0.25">
      <c r="A116" t="s">
        <v>1323</v>
      </c>
      <c r="B116" t="s">
        <v>1319</v>
      </c>
      <c r="C116">
        <v>178</v>
      </c>
      <c r="D116">
        <v>20</v>
      </c>
      <c r="E116" t="s">
        <v>1508</v>
      </c>
      <c r="F116" t="s">
        <v>262</v>
      </c>
      <c r="G116" t="s">
        <v>271</v>
      </c>
      <c r="H116" t="s">
        <v>274</v>
      </c>
      <c r="I116">
        <v>1888</v>
      </c>
      <c r="K116">
        <v>1967</v>
      </c>
      <c r="M116">
        <v>850</v>
      </c>
      <c r="O116" s="5">
        <v>18</v>
      </c>
      <c r="P116" s="5">
        <v>26</v>
      </c>
      <c r="Q116" s="5">
        <v>2</v>
      </c>
      <c r="R116" s="5">
        <v>165</v>
      </c>
      <c r="S116" s="6">
        <f t="shared" si="91"/>
        <v>175.07043740108486</v>
      </c>
      <c r="T116" s="5">
        <v>1.5</v>
      </c>
      <c r="U116" s="5">
        <f t="shared" si="92"/>
        <v>877.49999999999966</v>
      </c>
      <c r="V116">
        <v>42.6</v>
      </c>
      <c r="W116" s="8">
        <v>40</v>
      </c>
      <c r="Y116">
        <v>88</v>
      </c>
      <c r="Z116" s="3">
        <f t="shared" si="76"/>
        <v>0.10653753026634383</v>
      </c>
      <c r="AA116">
        <v>60</v>
      </c>
      <c r="AB116">
        <f t="shared" si="90"/>
        <v>96</v>
      </c>
      <c r="AE116">
        <v>14.99</v>
      </c>
      <c r="AF116">
        <v>10</v>
      </c>
      <c r="AI116" s="10">
        <v>0</v>
      </c>
      <c r="AJ116" t="str">
        <f>CONCATENATE(VLOOKUP(AK116, 'Voxel Sizes'!$A$2:$B$18,2,FALSE),"x",INT(AG116*15), "x", INT(AH116*15))</f>
        <v>102x0x0</v>
      </c>
      <c r="AK116">
        <f t="shared" si="77"/>
        <v>6</v>
      </c>
      <c r="AL116" t="s">
        <v>1321</v>
      </c>
      <c r="AM116" t="str">
        <f>CONCATENATE(VLOOKUP(AK116,Constants!$A$2:$C$16,IF(AL116&lt;&gt;"", 3, 2), FALSE),IF(AL116&lt;&gt;"",CONCATENATE(",",VLOOKUP(AL116,$B:$AM,38,FALSE)),""))</f>
        <v>2,2,2,2,1,2</v>
      </c>
      <c r="AU116">
        <v>1</v>
      </c>
      <c r="AW116">
        <v>36</v>
      </c>
      <c r="AX116" s="15">
        <f t="shared" si="78"/>
        <v>87</v>
      </c>
      <c r="BA116">
        <f t="shared" si="79"/>
        <v>12</v>
      </c>
      <c r="BB116">
        <f t="shared" si="80"/>
        <v>4.25</v>
      </c>
      <c r="BC116">
        <f t="shared" si="81"/>
        <v>4.4000000000000004</v>
      </c>
      <c r="BD116" s="3">
        <f t="shared" si="82"/>
        <v>1</v>
      </c>
      <c r="BE116">
        <f t="shared" si="83"/>
        <v>0</v>
      </c>
      <c r="BF116">
        <f>VLOOKUP($G116,Constants!$I:$K, 2, FALSE)</f>
        <v>1.1499999999999999</v>
      </c>
      <c r="BG116">
        <f>VLOOKUP($G116,Constants!$I:$K, 3, FALSE)*IF(AND(F116="multiple_unit",AA116&lt;110),0.75,1)</f>
        <v>1.7</v>
      </c>
      <c r="BH116">
        <f>INT(POWER(((Constants!$G$2+$BA116+$BB116+$BC116+$BE116)*$BD116)*$BG116, 1.05))+$AZ116</f>
        <v>52</v>
      </c>
      <c r="BI116">
        <f>INT(POWER((((Constants!$G$1+$BA116+$BB116+$BC116+$BE116)*($BD116))*$BF116),IF($F116="wagon",1,1.2)))+$AY116</f>
        <v>86</v>
      </c>
      <c r="BJ116" s="14">
        <f t="shared" si="84"/>
        <v>40625</v>
      </c>
      <c r="BK116" s="14">
        <f t="shared" si="85"/>
        <v>6987.5</v>
      </c>
      <c r="BR116">
        <v>4</v>
      </c>
      <c r="BV116" t="str">
        <f>VLOOKUP(I116,Eras!$A$2:$C$10, 2, TRUE)</f>
        <v>vct</v>
      </c>
      <c r="BW116" t="s">
        <v>326</v>
      </c>
      <c r="BX116" t="str">
        <f t="shared" si="86"/>
        <v>vct_Mixed Traffic</v>
      </c>
      <c r="BY116" t="str">
        <f t="shared" si="87"/>
        <v>steam_RAIL</v>
      </c>
      <c r="BZ116" s="17" t="str" cm="1">
        <f t="array" ref="BZ116">_xlfn.CONCAT("{BLACK}Length: {GOLD}", TEXT(ROUNDUP(IF(AP116&lt;&gt;"",SUM(VALUE(_xlfn.TEXTSPLIT(AP116, ","))), SUM(VALUE(_xlfn.TEXTSPLIT(AM116, ",")))*IF(L116, L116, 1))/16, 1), "#,##0.0"), " tiles{}")</f>
        <v>{BLACK}Length: {GOLD}0.7 tiles{}</v>
      </c>
      <c r="CA116" t="str">
        <f>VLOOKUP($BY116, Constants!$M:$N, 2, FALSE)</f>
        <v>{BLACK}Powered by: {GOLD}Steam</v>
      </c>
      <c r="CB116" t="str">
        <f t="shared" si="95"/>
        <v/>
      </c>
      <c r="CC116" t="s">
        <v>1326</v>
      </c>
      <c r="CD116" t="str">
        <f t="shared" si="94"/>
        <v/>
      </c>
      <c r="CE116" t="str">
        <f t="shared" si="61"/>
        <v>{BLACK}Powered by: {GOLD}Steam {}{BLACK}Length: {GOLD}0.7 tiles{}{SILVER}Matthew Holmes' Class C was an evolution of Drummond's design. They had a long career, becoming LNER class J36 and surviving to the last days of steam on British railways.</v>
      </c>
    </row>
    <row r="117" spans="1:83" x14ac:dyDescent="0.25">
      <c r="A117" t="s">
        <v>1317</v>
      </c>
      <c r="B117" t="s">
        <v>240</v>
      </c>
      <c r="C117">
        <v>182</v>
      </c>
      <c r="D117">
        <v>21</v>
      </c>
      <c r="E117" t="s">
        <v>1508</v>
      </c>
      <c r="F117" t="s">
        <v>262</v>
      </c>
      <c r="G117" t="s">
        <v>271</v>
      </c>
      <c r="H117" t="s">
        <v>274</v>
      </c>
      <c r="I117">
        <v>1896</v>
      </c>
      <c r="K117">
        <v>1928</v>
      </c>
      <c r="M117">
        <v>850</v>
      </c>
      <c r="O117" s="5">
        <v>19.5</v>
      </c>
      <c r="P117" s="5">
        <v>26</v>
      </c>
      <c r="Q117" s="5">
        <v>2</v>
      </c>
      <c r="R117" s="5">
        <v>170</v>
      </c>
      <c r="S117" s="6">
        <f t="shared" si="91"/>
        <v>166.20611145672612</v>
      </c>
      <c r="T117" s="5">
        <v>2.37</v>
      </c>
      <c r="U117" s="5">
        <f t="shared" si="92"/>
        <v>1007.3270281933254</v>
      </c>
      <c r="V117">
        <v>48</v>
      </c>
      <c r="W117" s="8">
        <v>42</v>
      </c>
      <c r="Y117">
        <v>68</v>
      </c>
      <c r="Z117" s="3">
        <f t="shared" si="76"/>
        <v>7.5555555555555556E-2</v>
      </c>
      <c r="AA117">
        <v>90</v>
      </c>
      <c r="AB117">
        <f t="shared" si="90"/>
        <v>144</v>
      </c>
      <c r="AE117">
        <v>11</v>
      </c>
      <c r="AF117">
        <v>11</v>
      </c>
      <c r="AI117" s="10">
        <v>0</v>
      </c>
      <c r="AJ117" t="str">
        <f>CONCATENATE(VLOOKUP(AK117, 'Voxel Sizes'!$A$2:$B$18,2,FALSE),"x",INT(AG117*15), "x", INT(AH117*15))</f>
        <v>102x0x0</v>
      </c>
      <c r="AK117">
        <f t="shared" si="77"/>
        <v>6</v>
      </c>
      <c r="AL117" t="s">
        <v>308</v>
      </c>
      <c r="AM117" t="str">
        <f>CONCATENATE(VLOOKUP(AK117,Constants!$A$2:$C$16,IF(AL117&lt;&gt;"", 3, 2), FALSE),IF(AL117&lt;&gt;"",CONCATENATE(",",VLOOKUP(AL117,$B:$AM,38,FALSE)),""))</f>
        <v>2,2,2,2,1,2</v>
      </c>
      <c r="AW117">
        <v>30</v>
      </c>
      <c r="AX117" s="15">
        <f t="shared" si="78"/>
        <v>40</v>
      </c>
      <c r="BA117">
        <f t="shared" si="79"/>
        <v>18</v>
      </c>
      <c r="BB117">
        <f t="shared" si="80"/>
        <v>4.25</v>
      </c>
      <c r="BC117">
        <f t="shared" si="81"/>
        <v>3.4000000000000004</v>
      </c>
      <c r="BD117" s="3">
        <f t="shared" si="82"/>
        <v>1</v>
      </c>
      <c r="BE117">
        <f t="shared" si="83"/>
        <v>0</v>
      </c>
      <c r="BF117">
        <f>VLOOKUP($G117,Constants!$I:$K, 2, FALSE)</f>
        <v>1.1499999999999999</v>
      </c>
      <c r="BG117">
        <f>VLOOKUP($G117,Constants!$I:$K, 3, FALSE)*IF(AND(F117="multiple_unit",AA117&lt;110),0.75,1)</f>
        <v>1.7</v>
      </c>
      <c r="BH117">
        <f>INT(POWER(((Constants!$G$2+$BA117+$BB117+$BC117+$BE117)*$BD117)*$BG117, 1.05))+$AZ117</f>
        <v>63</v>
      </c>
      <c r="BI117">
        <f>INT(POWER((((Constants!$G$1+$BA117+$BB117+$BC117+$BE117)*($BD117))*$BF117),IF($F117="wagon",1,1.2)))+$AY117</f>
        <v>100</v>
      </c>
      <c r="BJ117" s="14">
        <f t="shared" si="84"/>
        <v>49218.75</v>
      </c>
      <c r="BK117" s="14">
        <f t="shared" si="85"/>
        <v>8125</v>
      </c>
      <c r="BR117">
        <v>6</v>
      </c>
      <c r="BV117" t="str">
        <f>VLOOKUP(I117,Eras!$A$2:$C$10, 2, TRUE)</f>
        <v>vct</v>
      </c>
      <c r="BW117" t="s">
        <v>327</v>
      </c>
      <c r="BX117" t="str">
        <f t="shared" si="86"/>
        <v>vct_Express</v>
      </c>
      <c r="BY117" t="str">
        <f t="shared" si="87"/>
        <v>steam_RAIL</v>
      </c>
      <c r="BZ117" s="17" t="str" cm="1">
        <f t="array" ref="BZ117">_xlfn.CONCAT("{BLACK}Length: {GOLD}", TEXT(ROUNDUP(IF(AP117&lt;&gt;"",SUM(VALUE(_xlfn.TEXTSPLIT(AP117, ","))), SUM(VALUE(_xlfn.TEXTSPLIT(AM117, ",")))*IF(L117, L117, 1))/16, 1), "#,##0.0"), " tiles{}")</f>
        <v>{BLACK}Length: {GOLD}0.7 tiles{}</v>
      </c>
      <c r="CA117" t="str">
        <f>VLOOKUP($BY117, Constants!$M:$N, 2, FALSE)</f>
        <v>{BLACK}Powered by: {GOLD}Steam</v>
      </c>
      <c r="CB117" t="str">
        <f t="shared" si="95"/>
        <v/>
      </c>
      <c r="CC117" t="s">
        <v>1318</v>
      </c>
      <c r="CD117" t="str">
        <f t="shared" si="94"/>
        <v/>
      </c>
      <c r="CE117" t="str">
        <f t="shared" si="61"/>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18" spans="1:83" x14ac:dyDescent="0.25">
      <c r="A118" t="s">
        <v>131</v>
      </c>
      <c r="B118" t="s">
        <v>1316</v>
      </c>
      <c r="C118">
        <v>184</v>
      </c>
      <c r="D118">
        <v>22</v>
      </c>
      <c r="E118" t="s">
        <v>1508</v>
      </c>
      <c r="F118" t="s">
        <v>262</v>
      </c>
      <c r="G118" t="s">
        <v>271</v>
      </c>
      <c r="H118" t="s">
        <v>274</v>
      </c>
      <c r="I118">
        <v>1897</v>
      </c>
      <c r="J118">
        <v>1911</v>
      </c>
      <c r="K118">
        <v>1957</v>
      </c>
      <c r="M118">
        <v>500</v>
      </c>
      <c r="O118" s="5">
        <v>18.5</v>
      </c>
      <c r="P118" s="5">
        <v>26</v>
      </c>
      <c r="Q118" s="5">
        <v>2</v>
      </c>
      <c r="R118" s="5">
        <v>175</v>
      </c>
      <c r="S118" s="6">
        <f t="shared" si="91"/>
        <v>90.109783956440737</v>
      </c>
      <c r="T118" s="5">
        <v>1.7</v>
      </c>
      <c r="U118" s="5">
        <f t="shared" si="92"/>
        <v>506.00966001931067</v>
      </c>
      <c r="V118">
        <v>61.2</v>
      </c>
      <c r="Y118">
        <v>87</v>
      </c>
      <c r="Z118" s="3">
        <f t="shared" si="76"/>
        <v>0.14215686274509803</v>
      </c>
      <c r="AA118">
        <v>35</v>
      </c>
      <c r="AB118">
        <f t="shared" si="90"/>
        <v>56</v>
      </c>
      <c r="AE118">
        <v>10.5</v>
      </c>
      <c r="AF118">
        <v>10.5</v>
      </c>
      <c r="AI118" s="10">
        <v>0</v>
      </c>
      <c r="AJ118" t="str">
        <f>CONCATENATE(VLOOKUP(AK118, 'Voxel Sizes'!$A$2:$B$18,2,FALSE),"x",INT(AG118*15), "x", INT(AH118*15))</f>
        <v>102x0x0</v>
      </c>
      <c r="AK118">
        <f t="shared" si="77"/>
        <v>6</v>
      </c>
      <c r="AM118" t="str">
        <f>CONCATENATE(VLOOKUP(AK118,Constants!$A$2:$C$16,IF(AL118&lt;&gt;"", 3, 2), FALSE),IF(AL118&lt;&gt;"",CONCATENATE(",",VLOOKUP(AL118,$B:$AM,38,FALSE)),""))</f>
        <v>2,2,2</v>
      </c>
      <c r="AU118">
        <v>1</v>
      </c>
      <c r="AW118">
        <v>34</v>
      </c>
      <c r="AX118" s="15">
        <f t="shared" si="78"/>
        <v>68</v>
      </c>
      <c r="BA118">
        <f t="shared" si="79"/>
        <v>7</v>
      </c>
      <c r="BB118">
        <f t="shared" si="80"/>
        <v>2.5</v>
      </c>
      <c r="BC118">
        <f t="shared" si="81"/>
        <v>4.3499999999999996</v>
      </c>
      <c r="BD118" s="3">
        <f t="shared" si="82"/>
        <v>1</v>
      </c>
      <c r="BE118">
        <f t="shared" si="83"/>
        <v>0</v>
      </c>
      <c r="BF118">
        <f>VLOOKUP($G118,Constants!$I:$K, 2, FALSE)</f>
        <v>1.1499999999999999</v>
      </c>
      <c r="BG118">
        <f>VLOOKUP($G118,Constants!$I:$K, 3, FALSE)*IF(AND(F118="multiple_unit",AA118&lt;110),0.75,1)</f>
        <v>1.7</v>
      </c>
      <c r="BH118">
        <f>INT(POWER(((Constants!$G$2+$BA118+$BB118+$BC118+$BE118)*$BD118)*$BG118, 1.05))+$AZ118</f>
        <v>38</v>
      </c>
      <c r="BI118">
        <f>INT(POWER((((Constants!$G$1+$BA118+$BB118+$BC118+$BE118)*($BD118))*$BF118),IF($F118="wagon",1,1.2)))+$AY118</f>
        <v>66</v>
      </c>
      <c r="BJ118" s="14">
        <f t="shared" si="84"/>
        <v>29687.5</v>
      </c>
      <c r="BK118" s="14">
        <f t="shared" si="85"/>
        <v>5362.5</v>
      </c>
      <c r="BR118">
        <v>7</v>
      </c>
      <c r="BV118" t="str">
        <f>VLOOKUP(I118,Eras!$A$2:$C$10, 2, TRUE)</f>
        <v>vct</v>
      </c>
      <c r="BW118" t="s">
        <v>325</v>
      </c>
      <c r="BX118" t="str">
        <f t="shared" si="86"/>
        <v>vct_Cheap</v>
      </c>
      <c r="BY118" t="str">
        <f t="shared" si="87"/>
        <v>steam_RAIL</v>
      </c>
      <c r="BZ118" s="17" t="str" cm="1">
        <f t="array" ref="BZ118">_xlfn.CONCAT("{BLACK}Length: {GOLD}", TEXT(ROUNDUP(IF(AP118&lt;&gt;"",SUM(VALUE(_xlfn.TEXTSPLIT(AP118, ","))), SUM(VALUE(_xlfn.TEXTSPLIT(AM118, ",")))*IF(L118, L118, 1))/16, 1), "#,##0.0"), " tiles{}")</f>
        <v>{BLACK}Length: {GOLD}0.4 tiles{}</v>
      </c>
      <c r="CA118" t="str">
        <f>VLOOKUP($BY118, Constants!$M:$N, 2, FALSE)</f>
        <v>{BLACK}Powered by: {GOLD}Steam</v>
      </c>
      <c r="CB118" t="str">
        <f t="shared" si="95"/>
        <v/>
      </c>
      <c r="CC118" t="s">
        <v>1315</v>
      </c>
      <c r="CD118" t="str">
        <f t="shared" si="94"/>
        <v/>
      </c>
      <c r="CE118" t="str">
        <f t="shared" si="61"/>
        <v>{BLACK}Powered by: {GOLD}Steam {}{BLACK}Length: {GOLD}0.4 tiles{}{SILVER}The Drummond M7 was built for the London &amp; South Western railway. Its usefulness saw it survive in operation until well into the BR era.</v>
      </c>
    </row>
    <row r="119" spans="1:83" x14ac:dyDescent="0.25">
      <c r="A119" t="s">
        <v>129</v>
      </c>
      <c r="B119" t="s">
        <v>238</v>
      </c>
      <c r="C119">
        <v>188</v>
      </c>
      <c r="D119">
        <v>23</v>
      </c>
      <c r="E119" t="s">
        <v>1508</v>
      </c>
      <c r="F119" t="s">
        <v>262</v>
      </c>
      <c r="G119" t="s">
        <v>271</v>
      </c>
      <c r="H119" t="s">
        <v>274</v>
      </c>
      <c r="I119">
        <v>1899</v>
      </c>
      <c r="J119">
        <v>1902</v>
      </c>
      <c r="K119">
        <v>1954</v>
      </c>
      <c r="M119">
        <v>600</v>
      </c>
      <c r="O119" s="5">
        <v>18</v>
      </c>
      <c r="P119" s="5">
        <v>26</v>
      </c>
      <c r="Q119" s="5">
        <v>2</v>
      </c>
      <c r="R119" s="5">
        <v>160</v>
      </c>
      <c r="S119" s="6">
        <f t="shared" si="91"/>
        <v>125.05031242934635</v>
      </c>
      <c r="T119" s="5">
        <v>1.4</v>
      </c>
      <c r="U119" s="5">
        <f t="shared" si="92"/>
        <v>607.79220779220771</v>
      </c>
      <c r="V119">
        <v>49.5</v>
      </c>
      <c r="Y119">
        <v>92</v>
      </c>
      <c r="Z119" s="3">
        <f t="shared" si="76"/>
        <v>0.18585858585858586</v>
      </c>
      <c r="AA119">
        <v>40</v>
      </c>
      <c r="AB119">
        <f t="shared" si="90"/>
        <v>64</v>
      </c>
      <c r="AE119">
        <v>9.57</v>
      </c>
      <c r="AF119">
        <v>9.57</v>
      </c>
      <c r="AI119" s="10">
        <v>0</v>
      </c>
      <c r="AJ119" t="str">
        <f>CONCATENATE(VLOOKUP(AK119, 'Voxel Sizes'!$A$2:$B$18,2,FALSE),"x",INT(AG119*15), "x", INT(AH119*15))</f>
        <v>102x0x0</v>
      </c>
      <c r="AK119">
        <f t="shared" si="77"/>
        <v>6</v>
      </c>
      <c r="AM119" t="str">
        <f>CONCATENATE(VLOOKUP(AK119,Constants!$A$2:$C$16,IF(AL119&lt;&gt;"", 3, 2), FALSE),IF(AL119&lt;&gt;"",CONCATENATE(",",VLOOKUP(AL119,$B:$AM,38,FALSE)),""))</f>
        <v>2,2,2</v>
      </c>
      <c r="AU119">
        <v>1</v>
      </c>
      <c r="AW119">
        <v>30</v>
      </c>
      <c r="AX119" s="15">
        <f t="shared" si="78"/>
        <v>63</v>
      </c>
      <c r="BA119">
        <f t="shared" si="79"/>
        <v>8</v>
      </c>
      <c r="BB119">
        <f t="shared" si="80"/>
        <v>3</v>
      </c>
      <c r="BC119">
        <f t="shared" si="81"/>
        <v>4.6000000000000005</v>
      </c>
      <c r="BD119" s="3">
        <f t="shared" si="82"/>
        <v>1</v>
      </c>
      <c r="BE119">
        <f t="shared" si="83"/>
        <v>0</v>
      </c>
      <c r="BF119">
        <f>VLOOKUP($G119,Constants!$I:$K, 2, FALSE)</f>
        <v>1.1499999999999999</v>
      </c>
      <c r="BG119">
        <f>VLOOKUP($G119,Constants!$I:$K, 3, FALSE)*IF(AND(F119="multiple_unit",AA119&lt;110),0.75,1)</f>
        <v>1.7</v>
      </c>
      <c r="BH119">
        <f>INT(POWER(((Constants!$G$2+$BA119+$BB119+$BC119+$BE119)*$BD119)*$BG119, 1.05))+$AZ119</f>
        <v>41</v>
      </c>
      <c r="BI119">
        <f>INT(POWER((((Constants!$G$1+$BA119+$BB119+$BC119+$BE119)*($BD119))*$BF119),IF($F119="wagon",1,1.2)))+$AY119</f>
        <v>71</v>
      </c>
      <c r="BJ119" s="14">
        <f t="shared" si="84"/>
        <v>32031.25</v>
      </c>
      <c r="BK119" s="14">
        <f t="shared" si="85"/>
        <v>5768.75</v>
      </c>
      <c r="BR119">
        <v>9</v>
      </c>
      <c r="BV119" t="str">
        <f>VLOOKUP(I119,Eras!$A$2:$C$10, 2, TRUE)</f>
        <v>vct</v>
      </c>
      <c r="BW119" t="s">
        <v>325</v>
      </c>
      <c r="BX119" t="str">
        <f t="shared" si="86"/>
        <v>vct_Cheap</v>
      </c>
      <c r="BY119" t="str">
        <f t="shared" si="87"/>
        <v>steam_RAIL</v>
      </c>
      <c r="BZ119" s="17" t="str" cm="1">
        <f t="array" ref="BZ119">_xlfn.CONCAT("{BLACK}Length: {GOLD}", TEXT(ROUNDUP(IF(AP119&lt;&gt;"",SUM(VALUE(_xlfn.TEXTSPLIT(AP119, ","))), SUM(VALUE(_xlfn.TEXTSPLIT(AM119, ",")))*IF(L119, L119, 1))/16, 1), "#,##0.0"), " tiles{}")</f>
        <v>{BLACK}Length: {GOLD}0.4 tiles{}</v>
      </c>
      <c r="CA119" t="str">
        <f>VLOOKUP($BY119, Constants!$M:$N, 2, FALSE)</f>
        <v>{BLACK}Powered by: {GOLD}Steam</v>
      </c>
      <c r="CB119" t="str">
        <f t="shared" si="95"/>
        <v/>
      </c>
      <c r="CC119" t="s">
        <v>1150</v>
      </c>
      <c r="CD119" t="str">
        <f t="shared" si="94"/>
        <v/>
      </c>
      <c r="CE119" t="str">
        <f t="shared" si="61"/>
        <v>{BLACK}Powered by: {GOLD}Steam {}{BLACK}Length: {GOLD}0.4 tiles{}{SILVER}Samuel Johnson's tank engine design were rebuilt later in life by Henry Fowler, providing the inspiration for Fowler's own 3F "Jinty" design.</v>
      </c>
    </row>
    <row r="120" spans="1:83" x14ac:dyDescent="0.25">
      <c r="A120" t="s">
        <v>1479</v>
      </c>
      <c r="B120" t="s">
        <v>1478</v>
      </c>
      <c r="C120">
        <v>190</v>
      </c>
      <c r="D120">
        <v>24</v>
      </c>
      <c r="E120" t="s">
        <v>1508</v>
      </c>
      <c r="F120" t="s">
        <v>262</v>
      </c>
      <c r="G120" t="s">
        <v>271</v>
      </c>
      <c r="H120" t="s">
        <v>274</v>
      </c>
      <c r="I120">
        <v>1900</v>
      </c>
      <c r="K120">
        <v>1954</v>
      </c>
      <c r="M120">
        <v>1100</v>
      </c>
      <c r="O120" s="5">
        <v>19</v>
      </c>
      <c r="P120" s="5">
        <v>26</v>
      </c>
      <c r="Q120" s="5">
        <v>2</v>
      </c>
      <c r="R120" s="5">
        <v>180</v>
      </c>
      <c r="S120" s="6">
        <f t="shared" si="91"/>
        <v>175.07043740108486</v>
      </c>
      <c r="T120" s="5">
        <v>1.5</v>
      </c>
      <c r="U120" s="5">
        <f t="shared" si="92"/>
        <v>1066.5909090909088</v>
      </c>
      <c r="V120">
        <v>45.3</v>
      </c>
      <c r="W120" s="8">
        <v>38.9</v>
      </c>
      <c r="Y120">
        <v>109</v>
      </c>
      <c r="Z120" s="3">
        <f t="shared" si="76"/>
        <v>0.12945368171021379</v>
      </c>
      <c r="AA120">
        <v>60</v>
      </c>
      <c r="AB120">
        <f t="shared" si="90"/>
        <v>96</v>
      </c>
      <c r="AE120">
        <v>14.4</v>
      </c>
      <c r="AF120">
        <v>10</v>
      </c>
      <c r="AI120" s="10">
        <v>0</v>
      </c>
      <c r="AJ120" t="str">
        <f>CONCATENATE(VLOOKUP(AK120, 'Voxel Sizes'!$A$2:$B$18,2,FALSE),"x",INT(AG120*15), "x", INT(AH120*15))</f>
        <v>102x0x0</v>
      </c>
      <c r="AK120">
        <f t="shared" si="77"/>
        <v>6</v>
      </c>
      <c r="AL120" t="s">
        <v>1321</v>
      </c>
      <c r="AM120" t="str">
        <f>CONCATENATE(VLOOKUP(AK120,Constants!$A$2:$C$16,IF(AL120&lt;&gt;"", 3, 2), FALSE),IF(AL120&lt;&gt;"",CONCATENATE(",",VLOOKUP(AL120,$B:$AM,38,FALSE)),""))</f>
        <v>2,2,2,2,1,2</v>
      </c>
      <c r="AU120">
        <v>1</v>
      </c>
      <c r="AW120">
        <v>32</v>
      </c>
      <c r="AX120" s="15">
        <f t="shared" si="78"/>
        <v>62</v>
      </c>
      <c r="AY120">
        <v>2</v>
      </c>
      <c r="AZ120">
        <v>2</v>
      </c>
      <c r="BA120">
        <f t="shared" si="79"/>
        <v>12</v>
      </c>
      <c r="BB120">
        <f t="shared" si="80"/>
        <v>5.5</v>
      </c>
      <c r="BC120">
        <f t="shared" si="81"/>
        <v>5.45</v>
      </c>
      <c r="BD120" s="3">
        <f t="shared" si="82"/>
        <v>1</v>
      </c>
      <c r="BE120">
        <f t="shared" si="83"/>
        <v>0</v>
      </c>
      <c r="BF120">
        <f>VLOOKUP($G120,Constants!$I:$K, 2, FALSE)</f>
        <v>1.1499999999999999</v>
      </c>
      <c r="BG120">
        <f>VLOOKUP($G120,Constants!$I:$K, 3, FALSE)*IF(AND(F120="multiple_unit",AA120&lt;110),0.75,1)</f>
        <v>1.7</v>
      </c>
      <c r="BH120">
        <f>INT(POWER(((Constants!$G$2+$BA120+$BB120+$BC120+$BE120)*$BD120)*$BG120, 1.05))+$AZ120</f>
        <v>59</v>
      </c>
      <c r="BI120">
        <f>INT(POWER((((Constants!$G$1+$BA120+$BB120+$BC120+$BE120)*($BD120))*$BF120),IF($F120="wagon",1,1.2)))+$AY120</f>
        <v>94</v>
      </c>
      <c r="BJ120" s="14">
        <f t="shared" si="84"/>
        <v>46093.75</v>
      </c>
      <c r="BK120" s="14">
        <f t="shared" si="85"/>
        <v>7637.5</v>
      </c>
      <c r="BR120">
        <v>2</v>
      </c>
      <c r="BV120" t="str">
        <f>VLOOKUP(I120,Eras!$A$2:$C$10, 2, TRUE)</f>
        <v>edw</v>
      </c>
      <c r="BW120" t="s">
        <v>326</v>
      </c>
      <c r="BX120" t="str">
        <f t="shared" si="86"/>
        <v>edw_Mixed Traffic</v>
      </c>
      <c r="BY120" t="str">
        <f t="shared" si="87"/>
        <v>steam_RAIL</v>
      </c>
      <c r="BZ120" s="17" t="str" cm="1">
        <f t="array" ref="BZ120">_xlfn.CONCAT("{BLACK}Length: {GOLD}", TEXT(ROUNDUP(IF(AP120&lt;&gt;"",SUM(VALUE(_xlfn.TEXTSPLIT(AP120, ","))), SUM(VALUE(_xlfn.TEXTSPLIT(AM120, ",")))*IF(L120, L120, 1))/16, 1), "#,##0.0"), " tiles{}")</f>
        <v>{BLACK}Length: {GOLD}0.7 tiles{}</v>
      </c>
      <c r="CA120" t="str">
        <f>VLOOKUP($BY120, Constants!$M:$N, 2, FALSE)</f>
        <v>{BLACK}Powered by: {GOLD}Steam</v>
      </c>
      <c r="CB120" t="str">
        <f t="shared" si="95"/>
        <v/>
      </c>
      <c r="CC120" t="s">
        <v>1482</v>
      </c>
      <c r="CD120" t="str">
        <f t="shared" si="94"/>
        <v/>
      </c>
      <c r="CE120" t="str">
        <f t="shared" si="61"/>
        <v>{BLACK}Powered by: {GOLD}Steam {}{BLACK}Length: {GOLD}0.7 tiles{}{SILVER}On introduction the GER F48 was nominally the most powerful 0-6-0 tender locomotive in Britain. Numerous variations of firebox were tried over the production run.</v>
      </c>
    </row>
    <row r="121" spans="1:83" x14ac:dyDescent="0.25">
      <c r="A121" t="s">
        <v>397</v>
      </c>
      <c r="B121" t="s">
        <v>398</v>
      </c>
      <c r="C121">
        <v>194</v>
      </c>
      <c r="D121">
        <v>25</v>
      </c>
      <c r="E121" t="s">
        <v>1508</v>
      </c>
      <c r="F121" t="s">
        <v>262</v>
      </c>
      <c r="G121" t="s">
        <v>271</v>
      </c>
      <c r="H121" t="s">
        <v>274</v>
      </c>
      <c r="I121">
        <v>1901</v>
      </c>
      <c r="J121">
        <v>1914</v>
      </c>
      <c r="K121">
        <v>1955</v>
      </c>
      <c r="M121">
        <v>350</v>
      </c>
      <c r="O121" s="5">
        <v>14</v>
      </c>
      <c r="P121" s="5">
        <v>20</v>
      </c>
      <c r="Q121" s="5">
        <v>2</v>
      </c>
      <c r="R121" s="5">
        <v>160</v>
      </c>
      <c r="S121" s="6">
        <f t="shared" si="91"/>
        <v>145.89203116757074</v>
      </c>
      <c r="T121" s="5">
        <v>0.9</v>
      </c>
      <c r="U121" s="5">
        <f t="shared" si="92"/>
        <v>329.96632996632997</v>
      </c>
      <c r="V121">
        <v>23</v>
      </c>
      <c r="Y121">
        <v>49</v>
      </c>
      <c r="Z121" s="3">
        <f t="shared" si="76"/>
        <v>0.21304347826086956</v>
      </c>
      <c r="AA121">
        <v>30</v>
      </c>
      <c r="AB121">
        <f t="shared" si="90"/>
        <v>48</v>
      </c>
      <c r="AE121">
        <v>6.12</v>
      </c>
      <c r="AF121">
        <v>6.12</v>
      </c>
      <c r="AI121" s="10">
        <v>0</v>
      </c>
      <c r="AJ121" t="str">
        <f>CONCATENATE(VLOOKUP(AK121, 'Voxel Sizes'!$A$2:$B$18,2,FALSE),"x",INT(AG121*15), "x", INT(AH121*15))</f>
        <v>60x0x0</v>
      </c>
      <c r="AK121">
        <f t="shared" si="77"/>
        <v>4</v>
      </c>
      <c r="AM121" t="str">
        <f>CONCATENATE(VLOOKUP(AK121,Constants!$A$2:$C$16,IF(AL121&lt;&gt;"", 3, 2), FALSE),IF(AL121&lt;&gt;"",CONCATENATE(",",VLOOKUP(AL121,$B:$AM,38,FALSE)),""))</f>
        <v>1,2,1</v>
      </c>
      <c r="AU121">
        <v>1</v>
      </c>
      <c r="AW121">
        <v>30</v>
      </c>
      <c r="AX121" s="15">
        <f t="shared" si="78"/>
        <v>62</v>
      </c>
      <c r="BA121">
        <f t="shared" si="79"/>
        <v>6</v>
      </c>
      <c r="BB121">
        <f t="shared" si="80"/>
        <v>1.75</v>
      </c>
      <c r="BC121">
        <f t="shared" si="81"/>
        <v>2.4500000000000002</v>
      </c>
      <c r="BD121" s="3">
        <f t="shared" si="82"/>
        <v>0.9986666666666667</v>
      </c>
      <c r="BE121">
        <f t="shared" si="83"/>
        <v>0</v>
      </c>
      <c r="BF121">
        <f>VLOOKUP($G121,Constants!$I:$K, 2, FALSE)</f>
        <v>1.1499999999999999</v>
      </c>
      <c r="BG121">
        <f>VLOOKUP($G121,Constants!$I:$K, 3, FALSE)*IF(AND(F121="multiple_unit",AA121&lt;110),0.75,1)</f>
        <v>1.7</v>
      </c>
      <c r="BH121">
        <f>INT(POWER(((Constants!$G$2+$BA121+$BB121+$BC121+$BE121)*$BD121)*$BG121, 1.05))+$AZ121</f>
        <v>30</v>
      </c>
      <c r="BI121">
        <f>INT(POWER((((Constants!$G$1+$BA121+$BB121+$BC121+$BE121)*($BD121))*$BF121),IF($F121="wagon",1,1.2)))+$AY121</f>
        <v>56</v>
      </c>
      <c r="BJ121" s="14">
        <f t="shared" si="84"/>
        <v>23437.5</v>
      </c>
      <c r="BK121" s="14">
        <f t="shared" si="85"/>
        <v>4550</v>
      </c>
      <c r="BR121">
        <v>10</v>
      </c>
      <c r="BV121" t="str">
        <f>VLOOKUP(I121,Eras!$A$2:$C$10, 2, TRUE)</f>
        <v>edw</v>
      </c>
      <c r="BW121" t="s">
        <v>325</v>
      </c>
      <c r="BX121" t="str">
        <f t="shared" si="86"/>
        <v>edw_Cheap</v>
      </c>
      <c r="BY121" t="str">
        <f t="shared" si="87"/>
        <v>steam_RAIL</v>
      </c>
      <c r="BZ121" s="17" t="str" cm="1">
        <f t="array" ref="BZ121">_xlfn.CONCAT("{BLACK}Length: {GOLD}", TEXT(ROUNDUP(IF(AP121&lt;&gt;"",SUM(VALUE(_xlfn.TEXTSPLIT(AP121, ","))), SUM(VALUE(_xlfn.TEXTSPLIT(AM121, ",")))*IF(L121, L121, 1))/16, 1), "#,##0.0"), " tiles{}")</f>
        <v>{BLACK}Length: {GOLD}0.3 tiles{}</v>
      </c>
      <c r="CA121" t="str">
        <f>VLOOKUP($BY121, Constants!$M:$N, 2, FALSE)</f>
        <v>{BLACK}Powered by: {GOLD}Steam</v>
      </c>
      <c r="CB121" t="str">
        <f t="shared" si="95"/>
        <v/>
      </c>
      <c r="CC121" t="s">
        <v>399</v>
      </c>
      <c r="CD121" t="str">
        <f t="shared" si="94"/>
        <v/>
      </c>
      <c r="CE121" t="str">
        <f t="shared" si="61"/>
        <v>{BLACK}Powered by: {GOLD}Steam {}{BLACK}Length: {GOLD}0.3 tiles{}{SILVER}This 0-4-0 saddle tank engine is typical of the many acquired by the GWR from smaller railways during the 1923 grouping of railway companies into the Big Four.</v>
      </c>
    </row>
    <row r="122" spans="1:83" x14ac:dyDescent="0.25">
      <c r="A122" t="s">
        <v>8</v>
      </c>
      <c r="B122" t="s">
        <v>239</v>
      </c>
      <c r="C122">
        <v>196</v>
      </c>
      <c r="D122">
        <v>26</v>
      </c>
      <c r="E122" t="s">
        <v>1508</v>
      </c>
      <c r="F122" t="s">
        <v>262</v>
      </c>
      <c r="G122" t="s">
        <v>271</v>
      </c>
      <c r="H122" t="s">
        <v>274</v>
      </c>
      <c r="I122">
        <v>1902</v>
      </c>
      <c r="K122">
        <v>1935</v>
      </c>
      <c r="M122">
        <v>950</v>
      </c>
      <c r="O122" s="5">
        <v>20.3</v>
      </c>
      <c r="P122" s="5">
        <v>26</v>
      </c>
      <c r="Q122" s="5">
        <v>3</v>
      </c>
      <c r="R122" s="5">
        <f>220*0.5</f>
        <v>110</v>
      </c>
      <c r="S122" s="6">
        <f t="shared" si="91"/>
        <v>166.73374990579512</v>
      </c>
      <c r="T122" s="5">
        <v>2.1</v>
      </c>
      <c r="U122" s="5">
        <f t="shared" si="92"/>
        <v>1062.9305555555557</v>
      </c>
      <c r="V122">
        <v>62</v>
      </c>
      <c r="W122" s="8">
        <v>42</v>
      </c>
      <c r="Y122">
        <v>97</v>
      </c>
      <c r="Z122" s="3">
        <f t="shared" si="76"/>
        <v>9.3269230769230771E-2</v>
      </c>
      <c r="AA122">
        <v>80</v>
      </c>
      <c r="AB122">
        <f t="shared" si="90"/>
        <v>128</v>
      </c>
      <c r="AE122">
        <v>17.268999999999998</v>
      </c>
      <c r="AF122">
        <f>AE122-7.5</f>
        <v>9.7689999999999984</v>
      </c>
      <c r="AI122" s="10">
        <v>0</v>
      </c>
      <c r="AJ122" t="str">
        <f>CONCATENATE(VLOOKUP(AK122, 'Voxel Sizes'!$A$2:$B$18,2,FALSE),"x",INT(AG122*15), "x", INT(AH122*15))</f>
        <v>102x0x0</v>
      </c>
      <c r="AK122">
        <f t="shared" si="77"/>
        <v>6</v>
      </c>
      <c r="AL122" t="s">
        <v>308</v>
      </c>
      <c r="AM122" t="str">
        <f>CONCATENATE(VLOOKUP(AK122,Constants!$A$2:$C$16,IF(AL122&lt;&gt;"", 3, 2), FALSE),IF(AL122&lt;&gt;"",CONCATENATE(",",VLOOKUP(AL122,$B:$AM,38,FALSE)),""))</f>
        <v>2,2,2,2,1,2</v>
      </c>
      <c r="AU122">
        <v>1</v>
      </c>
      <c r="AW122">
        <v>30</v>
      </c>
      <c r="AX122" s="15">
        <f t="shared" si="78"/>
        <v>41</v>
      </c>
      <c r="BA122">
        <f t="shared" si="79"/>
        <v>16</v>
      </c>
      <c r="BB122">
        <f t="shared" si="80"/>
        <v>4.75</v>
      </c>
      <c r="BC122">
        <f t="shared" si="81"/>
        <v>4.8499999999999996</v>
      </c>
      <c r="BD122" s="3">
        <f t="shared" si="82"/>
        <v>0.99733333333333329</v>
      </c>
      <c r="BE122">
        <f t="shared" si="83"/>
        <v>0</v>
      </c>
      <c r="BF122">
        <f>VLOOKUP($G122,Constants!$I:$K, 2, FALSE)</f>
        <v>1.1499999999999999</v>
      </c>
      <c r="BG122">
        <f>VLOOKUP($G122,Constants!$I:$K, 3, FALSE)*IF(AND(F122="multiple_unit",AA122&lt;110),0.75,1)</f>
        <v>1.7</v>
      </c>
      <c r="BH122">
        <f>INT(POWER(((Constants!$G$2+$BA122+$BB122+$BC122+$BE122)*$BD122)*$BG122, 1.05))+$AZ122</f>
        <v>63</v>
      </c>
      <c r="BI122">
        <f>INT(POWER((((Constants!$G$1+$BA122+$BB122+$BC122+$BE122)*($BD122))*$BF122),IF($F122="wagon",1,1.2)))+$AY122</f>
        <v>100</v>
      </c>
      <c r="BJ122" s="14">
        <f t="shared" si="84"/>
        <v>49218.75</v>
      </c>
      <c r="BK122" s="14">
        <f t="shared" si="85"/>
        <v>8125</v>
      </c>
      <c r="BR122">
        <v>11</v>
      </c>
      <c r="BV122" t="str">
        <f>VLOOKUP(I122,Eras!$A$2:$C$10, 2, TRUE)</f>
        <v>edw</v>
      </c>
      <c r="BW122" t="s">
        <v>327</v>
      </c>
      <c r="BX122" t="str">
        <f t="shared" si="86"/>
        <v>edw_Express</v>
      </c>
      <c r="BY122" t="str">
        <f t="shared" si="87"/>
        <v>steam_RAIL</v>
      </c>
      <c r="BZ122" s="17" t="str" cm="1">
        <f t="array" ref="BZ122">_xlfn.CONCAT("{BLACK}Length: {GOLD}", TEXT(ROUNDUP(IF(AP122&lt;&gt;"",SUM(VALUE(_xlfn.TEXTSPLIT(AP122, ","))), SUM(VALUE(_xlfn.TEXTSPLIT(AM122, ",")))*IF(L122, L122, 1))/16, 1), "#,##0.0"), " tiles{}")</f>
        <v>{BLACK}Length: {GOLD}0.7 tiles{}</v>
      </c>
      <c r="CA122" t="str">
        <f>VLOOKUP($BY122, Constants!$M:$N, 2, FALSE)</f>
        <v>{BLACK}Powered by: {GOLD}Steam</v>
      </c>
      <c r="CB122" t="str">
        <f t="shared" si="95"/>
        <v/>
      </c>
      <c r="CC122" t="s">
        <v>347</v>
      </c>
      <c r="CD122" t="str">
        <f t="shared" si="94"/>
        <v/>
      </c>
      <c r="CE122" t="str">
        <f t="shared" si="61"/>
        <v>{BLACK}Powered by: {GOLD}Steam {}{BLACK}Length: {GOLD}0.7 tiles{}{SILVER}The 1000 class is an express locomotive with a three-cylinder arrangement, using a high pressure cylinder inside the frame and two low pressure cylinders on the outside.</v>
      </c>
    </row>
    <row r="123" spans="1:83" x14ac:dyDescent="0.25">
      <c r="A123" t="s">
        <v>55</v>
      </c>
      <c r="B123" t="s">
        <v>154</v>
      </c>
      <c r="C123">
        <v>198</v>
      </c>
      <c r="D123">
        <v>27</v>
      </c>
      <c r="E123" t="s">
        <v>1508</v>
      </c>
      <c r="F123" t="s">
        <v>262</v>
      </c>
      <c r="G123" t="s">
        <v>295</v>
      </c>
      <c r="H123" t="s">
        <v>296</v>
      </c>
      <c r="I123">
        <v>1903</v>
      </c>
      <c r="J123">
        <v>1904</v>
      </c>
      <c r="K123">
        <v>1927</v>
      </c>
      <c r="M123">
        <v>640</v>
      </c>
      <c r="V123">
        <v>57</v>
      </c>
      <c r="Y123">
        <v>111</v>
      </c>
      <c r="Z123" s="3">
        <f t="shared" si="76"/>
        <v>0.19473684210526315</v>
      </c>
      <c r="AA123">
        <v>27</v>
      </c>
      <c r="AB123">
        <f t="shared" si="90"/>
        <v>43</v>
      </c>
      <c r="AE123">
        <v>11.56</v>
      </c>
      <c r="AF123">
        <v>11.56</v>
      </c>
      <c r="AH123">
        <v>3.93</v>
      </c>
      <c r="AI123" s="10">
        <v>0</v>
      </c>
      <c r="AJ123" t="str">
        <f>CONCATENATE(VLOOKUP(AK123, 'Voxel Sizes'!$A$2:$B$18,2,FALSE),"x",INT(AG123*15), "x", INT(AH123*15))</f>
        <v>120x0x58</v>
      </c>
      <c r="AK123">
        <f t="shared" si="77"/>
        <v>7</v>
      </c>
      <c r="AM123" t="str">
        <f>CONCATENATE(VLOOKUP(AK123,Constants!$A$2:$C$16,IF(AL123&lt;&gt;"", 3, 2), FALSE),IF(AL123&lt;&gt;"",CONCATENATE(",",VLOOKUP(AL123,$B:$AM,38,FALSE)),""))</f>
        <v>2,3,2</v>
      </c>
      <c r="AW123">
        <v>30</v>
      </c>
      <c r="AX123" s="15">
        <f t="shared" si="78"/>
        <v>32</v>
      </c>
      <c r="BA123">
        <f t="shared" si="79"/>
        <v>5.3999999999999995</v>
      </c>
      <c r="BB123">
        <f t="shared" si="80"/>
        <v>3.2</v>
      </c>
      <c r="BC123">
        <f t="shared" si="81"/>
        <v>5.5500000000000007</v>
      </c>
      <c r="BD123" s="3">
        <f t="shared" si="82"/>
        <v>0.996</v>
      </c>
      <c r="BE123">
        <f t="shared" si="83"/>
        <v>0</v>
      </c>
      <c r="BF123">
        <f>VLOOKUP($G123,Constants!$I:$K, 2, FALSE)</f>
        <v>0.85</v>
      </c>
      <c r="BG123">
        <f>VLOOKUP($G123,Constants!$I:$K, 3, FALSE)*IF(AND(F123="multiple_unit",AA123&lt;110),0.75,1)</f>
        <v>2.2999999999999998</v>
      </c>
      <c r="BH123">
        <f>INT(POWER(((Constants!$G$2+$BA123+$BB123+$BC123+$BE123)*$BD123)*$BG123, 1.05))+$AZ123</f>
        <v>52</v>
      </c>
      <c r="BI123">
        <f>INT(POWER((((Constants!$G$1+$BA123+$BB123+$BC123+$BE123)*($BD123))*$BF123),IF($F123="wagon",1,1.2)))+$AY123</f>
        <v>46</v>
      </c>
      <c r="BJ123" s="14">
        <f t="shared" si="84"/>
        <v>40625</v>
      </c>
      <c r="BK123" s="14">
        <f t="shared" si="85"/>
        <v>3737.5</v>
      </c>
      <c r="BR123">
        <v>12</v>
      </c>
      <c r="BV123" t="str">
        <f>VLOOKUP(I123,Eras!$A$2:$C$10, 2, TRUE)</f>
        <v>edw</v>
      </c>
      <c r="BW123" t="s">
        <v>338</v>
      </c>
      <c r="BX123" t="str">
        <f t="shared" si="86"/>
        <v>edw_Freight (Electric)</v>
      </c>
      <c r="BY123" t="str">
        <f t="shared" si="87"/>
        <v>electric_ELRL</v>
      </c>
      <c r="BZ123" s="17" t="str" cm="1">
        <f t="array" ref="BZ123">_xlfn.CONCAT("{BLACK}Length: {GOLD}", TEXT(ROUNDUP(IF(AP123&lt;&gt;"",SUM(VALUE(_xlfn.TEXTSPLIT(AP123, ","))), SUM(VALUE(_xlfn.TEXTSPLIT(AM123, ",")))*IF(L123, L123, 1))/16, 1), "#,##0.0"), " tiles{}")</f>
        <v>{BLACK}Length: {GOLD}0.5 tiles{}</v>
      </c>
      <c r="CA123" t="str">
        <f>VLOOKUP($BY123, Constants!$M:$N, 2, FALSE)</f>
        <v>{BLACK}Powered by: {GOLD}25kV AC</v>
      </c>
      <c r="CB123" t="str">
        <f t="shared" si="95"/>
        <v/>
      </c>
      <c r="CC123" t="s">
        <v>349</v>
      </c>
      <c r="CD123" t="str">
        <f t="shared" si="94"/>
        <v/>
      </c>
      <c r="CE123" t="str">
        <f t="shared" si="61"/>
        <v>{BLACK}Powered by: {GOLD}25kV AC {}{BLACK}Length: {GOLD}0.5 tiles{}{SILVER}The LNER ES1 (ES for Electric Shunter) is designed for hauling heavy freight trains on steep inclines.</v>
      </c>
    </row>
    <row r="124" spans="1:83" ht="14.25" customHeight="1" x14ac:dyDescent="0.25">
      <c r="A124" t="s">
        <v>9</v>
      </c>
      <c r="B124" t="s">
        <v>156</v>
      </c>
      <c r="C124">
        <v>202</v>
      </c>
      <c r="D124">
        <v>28</v>
      </c>
      <c r="E124" t="s">
        <v>1508</v>
      </c>
      <c r="F124" t="s">
        <v>262</v>
      </c>
      <c r="G124" t="s">
        <v>271</v>
      </c>
      <c r="H124" t="s">
        <v>274</v>
      </c>
      <c r="I124">
        <v>1904</v>
      </c>
      <c r="K124">
        <v>1962</v>
      </c>
      <c r="M124">
        <v>730</v>
      </c>
      <c r="O124" s="5">
        <v>18</v>
      </c>
      <c r="P124" s="5">
        <v>26</v>
      </c>
      <c r="Q124" s="5">
        <v>2</v>
      </c>
      <c r="R124" s="5">
        <v>160</v>
      </c>
      <c r="S124" s="6">
        <f t="shared" ref="S124:S131" si="96">((($AA124/2)/60)*5280)/($T124*3.2*PI())</f>
        <v>150.4511571415573</v>
      </c>
      <c r="T124" s="5">
        <v>1.6</v>
      </c>
      <c r="U124" s="5">
        <f t="shared" ref="U124:U131" si="97">((($O124*$O124/4)*PI())*($P124/12)*$Q124*$R124*$S124)/(33000*1.1)</f>
        <v>731.24999999999977</v>
      </c>
      <c r="V124">
        <v>55</v>
      </c>
      <c r="Y124">
        <v>77</v>
      </c>
      <c r="Z124" s="3">
        <f t="shared" si="76"/>
        <v>0.14000000000000001</v>
      </c>
      <c r="AA124">
        <v>55</v>
      </c>
      <c r="AB124">
        <f t="shared" si="90"/>
        <v>88</v>
      </c>
      <c r="AE124">
        <v>10.02</v>
      </c>
      <c r="AF124">
        <v>10.02</v>
      </c>
      <c r="AI124" s="10">
        <v>0</v>
      </c>
      <c r="AJ124" t="str">
        <f>CONCATENATE(VLOOKUP(AK124, 'Voxel Sizes'!$A$2:$B$18,2,FALSE),"x",INT(AG124*15), "x", INT(AH124*15))</f>
        <v>102x0x0</v>
      </c>
      <c r="AK124">
        <f t="shared" si="77"/>
        <v>6</v>
      </c>
      <c r="AM124" t="str">
        <f>CONCATENATE(VLOOKUP(AK124,Constants!$A$2:$C$16,IF(AL124&lt;&gt;"", 3, 2), FALSE),IF(AL124&lt;&gt;"",CONCATENATE(",",VLOOKUP(AL124,$B:$AM,38,FALSE)),""))</f>
        <v>2,2,2</v>
      </c>
      <c r="AU124">
        <v>1</v>
      </c>
      <c r="AW124">
        <v>30</v>
      </c>
      <c r="AX124" s="15">
        <f t="shared" si="78"/>
        <v>66</v>
      </c>
      <c r="BA124">
        <f t="shared" si="79"/>
        <v>11</v>
      </c>
      <c r="BB124">
        <f t="shared" si="80"/>
        <v>3.65</v>
      </c>
      <c r="BC124">
        <f t="shared" si="81"/>
        <v>3.85</v>
      </c>
      <c r="BD124" s="3">
        <f t="shared" si="82"/>
        <v>0.9946666666666667</v>
      </c>
      <c r="BE124">
        <f t="shared" si="83"/>
        <v>0</v>
      </c>
      <c r="BF124">
        <f>VLOOKUP($G124,Constants!$I:$K, 2, FALSE)</f>
        <v>1.1499999999999999</v>
      </c>
      <c r="BG124">
        <f>VLOOKUP($G124,Constants!$I:$K, 3, FALSE)*IF(AND(F124="multiple_unit",AA124&lt;110),0.75,1)</f>
        <v>1.7</v>
      </c>
      <c r="BH124">
        <f>INT(POWER(((Constants!$G$2+$BA124+$BB124+$BC124+$BE124)*$BD124)*$BG124, 1.05))+$AZ124</f>
        <v>47</v>
      </c>
      <c r="BI124">
        <f>INT(POWER((((Constants!$G$1+$BA124+$BB124+$BC124+$BE124)*($BD124))*$BF124),IF($F124="wagon",1,1.2)))+$AY124</f>
        <v>79</v>
      </c>
      <c r="BJ124" s="14">
        <f t="shared" si="84"/>
        <v>36718.75</v>
      </c>
      <c r="BK124" s="14">
        <f t="shared" si="85"/>
        <v>6418.75</v>
      </c>
      <c r="BR124">
        <v>1</v>
      </c>
      <c r="BV124" t="str">
        <f>VLOOKUP(I124,Eras!$A$2:$C$10, 2, TRUE)</f>
        <v>edw</v>
      </c>
      <c r="BW124" t="s">
        <v>376</v>
      </c>
      <c r="BX124" t="str">
        <f t="shared" si="86"/>
        <v>edw_Passenger</v>
      </c>
      <c r="BY124" t="str">
        <f t="shared" si="87"/>
        <v>steam_RAIL</v>
      </c>
      <c r="BZ124" s="17" t="str" cm="1">
        <f t="array" ref="BZ124">_xlfn.CONCAT("{BLACK}Length: {GOLD}", TEXT(ROUNDUP(IF(AP124&lt;&gt;"",SUM(VALUE(_xlfn.TEXTSPLIT(AP124, ","))), SUM(VALUE(_xlfn.TEXTSPLIT(AM124, ",")))*IF(L124, L124, 1))/16, 1), "#,##0.0"), " tiles{}")</f>
        <v>{BLACK}Length: {GOLD}0.4 tiles{}</v>
      </c>
      <c r="CA124" t="str">
        <f>VLOOKUP($BY124, Constants!$M:$N, 2, FALSE)</f>
        <v>{BLACK}Powered by: {GOLD}Steam</v>
      </c>
      <c r="CB124" t="str">
        <f t="shared" si="95"/>
        <v/>
      </c>
      <c r="CC124" t="s">
        <v>368</v>
      </c>
      <c r="CD124" t="str">
        <f t="shared" si="94"/>
        <v/>
      </c>
      <c r="CE124" t="str">
        <f t="shared" si="61"/>
        <v>{BLACK}Powered by: {GOLD}Steam {}{BLACK}Length: {GOLD}0.4 tiles{}{SILVER}The South Eastern and Chatham Railway H Class is an 0-4-4T tank engine designed for suburban passenger routes. It was in use until the 1960s.</v>
      </c>
    </row>
    <row r="125" spans="1:83" ht="14.25" customHeight="1" x14ac:dyDescent="0.25">
      <c r="A125" t="s">
        <v>11</v>
      </c>
      <c r="B125" t="s">
        <v>378</v>
      </c>
      <c r="C125">
        <v>204</v>
      </c>
      <c r="D125">
        <v>29</v>
      </c>
      <c r="E125" t="s">
        <v>1508</v>
      </c>
      <c r="F125" t="s">
        <v>262</v>
      </c>
      <c r="G125" t="s">
        <v>271</v>
      </c>
      <c r="H125" t="s">
        <v>274</v>
      </c>
      <c r="I125">
        <v>1904</v>
      </c>
      <c r="J125">
        <v>1914</v>
      </c>
      <c r="K125">
        <v>1955</v>
      </c>
      <c r="M125">
        <v>850</v>
      </c>
      <c r="O125" s="5">
        <v>17</v>
      </c>
      <c r="P125" s="5">
        <v>24</v>
      </c>
      <c r="Q125" s="5">
        <v>2</v>
      </c>
      <c r="R125" s="5">
        <v>180</v>
      </c>
      <c r="S125" s="6">
        <f t="shared" si="96"/>
        <v>192.57748114119337</v>
      </c>
      <c r="T125" s="5">
        <v>1.25</v>
      </c>
      <c r="U125" s="5">
        <f t="shared" si="97"/>
        <v>867</v>
      </c>
      <c r="V125">
        <v>63.4</v>
      </c>
      <c r="Y125">
        <v>95</v>
      </c>
      <c r="Z125" s="3">
        <f t="shared" si="76"/>
        <v>0.14984227129337541</v>
      </c>
      <c r="AA125">
        <v>55</v>
      </c>
      <c r="AB125">
        <f t="shared" si="90"/>
        <v>88</v>
      </c>
      <c r="AE125">
        <v>11.5</v>
      </c>
      <c r="AF125">
        <v>11.5</v>
      </c>
      <c r="AI125" s="10">
        <v>0</v>
      </c>
      <c r="AJ125" t="str">
        <f>CONCATENATE(VLOOKUP(AK125, 'Voxel Sizes'!$A$2:$B$18,2,FALSE),"x",INT(AG125*15), "x", INT(AH125*15))</f>
        <v>120x0x0</v>
      </c>
      <c r="AK125">
        <f t="shared" si="77"/>
        <v>7</v>
      </c>
      <c r="AM125" t="str">
        <f>CONCATENATE(VLOOKUP(AK125,Constants!$A$2:$C$16,IF(AL125&lt;&gt;"", 3, 2), FALSE),IF(AL125&lt;&gt;"",CONCATENATE(",",VLOOKUP(AL125,$B:$AM,38,FALSE)),""))</f>
        <v>2,3,2</v>
      </c>
      <c r="AU125">
        <v>1</v>
      </c>
      <c r="AW125">
        <v>38</v>
      </c>
      <c r="AX125" s="15">
        <f t="shared" si="78"/>
        <v>59</v>
      </c>
      <c r="BA125">
        <f t="shared" si="79"/>
        <v>11</v>
      </c>
      <c r="BB125">
        <f t="shared" si="80"/>
        <v>4.25</v>
      </c>
      <c r="BC125">
        <f t="shared" si="81"/>
        <v>4.75</v>
      </c>
      <c r="BD125" s="3">
        <f t="shared" si="82"/>
        <v>0.9946666666666667</v>
      </c>
      <c r="BE125">
        <f t="shared" si="83"/>
        <v>0</v>
      </c>
      <c r="BF125">
        <f>VLOOKUP($G125,Constants!$I:$K, 2, FALSE)</f>
        <v>1.1499999999999999</v>
      </c>
      <c r="BG125">
        <f>VLOOKUP($G125,Constants!$I:$K, 3, FALSE)*IF(AND(F125="multiple_unit",AA125&lt;110),0.75,1)</f>
        <v>1.7</v>
      </c>
      <c r="BH125">
        <f>INT(POWER(((Constants!$G$2+$BA125+$BB125+$BC125+$BE125)*$BD125)*$BG125, 1.05))+$AZ125</f>
        <v>50</v>
      </c>
      <c r="BI125">
        <f>INT(POWER((((Constants!$G$1+$BA125+$BB125+$BC125+$BE125)*($BD125))*$BF125),IF($F125="wagon",1,1.2)))+$AY125</f>
        <v>83</v>
      </c>
      <c r="BJ125" s="14">
        <f t="shared" si="84"/>
        <v>39062.5</v>
      </c>
      <c r="BK125" s="14">
        <f t="shared" si="85"/>
        <v>6743.75</v>
      </c>
      <c r="BR125">
        <v>2</v>
      </c>
      <c r="BV125" t="str">
        <f>VLOOKUP(I125,Eras!$A$2:$C$10, 2, TRUE)</f>
        <v>edw</v>
      </c>
      <c r="BW125" t="s">
        <v>326</v>
      </c>
      <c r="BX125" t="str">
        <f t="shared" si="86"/>
        <v>edw_Mixed Traffic</v>
      </c>
      <c r="BY125" t="str">
        <f t="shared" si="87"/>
        <v>steam_RAIL</v>
      </c>
      <c r="BZ125" s="17" t="str" cm="1">
        <f t="array" ref="BZ125">_xlfn.CONCAT("{BLACK}Length: {GOLD}", TEXT(ROUNDUP(IF(AP125&lt;&gt;"",SUM(VALUE(_xlfn.TEXTSPLIT(AP125, ","))), SUM(VALUE(_xlfn.TEXTSPLIT(AM125, ",")))*IF(L125, L125, 1))/16, 1), "#,##0.0"), " tiles{}")</f>
        <v>{BLACK}Length: {GOLD}0.5 tiles{}</v>
      </c>
      <c r="CA125" t="str">
        <f>VLOOKUP($BY125, Constants!$M:$N, 2, FALSE)</f>
        <v>{BLACK}Powered by: {GOLD}Steam</v>
      </c>
      <c r="CB125" t="str">
        <f t="shared" si="95"/>
        <v/>
      </c>
      <c r="CC125" t="s">
        <v>377</v>
      </c>
      <c r="CD125" t="str">
        <f t="shared" si="94"/>
        <v/>
      </c>
      <c r="CE125" t="str">
        <f t="shared" si="61"/>
        <v>{BLACK}Powered by: {GOLD}Steam {}{BLACK}Length: {GOLD}0.5 tiles{}{SILVER}The GWR "Small Prairie" tank engines were designed for operating branch lines.</v>
      </c>
    </row>
    <row r="126" spans="1:83" x14ac:dyDescent="0.25">
      <c r="A126" t="s">
        <v>1196</v>
      </c>
      <c r="B126" t="s">
        <v>1197</v>
      </c>
      <c r="C126">
        <v>205</v>
      </c>
      <c r="D126">
        <v>30</v>
      </c>
      <c r="E126" t="s">
        <v>1508</v>
      </c>
      <c r="F126" t="s">
        <v>262</v>
      </c>
      <c r="G126" t="s">
        <v>271</v>
      </c>
      <c r="H126" t="s">
        <v>274</v>
      </c>
      <c r="I126">
        <v>1906</v>
      </c>
      <c r="J126">
        <v>1923</v>
      </c>
      <c r="K126">
        <v>1957</v>
      </c>
      <c r="M126">
        <v>1200</v>
      </c>
      <c r="O126" s="5">
        <v>14.25</v>
      </c>
      <c r="P126" s="5">
        <v>26</v>
      </c>
      <c r="Q126" s="5">
        <v>4</v>
      </c>
      <c r="R126" s="5">
        <v>225</v>
      </c>
      <c r="S126" s="6">
        <f t="shared" si="96"/>
        <v>181.47545340356362</v>
      </c>
      <c r="T126" s="5">
        <v>2.0499999999999998</v>
      </c>
      <c r="U126" s="5">
        <f t="shared" si="97"/>
        <v>1554.7676171008873</v>
      </c>
      <c r="V126">
        <v>77</v>
      </c>
      <c r="W126" s="8">
        <v>40</v>
      </c>
      <c r="Y126">
        <v>111</v>
      </c>
      <c r="Z126" s="3">
        <f t="shared" si="76"/>
        <v>9.4871794871794868E-2</v>
      </c>
      <c r="AA126">
        <v>85</v>
      </c>
      <c r="AB126">
        <f t="shared" si="90"/>
        <v>136</v>
      </c>
      <c r="AF126">
        <v>12</v>
      </c>
      <c r="AI126" s="10">
        <v>0</v>
      </c>
      <c r="AJ126" t="str">
        <f>CONCATENATE(VLOOKUP(AK126, 'Voxel Sizes'!$A$2:$B$18,2,FALSE),"x",INT(AG126*15), "x", INT(AH126*15))</f>
        <v>120x0x0</v>
      </c>
      <c r="AK126">
        <f t="shared" si="77"/>
        <v>7</v>
      </c>
      <c r="AL126" t="s">
        <v>1200</v>
      </c>
      <c r="AM126" t="str">
        <f>CONCATENATE(VLOOKUP(AK126,Constants!$A$2:$C$16,IF(AL126&lt;&gt;"", 3, 2), FALSE),IF(AL126&lt;&gt;"",CONCATENATE(",",VLOOKUP(AL126,$B:$AM,38,FALSE)),""))</f>
        <v>2,3,2,2,1,2</v>
      </c>
      <c r="AU126">
        <v>1</v>
      </c>
      <c r="AW126">
        <v>29</v>
      </c>
      <c r="AX126" s="15">
        <f t="shared" si="78"/>
        <v>59</v>
      </c>
      <c r="AY126">
        <v>12</v>
      </c>
      <c r="AZ126">
        <v>10</v>
      </c>
      <c r="BA126">
        <f t="shared" si="79"/>
        <v>17</v>
      </c>
      <c r="BB126">
        <f t="shared" si="80"/>
        <v>6</v>
      </c>
      <c r="BC126">
        <f t="shared" si="81"/>
        <v>5.5500000000000007</v>
      </c>
      <c r="BD126" s="3">
        <f t="shared" si="82"/>
        <v>0.99199999999999999</v>
      </c>
      <c r="BE126">
        <f t="shared" si="83"/>
        <v>0</v>
      </c>
      <c r="BF126">
        <f>VLOOKUP($G126,Constants!$I:$K, 2, FALSE)</f>
        <v>1.1499999999999999</v>
      </c>
      <c r="BG126">
        <f>VLOOKUP($G126,Constants!$I:$K, 3, FALSE)*IF(AND(F126="multiple_unit",AA126&lt;110),0.75,1)</f>
        <v>1.7</v>
      </c>
      <c r="BH126">
        <f>INT(POWER(((Constants!$G$2+$BA126+$BB126+$BC126+$BE126)*$BD126)*$BG126, 1.05))+$AZ126</f>
        <v>79</v>
      </c>
      <c r="BI126">
        <f>INT(POWER((((Constants!$G$1+$BA126+$BB126+$BC126+$BE126)*($BD126))*$BF126),IF($F126="wagon",1,1.2)))+$AY126</f>
        <v>120</v>
      </c>
      <c r="BJ126" s="14">
        <f t="shared" si="84"/>
        <v>61718.75</v>
      </c>
      <c r="BK126" s="14">
        <f t="shared" si="85"/>
        <v>9750</v>
      </c>
      <c r="BR126">
        <v>1</v>
      </c>
      <c r="BV126" t="str">
        <f>VLOOKUP(I126,Eras!$A$2:$C$10, 2, TRUE)</f>
        <v>edw</v>
      </c>
      <c r="BW126" t="s">
        <v>327</v>
      </c>
      <c r="BX126" t="str">
        <f t="shared" si="86"/>
        <v>edw_Express</v>
      </c>
      <c r="BY126" t="str">
        <f t="shared" si="87"/>
        <v>steam_RAIL</v>
      </c>
      <c r="BZ126" s="17" t="str" cm="1">
        <f t="array" ref="BZ126">_xlfn.CONCAT("{BLACK}Length: {GOLD}", TEXT(ROUNDUP(IF(AP126&lt;&gt;"",SUM(VALUE(_xlfn.TEXTSPLIT(AP126, ","))), SUM(VALUE(_xlfn.TEXTSPLIT(AM126, ",")))*IF(L126, L126, 1))/16, 1), "#,##0.0"), " tiles{}")</f>
        <v>{BLACK}Length: {GOLD}0.8 tiles{}</v>
      </c>
      <c r="CA126" t="str">
        <f>VLOOKUP($BY126, Constants!$M:$N, 2, FALSE)</f>
        <v>{BLACK}Powered by: {GOLD}Steam</v>
      </c>
      <c r="CB126" t="str">
        <f t="shared" si="95"/>
        <v/>
      </c>
      <c r="CC126" t="s">
        <v>1198</v>
      </c>
      <c r="CD126" t="str">
        <f t="shared" si="94"/>
        <v/>
      </c>
      <c r="CE126" t="str">
        <f t="shared" si="61"/>
        <v>{BLACK}Powered by: {GOLD}Steam {}{BLACK}Length: {GOLD}0.8 tiles{}{SILVER}The Star class was the first in a string of successful four cylinder express locomotives built by the GWR.</v>
      </c>
    </row>
    <row r="127" spans="1:83" x14ac:dyDescent="0.25">
      <c r="A127" t="s">
        <v>18</v>
      </c>
      <c r="B127" t="s">
        <v>157</v>
      </c>
      <c r="C127">
        <v>206</v>
      </c>
      <c r="D127">
        <v>31</v>
      </c>
      <c r="E127" t="s">
        <v>1508</v>
      </c>
      <c r="F127" t="s">
        <v>262</v>
      </c>
      <c r="G127" t="s">
        <v>271</v>
      </c>
      <c r="H127" t="s">
        <v>274</v>
      </c>
      <c r="I127">
        <v>1911</v>
      </c>
      <c r="J127">
        <v>1926</v>
      </c>
      <c r="K127">
        <v>1960</v>
      </c>
      <c r="M127">
        <v>850</v>
      </c>
      <c r="O127" s="5">
        <v>20</v>
      </c>
      <c r="P127" s="5">
        <v>26</v>
      </c>
      <c r="Q127" s="5">
        <v>2</v>
      </c>
      <c r="R127" s="5">
        <v>180</v>
      </c>
      <c r="S127" s="6">
        <f t="shared" si="96"/>
        <v>128.72826279491534</v>
      </c>
      <c r="T127" s="5">
        <v>1.7</v>
      </c>
      <c r="U127" s="5">
        <f t="shared" si="97"/>
        <v>868.98395721925135</v>
      </c>
      <c r="V127">
        <v>87</v>
      </c>
      <c r="Y127">
        <v>106</v>
      </c>
      <c r="Z127" s="3">
        <f t="shared" si="76"/>
        <v>0.12183908045977011</v>
      </c>
      <c r="AA127">
        <v>50</v>
      </c>
      <c r="AB127">
        <f t="shared" si="90"/>
        <v>80</v>
      </c>
      <c r="AE127">
        <v>13.1</v>
      </c>
      <c r="AF127">
        <v>13.1</v>
      </c>
      <c r="AI127" s="10">
        <v>0</v>
      </c>
      <c r="AJ127" t="str">
        <f>CONCATENATE(VLOOKUP(AK127, 'Voxel Sizes'!$A$2:$B$18,2,FALSE),"x",INT(AG127*15), "x", INT(AH127*15))</f>
        <v>136x0x0</v>
      </c>
      <c r="AK127">
        <f t="shared" si="77"/>
        <v>8</v>
      </c>
      <c r="AM127" t="str">
        <f>CONCATENATE(VLOOKUP(AK127,Constants!$A$2:$C$16,IF(AL127&lt;&gt;"", 3, 2), FALSE),IF(AL127&lt;&gt;"",CONCATENATE(",",VLOOKUP(AL127,$B:$AM,38,FALSE)),""))</f>
        <v>2,4,2</v>
      </c>
      <c r="AU127">
        <v>1</v>
      </c>
      <c r="AW127">
        <v>32</v>
      </c>
      <c r="AX127" s="15">
        <f t="shared" si="78"/>
        <v>57</v>
      </c>
      <c r="BA127">
        <f t="shared" si="79"/>
        <v>10</v>
      </c>
      <c r="BB127">
        <f t="shared" si="80"/>
        <v>4.25</v>
      </c>
      <c r="BC127">
        <f t="shared" si="81"/>
        <v>5.3000000000000007</v>
      </c>
      <c r="BD127" s="3">
        <f t="shared" si="82"/>
        <v>0.98533333333333328</v>
      </c>
      <c r="BE127">
        <f t="shared" si="83"/>
        <v>0</v>
      </c>
      <c r="BF127">
        <f>VLOOKUP($G127,Constants!$I:$K, 2, FALSE)</f>
        <v>1.1499999999999999</v>
      </c>
      <c r="BG127">
        <f>VLOOKUP($G127,Constants!$I:$K, 3, FALSE)*IF(AND(F127="multiple_unit",AA127&lt;110),0.75,1)</f>
        <v>1.7</v>
      </c>
      <c r="BH127">
        <f>INT(POWER(((Constants!$G$2+$BA127+$BB127+$BC127+$BE127)*$BD127)*$BG127, 1.05))+$AZ127</f>
        <v>49</v>
      </c>
      <c r="BI127">
        <f>INT(POWER((((Constants!$G$1+$BA127+$BB127+$BC127+$BE127)*($BD127))*$BF127),IF($F127="wagon",1,1.2)))+$AY127</f>
        <v>81</v>
      </c>
      <c r="BJ127" s="14">
        <f t="shared" si="84"/>
        <v>38281.25</v>
      </c>
      <c r="BK127" s="14">
        <f t="shared" si="85"/>
        <v>6581.25</v>
      </c>
      <c r="BR127">
        <v>3</v>
      </c>
      <c r="BV127" t="str">
        <f>VLOOKUP(I127,Eras!$A$2:$C$10, 2, TRUE)</f>
        <v>edw</v>
      </c>
      <c r="BW127" t="s">
        <v>376</v>
      </c>
      <c r="BX127" t="str">
        <f t="shared" si="86"/>
        <v>edw_Passenger</v>
      </c>
      <c r="BY127" t="str">
        <f t="shared" si="87"/>
        <v>steam_RAIL</v>
      </c>
      <c r="BZ127" s="17" t="str" cm="1">
        <f t="array" ref="BZ127">_xlfn.CONCAT("{BLACK}Length: {GOLD}", TEXT(ROUNDUP(IF(AP127&lt;&gt;"",SUM(VALUE(_xlfn.TEXTSPLIT(AP127, ","))), SUM(VALUE(_xlfn.TEXTSPLIT(AM127, ",")))*IF(L127, L127, 1))/16, 1), "#,##0.0"), " tiles{}")</f>
        <v>{BLACK}Length: {GOLD}0.5 tiles{}</v>
      </c>
      <c r="CA127" t="str">
        <f>VLOOKUP($BY127, Constants!$M:$N, 2, FALSE)</f>
        <v>{BLACK}Powered by: {GOLD}Steam</v>
      </c>
      <c r="CB127" t="str">
        <f t="shared" si="95"/>
        <v/>
      </c>
      <c r="CC127" t="s">
        <v>380</v>
      </c>
      <c r="CD127" t="str">
        <f t="shared" si="94"/>
        <v/>
      </c>
      <c r="CE127" t="str">
        <f t="shared" si="61"/>
        <v>{BLACK}Powered by: {GOLD}Steam {}{BLACK}Length: {GOLD}0.5 tiles{}{SILVER}The GCR 9N (later LNER A5) is a 4-6-2 tank locomotive designed for suburban passenger services.</v>
      </c>
    </row>
    <row r="128" spans="1:83" x14ac:dyDescent="0.25">
      <c r="A128" t="s">
        <v>19</v>
      </c>
      <c r="B128" t="s">
        <v>384</v>
      </c>
      <c r="C128">
        <v>208</v>
      </c>
      <c r="D128">
        <v>32</v>
      </c>
      <c r="E128" t="s">
        <v>1508</v>
      </c>
      <c r="F128" t="s">
        <v>262</v>
      </c>
      <c r="G128" t="s">
        <v>271</v>
      </c>
      <c r="H128" t="s">
        <v>274</v>
      </c>
      <c r="I128">
        <v>1911</v>
      </c>
      <c r="J128">
        <v>1914</v>
      </c>
      <c r="K128">
        <v>1966</v>
      </c>
      <c r="M128">
        <v>1250</v>
      </c>
      <c r="O128" s="5">
        <v>21</v>
      </c>
      <c r="P128" s="5">
        <v>26</v>
      </c>
      <c r="Q128" s="5">
        <v>2</v>
      </c>
      <c r="R128" s="5">
        <v>180</v>
      </c>
      <c r="S128" s="6">
        <f t="shared" si="96"/>
        <v>123.28904042329923</v>
      </c>
      <c r="T128" s="5">
        <v>1.42</v>
      </c>
      <c r="U128" s="5">
        <f t="shared" si="97"/>
        <v>917.57362355953899</v>
      </c>
      <c r="V128">
        <v>75</v>
      </c>
      <c r="W128" s="8">
        <v>42</v>
      </c>
      <c r="Y128">
        <v>139</v>
      </c>
      <c r="Z128" s="3">
        <f t="shared" si="76"/>
        <v>0.1188034188034188</v>
      </c>
      <c r="AA128">
        <v>40</v>
      </c>
      <c r="AB128">
        <f t="shared" si="90"/>
        <v>64</v>
      </c>
      <c r="AE128">
        <v>18.809999999999999</v>
      </c>
      <c r="AF128">
        <v>11.31</v>
      </c>
      <c r="AI128" s="10">
        <v>0</v>
      </c>
      <c r="AJ128" t="str">
        <f>CONCATENATE(VLOOKUP(AK128, 'Voxel Sizes'!$A$2:$B$18,2,FALSE),"x",INT(AG128*15), "x", INT(AH128*15))</f>
        <v>120x0x0</v>
      </c>
      <c r="AK128">
        <f t="shared" si="77"/>
        <v>7</v>
      </c>
      <c r="AL128" t="s">
        <v>308</v>
      </c>
      <c r="AM128" t="str">
        <f>CONCATENATE(VLOOKUP(AK128,Constants!$A$2:$C$16,IF(AL128&lt;&gt;"", 3, 2), FALSE),IF(AL128&lt;&gt;"",CONCATENATE(",",VLOOKUP(AL128,$B:$AM,38,FALSE)),""))</f>
        <v>2,3,2,2,1,2</v>
      </c>
      <c r="AU128">
        <v>1</v>
      </c>
      <c r="AW128">
        <v>34</v>
      </c>
      <c r="AX128" s="15">
        <f t="shared" si="78"/>
        <v>63</v>
      </c>
      <c r="BA128">
        <f t="shared" si="79"/>
        <v>8</v>
      </c>
      <c r="BB128">
        <f t="shared" si="80"/>
        <v>6.25</v>
      </c>
      <c r="BC128">
        <f t="shared" si="81"/>
        <v>6.9499999999999993</v>
      </c>
      <c r="BD128" s="3">
        <f t="shared" si="82"/>
        <v>0.98533333333333328</v>
      </c>
      <c r="BE128">
        <f t="shared" si="83"/>
        <v>0</v>
      </c>
      <c r="BF128">
        <f>VLOOKUP($G128,Constants!$I:$K, 2, FALSE)</f>
        <v>1.1499999999999999</v>
      </c>
      <c r="BG128">
        <f>VLOOKUP($G128,Constants!$I:$K, 3, FALSE)*IF(AND(F128="multiple_unit",AA128&lt;110),0.75,1)</f>
        <v>1.7</v>
      </c>
      <c r="BH128">
        <f>INT(POWER(((Constants!$G$2+$BA128+$BB128+$BC128+$BE128)*$BD128)*$BG128, 1.05))+$AZ128</f>
        <v>53</v>
      </c>
      <c r="BI128">
        <f>INT(POWER((((Constants!$G$1+$BA128+$BB128+$BC128+$BE128)*($BD128))*$BF128),IF($F128="wagon",1,1.2)))+$AY128</f>
        <v>86</v>
      </c>
      <c r="BJ128" s="14">
        <f t="shared" si="84"/>
        <v>41406.25</v>
      </c>
      <c r="BK128" s="14">
        <f t="shared" si="85"/>
        <v>6987.5</v>
      </c>
      <c r="BR128">
        <v>4</v>
      </c>
      <c r="BV128" t="str">
        <f>VLOOKUP(I128,Eras!$A$2:$C$10, 2, TRUE)</f>
        <v>edw</v>
      </c>
      <c r="BW128" t="s">
        <v>328</v>
      </c>
      <c r="BX128" t="str">
        <f t="shared" si="86"/>
        <v>edw_Freight</v>
      </c>
      <c r="BY128" t="str">
        <f t="shared" si="87"/>
        <v>steam_RAIL</v>
      </c>
      <c r="BZ128" s="17" t="str" cm="1">
        <f t="array" ref="BZ128">_xlfn.CONCAT("{BLACK}Length: {GOLD}", TEXT(ROUNDUP(IF(AP128&lt;&gt;"",SUM(VALUE(_xlfn.TEXTSPLIT(AP128, ","))), SUM(VALUE(_xlfn.TEXTSPLIT(AM128, ",")))*IF(L128, L128, 1))/16, 1), "#,##0.0"), " tiles{}")</f>
        <v>{BLACK}Length: {GOLD}0.8 tiles{}</v>
      </c>
      <c r="CA128" t="str">
        <f>VLOOKUP($BY128, Constants!$M:$N, 2, FALSE)</f>
        <v>{BLACK}Powered by: {GOLD}Steam</v>
      </c>
      <c r="CB128" t="str">
        <f t="shared" si="95"/>
        <v/>
      </c>
      <c r="CC128" t="s">
        <v>1195</v>
      </c>
      <c r="CD128" t="str">
        <f t="shared" si="94"/>
        <v/>
      </c>
      <c r="CE128" t="str">
        <f t="shared" si="61"/>
        <v>{BLACK}Powered by: {GOLD}Steam {}{BLACK}Length: {GOLD}0.8 tiles{}{SILVER}The Robinson 8K is a heavy freight engine based on earlier 0-8-0 designs, with a front pony truck to improve the ride and axle loads at the front of the locomotive.</v>
      </c>
    </row>
    <row r="129" spans="1:83" x14ac:dyDescent="0.25">
      <c r="A129" t="s">
        <v>1172</v>
      </c>
      <c r="B129" t="s">
        <v>1171</v>
      </c>
      <c r="C129">
        <v>209</v>
      </c>
      <c r="D129">
        <v>33</v>
      </c>
      <c r="E129" t="s">
        <v>1508</v>
      </c>
      <c r="F129" t="s">
        <v>262</v>
      </c>
      <c r="G129" t="s">
        <v>271</v>
      </c>
      <c r="H129" t="s">
        <v>274</v>
      </c>
      <c r="I129">
        <v>1919</v>
      </c>
      <c r="K129">
        <v>1956</v>
      </c>
      <c r="M129">
        <v>1400</v>
      </c>
      <c r="O129" s="5">
        <v>16.75</v>
      </c>
      <c r="P129" s="5">
        <v>28</v>
      </c>
      <c r="Q129" s="5">
        <v>4</v>
      </c>
      <c r="R129" s="5">
        <v>180</v>
      </c>
      <c r="S129" s="6">
        <f t="shared" si="96"/>
        <v>125.05031242934635</v>
      </c>
      <c r="T129" s="5">
        <v>1.4</v>
      </c>
      <c r="U129" s="5">
        <f t="shared" si="97"/>
        <v>1275.2840909090912</v>
      </c>
      <c r="V129">
        <v>74.8</v>
      </c>
      <c r="W129" s="8">
        <f>106.7-74.8</f>
        <v>31.900000000000006</v>
      </c>
      <c r="Y129">
        <v>193</v>
      </c>
      <c r="Z129" s="3">
        <f t="shared" si="76"/>
        <v>0.18088097469540768</v>
      </c>
      <c r="AA129">
        <v>40</v>
      </c>
      <c r="AB129">
        <f t="shared" si="90"/>
        <v>64</v>
      </c>
      <c r="AF129">
        <v>13</v>
      </c>
      <c r="AI129" s="10">
        <v>0</v>
      </c>
      <c r="AJ129" t="str">
        <f>CONCATENATE(VLOOKUP(AK129, 'Voxel Sizes'!$A$2:$B$18,2,FALSE),"x",INT(AG129*15), "x", INT(AH129*15))</f>
        <v>136x0x0</v>
      </c>
      <c r="AK129">
        <f t="shared" si="77"/>
        <v>8</v>
      </c>
      <c r="AL129" t="s">
        <v>1189</v>
      </c>
      <c r="AM129" t="str">
        <f>CONCATENATE(VLOOKUP(AK129,Constants!$A$2:$C$16,IF(AL129&lt;&gt;"", 3, 2), FALSE),IF(AL129&lt;&gt;"",CONCATENATE(",",VLOOKUP(AL129,$B:$AM,38,FALSE)),""))</f>
        <v>2,4,2,2,1,2</v>
      </c>
      <c r="AU129">
        <v>1</v>
      </c>
      <c r="AW129">
        <v>31</v>
      </c>
      <c r="AX129" s="15">
        <f t="shared" si="78"/>
        <v>45</v>
      </c>
      <c r="AZ129">
        <v>4</v>
      </c>
      <c r="BA129">
        <f t="shared" si="79"/>
        <v>8</v>
      </c>
      <c r="BB129">
        <f t="shared" si="80"/>
        <v>7</v>
      </c>
      <c r="BC129">
        <f t="shared" si="81"/>
        <v>9.65</v>
      </c>
      <c r="BD129" s="3">
        <f t="shared" si="82"/>
        <v>0.97466666666666668</v>
      </c>
      <c r="BE129">
        <f t="shared" si="83"/>
        <v>0</v>
      </c>
      <c r="BF129">
        <f>VLOOKUP($G129,Constants!$I:$K, 2, FALSE)</f>
        <v>1.1499999999999999</v>
      </c>
      <c r="BG129">
        <f>VLOOKUP($G129,Constants!$I:$K, 3, FALSE)*IF(AND(F129="multiple_unit",AA129&lt;110),0.75,1)</f>
        <v>1.7</v>
      </c>
      <c r="BH129">
        <f>INT(POWER(((Constants!$G$2+$BA129+$BB129+$BC129+$BE129)*$BD129)*$BG129, 1.05))+$AZ129</f>
        <v>63</v>
      </c>
      <c r="BI129">
        <f>INT(POWER((((Constants!$G$1+$BA129+$BB129+$BC129+$BE129)*($BD129))*$BF129),IF($F129="wagon",1,1.2)))+$AY129</f>
        <v>94</v>
      </c>
      <c r="BJ129" s="14">
        <f t="shared" si="84"/>
        <v>49218.75</v>
      </c>
      <c r="BK129" s="14">
        <f t="shared" si="85"/>
        <v>7637.5</v>
      </c>
      <c r="BR129">
        <v>3</v>
      </c>
      <c r="BV129" t="str">
        <f>VLOOKUP(I129,Eras!$A$2:$C$10, 2, TRUE)</f>
        <v>edw</v>
      </c>
      <c r="BW129" t="s">
        <v>328</v>
      </c>
      <c r="BX129" t="str">
        <f t="shared" si="86"/>
        <v>edw_Freight</v>
      </c>
      <c r="BY129" t="str">
        <f t="shared" si="87"/>
        <v>steam_RAIL</v>
      </c>
      <c r="BZ129" s="17" t="str" cm="1">
        <f t="array" ref="BZ129">_xlfn.CONCAT("{BLACK}Length: {GOLD}", TEXT(ROUNDUP(IF(AP129&lt;&gt;"",SUM(VALUE(_xlfn.TEXTSPLIT(AP129, ","))), SUM(VALUE(_xlfn.TEXTSPLIT(AM129, ",")))*IF(L129, L129, 1))/16, 1), "#,##0.0"), " tiles{}")</f>
        <v>{BLACK}Length: {GOLD}0.9 tiles{}</v>
      </c>
      <c r="CA129" t="str">
        <f>VLOOKUP($BY129, Constants!$M:$N, 2, FALSE)</f>
        <v>{BLACK}Powered by: {GOLD}Steam</v>
      </c>
      <c r="CB129" t="str">
        <f t="shared" si="95"/>
        <v/>
      </c>
      <c r="CC129" t="s">
        <v>1183</v>
      </c>
      <c r="CD129" t="str">
        <f t="shared" si="94"/>
        <v/>
      </c>
      <c r="CE129" t="str">
        <f t="shared" si="61"/>
        <v>{BLACK}Powered by: {GOLD}Steam {}{BLACK}Length: {GOLD}0.9 tiles{}{SILVER}The "Lickey Banker" was a single 0-10-0 engine built to help add power and tractive effort to trains climbing the 1 in 37 Lickey Incline.</v>
      </c>
    </row>
    <row r="130" spans="1:83" x14ac:dyDescent="0.25">
      <c r="A130" t="s">
        <v>386</v>
      </c>
      <c r="B130" t="s">
        <v>387</v>
      </c>
      <c r="C130">
        <v>210</v>
      </c>
      <c r="D130">
        <v>34</v>
      </c>
      <c r="E130" t="s">
        <v>1508</v>
      </c>
      <c r="F130" t="s">
        <v>262</v>
      </c>
      <c r="G130" t="s">
        <v>271</v>
      </c>
      <c r="H130" t="s">
        <v>274</v>
      </c>
      <c r="I130">
        <v>1912</v>
      </c>
      <c r="K130">
        <v>1962</v>
      </c>
      <c r="M130">
        <v>1050</v>
      </c>
      <c r="O130" s="5">
        <v>20</v>
      </c>
      <c r="P130" s="5">
        <v>26</v>
      </c>
      <c r="Q130" s="5">
        <v>2</v>
      </c>
      <c r="R130" s="5">
        <v>180</v>
      </c>
      <c r="S130" s="6">
        <f t="shared" si="96"/>
        <v>141.60108907440687</v>
      </c>
      <c r="T130" s="5">
        <v>1.7</v>
      </c>
      <c r="U130" s="5">
        <f t="shared" si="97"/>
        <v>955.88235294117646</v>
      </c>
      <c r="V130">
        <v>61</v>
      </c>
      <c r="Y130">
        <v>104</v>
      </c>
      <c r="Z130" s="3">
        <f t="shared" si="76"/>
        <v>0.17049180327868851</v>
      </c>
      <c r="AA130">
        <v>55</v>
      </c>
      <c r="AB130">
        <f t="shared" si="90"/>
        <v>88</v>
      </c>
      <c r="AE130">
        <v>14.4</v>
      </c>
      <c r="AF130">
        <v>10</v>
      </c>
      <c r="AI130" s="10">
        <v>0</v>
      </c>
      <c r="AJ130" t="str">
        <f>CONCATENATE(VLOOKUP(AK130, 'Voxel Sizes'!$A$2:$B$18,2,FALSE),"x",INT(AG130*15), "x", INT(AH130*15))</f>
        <v>102x0x0</v>
      </c>
      <c r="AK130">
        <f t="shared" si="77"/>
        <v>6</v>
      </c>
      <c r="AL130" t="s">
        <v>389</v>
      </c>
      <c r="AM130" t="str">
        <f>CONCATENATE(VLOOKUP(AK130,Constants!$A$2:$C$16,IF(AL130&lt;&gt;"", 3, 2), FALSE),IF(AL130&lt;&gt;"",CONCATENATE(",",VLOOKUP(AL130,$B:$AM,38,FALSE)),""))</f>
        <v>2,2,2,2,1,2</v>
      </c>
      <c r="AU130">
        <v>1</v>
      </c>
      <c r="AW130">
        <v>30</v>
      </c>
      <c r="AX130" s="15">
        <f t="shared" si="78"/>
        <v>58</v>
      </c>
      <c r="AY130">
        <v>5</v>
      </c>
      <c r="BA130">
        <f t="shared" si="79"/>
        <v>11</v>
      </c>
      <c r="BB130">
        <f t="shared" si="80"/>
        <v>5.25</v>
      </c>
      <c r="BC130">
        <f t="shared" si="81"/>
        <v>5.2</v>
      </c>
      <c r="BD130" s="3">
        <f t="shared" si="82"/>
        <v>0.98399999999999999</v>
      </c>
      <c r="BE130">
        <f t="shared" si="83"/>
        <v>0</v>
      </c>
      <c r="BF130">
        <f>VLOOKUP($G130,Constants!$I:$K, 2, FALSE)</f>
        <v>1.1499999999999999</v>
      </c>
      <c r="BG130">
        <f>VLOOKUP($G130,Constants!$I:$K, 3, FALSE)*IF(AND(F130="multiple_unit",AA130&lt;110),0.75,1)</f>
        <v>1.7</v>
      </c>
      <c r="BH130">
        <f>INT(POWER(((Constants!$G$2+$BA130+$BB130+$BC130+$BE130)*$BD130)*$BG130, 1.05))+$AZ130</f>
        <v>53</v>
      </c>
      <c r="BI130">
        <f>INT(POWER((((Constants!$G$1+$BA130+$BB130+$BC130+$BE130)*($BD130))*$BF130),IF($F130="wagon",1,1.2)))+$AY130</f>
        <v>91</v>
      </c>
      <c r="BJ130" s="14">
        <f t="shared" si="84"/>
        <v>41406.25</v>
      </c>
      <c r="BK130" s="14">
        <f t="shared" si="85"/>
        <v>7393.75</v>
      </c>
      <c r="BR130">
        <v>5</v>
      </c>
      <c r="BV130" t="str">
        <f>VLOOKUP(I130,Eras!$A$2:$C$10, 2, TRUE)</f>
        <v>edw</v>
      </c>
      <c r="BW130" t="s">
        <v>328</v>
      </c>
      <c r="BX130" t="str">
        <f t="shared" si="86"/>
        <v>edw_Freight</v>
      </c>
      <c r="BY130" t="str">
        <f t="shared" si="87"/>
        <v>steam_RAIL</v>
      </c>
      <c r="BZ130" s="17" t="str" cm="1">
        <f t="array" ref="BZ130">_xlfn.CONCAT("{BLACK}Length: {GOLD}", TEXT(ROUNDUP(IF(AP130&lt;&gt;"",SUM(VALUE(_xlfn.TEXTSPLIT(AP130, ","))), SUM(VALUE(_xlfn.TEXTSPLIT(AM130, ",")))*IF(L130, L130, 1))/16, 1), "#,##0.0"), " tiles{}")</f>
        <v>{BLACK}Length: {GOLD}0.7 tiles{}</v>
      </c>
      <c r="CA130" t="str">
        <f>VLOOKUP($BY130, Constants!$M:$N, 2, FALSE)</f>
        <v>{BLACK}Powered by: {GOLD}Steam</v>
      </c>
      <c r="CB130" t="str">
        <f t="shared" si="95"/>
        <v/>
      </c>
      <c r="CC130" t="s">
        <v>385</v>
      </c>
      <c r="CD130" t="str">
        <f t="shared" si="94"/>
        <v/>
      </c>
      <c r="CE130" t="str">
        <f t="shared" si="61"/>
        <v>{BLACK}Powered by: {GOLD}Steam {}{BLACK}Length: {GOLD}0.7 tiles{}{SILVER}The Gresley K2 is a freight engine, designed for the GNR which had been using passenger engines to haul goods trains.</v>
      </c>
    </row>
    <row r="131" spans="1:83" x14ac:dyDescent="0.25">
      <c r="A131" t="s">
        <v>1179</v>
      </c>
      <c r="B131" t="s">
        <v>1180</v>
      </c>
      <c r="C131">
        <v>211</v>
      </c>
      <c r="D131">
        <v>35</v>
      </c>
      <c r="E131" t="s">
        <v>1508</v>
      </c>
      <c r="F131" t="s">
        <v>262</v>
      </c>
      <c r="G131" t="s">
        <v>271</v>
      </c>
      <c r="H131" t="s">
        <v>274</v>
      </c>
      <c r="I131">
        <v>1920</v>
      </c>
      <c r="K131">
        <v>1960</v>
      </c>
      <c r="M131">
        <v>1250</v>
      </c>
      <c r="O131" s="5">
        <v>20</v>
      </c>
      <c r="P131" s="5">
        <v>28</v>
      </c>
      <c r="Q131" s="5">
        <v>2</v>
      </c>
      <c r="R131" s="5">
        <v>180</v>
      </c>
      <c r="S131" s="6">
        <f t="shared" si="96"/>
        <v>175.07043740108486</v>
      </c>
      <c r="T131" s="5">
        <v>1.5</v>
      </c>
      <c r="U131" s="5">
        <f t="shared" si="97"/>
        <v>1272.727272727273</v>
      </c>
      <c r="V131">
        <v>55.6</v>
      </c>
      <c r="W131" s="8">
        <v>32</v>
      </c>
      <c r="Y131">
        <v>129</v>
      </c>
      <c r="Z131" s="3">
        <f t="shared" si="76"/>
        <v>0.14726027397260275</v>
      </c>
      <c r="AA131">
        <v>60</v>
      </c>
      <c r="AB131">
        <f t="shared" si="90"/>
        <v>96</v>
      </c>
      <c r="AE131">
        <v>16.61</v>
      </c>
      <c r="AF131">
        <v>10</v>
      </c>
      <c r="AI131" s="10">
        <v>0</v>
      </c>
      <c r="AJ131" t="str">
        <f>CONCATENATE(VLOOKUP(AK131, 'Voxel Sizes'!$A$2:$B$18,2,FALSE),"x",INT(AG131*15), "x", INT(AH131*15))</f>
        <v>102x0x0</v>
      </c>
      <c r="AK131">
        <f t="shared" si="77"/>
        <v>6</v>
      </c>
      <c r="AL131" t="s">
        <v>389</v>
      </c>
      <c r="AM131" t="str">
        <f>CONCATENATE(VLOOKUP(AK131,Constants!$A$2:$C$16,IF(AL131&lt;&gt;"", 3, 2), FALSE),IF(AL131&lt;&gt;"",CONCATENATE(",",VLOOKUP(AL131,$B:$AM,38,FALSE)),""))</f>
        <v>2,2,2,2,1,2</v>
      </c>
      <c r="AU131">
        <v>1</v>
      </c>
      <c r="AW131">
        <v>30</v>
      </c>
      <c r="AX131" s="15">
        <f t="shared" si="78"/>
        <v>48</v>
      </c>
      <c r="BA131">
        <f t="shared" si="79"/>
        <v>12</v>
      </c>
      <c r="BB131">
        <f t="shared" si="80"/>
        <v>6.25</v>
      </c>
      <c r="BC131">
        <f t="shared" si="81"/>
        <v>6.45</v>
      </c>
      <c r="BD131" s="3">
        <f t="shared" si="82"/>
        <v>0.97333333333333338</v>
      </c>
      <c r="BE131">
        <f t="shared" si="83"/>
        <v>0</v>
      </c>
      <c r="BF131">
        <f>VLOOKUP($G131,Constants!$I:$K, 2, FALSE)</f>
        <v>1.1499999999999999</v>
      </c>
      <c r="BG131">
        <f>VLOOKUP($G131,Constants!$I:$K, 3, FALSE)*IF(AND(F131="multiple_unit",AA131&lt;110),0.75,1)</f>
        <v>1.7</v>
      </c>
      <c r="BH131">
        <f>INT(POWER(((Constants!$G$2+$BA131+$BB131+$BC131+$BE131)*$BD131)*$BG131, 1.05))+$AZ131</f>
        <v>59</v>
      </c>
      <c r="BI131">
        <f>INT(POWER((((Constants!$G$1+$BA131+$BB131+$BC131+$BE131)*($BD131))*$BF131),IF($F131="wagon",1,1.2)))+$AY131</f>
        <v>94</v>
      </c>
      <c r="BJ131" s="14">
        <f t="shared" si="84"/>
        <v>46093.75</v>
      </c>
      <c r="BK131" s="14">
        <f t="shared" si="85"/>
        <v>7637.5</v>
      </c>
      <c r="BR131">
        <v>4</v>
      </c>
      <c r="BV131" t="str">
        <f>VLOOKUP(I131,Eras!$A$2:$C$10, 2, TRUE)</f>
        <v>edw</v>
      </c>
      <c r="BW131" t="s">
        <v>328</v>
      </c>
      <c r="BX131" t="str">
        <f t="shared" si="86"/>
        <v>edw_Freight</v>
      </c>
      <c r="BY131" t="str">
        <f t="shared" si="87"/>
        <v>steam_RAIL</v>
      </c>
      <c r="BZ131" s="17" t="str" cm="1">
        <f t="array" ref="BZ131">_xlfn.CONCAT("{BLACK}Length: {GOLD}", TEXT(ROUNDUP(IF(AP131&lt;&gt;"",SUM(VALUE(_xlfn.TEXTSPLIT(AP131, ","))), SUM(VALUE(_xlfn.TEXTSPLIT(AM131, ",")))*IF(L131, L131, 1))/16, 1), "#,##0.0"), " tiles{}")</f>
        <v>{BLACK}Length: {GOLD}0.7 tiles{}</v>
      </c>
      <c r="CA131" t="str">
        <f>VLOOKUP($BY131, Constants!$M:$N, 2, FALSE)</f>
        <v>{BLACK}Powered by: {GOLD}Steam</v>
      </c>
      <c r="CB131" t="str">
        <f t="shared" si="95"/>
        <v/>
      </c>
      <c r="CC131" t="s">
        <v>1481</v>
      </c>
      <c r="CD131" t="str">
        <f t="shared" si="94"/>
        <v/>
      </c>
      <c r="CE131" t="str">
        <f t="shared" si="61"/>
        <v>{BLACK}Powered by: {GOLD}Steam {}{BLACK}Length: {GOLD}0.7 tiles{}{SILVER}The D81 (later LNER J20 Class) continued the GER's habit of building powerful 0-6-0s, and remained the most powerful British 0-6-0 tender locomotive for over twenty years.</v>
      </c>
    </row>
    <row r="132" spans="1:83" x14ac:dyDescent="0.25">
      <c r="A132" t="s">
        <v>56</v>
      </c>
      <c r="B132" t="s">
        <v>158</v>
      </c>
      <c r="C132">
        <v>212</v>
      </c>
      <c r="D132">
        <v>36</v>
      </c>
      <c r="E132" t="s">
        <v>1508</v>
      </c>
      <c r="F132" t="s">
        <v>262</v>
      </c>
      <c r="G132" t="s">
        <v>295</v>
      </c>
      <c r="H132" t="s">
        <v>296</v>
      </c>
      <c r="I132">
        <v>1914</v>
      </c>
      <c r="J132">
        <v>1919</v>
      </c>
      <c r="K132">
        <v>1950</v>
      </c>
      <c r="M132">
        <v>1100</v>
      </c>
      <c r="V132">
        <v>76</v>
      </c>
      <c r="Y132">
        <v>140</v>
      </c>
      <c r="Z132" s="3">
        <f t="shared" si="76"/>
        <v>0.18421052631578946</v>
      </c>
      <c r="AA132">
        <v>35</v>
      </c>
      <c r="AB132">
        <f t="shared" si="90"/>
        <v>56</v>
      </c>
      <c r="AE132">
        <v>12</v>
      </c>
      <c r="AF132">
        <v>12</v>
      </c>
      <c r="AI132" s="10">
        <v>0</v>
      </c>
      <c r="AJ132" t="str">
        <f>CONCATENATE(VLOOKUP(AK132, 'Voxel Sizes'!$A$2:$B$18,2,FALSE),"x",INT(AG132*15), "x", INT(AH132*15))</f>
        <v>120x0x0</v>
      </c>
      <c r="AK132">
        <f t="shared" si="77"/>
        <v>7</v>
      </c>
      <c r="AM132" t="str">
        <f>CONCATENATE(VLOOKUP(AK132,Constants!$A$2:$C$16,IF(AL132&lt;&gt;"", 3, 2), FALSE),IF(AL132&lt;&gt;"",CONCATENATE(",",VLOOKUP(AL132,$B:$AM,38,FALSE)),""))</f>
        <v>2,3,2</v>
      </c>
      <c r="AW132">
        <v>16</v>
      </c>
      <c r="AX132" s="15">
        <f t="shared" si="78"/>
        <v>44</v>
      </c>
      <c r="AZ132">
        <v>8</v>
      </c>
      <c r="BA132">
        <f t="shared" si="79"/>
        <v>7</v>
      </c>
      <c r="BB132">
        <f t="shared" si="80"/>
        <v>5.5</v>
      </c>
      <c r="BC132">
        <f t="shared" si="81"/>
        <v>7</v>
      </c>
      <c r="BD132" s="3">
        <f t="shared" si="82"/>
        <v>0.98133333333333328</v>
      </c>
      <c r="BE132">
        <f t="shared" si="83"/>
        <v>0</v>
      </c>
      <c r="BF132">
        <f>VLOOKUP($G132,Constants!$I:$K, 2, FALSE)</f>
        <v>0.85</v>
      </c>
      <c r="BG132">
        <f>VLOOKUP($G132,Constants!$I:$K, 3, FALSE)*IF(AND(F132="multiple_unit",AA132&lt;110),0.75,1)</f>
        <v>2.2999999999999998</v>
      </c>
      <c r="BH132">
        <f>INT(POWER(((Constants!$G$2+$BA132+$BB132+$BC132+$BE132)*$BD132)*$BG132, 1.05))+$AZ132</f>
        <v>75</v>
      </c>
      <c r="BI132">
        <f>INT(POWER((((Constants!$G$1+$BA132+$BB132+$BC132+$BE132)*($BD132))*$BF132),IF($F132="wagon",1,1.2)))+$AY132</f>
        <v>56</v>
      </c>
      <c r="BJ132" s="14">
        <f t="shared" si="84"/>
        <v>58593.75</v>
      </c>
      <c r="BK132" s="14">
        <f t="shared" si="85"/>
        <v>4550</v>
      </c>
      <c r="BR132">
        <v>6</v>
      </c>
      <c r="BV132" t="str">
        <f>VLOOKUP(I132,Eras!$A$2:$C$10, 2, TRUE)</f>
        <v>edw</v>
      </c>
      <c r="BW132" t="s">
        <v>338</v>
      </c>
      <c r="BX132" t="str">
        <f t="shared" si="86"/>
        <v>edw_Freight (Electric)</v>
      </c>
      <c r="BY132" t="str">
        <f t="shared" si="87"/>
        <v>electric_ELRL</v>
      </c>
      <c r="BZ132" s="17" t="str" cm="1">
        <f t="array" ref="BZ132">_xlfn.CONCAT("{BLACK}Length: {GOLD}", TEXT(ROUNDUP(IF(AP132&lt;&gt;"",SUM(VALUE(_xlfn.TEXTSPLIT(AP132, ","))), SUM(VALUE(_xlfn.TEXTSPLIT(AM132, ",")))*IF(L132, L132, 1))/16, 1), "#,##0.0"), " tiles{}")</f>
        <v>{BLACK}Length: {GOLD}0.5 tiles{}</v>
      </c>
      <c r="CA132" t="str">
        <f>VLOOKUP($BY132, Constants!$M:$N, 2, FALSE)</f>
        <v>{BLACK}Powered by: {GOLD}25kV AC</v>
      </c>
      <c r="CB132" t="str">
        <f t="shared" si="95"/>
        <v/>
      </c>
      <c r="CC132" t="s">
        <v>390</v>
      </c>
      <c r="CD132" t="str">
        <f t="shared" si="94"/>
        <v/>
      </c>
      <c r="CE132" t="str">
        <f t="shared" ref="CE132:CE195" si="98">_xlfn.CONCAT(CA132,IF(CA132 &lt;&gt; "", " ", ""),CB132,IF(OR(CB132&lt;&gt;"", CA132&lt;&gt;""), "{}",""), BZ132, CD132,"{SILVER}", CC132)</f>
        <v>{BLACK}Powered by: {GOLD}25kV AC {}{BLACK}Length: {GOLD}0.5 tiles{}{SILVER}The LNER EF1 is an early electric freight engine designed for hauling heavy coal trains.</v>
      </c>
    </row>
    <row r="133" spans="1:83" x14ac:dyDescent="0.25">
      <c r="A133" t="s">
        <v>6</v>
      </c>
      <c r="B133" t="s">
        <v>159</v>
      </c>
      <c r="C133">
        <v>214</v>
      </c>
      <c r="D133">
        <v>37</v>
      </c>
      <c r="E133" t="s">
        <v>1508</v>
      </c>
      <c r="F133" t="s">
        <v>262</v>
      </c>
      <c r="G133" t="s">
        <v>271</v>
      </c>
      <c r="H133" t="s">
        <v>274</v>
      </c>
      <c r="I133">
        <v>1923</v>
      </c>
      <c r="K133">
        <v>1966</v>
      </c>
      <c r="M133">
        <v>950</v>
      </c>
      <c r="O133" s="5">
        <v>20</v>
      </c>
      <c r="P133" s="5">
        <v>26</v>
      </c>
      <c r="Q133" s="5">
        <v>2</v>
      </c>
      <c r="R133" s="5">
        <v>175</v>
      </c>
      <c r="S133" s="6">
        <f t="shared" ref="S133:S138" si="99">((($AA133/2)/60)*5280)/($T133*3.2*PI())</f>
        <v>150.4511571415573</v>
      </c>
      <c r="T133" s="5">
        <v>1.6</v>
      </c>
      <c r="U133" s="5">
        <f t="shared" ref="U133:U138" si="100">((($O133*$O133/4)*PI())*($P133/12)*$Q133*$R133*$S133)/(33000*1.1)</f>
        <v>987.41319444444446</v>
      </c>
      <c r="V133">
        <f>49.5+41.8</f>
        <v>91.3</v>
      </c>
      <c r="Y133">
        <v>109</v>
      </c>
      <c r="Z133" s="3">
        <f t="shared" si="76"/>
        <v>0.11938663745892661</v>
      </c>
      <c r="AA133">
        <v>55</v>
      </c>
      <c r="AB133">
        <f t="shared" si="90"/>
        <v>88</v>
      </c>
      <c r="AE133">
        <v>15.8</v>
      </c>
      <c r="AF133">
        <v>10</v>
      </c>
      <c r="AI133" s="10">
        <v>0</v>
      </c>
      <c r="AJ133" t="str">
        <f>CONCATENATE(VLOOKUP(AK133, 'Voxel Sizes'!$A$2:$B$18,2,FALSE),"x",INT(AG133*15), "x", INT(AH133*15))</f>
        <v>102x0x0</v>
      </c>
      <c r="AK133">
        <f t="shared" si="77"/>
        <v>6</v>
      </c>
      <c r="AL133" t="s">
        <v>308</v>
      </c>
      <c r="AM133" t="str">
        <f>CONCATENATE(VLOOKUP(AK133,Constants!$A$2:$C$16,IF(AL133&lt;&gt;"", 3, 2), FALSE),IF(AL133&lt;&gt;"",CONCATENATE(",",VLOOKUP(AL133,$B:$AM,38,FALSE)),""))</f>
        <v>2,2,2,2,1,2</v>
      </c>
      <c r="AU133">
        <v>1</v>
      </c>
      <c r="AW133">
        <v>36</v>
      </c>
      <c r="AX133" s="15">
        <f t="shared" si="78"/>
        <v>51</v>
      </c>
      <c r="BA133">
        <f t="shared" si="79"/>
        <v>11</v>
      </c>
      <c r="BB133">
        <f t="shared" si="80"/>
        <v>4.75</v>
      </c>
      <c r="BC133">
        <f t="shared" si="81"/>
        <v>5.45</v>
      </c>
      <c r="BD133" s="3">
        <f t="shared" si="82"/>
        <v>0.96933333333333338</v>
      </c>
      <c r="BE133">
        <f t="shared" si="83"/>
        <v>0</v>
      </c>
      <c r="BF133">
        <f>VLOOKUP($G133,Constants!$I:$K, 2, FALSE)</f>
        <v>1.1499999999999999</v>
      </c>
      <c r="BG133">
        <f>VLOOKUP($G133,Constants!$I:$K, 3, FALSE)*IF(AND(F133="multiple_unit",AA133&lt;110),0.75,1)</f>
        <v>1.7</v>
      </c>
      <c r="BH133">
        <f>INT(POWER(((Constants!$G$2+$BA133+$BB133+$BC133+$BE133)*$BD133)*$BG133, 1.05))+$AZ133</f>
        <v>52</v>
      </c>
      <c r="BI133">
        <f>INT(POWER((((Constants!$G$1+$BA133+$BB133+$BC133+$BE133)*($BD133))*$BF133),IF($F133="wagon",1,1.2)))+$AY133</f>
        <v>84</v>
      </c>
      <c r="BJ133" s="14">
        <f t="shared" si="84"/>
        <v>40625</v>
      </c>
      <c r="BK133" s="14">
        <f t="shared" si="85"/>
        <v>6825</v>
      </c>
      <c r="BR133">
        <v>9</v>
      </c>
      <c r="BV133" t="str">
        <f>VLOOKUP(I133,Eras!$A$2:$C$10, 2, TRUE)</f>
        <v>big4</v>
      </c>
      <c r="BW133" t="s">
        <v>326</v>
      </c>
      <c r="BX133" t="str">
        <f t="shared" si="86"/>
        <v>big4_Mixed Traffic</v>
      </c>
      <c r="BY133" t="str">
        <f t="shared" si="87"/>
        <v>steam_RAIL</v>
      </c>
      <c r="BZ133" s="17" t="str" cm="1">
        <f t="array" ref="BZ133">_xlfn.CONCAT("{BLACK}Length: {GOLD}", TEXT(ROUNDUP(IF(AP133&lt;&gt;"",SUM(VALUE(_xlfn.TEXTSPLIT(AP133, ","))), SUM(VALUE(_xlfn.TEXTSPLIT(AM133, ",")))*IF(L133, L133, 1))/16, 1), "#,##0.0"), " tiles{}")</f>
        <v>{BLACK}Length: {GOLD}0.7 tiles{}</v>
      </c>
      <c r="CA133" t="str">
        <f>VLOOKUP($BY133, Constants!$M:$N, 2, FALSE)</f>
        <v>{BLACK}Powered by: {GOLD}Steam</v>
      </c>
      <c r="CB133" t="str">
        <f t="shared" si="95"/>
        <v/>
      </c>
      <c r="CC133" t="s">
        <v>416</v>
      </c>
      <c r="CD133" t="str">
        <f t="shared" si="94"/>
        <v/>
      </c>
      <c r="CE133" t="str">
        <f t="shared" si="98"/>
        <v>{BLACK}Powered by: {GOLD}Steam {}{BLACK}Length: {GOLD}0.7 tiles{}{SILVER}The Fowler 4F is a development of the earlier Midland 3835 class.</v>
      </c>
    </row>
    <row r="134" spans="1:83" x14ac:dyDescent="0.25">
      <c r="A134" t="s">
        <v>1173</v>
      </c>
      <c r="B134" t="s">
        <v>1175</v>
      </c>
      <c r="C134">
        <v>215</v>
      </c>
      <c r="D134">
        <v>38</v>
      </c>
      <c r="E134" t="s">
        <v>1508</v>
      </c>
      <c r="F134" t="s">
        <v>262</v>
      </c>
      <c r="G134" t="s">
        <v>271</v>
      </c>
      <c r="H134" t="s">
        <v>274</v>
      </c>
      <c r="I134">
        <v>1921</v>
      </c>
      <c r="K134">
        <v>1962</v>
      </c>
      <c r="M134">
        <v>450</v>
      </c>
      <c r="O134" s="5">
        <v>15</v>
      </c>
      <c r="P134" s="5">
        <v>22</v>
      </c>
      <c r="Q134" s="5">
        <v>2</v>
      </c>
      <c r="R134" s="5">
        <v>160</v>
      </c>
      <c r="S134" s="6">
        <f t="shared" si="99"/>
        <v>159.15494309189532</v>
      </c>
      <c r="T134" s="5">
        <v>1.1000000000000001</v>
      </c>
      <c r="U134" s="5">
        <f t="shared" si="100"/>
        <v>454.54545454545445</v>
      </c>
      <c r="V134">
        <v>33.299999999999997</v>
      </c>
      <c r="Y134">
        <v>65</v>
      </c>
      <c r="Z134" s="3">
        <f t="shared" si="76"/>
        <v>0.19519519519519518</v>
      </c>
      <c r="AA134">
        <v>40</v>
      </c>
      <c r="AB134">
        <f t="shared" si="90"/>
        <v>64</v>
      </c>
      <c r="AF134">
        <v>8</v>
      </c>
      <c r="AI134" s="10">
        <v>0</v>
      </c>
      <c r="AJ134" t="str">
        <f>CONCATENATE(VLOOKUP(AK134, 'Voxel Sizes'!$A$2:$B$18,2,FALSE),"x",INT(AG134*15), "x", INT(AH134*15))</f>
        <v>82x0x0</v>
      </c>
      <c r="AK134">
        <f t="shared" si="77"/>
        <v>5</v>
      </c>
      <c r="AM134" t="str">
        <f>CONCATENATE(VLOOKUP(AK134,Constants!$A$2:$C$16,IF(AL134&lt;&gt;"", 3, 2), FALSE),IF(AL134&lt;&gt;"",CONCATENATE(",",VLOOKUP(AL134,$B:$AM,38,FALSE)),""))</f>
        <v>2,1,2</v>
      </c>
      <c r="AU134">
        <v>1</v>
      </c>
      <c r="AW134">
        <v>33</v>
      </c>
      <c r="AX134" s="15">
        <f t="shared" si="78"/>
        <v>49</v>
      </c>
      <c r="AY134">
        <v>-15</v>
      </c>
      <c r="AZ134">
        <v>-9</v>
      </c>
      <c r="BA134">
        <f t="shared" si="79"/>
        <v>8</v>
      </c>
      <c r="BB134">
        <f t="shared" si="80"/>
        <v>2.25</v>
      </c>
      <c r="BC134">
        <f t="shared" si="81"/>
        <v>3.25</v>
      </c>
      <c r="BD134" s="3">
        <f t="shared" si="82"/>
        <v>0.97199999999999998</v>
      </c>
      <c r="BE134">
        <f t="shared" si="83"/>
        <v>0</v>
      </c>
      <c r="BF134">
        <f>VLOOKUP($G134,Constants!$I:$K, 2, FALSE)</f>
        <v>1.1499999999999999</v>
      </c>
      <c r="BG134">
        <f>VLOOKUP($G134,Constants!$I:$K, 3, FALSE)*IF(AND(F134="multiple_unit",AA134&lt;110),0.75,1)</f>
        <v>1.7</v>
      </c>
      <c r="BH134">
        <f>INT(POWER(((Constants!$G$2+$BA134+$BB134+$BC134+$BE134)*$BD134)*$BG134, 1.05))+$AZ134</f>
        <v>27</v>
      </c>
      <c r="BI134">
        <f>INT(POWER((((Constants!$G$1+$BA134+$BB134+$BC134+$BE134)*($BD134))*$BF134),IF($F134="wagon",1,1.2)))+$AY134</f>
        <v>48</v>
      </c>
      <c r="BJ134" s="14">
        <f t="shared" si="84"/>
        <v>21093.75</v>
      </c>
      <c r="BK134" s="14">
        <f t="shared" si="85"/>
        <v>3900</v>
      </c>
      <c r="BR134">
        <v>6</v>
      </c>
      <c r="BV134" t="str">
        <f>VLOOKUP(I134,Eras!$A$2:$C$10, 2, TRUE)</f>
        <v>edw</v>
      </c>
      <c r="BW134" t="s">
        <v>325</v>
      </c>
      <c r="BX134" t="str">
        <f t="shared" si="86"/>
        <v>edw_Cheap</v>
      </c>
      <c r="BY134" t="str">
        <f t="shared" si="87"/>
        <v>steam_RAIL</v>
      </c>
      <c r="BZ134" s="17" t="str" cm="1">
        <f t="array" ref="BZ134">_xlfn.CONCAT("{BLACK}Length: {GOLD}", TEXT(ROUNDUP(IF(AP134&lt;&gt;"",SUM(VALUE(_xlfn.TEXTSPLIT(AP134, ","))), SUM(VALUE(_xlfn.TEXTSPLIT(AM134, ",")))*IF(L134, L134, 1))/16, 1), "#,##0.0"), " tiles{}")</f>
        <v>{BLACK}Length: {GOLD}0.4 tiles{}</v>
      </c>
      <c r="CA134" t="str">
        <f>VLOOKUP($BY134, Constants!$M:$N, 2, FALSE)</f>
        <v>{BLACK}Powered by: {GOLD}Steam</v>
      </c>
      <c r="CB134" t="str">
        <f t="shared" si="95"/>
        <v/>
      </c>
      <c r="CC134" t="s">
        <v>1191</v>
      </c>
      <c r="CD134" t="str">
        <f t="shared" si="94"/>
        <v/>
      </c>
      <c r="CE134" t="str">
        <f t="shared" si="98"/>
        <v>{BLACK}Powered by: {GOLD}Steam {}{BLACK}Length: {GOLD}0.4 tiles{}{SILVER}The 1528 class is a small 0-4-0 tank engine. Designed for shunting, it was built in two batches, the first in 1907 and the second (as here) with minor detail changes in 1921</v>
      </c>
    </row>
    <row r="135" spans="1:83" x14ac:dyDescent="0.25">
      <c r="A135" t="s">
        <v>417</v>
      </c>
      <c r="B135" t="s">
        <v>418</v>
      </c>
      <c r="C135">
        <v>216</v>
      </c>
      <c r="D135">
        <v>39</v>
      </c>
      <c r="E135" t="s">
        <v>1508</v>
      </c>
      <c r="F135" t="s">
        <v>262</v>
      </c>
      <c r="G135" t="s">
        <v>271</v>
      </c>
      <c r="H135" t="s">
        <v>274</v>
      </c>
      <c r="I135">
        <v>1923</v>
      </c>
      <c r="J135">
        <v>1950</v>
      </c>
      <c r="K135">
        <v>1950</v>
      </c>
      <c r="M135">
        <v>1900</v>
      </c>
      <c r="O135" s="5">
        <v>16</v>
      </c>
      <c r="P135" s="5">
        <v>26</v>
      </c>
      <c r="Q135" s="5">
        <v>4</v>
      </c>
      <c r="R135" s="5">
        <v>225</v>
      </c>
      <c r="S135" s="6">
        <f t="shared" si="99"/>
        <v>223.21480768638321</v>
      </c>
      <c r="T135" s="5">
        <v>2</v>
      </c>
      <c r="U135" s="5">
        <f t="shared" si="100"/>
        <v>2410.9090909090905</v>
      </c>
      <c r="V135">
        <v>81.099999999999994</v>
      </c>
      <c r="W135" s="8">
        <v>48</v>
      </c>
      <c r="Y135">
        <v>141</v>
      </c>
      <c r="Z135" s="3">
        <f t="shared" si="76"/>
        <v>0.10921766072811774</v>
      </c>
      <c r="AA135">
        <v>102</v>
      </c>
      <c r="AB135">
        <f t="shared" si="90"/>
        <v>163</v>
      </c>
      <c r="AD135">
        <v>1</v>
      </c>
      <c r="AE135">
        <v>19.86</v>
      </c>
      <c r="AF135">
        <f>AE135-7.64</f>
        <v>12.219999999999999</v>
      </c>
      <c r="AH135">
        <v>4.07</v>
      </c>
      <c r="AI135" s="10">
        <v>0</v>
      </c>
      <c r="AJ135" t="str">
        <f>CONCATENATE(VLOOKUP(AK135, 'Voxel Sizes'!$A$2:$B$18,2,FALSE),"x",INT(AG135*15), "x", INT(AH135*15))</f>
        <v>120x0x61</v>
      </c>
      <c r="AK135">
        <f t="shared" si="77"/>
        <v>7</v>
      </c>
      <c r="AL135" t="s">
        <v>420</v>
      </c>
      <c r="AM135" t="str">
        <f>CONCATENATE(VLOOKUP(AK135,Constants!$A$2:$C$16,IF(AL135&lt;&gt;"", 3, 2), FALSE),IF(AL135&lt;&gt;"",CONCATENATE(",",VLOOKUP(AL135,$B:$AM,38,FALSE)),""))</f>
        <v>2,3,2,2,1,2</v>
      </c>
      <c r="AU135">
        <v>1</v>
      </c>
      <c r="AW135">
        <v>30</v>
      </c>
      <c r="AX135" s="15">
        <f t="shared" si="78"/>
        <v>35</v>
      </c>
      <c r="BA135">
        <f t="shared" si="79"/>
        <v>20.400000000000002</v>
      </c>
      <c r="BB135">
        <f t="shared" si="80"/>
        <v>9.5</v>
      </c>
      <c r="BC135">
        <f t="shared" si="81"/>
        <v>7.05</v>
      </c>
      <c r="BD135" s="3">
        <f t="shared" si="82"/>
        <v>0.96933333333333338</v>
      </c>
      <c r="BE135">
        <f t="shared" si="83"/>
        <v>0</v>
      </c>
      <c r="BF135">
        <f>VLOOKUP($G135,Constants!$I:$K, 2, FALSE)</f>
        <v>1.1499999999999999</v>
      </c>
      <c r="BG135">
        <f>VLOOKUP($G135,Constants!$I:$K, 3, FALSE)*IF(AND(F135="multiple_unit",AA135&lt;110),0.75,1)</f>
        <v>1.7</v>
      </c>
      <c r="BH135">
        <f>INT(POWER(((Constants!$G$2+$BA135+$BB135+$BC135+$BE135)*$BD135)*$BG135, 1.05))+$AZ135</f>
        <v>85</v>
      </c>
      <c r="BI135">
        <f>INT(POWER((((Constants!$G$1+$BA135+$BB135+$BC135+$BE135)*($BD135))*$BF135),IF($F135="wagon",1,1.2)))+$AY135</f>
        <v>130</v>
      </c>
      <c r="BJ135" s="14">
        <f t="shared" si="84"/>
        <v>66406.25</v>
      </c>
      <c r="BK135" s="14">
        <f t="shared" si="85"/>
        <v>10562.5</v>
      </c>
      <c r="BR135">
        <v>10</v>
      </c>
      <c r="BV135" t="str">
        <f>VLOOKUP(I135,Eras!$A$2:$C$10, 2, TRUE)</f>
        <v>big4</v>
      </c>
      <c r="BW135" t="s">
        <v>327</v>
      </c>
      <c r="BX135" t="str">
        <f t="shared" si="86"/>
        <v>big4_Express</v>
      </c>
      <c r="BY135" t="str">
        <f t="shared" si="87"/>
        <v>steam_RAIL</v>
      </c>
      <c r="BZ135" s="17" t="str" cm="1">
        <f t="array" ref="BZ135">_xlfn.CONCAT("{BLACK}Length: {GOLD}", TEXT(ROUNDUP(IF(AP135&lt;&gt;"",SUM(VALUE(_xlfn.TEXTSPLIT(AP135, ","))), SUM(VALUE(_xlfn.TEXTSPLIT(AM135, ",")))*IF(L135, L135, 1))/16, 1), "#,##0.0"), " tiles{}")</f>
        <v>{BLACK}Length: {GOLD}0.8 tiles{}</v>
      </c>
      <c r="CA135" t="str">
        <f>VLOOKUP($BY135, Constants!$M:$N, 2, FALSE)</f>
        <v>{BLACK}Powered by: {GOLD}Steam</v>
      </c>
      <c r="CB135" t="str">
        <f t="shared" si="95"/>
        <v/>
      </c>
      <c r="CC135" t="s">
        <v>421</v>
      </c>
      <c r="CD135" t="str">
        <f t="shared" si="94"/>
        <v/>
      </c>
      <c r="CE135" t="str">
        <f t="shared" si="98"/>
        <v>{BLACK}Powered by: {GOLD}Steam {}{BLACK}Length: {GOLD}0.8 tiles{}{SILVER}The Castle Class is a large, powerful express locomotive designed by GWR Chief Mechanical Engineer Charles Collett</v>
      </c>
    </row>
    <row r="136" spans="1:83" x14ac:dyDescent="0.25">
      <c r="A136" t="s">
        <v>1174</v>
      </c>
      <c r="B136" t="s">
        <v>1178</v>
      </c>
      <c r="C136">
        <v>217</v>
      </c>
      <c r="D136">
        <v>40</v>
      </c>
      <c r="E136" t="s">
        <v>1508</v>
      </c>
      <c r="F136" t="s">
        <v>262</v>
      </c>
      <c r="G136" t="s">
        <v>271</v>
      </c>
      <c r="H136" t="s">
        <v>274</v>
      </c>
      <c r="I136">
        <v>1921</v>
      </c>
      <c r="J136">
        <v>1922</v>
      </c>
      <c r="K136">
        <v>1964</v>
      </c>
      <c r="M136">
        <v>1000</v>
      </c>
      <c r="O136" s="5">
        <v>20.5</v>
      </c>
      <c r="P136" s="5">
        <v>24</v>
      </c>
      <c r="Q136" s="5">
        <v>2</v>
      </c>
      <c r="R136" s="5">
        <v>175</v>
      </c>
      <c r="S136" s="6">
        <f t="shared" si="99"/>
        <v>157.43744370601161</v>
      </c>
      <c r="T136" s="5">
        <v>1.39</v>
      </c>
      <c r="U136" s="5">
        <f t="shared" si="100"/>
        <v>1002.0676640505778</v>
      </c>
      <c r="V136">
        <v>63</v>
      </c>
      <c r="W136" s="8">
        <f>104.4-63</f>
        <v>41.400000000000006</v>
      </c>
      <c r="Y136">
        <v>125</v>
      </c>
      <c r="Z136" s="3">
        <f t="shared" ref="Z136:Z197" si="101">IF(AND(V136&gt;0,Y136&gt;0),(Y136/((V136+W136)*10)),"")</f>
        <v>0.11973180076628352</v>
      </c>
      <c r="AA136">
        <v>50</v>
      </c>
      <c r="AB136">
        <f t="shared" si="90"/>
        <v>80</v>
      </c>
      <c r="AF136">
        <v>10</v>
      </c>
      <c r="AI136" s="10">
        <v>0</v>
      </c>
      <c r="AJ136" t="str">
        <f>CONCATENATE(VLOOKUP(AK136, 'Voxel Sizes'!$A$2:$B$18,2,FALSE),"x",INT(AG136*15), "x", INT(AH136*15))</f>
        <v>102x0x0</v>
      </c>
      <c r="AK136">
        <f t="shared" si="77"/>
        <v>6</v>
      </c>
      <c r="AL136" t="s">
        <v>1184</v>
      </c>
      <c r="AM136" t="str">
        <f>CONCATENATE(VLOOKUP(AK136,Constants!$A$2:$C$16,IF(AL136&lt;&gt;"", 3, 2), FALSE),IF(AL136&lt;&gt;"",CONCATENATE(",",VLOOKUP(AL136,$B:$AM,38,FALSE)),""))</f>
        <v>2,2,2,2,1,2</v>
      </c>
      <c r="AU136">
        <v>1</v>
      </c>
      <c r="AW136">
        <v>30</v>
      </c>
      <c r="AX136" s="15">
        <f t="shared" si="78"/>
        <v>51</v>
      </c>
      <c r="BA136">
        <f t="shared" si="79"/>
        <v>10</v>
      </c>
      <c r="BB136">
        <f t="shared" si="80"/>
        <v>5</v>
      </c>
      <c r="BC136">
        <f t="shared" si="81"/>
        <v>6.25</v>
      </c>
      <c r="BD136" s="3">
        <f t="shared" si="82"/>
        <v>0.97199999999999998</v>
      </c>
      <c r="BE136">
        <f t="shared" si="83"/>
        <v>0</v>
      </c>
      <c r="BF136">
        <f>VLOOKUP($G136,Constants!$I:$K, 2, FALSE)</f>
        <v>1.1499999999999999</v>
      </c>
      <c r="BG136">
        <f>VLOOKUP($G136,Constants!$I:$K, 3, FALSE)*IF(AND(F136="multiple_unit",AA136&lt;110),0.75,1)</f>
        <v>1.7</v>
      </c>
      <c r="BH136">
        <f>INT(POWER(((Constants!$G$2+$BA136+$BB136+$BC136+$BE136)*$BD136)*$BG136, 1.05))+$AZ136</f>
        <v>52</v>
      </c>
      <c r="BI136">
        <f>INT(POWER((((Constants!$G$1+$BA136+$BB136+$BC136+$BE136)*($BD136))*$BF136),IF($F136="wagon",1,1.2)))+$AY136</f>
        <v>84</v>
      </c>
      <c r="BJ136" s="14">
        <f t="shared" si="84"/>
        <v>40625</v>
      </c>
      <c r="BK136" s="14">
        <f t="shared" si="85"/>
        <v>6825</v>
      </c>
      <c r="BR136">
        <v>7</v>
      </c>
      <c r="BV136" t="str">
        <f>VLOOKUP(I136,Eras!$A$2:$C$10, 2, TRUE)</f>
        <v>edw</v>
      </c>
      <c r="BW136" t="s">
        <v>328</v>
      </c>
      <c r="BX136" t="str">
        <f t="shared" si="86"/>
        <v>edw_Freight</v>
      </c>
      <c r="BY136" t="str">
        <f t="shared" si="87"/>
        <v>steam_RAIL</v>
      </c>
      <c r="BZ136" s="17" t="str" cm="1">
        <f t="array" ref="BZ136">_xlfn.CONCAT("{BLACK}Length: {GOLD}", TEXT(ROUNDUP(IF(AP136&lt;&gt;"",SUM(VALUE(_xlfn.TEXTSPLIT(AP136, ","))), SUM(VALUE(_xlfn.TEXTSPLIT(AM136, ",")))*IF(L136, L136, 1))/16, 1), "#,##0.0"), " tiles{}")</f>
        <v>{BLACK}Length: {GOLD}0.7 tiles{}</v>
      </c>
      <c r="CA136" t="str">
        <f>VLOOKUP($BY136, Constants!$M:$N, 2, FALSE)</f>
        <v>{BLACK}Powered by: {GOLD}Steam</v>
      </c>
      <c r="CB136" t="str">
        <f t="shared" si="95"/>
        <v/>
      </c>
      <c r="CC136" t="s">
        <v>1186</v>
      </c>
      <c r="CD136" t="str">
        <f t="shared" si="94"/>
        <v/>
      </c>
      <c r="CE136" t="str">
        <f t="shared" si="98"/>
        <v>{BLACK}Powered by: {GOLD}Steam {}{BLACK}Length: {GOLD}0.7 tiles{}{SILVER}The LNWR G2 is an 0-8-0 freight locomotive, built from scratch as a new class and never rebuilt instead of the usual LNWR practice of rebuilding existing 8-coupled locomotives.</v>
      </c>
    </row>
    <row r="137" spans="1:83" x14ac:dyDescent="0.25">
      <c r="A137" t="s">
        <v>5</v>
      </c>
      <c r="B137" t="s">
        <v>160</v>
      </c>
      <c r="C137">
        <v>218</v>
      </c>
      <c r="D137">
        <v>41</v>
      </c>
      <c r="E137" t="s">
        <v>1508</v>
      </c>
      <c r="F137" t="s">
        <v>262</v>
      </c>
      <c r="G137" t="s">
        <v>271</v>
      </c>
      <c r="H137" t="s">
        <v>274</v>
      </c>
      <c r="I137">
        <v>1924</v>
      </c>
      <c r="K137">
        <v>1967</v>
      </c>
      <c r="M137">
        <v>650</v>
      </c>
      <c r="O137" s="5">
        <v>18</v>
      </c>
      <c r="P137" s="5">
        <v>26</v>
      </c>
      <c r="Q137" s="5">
        <v>2</v>
      </c>
      <c r="R137" s="5">
        <v>160</v>
      </c>
      <c r="S137" s="6">
        <f t="shared" si="99"/>
        <v>140.68160148301465</v>
      </c>
      <c r="T137" s="5">
        <v>1.4</v>
      </c>
      <c r="U137" s="5">
        <f t="shared" si="100"/>
        <v>683.76623376623365</v>
      </c>
      <c r="V137">
        <v>50.2</v>
      </c>
      <c r="Y137">
        <v>93</v>
      </c>
      <c r="Z137" s="3">
        <f t="shared" si="101"/>
        <v>0.1852589641434263</v>
      </c>
      <c r="AA137">
        <v>45</v>
      </c>
      <c r="AB137">
        <f t="shared" si="90"/>
        <v>72</v>
      </c>
      <c r="AE137">
        <v>9.57</v>
      </c>
      <c r="AF137">
        <v>9.57</v>
      </c>
      <c r="AI137" s="10">
        <v>0</v>
      </c>
      <c r="AJ137" t="str">
        <f>CONCATENATE(VLOOKUP(AK137, 'Voxel Sizes'!$A$2:$B$18,2,FALSE),"x",INT(AG137*15), "x", INT(AH137*15))</f>
        <v>102x0x0</v>
      </c>
      <c r="AK137">
        <f t="shared" ref="AK137:AK198" si="102">ROUND(15*((AF137*10)/256),0)</f>
        <v>6</v>
      </c>
      <c r="AM137" t="str">
        <f>CONCATENATE(VLOOKUP(AK137,Constants!$A$2:$C$16,IF(AL137&lt;&gt;"", 3, 2), FALSE),IF(AL137&lt;&gt;"",CONCATENATE(",",VLOOKUP(AL137,$B:$AM,38,FALSE)),""))</f>
        <v>2,2,2</v>
      </c>
      <c r="AU137">
        <v>1</v>
      </c>
      <c r="AW137">
        <v>48</v>
      </c>
      <c r="AX137" s="15">
        <f t="shared" ref="AX137:AX198" si="103">IF(K137&lt;&gt;"",MAX(16,(K137-I137)+8),"")</f>
        <v>51</v>
      </c>
      <c r="BA137">
        <f t="shared" ref="BA137:BA198" si="104">MIN(AA137/150, 1)*30</f>
        <v>9</v>
      </c>
      <c r="BB137">
        <f t="shared" ref="BB137:BB198" si="105">MIN(M137/4000, 1)*20</f>
        <v>3.25</v>
      </c>
      <c r="BC137">
        <f t="shared" ref="BC137:BC198" si="106">MIN(Y137/400,1)*20</f>
        <v>4.6500000000000004</v>
      </c>
      <c r="BD137" s="3">
        <f t="shared" ref="BD137:BD198" si="107">1-(MAX(I137-1900, 0)/750)</f>
        <v>0.96799999999999997</v>
      </c>
      <c r="BE137">
        <f t="shared" ref="BE137:BE198" si="108">((MAX($L137,1)*MIN($AI137/300,1)))*IF(F137="Wagon",50,10)</f>
        <v>0</v>
      </c>
      <c r="BF137">
        <f>VLOOKUP($G137,Constants!$I:$K, 2, FALSE)</f>
        <v>1.1499999999999999</v>
      </c>
      <c r="BG137">
        <f>VLOOKUP($G137,Constants!$I:$K, 3, FALSE)*IF(AND(F137="multiple_unit",AA137&lt;110),0.75,1)</f>
        <v>1.7</v>
      </c>
      <c r="BH137">
        <f>INT(POWER(((Constants!$G$2+$BA137+$BB137+$BC137+$BE137)*$BD137)*$BG137, 1.05))+$AZ137</f>
        <v>43</v>
      </c>
      <c r="BI137">
        <f>INT(POWER((((Constants!$G$1+$BA137+$BB137+$BC137+$BE137)*($BD137))*$BF137),IF($F137="wagon",1,1.2)))+$AY137</f>
        <v>72</v>
      </c>
      <c r="BJ137" s="14">
        <f t="shared" ref="BJ137:BJ198" si="109">BH137*IF($F137="wagon",62.5,781.25)</f>
        <v>33593.75</v>
      </c>
      <c r="BK137" s="14">
        <f t="shared" ref="BK137:BK198" si="110">BI137*IF($F137="wagon",2.73,81.25)</f>
        <v>5850</v>
      </c>
      <c r="BR137">
        <v>11</v>
      </c>
      <c r="BV137" t="str">
        <f>VLOOKUP(I137,Eras!$A$2:$C$10, 2, TRUE)</f>
        <v>big4</v>
      </c>
      <c r="BW137" t="s">
        <v>325</v>
      </c>
      <c r="BX137" t="str">
        <f t="shared" ref="BX137:BX198" si="111">CONCATENATE(BV137,"_",BW137)</f>
        <v>big4_Cheap</v>
      </c>
      <c r="BY137" t="str">
        <f t="shared" ref="BY137:BY198" si="112">_xlfn.CONCAT(G137, "_",H137)</f>
        <v>steam_RAIL</v>
      </c>
      <c r="BZ137" s="17" t="str" cm="1">
        <f t="array" ref="BZ137">_xlfn.CONCAT("{BLACK}Length: {GOLD}", TEXT(ROUNDUP(IF(AP137&lt;&gt;"",SUM(VALUE(_xlfn.TEXTSPLIT(AP137, ","))), SUM(VALUE(_xlfn.TEXTSPLIT(AM137, ",")))*IF(L137, L137, 1))/16, 1), "#,##0.0"), " tiles{}")</f>
        <v>{BLACK}Length: {GOLD}0.4 tiles{}</v>
      </c>
      <c r="CA137" t="str">
        <f>VLOOKUP($BY137, Constants!$M:$N, 2, FALSE)</f>
        <v>{BLACK}Powered by: {GOLD}Steam</v>
      </c>
      <c r="CB137" t="str">
        <f t="shared" si="95"/>
        <v/>
      </c>
      <c r="CC137" t="s">
        <v>350</v>
      </c>
      <c r="CD137" t="str">
        <f t="shared" ref="CD137:CD167" si="113">IF(BU137="BRAKE","{YELLOW}Speed bonus for slow wagons{}",IF(BS137&gt;190,CONCATENATE("{YELLOW}",INT((BS137-185)/1.85),"% Bonus for long distance travel{}"),IF(AND(BS137&lt;180,BS137&lt;&gt;0),CONCATENATE("{YELLOW}",INT((185-BS137)/1.85),"% Penalty for long distance travel{}"),"")))</f>
        <v/>
      </c>
      <c r="CE137" t="str">
        <f t="shared" si="98"/>
        <v>{BLACK}Powered by: {GOLD}Steam {}{BLACK}Length: {GOLD}0.4 tiles{}{SILVER}The Jinty is a popular tank engine that was built in large quantities. Although small and low powered it is reliable and cheap to run. Jinties were sometimes run in pairs (or more) for working on steep inclines.</v>
      </c>
    </row>
    <row r="138" spans="1:83" x14ac:dyDescent="0.25">
      <c r="A138" t="s">
        <v>1181</v>
      </c>
      <c r="B138" t="s">
        <v>1182</v>
      </c>
      <c r="C138">
        <v>219</v>
      </c>
      <c r="D138">
        <v>42</v>
      </c>
      <c r="E138" t="s">
        <v>1508</v>
      </c>
      <c r="F138" t="s">
        <v>262</v>
      </c>
      <c r="G138" t="s">
        <v>271</v>
      </c>
      <c r="H138" t="s">
        <v>274</v>
      </c>
      <c r="I138">
        <v>1921</v>
      </c>
      <c r="J138">
        <v>1922</v>
      </c>
      <c r="K138">
        <v>1959</v>
      </c>
      <c r="M138">
        <v>1350</v>
      </c>
      <c r="O138" s="5">
        <v>20.5</v>
      </c>
      <c r="P138" s="5">
        <v>26</v>
      </c>
      <c r="Q138" s="5">
        <v>2</v>
      </c>
      <c r="R138" s="5">
        <v>180</v>
      </c>
      <c r="S138" s="6">
        <f t="shared" si="99"/>
        <v>195.8024628827923</v>
      </c>
      <c r="T138" s="5">
        <v>1.9</v>
      </c>
      <c r="U138" s="5">
        <f t="shared" si="100"/>
        <v>1388.6849581339709</v>
      </c>
      <c r="V138">
        <v>62.2</v>
      </c>
      <c r="W138" s="8">
        <v>40</v>
      </c>
      <c r="Y138">
        <v>95</v>
      </c>
      <c r="Z138" s="3">
        <f t="shared" si="101"/>
        <v>9.2954990215264183E-2</v>
      </c>
      <c r="AA138">
        <v>85</v>
      </c>
      <c r="AB138">
        <f t="shared" si="90"/>
        <v>136</v>
      </c>
      <c r="AF138">
        <v>10</v>
      </c>
      <c r="AI138" s="10">
        <v>0</v>
      </c>
      <c r="AJ138" t="str">
        <f>CONCATENATE(VLOOKUP(AK138, 'Voxel Sizes'!$A$2:$B$18,2,FALSE),"x",INT(AG138*15), "x", INT(AH138*15))</f>
        <v>102x0x0</v>
      </c>
      <c r="AK138">
        <f t="shared" si="102"/>
        <v>6</v>
      </c>
      <c r="AL138" t="s">
        <v>1184</v>
      </c>
      <c r="AM138" t="str">
        <f>CONCATENATE(VLOOKUP(AK138,Constants!$A$2:$C$16,IF(AL138&lt;&gt;"", 3, 2), FALSE),IF(AL138&lt;&gt;"",CONCATENATE(",",VLOOKUP(AL138,$B:$AM,38,FALSE)),""))</f>
        <v>2,2,2,2,1,2</v>
      </c>
      <c r="AW138">
        <v>31</v>
      </c>
      <c r="AX138" s="15">
        <f t="shared" si="103"/>
        <v>46</v>
      </c>
      <c r="BA138">
        <f t="shared" si="104"/>
        <v>17</v>
      </c>
      <c r="BB138">
        <f t="shared" si="105"/>
        <v>6.75</v>
      </c>
      <c r="BC138">
        <f t="shared" si="106"/>
        <v>4.75</v>
      </c>
      <c r="BD138" s="3">
        <f t="shared" si="107"/>
        <v>0.97199999999999998</v>
      </c>
      <c r="BE138">
        <f t="shared" si="108"/>
        <v>0</v>
      </c>
      <c r="BF138">
        <f>VLOOKUP($G138,Constants!$I:$K, 2, FALSE)</f>
        <v>1.1499999999999999</v>
      </c>
      <c r="BG138">
        <f>VLOOKUP($G138,Constants!$I:$K, 3, FALSE)*IF(AND(F138="multiple_unit",AA138&lt;110),0.75,1)</f>
        <v>1.7</v>
      </c>
      <c r="BH138">
        <f>INT(POWER(((Constants!$G$2+$BA138+$BB138+$BC138+$BE138)*$BD138)*$BG138, 1.05))+$AZ138</f>
        <v>67</v>
      </c>
      <c r="BI138">
        <f>INT(POWER((((Constants!$G$1+$BA138+$BB138+$BC138+$BE138)*($BD138))*$BF138),IF($F138="wagon",1,1.2)))+$AY138</f>
        <v>105</v>
      </c>
      <c r="BJ138" s="14">
        <f t="shared" si="109"/>
        <v>52343.75</v>
      </c>
      <c r="BK138" s="14">
        <f t="shared" si="110"/>
        <v>8531.25</v>
      </c>
      <c r="BR138">
        <v>8</v>
      </c>
      <c r="BV138" t="str">
        <f>VLOOKUP(I138,Eras!$A$2:$C$10, 2, TRUE)</f>
        <v>edw</v>
      </c>
      <c r="BW138" t="s">
        <v>327</v>
      </c>
      <c r="BX138" t="str">
        <f t="shared" si="111"/>
        <v>edw_Express</v>
      </c>
      <c r="BY138" t="str">
        <f t="shared" si="112"/>
        <v>steam_RAIL</v>
      </c>
      <c r="BZ138" s="17" t="str" cm="1">
        <f t="array" ref="BZ138">_xlfn.CONCAT("{BLACK}Length: {GOLD}", TEXT(ROUNDUP(IF(AP138&lt;&gt;"",SUM(VALUE(_xlfn.TEXTSPLIT(AP138, ","))), SUM(VALUE(_xlfn.TEXTSPLIT(AM138, ",")))*IF(L138, L138, 1))/16, 1), "#,##0.0"), " tiles{}")</f>
        <v>{BLACK}Length: {GOLD}0.7 tiles{}</v>
      </c>
      <c r="CA138" t="str">
        <f>VLOOKUP($BY138, Constants!$M:$N, 2, FALSE)</f>
        <v>{BLACK}Powered by: {GOLD}Steam</v>
      </c>
      <c r="CB138" t="str">
        <f t="shared" si="95"/>
        <v/>
      </c>
      <c r="CC138" t="s">
        <v>1187</v>
      </c>
      <c r="CD138" t="str">
        <f t="shared" si="113"/>
        <v/>
      </c>
      <c r="CE138" t="str">
        <f t="shared" si="98"/>
        <v>{BLACK}Powered by: {GOLD}Steam {}{BLACK}Length: {GOLD}0.7 tiles{}{SILVER}The Caledonian 72 class was a 4-4-0 express locomotive, later inherited by the LMS after grouping.</v>
      </c>
    </row>
    <row r="139" spans="1:83" x14ac:dyDescent="0.25">
      <c r="A139" t="s">
        <v>12</v>
      </c>
      <c r="B139" t="s">
        <v>161</v>
      </c>
      <c r="C139">
        <v>220</v>
      </c>
      <c r="D139">
        <v>43</v>
      </c>
      <c r="E139" t="s">
        <v>1508</v>
      </c>
      <c r="F139" t="s">
        <v>262</v>
      </c>
      <c r="G139" t="s">
        <v>271</v>
      </c>
      <c r="H139" t="s">
        <v>274</v>
      </c>
      <c r="I139">
        <v>1924</v>
      </c>
      <c r="J139">
        <v>1928</v>
      </c>
      <c r="K139">
        <v>1965</v>
      </c>
      <c r="M139">
        <v>900</v>
      </c>
      <c r="V139">
        <v>62</v>
      </c>
      <c r="Y139">
        <v>115</v>
      </c>
      <c r="Z139" s="3">
        <f t="shared" si="101"/>
        <v>0.18548387096774194</v>
      </c>
      <c r="AA139">
        <v>50</v>
      </c>
      <c r="AB139">
        <f t="shared" si="90"/>
        <v>80</v>
      </c>
      <c r="AE139">
        <v>11.43</v>
      </c>
      <c r="AF139">
        <v>11.43</v>
      </c>
      <c r="AI139" s="10">
        <v>0</v>
      </c>
      <c r="AJ139" t="str">
        <f>CONCATENATE(VLOOKUP(AK139, 'Voxel Sizes'!$A$2:$B$18,2,FALSE),"x",INT(AG139*15), "x", INT(AH139*15))</f>
        <v>120x0x0</v>
      </c>
      <c r="AK139">
        <f t="shared" si="102"/>
        <v>7</v>
      </c>
      <c r="AM139" t="str">
        <f>CONCATENATE(VLOOKUP(AK139,Constants!$A$2:$C$16,IF(AL139&lt;&gt;"", 3, 2), FALSE),IF(AL139&lt;&gt;"",CONCATENATE(",",VLOOKUP(AL139,$B:$AM,38,FALSE)),""))</f>
        <v>2,3,2</v>
      </c>
      <c r="AU139">
        <v>1</v>
      </c>
      <c r="AW139">
        <v>33</v>
      </c>
      <c r="AX139" s="15">
        <f t="shared" si="103"/>
        <v>49</v>
      </c>
      <c r="BA139">
        <f t="shared" si="104"/>
        <v>10</v>
      </c>
      <c r="BB139">
        <f t="shared" si="105"/>
        <v>4.5</v>
      </c>
      <c r="BC139">
        <f t="shared" si="106"/>
        <v>5.75</v>
      </c>
      <c r="BD139" s="3">
        <f t="shared" si="107"/>
        <v>0.96799999999999997</v>
      </c>
      <c r="BE139">
        <f t="shared" si="108"/>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81</v>
      </c>
      <c r="BJ139" s="14">
        <f t="shared" si="109"/>
        <v>39062.5</v>
      </c>
      <c r="BK139" s="14">
        <f t="shared" si="110"/>
        <v>6581.25</v>
      </c>
      <c r="BR139">
        <v>12</v>
      </c>
      <c r="BV139" t="str">
        <f>VLOOKUP(I139,Eras!$A$2:$C$10, 2, TRUE)</f>
        <v>big4</v>
      </c>
      <c r="BW139" t="s">
        <v>326</v>
      </c>
      <c r="BX139" t="str">
        <f t="shared" si="111"/>
        <v>big4_Mixed Traffic</v>
      </c>
      <c r="BY139" t="str">
        <f t="shared" si="112"/>
        <v>steam_RAIL</v>
      </c>
      <c r="BZ139" s="17" t="str" cm="1">
        <f t="array" ref="BZ139">_xlfn.CONCAT("{BLACK}Length: {GOLD}", TEXT(ROUNDUP(IF(AP139&lt;&gt;"",SUM(VALUE(_xlfn.TEXTSPLIT(AP139, ","))), SUM(VALUE(_xlfn.TEXTSPLIT(AM139, ",")))*IF(L139, L139, 1))/16, 1), "#,##0.0"), " tiles{}")</f>
        <v>{BLACK}Length: {GOLD}0.5 tiles{}</v>
      </c>
      <c r="CA139" t="str">
        <f>VLOOKUP($BY139, Constants!$M:$N, 2, FALSE)</f>
        <v>{BLACK}Powered by: {GOLD}Steam</v>
      </c>
      <c r="CB139" t="str">
        <f t="shared" si="95"/>
        <v/>
      </c>
      <c r="CC139" t="s">
        <v>351</v>
      </c>
      <c r="CD139" t="str">
        <f t="shared" si="113"/>
        <v/>
      </c>
      <c r="CE139" t="str">
        <f t="shared" si="98"/>
        <v>{BLACK}Powered by: {GOLD}Steam {}{BLACK}Length: {GOLD}0.5 tiles{}{SILVER}The 5600 Class is a large tank engine that offers more power and tractive effort than smaller 0-6-0 tank engines, at the expense of greater weight and higher running costs.</v>
      </c>
    </row>
    <row r="140" spans="1:83" x14ac:dyDescent="0.25">
      <c r="A140" t="s">
        <v>1176</v>
      </c>
      <c r="B140" t="s">
        <v>1177</v>
      </c>
      <c r="C140">
        <v>221</v>
      </c>
      <c r="D140">
        <v>44</v>
      </c>
      <c r="E140" t="s">
        <v>1508</v>
      </c>
      <c r="F140" t="s">
        <v>262</v>
      </c>
      <c r="G140" t="s">
        <v>271</v>
      </c>
      <c r="H140" t="s">
        <v>274</v>
      </c>
      <c r="I140">
        <v>1923</v>
      </c>
      <c r="K140">
        <v>1951</v>
      </c>
      <c r="M140">
        <v>1000</v>
      </c>
      <c r="O140" s="5">
        <v>20</v>
      </c>
      <c r="P140" s="5">
        <v>26</v>
      </c>
      <c r="Q140" s="5">
        <v>2</v>
      </c>
      <c r="R140" s="5">
        <v>185</v>
      </c>
      <c r="S140" s="6">
        <f t="shared" ref="S140:S146" si="114">((($AA140/2)/60)*5280)/($T140*3.2*PI())</f>
        <v>144.81929564427978</v>
      </c>
      <c r="T140" s="5">
        <v>1.36</v>
      </c>
      <c r="U140" s="5">
        <f t="shared" ref="U140:U146" si="115">((($O140*$O140/4)*PI())*($P140/12)*$Q140*$R140*$S140)/(33000*1.1)</f>
        <v>1004.7627005347595</v>
      </c>
      <c r="V140">
        <v>61</v>
      </c>
      <c r="Y140">
        <v>133</v>
      </c>
      <c r="Z140" s="3">
        <f t="shared" si="101"/>
        <v>0.21803278688524591</v>
      </c>
      <c r="AA140">
        <v>45</v>
      </c>
      <c r="AB140">
        <f t="shared" si="90"/>
        <v>72</v>
      </c>
      <c r="AF140">
        <v>14</v>
      </c>
      <c r="AI140" s="10">
        <v>0</v>
      </c>
      <c r="AJ140" t="str">
        <f>CONCATENATE(VLOOKUP(AK140, 'Voxel Sizes'!$A$2:$B$18,2,FALSE),"x",INT(AG140*15), "x", INT(AH140*15))</f>
        <v>136x0x0</v>
      </c>
      <c r="AK140">
        <f t="shared" si="102"/>
        <v>8</v>
      </c>
      <c r="AM140" t="str">
        <f>CONCATENATE(VLOOKUP(AK140,Constants!$A$2:$C$16,IF(AL140&lt;&gt;"", 3, 2), FALSE),IF(AL140&lt;&gt;"",CONCATENATE(",",VLOOKUP(AL140,$B:$AM,38,FALSE)),""))</f>
        <v>2,4,2</v>
      </c>
      <c r="AU140">
        <v>1</v>
      </c>
      <c r="AW140">
        <v>30</v>
      </c>
      <c r="AX140" s="15">
        <f t="shared" si="103"/>
        <v>36</v>
      </c>
      <c r="BA140">
        <f t="shared" si="104"/>
        <v>9</v>
      </c>
      <c r="BB140">
        <f t="shared" si="105"/>
        <v>5</v>
      </c>
      <c r="BC140">
        <f t="shared" si="106"/>
        <v>6.65</v>
      </c>
      <c r="BD140" s="3">
        <f t="shared" si="107"/>
        <v>0.96933333333333338</v>
      </c>
      <c r="BE140">
        <f t="shared" si="108"/>
        <v>0</v>
      </c>
      <c r="BF140">
        <f>VLOOKUP($G140,Constants!$I:$K, 2, FALSE)</f>
        <v>1.1499999999999999</v>
      </c>
      <c r="BG140">
        <f>VLOOKUP($G140,Constants!$I:$K, 3, FALSE)*IF(AND(F140="multiple_unit",AA140&lt;110),0.75,1)</f>
        <v>1.7</v>
      </c>
      <c r="BH140">
        <f>INT(POWER(((Constants!$G$2+$BA140+$BB140+$BC140+$BE140)*$BD140)*$BG140, 1.05))+$AZ140</f>
        <v>50</v>
      </c>
      <c r="BI140">
        <f>INT(POWER((((Constants!$G$1+$BA140+$BB140+$BC140+$BE140)*($BD140))*$BF140),IF($F140="wagon",1,1.2)))+$AY140</f>
        <v>82</v>
      </c>
      <c r="BJ140" s="14">
        <f t="shared" si="109"/>
        <v>39062.5</v>
      </c>
      <c r="BK140" s="14">
        <f t="shared" si="110"/>
        <v>6662.5</v>
      </c>
      <c r="BR140">
        <v>5</v>
      </c>
      <c r="BV140" t="str">
        <f>VLOOKUP(I140,Eras!$A$2:$C$10, 2, TRUE)</f>
        <v>big4</v>
      </c>
      <c r="BW140" t="s">
        <v>328</v>
      </c>
      <c r="BX140" t="str">
        <f t="shared" si="111"/>
        <v>big4_Freight</v>
      </c>
      <c r="BY140" t="str">
        <f t="shared" si="112"/>
        <v>steam_RAIL</v>
      </c>
      <c r="BZ140" s="17" t="str" cm="1">
        <f t="array" ref="BZ140">_xlfn.CONCAT("{BLACK}Length: {GOLD}", TEXT(ROUNDUP(IF(AP140&lt;&gt;"",SUM(VALUE(_xlfn.TEXTSPLIT(AP140, ","))), SUM(VALUE(_xlfn.TEXTSPLIT(AM140, ",")))*IF(L140, L140, 1))/16, 1), "#,##0.0"), " tiles{}")</f>
        <v>{BLACK}Length: {GOLD}0.5 tiles{}</v>
      </c>
      <c r="CA140" t="str">
        <f>VLOOKUP($BY140, Constants!$M:$N, 2, FALSE)</f>
        <v>{BLACK}Powered by: {GOLD}Steam</v>
      </c>
      <c r="CB140" t="str">
        <f t="shared" si="95"/>
        <v/>
      </c>
      <c r="CC140" t="s">
        <v>1188</v>
      </c>
      <c r="CD140" t="str">
        <f t="shared" si="113"/>
        <v/>
      </c>
      <c r="CE140" t="str">
        <f t="shared" si="98"/>
        <v>{BLACK}Powered by: {GOLD}Steam {}{BLACK}Length: {GOLD}0.5 tiles{}{SILVER}The LNWR 380 class is a large tank locomotive with an 0-8-4T chassis. It was derived from the LNWR's 0-8-0 tender engines and similar 0-8-2T tanks.</v>
      </c>
    </row>
    <row r="141" spans="1:83" x14ac:dyDescent="0.25">
      <c r="A141" t="s">
        <v>21</v>
      </c>
      <c r="B141" t="s">
        <v>294</v>
      </c>
      <c r="C141">
        <v>222</v>
      </c>
      <c r="D141">
        <v>45</v>
      </c>
      <c r="E141" t="s">
        <v>1508</v>
      </c>
      <c r="F141" t="s">
        <v>262</v>
      </c>
      <c r="G141" t="s">
        <v>271</v>
      </c>
      <c r="H141" t="s">
        <v>274</v>
      </c>
      <c r="I141">
        <v>1926</v>
      </c>
      <c r="J141">
        <v>1932</v>
      </c>
      <c r="K141">
        <v>1967</v>
      </c>
      <c r="M141">
        <v>1400</v>
      </c>
      <c r="O141" s="5">
        <v>21</v>
      </c>
      <c r="P141" s="5">
        <v>26</v>
      </c>
      <c r="Q141" s="5">
        <v>2</v>
      </c>
      <c r="R141" s="5">
        <v>180</v>
      </c>
      <c r="S141" s="6">
        <f t="shared" si="114"/>
        <v>191.48329090743655</v>
      </c>
      <c r="T141" s="5">
        <v>1.6</v>
      </c>
      <c r="U141" s="5">
        <f t="shared" si="115"/>
        <v>1425.1065340909088</v>
      </c>
      <c r="V141">
        <v>67</v>
      </c>
      <c r="W141" s="8">
        <v>46</v>
      </c>
      <c r="Y141">
        <v>118</v>
      </c>
      <c r="Z141" s="3">
        <f t="shared" si="101"/>
        <v>0.10442477876106195</v>
      </c>
      <c r="AA141">
        <v>70</v>
      </c>
      <c r="AB141">
        <f t="shared" si="90"/>
        <v>112</v>
      </c>
      <c r="AE141">
        <v>10.44</v>
      </c>
      <c r="AF141">
        <v>10.44</v>
      </c>
      <c r="AI141" s="10">
        <v>0</v>
      </c>
      <c r="AJ141" t="str">
        <f>CONCATENATE(VLOOKUP(AK141, 'Voxel Sizes'!$A$2:$B$18,2,FALSE),"x",INT(AG141*15), "x", INT(AH141*15))</f>
        <v>102x0x0</v>
      </c>
      <c r="AK141">
        <f t="shared" si="102"/>
        <v>6</v>
      </c>
      <c r="AL141" t="s">
        <v>288</v>
      </c>
      <c r="AM141" t="str">
        <f>CONCATENATE(VLOOKUP(AK141,Constants!$A$2:$C$16,IF(AL141&lt;&gt;"", 3, 2), FALSE),IF(AL141&lt;&gt;"",CONCATENATE(",",VLOOKUP(AL141,$B:$AM,38,FALSE)),""))</f>
        <v>2,2,2,2,1,2</v>
      </c>
      <c r="AU141">
        <v>1</v>
      </c>
      <c r="AW141">
        <v>28</v>
      </c>
      <c r="AX141" s="15">
        <f t="shared" si="103"/>
        <v>49</v>
      </c>
      <c r="BA141">
        <f t="shared" si="104"/>
        <v>14</v>
      </c>
      <c r="BB141">
        <f t="shared" si="105"/>
        <v>7</v>
      </c>
      <c r="BC141">
        <f t="shared" si="106"/>
        <v>5.8999999999999995</v>
      </c>
      <c r="BD141" s="3">
        <f t="shared" si="107"/>
        <v>0.96533333333333338</v>
      </c>
      <c r="BE141">
        <f t="shared" si="108"/>
        <v>0</v>
      </c>
      <c r="BF141">
        <f>VLOOKUP($G141,Constants!$I:$K, 2, FALSE)</f>
        <v>1.1499999999999999</v>
      </c>
      <c r="BG141">
        <f>VLOOKUP($G141,Constants!$I:$K, 3, FALSE)*IF(AND(F141="multiple_unit",AA141&lt;110),0.75,1)</f>
        <v>1.7</v>
      </c>
      <c r="BH141">
        <f>INT(POWER(((Constants!$G$2+$BA141+$BB141+$BC141+$BE141)*$BD141)*$BG141, 1.05))+$AZ141</f>
        <v>63</v>
      </c>
      <c r="BI141">
        <f>INT(POWER((((Constants!$G$1+$BA141+$BB141+$BC141+$BE141)*($BD141))*$BF141),IF($F141="wagon",1,1.2)))+$AY141</f>
        <v>100</v>
      </c>
      <c r="BJ141" s="14">
        <f t="shared" si="109"/>
        <v>49218.75</v>
      </c>
      <c r="BK141" s="14">
        <f t="shared" si="110"/>
        <v>8125</v>
      </c>
      <c r="BR141">
        <v>1</v>
      </c>
      <c r="BV141" t="str">
        <f>VLOOKUP(I141,Eras!$A$2:$C$10, 2, TRUE)</f>
        <v>big4</v>
      </c>
      <c r="BW141" t="s">
        <v>327</v>
      </c>
      <c r="BX141" t="str">
        <f t="shared" si="111"/>
        <v>big4_Express</v>
      </c>
      <c r="BY141" t="str">
        <f t="shared" si="112"/>
        <v>steam_RAIL</v>
      </c>
      <c r="BZ141" s="17" t="str" cm="1">
        <f t="array" ref="BZ141">_xlfn.CONCAT("{BLACK}Length: {GOLD}", TEXT(ROUNDUP(IF(AP141&lt;&gt;"",SUM(VALUE(_xlfn.TEXTSPLIT(AP141, ","))), SUM(VALUE(_xlfn.TEXTSPLIT(AM141, ",")))*IF(L141, L141, 1))/16, 1), "#,##0.0"), " tiles{}")</f>
        <v>{BLACK}Length: {GOLD}0.7 tiles{}</v>
      </c>
      <c r="CA141" t="str">
        <f>VLOOKUP($BY141, Constants!$M:$N, 2, FALSE)</f>
        <v>{BLACK}Powered by: {GOLD}Steam</v>
      </c>
      <c r="CB141" t="str">
        <f t="shared" si="95"/>
        <v/>
      </c>
      <c r="CC141" t="s">
        <v>352</v>
      </c>
      <c r="CD141" t="str">
        <f t="shared" si="113"/>
        <v/>
      </c>
      <c r="CE141" t="str">
        <f t="shared" si="98"/>
        <v>{BLACK}Powered by: {GOLD}Steam {}{BLACK}Length: {GOLD}0.7 tiles{}{SILVER}The Hughes Crab was named for its distinctive "scuttling" motion, caused by the inclined cylinders.</v>
      </c>
    </row>
    <row r="142" spans="1:83" x14ac:dyDescent="0.25">
      <c r="A142" t="s">
        <v>127</v>
      </c>
      <c r="B142" t="s">
        <v>423</v>
      </c>
      <c r="C142">
        <v>224</v>
      </c>
      <c r="D142">
        <v>46</v>
      </c>
      <c r="E142" t="s">
        <v>1508</v>
      </c>
      <c r="F142" t="s">
        <v>262</v>
      </c>
      <c r="G142" t="s">
        <v>271</v>
      </c>
      <c r="H142" t="s">
        <v>274</v>
      </c>
      <c r="I142">
        <v>1927</v>
      </c>
      <c r="K142">
        <v>1961</v>
      </c>
      <c r="M142">
        <v>1200</v>
      </c>
      <c r="O142" s="5">
        <v>17</v>
      </c>
      <c r="P142" s="5">
        <v>26</v>
      </c>
      <c r="Q142" s="5">
        <v>3</v>
      </c>
      <c r="R142" s="5">
        <v>180</v>
      </c>
      <c r="S142" s="6">
        <f t="shared" si="114"/>
        <v>164.12853506351706</v>
      </c>
      <c r="T142" s="5">
        <v>2</v>
      </c>
      <c r="U142" s="5">
        <f t="shared" si="115"/>
        <v>1200.7457386363637</v>
      </c>
      <c r="V142">
        <v>66</v>
      </c>
      <c r="W142" s="8">
        <v>53</v>
      </c>
      <c r="Y142">
        <v>96</v>
      </c>
      <c r="Z142" s="3">
        <f t="shared" si="101"/>
        <v>8.067226890756303E-2</v>
      </c>
      <c r="AA142">
        <v>75</v>
      </c>
      <c r="AB142">
        <f t="shared" si="90"/>
        <v>120</v>
      </c>
      <c r="AE142">
        <v>17.899999999999999</v>
      </c>
      <c r="AF142">
        <f>AE142-7.5</f>
        <v>10.399999999999999</v>
      </c>
      <c r="AI142" s="10">
        <v>0</v>
      </c>
      <c r="AJ142" t="str">
        <f>CONCATENATE(VLOOKUP(AK142, 'Voxel Sizes'!$A$2:$B$18,2,FALSE),"x",INT(AG142*15), "x", INT(AH142*15))</f>
        <v>102x0x0</v>
      </c>
      <c r="AK142">
        <f t="shared" si="102"/>
        <v>6</v>
      </c>
      <c r="AL142" t="s">
        <v>389</v>
      </c>
      <c r="AM142" t="str">
        <f>CONCATENATE(VLOOKUP(AK142,Constants!$A$2:$C$16,IF(AL142&lt;&gt;"", 3, 2), FALSE),IF(AL142&lt;&gt;"",CONCATENATE(",",VLOOKUP(AL142,$B:$AM,38,FALSE)),""))</f>
        <v>2,2,2,2,1,2</v>
      </c>
      <c r="AU142">
        <v>1</v>
      </c>
      <c r="AW142">
        <v>30</v>
      </c>
      <c r="AX142" s="15">
        <f t="shared" si="103"/>
        <v>42</v>
      </c>
      <c r="BA142">
        <f t="shared" si="104"/>
        <v>15</v>
      </c>
      <c r="BB142">
        <f t="shared" si="105"/>
        <v>6</v>
      </c>
      <c r="BC142">
        <f t="shared" si="106"/>
        <v>4.8</v>
      </c>
      <c r="BD142" s="3">
        <f t="shared" si="107"/>
        <v>0.96399999999999997</v>
      </c>
      <c r="BE142">
        <f t="shared" si="108"/>
        <v>0</v>
      </c>
      <c r="BF142">
        <f>VLOOKUP($G142,Constants!$I:$K, 2, FALSE)</f>
        <v>1.1499999999999999</v>
      </c>
      <c r="BG142">
        <f>VLOOKUP($G142,Constants!$I:$K, 3, FALSE)*IF(AND(F142="multiple_unit",AA142&lt;110),0.75,1)</f>
        <v>1.7</v>
      </c>
      <c r="BH142">
        <f>INT(POWER(((Constants!$G$2+$BA142+$BB142+$BC142+$BE142)*$BD142)*$BG142, 1.05))+$AZ142</f>
        <v>61</v>
      </c>
      <c r="BI142">
        <f>INT(POWER((((Constants!$G$1+$BA142+$BB142+$BC142+$BE142)*($BD142))*$BF142),IF($F142="wagon",1,1.2)))+$AY142</f>
        <v>96</v>
      </c>
      <c r="BJ142" s="14">
        <f t="shared" si="109"/>
        <v>47656.25</v>
      </c>
      <c r="BK142" s="14">
        <f t="shared" si="110"/>
        <v>7800</v>
      </c>
      <c r="BR142">
        <v>2</v>
      </c>
      <c r="BV142" t="str">
        <f>VLOOKUP(I142,Eras!$A$2:$C$10, 2, TRUE)</f>
        <v>big4</v>
      </c>
      <c r="BW142" t="s">
        <v>376</v>
      </c>
      <c r="BX142" t="str">
        <f t="shared" si="111"/>
        <v>big4_Passenger</v>
      </c>
      <c r="BY142" t="str">
        <f t="shared" si="112"/>
        <v>steam_RAIL</v>
      </c>
      <c r="BZ142" s="17" t="str" cm="1">
        <f t="array" ref="BZ142">_xlfn.CONCAT("{BLACK}Length: {GOLD}", TEXT(ROUNDUP(IF(AP142&lt;&gt;"",SUM(VALUE(_xlfn.TEXTSPLIT(AP142, ","))), SUM(VALUE(_xlfn.TEXTSPLIT(AM142, ",")))*IF(L142, L142, 1))/16, 1), "#,##0.0"), " tiles{}")</f>
        <v>{BLACK}Length: {GOLD}0.7 tiles{}</v>
      </c>
      <c r="CA142" t="str">
        <f>VLOOKUP($BY142, Constants!$M:$N, 2, FALSE)</f>
        <v>{BLACK}Powered by: {GOLD}Steam</v>
      </c>
      <c r="CB142" t="str">
        <f t="shared" si="95"/>
        <v/>
      </c>
      <c r="CC142" t="s">
        <v>422</v>
      </c>
      <c r="CD142" t="str">
        <f t="shared" si="113"/>
        <v/>
      </c>
      <c r="CE142" t="str">
        <f t="shared" si="98"/>
        <v>{BLACK}Powered by: {GOLD}Steam {}{BLACK}Length: {GOLD}0.7 tiles{}{SILVER}The D49 is a Nigel Gresley designed 4-4-0 locomotive for passenger traffic.</v>
      </c>
    </row>
    <row r="143" spans="1:83" x14ac:dyDescent="0.25">
      <c r="A143" t="s">
        <v>425</v>
      </c>
      <c r="B143" t="s">
        <v>424</v>
      </c>
      <c r="C143">
        <v>226</v>
      </c>
      <c r="D143">
        <v>47</v>
      </c>
      <c r="E143" t="s">
        <v>1508</v>
      </c>
      <c r="F143" t="s">
        <v>262</v>
      </c>
      <c r="G143" t="s">
        <v>271</v>
      </c>
      <c r="H143" t="s">
        <v>274</v>
      </c>
      <c r="I143">
        <v>1927</v>
      </c>
      <c r="J143">
        <v>1936</v>
      </c>
      <c r="K143">
        <v>1962</v>
      </c>
      <c r="M143">
        <v>2300</v>
      </c>
      <c r="O143" s="5">
        <v>16.25</v>
      </c>
      <c r="P143" s="5">
        <v>28</v>
      </c>
      <c r="Q143" s="5">
        <v>4</v>
      </c>
      <c r="R143" s="5">
        <v>250</v>
      </c>
      <c r="S143" s="6">
        <f t="shared" si="114"/>
        <v>232.10095867568069</v>
      </c>
      <c r="T143" s="5">
        <v>1.98</v>
      </c>
      <c r="U143" s="5">
        <f t="shared" si="115"/>
        <v>3094.166690580043</v>
      </c>
      <c r="V143">
        <v>90.4</v>
      </c>
      <c r="W143" s="8">
        <v>47</v>
      </c>
      <c r="Y143">
        <v>179</v>
      </c>
      <c r="Z143" s="3">
        <f t="shared" si="101"/>
        <v>0.13027656477438138</v>
      </c>
      <c r="AA143">
        <v>105</v>
      </c>
      <c r="AB143">
        <f t="shared" si="90"/>
        <v>168</v>
      </c>
      <c r="AE143">
        <v>20.78</v>
      </c>
      <c r="AF143">
        <f>AE143-7.5</f>
        <v>13.280000000000001</v>
      </c>
      <c r="AH143">
        <v>4.08</v>
      </c>
      <c r="AI143" s="10">
        <v>0</v>
      </c>
      <c r="AJ143" t="str">
        <f>CONCATENATE(VLOOKUP(AK143, 'Voxel Sizes'!$A$2:$B$18,2,FALSE),"x",INT(AG143*15), "x", INT(AH143*15))</f>
        <v>136x0x61</v>
      </c>
      <c r="AK143">
        <f t="shared" si="102"/>
        <v>8</v>
      </c>
      <c r="AL143" t="s">
        <v>420</v>
      </c>
      <c r="AM143" t="str">
        <f>CONCATENATE(VLOOKUP(AK143,Constants!$A$2:$C$16,IF(AL143&lt;&gt;"", 3, 2), FALSE),IF(AL143&lt;&gt;"",CONCATENATE(",",VLOOKUP(AL143,$B:$AM,38,FALSE)),""))</f>
        <v>2,4,2,2,1,2</v>
      </c>
      <c r="AU143">
        <v>1</v>
      </c>
      <c r="AW143">
        <v>30</v>
      </c>
      <c r="AX143" s="15">
        <f t="shared" si="103"/>
        <v>43</v>
      </c>
      <c r="BA143">
        <f t="shared" si="104"/>
        <v>21</v>
      </c>
      <c r="BB143">
        <f t="shared" si="105"/>
        <v>11.5</v>
      </c>
      <c r="BC143">
        <f t="shared" si="106"/>
        <v>8.9499999999999993</v>
      </c>
      <c r="BD143" s="3">
        <f t="shared" si="107"/>
        <v>0.96399999999999997</v>
      </c>
      <c r="BE143">
        <f t="shared" si="108"/>
        <v>0</v>
      </c>
      <c r="BF143">
        <f>VLOOKUP($G143,Constants!$I:$K, 2, FALSE)</f>
        <v>1.1499999999999999</v>
      </c>
      <c r="BG143">
        <f>VLOOKUP($G143,Constants!$I:$K, 3, FALSE)*IF(AND(F143="multiple_unit",AA143&lt;110),0.75,1)</f>
        <v>1.7</v>
      </c>
      <c r="BH143">
        <f>INT(POWER(((Constants!$G$2+$BA143+$BB143+$BC143+$BE143)*$BD143)*$BG143, 1.05))+$AZ143</f>
        <v>94</v>
      </c>
      <c r="BI143">
        <f>INT(POWER((((Constants!$G$1+$BA143+$BB143+$BC143+$BE143)*($BD143))*$BF143),IF($F143="wagon",1,1.2)))+$AY143</f>
        <v>143</v>
      </c>
      <c r="BJ143" s="14">
        <f t="shared" si="109"/>
        <v>73437.5</v>
      </c>
      <c r="BK143" s="14">
        <f t="shared" si="110"/>
        <v>11618.75</v>
      </c>
      <c r="BR143">
        <v>3</v>
      </c>
      <c r="BV143" t="str">
        <f>VLOOKUP(I143,Eras!$A$2:$C$10, 2, TRUE)</f>
        <v>big4</v>
      </c>
      <c r="BW143" t="s">
        <v>327</v>
      </c>
      <c r="BX143" t="str">
        <f t="shared" si="111"/>
        <v>big4_Express</v>
      </c>
      <c r="BY143" t="str">
        <f t="shared" si="112"/>
        <v>steam_RAIL</v>
      </c>
      <c r="BZ143" s="17" t="str" cm="1">
        <f t="array" ref="BZ143">_xlfn.CONCAT("{BLACK}Length: {GOLD}", TEXT(ROUNDUP(IF(AP143&lt;&gt;"",SUM(VALUE(_xlfn.TEXTSPLIT(AP143, ","))), SUM(VALUE(_xlfn.TEXTSPLIT(AM143, ",")))*IF(L143, L143, 1))/16, 1), "#,##0.0"), " tiles{}")</f>
        <v>{BLACK}Length: {GOLD}0.9 tiles{}</v>
      </c>
      <c r="CA143" t="str">
        <f>VLOOKUP($BY143, Constants!$M:$N, 2, FALSE)</f>
        <v>{BLACK}Powered by: {GOLD}Steam</v>
      </c>
      <c r="CB143" t="str">
        <f t="shared" si="95"/>
        <v/>
      </c>
      <c r="CC143" t="s">
        <v>426</v>
      </c>
      <c r="CD143" t="str">
        <f t="shared" si="113"/>
        <v/>
      </c>
      <c r="CE143" t="str">
        <f t="shared" si="98"/>
        <v>{BLACK}Powered by: {GOLD}Steam {}{BLACK}Length: {GOLD}0.9 tiles{}{SILVER}The King Class is a larger and more powerful development of the Castle Class, designed for even higher sustained speeds.</v>
      </c>
    </row>
    <row r="144" spans="1:83" x14ac:dyDescent="0.25">
      <c r="A144" t="s">
        <v>24</v>
      </c>
      <c r="B144" t="s">
        <v>428</v>
      </c>
      <c r="C144">
        <v>228</v>
      </c>
      <c r="D144">
        <v>48</v>
      </c>
      <c r="E144" t="s">
        <v>1508</v>
      </c>
      <c r="F144" t="s">
        <v>262</v>
      </c>
      <c r="G144" t="s">
        <v>271</v>
      </c>
      <c r="H144" t="s">
        <v>274</v>
      </c>
      <c r="I144">
        <v>1927</v>
      </c>
      <c r="J144">
        <v>1934</v>
      </c>
      <c r="K144">
        <v>1966</v>
      </c>
      <c r="M144">
        <v>950</v>
      </c>
      <c r="O144" s="5">
        <v>19</v>
      </c>
      <c r="P144" s="5">
        <v>26</v>
      </c>
      <c r="Q144" s="5">
        <v>2</v>
      </c>
      <c r="R144" s="5">
        <v>200</v>
      </c>
      <c r="S144" s="6">
        <f t="shared" si="114"/>
        <v>205.96522047186451</v>
      </c>
      <c r="T144" s="5">
        <v>1.7</v>
      </c>
      <c r="U144" s="5">
        <f t="shared" si="115"/>
        <v>1394.2364824717758</v>
      </c>
      <c r="V144">
        <v>87.6</v>
      </c>
      <c r="Y144">
        <v>102</v>
      </c>
      <c r="Z144" s="3">
        <f t="shared" si="101"/>
        <v>0.11643835616438356</v>
      </c>
      <c r="AA144">
        <v>80</v>
      </c>
      <c r="AB144">
        <f t="shared" si="90"/>
        <v>128</v>
      </c>
      <c r="AE144">
        <v>14.4</v>
      </c>
      <c r="AF144">
        <v>14.4</v>
      </c>
      <c r="AI144" s="10">
        <v>0</v>
      </c>
      <c r="AJ144" t="str">
        <f>CONCATENATE(VLOOKUP(AK144, 'Voxel Sizes'!$A$2:$B$18,2,FALSE),"x",INT(AG144*15), "x", INT(AH144*15))</f>
        <v>136x0x0</v>
      </c>
      <c r="AK144">
        <f t="shared" si="102"/>
        <v>8</v>
      </c>
      <c r="AM144" t="str">
        <f>CONCATENATE(VLOOKUP(AK144,Constants!$A$2:$C$16,IF(AL144&lt;&gt;"", 3, 2), FALSE),IF(AL144&lt;&gt;"",CONCATENATE(",",VLOOKUP(AL144,$B:$AM,38,FALSE)),""))</f>
        <v>2,4,2</v>
      </c>
      <c r="AU144">
        <v>1</v>
      </c>
      <c r="AW144">
        <v>30</v>
      </c>
      <c r="AX144" s="15">
        <f t="shared" si="103"/>
        <v>47</v>
      </c>
      <c r="BA144">
        <f t="shared" si="104"/>
        <v>16</v>
      </c>
      <c r="BB144">
        <f t="shared" si="105"/>
        <v>4.75</v>
      </c>
      <c r="BC144">
        <f t="shared" si="106"/>
        <v>5.0999999999999996</v>
      </c>
      <c r="BD144" s="3">
        <f t="shared" si="107"/>
        <v>0.96399999999999997</v>
      </c>
      <c r="BE144">
        <f t="shared" si="108"/>
        <v>0</v>
      </c>
      <c r="BF144">
        <f>VLOOKUP($G144,Constants!$I:$K, 2, FALSE)</f>
        <v>1.1499999999999999</v>
      </c>
      <c r="BG144">
        <f>VLOOKUP($G144,Constants!$I:$K, 3, FALSE)*IF(AND(F144="multiple_unit",AA144&lt;110),0.75,1)</f>
        <v>1.7</v>
      </c>
      <c r="BH144">
        <f>INT(POWER(((Constants!$G$2+$BA144+$BB144+$BC144+$BE144)*$BD144)*$BG144, 1.05))+$AZ144</f>
        <v>61</v>
      </c>
      <c r="BI144">
        <f>INT(POWER((((Constants!$G$1+$BA144+$BB144+$BC144+$BE144)*($BD144))*$BF144),IF($F144="wagon",1,1.2)))+$AY144</f>
        <v>97</v>
      </c>
      <c r="BJ144" s="14">
        <f t="shared" si="109"/>
        <v>47656.25</v>
      </c>
      <c r="BK144" s="14">
        <f t="shared" si="110"/>
        <v>7881.25</v>
      </c>
      <c r="BR144">
        <v>4</v>
      </c>
      <c r="BV144" t="str">
        <f>VLOOKUP(I144,Eras!$A$2:$C$10, 2, TRUE)</f>
        <v>big4</v>
      </c>
      <c r="BW144" t="s">
        <v>326</v>
      </c>
      <c r="BX144" t="str">
        <f t="shared" si="111"/>
        <v>big4_Mixed Traffic</v>
      </c>
      <c r="BY144" t="str">
        <f t="shared" si="112"/>
        <v>steam_RAIL</v>
      </c>
      <c r="BZ144" s="17" t="str" cm="1">
        <f t="array" ref="BZ144">_xlfn.CONCAT("{BLACK}Length: {GOLD}", TEXT(ROUNDUP(IF(AP144&lt;&gt;"",SUM(VALUE(_xlfn.TEXTSPLIT(AP144, ","))), SUM(VALUE(_xlfn.TEXTSPLIT(AM144, ",")))*IF(L144, L144, 1))/16, 1), "#,##0.0"), " tiles{}")</f>
        <v>{BLACK}Length: {GOLD}0.5 tiles{}</v>
      </c>
      <c r="CA144" t="str">
        <f>VLOOKUP($BY144, Constants!$M:$N, 2, FALSE)</f>
        <v>{BLACK}Powered by: {GOLD}Steam</v>
      </c>
      <c r="CB144" t="str">
        <f t="shared" ref="CB144:CB174" si="116">IF(L144&gt;1,_xlfn.CONCAT("{BLACK}Cars: {GOLD}", L144),"")</f>
        <v/>
      </c>
      <c r="CC144" t="s">
        <v>427</v>
      </c>
      <c r="CD144" t="str">
        <f t="shared" si="113"/>
        <v/>
      </c>
      <c r="CE144" t="str">
        <f t="shared" si="98"/>
        <v>{BLACK}Powered by: {GOLD}Steam {}{BLACK}Length: {GOLD}0.5 tiles{}{SILVER}Fowler's 2-6-4T achieved high speeds for a tank engine, and was typically used on longer distance services.</v>
      </c>
    </row>
    <row r="145" spans="1:83" x14ac:dyDescent="0.25">
      <c r="A145" t="s">
        <v>429</v>
      </c>
      <c r="B145" t="s">
        <v>431</v>
      </c>
      <c r="C145">
        <v>230</v>
      </c>
      <c r="D145">
        <v>49</v>
      </c>
      <c r="E145" t="s">
        <v>1508</v>
      </c>
      <c r="F145" t="s">
        <v>262</v>
      </c>
      <c r="G145" t="s">
        <v>271</v>
      </c>
      <c r="H145" t="s">
        <v>274</v>
      </c>
      <c r="I145">
        <v>1928</v>
      </c>
      <c r="J145">
        <v>1943</v>
      </c>
      <c r="K145">
        <v>1965</v>
      </c>
      <c r="M145">
        <v>1600</v>
      </c>
      <c r="O145" s="5">
        <v>18.5</v>
      </c>
      <c r="P145" s="5">
        <v>30</v>
      </c>
      <c r="Q145" s="5">
        <v>2</v>
      </c>
      <c r="R145" s="5">
        <v>225</v>
      </c>
      <c r="S145" s="6">
        <f t="shared" si="114"/>
        <v>194.52270822342763</v>
      </c>
      <c r="T145" s="5">
        <v>1.8</v>
      </c>
      <c r="U145" s="5">
        <f t="shared" si="115"/>
        <v>1620.501893939394</v>
      </c>
      <c r="V145">
        <v>76.2</v>
      </c>
      <c r="W145" s="8">
        <v>47</v>
      </c>
      <c r="Y145">
        <v>121</v>
      </c>
      <c r="Z145" s="3">
        <f t="shared" si="101"/>
        <v>9.8214285714285712E-2</v>
      </c>
      <c r="AA145">
        <v>80</v>
      </c>
      <c r="AB145">
        <f t="shared" si="90"/>
        <v>128</v>
      </c>
      <c r="AE145">
        <v>19.2</v>
      </c>
      <c r="AF145">
        <f>AE145-7.5</f>
        <v>11.7</v>
      </c>
      <c r="AH145">
        <v>4.04</v>
      </c>
      <c r="AI145" s="10">
        <v>0</v>
      </c>
      <c r="AJ145" t="str">
        <f>CONCATENATE(VLOOKUP(AK145, 'Voxel Sizes'!$A$2:$B$18,2,FALSE),"x",INT(AG145*15), "x", INT(AH145*15))</f>
        <v>120x0x60</v>
      </c>
      <c r="AK145">
        <f t="shared" si="102"/>
        <v>7</v>
      </c>
      <c r="AL145" t="s">
        <v>420</v>
      </c>
      <c r="AM145" t="str">
        <f>CONCATENATE(VLOOKUP(AK145,Constants!$A$2:$C$16,IF(AL145&lt;&gt;"", 3, 2), FALSE),IF(AL145&lt;&gt;"",CONCATENATE(",",VLOOKUP(AL145,$B:$AM,38,FALSE)),""))</f>
        <v>2,3,2,2,1,2</v>
      </c>
      <c r="AU145">
        <v>1</v>
      </c>
      <c r="AW145">
        <v>30</v>
      </c>
      <c r="AX145" s="15">
        <f t="shared" si="103"/>
        <v>45</v>
      </c>
      <c r="BA145">
        <f t="shared" si="104"/>
        <v>16</v>
      </c>
      <c r="BB145">
        <f t="shared" si="105"/>
        <v>8</v>
      </c>
      <c r="BC145">
        <f t="shared" si="106"/>
        <v>6.05</v>
      </c>
      <c r="BD145" s="3">
        <f t="shared" si="107"/>
        <v>0.96266666666666667</v>
      </c>
      <c r="BE145">
        <f t="shared" si="108"/>
        <v>0</v>
      </c>
      <c r="BF145">
        <f>VLOOKUP($G145,Constants!$I:$K, 2, FALSE)</f>
        <v>1.1499999999999999</v>
      </c>
      <c r="BG145">
        <f>VLOOKUP($G145,Constants!$I:$K, 3, FALSE)*IF(AND(F145="multiple_unit",AA145&lt;110),0.75,1)</f>
        <v>1.7</v>
      </c>
      <c r="BH145">
        <f>INT(POWER(((Constants!$G$2+$BA145+$BB145+$BC145+$BE145)*$BD145)*$BG145, 1.05))+$AZ145</f>
        <v>70</v>
      </c>
      <c r="BI145">
        <f>INT(POWER((((Constants!$G$1+$BA145+$BB145+$BC145+$BE145)*($BD145))*$BF145),IF($F145="wagon",1,1.2)))+$AY145</f>
        <v>109</v>
      </c>
      <c r="BJ145" s="14">
        <f t="shared" si="109"/>
        <v>54687.5</v>
      </c>
      <c r="BK145" s="14">
        <f t="shared" si="110"/>
        <v>8856.25</v>
      </c>
      <c r="BR145">
        <v>5</v>
      </c>
      <c r="BV145" t="str">
        <f>VLOOKUP(I145,Eras!$A$2:$C$10, 2, TRUE)</f>
        <v>big4</v>
      </c>
      <c r="BW145" t="s">
        <v>326</v>
      </c>
      <c r="BX145" t="str">
        <f t="shared" si="111"/>
        <v>big4_Mixed Traffic</v>
      </c>
      <c r="BY145" t="str">
        <f t="shared" si="112"/>
        <v>steam_RAIL</v>
      </c>
      <c r="BZ145" s="17" t="str" cm="1">
        <f t="array" ref="BZ145">_xlfn.CONCAT("{BLACK}Length: {GOLD}", TEXT(ROUNDUP(IF(AP145&lt;&gt;"",SUM(VALUE(_xlfn.TEXTSPLIT(AP145, ","))), SUM(VALUE(_xlfn.TEXTSPLIT(AM145, ",")))*IF(L145, L145, 1))/16, 1), "#,##0.0"), " tiles{}")</f>
        <v>{BLACK}Length: {GOLD}0.8 tiles{}</v>
      </c>
      <c r="CA145" t="str">
        <f>VLOOKUP($BY145, Constants!$M:$N, 2, FALSE)</f>
        <v>{BLACK}Powered by: {GOLD}Steam</v>
      </c>
      <c r="CB145" t="str">
        <f t="shared" si="116"/>
        <v/>
      </c>
      <c r="CC145" t="s">
        <v>430</v>
      </c>
      <c r="CD145" t="str">
        <f t="shared" si="113"/>
        <v/>
      </c>
      <c r="CE145" t="str">
        <f t="shared" si="98"/>
        <v>{BLACK}Powered by: {GOLD}Steam {}{BLACK}Length: {GOLD}0.8 tiles{}{SILVER}The GWR 4900 Hall Class set the template for the 4-6-0 mixed traffic locomotive, fast enough for express passenger services with enough tractive effort for freight.</v>
      </c>
    </row>
    <row r="146" spans="1:83" x14ac:dyDescent="0.25">
      <c r="A146" t="s">
        <v>16</v>
      </c>
      <c r="B146" t="s">
        <v>433</v>
      </c>
      <c r="C146">
        <v>232</v>
      </c>
      <c r="D146">
        <v>50</v>
      </c>
      <c r="E146" t="s">
        <v>1508</v>
      </c>
      <c r="F146" t="s">
        <v>262</v>
      </c>
      <c r="G146" t="s">
        <v>271</v>
      </c>
      <c r="H146" t="s">
        <v>274</v>
      </c>
      <c r="I146">
        <v>1928</v>
      </c>
      <c r="J146">
        <v>1935</v>
      </c>
      <c r="K146">
        <v>1966</v>
      </c>
      <c r="M146">
        <v>2100</v>
      </c>
      <c r="O146" s="5">
        <v>19</v>
      </c>
      <c r="P146" s="5">
        <v>26</v>
      </c>
      <c r="Q146" s="5">
        <v>3</v>
      </c>
      <c r="R146" s="5">
        <v>220</v>
      </c>
      <c r="S146" s="6">
        <f t="shared" si="114"/>
        <v>236.34509049146459</v>
      </c>
      <c r="T146" s="5">
        <v>2</v>
      </c>
      <c r="U146" s="5">
        <f t="shared" si="115"/>
        <v>2639.8124999999995</v>
      </c>
      <c r="V146">
        <v>92.8</v>
      </c>
      <c r="W146" s="8">
        <v>54</v>
      </c>
      <c r="Y146">
        <v>146</v>
      </c>
      <c r="Z146" s="3">
        <f t="shared" si="101"/>
        <v>9.9455040871934602E-2</v>
      </c>
      <c r="AA146">
        <v>108</v>
      </c>
      <c r="AB146">
        <f t="shared" si="90"/>
        <v>173</v>
      </c>
      <c r="AD146">
        <v>1</v>
      </c>
      <c r="AE146">
        <v>21.46</v>
      </c>
      <c r="AF146">
        <f>AE146-7.5</f>
        <v>13.96</v>
      </c>
      <c r="AI146" s="10">
        <v>0</v>
      </c>
      <c r="AJ146" t="str">
        <f>CONCATENATE(VLOOKUP(AK146, 'Voxel Sizes'!$A$2:$B$18,2,FALSE),"x",INT(AG146*15), "x", INT(AH146*15))</f>
        <v>136x0x0</v>
      </c>
      <c r="AK146">
        <f t="shared" si="102"/>
        <v>8</v>
      </c>
      <c r="AL146" t="s">
        <v>435</v>
      </c>
      <c r="AM146" t="str">
        <f>CONCATENATE(VLOOKUP(AK146,Constants!$A$2:$C$16,IF(AL146&lt;&gt;"", 3, 2), FALSE),IF(AL146&lt;&gt;"",CONCATENATE(",",VLOOKUP(AL146,$B:$AM,38,FALSE)),""))</f>
        <v>2,4,2,2,1,2</v>
      </c>
      <c r="AU146">
        <v>1</v>
      </c>
      <c r="AW146">
        <v>32</v>
      </c>
      <c r="AX146" s="15">
        <f t="shared" si="103"/>
        <v>46</v>
      </c>
      <c r="BA146">
        <f t="shared" si="104"/>
        <v>21.599999999999998</v>
      </c>
      <c r="BB146">
        <f t="shared" si="105"/>
        <v>10.5</v>
      </c>
      <c r="BC146">
        <f t="shared" si="106"/>
        <v>7.3</v>
      </c>
      <c r="BD146" s="3">
        <f t="shared" si="107"/>
        <v>0.96266666666666667</v>
      </c>
      <c r="BE146">
        <f t="shared" si="108"/>
        <v>0</v>
      </c>
      <c r="BF146">
        <f>VLOOKUP($G146,Constants!$I:$K, 2, FALSE)</f>
        <v>1.1499999999999999</v>
      </c>
      <c r="BG146">
        <f>VLOOKUP($G146,Constants!$I:$K, 3, FALSE)*IF(AND(F146="multiple_unit",AA146&lt;110),0.75,1)</f>
        <v>1.7</v>
      </c>
      <c r="BH146">
        <f>INT(POWER(((Constants!$G$2+$BA146+$BB146+$BC146+$BE146)*$BD146)*$BG146, 1.05))+$AZ146</f>
        <v>90</v>
      </c>
      <c r="BI146">
        <f>INT(POWER((((Constants!$G$1+$BA146+$BB146+$BC146+$BE146)*($BD146))*$BF146),IF($F146="wagon",1,1.2)))+$AY146</f>
        <v>136</v>
      </c>
      <c r="BJ146" s="14">
        <f t="shared" si="109"/>
        <v>70312.5</v>
      </c>
      <c r="BK146" s="14">
        <f t="shared" si="110"/>
        <v>11050</v>
      </c>
      <c r="BR146">
        <v>6</v>
      </c>
      <c r="BV146" t="str">
        <f>VLOOKUP(I146,Eras!$A$2:$C$10, 2, TRUE)</f>
        <v>big4</v>
      </c>
      <c r="BW146" t="s">
        <v>327</v>
      </c>
      <c r="BX146" t="str">
        <f t="shared" si="111"/>
        <v>big4_Express</v>
      </c>
      <c r="BY146" t="str">
        <f t="shared" si="112"/>
        <v>steam_RAIL</v>
      </c>
      <c r="BZ146" s="17" t="str" cm="1">
        <f t="array" ref="BZ146">_xlfn.CONCAT("{BLACK}Length: {GOLD}", TEXT(ROUNDUP(IF(AP146&lt;&gt;"",SUM(VALUE(_xlfn.TEXTSPLIT(AP146, ","))), SUM(VALUE(_xlfn.TEXTSPLIT(AM146, ",")))*IF(L146, L146, 1))/16, 1), "#,##0.0"), " tiles{}")</f>
        <v>{BLACK}Length: {GOLD}0.9 tiles{}</v>
      </c>
      <c r="CA146" t="str">
        <f>VLOOKUP($BY146, Constants!$M:$N, 2, FALSE)</f>
        <v>{BLACK}Powered by: {GOLD}Steam</v>
      </c>
      <c r="CB146" t="str">
        <f t="shared" si="116"/>
        <v/>
      </c>
      <c r="CC146" t="s">
        <v>432</v>
      </c>
      <c r="CD146" t="str">
        <f t="shared" si="113"/>
        <v/>
      </c>
      <c r="CE146" t="str">
        <f t="shared" si="98"/>
        <v>{BLACK}Powered by: {GOLD}Steam {}{BLACK}Length: {GOLD}0.9 tiles{}{SILVER}The Gresley A3 is a Pacific (4-6-2) locomotive famed for its 100mph+ performance hauling LNER's Flying Scotsman service.</v>
      </c>
    </row>
    <row r="147" spans="1:83" x14ac:dyDescent="0.25">
      <c r="A147" t="s">
        <v>1401</v>
      </c>
      <c r="B147" t="s">
        <v>1402</v>
      </c>
      <c r="C147">
        <v>233</v>
      </c>
      <c r="D147">
        <v>51</v>
      </c>
      <c r="E147" t="s">
        <v>1508</v>
      </c>
      <c r="F147" t="s">
        <v>262</v>
      </c>
      <c r="G147" t="s">
        <v>271</v>
      </c>
      <c r="H147" t="s">
        <v>274</v>
      </c>
      <c r="I147">
        <v>1930</v>
      </c>
      <c r="J147">
        <v>1934</v>
      </c>
      <c r="K147">
        <v>1965</v>
      </c>
      <c r="M147">
        <v>1200</v>
      </c>
      <c r="V147">
        <v>82</v>
      </c>
      <c r="W147" s="8">
        <v>44</v>
      </c>
      <c r="Y147">
        <v>118</v>
      </c>
      <c r="Z147" s="3">
        <f t="shared" si="101"/>
        <v>9.3650793650793651E-2</v>
      </c>
      <c r="AA147">
        <v>90</v>
      </c>
      <c r="AB147">
        <f t="shared" si="90"/>
        <v>144</v>
      </c>
      <c r="AD147">
        <v>1</v>
      </c>
      <c r="AE147">
        <v>11.76</v>
      </c>
      <c r="AF147">
        <v>11.76</v>
      </c>
      <c r="AI147" s="10">
        <v>0</v>
      </c>
      <c r="AJ147" t="str">
        <f>CONCATENATE(VLOOKUP(AK147, 'Voxel Sizes'!$A$2:$B$18,2,FALSE),"x",INT(AG147*15), "x", INT(AH147*15))</f>
        <v>120x0x0</v>
      </c>
      <c r="AK147">
        <f t="shared" si="102"/>
        <v>7</v>
      </c>
      <c r="AL147" t="s">
        <v>288</v>
      </c>
      <c r="AM147" t="str">
        <f>CONCATENATE(VLOOKUP(AK147,Constants!$A$2:$C$16,IF(AL147&lt;&gt;"", 3, 2), FALSE),IF(AL147&lt;&gt;"",CONCATENATE(",",VLOOKUP(AL147,$B:$AM,38,FALSE)),""))</f>
        <v>2,3,2,2,1,2</v>
      </c>
      <c r="AU147">
        <v>1</v>
      </c>
      <c r="AW147">
        <v>34</v>
      </c>
      <c r="AX147" s="15">
        <f t="shared" si="103"/>
        <v>43</v>
      </c>
      <c r="BA147">
        <f t="shared" si="104"/>
        <v>18</v>
      </c>
      <c r="BB147">
        <f t="shared" si="105"/>
        <v>6</v>
      </c>
      <c r="BC147">
        <f t="shared" si="106"/>
        <v>5.8999999999999995</v>
      </c>
      <c r="BD147" s="3">
        <f t="shared" si="107"/>
        <v>0.96</v>
      </c>
      <c r="BE147">
        <f t="shared" si="108"/>
        <v>0</v>
      </c>
      <c r="BF147">
        <f>VLOOKUP($G147,Constants!$I:$K, 2, FALSE)</f>
        <v>1.1499999999999999</v>
      </c>
      <c r="BG147">
        <f>VLOOKUP($G147,Constants!$I:$K, 3, FALSE)*IF(AND(F147="multiple_unit",AA147&lt;110),0.75,1)</f>
        <v>1.7</v>
      </c>
      <c r="BH147">
        <f>INT(POWER(((Constants!$G$2+$BA147+$BB147+$BC147+$BE147)*$BD147)*$BG147, 1.05))+$AZ147</f>
        <v>69</v>
      </c>
      <c r="BI147">
        <f>INT(POWER((((Constants!$G$1+$BA147+$BB147+$BC147+$BE147)*($BD147))*$BF147),IF($F147="wagon",1,1.2)))+$AY147</f>
        <v>108</v>
      </c>
      <c r="BJ147" s="14">
        <f t="shared" si="109"/>
        <v>53906.25</v>
      </c>
      <c r="BK147" s="14">
        <f t="shared" si="110"/>
        <v>8775</v>
      </c>
      <c r="BR147">
        <v>11</v>
      </c>
      <c r="BV147" t="str">
        <f>VLOOKUP(I147,Eras!$A$2:$C$10, 2, TRUE)</f>
        <v>big4</v>
      </c>
      <c r="BW147" t="s">
        <v>327</v>
      </c>
      <c r="BX147" t="str">
        <f t="shared" si="111"/>
        <v>big4_Express</v>
      </c>
      <c r="BY147" t="str">
        <f t="shared" si="112"/>
        <v>steam_RAIL</v>
      </c>
      <c r="BZ147" s="17" t="str" cm="1">
        <f t="array" ref="BZ147">_xlfn.CONCAT("{BLACK}Length: {GOLD}", TEXT(ROUNDUP(IF(AP147&lt;&gt;"",SUM(VALUE(_xlfn.TEXTSPLIT(AP147, ","))), SUM(VALUE(_xlfn.TEXTSPLIT(AM147, ",")))*IF(L147, L147, 1))/16, 1), "#,##0.0"), " tiles{}")</f>
        <v>{BLACK}Length: {GOLD}0.8 tiles{}</v>
      </c>
      <c r="CA147" t="str">
        <f>VLOOKUP($BY147, Constants!$M:$N, 2, FALSE)</f>
        <v>{BLACK}Powered by: {GOLD}Steam</v>
      </c>
      <c r="CB147" t="str">
        <f t="shared" si="116"/>
        <v/>
      </c>
      <c r="CC147" t="s">
        <v>1403</v>
      </c>
      <c r="CD147" t="str">
        <f t="shared" si="113"/>
        <v/>
      </c>
      <c r="CE147" t="str">
        <f t="shared" si="98"/>
        <v>{BLACK}Powered by: {GOLD}Steam {}{BLACK}Length: {GOLD}0.8 tiles{}{SILVER}The Patriot class combined the Royal Scot chassis with boilers from the LNWR's Large Claughton class. Although none were preserved, there is a project to build a new Patriot-class locomotive.</v>
      </c>
    </row>
    <row r="148" spans="1:83" x14ac:dyDescent="0.25">
      <c r="A148" t="s">
        <v>13</v>
      </c>
      <c r="B148" t="s">
        <v>437</v>
      </c>
      <c r="C148">
        <v>234</v>
      </c>
      <c r="D148">
        <v>52</v>
      </c>
      <c r="E148" t="s">
        <v>1508</v>
      </c>
      <c r="F148" t="s">
        <v>262</v>
      </c>
      <c r="G148" t="s">
        <v>271</v>
      </c>
      <c r="H148" t="s">
        <v>274</v>
      </c>
      <c r="I148">
        <v>1929</v>
      </c>
      <c r="J148">
        <v>1950</v>
      </c>
      <c r="K148">
        <v>1971</v>
      </c>
      <c r="M148">
        <v>750</v>
      </c>
      <c r="O148" s="5">
        <v>17.5</v>
      </c>
      <c r="P148" s="5">
        <v>24</v>
      </c>
      <c r="Q148" s="5">
        <v>2</v>
      </c>
      <c r="R148" s="5">
        <v>200</v>
      </c>
      <c r="S148" s="6">
        <f>((($AA148/2)/60)*5280)/($T148*3.2*PI())</f>
        <v>187.57546864401954</v>
      </c>
      <c r="T148" s="5">
        <v>1.4</v>
      </c>
      <c r="U148" s="5">
        <f>((($O148*$O148/4)*PI())*($P148/12)*$Q148*$R148*$S148)/(33000*1.1)</f>
        <v>994.31818181818198</v>
      </c>
      <c r="V148">
        <v>48.3</v>
      </c>
      <c r="Y148">
        <v>100</v>
      </c>
      <c r="Z148" s="3">
        <f t="shared" si="101"/>
        <v>0.20703933747412009</v>
      </c>
      <c r="AA148">
        <v>60</v>
      </c>
      <c r="AB148">
        <f t="shared" si="90"/>
        <v>96</v>
      </c>
      <c r="AD148">
        <v>1</v>
      </c>
      <c r="AE148">
        <v>9.5</v>
      </c>
      <c r="AF148">
        <v>9.5</v>
      </c>
      <c r="AH148">
        <v>3.7349999999999999</v>
      </c>
      <c r="AI148" s="10">
        <v>0</v>
      </c>
      <c r="AJ148" t="str">
        <f>CONCATENATE(VLOOKUP(AK148, 'Voxel Sizes'!$A$2:$B$18,2,FALSE),"x",INT(AG148*15), "x", INT(AH148*15))</f>
        <v>102x0x56</v>
      </c>
      <c r="AK148">
        <f t="shared" si="102"/>
        <v>6</v>
      </c>
      <c r="AM148" t="str">
        <f>CONCATENATE(VLOOKUP(AK148,Constants!$A$2:$C$16,IF(AL148&lt;&gt;"", 3, 2), FALSE),IF(AL148&lt;&gt;"",CONCATENATE(",",VLOOKUP(AL148,$B:$AM,38,FALSE)),""))</f>
        <v>2,2,2</v>
      </c>
      <c r="AU148">
        <v>1</v>
      </c>
      <c r="AW148">
        <v>37</v>
      </c>
      <c r="AX148" s="15">
        <f t="shared" si="103"/>
        <v>50</v>
      </c>
      <c r="BA148">
        <f t="shared" si="104"/>
        <v>12</v>
      </c>
      <c r="BB148">
        <f t="shared" si="105"/>
        <v>3.75</v>
      </c>
      <c r="BC148">
        <f t="shared" si="106"/>
        <v>5</v>
      </c>
      <c r="BD148" s="3">
        <f t="shared" si="107"/>
        <v>0.96133333333333337</v>
      </c>
      <c r="BE148">
        <f t="shared" si="108"/>
        <v>0</v>
      </c>
      <c r="BF148">
        <f>VLOOKUP($G148,Constants!$I:$K, 2, FALSE)</f>
        <v>1.1499999999999999</v>
      </c>
      <c r="BG148">
        <f>VLOOKUP($G148,Constants!$I:$K, 3, FALSE)*IF(AND(F148="multiple_unit",AA148&lt;110),0.75,1)</f>
        <v>1.7</v>
      </c>
      <c r="BH148">
        <f>INT(POWER(((Constants!$G$2+$BA148+$BB148+$BC148+$BE148)*$BD148)*$BG148, 1.05))+$AZ148</f>
        <v>50</v>
      </c>
      <c r="BI148">
        <f>INT(POWER((((Constants!$G$1+$BA148+$BB148+$BC148+$BE148)*($BD148))*$BF148),IF($F148="wagon",1,1.2)))+$AY148</f>
        <v>82</v>
      </c>
      <c r="BJ148" s="14">
        <f t="shared" si="109"/>
        <v>39062.5</v>
      </c>
      <c r="BK148" s="14">
        <f t="shared" si="110"/>
        <v>6662.5</v>
      </c>
      <c r="BR148">
        <v>7</v>
      </c>
      <c r="BV148" t="str">
        <f>VLOOKUP(I148,Eras!$A$2:$C$10, 2, TRUE)</f>
        <v>big4</v>
      </c>
      <c r="BW148" t="s">
        <v>325</v>
      </c>
      <c r="BX148" t="str">
        <f t="shared" si="111"/>
        <v>big4_Cheap</v>
      </c>
      <c r="BY148" t="str">
        <f t="shared" si="112"/>
        <v>steam_RAIL</v>
      </c>
      <c r="BZ148" s="17" t="str" cm="1">
        <f t="array" ref="BZ148">_xlfn.CONCAT("{BLACK}Length: {GOLD}", TEXT(ROUNDUP(IF(AP148&lt;&gt;"",SUM(VALUE(_xlfn.TEXTSPLIT(AP148, ","))), SUM(VALUE(_xlfn.TEXTSPLIT(AM148, ",")))*IF(L148, L148, 1))/16, 1), "#,##0.0"), " tiles{}")</f>
        <v>{BLACK}Length: {GOLD}0.4 tiles{}</v>
      </c>
      <c r="CA148" t="str">
        <f>VLOOKUP($BY148, Constants!$M:$N, 2, FALSE)</f>
        <v>{BLACK}Powered by: {GOLD}Steam</v>
      </c>
      <c r="CB148" t="str">
        <f t="shared" si="116"/>
        <v/>
      </c>
      <c r="CC148" t="s">
        <v>436</v>
      </c>
      <c r="CD148" t="str">
        <f t="shared" si="113"/>
        <v/>
      </c>
      <c r="CE148" t="str">
        <f t="shared" si="98"/>
        <v>{BLACK}Powered by: {GOLD}Steam {}{BLACK}Length: {GOLD}0.4 tiles{}{SILVER}The 5700 class numbered 863 locomotives, and was ubiquitous across the GWR network.</v>
      </c>
    </row>
    <row r="149" spans="1:83" ht="14.25" customHeight="1" x14ac:dyDescent="0.25">
      <c r="A149" t="s">
        <v>25</v>
      </c>
      <c r="B149" t="s">
        <v>162</v>
      </c>
      <c r="C149">
        <v>235</v>
      </c>
      <c r="D149">
        <v>53</v>
      </c>
      <c r="E149" t="s">
        <v>1508</v>
      </c>
      <c r="F149" t="s">
        <v>262</v>
      </c>
      <c r="G149" t="s">
        <v>271</v>
      </c>
      <c r="H149" t="s">
        <v>274</v>
      </c>
      <c r="I149">
        <v>1930</v>
      </c>
      <c r="J149">
        <v>1935</v>
      </c>
      <c r="K149">
        <v>1961</v>
      </c>
      <c r="M149">
        <v>1750</v>
      </c>
      <c r="O149" s="5">
        <v>16.5</v>
      </c>
      <c r="P149" s="5">
        <v>26</v>
      </c>
      <c r="Q149" s="5">
        <v>3</v>
      </c>
      <c r="R149" s="5">
        <v>220</v>
      </c>
      <c r="S149" s="6">
        <f>((($AA149/2)/60)*5280)/($T149*3.2*PI())</f>
        <v>207.89614441378828</v>
      </c>
      <c r="T149" s="5">
        <v>2</v>
      </c>
      <c r="U149" s="5">
        <f>((($O149*$O149/4)*PI())*($P149/12)*$Q149*$R149*$S149)/(33000*1.1)</f>
        <v>1751.19140625</v>
      </c>
      <c r="V149">
        <v>68.2</v>
      </c>
      <c r="W149" s="8">
        <v>43.1</v>
      </c>
      <c r="Y149">
        <v>111</v>
      </c>
      <c r="Z149" s="3">
        <f t="shared" si="101"/>
        <v>9.9730458221024262E-2</v>
      </c>
      <c r="AA149">
        <v>95</v>
      </c>
      <c r="AB149">
        <f t="shared" si="90"/>
        <v>152</v>
      </c>
      <c r="AE149">
        <v>17.93</v>
      </c>
      <c r="AF149">
        <f>AE149-7.5</f>
        <v>10.43</v>
      </c>
      <c r="AH149">
        <v>3.96</v>
      </c>
      <c r="AI149" s="10">
        <v>0</v>
      </c>
      <c r="AJ149" t="str">
        <f>CONCATENATE(VLOOKUP(AK149, 'Voxel Sizes'!$A$2:$B$18,2,FALSE),"x",INT(AG149*15), "x", INT(AH149*15))</f>
        <v>102x0x59</v>
      </c>
      <c r="AK149">
        <f t="shared" si="102"/>
        <v>6</v>
      </c>
      <c r="AL149" t="s">
        <v>440</v>
      </c>
      <c r="AM149" t="str">
        <f>CONCATENATE(VLOOKUP(AK149,Constants!$A$2:$C$16,IF(AL149&lt;&gt;"", 3, 2), FALSE),IF(AL149&lt;&gt;"",CONCATENATE(",",VLOOKUP(AL149,$B:$AM,38,FALSE)),""))</f>
        <v>2,2,2,2,1,2</v>
      </c>
      <c r="AU149">
        <v>1</v>
      </c>
      <c r="AW149">
        <v>29</v>
      </c>
      <c r="AX149" s="15">
        <f t="shared" si="103"/>
        <v>39</v>
      </c>
      <c r="BA149">
        <f t="shared" si="104"/>
        <v>19</v>
      </c>
      <c r="BB149">
        <f t="shared" si="105"/>
        <v>8.75</v>
      </c>
      <c r="BC149">
        <f t="shared" si="106"/>
        <v>5.5500000000000007</v>
      </c>
      <c r="BD149" s="3">
        <f t="shared" si="107"/>
        <v>0.96</v>
      </c>
      <c r="BE149">
        <f t="shared" si="108"/>
        <v>0</v>
      </c>
      <c r="BF149">
        <f>VLOOKUP($G149,Constants!$I:$K, 2, FALSE)</f>
        <v>1.1499999999999999</v>
      </c>
      <c r="BG149">
        <f>VLOOKUP($G149,Constants!$I:$K, 3, FALSE)*IF(AND(F149="multiple_unit",AA149&lt;110),0.75,1)</f>
        <v>1.7</v>
      </c>
      <c r="BH149">
        <f>INT(POWER(((Constants!$G$2+$BA149+$BB149+$BC149+$BE149)*$BD149)*$BG149, 1.05))+$AZ149</f>
        <v>76</v>
      </c>
      <c r="BI149">
        <f>INT(POWER((((Constants!$G$1+$BA149+$BB149+$BC149+$BE149)*($BD149))*$BF149),IF($F149="wagon",1,1.2)))+$AY149</f>
        <v>118</v>
      </c>
      <c r="BJ149" s="14">
        <f t="shared" si="109"/>
        <v>59375</v>
      </c>
      <c r="BK149" s="14">
        <f t="shared" si="110"/>
        <v>9587.5</v>
      </c>
      <c r="BR149">
        <v>8</v>
      </c>
      <c r="BV149" t="str">
        <f>VLOOKUP(I149,Eras!$A$2:$C$10, 2, TRUE)</f>
        <v>big4</v>
      </c>
      <c r="BW149" t="s">
        <v>327</v>
      </c>
      <c r="BX149" t="str">
        <f t="shared" si="111"/>
        <v>big4_Express</v>
      </c>
      <c r="BY149" t="str">
        <f t="shared" si="112"/>
        <v>steam_RAIL</v>
      </c>
      <c r="BZ149" s="17" t="str" cm="1">
        <f t="array" ref="BZ149">_xlfn.CONCAT("{BLACK}Length: {GOLD}", TEXT(ROUNDUP(IF(AP149&lt;&gt;"",SUM(VALUE(_xlfn.TEXTSPLIT(AP149, ","))), SUM(VALUE(_xlfn.TEXTSPLIT(AM149, ",")))*IF(L149, L149, 1))/16, 1), "#,##0.0"), " tiles{}")</f>
        <v>{BLACK}Length: {GOLD}0.7 tiles{}</v>
      </c>
      <c r="CA149" t="str">
        <f>VLOOKUP($BY149, Constants!$M:$N, 2, FALSE)</f>
        <v>{BLACK}Powered by: {GOLD}Steam</v>
      </c>
      <c r="CB149" t="str">
        <f t="shared" si="116"/>
        <v/>
      </c>
      <c r="CC149" t="s">
        <v>438</v>
      </c>
      <c r="CD149" t="str">
        <f t="shared" si="113"/>
        <v/>
      </c>
      <c r="CE149" t="str">
        <f t="shared" si="98"/>
        <v>{BLACK}Powered by: {GOLD}Steam {}{BLACK}Length: {GOLD}0.7 tiles{}{SILVER}The Schools class was the most powerful 4-4-0 locomotive produced in  Europe, and the last British locomotive with such a wheel layout.</v>
      </c>
    </row>
    <row r="150" spans="1:83" x14ac:dyDescent="0.25">
      <c r="A150" t="s">
        <v>441</v>
      </c>
      <c r="B150" t="s">
        <v>443</v>
      </c>
      <c r="C150">
        <v>237</v>
      </c>
      <c r="D150">
        <v>54</v>
      </c>
      <c r="E150" t="s">
        <v>1508</v>
      </c>
      <c r="F150" t="s">
        <v>262</v>
      </c>
      <c r="G150" t="s">
        <v>271</v>
      </c>
      <c r="H150" t="s">
        <v>274</v>
      </c>
      <c r="I150">
        <v>1932</v>
      </c>
      <c r="J150">
        <v>1936</v>
      </c>
      <c r="K150">
        <v>1965</v>
      </c>
      <c r="M150">
        <v>600</v>
      </c>
      <c r="O150" s="5">
        <v>16</v>
      </c>
      <c r="P150" s="5">
        <v>24</v>
      </c>
      <c r="Q150" s="5">
        <v>2</v>
      </c>
      <c r="R150" s="5">
        <v>165</v>
      </c>
      <c r="S150" s="6">
        <f>((($AA150/2)/60)*5280)/($T150*3.2*PI())</f>
        <v>218.83804675135607</v>
      </c>
      <c r="T150" s="5">
        <v>1.6</v>
      </c>
      <c r="U150" s="5">
        <f>((($O150*$O150/4)*PI())*($P150/12)*$Q150*$R150*$S150)/(33000*1.1)</f>
        <v>799.99999999999977</v>
      </c>
      <c r="V150">
        <v>43</v>
      </c>
      <c r="Y150">
        <v>62</v>
      </c>
      <c r="Z150" s="3">
        <f t="shared" si="101"/>
        <v>0.14418604651162792</v>
      </c>
      <c r="AA150">
        <v>80</v>
      </c>
      <c r="AB150">
        <f t="shared" si="90"/>
        <v>128</v>
      </c>
      <c r="AE150">
        <v>9.1199999999999992</v>
      </c>
      <c r="AF150">
        <v>9.1199999999999992</v>
      </c>
      <c r="AH150">
        <v>3.82</v>
      </c>
      <c r="AI150" s="10">
        <v>0</v>
      </c>
      <c r="AJ150" t="str">
        <f>CONCATENATE(VLOOKUP(AK150, 'Voxel Sizes'!$A$2:$B$18,2,FALSE),"x",INT(AG150*15), "x", INT(AH150*15))</f>
        <v>82x0x57</v>
      </c>
      <c r="AK150">
        <f t="shared" si="102"/>
        <v>5</v>
      </c>
      <c r="AM150" t="str">
        <f>CONCATENATE(VLOOKUP(AK150,Constants!$A$2:$C$16,IF(AL150&lt;&gt;"", 3, 2), FALSE),IF(AL150&lt;&gt;"",CONCATENATE(",",VLOOKUP(AL150,$B:$AM,38,FALSE)),""))</f>
        <v>2,1,2</v>
      </c>
      <c r="AU150">
        <v>1</v>
      </c>
      <c r="AW150">
        <v>36</v>
      </c>
      <c r="AX150" s="15">
        <f t="shared" si="103"/>
        <v>41</v>
      </c>
      <c r="BA150">
        <f t="shared" si="104"/>
        <v>16</v>
      </c>
      <c r="BB150">
        <f t="shared" si="105"/>
        <v>3</v>
      </c>
      <c r="BC150">
        <f t="shared" si="106"/>
        <v>3.1</v>
      </c>
      <c r="BD150" s="3">
        <f t="shared" si="107"/>
        <v>0.95733333333333337</v>
      </c>
      <c r="BE150">
        <f t="shared" si="108"/>
        <v>0</v>
      </c>
      <c r="BF150">
        <f>VLOOKUP($G150,Constants!$I:$K, 2, FALSE)</f>
        <v>1.1499999999999999</v>
      </c>
      <c r="BG150">
        <f>VLOOKUP($G150,Constants!$I:$K, 3, FALSE)*IF(AND(F150="multiple_unit",AA150&lt;110),0.75,1)</f>
        <v>1.7</v>
      </c>
      <c r="BH150">
        <f>INT(POWER(((Constants!$G$2+$BA150+$BB150+$BC150+$BE150)*$BD150)*$BG150, 1.05))+$AZ150</f>
        <v>53</v>
      </c>
      <c r="BI150">
        <f>INT(POWER((((Constants!$G$1+$BA150+$BB150+$BC150+$BE150)*($BD150))*$BF150),IF($F150="wagon",1,1.2)))+$AY150</f>
        <v>85</v>
      </c>
      <c r="BJ150" s="14">
        <f t="shared" si="109"/>
        <v>41406.25</v>
      </c>
      <c r="BK150" s="14">
        <f t="shared" si="110"/>
        <v>6906.25</v>
      </c>
      <c r="BR150">
        <v>10</v>
      </c>
      <c r="BV150" t="str">
        <f>VLOOKUP(I150,Eras!$A$2:$C$10, 2, TRUE)</f>
        <v>big4</v>
      </c>
      <c r="BW150" t="s">
        <v>325</v>
      </c>
      <c r="BX150" t="str">
        <f t="shared" si="111"/>
        <v>big4_Cheap</v>
      </c>
      <c r="BY150" t="str">
        <f t="shared" si="112"/>
        <v>steam_RAIL</v>
      </c>
      <c r="BZ150" s="17" t="str" cm="1">
        <f t="array" ref="BZ150">_xlfn.CONCAT("{BLACK}Length: {GOLD}", TEXT(ROUNDUP(IF(AP150&lt;&gt;"",SUM(VALUE(_xlfn.TEXTSPLIT(AP150, ","))), SUM(VALUE(_xlfn.TEXTSPLIT(AM150, ",")))*IF(L150, L150, 1))/16, 1), "#,##0.0"), " tiles{}")</f>
        <v>{BLACK}Length: {GOLD}0.4 tiles{}</v>
      </c>
      <c r="CA150" t="str">
        <f>VLOOKUP($BY150, Constants!$M:$N, 2, FALSE)</f>
        <v>{BLACK}Powered by: {GOLD}Steam</v>
      </c>
      <c r="CB150" t="str">
        <f t="shared" si="116"/>
        <v/>
      </c>
      <c r="CC150" t="s">
        <v>442</v>
      </c>
      <c r="CD150" t="str">
        <f t="shared" si="113"/>
        <v/>
      </c>
      <c r="CE150" t="str">
        <f t="shared" si="98"/>
        <v>{BLACK}Powered by: {GOLD}Steam {}{BLACK}Length: {GOLD}0.4 tiles{}{SILVER}The 1400 class (originally the 4800 class) is an update of an 1868 design with more modern features. Although small, it is capable of high speed.</v>
      </c>
    </row>
    <row r="151" spans="1:83" x14ac:dyDescent="0.25">
      <c r="A151" t="s">
        <v>20</v>
      </c>
      <c r="B151" t="s">
        <v>287</v>
      </c>
      <c r="C151">
        <v>238</v>
      </c>
      <c r="D151">
        <v>55</v>
      </c>
      <c r="E151" t="s">
        <v>1508</v>
      </c>
      <c r="F151" t="s">
        <v>262</v>
      </c>
      <c r="G151" t="s">
        <v>271</v>
      </c>
      <c r="H151" t="s">
        <v>274</v>
      </c>
      <c r="I151">
        <v>1934</v>
      </c>
      <c r="J151">
        <v>1951</v>
      </c>
      <c r="K151">
        <v>1967</v>
      </c>
      <c r="M151">
        <v>1250</v>
      </c>
      <c r="V151">
        <v>73.400000000000006</v>
      </c>
      <c r="W151" s="8">
        <v>46</v>
      </c>
      <c r="Y151">
        <v>113</v>
      </c>
      <c r="Z151" s="3">
        <f t="shared" si="101"/>
        <v>9.4639865996649919E-2</v>
      </c>
      <c r="AA151">
        <v>92</v>
      </c>
      <c r="AB151">
        <f t="shared" si="90"/>
        <v>147</v>
      </c>
      <c r="AD151">
        <v>1</v>
      </c>
      <c r="AE151">
        <v>11.76</v>
      </c>
      <c r="AF151">
        <v>11.76</v>
      </c>
      <c r="AI151" s="10">
        <v>0</v>
      </c>
      <c r="AJ151" t="str">
        <f>CONCATENATE(VLOOKUP(AK151, 'Voxel Sizes'!$A$2:$B$18,2,FALSE),"x",INT(AG151*15), "x", INT(AH151*15))</f>
        <v>120x0x0</v>
      </c>
      <c r="AK151">
        <f t="shared" si="102"/>
        <v>7</v>
      </c>
      <c r="AL151" t="s">
        <v>293</v>
      </c>
      <c r="AM151" t="str">
        <f>CONCATENATE(VLOOKUP(AK151,Constants!$A$2:$C$16,IF(AL151&lt;&gt;"", 3, 2), FALSE),IF(AL151&lt;&gt;"",CONCATENATE(",",VLOOKUP(AL151,$B:$AM,38,FALSE)),""))</f>
        <v>2,3,2,2,1,2</v>
      </c>
      <c r="AU151">
        <v>1</v>
      </c>
      <c r="AW151">
        <v>34</v>
      </c>
      <c r="AX151" s="15">
        <f t="shared" si="103"/>
        <v>41</v>
      </c>
      <c r="BA151">
        <f t="shared" si="104"/>
        <v>18.399999999999999</v>
      </c>
      <c r="BB151">
        <f t="shared" si="105"/>
        <v>6.25</v>
      </c>
      <c r="BC151">
        <f t="shared" si="106"/>
        <v>5.6499999999999995</v>
      </c>
      <c r="BD151" s="3">
        <f t="shared" si="107"/>
        <v>0.95466666666666666</v>
      </c>
      <c r="BE151">
        <f t="shared" si="108"/>
        <v>0</v>
      </c>
      <c r="BF151">
        <f>VLOOKUP($G151,Constants!$I:$K, 2, FALSE)</f>
        <v>1.1499999999999999</v>
      </c>
      <c r="BG151">
        <f>VLOOKUP($G151,Constants!$I:$K, 3, FALSE)*IF(AND(F151="multiple_unit",AA151&lt;110),0.75,1)</f>
        <v>1.7</v>
      </c>
      <c r="BH151">
        <f>INT(POWER(((Constants!$G$2+$BA151+$BB151+$BC151+$BE151)*$BD151)*$BG151, 1.05))+$AZ151</f>
        <v>70</v>
      </c>
      <c r="BI151">
        <f>INT(POWER((((Constants!$G$1+$BA151+$BB151+$BC151+$BE151)*($BD151))*$BF151),IF($F151="wagon",1,1.2)))+$AY151</f>
        <v>108</v>
      </c>
      <c r="BJ151" s="14">
        <f t="shared" si="109"/>
        <v>54687.5</v>
      </c>
      <c r="BK151" s="14">
        <f t="shared" si="110"/>
        <v>8775</v>
      </c>
      <c r="BR151">
        <v>11</v>
      </c>
      <c r="BV151" t="str">
        <f>VLOOKUP(I151,Eras!$A$2:$C$10, 2, TRUE)</f>
        <v>big4</v>
      </c>
      <c r="BW151" t="s">
        <v>326</v>
      </c>
      <c r="BX151" t="str">
        <f t="shared" si="111"/>
        <v>big4_Mixed Traffic</v>
      </c>
      <c r="BY151" t="str">
        <f t="shared" si="112"/>
        <v>steam_RAIL</v>
      </c>
      <c r="BZ151" s="17" t="str" cm="1">
        <f t="array" ref="BZ151">_xlfn.CONCAT("{BLACK}Length: {GOLD}", TEXT(ROUNDUP(IF(AP151&lt;&gt;"",SUM(VALUE(_xlfn.TEXTSPLIT(AP151, ","))), SUM(VALUE(_xlfn.TEXTSPLIT(AM151, ",")))*IF(L151, L151, 1))/16, 1), "#,##0.0"), " tiles{}")</f>
        <v>{BLACK}Length: {GOLD}0.8 tiles{}</v>
      </c>
      <c r="CA151" t="str">
        <f>VLOOKUP($BY151, Constants!$M:$N, 2, FALSE)</f>
        <v>{BLACK}Powered by: {GOLD}Steam</v>
      </c>
      <c r="CB151" t="str">
        <f t="shared" si="116"/>
        <v/>
      </c>
      <c r="CC151" t="s">
        <v>367</v>
      </c>
      <c r="CD151" t="str">
        <f t="shared" si="113"/>
        <v/>
      </c>
      <c r="CE151" t="str">
        <f t="shared" si="98"/>
        <v>{BLACK}Powered by: {GOLD}Steam {}{BLACK}Length: {GOLD}0.8 tiles{}{SILVER}The Stanier Class 5, commonly known as the "Black 5", was a workhorse for the LMS and into the British Rail era. Although intended as a mixed traffic locomotive it was capable of high top speeds.</v>
      </c>
    </row>
    <row r="152" spans="1:83" x14ac:dyDescent="0.25">
      <c r="A152" t="s">
        <v>22</v>
      </c>
      <c r="B152" t="s">
        <v>286</v>
      </c>
      <c r="C152">
        <v>240</v>
      </c>
      <c r="D152">
        <v>56</v>
      </c>
      <c r="E152" t="s">
        <v>1508</v>
      </c>
      <c r="F152" t="s">
        <v>262</v>
      </c>
      <c r="G152" t="s">
        <v>271</v>
      </c>
      <c r="H152" t="s">
        <v>274</v>
      </c>
      <c r="I152">
        <v>1934</v>
      </c>
      <c r="J152">
        <v>1936</v>
      </c>
      <c r="K152">
        <v>1967</v>
      </c>
      <c r="M152">
        <v>1375</v>
      </c>
      <c r="V152">
        <v>80.8</v>
      </c>
      <c r="W152" s="8">
        <v>52</v>
      </c>
      <c r="Y152">
        <v>118</v>
      </c>
      <c r="Z152" s="3">
        <f t="shared" si="101"/>
        <v>8.8855421686746983E-2</v>
      </c>
      <c r="AA152">
        <v>95</v>
      </c>
      <c r="AB152">
        <f t="shared" si="90"/>
        <v>152</v>
      </c>
      <c r="AD152">
        <v>1</v>
      </c>
      <c r="AE152">
        <v>12.09</v>
      </c>
      <c r="AF152">
        <v>12.09</v>
      </c>
      <c r="AI152" s="10">
        <v>0</v>
      </c>
      <c r="AJ152" t="str">
        <f>CONCATENATE(VLOOKUP(AK152, 'Voxel Sizes'!$A$2:$B$18,2,FALSE),"x",INT(AG152*15), "x", INT(AH152*15))</f>
        <v>120x0x0</v>
      </c>
      <c r="AK152">
        <f t="shared" si="102"/>
        <v>7</v>
      </c>
      <c r="AL152" t="s">
        <v>288</v>
      </c>
      <c r="AM152" t="str">
        <f>CONCATENATE(VLOOKUP(AK152,Constants!$A$2:$C$16,IF(AL152&lt;&gt;"", 3, 2), FALSE),IF(AL152&lt;&gt;"",CONCATENATE(",",VLOOKUP(AL152,$B:$AM,38,FALSE)),""))</f>
        <v>2,3,2,2,1,2</v>
      </c>
      <c r="AU152">
        <v>1</v>
      </c>
      <c r="AW152">
        <v>34</v>
      </c>
      <c r="AX152" s="15">
        <f t="shared" si="103"/>
        <v>41</v>
      </c>
      <c r="BA152">
        <f t="shared" si="104"/>
        <v>19</v>
      </c>
      <c r="BB152">
        <f t="shared" si="105"/>
        <v>6.875</v>
      </c>
      <c r="BC152">
        <f t="shared" si="106"/>
        <v>5.8999999999999995</v>
      </c>
      <c r="BD152" s="3">
        <f t="shared" si="107"/>
        <v>0.95466666666666666</v>
      </c>
      <c r="BE152">
        <f t="shared" si="108"/>
        <v>0</v>
      </c>
      <c r="BF152">
        <f>VLOOKUP($G152,Constants!$I:$K, 2, FALSE)</f>
        <v>1.1499999999999999</v>
      </c>
      <c r="BG152">
        <f>VLOOKUP($G152,Constants!$I:$K, 3, FALSE)*IF(AND(F152="multiple_unit",AA152&lt;110),0.75,1)</f>
        <v>1.7</v>
      </c>
      <c r="BH152">
        <f>INT(POWER(((Constants!$G$2+$BA152+$BB152+$BC152+$BE152)*$BD152)*$BG152, 1.05))+$AZ152</f>
        <v>73</v>
      </c>
      <c r="BI152">
        <f>INT(POWER((((Constants!$G$1+$BA152+$BB152+$BC152+$BE152)*($BD152))*$BF152),IF($F152="wagon",1,1.2)))+$AY152</f>
        <v>112</v>
      </c>
      <c r="BJ152" s="14">
        <f t="shared" si="109"/>
        <v>57031.25</v>
      </c>
      <c r="BK152" s="14">
        <f t="shared" si="110"/>
        <v>9100</v>
      </c>
      <c r="BR152">
        <v>12</v>
      </c>
      <c r="BV152" t="str">
        <f>VLOOKUP(I152,Eras!$A$2:$C$10, 2, TRUE)</f>
        <v>big4</v>
      </c>
      <c r="BW152" t="s">
        <v>327</v>
      </c>
      <c r="BX152" t="str">
        <f t="shared" si="111"/>
        <v>big4_Express</v>
      </c>
      <c r="BY152" t="str">
        <f t="shared" si="112"/>
        <v>steam_RAIL</v>
      </c>
      <c r="BZ152" s="17" t="str" cm="1">
        <f t="array" ref="BZ152">_xlfn.CONCAT("{BLACK}Length: {GOLD}", TEXT(ROUNDUP(IF(AP152&lt;&gt;"",SUM(VALUE(_xlfn.TEXTSPLIT(AP152, ","))), SUM(VALUE(_xlfn.TEXTSPLIT(AM152, ",")))*IF(L152, L152, 1))/16, 1), "#,##0.0"), " tiles{}")</f>
        <v>{BLACK}Length: {GOLD}0.8 tiles{}</v>
      </c>
      <c r="CA152" t="str">
        <f>VLOOKUP($BY152, Constants!$M:$N, 2, FALSE)</f>
        <v>{BLACK}Powered by: {GOLD}Steam</v>
      </c>
      <c r="CB152" t="str">
        <f t="shared" si="116"/>
        <v/>
      </c>
      <c r="CC152" t="s">
        <v>353</v>
      </c>
      <c r="CD152" t="str">
        <f t="shared" si="113"/>
        <v/>
      </c>
      <c r="CE152" t="str">
        <f t="shared" si="98"/>
        <v>{BLACK}Powered by: {GOLD}Steam {}{BLACK}Length: {GOLD}0.8 tiles{}{SILVER}The Jubilee is the counterpart to the Class 5, often called the "Red Stanier" due to its red LMS livery. It was intended for passenger work, with slightly larger diameter driving wheels giving a higher top speed.</v>
      </c>
    </row>
    <row r="153" spans="1:83" x14ac:dyDescent="0.25">
      <c r="A153" t="s">
        <v>449</v>
      </c>
      <c r="B153" t="s">
        <v>163</v>
      </c>
      <c r="C153">
        <v>242</v>
      </c>
      <c r="D153">
        <v>57</v>
      </c>
      <c r="E153" t="s">
        <v>1508</v>
      </c>
      <c r="F153" t="s">
        <v>262</v>
      </c>
      <c r="G153" t="s">
        <v>271</v>
      </c>
      <c r="H153" t="s">
        <v>274</v>
      </c>
      <c r="I153">
        <v>1935</v>
      </c>
      <c r="K153">
        <v>1968</v>
      </c>
      <c r="M153">
        <v>1300</v>
      </c>
      <c r="V153">
        <v>73</v>
      </c>
      <c r="W153" s="8">
        <v>46</v>
      </c>
      <c r="Y153">
        <v>144</v>
      </c>
      <c r="Z153" s="3">
        <f t="shared" si="101"/>
        <v>0.12100840336134454</v>
      </c>
      <c r="AA153">
        <v>70</v>
      </c>
      <c r="AB153">
        <f t="shared" si="90"/>
        <v>112</v>
      </c>
      <c r="AE153">
        <v>19.22</v>
      </c>
      <c r="AF153">
        <f>19.22-7.46</f>
        <v>11.759999999999998</v>
      </c>
      <c r="AI153" s="10">
        <v>0</v>
      </c>
      <c r="AJ153" t="str">
        <f>CONCATENATE(VLOOKUP(AK153, 'Voxel Sizes'!$A$2:$B$18,2,FALSE),"x",INT(AG153*15), "x", INT(AH153*15))</f>
        <v>120x0x0</v>
      </c>
      <c r="AK153">
        <f t="shared" si="102"/>
        <v>7</v>
      </c>
      <c r="AL153" t="s">
        <v>293</v>
      </c>
      <c r="AM153" t="str">
        <f>CONCATENATE(VLOOKUP(AK153,Constants!$A$2:$C$16,IF(AL153&lt;&gt;"", 3, 2), FALSE),IF(AL153&lt;&gt;"",CONCATENATE(",",VLOOKUP(AL153,$B:$AM,38,FALSE)),""))</f>
        <v>2,3,2,2,1,2</v>
      </c>
      <c r="AU153">
        <v>1</v>
      </c>
      <c r="AW153">
        <v>34</v>
      </c>
      <c r="AX153" s="15">
        <f t="shared" si="103"/>
        <v>41</v>
      </c>
      <c r="BA153">
        <f t="shared" si="104"/>
        <v>14</v>
      </c>
      <c r="BB153">
        <f t="shared" si="105"/>
        <v>6.5</v>
      </c>
      <c r="BC153">
        <f t="shared" si="106"/>
        <v>7.1999999999999993</v>
      </c>
      <c r="BD153" s="3">
        <f t="shared" si="107"/>
        <v>0.95333333333333337</v>
      </c>
      <c r="BE153">
        <f t="shared" si="108"/>
        <v>0</v>
      </c>
      <c r="BF153">
        <f>VLOOKUP($G153,Constants!$I:$K, 2, FALSE)</f>
        <v>1.1499999999999999</v>
      </c>
      <c r="BG153">
        <f>VLOOKUP($G153,Constants!$I:$K, 3, FALSE)*IF(AND(F153="multiple_unit",AA153&lt;110),0.75,1)</f>
        <v>1.7</v>
      </c>
      <c r="BH153">
        <f>INT(POWER(((Constants!$G$2+$BA153+$BB153+$BC153+$BE153)*$BD153)*$BG153, 1.05))+$AZ153</f>
        <v>64</v>
      </c>
      <c r="BI153">
        <f>INT(POWER((((Constants!$G$1+$BA153+$BB153+$BC153+$BE153)*($BD153))*$BF153),IF($F153="wagon",1,1.2)))+$AY153</f>
        <v>101</v>
      </c>
      <c r="BJ153" s="14">
        <f t="shared" si="109"/>
        <v>50000</v>
      </c>
      <c r="BK153" s="14">
        <f t="shared" si="110"/>
        <v>8206.25</v>
      </c>
      <c r="BR153">
        <v>1</v>
      </c>
      <c r="BV153" t="str">
        <f>VLOOKUP(I153,Eras!$A$2:$C$10, 2, TRUE)</f>
        <v>big4</v>
      </c>
      <c r="BW153" t="s">
        <v>328</v>
      </c>
      <c r="BX153" t="str">
        <f t="shared" si="111"/>
        <v>big4_Freight</v>
      </c>
      <c r="BY153" t="str">
        <f t="shared" si="112"/>
        <v>steam_RAIL</v>
      </c>
      <c r="BZ153" s="17" t="str" cm="1">
        <f t="array" ref="BZ153">_xlfn.CONCAT("{BLACK}Length: {GOLD}", TEXT(ROUNDUP(IF(AP153&lt;&gt;"",SUM(VALUE(_xlfn.TEXTSPLIT(AP153, ","))), SUM(VALUE(_xlfn.TEXTSPLIT(AM153, ",")))*IF(L153, L153, 1))/16, 1), "#,##0.0"), " tiles{}")</f>
        <v>{BLACK}Length: {GOLD}0.8 tiles{}</v>
      </c>
      <c r="CA153" t="str">
        <f>VLOOKUP($BY153, Constants!$M:$N, 2, FALSE)</f>
        <v>{BLACK}Powered by: {GOLD}Steam</v>
      </c>
      <c r="CB153" t="str">
        <f t="shared" si="116"/>
        <v/>
      </c>
      <c r="CC153" t="s">
        <v>450</v>
      </c>
      <c r="CD153" t="str">
        <f t="shared" si="113"/>
        <v/>
      </c>
      <c r="CE153" t="str">
        <f t="shared" si="98"/>
        <v>{BLACK}Powered by: {GOLD}Steam {}{BLACK}Length: {GOLD}0.8 tiles{}{SILVER}The Stanier 8F is a further development of the Class 5, specialised for freight traffic with a 2-8-0 layout.</v>
      </c>
    </row>
    <row r="154" spans="1:83" x14ac:dyDescent="0.25">
      <c r="A154" t="s">
        <v>17</v>
      </c>
      <c r="B154" t="s">
        <v>452</v>
      </c>
      <c r="C154">
        <v>244</v>
      </c>
      <c r="D154">
        <v>58</v>
      </c>
      <c r="E154" t="s">
        <v>1508</v>
      </c>
      <c r="F154" t="s">
        <v>262</v>
      </c>
      <c r="G154" t="s">
        <v>271</v>
      </c>
      <c r="H154" t="s">
        <v>274</v>
      </c>
      <c r="I154">
        <v>1935</v>
      </c>
      <c r="J154">
        <v>1938</v>
      </c>
      <c r="K154">
        <v>1966</v>
      </c>
      <c r="M154">
        <v>2450</v>
      </c>
      <c r="V154">
        <v>104.6</v>
      </c>
      <c r="W154" s="8">
        <v>64</v>
      </c>
      <c r="Y154">
        <v>157</v>
      </c>
      <c r="Z154" s="3">
        <f t="shared" si="101"/>
        <v>9.3119810201660741E-2</v>
      </c>
      <c r="AA154">
        <v>126</v>
      </c>
      <c r="AB154">
        <f t="shared" si="90"/>
        <v>202</v>
      </c>
      <c r="AD154">
        <v>1</v>
      </c>
      <c r="AE154">
        <v>21.65</v>
      </c>
      <c r="AF154">
        <f>AE154-7.5</f>
        <v>14.149999999999999</v>
      </c>
      <c r="AH154">
        <v>3.99</v>
      </c>
      <c r="AI154" s="10">
        <v>0</v>
      </c>
      <c r="AJ154" t="str">
        <f>CONCATENATE(VLOOKUP(AK154, 'Voxel Sizes'!$A$2:$B$18,2,FALSE),"x",INT(AG154*15), "x", INT(AH154*15))</f>
        <v>136x0x59</v>
      </c>
      <c r="AK154">
        <f t="shared" si="102"/>
        <v>8</v>
      </c>
      <c r="AL154" t="s">
        <v>435</v>
      </c>
      <c r="AM154" t="str">
        <f>CONCATENATE(VLOOKUP(AK154,Constants!$A$2:$C$16,IF(AL154&lt;&gt;"", 3, 2), FALSE),IF(AL154&lt;&gt;"",CONCATENATE(",",VLOOKUP(AL154,$B:$AM,38,FALSE)),""))</f>
        <v>2,4,2,2,1,2</v>
      </c>
      <c r="AU154">
        <v>1</v>
      </c>
      <c r="AW154">
        <v>28</v>
      </c>
      <c r="AX154" s="15">
        <f t="shared" si="103"/>
        <v>39</v>
      </c>
      <c r="BA154">
        <f t="shared" si="104"/>
        <v>25.2</v>
      </c>
      <c r="BB154">
        <f t="shared" si="105"/>
        <v>12.25</v>
      </c>
      <c r="BC154">
        <f t="shared" si="106"/>
        <v>7.8500000000000005</v>
      </c>
      <c r="BD154" s="3">
        <f t="shared" si="107"/>
        <v>0.95333333333333337</v>
      </c>
      <c r="BE154">
        <f t="shared" si="108"/>
        <v>0</v>
      </c>
      <c r="BF154">
        <f>VLOOKUP($G154,Constants!$I:$K, 2, FALSE)</f>
        <v>1.1499999999999999</v>
      </c>
      <c r="BG154">
        <f>VLOOKUP($G154,Constants!$I:$K, 3, FALSE)*IF(AND(F154="multiple_unit",AA154&lt;110),0.75,1)</f>
        <v>1.7</v>
      </c>
      <c r="BH154">
        <f>INT(POWER(((Constants!$G$2+$BA154+$BB154+$BC154+$BE154)*$BD154)*$BG154, 1.05))+$AZ154</f>
        <v>101</v>
      </c>
      <c r="BI154">
        <f>INT(POWER((((Constants!$G$1+$BA154+$BB154+$BC154+$BE154)*($BD154))*$BF154),IF($F154="wagon",1,1.2)))+$AY154</f>
        <v>152</v>
      </c>
      <c r="BJ154" s="14">
        <f t="shared" si="109"/>
        <v>78906.25</v>
      </c>
      <c r="BK154" s="14">
        <f t="shared" si="110"/>
        <v>12350</v>
      </c>
      <c r="BR154">
        <v>2</v>
      </c>
      <c r="BV154" t="str">
        <f>VLOOKUP(I154,Eras!$A$2:$C$10, 2, TRUE)</f>
        <v>big4</v>
      </c>
      <c r="BW154" t="s">
        <v>327</v>
      </c>
      <c r="BX154" t="str">
        <f t="shared" si="111"/>
        <v>big4_Express</v>
      </c>
      <c r="BY154" t="str">
        <f t="shared" si="112"/>
        <v>steam_RAIL</v>
      </c>
      <c r="BZ154" s="17" t="str" cm="1">
        <f t="array" ref="BZ154">_xlfn.CONCAT("{BLACK}Length: {GOLD}", TEXT(ROUNDUP(IF(AP154&lt;&gt;"",SUM(VALUE(_xlfn.TEXTSPLIT(AP154, ","))), SUM(VALUE(_xlfn.TEXTSPLIT(AM154, ",")))*IF(L154, L154, 1))/16, 1), "#,##0.0"), " tiles{}")</f>
        <v>{BLACK}Length: {GOLD}0.9 tiles{}</v>
      </c>
      <c r="CA154" t="str">
        <f>VLOOKUP($BY154, Constants!$M:$N, 2, FALSE)</f>
        <v>{BLACK}Powered by: {GOLD}Steam</v>
      </c>
      <c r="CB154" t="str">
        <f t="shared" si="116"/>
        <v/>
      </c>
      <c r="CC154" t="s">
        <v>451</v>
      </c>
      <c r="CD154" t="str">
        <f t="shared" si="113"/>
        <v/>
      </c>
      <c r="CE154" t="str">
        <f t="shared" si="98"/>
        <v>{BLACK}Powered by: {GOLD}Steam {}{BLACK}Length: {GOLD}0.9 tiles{}{SILVER}The Gresley A4 is the iconic pinnacle of high-speed British steam, holding numerous speed and power records.</v>
      </c>
    </row>
    <row r="155" spans="1:83" x14ac:dyDescent="0.25">
      <c r="A155" t="s">
        <v>7</v>
      </c>
      <c r="B155" t="s">
        <v>453</v>
      </c>
      <c r="C155">
        <v>246</v>
      </c>
      <c r="D155">
        <v>59</v>
      </c>
      <c r="E155" t="s">
        <v>1508</v>
      </c>
      <c r="F155" t="s">
        <v>262</v>
      </c>
      <c r="G155" t="s">
        <v>271</v>
      </c>
      <c r="H155" t="s">
        <v>274</v>
      </c>
      <c r="I155">
        <v>1936</v>
      </c>
      <c r="J155">
        <v>1944</v>
      </c>
      <c r="K155">
        <v>1966</v>
      </c>
      <c r="M155">
        <v>1900</v>
      </c>
      <c r="O155" s="5">
        <v>18.5</v>
      </c>
      <c r="P155" s="5">
        <v>26</v>
      </c>
      <c r="Q155" s="5">
        <v>3</v>
      </c>
      <c r="R155" s="5">
        <v>220</v>
      </c>
      <c r="S155" s="6">
        <f>((($AA155/2)/60)*5280)/($T155*3.2*PI())</f>
        <v>216.509982424214</v>
      </c>
      <c r="T155" s="5">
        <v>1.88</v>
      </c>
      <c r="U155" s="5">
        <f>((($O155*$O155/4)*PI())*($P155/12)*$Q155*$R155*$S155)/(33000*1.1)</f>
        <v>2292.6653922872338</v>
      </c>
      <c r="V155">
        <v>91</v>
      </c>
      <c r="W155" s="8">
        <v>54</v>
      </c>
      <c r="Y155">
        <v>150</v>
      </c>
      <c r="Z155" s="3">
        <f t="shared" si="101"/>
        <v>0.10344827586206896</v>
      </c>
      <c r="AA155">
        <v>93</v>
      </c>
      <c r="AB155">
        <f t="shared" si="90"/>
        <v>149</v>
      </c>
      <c r="AD155">
        <v>1</v>
      </c>
      <c r="AE155">
        <v>20.239999999999998</v>
      </c>
      <c r="AF155">
        <f>AE155-7.5</f>
        <v>12.739999999999998</v>
      </c>
      <c r="AI155" s="10">
        <v>0</v>
      </c>
      <c r="AJ155" t="str">
        <f>CONCATENATE(VLOOKUP(AK155, 'Voxel Sizes'!$A$2:$B$18,2,FALSE),"x",INT(AG155*15), "x", INT(AH155*15))</f>
        <v>120x0x0</v>
      </c>
      <c r="AK155">
        <f t="shared" si="102"/>
        <v>7</v>
      </c>
      <c r="AL155" t="s">
        <v>435</v>
      </c>
      <c r="AM155" t="str">
        <f>CONCATENATE(VLOOKUP(AK155,Constants!$A$2:$C$16,IF(AL155&lt;&gt;"", 3, 2), FALSE),IF(AL155&lt;&gt;"",CONCATENATE(",",VLOOKUP(AL155,$B:$AM,38,FALSE)),""))</f>
        <v>2,3,2,2,1,2</v>
      </c>
      <c r="AU155">
        <v>1</v>
      </c>
      <c r="AW155">
        <v>32</v>
      </c>
      <c r="AX155" s="15">
        <f t="shared" si="103"/>
        <v>38</v>
      </c>
      <c r="BA155">
        <f t="shared" si="104"/>
        <v>18.600000000000001</v>
      </c>
      <c r="BB155">
        <f t="shared" si="105"/>
        <v>9.5</v>
      </c>
      <c r="BC155">
        <f t="shared" si="106"/>
        <v>7.5</v>
      </c>
      <c r="BD155" s="3">
        <f t="shared" si="107"/>
        <v>0.95199999999999996</v>
      </c>
      <c r="BE155">
        <f t="shared" si="108"/>
        <v>0</v>
      </c>
      <c r="BF155">
        <f>VLOOKUP($G155,Constants!$I:$K, 2, FALSE)</f>
        <v>1.1499999999999999</v>
      </c>
      <c r="BG155">
        <f>VLOOKUP($G155,Constants!$I:$K, 3, FALSE)*IF(AND(F155="multiple_unit",AA155&lt;110),0.75,1)</f>
        <v>1.7</v>
      </c>
      <c r="BH155">
        <f>INT(POWER(((Constants!$G$2+$BA155+$BB155+$BC155+$BE155)*$BD155)*$BG155, 1.05))+$AZ155</f>
        <v>81</v>
      </c>
      <c r="BI155">
        <f>INT(POWER((((Constants!$G$1+$BA155+$BB155+$BC155+$BE155)*($BD155))*$BF155),IF($F155="wagon",1,1.2)))+$AY155</f>
        <v>123</v>
      </c>
      <c r="BJ155" s="14">
        <f t="shared" si="109"/>
        <v>63281.25</v>
      </c>
      <c r="BK155" s="14">
        <f t="shared" si="110"/>
        <v>9993.75</v>
      </c>
      <c r="BR155">
        <v>3</v>
      </c>
      <c r="BV155" t="str">
        <f>VLOOKUP(I155,Eras!$A$2:$C$10, 2, TRUE)</f>
        <v>big4</v>
      </c>
      <c r="BW155" t="s">
        <v>326</v>
      </c>
      <c r="BX155" t="str">
        <f t="shared" si="111"/>
        <v>big4_Mixed Traffic</v>
      </c>
      <c r="BY155" t="str">
        <f t="shared" si="112"/>
        <v>steam_RAIL</v>
      </c>
      <c r="BZ155" s="17" t="str" cm="1">
        <f t="array" ref="BZ155">_xlfn.CONCAT("{BLACK}Length: {GOLD}", TEXT(ROUNDUP(IF(AP155&lt;&gt;"",SUM(VALUE(_xlfn.TEXTSPLIT(AP155, ","))), SUM(VALUE(_xlfn.TEXTSPLIT(AM155, ",")))*IF(L155, L155, 1))/16, 1), "#,##0.0"), " tiles{}")</f>
        <v>{BLACK}Length: {GOLD}0.8 tiles{}</v>
      </c>
      <c r="CA155" t="str">
        <f>VLOOKUP($BY155, Constants!$M:$N, 2, FALSE)</f>
        <v>{BLACK}Powered by: {GOLD}Steam</v>
      </c>
      <c r="CB155" t="str">
        <f t="shared" si="116"/>
        <v/>
      </c>
      <c r="CC155" t="s">
        <v>454</v>
      </c>
      <c r="CD155" t="str">
        <f t="shared" si="113"/>
        <v/>
      </c>
      <c r="CE155" t="str">
        <f t="shared" si="98"/>
        <v>{BLACK}Powered by: {GOLD}Steam {}{BLACK}Length: {GOLD}0.8 tiles{}{SILVER}The Gresley V2 is derived from the A3 type, adapted to mixed traffic with a shorter boiler, smaller driving wheels and a 2-6-2 layout.</v>
      </c>
    </row>
    <row r="156" spans="1:83" x14ac:dyDescent="0.25">
      <c r="A156" t="s">
        <v>14</v>
      </c>
      <c r="B156" t="s">
        <v>455</v>
      </c>
      <c r="C156">
        <v>248</v>
      </c>
      <c r="D156">
        <v>60</v>
      </c>
      <c r="E156" t="s">
        <v>1508</v>
      </c>
      <c r="F156" t="s">
        <v>262</v>
      </c>
      <c r="G156" t="s">
        <v>271</v>
      </c>
      <c r="H156" t="s">
        <v>274</v>
      </c>
      <c r="I156">
        <v>1936</v>
      </c>
      <c r="J156">
        <v>1939</v>
      </c>
      <c r="K156">
        <v>1965</v>
      </c>
      <c r="M156">
        <v>1600</v>
      </c>
      <c r="O156" s="5">
        <v>18.5</v>
      </c>
      <c r="P156" s="5">
        <v>30</v>
      </c>
      <c r="Q156" s="5">
        <v>2</v>
      </c>
      <c r="R156" s="5">
        <v>225</v>
      </c>
      <c r="S156" s="6">
        <f>((($AA156/2)/60)*5280)/($T156*3.2*PI())</f>
        <v>193.09239419237301</v>
      </c>
      <c r="T156" s="5">
        <v>1.7</v>
      </c>
      <c r="U156" s="5">
        <f>((($O156*$O156/4)*PI())*($P156/12)*$Q156*$R156*$S156)/(33000*1.1)</f>
        <v>1608.5864388368984</v>
      </c>
      <c r="V156">
        <v>75.2</v>
      </c>
      <c r="W156" s="8">
        <v>48</v>
      </c>
      <c r="Y156">
        <v>128</v>
      </c>
      <c r="Z156" s="3">
        <f t="shared" si="101"/>
        <v>0.1038961038961039</v>
      </c>
      <c r="AA156">
        <v>75</v>
      </c>
      <c r="AB156">
        <f t="shared" si="90"/>
        <v>120</v>
      </c>
      <c r="AE156">
        <v>19.21</v>
      </c>
      <c r="AF156">
        <f>AE156-7.5</f>
        <v>11.71</v>
      </c>
      <c r="AH156">
        <v>3.96</v>
      </c>
      <c r="AI156" s="10">
        <v>0</v>
      </c>
      <c r="AJ156" t="str">
        <f>CONCATENATE(VLOOKUP(AK156, 'Voxel Sizes'!$A$2:$B$18,2,FALSE),"x",INT(AG156*15), "x", INT(AH156*15))</f>
        <v>120x0x59</v>
      </c>
      <c r="AK156">
        <f t="shared" si="102"/>
        <v>7</v>
      </c>
      <c r="AL156" t="s">
        <v>420</v>
      </c>
      <c r="AM156" t="str">
        <f>CONCATENATE(VLOOKUP(AK156,Constants!$A$2:$C$16,IF(AL156&lt;&gt;"", 3, 2), FALSE),IF(AL156&lt;&gt;"",CONCATENATE(",",VLOOKUP(AL156,$B:$AM,38,FALSE)),""))</f>
        <v>2,3,2,2,1,2</v>
      </c>
      <c r="AU156">
        <v>1</v>
      </c>
      <c r="AW156">
        <v>30</v>
      </c>
      <c r="AX156" s="15">
        <f t="shared" si="103"/>
        <v>37</v>
      </c>
      <c r="BA156">
        <f t="shared" si="104"/>
        <v>15</v>
      </c>
      <c r="BB156">
        <f t="shared" si="105"/>
        <v>8</v>
      </c>
      <c r="BC156">
        <f t="shared" si="106"/>
        <v>6.4</v>
      </c>
      <c r="BD156" s="3">
        <f t="shared" si="107"/>
        <v>0.95199999999999996</v>
      </c>
      <c r="BE156">
        <f t="shared" si="108"/>
        <v>0</v>
      </c>
      <c r="BF156">
        <f>VLOOKUP($G156,Constants!$I:$K, 2, FALSE)</f>
        <v>1.1499999999999999</v>
      </c>
      <c r="BG156">
        <f>VLOOKUP($G156,Constants!$I:$K, 3, FALSE)*IF(AND(F156="multiple_unit",AA156&lt;110),0.75,1)</f>
        <v>1.7</v>
      </c>
      <c r="BH156">
        <f>INT(POWER(((Constants!$G$2+$BA156+$BB156+$BC156+$BE156)*$BD156)*$BG156, 1.05))+$AZ156</f>
        <v>68</v>
      </c>
      <c r="BI156">
        <f>INT(POWER((((Constants!$G$1+$BA156+$BB156+$BC156+$BE156)*($BD156))*$BF156),IF($F156="wagon",1,1.2)))+$AY156</f>
        <v>105</v>
      </c>
      <c r="BJ156" s="14">
        <f t="shared" si="109"/>
        <v>53125</v>
      </c>
      <c r="BK156" s="14">
        <f t="shared" si="110"/>
        <v>8531.25</v>
      </c>
      <c r="BR156">
        <v>4</v>
      </c>
      <c r="BV156" t="str">
        <f>VLOOKUP(I156,Eras!$A$2:$C$10, 2, TRUE)</f>
        <v>big4</v>
      </c>
      <c r="BW156" t="s">
        <v>326</v>
      </c>
      <c r="BX156" t="str">
        <f t="shared" si="111"/>
        <v>big4_Mixed Traffic</v>
      </c>
      <c r="BY156" t="str">
        <f t="shared" si="112"/>
        <v>steam_RAIL</v>
      </c>
      <c r="BZ156" s="17" t="str" cm="1">
        <f t="array" ref="BZ156">_xlfn.CONCAT("{BLACK}Length: {GOLD}", TEXT(ROUNDUP(IF(AP156&lt;&gt;"",SUM(VALUE(_xlfn.TEXTSPLIT(AP156, ","))), SUM(VALUE(_xlfn.TEXTSPLIT(AM156, ",")))*IF(L156, L156, 1))/16, 1), "#,##0.0"), " tiles{}")</f>
        <v>{BLACK}Length: {GOLD}0.8 tiles{}</v>
      </c>
      <c r="CA156" t="str">
        <f>VLOOKUP($BY156, Constants!$M:$N, 2, FALSE)</f>
        <v>{BLACK}Powered by: {GOLD}Steam</v>
      </c>
      <c r="CB156" t="str">
        <f t="shared" si="116"/>
        <v/>
      </c>
      <c r="CC156" t="s">
        <v>457</v>
      </c>
      <c r="CD156" t="str">
        <f t="shared" si="113"/>
        <v/>
      </c>
      <c r="CE156" t="str">
        <f t="shared" si="98"/>
        <v>{BLACK}Powered by: {GOLD}Steam {}{BLACK}Length: {GOLD}0.8 tiles{}{SILVER}The Grange class is a conservative design similar to the Hall class with smaller driving wheels, but proved to be reliable in service.</v>
      </c>
    </row>
    <row r="157" spans="1:83" x14ac:dyDescent="0.25">
      <c r="A157" t="s">
        <v>23</v>
      </c>
      <c r="B157" t="s">
        <v>456</v>
      </c>
      <c r="C157">
        <v>250</v>
      </c>
      <c r="D157">
        <v>61</v>
      </c>
      <c r="E157" t="s">
        <v>1508</v>
      </c>
      <c r="F157" t="s">
        <v>262</v>
      </c>
      <c r="G157" t="s">
        <v>271</v>
      </c>
      <c r="H157" t="s">
        <v>274</v>
      </c>
      <c r="I157">
        <v>1937</v>
      </c>
      <c r="J157">
        <v>1948</v>
      </c>
      <c r="K157">
        <v>1964</v>
      </c>
      <c r="M157">
        <v>2500</v>
      </c>
      <c r="V157">
        <v>110</v>
      </c>
      <c r="W157" s="8">
        <v>57</v>
      </c>
      <c r="Y157">
        <v>180</v>
      </c>
      <c r="Z157" s="3">
        <f t="shared" si="101"/>
        <v>0.10778443113772455</v>
      </c>
      <c r="AA157">
        <v>115</v>
      </c>
      <c r="AB157">
        <f t="shared" si="90"/>
        <v>184</v>
      </c>
      <c r="AD157">
        <v>1</v>
      </c>
      <c r="AE157">
        <v>22.49</v>
      </c>
      <c r="AF157">
        <f>AE157-7.5</f>
        <v>14.989999999999998</v>
      </c>
      <c r="AH157">
        <v>4.0389999999999997</v>
      </c>
      <c r="AI157" s="10">
        <v>0</v>
      </c>
      <c r="AJ157" t="str">
        <f>CONCATENATE(VLOOKUP(AK157, 'Voxel Sizes'!$A$2:$B$18,2,FALSE),"x",INT(AG157*15), "x", INT(AH157*15))</f>
        <v>152x0x60</v>
      </c>
      <c r="AK157">
        <f t="shared" si="102"/>
        <v>9</v>
      </c>
      <c r="AL157" t="s">
        <v>459</v>
      </c>
      <c r="AM157" t="str">
        <f>CONCATENATE(VLOOKUP(AK157,Constants!$A$2:$C$16,IF(AL157&lt;&gt;"", 3, 2), FALSE),IF(AL157&lt;&gt;"",CONCATENATE(",",VLOOKUP(AL157,$B:$AM,38,FALSE)),""))</f>
        <v>2,5,2,2,1,2</v>
      </c>
      <c r="AU157">
        <v>1</v>
      </c>
      <c r="AW157">
        <v>35</v>
      </c>
      <c r="AX157" s="15">
        <f t="shared" si="103"/>
        <v>35</v>
      </c>
      <c r="BA157">
        <f t="shared" si="104"/>
        <v>23</v>
      </c>
      <c r="BB157">
        <f t="shared" si="105"/>
        <v>12.5</v>
      </c>
      <c r="BC157">
        <f t="shared" si="106"/>
        <v>9</v>
      </c>
      <c r="BD157" s="3">
        <f t="shared" si="107"/>
        <v>0.95066666666666666</v>
      </c>
      <c r="BE157">
        <f t="shared" si="108"/>
        <v>0</v>
      </c>
      <c r="BF157">
        <f>VLOOKUP($G157,Constants!$I:$K, 2, FALSE)</f>
        <v>1.1499999999999999</v>
      </c>
      <c r="BG157">
        <f>VLOOKUP($G157,Constants!$I:$K, 3, FALSE)*IF(AND(F157="multiple_unit",AA157&lt;110),0.75,1)</f>
        <v>1.7</v>
      </c>
      <c r="BH157">
        <f>INT(POWER(((Constants!$G$2+$BA157+$BB157+$BC157+$BE157)*$BD157)*$BG157, 1.05))+$AZ157</f>
        <v>99</v>
      </c>
      <c r="BI157">
        <f>INT(POWER((((Constants!$G$1+$BA157+$BB157+$BC157+$BE157)*($BD157))*$BF157),IF($F157="wagon",1,1.2)))+$AY157</f>
        <v>149</v>
      </c>
      <c r="BJ157" s="14">
        <f t="shared" si="109"/>
        <v>77343.75</v>
      </c>
      <c r="BK157" s="14">
        <f t="shared" si="110"/>
        <v>12106.25</v>
      </c>
      <c r="BR157">
        <v>5</v>
      </c>
      <c r="BV157" t="str">
        <f>VLOOKUP(I157,Eras!$A$2:$C$10, 2, TRUE)</f>
        <v>big4</v>
      </c>
      <c r="BW157" t="s">
        <v>327</v>
      </c>
      <c r="BX157" t="str">
        <f t="shared" si="111"/>
        <v>big4_Express</v>
      </c>
      <c r="BY157" t="str">
        <f t="shared" si="112"/>
        <v>steam_RAIL</v>
      </c>
      <c r="BZ157" s="17" t="str" cm="1">
        <f t="array" ref="BZ157">_xlfn.CONCAT("{BLACK}Length: {GOLD}", TEXT(ROUNDUP(IF(AP157&lt;&gt;"",SUM(VALUE(_xlfn.TEXTSPLIT(AP157, ","))), SUM(VALUE(_xlfn.TEXTSPLIT(AM157, ",")))*IF(L157, L157, 1))/16, 1), "#,##0.0"), " tiles{}")</f>
        <v>{BLACK}Length: {GOLD}0.9 tiles{}</v>
      </c>
      <c r="CA157" t="str">
        <f>VLOOKUP($BY157, Constants!$M:$N, 2, FALSE)</f>
        <v>{BLACK}Powered by: {GOLD}Steam</v>
      </c>
      <c r="CB157" t="str">
        <f t="shared" si="116"/>
        <v/>
      </c>
      <c r="CC157" t="s">
        <v>458</v>
      </c>
      <c r="CD157" t="str">
        <f t="shared" si="113"/>
        <v/>
      </c>
      <c r="CE157" t="str">
        <f t="shared" si="98"/>
        <v>{BLACK}Powered by: {GOLD}Steam {}{BLACK}Length: {GOLD}0.9 tiles{}{SILVER}The Stanier Coronation briefly held the British speed record for a steam locomotive. In real life, the streamlined casing was only fitted to early examples.</v>
      </c>
    </row>
    <row r="158" spans="1:83" x14ac:dyDescent="0.25">
      <c r="A158" t="s">
        <v>26</v>
      </c>
      <c r="B158" t="s">
        <v>469</v>
      </c>
      <c r="C158">
        <v>252</v>
      </c>
      <c r="D158">
        <v>62</v>
      </c>
      <c r="E158" t="s">
        <v>1508</v>
      </c>
      <c r="F158" t="s">
        <v>262</v>
      </c>
      <c r="G158" t="s">
        <v>271</v>
      </c>
      <c r="H158" t="s">
        <v>274</v>
      </c>
      <c r="I158">
        <v>1941</v>
      </c>
      <c r="J158">
        <v>1949</v>
      </c>
      <c r="K158">
        <v>1967</v>
      </c>
      <c r="M158">
        <v>2100</v>
      </c>
      <c r="O158" s="5">
        <v>18</v>
      </c>
      <c r="P158" s="5">
        <v>24</v>
      </c>
      <c r="Q158" s="5">
        <v>3</v>
      </c>
      <c r="R158" s="5">
        <v>250</v>
      </c>
      <c r="S158" s="6">
        <f>((($AA158/2)/60)*5280)/($T158*3.2*PI())</f>
        <v>241.87363061991991</v>
      </c>
      <c r="T158" s="5">
        <v>1.9</v>
      </c>
      <c r="U158" s="5">
        <f>((($O158*$O158/4)*PI())*($P158/12)*$Q158*$R158*$S158)/(33000*1.1)</f>
        <v>2543.3612440191391</v>
      </c>
      <c r="V158">
        <v>96.3</v>
      </c>
      <c r="W158" s="8">
        <v>52</v>
      </c>
      <c r="Y158">
        <v>167</v>
      </c>
      <c r="Z158" s="3">
        <f t="shared" si="101"/>
        <v>0.11260957518543493</v>
      </c>
      <c r="AA158">
        <v>105</v>
      </c>
      <c r="AB158">
        <f t="shared" si="90"/>
        <v>168</v>
      </c>
      <c r="AD158">
        <v>1</v>
      </c>
      <c r="AE158">
        <v>21.23</v>
      </c>
      <c r="AF158">
        <f>AE158-7.5</f>
        <v>13.73</v>
      </c>
      <c r="AI158" s="10">
        <v>0</v>
      </c>
      <c r="AJ158" t="str">
        <f>CONCATENATE(VLOOKUP(AK158, 'Voxel Sizes'!$A$2:$B$18,2,FALSE),"x",INT(AG158*15), "x", INT(AH158*15))</f>
        <v>136x0x0</v>
      </c>
      <c r="AK158">
        <f t="shared" si="102"/>
        <v>8</v>
      </c>
      <c r="AL158" t="s">
        <v>468</v>
      </c>
      <c r="AM158" t="str">
        <f>CONCATENATE(VLOOKUP(AK158,Constants!$A$2:$C$16,IF(AL158&lt;&gt;"", 3, 2), FALSE),IF(AL158&lt;&gt;"",CONCATENATE(",",VLOOKUP(AL158,$B:$AM,38,FALSE)),""))</f>
        <v>2,4,2,2,1,2</v>
      </c>
      <c r="AU158">
        <v>1</v>
      </c>
      <c r="AW158">
        <v>32</v>
      </c>
      <c r="AX158" s="15">
        <f t="shared" si="103"/>
        <v>34</v>
      </c>
      <c r="BA158">
        <f t="shared" si="104"/>
        <v>21</v>
      </c>
      <c r="BB158">
        <f t="shared" si="105"/>
        <v>10.5</v>
      </c>
      <c r="BC158">
        <f t="shared" si="106"/>
        <v>8.35</v>
      </c>
      <c r="BD158" s="3">
        <f t="shared" si="107"/>
        <v>0.94533333333333336</v>
      </c>
      <c r="BE158">
        <f t="shared" si="108"/>
        <v>0</v>
      </c>
      <c r="BF158">
        <f>VLOOKUP($G158,Constants!$I:$K, 2, FALSE)</f>
        <v>1.1499999999999999</v>
      </c>
      <c r="BG158">
        <f>VLOOKUP($G158,Constants!$I:$K, 3, FALSE)*IF(AND(F158="multiple_unit",AA158&lt;110),0.75,1)</f>
        <v>1.7</v>
      </c>
      <c r="BH158">
        <f>INT(POWER(((Constants!$G$2+$BA158+$BB158+$BC158+$BE158)*$BD158)*$BG158, 1.05))+$AZ158</f>
        <v>89</v>
      </c>
      <c r="BI158">
        <f>INT(POWER((((Constants!$G$1+$BA158+$BB158+$BC158+$BE158)*($BD158))*$BF158),IF($F158="wagon",1,1.2)))+$AY158</f>
        <v>135</v>
      </c>
      <c r="BJ158" s="14">
        <f t="shared" si="109"/>
        <v>69531.25</v>
      </c>
      <c r="BK158" s="14">
        <f t="shared" si="110"/>
        <v>10968.75</v>
      </c>
      <c r="BR158">
        <v>6</v>
      </c>
      <c r="BV158" t="str">
        <f>VLOOKUP(I158,Eras!$A$2:$C$10, 2, TRUE)</f>
        <v>big4</v>
      </c>
      <c r="BW158" t="s">
        <v>327</v>
      </c>
      <c r="BX158" t="str">
        <f t="shared" si="111"/>
        <v>big4_Express</v>
      </c>
      <c r="BY158" t="str">
        <f t="shared" si="112"/>
        <v>steam_RAIL</v>
      </c>
      <c r="BZ158" s="17" t="str" cm="1">
        <f t="array" ref="BZ158">_xlfn.CONCAT("{BLACK}Length: {GOLD}", TEXT(ROUNDUP(IF(AP158&lt;&gt;"",SUM(VALUE(_xlfn.TEXTSPLIT(AP158, ","))), SUM(VALUE(_xlfn.TEXTSPLIT(AM158, ",")))*IF(L158, L158, 1))/16, 1), "#,##0.0"), " tiles{}")</f>
        <v>{BLACK}Length: {GOLD}0.9 tiles{}</v>
      </c>
      <c r="CA158" t="str">
        <f>VLOOKUP($BY158, Constants!$M:$N, 2, FALSE)</f>
        <v>{BLACK}Powered by: {GOLD}Steam</v>
      </c>
      <c r="CB158" t="str">
        <f t="shared" si="116"/>
        <v/>
      </c>
      <c r="CC158" t="s">
        <v>470</v>
      </c>
      <c r="CD158" t="str">
        <f t="shared" si="113"/>
        <v/>
      </c>
      <c r="CE158" t="str">
        <f t="shared" si="98"/>
        <v>{BLACK}Powered by: {GOLD}Steam {}{BLACK}Length: {GOLD}0.9 tiles{}{SILVER}The SR Merchant Navy is a large, powerful locomotive with an air-smoothed casing. Bulleid's novel design features proved to be troublesome, and the class was later rebuilt.</v>
      </c>
    </row>
    <row r="159" spans="1:83" x14ac:dyDescent="0.25">
      <c r="A159" t="s">
        <v>57</v>
      </c>
      <c r="B159" t="s">
        <v>164</v>
      </c>
      <c r="C159">
        <v>256</v>
      </c>
      <c r="D159">
        <v>63</v>
      </c>
      <c r="E159" t="s">
        <v>1508</v>
      </c>
      <c r="F159" t="s">
        <v>262</v>
      </c>
      <c r="G159" t="s">
        <v>295</v>
      </c>
      <c r="H159" t="s">
        <v>302</v>
      </c>
      <c r="I159">
        <v>1941</v>
      </c>
      <c r="J159">
        <v>1948</v>
      </c>
      <c r="K159">
        <v>1968</v>
      </c>
      <c r="M159">
        <v>1470</v>
      </c>
      <c r="V159">
        <v>101</v>
      </c>
      <c r="Y159">
        <v>178</v>
      </c>
      <c r="Z159" s="3">
        <f t="shared" si="101"/>
        <v>0.17623762376237623</v>
      </c>
      <c r="AA159">
        <v>75</v>
      </c>
      <c r="AB159">
        <f t="shared" si="90"/>
        <v>120</v>
      </c>
      <c r="AD159">
        <v>1</v>
      </c>
      <c r="AE159">
        <v>17</v>
      </c>
      <c r="AF159">
        <v>17</v>
      </c>
      <c r="AI159" s="10">
        <v>0</v>
      </c>
      <c r="AJ159" t="str">
        <f>CONCATENATE(VLOOKUP(AK159, 'Voxel Sizes'!$A$2:$B$18,2,FALSE),"x",INT(AG159*15), "x", INT(AH159*15))</f>
        <v>164x0x0</v>
      </c>
      <c r="AK159">
        <f t="shared" si="102"/>
        <v>10</v>
      </c>
      <c r="AM159" t="str">
        <f>CONCATENATE(VLOOKUP(AK159,Constants!$A$2:$C$16,IF(AL159&lt;&gt;"", 3, 2), FALSE),IF(AL159&lt;&gt;"",CONCATENATE(",",VLOOKUP(AL159,$B:$AM,38,FALSE)),""))</f>
        <v>4,2,4</v>
      </c>
      <c r="AW159">
        <v>31</v>
      </c>
      <c r="AX159" s="15">
        <f t="shared" si="103"/>
        <v>35</v>
      </c>
      <c r="BA159">
        <f t="shared" si="104"/>
        <v>15</v>
      </c>
      <c r="BB159">
        <f t="shared" si="105"/>
        <v>7.35</v>
      </c>
      <c r="BC159">
        <f t="shared" si="106"/>
        <v>8.9</v>
      </c>
      <c r="BD159" s="3">
        <f t="shared" si="107"/>
        <v>0.94533333333333336</v>
      </c>
      <c r="BE159">
        <f t="shared" si="108"/>
        <v>0</v>
      </c>
      <c r="BF159">
        <f>VLOOKUP($G159,Constants!$I:$K, 2, FALSE)</f>
        <v>0.85</v>
      </c>
      <c r="BG159">
        <f>VLOOKUP($G159,Constants!$I:$K, 3, FALSE)*IF(AND(F159="multiple_unit",AA159&lt;110),0.75,1)</f>
        <v>2.2999999999999998</v>
      </c>
      <c r="BH159">
        <f>INT(POWER(((Constants!$G$2+$BA159+$BB159+$BC159+$BE159)*$BD159)*$BG159, 1.05))+$AZ159</f>
        <v>98</v>
      </c>
      <c r="BI159">
        <f>INT(POWER((((Constants!$G$1+$BA159+$BB159+$BC159+$BE159)*($BD159))*$BF159),IF($F159="wagon",1,1.2)))+$AY159</f>
        <v>76</v>
      </c>
      <c r="BJ159" s="14">
        <f t="shared" si="109"/>
        <v>76562.5</v>
      </c>
      <c r="BK159" s="14">
        <f t="shared" si="110"/>
        <v>6175</v>
      </c>
      <c r="BR159">
        <v>8</v>
      </c>
      <c r="BV159" t="str">
        <f>VLOOKUP(I159,Eras!$A$2:$C$10, 2, TRUE)</f>
        <v>big4</v>
      </c>
      <c r="BW159" t="s">
        <v>336</v>
      </c>
      <c r="BX159" t="str">
        <f t="shared" si="111"/>
        <v>big4_MT (Electric)</v>
      </c>
      <c r="BY159" t="str">
        <f t="shared" si="112"/>
        <v>electric_THIRD_RAIL</v>
      </c>
      <c r="BZ159" s="17" t="str" cm="1">
        <f t="array" ref="BZ159">_xlfn.CONCAT("{BLACK}Length: {GOLD}", TEXT(ROUNDUP(IF(AP159&lt;&gt;"",SUM(VALUE(_xlfn.TEXTSPLIT(AP159, ","))), SUM(VALUE(_xlfn.TEXTSPLIT(AM159, ",")))*IF(L159, L159, 1))/16, 1), "#,##0.0"), " tiles{}")</f>
        <v>{BLACK}Length: {GOLD}0.7 tiles{}</v>
      </c>
      <c r="CA159" t="str">
        <f>VLOOKUP($BY159, Constants!$M:$N, 2, FALSE)</f>
        <v>{BLACK}Powered by: {GOLD}750V DC</v>
      </c>
      <c r="CB159" t="str">
        <f t="shared" si="116"/>
        <v/>
      </c>
      <c r="CC159" t="s">
        <v>471</v>
      </c>
      <c r="CD159" t="str">
        <f t="shared" si="113"/>
        <v/>
      </c>
      <c r="CE159" t="str">
        <f t="shared" si="98"/>
        <v>{BLACK}Powered by: {GOLD}750V DC {}{BLACK}Length: {GOLD}0.7 tiles{}{SILVER}With six traction motors, the CC is adept at handling both heavy freight and long passenger trains.</v>
      </c>
    </row>
    <row r="160" spans="1:83" x14ac:dyDescent="0.25">
      <c r="A160" t="s">
        <v>29</v>
      </c>
      <c r="B160" t="s">
        <v>472</v>
      </c>
      <c r="C160">
        <v>258</v>
      </c>
      <c r="D160">
        <v>64</v>
      </c>
      <c r="E160" t="s">
        <v>1508</v>
      </c>
      <c r="F160" t="s">
        <v>262</v>
      </c>
      <c r="G160" t="s">
        <v>271</v>
      </c>
      <c r="H160" t="s">
        <v>274</v>
      </c>
      <c r="I160">
        <v>1942</v>
      </c>
      <c r="J160">
        <v>1942</v>
      </c>
      <c r="K160">
        <v>1966</v>
      </c>
      <c r="M160">
        <v>1600</v>
      </c>
      <c r="O160" s="5">
        <v>19</v>
      </c>
      <c r="P160" s="5">
        <v>26</v>
      </c>
      <c r="Q160" s="5">
        <v>2</v>
      </c>
      <c r="R160" s="5">
        <v>230</v>
      </c>
      <c r="S160" s="6">
        <f t="shared" ref="S160:S167" si="117">((($AA160/2)/60)*5280)/($T160*3.2*PI())</f>
        <v>218.83804675135607</v>
      </c>
      <c r="T160" s="5">
        <v>1.5</v>
      </c>
      <c r="U160" s="5">
        <f t="shared" ref="U160:U167" si="118">((($O160*$O160/4)*PI())*($P160/12)*$Q160*$R160*$S160)/(33000*1.1)</f>
        <v>1703.5827020202014</v>
      </c>
      <c r="V160">
        <v>50.3</v>
      </c>
      <c r="W160" s="8">
        <f>90.7-V160</f>
        <v>40.400000000000006</v>
      </c>
      <c r="Y160">
        <v>134</v>
      </c>
      <c r="Z160" s="3">
        <f t="shared" si="101"/>
        <v>0.14773980154355015</v>
      </c>
      <c r="AA160">
        <v>75</v>
      </c>
      <c r="AB160">
        <f t="shared" si="90"/>
        <v>120</v>
      </c>
      <c r="AD160">
        <v>1</v>
      </c>
      <c r="AE160">
        <v>16.73</v>
      </c>
      <c r="AF160">
        <v>10</v>
      </c>
      <c r="AI160" s="10">
        <v>0</v>
      </c>
      <c r="AJ160" t="str">
        <f>CONCATENATE(VLOOKUP(AK160, 'Voxel Sizes'!$A$2:$B$18,2,FALSE),"x",INT(AG160*15), "x", INT(AH160*15))</f>
        <v>102x0x0</v>
      </c>
      <c r="AK160">
        <f t="shared" si="102"/>
        <v>6</v>
      </c>
      <c r="AL160" t="s">
        <v>474</v>
      </c>
      <c r="AM160" t="str">
        <f>CONCATENATE(VLOOKUP(AK160,Constants!$A$2:$C$16,IF(AL160&lt;&gt;"", 3, 2), FALSE),IF(AL160&lt;&gt;"",CONCATENATE(",",VLOOKUP(AL160,$B:$AM,38,FALSE)),""))</f>
        <v>2,2,2,1,2,1</v>
      </c>
      <c r="AU160">
        <v>1</v>
      </c>
      <c r="AW160">
        <v>25</v>
      </c>
      <c r="AX160" s="15">
        <f t="shared" si="103"/>
        <v>32</v>
      </c>
      <c r="BA160">
        <f t="shared" si="104"/>
        <v>15</v>
      </c>
      <c r="BB160">
        <f t="shared" si="105"/>
        <v>8</v>
      </c>
      <c r="BC160">
        <f t="shared" si="106"/>
        <v>6.7</v>
      </c>
      <c r="BD160" s="3">
        <f t="shared" si="107"/>
        <v>0.94399999999999995</v>
      </c>
      <c r="BE160">
        <f t="shared" si="108"/>
        <v>0</v>
      </c>
      <c r="BF160">
        <f>VLOOKUP($G160,Constants!$I:$K, 2, FALSE)</f>
        <v>1.1499999999999999</v>
      </c>
      <c r="BG160">
        <f>VLOOKUP($G160,Constants!$I:$K, 3, FALSE)*IF(AND(F160="multiple_unit",AA160&lt;110),0.75,1)</f>
        <v>1.7</v>
      </c>
      <c r="BH160">
        <f>INT(POWER(((Constants!$G$2+$BA160+$BB160+$BC160+$BE160)*$BD160)*$BG160, 1.05))+$AZ160</f>
        <v>68</v>
      </c>
      <c r="BI160">
        <f>INT(POWER((((Constants!$G$1+$BA160+$BB160+$BC160+$BE160)*($BD160))*$BF160),IF($F160="wagon",1,1.2)))+$AY160</f>
        <v>105</v>
      </c>
      <c r="BJ160" s="14">
        <f t="shared" si="109"/>
        <v>53125</v>
      </c>
      <c r="BK160" s="14">
        <f t="shared" si="110"/>
        <v>8531.25</v>
      </c>
      <c r="BR160">
        <v>9</v>
      </c>
      <c r="BV160" t="str">
        <f>VLOOKUP(I160,Eras!$A$2:$C$10, 2, TRUE)</f>
        <v>big4</v>
      </c>
      <c r="BW160" t="s">
        <v>325</v>
      </c>
      <c r="BX160" t="str">
        <f t="shared" si="111"/>
        <v>big4_Cheap</v>
      </c>
      <c r="BY160" t="str">
        <f t="shared" si="112"/>
        <v>steam_RAIL</v>
      </c>
      <c r="BZ160" s="17" t="str" cm="1">
        <f t="array" ref="BZ160">_xlfn.CONCAT("{BLACK}Length: {GOLD}", TEXT(ROUNDUP(IF(AP160&lt;&gt;"",SUM(VALUE(_xlfn.TEXTSPLIT(AP160, ","))), SUM(VALUE(_xlfn.TEXTSPLIT(AM160, ",")))*IF(L160, L160, 1))/16, 1), "#,##0.0"), " tiles{}")</f>
        <v>{BLACK}Length: {GOLD}0.7 tiles{}</v>
      </c>
      <c r="CA160" t="str">
        <f>VLOOKUP($BY160, Constants!$M:$N, 2, FALSE)</f>
        <v>{BLACK}Powered by: {GOLD}Steam</v>
      </c>
      <c r="CB160" t="str">
        <f t="shared" si="116"/>
        <v/>
      </c>
      <c r="CC160" t="s">
        <v>473</v>
      </c>
      <c r="CD160" t="str">
        <f t="shared" si="113"/>
        <v/>
      </c>
      <c r="CE160" t="str">
        <f t="shared" si="98"/>
        <v>{BLACK}Powered by: {GOLD}Steam {}{BLACK}Length: {GOLD}0.7 tiles{}{SILVER}The Q1 was designed for function over form and the most efficient possible use of materials.</v>
      </c>
    </row>
    <row r="161" spans="1:83" x14ac:dyDescent="0.25">
      <c r="A161" t="s">
        <v>476</v>
      </c>
      <c r="B161" t="s">
        <v>214</v>
      </c>
      <c r="C161">
        <v>260</v>
      </c>
      <c r="D161">
        <v>65</v>
      </c>
      <c r="E161" t="s">
        <v>1508</v>
      </c>
      <c r="F161" t="s">
        <v>262</v>
      </c>
      <c r="G161" t="s">
        <v>271</v>
      </c>
      <c r="H161" t="s">
        <v>274</v>
      </c>
      <c r="I161">
        <v>1943</v>
      </c>
      <c r="J161">
        <v>1964</v>
      </c>
      <c r="K161">
        <v>1967</v>
      </c>
      <c r="M161">
        <v>500</v>
      </c>
      <c r="O161" s="5">
        <v>18</v>
      </c>
      <c r="P161" s="5">
        <v>26</v>
      </c>
      <c r="Q161" s="5">
        <v>2</v>
      </c>
      <c r="R161" s="5">
        <v>170</v>
      </c>
      <c r="S161" s="6">
        <f t="shared" si="117"/>
        <v>94.268697062122627</v>
      </c>
      <c r="T161" s="5">
        <v>1.3</v>
      </c>
      <c r="U161" s="5">
        <f t="shared" si="118"/>
        <v>486.8181818181817</v>
      </c>
      <c r="V161">
        <v>49</v>
      </c>
      <c r="Y161">
        <v>106</v>
      </c>
      <c r="Z161" s="3">
        <f t="shared" si="101"/>
        <v>0.21632653061224491</v>
      </c>
      <c r="AA161">
        <v>28</v>
      </c>
      <c r="AB161">
        <f t="shared" ref="AB161:AB225" si="119">ROUND(AA161*1.6, 0)</f>
        <v>45</v>
      </c>
      <c r="AD161">
        <v>1</v>
      </c>
      <c r="AE161">
        <v>9.25</v>
      </c>
      <c r="AF161">
        <v>9.25</v>
      </c>
      <c r="AI161" s="10">
        <v>0</v>
      </c>
      <c r="AJ161" t="str">
        <f>CONCATENATE(VLOOKUP(AK161, 'Voxel Sizes'!$A$2:$B$18,2,FALSE),"x",INT(AG161*15), "x", INT(AH161*15))</f>
        <v>82x0x0</v>
      </c>
      <c r="AK161">
        <f t="shared" si="102"/>
        <v>5</v>
      </c>
      <c r="AM161" t="str">
        <f>CONCATENATE(VLOOKUP(AK161,Constants!$A$2:$C$16,IF(AL161&lt;&gt;"", 3, 2), FALSE),IF(AL161&lt;&gt;"",CONCATENATE(",",VLOOKUP(AL161,$B:$AM,38,FALSE)),""))</f>
        <v>2,1,2</v>
      </c>
      <c r="AU161">
        <v>1</v>
      </c>
      <c r="AW161">
        <v>23</v>
      </c>
      <c r="AX161" s="15">
        <f t="shared" si="103"/>
        <v>32</v>
      </c>
      <c r="BA161">
        <f t="shared" si="104"/>
        <v>5.6000000000000005</v>
      </c>
      <c r="BB161">
        <f t="shared" si="105"/>
        <v>2.5</v>
      </c>
      <c r="BC161">
        <f t="shared" si="106"/>
        <v>5.3000000000000007</v>
      </c>
      <c r="BD161" s="3">
        <f t="shared" si="107"/>
        <v>0.94266666666666665</v>
      </c>
      <c r="BE161">
        <f t="shared" si="108"/>
        <v>0</v>
      </c>
      <c r="BF161">
        <f>VLOOKUP($G161,Constants!$I:$K, 2, FALSE)</f>
        <v>1.1499999999999999</v>
      </c>
      <c r="BG161">
        <f>VLOOKUP($G161,Constants!$I:$K, 3, FALSE)*IF(AND(F161="multiple_unit",AA161&lt;110),0.75,1)</f>
        <v>1.7</v>
      </c>
      <c r="BH161">
        <f>INT(POWER(((Constants!$G$2+$BA161+$BB161+$BC161+$BE161)*$BD161)*$BG161, 1.05))+$AZ161</f>
        <v>34</v>
      </c>
      <c r="BI161">
        <f>INT(POWER((((Constants!$G$1+$BA161+$BB161+$BC161+$BE161)*($BD161))*$BF161),IF($F161="wagon",1,1.2)))+$AY161</f>
        <v>61</v>
      </c>
      <c r="BJ161" s="14">
        <f t="shared" si="109"/>
        <v>26562.5</v>
      </c>
      <c r="BK161" s="14">
        <f t="shared" si="110"/>
        <v>4956.25</v>
      </c>
      <c r="BR161">
        <v>10</v>
      </c>
      <c r="BV161" t="str">
        <f>VLOOKUP(I161,Eras!$A$2:$C$10, 2, TRUE)</f>
        <v>big4</v>
      </c>
      <c r="BW161" t="s">
        <v>325</v>
      </c>
      <c r="BX161" t="str">
        <f t="shared" si="111"/>
        <v>big4_Cheap</v>
      </c>
      <c r="BY161" t="str">
        <f t="shared" si="112"/>
        <v>steam_RAIL</v>
      </c>
      <c r="BZ161" s="17" t="str" cm="1">
        <f t="array" ref="BZ161">_xlfn.CONCAT("{BLACK}Length: {GOLD}", TEXT(ROUNDUP(IF(AP161&lt;&gt;"",SUM(VALUE(_xlfn.TEXTSPLIT(AP161, ","))), SUM(VALUE(_xlfn.TEXTSPLIT(AM161, ",")))*IF(L161, L161, 1))/16, 1), "#,##0.0"), " tiles{}")</f>
        <v>{BLACK}Length: {GOLD}0.4 tiles{}</v>
      </c>
      <c r="CA161" t="str">
        <f>VLOOKUP($BY161, Constants!$M:$N, 2, FALSE)</f>
        <v>{BLACK}Powered by: {GOLD}Steam</v>
      </c>
      <c r="CB161" t="str">
        <f t="shared" si="116"/>
        <v/>
      </c>
      <c r="CC161" t="s">
        <v>477</v>
      </c>
      <c r="CD161" t="str">
        <f t="shared" si="113"/>
        <v/>
      </c>
      <c r="CE161" t="str">
        <f t="shared" si="98"/>
        <v>{BLACK}Powered by: {GOLD}Steam {}{BLACK}Length: {GOLD}0.4 tiles{}{SILVER}Hunslet's Austerity was designed for shunting duties. It's powerful for its size with good adhesion, but does not run well at higher speeds.</v>
      </c>
    </row>
    <row r="162" spans="1:83" x14ac:dyDescent="0.25">
      <c r="A162" t="s">
        <v>28</v>
      </c>
      <c r="B162" t="s">
        <v>479</v>
      </c>
      <c r="C162">
        <v>262</v>
      </c>
      <c r="D162">
        <v>66</v>
      </c>
      <c r="E162" t="s">
        <v>1508</v>
      </c>
      <c r="F162" t="s">
        <v>262</v>
      </c>
      <c r="G162" t="s">
        <v>271</v>
      </c>
      <c r="H162" t="s">
        <v>274</v>
      </c>
      <c r="I162">
        <v>1943</v>
      </c>
      <c r="J162">
        <v>1945</v>
      </c>
      <c r="K162">
        <v>1962</v>
      </c>
      <c r="M162">
        <v>1200</v>
      </c>
      <c r="O162" s="5">
        <v>19</v>
      </c>
      <c r="P162" s="5">
        <v>28</v>
      </c>
      <c r="Q162" s="5">
        <v>2</v>
      </c>
      <c r="R162" s="5">
        <v>225</v>
      </c>
      <c r="S162" s="6">
        <f t="shared" si="117"/>
        <v>212.58553112988881</v>
      </c>
      <c r="T162" s="5">
        <v>1.4</v>
      </c>
      <c r="U162" s="5">
        <f t="shared" si="118"/>
        <v>1743.4659090909092</v>
      </c>
      <c r="V162">
        <v>71.400000000000006</v>
      </c>
      <c r="W162" s="8">
        <v>56.4</v>
      </c>
      <c r="Y162">
        <v>152</v>
      </c>
      <c r="Z162" s="3">
        <f t="shared" si="101"/>
        <v>0.1189358372456964</v>
      </c>
      <c r="AA162">
        <v>68</v>
      </c>
      <c r="AB162">
        <f t="shared" si="119"/>
        <v>109</v>
      </c>
      <c r="AE162">
        <v>19.350000000000001</v>
      </c>
      <c r="AF162">
        <v>11.7</v>
      </c>
      <c r="AI162" s="10">
        <v>0</v>
      </c>
      <c r="AJ162" t="str">
        <f>CONCATENATE(VLOOKUP(AK162, 'Voxel Sizes'!$A$2:$B$18,2,FALSE),"x",INT(AG162*15), "x", INT(AH162*15))</f>
        <v>120x0x0</v>
      </c>
      <c r="AK162">
        <f t="shared" si="102"/>
        <v>7</v>
      </c>
      <c r="AL162" t="s">
        <v>481</v>
      </c>
      <c r="AM162" t="str">
        <f>CONCATENATE(VLOOKUP(AK162,Constants!$A$2:$C$16,IF(AL162&lt;&gt;"", 3, 2), FALSE),IF(AL162&lt;&gt;"",CONCATENATE(",",VLOOKUP(AL162,$B:$AM,38,FALSE)),""))</f>
        <v>2,3,2,1,2,1</v>
      </c>
      <c r="AU162">
        <v>1</v>
      </c>
      <c r="AW162">
        <v>26</v>
      </c>
      <c r="AX162" s="15">
        <f t="shared" si="103"/>
        <v>27</v>
      </c>
      <c r="BA162">
        <f t="shared" si="104"/>
        <v>13.6</v>
      </c>
      <c r="BB162">
        <f t="shared" si="105"/>
        <v>6</v>
      </c>
      <c r="BC162">
        <f t="shared" si="106"/>
        <v>7.6</v>
      </c>
      <c r="BD162" s="3">
        <f t="shared" si="107"/>
        <v>0.94266666666666665</v>
      </c>
      <c r="BE162">
        <f t="shared" si="108"/>
        <v>0</v>
      </c>
      <c r="BF162">
        <f>VLOOKUP($G162,Constants!$I:$K, 2, FALSE)</f>
        <v>1.1499999999999999</v>
      </c>
      <c r="BG162">
        <f>VLOOKUP($G162,Constants!$I:$K, 3, FALSE)*IF(AND(F162="multiple_unit",AA162&lt;110),0.75,1)</f>
        <v>1.7</v>
      </c>
      <c r="BH162">
        <f>INT(POWER(((Constants!$G$2+$BA162+$BB162+$BC162+$BE162)*$BD162)*$BG162, 1.05))+$AZ162</f>
        <v>62</v>
      </c>
      <c r="BI162">
        <f>INT(POWER((((Constants!$G$1+$BA162+$BB162+$BC162+$BE162)*($BD162))*$BF162),IF($F162="wagon",1,1.2)))+$AY162</f>
        <v>98</v>
      </c>
      <c r="BJ162" s="14">
        <f t="shared" si="109"/>
        <v>48437.5</v>
      </c>
      <c r="BK162" s="14">
        <f t="shared" si="110"/>
        <v>7962.5</v>
      </c>
      <c r="BR162">
        <v>11</v>
      </c>
      <c r="BV162" t="str">
        <f>VLOOKUP(I162,Eras!$A$2:$C$10, 2, TRUE)</f>
        <v>big4</v>
      </c>
      <c r="BW162" t="s">
        <v>328</v>
      </c>
      <c r="BX162" t="str">
        <f t="shared" si="111"/>
        <v>big4_Freight</v>
      </c>
      <c r="BY162" t="str">
        <f t="shared" si="112"/>
        <v>steam_RAIL</v>
      </c>
      <c r="BZ162" s="17" t="str" cm="1">
        <f t="array" ref="BZ162">_xlfn.CONCAT("{BLACK}Length: {GOLD}", TEXT(ROUNDUP(IF(AP162&lt;&gt;"",SUM(VALUE(_xlfn.TEXTSPLIT(AP162, ","))), SUM(VALUE(_xlfn.TEXTSPLIT(AM162, ",")))*IF(L162, L162, 1))/16, 1), "#,##0.0"), " tiles{}")</f>
        <v>{BLACK}Length: {GOLD}0.7 tiles{}</v>
      </c>
      <c r="CA162" t="str">
        <f>VLOOKUP($BY162, Constants!$M:$N, 2, FALSE)</f>
        <v>{BLACK}Powered by: {GOLD}Steam</v>
      </c>
      <c r="CB162" t="str">
        <f t="shared" si="116"/>
        <v/>
      </c>
      <c r="CC162" t="s">
        <v>478</v>
      </c>
      <c r="CD162" t="str">
        <f t="shared" si="113"/>
        <v/>
      </c>
      <c r="CE162" t="str">
        <f t="shared" si="98"/>
        <v>{BLACK}Powered by: {GOLD}Steam {}{BLACK}Length: {GOLD}0.7 tiles{}{SILVER}Robert Riddles adapted the LMS 8F for low cost and simple construction, resulting in this "austerity" freight locomotive.</v>
      </c>
    </row>
    <row r="163" spans="1:83" x14ac:dyDescent="0.25">
      <c r="A163" t="s">
        <v>484</v>
      </c>
      <c r="B163" t="s">
        <v>237</v>
      </c>
      <c r="C163">
        <v>264</v>
      </c>
      <c r="D163">
        <v>67</v>
      </c>
      <c r="E163" t="s">
        <v>1508</v>
      </c>
      <c r="F163" t="s">
        <v>262</v>
      </c>
      <c r="G163" t="s">
        <v>271</v>
      </c>
      <c r="H163" t="s">
        <v>274</v>
      </c>
      <c r="I163">
        <v>1944</v>
      </c>
      <c r="J163">
        <v>1950</v>
      </c>
      <c r="K163">
        <v>1965</v>
      </c>
      <c r="M163">
        <v>1700</v>
      </c>
      <c r="O163" s="5">
        <v>18.5</v>
      </c>
      <c r="P163" s="5">
        <v>30</v>
      </c>
      <c r="Q163" s="5">
        <v>2</v>
      </c>
      <c r="R163" s="5">
        <v>225</v>
      </c>
      <c r="S163" s="6">
        <f t="shared" si="117"/>
        <v>206.68037748739187</v>
      </c>
      <c r="T163" s="5">
        <v>1.8</v>
      </c>
      <c r="U163" s="5">
        <f t="shared" si="118"/>
        <v>1721.7832623106062</v>
      </c>
      <c r="V163">
        <v>77</v>
      </c>
      <c r="W163" s="8">
        <v>48</v>
      </c>
      <c r="Y163">
        <v>121</v>
      </c>
      <c r="Z163" s="3">
        <f t="shared" si="101"/>
        <v>9.6799999999999997E-2</v>
      </c>
      <c r="AA163">
        <v>85</v>
      </c>
      <c r="AB163">
        <f t="shared" si="119"/>
        <v>136</v>
      </c>
      <c r="AE163">
        <v>19.2</v>
      </c>
      <c r="AF163">
        <v>11.7</v>
      </c>
      <c r="AH163">
        <v>4.01</v>
      </c>
      <c r="AI163" s="10">
        <v>0</v>
      </c>
      <c r="AJ163" t="str">
        <f>CONCATENATE(VLOOKUP(AK163, 'Voxel Sizes'!$A$2:$B$18,2,FALSE),"x",INT(AG163*15), "x", INT(AH163*15))</f>
        <v>120x0x60</v>
      </c>
      <c r="AK163">
        <f t="shared" si="102"/>
        <v>7</v>
      </c>
      <c r="AL163" t="s">
        <v>420</v>
      </c>
      <c r="AM163" t="str">
        <f>CONCATENATE(VLOOKUP(AK163,Constants!$A$2:$C$16,IF(AL163&lt;&gt;"", 3, 2), FALSE),IF(AL163&lt;&gt;"",CONCATENATE(",",VLOOKUP(AL163,$B:$AM,38,FALSE)),""))</f>
        <v>2,3,2,2,1,2</v>
      </c>
      <c r="AT163" t="s">
        <v>431</v>
      </c>
      <c r="AU163">
        <v>1</v>
      </c>
      <c r="AW163">
        <v>31</v>
      </c>
      <c r="AX163" s="15">
        <f t="shared" si="103"/>
        <v>29</v>
      </c>
      <c r="BA163">
        <f t="shared" si="104"/>
        <v>17</v>
      </c>
      <c r="BB163">
        <f t="shared" si="105"/>
        <v>8.5</v>
      </c>
      <c r="BC163">
        <f t="shared" si="106"/>
        <v>6.05</v>
      </c>
      <c r="BD163" s="3">
        <f t="shared" si="107"/>
        <v>0.94133333333333336</v>
      </c>
      <c r="BE163">
        <f t="shared" si="108"/>
        <v>0</v>
      </c>
      <c r="BF163">
        <f>VLOOKUP($G163,Constants!$I:$K, 2, FALSE)</f>
        <v>1.1499999999999999</v>
      </c>
      <c r="BG163">
        <f>VLOOKUP($G163,Constants!$I:$K, 3, FALSE)*IF(AND(F163="multiple_unit",AA163&lt;110),0.75,1)</f>
        <v>1.7</v>
      </c>
      <c r="BH163">
        <f>INT(POWER(((Constants!$G$2+$BA163+$BB163+$BC163+$BE163)*$BD163)*$BG163, 1.05))+$AZ163</f>
        <v>71</v>
      </c>
      <c r="BI163">
        <f>INT(POWER((((Constants!$G$1+$BA163+$BB163+$BC163+$BE163)*($BD163))*$BF163),IF($F163="wagon",1,1.2)))+$AY163</f>
        <v>110</v>
      </c>
      <c r="BJ163" s="14">
        <f t="shared" si="109"/>
        <v>55468.75</v>
      </c>
      <c r="BK163" s="14">
        <f t="shared" si="110"/>
        <v>8937.5</v>
      </c>
      <c r="BR163">
        <v>12</v>
      </c>
      <c r="BV163" t="str">
        <f>VLOOKUP(I163,Eras!$A$2:$C$10, 2, TRUE)</f>
        <v>big4</v>
      </c>
      <c r="BW163" t="s">
        <v>326</v>
      </c>
      <c r="BX163" t="str">
        <f t="shared" si="111"/>
        <v>big4_Mixed Traffic</v>
      </c>
      <c r="BY163" t="str">
        <f t="shared" si="112"/>
        <v>steam_RAIL</v>
      </c>
      <c r="BZ163" s="17" t="str" cm="1">
        <f t="array" ref="BZ163">_xlfn.CONCAT("{BLACK}Length: {GOLD}", TEXT(ROUNDUP(IF(AP163&lt;&gt;"",SUM(VALUE(_xlfn.TEXTSPLIT(AP163, ","))), SUM(VALUE(_xlfn.TEXTSPLIT(AM163, ",")))*IF(L163, L163, 1))/16, 1), "#,##0.0"), " tiles{}")</f>
        <v>{BLACK}Length: {GOLD}0.8 tiles{}</v>
      </c>
      <c r="CA163" t="str">
        <f>VLOOKUP($BY163, Constants!$M:$N, 2, FALSE)</f>
        <v>{BLACK}Powered by: {GOLD}Steam</v>
      </c>
      <c r="CB163" t="str">
        <f t="shared" si="116"/>
        <v/>
      </c>
      <c r="CC163" t="s">
        <v>483</v>
      </c>
      <c r="CD163" t="str">
        <f t="shared" si="113"/>
        <v/>
      </c>
      <c r="CE163" t="str">
        <f t="shared" si="98"/>
        <v>{BLACK}Powered by: {GOLD}Steam {}{BLACK}Length: {GOLD}0.8 tiles{}{SILVER}While externally identical to the original Hall class, the Modified Hall was completely new on the inside with many design innovations.</v>
      </c>
    </row>
    <row r="164" spans="1:83" x14ac:dyDescent="0.25">
      <c r="A164" t="s">
        <v>485</v>
      </c>
      <c r="B164" t="s">
        <v>486</v>
      </c>
      <c r="C164">
        <v>266</v>
      </c>
      <c r="D164">
        <v>68</v>
      </c>
      <c r="E164" t="s">
        <v>1508</v>
      </c>
      <c r="F164" t="s">
        <v>262</v>
      </c>
      <c r="G164" t="s">
        <v>271</v>
      </c>
      <c r="H164" t="s">
        <v>274</v>
      </c>
      <c r="I164">
        <v>1945</v>
      </c>
      <c r="J164">
        <v>1947</v>
      </c>
      <c r="K164">
        <v>1964</v>
      </c>
      <c r="M164">
        <v>2200</v>
      </c>
      <c r="O164" s="5">
        <v>18.5</v>
      </c>
      <c r="P164" s="5">
        <v>30</v>
      </c>
      <c r="Q164" s="5">
        <v>2</v>
      </c>
      <c r="R164" s="5">
        <v>280</v>
      </c>
      <c r="S164" s="6">
        <f t="shared" si="117"/>
        <v>230.35583868563802</v>
      </c>
      <c r="T164" s="5">
        <v>1.9</v>
      </c>
      <c r="U164" s="5">
        <f t="shared" si="118"/>
        <v>2388.1080542264754</v>
      </c>
      <c r="V164">
        <v>78.099999999999994</v>
      </c>
      <c r="W164" s="8">
        <v>49.8</v>
      </c>
      <c r="Y164">
        <v>145</v>
      </c>
      <c r="Z164" s="3">
        <f t="shared" si="101"/>
        <v>0.11336982017200939</v>
      </c>
      <c r="AA164">
        <v>100</v>
      </c>
      <c r="AB164">
        <f t="shared" si="119"/>
        <v>160</v>
      </c>
      <c r="AE164">
        <v>19.21</v>
      </c>
      <c r="AF164">
        <v>11.7</v>
      </c>
      <c r="AH164">
        <v>4.08</v>
      </c>
      <c r="AI164" s="10">
        <v>0</v>
      </c>
      <c r="AJ164" t="str">
        <f>CONCATENATE(VLOOKUP(AK164, 'Voxel Sizes'!$A$2:$B$18,2,FALSE),"x",INT(AG164*15), "x", INT(AH164*15))</f>
        <v>120x0x61</v>
      </c>
      <c r="AK164">
        <f t="shared" si="102"/>
        <v>7</v>
      </c>
      <c r="AL164" t="s">
        <v>420</v>
      </c>
      <c r="AM164" t="str">
        <f>CONCATENATE(VLOOKUP(AK164,Constants!$A$2:$C$16,IF(AL164&lt;&gt;"", 3, 2), FALSE),IF(AL164&lt;&gt;"",CONCATENATE(",",VLOOKUP(AL164,$B:$AM,38,FALSE)),""))</f>
        <v>2,3,2,2,1,2</v>
      </c>
      <c r="AU164">
        <v>1</v>
      </c>
      <c r="AW164">
        <v>30</v>
      </c>
      <c r="AX164" s="15">
        <f t="shared" si="103"/>
        <v>27</v>
      </c>
      <c r="BA164">
        <f t="shared" si="104"/>
        <v>20</v>
      </c>
      <c r="BB164">
        <f t="shared" si="105"/>
        <v>11</v>
      </c>
      <c r="BC164">
        <f t="shared" si="106"/>
        <v>7.25</v>
      </c>
      <c r="BD164" s="3">
        <f t="shared" si="107"/>
        <v>0.94</v>
      </c>
      <c r="BE164">
        <f t="shared" si="108"/>
        <v>0</v>
      </c>
      <c r="BF164">
        <f>VLOOKUP($G164,Constants!$I:$K, 2, FALSE)</f>
        <v>1.1499999999999999</v>
      </c>
      <c r="BG164">
        <f>VLOOKUP($G164,Constants!$I:$K, 3, FALSE)*IF(AND(F164="multiple_unit",AA164&lt;110),0.75,1)</f>
        <v>1.7</v>
      </c>
      <c r="BH164">
        <f>INT(POWER(((Constants!$G$2+$BA164+$BB164+$BC164+$BE164)*$BD164)*$BG164, 1.05))+$AZ164</f>
        <v>85</v>
      </c>
      <c r="BI164">
        <f>INT(POWER((((Constants!$G$1+$BA164+$BB164+$BC164+$BE164)*($BD164))*$BF164),IF($F164="wagon",1,1.2)))+$AY164</f>
        <v>129</v>
      </c>
      <c r="BJ164" s="14">
        <f t="shared" si="109"/>
        <v>66406.25</v>
      </c>
      <c r="BK164" s="14">
        <f t="shared" si="110"/>
        <v>10481.25</v>
      </c>
      <c r="BR164">
        <v>1</v>
      </c>
      <c r="BV164" t="str">
        <f>VLOOKUP(I164,Eras!$A$2:$C$10, 2, TRUE)</f>
        <v>big4</v>
      </c>
      <c r="BW164" t="s">
        <v>327</v>
      </c>
      <c r="BX164" t="str">
        <f t="shared" si="111"/>
        <v>big4_Express</v>
      </c>
      <c r="BY164" t="str">
        <f t="shared" si="112"/>
        <v>steam_RAIL</v>
      </c>
      <c r="BZ164" s="17" t="str" cm="1">
        <f t="array" ref="BZ164">_xlfn.CONCAT("{BLACK}Length: {GOLD}", TEXT(ROUNDUP(IF(AP164&lt;&gt;"",SUM(VALUE(_xlfn.TEXTSPLIT(AP164, ","))), SUM(VALUE(_xlfn.TEXTSPLIT(AM164, ",")))*IF(L164, L164, 1))/16, 1), "#,##0.0"), " tiles{}")</f>
        <v>{BLACK}Length: {GOLD}0.8 tiles{}</v>
      </c>
      <c r="CA164" t="str">
        <f>VLOOKUP($BY164, Constants!$M:$N, 2, FALSE)</f>
        <v>{BLACK}Powered by: {GOLD}Steam</v>
      </c>
      <c r="CB164" t="str">
        <f t="shared" si="116"/>
        <v/>
      </c>
      <c r="CC164" t="s">
        <v>487</v>
      </c>
      <c r="CD164" t="str">
        <f t="shared" si="113"/>
        <v/>
      </c>
      <c r="CE164" t="str">
        <f t="shared" si="98"/>
        <v>{BLACK}Powered by: {GOLD}Steam {}{BLACK}Length: {GOLD}0.8 tiles{}{SILVER}The County Class was  Frederick Hawksworth's test of design ideas for a new Pacific. Sadly there was not enough demand for express steam locomotives in the late 1940s.</v>
      </c>
    </row>
    <row r="165" spans="1:83" x14ac:dyDescent="0.25">
      <c r="A165" t="s">
        <v>27</v>
      </c>
      <c r="B165" t="s">
        <v>489</v>
      </c>
      <c r="C165">
        <v>268</v>
      </c>
      <c r="D165">
        <v>69</v>
      </c>
      <c r="E165" t="s">
        <v>1508</v>
      </c>
      <c r="F165" t="s">
        <v>262</v>
      </c>
      <c r="G165" t="s">
        <v>271</v>
      </c>
      <c r="H165" t="s">
        <v>274</v>
      </c>
      <c r="I165">
        <v>1945</v>
      </c>
      <c r="J165">
        <v>1951</v>
      </c>
      <c r="K165">
        <v>1967</v>
      </c>
      <c r="M165">
        <v>1800</v>
      </c>
      <c r="O165" s="5">
        <v>16.375</v>
      </c>
      <c r="P165" s="5">
        <v>24</v>
      </c>
      <c r="Q165" s="5">
        <v>3</v>
      </c>
      <c r="R165" s="5">
        <v>280</v>
      </c>
      <c r="S165" s="6">
        <f t="shared" si="117"/>
        <v>234.96295545935078</v>
      </c>
      <c r="T165" s="5">
        <v>1.9</v>
      </c>
      <c r="U165" s="5">
        <f t="shared" si="118"/>
        <v>2290.1005532296649</v>
      </c>
      <c r="V165">
        <v>87.4</v>
      </c>
      <c r="W165" s="8">
        <v>48</v>
      </c>
      <c r="Y165">
        <v>138</v>
      </c>
      <c r="Z165" s="3">
        <f t="shared" si="101"/>
        <v>0.10192023633677991</v>
      </c>
      <c r="AA165">
        <v>102</v>
      </c>
      <c r="AB165">
        <f t="shared" si="119"/>
        <v>163</v>
      </c>
      <c r="AE165">
        <v>20.54</v>
      </c>
      <c r="AF165">
        <v>13</v>
      </c>
      <c r="AI165" s="10">
        <v>0</v>
      </c>
      <c r="AJ165" t="str">
        <f>CONCATENATE(VLOOKUP(AK165, 'Voxel Sizes'!$A$2:$B$18,2,FALSE),"x",INT(AG165*15), "x", INT(AH165*15))</f>
        <v>136x0x0</v>
      </c>
      <c r="AK165">
        <f t="shared" si="102"/>
        <v>8</v>
      </c>
      <c r="AL165" t="s">
        <v>468</v>
      </c>
      <c r="AM165" t="str">
        <f>CONCATENATE(VLOOKUP(AK165,Constants!$A$2:$C$16,IF(AL165&lt;&gt;"", 3, 2), FALSE),IF(AL165&lt;&gt;"",CONCATENATE(",",VLOOKUP(AL165,$B:$AM,38,FALSE)),""))</f>
        <v>2,4,2,2,1,2</v>
      </c>
      <c r="AU165">
        <v>1</v>
      </c>
      <c r="AW165">
        <v>30</v>
      </c>
      <c r="AX165" s="15">
        <f t="shared" si="103"/>
        <v>30</v>
      </c>
      <c r="BA165">
        <f t="shared" si="104"/>
        <v>20.400000000000002</v>
      </c>
      <c r="BB165">
        <f t="shared" si="105"/>
        <v>9</v>
      </c>
      <c r="BC165">
        <f t="shared" si="106"/>
        <v>6.8999999999999995</v>
      </c>
      <c r="BD165" s="3">
        <f t="shared" si="107"/>
        <v>0.94</v>
      </c>
      <c r="BE165">
        <f t="shared" si="108"/>
        <v>0</v>
      </c>
      <c r="BF165">
        <f>VLOOKUP($G165,Constants!$I:$K, 2, FALSE)</f>
        <v>1.1499999999999999</v>
      </c>
      <c r="BG165">
        <f>VLOOKUP($G165,Constants!$I:$K, 3, FALSE)*IF(AND(F165="multiple_unit",AA165&lt;110),0.75,1)</f>
        <v>1.7</v>
      </c>
      <c r="BH165">
        <f>INT(POWER(((Constants!$G$2+$BA165+$BB165+$BC165+$BE165)*$BD165)*$BG165, 1.05))+$AZ165</f>
        <v>81</v>
      </c>
      <c r="BI165">
        <f>INT(POWER((((Constants!$G$1+$BA165+$BB165+$BC165+$BE165)*($BD165))*$BF165),IF($F165="wagon",1,1.2)))+$AY165</f>
        <v>123</v>
      </c>
      <c r="BJ165" s="14">
        <f t="shared" si="109"/>
        <v>63281.25</v>
      </c>
      <c r="BK165" s="14">
        <f t="shared" si="110"/>
        <v>9993.75</v>
      </c>
      <c r="BR165">
        <v>2</v>
      </c>
      <c r="BV165" t="str">
        <f>VLOOKUP(I165,Eras!$A$2:$C$10, 2, TRUE)</f>
        <v>big4</v>
      </c>
      <c r="BW165" t="s">
        <v>326</v>
      </c>
      <c r="BX165" t="str">
        <f t="shared" si="111"/>
        <v>big4_Mixed Traffic</v>
      </c>
      <c r="BY165" t="str">
        <f t="shared" si="112"/>
        <v>steam_RAIL</v>
      </c>
      <c r="BZ165" s="17" t="str" cm="1">
        <f t="array" ref="BZ165">_xlfn.CONCAT("{BLACK}Length: {GOLD}", TEXT(ROUNDUP(IF(AP165&lt;&gt;"",SUM(VALUE(_xlfn.TEXTSPLIT(AP165, ","))), SUM(VALUE(_xlfn.TEXTSPLIT(AM165, ",")))*IF(L165, L165, 1))/16, 1), "#,##0.0"), " tiles{}")</f>
        <v>{BLACK}Length: {GOLD}0.9 tiles{}</v>
      </c>
      <c r="CA165" t="str">
        <f>VLOOKUP($BY165, Constants!$M:$N, 2, FALSE)</f>
        <v>{BLACK}Powered by: {GOLD}Steam</v>
      </c>
      <c r="CB165" t="str">
        <f t="shared" si="116"/>
        <v/>
      </c>
      <c r="CC165" t="s">
        <v>488</v>
      </c>
      <c r="CD165" t="str">
        <f t="shared" si="113"/>
        <v/>
      </c>
      <c r="CE165" t="str">
        <f t="shared" si="98"/>
        <v>{BLACK}Powered by: {GOLD}Steam {}{BLACK}Length: {GOLD}0.9 tiles{}{SILVER}Bulleid's "Light Pacific" is a smaller and lighter version of the Merchant Navy, capable of operating on more routes.</v>
      </c>
    </row>
    <row r="166" spans="1:83" x14ac:dyDescent="0.25">
      <c r="A166" t="s">
        <v>30</v>
      </c>
      <c r="B166" t="s">
        <v>491</v>
      </c>
      <c r="C166">
        <v>270</v>
      </c>
      <c r="D166">
        <v>70</v>
      </c>
      <c r="E166" t="s">
        <v>1508</v>
      </c>
      <c r="F166" t="s">
        <v>262</v>
      </c>
      <c r="G166" t="s">
        <v>271</v>
      </c>
      <c r="H166" t="s">
        <v>274</v>
      </c>
      <c r="I166">
        <v>1946</v>
      </c>
      <c r="J166">
        <v>1949</v>
      </c>
      <c r="K166">
        <v>1951</v>
      </c>
      <c r="M166">
        <v>1800</v>
      </c>
      <c r="O166" s="5">
        <v>12.25</v>
      </c>
      <c r="P166" s="5">
        <v>15</v>
      </c>
      <c r="Q166" s="5">
        <v>6</v>
      </c>
      <c r="R166" s="5">
        <v>280</v>
      </c>
      <c r="S166" s="6">
        <f t="shared" si="117"/>
        <v>262.60565610162729</v>
      </c>
      <c r="T166" s="5">
        <v>1.5</v>
      </c>
      <c r="U166" s="5">
        <f t="shared" si="118"/>
        <v>1790.518465909091</v>
      </c>
      <c r="V166">
        <v>152</v>
      </c>
      <c r="Y166">
        <v>117</v>
      </c>
      <c r="Z166" s="3">
        <f t="shared" si="101"/>
        <v>7.6973684210526319E-2</v>
      </c>
      <c r="AA166">
        <v>90</v>
      </c>
      <c r="AB166">
        <f t="shared" si="119"/>
        <v>144</v>
      </c>
      <c r="AD166">
        <v>1</v>
      </c>
      <c r="AE166">
        <v>20.420000000000002</v>
      </c>
      <c r="AF166">
        <v>20.420000000000002</v>
      </c>
      <c r="AI166" s="10">
        <v>0</v>
      </c>
      <c r="AJ166" t="str">
        <f>CONCATENATE(VLOOKUP(AK166, 'Voxel Sizes'!$A$2:$B$18,2,FALSE),"x",INT(AG166*15), "x", INT(AH166*15))</f>
        <v>198x0x0</v>
      </c>
      <c r="AK166">
        <f t="shared" si="102"/>
        <v>12</v>
      </c>
      <c r="AM166" t="str">
        <f>CONCATENATE(VLOOKUP(AK166,Constants!$A$2:$C$16,IF(AL166&lt;&gt;"", 3, 2), FALSE),IF(AL166&lt;&gt;"",CONCATENATE(",",VLOOKUP(AL166,$B:$AM,38,FALSE)),""))</f>
        <v>4,4,4</v>
      </c>
      <c r="AW166">
        <v>19</v>
      </c>
      <c r="AX166" s="15">
        <f t="shared" si="103"/>
        <v>16</v>
      </c>
      <c r="BA166">
        <f t="shared" si="104"/>
        <v>18</v>
      </c>
      <c r="BB166">
        <f t="shared" si="105"/>
        <v>9</v>
      </c>
      <c r="BC166">
        <f t="shared" si="106"/>
        <v>5.85</v>
      </c>
      <c r="BD166" s="3">
        <f t="shared" si="107"/>
        <v>0.93866666666666665</v>
      </c>
      <c r="BE166">
        <f t="shared" si="108"/>
        <v>0</v>
      </c>
      <c r="BF166">
        <f>VLOOKUP($G166,Constants!$I:$K, 2, FALSE)</f>
        <v>1.1499999999999999</v>
      </c>
      <c r="BG166">
        <f>VLOOKUP($G166,Constants!$I:$K, 3, FALSE)*IF(AND(F166="multiple_unit",AA166&lt;110),0.75,1)</f>
        <v>1.7</v>
      </c>
      <c r="BH166">
        <f>INT(POWER(((Constants!$G$2+$BA166+$BB166+$BC166+$BE166)*$BD166)*$BG166, 1.05))+$AZ166</f>
        <v>74</v>
      </c>
      <c r="BI166">
        <f>INT(POWER((((Constants!$G$1+$BA166+$BB166+$BC166+$BE166)*($BD166))*$BF166),IF($F166="wagon",1,1.2)))+$AY166</f>
        <v>113</v>
      </c>
      <c r="BJ166" s="14">
        <f t="shared" si="109"/>
        <v>57812.5</v>
      </c>
      <c r="BK166" s="14">
        <f t="shared" si="110"/>
        <v>9181.25</v>
      </c>
      <c r="BR166">
        <v>3</v>
      </c>
      <c r="BV166" t="str">
        <f>VLOOKUP(I166,Eras!$A$2:$C$10, 2, TRUE)</f>
        <v>big4</v>
      </c>
      <c r="BW166" t="s">
        <v>326</v>
      </c>
      <c r="BX166" t="str">
        <f t="shared" si="111"/>
        <v>big4_Mixed Traffic</v>
      </c>
      <c r="BY166" t="str">
        <f t="shared" si="112"/>
        <v>steam_RAIL</v>
      </c>
      <c r="BZ166" s="17" t="str" cm="1">
        <f t="array" ref="BZ166">_xlfn.CONCAT("{BLACK}Length: {GOLD}", TEXT(ROUNDUP(IF(AP166&lt;&gt;"",SUM(VALUE(_xlfn.TEXTSPLIT(AP166, ","))), SUM(VALUE(_xlfn.TEXTSPLIT(AM166, ",")))*IF(L166, L166, 1))/16, 1), "#,##0.0"), " tiles{}")</f>
        <v>{BLACK}Length: {GOLD}0.8 tiles{}</v>
      </c>
      <c r="CA166" t="str">
        <f>VLOOKUP($BY166, Constants!$M:$N, 2, FALSE)</f>
        <v>{BLACK}Powered by: {GOLD}Steam</v>
      </c>
      <c r="CB166" t="str">
        <f t="shared" si="116"/>
        <v/>
      </c>
      <c r="CC166" t="s">
        <v>490</v>
      </c>
      <c r="CD166" t="str">
        <f t="shared" si="113"/>
        <v/>
      </c>
      <c r="CE166" t="str">
        <f t="shared" si="98"/>
        <v>{BLACK}Powered by: {GOLD}Steam {}{BLACK}Length: {GOLD}0.8 tiles{}{SILVER}The Leader was an attempt to make a steam locomotive as easy to operate as a diesel or electric. Complexity, poor reliability and uncomfortably hot cabs caused the project to be scrapped by 1951.</v>
      </c>
    </row>
    <row r="167" spans="1:83" x14ac:dyDescent="0.25">
      <c r="A167" t="s">
        <v>492</v>
      </c>
      <c r="B167" t="s">
        <v>493</v>
      </c>
      <c r="C167">
        <v>272</v>
      </c>
      <c r="D167">
        <v>71</v>
      </c>
      <c r="E167" t="s">
        <v>1508</v>
      </c>
      <c r="F167" t="s">
        <v>262</v>
      </c>
      <c r="G167" t="s">
        <v>271</v>
      </c>
      <c r="H167" t="s">
        <v>274</v>
      </c>
      <c r="I167">
        <v>1946</v>
      </c>
      <c r="J167">
        <v>1953</v>
      </c>
      <c r="K167">
        <v>1967</v>
      </c>
      <c r="M167">
        <v>1000</v>
      </c>
      <c r="O167" s="5">
        <v>16</v>
      </c>
      <c r="P167" s="5">
        <v>24</v>
      </c>
      <c r="Q167" s="5">
        <v>2</v>
      </c>
      <c r="R167" s="5">
        <v>200</v>
      </c>
      <c r="S167" s="6">
        <f t="shared" si="117"/>
        <v>233.42724986811314</v>
      </c>
      <c r="T167" s="5">
        <v>1.5</v>
      </c>
      <c r="U167" s="5">
        <f t="shared" si="118"/>
        <v>1034.3434343434342</v>
      </c>
      <c r="V167">
        <v>47.9</v>
      </c>
      <c r="W167" s="8">
        <v>37.700000000000003</v>
      </c>
      <c r="Y167">
        <v>77</v>
      </c>
      <c r="Z167" s="3">
        <f t="shared" si="101"/>
        <v>8.9953271028037379E-2</v>
      </c>
      <c r="AA167">
        <v>80</v>
      </c>
      <c r="AB167">
        <f t="shared" si="119"/>
        <v>128</v>
      </c>
      <c r="AE167">
        <v>16.2</v>
      </c>
      <c r="AF167">
        <f>AE167-6</f>
        <v>10.199999999999999</v>
      </c>
      <c r="AI167" s="10">
        <v>0</v>
      </c>
      <c r="AJ167" t="str">
        <f>CONCATENATE(VLOOKUP(AK167, 'Voxel Sizes'!$A$2:$B$18,2,FALSE),"x",INT(AG167*15), "x", INT(AH167*15))</f>
        <v>102x0x0</v>
      </c>
      <c r="AK167">
        <f t="shared" si="102"/>
        <v>6</v>
      </c>
      <c r="AL167" t="s">
        <v>494</v>
      </c>
      <c r="AM167" t="str">
        <f>CONCATENATE(VLOOKUP(AK167,Constants!$A$2:$C$16,IF(AL167&lt;&gt;"", 3, 2), FALSE),IF(AL167&lt;&gt;"",CONCATENATE(",",VLOOKUP(AL167,$B:$AM,38,FALSE)),""))</f>
        <v>2,2,2,1,2,1</v>
      </c>
      <c r="AU167">
        <v>1</v>
      </c>
      <c r="AW167">
        <v>30</v>
      </c>
      <c r="AX167" s="15">
        <f t="shared" si="103"/>
        <v>29</v>
      </c>
      <c r="BA167">
        <f t="shared" si="104"/>
        <v>16</v>
      </c>
      <c r="BB167">
        <f t="shared" si="105"/>
        <v>5</v>
      </c>
      <c r="BC167">
        <f t="shared" si="106"/>
        <v>3.85</v>
      </c>
      <c r="BD167" s="3">
        <f t="shared" si="107"/>
        <v>0.93866666666666665</v>
      </c>
      <c r="BE167">
        <f t="shared" si="108"/>
        <v>0</v>
      </c>
      <c r="BF167">
        <f>VLOOKUP($G167,Constants!$I:$K, 2, FALSE)</f>
        <v>1.1499999999999999</v>
      </c>
      <c r="BG167">
        <f>VLOOKUP($G167,Constants!$I:$K, 3, FALSE)*IF(AND(F167="multiple_unit",AA167&lt;110),0.75,1)</f>
        <v>1.7</v>
      </c>
      <c r="BH167">
        <f>INT(POWER(((Constants!$G$2+$BA167+$BB167+$BC167+$BE167)*$BD167)*$BG167, 1.05))+$AZ167</f>
        <v>57</v>
      </c>
      <c r="BI167">
        <f>INT(POWER((((Constants!$G$1+$BA167+$BB167+$BC167+$BE167)*($BD167))*$BF167),IF($F167="wagon",1,1.2)))+$AY167</f>
        <v>91</v>
      </c>
      <c r="BJ167" s="14">
        <f t="shared" si="109"/>
        <v>44531.25</v>
      </c>
      <c r="BK167" s="14">
        <f t="shared" si="110"/>
        <v>7393.75</v>
      </c>
      <c r="BR167">
        <v>4</v>
      </c>
      <c r="BV167" t="str">
        <f>VLOOKUP(I167,Eras!$A$2:$C$10, 2, TRUE)</f>
        <v>big4</v>
      </c>
      <c r="BW167" t="s">
        <v>325</v>
      </c>
      <c r="BX167" t="str">
        <f t="shared" si="111"/>
        <v>big4_Cheap</v>
      </c>
      <c r="BY167" t="str">
        <f t="shared" si="112"/>
        <v>steam_RAIL</v>
      </c>
      <c r="BZ167" s="17" t="str" cm="1">
        <f t="array" ref="BZ167">_xlfn.CONCAT("{BLACK}Length: {GOLD}", TEXT(ROUNDUP(IF(AP167&lt;&gt;"",SUM(VALUE(_xlfn.TEXTSPLIT(AP167, ","))), SUM(VALUE(_xlfn.TEXTSPLIT(AM167, ",")))*IF(L167, L167, 1))/16, 1), "#,##0.0"), " tiles{}")</f>
        <v>{BLACK}Length: {GOLD}0.7 tiles{}</v>
      </c>
      <c r="CA167" t="str">
        <f>VLOOKUP($BY167, Constants!$M:$N, 2, FALSE)</f>
        <v>{BLACK}Powered by: {GOLD}Steam</v>
      </c>
      <c r="CB167" t="str">
        <f t="shared" si="116"/>
        <v/>
      </c>
      <c r="CC167" t="s">
        <v>496</v>
      </c>
      <c r="CD167" t="str">
        <f t="shared" si="113"/>
        <v/>
      </c>
      <c r="CE167" t="str">
        <f t="shared" si="98"/>
        <v>{BLACK}Powered by: {GOLD}Steam {}{BLACK}Length: {GOLD}0.7 tiles{}{SILVER}The Ivatt Class 2 is a light, low-powered Mogul designed to replace the LMS fleet of 0-6-0 engines.</v>
      </c>
    </row>
    <row r="168" spans="1:83" x14ac:dyDescent="0.25">
      <c r="A168" t="s">
        <v>58</v>
      </c>
      <c r="B168" t="s">
        <v>165</v>
      </c>
      <c r="C168">
        <v>274</v>
      </c>
      <c r="D168">
        <v>72</v>
      </c>
      <c r="E168" t="s">
        <v>1508</v>
      </c>
      <c r="F168" t="s">
        <v>262</v>
      </c>
      <c r="G168" t="s">
        <v>272</v>
      </c>
      <c r="H168" t="s">
        <v>274</v>
      </c>
      <c r="I168">
        <v>1947</v>
      </c>
      <c r="J168">
        <v>1948</v>
      </c>
      <c r="K168">
        <v>1966</v>
      </c>
      <c r="M168">
        <v>1600</v>
      </c>
      <c r="V168">
        <v>129.69999999999999</v>
      </c>
      <c r="Y168">
        <v>184</v>
      </c>
      <c r="Z168" s="3">
        <f t="shared" si="101"/>
        <v>0.14186584425597532</v>
      </c>
      <c r="AA168">
        <v>93</v>
      </c>
      <c r="AB168">
        <f t="shared" si="119"/>
        <v>149</v>
      </c>
      <c r="AE168">
        <v>18.64</v>
      </c>
      <c r="AF168">
        <v>18.64</v>
      </c>
      <c r="AH168">
        <v>3.95</v>
      </c>
      <c r="AI168" s="10">
        <v>0</v>
      </c>
      <c r="AJ168" t="str">
        <f>CONCATENATE(VLOOKUP(AK168, 'Voxel Sizes'!$A$2:$B$18,2,FALSE),"x",INT(AG168*15), "x", INT(AH168*15))</f>
        <v>186x0x59</v>
      </c>
      <c r="AK168">
        <f t="shared" si="102"/>
        <v>11</v>
      </c>
      <c r="AM168" t="str">
        <f>CONCATENATE(VLOOKUP(AK168,Constants!$A$2:$C$16,IF(AL168&lt;&gt;"", 3, 2), FALSE),IF(AL168&lt;&gt;"",CONCATENATE(",",VLOOKUP(AL168,$B:$AM,38,FALSE)),""))</f>
        <v>4,3,4</v>
      </c>
      <c r="AW168">
        <v>26</v>
      </c>
      <c r="AX168" s="15">
        <f t="shared" si="103"/>
        <v>27</v>
      </c>
      <c r="BA168">
        <f t="shared" si="104"/>
        <v>18.600000000000001</v>
      </c>
      <c r="BB168">
        <f t="shared" si="105"/>
        <v>8</v>
      </c>
      <c r="BC168">
        <f t="shared" si="106"/>
        <v>9.2000000000000011</v>
      </c>
      <c r="BD168" s="3">
        <f t="shared" si="107"/>
        <v>0.93733333333333335</v>
      </c>
      <c r="BE168">
        <f t="shared" si="108"/>
        <v>0</v>
      </c>
      <c r="BF168">
        <f>VLOOKUP($G168,Constants!$I:$K, 2, FALSE)</f>
        <v>1</v>
      </c>
      <c r="BG168">
        <f>VLOOKUP($G168,Constants!$I:$K, 3, FALSE)*IF(AND(F168="multiple_unit",AA168&lt;110),0.75,1)</f>
        <v>2</v>
      </c>
      <c r="BH168">
        <f>INT(POWER(((Constants!$G$2+$BA168+$BB168+$BC168+$BE168)*$BD168)*$BG168, 1.05))+$AZ168</f>
        <v>95</v>
      </c>
      <c r="BI168">
        <f>INT(POWER((((Constants!$G$1+$BA168+$BB168+$BC168+$BE168)*($BD168))*$BF168),IF($F168="wagon",1,1.2)))+$AY168</f>
        <v>103</v>
      </c>
      <c r="BJ168" s="14">
        <f t="shared" si="109"/>
        <v>74218.75</v>
      </c>
      <c r="BK168" s="14">
        <f t="shared" si="110"/>
        <v>8368.75</v>
      </c>
      <c r="BR168">
        <v>5</v>
      </c>
      <c r="BV168" t="str">
        <f>VLOOKUP(I168,Eras!$A$2:$C$10, 2, TRUE)</f>
        <v>big4</v>
      </c>
      <c r="BW168" t="s">
        <v>326</v>
      </c>
      <c r="BX168" t="str">
        <f t="shared" si="111"/>
        <v>big4_Mixed Traffic</v>
      </c>
      <c r="BY168" t="str">
        <f t="shared" si="112"/>
        <v>diesel_RAIL</v>
      </c>
      <c r="BZ168" s="17" t="str" cm="1">
        <f t="array" ref="BZ168">_xlfn.CONCAT("{BLACK}Length: {GOLD}", TEXT(ROUNDUP(IF(AP168&lt;&gt;"",SUM(VALUE(_xlfn.TEXTSPLIT(AP168, ","))), SUM(VALUE(_xlfn.TEXTSPLIT(AM168, ",")))*IF(L168, L168, 1))/16, 1), "#,##0.0"), " tiles{}")</f>
        <v>{BLACK}Length: {GOLD}0.7 tiles{}</v>
      </c>
      <c r="CA168" t="str">
        <f>VLOOKUP($BY168, Constants!$M:$N, 2, FALSE)</f>
        <v>{BLACK}Powered by: {GOLD}Diesel</v>
      </c>
      <c r="CB168" t="str">
        <f t="shared" si="116"/>
        <v/>
      </c>
      <c r="CC168" t="s">
        <v>497</v>
      </c>
      <c r="CD168" t="str">
        <f t="shared" ref="CD168:CD203" si="120">IF(BU168="BRAKE","{YELLOW}Speed bonus for slow wagons{}",IF(BS168&gt;190,CONCATENATE("{YELLOW}",INT((BS168-185)/1.85),"% Bonus for long distance travel{}"),IF(AND(BS168&lt;180,BS168&lt;&gt;0),CONCATENATE("{YELLOW}",INT((185-BS168)/1.85),"% Penalty for long distance travel{}"),"")))</f>
        <v/>
      </c>
      <c r="CE168" t="str">
        <f t="shared" si="98"/>
        <v>{BLACK}Powered by: {GOLD}Diesel {}{BLACK}Length: {GOLD}0.7 tiles{}{SILVER}The EE 10000 is the first mainline diesel locomotive built in the UK. Two were built for the LMS.</v>
      </c>
    </row>
    <row r="169" spans="1:83" x14ac:dyDescent="0.25">
      <c r="A169" t="s">
        <v>15</v>
      </c>
      <c r="B169" t="s">
        <v>499</v>
      </c>
      <c r="C169">
        <v>276</v>
      </c>
      <c r="D169">
        <v>73</v>
      </c>
      <c r="E169" t="s">
        <v>1508</v>
      </c>
      <c r="F169" t="s">
        <v>262</v>
      </c>
      <c r="G169" t="s">
        <v>271</v>
      </c>
      <c r="H169" t="s">
        <v>274</v>
      </c>
      <c r="I169">
        <v>1948</v>
      </c>
      <c r="J169">
        <v>1949</v>
      </c>
      <c r="K169">
        <v>1966</v>
      </c>
      <c r="M169">
        <v>2700</v>
      </c>
      <c r="O169" s="5">
        <v>19</v>
      </c>
      <c r="P169" s="5">
        <v>26</v>
      </c>
      <c r="Q169" s="5">
        <v>3</v>
      </c>
      <c r="R169" s="5">
        <v>250</v>
      </c>
      <c r="S169" s="6">
        <f>((($AA169/2)/60)*5280)/($T169*3.2*PI())</f>
        <v>215.60398694714888</v>
      </c>
      <c r="T169" s="5">
        <v>2.0299999999999998</v>
      </c>
      <c r="U169" s="5">
        <f>((($O169*$O169/4)*PI())*($P169/12)*$Q169*$R169*$S169)/(33000*1.1)</f>
        <v>2736.5325048514705</v>
      </c>
      <c r="V169">
        <v>106.9</v>
      </c>
      <c r="W169" s="8">
        <v>61.9</v>
      </c>
      <c r="Y169">
        <v>166</v>
      </c>
      <c r="Z169" s="3">
        <f t="shared" si="101"/>
        <v>9.8341232227488154E-2</v>
      </c>
      <c r="AA169">
        <v>100</v>
      </c>
      <c r="AB169">
        <f t="shared" si="119"/>
        <v>160</v>
      </c>
      <c r="AE169">
        <v>22.24</v>
      </c>
      <c r="AF169">
        <f>AE169-7.5</f>
        <v>14.739999999999998</v>
      </c>
      <c r="AH169">
        <v>3.99</v>
      </c>
      <c r="AI169" s="10">
        <v>0</v>
      </c>
      <c r="AJ169" t="str">
        <f>CONCATENATE(VLOOKUP(AK169, 'Voxel Sizes'!$A$2:$B$18,2,FALSE),"x",INT(AG169*15), "x", INT(AH169*15))</f>
        <v>152x0x59</v>
      </c>
      <c r="AK169">
        <f t="shared" si="102"/>
        <v>9</v>
      </c>
      <c r="AL169" t="s">
        <v>435</v>
      </c>
      <c r="AM169" t="str">
        <f>CONCATENATE(VLOOKUP(AK169,Constants!$A$2:$C$16,IF(AL169&lt;&gt;"", 3, 2), FALSE),IF(AL169&lt;&gt;"",CONCATENATE(",",VLOOKUP(AL169,$B:$AM,38,FALSE)),""))</f>
        <v>2,5,2,2,1,2</v>
      </c>
      <c r="AU169">
        <v>1</v>
      </c>
      <c r="AW169">
        <v>32</v>
      </c>
      <c r="AX169" s="15">
        <f t="shared" si="103"/>
        <v>26</v>
      </c>
      <c r="BA169">
        <f t="shared" si="104"/>
        <v>20</v>
      </c>
      <c r="BB169">
        <f t="shared" si="105"/>
        <v>13.5</v>
      </c>
      <c r="BC169">
        <f t="shared" si="106"/>
        <v>8.2999999999999989</v>
      </c>
      <c r="BD169" s="3">
        <f t="shared" si="107"/>
        <v>0.93599999999999994</v>
      </c>
      <c r="BE169">
        <f t="shared" si="108"/>
        <v>0</v>
      </c>
      <c r="BF169">
        <f>VLOOKUP($G169,Constants!$I:$K, 2, FALSE)</f>
        <v>1.1499999999999999</v>
      </c>
      <c r="BG169">
        <f>VLOOKUP($G169,Constants!$I:$K, 3, FALSE)*IF(AND(F169="multiple_unit",AA169&lt;110),0.75,1)</f>
        <v>1.7</v>
      </c>
      <c r="BH169">
        <f>INT(POWER(((Constants!$G$2+$BA169+$BB169+$BC169+$BE169)*$BD169)*$BG169, 1.05))+$AZ169</f>
        <v>92</v>
      </c>
      <c r="BI169">
        <f>INT(POWER((((Constants!$G$1+$BA169+$BB169+$BC169+$BE169)*($BD169))*$BF169),IF($F169="wagon",1,1.2)))+$AY169</f>
        <v>139</v>
      </c>
      <c r="BJ169" s="14">
        <f t="shared" si="109"/>
        <v>71875</v>
      </c>
      <c r="BK169" s="14">
        <f t="shared" si="110"/>
        <v>11293.75</v>
      </c>
      <c r="BR169">
        <v>6</v>
      </c>
      <c r="BV169" t="str">
        <f>VLOOKUP(I169,Eras!$A$2:$C$10, 2, TRUE)</f>
        <v>ebr</v>
      </c>
      <c r="BW169" t="s">
        <v>327</v>
      </c>
      <c r="BX169" t="str">
        <f t="shared" si="111"/>
        <v>ebr_Express</v>
      </c>
      <c r="BY169" t="str">
        <f t="shared" si="112"/>
        <v>steam_RAIL</v>
      </c>
      <c r="BZ169" s="17" t="str" cm="1">
        <f t="array" ref="BZ169">_xlfn.CONCAT("{BLACK}Length: {GOLD}", TEXT(ROUNDUP(IF(AP169&lt;&gt;"",SUM(VALUE(_xlfn.TEXTSPLIT(AP169, ","))), SUM(VALUE(_xlfn.TEXTSPLIT(AM169, ",")))*IF(L169, L169, 1))/16, 1), "#,##0.0"), " tiles{}")</f>
        <v>{BLACK}Length: {GOLD}0.9 tiles{}</v>
      </c>
      <c r="CA169" t="str">
        <f>VLOOKUP($BY169, Constants!$M:$N, 2, FALSE)</f>
        <v>{BLACK}Powered by: {GOLD}Steam</v>
      </c>
      <c r="CB169" t="str">
        <f t="shared" si="116"/>
        <v/>
      </c>
      <c r="CC169" t="s">
        <v>498</v>
      </c>
      <c r="CD169" t="str">
        <f t="shared" si="120"/>
        <v/>
      </c>
      <c r="CE169" t="str">
        <f t="shared" si="98"/>
        <v>{BLACK}Powered by: {GOLD}Steam {}{BLACK}Length: {GOLD}0.9 tiles{}{SILVER}The Peppercorn A1 is designed for hauling heavy passenger trains of 12 or more carriages. A continuation of the series, 'Tornado', was built in 2008.</v>
      </c>
    </row>
    <row r="170" spans="1:83" x14ac:dyDescent="0.25">
      <c r="A170" t="s">
        <v>62</v>
      </c>
      <c r="B170" t="s">
        <v>247</v>
      </c>
      <c r="C170">
        <v>278</v>
      </c>
      <c r="D170">
        <v>74</v>
      </c>
      <c r="E170" t="s">
        <v>1508</v>
      </c>
      <c r="F170" t="s">
        <v>262</v>
      </c>
      <c r="G170" t="s">
        <v>295</v>
      </c>
      <c r="H170" t="s">
        <v>296</v>
      </c>
      <c r="I170">
        <v>1950</v>
      </c>
      <c r="J170">
        <v>1953</v>
      </c>
      <c r="K170">
        <v>1981</v>
      </c>
      <c r="M170">
        <v>1300</v>
      </c>
      <c r="V170">
        <v>89.3</v>
      </c>
      <c r="Y170">
        <v>200</v>
      </c>
      <c r="Z170" s="3">
        <f t="shared" si="101"/>
        <v>0.22396416573348266</v>
      </c>
      <c r="AA170">
        <v>65</v>
      </c>
      <c r="AB170">
        <f t="shared" si="119"/>
        <v>104</v>
      </c>
      <c r="AE170">
        <v>15.34</v>
      </c>
      <c r="AF170">
        <v>15.34</v>
      </c>
      <c r="AI170" s="10">
        <v>0</v>
      </c>
      <c r="AJ170" t="str">
        <f>CONCATENATE(VLOOKUP(AK170, 'Voxel Sizes'!$A$2:$B$18,2,FALSE),"x",INT(AG170*15), "x", INT(AH170*15))</f>
        <v>152x0x0</v>
      </c>
      <c r="AK170">
        <f t="shared" si="102"/>
        <v>9</v>
      </c>
      <c r="AM170" t="str">
        <f>CONCATENATE(VLOOKUP(AK170,Constants!$A$2:$C$16,IF(AL170&lt;&gt;"", 3, 2), FALSE),IF(AL170&lt;&gt;"",CONCATENATE(",",VLOOKUP(AL170,$B:$AM,38,FALSE)),""))</f>
        <v>2,5,2</v>
      </c>
      <c r="AW170">
        <v>30</v>
      </c>
      <c r="AX170" s="15">
        <f t="shared" si="103"/>
        <v>39</v>
      </c>
      <c r="BA170">
        <f t="shared" si="104"/>
        <v>13</v>
      </c>
      <c r="BB170">
        <f t="shared" si="105"/>
        <v>6.5</v>
      </c>
      <c r="BC170">
        <f t="shared" si="106"/>
        <v>10</v>
      </c>
      <c r="BD170" s="3">
        <f t="shared" si="107"/>
        <v>0.93333333333333335</v>
      </c>
      <c r="BE170">
        <f t="shared" si="108"/>
        <v>0</v>
      </c>
      <c r="BF170">
        <f>VLOOKUP($G170,Constants!$I:$K, 2, FALSE)</f>
        <v>0.85</v>
      </c>
      <c r="BG170">
        <f>VLOOKUP($G170,Constants!$I:$K, 3, FALSE)*IF(AND(F170="multiple_unit",AA170&lt;110),0.75,1)</f>
        <v>2.2999999999999998</v>
      </c>
      <c r="BH170">
        <f>INT(POWER(((Constants!$G$2+$BA170+$BB170+$BC170+$BE170)*$BD170)*$BG170, 1.05))+$AZ170</f>
        <v>91</v>
      </c>
      <c r="BI170">
        <f>INT(POWER((((Constants!$G$1+$BA170+$BB170+$BC170+$BE170)*($BD170))*$BF170),IF($F170="wagon",1,1.2)))+$AY170</f>
        <v>72</v>
      </c>
      <c r="BJ170" s="14">
        <f t="shared" si="109"/>
        <v>71093.75</v>
      </c>
      <c r="BK170" s="14">
        <f t="shared" si="110"/>
        <v>5850</v>
      </c>
      <c r="BR170">
        <v>7</v>
      </c>
      <c r="BV170" t="str">
        <f>VLOOKUP(I170,Eras!$A$2:$C$10, 2, TRUE)</f>
        <v>ebr</v>
      </c>
      <c r="BW170" t="s">
        <v>338</v>
      </c>
      <c r="BX170" t="str">
        <f t="shared" si="111"/>
        <v>ebr_Freight (Electric)</v>
      </c>
      <c r="BY170" t="str">
        <f t="shared" si="112"/>
        <v>electric_ELRL</v>
      </c>
      <c r="BZ170" s="17" t="str" cm="1">
        <f t="array" ref="BZ170">_xlfn.CONCAT("{BLACK}Length: {GOLD}", TEXT(ROUNDUP(IF(AP170&lt;&gt;"",SUM(VALUE(_xlfn.TEXTSPLIT(AP170, ","))), SUM(VALUE(_xlfn.TEXTSPLIT(AM170, ",")))*IF(L170, L170, 1))/16, 1), "#,##0.0"), " tiles{}")</f>
        <v>{BLACK}Length: {GOLD}0.6 tiles{}</v>
      </c>
      <c r="CA170" t="str">
        <f>VLOOKUP($BY170, Constants!$M:$N, 2, FALSE)</f>
        <v>{BLACK}Powered by: {GOLD}25kV AC</v>
      </c>
      <c r="CB170" t="str">
        <f t="shared" si="116"/>
        <v/>
      </c>
      <c r="CC170" t="s">
        <v>354</v>
      </c>
      <c r="CD170" t="str">
        <f t="shared" si="120"/>
        <v/>
      </c>
      <c r="CE170" t="str">
        <f t="shared" si="98"/>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71" spans="1:83" x14ac:dyDescent="0.25">
      <c r="A171" t="s">
        <v>508</v>
      </c>
      <c r="B171" t="s">
        <v>502</v>
      </c>
      <c r="C171">
        <v>280</v>
      </c>
      <c r="D171">
        <v>75</v>
      </c>
      <c r="E171" t="s">
        <v>1508</v>
      </c>
      <c r="F171" t="s">
        <v>262</v>
      </c>
      <c r="G171" t="s">
        <v>271</v>
      </c>
      <c r="H171" t="s">
        <v>274</v>
      </c>
      <c r="I171">
        <v>1951</v>
      </c>
      <c r="J171">
        <v>1952</v>
      </c>
      <c r="K171">
        <v>1966</v>
      </c>
      <c r="M171">
        <v>1500</v>
      </c>
      <c r="O171" s="5">
        <v>19.5</v>
      </c>
      <c r="P171" s="5">
        <v>28</v>
      </c>
      <c r="Q171" s="5">
        <v>2</v>
      </c>
      <c r="R171" s="5">
        <v>225</v>
      </c>
      <c r="S171" s="6">
        <f>((($AA171/2)/60)*5280)/($T171*3.2*PI())</f>
        <v>184.28467094851041</v>
      </c>
      <c r="T171" s="5">
        <v>1.9</v>
      </c>
      <c r="U171" s="5">
        <f>((($O171*$O171/4)*PI())*($P171/12)*$Q171*$R171*$S171)/(33000*1.1)</f>
        <v>1591.9557416267944</v>
      </c>
      <c r="V171">
        <v>89.92</v>
      </c>
      <c r="W171" s="8">
        <v>14.38</v>
      </c>
      <c r="Y171">
        <v>122</v>
      </c>
      <c r="Z171" s="3">
        <f t="shared" si="101"/>
        <v>0.11697027804410355</v>
      </c>
      <c r="AA171">
        <v>80</v>
      </c>
      <c r="AB171">
        <f t="shared" si="119"/>
        <v>128</v>
      </c>
      <c r="AE171">
        <v>20.96</v>
      </c>
      <c r="AF171">
        <f>AE171-7.5</f>
        <v>13.46</v>
      </c>
      <c r="AH171">
        <v>3.98</v>
      </c>
      <c r="AI171" s="10">
        <v>0</v>
      </c>
      <c r="AJ171" t="str">
        <f>CONCATENATE(VLOOKUP(AK171, 'Voxel Sizes'!$A$2:$B$18,2,FALSE),"x",INT(AG171*15), "x", INT(AH171*15))</f>
        <v>136x0x59</v>
      </c>
      <c r="AK171">
        <f t="shared" si="102"/>
        <v>8</v>
      </c>
      <c r="AL171" t="s">
        <v>440</v>
      </c>
      <c r="AM171" t="str">
        <f>CONCATENATE(VLOOKUP(AK171,Constants!$A$2:$C$16,IF(AL171&lt;&gt;"", 3, 2), FALSE),IF(AL171&lt;&gt;"",CONCATENATE(",",VLOOKUP(AL171,$B:$AM,38,FALSE)),""))</f>
        <v>2,4,2,2,1,2</v>
      </c>
      <c r="AU171">
        <v>1</v>
      </c>
      <c r="AW171">
        <v>30</v>
      </c>
      <c r="AX171" s="15">
        <f t="shared" si="103"/>
        <v>23</v>
      </c>
      <c r="BA171">
        <f t="shared" si="104"/>
        <v>16</v>
      </c>
      <c r="BB171">
        <f t="shared" si="105"/>
        <v>7.5</v>
      </c>
      <c r="BC171">
        <f t="shared" si="106"/>
        <v>6.1</v>
      </c>
      <c r="BD171" s="3">
        <f t="shared" si="107"/>
        <v>0.93199999999999994</v>
      </c>
      <c r="BE171">
        <f t="shared" si="108"/>
        <v>0</v>
      </c>
      <c r="BF171">
        <f>VLOOKUP($G171,Constants!$I:$K, 2, FALSE)</f>
        <v>1.1499999999999999</v>
      </c>
      <c r="BG171">
        <f>VLOOKUP($G171,Constants!$I:$K, 3, FALSE)*IF(AND(F171="multiple_unit",AA171&lt;110),0.75,1)</f>
        <v>1.7</v>
      </c>
      <c r="BH171">
        <f>INT(POWER(((Constants!$G$2+$BA171+$BB171+$BC171+$BE171)*$BD171)*$BG171, 1.05))+$AZ171</f>
        <v>66</v>
      </c>
      <c r="BI171">
        <f>INT(POWER((((Constants!$G$1+$BA171+$BB171+$BC171+$BE171)*($BD171))*$BF171),IF($F171="wagon",1,1.2)))+$AY171</f>
        <v>103</v>
      </c>
      <c r="BJ171" s="14">
        <f t="shared" si="109"/>
        <v>51562.5</v>
      </c>
      <c r="BK171" s="14">
        <f t="shared" si="110"/>
        <v>8368.75</v>
      </c>
      <c r="BR171">
        <v>8</v>
      </c>
      <c r="BV171" t="str">
        <f>VLOOKUP(I171,Eras!$A$2:$C$10, 2, TRUE)</f>
        <v>ebr</v>
      </c>
      <c r="BW171" t="s">
        <v>326</v>
      </c>
      <c r="BX171" t="str">
        <f t="shared" si="111"/>
        <v>ebr_Mixed Traffic</v>
      </c>
      <c r="BY171" t="str">
        <f t="shared" si="112"/>
        <v>steam_RAIL</v>
      </c>
      <c r="BZ171" s="17" t="str" cm="1">
        <f t="array" ref="BZ171">_xlfn.CONCAT("{BLACK}Length: {GOLD}", TEXT(ROUNDUP(IF(AP171&lt;&gt;"",SUM(VALUE(_xlfn.TEXTSPLIT(AP171, ","))), SUM(VALUE(_xlfn.TEXTSPLIT(AM171, ",")))*IF(L171, L171, 1))/16, 1), "#,##0.0"), " tiles{}")</f>
        <v>{BLACK}Length: {GOLD}0.9 tiles{}</v>
      </c>
      <c r="CA171" t="str">
        <f>VLOOKUP($BY171, Constants!$M:$N, 2, FALSE)</f>
        <v>{BLACK}Powered by: {GOLD}Steam</v>
      </c>
      <c r="CB171" t="str">
        <f t="shared" si="116"/>
        <v/>
      </c>
      <c r="CC171" t="s">
        <v>506</v>
      </c>
      <c r="CD171" t="str">
        <f t="shared" si="120"/>
        <v/>
      </c>
      <c r="CE171" t="str">
        <f t="shared" si="98"/>
        <v>{BLACK}Powered by: {GOLD}Steam {}{BLACK}Length: {GOLD}0.9 tiles{}{SILVER}The Class 6 is a lighter version of the Class 7 "Britannia", with a smaller boiler. Only 10 were produced due to steel shortages.</v>
      </c>
    </row>
    <row r="172" spans="1:83" x14ac:dyDescent="0.25">
      <c r="A172" t="s">
        <v>509</v>
      </c>
      <c r="B172" t="s">
        <v>503</v>
      </c>
      <c r="C172">
        <v>282</v>
      </c>
      <c r="D172">
        <v>76</v>
      </c>
      <c r="E172" t="s">
        <v>1508</v>
      </c>
      <c r="F172" t="s">
        <v>262</v>
      </c>
      <c r="G172" t="s">
        <v>271</v>
      </c>
      <c r="H172" t="s">
        <v>274</v>
      </c>
      <c r="I172">
        <v>1951</v>
      </c>
      <c r="J172">
        <v>1954</v>
      </c>
      <c r="K172">
        <v>1968</v>
      </c>
      <c r="M172">
        <v>2000</v>
      </c>
      <c r="O172" s="5">
        <v>20</v>
      </c>
      <c r="P172" s="5">
        <v>28</v>
      </c>
      <c r="Q172" s="5">
        <v>2</v>
      </c>
      <c r="R172" s="5">
        <v>250</v>
      </c>
      <c r="S172" s="6">
        <f>((($AA172/2)/60)*5280)/($T172*3.2*PI())</f>
        <v>207.32025481707421</v>
      </c>
      <c r="T172" s="5">
        <v>1.9</v>
      </c>
      <c r="U172" s="5">
        <f>((($O172*$O172/4)*PI())*($P172/12)*$Q172*$R172*$S172)/(33000*1.1)</f>
        <v>2093.3014354066986</v>
      </c>
      <c r="V172">
        <v>95.5</v>
      </c>
      <c r="W172" s="8">
        <v>50</v>
      </c>
      <c r="Y172">
        <v>143</v>
      </c>
      <c r="Z172" s="3">
        <f t="shared" si="101"/>
        <v>9.8281786941580754E-2</v>
      </c>
      <c r="AA172">
        <v>90</v>
      </c>
      <c r="AB172">
        <f t="shared" si="119"/>
        <v>144</v>
      </c>
      <c r="AE172">
        <v>20.96</v>
      </c>
      <c r="AF172">
        <f>AE172-7.5</f>
        <v>13.46</v>
      </c>
      <c r="AH172">
        <v>3.98</v>
      </c>
      <c r="AI172" s="10">
        <v>0</v>
      </c>
      <c r="AJ172" t="str">
        <f>CONCATENATE(VLOOKUP(AK172, 'Voxel Sizes'!$A$2:$B$18,2,FALSE),"x",INT(AG172*15), "x", INT(AH172*15))</f>
        <v>136x0x59</v>
      </c>
      <c r="AK172">
        <f t="shared" si="102"/>
        <v>8</v>
      </c>
      <c r="AL172" t="s">
        <v>440</v>
      </c>
      <c r="AM172" t="str">
        <f>CONCATENATE(VLOOKUP(AK172,Constants!$A$2:$C$16,IF(AL172&lt;&gt;"", 3, 2), FALSE),IF(AL172&lt;&gt;"",CONCATENATE(",",VLOOKUP(AL172,$B:$AM,38,FALSE)),""))</f>
        <v>2,4,2,2,1,2</v>
      </c>
      <c r="AU172">
        <v>1</v>
      </c>
      <c r="AW172">
        <v>30</v>
      </c>
      <c r="AX172" s="15">
        <f t="shared" si="103"/>
        <v>25</v>
      </c>
      <c r="BA172">
        <f t="shared" si="104"/>
        <v>18</v>
      </c>
      <c r="BB172">
        <f t="shared" si="105"/>
        <v>10</v>
      </c>
      <c r="BC172">
        <f t="shared" si="106"/>
        <v>7.1499999999999995</v>
      </c>
      <c r="BD172" s="3">
        <f t="shared" si="107"/>
        <v>0.93199999999999994</v>
      </c>
      <c r="BE172">
        <f t="shared" si="108"/>
        <v>0</v>
      </c>
      <c r="BF172">
        <f>VLOOKUP($G172,Constants!$I:$K, 2, FALSE)</f>
        <v>1.1499999999999999</v>
      </c>
      <c r="BG172">
        <f>VLOOKUP($G172,Constants!$I:$K, 3, FALSE)*IF(AND(F172="multiple_unit",AA172&lt;110),0.75,1)</f>
        <v>1.7</v>
      </c>
      <c r="BH172">
        <f>INT(POWER(((Constants!$G$2+$BA172+$BB172+$BC172+$BE172)*$BD172)*$BG172, 1.05))+$AZ172</f>
        <v>78</v>
      </c>
      <c r="BI172">
        <f>INT(POWER((((Constants!$G$1+$BA172+$BB172+$BC172+$BE172)*($BD172))*$BF172),IF($F172="wagon",1,1.2)))+$AY172</f>
        <v>119</v>
      </c>
      <c r="BJ172" s="14">
        <f t="shared" si="109"/>
        <v>60937.5</v>
      </c>
      <c r="BK172" s="14">
        <f t="shared" si="110"/>
        <v>9668.75</v>
      </c>
      <c r="BR172">
        <v>9</v>
      </c>
      <c r="BV172" t="str">
        <f>VLOOKUP(I172,Eras!$A$2:$C$10, 2, TRUE)</f>
        <v>ebr</v>
      </c>
      <c r="BW172" t="s">
        <v>326</v>
      </c>
      <c r="BX172" t="str">
        <f t="shared" si="111"/>
        <v>ebr_Mixed Traffic</v>
      </c>
      <c r="BY172" t="str">
        <f t="shared" si="112"/>
        <v>steam_RAIL</v>
      </c>
      <c r="BZ172" s="17" t="str" cm="1">
        <f t="array" ref="BZ172">_xlfn.CONCAT("{BLACK}Length: {GOLD}", TEXT(ROUNDUP(IF(AP172&lt;&gt;"",SUM(VALUE(_xlfn.TEXTSPLIT(AP172, ","))), SUM(VALUE(_xlfn.TEXTSPLIT(AM172, ",")))*IF(L172, L172, 1))/16, 1), "#,##0.0"), " tiles{}")</f>
        <v>{BLACK}Length: {GOLD}0.9 tiles{}</v>
      </c>
      <c r="CA172" t="str">
        <f>VLOOKUP($BY172, Constants!$M:$N, 2, FALSE)</f>
        <v>{BLACK}Powered by: {GOLD}Steam</v>
      </c>
      <c r="CB172" t="str">
        <f t="shared" si="116"/>
        <v/>
      </c>
      <c r="CC172" t="s">
        <v>505</v>
      </c>
      <c r="CD172" t="str">
        <f t="shared" si="120"/>
        <v/>
      </c>
      <c r="CE172" t="str">
        <f t="shared" si="98"/>
        <v>{BLACK}Powered by: {GOLD}Steam {}{BLACK}Length: {GOLD}0.9 tiles{}{SILVER}The Class 7 combines the best features of pre-BR designs from the Big Four, with the aim of reducing maintenance costs.</v>
      </c>
    </row>
    <row r="173" spans="1:83" x14ac:dyDescent="0.25">
      <c r="A173" t="s">
        <v>66</v>
      </c>
      <c r="B173" t="s">
        <v>166</v>
      </c>
      <c r="C173">
        <v>284</v>
      </c>
      <c r="D173">
        <v>77</v>
      </c>
      <c r="E173" t="s">
        <v>1508</v>
      </c>
      <c r="F173" t="s">
        <v>262</v>
      </c>
      <c r="G173" t="s">
        <v>272</v>
      </c>
      <c r="H173" t="s">
        <v>274</v>
      </c>
      <c r="I173">
        <v>1952</v>
      </c>
      <c r="J173">
        <v>1962</v>
      </c>
      <c r="M173">
        <v>350</v>
      </c>
      <c r="V173">
        <v>49.8</v>
      </c>
      <c r="Y173">
        <v>160</v>
      </c>
      <c r="Z173" s="3">
        <f t="shared" si="101"/>
        <v>0.32128514056224899</v>
      </c>
      <c r="AA173">
        <v>20</v>
      </c>
      <c r="AB173">
        <f t="shared" si="119"/>
        <v>32</v>
      </c>
      <c r="AE173">
        <v>8.92</v>
      </c>
      <c r="AF173">
        <v>9.5</v>
      </c>
      <c r="AG173">
        <v>2.59</v>
      </c>
      <c r="AH173">
        <v>3.87</v>
      </c>
      <c r="AI173" s="10">
        <v>0</v>
      </c>
      <c r="AJ173" t="str">
        <f>CONCATENATE(VLOOKUP(AK173, 'Voxel Sizes'!$A$2:$B$18,2,FALSE),"x",INT(AG173*15), "x", INT(AH173*15))</f>
        <v>102x38x58</v>
      </c>
      <c r="AK173">
        <f t="shared" si="102"/>
        <v>6</v>
      </c>
      <c r="AM173" t="str">
        <f>CONCATENATE(VLOOKUP(AK173,Constants!$A$2:$C$16,IF(AL173&lt;&gt;"", 3, 2), FALSE),IF(AL173&lt;&gt;"",CONCATENATE(",",VLOOKUP(AL173,$B:$AM,38,FALSE)),""))</f>
        <v>2,2,2</v>
      </c>
      <c r="AU173">
        <v>1</v>
      </c>
      <c r="AW173">
        <v>42</v>
      </c>
      <c r="AX173" s="15" t="str">
        <f t="shared" si="103"/>
        <v/>
      </c>
      <c r="AZ173">
        <v>-10</v>
      </c>
      <c r="BA173">
        <f t="shared" si="104"/>
        <v>4</v>
      </c>
      <c r="BB173">
        <f t="shared" si="105"/>
        <v>1.75</v>
      </c>
      <c r="BC173">
        <f t="shared" si="106"/>
        <v>8</v>
      </c>
      <c r="BD173" s="3">
        <f t="shared" si="107"/>
        <v>0.93066666666666664</v>
      </c>
      <c r="BE173">
        <f t="shared" si="108"/>
        <v>0</v>
      </c>
      <c r="BF173">
        <f>VLOOKUP($G173,Constants!$I:$K, 2, FALSE)</f>
        <v>1</v>
      </c>
      <c r="BG173">
        <f>VLOOKUP($G173,Constants!$I:$K, 3, FALSE)*IF(AND(F173="multiple_unit",AA173&lt;110),0.75,1)</f>
        <v>2</v>
      </c>
      <c r="BH173">
        <f>INT(POWER(((Constants!$G$2+$BA173+$BB173+$BC173+$BE173)*$BD173)*$BG173, 1.05))+$AZ173</f>
        <v>31</v>
      </c>
      <c r="BI173">
        <f>INT(POWER((((Constants!$G$1+$BA173+$BB173+$BC173+$BE173)*($BD173))*$BF173),IF($F173="wagon",1,1.2)))+$AY173</f>
        <v>51</v>
      </c>
      <c r="BJ173" s="14">
        <f t="shared" si="109"/>
        <v>24218.75</v>
      </c>
      <c r="BK173" s="14">
        <f t="shared" si="110"/>
        <v>4143.75</v>
      </c>
      <c r="BR173">
        <v>10</v>
      </c>
      <c r="BV173" t="str">
        <f>VLOOKUP(I173,Eras!$A$2:$C$10, 2, TRUE)</f>
        <v>ebr</v>
      </c>
      <c r="BW173" t="s">
        <v>325</v>
      </c>
      <c r="BX173" t="str">
        <f t="shared" si="111"/>
        <v>ebr_Cheap</v>
      </c>
      <c r="BY173" t="str">
        <f t="shared" si="112"/>
        <v>diesel_RAIL</v>
      </c>
      <c r="BZ173" s="17" t="str" cm="1">
        <f t="array" ref="BZ173">_xlfn.CONCAT("{BLACK}Length: {GOLD}", TEXT(ROUNDUP(IF(AP173&lt;&gt;"",SUM(VALUE(_xlfn.TEXTSPLIT(AP173, ","))), SUM(VALUE(_xlfn.TEXTSPLIT(AM173, ",")))*IF(L173, L173, 1))/16, 1), "#,##0.0"), " tiles{}")</f>
        <v>{BLACK}Length: {GOLD}0.4 tiles{}</v>
      </c>
      <c r="CA173" t="str">
        <f>VLOOKUP($BY173, Constants!$M:$N, 2, FALSE)</f>
        <v>{BLACK}Powered by: {GOLD}Diesel</v>
      </c>
      <c r="CB173" t="str">
        <f t="shared" si="116"/>
        <v/>
      </c>
      <c r="CC173" t="s">
        <v>355</v>
      </c>
      <c r="CD173" t="str">
        <f t="shared" si="120"/>
        <v/>
      </c>
      <c r="CE173" t="str">
        <f t="shared" si="98"/>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4" spans="1:83" x14ac:dyDescent="0.25">
      <c r="A174" t="s">
        <v>63</v>
      </c>
      <c r="B174" t="s">
        <v>248</v>
      </c>
      <c r="C174">
        <v>286</v>
      </c>
      <c r="D174">
        <v>78</v>
      </c>
      <c r="E174" t="s">
        <v>1508</v>
      </c>
      <c r="F174" t="s">
        <v>262</v>
      </c>
      <c r="G174" t="s">
        <v>295</v>
      </c>
      <c r="H174" t="s">
        <v>296</v>
      </c>
      <c r="I174">
        <v>1953</v>
      </c>
      <c r="J174">
        <v>1954</v>
      </c>
      <c r="K174">
        <v>1968</v>
      </c>
      <c r="M174">
        <v>2490</v>
      </c>
      <c r="V174">
        <v>104.1</v>
      </c>
      <c r="Y174">
        <v>200</v>
      </c>
      <c r="Z174" s="3">
        <f t="shared" si="101"/>
        <v>0.19212295869356388</v>
      </c>
      <c r="AA174">
        <v>90</v>
      </c>
      <c r="AB174">
        <f t="shared" si="119"/>
        <v>144</v>
      </c>
      <c r="AE174">
        <v>17.98</v>
      </c>
      <c r="AF174">
        <v>17.98</v>
      </c>
      <c r="AI174" s="10">
        <v>0</v>
      </c>
      <c r="AJ174" t="str">
        <f>CONCATENATE(VLOOKUP(AK174, 'Voxel Sizes'!$A$2:$B$18,2,FALSE),"x",INT(AG174*15), "x", INT(AH174*15))</f>
        <v>186x0x0</v>
      </c>
      <c r="AK174">
        <f t="shared" si="102"/>
        <v>11</v>
      </c>
      <c r="AM174" t="str">
        <f>CONCATENATE(VLOOKUP(AK174,Constants!$A$2:$C$16,IF(AL174&lt;&gt;"", 3, 2), FALSE),IF(AL174&lt;&gt;"",CONCATENATE(",",VLOOKUP(AL174,$B:$AM,38,FALSE)),""))</f>
        <v>4,3,4</v>
      </c>
      <c r="AW174">
        <v>25</v>
      </c>
      <c r="AX174" s="15">
        <f t="shared" si="103"/>
        <v>23</v>
      </c>
      <c r="BA174">
        <f t="shared" si="104"/>
        <v>18</v>
      </c>
      <c r="BB174">
        <f t="shared" si="105"/>
        <v>12.450000000000001</v>
      </c>
      <c r="BC174">
        <f t="shared" si="106"/>
        <v>10</v>
      </c>
      <c r="BD174" s="3">
        <f t="shared" si="107"/>
        <v>0.92933333333333334</v>
      </c>
      <c r="BE174">
        <f t="shared" si="108"/>
        <v>0</v>
      </c>
      <c r="BF174">
        <f>VLOOKUP($G174,Constants!$I:$K, 2, FALSE)</f>
        <v>0.85</v>
      </c>
      <c r="BG174">
        <f>VLOOKUP($G174,Constants!$I:$K, 3, FALSE)*IF(AND(F174="multiple_unit",AA174&lt;110),0.75,1)</f>
        <v>2.2999999999999998</v>
      </c>
      <c r="BH174">
        <f>INT(POWER(((Constants!$G$2+$BA174+$BB174+$BC174+$BE174)*$BD174)*$BG174, 1.05))+$AZ174</f>
        <v>122</v>
      </c>
      <c r="BI174">
        <f>INT(POWER((((Constants!$G$1+$BA174+$BB174+$BC174+$BE174)*($BD174))*$BF174),IF($F174="wagon",1,1.2)))+$AY174</f>
        <v>93</v>
      </c>
      <c r="BJ174" s="14">
        <f t="shared" si="109"/>
        <v>95312.5</v>
      </c>
      <c r="BK174" s="14">
        <f t="shared" si="110"/>
        <v>7556.25</v>
      </c>
      <c r="BR174">
        <v>11</v>
      </c>
      <c r="BV174" t="str">
        <f>VLOOKUP(I174,Eras!$A$2:$C$10, 2, TRUE)</f>
        <v>ebr</v>
      </c>
      <c r="BW174" t="s">
        <v>337</v>
      </c>
      <c r="BX174" t="str">
        <f t="shared" si="111"/>
        <v>ebr_Express (Electric)</v>
      </c>
      <c r="BY174" t="str">
        <f t="shared" si="112"/>
        <v>electric_ELRL</v>
      </c>
      <c r="BZ174" s="17" t="str" cm="1">
        <f t="array" ref="BZ174">_xlfn.CONCAT("{BLACK}Length: {GOLD}", TEXT(ROUNDUP(IF(AP174&lt;&gt;"",SUM(VALUE(_xlfn.TEXTSPLIT(AP174, ","))), SUM(VALUE(_xlfn.TEXTSPLIT(AM174, ",")))*IF(L174, L174, 1))/16, 1), "#,##0.0"), " tiles{}")</f>
        <v>{BLACK}Length: {GOLD}0.7 tiles{}</v>
      </c>
      <c r="CA174" t="str">
        <f>VLOOKUP($BY174, Constants!$M:$N, 2, FALSE)</f>
        <v>{BLACK}Powered by: {GOLD}25kV AC</v>
      </c>
      <c r="CB174" t="str">
        <f t="shared" si="116"/>
        <v/>
      </c>
      <c r="CC174" t="s">
        <v>507</v>
      </c>
      <c r="CD174" t="str">
        <f t="shared" si="120"/>
        <v/>
      </c>
      <c r="CE174" t="str">
        <f t="shared" si="98"/>
        <v>{BLACK}Powered by: {GOLD}25kV AC {}{BLACK}Length: {GOLD}0.7 tiles{}{SILVER}The Class 77  is a larger version of the earlier Class 76, designed to haul passenger services on the Woodhead Line.</v>
      </c>
    </row>
    <row r="175" spans="1:83" x14ac:dyDescent="0.25">
      <c r="A175" t="s">
        <v>501</v>
      </c>
      <c r="B175" t="s">
        <v>504</v>
      </c>
      <c r="C175">
        <v>288</v>
      </c>
      <c r="D175">
        <v>79</v>
      </c>
      <c r="E175" t="s">
        <v>1508</v>
      </c>
      <c r="F175" t="s">
        <v>262</v>
      </c>
      <c r="G175" t="s">
        <v>271</v>
      </c>
      <c r="H175" t="s">
        <v>274</v>
      </c>
      <c r="I175">
        <v>1954</v>
      </c>
      <c r="J175">
        <v>1960</v>
      </c>
      <c r="K175">
        <v>1968</v>
      </c>
      <c r="M175">
        <v>2500</v>
      </c>
      <c r="O175" s="5">
        <v>20</v>
      </c>
      <c r="P175" s="5">
        <v>28</v>
      </c>
      <c r="Q175" s="5">
        <v>2</v>
      </c>
      <c r="R175" s="5">
        <v>250</v>
      </c>
      <c r="S175" s="6">
        <f>((($AA175/2)/60)*5280)/($T175*3.2*PI())</f>
        <v>262.60565610162729</v>
      </c>
      <c r="T175" s="5">
        <v>1.5</v>
      </c>
      <c r="U175" s="5">
        <f>((($O175*$O175/4)*PI())*($P175/12)*$Q175*$R175*$S175)/(33000*1.1)</f>
        <v>2651.515151515151</v>
      </c>
      <c r="V175">
        <v>90</v>
      </c>
      <c r="W175" s="8">
        <v>51</v>
      </c>
      <c r="Y175">
        <v>176</v>
      </c>
      <c r="Z175" s="3">
        <f t="shared" si="101"/>
        <v>0.12482269503546099</v>
      </c>
      <c r="AA175">
        <v>90</v>
      </c>
      <c r="AB175">
        <f t="shared" si="119"/>
        <v>144</v>
      </c>
      <c r="AE175">
        <v>20.170000000000002</v>
      </c>
      <c r="AF175">
        <v>15</v>
      </c>
      <c r="AI175" s="10">
        <v>0</v>
      </c>
      <c r="AJ175" t="str">
        <f>CONCATENATE(VLOOKUP(AK175, 'Voxel Sizes'!$A$2:$B$18,2,FALSE),"x",INT(AG175*15), "x", INT(AH175*15))</f>
        <v>152x0x0</v>
      </c>
      <c r="AK175">
        <f t="shared" si="102"/>
        <v>9</v>
      </c>
      <c r="AL175" t="s">
        <v>440</v>
      </c>
      <c r="AM175" t="str">
        <f>CONCATENATE(VLOOKUP(AK175,Constants!$A$2:$C$16,IF(AL175&lt;&gt;"", 3, 2), FALSE),IF(AL175&lt;&gt;"",CONCATENATE(",",VLOOKUP(AL175,$B:$AM,38,FALSE)),""))</f>
        <v>2,5,2,2,1,2</v>
      </c>
      <c r="AU175">
        <v>1</v>
      </c>
      <c r="AW175">
        <v>33</v>
      </c>
      <c r="AX175" s="15">
        <f t="shared" si="103"/>
        <v>22</v>
      </c>
      <c r="BA175">
        <f t="shared" si="104"/>
        <v>18</v>
      </c>
      <c r="BB175">
        <f t="shared" si="105"/>
        <v>12.5</v>
      </c>
      <c r="BC175">
        <f t="shared" si="106"/>
        <v>8.8000000000000007</v>
      </c>
      <c r="BD175" s="3">
        <f t="shared" si="107"/>
        <v>0.92800000000000005</v>
      </c>
      <c r="BE175">
        <f t="shared" si="108"/>
        <v>0</v>
      </c>
      <c r="BF175">
        <f>VLOOKUP($G175,Constants!$I:$K, 2, FALSE)</f>
        <v>1.1499999999999999</v>
      </c>
      <c r="BG175">
        <f>VLOOKUP($G175,Constants!$I:$K, 3, FALSE)*IF(AND(F175="multiple_unit",AA175&lt;110),0.75,1)</f>
        <v>1.7</v>
      </c>
      <c r="BH175">
        <f>INT(POWER(((Constants!$G$2+$BA175+$BB175+$BC175+$BE175)*$BD175)*$BG175, 1.05))+$AZ175</f>
        <v>86</v>
      </c>
      <c r="BI175">
        <f>INT(POWER((((Constants!$G$1+$BA175+$BB175+$BC175+$BE175)*($BD175))*$BF175),IF($F175="wagon",1,1.2)))+$AY175</f>
        <v>130</v>
      </c>
      <c r="BJ175" s="14">
        <f t="shared" si="109"/>
        <v>67187.5</v>
      </c>
      <c r="BK175" s="14">
        <f t="shared" si="110"/>
        <v>10562.5</v>
      </c>
      <c r="BR175">
        <v>12</v>
      </c>
      <c r="BV175" t="str">
        <f>VLOOKUP(I175,Eras!$A$2:$C$10, 2, TRUE)</f>
        <v>ebr</v>
      </c>
      <c r="BW175" t="s">
        <v>328</v>
      </c>
      <c r="BX175" t="str">
        <f t="shared" si="111"/>
        <v>ebr_Freight</v>
      </c>
      <c r="BY175" t="str">
        <f t="shared" si="112"/>
        <v>steam_RAIL</v>
      </c>
      <c r="BZ175" s="17" t="str" cm="1">
        <f t="array" ref="BZ175">_xlfn.CONCAT("{BLACK}Length: {GOLD}", TEXT(ROUNDUP(IF(AP175&lt;&gt;"",SUM(VALUE(_xlfn.TEXTSPLIT(AP175, ","))), SUM(VALUE(_xlfn.TEXTSPLIT(AM175, ",")))*IF(L175, L175, 1))/16, 1), "#,##0.0"), " tiles{}")</f>
        <v>{BLACK}Length: {GOLD}0.9 tiles{}</v>
      </c>
      <c r="CA175" t="str">
        <f>VLOOKUP($BY175, Constants!$M:$N, 2, FALSE)</f>
        <v>{BLACK}Powered by: {GOLD}Steam</v>
      </c>
      <c r="CB175" t="str">
        <f t="shared" ref="CB175:CB208" si="121">IF(L175&gt;1,_xlfn.CONCAT("{BLACK}Cars: {GOLD}", L175),"")</f>
        <v/>
      </c>
      <c r="CC175" t="s">
        <v>510</v>
      </c>
      <c r="CD175" t="str">
        <f t="shared" si="120"/>
        <v/>
      </c>
      <c r="CE175" t="str">
        <f t="shared" si="98"/>
        <v>{BLACK}Powered by: {GOLD}Steam {}{BLACK}Length: {GOLD}0.9 tiles{}{SILVER}The 9F class included the last steam locomotive ever to be built by British Railways, "Evening Star"</v>
      </c>
    </row>
    <row r="176" spans="1:83" x14ac:dyDescent="0.25">
      <c r="A176" t="s">
        <v>38</v>
      </c>
      <c r="B176" t="s">
        <v>267</v>
      </c>
      <c r="C176">
        <v>290</v>
      </c>
      <c r="D176">
        <v>80</v>
      </c>
      <c r="E176" t="s">
        <v>1508</v>
      </c>
      <c r="F176" t="s">
        <v>262</v>
      </c>
      <c r="G176" t="s">
        <v>272</v>
      </c>
      <c r="H176" t="s">
        <v>274</v>
      </c>
      <c r="I176">
        <v>1955</v>
      </c>
      <c r="J176">
        <v>1962</v>
      </c>
      <c r="K176">
        <v>1982</v>
      </c>
      <c r="M176">
        <v>3300</v>
      </c>
      <c r="V176">
        <v>108</v>
      </c>
      <c r="Y176">
        <v>233</v>
      </c>
      <c r="Z176" s="3">
        <f t="shared" si="101"/>
        <v>0.21574074074074073</v>
      </c>
      <c r="AA176">
        <v>106</v>
      </c>
      <c r="AB176">
        <f t="shared" si="119"/>
        <v>170</v>
      </c>
      <c r="AE176">
        <v>21.18</v>
      </c>
      <c r="AF176">
        <v>21.18</v>
      </c>
      <c r="AH176">
        <v>3.91</v>
      </c>
      <c r="AI176" s="10">
        <v>0</v>
      </c>
      <c r="AJ176" t="str">
        <f>CONCATENATE(VLOOKUP(AK176, 'Voxel Sizes'!$A$2:$B$18,2,FALSE),"x",INT(AG176*15), "x", INT(AH176*15))</f>
        <v>198x0x58</v>
      </c>
      <c r="AK176">
        <f t="shared" si="102"/>
        <v>12</v>
      </c>
      <c r="AM176" t="str">
        <f>CONCATENATE(VLOOKUP(AK176,Constants!$A$2:$C$16,IF(AL176&lt;&gt;"", 3, 2), FALSE),IF(AL176&lt;&gt;"",CONCATENATE(",",VLOOKUP(AL176,$B:$AM,38,FALSE)),""))</f>
        <v>4,4,4</v>
      </c>
      <c r="AW176">
        <v>26</v>
      </c>
      <c r="AX176" s="15">
        <f t="shared" si="103"/>
        <v>35</v>
      </c>
      <c r="BA176">
        <f t="shared" si="104"/>
        <v>21.2</v>
      </c>
      <c r="BB176">
        <f t="shared" si="105"/>
        <v>16.5</v>
      </c>
      <c r="BC176">
        <f t="shared" si="106"/>
        <v>11.65</v>
      </c>
      <c r="BD176" s="3">
        <f t="shared" si="107"/>
        <v>0.92666666666666664</v>
      </c>
      <c r="BE176">
        <f t="shared" si="108"/>
        <v>0</v>
      </c>
      <c r="BF176">
        <f>VLOOKUP($G176,Constants!$I:$K, 2, FALSE)</f>
        <v>1</v>
      </c>
      <c r="BG176">
        <f>VLOOKUP($G176,Constants!$I:$K, 3, FALSE)*IF(AND(F176="multiple_unit",AA176&lt;110),0.75,1)</f>
        <v>2</v>
      </c>
      <c r="BH176">
        <f>INT(POWER(((Constants!$G$2+$BA176+$BB176+$BC176+$BE176)*$BD176)*$BG176, 1.05))+$AZ176</f>
        <v>126</v>
      </c>
      <c r="BI176">
        <f>INT(POWER((((Constants!$G$1+$BA176+$BB176+$BC176+$BE176)*($BD176))*$BF176),IF($F176="wagon",1,1.2)))+$AY176</f>
        <v>135</v>
      </c>
      <c r="BJ176" s="14">
        <f t="shared" si="109"/>
        <v>98437.5</v>
      </c>
      <c r="BK176" s="14">
        <f t="shared" si="110"/>
        <v>10968.75</v>
      </c>
      <c r="BR176">
        <v>1</v>
      </c>
      <c r="BV176" t="str">
        <f>VLOOKUP(I176,Eras!$A$2:$C$10, 2, TRUE)</f>
        <v>dsl</v>
      </c>
      <c r="BW176" t="s">
        <v>327</v>
      </c>
      <c r="BX176" t="str">
        <f t="shared" si="111"/>
        <v>dsl_Express</v>
      </c>
      <c r="BY176" t="str">
        <f t="shared" si="112"/>
        <v>diesel_RAIL</v>
      </c>
      <c r="BZ176" s="17" t="str" cm="1">
        <f t="array" ref="BZ176">_xlfn.CONCAT("{BLACK}Length: {GOLD}", TEXT(ROUNDUP(IF(AP176&lt;&gt;"",SUM(VALUE(_xlfn.TEXTSPLIT(AP176, ","))), SUM(VALUE(_xlfn.TEXTSPLIT(AM176, ",")))*IF(L176, L176, 1))/16, 1), "#,##0.0"), " tiles{}")</f>
        <v>{BLACK}Length: {GOLD}0.8 tiles{}</v>
      </c>
      <c r="CA176" t="str">
        <f>VLOOKUP($BY176, Constants!$M:$N, 2, FALSE)</f>
        <v>{BLACK}Powered by: {GOLD}Diesel</v>
      </c>
      <c r="CB176" t="str">
        <f t="shared" si="121"/>
        <v/>
      </c>
      <c r="CC176" t="s">
        <v>511</v>
      </c>
      <c r="CD176" t="str">
        <f t="shared" si="120"/>
        <v/>
      </c>
      <c r="CE176" t="str">
        <f t="shared" si="98"/>
        <v>{BLACK}Powered by: {GOLD}Diesel {}{BLACK}Length: {GOLD}0.8 tiles{}{SILVER}The Class 55 uses two Napier Deltic marine engines to create a high speed express diesel locomotive.</v>
      </c>
    </row>
    <row r="177" spans="1:83" x14ac:dyDescent="0.25">
      <c r="A177" t="s">
        <v>515</v>
      </c>
      <c r="B177" t="s">
        <v>167</v>
      </c>
      <c r="C177">
        <v>294</v>
      </c>
      <c r="D177">
        <v>81</v>
      </c>
      <c r="E177" t="s">
        <v>1508</v>
      </c>
      <c r="F177" t="s">
        <v>262</v>
      </c>
      <c r="G177" t="s">
        <v>272</v>
      </c>
      <c r="H177" t="s">
        <v>274</v>
      </c>
      <c r="I177">
        <v>1957</v>
      </c>
      <c r="J177">
        <v>1962</v>
      </c>
      <c r="K177">
        <v>2017</v>
      </c>
      <c r="M177">
        <v>1250</v>
      </c>
      <c r="V177">
        <v>108.4</v>
      </c>
      <c r="Y177">
        <v>160</v>
      </c>
      <c r="Z177" s="3">
        <f t="shared" si="101"/>
        <v>0.14760147601476015</v>
      </c>
      <c r="AA177">
        <v>80</v>
      </c>
      <c r="AB177">
        <f t="shared" si="119"/>
        <v>128</v>
      </c>
      <c r="AE177">
        <v>17.3</v>
      </c>
      <c r="AF177">
        <v>17.3</v>
      </c>
      <c r="AH177">
        <v>3.84</v>
      </c>
      <c r="AI177" s="10">
        <v>0</v>
      </c>
      <c r="AJ177" t="str">
        <f>CONCATENATE(VLOOKUP(AK177, 'Voxel Sizes'!$A$2:$B$18,2,FALSE),"x",INT(AG177*15), "x", INT(AH177*15))</f>
        <v>164x0x57</v>
      </c>
      <c r="AK177">
        <f t="shared" si="102"/>
        <v>10</v>
      </c>
      <c r="AM177" t="str">
        <f>CONCATENATE(VLOOKUP(AK177,Constants!$A$2:$C$16,IF(AL177&lt;&gt;"", 3, 2), FALSE),IF(AL177&lt;&gt;"",CONCATENATE(",",VLOOKUP(AL177,$B:$AM,38,FALSE)),""))</f>
        <v>4,2,4</v>
      </c>
      <c r="AW177">
        <v>30</v>
      </c>
      <c r="AX177" s="15">
        <f t="shared" si="103"/>
        <v>68</v>
      </c>
      <c r="BA177">
        <f t="shared" si="104"/>
        <v>16</v>
      </c>
      <c r="BB177">
        <f t="shared" si="105"/>
        <v>6.25</v>
      </c>
      <c r="BC177">
        <f t="shared" si="106"/>
        <v>8</v>
      </c>
      <c r="BD177" s="3">
        <f t="shared" si="107"/>
        <v>0.92400000000000004</v>
      </c>
      <c r="BE177">
        <f t="shared" si="108"/>
        <v>0</v>
      </c>
      <c r="BF177">
        <f>VLOOKUP($G177,Constants!$I:$K, 2, FALSE)</f>
        <v>1</v>
      </c>
      <c r="BG177">
        <f>VLOOKUP($G177,Constants!$I:$K, 3, FALSE)*IF(AND(F177="multiple_unit",AA177&lt;110),0.75,1)</f>
        <v>2</v>
      </c>
      <c r="BH177">
        <f>INT(POWER(((Constants!$G$2+$BA177+$BB177+$BC177+$BE177)*$BD177)*$BG177, 1.05))+$AZ177</f>
        <v>80</v>
      </c>
      <c r="BI177">
        <f>INT(POWER((((Constants!$G$1+$BA177+$BB177+$BC177+$BE177)*($BD177))*$BF177),IF($F177="wagon",1,1.2)))+$AY177</f>
        <v>88</v>
      </c>
      <c r="BJ177" s="14">
        <f t="shared" si="109"/>
        <v>62500</v>
      </c>
      <c r="BK177" s="14">
        <f t="shared" si="110"/>
        <v>7150</v>
      </c>
      <c r="BR177">
        <v>3</v>
      </c>
      <c r="BV177" t="str">
        <f>VLOOKUP(I177,Eras!$A$2:$C$10, 2, TRUE)</f>
        <v>dsl</v>
      </c>
      <c r="BW177" t="s">
        <v>328</v>
      </c>
      <c r="BX177" t="str">
        <f t="shared" si="111"/>
        <v>dsl_Freight</v>
      </c>
      <c r="BY177" t="str">
        <f t="shared" si="112"/>
        <v>diesel_RAIL</v>
      </c>
      <c r="BZ177" s="17" t="str" cm="1">
        <f t="array" ref="BZ177">_xlfn.CONCAT("{BLACK}Length: {GOLD}", TEXT(ROUNDUP(IF(AP177&lt;&gt;"",SUM(VALUE(_xlfn.TEXTSPLIT(AP177, ","))), SUM(VALUE(_xlfn.TEXTSPLIT(AM177, ",")))*IF(L177, L177, 1))/16, 1), "#,##0.0"), " tiles{}")</f>
        <v>{BLACK}Length: {GOLD}0.7 tiles{}</v>
      </c>
      <c r="CA177" t="str">
        <f>VLOOKUP($BY177, Constants!$M:$N, 2, FALSE)</f>
        <v>{BLACK}Powered by: {GOLD}Diesel</v>
      </c>
      <c r="CB177" t="str">
        <f t="shared" si="121"/>
        <v/>
      </c>
      <c r="CC177" t="s">
        <v>1407</v>
      </c>
      <c r="CD177" t="str">
        <f t="shared" si="120"/>
        <v/>
      </c>
      <c r="CE177" t="str">
        <f t="shared" si="98"/>
        <v>{BLACK}Powered by: {GOLD}Diesel {}{BLACK}Length: {GOLD}0.7 tiles{}{SILVER}The Class 31 (Brush Type 2) was part of BR's pilot scheme to test replacing steam locomotives with diesel traction. It had many nicknames including "Ped", "Gargoyle" and "Gurgler"</v>
      </c>
    </row>
    <row r="178" spans="1:83" x14ac:dyDescent="0.25">
      <c r="A178" t="s">
        <v>46</v>
      </c>
      <c r="B178" t="s">
        <v>265</v>
      </c>
      <c r="C178">
        <v>296</v>
      </c>
      <c r="D178">
        <v>82</v>
      </c>
      <c r="E178" t="s">
        <v>1508</v>
      </c>
      <c r="F178" t="s">
        <v>262</v>
      </c>
      <c r="G178" t="s">
        <v>272</v>
      </c>
      <c r="H178" t="s">
        <v>274</v>
      </c>
      <c r="I178">
        <v>1957</v>
      </c>
      <c r="J178">
        <v>1968</v>
      </c>
      <c r="M178">
        <v>1000</v>
      </c>
      <c r="V178">
        <v>73</v>
      </c>
      <c r="Y178">
        <v>186</v>
      </c>
      <c r="Z178" s="3">
        <f t="shared" si="101"/>
        <v>0.25479452054794521</v>
      </c>
      <c r="AA178">
        <v>75</v>
      </c>
      <c r="AB178">
        <f t="shared" si="119"/>
        <v>120</v>
      </c>
      <c r="AE178">
        <v>14.25</v>
      </c>
      <c r="AF178">
        <v>14.25</v>
      </c>
      <c r="AG178">
        <v>2.67</v>
      </c>
      <c r="AH178">
        <v>3.85</v>
      </c>
      <c r="AI178" s="10">
        <v>0</v>
      </c>
      <c r="AJ178" t="str">
        <f>CONCATENATE(VLOOKUP(AK178, 'Voxel Sizes'!$A$2:$B$18,2,FALSE),"x",INT(AG178*15), "x", INT(AH178*15))</f>
        <v>136x40x57</v>
      </c>
      <c r="AK178">
        <f t="shared" si="102"/>
        <v>8</v>
      </c>
      <c r="AM178" t="str">
        <f>CONCATENATE(VLOOKUP(AK178,Constants!$A$2:$C$16,IF(AL178&lt;&gt;"", 3, 2), FALSE),IF(AL178&lt;&gt;"",CONCATENATE(",",VLOOKUP(AL178,$B:$AM,38,FALSE)),""))</f>
        <v>2,4,2</v>
      </c>
      <c r="AW178">
        <v>33</v>
      </c>
      <c r="AX178" s="15" t="str">
        <f t="shared" si="103"/>
        <v/>
      </c>
      <c r="BA178">
        <f t="shared" si="104"/>
        <v>15</v>
      </c>
      <c r="BB178">
        <f t="shared" si="105"/>
        <v>5</v>
      </c>
      <c r="BC178">
        <f t="shared" si="106"/>
        <v>9.3000000000000007</v>
      </c>
      <c r="BD178" s="3">
        <f t="shared" si="107"/>
        <v>0.92400000000000004</v>
      </c>
      <c r="BE178">
        <f t="shared" si="108"/>
        <v>0</v>
      </c>
      <c r="BF178">
        <f>VLOOKUP($G178,Constants!$I:$K, 2, FALSE)</f>
        <v>1</v>
      </c>
      <c r="BG178">
        <f>VLOOKUP($G178,Constants!$I:$K, 3, FALSE)*IF(AND(F178="multiple_unit",AA178&lt;110),0.75,1)</f>
        <v>2</v>
      </c>
      <c r="BH178">
        <f>INT(POWER(((Constants!$G$2+$BA178+$BB178+$BC178+$BE178)*$BD178)*$BG178, 1.05))+$AZ178</f>
        <v>78</v>
      </c>
      <c r="BI178">
        <f>INT(POWER((((Constants!$G$1+$BA178+$BB178+$BC178+$BE178)*($BD178))*$BF178),IF($F178="wagon",1,1.2)))+$AY178</f>
        <v>85</v>
      </c>
      <c r="BJ178" s="14">
        <f t="shared" si="109"/>
        <v>60937.5</v>
      </c>
      <c r="BK178" s="14">
        <f t="shared" si="110"/>
        <v>6906.25</v>
      </c>
      <c r="BL178">
        <v>2</v>
      </c>
      <c r="BR178">
        <v>4</v>
      </c>
      <c r="BV178" t="str">
        <f>VLOOKUP(I178,Eras!$A$2:$C$10, 2, TRUE)</f>
        <v>dsl</v>
      </c>
      <c r="BW178" t="s">
        <v>326</v>
      </c>
      <c r="BX178" t="str">
        <f t="shared" si="111"/>
        <v>dsl_Mixed Traffic</v>
      </c>
      <c r="BY178" t="str">
        <f t="shared" si="112"/>
        <v>diesel_RAIL</v>
      </c>
      <c r="BZ178" s="17" t="str" cm="1">
        <f t="array" ref="BZ178">_xlfn.CONCAT("{BLACK}Length: {GOLD}", TEXT(ROUNDUP(IF(AP178&lt;&gt;"",SUM(VALUE(_xlfn.TEXTSPLIT(AP178, ","))), SUM(VALUE(_xlfn.TEXTSPLIT(AM178, ",")))*IF(L178, L178, 1))/16, 1), "#,##0.0"), " tiles{}")</f>
        <v>{BLACK}Length: {GOLD}0.5 tiles{}</v>
      </c>
      <c r="CA178" t="str">
        <f>VLOOKUP($BY178, Constants!$M:$N, 2, FALSE)</f>
        <v>{BLACK}Powered by: {GOLD}Diesel</v>
      </c>
      <c r="CB178" t="str">
        <f t="shared" si="121"/>
        <v/>
      </c>
      <c r="CC178" t="s">
        <v>356</v>
      </c>
      <c r="CD178" t="str">
        <f t="shared" si="120"/>
        <v/>
      </c>
      <c r="CE178" t="str">
        <f t="shared" si="98"/>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79" spans="1:83" x14ac:dyDescent="0.25">
      <c r="A179" t="s">
        <v>32</v>
      </c>
      <c r="B179" t="s">
        <v>168</v>
      </c>
      <c r="C179">
        <v>298</v>
      </c>
      <c r="D179">
        <v>83</v>
      </c>
      <c r="E179" t="s">
        <v>1508</v>
      </c>
      <c r="F179" t="s">
        <v>262</v>
      </c>
      <c r="G179" t="s">
        <v>1486</v>
      </c>
      <c r="H179" t="s">
        <v>274</v>
      </c>
      <c r="I179">
        <v>1958</v>
      </c>
      <c r="J179">
        <v>1961</v>
      </c>
      <c r="K179">
        <v>1966</v>
      </c>
      <c r="M179">
        <v>2750</v>
      </c>
      <c r="V179">
        <v>81</v>
      </c>
      <c r="W179" s="8">
        <v>45</v>
      </c>
      <c r="Y179">
        <v>169</v>
      </c>
      <c r="Z179" s="3">
        <f t="shared" si="101"/>
        <v>0.13412698412698412</v>
      </c>
      <c r="AA179">
        <v>90</v>
      </c>
      <c r="AB179">
        <f t="shared" si="119"/>
        <v>144</v>
      </c>
      <c r="AE179">
        <v>20.74</v>
      </c>
      <c r="AF179">
        <v>14</v>
      </c>
      <c r="AI179" s="10">
        <v>0</v>
      </c>
      <c r="AJ179" t="str">
        <f>CONCATENATE(VLOOKUP(AK179, 'Voxel Sizes'!$A$2:$B$18,2,FALSE),"x",INT(AG179*15), "x", INT(AH179*15))</f>
        <v>136x0x0</v>
      </c>
      <c r="AK179">
        <f t="shared" si="102"/>
        <v>8</v>
      </c>
      <c r="AL179" t="s">
        <v>635</v>
      </c>
      <c r="AM179" t="str">
        <f>CONCATENATE(VLOOKUP(AK179,Constants!$A$2:$C$16,IF(AL179&lt;&gt;"", 3, 2), FALSE),IF(AL179&lt;&gt;"",CONCATENATE(",",VLOOKUP(AL179,$B:$AM,38,FALSE)),""))</f>
        <v>2,4,2,2,1,2</v>
      </c>
      <c r="AU179">
        <v>1</v>
      </c>
      <c r="AW179">
        <v>9</v>
      </c>
      <c r="AX179" s="15">
        <f t="shared" si="103"/>
        <v>16</v>
      </c>
      <c r="BA179">
        <f t="shared" si="104"/>
        <v>18</v>
      </c>
      <c r="BB179">
        <f t="shared" si="105"/>
        <v>13.75</v>
      </c>
      <c r="BC179">
        <f t="shared" si="106"/>
        <v>8.4499999999999993</v>
      </c>
      <c r="BD179" s="3">
        <f t="shared" si="107"/>
        <v>0.92266666666666663</v>
      </c>
      <c r="BE179">
        <f t="shared" si="108"/>
        <v>0</v>
      </c>
      <c r="BF179">
        <f>VLOOKUP($G179,Constants!$I:$K, 2, FALSE)</f>
        <v>1</v>
      </c>
      <c r="BG179">
        <f>VLOOKUP($G179,Constants!$I:$K, 3, FALSE)*IF(AND(F179="multiple_unit",AA179&lt;110),0.75,1)</f>
        <v>2</v>
      </c>
      <c r="BH179">
        <f>INT(POWER(((Constants!$G$2+$BA179+$BB179+$BC179+$BE179)*$BD179)*$BG179, 1.05))+$AZ179</f>
        <v>104</v>
      </c>
      <c r="BI179">
        <f>INT(POWER((((Constants!$G$1+$BA179+$BB179+$BC179+$BE179)*($BD179))*$BF179),IF($F179="wagon",1,1.2)))+$AY179</f>
        <v>111</v>
      </c>
      <c r="BJ179" s="14">
        <f t="shared" si="109"/>
        <v>81250</v>
      </c>
      <c r="BK179" s="14">
        <f t="shared" si="110"/>
        <v>9018.75</v>
      </c>
      <c r="BR179">
        <v>5</v>
      </c>
      <c r="BV179" t="str">
        <f>VLOOKUP(I179,Eras!$A$2:$C$10, 2, TRUE)</f>
        <v>dsl</v>
      </c>
      <c r="BW179" t="s">
        <v>327</v>
      </c>
      <c r="BX179" t="str">
        <f t="shared" si="111"/>
        <v>dsl_Express</v>
      </c>
      <c r="BY179" t="str">
        <f t="shared" si="112"/>
        <v>gas_turbine_RAIL</v>
      </c>
      <c r="BZ179" s="17" t="str" cm="1">
        <f t="array" ref="BZ179">_xlfn.CONCAT("{BLACK}Length: {GOLD}", TEXT(ROUNDUP(IF(AP179&lt;&gt;"",SUM(VALUE(_xlfn.TEXTSPLIT(AP179, ","))), SUM(VALUE(_xlfn.TEXTSPLIT(AM179, ",")))*IF(L179, L179, 1))/16, 1), "#,##0.0"), " tiles{}")</f>
        <v>{BLACK}Length: {GOLD}0.9 tiles{}</v>
      </c>
      <c r="CA179" t="str">
        <f>VLOOKUP($BY179, Constants!$M:$N, 2, FALSE)</f>
        <v>{BLACK}Powered by: {GOLD}Gas Turbine</v>
      </c>
      <c r="CB179" t="str">
        <f t="shared" si="121"/>
        <v/>
      </c>
      <c r="CC179" t="s">
        <v>514</v>
      </c>
      <c r="CD179" t="str">
        <f t="shared" si="120"/>
        <v/>
      </c>
      <c r="CE179" t="str">
        <f t="shared" si="98"/>
        <v>{BLACK}Powered by: {GOLD}Gas Turbine {}{BLACK}Length: {GOLD}0.9 tiles{}{SILVER}The GT3 was part of a programme to test gas turbine locomotives. It used a conventional steam driving wheel arrangement to keep the design simple.</v>
      </c>
    </row>
    <row r="180" spans="1:83" x14ac:dyDescent="0.25">
      <c r="A180" t="s">
        <v>36</v>
      </c>
      <c r="B180" t="s">
        <v>169</v>
      </c>
      <c r="C180">
        <v>300</v>
      </c>
      <c r="D180">
        <v>84</v>
      </c>
      <c r="E180" t="s">
        <v>1508</v>
      </c>
      <c r="F180" t="s">
        <v>262</v>
      </c>
      <c r="G180" t="s">
        <v>272</v>
      </c>
      <c r="H180" t="s">
        <v>274</v>
      </c>
      <c r="I180">
        <v>1958</v>
      </c>
      <c r="J180">
        <v>1961</v>
      </c>
      <c r="K180">
        <v>1972</v>
      </c>
      <c r="M180">
        <f>1035*2</f>
        <v>2070</v>
      </c>
      <c r="V180">
        <v>79.3</v>
      </c>
      <c r="Y180">
        <v>214</v>
      </c>
      <c r="Z180" s="3">
        <f t="shared" si="101"/>
        <v>0.26986128625472888</v>
      </c>
      <c r="AA180">
        <v>90</v>
      </c>
      <c r="AB180">
        <f t="shared" si="119"/>
        <v>144</v>
      </c>
      <c r="AE180">
        <v>18.29</v>
      </c>
      <c r="AF180">
        <v>18.29</v>
      </c>
      <c r="AH180">
        <v>3.67</v>
      </c>
      <c r="AI180" s="10">
        <v>0</v>
      </c>
      <c r="AJ180" t="str">
        <f>CONCATENATE(VLOOKUP(AK180, 'Voxel Sizes'!$A$2:$B$18,2,FALSE),"x",INT(AG180*15), "x", INT(AH180*15))</f>
        <v>186x0x55</v>
      </c>
      <c r="AK180">
        <f t="shared" si="102"/>
        <v>11</v>
      </c>
      <c r="AM180" t="str">
        <f>CONCATENATE(VLOOKUP(AK180,Constants!$A$2:$C$16,IF(AL180&lt;&gt;"", 3, 2), FALSE),IF(AL180&lt;&gt;"",CONCATENATE(",",VLOOKUP(AL180,$B:$AM,38,FALSE)),""))</f>
        <v>4,3,4</v>
      </c>
      <c r="AW180">
        <v>32</v>
      </c>
      <c r="AX180" s="15">
        <f t="shared" si="103"/>
        <v>22</v>
      </c>
      <c r="BA180">
        <f t="shared" si="104"/>
        <v>18</v>
      </c>
      <c r="BB180">
        <f t="shared" si="105"/>
        <v>10.35</v>
      </c>
      <c r="BC180">
        <f t="shared" si="106"/>
        <v>10.700000000000001</v>
      </c>
      <c r="BD180" s="3">
        <f t="shared" si="107"/>
        <v>0.92266666666666663</v>
      </c>
      <c r="BE180">
        <f t="shared" si="108"/>
        <v>0</v>
      </c>
      <c r="BF180">
        <f>VLOOKUP($G180,Constants!$I:$K, 2, FALSE)</f>
        <v>1</v>
      </c>
      <c r="BG180">
        <f>VLOOKUP($G180,Constants!$I:$K, 3, FALSE)*IF(AND(F180="multiple_unit",AA180&lt;110),0.75,1)</f>
        <v>2</v>
      </c>
      <c r="BH180">
        <f>INT(POWER(((Constants!$G$2+$BA180+$BB180+$BC180+$BE180)*$BD180)*$BG180, 1.05))+$AZ180</f>
        <v>101</v>
      </c>
      <c r="BI180">
        <f>INT(POWER((((Constants!$G$1+$BA180+$BB180+$BC180+$BE180)*($BD180))*$BF180),IF($F180="wagon",1,1.2)))+$AY180</f>
        <v>108</v>
      </c>
      <c r="BJ180" s="14">
        <f t="shared" si="109"/>
        <v>78906.25</v>
      </c>
      <c r="BK180" s="14">
        <f t="shared" si="110"/>
        <v>8775</v>
      </c>
      <c r="BR180">
        <v>6</v>
      </c>
      <c r="BV180" t="str">
        <f>VLOOKUP(I180,Eras!$A$2:$C$10, 2, TRUE)</f>
        <v>dsl</v>
      </c>
      <c r="BW180" t="s">
        <v>376</v>
      </c>
      <c r="BX180" t="str">
        <f t="shared" si="111"/>
        <v>dsl_Passenger</v>
      </c>
      <c r="BY180" t="str">
        <f t="shared" si="112"/>
        <v>diesel_RAIL</v>
      </c>
      <c r="BZ180" s="17" t="str" cm="1">
        <f t="array" ref="BZ180">_xlfn.CONCAT("{BLACK}Length: {GOLD}", TEXT(ROUNDUP(IF(AP180&lt;&gt;"",SUM(VALUE(_xlfn.TEXTSPLIT(AP180, ","))), SUM(VALUE(_xlfn.TEXTSPLIT(AM180, ",")))*IF(L180, L180, 1))/16, 1), "#,##0.0"), " tiles{}")</f>
        <v>{BLACK}Length: {GOLD}0.7 tiles{}</v>
      </c>
      <c r="CA180" t="str">
        <f>VLOOKUP($BY180, Constants!$M:$N, 2, FALSE)</f>
        <v>{BLACK}Powered by: {GOLD}Diesel</v>
      </c>
      <c r="CB180" t="str">
        <f t="shared" si="121"/>
        <v/>
      </c>
      <c r="CC180" t="s">
        <v>516</v>
      </c>
      <c r="CD180" t="str">
        <f t="shared" si="120"/>
        <v/>
      </c>
      <c r="CE180" t="str">
        <f t="shared" si="98"/>
        <v>{BLACK}Powered by: {GOLD}Diesel {}{BLACK}Length: {GOLD}0.7 tiles{}{SILVER}The Class 42 is based on the German V200 design, scaled down to fit the smaller British loading gauge and built under licence by British manufacturers.</v>
      </c>
    </row>
    <row r="181" spans="1:83" x14ac:dyDescent="0.25">
      <c r="A181" t="s">
        <v>41</v>
      </c>
      <c r="B181" t="s">
        <v>518</v>
      </c>
      <c r="C181">
        <v>302</v>
      </c>
      <c r="D181">
        <v>85</v>
      </c>
      <c r="E181" t="s">
        <v>1508</v>
      </c>
      <c r="F181" t="s">
        <v>262</v>
      </c>
      <c r="G181" t="s">
        <v>272</v>
      </c>
      <c r="H181" t="s">
        <v>274</v>
      </c>
      <c r="I181">
        <v>1958</v>
      </c>
      <c r="J181">
        <v>1962</v>
      </c>
      <c r="K181">
        <v>1985</v>
      </c>
      <c r="M181">
        <v>2000</v>
      </c>
      <c r="V181">
        <v>135</v>
      </c>
      <c r="Y181">
        <v>231</v>
      </c>
      <c r="Z181" s="3">
        <f t="shared" si="101"/>
        <v>0.1711111111111111</v>
      </c>
      <c r="AA181">
        <v>90</v>
      </c>
      <c r="AB181">
        <f t="shared" si="119"/>
        <v>144</v>
      </c>
      <c r="AE181">
        <v>21.18</v>
      </c>
      <c r="AF181">
        <v>21.18</v>
      </c>
      <c r="AH181">
        <v>3.91</v>
      </c>
      <c r="AI181" s="10">
        <v>0</v>
      </c>
      <c r="AJ181" t="str">
        <f>CONCATENATE(VLOOKUP(AK181, 'Voxel Sizes'!$A$2:$B$18,2,FALSE),"x",INT(AG181*15), "x", INT(AH181*15))</f>
        <v>198x0x58</v>
      </c>
      <c r="AK181">
        <f t="shared" si="102"/>
        <v>12</v>
      </c>
      <c r="AM181" t="str">
        <f>CONCATENATE(VLOOKUP(AK181,Constants!$A$2:$C$16,IF(AL181&lt;&gt;"", 3, 2), FALSE),IF(AL181&lt;&gt;"",CONCATENATE(",",VLOOKUP(AL181,$B:$AM,38,FALSE)),""))</f>
        <v>4,4,4</v>
      </c>
      <c r="AW181">
        <v>29</v>
      </c>
      <c r="AX181" s="15">
        <f t="shared" si="103"/>
        <v>35</v>
      </c>
      <c r="BA181">
        <f t="shared" si="104"/>
        <v>18</v>
      </c>
      <c r="BB181">
        <f t="shared" si="105"/>
        <v>10</v>
      </c>
      <c r="BC181">
        <f t="shared" si="106"/>
        <v>11.55</v>
      </c>
      <c r="BD181" s="3">
        <f t="shared" si="107"/>
        <v>0.92266666666666663</v>
      </c>
      <c r="BE181">
        <f t="shared" si="108"/>
        <v>0</v>
      </c>
      <c r="BF181">
        <f>VLOOKUP($G181,Constants!$I:$K, 2, FALSE)</f>
        <v>1</v>
      </c>
      <c r="BG181">
        <f>VLOOKUP($G181,Constants!$I:$K, 3, FALSE)*IF(AND(F181="multiple_unit",AA181&lt;110),0.75,1)</f>
        <v>2</v>
      </c>
      <c r="BH181">
        <f>INT(POWER(((Constants!$G$2+$BA181+$BB181+$BC181+$BE181)*$BD181)*$BG181, 1.05))+$AZ181</f>
        <v>102</v>
      </c>
      <c r="BI181">
        <f>INT(POWER((((Constants!$G$1+$BA181+$BB181+$BC181+$BE181)*($BD181))*$BF181),IF($F181="wagon",1,1.2)))+$AY181</f>
        <v>110</v>
      </c>
      <c r="BJ181" s="14">
        <f t="shared" si="109"/>
        <v>79687.5</v>
      </c>
      <c r="BK181" s="14">
        <f t="shared" si="110"/>
        <v>8937.5</v>
      </c>
      <c r="BR181">
        <v>7</v>
      </c>
      <c r="BV181" t="str">
        <f>VLOOKUP(I181,Eras!$A$2:$C$10, 2, TRUE)</f>
        <v>dsl</v>
      </c>
      <c r="BW181" t="s">
        <v>327</v>
      </c>
      <c r="BX181" t="str">
        <f t="shared" si="111"/>
        <v>dsl_Express</v>
      </c>
      <c r="BY181" t="str">
        <f t="shared" si="112"/>
        <v>diesel_RAIL</v>
      </c>
      <c r="BZ181" s="17" t="str" cm="1">
        <f t="array" ref="BZ181">_xlfn.CONCAT("{BLACK}Length: {GOLD}", TEXT(ROUNDUP(IF(AP181&lt;&gt;"",SUM(VALUE(_xlfn.TEXTSPLIT(AP181, ","))), SUM(VALUE(_xlfn.TEXTSPLIT(AM181, ",")))*IF(L181, L181, 1))/16, 1), "#,##0.0"), " tiles{}")</f>
        <v>{BLACK}Length: {GOLD}0.8 tiles{}</v>
      </c>
      <c r="CA181" t="str">
        <f>VLOOKUP($BY181, Constants!$M:$N, 2, FALSE)</f>
        <v>{BLACK}Powered by: {GOLD}Diesel</v>
      </c>
      <c r="CB181" t="str">
        <f t="shared" si="121"/>
        <v/>
      </c>
      <c r="CC181" t="s">
        <v>517</v>
      </c>
      <c r="CD181" t="str">
        <f t="shared" si="120"/>
        <v/>
      </c>
      <c r="CE181" t="str">
        <f t="shared" si="98"/>
        <v>{BLACK}Powered by: {GOLD}Diesel {}{BLACK}Length: {GOLD}0.8 tiles{}{SILVER}Initially unwanted due to the small improvement in performance over the Class 7 Britannia, the Class 40 (English Electric Type 4) found its home on the West Coast Main Line.</v>
      </c>
    </row>
    <row r="182" spans="1:83" x14ac:dyDescent="0.25">
      <c r="A182" t="s">
        <v>42</v>
      </c>
      <c r="B182" t="s">
        <v>297</v>
      </c>
      <c r="C182">
        <v>304</v>
      </c>
      <c r="D182">
        <v>86</v>
      </c>
      <c r="E182" t="s">
        <v>1508</v>
      </c>
      <c r="F182" t="s">
        <v>262</v>
      </c>
      <c r="G182" t="s">
        <v>272</v>
      </c>
      <c r="H182" t="s">
        <v>274</v>
      </c>
      <c r="I182">
        <v>1958</v>
      </c>
      <c r="J182">
        <v>1959</v>
      </c>
      <c r="K182">
        <v>1968</v>
      </c>
      <c r="M182">
        <v>1200</v>
      </c>
      <c r="V182">
        <v>98.6</v>
      </c>
      <c r="Y182">
        <v>222</v>
      </c>
      <c r="Z182" s="3">
        <f t="shared" si="101"/>
        <v>0.22515212981744423</v>
      </c>
      <c r="AA182">
        <v>75</v>
      </c>
      <c r="AB182">
        <f t="shared" si="119"/>
        <v>120</v>
      </c>
      <c r="AE182">
        <v>17.260000000000002</v>
      </c>
      <c r="AF182">
        <v>17.260000000000002</v>
      </c>
      <c r="AH182">
        <v>3.7</v>
      </c>
      <c r="AI182" s="10">
        <v>0</v>
      </c>
      <c r="AJ182" t="str">
        <f>CONCATENATE(VLOOKUP(AK182, 'Voxel Sizes'!$A$2:$B$18,2,FALSE),"x",INT(AG182*15), "x", INT(AH182*15))</f>
        <v>164x0x55</v>
      </c>
      <c r="AK182">
        <f t="shared" si="102"/>
        <v>10</v>
      </c>
      <c r="AM182" t="str">
        <f>CONCATENATE(VLOOKUP(AK182,Constants!$A$2:$C$16,IF(AL182&lt;&gt;"", 3, 2), FALSE),IF(AL182&lt;&gt;"",CONCATENATE(",",VLOOKUP(AL182,$B:$AM,38,FALSE)),""))</f>
        <v>4,2,4</v>
      </c>
      <c r="AW182">
        <v>21</v>
      </c>
      <c r="AX182" s="15">
        <f t="shared" si="103"/>
        <v>18</v>
      </c>
      <c r="BA182">
        <f t="shared" si="104"/>
        <v>15</v>
      </c>
      <c r="BB182">
        <f t="shared" si="105"/>
        <v>6</v>
      </c>
      <c r="BC182">
        <f t="shared" si="106"/>
        <v>11.100000000000001</v>
      </c>
      <c r="BD182" s="3">
        <f t="shared" si="107"/>
        <v>0.92266666666666663</v>
      </c>
      <c r="BE182">
        <f t="shared" si="108"/>
        <v>0</v>
      </c>
      <c r="BF182">
        <f>VLOOKUP($G182,Constants!$I:$K, 2, FALSE)</f>
        <v>1</v>
      </c>
      <c r="BG182">
        <f>VLOOKUP($G182,Constants!$I:$K, 3, FALSE)*IF(AND(F182="multiple_unit",AA182&lt;110),0.75,1)</f>
        <v>2</v>
      </c>
      <c r="BH182">
        <f>INT(POWER(((Constants!$G$2+$BA182+$BB182+$BC182+$BE182)*$BD182)*$BG182, 1.05))+$AZ182</f>
        <v>84</v>
      </c>
      <c r="BI182">
        <f>INT(POWER((((Constants!$G$1+$BA182+$BB182+$BC182+$BE182)*($BD182))*$BF182),IF($F182="wagon",1,1.2)))+$AY182</f>
        <v>92</v>
      </c>
      <c r="BJ182" s="14">
        <f t="shared" si="109"/>
        <v>65625</v>
      </c>
      <c r="BK182" s="14">
        <f t="shared" si="110"/>
        <v>7475</v>
      </c>
      <c r="BR182">
        <v>8</v>
      </c>
      <c r="BV182" t="str">
        <f>VLOOKUP(I182,Eras!$A$2:$C$10, 2, TRUE)</f>
        <v>dsl</v>
      </c>
      <c r="BW182" t="s">
        <v>326</v>
      </c>
      <c r="BX182" t="str">
        <f t="shared" si="111"/>
        <v>dsl_Mixed Traffic</v>
      </c>
      <c r="BY182" t="str">
        <f t="shared" si="112"/>
        <v>diesel_RAIL</v>
      </c>
      <c r="BZ182" s="17" t="str" cm="1">
        <f t="array" ref="BZ182">_xlfn.CONCAT("{BLACK}Length: {GOLD}", TEXT(ROUNDUP(IF(AP182&lt;&gt;"",SUM(VALUE(_xlfn.TEXTSPLIT(AP182, ","))), SUM(VALUE(_xlfn.TEXTSPLIT(AM182, ",")))*IF(L182, L182, 1))/16, 1), "#,##0.0"), " tiles{}")</f>
        <v>{BLACK}Length: {GOLD}0.7 tiles{}</v>
      </c>
      <c r="CA182" t="str">
        <f>VLOOKUP($BY182, Constants!$M:$N, 2, FALSE)</f>
        <v>{BLACK}Powered by: {GOLD}Diesel</v>
      </c>
      <c r="CB182" t="str">
        <f t="shared" si="121"/>
        <v/>
      </c>
      <c r="CC182" t="s">
        <v>357</v>
      </c>
      <c r="CD182" t="str">
        <f t="shared" si="120"/>
        <v/>
      </c>
      <c r="CE182" t="str">
        <f t="shared" si="98"/>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3" spans="1:83" x14ac:dyDescent="0.25">
      <c r="A183" t="s">
        <v>64</v>
      </c>
      <c r="B183" t="s">
        <v>215</v>
      </c>
      <c r="C183">
        <v>306</v>
      </c>
      <c r="D183">
        <v>87</v>
      </c>
      <c r="E183" t="s">
        <v>1508</v>
      </c>
      <c r="F183" t="s">
        <v>262</v>
      </c>
      <c r="G183" t="s">
        <v>295</v>
      </c>
      <c r="H183" t="s">
        <v>302</v>
      </c>
      <c r="I183">
        <v>1958</v>
      </c>
      <c r="J183">
        <v>1960</v>
      </c>
      <c r="K183">
        <v>1977</v>
      </c>
      <c r="M183">
        <v>2300</v>
      </c>
      <c r="V183">
        <v>78.239999999999995</v>
      </c>
      <c r="Y183">
        <v>195</v>
      </c>
      <c r="Z183" s="3">
        <f t="shared" si="101"/>
        <v>0.24923312883435583</v>
      </c>
      <c r="AA183">
        <v>90</v>
      </c>
      <c r="AB183">
        <f t="shared" si="119"/>
        <v>144</v>
      </c>
      <c r="AE183">
        <v>16.36</v>
      </c>
      <c r="AF183">
        <v>16.36</v>
      </c>
      <c r="AI183" s="10">
        <v>0</v>
      </c>
      <c r="AJ183" t="str">
        <f>CONCATENATE(VLOOKUP(AK183, 'Voxel Sizes'!$A$2:$B$18,2,FALSE),"x",INT(AG183*15), "x", INT(AH183*15))</f>
        <v>164x0x0</v>
      </c>
      <c r="AK183">
        <f t="shared" si="102"/>
        <v>10</v>
      </c>
      <c r="AM183" t="str">
        <f>CONCATENATE(VLOOKUP(AK183,Constants!$A$2:$C$16,IF(AL183&lt;&gt;"", 3, 2), FALSE),IF(AL183&lt;&gt;"",CONCATENATE(",",VLOOKUP(AL183,$B:$AM,38,FALSE)),""))</f>
        <v>4,2,4</v>
      </c>
      <c r="AW183">
        <v>32</v>
      </c>
      <c r="AX183" s="15">
        <f t="shared" si="103"/>
        <v>27</v>
      </c>
      <c r="BA183">
        <f t="shared" si="104"/>
        <v>18</v>
      </c>
      <c r="BB183">
        <f t="shared" si="105"/>
        <v>11.5</v>
      </c>
      <c r="BC183">
        <f t="shared" si="106"/>
        <v>9.75</v>
      </c>
      <c r="BD183" s="3">
        <f t="shared" si="107"/>
        <v>0.92266666666666663</v>
      </c>
      <c r="BE183">
        <f t="shared" si="108"/>
        <v>0</v>
      </c>
      <c r="BF183">
        <f>VLOOKUP($G183,Constants!$I:$K, 2, FALSE)</f>
        <v>0.85</v>
      </c>
      <c r="BG183">
        <f>VLOOKUP($G183,Constants!$I:$K, 3, FALSE)*IF(AND(F183="multiple_unit",AA183&lt;110),0.75,1)</f>
        <v>2.2999999999999998</v>
      </c>
      <c r="BH183">
        <f>INT(POWER(((Constants!$G$2+$BA183+$BB183+$BC183+$BE183)*$BD183)*$BG183, 1.05))+$AZ183</f>
        <v>117</v>
      </c>
      <c r="BI183">
        <f>INT(POWER((((Constants!$G$1+$BA183+$BB183+$BC183+$BE183)*($BD183))*$BF183),IF($F183="wagon",1,1.2)))+$AY183</f>
        <v>90</v>
      </c>
      <c r="BJ183" s="14">
        <f t="shared" si="109"/>
        <v>91406.25</v>
      </c>
      <c r="BK183" s="14">
        <f t="shared" si="110"/>
        <v>7312.5</v>
      </c>
      <c r="BR183">
        <v>9</v>
      </c>
      <c r="BV183" t="str">
        <f>VLOOKUP(I183,Eras!$A$2:$C$10, 2, TRUE)</f>
        <v>dsl</v>
      </c>
      <c r="BW183" t="s">
        <v>336</v>
      </c>
      <c r="BX183" t="str">
        <f t="shared" si="111"/>
        <v>dsl_MT (Electric)</v>
      </c>
      <c r="BY183" t="str">
        <f t="shared" si="112"/>
        <v>electric_THIRD_RAIL</v>
      </c>
      <c r="BZ183" s="17" t="str" cm="1">
        <f t="array" ref="BZ183">_xlfn.CONCAT("{BLACK}Length: {GOLD}", TEXT(ROUNDUP(IF(AP183&lt;&gt;"",SUM(VALUE(_xlfn.TEXTSPLIT(AP183, ","))), SUM(VALUE(_xlfn.TEXTSPLIT(AM183, ",")))*IF(L183, L183, 1))/16, 1), "#,##0.0"), " tiles{}")</f>
        <v>{BLACK}Length: {GOLD}0.7 tiles{}</v>
      </c>
      <c r="CA183" t="str">
        <f>VLOOKUP($BY183, Constants!$M:$N, 2, FALSE)</f>
        <v>{BLACK}Powered by: {GOLD}750V DC</v>
      </c>
      <c r="CB183" t="str">
        <f t="shared" si="121"/>
        <v/>
      </c>
      <c r="CC183" t="s">
        <v>358</v>
      </c>
      <c r="CD183" t="str">
        <f t="shared" si="120"/>
        <v/>
      </c>
      <c r="CE183" t="str">
        <f t="shared" si="98"/>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184" spans="1:83" x14ac:dyDescent="0.25">
      <c r="A184" t="s">
        <v>532</v>
      </c>
      <c r="B184" t="s">
        <v>534</v>
      </c>
      <c r="C184">
        <v>308</v>
      </c>
      <c r="D184">
        <v>88</v>
      </c>
      <c r="E184" t="s">
        <v>1508</v>
      </c>
      <c r="F184" t="s">
        <v>262</v>
      </c>
      <c r="G184" t="s">
        <v>272</v>
      </c>
      <c r="H184" t="s">
        <v>274</v>
      </c>
      <c r="I184">
        <v>1958</v>
      </c>
      <c r="J184">
        <v>1959</v>
      </c>
      <c r="K184">
        <v>1994</v>
      </c>
      <c r="M184">
        <v>1160</v>
      </c>
      <c r="V184">
        <v>78.7</v>
      </c>
      <c r="Y184">
        <v>187</v>
      </c>
      <c r="Z184" s="3">
        <f t="shared" si="101"/>
        <v>0.23761118170266837</v>
      </c>
      <c r="AA184">
        <v>80</v>
      </c>
      <c r="AB184">
        <f t="shared" si="119"/>
        <v>128</v>
      </c>
      <c r="AE184">
        <v>15.47</v>
      </c>
      <c r="AF184">
        <v>15.47</v>
      </c>
      <c r="AH184">
        <v>3.86</v>
      </c>
      <c r="AI184" s="10">
        <v>0</v>
      </c>
      <c r="AJ184" t="str">
        <f>CONCATENATE(VLOOKUP(AK184, 'Voxel Sizes'!$A$2:$B$18,2,FALSE),"x",INT(AG184*15), "x", INT(AH184*15))</f>
        <v>152x0x57</v>
      </c>
      <c r="AK184">
        <f t="shared" si="102"/>
        <v>9</v>
      </c>
      <c r="AM184" t="str">
        <f>CONCATENATE(VLOOKUP(AK184,Constants!$A$2:$C$16,IF(AL184&lt;&gt;"", 3, 2), FALSE),IF(AL184&lt;&gt;"",CONCATENATE(",",VLOOKUP(AL184,$B:$AM,38,FALSE)),""))</f>
        <v>2,5,2</v>
      </c>
      <c r="AW184">
        <v>30</v>
      </c>
      <c r="AX184" s="15">
        <f t="shared" si="103"/>
        <v>44</v>
      </c>
      <c r="BA184">
        <f t="shared" si="104"/>
        <v>16</v>
      </c>
      <c r="BB184">
        <f t="shared" si="105"/>
        <v>5.8</v>
      </c>
      <c r="BC184">
        <f t="shared" si="106"/>
        <v>9.3500000000000014</v>
      </c>
      <c r="BD184" s="3">
        <f t="shared" si="107"/>
        <v>0.92266666666666663</v>
      </c>
      <c r="BE184">
        <f t="shared" si="108"/>
        <v>0</v>
      </c>
      <c r="BF184">
        <f>VLOOKUP($G184,Constants!$I:$K, 2, FALSE)</f>
        <v>1</v>
      </c>
      <c r="BG184">
        <f>VLOOKUP($G184,Constants!$I:$K, 3, FALSE)*IF(AND(F184="multiple_unit",AA184&lt;110),0.75,1)</f>
        <v>2</v>
      </c>
      <c r="BH184">
        <f>INT(POWER(((Constants!$G$2+$BA184+$BB184+$BC184+$BE184)*$BD184)*$BG184, 1.05))+$AZ184</f>
        <v>82</v>
      </c>
      <c r="BI184">
        <f>INT(POWER((((Constants!$G$1+$BA184+$BB184+$BC184+$BE184)*($BD184))*$BF184),IF($F184="wagon",1,1.2)))+$AY184</f>
        <v>90</v>
      </c>
      <c r="BJ184" s="14">
        <f t="shared" si="109"/>
        <v>64062.5</v>
      </c>
      <c r="BK184" s="14">
        <f t="shared" si="110"/>
        <v>7312.5</v>
      </c>
      <c r="BR184">
        <v>10</v>
      </c>
      <c r="BV184" t="str">
        <f>VLOOKUP(I184,Eras!$A$2:$C$10, 2, TRUE)</f>
        <v>dsl</v>
      </c>
      <c r="BW184" t="s">
        <v>326</v>
      </c>
      <c r="BX184" t="str">
        <f t="shared" si="111"/>
        <v>dsl_Mixed Traffic</v>
      </c>
      <c r="BY184" t="str">
        <f t="shared" si="112"/>
        <v>diesel_RAIL</v>
      </c>
      <c r="BZ184" s="17" t="str" cm="1">
        <f t="array" ref="BZ184">_xlfn.CONCAT("{BLACK}Length: {GOLD}", TEXT(ROUNDUP(IF(AP184&lt;&gt;"",SUM(VALUE(_xlfn.TEXTSPLIT(AP184, ","))), SUM(VALUE(_xlfn.TEXTSPLIT(AM184, ",")))*IF(L184, L184, 1))/16, 1), "#,##0.0"), " tiles{}")</f>
        <v>{BLACK}Length: {GOLD}0.6 tiles{}</v>
      </c>
      <c r="CA184" t="str">
        <f>VLOOKUP($BY184, Constants!$M:$N, 2, FALSE)</f>
        <v>{BLACK}Powered by: {GOLD}Diesel</v>
      </c>
      <c r="CB184" t="str">
        <f t="shared" si="121"/>
        <v/>
      </c>
      <c r="CC184" t="s">
        <v>533</v>
      </c>
      <c r="CD184" t="str">
        <f t="shared" si="120"/>
        <v/>
      </c>
      <c r="CE184" t="str">
        <f t="shared" si="98"/>
        <v>{BLACK}Powered by: {GOLD}Diesel {}{BLACK}Length: {GOLD}0.6 tiles{}{SILVER}The Class 26 "Teacup" (so named for its idling sound) was an early Type 2 locomotive, small diesels with engine output between 800 and 1,250 hp.</v>
      </c>
    </row>
    <row r="185" spans="1:83" x14ac:dyDescent="0.25">
      <c r="A185" t="s">
        <v>39</v>
      </c>
      <c r="B185" t="s">
        <v>266</v>
      </c>
      <c r="C185">
        <v>310</v>
      </c>
      <c r="D185">
        <v>89</v>
      </c>
      <c r="E185" t="s">
        <v>1508</v>
      </c>
      <c r="F185" t="s">
        <v>262</v>
      </c>
      <c r="G185" t="s">
        <v>272</v>
      </c>
      <c r="H185" t="s">
        <v>274</v>
      </c>
      <c r="I185">
        <v>1959</v>
      </c>
      <c r="J185">
        <v>1959</v>
      </c>
      <c r="K185">
        <v>1971</v>
      </c>
      <c r="M185">
        <v>1100</v>
      </c>
      <c r="V185">
        <v>75.2</v>
      </c>
      <c r="Y185">
        <v>209</v>
      </c>
      <c r="Z185" s="3">
        <f t="shared" si="101"/>
        <v>0.27792553191489361</v>
      </c>
      <c r="AA185">
        <v>75</v>
      </c>
      <c r="AB185">
        <f t="shared" si="119"/>
        <v>120</v>
      </c>
      <c r="AE185">
        <v>16</v>
      </c>
      <c r="AF185">
        <v>16</v>
      </c>
      <c r="AH185">
        <v>3.86</v>
      </c>
      <c r="AI185" s="10">
        <v>0</v>
      </c>
      <c r="AJ185" t="str">
        <f>CONCATENATE(VLOOKUP(AK185, 'Voxel Sizes'!$A$2:$B$18,2,FALSE),"x",INT(AG185*15), "x", INT(AH185*15))</f>
        <v>152x0x57</v>
      </c>
      <c r="AK185">
        <f t="shared" si="102"/>
        <v>9</v>
      </c>
      <c r="AM185" t="str">
        <f>CONCATENATE(VLOOKUP(AK185,Constants!$A$2:$C$16,IF(AL185&lt;&gt;"", 3, 2), FALSE),IF(AL185&lt;&gt;"",CONCATENATE(",",VLOOKUP(AL185,$B:$AM,38,FALSE)),""))</f>
        <v>2,5,2</v>
      </c>
      <c r="AW185">
        <v>26</v>
      </c>
      <c r="AX185" s="15">
        <f t="shared" si="103"/>
        <v>20</v>
      </c>
      <c r="BA185">
        <f t="shared" si="104"/>
        <v>15</v>
      </c>
      <c r="BB185">
        <f t="shared" si="105"/>
        <v>5.5</v>
      </c>
      <c r="BC185">
        <f t="shared" si="106"/>
        <v>10.45</v>
      </c>
      <c r="BD185" s="3">
        <f t="shared" si="107"/>
        <v>0.92133333333333334</v>
      </c>
      <c r="BE185">
        <f t="shared" si="108"/>
        <v>0</v>
      </c>
      <c r="BF185">
        <f>VLOOKUP($G185,Constants!$I:$K, 2, FALSE)</f>
        <v>1</v>
      </c>
      <c r="BG185">
        <f>VLOOKUP($G185,Constants!$I:$K, 3, FALSE)*IF(AND(F185="multiple_unit",AA185&lt;110),0.75,1)</f>
        <v>2</v>
      </c>
      <c r="BH185">
        <f>INT(POWER(((Constants!$G$2+$BA185+$BB185+$BC185+$BE185)*$BD185)*$BG185, 1.05))+$AZ185</f>
        <v>81</v>
      </c>
      <c r="BI185">
        <f>INT(POWER((((Constants!$G$1+$BA185+$BB185+$BC185+$BE185)*($BD185))*$BF185),IF($F185="wagon",1,1.2)))+$AY185</f>
        <v>89</v>
      </c>
      <c r="BJ185" s="14">
        <f t="shared" si="109"/>
        <v>63281.25</v>
      </c>
      <c r="BK185" s="14">
        <f t="shared" si="110"/>
        <v>7231.25</v>
      </c>
      <c r="BR185">
        <v>11</v>
      </c>
      <c r="BV185" t="str">
        <f>VLOOKUP(I185,Eras!$A$2:$C$10, 2, TRUE)</f>
        <v>dsl</v>
      </c>
      <c r="BW185" t="s">
        <v>326</v>
      </c>
      <c r="BX185" t="str">
        <f t="shared" si="111"/>
        <v>dsl_Mixed Traffic</v>
      </c>
      <c r="BY185" t="str">
        <f t="shared" si="112"/>
        <v>diesel_RAIL</v>
      </c>
      <c r="BZ185" s="17" t="str" cm="1">
        <f t="array" ref="BZ185">_xlfn.CONCAT("{BLACK}Length: {GOLD}", TEXT(ROUNDUP(IF(AP185&lt;&gt;"",SUM(VALUE(_xlfn.TEXTSPLIT(AP185, ","))), SUM(VALUE(_xlfn.TEXTSPLIT(AM185, ",")))*IF(L185, L185, 1))/16, 1), "#,##0.0"), " tiles{}")</f>
        <v>{BLACK}Length: {GOLD}0.6 tiles{}</v>
      </c>
      <c r="CA185" t="str">
        <f>VLOOKUP($BY185, Constants!$M:$N, 2, FALSE)</f>
        <v>{BLACK}Powered by: {GOLD}Diesel</v>
      </c>
      <c r="CB185" t="str">
        <f t="shared" si="121"/>
        <v/>
      </c>
      <c r="CC185" t="s">
        <v>366</v>
      </c>
      <c r="CD185" t="str">
        <f t="shared" si="120"/>
        <v/>
      </c>
      <c r="CE185" t="str">
        <f t="shared" si="98"/>
        <v>{BLACK}Powered by: {GOLD}Diesel {}{BLACK}Length: {GOLD}0.6 tiles{}{SILVER}The Class 23 uses a smaller version of the Napier Deltic engine fitted to the Class 55, leading to its nickname of "Baby Deltic".</v>
      </c>
    </row>
    <row r="186" spans="1:83" x14ac:dyDescent="0.25">
      <c r="A186" t="s">
        <v>59</v>
      </c>
      <c r="B186" t="s">
        <v>216</v>
      </c>
      <c r="C186">
        <v>312</v>
      </c>
      <c r="D186">
        <v>90</v>
      </c>
      <c r="E186" t="s">
        <v>1508</v>
      </c>
      <c r="F186" t="s">
        <v>262</v>
      </c>
      <c r="G186" t="s">
        <v>295</v>
      </c>
      <c r="H186" t="s">
        <v>296</v>
      </c>
      <c r="I186">
        <v>1959</v>
      </c>
      <c r="J186">
        <v>1964</v>
      </c>
      <c r="K186">
        <v>1991</v>
      </c>
      <c r="M186">
        <f>4*847</f>
        <v>3388</v>
      </c>
      <c r="V186">
        <v>80.900000000000006</v>
      </c>
      <c r="Y186">
        <v>222</v>
      </c>
      <c r="Z186" s="3">
        <f t="shared" si="101"/>
        <v>0.27441285537700866</v>
      </c>
      <c r="AA186">
        <v>100</v>
      </c>
      <c r="AB186">
        <f t="shared" si="119"/>
        <v>160</v>
      </c>
      <c r="AE186">
        <v>17.22</v>
      </c>
      <c r="AF186">
        <v>17.22</v>
      </c>
      <c r="AH186">
        <v>3.77</v>
      </c>
      <c r="AI186" s="10">
        <v>0</v>
      </c>
      <c r="AJ186" t="str">
        <f>CONCATENATE(VLOOKUP(AK186, 'Voxel Sizes'!$A$2:$B$18,2,FALSE),"x",INT(AG186*15), "x", INT(AH186*15))</f>
        <v>164x0x56</v>
      </c>
      <c r="AK186">
        <f t="shared" si="102"/>
        <v>10</v>
      </c>
      <c r="AM186" t="str">
        <f>CONCATENATE(VLOOKUP(AK186,Constants!$A$2:$C$16,IF(AL186&lt;&gt;"", 3, 2), FALSE),IF(AL186&lt;&gt;"",CONCATENATE(",",VLOOKUP(AL186,$B:$AM,38,FALSE)),""))</f>
        <v>4,2,4</v>
      </c>
      <c r="AW186">
        <v>27</v>
      </c>
      <c r="AX186" s="15">
        <f t="shared" si="103"/>
        <v>40</v>
      </c>
      <c r="BA186">
        <f t="shared" si="104"/>
        <v>20</v>
      </c>
      <c r="BB186">
        <f t="shared" si="105"/>
        <v>16.939999999999998</v>
      </c>
      <c r="BC186">
        <f t="shared" si="106"/>
        <v>11.100000000000001</v>
      </c>
      <c r="BD186" s="3">
        <f t="shared" si="107"/>
        <v>0.92133333333333334</v>
      </c>
      <c r="BE186">
        <f t="shared" si="108"/>
        <v>0</v>
      </c>
      <c r="BF186">
        <f>VLOOKUP($G186,Constants!$I:$K, 2, FALSE)</f>
        <v>0.85</v>
      </c>
      <c r="BG186">
        <f>VLOOKUP($G186,Constants!$I:$K, 3, FALSE)*IF(AND(F186="multiple_unit",AA186&lt;110),0.75,1)</f>
        <v>2.2999999999999998</v>
      </c>
      <c r="BH186">
        <f>INT(POWER(((Constants!$G$2+$BA186+$BB186+$BC186+$BE186)*$BD186)*$BG186, 1.05))+$AZ186</f>
        <v>142</v>
      </c>
      <c r="BI186">
        <f>INT(POWER((((Constants!$G$1+$BA186+$BB186+$BC186+$BE186)*($BD186))*$BF186),IF($F186="wagon",1,1.2)))+$AY186</f>
        <v>107</v>
      </c>
      <c r="BJ186" s="14">
        <f t="shared" si="109"/>
        <v>110937.5</v>
      </c>
      <c r="BK186" s="14">
        <f t="shared" si="110"/>
        <v>8693.75</v>
      </c>
      <c r="BR186">
        <v>12</v>
      </c>
      <c r="BV186" t="str">
        <f>VLOOKUP(I186,Eras!$A$2:$C$10, 2, TRUE)</f>
        <v>dsl</v>
      </c>
      <c r="BW186" t="s">
        <v>337</v>
      </c>
      <c r="BX186" t="str">
        <f t="shared" si="111"/>
        <v>dsl_Express (Electric)</v>
      </c>
      <c r="BY186" t="str">
        <f t="shared" si="112"/>
        <v>electric_ELRL</v>
      </c>
      <c r="BZ186" s="17" t="str" cm="1">
        <f t="array" ref="BZ186">_xlfn.CONCAT("{BLACK}Length: {GOLD}", TEXT(ROUNDUP(IF(AP186&lt;&gt;"",SUM(VALUE(_xlfn.TEXTSPLIT(AP186, ","))), SUM(VALUE(_xlfn.TEXTSPLIT(AM186, ",")))*IF(L186, L186, 1))/16, 1), "#,##0.0"), " tiles{}")</f>
        <v>{BLACK}Length: {GOLD}0.7 tiles{}</v>
      </c>
      <c r="CA186" t="str">
        <f>VLOOKUP($BY186, Constants!$M:$N, 2, FALSE)</f>
        <v>{BLACK}Powered by: {GOLD}25kV AC</v>
      </c>
      <c r="CB186" t="str">
        <f t="shared" si="121"/>
        <v/>
      </c>
      <c r="CC186" t="s">
        <v>519</v>
      </c>
      <c r="CD186" t="str">
        <f t="shared" si="120"/>
        <v/>
      </c>
      <c r="CE186" t="str">
        <f t="shared" si="98"/>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187" spans="1:83" x14ac:dyDescent="0.25">
      <c r="A187" t="s">
        <v>40</v>
      </c>
      <c r="B187" t="s">
        <v>261</v>
      </c>
      <c r="C187">
        <v>314</v>
      </c>
      <c r="D187">
        <v>91</v>
      </c>
      <c r="E187" t="s">
        <v>1508</v>
      </c>
      <c r="F187" t="s">
        <v>262</v>
      </c>
      <c r="G187" t="s">
        <v>272</v>
      </c>
      <c r="H187" t="s">
        <v>274</v>
      </c>
      <c r="I187">
        <v>1960</v>
      </c>
      <c r="J187">
        <v>1965</v>
      </c>
      <c r="M187">
        <v>1750</v>
      </c>
      <c r="V187">
        <v>102</v>
      </c>
      <c r="Y187">
        <v>247</v>
      </c>
      <c r="Z187" s="3">
        <f t="shared" si="101"/>
        <v>0.24215686274509804</v>
      </c>
      <c r="AA187">
        <v>90</v>
      </c>
      <c r="AB187">
        <f t="shared" si="119"/>
        <v>144</v>
      </c>
      <c r="AE187">
        <v>18.75</v>
      </c>
      <c r="AF187">
        <v>18.75</v>
      </c>
      <c r="AG187">
        <v>2.71</v>
      </c>
      <c r="AH187">
        <v>3.89</v>
      </c>
      <c r="AI187" s="10">
        <v>0</v>
      </c>
      <c r="AJ187" t="str">
        <f>CONCATENATE(VLOOKUP(AK187, 'Voxel Sizes'!$A$2:$B$18,2,FALSE),"x",INT(AG187*15), "x", INT(AH187*15))</f>
        <v>186x40x58</v>
      </c>
      <c r="AK187">
        <f t="shared" si="102"/>
        <v>11</v>
      </c>
      <c r="AM187" t="str">
        <f>CONCATENATE(VLOOKUP(AK187,Constants!$A$2:$C$16,IF(AL187&lt;&gt;"", 3, 2), FALSE),IF(AL187&lt;&gt;"",CONCATENATE(",",VLOOKUP(AL187,$B:$AM,38,FALSE)),""))</f>
        <v>4,3,4</v>
      </c>
      <c r="AW187">
        <v>42</v>
      </c>
      <c r="AX187" s="15" t="str">
        <f t="shared" si="103"/>
        <v/>
      </c>
      <c r="BA187">
        <f t="shared" si="104"/>
        <v>18</v>
      </c>
      <c r="BB187">
        <f t="shared" si="105"/>
        <v>8.75</v>
      </c>
      <c r="BC187">
        <f t="shared" si="106"/>
        <v>12.350000000000001</v>
      </c>
      <c r="BD187" s="3">
        <f t="shared" si="107"/>
        <v>0.92</v>
      </c>
      <c r="BE187">
        <f t="shared" si="108"/>
        <v>0</v>
      </c>
      <c r="BF187">
        <f>VLOOKUP($G187,Constants!$I:$K, 2, FALSE)</f>
        <v>1</v>
      </c>
      <c r="BG187">
        <f>VLOOKUP($G187,Constants!$I:$K, 3, FALSE)*IF(AND(F187="multiple_unit",AA187&lt;110),0.75,1)</f>
        <v>2</v>
      </c>
      <c r="BH187">
        <f>INT(POWER(((Constants!$G$2+$BA187+$BB187+$BC187+$BE187)*$BD187)*$BG187, 1.05))+$AZ187</f>
        <v>101</v>
      </c>
      <c r="BI187">
        <f>INT(POWER((((Constants!$G$1+$BA187+$BB187+$BC187+$BE187)*($BD187))*$BF187),IF($F187="wagon",1,1.2)))+$AY187</f>
        <v>108</v>
      </c>
      <c r="BJ187" s="14">
        <f t="shared" si="109"/>
        <v>78906.25</v>
      </c>
      <c r="BK187" s="14">
        <f t="shared" si="110"/>
        <v>8775</v>
      </c>
      <c r="BR187">
        <v>1</v>
      </c>
      <c r="BV187" t="str">
        <f>VLOOKUP(I187,Eras!$A$2:$C$10, 2, TRUE)</f>
        <v>dsl</v>
      </c>
      <c r="BW187" t="s">
        <v>328</v>
      </c>
      <c r="BX187" t="str">
        <f t="shared" si="111"/>
        <v>dsl_Freight</v>
      </c>
      <c r="BY187" t="str">
        <f t="shared" si="112"/>
        <v>diesel_RAIL</v>
      </c>
      <c r="BZ187" s="17" t="str" cm="1">
        <f t="array" ref="BZ187">_xlfn.CONCAT("{BLACK}Length: {GOLD}", TEXT(ROUNDUP(IF(AP187&lt;&gt;"",SUM(VALUE(_xlfn.TEXTSPLIT(AP187, ","))), SUM(VALUE(_xlfn.TEXTSPLIT(AM187, ",")))*IF(L187, L187, 1))/16, 1), "#,##0.0"), " tiles{}")</f>
        <v>{BLACK}Length: {GOLD}0.7 tiles{}</v>
      </c>
      <c r="CA187" t="str">
        <f>VLOOKUP($BY187, Constants!$M:$N, 2, FALSE)</f>
        <v>{BLACK}Powered by: {GOLD}Diesel</v>
      </c>
      <c r="CB187" t="str">
        <f t="shared" si="121"/>
        <v/>
      </c>
      <c r="CC187" t="s">
        <v>359</v>
      </c>
      <c r="CD187" t="str">
        <f t="shared" si="120"/>
        <v/>
      </c>
      <c r="CE187" t="str">
        <f t="shared" si="98"/>
        <v>{BLACK}Powered by: {GOLD}Diesel {}{BLACK}Length: {GOLD}0.7 tiles{}{SILVER}The Class 37 (English Electric Type 3) is widely used, especially in Scotland where the high power, low axle load and lack of need for electrification make it ideal for hauling long trains in the Highlands.</v>
      </c>
    </row>
    <row r="188" spans="1:83" x14ac:dyDescent="0.25">
      <c r="A188" t="s">
        <v>48</v>
      </c>
      <c r="B188" t="s">
        <v>522</v>
      </c>
      <c r="C188">
        <v>316</v>
      </c>
      <c r="D188">
        <v>92</v>
      </c>
      <c r="E188" t="s">
        <v>1508</v>
      </c>
      <c r="F188" t="s">
        <v>262</v>
      </c>
      <c r="G188" t="s">
        <v>272</v>
      </c>
      <c r="H188" t="s">
        <v>274</v>
      </c>
      <c r="I188">
        <v>1960</v>
      </c>
      <c r="J188">
        <v>1962</v>
      </c>
      <c r="K188">
        <v>1989</v>
      </c>
      <c r="M188">
        <v>2500</v>
      </c>
      <c r="V188">
        <v>135</v>
      </c>
      <c r="Y188">
        <v>245</v>
      </c>
      <c r="Z188" s="3">
        <f t="shared" si="101"/>
        <v>0.18148148148148149</v>
      </c>
      <c r="AA188">
        <v>90</v>
      </c>
      <c r="AB188">
        <f t="shared" si="119"/>
        <v>144</v>
      </c>
      <c r="AE188">
        <v>20.7</v>
      </c>
      <c r="AF188">
        <v>20.7</v>
      </c>
      <c r="AH188">
        <v>3.91</v>
      </c>
      <c r="AI188" s="10">
        <v>0</v>
      </c>
      <c r="AJ188" t="str">
        <f>CONCATENATE(VLOOKUP(AK188, 'Voxel Sizes'!$A$2:$B$18,2,FALSE),"x",INT(AG188*15), "x", INT(AH188*15))</f>
        <v>198x0x58</v>
      </c>
      <c r="AK188">
        <f t="shared" si="102"/>
        <v>12</v>
      </c>
      <c r="AM188" t="str">
        <f>CONCATENATE(VLOOKUP(AK188,Constants!$A$2:$C$16,IF(AL188&lt;&gt;"", 3, 2), FALSE),IF(AL188&lt;&gt;"",CONCATENATE(",",VLOOKUP(AL188,$B:$AM,38,FALSE)),""))</f>
        <v>4,4,4</v>
      </c>
      <c r="AW188">
        <v>30</v>
      </c>
      <c r="AX188" s="15">
        <f t="shared" si="103"/>
        <v>37</v>
      </c>
      <c r="BA188">
        <f t="shared" si="104"/>
        <v>18</v>
      </c>
      <c r="BB188">
        <f t="shared" si="105"/>
        <v>12.5</v>
      </c>
      <c r="BC188">
        <f t="shared" si="106"/>
        <v>12.25</v>
      </c>
      <c r="BD188" s="3">
        <f t="shared" si="107"/>
        <v>0.92</v>
      </c>
      <c r="BE188">
        <f t="shared" si="108"/>
        <v>0</v>
      </c>
      <c r="BF188">
        <f>VLOOKUP($G188,Constants!$I:$K, 2, FALSE)</f>
        <v>1</v>
      </c>
      <c r="BG188">
        <f>VLOOKUP($G188,Constants!$I:$K, 3, FALSE)*IF(AND(F188="multiple_unit",AA188&lt;110),0.75,1)</f>
        <v>2</v>
      </c>
      <c r="BH188">
        <f>INT(POWER(((Constants!$G$2+$BA188+$BB188+$BC188+$BE188)*$BD188)*$BG188, 1.05))+$AZ188</f>
        <v>109</v>
      </c>
      <c r="BI188">
        <f>INT(POWER((((Constants!$G$1+$BA188+$BB188+$BC188+$BE188)*($BD188))*$BF188),IF($F188="wagon",1,1.2)))+$AY188</f>
        <v>117</v>
      </c>
      <c r="BJ188" s="14">
        <f t="shared" si="109"/>
        <v>85156.25</v>
      </c>
      <c r="BK188" s="14">
        <f t="shared" si="110"/>
        <v>9506.25</v>
      </c>
      <c r="BR188">
        <v>2</v>
      </c>
      <c r="BV188" t="str">
        <f>VLOOKUP(I188,Eras!$A$2:$C$10, 2, TRUE)</f>
        <v>dsl</v>
      </c>
      <c r="BW188" t="s">
        <v>327</v>
      </c>
      <c r="BX188" t="str">
        <f t="shared" si="111"/>
        <v>dsl_Express</v>
      </c>
      <c r="BY188" t="str">
        <f t="shared" si="112"/>
        <v>diesel_RAIL</v>
      </c>
      <c r="BZ188" s="17" t="str" cm="1">
        <f t="array" ref="BZ188">_xlfn.CONCAT("{BLACK}Length: {GOLD}", TEXT(ROUNDUP(IF(AP188&lt;&gt;"",SUM(VALUE(_xlfn.TEXTSPLIT(AP188, ","))), SUM(VALUE(_xlfn.TEXTSPLIT(AM188, ",")))*IF(L188, L188, 1))/16, 1), "#,##0.0"), " tiles{}")</f>
        <v>{BLACK}Length: {GOLD}0.8 tiles{}</v>
      </c>
      <c r="CA188" t="str">
        <f>VLOOKUP($BY188, Constants!$M:$N, 2, FALSE)</f>
        <v>{BLACK}Powered by: {GOLD}Diesel</v>
      </c>
      <c r="CB188" t="str">
        <f t="shared" si="121"/>
        <v/>
      </c>
      <c r="CC188" t="s">
        <v>521</v>
      </c>
      <c r="CD188" t="str">
        <f t="shared" si="120"/>
        <v/>
      </c>
      <c r="CE188" t="str">
        <f t="shared" si="98"/>
        <v>{BLACK}Powered by: {GOLD}Diesel {}{BLACK}Length: {GOLD}0.8 tiles{}{SILVER}The Sulzer Peaks served express passenger trains on the Midland Main Line until the introduction of the HST.</v>
      </c>
    </row>
    <row r="189" spans="1:83" x14ac:dyDescent="0.25">
      <c r="A189" t="s">
        <v>49</v>
      </c>
      <c r="B189" t="s">
        <v>524</v>
      </c>
      <c r="C189">
        <v>318</v>
      </c>
      <c r="D189">
        <v>93</v>
      </c>
      <c r="E189" t="s">
        <v>1508</v>
      </c>
      <c r="F189" t="s">
        <v>262</v>
      </c>
      <c r="G189" t="s">
        <v>272</v>
      </c>
      <c r="H189" t="s">
        <v>274</v>
      </c>
      <c r="I189">
        <v>1960</v>
      </c>
      <c r="J189">
        <v>1962</v>
      </c>
      <c r="M189">
        <v>1550</v>
      </c>
      <c r="V189">
        <v>74.2</v>
      </c>
      <c r="Y189">
        <v>200</v>
      </c>
      <c r="Z189" s="3">
        <f t="shared" si="101"/>
        <v>0.26954177897574122</v>
      </c>
      <c r="AA189">
        <v>85</v>
      </c>
      <c r="AB189">
        <f t="shared" si="119"/>
        <v>136</v>
      </c>
      <c r="AE189">
        <v>15.47</v>
      </c>
      <c r="AF189">
        <v>15.47</v>
      </c>
      <c r="AH189">
        <v>3.86</v>
      </c>
      <c r="AI189" s="10">
        <v>0</v>
      </c>
      <c r="AJ189" t="str">
        <f>CONCATENATE(VLOOKUP(AK189, 'Voxel Sizes'!$A$2:$B$18,2,FALSE),"x",INT(AG189*15), "x", INT(AH189*15))</f>
        <v>152x0x57</v>
      </c>
      <c r="AK189">
        <f t="shared" si="102"/>
        <v>9</v>
      </c>
      <c r="AM189" t="str">
        <f>CONCATENATE(VLOOKUP(AK189,Constants!$A$2:$C$16,IF(AL189&lt;&gt;"", 3, 2), FALSE),IF(AL189&lt;&gt;"",CONCATENATE(",",VLOOKUP(AL189,$B:$AM,38,FALSE)),""))</f>
        <v>2,5,2</v>
      </c>
      <c r="AW189">
        <v>30</v>
      </c>
      <c r="AX189" s="15" t="str">
        <f t="shared" si="103"/>
        <v/>
      </c>
      <c r="BA189">
        <f t="shared" si="104"/>
        <v>17</v>
      </c>
      <c r="BB189">
        <f t="shared" si="105"/>
        <v>7.75</v>
      </c>
      <c r="BC189">
        <f t="shared" si="106"/>
        <v>10</v>
      </c>
      <c r="BD189" s="3">
        <f t="shared" si="107"/>
        <v>0.92</v>
      </c>
      <c r="BE189">
        <f t="shared" si="108"/>
        <v>0</v>
      </c>
      <c r="BF189">
        <f>VLOOKUP($G189,Constants!$I:$K, 2, FALSE)</f>
        <v>1</v>
      </c>
      <c r="BG189">
        <f>VLOOKUP($G189,Constants!$I:$K, 3, FALSE)*IF(AND(F189="multiple_unit",AA189&lt;110),0.75,1)</f>
        <v>2</v>
      </c>
      <c r="BH189">
        <f>INT(POWER(((Constants!$G$2+$BA189+$BB189+$BC189+$BE189)*$BD189)*$BG189, 1.05))+$AZ189</f>
        <v>90</v>
      </c>
      <c r="BI189">
        <f>INT(POWER((((Constants!$G$1+$BA189+$BB189+$BC189+$BE189)*($BD189))*$BF189),IF($F189="wagon",1,1.2)))+$AY189</f>
        <v>98</v>
      </c>
      <c r="BJ189" s="14">
        <f t="shared" si="109"/>
        <v>70312.5</v>
      </c>
      <c r="BK189" s="14">
        <f t="shared" si="110"/>
        <v>7962.5</v>
      </c>
      <c r="BR189">
        <v>3</v>
      </c>
      <c r="BV189" t="str">
        <f>VLOOKUP(I189,Eras!$A$2:$C$10, 2, TRUE)</f>
        <v>dsl</v>
      </c>
      <c r="BW189" t="s">
        <v>326</v>
      </c>
      <c r="BX189" t="str">
        <f t="shared" si="111"/>
        <v>dsl_Mixed Traffic</v>
      </c>
      <c r="BY189" t="str">
        <f t="shared" si="112"/>
        <v>diesel_RAIL</v>
      </c>
      <c r="BZ189" s="17" t="str" cm="1">
        <f t="array" ref="BZ189">_xlfn.CONCAT("{BLACK}Length: {GOLD}", TEXT(ROUNDUP(IF(AP189&lt;&gt;"",SUM(VALUE(_xlfn.TEXTSPLIT(AP189, ","))), SUM(VALUE(_xlfn.TEXTSPLIT(AM189, ",")))*IF(L189, L189, 1))/16, 1), "#,##0.0"), " tiles{}")</f>
        <v>{BLACK}Length: {GOLD}0.6 tiles{}</v>
      </c>
      <c r="CA189" t="str">
        <f>VLOOKUP($BY189, Constants!$M:$N, 2, FALSE)</f>
        <v>{BLACK}Powered by: {GOLD}Diesel</v>
      </c>
      <c r="CB189" t="str">
        <f t="shared" si="121"/>
        <v/>
      </c>
      <c r="CC189" t="s">
        <v>523</v>
      </c>
      <c r="CD189" t="str">
        <f t="shared" si="120"/>
        <v/>
      </c>
      <c r="CE189" t="str">
        <f t="shared" si="98"/>
        <v>{BLACK}Powered by: {GOLD}Diesel {}{BLACK}Length: {GOLD}0.6 tiles{}{SILVER}The Class 33 was built without carriage heating, using the space for an 8 cylinder engine. This meant it was used for tourist-loaded passenger trains in summer, and freight in winter.</v>
      </c>
    </row>
    <row r="190" spans="1:83" x14ac:dyDescent="0.25">
      <c r="A190" t="s">
        <v>35</v>
      </c>
      <c r="B190" t="s">
        <v>170</v>
      </c>
      <c r="C190">
        <v>320</v>
      </c>
      <c r="D190">
        <v>94</v>
      </c>
      <c r="E190" t="s">
        <v>1508</v>
      </c>
      <c r="F190" t="s">
        <v>262</v>
      </c>
      <c r="G190" t="s">
        <v>272</v>
      </c>
      <c r="H190" t="s">
        <v>274</v>
      </c>
      <c r="I190">
        <v>1961</v>
      </c>
      <c r="J190">
        <v>1964</v>
      </c>
      <c r="K190">
        <v>1975</v>
      </c>
      <c r="M190">
        <v>1700</v>
      </c>
      <c r="V190">
        <v>76.2</v>
      </c>
      <c r="Y190">
        <v>207</v>
      </c>
      <c r="Z190" s="3">
        <f t="shared" si="101"/>
        <v>0.27165354330708663</v>
      </c>
      <c r="AA190">
        <v>90</v>
      </c>
      <c r="AB190">
        <f t="shared" si="119"/>
        <v>144</v>
      </c>
      <c r="AE190">
        <v>15.76</v>
      </c>
      <c r="AF190">
        <v>15.76</v>
      </c>
      <c r="AH190">
        <v>3.91</v>
      </c>
      <c r="AI190" s="10">
        <v>0</v>
      </c>
      <c r="AJ190" t="str">
        <f>CONCATENATE(VLOOKUP(AK190, 'Voxel Sizes'!$A$2:$B$18,2,FALSE),"x",INT(AG190*15), "x", INT(AH190*15))</f>
        <v>152x0x58</v>
      </c>
      <c r="AK190">
        <f t="shared" si="102"/>
        <v>9</v>
      </c>
      <c r="AM190" t="str">
        <f>CONCATENATE(VLOOKUP(AK190,Constants!$A$2:$C$16,IF(AL190&lt;&gt;"", 3, 2), FALSE),IF(AL190&lt;&gt;"",CONCATENATE(",",VLOOKUP(AL190,$B:$AM,38,FALSE)),""))</f>
        <v>2,5,2</v>
      </c>
      <c r="AW190">
        <v>30</v>
      </c>
      <c r="AX190" s="15">
        <f t="shared" si="103"/>
        <v>22</v>
      </c>
      <c r="BA190">
        <f t="shared" si="104"/>
        <v>18</v>
      </c>
      <c r="BB190">
        <f t="shared" si="105"/>
        <v>8.5</v>
      </c>
      <c r="BC190">
        <f t="shared" si="106"/>
        <v>10.35</v>
      </c>
      <c r="BD190" s="3">
        <f t="shared" si="107"/>
        <v>0.91866666666666663</v>
      </c>
      <c r="BE190">
        <f t="shared" si="108"/>
        <v>0</v>
      </c>
      <c r="BF190">
        <f>VLOOKUP($G190,Constants!$I:$K, 2, FALSE)</f>
        <v>1</v>
      </c>
      <c r="BG190">
        <f>VLOOKUP($G190,Constants!$I:$K, 3, FALSE)*IF(AND(F190="multiple_unit",AA190&lt;110),0.75,1)</f>
        <v>2</v>
      </c>
      <c r="BH190">
        <f>INT(POWER(((Constants!$G$2+$BA190+$BB190+$BC190+$BE190)*$BD190)*$BG190, 1.05))+$AZ190</f>
        <v>95</v>
      </c>
      <c r="BI190">
        <f>INT(POWER((((Constants!$G$1+$BA190+$BB190+$BC190+$BE190)*($BD190))*$BF190),IF($F190="wagon",1,1.2)))+$AY190</f>
        <v>103</v>
      </c>
      <c r="BJ190" s="14">
        <f t="shared" si="109"/>
        <v>74218.75</v>
      </c>
      <c r="BK190" s="14">
        <f t="shared" si="110"/>
        <v>8368.75</v>
      </c>
      <c r="BR190">
        <v>4</v>
      </c>
      <c r="BV190" t="str">
        <f>VLOOKUP(I190,Eras!$A$2:$C$10, 2, TRUE)</f>
        <v>dsl</v>
      </c>
      <c r="BW190" t="s">
        <v>326</v>
      </c>
      <c r="BX190" t="str">
        <f t="shared" si="111"/>
        <v>dsl_Mixed Traffic</v>
      </c>
      <c r="BY190" t="str">
        <f t="shared" si="112"/>
        <v>diesel_RAIL</v>
      </c>
      <c r="BZ190" s="17" t="str" cm="1">
        <f t="array" ref="BZ190">_xlfn.CONCAT("{BLACK}Length: {GOLD}", TEXT(ROUNDUP(IF(AP190&lt;&gt;"",SUM(VALUE(_xlfn.TEXTSPLIT(AP190, ","))), SUM(VALUE(_xlfn.TEXTSPLIT(AM190, ",")))*IF(L190, L190, 1))/16, 1), "#,##0.0"), " tiles{}")</f>
        <v>{BLACK}Length: {GOLD}0.6 tiles{}</v>
      </c>
      <c r="CA190" t="str">
        <f>VLOOKUP($BY190, Constants!$M:$N, 2, FALSE)</f>
        <v>{BLACK}Powered by: {GOLD}Diesel</v>
      </c>
      <c r="CB190" t="str">
        <f t="shared" si="121"/>
        <v/>
      </c>
      <c r="CC190" t="s">
        <v>529</v>
      </c>
      <c r="CD190" t="str">
        <f t="shared" si="120"/>
        <v/>
      </c>
      <c r="CE190" t="str">
        <f t="shared" si="98"/>
        <v>{BLACK}Powered by: {GOLD}Diesel {}{BLACK}Length: {GOLD}0.6 tiles{}{SILVER}The Hymeks were named for their hydraulic transmission. Sadly this also caused their early withdrawal, with BR viewing diesel-hydraulics as non-standard.</v>
      </c>
    </row>
    <row r="191" spans="1:83" x14ac:dyDescent="0.25">
      <c r="A191" t="s">
        <v>37</v>
      </c>
      <c r="B191" t="s">
        <v>171</v>
      </c>
      <c r="C191">
        <v>322</v>
      </c>
      <c r="D191">
        <v>95</v>
      </c>
      <c r="E191" t="s">
        <v>1508</v>
      </c>
      <c r="F191" t="s">
        <v>262</v>
      </c>
      <c r="G191" t="s">
        <v>272</v>
      </c>
      <c r="H191" t="s">
        <v>274</v>
      </c>
      <c r="I191">
        <v>1961</v>
      </c>
      <c r="J191">
        <v>1964</v>
      </c>
      <c r="K191">
        <v>1977</v>
      </c>
      <c r="M191">
        <v>2000</v>
      </c>
      <c r="V191">
        <v>110</v>
      </c>
      <c r="Y191">
        <v>297</v>
      </c>
      <c r="Z191" s="3">
        <f t="shared" si="101"/>
        <v>0.27</v>
      </c>
      <c r="AA191">
        <v>90</v>
      </c>
      <c r="AB191">
        <f t="shared" si="119"/>
        <v>144</v>
      </c>
      <c r="AE191">
        <v>20.73</v>
      </c>
      <c r="AF191">
        <v>20.73</v>
      </c>
      <c r="AH191">
        <v>3.96</v>
      </c>
      <c r="AI191" s="10">
        <v>0</v>
      </c>
      <c r="AJ191" t="str">
        <f>CONCATENATE(VLOOKUP(AK191, 'Voxel Sizes'!$A$2:$B$18,2,FALSE),"x",INT(AG191*15), "x", INT(AH191*15))</f>
        <v>198x0x59</v>
      </c>
      <c r="AK191">
        <f t="shared" si="102"/>
        <v>12</v>
      </c>
      <c r="AM191" t="str">
        <f>CONCATENATE(VLOOKUP(AK191,Constants!$A$2:$C$16,IF(AL191&lt;&gt;"", 3, 2), FALSE),IF(AL191&lt;&gt;"",CONCATENATE(",",VLOOKUP(AL191,$B:$AM,38,FALSE)),""))</f>
        <v>4,4,4</v>
      </c>
      <c r="AW191">
        <v>30</v>
      </c>
      <c r="AX191" s="15">
        <f t="shared" si="103"/>
        <v>24</v>
      </c>
      <c r="BA191">
        <f t="shared" si="104"/>
        <v>18</v>
      </c>
      <c r="BB191">
        <f t="shared" si="105"/>
        <v>10</v>
      </c>
      <c r="BC191">
        <f t="shared" si="106"/>
        <v>14.850000000000001</v>
      </c>
      <c r="BD191" s="3">
        <f t="shared" si="107"/>
        <v>0.91866666666666663</v>
      </c>
      <c r="BE191">
        <f t="shared" si="108"/>
        <v>0</v>
      </c>
      <c r="BF191">
        <f>VLOOKUP($G191,Constants!$I:$K, 2, FALSE)</f>
        <v>1</v>
      </c>
      <c r="BG191">
        <f>VLOOKUP($G191,Constants!$I:$K, 3, FALSE)*IF(AND(F191="multiple_unit",AA191&lt;110),0.75,1)</f>
        <v>2</v>
      </c>
      <c r="BH191">
        <f>INT(POWER(((Constants!$G$2+$BA191+$BB191+$BC191+$BE191)*$BD191)*$BG191, 1.05))+$AZ191</f>
        <v>109</v>
      </c>
      <c r="BI191">
        <f>INT(POWER((((Constants!$G$1+$BA191+$BB191+$BC191+$BE191)*($BD191))*$BF191),IF($F191="wagon",1,1.2)))+$AY191</f>
        <v>117</v>
      </c>
      <c r="BJ191" s="14">
        <f t="shared" si="109"/>
        <v>85156.25</v>
      </c>
      <c r="BK191" s="14">
        <f t="shared" si="110"/>
        <v>9506.25</v>
      </c>
      <c r="BR191">
        <v>5</v>
      </c>
      <c r="BV191" t="str">
        <f>VLOOKUP(I191,Eras!$A$2:$C$10, 2, TRUE)</f>
        <v>dsl</v>
      </c>
      <c r="BW191" t="s">
        <v>326</v>
      </c>
      <c r="BX191" t="str">
        <f t="shared" si="111"/>
        <v>dsl_Mixed Traffic</v>
      </c>
      <c r="BY191" t="str">
        <f t="shared" si="112"/>
        <v>diesel_RAIL</v>
      </c>
      <c r="BZ191" s="17" t="str" cm="1">
        <f t="array" ref="BZ191">_xlfn.CONCAT("{BLACK}Length: {GOLD}", TEXT(ROUNDUP(IF(AP191&lt;&gt;"",SUM(VALUE(_xlfn.TEXTSPLIT(AP191, ","))), SUM(VALUE(_xlfn.TEXTSPLIT(AM191, ",")))*IF(L191, L191, 1))/16, 1), "#,##0.0"), " tiles{}")</f>
        <v>{BLACK}Length: {GOLD}0.8 tiles{}</v>
      </c>
      <c r="CA191" t="str">
        <f>VLOOKUP($BY191, Constants!$M:$N, 2, FALSE)</f>
        <v>{BLACK}Powered by: {GOLD}Diesel</v>
      </c>
      <c r="CB191" t="str">
        <f t="shared" si="121"/>
        <v/>
      </c>
      <c r="CC191" t="s">
        <v>530</v>
      </c>
      <c r="CD191" t="str">
        <f t="shared" si="120"/>
        <v/>
      </c>
      <c r="CE191" t="str">
        <f t="shared" si="98"/>
        <v>{BLACK}Powered by: {GOLD}Diesel {}{BLACK}Length: {GOLD}0.8 tiles{}{SILVER}The Class 52 was the most powerful of the Western Region's diesel-hydraulic locomotives, pushing the limits of what 1960s transmission technology could achieve.</v>
      </c>
    </row>
    <row r="192" spans="1:83" x14ac:dyDescent="0.25">
      <c r="A192" t="s">
        <v>47</v>
      </c>
      <c r="B192" t="s">
        <v>304</v>
      </c>
      <c r="C192">
        <v>324</v>
      </c>
      <c r="D192">
        <v>96</v>
      </c>
      <c r="E192" t="s">
        <v>1508</v>
      </c>
      <c r="F192" t="s">
        <v>262</v>
      </c>
      <c r="G192" t="s">
        <v>272</v>
      </c>
      <c r="H192" t="s">
        <v>274</v>
      </c>
      <c r="I192">
        <v>1961</v>
      </c>
      <c r="J192">
        <v>1967</v>
      </c>
      <c r="K192">
        <v>1987</v>
      </c>
      <c r="M192">
        <v>1250</v>
      </c>
      <c r="V192">
        <v>74.2</v>
      </c>
      <c r="Y192">
        <v>170</v>
      </c>
      <c r="Z192" s="3">
        <f t="shared" si="101"/>
        <v>0.22911051212938005</v>
      </c>
      <c r="AA192">
        <v>90</v>
      </c>
      <c r="AB192">
        <f t="shared" si="119"/>
        <v>144</v>
      </c>
      <c r="AE192">
        <v>15.39</v>
      </c>
      <c r="AF192">
        <v>15.39</v>
      </c>
      <c r="AH192">
        <v>3.86</v>
      </c>
      <c r="AI192" s="10">
        <v>0</v>
      </c>
      <c r="AJ192" t="str">
        <f>CONCATENATE(VLOOKUP(AK192, 'Voxel Sizes'!$A$2:$B$18,2,FALSE),"x",INT(AG192*15), "x", INT(AH192*15))</f>
        <v>152x0x57</v>
      </c>
      <c r="AK192">
        <f t="shared" si="102"/>
        <v>9</v>
      </c>
      <c r="AM192" t="str">
        <f>CONCATENATE(VLOOKUP(AK192,Constants!$A$2:$C$16,IF(AL192&lt;&gt;"", 3, 2), FALSE),IF(AL192&lt;&gt;"",CONCATENATE(",",VLOOKUP(AL192,$B:$AM,38,FALSE)),""))</f>
        <v>2,5,2</v>
      </c>
      <c r="AW192">
        <v>40</v>
      </c>
      <c r="AX192" s="15">
        <f t="shared" si="103"/>
        <v>34</v>
      </c>
      <c r="BA192">
        <f t="shared" si="104"/>
        <v>18</v>
      </c>
      <c r="BB192">
        <f t="shared" si="105"/>
        <v>6.25</v>
      </c>
      <c r="BC192">
        <f t="shared" si="106"/>
        <v>8.5</v>
      </c>
      <c r="BD192" s="3">
        <f t="shared" si="107"/>
        <v>0.91866666666666663</v>
      </c>
      <c r="BE192">
        <f t="shared" si="108"/>
        <v>0</v>
      </c>
      <c r="BF192">
        <f>VLOOKUP($G192,Constants!$I:$K, 2, FALSE)</f>
        <v>1</v>
      </c>
      <c r="BG192">
        <f>VLOOKUP($G192,Constants!$I:$K, 3, FALSE)*IF(AND(F192="multiple_unit",AA192&lt;110),0.75,1)</f>
        <v>2</v>
      </c>
      <c r="BH192">
        <f>INT(POWER(((Constants!$G$2+$BA192+$BB192+$BC192+$BE192)*$BD192)*$BG192, 1.05))+$AZ192</f>
        <v>85</v>
      </c>
      <c r="BI192">
        <f>INT(POWER((((Constants!$G$1+$BA192+$BB192+$BC192+$BE192)*($BD192))*$BF192),IF($F192="wagon",1,1.2)))+$AY192</f>
        <v>93</v>
      </c>
      <c r="BJ192" s="14">
        <f t="shared" si="109"/>
        <v>66406.25</v>
      </c>
      <c r="BK192" s="14">
        <f t="shared" si="110"/>
        <v>7556.25</v>
      </c>
      <c r="BR192">
        <v>6</v>
      </c>
      <c r="BV192" t="str">
        <f>VLOOKUP(I192,Eras!$A$2:$C$10, 2, TRUE)</f>
        <v>dsl</v>
      </c>
      <c r="BW192" t="s">
        <v>328</v>
      </c>
      <c r="BX192" t="str">
        <f t="shared" si="111"/>
        <v>dsl_Freight</v>
      </c>
      <c r="BY192" t="str">
        <f t="shared" si="112"/>
        <v>diesel_RAIL</v>
      </c>
      <c r="BZ192" s="17" t="str" cm="1">
        <f t="array" ref="BZ192">_xlfn.CONCAT("{BLACK}Length: {GOLD}", TEXT(ROUNDUP(IF(AP192&lt;&gt;"",SUM(VALUE(_xlfn.TEXTSPLIT(AP192, ","))), SUM(VALUE(_xlfn.TEXTSPLIT(AM192, ",")))*IF(L192, L192, 1))/16, 1), "#,##0.0"), " tiles{}")</f>
        <v>{BLACK}Length: {GOLD}0.6 tiles{}</v>
      </c>
      <c r="CA192" t="str">
        <f>VLOOKUP($BY192, Constants!$M:$N, 2, FALSE)</f>
        <v>{BLACK}Powered by: {GOLD}Diesel</v>
      </c>
      <c r="CB192" t="str">
        <f t="shared" si="121"/>
        <v/>
      </c>
      <c r="CC192" t="s">
        <v>531</v>
      </c>
      <c r="CD192" t="str">
        <f t="shared" si="120"/>
        <v/>
      </c>
      <c r="CE192" t="str">
        <f t="shared" si="98"/>
        <v>{BLACK}Powered by: {GOLD}Diesel {}{BLACK}Length: {GOLD}0.6 tiles{}{SILVER}The Class 25 locomotives became known as "Rats" because they were found all over the British Rail network.</v>
      </c>
    </row>
    <row r="193" spans="1:83" x14ac:dyDescent="0.25">
      <c r="A193" t="s">
        <v>536</v>
      </c>
      <c r="B193" t="s">
        <v>172</v>
      </c>
      <c r="C193">
        <v>326</v>
      </c>
      <c r="D193">
        <v>97</v>
      </c>
      <c r="E193" t="s">
        <v>1508</v>
      </c>
      <c r="F193" t="s">
        <v>262</v>
      </c>
      <c r="G193" t="s">
        <v>272</v>
      </c>
      <c r="H193" t="s">
        <v>274</v>
      </c>
      <c r="I193">
        <v>1962</v>
      </c>
      <c r="J193">
        <v>1968</v>
      </c>
      <c r="M193">
        <v>2750</v>
      </c>
      <c r="V193">
        <v>114</v>
      </c>
      <c r="Y193">
        <v>245</v>
      </c>
      <c r="Z193" s="3">
        <f t="shared" si="101"/>
        <v>0.21491228070175439</v>
      </c>
      <c r="AA193">
        <v>95</v>
      </c>
      <c r="AB193">
        <f t="shared" si="119"/>
        <v>152</v>
      </c>
      <c r="AE193">
        <v>19.38</v>
      </c>
      <c r="AF193">
        <v>19.38</v>
      </c>
      <c r="AH193">
        <v>3.9</v>
      </c>
      <c r="AI193" s="10">
        <v>0</v>
      </c>
      <c r="AJ193" t="str">
        <f>CONCATENATE(VLOOKUP(AK193, 'Voxel Sizes'!$A$2:$B$18,2,FALSE),"x",INT(AG193*15), "x", INT(AH193*15))</f>
        <v>186x0x58</v>
      </c>
      <c r="AK193">
        <f t="shared" si="102"/>
        <v>11</v>
      </c>
      <c r="AM193" t="str">
        <f>CONCATENATE(VLOOKUP(AK193,Constants!$A$2:$C$16,IF(AL193&lt;&gt;"", 3, 2), FALSE),IF(AL193&lt;&gt;"",CONCATENATE(",",VLOOKUP(AL193,$B:$AM,38,FALSE)),""))</f>
        <v>4,3,4</v>
      </c>
      <c r="AW193">
        <v>33</v>
      </c>
      <c r="AX193" s="15" t="str">
        <f t="shared" si="103"/>
        <v/>
      </c>
      <c r="BA193">
        <f t="shared" si="104"/>
        <v>19</v>
      </c>
      <c r="BB193">
        <f t="shared" si="105"/>
        <v>13.75</v>
      </c>
      <c r="BC193">
        <f t="shared" si="106"/>
        <v>12.25</v>
      </c>
      <c r="BD193" s="3">
        <f t="shared" si="107"/>
        <v>0.91733333333333333</v>
      </c>
      <c r="BE193">
        <f t="shared" si="108"/>
        <v>0</v>
      </c>
      <c r="BF193">
        <f>VLOOKUP($G193,Constants!$I:$K, 2, FALSE)</f>
        <v>1</v>
      </c>
      <c r="BG193">
        <f>VLOOKUP($G193,Constants!$I:$K, 3, FALSE)*IF(AND(F193="multiple_unit",AA193&lt;110),0.75,1)</f>
        <v>2</v>
      </c>
      <c r="BH193">
        <f>INT(POWER(((Constants!$G$2+$BA193+$BB193+$BC193+$BE193)*$BD193)*$BG193, 1.05))+$AZ193</f>
        <v>114</v>
      </c>
      <c r="BI193">
        <f>INT(POWER((((Constants!$G$1+$BA193+$BB193+$BC193+$BE193)*($BD193))*$BF193),IF($F193="wagon",1,1.2)))+$AY193</f>
        <v>122</v>
      </c>
      <c r="BJ193" s="14">
        <f t="shared" si="109"/>
        <v>89062.5</v>
      </c>
      <c r="BK193" s="14">
        <f t="shared" si="110"/>
        <v>9912.5</v>
      </c>
      <c r="BR193">
        <v>7</v>
      </c>
      <c r="BV193" t="str">
        <f>VLOOKUP(I193,Eras!$A$2:$C$10, 2, TRUE)</f>
        <v>dsl</v>
      </c>
      <c r="BW193" t="s">
        <v>328</v>
      </c>
      <c r="BX193" t="str">
        <f t="shared" si="111"/>
        <v>dsl_Freight</v>
      </c>
      <c r="BY193" t="str">
        <f t="shared" si="112"/>
        <v>diesel_RAIL</v>
      </c>
      <c r="BZ193" s="17" t="str" cm="1">
        <f t="array" ref="BZ193">_xlfn.CONCAT("{BLACK}Length: {GOLD}", TEXT(ROUNDUP(IF(AP193&lt;&gt;"",SUM(VALUE(_xlfn.TEXTSPLIT(AP193, ","))), SUM(VALUE(_xlfn.TEXTSPLIT(AM193, ",")))*IF(L193, L193, 1))/16, 1), "#,##0.0"), " tiles{}")</f>
        <v>{BLACK}Length: {GOLD}0.7 tiles{}</v>
      </c>
      <c r="CA193" t="str">
        <f>VLOOKUP($BY193, Constants!$M:$N, 2, FALSE)</f>
        <v>{BLACK}Powered by: {GOLD}Diesel</v>
      </c>
      <c r="CB193" t="str">
        <f t="shared" si="121"/>
        <v/>
      </c>
      <c r="CC193" t="s">
        <v>535</v>
      </c>
      <c r="CD193" t="str">
        <f t="shared" si="120"/>
        <v/>
      </c>
      <c r="CE193" t="str">
        <f t="shared" si="98"/>
        <v>{BLACK}Powered by: {GOLD}Diesel {}{BLACK}Length: {GOLD}0.7 tiles{}{SILVER}The Class 47 diesel-electric arose from BR's desire for a lighter Type 4 (over 2000hp) locomotive, without using the diesel-hydraulic technology favoured by the Western Region.</v>
      </c>
    </row>
    <row r="194" spans="1:83" x14ac:dyDescent="0.25">
      <c r="A194" t="s">
        <v>52</v>
      </c>
      <c r="B194" t="s">
        <v>173</v>
      </c>
      <c r="C194">
        <v>328</v>
      </c>
      <c r="D194">
        <v>98</v>
      </c>
      <c r="E194" t="s">
        <v>1508</v>
      </c>
      <c r="F194" t="s">
        <v>262</v>
      </c>
      <c r="G194" t="s">
        <v>272</v>
      </c>
      <c r="H194" t="s">
        <v>274</v>
      </c>
      <c r="I194">
        <v>1962</v>
      </c>
      <c r="J194">
        <v>1965</v>
      </c>
      <c r="K194">
        <v>1971</v>
      </c>
      <c r="M194">
        <v>900</v>
      </c>
      <c r="V194">
        <v>69</v>
      </c>
      <c r="Y194">
        <v>178</v>
      </c>
      <c r="Z194" s="3">
        <f t="shared" si="101"/>
        <v>0.25797101449275361</v>
      </c>
      <c r="AA194">
        <v>60</v>
      </c>
      <c r="AB194">
        <f t="shared" si="119"/>
        <v>96</v>
      </c>
      <c r="AE194">
        <v>15.4</v>
      </c>
      <c r="AF194">
        <v>15.4</v>
      </c>
      <c r="AH194">
        <v>3.86</v>
      </c>
      <c r="AI194" s="10">
        <v>0</v>
      </c>
      <c r="AJ194" t="str">
        <f>CONCATENATE(VLOOKUP(AK194, 'Voxel Sizes'!$A$2:$B$18,2,FALSE),"x",INT(AG194*15), "x", INT(AH194*15))</f>
        <v>152x0x57</v>
      </c>
      <c r="AK194">
        <f t="shared" si="102"/>
        <v>9</v>
      </c>
      <c r="AM194" t="str">
        <f>CONCATENATE(VLOOKUP(AK194,Constants!$A$2:$C$16,IF(AL194&lt;&gt;"", 3, 2), FALSE),IF(AL194&lt;&gt;"",CONCATENATE(",",VLOOKUP(AL194,$B:$AM,38,FALSE)),""))</f>
        <v>2,5,2</v>
      </c>
      <c r="AW194">
        <v>14</v>
      </c>
      <c r="AX194" s="15">
        <f t="shared" si="103"/>
        <v>17</v>
      </c>
      <c r="BA194">
        <f t="shared" si="104"/>
        <v>12</v>
      </c>
      <c r="BB194">
        <f t="shared" si="105"/>
        <v>4.5</v>
      </c>
      <c r="BC194">
        <f t="shared" si="106"/>
        <v>8.9</v>
      </c>
      <c r="BD194" s="3">
        <f t="shared" si="107"/>
        <v>0.91733333333333333</v>
      </c>
      <c r="BE194">
        <f t="shared" si="108"/>
        <v>0</v>
      </c>
      <c r="BF194">
        <f>VLOOKUP($G194,Constants!$I:$K, 2, FALSE)</f>
        <v>1</v>
      </c>
      <c r="BG194">
        <f>VLOOKUP($G194,Constants!$I:$K, 3, FALSE)*IF(AND(F194="multiple_unit",AA194&lt;110),0.75,1)</f>
        <v>2</v>
      </c>
      <c r="BH194">
        <f>INT(POWER(((Constants!$G$2+$BA194+$BB194+$BC194+$BE194)*$BD194)*$BG194, 1.05))+$AZ194</f>
        <v>68</v>
      </c>
      <c r="BI194">
        <f>INT(POWER((((Constants!$G$1+$BA194+$BB194+$BC194+$BE194)*($BD194))*$BF194),IF($F194="wagon",1,1.2)))+$AY194</f>
        <v>76</v>
      </c>
      <c r="BJ194" s="14">
        <f t="shared" si="109"/>
        <v>53125</v>
      </c>
      <c r="BK194" s="14">
        <f t="shared" si="110"/>
        <v>6175</v>
      </c>
      <c r="BR194">
        <v>8</v>
      </c>
      <c r="BV194" t="str">
        <f>VLOOKUP(I194,Eras!$A$2:$C$10, 2, TRUE)</f>
        <v>dsl</v>
      </c>
      <c r="BW194" t="s">
        <v>325</v>
      </c>
      <c r="BX194" t="str">
        <f t="shared" si="111"/>
        <v>dsl_Cheap</v>
      </c>
      <c r="BY194" t="str">
        <f t="shared" si="112"/>
        <v>diesel_RAIL</v>
      </c>
      <c r="BZ194" s="17" t="str" cm="1">
        <f t="array" ref="BZ194">_xlfn.CONCAT("{BLACK}Length: {GOLD}", TEXT(ROUNDUP(IF(AP194&lt;&gt;"",SUM(VALUE(_xlfn.TEXTSPLIT(AP194, ","))), SUM(VALUE(_xlfn.TEXTSPLIT(AM194, ",")))*IF(L194, L194, 1))/16, 1), "#,##0.0"), " tiles{}")</f>
        <v>{BLACK}Length: {GOLD}0.6 tiles{}</v>
      </c>
      <c r="CA194" t="str">
        <f>VLOOKUP($BY194, Constants!$M:$N, 2, FALSE)</f>
        <v>{BLACK}Powered by: {GOLD}Diesel</v>
      </c>
      <c r="CB194" t="str">
        <f t="shared" si="121"/>
        <v/>
      </c>
      <c r="CC194" t="s">
        <v>537</v>
      </c>
      <c r="CD194" t="str">
        <f t="shared" si="120"/>
        <v/>
      </c>
      <c r="CE194" t="str">
        <f t="shared" si="98"/>
        <v>{BLACK}Powered by: {GOLD}Diesel {}{BLACK}Length: {GOLD}0.6 tiles{}{SILVER}The Class 17 attempted to solve the problems of visibility from a single cab. It had an unsuccessful life beset by engine reliability problems, and all examples were withdrawn early.</v>
      </c>
    </row>
    <row r="195" spans="1:83" x14ac:dyDescent="0.25">
      <c r="A195" t="s">
        <v>51</v>
      </c>
      <c r="B195" t="s">
        <v>538</v>
      </c>
      <c r="C195">
        <v>330</v>
      </c>
      <c r="D195">
        <v>99</v>
      </c>
      <c r="E195" t="s">
        <v>1508</v>
      </c>
      <c r="F195" t="s">
        <v>262</v>
      </c>
      <c r="G195" t="s">
        <v>272</v>
      </c>
      <c r="H195" t="s">
        <v>274</v>
      </c>
      <c r="I195">
        <v>1964</v>
      </c>
      <c r="J195">
        <v>1965</v>
      </c>
      <c r="K195">
        <v>1984</v>
      </c>
      <c r="M195">
        <v>650</v>
      </c>
      <c r="V195">
        <v>48.5</v>
      </c>
      <c r="Y195">
        <v>137</v>
      </c>
      <c r="Z195" s="3">
        <f t="shared" si="101"/>
        <v>0.28247422680412371</v>
      </c>
      <c r="AA195">
        <v>40</v>
      </c>
      <c r="AB195">
        <f t="shared" si="119"/>
        <v>64</v>
      </c>
      <c r="AE195">
        <v>10.3</v>
      </c>
      <c r="AF195">
        <v>10.3</v>
      </c>
      <c r="AI195" s="10">
        <v>0</v>
      </c>
      <c r="AJ195" t="str">
        <f>CONCATENATE(VLOOKUP(AK195, 'Voxel Sizes'!$A$2:$B$18,2,FALSE),"x",INT(AG195*15), "x", INT(AH195*15))</f>
        <v>102x0x0</v>
      </c>
      <c r="AK195">
        <f t="shared" si="102"/>
        <v>6</v>
      </c>
      <c r="AM195" t="str">
        <f>CONCATENATE(VLOOKUP(AK195,Constants!$A$2:$C$16,IF(AL195&lt;&gt;"", 3, 2), FALSE),IF(AL195&lt;&gt;"",CONCATENATE(",",VLOOKUP(AL195,$B:$AM,38,FALSE)),""))</f>
        <v>2,2,2</v>
      </c>
      <c r="AU195">
        <v>1</v>
      </c>
      <c r="AW195">
        <v>18</v>
      </c>
      <c r="AX195" s="15">
        <f t="shared" si="103"/>
        <v>28</v>
      </c>
      <c r="BA195">
        <f t="shared" si="104"/>
        <v>8</v>
      </c>
      <c r="BB195">
        <f t="shared" si="105"/>
        <v>3.25</v>
      </c>
      <c r="BC195">
        <f t="shared" si="106"/>
        <v>6.8500000000000005</v>
      </c>
      <c r="BD195" s="3">
        <f t="shared" si="107"/>
        <v>0.91466666666666663</v>
      </c>
      <c r="BE195">
        <f t="shared" si="108"/>
        <v>0</v>
      </c>
      <c r="BF195">
        <f>VLOOKUP($G195,Constants!$I:$K, 2, FALSE)</f>
        <v>1</v>
      </c>
      <c r="BG195">
        <f>VLOOKUP($G195,Constants!$I:$K, 3, FALSE)*IF(AND(F195="multiple_unit",AA195&lt;110),0.75,1)</f>
        <v>2</v>
      </c>
      <c r="BH195">
        <f>INT(POWER(((Constants!$G$2+$BA195+$BB195+$BC195+$BE195)*$BD195)*$BG195, 1.05))+$AZ195</f>
        <v>50</v>
      </c>
      <c r="BI195">
        <f>INT(POWER((((Constants!$G$1+$BA195+$BB195+$BC195+$BE195)*($BD195))*$BF195),IF($F195="wagon",1,1.2)))+$AY195</f>
        <v>59</v>
      </c>
      <c r="BJ195" s="14">
        <f t="shared" si="109"/>
        <v>39062.5</v>
      </c>
      <c r="BK195" s="14">
        <f t="shared" si="110"/>
        <v>4793.75</v>
      </c>
      <c r="BR195">
        <v>9</v>
      </c>
      <c r="BV195" t="str">
        <f>VLOOKUP(I195,Eras!$A$2:$C$10, 2, TRUE)</f>
        <v>dsl</v>
      </c>
      <c r="BW195" t="s">
        <v>325</v>
      </c>
      <c r="BX195" t="str">
        <f t="shared" si="111"/>
        <v>dsl_Cheap</v>
      </c>
      <c r="BY195" t="str">
        <f t="shared" si="112"/>
        <v>diesel_RAIL</v>
      </c>
      <c r="BZ195" s="17" t="str" cm="1">
        <f t="array" ref="BZ195">_xlfn.CONCAT("{BLACK}Length: {GOLD}", TEXT(ROUNDUP(IF(AP195&lt;&gt;"",SUM(VALUE(_xlfn.TEXTSPLIT(AP195, ","))), SUM(VALUE(_xlfn.TEXTSPLIT(AM195, ",")))*IF(L195, L195, 1))/16, 1), "#,##0.0"), " tiles{}")</f>
        <v>{BLACK}Length: {GOLD}0.4 tiles{}</v>
      </c>
      <c r="CA195" t="str">
        <f>VLOOKUP($BY195, Constants!$M:$N, 2, FALSE)</f>
        <v>{BLACK}Powered by: {GOLD}Diesel</v>
      </c>
      <c r="CB195" t="str">
        <f t="shared" si="121"/>
        <v/>
      </c>
      <c r="CC195" t="s">
        <v>539</v>
      </c>
      <c r="CD195" t="str">
        <f t="shared" si="120"/>
        <v/>
      </c>
      <c r="CE195" t="str">
        <f t="shared" si="98"/>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196" spans="1:83" x14ac:dyDescent="0.25">
      <c r="A196" t="s">
        <v>53</v>
      </c>
      <c r="B196" t="s">
        <v>249</v>
      </c>
      <c r="C196">
        <v>332</v>
      </c>
      <c r="D196">
        <v>100</v>
      </c>
      <c r="E196" t="s">
        <v>1508</v>
      </c>
      <c r="F196" t="s">
        <v>262</v>
      </c>
      <c r="G196" t="s">
        <v>540</v>
      </c>
      <c r="H196" t="s">
        <v>274</v>
      </c>
      <c r="I196">
        <v>1965</v>
      </c>
      <c r="J196">
        <v>1967</v>
      </c>
      <c r="M196">
        <v>1420</v>
      </c>
      <c r="N196" s="8">
        <v>600</v>
      </c>
      <c r="V196">
        <v>76.3</v>
      </c>
      <c r="Y196">
        <v>186</v>
      </c>
      <c r="Z196" s="3">
        <f t="shared" si="101"/>
        <v>0.24377457404980341</v>
      </c>
      <c r="AA196">
        <v>80</v>
      </c>
      <c r="AB196">
        <f t="shared" si="119"/>
        <v>128</v>
      </c>
      <c r="AE196">
        <v>16.36</v>
      </c>
      <c r="AF196">
        <v>16.36</v>
      </c>
      <c r="AI196" s="10">
        <v>0</v>
      </c>
      <c r="AJ196" t="str">
        <f>CONCATENATE(VLOOKUP(AK196, 'Voxel Sizes'!$A$2:$B$18,2,FALSE),"x",INT(AG196*15), "x", INT(AH196*15))</f>
        <v>164x0x0</v>
      </c>
      <c r="AK196">
        <f t="shared" si="102"/>
        <v>10</v>
      </c>
      <c r="AM196" t="str">
        <f>CONCATENATE(VLOOKUP(AK196,Constants!$A$2:$C$16,IF(AL196&lt;&gt;"", 3, 2), FALSE),IF(AL196&lt;&gt;"",CONCATENATE(",",VLOOKUP(AL196,$B:$AM,38,FALSE)),""))</f>
        <v>4,2,4</v>
      </c>
      <c r="AW196">
        <v>33</v>
      </c>
      <c r="AX196" s="15" t="str">
        <f t="shared" si="103"/>
        <v/>
      </c>
      <c r="BA196">
        <f t="shared" si="104"/>
        <v>16</v>
      </c>
      <c r="BB196">
        <f t="shared" si="105"/>
        <v>7.1</v>
      </c>
      <c r="BC196">
        <f t="shared" si="106"/>
        <v>9.3000000000000007</v>
      </c>
      <c r="BD196" s="3">
        <f t="shared" si="107"/>
        <v>0.91333333333333333</v>
      </c>
      <c r="BE196">
        <f t="shared" si="108"/>
        <v>0</v>
      </c>
      <c r="BF196">
        <f>VLOOKUP($G196,Constants!$I:$K, 2, FALSE)</f>
        <v>0.9</v>
      </c>
      <c r="BG196">
        <f>VLOOKUP($G196,Constants!$I:$K, 3, FALSE)*IF(AND(F196="multiple_unit",AA196&lt;110),0.75,1)</f>
        <v>2.5</v>
      </c>
      <c r="BH196">
        <f>INT(POWER(((Constants!$G$2+$BA196+$BB196+$BC196+$BE196)*$BD196)*$BG196, 1.05))+$AZ196</f>
        <v>106</v>
      </c>
      <c r="BI196">
        <f>INT(POWER((((Constants!$G$1+$BA196+$BB196+$BC196+$BE196)*($BD196))*$BF196),IF($F196="wagon",1,1.2)))+$AY196</f>
        <v>81</v>
      </c>
      <c r="BJ196" s="14">
        <f t="shared" si="109"/>
        <v>82812.5</v>
      </c>
      <c r="BK196" s="14">
        <f t="shared" si="110"/>
        <v>6581.25</v>
      </c>
      <c r="BR196">
        <v>10</v>
      </c>
      <c r="BV196" t="str">
        <f>VLOOKUP(I196,Eras!$A$2:$C$10, 2, TRUE)</f>
        <v>dsl</v>
      </c>
      <c r="BX196" t="str">
        <f t="shared" si="111"/>
        <v>dsl_</v>
      </c>
      <c r="BY196" t="str">
        <f t="shared" si="112"/>
        <v>dual_power_RAIL</v>
      </c>
      <c r="BZ196" s="17" t="str" cm="1">
        <f t="array" ref="BZ196">_xlfn.CONCAT("{BLACK}Length: {GOLD}", TEXT(ROUNDUP(IF(AP196&lt;&gt;"",SUM(VALUE(_xlfn.TEXTSPLIT(AP196, ","))), SUM(VALUE(_xlfn.TEXTSPLIT(AM196, ",")))*IF(L196, L196, 1))/16, 1), "#,##0.0"), " tiles{}")</f>
        <v>{BLACK}Length: {GOLD}0.7 tiles{}</v>
      </c>
      <c r="CA196" t="str">
        <f>VLOOKUP($BY196, Constants!$M:$N, 2, FALSE)</f>
        <v>{BLACK}Powered by: {GOLD}750V DC / Diesel</v>
      </c>
      <c r="CB196" t="str">
        <f t="shared" si="121"/>
        <v/>
      </c>
      <c r="CC196" t="s">
        <v>542</v>
      </c>
      <c r="CD196" t="str">
        <f t="shared" si="120"/>
        <v/>
      </c>
      <c r="CE196" t="str">
        <f t="shared" ref="CE196:CE259" si="122">_xlfn.CONCAT(CA196,IF(CA196 &lt;&gt; "", " ", ""),CB196,IF(OR(CB196&lt;&gt;"", CA196&lt;&gt;""), "{}",""), BZ196, CD196,"{SILVER}", CC196)</f>
        <v>{BLACK}Powered by: {GOLD}750V DC / Diesel {}{BLACK}Length: {GOLD}0.7 tiles{}{SILVER}The Class 73 is a dual-power locomotive, running at full power when connected to a third rail supply but carrying a small diesel engine for running on non-electrified track.</v>
      </c>
    </row>
    <row r="197" spans="1:83" x14ac:dyDescent="0.25">
      <c r="A197" t="s">
        <v>60</v>
      </c>
      <c r="B197" t="s">
        <v>250</v>
      </c>
      <c r="C197">
        <v>334</v>
      </c>
      <c r="D197">
        <v>101</v>
      </c>
      <c r="E197" t="s">
        <v>1508</v>
      </c>
      <c r="F197" t="s">
        <v>262</v>
      </c>
      <c r="G197" t="s">
        <v>295</v>
      </c>
      <c r="H197" t="s">
        <v>296</v>
      </c>
      <c r="I197">
        <v>1965</v>
      </c>
      <c r="J197">
        <v>1966</v>
      </c>
      <c r="M197">
        <v>3600</v>
      </c>
      <c r="V197">
        <v>82</v>
      </c>
      <c r="Y197">
        <v>267</v>
      </c>
      <c r="Z197" s="3">
        <f t="shared" si="101"/>
        <v>0.32560975609756099</v>
      </c>
      <c r="AA197">
        <v>100</v>
      </c>
      <c r="AB197">
        <f t="shared" si="119"/>
        <v>160</v>
      </c>
      <c r="AE197">
        <v>17.829999999999998</v>
      </c>
      <c r="AF197">
        <v>17.829999999999998</v>
      </c>
      <c r="AH197">
        <v>3.77</v>
      </c>
      <c r="AI197" s="10">
        <v>0</v>
      </c>
      <c r="AJ197" t="str">
        <f>CONCATENATE(VLOOKUP(AK197, 'Voxel Sizes'!$A$2:$B$18,2,FALSE),"x",INT(AG197*15), "x", INT(AH197*15))</f>
        <v>164x0x56</v>
      </c>
      <c r="AK197">
        <f t="shared" si="102"/>
        <v>10</v>
      </c>
      <c r="AM197" t="str">
        <f>CONCATENATE(VLOOKUP(AK197,Constants!$A$2:$C$16,IF(AL197&lt;&gt;"", 3, 2), FALSE),IF(AL197&lt;&gt;"",CONCATENATE(",",VLOOKUP(AL197,$B:$AM,38,FALSE)),""))</f>
        <v>4,2,4</v>
      </c>
      <c r="AW197">
        <v>37</v>
      </c>
      <c r="AX197" s="15" t="str">
        <f t="shared" si="103"/>
        <v/>
      </c>
      <c r="BA197">
        <f t="shared" si="104"/>
        <v>20</v>
      </c>
      <c r="BB197">
        <f t="shared" si="105"/>
        <v>18</v>
      </c>
      <c r="BC197">
        <f t="shared" si="106"/>
        <v>13.35</v>
      </c>
      <c r="BD197" s="3">
        <f t="shared" si="107"/>
        <v>0.91333333333333333</v>
      </c>
      <c r="BE197">
        <f t="shared" si="108"/>
        <v>0</v>
      </c>
      <c r="BF197">
        <f>VLOOKUP($G197,Constants!$I:$K, 2, FALSE)</f>
        <v>0.85</v>
      </c>
      <c r="BG197">
        <f>VLOOKUP($G197,Constants!$I:$K, 3, FALSE)*IF(AND(F197="multiple_unit",AA197&lt;110),0.75,1)</f>
        <v>2.2999999999999998</v>
      </c>
      <c r="BH197">
        <f>INT(POWER(((Constants!$G$2+$BA197+$BB197+$BC197+$BE197)*$BD197)*$BG197, 1.05))+$AZ197</f>
        <v>150</v>
      </c>
      <c r="BI197">
        <f>INT(POWER((((Constants!$G$1+$BA197+$BB197+$BC197+$BE197)*($BD197))*$BF197),IF($F197="wagon",1,1.2)))+$AY197</f>
        <v>113</v>
      </c>
      <c r="BJ197" s="14">
        <f t="shared" si="109"/>
        <v>117187.5</v>
      </c>
      <c r="BK197" s="14">
        <f t="shared" si="110"/>
        <v>9181.25</v>
      </c>
      <c r="BR197">
        <v>11</v>
      </c>
      <c r="BV197" t="str">
        <f>VLOOKUP(I197,Eras!$A$2:$C$10, 2, TRUE)</f>
        <v>dsl</v>
      </c>
      <c r="BW197" t="s">
        <v>337</v>
      </c>
      <c r="BX197" t="str">
        <f t="shared" si="111"/>
        <v>dsl_Express (Electric)</v>
      </c>
      <c r="BY197" t="str">
        <f t="shared" si="112"/>
        <v>electric_ELRL</v>
      </c>
      <c r="BZ197" s="17" t="str" cm="1">
        <f t="array" ref="BZ197">_xlfn.CONCAT("{BLACK}Length: {GOLD}", TEXT(ROUNDUP(IF(AP197&lt;&gt;"",SUM(VALUE(_xlfn.TEXTSPLIT(AP197, ","))), SUM(VALUE(_xlfn.TEXTSPLIT(AM197, ",")))*IF(L197, L197, 1))/16, 1), "#,##0.0"), " tiles{}")</f>
        <v>{BLACK}Length: {GOLD}0.7 tiles{}</v>
      </c>
      <c r="CA197" t="str">
        <f>VLOOKUP($BY197, Constants!$M:$N, 2, FALSE)</f>
        <v>{BLACK}Powered by: {GOLD}25kV AC</v>
      </c>
      <c r="CB197" t="str">
        <f t="shared" si="121"/>
        <v/>
      </c>
      <c r="CC197" t="s">
        <v>520</v>
      </c>
      <c r="CD197" t="str">
        <f t="shared" si="120"/>
        <v/>
      </c>
      <c r="CE197" t="str">
        <f t="shared" si="122"/>
        <v>{BLACK}Powered by: {GOLD}25kV AC {}{BLACK}Length: {GOLD}0.7 tiles{}{SILVER}The Class 86 (originally AL6) was BR's first standard electric locomotive, incorporating experience from prototypes such as the Class 81.</v>
      </c>
    </row>
    <row r="198" spans="1:83" x14ac:dyDescent="0.25">
      <c r="A198" t="s">
        <v>43</v>
      </c>
      <c r="B198" t="s">
        <v>174</v>
      </c>
      <c r="C198">
        <v>336</v>
      </c>
      <c r="D198">
        <v>102</v>
      </c>
      <c r="E198" t="s">
        <v>1508</v>
      </c>
      <c r="F198" t="s">
        <v>262</v>
      </c>
      <c r="G198" t="s">
        <v>272</v>
      </c>
      <c r="H198" t="s">
        <v>274</v>
      </c>
      <c r="I198">
        <v>1967</v>
      </c>
      <c r="J198">
        <v>1968</v>
      </c>
      <c r="K198">
        <v>1994</v>
      </c>
      <c r="M198">
        <v>2700</v>
      </c>
      <c r="V198">
        <v>117</v>
      </c>
      <c r="Y198">
        <v>216</v>
      </c>
      <c r="Z198" s="3">
        <f t="shared" ref="Z198:Z263" si="123">IF(AND(V198&gt;0,Y198&gt;0),(Y198/((V198+W198)*10)),"")</f>
        <v>0.18461538461538463</v>
      </c>
      <c r="AA198">
        <v>100</v>
      </c>
      <c r="AB198">
        <f t="shared" si="119"/>
        <v>160</v>
      </c>
      <c r="AE198">
        <v>20.88</v>
      </c>
      <c r="AF198">
        <v>20.88</v>
      </c>
      <c r="AH198">
        <v>3.89</v>
      </c>
      <c r="AI198" s="10">
        <v>0</v>
      </c>
      <c r="AJ198" t="str">
        <f>CONCATENATE(VLOOKUP(AK198, 'Voxel Sizes'!$A$2:$B$18,2,FALSE),"x",INT(AG198*15), "x", INT(AH198*15))</f>
        <v>198x0x58</v>
      </c>
      <c r="AK198">
        <f t="shared" si="102"/>
        <v>12</v>
      </c>
      <c r="AM198" t="str">
        <f>CONCATENATE(VLOOKUP(AK198,Constants!$A$2:$C$16,IF(AL198&lt;&gt;"", 3, 2), FALSE),IF(AL198&lt;&gt;"",CONCATENATE(",",VLOOKUP(AL198,$B:$AM,38,FALSE)),""))</f>
        <v>4,4,4</v>
      </c>
      <c r="AW198">
        <v>30</v>
      </c>
      <c r="AX198" s="15">
        <f t="shared" si="103"/>
        <v>35</v>
      </c>
      <c r="BA198">
        <f t="shared" si="104"/>
        <v>20</v>
      </c>
      <c r="BB198">
        <f t="shared" si="105"/>
        <v>13.5</v>
      </c>
      <c r="BC198">
        <f t="shared" si="106"/>
        <v>10.8</v>
      </c>
      <c r="BD198" s="3">
        <f t="shared" si="107"/>
        <v>0.91066666666666662</v>
      </c>
      <c r="BE198">
        <f t="shared" si="108"/>
        <v>0</v>
      </c>
      <c r="BF198">
        <f>VLOOKUP($G198,Constants!$I:$K, 2, FALSE)</f>
        <v>1</v>
      </c>
      <c r="BG198">
        <f>VLOOKUP($G198,Constants!$I:$K, 3, FALSE)*IF(AND(F198="multiple_unit",AA198&lt;110),0.75,1)</f>
        <v>2</v>
      </c>
      <c r="BH198">
        <f>INT(POWER(((Constants!$G$2+$BA198+$BB198+$BC198+$BE198)*$BD198)*$BG198, 1.05))+$AZ198</f>
        <v>112</v>
      </c>
      <c r="BI198">
        <f>INT(POWER((((Constants!$G$1+$BA198+$BB198+$BC198+$BE198)*($BD198))*$BF198),IF($F198="wagon",1,1.2)))+$AY198</f>
        <v>119</v>
      </c>
      <c r="BJ198" s="14">
        <f t="shared" si="109"/>
        <v>87500</v>
      </c>
      <c r="BK198" s="14">
        <f t="shared" si="110"/>
        <v>9668.75</v>
      </c>
      <c r="BR198">
        <v>12</v>
      </c>
      <c r="BV198" t="str">
        <f>VLOOKUP(I198,Eras!$A$2:$C$10, 2, TRUE)</f>
        <v>dsl</v>
      </c>
      <c r="BW198" t="s">
        <v>327</v>
      </c>
      <c r="BX198" t="str">
        <f t="shared" si="111"/>
        <v>dsl_Express</v>
      </c>
      <c r="BY198" t="str">
        <f t="shared" si="112"/>
        <v>diesel_RAIL</v>
      </c>
      <c r="BZ198" s="17" t="str" cm="1">
        <f t="array" ref="BZ198">_xlfn.CONCAT("{BLACK}Length: {GOLD}", TEXT(ROUNDUP(IF(AP198&lt;&gt;"",SUM(VALUE(_xlfn.TEXTSPLIT(AP198, ","))), SUM(VALUE(_xlfn.TEXTSPLIT(AM198, ",")))*IF(L198, L198, 1))/16, 1), "#,##0.0"), " tiles{}")</f>
        <v>{BLACK}Length: {GOLD}0.8 tiles{}</v>
      </c>
      <c r="CA198" t="str">
        <f>VLOOKUP($BY198, Constants!$M:$N, 2, FALSE)</f>
        <v>{BLACK}Powered by: {GOLD}Diesel</v>
      </c>
      <c r="CB198" t="str">
        <f t="shared" si="121"/>
        <v/>
      </c>
      <c r="CC198" t="s">
        <v>543</v>
      </c>
      <c r="CD198" t="str">
        <f t="shared" si="120"/>
        <v/>
      </c>
      <c r="CE198" t="str">
        <f t="shared" si="122"/>
        <v>{BLACK}Powered by: {GOLD}Diesel {}{BLACK}Length: {GOLD}0.8 tiles{}{SILVER}The Class 50 hauled express services on the West Coast Main Line until electrification, at which point they were used to replace diesel-hydraulic engines in the Western Region.</v>
      </c>
    </row>
    <row r="199" spans="1:83" x14ac:dyDescent="0.25">
      <c r="A199" t="s">
        <v>61</v>
      </c>
      <c r="B199" t="s">
        <v>175</v>
      </c>
      <c r="C199">
        <v>338</v>
      </c>
      <c r="D199">
        <v>103</v>
      </c>
      <c r="E199" t="s">
        <v>1508</v>
      </c>
      <c r="F199" t="s">
        <v>262</v>
      </c>
      <c r="G199" t="s">
        <v>295</v>
      </c>
      <c r="H199" t="s">
        <v>296</v>
      </c>
      <c r="I199">
        <v>1973</v>
      </c>
      <c r="J199">
        <v>1975</v>
      </c>
      <c r="K199">
        <v>2006</v>
      </c>
      <c r="M199">
        <v>5000</v>
      </c>
      <c r="V199">
        <v>81</v>
      </c>
      <c r="Y199">
        <v>258</v>
      </c>
      <c r="Z199" s="3">
        <f t="shared" si="123"/>
        <v>0.31851851851851853</v>
      </c>
      <c r="AA199">
        <v>110</v>
      </c>
      <c r="AB199">
        <f t="shared" si="119"/>
        <v>176</v>
      </c>
      <c r="AE199">
        <v>17.829999999999998</v>
      </c>
      <c r="AF199">
        <v>17.829999999999998</v>
      </c>
      <c r="AH199">
        <v>3.77</v>
      </c>
      <c r="AI199" s="10">
        <v>0</v>
      </c>
      <c r="AJ199" t="str">
        <f>CONCATENATE(VLOOKUP(AK199, 'Voxel Sizes'!$A$2:$B$18,2,FALSE),"x",INT(AG199*15), "x", INT(AH199*15))</f>
        <v>164x0x56</v>
      </c>
      <c r="AK199">
        <f t="shared" ref="AK199:AK264" si="124">ROUND(15*((AF199*10)/256),0)</f>
        <v>10</v>
      </c>
      <c r="AM199" t="str">
        <f>CONCATENATE(VLOOKUP(AK199,Constants!$A$2:$C$16,IF(AL199&lt;&gt;"", 3, 2), FALSE),IF(AL199&lt;&gt;"",CONCATENATE(",",VLOOKUP(AL199,$B:$AM,38,FALSE)),""))</f>
        <v>4,2,4</v>
      </c>
      <c r="AW199">
        <v>30</v>
      </c>
      <c r="AX199" s="15">
        <f t="shared" ref="AX199:AX264" si="125">IF(K199&lt;&gt;"",MAX(16,(K199-I199)+8),"")</f>
        <v>41</v>
      </c>
      <c r="BA199">
        <f t="shared" ref="BA199:BA264" si="126">MIN(AA199/150, 1)*30</f>
        <v>22</v>
      </c>
      <c r="BB199">
        <f t="shared" ref="BB199:BB264" si="127">MIN(M199/4000, 1)*20</f>
        <v>20</v>
      </c>
      <c r="BC199">
        <f t="shared" ref="BC199:BC264" si="128">MIN(Y199/400,1)*20</f>
        <v>12.9</v>
      </c>
      <c r="BD199" s="3">
        <f t="shared" ref="BD199:BD264" si="129">1-(MAX(I199-1900, 0)/750)</f>
        <v>0.90266666666666673</v>
      </c>
      <c r="BE199">
        <f t="shared" ref="BE199:BE264" si="130">((MAX($L199,1)*MIN($AI199/300,1)))*IF(F199="Wagon",50,10)</f>
        <v>0</v>
      </c>
      <c r="BF199">
        <f>VLOOKUP($G199,Constants!$I:$K, 2, FALSE)</f>
        <v>0.85</v>
      </c>
      <c r="BG199">
        <f>VLOOKUP($G199,Constants!$I:$K, 3, FALSE)*IF(AND(F199="multiple_unit",AA199&lt;110),0.75,1)</f>
        <v>2.2999999999999998</v>
      </c>
      <c r="BH199">
        <f>INT(POWER(((Constants!$G$2+$BA199+$BB199+$BC199+$BE199)*$BD199)*$BG199, 1.05))+$AZ199</f>
        <v>158</v>
      </c>
      <c r="BI199">
        <f>INT(POWER((((Constants!$G$1+$BA199+$BB199+$BC199+$BE199)*($BD199))*$BF199),IF($F199="wagon",1,1.2)))+$AY199</f>
        <v>118</v>
      </c>
      <c r="BJ199" s="14">
        <f t="shared" ref="BJ199:BJ264" si="131">BH199*IF($F199="wagon",62.5,781.25)</f>
        <v>123437.5</v>
      </c>
      <c r="BK199" s="14">
        <f t="shared" ref="BK199:BK264" si="132">BI199*IF($F199="wagon",2.73,81.25)</f>
        <v>9587.5</v>
      </c>
      <c r="BR199">
        <v>1</v>
      </c>
      <c r="BV199" t="str">
        <f>VLOOKUP(I199,Eras!$A$2:$C$10, 2, TRUE)</f>
        <v>lbr</v>
      </c>
      <c r="BW199" t="s">
        <v>337</v>
      </c>
      <c r="BX199" t="str">
        <f t="shared" ref="BX199:BX264" si="133">CONCATENATE(BV199,"_",BW199)</f>
        <v>lbr_Express (Electric)</v>
      </c>
      <c r="BY199" t="str">
        <f t="shared" ref="BY199:BY264" si="134">_xlfn.CONCAT(G199, "_",H199)</f>
        <v>electric_ELRL</v>
      </c>
      <c r="BZ199" s="17" t="str" cm="1">
        <f t="array" ref="BZ199">_xlfn.CONCAT("{BLACK}Length: {GOLD}", TEXT(ROUNDUP(IF(AP199&lt;&gt;"",SUM(VALUE(_xlfn.TEXTSPLIT(AP199, ","))), SUM(VALUE(_xlfn.TEXTSPLIT(AM199, ",")))*IF(L199, L199, 1))/16, 1), "#,##0.0"), " tiles{}")</f>
        <v>{BLACK}Length: {GOLD}0.7 tiles{}</v>
      </c>
      <c r="CA199" t="str">
        <f>VLOOKUP($BY199, Constants!$M:$N, 2, FALSE)</f>
        <v>{BLACK}Powered by: {GOLD}25kV AC</v>
      </c>
      <c r="CB199" t="str">
        <f t="shared" si="121"/>
        <v/>
      </c>
      <c r="CC199" t="s">
        <v>544</v>
      </c>
      <c r="CD199" t="str">
        <f t="shared" si="120"/>
        <v/>
      </c>
      <c r="CE199" t="str">
        <f t="shared" si="122"/>
        <v>{BLACK}Powered by: {GOLD}25kV AC {}{BLACK}Length: {GOLD}0.7 tiles{}{SILVER}The Class 87 was a further development of the Class 86 with even more power and performance, serving as the flagship of the British Rail electric fleet.</v>
      </c>
    </row>
    <row r="200" spans="1:83" x14ac:dyDescent="0.25">
      <c r="A200" t="s">
        <v>34</v>
      </c>
      <c r="B200" t="s">
        <v>305</v>
      </c>
      <c r="C200">
        <v>340</v>
      </c>
      <c r="D200">
        <v>104</v>
      </c>
      <c r="E200" t="s">
        <v>1508</v>
      </c>
      <c r="F200" t="s">
        <v>262</v>
      </c>
      <c r="G200" t="s">
        <v>272</v>
      </c>
      <c r="H200" t="s">
        <v>274</v>
      </c>
      <c r="I200">
        <v>1975</v>
      </c>
      <c r="J200">
        <v>1982</v>
      </c>
      <c r="K200">
        <v>2021</v>
      </c>
      <c r="M200">
        <v>1770</v>
      </c>
      <c r="V200">
        <v>70.25</v>
      </c>
      <c r="Y200">
        <v>160</v>
      </c>
      <c r="Z200" s="3">
        <f t="shared" si="123"/>
        <v>0.22775800711743771</v>
      </c>
      <c r="AA200">
        <v>125</v>
      </c>
      <c r="AB200">
        <f t="shared" si="119"/>
        <v>200</v>
      </c>
      <c r="AE200">
        <v>17.79</v>
      </c>
      <c r="AF200">
        <v>17.79</v>
      </c>
      <c r="AI200" s="10">
        <v>0</v>
      </c>
      <c r="AJ200" t="str">
        <f>CONCATENATE(VLOOKUP(AK200, 'Voxel Sizes'!$A$2:$B$18,2,FALSE),"x",INT(AG200*15), "x", INT(AH200*15))</f>
        <v>164x0x0</v>
      </c>
      <c r="AK200">
        <f t="shared" si="124"/>
        <v>10</v>
      </c>
      <c r="AM200" t="str">
        <f>CONCATENATE(VLOOKUP(AK200,Constants!$A$2:$C$16,IF(AL200&lt;&gt;"", 3, 2), FALSE),IF(AL200&lt;&gt;"",CONCATENATE(",",VLOOKUP(AL200,$B:$AM,38,FALSE)),""))</f>
        <v>4,2,4</v>
      </c>
      <c r="AW200">
        <v>35</v>
      </c>
      <c r="AX200" s="15">
        <f t="shared" si="125"/>
        <v>54</v>
      </c>
      <c r="BA200">
        <f t="shared" si="126"/>
        <v>25</v>
      </c>
      <c r="BB200">
        <f t="shared" si="127"/>
        <v>8.85</v>
      </c>
      <c r="BC200">
        <f t="shared" si="128"/>
        <v>8</v>
      </c>
      <c r="BD200" s="3">
        <f t="shared" si="129"/>
        <v>0.9</v>
      </c>
      <c r="BE200">
        <f t="shared" si="130"/>
        <v>0</v>
      </c>
      <c r="BF200">
        <f>VLOOKUP($G200,Constants!$I:$K, 2, FALSE)</f>
        <v>1</v>
      </c>
      <c r="BG200">
        <f>VLOOKUP($G200,Constants!$I:$K, 3, FALSE)*IF(AND(F200="multiple_unit",AA200&lt;110),0.75,1)</f>
        <v>2</v>
      </c>
      <c r="BH200">
        <f>INT(POWER(((Constants!$G$2+$BA200+$BB200+$BC200+$BE200)*$BD200)*$BG200, 1.05))+$AZ200</f>
        <v>105</v>
      </c>
      <c r="BI200">
        <f>INT(POWER((((Constants!$G$1+$BA200+$BB200+$BC200+$BE200)*($BD200))*$BF200),IF($F200="wagon",1,1.2)))+$AY200</f>
        <v>112</v>
      </c>
      <c r="BJ200" s="14">
        <f t="shared" si="131"/>
        <v>82031.25</v>
      </c>
      <c r="BK200" s="14">
        <f t="shared" si="132"/>
        <v>9100</v>
      </c>
      <c r="BL200">
        <v>1</v>
      </c>
      <c r="BP200">
        <v>1</v>
      </c>
      <c r="BR200">
        <v>2</v>
      </c>
      <c r="BV200" t="str">
        <f>VLOOKUP(I200,Eras!$A$2:$C$10, 2, TRUE)</f>
        <v>lbr</v>
      </c>
      <c r="BW200" t="s">
        <v>327</v>
      </c>
      <c r="BX200" t="str">
        <f t="shared" si="133"/>
        <v>lbr_Express</v>
      </c>
      <c r="BY200" t="str">
        <f t="shared" si="134"/>
        <v>diesel_RAIL</v>
      </c>
      <c r="BZ200" s="17" t="str" cm="1">
        <f t="array" ref="BZ200">_xlfn.CONCAT("{BLACK}Length: {GOLD}", TEXT(ROUNDUP(IF(AP200&lt;&gt;"",SUM(VALUE(_xlfn.TEXTSPLIT(AP200, ","))), SUM(VALUE(_xlfn.TEXTSPLIT(AM200, ",")))*IF(L200, L200, 1))/16, 1), "#,##0.0"), " tiles{}")</f>
        <v>{BLACK}Length: {GOLD}0.7 tiles{}</v>
      </c>
      <c r="CA200" t="str">
        <f>VLOOKUP($BY200, Constants!$M:$N, 2, FALSE)</f>
        <v>{BLACK}Powered by: {GOLD}Diesel</v>
      </c>
      <c r="CB200" t="str">
        <f t="shared" si="121"/>
        <v/>
      </c>
      <c r="CC200" t="s">
        <v>365</v>
      </c>
      <c r="CD200" t="str">
        <f t="shared" si="120"/>
        <v/>
      </c>
      <c r="CE200" t="str">
        <f t="shared" si="122"/>
        <v>{BLACK}Powered by: {GOLD}Diesel {}{BLACK}Length: {GOLD}0.7 tiles{}{SILVER}The Class 43 HST is a high-speed diesel-electric locomotive, also known as the Intercity 125 for its 125mph service speed and intended use on long routes between cities.</v>
      </c>
    </row>
    <row r="201" spans="1:83" x14ac:dyDescent="0.25">
      <c r="A201" t="s">
        <v>545</v>
      </c>
      <c r="B201" t="s">
        <v>547</v>
      </c>
      <c r="C201">
        <v>342</v>
      </c>
      <c r="D201">
        <v>105</v>
      </c>
      <c r="E201" t="s">
        <v>1508</v>
      </c>
      <c r="F201" t="s">
        <v>262</v>
      </c>
      <c r="G201" t="s">
        <v>272</v>
      </c>
      <c r="H201" t="s">
        <v>274</v>
      </c>
      <c r="I201">
        <v>1976</v>
      </c>
      <c r="J201">
        <v>1984</v>
      </c>
      <c r="M201">
        <v>3250</v>
      </c>
      <c r="V201">
        <v>125</v>
      </c>
      <c r="Y201">
        <v>275</v>
      </c>
      <c r="Z201" s="3">
        <f t="shared" si="123"/>
        <v>0.22</v>
      </c>
      <c r="AA201">
        <v>80</v>
      </c>
      <c r="AB201">
        <f t="shared" si="119"/>
        <v>128</v>
      </c>
      <c r="AE201">
        <v>19.350000000000001</v>
      </c>
      <c r="AF201">
        <v>19.350000000000001</v>
      </c>
      <c r="AH201">
        <v>3.89</v>
      </c>
      <c r="AI201" s="10">
        <v>0</v>
      </c>
      <c r="AJ201" t="str">
        <f>CONCATENATE(VLOOKUP(AK201, 'Voxel Sizes'!$A$2:$B$18,2,FALSE),"x",INT(AG201*15), "x", INT(AH201*15))</f>
        <v>186x0x58</v>
      </c>
      <c r="AK201">
        <f t="shared" si="124"/>
        <v>11</v>
      </c>
      <c r="AM201" t="str">
        <f>CONCATENATE(VLOOKUP(AK201,Constants!$A$2:$C$16,IF(AL201&lt;&gt;"", 3, 2), FALSE),IF(AL201&lt;&gt;"",CONCATENATE(",",VLOOKUP(AL201,$B:$AM,38,FALSE)),""))</f>
        <v>4,3,4</v>
      </c>
      <c r="AW201">
        <v>30</v>
      </c>
      <c r="AX201" s="15" t="str">
        <f t="shared" si="125"/>
        <v/>
      </c>
      <c r="BA201">
        <f t="shared" si="126"/>
        <v>16</v>
      </c>
      <c r="BB201">
        <f t="shared" si="127"/>
        <v>16.25</v>
      </c>
      <c r="BC201">
        <f t="shared" si="128"/>
        <v>13.75</v>
      </c>
      <c r="BD201" s="3">
        <f t="shared" si="129"/>
        <v>0.89866666666666672</v>
      </c>
      <c r="BE201">
        <f t="shared" si="130"/>
        <v>0</v>
      </c>
      <c r="BF201">
        <f>VLOOKUP($G201,Constants!$I:$K, 2, FALSE)</f>
        <v>1</v>
      </c>
      <c r="BG201">
        <f>VLOOKUP($G201,Constants!$I:$K, 3, FALSE)*IF(AND(F201="multiple_unit",AA201&lt;110),0.75,1)</f>
        <v>2</v>
      </c>
      <c r="BH201">
        <f>INT(POWER(((Constants!$G$2+$BA201+$BB201+$BC201+$BE201)*$BD201)*$BG201, 1.05))+$AZ201</f>
        <v>114</v>
      </c>
      <c r="BI201">
        <f>INT(POWER((((Constants!$G$1+$BA201+$BB201+$BC201+$BE201)*($BD201))*$BF201),IF($F201="wagon",1,1.2)))+$AY201</f>
        <v>122</v>
      </c>
      <c r="BJ201" s="14">
        <f t="shared" si="131"/>
        <v>89062.5</v>
      </c>
      <c r="BK201" s="14">
        <f t="shared" si="132"/>
        <v>9912.5</v>
      </c>
      <c r="BR201">
        <v>3</v>
      </c>
      <c r="BV201" t="str">
        <f>VLOOKUP(I201,Eras!$A$2:$C$10, 2, TRUE)</f>
        <v>lbr</v>
      </c>
      <c r="BW201" t="s">
        <v>328</v>
      </c>
      <c r="BX201" t="str">
        <f t="shared" si="133"/>
        <v>lbr_Freight</v>
      </c>
      <c r="BY201" t="str">
        <f t="shared" si="134"/>
        <v>diesel_RAIL</v>
      </c>
      <c r="BZ201" s="17" t="str" cm="1">
        <f t="array" ref="BZ201">_xlfn.CONCAT("{BLACK}Length: {GOLD}", TEXT(ROUNDUP(IF(AP201&lt;&gt;"",SUM(VALUE(_xlfn.TEXTSPLIT(AP201, ","))), SUM(VALUE(_xlfn.TEXTSPLIT(AM201, ",")))*IF(L201, L201, 1))/16, 1), "#,##0.0"), " tiles{}")</f>
        <v>{BLACK}Length: {GOLD}0.7 tiles{}</v>
      </c>
      <c r="CA201" t="str">
        <f>VLOOKUP($BY201, Constants!$M:$N, 2, FALSE)</f>
        <v>{BLACK}Powered by: {GOLD}Diesel</v>
      </c>
      <c r="CB201" t="str">
        <f t="shared" si="121"/>
        <v/>
      </c>
      <c r="CC201" t="s">
        <v>546</v>
      </c>
      <c r="CD201" t="str">
        <f t="shared" si="120"/>
        <v/>
      </c>
      <c r="CE201" t="str">
        <f t="shared" si="122"/>
        <v>{BLACK}Powered by: {GOLD}Diesel {}{BLACK}Length: {GOLD}0.7 tiles{}{SILVER}The Class 56 is designed for heavy freight work. It contains many improvements to the electric drivetrain compared to earlier diesel-electric locomotives, making it more reliable and easier to operate.</v>
      </c>
    </row>
    <row r="202" spans="1:83" x14ac:dyDescent="0.25">
      <c r="A202" t="s">
        <v>44</v>
      </c>
      <c r="B202" t="s">
        <v>558</v>
      </c>
      <c r="C202">
        <v>344</v>
      </c>
      <c r="D202">
        <v>106</v>
      </c>
      <c r="E202" t="s">
        <v>1508</v>
      </c>
      <c r="F202" t="s">
        <v>262</v>
      </c>
      <c r="G202" t="s">
        <v>272</v>
      </c>
      <c r="H202" t="s">
        <v>274</v>
      </c>
      <c r="I202">
        <v>1983</v>
      </c>
      <c r="J202">
        <v>1987</v>
      </c>
      <c r="M202">
        <v>3300</v>
      </c>
      <c r="V202">
        <v>130</v>
      </c>
      <c r="Y202">
        <v>267</v>
      </c>
      <c r="Z202" s="3">
        <f t="shared" si="123"/>
        <v>0.20538461538461539</v>
      </c>
      <c r="AA202">
        <v>80</v>
      </c>
      <c r="AB202">
        <f t="shared" si="119"/>
        <v>128</v>
      </c>
      <c r="AE202">
        <v>19.13</v>
      </c>
      <c r="AF202">
        <v>19.13</v>
      </c>
      <c r="AH202">
        <v>3.91</v>
      </c>
      <c r="AI202" s="10">
        <v>0</v>
      </c>
      <c r="AJ202" t="str">
        <f>CONCATENATE(VLOOKUP(AK202, 'Voxel Sizes'!$A$2:$B$18,2,FALSE),"x",INT(AG202*15), "x", INT(AH202*15))</f>
        <v>186x0x58</v>
      </c>
      <c r="AK202">
        <f t="shared" si="124"/>
        <v>11</v>
      </c>
      <c r="AM202" t="str">
        <f>CONCATENATE(VLOOKUP(AK202,Constants!$A$2:$C$16,IF(AL202&lt;&gt;"", 3, 2), FALSE),IF(AL202&lt;&gt;"",CONCATENATE(",",VLOOKUP(AL202,$B:$AM,38,FALSE)),""))</f>
        <v>4,3,4</v>
      </c>
      <c r="AW202">
        <v>30</v>
      </c>
      <c r="AX202" s="15" t="str">
        <f t="shared" si="125"/>
        <v/>
      </c>
      <c r="BA202">
        <f t="shared" si="126"/>
        <v>16</v>
      </c>
      <c r="BB202">
        <f t="shared" si="127"/>
        <v>16.5</v>
      </c>
      <c r="BC202">
        <f t="shared" si="128"/>
        <v>13.35</v>
      </c>
      <c r="BD202" s="3">
        <f t="shared" si="129"/>
        <v>0.88933333333333331</v>
      </c>
      <c r="BE202">
        <f t="shared" si="130"/>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31"/>
        <v>88281.25</v>
      </c>
      <c r="BK202" s="14">
        <f t="shared" si="132"/>
        <v>9750</v>
      </c>
      <c r="BR202">
        <v>4</v>
      </c>
      <c r="BV202" t="str">
        <f>VLOOKUP(I202,Eras!$A$2:$C$10, 2, TRUE)</f>
        <v>lbr</v>
      </c>
      <c r="BW202" t="s">
        <v>328</v>
      </c>
      <c r="BX202" t="str">
        <f t="shared" si="133"/>
        <v>lbr_Freight</v>
      </c>
      <c r="BY202" t="str">
        <f t="shared" si="134"/>
        <v>diesel_RAIL</v>
      </c>
      <c r="BZ202" s="17" t="str" cm="1">
        <f t="array" ref="BZ202">_xlfn.CONCAT("{BLACK}Length: {GOLD}", TEXT(ROUNDUP(IF(AP202&lt;&gt;"",SUM(VALUE(_xlfn.TEXTSPLIT(AP202, ","))), SUM(VALUE(_xlfn.TEXTSPLIT(AM202, ",")))*IF(L202, L202, 1))/16, 1), "#,##0.0"), " tiles{}")</f>
        <v>{BLACK}Length: {GOLD}0.7 tiles{}</v>
      </c>
      <c r="CA202" t="str">
        <f>VLOOKUP($BY202, Constants!$M:$N, 2, FALSE)</f>
        <v>{BLACK}Powered by: {GOLD}Diesel</v>
      </c>
      <c r="CB202" t="str">
        <f t="shared" si="121"/>
        <v/>
      </c>
      <c r="CC202" t="s">
        <v>557</v>
      </c>
      <c r="CD202" t="str">
        <f t="shared" si="120"/>
        <v/>
      </c>
      <c r="CE202" t="str">
        <f t="shared" si="122"/>
        <v>{BLACK}Powered by: {GOLD}Diesel {}{BLACK}Length: {GOLD}0.7 tiles{}{SILVER}The Class 58 used a modular design with replaceable modules mounted to an underframe. It was nicknamed "Bone" after the narrow central section.</v>
      </c>
    </row>
    <row r="203" spans="1:83" x14ac:dyDescent="0.25">
      <c r="A203" t="s">
        <v>33</v>
      </c>
      <c r="B203" t="s">
        <v>176</v>
      </c>
      <c r="C203">
        <v>346</v>
      </c>
      <c r="D203">
        <v>107</v>
      </c>
      <c r="E203" t="s">
        <v>1508</v>
      </c>
      <c r="F203" t="s">
        <v>262</v>
      </c>
      <c r="G203" t="s">
        <v>272</v>
      </c>
      <c r="H203" t="s">
        <v>274</v>
      </c>
      <c r="I203">
        <v>1985</v>
      </c>
      <c r="J203">
        <v>1995</v>
      </c>
      <c r="M203">
        <v>3300</v>
      </c>
      <c r="V203">
        <v>126</v>
      </c>
      <c r="Y203">
        <v>290</v>
      </c>
      <c r="Z203" s="3">
        <f t="shared" si="123"/>
        <v>0.23015873015873015</v>
      </c>
      <c r="AA203">
        <v>75</v>
      </c>
      <c r="AB203">
        <f t="shared" si="119"/>
        <v>120</v>
      </c>
      <c r="AE203">
        <v>21.4</v>
      </c>
      <c r="AF203">
        <v>21.4</v>
      </c>
      <c r="AH203">
        <v>3.91</v>
      </c>
      <c r="AI203" s="10">
        <v>0</v>
      </c>
      <c r="AJ203" t="str">
        <f>CONCATENATE(VLOOKUP(AK203, 'Voxel Sizes'!$A$2:$B$18,2,FALSE),"x",INT(AG203*15), "x", INT(AH203*15))</f>
        <v>214x0x58</v>
      </c>
      <c r="AK203">
        <f t="shared" si="124"/>
        <v>13</v>
      </c>
      <c r="AM203" t="str">
        <f>CONCATENATE(VLOOKUP(AK203,Constants!$A$2:$C$16,IF(AL203&lt;&gt;"", 3, 2), FALSE),IF(AL203&lt;&gt;"",CONCATENATE(",",VLOOKUP(AL203,$B:$AM,38,FALSE)),""))</f>
        <v>4,5,4</v>
      </c>
      <c r="AW203">
        <v>30</v>
      </c>
      <c r="AX203" s="15" t="str">
        <f t="shared" si="125"/>
        <v/>
      </c>
      <c r="BA203">
        <f t="shared" si="126"/>
        <v>15</v>
      </c>
      <c r="BB203">
        <f t="shared" si="127"/>
        <v>16.5</v>
      </c>
      <c r="BC203">
        <f t="shared" si="128"/>
        <v>14.5</v>
      </c>
      <c r="BD203" s="3">
        <f t="shared" si="129"/>
        <v>0.88666666666666671</v>
      </c>
      <c r="BE203">
        <f t="shared" si="130"/>
        <v>0</v>
      </c>
      <c r="BF203">
        <f>VLOOKUP($G203,Constants!$I:$K, 2, FALSE)</f>
        <v>1</v>
      </c>
      <c r="BG203">
        <f>VLOOKUP($G203,Constants!$I:$K, 3, FALSE)*IF(AND(F203="multiple_unit",AA203&lt;110),0.75,1)</f>
        <v>2</v>
      </c>
      <c r="BH203">
        <f>INT(POWER(((Constants!$G$2+$BA203+$BB203+$BC203+$BE203)*$BD203)*$BG203, 1.05))+$AZ203</f>
        <v>113</v>
      </c>
      <c r="BI203">
        <f>INT(POWER((((Constants!$G$1+$BA203+$BB203+$BC203+$BE203)*($BD203))*$BF203),IF($F203="wagon",1,1.2)))+$AY203</f>
        <v>120</v>
      </c>
      <c r="BJ203" s="14">
        <f t="shared" si="131"/>
        <v>88281.25</v>
      </c>
      <c r="BK203" s="14">
        <f t="shared" si="132"/>
        <v>9750</v>
      </c>
      <c r="BR203">
        <v>5</v>
      </c>
      <c r="BV203" t="str">
        <f>VLOOKUP(I203,Eras!$A$2:$C$10, 2, TRUE)</f>
        <v>lbr</v>
      </c>
      <c r="BW203" t="s">
        <v>328</v>
      </c>
      <c r="BX203" t="str">
        <f t="shared" si="133"/>
        <v>lbr_Freight</v>
      </c>
      <c r="BY203" t="str">
        <f t="shared" si="134"/>
        <v>diesel_RAIL</v>
      </c>
      <c r="BZ203" s="17" t="str" cm="1">
        <f t="array" ref="BZ203">_xlfn.CONCAT("{BLACK}Length: {GOLD}", TEXT(ROUNDUP(IF(AP203&lt;&gt;"",SUM(VALUE(_xlfn.TEXTSPLIT(AP203, ","))), SUM(VALUE(_xlfn.TEXTSPLIT(AM203, ",")))*IF(L203, L203, 1))/16, 1), "#,##0.0"), " tiles{}")</f>
        <v>{BLACK}Length: {GOLD}0.9 tiles{}</v>
      </c>
      <c r="CA203" t="str">
        <f>VLOOKUP($BY203, Constants!$M:$N, 2, FALSE)</f>
        <v>{BLACK}Powered by: {GOLD}Diesel</v>
      </c>
      <c r="CB203" t="str">
        <f t="shared" si="121"/>
        <v/>
      </c>
      <c r="CC203" t="s">
        <v>559</v>
      </c>
      <c r="CD203" t="str">
        <f t="shared" si="120"/>
        <v/>
      </c>
      <c r="CE203" t="str">
        <f t="shared" si="122"/>
        <v>{BLACK}Powered by: {GOLD}Diesel {}{BLACK}Length: {GOLD}0.9 tiles{}{SILVER}The Class 59 is the first US-built locomotive to operate in mainland Great Britain. It is derived from the SD40, with a British cab layout.</v>
      </c>
    </row>
    <row r="204" spans="1:83" x14ac:dyDescent="0.25">
      <c r="A204" t="s">
        <v>1192</v>
      </c>
      <c r="B204" t="s">
        <v>1193</v>
      </c>
      <c r="C204">
        <v>347</v>
      </c>
      <c r="D204">
        <v>108</v>
      </c>
      <c r="E204" t="s">
        <v>1508</v>
      </c>
      <c r="F204" t="s">
        <v>262</v>
      </c>
      <c r="G204" t="s">
        <v>295</v>
      </c>
      <c r="H204" t="s">
        <v>296</v>
      </c>
      <c r="I204">
        <v>1986</v>
      </c>
      <c r="K204">
        <v>2001</v>
      </c>
      <c r="M204">
        <v>5850</v>
      </c>
      <c r="V204">
        <v>105</v>
      </c>
      <c r="Y204">
        <v>209</v>
      </c>
      <c r="Z204" s="3">
        <f t="shared" si="123"/>
        <v>0.19904761904761906</v>
      </c>
      <c r="AA204">
        <v>125</v>
      </c>
      <c r="AB204">
        <f t="shared" si="119"/>
        <v>200</v>
      </c>
      <c r="AE204">
        <v>19.79</v>
      </c>
      <c r="AF204">
        <v>19.79</v>
      </c>
      <c r="AG204">
        <v>2.73</v>
      </c>
      <c r="AH204">
        <v>3.8</v>
      </c>
      <c r="AJ204" t="str">
        <f>CONCATENATE(VLOOKUP(AK204, 'Voxel Sizes'!$A$2:$B$18,2,FALSE),"x",INT(AG204*15), "x", INT(AH204*15))</f>
        <v>198x40x57</v>
      </c>
      <c r="AK204">
        <f t="shared" si="124"/>
        <v>12</v>
      </c>
      <c r="AM204" t="str">
        <f>CONCATENATE(VLOOKUP(AK204,Constants!$A$2:$C$16,IF(AL204&lt;&gt;"", 3, 2), FALSE),IF(AL204&lt;&gt;"",CONCATENATE(",",VLOOKUP(AL204,$B:$AM,38,FALSE)),""))</f>
        <v>4,4,4</v>
      </c>
      <c r="AW204">
        <v>24</v>
      </c>
      <c r="AX204" s="15">
        <f t="shared" si="125"/>
        <v>23</v>
      </c>
      <c r="AY204">
        <v>15</v>
      </c>
      <c r="AZ204">
        <v>-30</v>
      </c>
      <c r="BA204">
        <f t="shared" si="126"/>
        <v>25</v>
      </c>
      <c r="BB204">
        <f t="shared" si="127"/>
        <v>20</v>
      </c>
      <c r="BC204">
        <f t="shared" si="128"/>
        <v>10.45</v>
      </c>
      <c r="BD204" s="3">
        <f t="shared" si="129"/>
        <v>0.88533333333333331</v>
      </c>
      <c r="BE204">
        <f t="shared" si="130"/>
        <v>0</v>
      </c>
      <c r="BF204">
        <f>VLOOKUP($G204,Constants!$I:$K, 2, FALSE)</f>
        <v>0.85</v>
      </c>
      <c r="BG204">
        <f>VLOOKUP($G204,Constants!$I:$K, 3, FALSE)*IF(AND(F204="multiple_unit",AA204&lt;110),0.75,1)</f>
        <v>2.2999999999999998</v>
      </c>
      <c r="BH204">
        <f>INT(POWER(((Constants!$G$2+$BA204+$BB204+$BC204+$BE204)*$BD204)*$BG204, 1.05))+$AZ204</f>
        <v>126</v>
      </c>
      <c r="BI204">
        <f>INT(POWER((((Constants!$G$1+$BA204+$BB204+$BC204+$BE204)*($BD204))*$BF204),IF($F204="wagon",1,1.2)))+$AY204</f>
        <v>132</v>
      </c>
      <c r="BJ204" s="14">
        <f t="shared" si="131"/>
        <v>98437.5</v>
      </c>
      <c r="BK204" s="14">
        <f t="shared" si="132"/>
        <v>10725</v>
      </c>
      <c r="BR204">
        <v>5</v>
      </c>
      <c r="BV204" t="str">
        <f>VLOOKUP(I204,Eras!$A$2:$C$10, 2, TRUE)</f>
        <v>lbr</v>
      </c>
      <c r="BW204" t="s">
        <v>327</v>
      </c>
      <c r="BX204" t="str">
        <f t="shared" si="133"/>
        <v>lbr_Express</v>
      </c>
      <c r="BY204" t="str">
        <f t="shared" si="134"/>
        <v>electric_ELRL</v>
      </c>
      <c r="BZ204" s="17" t="str" cm="1">
        <f t="array" ref="BZ204">_xlfn.CONCAT("{BLACK}Length: {GOLD}", TEXT(ROUNDUP(IF(AP204&lt;&gt;"",SUM(VALUE(_xlfn.TEXTSPLIT(AP204, ","))), SUM(VALUE(_xlfn.TEXTSPLIT(AM204, ",")))*IF(L204, L204, 1))/16, 1), "#,##0.0"), " tiles{}")</f>
        <v>{BLACK}Length: {GOLD}0.8 tiles{}</v>
      </c>
      <c r="CA204" t="str">
        <f>VLOOKUP($BY204, Constants!$M:$N, 2, FALSE)</f>
        <v>{BLACK}Powered by: {GOLD}25kV AC</v>
      </c>
      <c r="CB204" t="str">
        <f t="shared" si="121"/>
        <v/>
      </c>
      <c r="CC204" t="s">
        <v>1227</v>
      </c>
      <c r="CE204" t="str">
        <f t="shared" si="122"/>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05" spans="1:83" x14ac:dyDescent="0.25">
      <c r="A205" t="s">
        <v>65</v>
      </c>
      <c r="B205" t="s">
        <v>177</v>
      </c>
      <c r="C205">
        <v>348</v>
      </c>
      <c r="D205">
        <v>109</v>
      </c>
      <c r="E205" t="s">
        <v>1508</v>
      </c>
      <c r="F205" t="s">
        <v>262</v>
      </c>
      <c r="G205" t="s">
        <v>295</v>
      </c>
      <c r="H205" t="s">
        <v>296</v>
      </c>
      <c r="I205">
        <v>1987</v>
      </c>
      <c r="J205">
        <v>1990</v>
      </c>
      <c r="M205">
        <v>5000</v>
      </c>
      <c r="V205">
        <v>84.5</v>
      </c>
      <c r="Y205">
        <v>258</v>
      </c>
      <c r="Z205" s="3">
        <f t="shared" si="123"/>
        <v>0.30532544378698223</v>
      </c>
      <c r="AA205">
        <v>110</v>
      </c>
      <c r="AB205">
        <f t="shared" si="119"/>
        <v>176</v>
      </c>
      <c r="AE205">
        <v>18.75</v>
      </c>
      <c r="AF205">
        <v>18.75</v>
      </c>
      <c r="AH205">
        <v>3.96</v>
      </c>
      <c r="AI205" s="10">
        <v>0</v>
      </c>
      <c r="AJ205" t="str">
        <f>CONCATENATE(VLOOKUP(AK205, 'Voxel Sizes'!$A$2:$B$18,2,FALSE),"x",INT(AG205*15), "x", INT(AH205*15))</f>
        <v>186x0x59</v>
      </c>
      <c r="AK205">
        <f t="shared" si="124"/>
        <v>11</v>
      </c>
      <c r="AM205" t="str">
        <f>CONCATENATE(VLOOKUP(AK205,Constants!$A$2:$C$16,IF(AL205&lt;&gt;"", 3, 2), FALSE),IF(AL205&lt;&gt;"",CONCATENATE(",",VLOOKUP(AL205,$B:$AM,38,FALSE)),""))</f>
        <v>4,3,4</v>
      </c>
      <c r="AW205">
        <v>30</v>
      </c>
      <c r="AX205" s="15" t="str">
        <f t="shared" si="125"/>
        <v/>
      </c>
      <c r="BA205">
        <f t="shared" si="126"/>
        <v>22</v>
      </c>
      <c r="BB205">
        <f t="shared" si="127"/>
        <v>20</v>
      </c>
      <c r="BC205">
        <f t="shared" si="128"/>
        <v>12.9</v>
      </c>
      <c r="BD205" s="3">
        <f t="shared" si="129"/>
        <v>0.88400000000000001</v>
      </c>
      <c r="BE205">
        <f t="shared" si="130"/>
        <v>0</v>
      </c>
      <c r="BF205">
        <f>VLOOKUP($G205,Constants!$I:$K, 2, FALSE)</f>
        <v>0.85</v>
      </c>
      <c r="BG205">
        <f>VLOOKUP($G205,Constants!$I:$K, 3, FALSE)*IF(AND(F205="multiple_unit",AA205&lt;110),0.75,1)</f>
        <v>2.2999999999999998</v>
      </c>
      <c r="BH205">
        <f>INT(POWER(((Constants!$G$2+$BA205+$BB205+$BC205+$BE205)*$BD205)*$BG205, 1.05))+$AZ205</f>
        <v>154</v>
      </c>
      <c r="BI205">
        <f>INT(POWER((((Constants!$G$1+$BA205+$BB205+$BC205+$BE205)*($BD205))*$BF205),IF($F205="wagon",1,1.2)))+$AY205</f>
        <v>115</v>
      </c>
      <c r="BJ205" s="14">
        <f t="shared" si="131"/>
        <v>120312.5</v>
      </c>
      <c r="BK205" s="14">
        <f t="shared" si="132"/>
        <v>9343.75</v>
      </c>
      <c r="BR205">
        <v>6</v>
      </c>
      <c r="BV205" t="str">
        <f>VLOOKUP(I205,Eras!$A$2:$C$10, 2, TRUE)</f>
        <v>lbr</v>
      </c>
      <c r="BW205" t="s">
        <v>327</v>
      </c>
      <c r="BX205" t="str">
        <f t="shared" si="133"/>
        <v>lbr_Express</v>
      </c>
      <c r="BY205" t="str">
        <f t="shared" si="134"/>
        <v>electric_ELRL</v>
      </c>
      <c r="BZ205" s="17" t="str" cm="1">
        <f t="array" ref="BZ205">_xlfn.CONCAT("{BLACK}Length: {GOLD}", TEXT(ROUNDUP(IF(AP205&lt;&gt;"",SUM(VALUE(_xlfn.TEXTSPLIT(AP205, ","))), SUM(VALUE(_xlfn.TEXTSPLIT(AM205, ",")))*IF(L205, L205, 1))/16, 1), "#,##0.0"), " tiles{}")</f>
        <v>{BLACK}Length: {GOLD}0.7 tiles{}</v>
      </c>
      <c r="CA205" t="str">
        <f>VLOOKUP($BY205, Constants!$M:$N, 2, FALSE)</f>
        <v>{BLACK}Powered by: {GOLD}25kV AC</v>
      </c>
      <c r="CB205" t="str">
        <f t="shared" si="121"/>
        <v/>
      </c>
      <c r="CC205" t="s">
        <v>562</v>
      </c>
      <c r="CD205" t="str">
        <f>IF(BU205="BRAKE","{YELLOW}Speed bonus for slow wagons{}",IF(BS205&gt;190,CONCATENATE("{YELLOW}",INT((BS205-185)/1.85),"% Bonus for long distance travel{}"),IF(AND(BS205&lt;180,BS205&lt;&gt;0),CONCATENATE("{YELLOW}",INT((185-BS205)/1.85),"% Penalty for long distance travel{}"),"")))</f>
        <v/>
      </c>
      <c r="CE205" t="str">
        <f t="shared" si="122"/>
        <v>{BLACK}Powered by: {GOLD}25kV AC {}{BLACK}Length: {GOLD}0.7 tiles{}{SILVER}The Class 90 is a powerful electric locomotive. Initially used for Intercity express services, several were also used for freight.</v>
      </c>
    </row>
    <row r="206" spans="1:83" x14ac:dyDescent="0.25">
      <c r="A206" t="s">
        <v>568</v>
      </c>
      <c r="B206" t="s">
        <v>235</v>
      </c>
      <c r="C206">
        <v>350</v>
      </c>
      <c r="D206">
        <v>110</v>
      </c>
      <c r="E206" t="s">
        <v>1508</v>
      </c>
      <c r="F206" t="s">
        <v>262</v>
      </c>
      <c r="G206" t="s">
        <v>295</v>
      </c>
      <c r="H206" t="s">
        <v>296</v>
      </c>
      <c r="I206">
        <v>1988</v>
      </c>
      <c r="J206">
        <v>1991</v>
      </c>
      <c r="M206">
        <v>6480</v>
      </c>
      <c r="V206">
        <v>81.5</v>
      </c>
      <c r="Y206">
        <v>190</v>
      </c>
      <c r="Z206" s="3">
        <f t="shared" si="123"/>
        <v>0.23312883435582821</v>
      </c>
      <c r="AA206">
        <v>140</v>
      </c>
      <c r="AB206">
        <f t="shared" si="119"/>
        <v>224</v>
      </c>
      <c r="AE206">
        <v>19.399999999999999</v>
      </c>
      <c r="AF206">
        <v>19.399999999999999</v>
      </c>
      <c r="AI206" s="10">
        <v>0</v>
      </c>
      <c r="AJ206" t="str">
        <f>CONCATENATE(VLOOKUP(AK206, 'Voxel Sizes'!$A$2:$B$18,2,FALSE),"x",INT(AG206*15), "x", INT(AH206*15))</f>
        <v>186x0x0</v>
      </c>
      <c r="AK206">
        <f t="shared" si="124"/>
        <v>11</v>
      </c>
      <c r="AM206" t="str">
        <f>CONCATENATE(VLOOKUP(AK206,Constants!$A$2:$C$16,IF(AL206&lt;&gt;"", 3, 2), FALSE),IF(AL206&lt;&gt;"",CONCATENATE(",",VLOOKUP(AL206,$B:$AM,38,FALSE)),""))</f>
        <v>4,3,4</v>
      </c>
      <c r="AW206">
        <v>27</v>
      </c>
      <c r="AX206" s="15" t="str">
        <f t="shared" si="125"/>
        <v/>
      </c>
      <c r="BA206">
        <f t="shared" si="126"/>
        <v>28</v>
      </c>
      <c r="BB206">
        <f t="shared" si="127"/>
        <v>20</v>
      </c>
      <c r="BC206">
        <f t="shared" si="128"/>
        <v>9.5</v>
      </c>
      <c r="BD206" s="3">
        <f t="shared" si="129"/>
        <v>0.88266666666666671</v>
      </c>
      <c r="BE206">
        <f t="shared" si="130"/>
        <v>0</v>
      </c>
      <c r="BF206">
        <f>VLOOKUP($G206,Constants!$I:$K, 2, FALSE)</f>
        <v>0.85</v>
      </c>
      <c r="BG206">
        <f>VLOOKUP($G206,Constants!$I:$K, 3, FALSE)*IF(AND(F206="multiple_unit",AA206&lt;110),0.75,1)</f>
        <v>2.2999999999999998</v>
      </c>
      <c r="BH206">
        <f>INT(POWER(((Constants!$G$2+$BA206+$BB206+$BC206+$BE206)*$BD206)*$BG206, 1.05))+$AZ206</f>
        <v>161</v>
      </c>
      <c r="BI206">
        <f>INT(POWER((((Constants!$G$1+$BA206+$BB206+$BC206+$BE206)*($BD206))*$BF206),IF($F206="wagon",1,1.2)))+$AY206</f>
        <v>120</v>
      </c>
      <c r="BJ206" s="14">
        <f t="shared" si="131"/>
        <v>125781.25</v>
      </c>
      <c r="BK206" s="14">
        <f t="shared" si="132"/>
        <v>9750</v>
      </c>
      <c r="BR206">
        <v>7</v>
      </c>
      <c r="BV206" t="str">
        <f>VLOOKUP(I206,Eras!$A$2:$C$10, 2, TRUE)</f>
        <v>lbr</v>
      </c>
      <c r="BW206" t="s">
        <v>337</v>
      </c>
      <c r="BX206" t="str">
        <f t="shared" si="133"/>
        <v>lbr_Express (Electric)</v>
      </c>
      <c r="BY206" t="str">
        <f t="shared" si="134"/>
        <v>electric_ELRL</v>
      </c>
      <c r="BZ206" s="17" t="str" cm="1">
        <f t="array" ref="BZ206">_xlfn.CONCAT("{BLACK}Length: {GOLD}", TEXT(ROUNDUP(IF(AP206&lt;&gt;"",SUM(VALUE(_xlfn.TEXTSPLIT(AP206, ","))), SUM(VALUE(_xlfn.TEXTSPLIT(AM206, ",")))*IF(L206, L206, 1))/16, 1), "#,##0.0"), " tiles{}")</f>
        <v>{BLACK}Length: {GOLD}0.7 tiles{}</v>
      </c>
      <c r="CA206" t="str">
        <f>VLOOKUP($BY206, Constants!$M:$N, 2, FALSE)</f>
        <v>{BLACK}Powered by: {GOLD}25kV AC</v>
      </c>
      <c r="CB206" t="str">
        <f t="shared" si="121"/>
        <v/>
      </c>
      <c r="CC206" t="s">
        <v>567</v>
      </c>
      <c r="CD206" t="str">
        <f>IF(BU206="BRAKE","{YELLOW}Speed bonus for slow wagons{}",IF(BS206&gt;190,CONCATENATE("{YELLOW}",INT((BS206-185)/1.85),"% Bonus for long distance travel{}"),IF(AND(BS206&lt;180,BS206&lt;&gt;0),CONCATENATE("{YELLOW}",INT((185-BS206)/1.85),"% Penalty for long distance travel{}"),"")))</f>
        <v/>
      </c>
      <c r="CE206" t="str">
        <f t="shared" si="122"/>
        <v>{BLACK}Powered by: {GOLD}25kV AC {}{BLACK}Length: {GOLD}0.7 tiles{}{SILVER}The Class 91 is a high speed electric locomotive, designed for Intercity 225 services.</v>
      </c>
    </row>
    <row r="207" spans="1:83" x14ac:dyDescent="0.25">
      <c r="A207" t="s">
        <v>569</v>
      </c>
      <c r="B207" t="s">
        <v>570</v>
      </c>
      <c r="C207">
        <v>352</v>
      </c>
      <c r="D207">
        <v>111</v>
      </c>
      <c r="E207" t="s">
        <v>1508</v>
      </c>
      <c r="F207" t="s">
        <v>262</v>
      </c>
      <c r="G207" t="s">
        <v>1483</v>
      </c>
      <c r="H207" t="s">
        <v>274</v>
      </c>
      <c r="I207">
        <v>1988</v>
      </c>
      <c r="J207">
        <v>1991</v>
      </c>
      <c r="M207">
        <v>100</v>
      </c>
      <c r="V207">
        <v>40</v>
      </c>
      <c r="Y207">
        <v>5</v>
      </c>
      <c r="Z207" s="3">
        <f t="shared" si="123"/>
        <v>1.2500000000000001E-2</v>
      </c>
      <c r="AA207">
        <v>140</v>
      </c>
      <c r="AB207">
        <f t="shared" si="119"/>
        <v>224</v>
      </c>
      <c r="AE207">
        <v>19.399999999999999</v>
      </c>
      <c r="AF207">
        <v>19.399999999999999</v>
      </c>
      <c r="AI207" s="10">
        <v>36</v>
      </c>
      <c r="AJ207" t="str">
        <f>CONCATENATE(VLOOKUP(AK207, 'Voxel Sizes'!$A$2:$B$18,2,FALSE),"x",INT(AG207*15), "x", INT(AH207*15))</f>
        <v>186x0x0</v>
      </c>
      <c r="AK207">
        <f t="shared" si="124"/>
        <v>11</v>
      </c>
      <c r="AM207" t="str">
        <f>CONCATENATE(VLOOKUP(AK207,Constants!$A$2:$C$16,IF(AL207&lt;&gt;"", 3, 2), FALSE),IF(AL207&lt;&gt;"",CONCATENATE(",",VLOOKUP(AL207,$B:$AM,38,FALSE)),""))</f>
        <v>4,3,4</v>
      </c>
      <c r="AW207">
        <v>27</v>
      </c>
      <c r="AX207" s="15" t="str">
        <f t="shared" si="125"/>
        <v/>
      </c>
      <c r="AY207">
        <v>-35</v>
      </c>
      <c r="AZ207">
        <v>-60</v>
      </c>
      <c r="BA207">
        <f t="shared" si="126"/>
        <v>28</v>
      </c>
      <c r="BB207">
        <f t="shared" si="127"/>
        <v>0.5</v>
      </c>
      <c r="BC207">
        <f t="shared" si="128"/>
        <v>0.25</v>
      </c>
      <c r="BD207" s="3">
        <f t="shared" si="129"/>
        <v>0.88266666666666671</v>
      </c>
      <c r="BE207">
        <f t="shared" si="130"/>
        <v>1.2</v>
      </c>
      <c r="BF207">
        <f>VLOOKUP($G207,Constants!$I:$K, 2, FALSE)</f>
        <v>0.85</v>
      </c>
      <c r="BG207">
        <f>VLOOKUP($G207,Constants!$I:$K, 3, FALSE)*IF(AND(F207="multiple_unit",AA207&lt;110),0.75,1)</f>
        <v>2.2999999999999998</v>
      </c>
      <c r="BH207">
        <f>INT(POWER(((Constants!$G$2+$BA207+$BB207+$BC207+$BE207)*$BD207)*$BG207, 1.05))+$AZ207</f>
        <v>27</v>
      </c>
      <c r="BI207">
        <f>INT(POWER((((Constants!$G$1+$BA207+$BB207+$BC207+$BE207)*($BD207))*$BF207),IF($F207="wagon",1,1.2)))+$AY207</f>
        <v>33</v>
      </c>
      <c r="BJ207" s="14">
        <f t="shared" si="131"/>
        <v>21093.75</v>
      </c>
      <c r="BK207" s="14">
        <f t="shared" si="132"/>
        <v>2681.25</v>
      </c>
      <c r="BL207">
        <v>1</v>
      </c>
      <c r="BM207">
        <v>1</v>
      </c>
      <c r="BR207">
        <v>7</v>
      </c>
      <c r="BU207" t="s">
        <v>651</v>
      </c>
      <c r="BV207" t="str">
        <f>VLOOKUP(I207,Eras!$A$2:$C$10, 2, TRUE)</f>
        <v>lbr</v>
      </c>
      <c r="BW207" t="s">
        <v>337</v>
      </c>
      <c r="BX207" t="str">
        <f t="shared" si="133"/>
        <v>lbr_Express (Electric)</v>
      </c>
      <c r="BY207" t="str">
        <f t="shared" si="134"/>
        <v>none_RAIL</v>
      </c>
      <c r="BZ207" s="17" t="str" cm="1">
        <f t="array" ref="BZ207">_xlfn.CONCAT("{BLACK}Length: {GOLD}", TEXT(ROUNDUP(IF(AP207&lt;&gt;"",SUM(VALUE(_xlfn.TEXTSPLIT(AP207, ","))), SUM(VALUE(_xlfn.TEXTSPLIT(AM207, ",")))*IF(L207, L207, 1))/16, 1), "#,##0.0"), " tiles{}")</f>
        <v>{BLACK}Length: {GOLD}0.7 tiles{}</v>
      </c>
      <c r="CA207" t="str">
        <f>VLOOKUP($BY207, Constants!$M:$N, 2, FALSE)</f>
        <v/>
      </c>
      <c r="CB207" t="str">
        <f t="shared" si="121"/>
        <v/>
      </c>
      <c r="CC207" t="s">
        <v>1485</v>
      </c>
      <c r="CD207" t="str">
        <f>IF(BU207="BRAKE","{YELLOW}Speed bonus for slow wagons{}",IF(BS207&gt;190,CONCATENATE("{YELLOW}",INT((BS207-185)/1.85),"% Bonus for long distance travel{}"),IF(AND(BS207&lt;180,BS207&lt;&gt;0),CONCATENATE("{YELLOW}",INT((185-BS207)/1.85),"% Penalty for long distance travel{}"),"")))</f>
        <v/>
      </c>
      <c r="CE207" t="str">
        <f t="shared" si="122"/>
        <v>{BLACK}Length: {GOLD}0.7 tiles{}{SILVER}This driving van trailer can be used with diesel and electric locomotives, either as a leading or trailing vehicle. It is recommended for use with the Class 91.</v>
      </c>
    </row>
    <row r="208" spans="1:83" x14ac:dyDescent="0.25">
      <c r="A208" t="s">
        <v>610</v>
      </c>
      <c r="B208" t="s">
        <v>574</v>
      </c>
      <c r="C208">
        <v>354</v>
      </c>
      <c r="D208">
        <v>112</v>
      </c>
      <c r="E208" t="s">
        <v>1508</v>
      </c>
      <c r="F208" t="s">
        <v>262</v>
      </c>
      <c r="G208" t="s">
        <v>272</v>
      </c>
      <c r="H208" t="s">
        <v>274</v>
      </c>
      <c r="I208">
        <v>1989</v>
      </c>
      <c r="M208">
        <v>3100</v>
      </c>
      <c r="V208">
        <v>129</v>
      </c>
      <c r="Y208">
        <v>474</v>
      </c>
      <c r="Z208" s="3">
        <f t="shared" si="123"/>
        <v>0.36744186046511629</v>
      </c>
      <c r="AA208">
        <v>60</v>
      </c>
      <c r="AB208">
        <f t="shared" si="119"/>
        <v>96</v>
      </c>
      <c r="AE208">
        <v>21.34</v>
      </c>
      <c r="AF208">
        <v>21.34</v>
      </c>
      <c r="AG208">
        <v>2.64</v>
      </c>
      <c r="AH208">
        <v>3.95</v>
      </c>
      <c r="AI208" s="10">
        <v>0</v>
      </c>
      <c r="AJ208" t="str">
        <f>CONCATENATE(VLOOKUP(AK208, 'Voxel Sizes'!$A$2:$B$18,2,FALSE),"x",INT(AG208*15), "x", INT(AH208*15))</f>
        <v>214x39x59</v>
      </c>
      <c r="AK208">
        <f t="shared" si="124"/>
        <v>13</v>
      </c>
      <c r="AM208" t="str">
        <f>CONCATENATE(VLOOKUP(AK208,Constants!$A$2:$C$16,IF(AL208&lt;&gt;"", 3, 2), FALSE),IF(AL208&lt;&gt;"",CONCATENATE(",",VLOOKUP(AL208,$B:$AM,38,FALSE)),""))</f>
        <v>4,5,4</v>
      </c>
      <c r="AW208">
        <v>30</v>
      </c>
      <c r="AX208" s="15" t="str">
        <f t="shared" si="125"/>
        <v/>
      </c>
      <c r="BA208">
        <f t="shared" si="126"/>
        <v>12</v>
      </c>
      <c r="BB208">
        <f t="shared" si="127"/>
        <v>15.5</v>
      </c>
      <c r="BC208">
        <f t="shared" si="128"/>
        <v>20</v>
      </c>
      <c r="BD208" s="3">
        <f t="shared" si="129"/>
        <v>0.8813333333333333</v>
      </c>
      <c r="BE208">
        <f t="shared" si="130"/>
        <v>0</v>
      </c>
      <c r="BF208">
        <f>VLOOKUP($G208,Constants!$I:$K, 2, FALSE)</f>
        <v>1</v>
      </c>
      <c r="BG208">
        <f>VLOOKUP($G208,Constants!$I:$K, 3, FALSE)*IF(AND(F208="multiple_unit",AA208&lt;110),0.75,1)</f>
        <v>2</v>
      </c>
      <c r="BH208">
        <f>INT(POWER(((Constants!$G$2+$BA208+$BB208+$BC208+$BE208)*$BD208)*$BG208, 1.05))+$AZ208</f>
        <v>116</v>
      </c>
      <c r="BI208">
        <f>INT(POWER((((Constants!$G$1+$BA208+$BB208+$BC208+$BE208)*($BD208))*$BF208),IF($F208="wagon",1,1.2)))+$AY208</f>
        <v>122</v>
      </c>
      <c r="BJ208" s="14">
        <f t="shared" si="131"/>
        <v>90625</v>
      </c>
      <c r="BK208" s="14">
        <f t="shared" si="132"/>
        <v>9912.5</v>
      </c>
      <c r="BR208">
        <v>9</v>
      </c>
      <c r="BV208" t="str">
        <f>VLOOKUP(I208,Eras!$A$2:$C$10, 2, TRUE)</f>
        <v>lbr</v>
      </c>
      <c r="BW208" t="s">
        <v>328</v>
      </c>
      <c r="BX208" t="str">
        <f t="shared" si="133"/>
        <v>lbr_Freight</v>
      </c>
      <c r="BY208" t="str">
        <f t="shared" si="134"/>
        <v>diesel_RAIL</v>
      </c>
      <c r="BZ208" s="17" t="str" cm="1">
        <f t="array" ref="BZ208">_xlfn.CONCAT("{BLACK}Length: {GOLD}", TEXT(ROUNDUP(IF(AP208&lt;&gt;"",SUM(VALUE(_xlfn.TEXTSPLIT(AP208, ","))), SUM(VALUE(_xlfn.TEXTSPLIT(AM208, ",")))*IF(L208, L208, 1))/16, 1), "#,##0.0"), " tiles{}")</f>
        <v>{BLACK}Length: {GOLD}0.9 tiles{}</v>
      </c>
      <c r="CA208" t="str">
        <f>VLOOKUP($BY208, Constants!$M:$N, 2, FALSE)</f>
        <v>{BLACK}Powered by: {GOLD}Diesel</v>
      </c>
      <c r="CB208" t="str">
        <f t="shared" si="121"/>
        <v/>
      </c>
      <c r="CC208" t="s">
        <v>611</v>
      </c>
      <c r="CD208" t="str">
        <f>IF(BU208="BRAKE","{YELLOW}Speed bonus for slow wagons{}",IF(BS208&gt;190,CONCATENATE("{YELLOW}",INT((BS208-185)/1.85),"% Bonus for long distance travel{}"),IF(AND(BS208&lt;180,BS208&lt;&gt;0),CONCATENATE("{YELLOW}",INT((185-BS208)/1.85),"% Penalty for long distance travel{}"),"")))</f>
        <v/>
      </c>
      <c r="CE208" t="str">
        <f t="shared" si="122"/>
        <v>{BLACK}Powered by: {GOLD}Diesel {}{BLACK}Length: {GOLD}0.9 tiles{}{SILVER}The Brush Class 60 is a Type 5 diesel, designed for high power and tractive effort to haul heavy freight trains.</v>
      </c>
    </row>
    <row r="209" spans="1:83" x14ac:dyDescent="0.25">
      <c r="A209" t="s">
        <v>1308</v>
      </c>
      <c r="B209" t="s">
        <v>1194</v>
      </c>
      <c r="C209">
        <v>355</v>
      </c>
      <c r="D209">
        <v>113</v>
      </c>
      <c r="E209" t="s">
        <v>1508</v>
      </c>
      <c r="F209" t="s">
        <v>262</v>
      </c>
      <c r="G209" t="s">
        <v>272</v>
      </c>
      <c r="H209" t="s">
        <v>274</v>
      </c>
      <c r="I209">
        <v>1990</v>
      </c>
      <c r="M209">
        <v>1270</v>
      </c>
      <c r="V209">
        <v>90</v>
      </c>
      <c r="Y209">
        <v>170</v>
      </c>
      <c r="Z209" s="3">
        <f t="shared" si="123"/>
        <v>0.18888888888888888</v>
      </c>
      <c r="AA209">
        <v>62</v>
      </c>
      <c r="AB209">
        <f t="shared" si="119"/>
        <v>99</v>
      </c>
      <c r="AE209">
        <v>14.4</v>
      </c>
      <c r="AF209">
        <v>14.4</v>
      </c>
      <c r="AJ209" t="str">
        <f>CONCATENATE(VLOOKUP(AK209, 'Voxel Sizes'!$A$2:$B$18,2,FALSE),"x",INT(AG209*15), "x", INT(AH209*15))</f>
        <v>136x0x0</v>
      </c>
      <c r="AK209">
        <f t="shared" si="124"/>
        <v>8</v>
      </c>
      <c r="AM209" t="str">
        <f>CONCATENATE(VLOOKUP(AK209,Constants!$A$2:$C$16,IF(AL209&lt;&gt;"", 3, 2), FALSE),IF(AL209&lt;&gt;"",CONCATENATE(",",VLOOKUP(AL209,$B:$AM,38,FALSE)),""))</f>
        <v>2,4,2</v>
      </c>
      <c r="AW209">
        <v>34</v>
      </c>
      <c r="AX209" s="15" t="str">
        <f t="shared" si="125"/>
        <v/>
      </c>
      <c r="AZ209">
        <v>-16</v>
      </c>
      <c r="BA209">
        <f t="shared" si="126"/>
        <v>12.4</v>
      </c>
      <c r="BB209">
        <f t="shared" si="127"/>
        <v>6.35</v>
      </c>
      <c r="BC209">
        <f t="shared" si="128"/>
        <v>8.5</v>
      </c>
      <c r="BD209" s="3">
        <f t="shared" si="129"/>
        <v>0.88</v>
      </c>
      <c r="BE209">
        <f t="shared" si="130"/>
        <v>0</v>
      </c>
      <c r="BF209">
        <f>VLOOKUP($G209,Constants!$I:$K, 2, FALSE)</f>
        <v>1</v>
      </c>
      <c r="BG209">
        <f>VLOOKUP($G209,Constants!$I:$K, 3, FALSE)*IF(AND(F209="multiple_unit",AA209&lt;110),0.75,1)</f>
        <v>2</v>
      </c>
      <c r="BH209">
        <f>INT(POWER(((Constants!$G$2+$BA209+$BB209+$BC209+$BE209)*$BD209)*$BG209, 1.05))+$AZ209</f>
        <v>53</v>
      </c>
      <c r="BI209">
        <f>INT(POWER((((Constants!$G$1+$BA209+$BB209+$BC209+$BE209)*($BD209))*$BF209),IF($F209="wagon",1,1.2)))+$AY209</f>
        <v>76</v>
      </c>
      <c r="BJ209" s="14">
        <f t="shared" si="131"/>
        <v>41406.25</v>
      </c>
      <c r="BK209" s="14">
        <f t="shared" si="132"/>
        <v>6175</v>
      </c>
      <c r="BR209">
        <v>6</v>
      </c>
      <c r="BV209" t="str">
        <f>VLOOKUP(I209,Eras!$A$2:$C$10, 2, TRUE)</f>
        <v>lbr</v>
      </c>
      <c r="BW209" t="s">
        <v>325</v>
      </c>
      <c r="BX209" t="str">
        <f t="shared" si="133"/>
        <v>lbr_Cheap</v>
      </c>
      <c r="BY209" t="str">
        <f t="shared" si="134"/>
        <v>diesel_RAIL</v>
      </c>
      <c r="BZ209" s="17" t="str" cm="1">
        <f t="array" ref="BZ209">_xlfn.CONCAT("{BLACK}Length: {GOLD}", TEXT(ROUNDUP(IF(AP209&lt;&gt;"",SUM(VALUE(_xlfn.TEXTSPLIT(AP209, ","))), SUM(VALUE(_xlfn.TEXTSPLIT(AM209, ",")))*IF(L209, L209, 1))/16, 1), "#,##0.0"), " tiles{}")</f>
        <v>{BLACK}Length: {GOLD}0.5 tiles{}</v>
      </c>
      <c r="CA209" t="str">
        <f>VLOOKUP($BY209, Constants!$M:$N, 2, FALSE)</f>
        <v>{BLACK}Powered by: {GOLD}Diesel</v>
      </c>
      <c r="CC209" t="s">
        <v>1408</v>
      </c>
      <c r="CE209" t="str">
        <f t="shared" si="122"/>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0" spans="1:83" x14ac:dyDescent="0.25">
      <c r="A210" t="s">
        <v>595</v>
      </c>
      <c r="B210" t="s">
        <v>178</v>
      </c>
      <c r="C210">
        <v>356</v>
      </c>
      <c r="D210">
        <v>114</v>
      </c>
      <c r="E210" t="s">
        <v>1508</v>
      </c>
      <c r="F210" t="s">
        <v>262</v>
      </c>
      <c r="G210" t="s">
        <v>551</v>
      </c>
      <c r="H210" t="s">
        <v>550</v>
      </c>
      <c r="I210">
        <v>1993</v>
      </c>
      <c r="J210">
        <v>1996</v>
      </c>
      <c r="M210">
        <v>6760</v>
      </c>
      <c r="N210" s="8">
        <v>5360</v>
      </c>
      <c r="V210">
        <v>126</v>
      </c>
      <c r="Y210">
        <v>360</v>
      </c>
      <c r="Z210" s="3">
        <f t="shared" si="123"/>
        <v>0.2857142857142857</v>
      </c>
      <c r="AA210">
        <v>87</v>
      </c>
      <c r="AB210">
        <f t="shared" si="119"/>
        <v>139</v>
      </c>
      <c r="AE210">
        <v>21.36</v>
      </c>
      <c r="AF210">
        <v>21.36</v>
      </c>
      <c r="AI210" s="10">
        <v>0</v>
      </c>
      <c r="AJ210" t="str">
        <f>CONCATENATE(VLOOKUP(AK210, 'Voxel Sizes'!$A$2:$B$18,2,FALSE),"x",INT(AG210*15), "x", INT(AH210*15))</f>
        <v>214x0x0</v>
      </c>
      <c r="AK210">
        <f t="shared" si="124"/>
        <v>13</v>
      </c>
      <c r="AM210" t="str">
        <f>CONCATENATE(VLOOKUP(AK210,Constants!$A$2:$C$16,IF(AL210&lt;&gt;"", 3, 2), FALSE),IF(AL210&lt;&gt;"",CONCATENATE(",",VLOOKUP(AL210,$B:$AM,38,FALSE)),""))</f>
        <v>4,5,4</v>
      </c>
      <c r="AR210" t="s">
        <v>178</v>
      </c>
      <c r="AW210">
        <v>24</v>
      </c>
      <c r="AX210" s="15" t="str">
        <f t="shared" si="125"/>
        <v/>
      </c>
      <c r="BA210">
        <f t="shared" si="126"/>
        <v>17.399999999999999</v>
      </c>
      <c r="BB210">
        <f t="shared" si="127"/>
        <v>20</v>
      </c>
      <c r="BC210">
        <f t="shared" si="128"/>
        <v>18</v>
      </c>
      <c r="BD210" s="3">
        <f t="shared" si="129"/>
        <v>0.876</v>
      </c>
      <c r="BE210">
        <f t="shared" si="130"/>
        <v>0</v>
      </c>
      <c r="BF210">
        <f>VLOOKUP($G210,Constants!$I:$K, 2, FALSE)</f>
        <v>0.85</v>
      </c>
      <c r="BG210">
        <f>VLOOKUP($G210,Constants!$I:$K, 3, FALSE)*IF(AND(F210="multiple_unit",AA210&lt;110),0.75,1)</f>
        <v>2.4</v>
      </c>
      <c r="BH210">
        <f>INT(POWER(((Constants!$G$2+$BA210+$BB210+$BC210+$BE210)*$BD210)*$BG210, 1.05))+$AZ210</f>
        <v>161</v>
      </c>
      <c r="BI210">
        <f>INT(POWER((((Constants!$G$1+$BA210+$BB210+$BC210+$BE210)*($BD210))*$BF210),IF($F210="wagon",1,1.2)))+$AY210</f>
        <v>115</v>
      </c>
      <c r="BJ210" s="14">
        <f t="shared" si="131"/>
        <v>125781.25</v>
      </c>
      <c r="BK210" s="14">
        <f t="shared" si="132"/>
        <v>9343.75</v>
      </c>
      <c r="BR210">
        <v>10</v>
      </c>
      <c r="BV210" t="str">
        <f>VLOOKUP(I210,Eras!$A$2:$C$10, 2, TRUE)</f>
        <v>lbr</v>
      </c>
      <c r="BW210" t="s">
        <v>328</v>
      </c>
      <c r="BX210" t="str">
        <f t="shared" si="133"/>
        <v>lbr_Freight</v>
      </c>
      <c r="BY210" t="str">
        <f t="shared" si="134"/>
        <v>dual_electric_DUAL_POWER</v>
      </c>
      <c r="BZ210" s="17" t="str" cm="1">
        <f t="array" ref="BZ210">_xlfn.CONCAT("{BLACK}Length: {GOLD}", TEXT(ROUNDUP(IF(AP210&lt;&gt;"",SUM(VALUE(_xlfn.TEXTSPLIT(AP210, ","))), SUM(VALUE(_xlfn.TEXTSPLIT(AM210, ",")))*IF(L210, L210, 1))/16, 1), "#,##0.0"), " tiles{}")</f>
        <v>{BLACK}Length: {GOLD}0.9 tiles{}</v>
      </c>
      <c r="CA210" t="str">
        <f>VLOOKUP($BY210, Constants!$M:$N, 2, FALSE)</f>
        <v>{BLACK}Powered by: {GOLD}25kV AC / 750V DC</v>
      </c>
      <c r="CB210" t="str">
        <f t="shared" ref="CB210:CB252" si="135">IF(L210&gt;1,_xlfn.CONCAT("{BLACK}Cars: {GOLD}", L210),"")</f>
        <v/>
      </c>
      <c r="CC210" t="s">
        <v>579</v>
      </c>
      <c r="CD210" t="str">
        <f t="shared" ref="CD210:CD252" si="136">IF(BU210="BRAKE","{YELLOW}Speed bonus for slow wagons{}",IF(BS210&gt;190,CONCATENATE("{YELLOW}",INT((BS210-185)/1.85),"% Bonus for long distance travel{}"),IF(AND(BS210&lt;180,BS210&lt;&gt;0),CONCATENATE("{YELLOW}",INT((185-BS210)/1.85),"% Penalty for long distance travel{}"),"")))</f>
        <v/>
      </c>
      <c r="CE210" t="str">
        <f t="shared" si="122"/>
        <v>{BLACK}Powered by: {GOLD}25kV AC / 750V DC {}{BLACK}Length: {GOLD}0.9 tiles{}{SILVER}The Class 92 was designed to operate services through the Channel Tunnel. It can run on both the Southern Region third rail system and overhead wires.</v>
      </c>
    </row>
    <row r="211" spans="1:83" x14ac:dyDescent="0.25">
      <c r="A211" t="s">
        <v>45</v>
      </c>
      <c r="B211" t="s">
        <v>179</v>
      </c>
      <c r="C211">
        <v>358</v>
      </c>
      <c r="D211">
        <v>115</v>
      </c>
      <c r="E211" t="s">
        <v>1508</v>
      </c>
      <c r="F211" t="s">
        <v>262</v>
      </c>
      <c r="G211" t="s">
        <v>272</v>
      </c>
      <c r="H211" t="s">
        <v>274</v>
      </c>
      <c r="I211">
        <v>1998</v>
      </c>
      <c r="J211">
        <v>2015</v>
      </c>
      <c r="M211">
        <v>3300</v>
      </c>
      <c r="V211">
        <v>129.6</v>
      </c>
      <c r="Y211">
        <v>260</v>
      </c>
      <c r="Z211" s="3">
        <f t="shared" si="123"/>
        <v>0.20061728395061729</v>
      </c>
      <c r="AA211">
        <v>75</v>
      </c>
      <c r="AB211">
        <f t="shared" si="119"/>
        <v>120</v>
      </c>
      <c r="AE211">
        <v>21.4</v>
      </c>
      <c r="AF211">
        <v>21.4</v>
      </c>
      <c r="AH211">
        <v>3.9</v>
      </c>
      <c r="AI211" s="10">
        <v>0</v>
      </c>
      <c r="AJ211" t="str">
        <f>CONCATENATE(VLOOKUP(AK211, 'Voxel Sizes'!$A$2:$B$18,2,FALSE),"x",INT(AG211*15), "x", INT(AH211*15))</f>
        <v>214x0x58</v>
      </c>
      <c r="AK211">
        <f t="shared" si="124"/>
        <v>13</v>
      </c>
      <c r="AM211" t="str">
        <f>CONCATENATE(VLOOKUP(AK211,Constants!$A$2:$C$16,IF(AL211&lt;&gt;"", 3, 2), FALSE),IF(AL211&lt;&gt;"",CONCATENATE(",",VLOOKUP(AL211,$B:$AM,38,FALSE)),""))</f>
        <v>4,5,4</v>
      </c>
      <c r="AW211">
        <v>30</v>
      </c>
      <c r="AX211" s="15" t="str">
        <f t="shared" si="125"/>
        <v/>
      </c>
      <c r="BA211">
        <f t="shared" si="126"/>
        <v>15</v>
      </c>
      <c r="BB211">
        <f t="shared" si="127"/>
        <v>16.5</v>
      </c>
      <c r="BC211">
        <f t="shared" si="128"/>
        <v>13</v>
      </c>
      <c r="BD211" s="3">
        <f t="shared" si="129"/>
        <v>0.86933333333333329</v>
      </c>
      <c r="BE211">
        <f t="shared" si="130"/>
        <v>0</v>
      </c>
      <c r="BF211">
        <f>VLOOKUP($G211,Constants!$I:$K, 2, FALSE)</f>
        <v>1</v>
      </c>
      <c r="BG211">
        <f>VLOOKUP($G211,Constants!$I:$K, 3, FALSE)*IF(AND(F211="multiple_unit",AA211&lt;110),0.75,1)</f>
        <v>2</v>
      </c>
      <c r="BH211">
        <f>INT(POWER(((Constants!$G$2+$BA211+$BB211+$BC211+$BE211)*$BD211)*$BG211, 1.05))+$AZ211</f>
        <v>107</v>
      </c>
      <c r="BI211">
        <f>INT(POWER((((Constants!$G$1+$BA211+$BB211+$BC211+$BE211)*($BD211))*$BF211),IF($F211="wagon",1,1.2)))+$AY211</f>
        <v>113</v>
      </c>
      <c r="BJ211" s="14">
        <f t="shared" si="131"/>
        <v>83593.75</v>
      </c>
      <c r="BK211" s="14">
        <f t="shared" si="132"/>
        <v>9181.25</v>
      </c>
      <c r="BR211">
        <v>11</v>
      </c>
      <c r="BV211" t="str">
        <f>VLOOKUP(I211,Eras!$A$2:$C$10, 2, TRUE)</f>
        <v>prv</v>
      </c>
      <c r="BW211" t="s">
        <v>328</v>
      </c>
      <c r="BX211" t="str">
        <f t="shared" si="133"/>
        <v>prv_Freight</v>
      </c>
      <c r="BY211" t="str">
        <f t="shared" si="134"/>
        <v>diesel_RAIL</v>
      </c>
      <c r="BZ211" s="17" t="str" cm="1">
        <f t="array" ref="BZ211">_xlfn.CONCAT("{BLACK}Length: {GOLD}", TEXT(ROUNDUP(IF(AP211&lt;&gt;"",SUM(VALUE(_xlfn.TEXTSPLIT(AP211, ","))), SUM(VALUE(_xlfn.TEXTSPLIT(AM211, ",")))*IF(L211, L211, 1))/16, 1), "#,##0.0"), " tiles{}")</f>
        <v>{BLACK}Length: {GOLD}0.9 tiles{}</v>
      </c>
      <c r="CA211" t="str">
        <f>VLOOKUP($BY211, Constants!$M:$N, 2, FALSE)</f>
        <v>{BLACK}Powered by: {GOLD}Diesel</v>
      </c>
      <c r="CB211" t="str">
        <f t="shared" si="135"/>
        <v/>
      </c>
      <c r="CC211" t="s">
        <v>560</v>
      </c>
      <c r="CD211" t="str">
        <f t="shared" si="136"/>
        <v/>
      </c>
      <c r="CE211" t="str">
        <f t="shared" si="122"/>
        <v>{BLACK}Powered by: {GOLD}Diesel {}{BLACK}Length: {GOLD}0.9 tiles{}{SILVER}After the successful introduction of the Class 59, EWS approached GM's Electro-Motive diesel with a huge order of 250 locomotives which would become Class 66.</v>
      </c>
    </row>
    <row r="212" spans="1:83" x14ac:dyDescent="0.25">
      <c r="A212" t="s">
        <v>128</v>
      </c>
      <c r="B212" t="s">
        <v>234</v>
      </c>
      <c r="C212">
        <v>360</v>
      </c>
      <c r="D212">
        <v>116</v>
      </c>
      <c r="E212" t="s">
        <v>1508</v>
      </c>
      <c r="F212" t="s">
        <v>262</v>
      </c>
      <c r="G212" t="s">
        <v>272</v>
      </c>
      <c r="H212" t="s">
        <v>274</v>
      </c>
      <c r="I212">
        <v>1998</v>
      </c>
      <c r="J212">
        <v>2004</v>
      </c>
      <c r="M212">
        <v>3000</v>
      </c>
      <c r="V212">
        <v>120.6</v>
      </c>
      <c r="Y212">
        <v>250</v>
      </c>
      <c r="Z212" s="3">
        <f t="shared" si="123"/>
        <v>0.20729684908789386</v>
      </c>
      <c r="AA212">
        <v>95</v>
      </c>
      <c r="AB212">
        <f t="shared" si="119"/>
        <v>152</v>
      </c>
      <c r="AE212">
        <v>19.38</v>
      </c>
      <c r="AF212">
        <v>19.38</v>
      </c>
      <c r="AH212">
        <v>3.9</v>
      </c>
      <c r="AI212" s="10">
        <v>0</v>
      </c>
      <c r="AJ212" t="str">
        <f>CONCATENATE(VLOOKUP(AK212, 'Voxel Sizes'!$A$2:$B$18,2,FALSE),"x",INT(AG212*15), "x", INT(AH212*15))</f>
        <v>186x0x58</v>
      </c>
      <c r="AK212">
        <f t="shared" si="124"/>
        <v>11</v>
      </c>
      <c r="AM212" t="str">
        <f>CONCATENATE(VLOOKUP(AK212,Constants!$A$2:$C$16,IF(AL212&lt;&gt;"", 3, 2), FALSE),IF(AL212&lt;&gt;"",CONCATENATE(",",VLOOKUP(AL212,$B:$AM,38,FALSE)),""))</f>
        <v>4,3,4</v>
      </c>
      <c r="AW212">
        <v>30</v>
      </c>
      <c r="AX212" s="15" t="str">
        <f t="shared" si="125"/>
        <v/>
      </c>
      <c r="BA212">
        <f t="shared" si="126"/>
        <v>19</v>
      </c>
      <c r="BB212">
        <f t="shared" si="127"/>
        <v>15</v>
      </c>
      <c r="BC212">
        <f t="shared" si="128"/>
        <v>12.5</v>
      </c>
      <c r="BD212" s="3">
        <f t="shared" si="129"/>
        <v>0.86933333333333329</v>
      </c>
      <c r="BE212">
        <f t="shared" si="130"/>
        <v>0</v>
      </c>
      <c r="BF212">
        <f>VLOOKUP($G212,Constants!$I:$K, 2, FALSE)</f>
        <v>1</v>
      </c>
      <c r="BG212">
        <f>VLOOKUP($G212,Constants!$I:$K, 3, FALSE)*IF(AND(F212="multiple_unit",AA212&lt;110),0.75,1)</f>
        <v>2</v>
      </c>
      <c r="BH212">
        <f>INT(POWER(((Constants!$G$2+$BA212+$BB212+$BC212+$BE212)*$BD212)*$BG212, 1.05))+$AZ212</f>
        <v>112</v>
      </c>
      <c r="BI212">
        <f>INT(POWER((((Constants!$G$1+$BA212+$BB212+$BC212+$BE212)*($BD212))*$BF212),IF($F212="wagon",1,1.2)))+$AY212</f>
        <v>118</v>
      </c>
      <c r="BJ212" s="14">
        <f t="shared" si="131"/>
        <v>87500</v>
      </c>
      <c r="BK212" s="14">
        <f t="shared" si="132"/>
        <v>9587.5</v>
      </c>
      <c r="BR212">
        <v>12</v>
      </c>
      <c r="BV212" t="str">
        <f>VLOOKUP(I212,Eras!$A$2:$C$10, 2, TRUE)</f>
        <v>prv</v>
      </c>
      <c r="BW212" t="s">
        <v>328</v>
      </c>
      <c r="BX212" t="str">
        <f t="shared" si="133"/>
        <v>prv_Freight</v>
      </c>
      <c r="BY212" t="str">
        <f t="shared" si="134"/>
        <v>diesel_RAIL</v>
      </c>
      <c r="BZ212" s="17" t="str" cm="1">
        <f t="array" ref="BZ212">_xlfn.CONCAT("{BLACK}Length: {GOLD}", TEXT(ROUNDUP(IF(AP212&lt;&gt;"",SUM(VALUE(_xlfn.TEXTSPLIT(AP212, ","))), SUM(VALUE(_xlfn.TEXTSPLIT(AM212, ",")))*IF(L212, L212, 1))/16, 1), "#,##0.0"), " tiles{}")</f>
        <v>{BLACK}Length: {GOLD}0.7 tiles{}</v>
      </c>
      <c r="CA212" t="str">
        <f>VLOOKUP($BY212, Constants!$M:$N, 2, FALSE)</f>
        <v>{BLACK}Powered by: {GOLD}Diesel</v>
      </c>
      <c r="CB212" t="str">
        <f t="shared" si="135"/>
        <v/>
      </c>
      <c r="CC212" t="s">
        <v>561</v>
      </c>
      <c r="CD212" t="str">
        <f t="shared" si="136"/>
        <v/>
      </c>
      <c r="CE212" t="str">
        <f t="shared" si="122"/>
        <v>{BLACK}Powered by: {GOLD}Diesel {}{BLACK}Length: {GOLD}0.7 tiles{}{SILVER}The Class 57 is a re-engineered locomotive using Class 47 bodyshells and parts, giving rise to its "Bodysnatcher" nickname.</v>
      </c>
    </row>
    <row r="213" spans="1:83" x14ac:dyDescent="0.25">
      <c r="A213" t="s">
        <v>594</v>
      </c>
      <c r="B213" t="s">
        <v>578</v>
      </c>
      <c r="C213">
        <v>362</v>
      </c>
      <c r="D213">
        <v>117</v>
      </c>
      <c r="E213" t="s">
        <v>1508</v>
      </c>
      <c r="F213" t="s">
        <v>262</v>
      </c>
      <c r="G213" t="s">
        <v>272</v>
      </c>
      <c r="H213" t="s">
        <v>274</v>
      </c>
      <c r="I213">
        <v>1999</v>
      </c>
      <c r="J213">
        <v>2000</v>
      </c>
      <c r="M213">
        <v>3200</v>
      </c>
      <c r="V213">
        <v>88</v>
      </c>
      <c r="Y213">
        <v>144</v>
      </c>
      <c r="Z213" s="3">
        <f t="shared" si="123"/>
        <v>0.16363636363636364</v>
      </c>
      <c r="AA213">
        <v>125</v>
      </c>
      <c r="AB213">
        <f t="shared" si="119"/>
        <v>200</v>
      </c>
      <c r="AE213">
        <v>19.71</v>
      </c>
      <c r="AF213">
        <v>19.71</v>
      </c>
      <c r="AH213">
        <v>3.93</v>
      </c>
      <c r="AI213" s="10">
        <v>0</v>
      </c>
      <c r="AJ213" t="str">
        <f>CONCATENATE(VLOOKUP(AK213, 'Voxel Sizes'!$A$2:$B$18,2,FALSE),"x",INT(AG213*15), "x", INT(AH213*15))</f>
        <v>198x0x58</v>
      </c>
      <c r="AK213">
        <f t="shared" si="124"/>
        <v>12</v>
      </c>
      <c r="AM213" t="str">
        <f>CONCATENATE(VLOOKUP(AK213,Constants!$A$2:$C$16,IF(AL213&lt;&gt;"", 3, 2), FALSE),IF(AL213&lt;&gt;"",CONCATENATE(",",VLOOKUP(AL213,$B:$AM,38,FALSE)),""))</f>
        <v>4,4,4</v>
      </c>
      <c r="AW213">
        <v>30</v>
      </c>
      <c r="AX213" s="15" t="str">
        <f t="shared" si="125"/>
        <v/>
      </c>
      <c r="BA213">
        <f t="shared" si="126"/>
        <v>25</v>
      </c>
      <c r="BB213">
        <f t="shared" si="127"/>
        <v>16</v>
      </c>
      <c r="BC213">
        <f t="shared" si="128"/>
        <v>7.1999999999999993</v>
      </c>
      <c r="BD213" s="3">
        <f t="shared" si="129"/>
        <v>0.86799999999999999</v>
      </c>
      <c r="BE213">
        <f t="shared" si="130"/>
        <v>0</v>
      </c>
      <c r="BF213">
        <f>VLOOKUP($G213,Constants!$I:$K, 2, FALSE)</f>
        <v>1</v>
      </c>
      <c r="BG213">
        <f>VLOOKUP($G213,Constants!$I:$K, 3, FALSE)*IF(AND(F213="multiple_unit",AA213&lt;110),0.75,1)</f>
        <v>2</v>
      </c>
      <c r="BH213">
        <f>INT(POWER(((Constants!$G$2+$BA213+$BB213+$BC213+$BE213)*$BD213)*$BG213, 1.05))+$AZ213</f>
        <v>115</v>
      </c>
      <c r="BI213">
        <f>INT(POWER((((Constants!$G$1+$BA213+$BB213+$BC213+$BE213)*($BD213))*$BF213),IF($F213="wagon",1,1.2)))+$AY213</f>
        <v>122</v>
      </c>
      <c r="BJ213" s="14">
        <f t="shared" si="131"/>
        <v>89843.75</v>
      </c>
      <c r="BK213" s="14">
        <f t="shared" si="132"/>
        <v>9912.5</v>
      </c>
      <c r="BR213">
        <v>1</v>
      </c>
      <c r="BV213" t="str">
        <f>VLOOKUP(I213,Eras!$A$2:$C$10, 2, TRUE)</f>
        <v>prv</v>
      </c>
      <c r="BW213" t="s">
        <v>328</v>
      </c>
      <c r="BX213" t="str">
        <f t="shared" si="133"/>
        <v>prv_Freight</v>
      </c>
      <c r="BY213" t="str">
        <f t="shared" si="134"/>
        <v>diesel_RAIL</v>
      </c>
      <c r="BZ213" s="17" t="str" cm="1">
        <f t="array" ref="BZ213">_xlfn.CONCAT("{BLACK}Length: {GOLD}", TEXT(ROUNDUP(IF(AP213&lt;&gt;"",SUM(VALUE(_xlfn.TEXTSPLIT(AP213, ","))), SUM(VALUE(_xlfn.TEXTSPLIT(AM213, ",")))*IF(L213, L213, 1))/16, 1), "#,##0.0"), " tiles{}")</f>
        <v>{BLACK}Length: {GOLD}0.8 tiles{}</v>
      </c>
      <c r="CA213" t="str">
        <f>VLOOKUP($BY213, Constants!$M:$N, 2, FALSE)</f>
        <v>{BLACK}Powered by: {GOLD}Diesel</v>
      </c>
      <c r="CB213" t="str">
        <f t="shared" si="135"/>
        <v/>
      </c>
      <c r="CC213" t="s">
        <v>577</v>
      </c>
      <c r="CD213" t="str">
        <f t="shared" si="136"/>
        <v/>
      </c>
      <c r="CE213" t="str">
        <f t="shared" si="122"/>
        <v>{BLACK}Powered by: {GOLD}Diesel {}{BLACK}Length: {GOLD}0.8 tiles{}{SILVER}The Class 67 is a high speed freight locomotive designed for mail service. It uses EMD engines, generators and traction motors.</v>
      </c>
    </row>
    <row r="214" spans="1:83" x14ac:dyDescent="0.25">
      <c r="A214" t="s">
        <v>50</v>
      </c>
      <c r="B214" t="s">
        <v>180</v>
      </c>
      <c r="C214">
        <v>364</v>
      </c>
      <c r="D214">
        <v>118</v>
      </c>
      <c r="E214" t="s">
        <v>1508</v>
      </c>
      <c r="F214" t="s">
        <v>262</v>
      </c>
      <c r="G214" t="s">
        <v>272</v>
      </c>
      <c r="H214" t="s">
        <v>274</v>
      </c>
      <c r="I214">
        <v>2008</v>
      </c>
      <c r="J214">
        <v>2017</v>
      </c>
      <c r="M214">
        <v>3690</v>
      </c>
      <c r="V214">
        <v>129</v>
      </c>
      <c r="Y214">
        <v>330</v>
      </c>
      <c r="Z214" s="3">
        <f t="shared" si="123"/>
        <v>0.2558139534883721</v>
      </c>
      <c r="AA214">
        <v>75</v>
      </c>
      <c r="AB214">
        <f t="shared" si="119"/>
        <v>120</v>
      </c>
      <c r="AE214">
        <v>21.27</v>
      </c>
      <c r="AF214">
        <v>21.27</v>
      </c>
      <c r="AH214">
        <v>3.91</v>
      </c>
      <c r="AI214" s="10">
        <v>0</v>
      </c>
      <c r="AJ214" t="str">
        <f>CONCATENATE(VLOOKUP(AK214, 'Voxel Sizes'!$A$2:$B$18,2,FALSE),"x",INT(AG214*15), "x", INT(AH214*15))</f>
        <v>198x0x58</v>
      </c>
      <c r="AK214">
        <f t="shared" si="124"/>
        <v>12</v>
      </c>
      <c r="AM214" t="str">
        <f>CONCATENATE(VLOOKUP(AK214,Constants!$A$2:$C$16,IF(AL214&lt;&gt;"", 3, 2), FALSE),IF(AL214&lt;&gt;"",CONCATENATE(",",VLOOKUP(AL214,$B:$AM,38,FALSE)),""))</f>
        <v>4,4,4</v>
      </c>
      <c r="AW214">
        <v>30</v>
      </c>
      <c r="AX214" s="15" t="str">
        <f t="shared" si="125"/>
        <v/>
      </c>
      <c r="BA214">
        <f t="shared" si="126"/>
        <v>15</v>
      </c>
      <c r="BB214">
        <f t="shared" si="127"/>
        <v>18.45</v>
      </c>
      <c r="BC214">
        <f t="shared" si="128"/>
        <v>16.5</v>
      </c>
      <c r="BD214" s="3">
        <f t="shared" si="129"/>
        <v>0.85599999999999998</v>
      </c>
      <c r="BE214">
        <f t="shared" si="130"/>
        <v>0</v>
      </c>
      <c r="BF214">
        <f>VLOOKUP($G214,Constants!$I:$K, 2, FALSE)</f>
        <v>1</v>
      </c>
      <c r="BG214">
        <f>VLOOKUP($G214,Constants!$I:$K, 3, FALSE)*IF(AND(F214="multiple_unit",AA214&lt;110),0.75,1)</f>
        <v>2</v>
      </c>
      <c r="BH214">
        <f>INT(POWER(((Constants!$G$2+$BA214+$BB214+$BC214+$BE214)*$BD214)*$BG214, 1.05))+$AZ214</f>
        <v>118</v>
      </c>
      <c r="BI214">
        <f>INT(POWER((((Constants!$G$1+$BA214+$BB214+$BC214+$BE214)*($BD214))*$BF214),IF($F214="wagon",1,1.2)))+$AY214</f>
        <v>124</v>
      </c>
      <c r="BJ214" s="14">
        <f t="shared" si="131"/>
        <v>92187.5</v>
      </c>
      <c r="BK214" s="14">
        <f t="shared" si="132"/>
        <v>10075</v>
      </c>
      <c r="BR214">
        <v>2</v>
      </c>
      <c r="BV214" t="str">
        <f>VLOOKUP(I214,Eras!$A$2:$C$10, 2, TRUE)</f>
        <v>mod</v>
      </c>
      <c r="BW214" t="s">
        <v>328</v>
      </c>
      <c r="BX214" t="str">
        <f t="shared" si="133"/>
        <v>mod_Freight</v>
      </c>
      <c r="BY214" t="str">
        <f t="shared" si="134"/>
        <v>diesel_RAIL</v>
      </c>
      <c r="BZ214" s="17" t="str" cm="1">
        <f t="array" ref="BZ214">_xlfn.CONCAT("{BLACK}Length: {GOLD}", TEXT(ROUNDUP(IF(AP214&lt;&gt;"",SUM(VALUE(_xlfn.TEXTSPLIT(AP214, ","))), SUM(VALUE(_xlfn.TEXTSPLIT(AM214, ",")))*IF(L214, L214, 1))/16, 1), "#,##0.0"), " tiles{}")</f>
        <v>{BLACK}Length: {GOLD}0.8 tiles{}</v>
      </c>
      <c r="CA214" t="str">
        <f>VLOOKUP($BY214, Constants!$M:$N, 2, FALSE)</f>
        <v>{BLACK}Powered by: {GOLD}Diesel</v>
      </c>
      <c r="CB214" t="str">
        <f t="shared" si="135"/>
        <v/>
      </c>
      <c r="CC214" t="s">
        <v>591</v>
      </c>
      <c r="CD214" t="str">
        <f t="shared" si="136"/>
        <v/>
      </c>
      <c r="CE214" t="str">
        <f t="shared" si="122"/>
        <v>{BLACK}Powered by: {GOLD}Diesel {}{BLACK}Length: {GOLD}0.8 tiles{}{SILVER}The General Electric Class 70 is designed with crash safety in mind, hence the bonnet-like structure at each end.</v>
      </c>
    </row>
    <row r="215" spans="1:83" x14ac:dyDescent="0.25">
      <c r="A215" t="s">
        <v>593</v>
      </c>
      <c r="B215" t="s">
        <v>592</v>
      </c>
      <c r="C215">
        <v>366</v>
      </c>
      <c r="D215">
        <v>119</v>
      </c>
      <c r="E215" t="s">
        <v>1508</v>
      </c>
      <c r="F215" t="s">
        <v>262</v>
      </c>
      <c r="G215" t="s">
        <v>272</v>
      </c>
      <c r="H215" t="s">
        <v>274</v>
      </c>
      <c r="I215">
        <v>2013</v>
      </c>
      <c r="J215">
        <v>2016</v>
      </c>
      <c r="M215">
        <v>3800</v>
      </c>
      <c r="V215">
        <v>85</v>
      </c>
      <c r="Y215">
        <v>317</v>
      </c>
      <c r="Z215" s="3">
        <f t="shared" si="123"/>
        <v>0.37294117647058822</v>
      </c>
      <c r="AA215">
        <v>100</v>
      </c>
      <c r="AB215">
        <f t="shared" si="119"/>
        <v>160</v>
      </c>
      <c r="AE215">
        <v>20.5</v>
      </c>
      <c r="AF215">
        <v>20.5</v>
      </c>
      <c r="AI215" s="10">
        <v>0</v>
      </c>
      <c r="AJ215" t="str">
        <f>CONCATENATE(VLOOKUP(AK215, 'Voxel Sizes'!$A$2:$B$18,2,FALSE),"x",INT(AG215*15), "x", INT(AH215*15))</f>
        <v>198x0x0</v>
      </c>
      <c r="AK215">
        <f t="shared" si="124"/>
        <v>12</v>
      </c>
      <c r="AM215" t="str">
        <f>CONCATENATE(VLOOKUP(AK215,Constants!$A$2:$C$16,IF(AL215&lt;&gt;"", 3, 2), FALSE),IF(AL215&lt;&gt;"",CONCATENATE(",",VLOOKUP(AL215,$B:$AM,38,FALSE)),""))</f>
        <v>4,4,4</v>
      </c>
      <c r="AW215">
        <v>30</v>
      </c>
      <c r="AX215" s="15" t="str">
        <f t="shared" si="125"/>
        <v/>
      </c>
      <c r="BA215">
        <f t="shared" si="126"/>
        <v>20</v>
      </c>
      <c r="BB215">
        <f t="shared" si="127"/>
        <v>19</v>
      </c>
      <c r="BC215">
        <f t="shared" si="128"/>
        <v>15.85</v>
      </c>
      <c r="BD215" s="3">
        <f t="shared" si="129"/>
        <v>0.84933333333333327</v>
      </c>
      <c r="BE215">
        <f t="shared" si="130"/>
        <v>0</v>
      </c>
      <c r="BF215">
        <f>VLOOKUP($G215,Constants!$I:$K, 2, FALSE)</f>
        <v>1</v>
      </c>
      <c r="BG215">
        <f>VLOOKUP($G215,Constants!$I:$K, 3, FALSE)*IF(AND(F215="multiple_unit",AA215&lt;110),0.75,1)</f>
        <v>2</v>
      </c>
      <c r="BH215">
        <f>INT(POWER(((Constants!$G$2+$BA215+$BB215+$BC215+$BE215)*$BD215)*$BG215, 1.05))+$AZ215</f>
        <v>128</v>
      </c>
      <c r="BI215">
        <f>INT(POWER((((Constants!$G$1+$BA215+$BB215+$BC215+$BE215)*($BD215))*$BF215),IF($F215="wagon",1,1.2)))+$AY215</f>
        <v>134</v>
      </c>
      <c r="BJ215" s="14">
        <f t="shared" si="131"/>
        <v>100000</v>
      </c>
      <c r="BK215" s="14">
        <f t="shared" si="132"/>
        <v>10887.5</v>
      </c>
      <c r="BR215">
        <v>3</v>
      </c>
      <c r="BV215" t="str">
        <f>VLOOKUP(I215,Eras!$A$2:$C$10, 2, TRUE)</f>
        <v>mod</v>
      </c>
      <c r="BW215" t="s">
        <v>326</v>
      </c>
      <c r="BX215" t="str">
        <f t="shared" si="133"/>
        <v>mod_Mixed Traffic</v>
      </c>
      <c r="BY215" t="str">
        <f t="shared" si="134"/>
        <v>diesel_RAIL</v>
      </c>
      <c r="BZ215" s="17" t="str" cm="1">
        <f t="array" ref="BZ215">_xlfn.CONCAT("{BLACK}Length: {GOLD}", TEXT(ROUNDUP(IF(AP215&lt;&gt;"",SUM(VALUE(_xlfn.TEXTSPLIT(AP215, ","))), SUM(VALUE(_xlfn.TEXTSPLIT(AM215, ",")))*IF(L215, L215, 1))/16, 1), "#,##0.0"), " tiles{}")</f>
        <v>{BLACK}Length: {GOLD}0.8 tiles{}</v>
      </c>
      <c r="CA215" t="str">
        <f>VLOOKUP($BY215, Constants!$M:$N, 2, FALSE)</f>
        <v>{BLACK}Powered by: {GOLD}Diesel</v>
      </c>
      <c r="CB215" t="str">
        <f t="shared" si="135"/>
        <v/>
      </c>
      <c r="CC215" t="s">
        <v>596</v>
      </c>
      <c r="CD215" t="str">
        <f t="shared" si="136"/>
        <v/>
      </c>
      <c r="CE215" t="str">
        <f t="shared" si="122"/>
        <v>{BLACK}Powered by: {GOLD}Diesel {}{BLACK}Length: {GOLD}0.8 tiles{}{SILVER}The Class 68 is a modern mixed traffic disel locomotive with a powerful 16-cylinder Caterpillar engine.</v>
      </c>
    </row>
    <row r="216" spans="1:83" x14ac:dyDescent="0.25">
      <c r="A216" t="s">
        <v>54</v>
      </c>
      <c r="B216" t="s">
        <v>181</v>
      </c>
      <c r="C216">
        <v>368</v>
      </c>
      <c r="D216">
        <v>120</v>
      </c>
      <c r="E216" t="s">
        <v>1508</v>
      </c>
      <c r="F216" t="s">
        <v>262</v>
      </c>
      <c r="G216" t="s">
        <v>540</v>
      </c>
      <c r="H216" t="s">
        <v>296</v>
      </c>
      <c r="I216">
        <v>2015</v>
      </c>
      <c r="J216">
        <v>2016</v>
      </c>
      <c r="M216">
        <v>5400</v>
      </c>
      <c r="N216" s="8">
        <v>940</v>
      </c>
      <c r="V216">
        <v>86</v>
      </c>
      <c r="Y216">
        <v>317</v>
      </c>
      <c r="Z216" s="3">
        <f t="shared" si="123"/>
        <v>0.36860465116279068</v>
      </c>
      <c r="AA216">
        <v>100</v>
      </c>
      <c r="AB216">
        <f t="shared" si="119"/>
        <v>160</v>
      </c>
      <c r="AE216">
        <v>20.5</v>
      </c>
      <c r="AF216">
        <v>20.5</v>
      </c>
      <c r="AI216" s="10">
        <v>0</v>
      </c>
      <c r="AJ216" t="str">
        <f>CONCATENATE(VLOOKUP(AK216, 'Voxel Sizes'!$A$2:$B$18,2,FALSE),"x",INT(AG216*15), "x", INT(AH216*15))</f>
        <v>198x0x0</v>
      </c>
      <c r="AK216">
        <f t="shared" si="124"/>
        <v>12</v>
      </c>
      <c r="AM216" t="str">
        <f>CONCATENATE(VLOOKUP(AK216,Constants!$A$2:$C$16,IF(AL216&lt;&gt;"", 3, 2), FALSE),IF(AL216&lt;&gt;"",CONCATENATE(",",VLOOKUP(AL216,$B:$AM,38,FALSE)),""))</f>
        <v>4,4,4</v>
      </c>
      <c r="AR216" t="s">
        <v>181</v>
      </c>
      <c r="AW216">
        <v>30</v>
      </c>
      <c r="AX216" s="15" t="str">
        <f t="shared" si="125"/>
        <v/>
      </c>
      <c r="BA216">
        <f t="shared" si="126"/>
        <v>20</v>
      </c>
      <c r="BB216">
        <f t="shared" si="127"/>
        <v>20</v>
      </c>
      <c r="BC216">
        <f t="shared" si="128"/>
        <v>15.85</v>
      </c>
      <c r="BD216" s="3">
        <f t="shared" si="129"/>
        <v>0.84666666666666668</v>
      </c>
      <c r="BE216">
        <f t="shared" si="130"/>
        <v>0</v>
      </c>
      <c r="BF216">
        <f>VLOOKUP($G216,Constants!$I:$K, 2, FALSE)</f>
        <v>0.9</v>
      </c>
      <c r="BG216">
        <f>VLOOKUP($G216,Constants!$I:$K, 3, FALSE)*IF(AND(F216="multiple_unit",AA216&lt;110),0.75,1)</f>
        <v>2.5</v>
      </c>
      <c r="BH216">
        <f>INT(POWER(((Constants!$G$2+$BA216+$BB216+$BC216+$BE216)*$BD216)*$BG216, 1.05))+$AZ216</f>
        <v>164</v>
      </c>
      <c r="BI216">
        <f>INT(POWER((((Constants!$G$1+$BA216+$BB216+$BC216+$BE216)*($BD216))*$BF216),IF($F216="wagon",1,1.2)))+$AY216</f>
        <v>119</v>
      </c>
      <c r="BJ216" s="14">
        <f t="shared" si="131"/>
        <v>128125</v>
      </c>
      <c r="BK216" s="14">
        <f t="shared" si="132"/>
        <v>9668.75</v>
      </c>
      <c r="BR216">
        <v>4</v>
      </c>
      <c r="BV216" t="str">
        <f>VLOOKUP(I216,Eras!$A$2:$C$10, 2, TRUE)</f>
        <v>mod</v>
      </c>
      <c r="BW216" t="s">
        <v>338</v>
      </c>
      <c r="BX216" t="str">
        <f t="shared" si="133"/>
        <v>mod_Freight (Electric)</v>
      </c>
      <c r="BY216" t="str">
        <f t="shared" si="134"/>
        <v>dual_power_ELRL</v>
      </c>
      <c r="BZ216" s="17" t="str" cm="1">
        <f t="array" ref="BZ216">_xlfn.CONCAT("{BLACK}Length: {GOLD}", TEXT(ROUNDUP(IF(AP216&lt;&gt;"",SUM(VALUE(_xlfn.TEXTSPLIT(AP216, ","))), SUM(VALUE(_xlfn.TEXTSPLIT(AM216, ",")))*IF(L216, L216, 1))/16, 1), "#,##0.0"), " tiles{}")</f>
        <v>{BLACK}Length: {GOLD}0.8 tiles{}</v>
      </c>
      <c r="CA216" t="str">
        <f>VLOOKUP($BY216, Constants!$M:$N, 2, FALSE)</f>
        <v>{BLACK}Powered by: {GOLD}25kV AC / Diesel</v>
      </c>
      <c r="CB216" t="str">
        <f t="shared" si="135"/>
        <v/>
      </c>
      <c r="CC216" t="s">
        <v>1491</v>
      </c>
      <c r="CD216" t="str">
        <f t="shared" si="136"/>
        <v/>
      </c>
      <c r="CE216" t="str">
        <f t="shared" si="122"/>
        <v>{BLACK}Powered by: {GOLD}25kV AC / Diesel {}{BLACK}Length: {GOLD}0.8 tiles{}{SILVER}The Class 88 is a dual mode version of Stadler's Euro Dual family, sharing many components with the class 68.</v>
      </c>
    </row>
    <row r="217" spans="1:83" x14ac:dyDescent="0.25">
      <c r="A217" t="s">
        <v>67</v>
      </c>
      <c r="B217" t="s">
        <v>182</v>
      </c>
      <c r="C217">
        <v>236</v>
      </c>
      <c r="D217">
        <v>121</v>
      </c>
      <c r="E217" t="s">
        <v>1508</v>
      </c>
      <c r="F217" t="s">
        <v>403</v>
      </c>
      <c r="G217" t="s">
        <v>272</v>
      </c>
      <c r="H217" t="s">
        <v>274</v>
      </c>
      <c r="I217">
        <v>1933</v>
      </c>
      <c r="J217">
        <v>1942</v>
      </c>
      <c r="K217">
        <v>1962</v>
      </c>
      <c r="L217">
        <v>1</v>
      </c>
      <c r="M217">
        <v>260</v>
      </c>
      <c r="V217">
        <v>35</v>
      </c>
      <c r="X217">
        <v>5</v>
      </c>
      <c r="Y217">
        <v>55</v>
      </c>
      <c r="Z217" s="3">
        <f>IF(AND(V217&gt;0,Y217&gt;0),(Y217/((V217+W217)*10)),"")</f>
        <v>0.15714285714285714</v>
      </c>
      <c r="AA217">
        <v>63</v>
      </c>
      <c r="AB217">
        <f>ROUND(AA217*1.6, 0)</f>
        <v>101</v>
      </c>
      <c r="AE217">
        <v>18.399999999999999</v>
      </c>
      <c r="AF217">
        <v>17</v>
      </c>
      <c r="AI217" s="10">
        <v>69</v>
      </c>
      <c r="AJ217" t="str">
        <f>CONCATENATE(VLOOKUP(AK217, 'Voxel Sizes'!$A$2:$B$18,2,FALSE),"x",INT(AG217*15), "x", INT(AH217*15))</f>
        <v>164x0x0</v>
      </c>
      <c r="AK217">
        <f>ROUND(15*((AF217*10)/256),0)</f>
        <v>10</v>
      </c>
      <c r="AM217" t="str">
        <f>CONCATENATE(VLOOKUP(AK217,Constants!$A$2:$C$16,IF(AL217&lt;&gt;"", 3, 2), FALSE),IF(AL217&lt;&gt;"",CONCATENATE(",",VLOOKUP(AL217,$B:$AM,38,FALSE)),""))</f>
        <v>4,2,4</v>
      </c>
      <c r="AQ217" t="s">
        <v>182</v>
      </c>
      <c r="AS217">
        <v>1</v>
      </c>
      <c r="AW217">
        <v>16</v>
      </c>
      <c r="AX217" s="15">
        <f>IF(K217&lt;&gt;"",MAX(16,(K217-I217)+8),"")</f>
        <v>37</v>
      </c>
      <c r="BA217">
        <f>MIN(AA217/150, 1)*30</f>
        <v>12.6</v>
      </c>
      <c r="BB217">
        <f>MIN(M217/4000, 1)*20</f>
        <v>1.3</v>
      </c>
      <c r="BC217">
        <f>MIN(Y217/400,1)*20</f>
        <v>2.75</v>
      </c>
      <c r="BD217" s="3">
        <f>1-(MAX(I217-1900, 0)/750)</f>
        <v>0.95599999999999996</v>
      </c>
      <c r="BE217">
        <f>((MAX($L217,1)*MIN($AI217/300,1)))*IF(F217="Wagon",50,10)</f>
        <v>2.3000000000000003</v>
      </c>
      <c r="BF217">
        <f>VLOOKUP($G217,Constants!$I:$K, 2, FALSE)</f>
        <v>1</v>
      </c>
      <c r="BG217">
        <f>VLOOKUP($G217,Constants!$I:$K, 3, FALSE)*IF(AND(F217="multiple_unit",AA217&lt;110),0.75,1)</f>
        <v>1.5</v>
      </c>
      <c r="BH217">
        <f>INT(POWER(((Constants!$G$2+$BA217+$BB217+$BC217+$BE217)*$BD217)*$BG217, 1.05))+$AZ217</f>
        <v>40</v>
      </c>
      <c r="BI217">
        <f>INT(POWER((((Constants!$G$1+$BA217+$BB217+$BC217+$BE217)*($BD217))*$BF217),IF($F217="wagon",1,1.2)))+$AY217</f>
        <v>65</v>
      </c>
      <c r="BJ217" s="14">
        <f>BH217*IF($F217="wagon",62.5,781.25)</f>
        <v>31250</v>
      </c>
      <c r="BK217" s="14">
        <f>BI217*IF($F217="wagon",2.73,81.25)</f>
        <v>5281.25</v>
      </c>
      <c r="BR217">
        <v>9</v>
      </c>
      <c r="BU217" t="s">
        <v>282</v>
      </c>
      <c r="BV217" t="str">
        <f>VLOOKUP(I217,Eras!$A$2:$C$10, 2, TRUE)</f>
        <v>big4</v>
      </c>
      <c r="BW217" t="s">
        <v>329</v>
      </c>
      <c r="BX217" t="str">
        <f>CONCATENATE(BV217,"_",BW217)</f>
        <v>big4_DMU (Cheap)</v>
      </c>
      <c r="BY217" t="str">
        <f>_xlfn.CONCAT(G217, "_",H217)</f>
        <v>diesel_RAIL</v>
      </c>
      <c r="BZ217" s="17" t="str" cm="1">
        <f t="array" ref="BZ217">_xlfn.CONCAT("{BLACK}Length: {GOLD}", TEXT(ROUNDUP(IF(AP217&lt;&gt;"",SUM(VALUE(_xlfn.TEXTSPLIT(AP217, ","))), SUM(VALUE(_xlfn.TEXTSPLIT(AM217, ",")))*IF(L217, L217, 1))/16, 1), "#,##0.0"), " tiles{}")</f>
        <v>{BLACK}Length: {GOLD}0.7 tiles{}</v>
      </c>
      <c r="CA217" t="str">
        <f>VLOOKUP($BY217, Constants!$M:$N, 2, FALSE)</f>
        <v>{BLACK}Powered by: {GOLD}Diesel</v>
      </c>
      <c r="CB217" t="str">
        <f>IF(L217&gt;1,_xlfn.CONCAT("{BLACK}Cars: {GOLD}", L217),"")</f>
        <v/>
      </c>
      <c r="CC217" t="s">
        <v>448</v>
      </c>
      <c r="CD217" t="str">
        <f>IF(BU217="BRAKE","{YELLOW}Speed bonus for slow wagons{}",IF(BS217&gt;190,CONCATENATE("{YELLOW}",INT((BS217-185)/1.85),"% Bonus for long distance travel{}"),IF(AND(BS217&lt;180,BS217&lt;&gt;0),CONCATENATE("{YELLOW}",INT((185-BS217)/1.85),"% Penalty for long distance travel{}"),"")))</f>
        <v/>
      </c>
      <c r="CE217" t="str">
        <f t="shared" si="122"/>
        <v>{BLACK}Powered by: {GOLD}Diesel {}{BLACK}Length: {GOLD}0.7 tiles{}{SILVER}The GWR Railcars used AEC bus hardware in a lightweight streamlined body.</v>
      </c>
    </row>
    <row r="218" spans="1:83" x14ac:dyDescent="0.25">
      <c r="A218" t="s">
        <v>71</v>
      </c>
      <c r="B218" t="s">
        <v>233</v>
      </c>
      <c r="C218">
        <v>292</v>
      </c>
      <c r="D218">
        <v>122</v>
      </c>
      <c r="E218" t="s">
        <v>1508</v>
      </c>
      <c r="F218" t="s">
        <v>403</v>
      </c>
      <c r="G218" t="s">
        <v>272</v>
      </c>
      <c r="H218" t="s">
        <v>274</v>
      </c>
      <c r="I218">
        <v>1956</v>
      </c>
      <c r="J218">
        <v>1960</v>
      </c>
      <c r="K218">
        <v>2003</v>
      </c>
      <c r="L218">
        <v>2</v>
      </c>
      <c r="M218">
        <v>600</v>
      </c>
      <c r="V218">
        <f>32.5+25</f>
        <v>57.5</v>
      </c>
      <c r="X218">
        <v>5</v>
      </c>
      <c r="Y218">
        <v>85</v>
      </c>
      <c r="Z218" s="3">
        <f>IF(AND(V218&gt;0,Y218&gt;0),(Y218/((V218+W218)*10)),"")</f>
        <v>0.14782608695652175</v>
      </c>
      <c r="AA218">
        <v>70</v>
      </c>
      <c r="AB218">
        <f>ROUND(AA218*1.6, 0)</f>
        <v>112</v>
      </c>
      <c r="AE218">
        <v>17.37</v>
      </c>
      <c r="AF218">
        <v>17.37</v>
      </c>
      <c r="AH218">
        <v>3.77</v>
      </c>
      <c r="AI218" s="10">
        <v>51</v>
      </c>
      <c r="AJ218" t="str">
        <f>CONCATENATE(VLOOKUP(AK218, 'Voxel Sizes'!$A$2:$B$18,2,FALSE),"x",INT(AG218*15), "x", INT(AH218*15))</f>
        <v>164x0x56</v>
      </c>
      <c r="AK218">
        <f>ROUND(15*((AF218*10)/256),0)</f>
        <v>10</v>
      </c>
      <c r="AM218" t="str">
        <f>CONCATENATE(VLOOKUP(AK218,Constants!$A$2:$C$16,IF(AL218&lt;&gt;"", 3, 2), FALSE),IF(AL218&lt;&gt;"",CONCATENATE(",",VLOOKUP(AL218,$B:$AM,38,FALSE)),""))</f>
        <v>4,2,4</v>
      </c>
      <c r="AQ218" t="s">
        <v>513</v>
      </c>
      <c r="AS218" t="s">
        <v>466</v>
      </c>
      <c r="AW218">
        <v>45</v>
      </c>
      <c r="AX218" s="15">
        <f>IF(K218&lt;&gt;"",MAX(16,(K218-I218)+8),"")</f>
        <v>55</v>
      </c>
      <c r="AY218">
        <v>-10</v>
      </c>
      <c r="AZ218">
        <v>-15</v>
      </c>
      <c r="BA218">
        <f>MIN(AA218/150, 1)*30</f>
        <v>14</v>
      </c>
      <c r="BB218">
        <f>MIN(M218/4000, 1)*20</f>
        <v>3</v>
      </c>
      <c r="BC218">
        <f>MIN(Y218/400,1)*20</f>
        <v>4.25</v>
      </c>
      <c r="BD218" s="3">
        <f>1-(MAX(I218-1900, 0)/750)</f>
        <v>0.92533333333333334</v>
      </c>
      <c r="BE218">
        <f>((MAX($L218,1)*MIN($AI218/300,1)))*IF(F218="Wagon",50,10)</f>
        <v>3.4000000000000004</v>
      </c>
      <c r="BF218">
        <f>VLOOKUP($G218,Constants!$I:$K, 2, FALSE)</f>
        <v>1</v>
      </c>
      <c r="BG218">
        <f>VLOOKUP($G218,Constants!$I:$K, 3, FALSE)*IF(AND(F218="multiple_unit",AA218&lt;110),0.75,1)</f>
        <v>1.5</v>
      </c>
      <c r="BH218">
        <f>INT(POWER(((Constants!$G$2+$BA218+$BB218+$BC218+$BE218)*$BD218)*$BG218, 1.05))+$AZ218</f>
        <v>34</v>
      </c>
      <c r="BI218">
        <f>INT(POWER((((Constants!$G$1+$BA218+$BB218+$BC218+$BE218)*($BD218))*$BF218),IF($F218="wagon",1,1.2)))+$AY218</f>
        <v>65</v>
      </c>
      <c r="BJ218" s="14">
        <f>BH218*IF($F218="wagon",62.5,781.25)</f>
        <v>26562.5</v>
      </c>
      <c r="BK218" s="14">
        <f>BI218*IF($F218="wagon",2.73,81.25)</f>
        <v>5281.25</v>
      </c>
      <c r="BR218">
        <v>2</v>
      </c>
      <c r="BU218" t="s">
        <v>282</v>
      </c>
      <c r="BV218" t="str">
        <f>VLOOKUP(I218,Eras!$A$2:$C$10, 2, TRUE)</f>
        <v>dsl</v>
      </c>
      <c r="BW218" t="s">
        <v>330</v>
      </c>
      <c r="BX218" t="str">
        <f>CONCATENATE(BV218,"_",BW218)</f>
        <v>dsl_DMU</v>
      </c>
      <c r="BY218" t="str">
        <f>_xlfn.CONCAT(G218, "_",H218)</f>
        <v>diesel_RAIL</v>
      </c>
      <c r="BZ218" s="17" t="str" cm="1">
        <f t="array" ref="BZ218">_xlfn.CONCAT("{BLACK}Length: {GOLD}", TEXT(ROUNDUP(IF(AP218&lt;&gt;"",SUM(VALUE(_xlfn.TEXTSPLIT(AP218, ","))), SUM(VALUE(_xlfn.TEXTSPLIT(AM218, ",")))*IF(L218, L218, 1))/16, 1), "#,##0.0"), " tiles{}")</f>
        <v>{BLACK}Length: {GOLD}1.3 tiles{}</v>
      </c>
      <c r="CA218" t="str">
        <f>VLOOKUP($BY218, Constants!$M:$N, 2, FALSE)</f>
        <v>{BLACK}Powered by: {GOLD}Diesel</v>
      </c>
      <c r="CB218" t="str">
        <f>IF(L218&gt;1,_xlfn.CONCAT("{BLACK}Cars: {GOLD}", L218),"")</f>
        <v>{BLACK}Cars: {GOLD}2</v>
      </c>
      <c r="CC218" t="s">
        <v>512</v>
      </c>
      <c r="CD218" t="str">
        <f>IF(BU218="BRAKE","{YELLOW}Speed bonus for slow wagons{}",IF(BS218&gt;190,CONCATENATE("{YELLOW}",INT((BS218-185)/1.85),"% Bonus for long distance travel{}"),IF(AND(BS218&lt;180,BS218&lt;&gt;0),CONCATENATE("{YELLOW}",INT((185-BS218)/1.85),"% Penalty for long distance travel{}"),"")))</f>
        <v/>
      </c>
      <c r="CE218" t="str">
        <f t="shared" si="122"/>
        <v>{BLACK}Powered by: {GOLD}Diesel {BLACK}Cars: {GOLD}2{}{BLACK}Length: {GOLD}1.3 tiles{}{SILVER}The Class 101 has a four speed gearbox with a manual shift. It was exceptionally long-lived, the final examples being retired in December 2003.</v>
      </c>
    </row>
    <row r="219" spans="1:83" x14ac:dyDescent="0.25">
      <c r="A219" t="s">
        <v>130</v>
      </c>
      <c r="B219" t="s">
        <v>155</v>
      </c>
      <c r="C219">
        <v>420</v>
      </c>
      <c r="D219">
        <v>123</v>
      </c>
      <c r="E219" t="s">
        <v>1508</v>
      </c>
      <c r="F219" t="s">
        <v>403</v>
      </c>
      <c r="G219" t="s">
        <v>1225</v>
      </c>
      <c r="H219" t="s">
        <v>274</v>
      </c>
      <c r="I219">
        <v>1903</v>
      </c>
      <c r="K219">
        <v>1940</v>
      </c>
      <c r="L219">
        <v>1</v>
      </c>
      <c r="M219">
        <v>85</v>
      </c>
      <c r="V219">
        <v>35</v>
      </c>
      <c r="X219">
        <v>5</v>
      </c>
      <c r="Y219">
        <v>45</v>
      </c>
      <c r="Z219" s="3">
        <f t="shared" si="123"/>
        <v>0.12857142857142856</v>
      </c>
      <c r="AA219">
        <v>40</v>
      </c>
      <c r="AB219">
        <f t="shared" si="119"/>
        <v>64</v>
      </c>
      <c r="AE219">
        <v>16.7</v>
      </c>
      <c r="AF219">
        <v>16.7</v>
      </c>
      <c r="AG219">
        <v>2.59</v>
      </c>
      <c r="AH219">
        <v>3.98</v>
      </c>
      <c r="AI219" s="10">
        <v>48</v>
      </c>
      <c r="AJ219" t="str">
        <f>CONCATENATE(VLOOKUP(AK219, 'Voxel Sizes'!$A$2:$B$18,2,FALSE),"x",INT(AG219*15), "x", INT(AH219*15))</f>
        <v>164x38x59</v>
      </c>
      <c r="AK219">
        <f t="shared" si="124"/>
        <v>10</v>
      </c>
      <c r="AM219" t="str">
        <f>CONCATENATE(VLOOKUP(AK219,Constants!$A$2:$C$16,IF(AL219&lt;&gt;"", 3, 2), FALSE),IF(AL219&lt;&gt;"",CONCATENATE(",",VLOOKUP(AL219,$B:$AM,38,FALSE)),""))</f>
        <v>4,2,4</v>
      </c>
      <c r="AQ219" t="s">
        <v>155</v>
      </c>
      <c r="AS219">
        <v>1</v>
      </c>
      <c r="AW219">
        <v>17</v>
      </c>
      <c r="AX219" s="15">
        <f t="shared" si="125"/>
        <v>45</v>
      </c>
      <c r="AY219">
        <v>-15</v>
      </c>
      <c r="AZ219">
        <v>-10</v>
      </c>
      <c r="BA219">
        <f t="shared" si="126"/>
        <v>8</v>
      </c>
      <c r="BB219">
        <f t="shared" si="127"/>
        <v>0.42500000000000004</v>
      </c>
      <c r="BC219">
        <f t="shared" si="128"/>
        <v>2.25</v>
      </c>
      <c r="BD219" s="3">
        <f t="shared" si="129"/>
        <v>0.996</v>
      </c>
      <c r="BE219">
        <f t="shared" si="130"/>
        <v>1.6</v>
      </c>
      <c r="BF219">
        <f>VLOOKUP($G219,Constants!$I:$K, 2, FALSE)</f>
        <v>1.05</v>
      </c>
      <c r="BG219">
        <f>VLOOKUP($G219,Constants!$I:$K, 3, FALSE)*IF(AND(F219="multiple_unit",AA219&lt;110),0.75,1)</f>
        <v>1.4249999999999998</v>
      </c>
      <c r="BH219">
        <f>INT(POWER(((Constants!$G$2+$BA219+$BB219+$BC219+$BE219)*$BD219)*$BG219, 1.05))+$AZ219</f>
        <v>18</v>
      </c>
      <c r="BI219">
        <f>INT(POWER((((Constants!$G$1+$BA219+$BB219+$BC219+$BE219)*($BD219))*$BF219),IF($F219="wagon",1,1.2)))+$AY219</f>
        <v>40</v>
      </c>
      <c r="BJ219" s="14">
        <f t="shared" si="131"/>
        <v>14062.5</v>
      </c>
      <c r="BK219" s="14">
        <f t="shared" si="132"/>
        <v>3250</v>
      </c>
      <c r="BO219" t="s">
        <v>203</v>
      </c>
      <c r="BR219">
        <v>5</v>
      </c>
      <c r="BS219">
        <v>185</v>
      </c>
      <c r="BU219" t="s">
        <v>282</v>
      </c>
      <c r="BV219" t="str">
        <f>VLOOKUP(I219,Eras!$A$2:$C$10, 2, TRUE)</f>
        <v>edw</v>
      </c>
      <c r="BW219" t="s">
        <v>329</v>
      </c>
      <c r="BX219" t="str">
        <f t="shared" si="133"/>
        <v>edw_DMU (Cheap)</v>
      </c>
      <c r="BY219" t="str">
        <f t="shared" si="134"/>
        <v>petrol_RAIL</v>
      </c>
      <c r="BZ219" s="17" t="str" cm="1">
        <f t="array" ref="BZ219">_xlfn.CONCAT("{BLACK}Length: {GOLD}", TEXT(ROUNDUP(IF(AP219&lt;&gt;"",SUM(VALUE(_xlfn.TEXTSPLIT(AP219, ","))), SUM(VALUE(_xlfn.TEXTSPLIT(AM219, ",")))*IF(L219, L219, 1))/16, 1), "#,##0.0"), " tiles{}")</f>
        <v>{BLACK}Length: {GOLD}0.7 tiles{}</v>
      </c>
      <c r="CA219" t="str">
        <f>VLOOKUP($BY219, Constants!$M:$N, 2, FALSE)</f>
        <v>{BLACK}Powered by: {GOLD}Petrol</v>
      </c>
      <c r="CB219" t="str">
        <f t="shared" si="135"/>
        <v/>
      </c>
      <c r="CC219" t="s">
        <v>348</v>
      </c>
      <c r="CD219" t="str">
        <f t="shared" si="136"/>
        <v/>
      </c>
      <c r="CE219" t="str">
        <f t="shared" si="122"/>
        <v>{BLACK}Powered by: {GOLD}Petrol {}{BLACK}Length: {GOLD}0.7 tiles{}{SILVER}The NER Autocar is a petrol-electric railcar with a petrol engine driving two electric motors. It was the first use of an internal combustion engine in a railway vehicle.</v>
      </c>
    </row>
    <row r="220" spans="1:83" x14ac:dyDescent="0.25">
      <c r="A220" t="s">
        <v>391</v>
      </c>
      <c r="B220" t="s">
        <v>393</v>
      </c>
      <c r="C220">
        <v>422</v>
      </c>
      <c r="D220">
        <v>124</v>
      </c>
      <c r="E220" t="s">
        <v>1508</v>
      </c>
      <c r="F220" t="s">
        <v>403</v>
      </c>
      <c r="G220" t="s">
        <v>295</v>
      </c>
      <c r="H220" t="s">
        <v>302</v>
      </c>
      <c r="I220">
        <v>1914</v>
      </c>
      <c r="K220">
        <v>1960</v>
      </c>
      <c r="L220">
        <v>3</v>
      </c>
      <c r="M220">
        <v>1000</v>
      </c>
      <c r="V220">
        <v>117</v>
      </c>
      <c r="X220">
        <v>5</v>
      </c>
      <c r="Y220">
        <v>112</v>
      </c>
      <c r="Z220" s="3">
        <f t="shared" si="123"/>
        <v>9.5726495726495733E-2</v>
      </c>
      <c r="AA220">
        <v>60</v>
      </c>
      <c r="AB220">
        <f t="shared" si="119"/>
        <v>96</v>
      </c>
      <c r="AF220">
        <v>17.7</v>
      </c>
      <c r="AI220" s="10">
        <v>45</v>
      </c>
      <c r="AJ220" t="str">
        <f>CONCATENATE(VLOOKUP(AK220, 'Voxel Sizes'!$A$2:$B$18,2,FALSE),"x",INT(AG220*15), "x", INT(AH220*15))</f>
        <v>164x0x0</v>
      </c>
      <c r="AK220">
        <f t="shared" si="124"/>
        <v>10</v>
      </c>
      <c r="AM220" t="str">
        <f>CONCATENATE(VLOOKUP(AK220,Constants!$A$2:$C$16,IF(AL220&lt;&gt;"", 3, 2), FALSE),IF(AL220&lt;&gt;"",CONCATENATE(",",VLOOKUP(AL220,$B:$AM,38,FALSE)),""))</f>
        <v>4,2,4</v>
      </c>
      <c r="AQ220" t="s">
        <v>404</v>
      </c>
      <c r="AS220" t="s">
        <v>402</v>
      </c>
      <c r="AW220">
        <v>25</v>
      </c>
      <c r="AX220" s="15">
        <f t="shared" si="125"/>
        <v>54</v>
      </c>
      <c r="AY220">
        <v>-10</v>
      </c>
      <c r="AZ220">
        <v>-15</v>
      </c>
      <c r="BA220">
        <f t="shared" si="126"/>
        <v>12</v>
      </c>
      <c r="BB220">
        <f t="shared" si="127"/>
        <v>5</v>
      </c>
      <c r="BC220">
        <f t="shared" si="128"/>
        <v>5.6000000000000005</v>
      </c>
      <c r="BD220" s="3">
        <f t="shared" si="129"/>
        <v>0.98133333333333328</v>
      </c>
      <c r="BE220">
        <f t="shared" si="130"/>
        <v>4.5</v>
      </c>
      <c r="BF220">
        <f>VLOOKUP($G220,Constants!$I:$K, 2, FALSE)</f>
        <v>0.85</v>
      </c>
      <c r="BG220">
        <f>VLOOKUP($G220,Constants!$I:$K, 3, FALSE)*IF(AND(F220="multiple_unit",AA220&lt;110),0.75,1)</f>
        <v>1.7249999999999999</v>
      </c>
      <c r="BH220">
        <f>INT(POWER(((Constants!$G$2+$BA220+$BB220+$BC220+$BE220)*$BD220)*$BG220, 1.05))+$AZ220</f>
        <v>51</v>
      </c>
      <c r="BI220">
        <f>INT(POWER((((Constants!$G$1+$BA220+$BB220+$BC220+$BE220)*($BD220))*$BF220),IF($F220="wagon",1,1.2)))+$AY220</f>
        <v>61</v>
      </c>
      <c r="BJ220" s="14">
        <f t="shared" si="131"/>
        <v>39843.75</v>
      </c>
      <c r="BK220" s="14">
        <f t="shared" si="132"/>
        <v>4956.25</v>
      </c>
      <c r="BR220">
        <v>6</v>
      </c>
      <c r="BS220">
        <v>185</v>
      </c>
      <c r="BU220" t="s">
        <v>282</v>
      </c>
      <c r="BV220" t="str">
        <f>VLOOKUP(I220,Eras!$A$2:$C$10, 2, TRUE)</f>
        <v>edw</v>
      </c>
      <c r="BW220" t="s">
        <v>332</v>
      </c>
      <c r="BX220" t="str">
        <f t="shared" si="133"/>
        <v>edw_EMU</v>
      </c>
      <c r="BY220" t="str">
        <f t="shared" si="134"/>
        <v>electric_THIRD_RAIL</v>
      </c>
      <c r="BZ220" s="17" t="str" cm="1">
        <f t="array" ref="BZ220">_xlfn.CONCAT("{BLACK}Length: {GOLD}", TEXT(ROUNDUP(IF(AP220&lt;&gt;"",SUM(VALUE(_xlfn.TEXTSPLIT(AP220, ","))), SUM(VALUE(_xlfn.TEXTSPLIT(AM220, ",")))*IF(L220, L220, 1))/16, 1), "#,##0.0"), " tiles{}")</f>
        <v>{BLACK}Length: {GOLD}1.9 tiles{}</v>
      </c>
      <c r="CA220" t="str">
        <f>VLOOKUP($BY220, Constants!$M:$N, 2, FALSE)</f>
        <v>{BLACK}Powered by: {GOLD}750V DC</v>
      </c>
      <c r="CB220" t="str">
        <f t="shared" si="135"/>
        <v>{BLACK}Cars: {GOLD}3</v>
      </c>
      <c r="CC220" t="s">
        <v>392</v>
      </c>
      <c r="CD220" t="str">
        <f t="shared" si="136"/>
        <v/>
      </c>
      <c r="CE220" t="str">
        <f t="shared" si="122"/>
        <v>{BLACK}Powered by: {GOLD}750V DC {BLACK}Cars: {GOLD}3{}{BLACK}Length: {GOLD}1.9 tiles{}{SILVER}The LNWR built electric multiple units for its inner suburban London routes, sharing track with the Bakerloo and District lines.</v>
      </c>
    </row>
    <row r="221" spans="1:83" x14ac:dyDescent="0.25">
      <c r="A221" t="s">
        <v>68</v>
      </c>
      <c r="B221" t="s">
        <v>230</v>
      </c>
      <c r="C221">
        <v>424</v>
      </c>
      <c r="D221">
        <v>125</v>
      </c>
      <c r="E221" t="s">
        <v>1508</v>
      </c>
      <c r="F221" t="s">
        <v>403</v>
      </c>
      <c r="G221" t="s">
        <v>295</v>
      </c>
      <c r="H221" t="s">
        <v>302</v>
      </c>
      <c r="I221">
        <v>1932</v>
      </c>
      <c r="K221">
        <v>1972</v>
      </c>
      <c r="L221">
        <v>5</v>
      </c>
      <c r="M221">
        <v>1800</v>
      </c>
      <c r="V221">
        <v>253</v>
      </c>
      <c r="X221">
        <v>5</v>
      </c>
      <c r="Y221">
        <v>145</v>
      </c>
      <c r="Z221" s="3">
        <f t="shared" si="123"/>
        <v>5.731225296442688E-2</v>
      </c>
      <c r="AA221">
        <v>75</v>
      </c>
      <c r="AB221">
        <f t="shared" si="119"/>
        <v>120</v>
      </c>
      <c r="AE221">
        <v>20.11</v>
      </c>
      <c r="AF221">
        <v>20.11</v>
      </c>
      <c r="AI221" s="10">
        <v>33</v>
      </c>
      <c r="AJ221" t="str">
        <f>CONCATENATE(VLOOKUP(AK221, 'Voxel Sizes'!$A$2:$B$18,2,FALSE),"x",INT(AG221*15), "x", INT(AH221*15))</f>
        <v>198x0x0</v>
      </c>
      <c r="AK221">
        <f t="shared" si="124"/>
        <v>12</v>
      </c>
      <c r="AM221" t="str">
        <f>CONCATENATE(VLOOKUP(AK221,Constants!$A$2:$C$16,IF(AL221&lt;&gt;"", 3, 2), FALSE),IF(AL221&lt;&gt;"",CONCATENATE(",",VLOOKUP(AL221,$B:$AM,38,FALSE)),""))</f>
        <v>4,4,4</v>
      </c>
      <c r="AQ221" t="s">
        <v>445</v>
      </c>
      <c r="AS221" t="s">
        <v>447</v>
      </c>
      <c r="AW221">
        <v>28</v>
      </c>
      <c r="AX221" s="15">
        <f t="shared" si="125"/>
        <v>48</v>
      </c>
      <c r="AY221">
        <v>-10</v>
      </c>
      <c r="AZ221">
        <v>-10</v>
      </c>
      <c r="BA221">
        <f t="shared" si="126"/>
        <v>15</v>
      </c>
      <c r="BB221">
        <f t="shared" si="127"/>
        <v>9</v>
      </c>
      <c r="BC221">
        <f t="shared" si="128"/>
        <v>7.25</v>
      </c>
      <c r="BD221" s="3">
        <f t="shared" si="129"/>
        <v>0.95733333333333337</v>
      </c>
      <c r="BE221">
        <f t="shared" si="130"/>
        <v>5.5</v>
      </c>
      <c r="BF221">
        <f>VLOOKUP($G221,Constants!$I:$K, 2, FALSE)</f>
        <v>0.85</v>
      </c>
      <c r="BG221">
        <f>VLOOKUP($G221,Constants!$I:$K, 3, FALSE)*IF(AND(F221="multiple_unit",AA221&lt;110),0.75,1)</f>
        <v>1.7249999999999999</v>
      </c>
      <c r="BH221">
        <f>INT(POWER(((Constants!$G$2+$BA221+$BB221+$BC221+$BE221)*$BD221)*$BG221, 1.05))+$AZ221</f>
        <v>75</v>
      </c>
      <c r="BI221">
        <f>INT(POWER((((Constants!$G$1+$BA221+$BB221+$BC221+$BE221)*($BD221))*$BF221),IF($F221="wagon",1,1.2)))+$AY221</f>
        <v>78</v>
      </c>
      <c r="BJ221" s="14">
        <f t="shared" si="131"/>
        <v>58593.75</v>
      </c>
      <c r="BK221" s="14">
        <f t="shared" si="132"/>
        <v>6337.5</v>
      </c>
      <c r="BR221">
        <v>7</v>
      </c>
      <c r="BS221">
        <v>260</v>
      </c>
      <c r="BU221" t="s">
        <v>282</v>
      </c>
      <c r="BV221" t="str">
        <f>VLOOKUP(I221,Eras!$A$2:$C$10, 2, TRUE)</f>
        <v>big4</v>
      </c>
      <c r="BW221" t="s">
        <v>333</v>
      </c>
      <c r="BX221" t="str">
        <f t="shared" si="133"/>
        <v>big4_EMU (Express)</v>
      </c>
      <c r="BY221" t="str">
        <f t="shared" si="134"/>
        <v>electric_THIRD_RAIL</v>
      </c>
      <c r="BZ221" s="17" t="str" cm="1">
        <f t="array" ref="BZ221">_xlfn.CONCAT("{BLACK}Length: {GOLD}", TEXT(ROUNDUP(IF(AP221&lt;&gt;"",SUM(VALUE(_xlfn.TEXTSPLIT(AP221, ","))), SUM(VALUE(_xlfn.TEXTSPLIT(AM221, ",")))*IF(L221, L221, 1))/16, 1), "#,##0.0"), " tiles{}")</f>
        <v>{BLACK}Length: {GOLD}3.8 tiles{}</v>
      </c>
      <c r="CA221" t="str">
        <f>VLOOKUP($BY221, Constants!$M:$N, 2, FALSE)</f>
        <v>{BLACK}Powered by: {GOLD}750V DC</v>
      </c>
      <c r="CB221" t="str">
        <f t="shared" si="135"/>
        <v>{BLACK}Cars: {GOLD}5</v>
      </c>
      <c r="CC221" t="s">
        <v>444</v>
      </c>
      <c r="CD221" t="str">
        <f t="shared" si="136"/>
        <v>{YELLOW}40% Bonus for long distance travel{}</v>
      </c>
      <c r="CE221" t="str">
        <f t="shared" si="122"/>
        <v>{BLACK}Powered by: {GOLD}750V DC {BLACK}Cars: {GOLD}5{}{BLACK}Length: {GOLD}3.8 tiles{}{YELLOW}40% Bonus for long distance travel{}{SILVER}The Southern Railway's "Brighton Belle" used Pullman coaches and remained in use well into the BR era.</v>
      </c>
    </row>
    <row r="222" spans="1:83" x14ac:dyDescent="0.25">
      <c r="A222" t="s">
        <v>69</v>
      </c>
      <c r="B222" t="s">
        <v>231</v>
      </c>
      <c r="C222">
        <v>426</v>
      </c>
      <c r="D222">
        <v>126</v>
      </c>
      <c r="E222" t="s">
        <v>1508</v>
      </c>
      <c r="F222" t="s">
        <v>403</v>
      </c>
      <c r="G222" t="s">
        <v>295</v>
      </c>
      <c r="H222" t="s">
        <v>302</v>
      </c>
      <c r="I222">
        <v>1937</v>
      </c>
      <c r="J222">
        <v>1938</v>
      </c>
      <c r="K222">
        <v>1972</v>
      </c>
      <c r="L222">
        <v>4</v>
      </c>
      <c r="M222">
        <v>900</v>
      </c>
      <c r="V222">
        <v>160.80000000000001</v>
      </c>
      <c r="X222">
        <v>5</v>
      </c>
      <c r="Y222">
        <v>120</v>
      </c>
      <c r="Z222" s="3">
        <f t="shared" si="123"/>
        <v>7.4626865671641784E-2</v>
      </c>
      <c r="AA222">
        <v>75</v>
      </c>
      <c r="AB222">
        <f t="shared" si="119"/>
        <v>120</v>
      </c>
      <c r="AE222">
        <v>20</v>
      </c>
      <c r="AF222">
        <v>20</v>
      </c>
      <c r="AI222" s="10">
        <v>57</v>
      </c>
      <c r="AJ222" t="str">
        <f>CONCATENATE(VLOOKUP(AK222, 'Voxel Sizes'!$A$2:$B$18,2,FALSE),"x",INT(AG222*15), "x", INT(AH222*15))</f>
        <v>198x0x0</v>
      </c>
      <c r="AK222">
        <f t="shared" si="124"/>
        <v>12</v>
      </c>
      <c r="AM222" t="str">
        <f>CONCATENATE(VLOOKUP(AK222,Constants!$A$2:$C$16,IF(AL222&lt;&gt;"", 3, 2), FALSE),IF(AL222&lt;&gt;"",CONCATENATE(",",VLOOKUP(AL222,$B:$AM,38,FALSE)),""))</f>
        <v>4,4,4</v>
      </c>
      <c r="AQ222" t="s">
        <v>463</v>
      </c>
      <c r="AS222" t="s">
        <v>464</v>
      </c>
      <c r="AW222">
        <v>36</v>
      </c>
      <c r="AX222" s="15">
        <f t="shared" si="125"/>
        <v>43</v>
      </c>
      <c r="AY222">
        <v>-10</v>
      </c>
      <c r="AZ222">
        <v>-15</v>
      </c>
      <c r="BA222">
        <f t="shared" si="126"/>
        <v>15</v>
      </c>
      <c r="BB222">
        <f t="shared" si="127"/>
        <v>4.5</v>
      </c>
      <c r="BC222">
        <f t="shared" si="128"/>
        <v>6</v>
      </c>
      <c r="BD222" s="3">
        <f t="shared" si="129"/>
        <v>0.95066666666666666</v>
      </c>
      <c r="BE222">
        <f t="shared" si="130"/>
        <v>7.6</v>
      </c>
      <c r="BF222">
        <f>VLOOKUP($G222,Constants!$I:$K, 2, FALSE)</f>
        <v>0.85</v>
      </c>
      <c r="BG222">
        <f>VLOOKUP($G222,Constants!$I:$K, 3, FALSE)*IF(AND(F222="multiple_unit",AA222&lt;110),0.75,1)</f>
        <v>1.7249999999999999</v>
      </c>
      <c r="BH222">
        <f>INT(POWER(((Constants!$G$2+$BA222+$BB222+$BC222+$BE222)*$BD222)*$BG222, 1.05))+$AZ222</f>
        <v>61</v>
      </c>
      <c r="BI222">
        <f>INT(POWER((((Constants!$G$1+$BA222+$BB222+$BC222+$BE222)*($BD222))*$BF222),IF($F222="wagon",1,1.2)))+$AY222</f>
        <v>70</v>
      </c>
      <c r="BJ222" s="14">
        <f t="shared" si="131"/>
        <v>47656.25</v>
      </c>
      <c r="BK222" s="14">
        <f t="shared" si="132"/>
        <v>5687.5</v>
      </c>
      <c r="BR222">
        <v>8</v>
      </c>
      <c r="BS222">
        <v>185</v>
      </c>
      <c r="BU222" t="s">
        <v>282</v>
      </c>
      <c r="BV222" t="str">
        <f>VLOOKUP(I222,Eras!$A$2:$C$10, 2, TRUE)</f>
        <v>big4</v>
      </c>
      <c r="BW222" t="s">
        <v>332</v>
      </c>
      <c r="BX222" t="str">
        <f t="shared" si="133"/>
        <v>big4_EMU</v>
      </c>
      <c r="BY222" t="str">
        <f t="shared" si="134"/>
        <v>electric_THIRD_RAIL</v>
      </c>
      <c r="BZ222" s="17" t="str" cm="1">
        <f t="array" ref="BZ222">_xlfn.CONCAT("{BLACK}Length: {GOLD}", TEXT(ROUNDUP(IF(AP222&lt;&gt;"",SUM(VALUE(_xlfn.TEXTSPLIT(AP222, ","))), SUM(VALUE(_xlfn.TEXTSPLIT(AM222, ",")))*IF(L222, L222, 1))/16, 1), "#,##0.0"), " tiles{}")</f>
        <v>{BLACK}Length: {GOLD}3.0 tiles{}</v>
      </c>
      <c r="CA222" t="str">
        <f>VLOOKUP($BY222, Constants!$M:$N, 2, FALSE)</f>
        <v>{BLACK}Powered by: {GOLD}750V DC</v>
      </c>
      <c r="CB222" t="str">
        <f t="shared" si="135"/>
        <v>{BLACK}Cars: {GOLD}4</v>
      </c>
      <c r="CC222" t="s">
        <v>461</v>
      </c>
      <c r="CD222" t="str">
        <f t="shared" si="136"/>
        <v/>
      </c>
      <c r="CE222" t="str">
        <f t="shared" si="122"/>
        <v>{BLACK}Powered by: {GOLD}750V DC {BLACK}Cars: {GOLD}4{}{BLACK}Length: {GOLD}3.0 tiles{}{SILVER}The Southern Railway was an early pioneer of electrification, with 4-COR units used between London Waterloo and Portsmouth.</v>
      </c>
    </row>
    <row r="223" spans="1:83" x14ac:dyDescent="0.25">
      <c r="A223" t="s">
        <v>70</v>
      </c>
      <c r="B223" t="s">
        <v>232</v>
      </c>
      <c r="C223">
        <v>428</v>
      </c>
      <c r="D223">
        <v>127</v>
      </c>
      <c r="E223" t="s">
        <v>1508</v>
      </c>
      <c r="F223" t="s">
        <v>403</v>
      </c>
      <c r="G223" t="s">
        <v>295</v>
      </c>
      <c r="H223" t="s">
        <v>302</v>
      </c>
      <c r="I223">
        <v>1938</v>
      </c>
      <c r="J223">
        <v>1939</v>
      </c>
      <c r="K223">
        <v>1971</v>
      </c>
      <c r="L223">
        <v>2</v>
      </c>
      <c r="M223">
        <v>550</v>
      </c>
      <c r="V223">
        <v>77</v>
      </c>
      <c r="X223">
        <v>5</v>
      </c>
      <c r="Y223">
        <v>120</v>
      </c>
      <c r="Z223" s="3">
        <f t="shared" si="123"/>
        <v>0.15584415584415584</v>
      </c>
      <c r="AA223">
        <v>75</v>
      </c>
      <c r="AB223">
        <f t="shared" si="119"/>
        <v>120</v>
      </c>
      <c r="AE223">
        <v>20</v>
      </c>
      <c r="AF223">
        <v>20</v>
      </c>
      <c r="AI223" s="10">
        <f>(24+102)/2</f>
        <v>63</v>
      </c>
      <c r="AJ223" t="str">
        <f>CONCATENATE(VLOOKUP(AK223, 'Voxel Sizes'!$A$2:$B$18,2,FALSE),"x",INT(AG223*15), "x", INT(AH223*15))</f>
        <v>198x0x0</v>
      </c>
      <c r="AK223">
        <f t="shared" si="124"/>
        <v>12</v>
      </c>
      <c r="AM223" t="str">
        <f>CONCATENATE(VLOOKUP(AK223,Constants!$A$2:$C$16,IF(AL223&lt;&gt;"", 3, 2), FALSE),IF(AL223&lt;&gt;"",CONCATENATE(",",VLOOKUP(AL223,$B:$AM,38,FALSE)),""))</f>
        <v>4,4,4</v>
      </c>
      <c r="AQ223" t="s">
        <v>465</v>
      </c>
      <c r="AS223" t="s">
        <v>466</v>
      </c>
      <c r="AW223">
        <v>36</v>
      </c>
      <c r="AX223" s="15">
        <f t="shared" si="125"/>
        <v>41</v>
      </c>
      <c r="AY223">
        <v>-10</v>
      </c>
      <c r="AZ223">
        <v>-15</v>
      </c>
      <c r="BA223">
        <f t="shared" si="126"/>
        <v>15</v>
      </c>
      <c r="BB223">
        <f t="shared" si="127"/>
        <v>2.75</v>
      </c>
      <c r="BC223">
        <f t="shared" si="128"/>
        <v>6</v>
      </c>
      <c r="BD223" s="3">
        <f t="shared" si="129"/>
        <v>0.94933333333333336</v>
      </c>
      <c r="BE223">
        <f t="shared" si="130"/>
        <v>4.2</v>
      </c>
      <c r="BF223">
        <f>VLOOKUP($G223,Constants!$I:$K, 2, FALSE)</f>
        <v>0.85</v>
      </c>
      <c r="BG223">
        <f>VLOOKUP($G223,Constants!$I:$K, 3, FALSE)*IF(AND(F223="multiple_unit",AA223&lt;110),0.75,1)</f>
        <v>1.7249999999999999</v>
      </c>
      <c r="BH223">
        <f>INT(POWER(((Constants!$G$2+$BA223+$BB223+$BC223+$BE223)*$BD223)*$BG223, 1.05))+$AZ223</f>
        <v>50</v>
      </c>
      <c r="BI223">
        <f>INT(POWER((((Constants!$G$1+$BA223+$BB223+$BC223+$BE223)*($BD223))*$BF223),IF($F223="wagon",1,1.2)))+$AY223</f>
        <v>60</v>
      </c>
      <c r="BJ223" s="14">
        <f t="shared" si="131"/>
        <v>39062.5</v>
      </c>
      <c r="BK223" s="14">
        <f t="shared" si="132"/>
        <v>4875</v>
      </c>
      <c r="BR223">
        <v>9</v>
      </c>
      <c r="BS223">
        <v>185</v>
      </c>
      <c r="BU223" t="s">
        <v>282</v>
      </c>
      <c r="BV223" t="str">
        <f>VLOOKUP(I223,Eras!$A$2:$C$10, 2, TRUE)</f>
        <v>big4</v>
      </c>
      <c r="BW223" t="s">
        <v>332</v>
      </c>
      <c r="BX223" t="str">
        <f t="shared" si="133"/>
        <v>big4_EMU</v>
      </c>
      <c r="BY223" t="str">
        <f t="shared" si="134"/>
        <v>electric_THIRD_RAIL</v>
      </c>
      <c r="BZ223" s="17" t="str" cm="1">
        <f t="array" ref="BZ223">_xlfn.CONCAT("{BLACK}Length: {GOLD}", TEXT(ROUNDUP(IF(AP223&lt;&gt;"",SUM(VALUE(_xlfn.TEXTSPLIT(AP223, ","))), SUM(VALUE(_xlfn.TEXTSPLIT(AM223, ",")))*IF(L223, L223, 1))/16, 1), "#,##0.0"), " tiles{}")</f>
        <v>{BLACK}Length: {GOLD}1.5 tiles{}</v>
      </c>
      <c r="CA223" t="str">
        <f>VLOOKUP($BY223, Constants!$M:$N, 2, FALSE)</f>
        <v>{BLACK}Powered by: {GOLD}750V DC</v>
      </c>
      <c r="CB223" t="str">
        <f t="shared" si="135"/>
        <v>{BLACK}Cars: {GOLD}2</v>
      </c>
      <c r="CC223" t="s">
        <v>462</v>
      </c>
      <c r="CD223" t="str">
        <f t="shared" si="136"/>
        <v/>
      </c>
      <c r="CE223" t="str">
        <f t="shared" si="122"/>
        <v>{BLACK}Powered by: {GOLD}750V DC {BLACK}Cars: {GOLD}2{}{BLACK}Length: {GOLD}1.5 tiles{}{SILVER}The 2-HAL (named for 2 units, Half Lavatory) is designed for suburban commuter services.</v>
      </c>
    </row>
    <row r="224" spans="1:83" x14ac:dyDescent="0.25">
      <c r="A224" t="s">
        <v>85</v>
      </c>
      <c r="B224" t="s">
        <v>188</v>
      </c>
      <c r="C224">
        <v>430</v>
      </c>
      <c r="D224">
        <v>128</v>
      </c>
      <c r="E224" t="s">
        <v>1508</v>
      </c>
      <c r="F224" t="s">
        <v>403</v>
      </c>
      <c r="G224" t="s">
        <v>295</v>
      </c>
      <c r="H224" t="s">
        <v>296</v>
      </c>
      <c r="I224">
        <v>1954</v>
      </c>
      <c r="K224">
        <v>1984</v>
      </c>
      <c r="L224">
        <v>3</v>
      </c>
      <c r="M224">
        <v>740</v>
      </c>
      <c r="V224">
        <f>51.4+26.8+27.9</f>
        <v>106.1</v>
      </c>
      <c r="X224">
        <v>5</v>
      </c>
      <c r="Y224">
        <v>110</v>
      </c>
      <c r="Z224" s="3">
        <f t="shared" si="123"/>
        <v>0.10367577756833177</v>
      </c>
      <c r="AA224">
        <v>75</v>
      </c>
      <c r="AB224">
        <f t="shared" si="119"/>
        <v>120</v>
      </c>
      <c r="AE224">
        <v>18.100000000000001</v>
      </c>
      <c r="AF224">
        <v>18.100000000000001</v>
      </c>
      <c r="AG224">
        <v>2.82</v>
      </c>
      <c r="AH224">
        <v>3.87</v>
      </c>
      <c r="AI224" s="10">
        <v>57</v>
      </c>
      <c r="AJ224" t="str">
        <f>CONCATENATE(VLOOKUP(AK224, 'Voxel Sizes'!$A$2:$B$18,2,FALSE),"x",INT(AG224*15), "x", INT(AH224*15))</f>
        <v>186x42x58</v>
      </c>
      <c r="AK224">
        <f t="shared" si="124"/>
        <v>11</v>
      </c>
      <c r="AM224" t="str">
        <f>CONCATENATE(VLOOKUP(AK224,Constants!$A$2:$C$16,IF(AL224&lt;&gt;"", 3, 2), FALSE),IF(AL224&lt;&gt;"",CONCATENATE(",",VLOOKUP(AL224,$B:$AM,38,FALSE)),""))</f>
        <v>4,3,4</v>
      </c>
      <c r="AQ224" t="s">
        <v>612</v>
      </c>
      <c r="AS224" t="s">
        <v>291</v>
      </c>
      <c r="AW224">
        <v>35</v>
      </c>
      <c r="AX224" s="15">
        <f t="shared" si="125"/>
        <v>38</v>
      </c>
      <c r="AY224">
        <v>-10</v>
      </c>
      <c r="AZ224">
        <v>-15</v>
      </c>
      <c r="BA224">
        <f t="shared" si="126"/>
        <v>15</v>
      </c>
      <c r="BB224">
        <f t="shared" si="127"/>
        <v>3.7</v>
      </c>
      <c r="BC224">
        <f t="shared" si="128"/>
        <v>5.5</v>
      </c>
      <c r="BD224" s="3">
        <f t="shared" si="129"/>
        <v>0.92800000000000005</v>
      </c>
      <c r="BE224">
        <f t="shared" si="130"/>
        <v>5.7000000000000011</v>
      </c>
      <c r="BF224">
        <f>VLOOKUP($G224,Constants!$I:$K, 2, FALSE)</f>
        <v>0.85</v>
      </c>
      <c r="BG224">
        <f>VLOOKUP($G224,Constants!$I:$K, 3, FALSE)*IF(AND(F224="multiple_unit",AA224&lt;110),0.75,1)</f>
        <v>1.7249999999999999</v>
      </c>
      <c r="BH224">
        <f>INT(POWER(((Constants!$G$2+$BA224+$BB224+$BC224+$BE224)*$BD224)*$BG224, 1.05))+$AZ224</f>
        <v>53</v>
      </c>
      <c r="BI224">
        <f>INT(POWER((((Constants!$G$1+$BA224+$BB224+$BC224+$BE224)*($BD224))*$BF224),IF($F224="wagon",1,1.2)))+$AY224</f>
        <v>62</v>
      </c>
      <c r="BJ224" s="14">
        <f t="shared" si="131"/>
        <v>41406.25</v>
      </c>
      <c r="BK224" s="14">
        <f t="shared" si="132"/>
        <v>5037.5</v>
      </c>
      <c r="BR224">
        <v>10</v>
      </c>
      <c r="BS224">
        <v>185</v>
      </c>
      <c r="BU224" t="s">
        <v>282</v>
      </c>
      <c r="BV224" t="str">
        <f>VLOOKUP(I224,Eras!$A$2:$C$10, 2, TRUE)</f>
        <v>ebr</v>
      </c>
      <c r="BW224" t="s">
        <v>332</v>
      </c>
      <c r="BX224" t="str">
        <f t="shared" si="133"/>
        <v>ebr_EMU</v>
      </c>
      <c r="BY224" t="str">
        <f t="shared" si="134"/>
        <v>electric_ELRL</v>
      </c>
      <c r="BZ224" s="17" t="str" cm="1">
        <f t="array" ref="BZ224">_xlfn.CONCAT("{BLACK}Length: {GOLD}", TEXT(ROUNDUP(IF(AP224&lt;&gt;"",SUM(VALUE(_xlfn.TEXTSPLIT(AP224, ","))), SUM(VALUE(_xlfn.TEXTSPLIT(AM224, ",")))*IF(L224, L224, 1))/16, 1), "#,##0.0"), " tiles{}")</f>
        <v>{BLACK}Length: {GOLD}2.1 tiles{}</v>
      </c>
      <c r="CA224" t="str">
        <f>VLOOKUP($BY224, Constants!$M:$N, 2, FALSE)</f>
        <v>{BLACK}Powered by: {GOLD}25kV AC</v>
      </c>
      <c r="CB224" t="str">
        <f t="shared" si="135"/>
        <v>{BLACK}Cars: {GOLD}3</v>
      </c>
      <c r="CC224" t="s">
        <v>613</v>
      </c>
      <c r="CD224" t="str">
        <f t="shared" si="136"/>
        <v/>
      </c>
      <c r="CE224" t="str">
        <f t="shared" si="122"/>
        <v>{BLACK}Powered by: {GOLD}25kV AC {BLACK}Cars: {GOLD}3{}{BLACK}Length: {GOLD}2.1 tiles{}{SILVER}The Class 506 was built by Metro Cammell and BRCW for the Woodhead Line.</v>
      </c>
    </row>
    <row r="225" spans="1:83" x14ac:dyDescent="0.25">
      <c r="A225" t="s">
        <v>614</v>
      </c>
      <c r="B225" t="s">
        <v>616</v>
      </c>
      <c r="C225">
        <v>434</v>
      </c>
      <c r="D225">
        <v>129</v>
      </c>
      <c r="E225" t="s">
        <v>1508</v>
      </c>
      <c r="F225" t="s">
        <v>403</v>
      </c>
      <c r="G225" t="s">
        <v>295</v>
      </c>
      <c r="H225" t="s">
        <v>302</v>
      </c>
      <c r="I225">
        <v>1956</v>
      </c>
      <c r="K225">
        <v>1995</v>
      </c>
      <c r="L225">
        <v>2</v>
      </c>
      <c r="M225">
        <v>500</v>
      </c>
      <c r="V225">
        <f>40+32</f>
        <v>72</v>
      </c>
      <c r="X225">
        <v>5</v>
      </c>
      <c r="Y225">
        <v>95</v>
      </c>
      <c r="Z225" s="3">
        <f t="shared" si="123"/>
        <v>0.13194444444444445</v>
      </c>
      <c r="AA225">
        <v>90</v>
      </c>
      <c r="AB225">
        <f t="shared" si="119"/>
        <v>144</v>
      </c>
      <c r="AE225">
        <v>19.05</v>
      </c>
      <c r="AF225">
        <v>19.05</v>
      </c>
      <c r="AG225">
        <v>2.82</v>
      </c>
      <c r="AH225">
        <v>3.89</v>
      </c>
      <c r="AI225" s="10">
        <v>54</v>
      </c>
      <c r="AJ225" t="str">
        <f>CONCATENATE(VLOOKUP(AK225, 'Voxel Sizes'!$A$2:$B$18,2,FALSE),"x",INT(AG225*15), "x", INT(AH225*15))</f>
        <v>186x42x58</v>
      </c>
      <c r="AK225">
        <f t="shared" si="124"/>
        <v>11</v>
      </c>
      <c r="AM225" t="str">
        <f>CONCATENATE(VLOOKUP(AK225,Constants!$A$2:$C$16,IF(AL225&lt;&gt;"", 3, 2), FALSE),IF(AL225&lt;&gt;"",CONCATENATE(",",VLOOKUP(AL225,$B:$AM,38,FALSE)),""))</f>
        <v>4,3,4</v>
      </c>
      <c r="AQ225" t="s">
        <v>617</v>
      </c>
      <c r="AS225" t="s">
        <v>466</v>
      </c>
      <c r="AW225">
        <v>33</v>
      </c>
      <c r="AX225" s="15">
        <f t="shared" si="125"/>
        <v>47</v>
      </c>
      <c r="AY225">
        <v>-10</v>
      </c>
      <c r="AZ225">
        <v>-15</v>
      </c>
      <c r="BA225">
        <f t="shared" si="126"/>
        <v>18</v>
      </c>
      <c r="BB225">
        <f t="shared" si="127"/>
        <v>2.5</v>
      </c>
      <c r="BC225">
        <f t="shared" si="128"/>
        <v>4.75</v>
      </c>
      <c r="BD225" s="3">
        <f t="shared" si="129"/>
        <v>0.92533333333333334</v>
      </c>
      <c r="BE225">
        <f t="shared" si="130"/>
        <v>3.5999999999999996</v>
      </c>
      <c r="BF225">
        <f>VLOOKUP($G225,Constants!$I:$K, 2, FALSE)</f>
        <v>0.85</v>
      </c>
      <c r="BG225">
        <f>VLOOKUP($G225,Constants!$I:$K, 3, FALSE)*IF(AND(F225="multiple_unit",AA225&lt;110),0.75,1)</f>
        <v>1.7249999999999999</v>
      </c>
      <c r="BH225">
        <f>INT(POWER(((Constants!$G$2+$BA225+$BB225+$BC225+$BE225)*$BD225)*$BG225, 1.05))+$AZ225</f>
        <v>50</v>
      </c>
      <c r="BI225">
        <f>INT(POWER((((Constants!$G$1+$BA225+$BB225+$BC225+$BE225)*($BD225))*$BF225),IF($F225="wagon",1,1.2)))+$AY225</f>
        <v>60</v>
      </c>
      <c r="BJ225" s="14">
        <f t="shared" si="131"/>
        <v>39062.5</v>
      </c>
      <c r="BK225" s="14">
        <f t="shared" si="132"/>
        <v>4875</v>
      </c>
      <c r="BO225" t="s">
        <v>252</v>
      </c>
      <c r="BR225">
        <v>12</v>
      </c>
      <c r="BS225">
        <v>185</v>
      </c>
      <c r="BU225" t="s">
        <v>282</v>
      </c>
      <c r="BV225" t="str">
        <f>VLOOKUP(I225,Eras!$A$2:$C$10, 2, TRUE)</f>
        <v>dsl</v>
      </c>
      <c r="BW225" t="s">
        <v>333</v>
      </c>
      <c r="BX225" t="str">
        <f t="shared" si="133"/>
        <v>dsl_EMU (Express)</v>
      </c>
      <c r="BY225" t="str">
        <f t="shared" si="134"/>
        <v>electric_THIRD_RAIL</v>
      </c>
      <c r="BZ225" s="17" t="str" cm="1">
        <f t="array" ref="BZ225">_xlfn.CONCAT("{BLACK}Length: {GOLD}", TEXT(ROUNDUP(IF(AP225&lt;&gt;"",SUM(VALUE(_xlfn.TEXTSPLIT(AP225, ","))), SUM(VALUE(_xlfn.TEXTSPLIT(AM225, ",")))*IF(L225, L225, 1))/16, 1), "#,##0.0"), " tiles{}")</f>
        <v>{BLACK}Length: {GOLD}1.4 tiles{}</v>
      </c>
      <c r="CA225" t="str">
        <f>VLOOKUP($BY225, Constants!$M:$N, 2, FALSE)</f>
        <v>{BLACK}Powered by: {GOLD}750V DC</v>
      </c>
      <c r="CB225" t="str">
        <f t="shared" si="135"/>
        <v>{BLACK}Cars: {GOLD}2</v>
      </c>
      <c r="CC225" t="s">
        <v>618</v>
      </c>
      <c r="CD225" t="str">
        <f t="shared" si="136"/>
        <v/>
      </c>
      <c r="CE225" t="str">
        <f t="shared" si="122"/>
        <v>{BLACK}Powered by: {GOLD}750V DC {BLACK}Cars: {GOLD}2{}{BLACK}Length: {GOLD}1.4 tiles{}{SILVER}The Class 414 2 HAP (Half Lavatory, electro-Pneumatic brake) is a Southern Region electric multiple unit, geared for express duties.</v>
      </c>
    </row>
    <row r="226" spans="1:83" x14ac:dyDescent="0.25">
      <c r="A226" t="s">
        <v>126</v>
      </c>
      <c r="B226" t="s">
        <v>236</v>
      </c>
      <c r="C226">
        <v>438</v>
      </c>
      <c r="D226">
        <v>130</v>
      </c>
      <c r="E226" t="s">
        <v>1508</v>
      </c>
      <c r="F226" t="s">
        <v>403</v>
      </c>
      <c r="G226" t="s">
        <v>272</v>
      </c>
      <c r="H226" t="s">
        <v>274</v>
      </c>
      <c r="I226">
        <v>1960</v>
      </c>
      <c r="K226">
        <v>1973</v>
      </c>
      <c r="L226">
        <v>6</v>
      </c>
      <c r="M226">
        <v>1000</v>
      </c>
      <c r="V226">
        <v>304</v>
      </c>
      <c r="X226">
        <v>3</v>
      </c>
      <c r="Y226">
        <v>155</v>
      </c>
      <c r="Z226" s="3">
        <f t="shared" si="123"/>
        <v>5.0986842105263157E-2</v>
      </c>
      <c r="AA226">
        <v>90</v>
      </c>
      <c r="AB226">
        <f t="shared" ref="AB226:AB285" si="137">ROUND(AA226*1.6, 0)</f>
        <v>144</v>
      </c>
      <c r="AE226">
        <v>20.260000000000002</v>
      </c>
      <c r="AF226">
        <v>20</v>
      </c>
      <c r="AG226">
        <v>2.9</v>
      </c>
      <c r="AH226">
        <v>3.77</v>
      </c>
      <c r="AI226" s="10">
        <v>36</v>
      </c>
      <c r="AJ226" t="str">
        <f>CONCATENATE(VLOOKUP(AK226, 'Voxel Sizes'!$A$2:$B$18,2,FALSE),"x",INT(AG226*15), "x", INT(AH226*15))</f>
        <v>198x43x56</v>
      </c>
      <c r="AK226">
        <f t="shared" si="124"/>
        <v>12</v>
      </c>
      <c r="AM226" t="str">
        <f>CONCATENATE(VLOOKUP(AK226,Constants!$A$2:$C$16,IF(AL226&lt;&gt;"", 3, 2), FALSE),IF(AL226&lt;&gt;"",CONCATENATE(",",VLOOKUP(AL226,$B:$AM,38,FALSE)),""))</f>
        <v>4,4,4</v>
      </c>
      <c r="AQ226" t="s">
        <v>525</v>
      </c>
      <c r="AS226" t="s">
        <v>526</v>
      </c>
      <c r="AW226">
        <v>22</v>
      </c>
      <c r="AX226" s="15">
        <f t="shared" si="125"/>
        <v>21</v>
      </c>
      <c r="AY226">
        <v>-10</v>
      </c>
      <c r="AZ226">
        <v>-15</v>
      </c>
      <c r="BA226">
        <f t="shared" si="126"/>
        <v>18</v>
      </c>
      <c r="BB226">
        <f t="shared" si="127"/>
        <v>5</v>
      </c>
      <c r="BC226">
        <f t="shared" si="128"/>
        <v>7.75</v>
      </c>
      <c r="BD226" s="3">
        <f t="shared" si="129"/>
        <v>0.92</v>
      </c>
      <c r="BE226">
        <f t="shared" si="130"/>
        <v>7.1999999999999993</v>
      </c>
      <c r="BF226">
        <f>VLOOKUP($G226,Constants!$I:$K, 2, FALSE)</f>
        <v>1</v>
      </c>
      <c r="BG226">
        <f>VLOOKUP($G226,Constants!$I:$K, 3, FALSE)*IF(AND(F226="multiple_unit",AA226&lt;110),0.75,1)</f>
        <v>1.5</v>
      </c>
      <c r="BH226">
        <f>INT(POWER(((Constants!$G$2+$BA226+$BB226+$BC226+$BE226)*$BD226)*$BG226, 1.05))+$AZ226</f>
        <v>57</v>
      </c>
      <c r="BI226">
        <f>INT(POWER((((Constants!$G$1+$BA226+$BB226+$BC226+$BE226)*($BD226))*$BF226),IF($F226="wagon",1,1.2)))+$AY226</f>
        <v>95</v>
      </c>
      <c r="BJ226" s="14">
        <f t="shared" si="131"/>
        <v>44531.25</v>
      </c>
      <c r="BK226" s="14">
        <f t="shared" si="132"/>
        <v>7718.75</v>
      </c>
      <c r="BQ226" t="s">
        <v>1145</v>
      </c>
      <c r="BR226">
        <v>2</v>
      </c>
      <c r="BS226">
        <v>222</v>
      </c>
      <c r="BU226" t="s">
        <v>282</v>
      </c>
      <c r="BV226" t="str">
        <f>VLOOKUP(I226,Eras!$A$2:$C$10, 2, TRUE)</f>
        <v>dsl</v>
      </c>
      <c r="BW226" t="s">
        <v>331</v>
      </c>
      <c r="BX226" t="str">
        <f t="shared" si="133"/>
        <v>dsl_DMU (Express)</v>
      </c>
      <c r="BY226" t="str">
        <f t="shared" si="134"/>
        <v>diesel_RAIL</v>
      </c>
      <c r="BZ226" s="17" t="str" cm="1">
        <f t="array" ref="BZ226">_xlfn.CONCAT("{BLACK}Length: {GOLD}", TEXT(ROUNDUP(IF(AP226&lt;&gt;"",SUM(VALUE(_xlfn.TEXTSPLIT(AP226, ","))), SUM(VALUE(_xlfn.TEXTSPLIT(AM226, ",")))*IF(L226, L226, 1))/16, 1), "#,##0.0"), " tiles{}")</f>
        <v>{BLACK}Length: {GOLD}4.5 tiles{}</v>
      </c>
      <c r="CA226" t="str">
        <f>VLOOKUP($BY226, Constants!$M:$N, 2, FALSE)</f>
        <v>{BLACK}Powered by: {GOLD}Diesel</v>
      </c>
      <c r="CB226" t="str">
        <f t="shared" si="135"/>
        <v>{BLACK}Cars: {GOLD}6</v>
      </c>
      <c r="CC226" t="s">
        <v>527</v>
      </c>
      <c r="CD226" t="str">
        <f t="shared" si="136"/>
        <v>{YELLOW}20% Bonus for long distance travel{}</v>
      </c>
      <c r="CE226" t="str">
        <f t="shared" si="122"/>
        <v>{BLACK}Powered by: {GOLD}Diesel {BLACK}Cars: {GOLD}6{}{BLACK}Length: {GOLD}4.5 tiles{}{YELLOW}20% Bonus for long distance travel{}{SILVER}The Blue Pullman is an express diesel multiple unit, designed to tempt motorists from their cars with a luxurious inter-city service.</v>
      </c>
    </row>
    <row r="227" spans="1:83" x14ac:dyDescent="0.25">
      <c r="A227" t="s">
        <v>126</v>
      </c>
      <c r="B227" t="s">
        <v>1131</v>
      </c>
      <c r="C227">
        <v>439</v>
      </c>
      <c r="D227">
        <v>131</v>
      </c>
      <c r="E227" t="s">
        <v>1508</v>
      </c>
      <c r="F227" t="s">
        <v>403</v>
      </c>
      <c r="G227" t="s">
        <v>272</v>
      </c>
      <c r="H227" t="s">
        <v>274</v>
      </c>
      <c r="I227">
        <v>1960</v>
      </c>
      <c r="K227">
        <v>1973</v>
      </c>
      <c r="L227">
        <v>5</v>
      </c>
      <c r="M227">
        <v>1000</v>
      </c>
      <c r="V227">
        <f>304/6*5</f>
        <v>253.33333333333331</v>
      </c>
      <c r="X227">
        <v>3</v>
      </c>
      <c r="Y227">
        <v>155</v>
      </c>
      <c r="Z227" s="3">
        <f t="shared" si="123"/>
        <v>6.1184210526315799E-2</v>
      </c>
      <c r="AA227">
        <v>90</v>
      </c>
      <c r="AB227">
        <f t="shared" si="137"/>
        <v>144</v>
      </c>
      <c r="AE227">
        <v>20.260000000000002</v>
      </c>
      <c r="AF227">
        <v>20</v>
      </c>
      <c r="AG227">
        <v>2.9</v>
      </c>
      <c r="AH227">
        <v>3.77</v>
      </c>
      <c r="AI227" s="10">
        <v>36</v>
      </c>
      <c r="AJ227" t="str">
        <f>CONCATENATE(VLOOKUP(AK227, 'Voxel Sizes'!$A$2:$B$18,2,FALSE),"x",INT(AG227*15), "x", INT(AH227*15))</f>
        <v>198x43x56</v>
      </c>
      <c r="AK227">
        <f t="shared" si="124"/>
        <v>12</v>
      </c>
      <c r="AM227" t="str">
        <f>CONCATENATE(VLOOKUP(AK227,Constants!$A$2:$C$16,IF(AL227&lt;&gt;"", 3, 2), FALSE),IF(AL227&lt;&gt;"",CONCATENATE(",",VLOOKUP(AL227,$B:$AM,38,FALSE)),""))</f>
        <v>4,4,4</v>
      </c>
      <c r="AQ227" t="s">
        <v>1132</v>
      </c>
      <c r="AS227" t="s">
        <v>663</v>
      </c>
      <c r="AT227" t="s">
        <v>236</v>
      </c>
      <c r="AW227">
        <v>22</v>
      </c>
      <c r="AX227" s="15">
        <f t="shared" si="125"/>
        <v>21</v>
      </c>
      <c r="AY227">
        <v>-10</v>
      </c>
      <c r="AZ227">
        <v>-15</v>
      </c>
      <c r="BA227">
        <f t="shared" si="126"/>
        <v>18</v>
      </c>
      <c r="BB227">
        <f t="shared" si="127"/>
        <v>5</v>
      </c>
      <c r="BC227">
        <f t="shared" si="128"/>
        <v>7.75</v>
      </c>
      <c r="BD227" s="3">
        <f t="shared" si="129"/>
        <v>0.92</v>
      </c>
      <c r="BE227">
        <f t="shared" si="130"/>
        <v>6</v>
      </c>
      <c r="BF227">
        <f>VLOOKUP($G227,Constants!$I:$K, 2, FALSE)</f>
        <v>1</v>
      </c>
      <c r="BG227">
        <f>VLOOKUP($G227,Constants!$I:$K, 3, FALSE)*IF(AND(F227="multiple_unit",AA227&lt;110),0.75,1)</f>
        <v>1.5</v>
      </c>
      <c r="BH227">
        <f>INT(POWER(((Constants!$G$2+$BA227+$BB227+$BC227+$BE227)*$BD227)*$BG227, 1.05))+$AZ227</f>
        <v>55</v>
      </c>
      <c r="BI227">
        <f>INT(POWER((((Constants!$G$1+$BA227+$BB227+$BC227+$BE227)*($BD227))*$BF227),IF($F227="wagon",1,1.2)))+$AY227</f>
        <v>93</v>
      </c>
      <c r="BJ227" s="14">
        <f t="shared" si="131"/>
        <v>42968.75</v>
      </c>
      <c r="BK227" s="14">
        <f t="shared" si="132"/>
        <v>7556.25</v>
      </c>
      <c r="BQ227" t="s">
        <v>1147</v>
      </c>
      <c r="BR227">
        <v>2</v>
      </c>
      <c r="BS227">
        <v>222</v>
      </c>
      <c r="BU227" t="s">
        <v>282</v>
      </c>
      <c r="BV227" t="str">
        <f>VLOOKUP(I227,Eras!$A$2:$C$10, 2, TRUE)</f>
        <v>dsl</v>
      </c>
      <c r="BW227" t="s">
        <v>331</v>
      </c>
      <c r="BX227" t="str">
        <f t="shared" si="133"/>
        <v>dsl_DMU (Express)</v>
      </c>
      <c r="BY227" t="str">
        <f t="shared" si="134"/>
        <v>diesel_RAIL</v>
      </c>
      <c r="BZ227" s="17" t="str" cm="1">
        <f t="array" ref="BZ227">_xlfn.CONCAT("{BLACK}Length: {GOLD}", TEXT(ROUNDUP(IF(AP227&lt;&gt;"",SUM(VALUE(_xlfn.TEXTSPLIT(AP227, ","))), SUM(VALUE(_xlfn.TEXTSPLIT(AM227, ",")))*IF(L227, L227, 1))/16, 1), "#,##0.0"), " tiles{}")</f>
        <v>{BLACK}Length: {GOLD}3.8 tiles{}</v>
      </c>
      <c r="CA227" t="str">
        <f>VLOOKUP($BY227, Constants!$M:$N, 2, FALSE)</f>
        <v>{BLACK}Powered by: {GOLD}Diesel</v>
      </c>
      <c r="CB227" t="str">
        <f t="shared" si="135"/>
        <v>{BLACK}Cars: {GOLD}5</v>
      </c>
      <c r="CC227" t="s">
        <v>527</v>
      </c>
      <c r="CD227" t="str">
        <f t="shared" si="136"/>
        <v>{YELLOW}20% Bonus for long distance travel{}</v>
      </c>
      <c r="CE227" t="str">
        <f t="shared" si="122"/>
        <v>{BLACK}Powered by: {GOLD}Diesel {BLACK}Cars: {GOLD}5{}{BLACK}Length: {GOLD}3.8 tiles{}{YELLOW}20% Bonus for long distance travel{}{SILVER}The Blue Pullman is an express diesel multiple unit, designed to tempt motorists from their cars with a luxurious inter-city service.</v>
      </c>
    </row>
    <row r="228" spans="1:83" x14ac:dyDescent="0.25">
      <c r="A228" t="s">
        <v>72</v>
      </c>
      <c r="B228" t="s">
        <v>217</v>
      </c>
      <c r="C228">
        <v>440</v>
      </c>
      <c r="D228">
        <v>132</v>
      </c>
      <c r="E228" t="s">
        <v>1508</v>
      </c>
      <c r="F228" t="s">
        <v>403</v>
      </c>
      <c r="G228" t="s">
        <v>272</v>
      </c>
      <c r="H228" t="s">
        <v>274</v>
      </c>
      <c r="I228">
        <v>1960</v>
      </c>
      <c r="K228">
        <v>2017</v>
      </c>
      <c r="L228">
        <v>1</v>
      </c>
      <c r="M228">
        <v>300</v>
      </c>
      <c r="V228">
        <v>38</v>
      </c>
      <c r="X228">
        <v>5</v>
      </c>
      <c r="Y228">
        <v>65</v>
      </c>
      <c r="Z228" s="3">
        <f t="shared" si="123"/>
        <v>0.17105263157894737</v>
      </c>
      <c r="AA228">
        <v>70</v>
      </c>
      <c r="AB228">
        <f t="shared" si="137"/>
        <v>112</v>
      </c>
      <c r="AD228">
        <v>1</v>
      </c>
      <c r="AE228">
        <v>19.66</v>
      </c>
      <c r="AF228">
        <v>19.66</v>
      </c>
      <c r="AH228">
        <v>3.77</v>
      </c>
      <c r="AI228" s="10">
        <v>66</v>
      </c>
      <c r="AJ228" t="str">
        <f>CONCATENATE(VLOOKUP(AK228, 'Voxel Sizes'!$A$2:$B$18,2,FALSE),"x",INT(AG228*15), "x", INT(AH228*15))</f>
        <v>198x0x56</v>
      </c>
      <c r="AK228">
        <f t="shared" si="124"/>
        <v>12</v>
      </c>
      <c r="AM228" t="str">
        <f>CONCATENATE(VLOOKUP(AK228,Constants!$A$2:$C$16,IF(AL228&lt;&gt;"", 3, 2), FALSE),IF(AL228&lt;&gt;"",CONCATENATE(",",VLOOKUP(AL228,$B:$AM,38,FALSE)),""))</f>
        <v>4,4,4</v>
      </c>
      <c r="AQ228" t="s">
        <v>217</v>
      </c>
      <c r="AS228">
        <v>1</v>
      </c>
      <c r="AW228">
        <v>50</v>
      </c>
      <c r="AX228" s="15">
        <f t="shared" si="125"/>
        <v>65</v>
      </c>
      <c r="AY228">
        <v>-10</v>
      </c>
      <c r="AZ228">
        <v>-15</v>
      </c>
      <c r="BA228">
        <f t="shared" si="126"/>
        <v>14</v>
      </c>
      <c r="BB228">
        <f t="shared" si="127"/>
        <v>1.5</v>
      </c>
      <c r="BC228">
        <f t="shared" si="128"/>
        <v>3.25</v>
      </c>
      <c r="BD228" s="3">
        <f t="shared" si="129"/>
        <v>0.92</v>
      </c>
      <c r="BE228">
        <f t="shared" si="130"/>
        <v>2.2000000000000002</v>
      </c>
      <c r="BF228">
        <f>VLOOKUP($G228,Constants!$I:$K, 2, FALSE)</f>
        <v>1</v>
      </c>
      <c r="BG228">
        <f>VLOOKUP($G228,Constants!$I:$K, 3, FALSE)*IF(AND(F228="multiple_unit",AA228&lt;110),0.75,1)</f>
        <v>1.5</v>
      </c>
      <c r="BH228">
        <f>INT(POWER(((Constants!$G$2+$BA228+$BB228+$BC228+$BE228)*$BD228)*$BG228, 1.05))+$AZ228</f>
        <v>27</v>
      </c>
      <c r="BI228">
        <f>INT(POWER((((Constants!$G$1+$BA228+$BB228+$BC228+$BE228)*($BD228))*$BF228),IF($F228="wagon",1,1.2)))+$AY228</f>
        <v>56</v>
      </c>
      <c r="BJ228" s="14">
        <f t="shared" si="131"/>
        <v>21093.75</v>
      </c>
      <c r="BK228" s="14">
        <f t="shared" si="132"/>
        <v>4550</v>
      </c>
      <c r="BR228">
        <v>4</v>
      </c>
      <c r="BS228">
        <v>185</v>
      </c>
      <c r="BU228" t="s">
        <v>282</v>
      </c>
      <c r="BV228" t="str">
        <f>VLOOKUP(I228,Eras!$A$2:$C$10, 2, TRUE)</f>
        <v>dsl</v>
      </c>
      <c r="BW228" t="s">
        <v>330</v>
      </c>
      <c r="BX228" t="str">
        <f t="shared" si="133"/>
        <v>dsl_DMU</v>
      </c>
      <c r="BY228" t="str">
        <f t="shared" si="134"/>
        <v>diesel_RAIL</v>
      </c>
      <c r="BZ228" s="17" t="str" cm="1">
        <f t="array" ref="BZ228">_xlfn.CONCAT("{BLACK}Length: {GOLD}", TEXT(ROUNDUP(IF(AP228&lt;&gt;"",SUM(VALUE(_xlfn.TEXTSPLIT(AP228, ","))), SUM(VALUE(_xlfn.TEXTSPLIT(AM228, ",")))*IF(L228, L228, 1))/16, 1), "#,##0.0"), " tiles{}")</f>
        <v>{BLACK}Length: {GOLD}0.8 tiles{}</v>
      </c>
      <c r="CA228" t="str">
        <f>VLOOKUP($BY228, Constants!$M:$N, 2, FALSE)</f>
        <v>{BLACK}Powered by: {GOLD}Diesel</v>
      </c>
      <c r="CB228" t="str">
        <f t="shared" si="135"/>
        <v/>
      </c>
      <c r="CC228" t="s">
        <v>528</v>
      </c>
      <c r="CD228" t="str">
        <f t="shared" si="136"/>
        <v/>
      </c>
      <c r="CE228" t="str">
        <f t="shared" si="122"/>
        <v>{BLACK}Powered by: {GOLD}Diesel {}{BLACK}Length: {GOLD}0.8 tiles{}{SILVER}The "Bubble Car" units saw a long life on branch lines and rural railways. Two six-cylinder AEC or Leyland engines of 150hp each drive the wheels through a mechanical transmission.</v>
      </c>
    </row>
    <row r="229" spans="1:83" x14ac:dyDescent="0.25">
      <c r="A229" t="s">
        <v>615</v>
      </c>
      <c r="B229" t="s">
        <v>252</v>
      </c>
      <c r="C229">
        <v>442</v>
      </c>
      <c r="D229">
        <v>133</v>
      </c>
      <c r="E229" t="s">
        <v>1508</v>
      </c>
      <c r="F229" t="s">
        <v>403</v>
      </c>
      <c r="G229" t="s">
        <v>295</v>
      </c>
      <c r="H229" t="s">
        <v>302</v>
      </c>
      <c r="I229">
        <v>1964</v>
      </c>
      <c r="J229">
        <v>1972</v>
      </c>
      <c r="K229">
        <v>2005</v>
      </c>
      <c r="L229">
        <v>4</v>
      </c>
      <c r="M229">
        <v>1000</v>
      </c>
      <c r="V229">
        <v>152</v>
      </c>
      <c r="X229">
        <v>5</v>
      </c>
      <c r="Y229">
        <v>125</v>
      </c>
      <c r="Z229" s="3">
        <f t="shared" si="123"/>
        <v>8.2236842105263164E-2</v>
      </c>
      <c r="AA229">
        <v>90</v>
      </c>
      <c r="AB229">
        <f t="shared" si="137"/>
        <v>144</v>
      </c>
      <c r="AE229">
        <f>80.98/4</f>
        <v>20.245000000000001</v>
      </c>
      <c r="AF229">
        <v>20.239999999999998</v>
      </c>
      <c r="AG229">
        <v>2.82</v>
      </c>
      <c r="AH229">
        <v>3.89</v>
      </c>
      <c r="AI229" s="10">
        <v>54</v>
      </c>
      <c r="AJ229" t="str">
        <f>CONCATENATE(VLOOKUP(AK229, 'Voxel Sizes'!$A$2:$B$18,2,FALSE),"x",INT(AG229*15), "x", INT(AH229*15))</f>
        <v>198x42x58</v>
      </c>
      <c r="AK229">
        <f t="shared" si="124"/>
        <v>12</v>
      </c>
      <c r="AM229" t="str">
        <f>CONCATENATE(VLOOKUP(AK229,Constants!$A$2:$C$16,IF(AL229&lt;&gt;"", 3, 2), FALSE),IF(AL229&lt;&gt;"",CONCATENATE(",",VLOOKUP(AL229,$B:$AM,38,FALSE)),""))</f>
        <v>4,4,4</v>
      </c>
      <c r="AQ229" t="s">
        <v>625</v>
      </c>
      <c r="AS229" t="s">
        <v>623</v>
      </c>
      <c r="AW229">
        <v>40</v>
      </c>
      <c r="AX229" s="15">
        <f t="shared" si="125"/>
        <v>49</v>
      </c>
      <c r="AY229">
        <v>-10</v>
      </c>
      <c r="AZ229">
        <v>-20</v>
      </c>
      <c r="BA229">
        <f t="shared" si="126"/>
        <v>18</v>
      </c>
      <c r="BB229">
        <f t="shared" si="127"/>
        <v>5</v>
      </c>
      <c r="BC229">
        <f t="shared" si="128"/>
        <v>6.25</v>
      </c>
      <c r="BD229" s="3">
        <f t="shared" si="129"/>
        <v>0.91466666666666663</v>
      </c>
      <c r="BE229">
        <f t="shared" si="130"/>
        <v>7.1999999999999993</v>
      </c>
      <c r="BF229">
        <f>VLOOKUP($G229,Constants!$I:$K, 2, FALSE)</f>
        <v>0.85</v>
      </c>
      <c r="BG229">
        <f>VLOOKUP($G229,Constants!$I:$K, 3, FALSE)*IF(AND(F229="multiple_unit",AA229&lt;110),0.75,1)</f>
        <v>1.7249999999999999</v>
      </c>
      <c r="BH229">
        <f>INT(POWER(((Constants!$G$2+$BA229+$BB229+$BC229+$BE229)*$BD229)*$BG229, 1.05))+$AZ229</f>
        <v>60</v>
      </c>
      <c r="BI229">
        <f>INT(POWER((((Constants!$G$1+$BA229+$BB229+$BC229+$BE229)*($BD229))*$BF229),IF($F229="wagon",1,1.2)))+$AY229</f>
        <v>73</v>
      </c>
      <c r="BJ229" s="14">
        <f t="shared" si="131"/>
        <v>46875</v>
      </c>
      <c r="BK229" s="14">
        <f t="shared" si="132"/>
        <v>5931.25</v>
      </c>
      <c r="BO229" t="s">
        <v>616</v>
      </c>
      <c r="BR229">
        <v>5</v>
      </c>
      <c r="BS229">
        <v>185</v>
      </c>
      <c r="BU229" t="s">
        <v>282</v>
      </c>
      <c r="BV229" t="str">
        <f>VLOOKUP(I229,Eras!$A$2:$C$10, 2, TRUE)</f>
        <v>dsl</v>
      </c>
      <c r="BW229" t="s">
        <v>333</v>
      </c>
      <c r="BX229" t="str">
        <f t="shared" si="133"/>
        <v>dsl_EMU (Express)</v>
      </c>
      <c r="BY229" t="str">
        <f t="shared" si="134"/>
        <v>electric_THIRD_RAIL</v>
      </c>
      <c r="BZ229" s="17" t="str" cm="1">
        <f t="array" ref="BZ229">_xlfn.CONCAT("{BLACK}Length: {GOLD}", TEXT(ROUNDUP(IF(AP229&lt;&gt;"",SUM(VALUE(_xlfn.TEXTSPLIT(AP229, ","))), SUM(VALUE(_xlfn.TEXTSPLIT(AM229, ",")))*IF(L229, L229, 1))/16, 1), "#,##0.0"), " tiles{}")</f>
        <v>{BLACK}Length: {GOLD}3.0 tiles{}</v>
      </c>
      <c r="CA229" t="str">
        <f>VLOOKUP($BY229, Constants!$M:$N, 2, FALSE)</f>
        <v>{BLACK}Powered by: {GOLD}750V DC</v>
      </c>
      <c r="CB229" t="str">
        <f t="shared" si="135"/>
        <v>{BLACK}Cars: {GOLD}4</v>
      </c>
      <c r="CC229" t="s">
        <v>622</v>
      </c>
      <c r="CD229" t="str">
        <f t="shared" si="136"/>
        <v/>
      </c>
      <c r="CE229" t="str">
        <f t="shared" si="122"/>
        <v>{BLACK}Powered by: {GOLD}750V DC {BLACK}Cars: {GOLD}4{}{BLACK}Length: {GOLD}3.0 tiles{}{SILVER}The Class 421 4 CIG (Corridor, brIGhton) was a third rail EMU with express gearing, used in the Southern Region. It was based on the Mk1 carriage design.</v>
      </c>
    </row>
    <row r="230" spans="1:83" x14ac:dyDescent="0.25">
      <c r="A230" t="s">
        <v>86</v>
      </c>
      <c r="B230" t="s">
        <v>619</v>
      </c>
      <c r="C230">
        <v>444</v>
      </c>
      <c r="D230">
        <v>134</v>
      </c>
      <c r="E230" t="s">
        <v>1508</v>
      </c>
      <c r="F230" t="s">
        <v>403</v>
      </c>
      <c r="G230" t="s">
        <v>295</v>
      </c>
      <c r="H230" t="s">
        <v>296</v>
      </c>
      <c r="I230">
        <v>1965</v>
      </c>
      <c r="K230">
        <v>2002</v>
      </c>
      <c r="L230">
        <v>4</v>
      </c>
      <c r="M230">
        <v>1080</v>
      </c>
      <c r="V230">
        <v>158</v>
      </c>
      <c r="X230">
        <v>5</v>
      </c>
      <c r="Y230">
        <v>130</v>
      </c>
      <c r="Z230" s="3">
        <f t="shared" si="123"/>
        <v>8.2278481012658222E-2</v>
      </c>
      <c r="AA230">
        <v>75</v>
      </c>
      <c r="AB230">
        <f t="shared" si="137"/>
        <v>120</v>
      </c>
      <c r="AE230">
        <v>19.850000000000001</v>
      </c>
      <c r="AF230">
        <v>19.850000000000001</v>
      </c>
      <c r="AG230">
        <v>2.82</v>
      </c>
      <c r="AH230">
        <v>3.97</v>
      </c>
      <c r="AI230" s="10">
        <v>57</v>
      </c>
      <c r="AJ230" t="str">
        <f>CONCATENATE(VLOOKUP(AK230, 'Voxel Sizes'!$A$2:$B$18,2,FALSE),"x",INT(AG230*15), "x", INT(AH230*15))</f>
        <v>198x42x59</v>
      </c>
      <c r="AK230">
        <f t="shared" si="124"/>
        <v>12</v>
      </c>
      <c r="AM230" t="str">
        <f>CONCATENATE(VLOOKUP(AK230,Constants!$A$2:$C$16,IF(AL230&lt;&gt;"", 3, 2), FALSE),IF(AL230&lt;&gt;"",CONCATENATE(",",VLOOKUP(AL230,$B:$AM,38,FALSE)),""))</f>
        <v>4,4,4</v>
      </c>
      <c r="AQ230" t="s">
        <v>620</v>
      </c>
      <c r="AS230" t="s">
        <v>554</v>
      </c>
      <c r="AW230">
        <v>32</v>
      </c>
      <c r="AX230" s="15">
        <f t="shared" si="125"/>
        <v>45</v>
      </c>
      <c r="AY230">
        <v>-10</v>
      </c>
      <c r="AZ230">
        <v>-20</v>
      </c>
      <c r="BA230">
        <f t="shared" si="126"/>
        <v>15</v>
      </c>
      <c r="BB230">
        <f t="shared" si="127"/>
        <v>5.4</v>
      </c>
      <c r="BC230">
        <f t="shared" si="128"/>
        <v>6.5</v>
      </c>
      <c r="BD230" s="3">
        <f t="shared" si="129"/>
        <v>0.91333333333333333</v>
      </c>
      <c r="BE230">
        <f t="shared" si="130"/>
        <v>7.6</v>
      </c>
      <c r="BF230">
        <f>VLOOKUP($G230,Constants!$I:$K, 2, FALSE)</f>
        <v>0.85</v>
      </c>
      <c r="BG230">
        <f>VLOOKUP($G230,Constants!$I:$K, 3, FALSE)*IF(AND(F230="multiple_unit",AA230&lt;110),0.75,1)</f>
        <v>1.7249999999999999</v>
      </c>
      <c r="BH230">
        <f>INT(POWER(((Constants!$G$2+$BA230+$BB230+$BC230+$BE230)*$BD230)*$BG230, 1.05))+$AZ230</f>
        <v>56</v>
      </c>
      <c r="BI230">
        <f>INT(POWER((((Constants!$G$1+$BA230+$BB230+$BC230+$BE230)*($BD230))*$BF230),IF($F230="wagon",1,1.2)))+$AY230</f>
        <v>69</v>
      </c>
      <c r="BJ230" s="14">
        <f t="shared" si="131"/>
        <v>43750</v>
      </c>
      <c r="BK230" s="14">
        <f t="shared" si="132"/>
        <v>5606.25</v>
      </c>
      <c r="BR230">
        <v>6</v>
      </c>
      <c r="BS230">
        <v>185</v>
      </c>
      <c r="BU230" t="s">
        <v>282</v>
      </c>
      <c r="BV230" t="str">
        <f>VLOOKUP(I230,Eras!$A$2:$C$10, 2, TRUE)</f>
        <v>dsl</v>
      </c>
      <c r="BW230" t="s">
        <v>331</v>
      </c>
      <c r="BX230" t="str">
        <f t="shared" si="133"/>
        <v>dsl_DMU (Express)</v>
      </c>
      <c r="BY230" t="str">
        <f t="shared" si="134"/>
        <v>electric_ELRL</v>
      </c>
      <c r="BZ230" s="17" t="str" cm="1">
        <f t="array" ref="BZ230">_xlfn.CONCAT("{BLACK}Length: {GOLD}", TEXT(ROUNDUP(IF(AP230&lt;&gt;"",SUM(VALUE(_xlfn.TEXTSPLIT(AP230, ","))), SUM(VALUE(_xlfn.TEXTSPLIT(AM230, ",")))*IF(L230, L230, 1))/16, 1), "#,##0.0"), " tiles{}")</f>
        <v>{BLACK}Length: {GOLD}3.0 tiles{}</v>
      </c>
      <c r="CA230" t="str">
        <f>VLOOKUP($BY230, Constants!$M:$N, 2, FALSE)</f>
        <v>{BLACK}Powered by: {GOLD}25kV AC</v>
      </c>
      <c r="CB230" t="str">
        <f t="shared" si="135"/>
        <v>{BLACK}Cars: {GOLD}4</v>
      </c>
      <c r="CC230" t="s">
        <v>621</v>
      </c>
      <c r="CD230" t="str">
        <f t="shared" si="136"/>
        <v/>
      </c>
      <c r="CE230" t="str">
        <f t="shared" si="122"/>
        <v>{BLACK}Powered by: {GOLD}25kV AC {BLACK}Cars: {GOLD}4{}{BLACK}Length: {GOLD}3.0 tiles{}{SILVER}The AM10 was the first EMU to be based on the Mk2 carriage bodyshell. They were introduced as part of the West Coast Main Line electrification.</v>
      </c>
    </row>
    <row r="231" spans="1:83" x14ac:dyDescent="0.25">
      <c r="A231" t="s">
        <v>78</v>
      </c>
      <c r="B231" t="s">
        <v>185</v>
      </c>
      <c r="C231">
        <v>446</v>
      </c>
      <c r="D231">
        <v>135</v>
      </c>
      <c r="E231" t="s">
        <v>1508</v>
      </c>
      <c r="F231" t="s">
        <v>403</v>
      </c>
      <c r="G231" t="s">
        <v>551</v>
      </c>
      <c r="H231" t="s">
        <v>550</v>
      </c>
      <c r="I231">
        <v>1976</v>
      </c>
      <c r="J231">
        <v>1977</v>
      </c>
      <c r="L231">
        <v>3</v>
      </c>
      <c r="M231">
        <v>880</v>
      </c>
      <c r="V231">
        <v>104.5</v>
      </c>
      <c r="X231">
        <v>5</v>
      </c>
      <c r="Y231">
        <v>140</v>
      </c>
      <c r="Z231" s="3">
        <f t="shared" si="123"/>
        <v>0.13397129186602871</v>
      </c>
      <c r="AA231">
        <v>75</v>
      </c>
      <c r="AB231">
        <f t="shared" si="137"/>
        <v>120</v>
      </c>
      <c r="AE231">
        <v>20.329999999999998</v>
      </c>
      <c r="AF231">
        <v>20.329999999999998</v>
      </c>
      <c r="AH231">
        <v>3.58</v>
      </c>
      <c r="AI231" s="10">
        <v>75</v>
      </c>
      <c r="AJ231" t="str">
        <f>CONCATENATE(VLOOKUP(AK231, 'Voxel Sizes'!$A$2:$B$18,2,FALSE),"x",INT(AG231*15), "x", INT(AH231*15))</f>
        <v>198x0x53</v>
      </c>
      <c r="AK231">
        <f t="shared" si="124"/>
        <v>12</v>
      </c>
      <c r="AM231" t="str">
        <f>CONCATENATE(VLOOKUP(AK231,Constants!$A$2:$C$16,IF(AL231&lt;&gt;"", 3, 2), FALSE),IF(AL231&lt;&gt;"",CONCATENATE(",",VLOOKUP(AL231,$B:$AM,38,FALSE)),""))</f>
        <v>4,4,4</v>
      </c>
      <c r="AQ231" t="s">
        <v>548</v>
      </c>
      <c r="AR231" t="s">
        <v>553</v>
      </c>
      <c r="AS231" t="s">
        <v>291</v>
      </c>
      <c r="AW231">
        <v>35</v>
      </c>
      <c r="AX231" s="15" t="str">
        <f t="shared" si="125"/>
        <v/>
      </c>
      <c r="AY231">
        <v>-10</v>
      </c>
      <c r="AZ231">
        <v>-20</v>
      </c>
      <c r="BA231">
        <f t="shared" si="126"/>
        <v>15</v>
      </c>
      <c r="BB231">
        <f t="shared" si="127"/>
        <v>4.4000000000000004</v>
      </c>
      <c r="BC231">
        <f t="shared" si="128"/>
        <v>7</v>
      </c>
      <c r="BD231" s="3">
        <f t="shared" si="129"/>
        <v>0.89866666666666672</v>
      </c>
      <c r="BE231">
        <f t="shared" si="130"/>
        <v>7.5</v>
      </c>
      <c r="BF231">
        <f>VLOOKUP($G231,Constants!$I:$K, 2, FALSE)</f>
        <v>0.85</v>
      </c>
      <c r="BG231">
        <f>VLOOKUP($G231,Constants!$I:$K, 3, FALSE)*IF(AND(F231="multiple_unit",AA231&lt;110),0.75,1)</f>
        <v>1.7999999999999998</v>
      </c>
      <c r="BH231">
        <f>INT(POWER(((Constants!$G$2+$BA231+$BB231+$BC231+$BE231)*$BD231)*$BG231, 1.05))+$AZ231</f>
        <v>57</v>
      </c>
      <c r="BI231">
        <f>INT(POWER((((Constants!$G$1+$BA231+$BB231+$BC231+$BE231)*($BD231))*$BF231),IF($F231="wagon",1,1.2)))+$AY231</f>
        <v>67</v>
      </c>
      <c r="BJ231" s="14">
        <f t="shared" si="131"/>
        <v>44531.25</v>
      </c>
      <c r="BK231" s="14">
        <f t="shared" si="132"/>
        <v>5443.75</v>
      </c>
      <c r="BR231">
        <v>7</v>
      </c>
      <c r="BS231">
        <v>185</v>
      </c>
      <c r="BU231" t="s">
        <v>282</v>
      </c>
      <c r="BV231" t="str">
        <f>VLOOKUP(I231,Eras!$A$2:$C$10, 2, TRUE)</f>
        <v>lbr</v>
      </c>
      <c r="BW231" t="s">
        <v>332</v>
      </c>
      <c r="BX231" t="str">
        <f t="shared" si="133"/>
        <v>lbr_EMU</v>
      </c>
      <c r="BY231" t="str">
        <f t="shared" si="134"/>
        <v>dual_electric_DUAL_POWER</v>
      </c>
      <c r="BZ231" s="17" t="str" cm="1">
        <f t="array" ref="BZ231">_xlfn.CONCAT("{BLACK}Length: {GOLD}", TEXT(ROUNDUP(IF(AP231&lt;&gt;"",SUM(VALUE(_xlfn.TEXTSPLIT(AP231, ","))), SUM(VALUE(_xlfn.TEXTSPLIT(AM231, ",")))*IF(L231, L231, 1))/16, 1), "#,##0.0"), " tiles{}")</f>
        <v>{BLACK}Length: {GOLD}2.3 tiles{}</v>
      </c>
      <c r="CA231" t="str">
        <f>VLOOKUP($BY231, Constants!$M:$N, 2, FALSE)</f>
        <v>{BLACK}Powered by: {GOLD}25kV AC / 750V DC</v>
      </c>
      <c r="CB231" t="str">
        <f t="shared" si="135"/>
        <v>{BLACK}Cars: {GOLD}3</v>
      </c>
      <c r="CC231" t="s">
        <v>549</v>
      </c>
      <c r="CD231" t="str">
        <f t="shared" si="136"/>
        <v/>
      </c>
      <c r="CE231" t="str">
        <f t="shared" si="122"/>
        <v>{BLACK}Powered by: {GOLD}25kV AC / 750V DC {BLACK}Cars: {GOLD}3{}{BLACK}Length: {GOLD}2.3 tiles{}{SILVER}The Class 313 is a dual voltage EMU capable of running both on overhead electrified lines and third rail systems.</v>
      </c>
    </row>
    <row r="232" spans="1:83" x14ac:dyDescent="0.25">
      <c r="A232" t="s">
        <v>666</v>
      </c>
      <c r="B232" t="s">
        <v>667</v>
      </c>
      <c r="C232">
        <v>448</v>
      </c>
      <c r="D232">
        <v>136</v>
      </c>
      <c r="E232" t="s">
        <v>1508</v>
      </c>
      <c r="F232" t="s">
        <v>403</v>
      </c>
      <c r="G232" t="s">
        <v>295</v>
      </c>
      <c r="H232" t="s">
        <v>296</v>
      </c>
      <c r="I232">
        <v>1979</v>
      </c>
      <c r="J232">
        <v>1986</v>
      </c>
      <c r="K232">
        <v>1988</v>
      </c>
      <c r="L232">
        <v>14</v>
      </c>
      <c r="M232">
        <v>8000</v>
      </c>
      <c r="V232">
        <v>434</v>
      </c>
      <c r="X232">
        <v>4</v>
      </c>
      <c r="Y232">
        <v>210</v>
      </c>
      <c r="Z232" s="3">
        <f t="shared" si="123"/>
        <v>4.8387096774193547E-2</v>
      </c>
      <c r="AA232">
        <v>155</v>
      </c>
      <c r="AB232">
        <f t="shared" si="137"/>
        <v>248</v>
      </c>
      <c r="AE232">
        <v>20.9</v>
      </c>
      <c r="AF232">
        <v>20.9</v>
      </c>
      <c r="AG232">
        <v>2.7</v>
      </c>
      <c r="AH232">
        <v>3.5</v>
      </c>
      <c r="AI232" s="10">
        <v>39</v>
      </c>
      <c r="AJ232" t="str">
        <f>CONCATENATE(VLOOKUP(AK232, 'Voxel Sizes'!$A$2:$B$18,2,FALSE),"x",INT(AG232*15), "x", INT(AH232*15))</f>
        <v>198x40x52</v>
      </c>
      <c r="AK232">
        <f t="shared" si="124"/>
        <v>12</v>
      </c>
      <c r="AM232" t="str">
        <f>CONCATENATE(VLOOKUP(AK232,Constants!$A$2:$C$16,IF(AL232&lt;&gt;"", 3, 2), FALSE),IF(AL232&lt;&gt;"",CONCATENATE(",",VLOOKUP(AL232,$B:$AM,38,FALSE)),""))</f>
        <v>4,4,4</v>
      </c>
      <c r="AQ232" t="s">
        <v>669</v>
      </c>
      <c r="AS232" t="s">
        <v>676</v>
      </c>
      <c r="AW232">
        <v>12</v>
      </c>
      <c r="AX232" s="15">
        <f t="shared" si="125"/>
        <v>17</v>
      </c>
      <c r="BA232">
        <f t="shared" si="126"/>
        <v>30</v>
      </c>
      <c r="BB232">
        <f t="shared" si="127"/>
        <v>20</v>
      </c>
      <c r="BC232">
        <f t="shared" si="128"/>
        <v>10.5</v>
      </c>
      <c r="BD232" s="3">
        <f t="shared" si="129"/>
        <v>0.89466666666666672</v>
      </c>
      <c r="BE232">
        <f t="shared" si="130"/>
        <v>18.2</v>
      </c>
      <c r="BF232">
        <f>VLOOKUP($G232,Constants!$I:$K, 2, FALSE)</f>
        <v>0.85</v>
      </c>
      <c r="BG232">
        <f>VLOOKUP($G232,Constants!$I:$K, 3, FALSE)*IF(AND(F232="multiple_unit",AA232&lt;110),0.75,1)</f>
        <v>2.2999999999999998</v>
      </c>
      <c r="BH232">
        <f>INT(POWER(((Constants!$G$2+$BA232+$BB232+$BC232+$BE232)*$BD232)*$BG232, 1.05))+$AZ232</f>
        <v>222</v>
      </c>
      <c r="BI232">
        <f>INT(POWER((((Constants!$G$1+$BA232+$BB232+$BC232+$BE232)*($BD232))*$BF232),IF($F232="wagon",1,1.2)))+$AY232</f>
        <v>167</v>
      </c>
      <c r="BJ232" s="14">
        <f t="shared" si="131"/>
        <v>173437.5</v>
      </c>
      <c r="BK232" s="14">
        <f t="shared" si="132"/>
        <v>13568.75</v>
      </c>
      <c r="BN232">
        <v>1</v>
      </c>
      <c r="BQ232" t="s">
        <v>1149</v>
      </c>
      <c r="BR232">
        <v>8</v>
      </c>
      <c r="BS232">
        <v>222</v>
      </c>
      <c r="BU232" t="s">
        <v>282</v>
      </c>
      <c r="BV232" t="str">
        <f>VLOOKUP(I232,Eras!$A$2:$C$10, 2, TRUE)</f>
        <v>lbr</v>
      </c>
      <c r="BW232" t="s">
        <v>333</v>
      </c>
      <c r="BX232" t="str">
        <f t="shared" si="133"/>
        <v>lbr_EMU (Express)</v>
      </c>
      <c r="BY232" t="str">
        <f t="shared" si="134"/>
        <v>electric_ELRL</v>
      </c>
      <c r="BZ232" s="17" t="str" cm="1">
        <f t="array" ref="BZ232">_xlfn.CONCAT("{BLACK}Length: {GOLD}", TEXT(ROUNDUP(IF(AP232&lt;&gt;"",SUM(VALUE(_xlfn.TEXTSPLIT(AP232, ","))), SUM(VALUE(_xlfn.TEXTSPLIT(AM232, ",")))*IF(L232, L232, 1))/16, 1), "#,##0.0"), " tiles{}")</f>
        <v>{BLACK}Length: {GOLD}10.5 tiles{}</v>
      </c>
      <c r="CA232" t="str">
        <f>VLOOKUP($BY232, Constants!$M:$N, 2, FALSE)</f>
        <v>{BLACK}Powered by: {GOLD}25kV AC</v>
      </c>
      <c r="CB232" t="str">
        <f t="shared" si="135"/>
        <v>{BLACK}Cars: {GOLD}14</v>
      </c>
      <c r="CC232" t="s">
        <v>668</v>
      </c>
      <c r="CD232" t="str">
        <f t="shared" si="136"/>
        <v>{YELLOW}20% Bonus for long distance travel{}</v>
      </c>
      <c r="CE232" t="str">
        <f t="shared" si="122"/>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3" x14ac:dyDescent="0.25">
      <c r="A233" t="s">
        <v>666</v>
      </c>
      <c r="B233" t="s">
        <v>1126</v>
      </c>
      <c r="C233">
        <v>449</v>
      </c>
      <c r="D233">
        <v>137</v>
      </c>
      <c r="E233" t="s">
        <v>1508</v>
      </c>
      <c r="F233" t="s">
        <v>403</v>
      </c>
      <c r="G233" t="s">
        <v>295</v>
      </c>
      <c r="H233" t="s">
        <v>296</v>
      </c>
      <c r="I233">
        <v>1979</v>
      </c>
      <c r="J233">
        <v>1986</v>
      </c>
      <c r="K233">
        <v>1988</v>
      </c>
      <c r="L233">
        <v>8</v>
      </c>
      <c r="M233">
        <v>8000</v>
      </c>
      <c r="V233">
        <f>(434/14)*8</f>
        <v>248</v>
      </c>
      <c r="X233">
        <v>4</v>
      </c>
      <c r="Y233">
        <v>210</v>
      </c>
      <c r="Z233" s="3">
        <f t="shared" si="123"/>
        <v>8.4677419354838704E-2</v>
      </c>
      <c r="AA233">
        <v>155</v>
      </c>
      <c r="AB233">
        <f t="shared" si="137"/>
        <v>248</v>
      </c>
      <c r="AE233">
        <v>20.9</v>
      </c>
      <c r="AF233">
        <v>20.9</v>
      </c>
      <c r="AG233">
        <v>2.7</v>
      </c>
      <c r="AH233">
        <v>3.5</v>
      </c>
      <c r="AI233" s="10">
        <v>39</v>
      </c>
      <c r="AJ233" t="str">
        <f>CONCATENATE(VLOOKUP(AK233, 'Voxel Sizes'!$A$2:$B$18,2,FALSE),"x",INT(AG233*15), "x", INT(AH233*15))</f>
        <v>198x40x52</v>
      </c>
      <c r="AK233">
        <f t="shared" si="124"/>
        <v>12</v>
      </c>
      <c r="AM233" t="str">
        <f>CONCATENATE(VLOOKUP(AK233,Constants!$A$2:$C$16,IF(AL233&lt;&gt;"", 3, 2), FALSE),IF(AL233&lt;&gt;"",CONCATENATE(",",VLOOKUP(AL233,$B:$AM,38,FALSE)),""))</f>
        <v>4,4,4</v>
      </c>
      <c r="AQ233" t="s">
        <v>1140</v>
      </c>
      <c r="AS233" t="s">
        <v>693</v>
      </c>
      <c r="AT233" t="s">
        <v>667</v>
      </c>
      <c r="AW233">
        <v>12</v>
      </c>
      <c r="AX233" s="15">
        <f t="shared" si="125"/>
        <v>17</v>
      </c>
      <c r="BA233">
        <f t="shared" si="126"/>
        <v>30</v>
      </c>
      <c r="BB233">
        <f t="shared" si="127"/>
        <v>20</v>
      </c>
      <c r="BC233">
        <f t="shared" si="128"/>
        <v>10.5</v>
      </c>
      <c r="BD233" s="3">
        <f t="shared" si="129"/>
        <v>0.89466666666666672</v>
      </c>
      <c r="BE233">
        <f t="shared" si="130"/>
        <v>10.4</v>
      </c>
      <c r="BF233">
        <f>VLOOKUP($G233,Constants!$I:$K, 2, FALSE)</f>
        <v>0.85</v>
      </c>
      <c r="BG233">
        <f>VLOOKUP($G233,Constants!$I:$K, 3, FALSE)*IF(AND(F233="multiple_unit",AA233&lt;110),0.75,1)</f>
        <v>2.2999999999999998</v>
      </c>
      <c r="BH233">
        <f>INT(POWER(((Constants!$G$2+$BA233+$BB233+$BC233+$BE233)*$BD233)*$BG233, 1.05))+$AZ233</f>
        <v>201</v>
      </c>
      <c r="BI233">
        <f>INT(POWER((((Constants!$G$1+$BA233+$BB233+$BC233+$BE233)*($BD233))*$BF233),IF($F233="wagon",1,1.2)))+$AY233</f>
        <v>150</v>
      </c>
      <c r="BJ233" s="14">
        <f t="shared" si="131"/>
        <v>157031.25</v>
      </c>
      <c r="BK233" s="14">
        <f t="shared" si="132"/>
        <v>12187.5</v>
      </c>
      <c r="BN233">
        <v>1</v>
      </c>
      <c r="BQ233" t="s">
        <v>1148</v>
      </c>
      <c r="BR233">
        <v>8</v>
      </c>
      <c r="BS233">
        <v>222</v>
      </c>
      <c r="BU233" t="s">
        <v>282</v>
      </c>
      <c r="BV233" t="str">
        <f>VLOOKUP(I233,Eras!$A$2:$C$10, 2, TRUE)</f>
        <v>lbr</v>
      </c>
      <c r="BW233" t="s">
        <v>333</v>
      </c>
      <c r="BX233" t="str">
        <f t="shared" si="133"/>
        <v>lbr_EMU (Express)</v>
      </c>
      <c r="BY233" t="str">
        <f t="shared" si="134"/>
        <v>electric_ELRL</v>
      </c>
      <c r="BZ233" s="17" t="str" cm="1">
        <f t="array" ref="BZ233">_xlfn.CONCAT("{BLACK}Length: {GOLD}", TEXT(ROUNDUP(IF(AP233&lt;&gt;"",SUM(VALUE(_xlfn.TEXTSPLIT(AP233, ","))), SUM(VALUE(_xlfn.TEXTSPLIT(AM233, ",")))*IF(L233, L233, 1))/16, 1), "#,##0.0"), " tiles{}")</f>
        <v>{BLACK}Length: {GOLD}6.0 tiles{}</v>
      </c>
      <c r="CA233" t="str">
        <f>VLOOKUP($BY233, Constants!$M:$N, 2, FALSE)</f>
        <v>{BLACK}Powered by: {GOLD}25kV AC</v>
      </c>
      <c r="CB233" t="str">
        <f t="shared" si="135"/>
        <v>{BLACK}Cars: {GOLD}8</v>
      </c>
      <c r="CC233" t="s">
        <v>668</v>
      </c>
      <c r="CD233" t="str">
        <f t="shared" si="136"/>
        <v>{YELLOW}20% Bonus for long distance travel{}</v>
      </c>
      <c r="CE233" t="str">
        <f t="shared" si="122"/>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3" x14ac:dyDescent="0.25">
      <c r="A234" t="s">
        <v>666</v>
      </c>
      <c r="B234" t="s">
        <v>1141</v>
      </c>
      <c r="C234">
        <v>450</v>
      </c>
      <c r="D234">
        <v>138</v>
      </c>
      <c r="E234" t="s">
        <v>1508</v>
      </c>
      <c r="F234" t="s">
        <v>403</v>
      </c>
      <c r="G234" t="s">
        <v>295</v>
      </c>
      <c r="H234" t="s">
        <v>296</v>
      </c>
      <c r="I234">
        <v>1979</v>
      </c>
      <c r="J234">
        <v>1986</v>
      </c>
      <c r="K234">
        <v>1988</v>
      </c>
      <c r="L234">
        <v>5</v>
      </c>
      <c r="M234">
        <v>8000</v>
      </c>
      <c r="V234">
        <f>(434/14)*5</f>
        <v>155</v>
      </c>
      <c r="X234">
        <v>4</v>
      </c>
      <c r="Y234">
        <v>210</v>
      </c>
      <c r="Z234" s="3">
        <f t="shared" si="123"/>
        <v>0.13548387096774195</v>
      </c>
      <c r="AA234">
        <v>155</v>
      </c>
      <c r="AB234">
        <f t="shared" si="137"/>
        <v>248</v>
      </c>
      <c r="AE234">
        <v>20.9</v>
      </c>
      <c r="AF234">
        <v>20.9</v>
      </c>
      <c r="AG234">
        <v>2.7</v>
      </c>
      <c r="AH234">
        <v>3.5</v>
      </c>
      <c r="AI234" s="10">
        <v>39</v>
      </c>
      <c r="AJ234" t="str">
        <f>CONCATENATE(VLOOKUP(AK234, 'Voxel Sizes'!$A$2:$B$18,2,FALSE),"x",INT(AG234*15), "x", INT(AH234*15))</f>
        <v>198x40x52</v>
      </c>
      <c r="AK234">
        <f t="shared" si="124"/>
        <v>12</v>
      </c>
      <c r="AM234" t="str">
        <f>CONCATENATE(VLOOKUP(AK234,Constants!$A$2:$C$16,IF(AL234&lt;&gt;"", 3, 2), FALSE),IF(AL234&lt;&gt;"",CONCATENATE(",",VLOOKUP(AL234,$B:$AM,38,FALSE)),""))</f>
        <v>4,4,4</v>
      </c>
      <c r="AQ234" t="s">
        <v>1146</v>
      </c>
      <c r="AS234" t="s">
        <v>663</v>
      </c>
      <c r="AT234" t="s">
        <v>667</v>
      </c>
      <c r="AW234">
        <v>12</v>
      </c>
      <c r="AX234" s="15">
        <f t="shared" si="125"/>
        <v>17</v>
      </c>
      <c r="BA234">
        <f t="shared" si="126"/>
        <v>30</v>
      </c>
      <c r="BB234">
        <f t="shared" si="127"/>
        <v>20</v>
      </c>
      <c r="BC234">
        <f t="shared" si="128"/>
        <v>10.5</v>
      </c>
      <c r="BD234" s="3">
        <f t="shared" si="129"/>
        <v>0.89466666666666672</v>
      </c>
      <c r="BE234">
        <f t="shared" si="130"/>
        <v>6.5</v>
      </c>
      <c r="BF234">
        <f>VLOOKUP($G234,Constants!$I:$K, 2, FALSE)</f>
        <v>0.85</v>
      </c>
      <c r="BG234">
        <f>VLOOKUP($G234,Constants!$I:$K, 3, FALSE)*IF(AND(F234="multiple_unit",AA234&lt;110),0.75,1)</f>
        <v>2.2999999999999998</v>
      </c>
      <c r="BH234">
        <f>INT(POWER(((Constants!$G$2+$BA234+$BB234+$BC234+$BE234)*$BD234)*$BG234, 1.05))+$AZ234</f>
        <v>190</v>
      </c>
      <c r="BI234">
        <f>INT(POWER((((Constants!$G$1+$BA234+$BB234+$BC234+$BE234)*($BD234))*$BF234),IF($F234="wagon",1,1.2)))+$AY234</f>
        <v>142</v>
      </c>
      <c r="BJ234" s="14">
        <f t="shared" si="131"/>
        <v>148437.5</v>
      </c>
      <c r="BK234" s="14">
        <f t="shared" si="132"/>
        <v>11537.5</v>
      </c>
      <c r="BN234">
        <v>1</v>
      </c>
      <c r="BQ234" t="s">
        <v>1147</v>
      </c>
      <c r="BR234">
        <v>8</v>
      </c>
      <c r="BS234">
        <v>222</v>
      </c>
      <c r="BU234" t="s">
        <v>282</v>
      </c>
      <c r="BV234" t="str">
        <f>VLOOKUP(I234,Eras!$A$2:$C$10, 2, TRUE)</f>
        <v>lbr</v>
      </c>
      <c r="BW234" t="s">
        <v>333</v>
      </c>
      <c r="BX234" t="str">
        <f t="shared" si="133"/>
        <v>lbr_EMU (Express)</v>
      </c>
      <c r="BY234" t="str">
        <f t="shared" si="134"/>
        <v>electric_ELRL</v>
      </c>
      <c r="BZ234" s="17" t="str" cm="1">
        <f t="array" ref="BZ234">_xlfn.CONCAT("{BLACK}Length: {GOLD}", TEXT(ROUNDUP(IF(AP234&lt;&gt;"",SUM(VALUE(_xlfn.TEXTSPLIT(AP234, ","))), SUM(VALUE(_xlfn.TEXTSPLIT(AM234, ",")))*IF(L234, L234, 1))/16, 1), "#,##0.0"), " tiles{}")</f>
        <v>{BLACK}Length: {GOLD}3.8 tiles{}</v>
      </c>
      <c r="CA234" t="str">
        <f>VLOOKUP($BY234, Constants!$M:$N, 2, FALSE)</f>
        <v>{BLACK}Powered by: {GOLD}25kV AC</v>
      </c>
      <c r="CB234" t="str">
        <f t="shared" si="135"/>
        <v>{BLACK}Cars: {GOLD}5</v>
      </c>
      <c r="CC234" t="s">
        <v>668</v>
      </c>
      <c r="CD234" t="str">
        <f t="shared" si="136"/>
        <v>{YELLOW}20% Bonus for long distance travel{}</v>
      </c>
      <c r="CE234" t="str">
        <f t="shared" si="122"/>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83" x14ac:dyDescent="0.25">
      <c r="A235" t="s">
        <v>77</v>
      </c>
      <c r="B235" t="s">
        <v>184</v>
      </c>
      <c r="C235">
        <v>452</v>
      </c>
      <c r="D235">
        <v>139</v>
      </c>
      <c r="E235" t="s">
        <v>1508</v>
      </c>
      <c r="F235" t="s">
        <v>403</v>
      </c>
      <c r="G235" t="s">
        <v>295</v>
      </c>
      <c r="H235" t="s">
        <v>296</v>
      </c>
      <c r="I235">
        <v>1980</v>
      </c>
      <c r="J235">
        <v>1981</v>
      </c>
      <c r="L235">
        <v>4</v>
      </c>
      <c r="M235">
        <v>880</v>
      </c>
      <c r="V235">
        <v>127.5</v>
      </c>
      <c r="X235">
        <v>5</v>
      </c>
      <c r="Y235">
        <v>140</v>
      </c>
      <c r="Z235" s="3">
        <f t="shared" si="123"/>
        <v>0.10980392156862745</v>
      </c>
      <c r="AA235">
        <v>75</v>
      </c>
      <c r="AB235">
        <f t="shared" si="137"/>
        <v>120</v>
      </c>
      <c r="AE235">
        <v>19.8</v>
      </c>
      <c r="AF235">
        <v>19.8</v>
      </c>
      <c r="AH235">
        <v>3.58</v>
      </c>
      <c r="AI235" s="10">
        <v>78</v>
      </c>
      <c r="AJ235" t="str">
        <f>CONCATENATE(VLOOKUP(AK235, 'Voxel Sizes'!$A$2:$B$18,2,FALSE),"x",INT(AG235*15), "x", INT(AH235*15))</f>
        <v>198x0x53</v>
      </c>
      <c r="AK235">
        <f t="shared" si="124"/>
        <v>12</v>
      </c>
      <c r="AM235" t="str">
        <f>CONCATENATE(VLOOKUP(AK235,Constants!$A$2:$C$16,IF(AL235&lt;&gt;"", 3, 2), FALSE),IF(AL235&lt;&gt;"",CONCATENATE(",",VLOOKUP(AL235,$B:$AM,38,FALSE)),""))</f>
        <v>4,4,4</v>
      </c>
      <c r="AQ235" t="s">
        <v>556</v>
      </c>
      <c r="AS235" t="s">
        <v>554</v>
      </c>
      <c r="AW235">
        <v>35</v>
      </c>
      <c r="AX235" s="15" t="str">
        <f t="shared" si="125"/>
        <v/>
      </c>
      <c r="AY235">
        <v>-10</v>
      </c>
      <c r="AZ235">
        <v>-20</v>
      </c>
      <c r="BA235">
        <f t="shared" si="126"/>
        <v>15</v>
      </c>
      <c r="BB235">
        <f t="shared" si="127"/>
        <v>4.4000000000000004</v>
      </c>
      <c r="BC235">
        <f t="shared" si="128"/>
        <v>7</v>
      </c>
      <c r="BD235" s="3">
        <f t="shared" si="129"/>
        <v>0.89333333333333331</v>
      </c>
      <c r="BE235">
        <f t="shared" si="130"/>
        <v>10.4</v>
      </c>
      <c r="BF235">
        <f>VLOOKUP($G235,Constants!$I:$K, 2, FALSE)</f>
        <v>0.85</v>
      </c>
      <c r="BG235">
        <f>VLOOKUP($G235,Constants!$I:$K, 3, FALSE)*IF(AND(F235="multiple_unit",AA235&lt;110),0.75,1)</f>
        <v>1.7249999999999999</v>
      </c>
      <c r="BH235">
        <f>INT(POWER(((Constants!$G$2+$BA235+$BB235+$BC235+$BE235)*$BD235)*$BG235, 1.05))+$AZ235</f>
        <v>59</v>
      </c>
      <c r="BI235">
        <f>INT(POWER((((Constants!$G$1+$BA235+$BB235+$BC235+$BE235)*($BD235))*$BF235),IF($F235="wagon",1,1.2)))+$AY235</f>
        <v>71</v>
      </c>
      <c r="BJ235" s="14">
        <f t="shared" si="131"/>
        <v>46093.75</v>
      </c>
      <c r="BK235" s="14">
        <f t="shared" si="132"/>
        <v>5768.75</v>
      </c>
      <c r="BR235">
        <v>11</v>
      </c>
      <c r="BS235">
        <v>185</v>
      </c>
      <c r="BU235" t="s">
        <v>282</v>
      </c>
      <c r="BV235" t="str">
        <f>VLOOKUP(I235,Eras!$A$2:$C$10, 2, TRUE)</f>
        <v>lbr</v>
      </c>
      <c r="BW235" t="s">
        <v>332</v>
      </c>
      <c r="BX235" t="str">
        <f t="shared" si="133"/>
        <v>lbr_EMU</v>
      </c>
      <c r="BY235" t="str">
        <f t="shared" si="134"/>
        <v>electric_ELRL</v>
      </c>
      <c r="BZ235" s="17" t="str" cm="1">
        <f t="array" ref="BZ235">_xlfn.CONCAT("{BLACK}Length: {GOLD}", TEXT(ROUNDUP(IF(AP235&lt;&gt;"",SUM(VALUE(_xlfn.TEXTSPLIT(AP235, ","))), SUM(VALUE(_xlfn.TEXTSPLIT(AM235, ",")))*IF(L235, L235, 1))/16, 1), "#,##0.0"), " tiles{}")</f>
        <v>{BLACK}Length: {GOLD}3.0 tiles{}</v>
      </c>
      <c r="CA235" t="str">
        <f>VLOOKUP($BY235, Constants!$M:$N, 2, FALSE)</f>
        <v>{BLACK}Powered by: {GOLD}25kV AC</v>
      </c>
      <c r="CB235" t="str">
        <f t="shared" si="135"/>
        <v>{BLACK}Cars: {GOLD}4</v>
      </c>
      <c r="CC235" t="s">
        <v>555</v>
      </c>
      <c r="CD235" t="str">
        <f t="shared" si="136"/>
        <v/>
      </c>
      <c r="CE235" t="str">
        <f t="shared" si="122"/>
        <v>{BLACK}Powered by: {GOLD}25kV AC {BLACK}Cars: {GOLD}4{}{BLACK}Length: {GOLD}3.0 tiles{}{SILVER}The Class 315 is the last class of the 1972 standard EMU design, running on 25kV overhead AC power and used for inner suburban services.</v>
      </c>
    </row>
    <row r="236" spans="1:83" x14ac:dyDescent="0.25">
      <c r="A236" t="s">
        <v>83</v>
      </c>
      <c r="B236" t="s">
        <v>186</v>
      </c>
      <c r="C236">
        <v>454</v>
      </c>
      <c r="D236">
        <v>140</v>
      </c>
      <c r="E236" t="s">
        <v>1508</v>
      </c>
      <c r="F236" t="s">
        <v>403</v>
      </c>
      <c r="G236" t="s">
        <v>295</v>
      </c>
      <c r="H236" t="s">
        <v>302</v>
      </c>
      <c r="I236">
        <v>1982</v>
      </c>
      <c r="L236">
        <v>4</v>
      </c>
      <c r="M236">
        <v>992</v>
      </c>
      <c r="V236">
        <v>136</v>
      </c>
      <c r="X236">
        <v>5</v>
      </c>
      <c r="Y236">
        <v>150</v>
      </c>
      <c r="Z236" s="3">
        <f t="shared" si="123"/>
        <v>0.11029411764705882</v>
      </c>
      <c r="AA236">
        <v>75</v>
      </c>
      <c r="AB236">
        <f t="shared" si="137"/>
        <v>120</v>
      </c>
      <c r="AE236">
        <v>19.8</v>
      </c>
      <c r="AF236">
        <v>19.8</v>
      </c>
      <c r="AI236" s="10">
        <v>78</v>
      </c>
      <c r="AJ236" t="str">
        <f>CONCATENATE(VLOOKUP(AK236, 'Voxel Sizes'!$A$2:$B$18,2,FALSE),"x",INT(AG236*15), "x", INT(AH236*15))</f>
        <v>198x0x0</v>
      </c>
      <c r="AK236">
        <f t="shared" si="124"/>
        <v>12</v>
      </c>
      <c r="AM236" t="str">
        <f>CONCATENATE(VLOOKUP(AK236,Constants!$A$2:$C$16,IF(AL236&lt;&gt;"", 3, 2), FALSE),IF(AL236&lt;&gt;"",CONCATENATE(",",VLOOKUP(AL236,$B:$AM,38,FALSE)),""))</f>
        <v>4,4,4</v>
      </c>
      <c r="AQ236" t="s">
        <v>606</v>
      </c>
      <c r="AS236" t="s">
        <v>464</v>
      </c>
      <c r="AW236">
        <v>35</v>
      </c>
      <c r="AX236" s="15" t="str">
        <f t="shared" si="125"/>
        <v/>
      </c>
      <c r="AY236">
        <v>-10</v>
      </c>
      <c r="AZ236">
        <v>-20</v>
      </c>
      <c r="BA236">
        <f t="shared" si="126"/>
        <v>15</v>
      </c>
      <c r="BB236">
        <f t="shared" si="127"/>
        <v>4.96</v>
      </c>
      <c r="BC236">
        <f t="shared" si="128"/>
        <v>7.5</v>
      </c>
      <c r="BD236" s="3">
        <f t="shared" si="129"/>
        <v>0.89066666666666672</v>
      </c>
      <c r="BE236">
        <f t="shared" si="130"/>
        <v>10.4</v>
      </c>
      <c r="BF236">
        <f>VLOOKUP($G236,Constants!$I:$K, 2, FALSE)</f>
        <v>0.85</v>
      </c>
      <c r="BG236">
        <f>VLOOKUP($G236,Constants!$I:$K, 3, FALSE)*IF(AND(F236="multiple_unit",AA236&lt;110),0.75,1)</f>
        <v>1.7249999999999999</v>
      </c>
      <c r="BH236">
        <f>INT(POWER(((Constants!$G$2+$BA236+$BB236+$BC236+$BE236)*$BD236)*$BG236, 1.05))+$AZ236</f>
        <v>61</v>
      </c>
      <c r="BI236">
        <f>INT(POWER((((Constants!$G$1+$BA236+$BB236+$BC236+$BE236)*($BD236))*$BF236),IF($F236="wagon",1,1.2)))+$AY236</f>
        <v>73</v>
      </c>
      <c r="BJ236" s="14">
        <f t="shared" si="131"/>
        <v>47656.25</v>
      </c>
      <c r="BK236" s="14">
        <f t="shared" si="132"/>
        <v>5931.25</v>
      </c>
      <c r="BO236" t="s">
        <v>187</v>
      </c>
      <c r="BR236">
        <v>12</v>
      </c>
      <c r="BS236">
        <v>185</v>
      </c>
      <c r="BU236" t="s">
        <v>282</v>
      </c>
      <c r="BV236" t="str">
        <f>VLOOKUP(I236,Eras!$A$2:$C$10, 2, TRUE)</f>
        <v>lbr</v>
      </c>
      <c r="BW236" t="s">
        <v>332</v>
      </c>
      <c r="BX236" t="str">
        <f t="shared" si="133"/>
        <v>lbr_EMU</v>
      </c>
      <c r="BY236" t="str">
        <f t="shared" si="134"/>
        <v>electric_THIRD_RAIL</v>
      </c>
      <c r="BZ236" s="17" t="str" cm="1">
        <f t="array" ref="BZ236">_xlfn.CONCAT("{BLACK}Length: {GOLD}", TEXT(ROUNDUP(IF(AP236&lt;&gt;"",SUM(VALUE(_xlfn.TEXTSPLIT(AP236, ","))), SUM(VALUE(_xlfn.TEXTSPLIT(AM236, ",")))*IF(L236, L236, 1))/16, 1), "#,##0.0"), " tiles{}")</f>
        <v>{BLACK}Length: {GOLD}3.0 tiles{}</v>
      </c>
      <c r="CA236" t="str">
        <f>VLOOKUP($BY236, Constants!$M:$N, 2, FALSE)</f>
        <v>{BLACK}Powered by: {GOLD}750V DC</v>
      </c>
      <c r="CB236" t="str">
        <f t="shared" si="135"/>
        <v>{BLACK}Cars: {GOLD}4</v>
      </c>
      <c r="CC236" t="s">
        <v>607</v>
      </c>
      <c r="CD236" t="str">
        <f t="shared" si="136"/>
        <v/>
      </c>
      <c r="CE236" t="str">
        <f t="shared" si="122"/>
        <v>{BLACK}Powered by: {GOLD}750V DC {BLACK}Cars: {GOLD}4{}{BLACK}Length: {GOLD}3.0 tiles{}{SILVER}The Class 455 is a DC third rail version of British Rail's second generation EMU design. Some units re-used existing carriages from the Class 508, recognisable by the different side profile.</v>
      </c>
    </row>
    <row r="237" spans="1:83" x14ac:dyDescent="0.25">
      <c r="A237" t="s">
        <v>87</v>
      </c>
      <c r="B237" t="s">
        <v>628</v>
      </c>
      <c r="C237">
        <v>456</v>
      </c>
      <c r="D237">
        <v>141</v>
      </c>
      <c r="E237" t="s">
        <v>1508</v>
      </c>
      <c r="F237" t="s">
        <v>403</v>
      </c>
      <c r="G237" t="s">
        <v>272</v>
      </c>
      <c r="H237" t="s">
        <v>274</v>
      </c>
      <c r="I237">
        <v>1984</v>
      </c>
      <c r="J237">
        <v>1987</v>
      </c>
      <c r="L237">
        <v>2</v>
      </c>
      <c r="M237">
        <f>286*2</f>
        <v>572</v>
      </c>
      <c r="V237">
        <f>35.8*2</f>
        <v>71.599999999999994</v>
      </c>
      <c r="X237">
        <v>5</v>
      </c>
      <c r="Y237">
        <v>110</v>
      </c>
      <c r="Z237" s="3">
        <f t="shared" si="123"/>
        <v>0.15363128491620112</v>
      </c>
      <c r="AA237">
        <v>75</v>
      </c>
      <c r="AB237">
        <f t="shared" si="137"/>
        <v>120</v>
      </c>
      <c r="AE237">
        <v>20</v>
      </c>
      <c r="AF237">
        <v>20</v>
      </c>
      <c r="AG237">
        <v>2.81</v>
      </c>
      <c r="AH237">
        <v>3.7</v>
      </c>
      <c r="AI237" s="10">
        <v>63</v>
      </c>
      <c r="AJ237" t="str">
        <f>CONCATENATE(VLOOKUP(AK237, 'Voxel Sizes'!$A$2:$B$18,2,FALSE),"x",INT(AG237*15), "x", INT(AH237*15))</f>
        <v>198x42x55</v>
      </c>
      <c r="AK237">
        <f t="shared" si="124"/>
        <v>12</v>
      </c>
      <c r="AM237" t="str">
        <f>CONCATENATE(VLOOKUP(AK237,Constants!$A$2:$C$16,IF(AL237&lt;&gt;"", 3, 2), FALSE),IF(AL237&lt;&gt;"",CONCATENATE(",",VLOOKUP(AL237,$B:$AM,38,FALSE)),""))</f>
        <v>4,4,4</v>
      </c>
      <c r="AQ237" t="s">
        <v>627</v>
      </c>
      <c r="AS237" t="s">
        <v>466</v>
      </c>
      <c r="AW237">
        <v>28</v>
      </c>
      <c r="AX237" s="15" t="str">
        <f t="shared" si="125"/>
        <v/>
      </c>
      <c r="AY237">
        <v>-10</v>
      </c>
      <c r="AZ237">
        <v>-15</v>
      </c>
      <c r="BA237">
        <f t="shared" si="126"/>
        <v>15</v>
      </c>
      <c r="BB237">
        <f t="shared" si="127"/>
        <v>2.86</v>
      </c>
      <c r="BC237">
        <f t="shared" si="128"/>
        <v>5.5</v>
      </c>
      <c r="BD237" s="3">
        <f t="shared" si="129"/>
        <v>0.88800000000000001</v>
      </c>
      <c r="BE237">
        <f t="shared" si="130"/>
        <v>4.2</v>
      </c>
      <c r="BF237">
        <f>VLOOKUP($G237,Constants!$I:$K, 2, FALSE)</f>
        <v>1</v>
      </c>
      <c r="BG237">
        <f>VLOOKUP($G237,Constants!$I:$K, 3, FALSE)*IF(AND(F237="multiple_unit",AA237&lt;110),0.75,1)</f>
        <v>1.5</v>
      </c>
      <c r="BH237">
        <f>INT(POWER(((Constants!$G$2+$BA237+$BB237+$BC237+$BE237)*$BD237)*$BG237, 1.05))+$AZ237</f>
        <v>37</v>
      </c>
      <c r="BI237">
        <f>INT(POWER((((Constants!$G$1+$BA237+$BB237+$BC237+$BE237)*($BD237))*$BF237),IF($F237="wagon",1,1.2)))+$AY237</f>
        <v>68</v>
      </c>
      <c r="BJ237" s="14">
        <f t="shared" si="131"/>
        <v>28906.25</v>
      </c>
      <c r="BK237" s="14">
        <f t="shared" si="132"/>
        <v>5525</v>
      </c>
      <c r="BO237" t="s">
        <v>1111</v>
      </c>
      <c r="BR237">
        <v>1</v>
      </c>
      <c r="BS237">
        <v>185</v>
      </c>
      <c r="BU237" t="s">
        <v>282</v>
      </c>
      <c r="BV237" t="str">
        <f>VLOOKUP(I237,Eras!$A$2:$C$10, 2, TRUE)</f>
        <v>lbr</v>
      </c>
      <c r="BW237" t="s">
        <v>330</v>
      </c>
      <c r="BX237" t="str">
        <f t="shared" si="133"/>
        <v>lbr_DMU</v>
      </c>
      <c r="BY237" t="str">
        <f t="shared" si="134"/>
        <v>diesel_RAIL</v>
      </c>
      <c r="BZ237" s="17" t="str" cm="1">
        <f t="array" ref="BZ237">_xlfn.CONCAT("{BLACK}Length: {GOLD}", TEXT(ROUNDUP(IF(AP237&lt;&gt;"",SUM(VALUE(_xlfn.TEXTSPLIT(AP237, ","))), SUM(VALUE(_xlfn.TEXTSPLIT(AM237, ",")))*IF(L237, L237, 1))/16, 1), "#,##0.0"), " tiles{}")</f>
        <v>{BLACK}Length: {GOLD}1.5 tiles{}</v>
      </c>
      <c r="CA237" t="str">
        <f>VLOOKUP($BY237, Constants!$M:$N, 2, FALSE)</f>
        <v>{BLACK}Powered by: {GOLD}Diesel</v>
      </c>
      <c r="CB237" t="str">
        <f t="shared" si="135"/>
        <v>{BLACK}Cars: {GOLD}2</v>
      </c>
      <c r="CC237" t="s">
        <v>626</v>
      </c>
      <c r="CD237" t="str">
        <f t="shared" si="136"/>
        <v/>
      </c>
      <c r="CE237" t="str">
        <f t="shared" si="122"/>
        <v>{BLACK}Powered by: {GOLD}Diesel {BLACK}Cars: {GOLD}2{}{BLACK}Length: {GOLD}1.5 tiles{}{SILVER}The Sprinter replaced first-generation DMUs. Like other second-generation units it was based on the Mark 3 bodyshell. The name refers to its faster acceleration compared to the units it replaced.</v>
      </c>
    </row>
    <row r="238" spans="1:83" x14ac:dyDescent="0.25">
      <c r="A238" t="s">
        <v>643</v>
      </c>
      <c r="B238" t="s">
        <v>226</v>
      </c>
      <c r="C238">
        <v>458</v>
      </c>
      <c r="D238">
        <v>142</v>
      </c>
      <c r="E238" t="s">
        <v>1508</v>
      </c>
      <c r="F238" t="s">
        <v>403</v>
      </c>
      <c r="G238" t="s">
        <v>272</v>
      </c>
      <c r="H238" t="s">
        <v>274</v>
      </c>
      <c r="I238">
        <v>1984</v>
      </c>
      <c r="J238">
        <v>1988</v>
      </c>
      <c r="K238">
        <v>2005</v>
      </c>
      <c r="L238">
        <v>2</v>
      </c>
      <c r="M238">
        <v>205</v>
      </c>
      <c r="V238">
        <f>26+26.5</f>
        <v>52.5</v>
      </c>
      <c r="X238">
        <v>5</v>
      </c>
      <c r="Y238">
        <v>70</v>
      </c>
      <c r="Z238" s="3">
        <f t="shared" si="123"/>
        <v>0.13333333333333333</v>
      </c>
      <c r="AA238">
        <v>75</v>
      </c>
      <c r="AB238">
        <f t="shared" si="137"/>
        <v>120</v>
      </c>
      <c r="AE238">
        <v>15.45</v>
      </c>
      <c r="AF238">
        <v>15.45</v>
      </c>
      <c r="AG238">
        <v>2.5</v>
      </c>
      <c r="AH238">
        <v>3.9</v>
      </c>
      <c r="AI238" s="10">
        <v>46</v>
      </c>
      <c r="AJ238" t="str">
        <f>CONCATENATE(VLOOKUP(AK238, 'Voxel Sizes'!$A$2:$B$18,2,FALSE),"x",INT(AG238*15), "x", INT(AH238*15))</f>
        <v>152x37x58</v>
      </c>
      <c r="AK238">
        <f t="shared" si="124"/>
        <v>9</v>
      </c>
      <c r="AM238" t="str">
        <f>CONCATENATE(VLOOKUP(AK238,Constants!$A$2:$C$16,IF(AL238&lt;&gt;"", 3, 2), FALSE),IF(AL238&lt;&gt;"",CONCATENATE(",",VLOOKUP(AL238,$B:$AM,38,FALSE)),""))</f>
        <v>2,5,2</v>
      </c>
      <c r="AQ238" t="s">
        <v>638</v>
      </c>
      <c r="AS238" t="s">
        <v>466</v>
      </c>
      <c r="AW238">
        <v>18</v>
      </c>
      <c r="AX238" s="15">
        <f t="shared" si="125"/>
        <v>29</v>
      </c>
      <c r="AY238">
        <v>-35</v>
      </c>
      <c r="AZ238">
        <v>-20</v>
      </c>
      <c r="BA238">
        <f t="shared" si="126"/>
        <v>15</v>
      </c>
      <c r="BB238">
        <f t="shared" si="127"/>
        <v>1.0249999999999999</v>
      </c>
      <c r="BC238">
        <f t="shared" si="128"/>
        <v>3.5</v>
      </c>
      <c r="BD238" s="3">
        <f t="shared" si="129"/>
        <v>0.88800000000000001</v>
      </c>
      <c r="BE238">
        <f t="shared" si="130"/>
        <v>3.0666666666666664</v>
      </c>
      <c r="BF238">
        <f>VLOOKUP($G238,Constants!$I:$K, 2, FALSE)</f>
        <v>1</v>
      </c>
      <c r="BG238">
        <f>VLOOKUP($G238,Constants!$I:$K, 3, FALSE)*IF(AND(F238="multiple_unit",AA238&lt;110),0.75,1)</f>
        <v>1.5</v>
      </c>
      <c r="BH238">
        <f>INT(POWER(((Constants!$G$2+$BA238+$BB238+$BC238+$BE238)*$BD238)*$BG238, 1.05))+$AZ238</f>
        <v>24</v>
      </c>
      <c r="BI238">
        <f>INT(POWER((((Constants!$G$1+$BA238+$BB238+$BC238+$BE238)*($BD238))*$BF238),IF($F238="wagon",1,1.2)))+$AY238</f>
        <v>32</v>
      </c>
      <c r="BJ238" s="14">
        <f t="shared" si="131"/>
        <v>18750</v>
      </c>
      <c r="BK238" s="14">
        <f t="shared" si="132"/>
        <v>2600</v>
      </c>
      <c r="BO238" t="s">
        <v>1112</v>
      </c>
      <c r="BR238">
        <v>2</v>
      </c>
      <c r="BS238">
        <v>148</v>
      </c>
      <c r="BU238" t="s">
        <v>282</v>
      </c>
      <c r="BV238" t="str">
        <f>VLOOKUP(I238,Eras!$A$2:$C$10, 2, TRUE)</f>
        <v>lbr</v>
      </c>
      <c r="BW238" t="s">
        <v>329</v>
      </c>
      <c r="BX238" t="str">
        <f t="shared" si="133"/>
        <v>lbr_DMU (Cheap)</v>
      </c>
      <c r="BY238" t="str">
        <f t="shared" si="134"/>
        <v>diesel_RAIL</v>
      </c>
      <c r="BZ238" s="17" t="str" cm="1">
        <f t="array" ref="BZ238">_xlfn.CONCAT("{BLACK}Length: {GOLD}", TEXT(ROUNDUP(IF(AP238&lt;&gt;"",SUM(VALUE(_xlfn.TEXTSPLIT(AP238, ","))), SUM(VALUE(_xlfn.TEXTSPLIT(AM238, ",")))*IF(L238, L238, 1))/16, 1), "#,##0.0"), " tiles{}")</f>
        <v>{BLACK}Length: {GOLD}1.2 tiles{}</v>
      </c>
      <c r="CA238" t="str">
        <f>VLOOKUP($BY238, Constants!$M:$N, 2, FALSE)</f>
        <v>{BLACK}Powered by: {GOLD}Diesel</v>
      </c>
      <c r="CB238" t="str">
        <f t="shared" si="135"/>
        <v>{BLACK}Cars: {GOLD}2</v>
      </c>
      <c r="CC238" t="s">
        <v>644</v>
      </c>
      <c r="CD238" t="str">
        <f t="shared" si="136"/>
        <v>{YELLOW}20% Penalty for long distance travel{}</v>
      </c>
      <c r="CE238" t="str">
        <f t="shared" si="122"/>
        <v>{BLACK}Powered by: {GOLD}Diesel {BLACK}Cars: {GOLD}2{}{BLACK}Length: {GOLD}1.2 tiles{}{YELLOW}20% Penalty for long distance travel{}{SILVER}The Class 141 is a multiple unit built from Leyland National bus parts. While cheap and light, it is criticised for its poor ride quality.</v>
      </c>
    </row>
    <row r="239" spans="1:83" x14ac:dyDescent="0.25">
      <c r="A239" t="s">
        <v>76</v>
      </c>
      <c r="B239" t="s">
        <v>183</v>
      </c>
      <c r="C239">
        <v>460</v>
      </c>
      <c r="D239">
        <v>143</v>
      </c>
      <c r="E239" t="s">
        <v>1508</v>
      </c>
      <c r="F239" t="s">
        <v>403</v>
      </c>
      <c r="G239" t="s">
        <v>551</v>
      </c>
      <c r="H239" t="s">
        <v>550</v>
      </c>
      <c r="I239">
        <v>1987</v>
      </c>
      <c r="J239">
        <v>1990</v>
      </c>
      <c r="L239">
        <v>4</v>
      </c>
      <c r="M239">
        <f>4*332</f>
        <v>1328</v>
      </c>
      <c r="V239">
        <v>140.30000000000001</v>
      </c>
      <c r="X239">
        <v>5</v>
      </c>
      <c r="Y239">
        <v>160</v>
      </c>
      <c r="Z239" s="3">
        <f t="shared" si="123"/>
        <v>0.11404133998574484</v>
      </c>
      <c r="AA239">
        <v>100</v>
      </c>
      <c r="AB239">
        <f t="shared" si="137"/>
        <v>160</v>
      </c>
      <c r="AE239">
        <v>19.829999999999998</v>
      </c>
      <c r="AF239">
        <v>19.829999999999998</v>
      </c>
      <c r="AH239">
        <v>3.58</v>
      </c>
      <c r="AI239" s="10">
        <v>78</v>
      </c>
      <c r="AJ239" t="str">
        <f>CONCATENATE(VLOOKUP(AK239, 'Voxel Sizes'!$A$2:$B$18,2,FALSE),"x",INT(AG239*15), "x", INT(AH239*15))</f>
        <v>198x0x53</v>
      </c>
      <c r="AK239">
        <f t="shared" si="124"/>
        <v>12</v>
      </c>
      <c r="AM239" t="str">
        <f>CONCATENATE(VLOOKUP(AK239,Constants!$A$2:$C$16,IF(AL239&lt;&gt;"", 3, 2), FALSE),IF(AL239&lt;&gt;"",CONCATENATE(",",VLOOKUP(AL239,$B:$AM,38,FALSE)),""))</f>
        <v>4,4,4</v>
      </c>
      <c r="AQ239" t="s">
        <v>564</v>
      </c>
      <c r="AR239" t="s">
        <v>565</v>
      </c>
      <c r="AS239" t="s">
        <v>554</v>
      </c>
      <c r="AW239">
        <v>32</v>
      </c>
      <c r="AX239" s="15" t="str">
        <f t="shared" si="125"/>
        <v/>
      </c>
      <c r="AY239">
        <v>-10</v>
      </c>
      <c r="AZ239">
        <v>-20</v>
      </c>
      <c r="BA239">
        <f t="shared" si="126"/>
        <v>20</v>
      </c>
      <c r="BB239">
        <f t="shared" si="127"/>
        <v>6.6400000000000006</v>
      </c>
      <c r="BC239">
        <f t="shared" si="128"/>
        <v>8</v>
      </c>
      <c r="BD239" s="3">
        <f t="shared" si="129"/>
        <v>0.88400000000000001</v>
      </c>
      <c r="BE239">
        <f t="shared" si="130"/>
        <v>10.4</v>
      </c>
      <c r="BF239">
        <f>VLOOKUP($G239,Constants!$I:$K, 2, FALSE)</f>
        <v>0.85</v>
      </c>
      <c r="BG239">
        <f>VLOOKUP($G239,Constants!$I:$K, 3, FALSE)*IF(AND(F239="multiple_unit",AA239&lt;110),0.75,1)</f>
        <v>1.7999999999999998</v>
      </c>
      <c r="BH239">
        <f>INT(POWER(((Constants!$G$2+$BA239+$BB239+$BC239+$BE239)*$BD239)*$BG239, 1.05))+$AZ239</f>
        <v>79</v>
      </c>
      <c r="BI239">
        <f>INT(POWER((((Constants!$G$1+$BA239+$BB239+$BC239+$BE239)*($BD239))*$BF239),IF($F239="wagon",1,1.2)))+$AY239</f>
        <v>86</v>
      </c>
      <c r="BJ239" s="14">
        <f t="shared" si="131"/>
        <v>61718.75</v>
      </c>
      <c r="BK239" s="14">
        <f t="shared" si="132"/>
        <v>6987.5</v>
      </c>
      <c r="BR239">
        <v>3</v>
      </c>
      <c r="BS239">
        <v>185</v>
      </c>
      <c r="BU239" t="s">
        <v>282</v>
      </c>
      <c r="BV239" t="str">
        <f>VLOOKUP(I239,Eras!$A$2:$C$10, 2, TRUE)</f>
        <v>lbr</v>
      </c>
      <c r="BW239" t="s">
        <v>332</v>
      </c>
      <c r="BX239" t="str">
        <f t="shared" si="133"/>
        <v>lbr_EMU</v>
      </c>
      <c r="BY239" t="str">
        <f t="shared" si="134"/>
        <v>dual_electric_DUAL_POWER</v>
      </c>
      <c r="BZ239" s="17" t="str" cm="1">
        <f t="array" ref="BZ239">_xlfn.CONCAT("{BLACK}Length: {GOLD}", TEXT(ROUNDUP(IF(AP239&lt;&gt;"",SUM(VALUE(_xlfn.TEXTSPLIT(AP239, ","))), SUM(VALUE(_xlfn.TEXTSPLIT(AM239, ",")))*IF(L239, L239, 1))/16, 1), "#,##0.0"), " tiles{}")</f>
        <v>{BLACK}Length: {GOLD}3.0 tiles{}</v>
      </c>
      <c r="CA239" t="str">
        <f>VLOOKUP($BY239, Constants!$M:$N, 2, FALSE)</f>
        <v>{BLACK}Powered by: {GOLD}25kV AC / 750V DC</v>
      </c>
      <c r="CB239" t="str">
        <f t="shared" si="135"/>
        <v>{BLACK}Cars: {GOLD}4</v>
      </c>
      <c r="CC239" t="s">
        <v>563</v>
      </c>
      <c r="CD239" t="str">
        <f t="shared" si="136"/>
        <v/>
      </c>
      <c r="CE239" t="str">
        <f t="shared" si="122"/>
        <v>{BLACK}Powered by: {GOLD}25kV AC / 750V DC {BLACK}Cars: {GOLD}4{}{BLACK}Length: {GOLD}3.0 tiles{}{SILVER}The Class 319 is a dual-voltage EMU built for the then-new Thameslink service between Brighton and Bedford.</v>
      </c>
    </row>
    <row r="240" spans="1:83" x14ac:dyDescent="0.25">
      <c r="A240" t="s">
        <v>1434</v>
      </c>
      <c r="B240" t="s">
        <v>1435</v>
      </c>
      <c r="C240">
        <v>461</v>
      </c>
      <c r="D240">
        <v>144</v>
      </c>
      <c r="E240" t="s">
        <v>1508</v>
      </c>
      <c r="F240" t="s">
        <v>403</v>
      </c>
      <c r="G240" t="s">
        <v>295</v>
      </c>
      <c r="H240" t="s">
        <v>296</v>
      </c>
      <c r="I240">
        <v>1988</v>
      </c>
      <c r="J240">
        <v>1991</v>
      </c>
      <c r="L240">
        <v>4</v>
      </c>
      <c r="M240">
        <v>1438</v>
      </c>
      <c r="V240">
        <v>137.9</v>
      </c>
      <c r="X240">
        <v>5</v>
      </c>
      <c r="Y240">
        <v>150</v>
      </c>
      <c r="Z240" s="3">
        <f t="shared" si="123"/>
        <v>0.10877447425670776</v>
      </c>
      <c r="AA240">
        <v>100</v>
      </c>
      <c r="AB240">
        <f t="shared" si="137"/>
        <v>160</v>
      </c>
      <c r="AE240">
        <v>19.95</v>
      </c>
      <c r="AF240">
        <v>19.95</v>
      </c>
      <c r="AH240">
        <v>3.78</v>
      </c>
      <c r="AI240" s="10">
        <v>78</v>
      </c>
      <c r="AJ240" t="str">
        <f>CONCATENATE(VLOOKUP(AK240, 'Voxel Sizes'!$A$2:$B$18,2,FALSE),"x",INT(AG240*15), "x", INT(AH240*15))</f>
        <v>198x0x56</v>
      </c>
      <c r="AK240">
        <f t="shared" si="124"/>
        <v>12</v>
      </c>
      <c r="AM240" t="str">
        <f>CONCATENATE(VLOOKUP(AK240,Constants!$A$2:$C$16,IF(AL240&lt;&gt;"", 3, 2), FALSE),IF(AL240&lt;&gt;"",CONCATENATE(",",VLOOKUP(AL240,$B:$AM,38,FALSE)),""))</f>
        <v>4,4,4</v>
      </c>
      <c r="AQ240" t="s">
        <v>1436</v>
      </c>
      <c r="AS240" t="s">
        <v>554</v>
      </c>
      <c r="AW240">
        <v>33</v>
      </c>
      <c r="AX240" s="15" t="str">
        <f t="shared" si="125"/>
        <v/>
      </c>
      <c r="AY240">
        <v>-10</v>
      </c>
      <c r="AZ240">
        <v>-27</v>
      </c>
      <c r="BA240">
        <f t="shared" si="126"/>
        <v>20</v>
      </c>
      <c r="BB240">
        <f t="shared" si="127"/>
        <v>7.1899999999999995</v>
      </c>
      <c r="BC240">
        <f t="shared" si="128"/>
        <v>7.5</v>
      </c>
      <c r="BD240" s="3">
        <f t="shared" si="129"/>
        <v>0.88266666666666671</v>
      </c>
      <c r="BE240">
        <f t="shared" si="130"/>
        <v>10.4</v>
      </c>
      <c r="BF240">
        <f>VLOOKUP($G240,Constants!$I:$K, 2, FALSE)</f>
        <v>0.85</v>
      </c>
      <c r="BG240">
        <f>VLOOKUP($G240,Constants!$I:$K, 3, FALSE)*IF(AND(F240="multiple_unit",AA240&lt;110),0.75,1)</f>
        <v>1.7249999999999999</v>
      </c>
      <c r="BH240">
        <f>INT(POWER(((Constants!$G$2+$BA240+$BB240+$BC240+$BE240)*$BD240)*$BG240, 1.05))+$AZ240</f>
        <v>67</v>
      </c>
      <c r="BI240">
        <f>INT(POWER((((Constants!$G$1+$BA240+$BB240+$BC240+$BE240)*($BD240))*$BF240),IF($F240="wagon",1,1.2)))+$AY240</f>
        <v>86</v>
      </c>
      <c r="BJ240" s="14">
        <f t="shared" si="131"/>
        <v>52343.75</v>
      </c>
      <c r="BK240" s="14">
        <f t="shared" si="132"/>
        <v>6987.5</v>
      </c>
      <c r="BR240">
        <v>9</v>
      </c>
      <c r="BS240">
        <v>185</v>
      </c>
      <c r="BU240" t="s">
        <v>282</v>
      </c>
      <c r="BV240" t="str">
        <f>VLOOKUP(I240,Eras!$A$2:$C$10, 2, TRUE)</f>
        <v>lbr</v>
      </c>
      <c r="BW240" t="s">
        <v>332</v>
      </c>
      <c r="BX240" t="str">
        <f t="shared" si="133"/>
        <v>lbr_EMU</v>
      </c>
      <c r="BY240" t="str">
        <f t="shared" si="134"/>
        <v>electric_ELRL</v>
      </c>
      <c r="BZ240" s="17" t="str" cm="1">
        <f t="array" ref="BZ240">_xlfn.CONCAT("{BLACK}Length: {GOLD}", TEXT(ROUNDUP(IF(AP240&lt;&gt;"",SUM(VALUE(_xlfn.TEXTSPLIT(AP240, ","))), SUM(VALUE(_xlfn.TEXTSPLIT(AM240, ",")))*IF(L240, L240, 1))/16, 1), "#,##0.0"), " tiles{}")</f>
        <v>{BLACK}Length: {GOLD}3.0 tiles{}</v>
      </c>
      <c r="CA240" t="str">
        <f>VLOOKUP($BY240, Constants!$M:$N, 2, FALSE)</f>
        <v>{BLACK}Powered by: {GOLD}25kV AC</v>
      </c>
      <c r="CB240" t="str">
        <f t="shared" si="135"/>
        <v>{BLACK}Cars: {GOLD}4</v>
      </c>
      <c r="CC240" t="s">
        <v>1437</v>
      </c>
      <c r="CD240" t="str">
        <f t="shared" si="136"/>
        <v/>
      </c>
      <c r="CE240" t="str">
        <f t="shared" si="122"/>
        <v>{BLACK}Powered by: {GOLD}25kV AC {BLACK}Cars: {GOLD}4{}{BLACK}Length: {GOLD}3.0 tiles{}{SILVER}The Class 321 is an overhead-line EMU, originally built for Network South East services and Regional Railways services from Leeds.</v>
      </c>
    </row>
    <row r="241" spans="1:83" x14ac:dyDescent="0.25">
      <c r="A241" t="s">
        <v>629</v>
      </c>
      <c r="B241" t="s">
        <v>223</v>
      </c>
      <c r="C241">
        <v>462</v>
      </c>
      <c r="D241">
        <v>145</v>
      </c>
      <c r="E241" t="s">
        <v>1508</v>
      </c>
      <c r="F241" t="s">
        <v>403</v>
      </c>
      <c r="G241" t="s">
        <v>272</v>
      </c>
      <c r="H241" t="s">
        <v>274</v>
      </c>
      <c r="I241">
        <v>1988</v>
      </c>
      <c r="L241">
        <v>2</v>
      </c>
      <c r="M241">
        <f>285*2</f>
        <v>570</v>
      </c>
      <c r="V241">
        <f>35.5+36.1</f>
        <v>71.599999999999994</v>
      </c>
      <c r="X241">
        <v>5</v>
      </c>
      <c r="Y241">
        <v>110</v>
      </c>
      <c r="Z241" s="3">
        <f t="shared" si="123"/>
        <v>0.15363128491620112</v>
      </c>
      <c r="AA241">
        <v>75</v>
      </c>
      <c r="AB241">
        <f t="shared" si="137"/>
        <v>120</v>
      </c>
      <c r="AE241">
        <v>23</v>
      </c>
      <c r="AF241">
        <v>23</v>
      </c>
      <c r="AG241">
        <v>2.8</v>
      </c>
      <c r="AH241">
        <v>3.7</v>
      </c>
      <c r="AI241" s="10">
        <v>69</v>
      </c>
      <c r="AJ241" t="str">
        <f>CONCATENATE(VLOOKUP(AK241, 'Voxel Sizes'!$A$2:$B$18,2,FALSE),"x",INT(AG241*15), "x", INT(AH241*15))</f>
        <v>214x42x55</v>
      </c>
      <c r="AK241">
        <f t="shared" si="124"/>
        <v>13</v>
      </c>
      <c r="AM241" t="str">
        <f>CONCATENATE(VLOOKUP(AK241,Constants!$A$2:$C$16,IF(AL241&lt;&gt;"", 3, 2), FALSE),IF(AL241&lt;&gt;"",CONCATENATE(",",VLOOKUP(AL241,$B:$AM,38,FALSE)),""))</f>
        <v>4,5,4</v>
      </c>
      <c r="AQ241" t="s">
        <v>631</v>
      </c>
      <c r="AS241" t="s">
        <v>466</v>
      </c>
      <c r="AW241">
        <v>33</v>
      </c>
      <c r="AX241" s="15" t="str">
        <f t="shared" si="125"/>
        <v/>
      </c>
      <c r="AY241">
        <v>-10</v>
      </c>
      <c r="AZ241">
        <v>-15</v>
      </c>
      <c r="BA241">
        <f t="shared" si="126"/>
        <v>15</v>
      </c>
      <c r="BB241">
        <f t="shared" si="127"/>
        <v>2.8499999999999996</v>
      </c>
      <c r="BC241">
        <f t="shared" si="128"/>
        <v>5.5</v>
      </c>
      <c r="BD241" s="3">
        <f t="shared" si="129"/>
        <v>0.88266666666666671</v>
      </c>
      <c r="BE241">
        <f t="shared" si="130"/>
        <v>4.6000000000000005</v>
      </c>
      <c r="BF241">
        <f>VLOOKUP($G241,Constants!$I:$K, 2, FALSE)</f>
        <v>1</v>
      </c>
      <c r="BG241">
        <f>VLOOKUP($G241,Constants!$I:$K, 3, FALSE)*IF(AND(F241="multiple_unit",AA241&lt;110),0.75,1)</f>
        <v>1.5</v>
      </c>
      <c r="BH241">
        <f>INT(POWER(((Constants!$G$2+$BA241+$BB241+$BC241+$BE241)*$BD241)*$BG241, 1.05))+$AZ241</f>
        <v>37</v>
      </c>
      <c r="BI241">
        <f>INT(POWER((((Constants!$G$1+$BA241+$BB241+$BC241+$BE241)*($BD241))*$BF241),IF($F241="wagon",1,1.2)))+$AY241</f>
        <v>68</v>
      </c>
      <c r="BJ241" s="14">
        <f t="shared" si="131"/>
        <v>28906.25</v>
      </c>
      <c r="BK241" s="14">
        <f t="shared" si="132"/>
        <v>5525</v>
      </c>
      <c r="BO241" t="s">
        <v>1113</v>
      </c>
      <c r="BR241">
        <v>4</v>
      </c>
      <c r="BS241">
        <v>185</v>
      </c>
      <c r="BU241" t="s">
        <v>282</v>
      </c>
      <c r="BV241" t="str">
        <f>VLOOKUP(I241,Eras!$A$2:$C$10, 2, TRUE)</f>
        <v>lbr</v>
      </c>
      <c r="BW241" t="s">
        <v>330</v>
      </c>
      <c r="BX241" t="str">
        <f t="shared" si="133"/>
        <v>lbr_DMU</v>
      </c>
      <c r="BY241" t="str">
        <f t="shared" si="134"/>
        <v>diesel_RAIL</v>
      </c>
      <c r="BZ241" s="17" t="str" cm="1">
        <f t="array" ref="BZ241">_xlfn.CONCAT("{BLACK}Length: {GOLD}", TEXT(ROUNDUP(IF(AP241&lt;&gt;"",SUM(VALUE(_xlfn.TEXTSPLIT(AP241, ","))), SUM(VALUE(_xlfn.TEXTSPLIT(AM241, ",")))*IF(L241, L241, 1))/16, 1), "#,##0.0"), " tiles{}")</f>
        <v>{BLACK}Length: {GOLD}1.7 tiles{}</v>
      </c>
      <c r="CA241" t="str">
        <f>VLOOKUP($BY241, Constants!$M:$N, 2, FALSE)</f>
        <v>{BLACK}Powered by: {GOLD}Diesel</v>
      </c>
      <c r="CB241" t="str">
        <f t="shared" si="135"/>
        <v>{BLACK}Cars: {GOLD}2</v>
      </c>
      <c r="CC241" t="s">
        <v>630</v>
      </c>
      <c r="CD241" t="str">
        <f t="shared" si="136"/>
        <v/>
      </c>
      <c r="CE241" t="str">
        <f t="shared" si="122"/>
        <v>{BLACK}Powered by: {GOLD}Diesel {BLACK}Cars: {GOLD}2{}{BLACK}Length: {GOLD}1.7 tiles{}{SILVER}The Class 156 is a member of the Sprinter family designed for longer journeys, with single doors at each end rather than the metro-style doors of the Class 150s.</v>
      </c>
    </row>
    <row r="242" spans="1:83" x14ac:dyDescent="0.25">
      <c r="A242" t="s">
        <v>94</v>
      </c>
      <c r="B242" t="s">
        <v>229</v>
      </c>
      <c r="C242">
        <v>464</v>
      </c>
      <c r="D242">
        <v>146</v>
      </c>
      <c r="E242" t="s">
        <v>1508</v>
      </c>
      <c r="F242" t="s">
        <v>403</v>
      </c>
      <c r="G242" t="s">
        <v>295</v>
      </c>
      <c r="H242" t="s">
        <v>302</v>
      </c>
      <c r="I242">
        <v>1988</v>
      </c>
      <c r="L242">
        <v>5</v>
      </c>
      <c r="M242">
        <v>1610</v>
      </c>
      <c r="V242">
        <v>202.8</v>
      </c>
      <c r="X242">
        <v>5</v>
      </c>
      <c r="Y242">
        <v>190</v>
      </c>
      <c r="Z242" s="3">
        <f t="shared" si="123"/>
        <v>9.3688362919132157E-2</v>
      </c>
      <c r="AA242">
        <v>108</v>
      </c>
      <c r="AB242">
        <f t="shared" si="137"/>
        <v>173</v>
      </c>
      <c r="AE242">
        <v>23</v>
      </c>
      <c r="AF242">
        <v>23</v>
      </c>
      <c r="AG242">
        <v>2.74</v>
      </c>
      <c r="AH242">
        <v>3.81</v>
      </c>
      <c r="AI242" s="10">
        <v>66</v>
      </c>
      <c r="AJ242" t="str">
        <f>CONCATENATE(VLOOKUP(AK242, 'Voxel Sizes'!$A$2:$B$18,2,FALSE),"x",INT(AG242*15), "x", INT(AH242*15))</f>
        <v>214x41x57</v>
      </c>
      <c r="AK242">
        <f t="shared" si="124"/>
        <v>13</v>
      </c>
      <c r="AM242" t="str">
        <f>CONCATENATE(VLOOKUP(AK242,Constants!$A$2:$C$16,IF(AL242&lt;&gt;"", 3, 2), FALSE),IF(AL242&lt;&gt;"",CONCATENATE(",",VLOOKUP(AL242,$B:$AM,38,FALSE)),""))</f>
        <v>4,5,4</v>
      </c>
      <c r="AQ242" t="s">
        <v>664</v>
      </c>
      <c r="AS242" t="s">
        <v>605</v>
      </c>
      <c r="AW242">
        <v>35</v>
      </c>
      <c r="AX242" s="15" t="str">
        <f t="shared" si="125"/>
        <v/>
      </c>
      <c r="AY242">
        <v>-10</v>
      </c>
      <c r="AZ242">
        <v>-25</v>
      </c>
      <c r="BA242">
        <f t="shared" si="126"/>
        <v>21.599999999999998</v>
      </c>
      <c r="BB242">
        <f t="shared" si="127"/>
        <v>8.0500000000000007</v>
      </c>
      <c r="BC242">
        <f t="shared" si="128"/>
        <v>9.5</v>
      </c>
      <c r="BD242" s="3">
        <f t="shared" si="129"/>
        <v>0.88266666666666671</v>
      </c>
      <c r="BE242">
        <f t="shared" si="130"/>
        <v>11</v>
      </c>
      <c r="BF242">
        <f>VLOOKUP($G242,Constants!$I:$K, 2, FALSE)</f>
        <v>0.85</v>
      </c>
      <c r="BG242">
        <f>VLOOKUP($G242,Constants!$I:$K, 3, FALSE)*IF(AND(F242="multiple_unit",AA242&lt;110),0.75,1)</f>
        <v>1.7249999999999999</v>
      </c>
      <c r="BH242">
        <f>INT(POWER(((Constants!$G$2+$BA242+$BB242+$BC242+$BE242)*$BD242)*$BG242, 1.05))+$AZ242</f>
        <v>79</v>
      </c>
      <c r="BI242">
        <f>INT(POWER((((Constants!$G$1+$BA242+$BB242+$BC242+$BE242)*($BD242))*$BF242),IF($F242="wagon",1,1.2)))+$AY242</f>
        <v>96</v>
      </c>
      <c r="BJ242" s="14">
        <f t="shared" si="131"/>
        <v>61718.75</v>
      </c>
      <c r="BK242" s="14">
        <f t="shared" si="132"/>
        <v>7800</v>
      </c>
      <c r="BO242" t="s">
        <v>1115</v>
      </c>
      <c r="BQ242" t="s">
        <v>1145</v>
      </c>
      <c r="BR242">
        <v>5</v>
      </c>
      <c r="BS242">
        <v>205</v>
      </c>
      <c r="BU242" t="s">
        <v>282</v>
      </c>
      <c r="BV242" t="str">
        <f>VLOOKUP(I242,Eras!$A$2:$C$10, 2, TRUE)</f>
        <v>lbr</v>
      </c>
      <c r="BW242" t="s">
        <v>333</v>
      </c>
      <c r="BX242" t="str">
        <f t="shared" si="133"/>
        <v>lbr_EMU (Express)</v>
      </c>
      <c r="BY242" t="str">
        <f t="shared" si="134"/>
        <v>electric_THIRD_RAIL</v>
      </c>
      <c r="BZ242" s="17" t="str" cm="1">
        <f t="array" ref="BZ242">_xlfn.CONCAT("{BLACK}Length: {GOLD}", TEXT(ROUNDUP(IF(AP242&lt;&gt;"",SUM(VALUE(_xlfn.TEXTSPLIT(AP242, ","))), SUM(VALUE(_xlfn.TEXTSPLIT(AM242, ",")))*IF(L242, L242, 1))/16, 1), "#,##0.0"), " tiles{}")</f>
        <v>{BLACK}Length: {GOLD}4.1 tiles{}</v>
      </c>
      <c r="CA242" t="str">
        <f>VLOOKUP($BY242, Constants!$M:$N, 2, FALSE)</f>
        <v>{BLACK}Powered by: {GOLD}750V DC</v>
      </c>
      <c r="CB242" t="str">
        <f t="shared" si="135"/>
        <v>{BLACK}Cars: {GOLD}5</v>
      </c>
      <c r="CC242" t="s">
        <v>665</v>
      </c>
      <c r="CD242" t="str">
        <f t="shared" si="136"/>
        <v>{YELLOW}10% Bonus for long distance travel{}</v>
      </c>
      <c r="CE242" t="str">
        <f t="shared" si="122"/>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43" spans="1:83" x14ac:dyDescent="0.25">
      <c r="A243" t="s">
        <v>94</v>
      </c>
      <c r="B243" t="s">
        <v>1133</v>
      </c>
      <c r="C243">
        <v>465</v>
      </c>
      <c r="D243">
        <v>147</v>
      </c>
      <c r="E243" t="s">
        <v>1508</v>
      </c>
      <c r="F243" t="s">
        <v>403</v>
      </c>
      <c r="G243" t="s">
        <v>295</v>
      </c>
      <c r="H243" t="s">
        <v>302</v>
      </c>
      <c r="I243">
        <v>1988</v>
      </c>
      <c r="L243">
        <v>4</v>
      </c>
      <c r="M243">
        <v>1610</v>
      </c>
      <c r="V243">
        <f>202.8/5*4</f>
        <v>162.24</v>
      </c>
      <c r="X243">
        <v>5</v>
      </c>
      <c r="Y243">
        <v>190</v>
      </c>
      <c r="Z243" s="3">
        <f t="shared" si="123"/>
        <v>0.11711045364891517</v>
      </c>
      <c r="AA243">
        <v>108</v>
      </c>
      <c r="AB243">
        <f t="shared" si="137"/>
        <v>173</v>
      </c>
      <c r="AE243">
        <v>23</v>
      </c>
      <c r="AF243">
        <v>23</v>
      </c>
      <c r="AG243">
        <v>2.74</v>
      </c>
      <c r="AH243">
        <v>3.81</v>
      </c>
      <c r="AI243" s="10">
        <v>66</v>
      </c>
      <c r="AJ243" t="str">
        <f>CONCATENATE(VLOOKUP(AK243, 'Voxel Sizes'!$A$2:$B$18,2,FALSE),"x",INT(AG243*15), "x", INT(AH243*15))</f>
        <v>214x41x57</v>
      </c>
      <c r="AK243">
        <f t="shared" si="124"/>
        <v>13</v>
      </c>
      <c r="AM243" t="str">
        <f>CONCATENATE(VLOOKUP(AK243,Constants!$A$2:$C$16,IF(AL243&lt;&gt;"", 3, 2), FALSE),IF(AL243&lt;&gt;"",CONCATENATE(",",VLOOKUP(AL243,$B:$AM,38,FALSE)),""))</f>
        <v>4,5,4</v>
      </c>
      <c r="AQ243" t="s">
        <v>1134</v>
      </c>
      <c r="AS243" t="s">
        <v>1125</v>
      </c>
      <c r="AT243" t="s">
        <v>229</v>
      </c>
      <c r="AW243">
        <v>35</v>
      </c>
      <c r="AX243" s="15" t="str">
        <f t="shared" si="125"/>
        <v/>
      </c>
      <c r="AY243">
        <v>-10</v>
      </c>
      <c r="AZ243">
        <v>-25</v>
      </c>
      <c r="BA243">
        <f t="shared" si="126"/>
        <v>21.599999999999998</v>
      </c>
      <c r="BB243">
        <f t="shared" si="127"/>
        <v>8.0500000000000007</v>
      </c>
      <c r="BC243">
        <f t="shared" si="128"/>
        <v>9.5</v>
      </c>
      <c r="BD243" s="3">
        <f t="shared" si="129"/>
        <v>0.88266666666666671</v>
      </c>
      <c r="BE243">
        <f t="shared" si="130"/>
        <v>8.8000000000000007</v>
      </c>
      <c r="BF243">
        <f>VLOOKUP($G243,Constants!$I:$K, 2, FALSE)</f>
        <v>0.85</v>
      </c>
      <c r="BG243">
        <f>VLOOKUP($G243,Constants!$I:$K, 3, FALSE)*IF(AND(F243="multiple_unit",AA243&lt;110),0.75,1)</f>
        <v>1.7249999999999999</v>
      </c>
      <c r="BH243">
        <f>INT(POWER(((Constants!$G$2+$BA243+$BB243+$BC243+$BE243)*$BD243)*$BG243, 1.05))+$AZ243</f>
        <v>75</v>
      </c>
      <c r="BI243">
        <f>INT(POWER((((Constants!$G$1+$BA243+$BB243+$BC243+$BE243)*($BD243))*$BF243),IF($F243="wagon",1,1.2)))+$AY243</f>
        <v>92</v>
      </c>
      <c r="BJ243" s="14">
        <f t="shared" si="131"/>
        <v>58593.75</v>
      </c>
      <c r="BK243" s="14">
        <f t="shared" si="132"/>
        <v>7475</v>
      </c>
      <c r="BO243" t="s">
        <v>1115</v>
      </c>
      <c r="BQ243" t="s">
        <v>1147</v>
      </c>
      <c r="BR243">
        <v>5</v>
      </c>
      <c r="BS243">
        <v>205</v>
      </c>
      <c r="BU243" t="s">
        <v>282</v>
      </c>
      <c r="BV243" t="str">
        <f>VLOOKUP(I243,Eras!$A$2:$C$10, 2, TRUE)</f>
        <v>lbr</v>
      </c>
      <c r="BW243" t="s">
        <v>333</v>
      </c>
      <c r="BX243" t="str">
        <f t="shared" si="133"/>
        <v>lbr_EMU (Express)</v>
      </c>
      <c r="BY243" t="str">
        <f t="shared" si="134"/>
        <v>electric_THIRD_RAIL</v>
      </c>
      <c r="BZ243" s="17" t="str" cm="1">
        <f t="array" ref="BZ243">_xlfn.CONCAT("{BLACK}Length: {GOLD}", TEXT(ROUNDUP(IF(AP243&lt;&gt;"",SUM(VALUE(_xlfn.TEXTSPLIT(AP243, ","))), SUM(VALUE(_xlfn.TEXTSPLIT(AM243, ",")))*IF(L243, L243, 1))/16, 1), "#,##0.0"), " tiles{}")</f>
        <v>{BLACK}Length: {GOLD}3.3 tiles{}</v>
      </c>
      <c r="CA243" t="str">
        <f>VLOOKUP($BY243, Constants!$M:$N, 2, FALSE)</f>
        <v>{BLACK}Powered by: {GOLD}750V DC</v>
      </c>
      <c r="CB243" t="str">
        <f t="shared" si="135"/>
        <v>{BLACK}Cars: {GOLD}4</v>
      </c>
      <c r="CC243" t="s">
        <v>665</v>
      </c>
      <c r="CD243" t="str">
        <f t="shared" si="136"/>
        <v>{YELLOW}10% Bonus for long distance travel{}</v>
      </c>
      <c r="CE243" t="str">
        <f t="shared" si="122"/>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44" spans="1:83" x14ac:dyDescent="0.25">
      <c r="A244" t="s">
        <v>88</v>
      </c>
      <c r="B244" t="s">
        <v>224</v>
      </c>
      <c r="C244">
        <v>466</v>
      </c>
      <c r="D244">
        <v>148</v>
      </c>
      <c r="E244" t="s">
        <v>1508</v>
      </c>
      <c r="F244" t="s">
        <v>403</v>
      </c>
      <c r="G244" t="s">
        <v>272</v>
      </c>
      <c r="H244" t="s">
        <v>274</v>
      </c>
      <c r="I244">
        <v>1989</v>
      </c>
      <c r="J244">
        <v>1992</v>
      </c>
      <c r="L244">
        <v>3</v>
      </c>
      <c r="M244">
        <f>350*3</f>
        <v>1050</v>
      </c>
      <c r="V244">
        <f>37.8*3</f>
        <v>113.39999999999999</v>
      </c>
      <c r="X244">
        <v>5</v>
      </c>
      <c r="Y244">
        <v>120</v>
      </c>
      <c r="Z244" s="3">
        <f t="shared" si="123"/>
        <v>0.10582010582010581</v>
      </c>
      <c r="AA244">
        <v>90</v>
      </c>
      <c r="AB244">
        <f t="shared" si="137"/>
        <v>144</v>
      </c>
      <c r="AE244">
        <v>23.2</v>
      </c>
      <c r="AF244">
        <v>23</v>
      </c>
      <c r="AG244">
        <v>2.7</v>
      </c>
      <c r="AI244" s="10">
        <v>69</v>
      </c>
      <c r="AJ244" t="str">
        <f>CONCATENATE(VLOOKUP(AK244, 'Voxel Sizes'!$A$2:$B$18,2,FALSE),"x",INT(AG244*15), "x", INT(AH244*15))</f>
        <v>214x40x0</v>
      </c>
      <c r="AK244">
        <f t="shared" si="124"/>
        <v>13</v>
      </c>
      <c r="AM244" t="str">
        <f>CONCATENATE(VLOOKUP(AK244,Constants!$A$2:$C$16,IF(AL244&lt;&gt;"", 3, 2), FALSE),IF(AL244&lt;&gt;"",CONCATENATE(",",VLOOKUP(AL244,$B:$AM,38,FALSE)),""))</f>
        <v>4,5,4</v>
      </c>
      <c r="AQ244" t="s">
        <v>632</v>
      </c>
      <c r="AS244" t="s">
        <v>291</v>
      </c>
      <c r="AW244">
        <v>33</v>
      </c>
      <c r="AX244" s="15" t="str">
        <f t="shared" si="125"/>
        <v/>
      </c>
      <c r="AY244">
        <v>-10</v>
      </c>
      <c r="AZ244">
        <v>-15</v>
      </c>
      <c r="BA244">
        <f t="shared" si="126"/>
        <v>18</v>
      </c>
      <c r="BB244">
        <f t="shared" si="127"/>
        <v>5.25</v>
      </c>
      <c r="BC244">
        <f t="shared" si="128"/>
        <v>6</v>
      </c>
      <c r="BD244" s="3">
        <f t="shared" si="129"/>
        <v>0.8813333333333333</v>
      </c>
      <c r="BE244">
        <f t="shared" si="130"/>
        <v>6.9</v>
      </c>
      <c r="BF244">
        <f>VLOOKUP($G244,Constants!$I:$K, 2, FALSE)</f>
        <v>1</v>
      </c>
      <c r="BG244">
        <f>VLOOKUP($G244,Constants!$I:$K, 3, FALSE)*IF(AND(F244="multiple_unit",AA244&lt;110),0.75,1)</f>
        <v>1.5</v>
      </c>
      <c r="BH244">
        <f>INT(POWER(((Constants!$G$2+$BA244+$BB244+$BC244+$BE244)*$BD244)*$BG244, 1.05))+$AZ244</f>
        <v>51</v>
      </c>
      <c r="BI244">
        <f>INT(POWER((((Constants!$G$1+$BA244+$BB244+$BC244+$BE244)*($BD244))*$BF244),IF($F244="wagon",1,1.2)))+$AY244</f>
        <v>86</v>
      </c>
      <c r="BJ244" s="14">
        <f t="shared" si="131"/>
        <v>39843.75</v>
      </c>
      <c r="BK244" s="14">
        <f t="shared" si="132"/>
        <v>6987.5</v>
      </c>
      <c r="BO244" t="s">
        <v>1114</v>
      </c>
      <c r="BR244">
        <v>7</v>
      </c>
      <c r="BS244">
        <v>205</v>
      </c>
      <c r="BU244" t="s">
        <v>282</v>
      </c>
      <c r="BV244" t="str">
        <f>VLOOKUP(I244,Eras!$A$2:$C$10, 2, TRUE)</f>
        <v>lbr</v>
      </c>
      <c r="BW244" t="s">
        <v>331</v>
      </c>
      <c r="BX244" t="str">
        <f t="shared" si="133"/>
        <v>lbr_DMU (Express)</v>
      </c>
      <c r="BY244" t="str">
        <f t="shared" si="134"/>
        <v>diesel_RAIL</v>
      </c>
      <c r="BZ244" s="17" t="str" cm="1">
        <f t="array" ref="BZ244">_xlfn.CONCAT("{BLACK}Length: {GOLD}", TEXT(ROUNDUP(IF(AP244&lt;&gt;"",SUM(VALUE(_xlfn.TEXTSPLIT(AP244, ","))), SUM(VALUE(_xlfn.TEXTSPLIT(AM244, ",")))*IF(L244, L244, 1))/16, 1), "#,##0.0"), " tiles{}")</f>
        <v>{BLACK}Length: {GOLD}2.5 tiles{}</v>
      </c>
      <c r="CA244" t="str">
        <f>VLOOKUP($BY244, Constants!$M:$N, 2, FALSE)</f>
        <v>{BLACK}Powered by: {GOLD}Diesel</v>
      </c>
      <c r="CB244" t="str">
        <f t="shared" si="135"/>
        <v>{BLACK}Cars: {GOLD}3</v>
      </c>
      <c r="CC244" t="s">
        <v>633</v>
      </c>
      <c r="CD244" t="str">
        <f t="shared" si="136"/>
        <v>{YELLOW}10% Bonus for long distance travel{}</v>
      </c>
      <c r="CE244" t="str">
        <f t="shared" si="122"/>
        <v>{BLACK}Powered by: {GOLD}Diesel {BLACK}Cars: {GOLD}3{}{BLACK}Length: {GOLD}2.5 tiles{}{YELLOW}10% Bonus for long distance travel{}{SILVER}The Class 158 has many improvements over earlier generation Sprinters, including air conditioning and a more comfortable ride.</v>
      </c>
    </row>
    <row r="245" spans="1:83" x14ac:dyDescent="0.25">
      <c r="A245" t="s">
        <v>84</v>
      </c>
      <c r="B245" t="s">
        <v>187</v>
      </c>
      <c r="C245">
        <v>468</v>
      </c>
      <c r="D245">
        <v>149</v>
      </c>
      <c r="E245" t="s">
        <v>1508</v>
      </c>
      <c r="F245" t="s">
        <v>403</v>
      </c>
      <c r="G245" t="s">
        <v>295</v>
      </c>
      <c r="H245" t="s">
        <v>302</v>
      </c>
      <c r="I245">
        <v>1990</v>
      </c>
      <c r="L245">
        <v>2</v>
      </c>
      <c r="M245">
        <v>500</v>
      </c>
      <c r="V245">
        <v>72.5</v>
      </c>
      <c r="X245">
        <v>5</v>
      </c>
      <c r="Y245">
        <v>120</v>
      </c>
      <c r="Z245" s="3">
        <f t="shared" si="123"/>
        <v>0.16551724137931034</v>
      </c>
      <c r="AA245">
        <v>75</v>
      </c>
      <c r="AB245">
        <f t="shared" si="137"/>
        <v>120</v>
      </c>
      <c r="AE245">
        <v>19.8</v>
      </c>
      <c r="AF245">
        <v>19.8</v>
      </c>
      <c r="AI245" s="10">
        <v>75</v>
      </c>
      <c r="AJ245" t="str">
        <f>CONCATENATE(VLOOKUP(AK245, 'Voxel Sizes'!$A$2:$B$18,2,FALSE),"x",INT(AG245*15), "x", INT(AH245*15))</f>
        <v>198x0x0</v>
      </c>
      <c r="AK245">
        <f t="shared" si="124"/>
        <v>12</v>
      </c>
      <c r="AM245" t="str">
        <f>CONCATENATE(VLOOKUP(AK245,Constants!$A$2:$C$16,IF(AL245&lt;&gt;"", 3, 2), FALSE),IF(AL245&lt;&gt;"",CONCATENATE(",",VLOOKUP(AL245,$B:$AM,38,FALSE)),""))</f>
        <v>4,4,4</v>
      </c>
      <c r="AQ245" t="s">
        <v>608</v>
      </c>
      <c r="AS245" t="s">
        <v>466</v>
      </c>
      <c r="AW245">
        <v>31</v>
      </c>
      <c r="AX245" s="15" t="str">
        <f t="shared" si="125"/>
        <v/>
      </c>
      <c r="AY245">
        <v>-10</v>
      </c>
      <c r="AZ245">
        <v>-20</v>
      </c>
      <c r="BA245">
        <f t="shared" si="126"/>
        <v>15</v>
      </c>
      <c r="BB245">
        <f t="shared" si="127"/>
        <v>2.5</v>
      </c>
      <c r="BC245">
        <f t="shared" si="128"/>
        <v>6</v>
      </c>
      <c r="BD245" s="3">
        <f t="shared" si="129"/>
        <v>0.88</v>
      </c>
      <c r="BE245">
        <f t="shared" si="130"/>
        <v>5</v>
      </c>
      <c r="BF245">
        <f>VLOOKUP($G245,Constants!$I:$K, 2, FALSE)</f>
        <v>0.85</v>
      </c>
      <c r="BG245">
        <f>VLOOKUP($G245,Constants!$I:$K, 3, FALSE)*IF(AND(F245="multiple_unit",AA245&lt;110),0.75,1)</f>
        <v>1.7249999999999999</v>
      </c>
      <c r="BH245">
        <f>INT(POWER(((Constants!$G$2+$BA245+$BB245+$BC245+$BE245)*$BD245)*$BG245, 1.05))+$AZ245</f>
        <v>41</v>
      </c>
      <c r="BI245">
        <f>INT(POWER((((Constants!$G$1+$BA245+$BB245+$BC245+$BE245)*($BD245))*$BF245),IF($F245="wagon",1,1.2)))+$AY245</f>
        <v>55</v>
      </c>
      <c r="BJ245" s="14">
        <f t="shared" si="131"/>
        <v>32031.25</v>
      </c>
      <c r="BK245" s="14">
        <f t="shared" si="132"/>
        <v>4468.75</v>
      </c>
      <c r="BO245" t="s">
        <v>186</v>
      </c>
      <c r="BR245">
        <v>8</v>
      </c>
      <c r="BS245">
        <v>185</v>
      </c>
      <c r="BU245" t="s">
        <v>282</v>
      </c>
      <c r="BV245" t="str">
        <f>VLOOKUP(I245,Eras!$A$2:$C$10, 2, TRUE)</f>
        <v>lbr</v>
      </c>
      <c r="BW245" t="s">
        <v>332</v>
      </c>
      <c r="BX245" t="str">
        <f t="shared" si="133"/>
        <v>lbr_EMU</v>
      </c>
      <c r="BY245" t="str">
        <f t="shared" si="134"/>
        <v>electric_THIRD_RAIL</v>
      </c>
      <c r="BZ245" s="17" t="str" cm="1">
        <f t="array" ref="BZ245">_xlfn.CONCAT("{BLACK}Length: {GOLD}", TEXT(ROUNDUP(IF(AP245&lt;&gt;"",SUM(VALUE(_xlfn.TEXTSPLIT(AP245, ","))), SUM(VALUE(_xlfn.TEXTSPLIT(AM245, ",")))*IF(L245, L245, 1))/16, 1), "#,##0.0"), " tiles{}")</f>
        <v>{BLACK}Length: {GOLD}1.5 tiles{}</v>
      </c>
      <c r="CA245" t="str">
        <f>VLOOKUP($BY245, Constants!$M:$N, 2, FALSE)</f>
        <v>{BLACK}Powered by: {GOLD}750V DC</v>
      </c>
      <c r="CB245" t="str">
        <f t="shared" si="135"/>
        <v>{BLACK}Cars: {GOLD}2</v>
      </c>
      <c r="CC245" t="s">
        <v>609</v>
      </c>
      <c r="CD245" t="str">
        <f t="shared" si="136"/>
        <v/>
      </c>
      <c r="CE245" t="str">
        <f t="shared" si="122"/>
        <v>{BLACK}Powered by: {GOLD}750V DC {BLACK}Cars: {GOLD}2{}{BLACK}Length: {GOLD}1.5 tiles{}{SILVER}The Class 456 is a two-car EMU used for inner suburban services - either as a single unit for services with low demand or coupled to other Class 456 or 455 units for higher capacity routes.</v>
      </c>
    </row>
    <row r="246" spans="1:83" x14ac:dyDescent="0.25">
      <c r="A246" t="s">
        <v>89</v>
      </c>
      <c r="B246" t="s">
        <v>225</v>
      </c>
      <c r="C246">
        <v>470</v>
      </c>
      <c r="D246">
        <v>150</v>
      </c>
      <c r="E246" t="s">
        <v>1508</v>
      </c>
      <c r="F246" t="s">
        <v>403</v>
      </c>
      <c r="G246" t="s">
        <v>272</v>
      </c>
      <c r="H246" t="s">
        <v>274</v>
      </c>
      <c r="I246">
        <v>1991</v>
      </c>
      <c r="J246">
        <v>1992</v>
      </c>
      <c r="L246">
        <v>2</v>
      </c>
      <c r="M246">
        <f>350*2</f>
        <v>700</v>
      </c>
      <c r="V246">
        <v>74</v>
      </c>
      <c r="X246">
        <v>5</v>
      </c>
      <c r="Y246">
        <v>105</v>
      </c>
      <c r="Z246" s="3">
        <f t="shared" si="123"/>
        <v>0.14189189189189189</v>
      </c>
      <c r="AA246">
        <v>75</v>
      </c>
      <c r="AB246">
        <f t="shared" si="137"/>
        <v>120</v>
      </c>
      <c r="AE246">
        <v>22.91</v>
      </c>
      <c r="AF246">
        <v>22.9</v>
      </c>
      <c r="AG246">
        <v>2.8</v>
      </c>
      <c r="AH246">
        <v>3.8</v>
      </c>
      <c r="AI246" s="10">
        <v>93</v>
      </c>
      <c r="AJ246" t="str">
        <f>CONCATENATE(VLOOKUP(AK246, 'Voxel Sizes'!$A$2:$B$18,2,FALSE),"x",INT(AG246*15), "x", INT(AH246*15))</f>
        <v>214x42x57</v>
      </c>
      <c r="AK246">
        <f t="shared" si="124"/>
        <v>13</v>
      </c>
      <c r="AM246" t="str">
        <f>CONCATENATE(VLOOKUP(AK246,Constants!$A$2:$C$16,IF(AL246&lt;&gt;"", 3, 2), FALSE),IF(AL246&lt;&gt;"",CONCATENATE(",",VLOOKUP(AL246,$B:$AM,38,FALSE)),""))</f>
        <v>4,5,4</v>
      </c>
      <c r="AQ246" t="s">
        <v>636</v>
      </c>
      <c r="AS246" t="s">
        <v>466</v>
      </c>
      <c r="AW246">
        <v>32</v>
      </c>
      <c r="AX246" s="15" t="str">
        <f t="shared" si="125"/>
        <v/>
      </c>
      <c r="AY246">
        <v>-10</v>
      </c>
      <c r="AZ246">
        <v>-15</v>
      </c>
      <c r="BA246">
        <f t="shared" si="126"/>
        <v>15</v>
      </c>
      <c r="BB246">
        <f t="shared" si="127"/>
        <v>3.5</v>
      </c>
      <c r="BC246">
        <f t="shared" si="128"/>
        <v>5.25</v>
      </c>
      <c r="BD246" s="3">
        <f t="shared" si="129"/>
        <v>0.87866666666666671</v>
      </c>
      <c r="BE246">
        <f t="shared" si="130"/>
        <v>6.2</v>
      </c>
      <c r="BF246">
        <f>VLOOKUP($G246,Constants!$I:$K, 2, FALSE)</f>
        <v>1</v>
      </c>
      <c r="BG246">
        <f>VLOOKUP($G246,Constants!$I:$K, 3, FALSE)*IF(AND(F246="multiple_unit",AA246&lt;110),0.75,1)</f>
        <v>1.5</v>
      </c>
      <c r="BH246">
        <f>INT(POWER(((Constants!$G$2+$BA246+$BB246+$BC246+$BE246)*$BD246)*$BG246, 1.05))+$AZ246</f>
        <v>40</v>
      </c>
      <c r="BI246">
        <f>INT(POWER((((Constants!$G$1+$BA246+$BB246+$BC246+$BE246)*($BD246))*$BF246),IF($F246="wagon",1,1.2)))+$AY246</f>
        <v>72</v>
      </c>
      <c r="BJ246" s="14">
        <f t="shared" si="131"/>
        <v>31250</v>
      </c>
      <c r="BK246" s="14">
        <f t="shared" si="132"/>
        <v>5850</v>
      </c>
      <c r="BR246">
        <v>9</v>
      </c>
      <c r="BS246">
        <v>185</v>
      </c>
      <c r="BU246" t="s">
        <v>282</v>
      </c>
      <c r="BV246" t="str">
        <f>VLOOKUP(I246,Eras!$A$2:$C$10, 2, TRUE)</f>
        <v>lbr</v>
      </c>
      <c r="BW246" t="s">
        <v>330</v>
      </c>
      <c r="BX246" t="str">
        <f t="shared" si="133"/>
        <v>lbr_DMU</v>
      </c>
      <c r="BY246" t="str">
        <f t="shared" si="134"/>
        <v>diesel_RAIL</v>
      </c>
      <c r="BZ246" s="17" t="str" cm="1">
        <f t="array" ref="BZ246">_xlfn.CONCAT("{BLACK}Length: {GOLD}", TEXT(ROUNDUP(IF(AP246&lt;&gt;"",SUM(VALUE(_xlfn.TEXTSPLIT(AP246, ","))), SUM(VALUE(_xlfn.TEXTSPLIT(AM246, ",")))*IF(L246, L246, 1))/16, 1), "#,##0.0"), " tiles{}")</f>
        <v>{BLACK}Length: {GOLD}1.7 tiles{}</v>
      </c>
      <c r="CA246" t="str">
        <f>VLOOKUP($BY246, Constants!$M:$N, 2, FALSE)</f>
        <v>{BLACK}Powered by: {GOLD}Diesel</v>
      </c>
      <c r="CB246" t="str">
        <f t="shared" si="135"/>
        <v>{BLACK}Cars: {GOLD}2</v>
      </c>
      <c r="CC246" t="s">
        <v>637</v>
      </c>
      <c r="CD246" t="str">
        <f t="shared" si="136"/>
        <v/>
      </c>
      <c r="CE246" t="str">
        <f t="shared" si="122"/>
        <v>{BLACK}Powered by: {GOLD}Diesel {BLACK}Cars: {GOLD}2{}{BLACK}Length: {GOLD}1.7 tiles{}{SILVER}The Class 165 is a high capacity DMU with 2+3 seating.</v>
      </c>
    </row>
    <row r="247" spans="1:83" x14ac:dyDescent="0.25">
      <c r="A247" t="s">
        <v>74</v>
      </c>
      <c r="B247" t="s">
        <v>241</v>
      </c>
      <c r="C247">
        <v>472</v>
      </c>
      <c r="D247">
        <v>151</v>
      </c>
      <c r="E247" t="s">
        <v>1508</v>
      </c>
      <c r="F247" t="s">
        <v>403</v>
      </c>
      <c r="G247" t="s">
        <v>295</v>
      </c>
      <c r="H247" t="s">
        <v>302</v>
      </c>
      <c r="I247">
        <v>1992</v>
      </c>
      <c r="J247">
        <v>1994</v>
      </c>
      <c r="L247">
        <v>4</v>
      </c>
      <c r="M247">
        <v>1608</v>
      </c>
      <c r="V247">
        <v>136</v>
      </c>
      <c r="X247">
        <v>5</v>
      </c>
      <c r="Y247">
        <v>165</v>
      </c>
      <c r="Z247" s="3">
        <f t="shared" si="123"/>
        <v>0.12132352941176471</v>
      </c>
      <c r="AA247">
        <v>75</v>
      </c>
      <c r="AB247">
        <f t="shared" si="137"/>
        <v>120</v>
      </c>
      <c r="AE247">
        <v>20.89</v>
      </c>
      <c r="AF247">
        <v>20.89</v>
      </c>
      <c r="AH247">
        <v>3.77</v>
      </c>
      <c r="AI247" s="10">
        <v>81</v>
      </c>
      <c r="AJ247" t="str">
        <f>CONCATENATE(VLOOKUP(AK247, 'Voxel Sizes'!$A$2:$B$18,2,FALSE),"x",INT(AG247*15), "x", INT(AH247*15))</f>
        <v>198x0x56</v>
      </c>
      <c r="AK247">
        <f t="shared" si="124"/>
        <v>12</v>
      </c>
      <c r="AM247" t="str">
        <f>CONCATENATE(VLOOKUP(AK247,Constants!$A$2:$C$16,IF(AL247&lt;&gt;"", 3, 2), FALSE),IF(AL247&lt;&gt;"",CONCATENATE(",",VLOOKUP(AL247,$B:$AM,38,FALSE)),""))</f>
        <v>4,4,4</v>
      </c>
      <c r="AQ247" t="s">
        <v>572</v>
      </c>
      <c r="AS247" t="s">
        <v>464</v>
      </c>
      <c r="AW247">
        <v>32</v>
      </c>
      <c r="AX247" s="15" t="str">
        <f t="shared" si="125"/>
        <v/>
      </c>
      <c r="AY247">
        <v>-10</v>
      </c>
      <c r="AZ247">
        <v>-20</v>
      </c>
      <c r="BA247">
        <f t="shared" si="126"/>
        <v>15</v>
      </c>
      <c r="BB247">
        <f t="shared" si="127"/>
        <v>8.0400000000000009</v>
      </c>
      <c r="BC247">
        <f t="shared" si="128"/>
        <v>8.25</v>
      </c>
      <c r="BD247" s="3">
        <f t="shared" si="129"/>
        <v>0.8773333333333333</v>
      </c>
      <c r="BE247">
        <f t="shared" si="130"/>
        <v>10.8</v>
      </c>
      <c r="BF247">
        <f>VLOOKUP($G247,Constants!$I:$K, 2, FALSE)</f>
        <v>0.85</v>
      </c>
      <c r="BG247">
        <f>VLOOKUP($G247,Constants!$I:$K, 3, FALSE)*IF(AND(F247="multiple_unit",AA247&lt;110),0.75,1)</f>
        <v>1.7249999999999999</v>
      </c>
      <c r="BH247">
        <f>INT(POWER(((Constants!$G$2+$BA247+$BB247+$BC247+$BE247)*$BD247)*$BG247, 1.05))+$AZ247</f>
        <v>68</v>
      </c>
      <c r="BI247">
        <f>INT(POWER((((Constants!$G$1+$BA247+$BB247+$BC247+$BE247)*($BD247))*$BF247),IF($F247="wagon",1,1.2)))+$AY247</f>
        <v>80</v>
      </c>
      <c r="BJ247" s="14">
        <f t="shared" si="131"/>
        <v>53125</v>
      </c>
      <c r="BK247" s="14">
        <f t="shared" si="132"/>
        <v>6500</v>
      </c>
      <c r="BR247">
        <v>10</v>
      </c>
      <c r="BS247">
        <v>185</v>
      </c>
      <c r="BU247" t="s">
        <v>282</v>
      </c>
      <c r="BV247" t="str">
        <f>VLOOKUP(I247,Eras!$A$2:$C$10, 2, TRUE)</f>
        <v>lbr</v>
      </c>
      <c r="BW247" t="s">
        <v>332</v>
      </c>
      <c r="BX247" t="str">
        <f t="shared" si="133"/>
        <v>lbr_EMU</v>
      </c>
      <c r="BY247" t="str">
        <f t="shared" si="134"/>
        <v>electric_THIRD_RAIL</v>
      </c>
      <c r="BZ247" s="17" t="str" cm="1">
        <f t="array" ref="BZ247">_xlfn.CONCAT("{BLACK}Length: {GOLD}", TEXT(ROUNDUP(IF(AP247&lt;&gt;"",SUM(VALUE(_xlfn.TEXTSPLIT(AP247, ","))), SUM(VALUE(_xlfn.TEXTSPLIT(AM247, ",")))*IF(L247, L247, 1))/16, 1), "#,##0.0"), " tiles{}")</f>
        <v>{BLACK}Length: {GOLD}3.0 tiles{}</v>
      </c>
      <c r="CA247" t="str">
        <f>VLOOKUP($BY247, Constants!$M:$N, 2, FALSE)</f>
        <v>{BLACK}Powered by: {GOLD}750V DC</v>
      </c>
      <c r="CB247" t="str">
        <f t="shared" si="135"/>
        <v>{BLACK}Cars: {GOLD}4</v>
      </c>
      <c r="CC247" t="s">
        <v>573</v>
      </c>
      <c r="CD247" t="str">
        <f t="shared" si="136"/>
        <v/>
      </c>
      <c r="CE247" t="str">
        <f t="shared" si="122"/>
        <v>{BLACK}Powered by: {GOLD}750V DC {BLACK}Cars: {GOLD}4{}{BLACK}Length: {GOLD}3.0 tiles{}{SILVER}The BREL Networker was built by three different companies (ABB, Metro-Cammell and BREL) with minor detail differences between each manufacturer's output.</v>
      </c>
    </row>
    <row r="248" spans="1:83" x14ac:dyDescent="0.25">
      <c r="A248" t="s">
        <v>645</v>
      </c>
      <c r="B248" t="s">
        <v>646</v>
      </c>
      <c r="C248">
        <v>474</v>
      </c>
      <c r="D248">
        <v>152</v>
      </c>
      <c r="E248" t="s">
        <v>1508</v>
      </c>
      <c r="F248" t="s">
        <v>403</v>
      </c>
      <c r="G248" t="s">
        <v>551</v>
      </c>
      <c r="H248" t="s">
        <v>550</v>
      </c>
      <c r="I248">
        <v>1992</v>
      </c>
      <c r="J248">
        <v>1996</v>
      </c>
      <c r="L248">
        <v>20</v>
      </c>
      <c r="M248">
        <v>16400</v>
      </c>
      <c r="N248" s="8">
        <v>4600</v>
      </c>
      <c r="V248">
        <v>752</v>
      </c>
      <c r="X248">
        <v>4</v>
      </c>
      <c r="Y248">
        <v>220</v>
      </c>
      <c r="Z248" s="3">
        <f t="shared" si="123"/>
        <v>2.9255319148936171E-2</v>
      </c>
      <c r="AA248">
        <v>186</v>
      </c>
      <c r="AB248">
        <f t="shared" si="137"/>
        <v>298</v>
      </c>
      <c r="AE248">
        <v>22.15</v>
      </c>
      <c r="AF248">
        <v>22.15</v>
      </c>
      <c r="AG248">
        <v>2.81</v>
      </c>
      <c r="AI248" s="10">
        <v>39</v>
      </c>
      <c r="AJ248" t="str">
        <f>CONCATENATE(VLOOKUP(AK248, 'Voxel Sizes'!$A$2:$B$18,2,FALSE),"x",INT(AG248*15), "x", INT(AH248*15))</f>
        <v>214x42x0</v>
      </c>
      <c r="AK248">
        <f t="shared" si="124"/>
        <v>13</v>
      </c>
      <c r="AM248" t="str">
        <f>CONCATENATE(VLOOKUP(AK248,Constants!$A$2:$C$16,IF(AL248&lt;&gt;"", 3, 2), FALSE),IF(AL248&lt;&gt;"",CONCATENATE(",",VLOOKUP(AL248,$B:$AM,38,FALSE)),""))</f>
        <v>4,5,4</v>
      </c>
      <c r="AO248" s="12" t="s">
        <v>1232</v>
      </c>
      <c r="AP248" s="12" t="s">
        <v>1237</v>
      </c>
      <c r="AQ248" t="s">
        <v>688</v>
      </c>
      <c r="AR248" t="s">
        <v>646</v>
      </c>
      <c r="AS248" t="s">
        <v>689</v>
      </c>
      <c r="AW248">
        <v>25</v>
      </c>
      <c r="AX248" s="15" t="str">
        <f t="shared" si="125"/>
        <v/>
      </c>
      <c r="BA248">
        <f t="shared" si="126"/>
        <v>30</v>
      </c>
      <c r="BB248">
        <f t="shared" si="127"/>
        <v>20</v>
      </c>
      <c r="BC248">
        <f t="shared" si="128"/>
        <v>11</v>
      </c>
      <c r="BD248" s="3">
        <f t="shared" si="129"/>
        <v>0.8773333333333333</v>
      </c>
      <c r="BE248">
        <f t="shared" si="130"/>
        <v>26</v>
      </c>
      <c r="BF248">
        <f>VLOOKUP($G248,Constants!$I:$K, 2, FALSE)</f>
        <v>0.85</v>
      </c>
      <c r="BG248">
        <f>VLOOKUP($G248,Constants!$I:$K, 3, FALSE)*IF(AND(F248="multiple_unit",AA248&lt;110),0.75,1)</f>
        <v>2.4</v>
      </c>
      <c r="BH248">
        <f>INT(POWER(((Constants!$G$2+$BA248+$BB248+$BC248+$BE248)*$BD248)*$BG248, 1.05))+$AZ248</f>
        <v>252</v>
      </c>
      <c r="BI248">
        <f>INT(POWER((((Constants!$G$1+$BA248+$BB248+$BC248+$BE248)*($BD248))*$BF248),IF($F248="wagon",1,1.2)))+$AY248</f>
        <v>180</v>
      </c>
      <c r="BJ248" s="14">
        <f t="shared" si="131"/>
        <v>196875</v>
      </c>
      <c r="BK248" s="14">
        <f t="shared" si="132"/>
        <v>14625</v>
      </c>
      <c r="BQ248" t="s">
        <v>1149</v>
      </c>
      <c r="BR248">
        <v>11</v>
      </c>
      <c r="BS248">
        <v>232</v>
      </c>
      <c r="BU248" t="s">
        <v>282</v>
      </c>
      <c r="BV248" t="str">
        <f>VLOOKUP(I248,Eras!$A$2:$C$10, 2, TRUE)</f>
        <v>lbr</v>
      </c>
      <c r="BW248" t="s">
        <v>333</v>
      </c>
      <c r="BX248" t="str">
        <f t="shared" si="133"/>
        <v>lbr_EMU (Express)</v>
      </c>
      <c r="BY248" t="str">
        <f t="shared" si="134"/>
        <v>dual_electric_DUAL_POWER</v>
      </c>
      <c r="BZ248" s="17" t="str" cm="1">
        <f t="array" ref="BZ248">_xlfn.CONCAT("{BLACK}Length: {GOLD}", TEXT(ROUNDUP(IF(AP248&lt;&gt;"",SUM(VALUE(_xlfn.TEXTSPLIT(AP248, ","))), SUM(VALUE(_xlfn.TEXTSPLIT(AM248, ",")))*IF(L248, L248, 1))/16, 1), "#,##0.0"), " tiles{}")</f>
        <v>{BLACK}Length: {GOLD}14.3 tiles{}</v>
      </c>
      <c r="CA248" t="str">
        <f>VLOOKUP($BY248, Constants!$M:$N, 2, FALSE)</f>
        <v>{BLACK}Powered by: {GOLD}25kV AC / 750V DC</v>
      </c>
      <c r="CB248" t="str">
        <f t="shared" si="135"/>
        <v>{BLACK}Cars: {GOLD}20</v>
      </c>
      <c r="CC248" t="s">
        <v>690</v>
      </c>
      <c r="CD248" t="str">
        <f t="shared" si="136"/>
        <v>{YELLOW}25% Bonus for long distance travel{}</v>
      </c>
      <c r="CE248" t="str">
        <f t="shared" si="122"/>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3" x14ac:dyDescent="0.25">
      <c r="A249" t="s">
        <v>645</v>
      </c>
      <c r="B249" t="s">
        <v>1123</v>
      </c>
      <c r="C249">
        <v>475</v>
      </c>
      <c r="D249">
        <v>153</v>
      </c>
      <c r="E249" t="s">
        <v>1508</v>
      </c>
      <c r="F249" t="s">
        <v>403</v>
      </c>
      <c r="G249" t="s">
        <v>551</v>
      </c>
      <c r="H249" t="s">
        <v>550</v>
      </c>
      <c r="I249">
        <v>1992</v>
      </c>
      <c r="J249">
        <v>1996</v>
      </c>
      <c r="L249">
        <v>8</v>
      </c>
      <c r="M249">
        <v>16400</v>
      </c>
      <c r="N249" s="8">
        <v>4600</v>
      </c>
      <c r="V249">
        <f>(752/20)*8</f>
        <v>300.8</v>
      </c>
      <c r="X249">
        <v>4</v>
      </c>
      <c r="Y249">
        <v>220</v>
      </c>
      <c r="Z249" s="3">
        <f t="shared" si="123"/>
        <v>7.3138297872340427E-2</v>
      </c>
      <c r="AA249">
        <v>186</v>
      </c>
      <c r="AB249">
        <f t="shared" si="137"/>
        <v>298</v>
      </c>
      <c r="AE249">
        <v>22.15</v>
      </c>
      <c r="AF249">
        <v>22.15</v>
      </c>
      <c r="AG249">
        <v>2.81</v>
      </c>
      <c r="AI249" s="10">
        <v>39</v>
      </c>
      <c r="AJ249" t="str">
        <f>CONCATENATE(VLOOKUP(AK249, 'Voxel Sizes'!$A$2:$B$18,2,FALSE),"x",INT(AG249*15), "x", INT(AH249*15))</f>
        <v>214x42x0</v>
      </c>
      <c r="AK249">
        <f t="shared" si="124"/>
        <v>13</v>
      </c>
      <c r="AM249" t="str">
        <f>CONCATENATE(VLOOKUP(AK249,Constants!$A$2:$C$16,IF(AL249&lt;&gt;"", 3, 2), FALSE),IF(AL249&lt;&gt;"",CONCATENATE(",",VLOOKUP(AL249,$B:$AM,38,FALSE)),""))</f>
        <v>4,5,4</v>
      </c>
      <c r="AO249" s="12" t="s">
        <v>1233</v>
      </c>
      <c r="AP249" s="12" t="s">
        <v>1238</v>
      </c>
      <c r="AQ249" t="s">
        <v>692</v>
      </c>
      <c r="AR249" t="s">
        <v>646</v>
      </c>
      <c r="AS249" t="s">
        <v>693</v>
      </c>
      <c r="AT249" t="s">
        <v>646</v>
      </c>
      <c r="AW249">
        <v>25</v>
      </c>
      <c r="AX249" s="15" t="str">
        <f t="shared" si="125"/>
        <v/>
      </c>
      <c r="BA249">
        <f t="shared" si="126"/>
        <v>30</v>
      </c>
      <c r="BB249">
        <f t="shared" si="127"/>
        <v>20</v>
      </c>
      <c r="BC249">
        <f t="shared" si="128"/>
        <v>11</v>
      </c>
      <c r="BD249" s="3">
        <f t="shared" si="129"/>
        <v>0.8773333333333333</v>
      </c>
      <c r="BE249">
        <f t="shared" si="130"/>
        <v>10.4</v>
      </c>
      <c r="BF249">
        <f>VLOOKUP($G249,Constants!$I:$K, 2, FALSE)</f>
        <v>0.85</v>
      </c>
      <c r="BG249">
        <f>VLOOKUP($G249,Constants!$I:$K, 3, FALSE)*IF(AND(F249="multiple_unit",AA249&lt;110),0.75,1)</f>
        <v>2.4</v>
      </c>
      <c r="BH249">
        <f>INT(POWER(((Constants!$G$2+$BA249+$BB249+$BC249+$BE249)*$BD249)*$BG249, 1.05))+$AZ249</f>
        <v>207</v>
      </c>
      <c r="BI249">
        <f>INT(POWER((((Constants!$G$1+$BA249+$BB249+$BC249+$BE249)*($BD249))*$BF249),IF($F249="wagon",1,1.2)))+$AY249</f>
        <v>148</v>
      </c>
      <c r="BJ249" s="14">
        <f t="shared" si="131"/>
        <v>161718.75</v>
      </c>
      <c r="BK249" s="14">
        <f t="shared" si="132"/>
        <v>12025</v>
      </c>
      <c r="BQ249" t="s">
        <v>1148</v>
      </c>
      <c r="BR249">
        <v>11</v>
      </c>
      <c r="BS249">
        <v>232</v>
      </c>
      <c r="BU249" t="s">
        <v>282</v>
      </c>
      <c r="BV249" t="str">
        <f>VLOOKUP(I249,Eras!$A$2:$C$10, 2, TRUE)</f>
        <v>lbr</v>
      </c>
      <c r="BW249" t="s">
        <v>333</v>
      </c>
      <c r="BX249" t="str">
        <f t="shared" si="133"/>
        <v>lbr_EMU (Express)</v>
      </c>
      <c r="BY249" t="str">
        <f t="shared" si="134"/>
        <v>dual_electric_DUAL_POWER</v>
      </c>
      <c r="BZ249" s="17" t="str" cm="1">
        <f t="array" ref="BZ249">_xlfn.CONCAT("{BLACK}Length: {GOLD}", TEXT(ROUNDUP(IF(AP249&lt;&gt;"",SUM(VALUE(_xlfn.TEXTSPLIT(AP249, ","))), SUM(VALUE(_xlfn.TEXTSPLIT(AM249, ",")))*IF(L249, L249, 1))/16, 1), "#,##0.0"), " tiles{}")</f>
        <v>{BLACK}Length: {GOLD}6.0 tiles{}</v>
      </c>
      <c r="CA249" t="str">
        <f>VLOOKUP($BY249, Constants!$M:$N, 2, FALSE)</f>
        <v>{BLACK}Powered by: {GOLD}25kV AC / 750V DC</v>
      </c>
      <c r="CB249" t="str">
        <f t="shared" si="135"/>
        <v>{BLACK}Cars: {GOLD}8</v>
      </c>
      <c r="CC249" t="s">
        <v>690</v>
      </c>
      <c r="CD249" t="str">
        <f t="shared" si="136"/>
        <v>{YELLOW}25% Bonus for long distance travel{}</v>
      </c>
      <c r="CE249" t="str">
        <f t="shared" si="122"/>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3" x14ac:dyDescent="0.25">
      <c r="A250" t="s">
        <v>645</v>
      </c>
      <c r="B250" t="s">
        <v>1124</v>
      </c>
      <c r="C250">
        <v>476</v>
      </c>
      <c r="D250">
        <v>154</v>
      </c>
      <c r="E250" t="s">
        <v>1508</v>
      </c>
      <c r="F250" t="s">
        <v>403</v>
      </c>
      <c r="G250" t="s">
        <v>551</v>
      </c>
      <c r="H250" t="s">
        <v>550</v>
      </c>
      <c r="I250">
        <v>1992</v>
      </c>
      <c r="J250">
        <v>1996</v>
      </c>
      <c r="L250">
        <v>5</v>
      </c>
      <c r="M250">
        <v>16400</v>
      </c>
      <c r="N250" s="8">
        <v>4600</v>
      </c>
      <c r="V250">
        <f>(752/20)*5</f>
        <v>188</v>
      </c>
      <c r="X250">
        <v>4</v>
      </c>
      <c r="Y250">
        <v>220</v>
      </c>
      <c r="Z250" s="3">
        <f t="shared" si="123"/>
        <v>0.11702127659574468</v>
      </c>
      <c r="AA250">
        <v>186</v>
      </c>
      <c r="AB250">
        <f t="shared" si="137"/>
        <v>298</v>
      </c>
      <c r="AE250">
        <v>22.15</v>
      </c>
      <c r="AF250">
        <v>22.15</v>
      </c>
      <c r="AG250">
        <v>2.81</v>
      </c>
      <c r="AI250" s="10">
        <v>39</v>
      </c>
      <c r="AJ250" t="str">
        <f>CONCATENATE(VLOOKUP(AK250, 'Voxel Sizes'!$A$2:$B$18,2,FALSE),"x",INT(AG250*15), "x", INT(AH250*15))</f>
        <v>214x42x0</v>
      </c>
      <c r="AK250">
        <f t="shared" si="124"/>
        <v>13</v>
      </c>
      <c r="AM250" t="str">
        <f>CONCATENATE(VLOOKUP(AK250,Constants!$A$2:$C$16,IF(AL250&lt;&gt;"", 3, 2), FALSE),IF(AL250&lt;&gt;"",CONCATENATE(",",VLOOKUP(AL250,$B:$AM,38,FALSE)),""))</f>
        <v>4,5,4</v>
      </c>
      <c r="AO250" s="12" t="s">
        <v>1235</v>
      </c>
      <c r="AP250" s="12" t="s">
        <v>1239</v>
      </c>
      <c r="AQ250" t="s">
        <v>1130</v>
      </c>
      <c r="AR250" t="s">
        <v>646</v>
      </c>
      <c r="AS250" t="s">
        <v>663</v>
      </c>
      <c r="AT250" t="s">
        <v>646</v>
      </c>
      <c r="AW250">
        <v>25</v>
      </c>
      <c r="AX250" s="15" t="str">
        <f t="shared" si="125"/>
        <v/>
      </c>
      <c r="BA250">
        <f t="shared" si="126"/>
        <v>30</v>
      </c>
      <c r="BB250">
        <f t="shared" si="127"/>
        <v>20</v>
      </c>
      <c r="BC250">
        <f t="shared" si="128"/>
        <v>11</v>
      </c>
      <c r="BD250" s="3">
        <f t="shared" si="129"/>
        <v>0.8773333333333333</v>
      </c>
      <c r="BE250">
        <f t="shared" si="130"/>
        <v>6.5</v>
      </c>
      <c r="BF250">
        <f>VLOOKUP($G250,Constants!$I:$K, 2, FALSE)</f>
        <v>0.85</v>
      </c>
      <c r="BG250">
        <f>VLOOKUP($G250,Constants!$I:$K, 3, FALSE)*IF(AND(F250="multiple_unit",AA250&lt;110),0.75,1)</f>
        <v>2.4</v>
      </c>
      <c r="BH250">
        <f>INT(POWER(((Constants!$G$2+$BA250+$BB250+$BC250+$BE250)*$BD250)*$BG250, 1.05))+$AZ250</f>
        <v>196</v>
      </c>
      <c r="BI250">
        <f>INT(POWER((((Constants!$G$1+$BA250+$BB250+$BC250+$BE250)*($BD250))*$BF250),IF($F250="wagon",1,1.2)))+$AY250</f>
        <v>140</v>
      </c>
      <c r="BJ250" s="14">
        <f t="shared" si="131"/>
        <v>153125</v>
      </c>
      <c r="BK250" s="14">
        <f t="shared" si="132"/>
        <v>11375</v>
      </c>
      <c r="BQ250" t="s">
        <v>1147</v>
      </c>
      <c r="BR250">
        <v>11</v>
      </c>
      <c r="BS250">
        <v>232</v>
      </c>
      <c r="BU250" t="s">
        <v>282</v>
      </c>
      <c r="BV250" t="str">
        <f>VLOOKUP(I250,Eras!$A$2:$C$10, 2, TRUE)</f>
        <v>lbr</v>
      </c>
      <c r="BW250" t="s">
        <v>333</v>
      </c>
      <c r="BX250" t="str">
        <f t="shared" si="133"/>
        <v>lbr_EMU (Express)</v>
      </c>
      <c r="BY250" t="str">
        <f t="shared" si="134"/>
        <v>dual_electric_DUAL_POWER</v>
      </c>
      <c r="BZ250" s="17" t="str" cm="1">
        <f t="array" ref="BZ250">_xlfn.CONCAT("{BLACK}Length: {GOLD}", TEXT(ROUNDUP(IF(AP250&lt;&gt;"",SUM(VALUE(_xlfn.TEXTSPLIT(AP250, ","))), SUM(VALUE(_xlfn.TEXTSPLIT(AM250, ",")))*IF(L250, L250, 1))/16, 1), "#,##0.0"), " tiles{}")</f>
        <v>{BLACK}Length: {GOLD}4.0 tiles{}</v>
      </c>
      <c r="CA250" t="str">
        <f>VLOOKUP($BY250, Constants!$M:$N, 2, FALSE)</f>
        <v>{BLACK}Powered by: {GOLD}25kV AC / 750V DC</v>
      </c>
      <c r="CB250" t="str">
        <f t="shared" si="135"/>
        <v>{BLACK}Cars: {GOLD}5</v>
      </c>
      <c r="CC250" t="s">
        <v>690</v>
      </c>
      <c r="CD250" t="str">
        <f t="shared" si="136"/>
        <v>{YELLOW}25% Bonus for long distance travel{}</v>
      </c>
      <c r="CE250" t="str">
        <f t="shared" si="122"/>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83" x14ac:dyDescent="0.25">
      <c r="A251" t="s">
        <v>91</v>
      </c>
      <c r="B251" t="s">
        <v>189</v>
      </c>
      <c r="C251">
        <v>480</v>
      </c>
      <c r="D251">
        <v>155</v>
      </c>
      <c r="E251" t="s">
        <v>1508</v>
      </c>
      <c r="F251" t="s">
        <v>403</v>
      </c>
      <c r="G251" t="s">
        <v>551</v>
      </c>
      <c r="H251" t="s">
        <v>550</v>
      </c>
      <c r="I251">
        <v>1995</v>
      </c>
      <c r="L251">
        <v>4</v>
      </c>
      <c r="M251">
        <v>1328</v>
      </c>
      <c r="V251">
        <v>138.5</v>
      </c>
      <c r="X251">
        <v>5</v>
      </c>
      <c r="Y251">
        <v>160</v>
      </c>
      <c r="Z251" s="3">
        <f t="shared" si="123"/>
        <v>0.11552346570397112</v>
      </c>
      <c r="AA251">
        <v>100</v>
      </c>
      <c r="AB251">
        <f t="shared" si="137"/>
        <v>160</v>
      </c>
      <c r="AE251">
        <v>19.829999999999998</v>
      </c>
      <c r="AF251">
        <v>19.8</v>
      </c>
      <c r="AG251">
        <v>2.8</v>
      </c>
      <c r="AH251">
        <v>3.8</v>
      </c>
      <c r="AI251" s="10">
        <v>78</v>
      </c>
      <c r="AJ251" t="str">
        <f>CONCATENATE(VLOOKUP(AK251, 'Voxel Sizes'!$A$2:$B$18,2,FALSE),"x",INT(AG251*15), "x", INT(AH251*15))</f>
        <v>198x42x57</v>
      </c>
      <c r="AK251">
        <f t="shared" si="124"/>
        <v>12</v>
      </c>
      <c r="AM251" t="str">
        <f>CONCATENATE(VLOOKUP(AK251,Constants!$A$2:$C$16,IF(AL251&lt;&gt;"", 3, 2), FALSE),IF(AL251&lt;&gt;"",CONCATENATE(",",VLOOKUP(AL251,$B:$AM,38,FALSE)),""))</f>
        <v>4,4,4</v>
      </c>
      <c r="AQ251" t="s">
        <v>650</v>
      </c>
      <c r="AR251" t="s">
        <v>653</v>
      </c>
      <c r="AS251" t="s">
        <v>554</v>
      </c>
      <c r="AW251">
        <v>30</v>
      </c>
      <c r="AX251" s="15" t="str">
        <f t="shared" si="125"/>
        <v/>
      </c>
      <c r="AY251">
        <v>-15</v>
      </c>
      <c r="AZ251">
        <v>-40</v>
      </c>
      <c r="BA251">
        <f t="shared" si="126"/>
        <v>20</v>
      </c>
      <c r="BB251">
        <f t="shared" si="127"/>
        <v>6.6400000000000006</v>
      </c>
      <c r="BC251">
        <f t="shared" si="128"/>
        <v>8</v>
      </c>
      <c r="BD251" s="3">
        <f t="shared" si="129"/>
        <v>0.87333333333333329</v>
      </c>
      <c r="BE251">
        <f t="shared" si="130"/>
        <v>10.4</v>
      </c>
      <c r="BF251">
        <f>VLOOKUP($G251,Constants!$I:$K, 2, FALSE)</f>
        <v>0.85</v>
      </c>
      <c r="BG251">
        <f>VLOOKUP($G251,Constants!$I:$K, 3, FALSE)*IF(AND(F251="multiple_unit",AA251&lt;110),0.75,1)</f>
        <v>1.7999999999999998</v>
      </c>
      <c r="BH251">
        <f>INT(POWER(((Constants!$G$2+$BA251+$BB251+$BC251+$BE251)*$BD251)*$BG251, 1.05))+$AZ251</f>
        <v>57</v>
      </c>
      <c r="BI251">
        <f>INT(POWER((((Constants!$G$1+$BA251+$BB251+$BC251+$BE251)*($BD251))*$BF251),IF($F251="wagon",1,1.2)))+$AY251</f>
        <v>80</v>
      </c>
      <c r="BJ251" s="14">
        <f t="shared" si="131"/>
        <v>44531.25</v>
      </c>
      <c r="BK251" s="14">
        <f t="shared" si="132"/>
        <v>6500</v>
      </c>
      <c r="BR251">
        <v>2</v>
      </c>
      <c r="BS251">
        <v>185</v>
      </c>
      <c r="BU251" t="s">
        <v>651</v>
      </c>
      <c r="BV251" t="str">
        <f>VLOOKUP(I251,Eras!$A$2:$C$10, 2, TRUE)</f>
        <v>prv</v>
      </c>
      <c r="BW251" t="s">
        <v>331</v>
      </c>
      <c r="BX251" t="str">
        <f t="shared" si="133"/>
        <v>prv_DMU (Express)</v>
      </c>
      <c r="BY251" t="str">
        <f t="shared" si="134"/>
        <v>dual_electric_DUAL_POWER</v>
      </c>
      <c r="BZ251" s="17" t="str" cm="1">
        <f t="array" ref="BZ251">_xlfn.CONCAT("{BLACK}Length: {GOLD}", TEXT(ROUNDUP(IF(AP251&lt;&gt;"",SUM(VALUE(_xlfn.TEXTSPLIT(AP251, ","))), SUM(VALUE(_xlfn.TEXTSPLIT(AM251, ",")))*IF(L251, L251, 1))/16, 1), "#,##0.0"), " tiles{}")</f>
        <v>{BLACK}Length: {GOLD}3.0 tiles{}</v>
      </c>
      <c r="CA251" t="str">
        <f>VLOOKUP($BY251, Constants!$M:$N, 2, FALSE)</f>
        <v>{BLACK}Powered by: {GOLD}25kV AC / 750V DC</v>
      </c>
      <c r="CB251" t="str">
        <f t="shared" si="135"/>
        <v>{BLACK}Cars: {GOLD}4</v>
      </c>
      <c r="CC251" t="s">
        <v>652</v>
      </c>
      <c r="CD251" t="str">
        <f t="shared" si="136"/>
        <v/>
      </c>
      <c r="CE251" t="str">
        <f t="shared" si="122"/>
        <v>{BLACK}Powered by: {GOLD}25kV AC / 750V DC {BLACK}Cars: {GOLD}4{}{BLACK}Length: {GOLD}3.0 tiles{}{SILVER}The Class 325 is a multiple unit designed for carrying mail and parcels more economically than a locomotive-hauled train. It is based on Class 319 hardware.</v>
      </c>
    </row>
    <row r="252" spans="1:83" x14ac:dyDescent="0.25">
      <c r="A252" t="s">
        <v>79</v>
      </c>
      <c r="B252" t="s">
        <v>590</v>
      </c>
      <c r="C252">
        <v>482</v>
      </c>
      <c r="D252">
        <v>156</v>
      </c>
      <c r="E252" t="s">
        <v>1508</v>
      </c>
      <c r="F252" t="s">
        <v>403</v>
      </c>
      <c r="G252" t="s">
        <v>272</v>
      </c>
      <c r="H252" t="s">
        <v>274</v>
      </c>
      <c r="I252">
        <v>1998</v>
      </c>
      <c r="J252">
        <v>2005</v>
      </c>
      <c r="L252">
        <v>3</v>
      </c>
      <c r="M252">
        <v>1266</v>
      </c>
      <c r="V252">
        <v>135</v>
      </c>
      <c r="X252">
        <v>5</v>
      </c>
      <c r="Y252">
        <v>180</v>
      </c>
      <c r="Z252" s="3">
        <f t="shared" si="123"/>
        <v>0.13333333333333333</v>
      </c>
      <c r="AA252">
        <v>100</v>
      </c>
      <c r="AB252">
        <f t="shared" si="137"/>
        <v>160</v>
      </c>
      <c r="AE252">
        <v>23.62</v>
      </c>
      <c r="AF252">
        <v>21</v>
      </c>
      <c r="AG252">
        <v>2.69</v>
      </c>
      <c r="AH252">
        <v>3.77</v>
      </c>
      <c r="AI252" s="10">
        <v>63</v>
      </c>
      <c r="AJ252" t="str">
        <f>CONCATENATE(VLOOKUP(AK252, 'Voxel Sizes'!$A$2:$B$18,2,FALSE),"x",INT(AG252*15), "x", INT(AH252*15))</f>
        <v>198x40x56</v>
      </c>
      <c r="AK252">
        <f t="shared" si="124"/>
        <v>12</v>
      </c>
      <c r="AM252" t="str">
        <f>CONCATENATE(VLOOKUP(AK252,Constants!$A$2:$C$16,IF(AL252&lt;&gt;"", 3, 2), FALSE),IF(AL252&lt;&gt;"",CONCATENATE(",",VLOOKUP(AL252,$B:$AM,38,FALSE)),""))</f>
        <v>4,4,4</v>
      </c>
      <c r="AQ252" t="s">
        <v>589</v>
      </c>
      <c r="AS252" t="s">
        <v>291</v>
      </c>
      <c r="AW252">
        <v>29</v>
      </c>
      <c r="AX252" s="15" t="str">
        <f t="shared" si="125"/>
        <v/>
      </c>
      <c r="AY252">
        <v>-15</v>
      </c>
      <c r="AZ252">
        <v>-25</v>
      </c>
      <c r="BA252">
        <f t="shared" si="126"/>
        <v>20</v>
      </c>
      <c r="BB252">
        <f t="shared" si="127"/>
        <v>6.33</v>
      </c>
      <c r="BC252">
        <f t="shared" si="128"/>
        <v>9</v>
      </c>
      <c r="BD252" s="3">
        <f t="shared" si="129"/>
        <v>0.86933333333333329</v>
      </c>
      <c r="BE252">
        <f t="shared" si="130"/>
        <v>6.3</v>
      </c>
      <c r="BF252">
        <f>VLOOKUP($G252,Constants!$I:$K, 2, FALSE)</f>
        <v>1</v>
      </c>
      <c r="BG252">
        <f>VLOOKUP($G252,Constants!$I:$K, 3, FALSE)*IF(AND(F252="multiple_unit",AA252&lt;110),0.75,1)</f>
        <v>1.5</v>
      </c>
      <c r="BH252">
        <f>INT(POWER(((Constants!$G$2+$BA252+$BB252+$BC252+$BE252)*$BD252)*$BG252, 1.05))+$AZ252</f>
        <v>49</v>
      </c>
      <c r="BI252">
        <f>INT(POWER((((Constants!$G$1+$BA252+$BB252+$BC252+$BE252)*($BD252))*$BF252),IF($F252="wagon",1,1.2)))+$AY252</f>
        <v>92</v>
      </c>
      <c r="BJ252" s="14">
        <f t="shared" si="131"/>
        <v>38281.25</v>
      </c>
      <c r="BK252" s="14">
        <f t="shared" si="132"/>
        <v>7475</v>
      </c>
      <c r="BO252" t="s">
        <v>1116</v>
      </c>
      <c r="BR252">
        <v>3</v>
      </c>
      <c r="BS252">
        <v>185</v>
      </c>
      <c r="BU252" t="s">
        <v>282</v>
      </c>
      <c r="BV252" t="str">
        <f>VLOOKUP(I252,Eras!$A$2:$C$10, 2, TRUE)</f>
        <v>prv</v>
      </c>
      <c r="BW252" t="s">
        <v>330</v>
      </c>
      <c r="BX252" t="str">
        <f t="shared" si="133"/>
        <v>prv_DMU</v>
      </c>
      <c r="BY252" t="str">
        <f t="shared" si="134"/>
        <v>diesel_RAIL</v>
      </c>
      <c r="BZ252" s="17" t="str" cm="1">
        <f t="array" ref="BZ252">_xlfn.CONCAT("{BLACK}Length: {GOLD}", TEXT(ROUNDUP(IF(AP252&lt;&gt;"",SUM(VALUE(_xlfn.TEXTSPLIT(AP252, ","))), SUM(VALUE(_xlfn.TEXTSPLIT(AM252, ",")))*IF(L252, L252, 1))/16, 1), "#,##0.0"), " tiles{}")</f>
        <v>{BLACK}Length: {GOLD}2.3 tiles{}</v>
      </c>
      <c r="CA252" t="str">
        <f>VLOOKUP($BY252, Constants!$M:$N, 2, FALSE)</f>
        <v>{BLACK}Powered by: {GOLD}Diesel</v>
      </c>
      <c r="CB252" t="str">
        <f t="shared" si="135"/>
        <v>{BLACK}Cars: {GOLD}3</v>
      </c>
      <c r="CC252" t="s">
        <v>588</v>
      </c>
      <c r="CD252" t="str">
        <f t="shared" si="136"/>
        <v/>
      </c>
      <c r="CE252" t="str">
        <f t="shared" si="122"/>
        <v>{BLACK}Powered by: {GOLD}Diesel {BLACK}Cars: {GOLD}3{}{BLACK}Length: {GOLD}2.3 tiles{}{SILVER}The Turbostar is a further development of the BR "Networker" units. It is used for regional and long distance services.</v>
      </c>
    </row>
    <row r="253" spans="1:83" x14ac:dyDescent="0.25">
      <c r="A253" t="s">
        <v>1267</v>
      </c>
      <c r="B253" t="s">
        <v>1268</v>
      </c>
      <c r="C253">
        <v>483</v>
      </c>
      <c r="D253">
        <v>157</v>
      </c>
      <c r="E253" t="s">
        <v>1508</v>
      </c>
      <c r="F253" t="s">
        <v>403</v>
      </c>
      <c r="G253" t="s">
        <v>272</v>
      </c>
      <c r="H253" t="s">
        <v>274</v>
      </c>
      <c r="I253">
        <v>2000</v>
      </c>
      <c r="L253">
        <v>2</v>
      </c>
      <c r="M253">
        <f>450*2</f>
        <v>900</v>
      </c>
      <c r="V253">
        <v>98</v>
      </c>
      <c r="X253">
        <v>5</v>
      </c>
      <c r="Y253">
        <v>120</v>
      </c>
      <c r="Z253" s="3">
        <f t="shared" si="123"/>
        <v>0.12244897959183673</v>
      </c>
      <c r="AA253">
        <v>100</v>
      </c>
      <c r="AB253">
        <f t="shared" si="137"/>
        <v>160</v>
      </c>
      <c r="AE253">
        <v>23.71</v>
      </c>
      <c r="AF253">
        <v>23.71</v>
      </c>
      <c r="AI253" s="10">
        <v>69</v>
      </c>
      <c r="AJ253" t="str">
        <f>CONCATENATE(VLOOKUP(AK253, 'Voxel Sizes'!$A$2:$B$18,2,FALSE),"x",INT(AG253*15), "x", INT(AH253*15))</f>
        <v>238x0x0</v>
      </c>
      <c r="AK253">
        <f t="shared" si="124"/>
        <v>14</v>
      </c>
      <c r="AM253" t="str">
        <f>CONCATENATE(VLOOKUP(AK253,Constants!$A$2:$C$16,IF(AL253&lt;&gt;"", 3, 2), FALSE),IF(AL253&lt;&gt;"",CONCATENATE(",",VLOOKUP(AL253,$B:$AM,38,FALSE)),""))</f>
        <v>4,6,4</v>
      </c>
      <c r="AQ253" t="s">
        <v>1270</v>
      </c>
      <c r="AS253" t="s">
        <v>466</v>
      </c>
      <c r="AW253">
        <v>22</v>
      </c>
      <c r="AX253" s="15" t="str">
        <f t="shared" si="125"/>
        <v/>
      </c>
      <c r="AY253">
        <v>-6</v>
      </c>
      <c r="AZ253">
        <v>-25</v>
      </c>
      <c r="BA253">
        <f t="shared" si="126"/>
        <v>20</v>
      </c>
      <c r="BB253">
        <f t="shared" si="127"/>
        <v>4.5</v>
      </c>
      <c r="BC253">
        <f t="shared" si="128"/>
        <v>6</v>
      </c>
      <c r="BD253" s="3">
        <f t="shared" si="129"/>
        <v>0.8666666666666667</v>
      </c>
      <c r="BE253">
        <f t="shared" si="130"/>
        <v>4.6000000000000005</v>
      </c>
      <c r="BF253">
        <f>VLOOKUP($G253,Constants!$I:$K, 2, FALSE)</f>
        <v>1</v>
      </c>
      <c r="BG253">
        <f>VLOOKUP($G253,Constants!$I:$K, 3, FALSE)*IF(AND(F253="multiple_unit",AA253&lt;110),0.75,1)</f>
        <v>1.5</v>
      </c>
      <c r="BH253">
        <f>INT(POWER(((Constants!$G$2+$BA253+$BB253+$BC253+$BE253)*$BD253)*$BG253, 1.05))+$AZ253</f>
        <v>38</v>
      </c>
      <c r="BI253">
        <f>INT(POWER((((Constants!$G$1+$BA253+$BB253+$BC253+$BE253)*($BD253))*$BF253),IF($F253="wagon",1,1.2)))+$AY253</f>
        <v>86</v>
      </c>
      <c r="BJ253" s="14">
        <f t="shared" si="131"/>
        <v>29687.5</v>
      </c>
      <c r="BK253" s="14">
        <f t="shared" si="132"/>
        <v>6987.5</v>
      </c>
      <c r="BR253">
        <v>4</v>
      </c>
      <c r="BU253" t="s">
        <v>282</v>
      </c>
      <c r="BV253" t="str">
        <f>VLOOKUP(I253,Eras!$A$2:$C$10, 2, TRUE)</f>
        <v>prv</v>
      </c>
      <c r="BW253" t="s">
        <v>330</v>
      </c>
      <c r="BX253" t="str">
        <f t="shared" si="133"/>
        <v>prv_DMU</v>
      </c>
      <c r="BY253" t="str">
        <f t="shared" si="134"/>
        <v>diesel_RAIL</v>
      </c>
      <c r="BZ253" s="17" t="str" cm="1">
        <f t="array" ref="BZ253">_xlfn.CONCAT("{BLACK}Length: {GOLD}", TEXT(ROUNDUP(IF(AP253&lt;&gt;"",SUM(VALUE(_xlfn.TEXTSPLIT(AP253, ","))), SUM(VALUE(_xlfn.TEXTSPLIT(AM253, ",")))*IF(L253, L253, 1))/16, 1), "#,##0.0"), " tiles{}")</f>
        <v>{BLACK}Length: {GOLD}1.8 tiles{}</v>
      </c>
      <c r="CC253" t="s">
        <v>1269</v>
      </c>
      <c r="CE253" t="str">
        <f t="shared" si="122"/>
        <v>{BLACK}Length: {GOLD}1.8 tiles{}{SILVER}Originally operated by First North Western, the Class 175s were cascaded to services in Wales. They suffered early reliability problems, but work on braking systems and bogies has made a significant improvement.</v>
      </c>
    </row>
    <row r="254" spans="1:83" x14ac:dyDescent="0.25">
      <c r="A254" t="s">
        <v>575</v>
      </c>
      <c r="B254" t="s">
        <v>580</v>
      </c>
      <c r="C254">
        <v>484</v>
      </c>
      <c r="D254">
        <v>158</v>
      </c>
      <c r="E254" t="s">
        <v>1508</v>
      </c>
      <c r="F254" t="s">
        <v>403</v>
      </c>
      <c r="G254" t="s">
        <v>295</v>
      </c>
      <c r="H254" t="s">
        <v>302</v>
      </c>
      <c r="I254">
        <v>2000</v>
      </c>
      <c r="J254">
        <v>2001</v>
      </c>
      <c r="K254">
        <v>2012</v>
      </c>
      <c r="L254">
        <v>8</v>
      </c>
      <c r="M254">
        <v>3620</v>
      </c>
      <c r="V254">
        <v>319</v>
      </c>
      <c r="X254">
        <v>5</v>
      </c>
      <c r="Y254">
        <v>240</v>
      </c>
      <c r="Z254" s="3">
        <f t="shared" si="123"/>
        <v>7.5235109717868343E-2</v>
      </c>
      <c r="AA254">
        <v>100</v>
      </c>
      <c r="AB254">
        <f t="shared" si="137"/>
        <v>160</v>
      </c>
      <c r="AF254">
        <v>21</v>
      </c>
      <c r="AI254" s="10">
        <f>23*3</f>
        <v>69</v>
      </c>
      <c r="AJ254" t="str">
        <f>CONCATENATE(VLOOKUP(AK254, 'Voxel Sizes'!$A$2:$B$18,2,FALSE),"x",INT(AG254*15), "x", INT(AH254*15))</f>
        <v>198x0x0</v>
      </c>
      <c r="AK254">
        <f t="shared" si="124"/>
        <v>12</v>
      </c>
      <c r="AM254" t="str">
        <f>CONCATENATE(VLOOKUP(AK254,Constants!$A$2:$C$16,IF(AL254&lt;&gt;"", 3, 2), FALSE),IF(AL254&lt;&gt;"",CONCATENATE(",",VLOOKUP(AL254,$B:$AM,38,FALSE)),""))</f>
        <v>4,4,4</v>
      </c>
      <c r="AQ254" t="s">
        <v>583</v>
      </c>
      <c r="AS254" t="s">
        <v>582</v>
      </c>
      <c r="AW254">
        <v>27</v>
      </c>
      <c r="AX254" s="15">
        <f t="shared" si="125"/>
        <v>20</v>
      </c>
      <c r="AY254">
        <v>-15</v>
      </c>
      <c r="AZ254">
        <v>-30</v>
      </c>
      <c r="BA254">
        <f t="shared" si="126"/>
        <v>20</v>
      </c>
      <c r="BB254">
        <f t="shared" si="127"/>
        <v>18.100000000000001</v>
      </c>
      <c r="BC254">
        <f t="shared" si="128"/>
        <v>12</v>
      </c>
      <c r="BD254" s="3">
        <f t="shared" si="129"/>
        <v>0.8666666666666667</v>
      </c>
      <c r="BE254">
        <f t="shared" si="130"/>
        <v>18.400000000000002</v>
      </c>
      <c r="BF254">
        <f>VLOOKUP($G254,Constants!$I:$K, 2, FALSE)</f>
        <v>0.85</v>
      </c>
      <c r="BG254">
        <f>VLOOKUP($G254,Constants!$I:$K, 3, FALSE)*IF(AND(F254="multiple_unit",AA254&lt;110),0.75,1)</f>
        <v>1.7249999999999999</v>
      </c>
      <c r="BH254">
        <f>INT(POWER(((Constants!$G$2+$BA254+$BB254+$BC254+$BE254)*$BD254)*$BG254, 1.05))+$AZ254</f>
        <v>108</v>
      </c>
      <c r="BI254">
        <f>INT(POWER((((Constants!$G$1+$BA254+$BB254+$BC254+$BE254)*($BD254))*$BF254),IF($F254="wagon",1,1.2)))+$AY254</f>
        <v>125</v>
      </c>
      <c r="BJ254" s="14">
        <f t="shared" si="131"/>
        <v>84375</v>
      </c>
      <c r="BK254" s="14">
        <f t="shared" si="132"/>
        <v>10156.25</v>
      </c>
      <c r="BQ254" t="s">
        <v>1145</v>
      </c>
      <c r="BR254">
        <v>4</v>
      </c>
      <c r="BS254">
        <v>205</v>
      </c>
      <c r="BU254" t="s">
        <v>282</v>
      </c>
      <c r="BV254" t="str">
        <f>VLOOKUP(I254,Eras!$A$2:$C$10, 2, TRUE)</f>
        <v>prv</v>
      </c>
      <c r="BW254" t="s">
        <v>333</v>
      </c>
      <c r="BX254" t="str">
        <f t="shared" si="133"/>
        <v>prv_EMU (Express)</v>
      </c>
      <c r="BY254" t="str">
        <f t="shared" si="134"/>
        <v>electric_THIRD_RAIL</v>
      </c>
      <c r="BZ254" s="17" t="str" cm="1">
        <f t="array" ref="BZ254">_xlfn.CONCAT("{BLACK}Length: {GOLD}", TEXT(ROUNDUP(IF(AP254&lt;&gt;"",SUM(VALUE(_xlfn.TEXTSPLIT(AP254, ","))), SUM(VALUE(_xlfn.TEXTSPLIT(AM254, ",")))*IF(L254, L254, 1))/16, 1), "#,##0.0"), " tiles{}")</f>
        <v>{BLACK}Length: {GOLD}6.0 tiles{}</v>
      </c>
      <c r="CA254" t="str">
        <f>VLOOKUP($BY254, Constants!$M:$N, 2, FALSE)</f>
        <v>{BLACK}Powered by: {GOLD}750V DC</v>
      </c>
      <c r="CB254" t="str">
        <f>IF(L254&gt;1,_xlfn.CONCAT("{BLACK}Cars: {GOLD}", L254),"")</f>
        <v>{BLACK}Cars: {GOLD}8</v>
      </c>
      <c r="CC254" t="s">
        <v>581</v>
      </c>
      <c r="CD254" t="str">
        <f>IF(BU254="BRAKE","{YELLOW}Speed bonus for slow wagons{}",IF(BS254&gt;190,CONCATENATE("{YELLOW}",INT((BS254-185)/1.85),"% Bonus for long distance travel{}"),IF(AND(BS254&lt;180,BS254&lt;&gt;0),CONCATENATE("{YELLOW}",INT((185-BS254)/1.85),"% Penalty for long distance travel{}"),"")))</f>
        <v>{YELLOW}10% Bonus for long distance travel{}</v>
      </c>
      <c r="CE254" t="str">
        <f t="shared" si="122"/>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55" spans="1:83" x14ac:dyDescent="0.25">
      <c r="A255" t="s">
        <v>575</v>
      </c>
      <c r="B255" t="s">
        <v>1138</v>
      </c>
      <c r="C255">
        <v>485</v>
      </c>
      <c r="D255">
        <v>159</v>
      </c>
      <c r="E255" t="s">
        <v>1508</v>
      </c>
      <c r="F255" t="s">
        <v>403</v>
      </c>
      <c r="G255" t="s">
        <v>295</v>
      </c>
      <c r="H255" t="s">
        <v>302</v>
      </c>
      <c r="I255">
        <v>2000</v>
      </c>
      <c r="J255">
        <v>2001</v>
      </c>
      <c r="K255">
        <v>2012</v>
      </c>
      <c r="L255">
        <v>5</v>
      </c>
      <c r="M255">
        <v>3620</v>
      </c>
      <c r="V255">
        <f>319/8*5</f>
        <v>199.375</v>
      </c>
      <c r="X255">
        <v>5</v>
      </c>
      <c r="Y255">
        <v>240</v>
      </c>
      <c r="Z255" s="3">
        <f t="shared" si="123"/>
        <v>0.12037617554858934</v>
      </c>
      <c r="AA255">
        <v>100</v>
      </c>
      <c r="AB255">
        <f t="shared" si="137"/>
        <v>160</v>
      </c>
      <c r="AF255">
        <v>21</v>
      </c>
      <c r="AI255" s="10">
        <f>23*3</f>
        <v>69</v>
      </c>
      <c r="AJ255" t="str">
        <f>CONCATENATE(VLOOKUP(AK255, 'Voxel Sizes'!$A$2:$B$18,2,FALSE),"x",INT(AG255*15), "x", INT(AH255*15))</f>
        <v>198x0x0</v>
      </c>
      <c r="AK255">
        <f t="shared" si="124"/>
        <v>12</v>
      </c>
      <c r="AM255" t="str">
        <f>CONCATENATE(VLOOKUP(AK255,Constants!$A$2:$C$16,IF(AL255&lt;&gt;"", 3, 2), FALSE),IF(AL255&lt;&gt;"",CONCATENATE(",",VLOOKUP(AL255,$B:$AM,38,FALSE)),""))</f>
        <v>4,4,4</v>
      </c>
      <c r="AQ255" t="s">
        <v>1139</v>
      </c>
      <c r="AS255" t="s">
        <v>663</v>
      </c>
      <c r="AT255" t="s">
        <v>580</v>
      </c>
      <c r="AW255">
        <v>27</v>
      </c>
      <c r="AX255" s="15">
        <f t="shared" si="125"/>
        <v>20</v>
      </c>
      <c r="AY255">
        <v>-15</v>
      </c>
      <c r="AZ255">
        <v>-30</v>
      </c>
      <c r="BA255">
        <f t="shared" si="126"/>
        <v>20</v>
      </c>
      <c r="BB255">
        <f t="shared" si="127"/>
        <v>18.100000000000001</v>
      </c>
      <c r="BC255">
        <f t="shared" si="128"/>
        <v>12</v>
      </c>
      <c r="BD255" s="3">
        <f t="shared" si="129"/>
        <v>0.8666666666666667</v>
      </c>
      <c r="BE255">
        <f t="shared" si="130"/>
        <v>11.500000000000002</v>
      </c>
      <c r="BF255">
        <f>VLOOKUP($G255,Constants!$I:$K, 2, FALSE)</f>
        <v>0.85</v>
      </c>
      <c r="BG255">
        <f>VLOOKUP($G255,Constants!$I:$K, 3, FALSE)*IF(AND(F255="multiple_unit",AA255&lt;110),0.75,1)</f>
        <v>1.7249999999999999</v>
      </c>
      <c r="BH255">
        <f>INT(POWER(((Constants!$G$2+$BA255+$BB255+$BC255+$BE255)*$BD255)*$BG255, 1.05))+$AZ255</f>
        <v>95</v>
      </c>
      <c r="BI255">
        <f>INT(POWER((((Constants!$G$1+$BA255+$BB255+$BC255+$BE255)*($BD255))*$BF255),IF($F255="wagon",1,1.2)))+$AY255</f>
        <v>111</v>
      </c>
      <c r="BJ255" s="14">
        <f t="shared" si="131"/>
        <v>74218.75</v>
      </c>
      <c r="BK255" s="14">
        <f t="shared" si="132"/>
        <v>9018.75</v>
      </c>
      <c r="BQ255" t="s">
        <v>1147</v>
      </c>
      <c r="BR255">
        <v>4</v>
      </c>
      <c r="BS255">
        <v>205</v>
      </c>
      <c r="BU255" t="s">
        <v>282</v>
      </c>
      <c r="BV255" t="str">
        <f>VLOOKUP(I255,Eras!$A$2:$C$10, 2, TRUE)</f>
        <v>prv</v>
      </c>
      <c r="BW255" t="s">
        <v>333</v>
      </c>
      <c r="BX255" t="str">
        <f t="shared" si="133"/>
        <v>prv_EMU (Express)</v>
      </c>
      <c r="BY255" t="str">
        <f t="shared" si="134"/>
        <v>electric_THIRD_RAIL</v>
      </c>
      <c r="BZ255" s="17" t="str" cm="1">
        <f t="array" ref="BZ255">_xlfn.CONCAT("{BLACK}Length: {GOLD}", TEXT(ROUNDUP(IF(AP255&lt;&gt;"",SUM(VALUE(_xlfn.TEXTSPLIT(AP255, ","))), SUM(VALUE(_xlfn.TEXTSPLIT(AM255, ",")))*IF(L255, L255, 1))/16, 1), "#,##0.0"), " tiles{}")</f>
        <v>{BLACK}Length: {GOLD}3.8 tiles{}</v>
      </c>
      <c r="CA255" t="str">
        <f>VLOOKUP($BY255, Constants!$M:$N, 2, FALSE)</f>
        <v>{BLACK}Powered by: {GOLD}750V DC</v>
      </c>
      <c r="CB255" t="str">
        <f>IF(L255&gt;1,_xlfn.CONCAT("{BLACK}Cars: {GOLD}", L255),"")</f>
        <v>{BLACK}Cars: {GOLD}5</v>
      </c>
      <c r="CC255" t="s">
        <v>581</v>
      </c>
      <c r="CD255" t="str">
        <f>IF(BU255="BRAKE","{YELLOW}Speed bonus for slow wagons{}",IF(BS255&gt;190,CONCATENATE("{YELLOW}",INT((BS255-185)/1.85),"% Bonus for long distance travel{}"),IF(AND(BS255&lt;180,BS255&lt;&gt;0),CONCATENATE("{YELLOW}",INT((185-BS255)/1.85),"% Penalty for long distance travel{}"),"")))</f>
        <v>{YELLOW}10% Bonus for long distance travel{}</v>
      </c>
      <c r="CE255" t="str">
        <f t="shared" si="122"/>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56" spans="1:83" x14ac:dyDescent="0.25">
      <c r="A256" t="s">
        <v>1255</v>
      </c>
      <c r="B256" t="s">
        <v>1256</v>
      </c>
      <c r="C256">
        <v>486</v>
      </c>
      <c r="D256">
        <v>160</v>
      </c>
      <c r="E256" t="s">
        <v>1508</v>
      </c>
      <c r="F256" t="s">
        <v>403</v>
      </c>
      <c r="G256" t="s">
        <v>272</v>
      </c>
      <c r="H256" t="s">
        <v>274</v>
      </c>
      <c r="I256">
        <v>2001</v>
      </c>
      <c r="L256">
        <v>5</v>
      </c>
      <c r="M256">
        <f>750*3</f>
        <v>2250</v>
      </c>
      <c r="V256">
        <v>252.5</v>
      </c>
      <c r="X256">
        <v>4</v>
      </c>
      <c r="Y256">
        <v>190</v>
      </c>
      <c r="Z256" s="3">
        <f t="shared" si="123"/>
        <v>7.5247524752475245E-2</v>
      </c>
      <c r="AA256">
        <v>125</v>
      </c>
      <c r="AB256">
        <f t="shared" si="137"/>
        <v>200</v>
      </c>
      <c r="AE256">
        <v>23.71</v>
      </c>
      <c r="AF256">
        <v>23.71</v>
      </c>
      <c r="AI256" s="10">
        <v>57</v>
      </c>
      <c r="AJ256" t="str">
        <f>CONCATENATE(VLOOKUP(AK256, 'Voxel Sizes'!$A$2:$B$18,2,FALSE),"x",INT(AG256*15), "x", INT(AH256*15))</f>
        <v>238x0x0</v>
      </c>
      <c r="AK256">
        <f t="shared" si="124"/>
        <v>14</v>
      </c>
      <c r="AM256" t="str">
        <f>CONCATENATE(VLOOKUP(AK256,Constants!$A$2:$C$16,IF(AL256&lt;&gt;"", 3, 2), FALSE),IF(AL256&lt;&gt;"",CONCATENATE(",",VLOOKUP(AL256,$B:$AM,38,FALSE)),""))</f>
        <v>4,6,4</v>
      </c>
      <c r="AQ256" t="s">
        <v>1257</v>
      </c>
      <c r="AS256" t="s">
        <v>605</v>
      </c>
      <c r="AW256">
        <v>22</v>
      </c>
      <c r="AX256" s="15" t="str">
        <f t="shared" si="125"/>
        <v/>
      </c>
      <c r="AY256">
        <v>-8</v>
      </c>
      <c r="AZ256">
        <v>-30</v>
      </c>
      <c r="BA256">
        <f t="shared" si="126"/>
        <v>25</v>
      </c>
      <c r="BB256">
        <f t="shared" si="127"/>
        <v>11.25</v>
      </c>
      <c r="BC256">
        <f t="shared" si="128"/>
        <v>9.5</v>
      </c>
      <c r="BD256" s="3">
        <f t="shared" si="129"/>
        <v>0.86533333333333329</v>
      </c>
      <c r="BE256">
        <f t="shared" si="130"/>
        <v>9.5</v>
      </c>
      <c r="BF256">
        <f>VLOOKUP($G256,Constants!$I:$K, 2, FALSE)</f>
        <v>1</v>
      </c>
      <c r="BG256">
        <f>VLOOKUP($G256,Constants!$I:$K, 3, FALSE)*IF(AND(F256="multiple_unit",AA256&lt;110),0.75,1)</f>
        <v>2</v>
      </c>
      <c r="BH256">
        <f>INT(POWER(((Constants!$G$2+$BA256+$BB256+$BC256+$BE256)*$BD256)*$BG256, 1.05))+$AZ256</f>
        <v>101</v>
      </c>
      <c r="BI256">
        <f>INT(POWER((((Constants!$G$1+$BA256+$BB256+$BC256+$BE256)*($BD256))*$BF256),IF($F256="wagon",1,1.2)))+$AY256</f>
        <v>130</v>
      </c>
      <c r="BJ256" s="14">
        <f t="shared" si="131"/>
        <v>78906.25</v>
      </c>
      <c r="BK256" s="14">
        <f t="shared" si="132"/>
        <v>10562.5</v>
      </c>
      <c r="BQ256" t="s">
        <v>1145</v>
      </c>
      <c r="BR256">
        <v>7</v>
      </c>
      <c r="BU256" t="s">
        <v>282</v>
      </c>
      <c r="BV256" t="str">
        <f>VLOOKUP(I256,Eras!$A$2:$C$10, 2, TRUE)</f>
        <v>prv</v>
      </c>
      <c r="BW256" t="s">
        <v>331</v>
      </c>
      <c r="BX256" t="str">
        <f t="shared" si="133"/>
        <v>prv_DMU (Express)</v>
      </c>
      <c r="BY256" t="str">
        <f t="shared" si="134"/>
        <v>diesel_RAIL</v>
      </c>
      <c r="BZ256" s="17" t="str" cm="1">
        <f t="array" ref="BZ256">_xlfn.CONCAT("{BLACK}Length: {GOLD}", TEXT(ROUNDUP(IF(AP256&lt;&gt;"",SUM(VALUE(_xlfn.TEXTSPLIT(AP256, ","))), SUM(VALUE(_xlfn.TEXTSPLIT(AM256, ",")))*IF(L256, L256, 1))/16, 1), "#,##0.0"), " tiles{}")</f>
        <v>{BLACK}Length: {GOLD}4.4 tiles{}</v>
      </c>
      <c r="CC256" t="s">
        <v>1258</v>
      </c>
      <c r="CE256" t="str">
        <f t="shared" si="122"/>
        <v>{BLACK}Length: {GOLD}4.4 tiles{}{SILVER}Unusually for a high speed unit, the Class 180 uses a diesel-hydraulic transmission. Unfortunately the units suffered reliability problems both before and after launch.</v>
      </c>
    </row>
    <row r="257" spans="1:83" x14ac:dyDescent="0.25">
      <c r="A257" t="s">
        <v>1255</v>
      </c>
      <c r="B257" t="s">
        <v>1300</v>
      </c>
      <c r="C257">
        <v>487</v>
      </c>
      <c r="D257">
        <v>161</v>
      </c>
      <c r="E257" t="s">
        <v>1508</v>
      </c>
      <c r="F257" t="s">
        <v>403</v>
      </c>
      <c r="G257" t="s">
        <v>272</v>
      </c>
      <c r="H257" t="s">
        <v>274</v>
      </c>
      <c r="I257">
        <v>2001</v>
      </c>
      <c r="L257">
        <v>4</v>
      </c>
      <c r="M257">
        <f>750*3</f>
        <v>2250</v>
      </c>
      <c r="V257">
        <v>203</v>
      </c>
      <c r="X257">
        <v>4</v>
      </c>
      <c r="Y257">
        <v>190</v>
      </c>
      <c r="Z257" s="3">
        <f t="shared" si="123"/>
        <v>9.3596059113300489E-2</v>
      </c>
      <c r="AA257">
        <v>125</v>
      </c>
      <c r="AB257">
        <f t="shared" si="137"/>
        <v>200</v>
      </c>
      <c r="AE257">
        <v>23.71</v>
      </c>
      <c r="AF257">
        <v>23.71</v>
      </c>
      <c r="AI257" s="10">
        <v>57</v>
      </c>
      <c r="AJ257" t="str">
        <f>CONCATENATE(VLOOKUP(AK257, 'Voxel Sizes'!$A$2:$B$18,2,FALSE),"x",INT(AG257*15), "x", INT(AH257*15))</f>
        <v>238x0x0</v>
      </c>
      <c r="AK257">
        <f t="shared" si="124"/>
        <v>14</v>
      </c>
      <c r="AM257" t="str">
        <f>CONCATENATE(VLOOKUP(AK257,Constants!$A$2:$C$16,IF(AL257&lt;&gt;"", 3, 2), FALSE),IF(AL257&lt;&gt;"",CONCATENATE(",",VLOOKUP(AL257,$B:$AM,38,FALSE)),""))</f>
        <v>4,6,4</v>
      </c>
      <c r="AQ257" t="s">
        <v>1301</v>
      </c>
      <c r="AS257" t="s">
        <v>1125</v>
      </c>
      <c r="AT257" t="s">
        <v>1256</v>
      </c>
      <c r="AW257">
        <v>22</v>
      </c>
      <c r="AX257" s="15" t="str">
        <f t="shared" si="125"/>
        <v/>
      </c>
      <c r="AY257">
        <v>-8</v>
      </c>
      <c r="AZ257">
        <v>-30</v>
      </c>
      <c r="BA257">
        <f t="shared" si="126"/>
        <v>25</v>
      </c>
      <c r="BB257">
        <f t="shared" si="127"/>
        <v>11.25</v>
      </c>
      <c r="BC257">
        <f t="shared" si="128"/>
        <v>9.5</v>
      </c>
      <c r="BD257" s="3">
        <f t="shared" si="129"/>
        <v>0.86533333333333329</v>
      </c>
      <c r="BE257">
        <f t="shared" si="130"/>
        <v>7.6</v>
      </c>
      <c r="BF257">
        <f>VLOOKUP($G257,Constants!$I:$K, 2, FALSE)</f>
        <v>1</v>
      </c>
      <c r="BG257">
        <f>VLOOKUP($G257,Constants!$I:$K, 3, FALSE)*IF(AND(F257="multiple_unit",AA257&lt;110),0.75,1)</f>
        <v>2</v>
      </c>
      <c r="BH257">
        <f>INT(POWER(((Constants!$G$2+$BA257+$BB257+$BC257+$BE257)*$BD257)*$BG257, 1.05))+$AZ257</f>
        <v>97</v>
      </c>
      <c r="BI257">
        <f>INT(POWER((((Constants!$G$1+$BA257+$BB257+$BC257+$BE257)*($BD257))*$BF257),IF($F257="wagon",1,1.2)))+$AY257</f>
        <v>125</v>
      </c>
      <c r="BJ257" s="14">
        <f t="shared" si="131"/>
        <v>75781.25</v>
      </c>
      <c r="BK257" s="14">
        <f t="shared" si="132"/>
        <v>10156.25</v>
      </c>
      <c r="BQ257" t="s">
        <v>1147</v>
      </c>
      <c r="BR257">
        <v>7</v>
      </c>
      <c r="BU257" t="s">
        <v>282</v>
      </c>
      <c r="BV257" t="str">
        <f>VLOOKUP(I257,Eras!$A$2:$C$10, 2, TRUE)</f>
        <v>prv</v>
      </c>
      <c r="BW257" t="s">
        <v>331</v>
      </c>
      <c r="BX257" t="str">
        <f t="shared" si="133"/>
        <v>prv_DMU (Express)</v>
      </c>
      <c r="BY257" t="str">
        <f t="shared" si="134"/>
        <v>diesel_RAIL</v>
      </c>
      <c r="BZ257" s="17" t="str" cm="1">
        <f t="array" ref="BZ257">_xlfn.CONCAT("{BLACK}Length: {GOLD}", TEXT(ROUNDUP(IF(AP257&lt;&gt;"",SUM(VALUE(_xlfn.TEXTSPLIT(AP257, ","))), SUM(VALUE(_xlfn.TEXTSPLIT(AM257, ",")))*IF(L257, L257, 1))/16, 1), "#,##0.0"), " tiles{}")</f>
        <v>{BLACK}Length: {GOLD}3.5 tiles{}</v>
      </c>
      <c r="CC257" t="s">
        <v>1258</v>
      </c>
      <c r="CE257" t="str">
        <f t="shared" si="122"/>
        <v>{BLACK}Length: {GOLD}3.5 tiles{}{SILVER}Unusually for a high speed unit, the Class 180 uses a diesel-hydraulic transmission. Unfortunately the units suffered reliability problems both before and after launch.</v>
      </c>
    </row>
    <row r="258" spans="1:83" x14ac:dyDescent="0.25">
      <c r="A258" t="s">
        <v>576</v>
      </c>
      <c r="B258" t="s">
        <v>655</v>
      </c>
      <c r="C258">
        <v>488</v>
      </c>
      <c r="D258">
        <v>162</v>
      </c>
      <c r="E258" t="s">
        <v>1508</v>
      </c>
      <c r="F258" t="s">
        <v>403</v>
      </c>
      <c r="G258" t="s">
        <v>295</v>
      </c>
      <c r="H258" t="s">
        <v>296</v>
      </c>
      <c r="I258">
        <v>2002</v>
      </c>
      <c r="L258">
        <v>8</v>
      </c>
      <c r="M258">
        <v>6840</v>
      </c>
      <c r="V258">
        <v>466</v>
      </c>
      <c r="X258">
        <v>4</v>
      </c>
      <c r="Y258">
        <v>325</v>
      </c>
      <c r="Z258" s="3">
        <f t="shared" si="123"/>
        <v>6.974248927038626E-2</v>
      </c>
      <c r="AA258">
        <v>140</v>
      </c>
      <c r="AB258">
        <f t="shared" si="137"/>
        <v>224</v>
      </c>
      <c r="AE258">
        <v>23.9</v>
      </c>
      <c r="AF258">
        <v>23.9</v>
      </c>
      <c r="AG258">
        <v>2.73</v>
      </c>
      <c r="AH258">
        <v>3.56</v>
      </c>
      <c r="AI258" s="10">
        <v>60</v>
      </c>
      <c r="AJ258" t="str">
        <f>CONCATENATE(VLOOKUP(AK258, 'Voxel Sizes'!$A$2:$B$18,2,FALSE),"x",INT(AG258*15), "x", INT(AH258*15))</f>
        <v>238x40x53</v>
      </c>
      <c r="AK258">
        <f t="shared" si="124"/>
        <v>14</v>
      </c>
      <c r="AM258" t="str">
        <f>CONCATENATE(VLOOKUP(AK258,Constants!$A$2:$C$16,IF(AL258&lt;&gt;"", 3, 2), FALSE),IF(AL258&lt;&gt;"",CONCATENATE(",",VLOOKUP(AL258,$B:$AM,38,FALSE)),""))</f>
        <v>4,6,4</v>
      </c>
      <c r="AQ258" t="s">
        <v>654</v>
      </c>
      <c r="AS258" t="s">
        <v>657</v>
      </c>
      <c r="AW258">
        <v>29</v>
      </c>
      <c r="AX258" s="15" t="str">
        <f t="shared" si="125"/>
        <v/>
      </c>
      <c r="AY258">
        <v>-15</v>
      </c>
      <c r="AZ258">
        <v>-35</v>
      </c>
      <c r="BA258">
        <f t="shared" si="126"/>
        <v>28</v>
      </c>
      <c r="BB258">
        <f t="shared" si="127"/>
        <v>20</v>
      </c>
      <c r="BC258">
        <f t="shared" si="128"/>
        <v>16.25</v>
      </c>
      <c r="BD258" s="3">
        <f t="shared" si="129"/>
        <v>0.86399999999999999</v>
      </c>
      <c r="BE258">
        <f t="shared" si="130"/>
        <v>16</v>
      </c>
      <c r="BF258">
        <f>VLOOKUP($G258,Constants!$I:$K, 2, FALSE)</f>
        <v>0.85</v>
      </c>
      <c r="BG258">
        <f>VLOOKUP($G258,Constants!$I:$K, 3, FALSE)*IF(AND(F258="multiple_unit",AA258&lt;110),0.75,1)</f>
        <v>2.2999999999999998</v>
      </c>
      <c r="BH258">
        <f>INT(POWER(((Constants!$G$2+$BA258+$BB258+$BC258+$BE258)*$BD258)*$BG258, 1.05))+$AZ258</f>
        <v>183</v>
      </c>
      <c r="BI258">
        <f>INT(POWER((((Constants!$G$1+$BA258+$BB258+$BC258+$BE258)*($BD258))*$BF258),IF($F258="wagon",1,1.2)))+$AY258</f>
        <v>148</v>
      </c>
      <c r="BJ258" s="14">
        <f t="shared" si="131"/>
        <v>142968.75</v>
      </c>
      <c r="BK258" s="14">
        <f t="shared" si="132"/>
        <v>12025</v>
      </c>
      <c r="BN258">
        <v>1</v>
      </c>
      <c r="BQ258" t="s">
        <v>1149</v>
      </c>
      <c r="BR258">
        <v>6</v>
      </c>
      <c r="BS258">
        <v>205</v>
      </c>
      <c r="BU258" t="s">
        <v>282</v>
      </c>
      <c r="BV258" t="str">
        <f>VLOOKUP(I258,Eras!$A$2:$C$10, 2, TRUE)</f>
        <v>prv</v>
      </c>
      <c r="BW258" t="s">
        <v>333</v>
      </c>
      <c r="BX258" t="str">
        <f t="shared" si="133"/>
        <v>prv_EMU (Express)</v>
      </c>
      <c r="BY258" t="str">
        <f t="shared" si="134"/>
        <v>electric_ELRL</v>
      </c>
      <c r="BZ258" s="17" t="str" cm="1">
        <f t="array" ref="BZ258">_xlfn.CONCAT("{BLACK}Length: {GOLD}", TEXT(ROUNDUP(IF(AP258&lt;&gt;"",SUM(VALUE(_xlfn.TEXTSPLIT(AP258, ","))), SUM(VALUE(_xlfn.TEXTSPLIT(AM258, ",")))*IF(L258, L258, 1))/16, 1), "#,##0.0"), " tiles{}")</f>
        <v>{BLACK}Length: {GOLD}7.0 tiles{}</v>
      </c>
      <c r="CA258" t="str">
        <f>VLOOKUP($BY258, Constants!$M:$N, 2, FALSE)</f>
        <v>{BLACK}Powered by: {GOLD}25kV AC</v>
      </c>
      <c r="CB258" t="str">
        <f t="shared" ref="CB258:CB268" si="138">IF(L258&gt;1,_xlfn.CONCAT("{BLACK}Cars: {GOLD}", L258),"")</f>
        <v>{BLACK}Cars: {GOLD}8</v>
      </c>
      <c r="CC258" t="s">
        <v>656</v>
      </c>
      <c r="CD258" t="str">
        <f t="shared" ref="CD258:CD268" si="139">IF(BU258="BRAKE","{YELLOW}Speed bonus for slow wagons{}",IF(BS258&gt;190,CONCATENATE("{YELLOW}",INT((BS258-185)/1.85),"% Bonus for long distance travel{}"),IF(AND(BS258&lt;180,BS258&lt;&gt;0),CONCATENATE("{YELLOW}",INT((185-BS258)/1.85),"% Penalty for long distance travel{}"),"")))</f>
        <v>{YELLOW}10% Bonus for long distance travel{}</v>
      </c>
      <c r="CE258" t="str">
        <f t="shared" si="122"/>
        <v>{BLACK}Powered by: {GOLD}25kV AC {BLACK}Cars: {GOLD}8{}{BLACK}Length: {GOLD}7.0 tiles{}{YELLOW}10% Bonus for long distance travel{}{SILVER}The Pendolino is a tilting multiple unit with a design speed of 140mph.  The tilt system is supplied by Fiat Ferroviaria.</v>
      </c>
    </row>
    <row r="259" spans="1:83" x14ac:dyDescent="0.25">
      <c r="A259" t="s">
        <v>576</v>
      </c>
      <c r="B259" t="s">
        <v>1127</v>
      </c>
      <c r="C259">
        <v>489</v>
      </c>
      <c r="D259">
        <v>163</v>
      </c>
      <c r="E259" t="s">
        <v>1508</v>
      </c>
      <c r="F259" t="s">
        <v>403</v>
      </c>
      <c r="G259" t="s">
        <v>295</v>
      </c>
      <c r="H259" t="s">
        <v>296</v>
      </c>
      <c r="I259">
        <v>2002</v>
      </c>
      <c r="L259">
        <v>6</v>
      </c>
      <c r="M259">
        <v>6840</v>
      </c>
      <c r="V259">
        <f>(466/8)*6</f>
        <v>349.5</v>
      </c>
      <c r="X259">
        <v>4</v>
      </c>
      <c r="Y259">
        <v>325</v>
      </c>
      <c r="Z259" s="3">
        <f t="shared" si="123"/>
        <v>9.2989985693848351E-2</v>
      </c>
      <c r="AA259">
        <v>140</v>
      </c>
      <c r="AB259">
        <f t="shared" si="137"/>
        <v>224</v>
      </c>
      <c r="AE259">
        <v>23.9</v>
      </c>
      <c r="AF259">
        <v>23.9</v>
      </c>
      <c r="AG259">
        <v>2.73</v>
      </c>
      <c r="AH259">
        <v>3.56</v>
      </c>
      <c r="AI259" s="10">
        <v>60</v>
      </c>
      <c r="AJ259" t="str">
        <f>CONCATENATE(VLOOKUP(AK259, 'Voxel Sizes'!$A$2:$B$18,2,FALSE),"x",INT(AG259*15), "x", INT(AH259*15))</f>
        <v>238x40x53</v>
      </c>
      <c r="AK259">
        <f t="shared" si="124"/>
        <v>14</v>
      </c>
      <c r="AM259" t="str">
        <f>CONCATENATE(VLOOKUP(AK259,Constants!$A$2:$C$16,IF(AL259&lt;&gt;"", 3, 2), FALSE),IF(AL259&lt;&gt;"",CONCATENATE(",",VLOOKUP(AL259,$B:$AM,38,FALSE)),""))</f>
        <v>4,6,4</v>
      </c>
      <c r="AQ259" t="s">
        <v>1128</v>
      </c>
      <c r="AS259" t="s">
        <v>1129</v>
      </c>
      <c r="AT259" t="s">
        <v>655</v>
      </c>
      <c r="AW259">
        <v>29</v>
      </c>
      <c r="AX259" s="15" t="str">
        <f t="shared" si="125"/>
        <v/>
      </c>
      <c r="AY259">
        <v>-15</v>
      </c>
      <c r="AZ259">
        <v>-35</v>
      </c>
      <c r="BA259">
        <f t="shared" si="126"/>
        <v>28</v>
      </c>
      <c r="BB259">
        <f t="shared" si="127"/>
        <v>20</v>
      </c>
      <c r="BC259">
        <f t="shared" si="128"/>
        <v>16.25</v>
      </c>
      <c r="BD259" s="3">
        <f t="shared" si="129"/>
        <v>0.86399999999999999</v>
      </c>
      <c r="BE259">
        <f t="shared" si="130"/>
        <v>12.000000000000002</v>
      </c>
      <c r="BF259">
        <f>VLOOKUP($G259,Constants!$I:$K, 2, FALSE)</f>
        <v>0.85</v>
      </c>
      <c r="BG259">
        <f>VLOOKUP($G259,Constants!$I:$K, 3, FALSE)*IF(AND(F259="multiple_unit",AA259&lt;110),0.75,1)</f>
        <v>2.2999999999999998</v>
      </c>
      <c r="BH259">
        <f>INT(POWER(((Constants!$G$2+$BA259+$BB259+$BC259+$BE259)*$BD259)*$BG259, 1.05))+$AZ259</f>
        <v>173</v>
      </c>
      <c r="BI259">
        <f>INT(POWER((((Constants!$G$1+$BA259+$BB259+$BC259+$BE259)*($BD259))*$BF259),IF($F259="wagon",1,1.2)))+$AY259</f>
        <v>140</v>
      </c>
      <c r="BJ259" s="14">
        <f t="shared" si="131"/>
        <v>135156.25</v>
      </c>
      <c r="BK259" s="14">
        <f t="shared" si="132"/>
        <v>11375</v>
      </c>
      <c r="BN259">
        <v>1</v>
      </c>
      <c r="BQ259" t="s">
        <v>1148</v>
      </c>
      <c r="BR259">
        <v>6</v>
      </c>
      <c r="BS259">
        <v>205</v>
      </c>
      <c r="BU259" t="s">
        <v>282</v>
      </c>
      <c r="BV259" t="str">
        <f>VLOOKUP(I259,Eras!$A$2:$C$10, 2, TRUE)</f>
        <v>prv</v>
      </c>
      <c r="BW259" t="s">
        <v>333</v>
      </c>
      <c r="BX259" t="str">
        <f t="shared" si="133"/>
        <v>prv_EMU (Express)</v>
      </c>
      <c r="BY259" t="str">
        <f t="shared" si="134"/>
        <v>electric_ELRL</v>
      </c>
      <c r="BZ259" s="17" t="str" cm="1">
        <f t="array" ref="BZ259">_xlfn.CONCAT("{BLACK}Length: {GOLD}", TEXT(ROUNDUP(IF(AP259&lt;&gt;"",SUM(VALUE(_xlfn.TEXTSPLIT(AP259, ","))), SUM(VALUE(_xlfn.TEXTSPLIT(AM259, ",")))*IF(L259, L259, 1))/16, 1), "#,##0.0"), " tiles{}")</f>
        <v>{BLACK}Length: {GOLD}5.3 tiles{}</v>
      </c>
      <c r="CA259" t="str">
        <f>VLOOKUP($BY259, Constants!$M:$N, 2, FALSE)</f>
        <v>{BLACK}Powered by: {GOLD}25kV AC</v>
      </c>
      <c r="CB259" t="str">
        <f t="shared" si="138"/>
        <v>{BLACK}Cars: {GOLD}6</v>
      </c>
      <c r="CC259" t="s">
        <v>656</v>
      </c>
      <c r="CD259" t="str">
        <f t="shared" si="139"/>
        <v>{YELLOW}10% Bonus for long distance travel{}</v>
      </c>
      <c r="CE259" t="str">
        <f t="shared" si="122"/>
        <v>{BLACK}Powered by: {GOLD}25kV AC {BLACK}Cars: {GOLD}6{}{BLACK}Length: {GOLD}5.3 tiles{}{YELLOW}10% Bonus for long distance travel{}{SILVER}The Pendolino is a tilting multiple unit with a design speed of 140mph.  The tilt system is supplied by Fiat Ferroviaria.</v>
      </c>
    </row>
    <row r="260" spans="1:83" x14ac:dyDescent="0.25">
      <c r="A260" t="s">
        <v>576</v>
      </c>
      <c r="B260" t="s">
        <v>1142</v>
      </c>
      <c r="C260">
        <v>490</v>
      </c>
      <c r="D260">
        <v>164</v>
      </c>
      <c r="E260" t="s">
        <v>1508</v>
      </c>
      <c r="F260" t="s">
        <v>403</v>
      </c>
      <c r="G260" t="s">
        <v>295</v>
      </c>
      <c r="H260" t="s">
        <v>296</v>
      </c>
      <c r="I260">
        <v>2002</v>
      </c>
      <c r="L260">
        <v>4</v>
      </c>
      <c r="M260">
        <v>6840</v>
      </c>
      <c r="V260">
        <f>(466/8)*4</f>
        <v>233</v>
      </c>
      <c r="X260">
        <v>4</v>
      </c>
      <c r="Y260">
        <v>325</v>
      </c>
      <c r="Z260" s="3">
        <f t="shared" si="123"/>
        <v>0.13948497854077252</v>
      </c>
      <c r="AA260">
        <v>140</v>
      </c>
      <c r="AB260">
        <f t="shared" si="137"/>
        <v>224</v>
      </c>
      <c r="AE260">
        <v>23.9</v>
      </c>
      <c r="AF260">
        <v>23.9</v>
      </c>
      <c r="AG260">
        <v>2.73</v>
      </c>
      <c r="AH260">
        <v>3.56</v>
      </c>
      <c r="AI260" s="10">
        <v>60</v>
      </c>
      <c r="AJ260" t="str">
        <f>CONCATENATE(VLOOKUP(AK260, 'Voxel Sizes'!$A$2:$B$18,2,FALSE),"x",INT(AG260*15), "x", INT(AH260*15))</f>
        <v>238x40x53</v>
      </c>
      <c r="AK260">
        <f t="shared" si="124"/>
        <v>14</v>
      </c>
      <c r="AM260" t="str">
        <f>CONCATENATE(VLOOKUP(AK260,Constants!$A$2:$C$16,IF(AL260&lt;&gt;"", 3, 2), FALSE),IF(AL260&lt;&gt;"",CONCATENATE(",",VLOOKUP(AL260,$B:$AM,38,FALSE)),""))</f>
        <v>4,6,4</v>
      </c>
      <c r="AQ260" t="s">
        <v>1143</v>
      </c>
      <c r="AS260" t="s">
        <v>1125</v>
      </c>
      <c r="AT260" t="s">
        <v>655</v>
      </c>
      <c r="AW260">
        <v>29</v>
      </c>
      <c r="AX260" s="15" t="str">
        <f t="shared" si="125"/>
        <v/>
      </c>
      <c r="AY260">
        <v>-15</v>
      </c>
      <c r="AZ260">
        <v>-35</v>
      </c>
      <c r="BA260">
        <f t="shared" si="126"/>
        <v>28</v>
      </c>
      <c r="BB260">
        <f t="shared" si="127"/>
        <v>20</v>
      </c>
      <c r="BC260">
        <f t="shared" si="128"/>
        <v>16.25</v>
      </c>
      <c r="BD260" s="3">
        <f t="shared" si="129"/>
        <v>0.86399999999999999</v>
      </c>
      <c r="BE260">
        <f t="shared" si="130"/>
        <v>8</v>
      </c>
      <c r="BF260">
        <f>VLOOKUP($G260,Constants!$I:$K, 2, FALSE)</f>
        <v>0.85</v>
      </c>
      <c r="BG260">
        <f>VLOOKUP($G260,Constants!$I:$K, 3, FALSE)*IF(AND(F260="multiple_unit",AA260&lt;110),0.75,1)</f>
        <v>2.2999999999999998</v>
      </c>
      <c r="BH260">
        <f>INT(POWER(((Constants!$G$2+$BA260+$BB260+$BC260+$BE260)*$BD260)*$BG260, 1.05))+$AZ260</f>
        <v>162</v>
      </c>
      <c r="BI260">
        <f>INT(POWER((((Constants!$G$1+$BA260+$BB260+$BC260+$BE260)*($BD260))*$BF260),IF($F260="wagon",1,1.2)))+$AY260</f>
        <v>132</v>
      </c>
      <c r="BJ260" s="14">
        <f t="shared" si="131"/>
        <v>126562.5</v>
      </c>
      <c r="BK260" s="14">
        <f t="shared" si="132"/>
        <v>10725</v>
      </c>
      <c r="BN260">
        <v>1</v>
      </c>
      <c r="BQ260" t="s">
        <v>1147</v>
      </c>
      <c r="BR260">
        <v>6</v>
      </c>
      <c r="BS260">
        <v>205</v>
      </c>
      <c r="BU260" t="s">
        <v>282</v>
      </c>
      <c r="BV260" t="str">
        <f>VLOOKUP(I260,Eras!$A$2:$C$10, 2, TRUE)</f>
        <v>prv</v>
      </c>
      <c r="BW260" t="s">
        <v>333</v>
      </c>
      <c r="BX260" t="str">
        <f t="shared" si="133"/>
        <v>prv_EMU (Express)</v>
      </c>
      <c r="BY260" t="str">
        <f t="shared" si="134"/>
        <v>electric_ELRL</v>
      </c>
      <c r="BZ260" s="17" t="str" cm="1">
        <f t="array" ref="BZ260">_xlfn.CONCAT("{BLACK}Length: {GOLD}", TEXT(ROUNDUP(IF(AP260&lt;&gt;"",SUM(VALUE(_xlfn.TEXTSPLIT(AP260, ","))), SUM(VALUE(_xlfn.TEXTSPLIT(AM260, ",")))*IF(L260, L260, 1))/16, 1), "#,##0.0"), " tiles{}")</f>
        <v>{BLACK}Length: {GOLD}3.5 tiles{}</v>
      </c>
      <c r="CA260" t="str">
        <f>VLOOKUP($BY260, Constants!$M:$N, 2, FALSE)</f>
        <v>{BLACK}Powered by: {GOLD}25kV AC</v>
      </c>
      <c r="CB260" t="str">
        <f t="shared" si="138"/>
        <v>{BLACK}Cars: {GOLD}4</v>
      </c>
      <c r="CC260" t="s">
        <v>656</v>
      </c>
      <c r="CD260" t="str">
        <f t="shared" si="139"/>
        <v>{YELLOW}10% Bonus for long distance travel{}</v>
      </c>
      <c r="CE260" t="str">
        <f t="shared" ref="CE260:CE305" si="140">_xlfn.CONCAT(CA260,IF(CA260 &lt;&gt; "", " ", ""),CB260,IF(OR(CB260&lt;&gt;"", CA260&lt;&gt;""), "{}",""), BZ260, CD260,"{SILVER}", CC260)</f>
        <v>{BLACK}Powered by: {GOLD}25kV AC {BLACK}Cars: {GOLD}4{}{BLACK}Length: {GOLD}3.5 tiles{}{YELLOW}10% Bonus for long distance travel{}{SILVER}The Pendolino is a tilting multiple unit with a design speed of 140mph.  The tilt system is supplied by Fiat Ferroviaria.</v>
      </c>
    </row>
    <row r="261" spans="1:83" x14ac:dyDescent="0.25">
      <c r="A261" t="s">
        <v>92</v>
      </c>
      <c r="B261" t="s">
        <v>222</v>
      </c>
      <c r="C261">
        <v>492</v>
      </c>
      <c r="D261">
        <v>165</v>
      </c>
      <c r="E261" t="s">
        <v>1508</v>
      </c>
      <c r="F261" t="s">
        <v>403</v>
      </c>
      <c r="G261" t="s">
        <v>272</v>
      </c>
      <c r="H261" t="s">
        <v>274</v>
      </c>
      <c r="I261">
        <v>2002</v>
      </c>
      <c r="L261">
        <v>4</v>
      </c>
      <c r="M261">
        <v>3000</v>
      </c>
      <c r="V261">
        <v>185.6</v>
      </c>
      <c r="X261">
        <v>5</v>
      </c>
      <c r="Y261">
        <v>185</v>
      </c>
      <c r="Z261" s="3">
        <f t="shared" si="123"/>
        <v>9.9676724137931036E-2</v>
      </c>
      <c r="AA261">
        <v>125</v>
      </c>
      <c r="AB261">
        <f t="shared" si="137"/>
        <v>200</v>
      </c>
      <c r="AE261">
        <v>23.8</v>
      </c>
      <c r="AF261">
        <v>23.8</v>
      </c>
      <c r="AG261">
        <v>2.73</v>
      </c>
      <c r="AI261" s="10">
        <v>51</v>
      </c>
      <c r="AJ261" t="str">
        <f>CONCATENATE(VLOOKUP(AK261, 'Voxel Sizes'!$A$2:$B$18,2,FALSE),"x",INT(AG261*15), "x", INT(AH261*15))</f>
        <v>238x40x0</v>
      </c>
      <c r="AK261">
        <f t="shared" si="124"/>
        <v>14</v>
      </c>
      <c r="AM261" t="str">
        <f>CONCATENATE(VLOOKUP(AK261,Constants!$A$2:$C$16,IF(AL261&lt;&gt;"", 3, 2), FALSE),IF(AL261&lt;&gt;"",CONCATENATE(",",VLOOKUP(AL261,$B:$AM,38,FALSE)),""))</f>
        <v>4,6,4</v>
      </c>
      <c r="AQ261" t="s">
        <v>661</v>
      </c>
      <c r="AS261" t="s">
        <v>464</v>
      </c>
      <c r="AW261">
        <v>29</v>
      </c>
      <c r="AX261" s="15" t="str">
        <f t="shared" si="125"/>
        <v/>
      </c>
      <c r="AY261">
        <v>-15</v>
      </c>
      <c r="AZ261">
        <v>-35</v>
      </c>
      <c r="BA261">
        <f t="shared" si="126"/>
        <v>25</v>
      </c>
      <c r="BB261">
        <f t="shared" si="127"/>
        <v>15</v>
      </c>
      <c r="BC261">
        <f t="shared" si="128"/>
        <v>9.25</v>
      </c>
      <c r="BD261" s="3">
        <f t="shared" si="129"/>
        <v>0.86399999999999999</v>
      </c>
      <c r="BE261">
        <f t="shared" si="130"/>
        <v>6.8000000000000007</v>
      </c>
      <c r="BF261">
        <f>VLOOKUP($G261,Constants!$I:$K, 2, FALSE)</f>
        <v>1</v>
      </c>
      <c r="BG261">
        <f>VLOOKUP($G261,Constants!$I:$K, 3, FALSE)*IF(AND(F261="multiple_unit",AA261&lt;110),0.75,1)</f>
        <v>2</v>
      </c>
      <c r="BH261">
        <f>INT(POWER(((Constants!$G$2+$BA261+$BB261+$BC261+$BE261)*$BD261)*$BG261, 1.05))+$AZ261</f>
        <v>98</v>
      </c>
      <c r="BI261">
        <f>INT(POWER((((Constants!$G$1+$BA261+$BB261+$BC261+$BE261)*($BD261))*$BF261),IF($F261="wagon",1,1.2)))+$AY261</f>
        <v>124</v>
      </c>
      <c r="BJ261" s="14">
        <f t="shared" si="131"/>
        <v>76562.5</v>
      </c>
      <c r="BK261" s="14">
        <f t="shared" si="132"/>
        <v>10075</v>
      </c>
      <c r="BR261">
        <v>9</v>
      </c>
      <c r="BS261">
        <v>205</v>
      </c>
      <c r="BU261" t="s">
        <v>282</v>
      </c>
      <c r="BV261" t="str">
        <f>VLOOKUP(I261,Eras!$A$2:$C$10, 2, TRUE)</f>
        <v>prv</v>
      </c>
      <c r="BW261" t="s">
        <v>331</v>
      </c>
      <c r="BX261" t="str">
        <f t="shared" si="133"/>
        <v>prv_DMU (Express)</v>
      </c>
      <c r="BY261" t="str">
        <f t="shared" si="134"/>
        <v>diesel_RAIL</v>
      </c>
      <c r="BZ261" s="17" t="str" cm="1">
        <f t="array" ref="BZ261">_xlfn.CONCAT("{BLACK}Length: {GOLD}", TEXT(ROUNDUP(IF(AP261&lt;&gt;"",SUM(VALUE(_xlfn.TEXTSPLIT(AP261, ","))), SUM(VALUE(_xlfn.TEXTSPLIT(AM261, ",")))*IF(L261, L261, 1))/16, 1), "#,##0.0"), " tiles{}")</f>
        <v>{BLACK}Length: {GOLD}3.5 tiles{}</v>
      </c>
      <c r="CA261" t="str">
        <f>VLOOKUP($BY261, Constants!$M:$N, 2, FALSE)</f>
        <v>{BLACK}Powered by: {GOLD}Diesel</v>
      </c>
      <c r="CB261" t="str">
        <f t="shared" si="138"/>
        <v>{BLACK}Cars: {GOLD}4</v>
      </c>
      <c r="CC261" t="s">
        <v>659</v>
      </c>
      <c r="CD261" t="str">
        <f t="shared" si="139"/>
        <v>{YELLOW}10% Bonus for long distance travel{}</v>
      </c>
      <c r="CE261" t="str">
        <f t="shared" si="140"/>
        <v>{BLACK}Powered by: {GOLD}Diesel {BLACK}Cars: {GOLD}4{}{BLACK}Length: {GOLD}3.5 tiles{}{YELLOW}10% Bonus for long distance travel{}{SILVER}The Voyager is a high speed diesel multiple unit, built to replace both the HST and locomotive-hauled passenger services on the Cross Country route.</v>
      </c>
    </row>
    <row r="262" spans="1:83" x14ac:dyDescent="0.25">
      <c r="A262" t="s">
        <v>93</v>
      </c>
      <c r="B262" t="s">
        <v>221</v>
      </c>
      <c r="C262">
        <v>494</v>
      </c>
      <c r="D262">
        <v>166</v>
      </c>
      <c r="E262" t="s">
        <v>1508</v>
      </c>
      <c r="F262" t="s">
        <v>403</v>
      </c>
      <c r="G262" t="s">
        <v>272</v>
      </c>
      <c r="H262" t="s">
        <v>274</v>
      </c>
      <c r="I262">
        <v>2002</v>
      </c>
      <c r="L262">
        <v>5</v>
      </c>
      <c r="M262">
        <f>750*5</f>
        <v>3750</v>
      </c>
      <c r="V262">
        <v>282</v>
      </c>
      <c r="X262">
        <v>5</v>
      </c>
      <c r="Y262">
        <v>270</v>
      </c>
      <c r="Z262" s="3">
        <f t="shared" si="123"/>
        <v>9.5744680851063829E-2</v>
      </c>
      <c r="AA262">
        <v>125</v>
      </c>
      <c r="AB262">
        <f t="shared" si="137"/>
        <v>200</v>
      </c>
      <c r="AE262">
        <v>23.8</v>
      </c>
      <c r="AF262">
        <v>23.8</v>
      </c>
      <c r="AG262">
        <v>2.73</v>
      </c>
      <c r="AI262" s="10">
        <v>51</v>
      </c>
      <c r="AJ262" t="str">
        <f>CONCATENATE(VLOOKUP(AK262, 'Voxel Sizes'!$A$2:$B$18,2,FALSE),"x",INT(AG262*15), "x", INT(AH262*15))</f>
        <v>238x40x0</v>
      </c>
      <c r="AK262">
        <f t="shared" si="124"/>
        <v>14</v>
      </c>
      <c r="AM262" t="str">
        <f>CONCATENATE(VLOOKUP(AK262,Constants!$A$2:$C$16,IF(AL262&lt;&gt;"", 3, 2), FALSE),IF(AL262&lt;&gt;"",CONCATENATE(",",VLOOKUP(AL262,$B:$AM,38,FALSE)),""))</f>
        <v>4,6,4</v>
      </c>
      <c r="AQ262" t="s">
        <v>662</v>
      </c>
      <c r="AS262" t="s">
        <v>663</v>
      </c>
      <c r="AT262" t="s">
        <v>222</v>
      </c>
      <c r="AW262">
        <v>29</v>
      </c>
      <c r="AX262" s="15" t="str">
        <f t="shared" si="125"/>
        <v/>
      </c>
      <c r="AY262">
        <v>-15</v>
      </c>
      <c r="AZ262">
        <v>-35</v>
      </c>
      <c r="BA262">
        <f t="shared" si="126"/>
        <v>25</v>
      </c>
      <c r="BB262">
        <f t="shared" si="127"/>
        <v>18.75</v>
      </c>
      <c r="BC262">
        <f t="shared" si="128"/>
        <v>13.5</v>
      </c>
      <c r="BD262" s="3">
        <f t="shared" si="129"/>
        <v>0.86399999999999999</v>
      </c>
      <c r="BE262">
        <f t="shared" si="130"/>
        <v>8.5</v>
      </c>
      <c r="BF262">
        <f>VLOOKUP($G262,Constants!$I:$K, 2, FALSE)</f>
        <v>1</v>
      </c>
      <c r="BG262">
        <f>VLOOKUP($G262,Constants!$I:$K, 3, FALSE)*IF(AND(F262="multiple_unit",AA262&lt;110),0.75,1)</f>
        <v>2</v>
      </c>
      <c r="BH262">
        <f>INT(POWER(((Constants!$G$2+$BA262+$BB262+$BC262+$BE262)*$BD262)*$BG262, 1.05))+$AZ262</f>
        <v>120</v>
      </c>
      <c r="BI262">
        <f>INT(POWER((((Constants!$G$1+$BA262+$BB262+$BC262+$BE262)*($BD262))*$BF262),IF($F262="wagon",1,1.2)))+$AY262</f>
        <v>148</v>
      </c>
      <c r="BJ262" s="14">
        <f t="shared" si="131"/>
        <v>93750</v>
      </c>
      <c r="BK262" s="14">
        <f t="shared" si="132"/>
        <v>12025</v>
      </c>
      <c r="BN262">
        <v>1</v>
      </c>
      <c r="BQ262" t="s">
        <v>1145</v>
      </c>
      <c r="BR262">
        <v>10</v>
      </c>
      <c r="BS262">
        <v>205</v>
      </c>
      <c r="BU262" t="s">
        <v>282</v>
      </c>
      <c r="BV262" t="str">
        <f>VLOOKUP(I262,Eras!$A$2:$C$10, 2, TRUE)</f>
        <v>prv</v>
      </c>
      <c r="BW262" t="s">
        <v>331</v>
      </c>
      <c r="BX262" t="str">
        <f t="shared" si="133"/>
        <v>prv_DMU (Express)</v>
      </c>
      <c r="BY262" t="str">
        <f t="shared" si="134"/>
        <v>diesel_RAIL</v>
      </c>
      <c r="BZ262" s="17" t="str" cm="1">
        <f t="array" ref="BZ262">_xlfn.CONCAT("{BLACK}Length: {GOLD}", TEXT(ROUNDUP(IF(AP262&lt;&gt;"",SUM(VALUE(_xlfn.TEXTSPLIT(AP262, ","))), SUM(VALUE(_xlfn.TEXTSPLIT(AM262, ",")))*IF(L262, L262, 1))/16, 1), "#,##0.0"), " tiles{}")</f>
        <v>{BLACK}Length: {GOLD}4.4 tiles{}</v>
      </c>
      <c r="CA262" t="str">
        <f>VLOOKUP($BY262, Constants!$M:$N, 2, FALSE)</f>
        <v>{BLACK}Powered by: {GOLD}Diesel</v>
      </c>
      <c r="CB262" t="str">
        <f t="shared" si="138"/>
        <v>{BLACK}Cars: {GOLD}5</v>
      </c>
      <c r="CC262" t="s">
        <v>660</v>
      </c>
      <c r="CD262" t="str">
        <f t="shared" si="139"/>
        <v>{YELLOW}10% Bonus for long distance travel{}</v>
      </c>
      <c r="CE262" t="str">
        <f t="shared" si="140"/>
        <v>{BLACK}Powered by: {GOLD}Diesel {BLACK}Cars: {GOLD}5{}{BLACK}Length: {GOLD}4.4 tiles{}{YELLOW}10% Bonus for long distance travel{}{SILVER}The Class 221 is outwardly very similar to the Class 220, but internally it has different bogies and features a tilt mechanism for faster cornering.</v>
      </c>
    </row>
    <row r="263" spans="1:83" x14ac:dyDescent="0.25">
      <c r="A263" t="s">
        <v>93</v>
      </c>
      <c r="B263" t="s">
        <v>1135</v>
      </c>
      <c r="C263">
        <v>495</v>
      </c>
      <c r="D263">
        <v>167</v>
      </c>
      <c r="E263" t="s">
        <v>1508</v>
      </c>
      <c r="F263" t="s">
        <v>403</v>
      </c>
      <c r="G263" t="s">
        <v>272</v>
      </c>
      <c r="H263" t="s">
        <v>274</v>
      </c>
      <c r="I263">
        <v>2002</v>
      </c>
      <c r="L263">
        <v>4</v>
      </c>
      <c r="M263">
        <f>750*5</f>
        <v>3750</v>
      </c>
      <c r="V263">
        <f>282/5*4</f>
        <v>225.6</v>
      </c>
      <c r="X263">
        <v>5</v>
      </c>
      <c r="Y263">
        <v>270</v>
      </c>
      <c r="Z263" s="3">
        <f t="shared" si="123"/>
        <v>0.11968085106382979</v>
      </c>
      <c r="AA263">
        <v>125</v>
      </c>
      <c r="AB263">
        <f t="shared" si="137"/>
        <v>200</v>
      </c>
      <c r="AE263">
        <v>23.8</v>
      </c>
      <c r="AF263">
        <v>23.8</v>
      </c>
      <c r="AG263">
        <v>2.73</v>
      </c>
      <c r="AI263" s="10">
        <v>51</v>
      </c>
      <c r="AJ263" t="str">
        <f>CONCATENATE(VLOOKUP(AK263, 'Voxel Sizes'!$A$2:$B$18,2,FALSE),"x",INT(AG263*15), "x", INT(AH263*15))</f>
        <v>238x40x0</v>
      </c>
      <c r="AK263">
        <f t="shared" si="124"/>
        <v>14</v>
      </c>
      <c r="AM263" t="str">
        <f>CONCATENATE(VLOOKUP(AK263,Constants!$A$2:$C$16,IF(AL263&lt;&gt;"", 3, 2), FALSE),IF(AL263&lt;&gt;"",CONCATENATE(",",VLOOKUP(AL263,$B:$AM,38,FALSE)),""))</f>
        <v>4,6,4</v>
      </c>
      <c r="AQ263" t="s">
        <v>661</v>
      </c>
      <c r="AS263" t="s">
        <v>1125</v>
      </c>
      <c r="AT263" t="s">
        <v>222</v>
      </c>
      <c r="AW263">
        <v>29</v>
      </c>
      <c r="AX263" s="15" t="str">
        <f t="shared" si="125"/>
        <v/>
      </c>
      <c r="AY263">
        <v>-15</v>
      </c>
      <c r="AZ263">
        <v>-35</v>
      </c>
      <c r="BA263">
        <f t="shared" si="126"/>
        <v>25</v>
      </c>
      <c r="BB263">
        <f t="shared" si="127"/>
        <v>18.75</v>
      </c>
      <c r="BC263">
        <f t="shared" si="128"/>
        <v>13.5</v>
      </c>
      <c r="BD263" s="3">
        <f t="shared" si="129"/>
        <v>0.86399999999999999</v>
      </c>
      <c r="BE263">
        <f t="shared" si="130"/>
        <v>6.8000000000000007</v>
      </c>
      <c r="BF263">
        <f>VLOOKUP($G263,Constants!$I:$K, 2, FALSE)</f>
        <v>1</v>
      </c>
      <c r="BG263">
        <f>VLOOKUP($G263,Constants!$I:$K, 3, FALSE)*IF(AND(F263="multiple_unit",AA263&lt;110),0.75,1)</f>
        <v>2</v>
      </c>
      <c r="BH263">
        <f>INT(POWER(((Constants!$G$2+$BA263+$BB263+$BC263+$BE263)*$BD263)*$BG263, 1.05))+$AZ263</f>
        <v>116</v>
      </c>
      <c r="BI263">
        <f>INT(POWER((((Constants!$G$1+$BA263+$BB263+$BC263+$BE263)*($BD263))*$BF263),IF($F263="wagon",1,1.2)))+$AY263</f>
        <v>143</v>
      </c>
      <c r="BJ263" s="14">
        <f t="shared" si="131"/>
        <v>90625</v>
      </c>
      <c r="BK263" s="14">
        <f t="shared" si="132"/>
        <v>11618.75</v>
      </c>
      <c r="BN263">
        <v>1</v>
      </c>
      <c r="BQ263" t="s">
        <v>1147</v>
      </c>
      <c r="BR263">
        <v>10</v>
      </c>
      <c r="BS263">
        <v>205</v>
      </c>
      <c r="BU263" t="s">
        <v>282</v>
      </c>
      <c r="BV263" t="str">
        <f>VLOOKUP(I263,Eras!$A$2:$C$10, 2, TRUE)</f>
        <v>prv</v>
      </c>
      <c r="BW263" t="s">
        <v>331</v>
      </c>
      <c r="BX263" t="str">
        <f t="shared" si="133"/>
        <v>prv_DMU (Express)</v>
      </c>
      <c r="BY263" t="str">
        <f t="shared" si="134"/>
        <v>diesel_RAIL</v>
      </c>
      <c r="BZ263" s="17" t="str" cm="1">
        <f t="array" ref="BZ263">_xlfn.CONCAT("{BLACK}Length: {GOLD}", TEXT(ROUNDUP(IF(AP263&lt;&gt;"",SUM(VALUE(_xlfn.TEXTSPLIT(AP263, ","))), SUM(VALUE(_xlfn.TEXTSPLIT(AM263, ",")))*IF(L263, L263, 1))/16, 1), "#,##0.0"), " tiles{}")</f>
        <v>{BLACK}Length: {GOLD}3.5 tiles{}</v>
      </c>
      <c r="CA263" t="str">
        <f>VLOOKUP($BY263, Constants!$M:$N, 2, FALSE)</f>
        <v>{BLACK}Powered by: {GOLD}Diesel</v>
      </c>
      <c r="CB263" t="str">
        <f t="shared" si="138"/>
        <v>{BLACK}Cars: {GOLD}4</v>
      </c>
      <c r="CC263" t="s">
        <v>660</v>
      </c>
      <c r="CD263" t="str">
        <f t="shared" si="139"/>
        <v>{YELLOW}10% Bonus for long distance travel{}</v>
      </c>
      <c r="CE263" t="str">
        <f t="shared" si="140"/>
        <v>{BLACK}Powered by: {GOLD}Diesel {BLACK}Cars: {GOLD}4{}{BLACK}Length: {GOLD}3.5 tiles{}{YELLOW}10% Bonus for long distance travel{}{SILVER}The Class 221 is outwardly very similar to the Class 220, but internally it has different bogies and features a tilt mechanism for faster cornering.</v>
      </c>
    </row>
    <row r="264" spans="1:83" x14ac:dyDescent="0.25">
      <c r="A264" t="s">
        <v>1230</v>
      </c>
      <c r="B264" t="s">
        <v>1228</v>
      </c>
      <c r="C264">
        <v>496</v>
      </c>
      <c r="D264">
        <v>168</v>
      </c>
      <c r="E264" t="s">
        <v>1508</v>
      </c>
      <c r="F264" t="s">
        <v>403</v>
      </c>
      <c r="G264" t="s">
        <v>295</v>
      </c>
      <c r="H264" t="s">
        <v>296</v>
      </c>
      <c r="I264">
        <v>2002</v>
      </c>
      <c r="J264">
        <v>2006</v>
      </c>
      <c r="L264">
        <v>4</v>
      </c>
      <c r="M264">
        <v>2080</v>
      </c>
      <c r="V264">
        <v>170</v>
      </c>
      <c r="X264">
        <v>5</v>
      </c>
      <c r="Y264">
        <v>180</v>
      </c>
      <c r="Z264" s="3">
        <f t="shared" ref="Z264:Z305" si="141">IF(AND(V264&gt;0,Y264&gt;0),(Y264/((V264+W264)*10)),"")</f>
        <v>0.10588235294117647</v>
      </c>
      <c r="AA264">
        <v>100</v>
      </c>
      <c r="AB264">
        <f t="shared" si="137"/>
        <v>160</v>
      </c>
      <c r="AE264">
        <v>20.399999999999999</v>
      </c>
      <c r="AF264">
        <v>20.399999999999999</v>
      </c>
      <c r="AG264">
        <v>2.8</v>
      </c>
      <c r="AI264" s="10">
        <v>69</v>
      </c>
      <c r="AJ264" t="str">
        <f>CONCATENATE(VLOOKUP(AK264, 'Voxel Sizes'!$A$2:$B$18,2,FALSE),"x",INT(AG264*15), "x", INT(AH264*15))</f>
        <v>198x42x0</v>
      </c>
      <c r="AK264">
        <f t="shared" si="124"/>
        <v>12</v>
      </c>
      <c r="AM264" t="str">
        <f>CONCATENATE(VLOOKUP(AK264,Constants!$A$2:$C$16,IF(AL264&lt;&gt;"", 3, 2), FALSE),IF(AL264&lt;&gt;"",CONCATENATE(",",VLOOKUP(AL264,$B:$AM,38,FALSE)),""))</f>
        <v>4,4,4</v>
      </c>
      <c r="AQ264" t="s">
        <v>1229</v>
      </c>
      <c r="AS264" t="s">
        <v>554</v>
      </c>
      <c r="AW264">
        <v>28</v>
      </c>
      <c r="AX264" s="15" t="str">
        <f t="shared" si="125"/>
        <v/>
      </c>
      <c r="AY264">
        <v>-15</v>
      </c>
      <c r="AZ264">
        <v>-30</v>
      </c>
      <c r="BA264">
        <f t="shared" si="126"/>
        <v>20</v>
      </c>
      <c r="BB264">
        <f t="shared" si="127"/>
        <v>10.4</v>
      </c>
      <c r="BC264">
        <f t="shared" si="128"/>
        <v>9</v>
      </c>
      <c r="BD264" s="3">
        <f t="shared" si="129"/>
        <v>0.86399999999999999</v>
      </c>
      <c r="BE264">
        <f t="shared" si="130"/>
        <v>9.2000000000000011</v>
      </c>
      <c r="BF264">
        <f>VLOOKUP($G264,Constants!$I:$K, 2, FALSE)</f>
        <v>0.85</v>
      </c>
      <c r="BG264">
        <f>VLOOKUP($G264,Constants!$I:$K, 3, FALSE)*IF(AND(F264="multiple_unit",AA264&lt;110),0.75,1)</f>
        <v>1.7249999999999999</v>
      </c>
      <c r="BH264">
        <f>INT(POWER(((Constants!$G$2+$BA264+$BB264+$BC264+$BE264)*$BD264)*$BG264, 1.05))+$AZ264</f>
        <v>69</v>
      </c>
      <c r="BI264">
        <f>INT(POWER((((Constants!$G$1+$BA264+$BB264+$BC264+$BE264)*($BD264))*$BF264),IF($F264="wagon",1,1.2)))+$AY264</f>
        <v>85</v>
      </c>
      <c r="BJ264" s="14">
        <f t="shared" si="131"/>
        <v>53906.25</v>
      </c>
      <c r="BK264" s="14">
        <f t="shared" si="132"/>
        <v>6906.25</v>
      </c>
      <c r="BR264">
        <v>3</v>
      </c>
      <c r="BS264">
        <v>185</v>
      </c>
      <c r="BU264" t="s">
        <v>282</v>
      </c>
      <c r="BV264" t="str">
        <f>VLOOKUP(I264,Eras!$A$2:$C$10, 2, TRUE)</f>
        <v>prv</v>
      </c>
      <c r="BW264" t="s">
        <v>332</v>
      </c>
      <c r="BX264" t="str">
        <f t="shared" si="133"/>
        <v>prv_EMU</v>
      </c>
      <c r="BY264" t="str">
        <f t="shared" si="134"/>
        <v>electric_ELRL</v>
      </c>
      <c r="BZ264" s="17" t="str" cm="1">
        <f t="array" ref="BZ264">_xlfn.CONCAT("{BLACK}Length: {GOLD}", TEXT(ROUNDUP(IF(AP264&lt;&gt;"",SUM(VALUE(_xlfn.TEXTSPLIT(AP264, ","))), SUM(VALUE(_xlfn.TEXTSPLIT(AM264, ",")))*IF(L264, L264, 1))/16, 1), "#,##0.0"), " tiles{}")</f>
        <v>{BLACK}Length: {GOLD}3.0 tiles{}</v>
      </c>
      <c r="CA264" t="str">
        <f>VLOOKUP($BY264, Constants!$M:$N, 2, FALSE)</f>
        <v>{BLACK}Powered by: {GOLD}25kV AC</v>
      </c>
      <c r="CB264" t="str">
        <f t="shared" si="138"/>
        <v>{BLACK}Cars: {GOLD}4</v>
      </c>
      <c r="CC264" t="s">
        <v>1231</v>
      </c>
      <c r="CD264" t="str">
        <f t="shared" si="139"/>
        <v/>
      </c>
      <c r="CE264" t="str">
        <f t="shared" si="140"/>
        <v>{BLACK}Powered by: {GOLD}25kV AC {BLACK}Cars: {GOLD}4{}{BLACK}Length: {GOLD}3.0 tiles{}{SILVER}The Class 360 is an AC version of the Desiro family of units, ordered to replace slam-door stock on the Great Eastern Main Line.</v>
      </c>
    </row>
    <row r="265" spans="1:83" x14ac:dyDescent="0.25">
      <c r="A265" t="s">
        <v>73</v>
      </c>
      <c r="B265" t="s">
        <v>585</v>
      </c>
      <c r="C265">
        <v>498</v>
      </c>
      <c r="D265">
        <v>169</v>
      </c>
      <c r="E265" t="s">
        <v>1508</v>
      </c>
      <c r="F265" t="s">
        <v>403</v>
      </c>
      <c r="G265" t="s">
        <v>551</v>
      </c>
      <c r="H265" t="s">
        <v>550</v>
      </c>
      <c r="I265">
        <v>2003</v>
      </c>
      <c r="L265">
        <v>4</v>
      </c>
      <c r="M265">
        <v>1600</v>
      </c>
      <c r="V265">
        <v>173.6</v>
      </c>
      <c r="X265">
        <v>5</v>
      </c>
      <c r="Y265">
        <v>175</v>
      </c>
      <c r="Z265" s="3">
        <f t="shared" si="141"/>
        <v>0.10080645161290322</v>
      </c>
      <c r="AA265">
        <v>100</v>
      </c>
      <c r="AB265">
        <f t="shared" si="137"/>
        <v>160</v>
      </c>
      <c r="AE265">
        <v>20.399999999999999</v>
      </c>
      <c r="AF265">
        <v>20.399999999999999</v>
      </c>
      <c r="AH265">
        <v>3.78</v>
      </c>
      <c r="AI265" s="10">
        <v>60</v>
      </c>
      <c r="AJ265" t="str">
        <f>CONCATENATE(VLOOKUP(AK265, 'Voxel Sizes'!$A$2:$B$18,2,FALSE),"x",INT(AG265*15), "x", INT(AH265*15))</f>
        <v>198x0x56</v>
      </c>
      <c r="AK265">
        <f t="shared" ref="AK265:AK305" si="142">ROUND(15*((AF265*10)/256),0)</f>
        <v>12</v>
      </c>
      <c r="AM265" t="str">
        <f>CONCATENATE(VLOOKUP(AK265,Constants!$A$2:$C$16,IF(AL265&lt;&gt;"", 3, 2), FALSE),IF(AL265&lt;&gt;"",CONCATENATE(",",VLOOKUP(AL265,$B:$AM,38,FALSE)),""))</f>
        <v>4,4,4</v>
      </c>
      <c r="AQ265" t="s">
        <v>586</v>
      </c>
      <c r="AR265" t="s">
        <v>587</v>
      </c>
      <c r="AS265" t="s">
        <v>554</v>
      </c>
      <c r="AW265">
        <v>29</v>
      </c>
      <c r="AX265" s="15" t="str">
        <f t="shared" ref="AX265:AX305" si="143">IF(K265&lt;&gt;"",MAX(16,(K265-I265)+8),"")</f>
        <v/>
      </c>
      <c r="AY265">
        <v>-15</v>
      </c>
      <c r="AZ265">
        <v>-30</v>
      </c>
      <c r="BA265">
        <f t="shared" ref="BA265:BA305" si="144">MIN(AA265/150, 1)*30</f>
        <v>20</v>
      </c>
      <c r="BB265">
        <f t="shared" ref="BB265:BB305" si="145">MIN(M265/4000, 1)*20</f>
        <v>8</v>
      </c>
      <c r="BC265">
        <f t="shared" ref="BC265:BC305" si="146">MIN(Y265/400,1)*20</f>
        <v>8.75</v>
      </c>
      <c r="BD265" s="3">
        <f t="shared" ref="BD265:BD305" si="147">1-(MAX(I265-1900, 0)/750)</f>
        <v>0.86266666666666669</v>
      </c>
      <c r="BE265">
        <f t="shared" ref="BE265:BE305" si="148">((MAX($L265,1)*MIN($AI265/300,1)))*IF(F265="Wagon",50,10)</f>
        <v>8</v>
      </c>
      <c r="BF265">
        <f>VLOOKUP($G265,Constants!$I:$K, 2, FALSE)</f>
        <v>0.85</v>
      </c>
      <c r="BG265">
        <f>VLOOKUP($G265,Constants!$I:$K, 3, FALSE)*IF(AND(F265="multiple_unit",AA265&lt;110),0.75,1)</f>
        <v>1.7999999999999998</v>
      </c>
      <c r="BH265">
        <f>INT(POWER(((Constants!$G$2+$BA265+$BB265+$BC265+$BE265)*$BD265)*$BG265, 1.05))+$AZ265</f>
        <v>66</v>
      </c>
      <c r="BI265">
        <f>INT(POWER((((Constants!$G$1+$BA265+$BB265+$BC265+$BE265)*($BD265))*$BF265),IF($F265="wagon",1,1.2)))+$AY265</f>
        <v>78</v>
      </c>
      <c r="BJ265" s="14">
        <f t="shared" ref="BJ265:BJ305" si="149">BH265*IF($F265="wagon",62.5,781.25)</f>
        <v>51562.5</v>
      </c>
      <c r="BK265" s="14">
        <f t="shared" ref="BK265:BK305" si="150">BI265*IF($F265="wagon",2.73,81.25)</f>
        <v>6337.5</v>
      </c>
      <c r="BR265">
        <v>12</v>
      </c>
      <c r="BS265">
        <v>185</v>
      </c>
      <c r="BU265" t="s">
        <v>282</v>
      </c>
      <c r="BV265" t="str">
        <f>VLOOKUP(I265,Eras!$A$2:$C$10, 2, TRUE)</f>
        <v>prv</v>
      </c>
      <c r="BW265" t="s">
        <v>332</v>
      </c>
      <c r="BX265" t="str">
        <f t="shared" ref="BX265:BX305" si="151">CONCATENATE(BV265,"_",BW265)</f>
        <v>prv_EMU</v>
      </c>
      <c r="BY265" t="str">
        <f t="shared" ref="BY265:BY305" si="152">_xlfn.CONCAT(G265, "_",H265)</f>
        <v>dual_electric_DUAL_POWER</v>
      </c>
      <c r="BZ265" s="17" t="str" cm="1">
        <f t="array" ref="BZ265">_xlfn.CONCAT("{BLACK}Length: {GOLD}", TEXT(ROUNDUP(IF(AP265&lt;&gt;"",SUM(VALUE(_xlfn.TEXTSPLIT(AP265, ","))), SUM(VALUE(_xlfn.TEXTSPLIT(AM265, ",")))*IF(L265, L265, 1))/16, 1), "#,##0.0"), " tiles{}")</f>
        <v>{BLACK}Length: {GOLD}3.0 tiles{}</v>
      </c>
      <c r="CA265" t="str">
        <f>VLOOKUP($BY265, Constants!$M:$N, 2, FALSE)</f>
        <v>{BLACK}Powered by: {GOLD}25kV AC / 750V DC</v>
      </c>
      <c r="CB265" t="str">
        <f t="shared" si="138"/>
        <v>{BLACK}Cars: {GOLD}4</v>
      </c>
      <c r="CC265" t="s">
        <v>584</v>
      </c>
      <c r="CD265" t="str">
        <f t="shared" si="139"/>
        <v/>
      </c>
      <c r="CE265" t="str">
        <f t="shared" si="140"/>
        <v>{BLACK}Powered by: {GOLD}25kV AC / 750V DC {BLACK}Cars: {GOLD}4{}{BLACK}Length: {GOLD}3.0 tiles{}{SILVER}The Class 377 is a dual-voltage EMU, and is a common sight around London and South East England.</v>
      </c>
    </row>
    <row r="266" spans="1:83" x14ac:dyDescent="0.25">
      <c r="A266" t="s">
        <v>81</v>
      </c>
      <c r="B266" t="s">
        <v>219</v>
      </c>
      <c r="C266">
        <v>500</v>
      </c>
      <c r="D266">
        <v>170</v>
      </c>
      <c r="E266" t="s">
        <v>1508</v>
      </c>
      <c r="F266" t="s">
        <v>403</v>
      </c>
      <c r="G266" t="s">
        <v>295</v>
      </c>
      <c r="H266" t="s">
        <v>302</v>
      </c>
      <c r="I266">
        <v>2003</v>
      </c>
      <c r="J266">
        <v>2006</v>
      </c>
      <c r="L266">
        <v>4</v>
      </c>
      <c r="M266">
        <v>2010</v>
      </c>
      <c r="V266">
        <v>170</v>
      </c>
      <c r="X266">
        <v>5</v>
      </c>
      <c r="Y266">
        <v>180</v>
      </c>
      <c r="Z266" s="3">
        <f t="shared" si="141"/>
        <v>0.10588235294117647</v>
      </c>
      <c r="AA266">
        <v>100</v>
      </c>
      <c r="AB266">
        <f t="shared" si="137"/>
        <v>160</v>
      </c>
      <c r="AE266">
        <v>20.399999999999999</v>
      </c>
      <c r="AF266">
        <v>20.399999999999999</v>
      </c>
      <c r="AG266">
        <v>2.8</v>
      </c>
      <c r="AI266" s="10">
        <v>66</v>
      </c>
      <c r="AJ266" t="str">
        <f>CONCATENATE(VLOOKUP(AK266, 'Voxel Sizes'!$A$2:$B$18,2,FALSE),"x",INT(AG266*15), "x", INT(AH266*15))</f>
        <v>198x42x0</v>
      </c>
      <c r="AK266">
        <f t="shared" si="142"/>
        <v>12</v>
      </c>
      <c r="AM266" t="str">
        <f>CONCATENATE(VLOOKUP(AK266,Constants!$A$2:$C$16,IF(AL266&lt;&gt;"", 3, 2), FALSE),IF(AL266&lt;&gt;"",CONCATENATE(",",VLOOKUP(AL266,$B:$AM,38,FALSE)),""))</f>
        <v>4,4,4</v>
      </c>
      <c r="AQ266" t="s">
        <v>603</v>
      </c>
      <c r="AS266" t="s">
        <v>554</v>
      </c>
      <c r="AW266">
        <v>28</v>
      </c>
      <c r="AX266" s="15" t="str">
        <f t="shared" si="143"/>
        <v/>
      </c>
      <c r="AY266">
        <v>-16</v>
      </c>
      <c r="AZ266">
        <v>-28</v>
      </c>
      <c r="BA266">
        <f t="shared" si="144"/>
        <v>20</v>
      </c>
      <c r="BB266">
        <f t="shared" si="145"/>
        <v>10.049999999999999</v>
      </c>
      <c r="BC266">
        <f t="shared" si="146"/>
        <v>9</v>
      </c>
      <c r="BD266" s="3">
        <f t="shared" si="147"/>
        <v>0.86266666666666669</v>
      </c>
      <c r="BE266">
        <f t="shared" si="148"/>
        <v>8.8000000000000007</v>
      </c>
      <c r="BF266">
        <f>VLOOKUP($G266,Constants!$I:$K, 2, FALSE)</f>
        <v>0.85</v>
      </c>
      <c r="BG266">
        <f>VLOOKUP($G266,Constants!$I:$K, 3, FALSE)*IF(AND(F266="multiple_unit",AA266&lt;110),0.75,1)</f>
        <v>1.7249999999999999</v>
      </c>
      <c r="BH266">
        <f>INT(POWER(((Constants!$G$2+$BA266+$BB266+$BC266+$BE266)*$BD266)*$BG266, 1.05))+$AZ266</f>
        <v>69</v>
      </c>
      <c r="BI266">
        <f>INT(POWER((((Constants!$G$1+$BA266+$BB266+$BC266+$BE266)*($BD266))*$BF266),IF($F266="wagon",1,1.2)))+$AY266</f>
        <v>83</v>
      </c>
      <c r="BJ266" s="14">
        <f t="shared" si="149"/>
        <v>53906.25</v>
      </c>
      <c r="BK266" s="14">
        <f t="shared" si="150"/>
        <v>6743.75</v>
      </c>
      <c r="BO266" t="s">
        <v>220</v>
      </c>
      <c r="BR266">
        <v>1</v>
      </c>
      <c r="BS266">
        <v>185</v>
      </c>
      <c r="BU266" t="s">
        <v>282</v>
      </c>
      <c r="BV266" t="str">
        <f>VLOOKUP(I266,Eras!$A$2:$C$10, 2, TRUE)</f>
        <v>prv</v>
      </c>
      <c r="BW266" t="s">
        <v>332</v>
      </c>
      <c r="BX266" t="str">
        <f t="shared" si="151"/>
        <v>prv_EMU</v>
      </c>
      <c r="BY266" t="str">
        <f t="shared" si="152"/>
        <v>electric_THIRD_RAIL</v>
      </c>
      <c r="BZ266" s="17" t="str" cm="1">
        <f t="array" ref="BZ266">_xlfn.CONCAT("{BLACK}Length: {GOLD}", TEXT(ROUNDUP(IF(AP266&lt;&gt;"",SUM(VALUE(_xlfn.TEXTSPLIT(AP266, ","))), SUM(VALUE(_xlfn.TEXTSPLIT(AM266, ",")))*IF(L266, L266, 1))/16, 1), "#,##0.0"), " tiles{}")</f>
        <v>{BLACK}Length: {GOLD}3.0 tiles{}</v>
      </c>
      <c r="CA266" t="str">
        <f>VLOOKUP($BY266, Constants!$M:$N, 2, FALSE)</f>
        <v>{BLACK}Powered by: {GOLD}750V DC</v>
      </c>
      <c r="CB266" t="str">
        <f t="shared" si="138"/>
        <v>{BLACK}Cars: {GOLD}4</v>
      </c>
      <c r="CC266" t="s">
        <v>601</v>
      </c>
      <c r="CD266" t="str">
        <f t="shared" si="139"/>
        <v/>
      </c>
      <c r="CE266" t="str">
        <f t="shared" si="140"/>
        <v>{BLACK}Powered by: {GOLD}750V DC {BLACK}Cars: {GOLD}4{}{BLACK}Length: {GOLD}3.0 tiles{}{SILVER}The Class 450 was designed for South West Trains to replace all slam-door stock. The large order meant the Class 450 became the most numerous type of Desiro unit in the UK.</v>
      </c>
    </row>
    <row r="267" spans="1:83" x14ac:dyDescent="0.25">
      <c r="A267" t="s">
        <v>82</v>
      </c>
      <c r="B267" t="s">
        <v>220</v>
      </c>
      <c r="C267">
        <v>502</v>
      </c>
      <c r="D267">
        <v>171</v>
      </c>
      <c r="E267" t="s">
        <v>1508</v>
      </c>
      <c r="F267" t="s">
        <v>403</v>
      </c>
      <c r="G267" t="s">
        <v>295</v>
      </c>
      <c r="H267" t="s">
        <v>302</v>
      </c>
      <c r="I267">
        <v>2004</v>
      </c>
      <c r="L267">
        <v>5</v>
      </c>
      <c r="M267">
        <v>2680</v>
      </c>
      <c r="V267">
        <v>227</v>
      </c>
      <c r="X267">
        <v>5</v>
      </c>
      <c r="Y267">
        <v>210</v>
      </c>
      <c r="Z267" s="3">
        <f t="shared" si="141"/>
        <v>9.2511013215859028E-2</v>
      </c>
      <c r="AA267">
        <v>100</v>
      </c>
      <c r="AB267">
        <f t="shared" si="137"/>
        <v>160</v>
      </c>
      <c r="AE267">
        <v>23</v>
      </c>
      <c r="AF267">
        <v>23</v>
      </c>
      <c r="AG267">
        <v>2.8</v>
      </c>
      <c r="AI267" s="10">
        <v>66</v>
      </c>
      <c r="AJ267" t="str">
        <f>CONCATENATE(VLOOKUP(AK267, 'Voxel Sizes'!$A$2:$B$18,2,FALSE),"x",INT(AG267*15), "x", INT(AH267*15))</f>
        <v>214x42x0</v>
      </c>
      <c r="AK267">
        <f t="shared" si="142"/>
        <v>13</v>
      </c>
      <c r="AM267" t="str">
        <f>CONCATENATE(VLOOKUP(AK267,Constants!$A$2:$C$16,IF(AL267&lt;&gt;"", 3, 2), FALSE),IF(AL267&lt;&gt;"",CONCATENATE(",",VLOOKUP(AL267,$B:$AM,38,FALSE)),""))</f>
        <v>4,5,4</v>
      </c>
      <c r="AQ267" t="s">
        <v>604</v>
      </c>
      <c r="AS267" t="s">
        <v>605</v>
      </c>
      <c r="AW267">
        <v>28</v>
      </c>
      <c r="AX267" s="15" t="str">
        <f t="shared" si="143"/>
        <v/>
      </c>
      <c r="AY267">
        <v>-15</v>
      </c>
      <c r="AZ267">
        <v>-35</v>
      </c>
      <c r="BA267">
        <f t="shared" si="144"/>
        <v>20</v>
      </c>
      <c r="BB267">
        <f t="shared" si="145"/>
        <v>13.4</v>
      </c>
      <c r="BC267">
        <f t="shared" si="146"/>
        <v>10.5</v>
      </c>
      <c r="BD267" s="3">
        <f t="shared" si="147"/>
        <v>0.86133333333333328</v>
      </c>
      <c r="BE267">
        <f t="shared" si="148"/>
        <v>11</v>
      </c>
      <c r="BF267">
        <f>VLOOKUP($G267,Constants!$I:$K, 2, FALSE)</f>
        <v>0.85</v>
      </c>
      <c r="BG267">
        <f>VLOOKUP($G267,Constants!$I:$K, 3, FALSE)*IF(AND(F267="multiple_unit",AA267&lt;110),0.75,1)</f>
        <v>1.7249999999999999</v>
      </c>
      <c r="BH267">
        <f>INT(POWER(((Constants!$G$2+$BA267+$BB267+$BC267+$BE267)*$BD267)*$BG267, 1.05))+$AZ267</f>
        <v>76</v>
      </c>
      <c r="BI267">
        <f>INT(POWER((((Constants!$G$1+$BA267+$BB267+$BC267+$BE267)*($BD267))*$BF267),IF($F267="wagon",1,1.2)))+$AY267</f>
        <v>97</v>
      </c>
      <c r="BJ267" s="14">
        <f t="shared" si="149"/>
        <v>59375</v>
      </c>
      <c r="BK267" s="14">
        <f t="shared" si="150"/>
        <v>7881.25</v>
      </c>
      <c r="BO267" t="s">
        <v>219</v>
      </c>
      <c r="BQ267" t="s">
        <v>1145</v>
      </c>
      <c r="BR267">
        <v>3</v>
      </c>
      <c r="BS267">
        <v>205</v>
      </c>
      <c r="BU267" t="s">
        <v>282</v>
      </c>
      <c r="BV267" t="str">
        <f>VLOOKUP(I267,Eras!$A$2:$C$10, 2, TRUE)</f>
        <v>prv</v>
      </c>
      <c r="BW267" t="s">
        <v>333</v>
      </c>
      <c r="BX267" t="str">
        <f t="shared" si="151"/>
        <v>prv_EMU (Express)</v>
      </c>
      <c r="BY267" t="str">
        <f t="shared" si="152"/>
        <v>electric_THIRD_RAIL</v>
      </c>
      <c r="BZ267" s="17" t="str" cm="1">
        <f t="array" ref="BZ267">_xlfn.CONCAT("{BLACK}Length: {GOLD}", TEXT(ROUNDUP(IF(AP267&lt;&gt;"",SUM(VALUE(_xlfn.TEXTSPLIT(AP267, ","))), SUM(VALUE(_xlfn.TEXTSPLIT(AM267, ",")))*IF(L267, L267, 1))/16, 1), "#,##0.0"), " tiles{}")</f>
        <v>{BLACK}Length: {GOLD}4.1 tiles{}</v>
      </c>
      <c r="CA267" t="str">
        <f>VLOOKUP($BY267, Constants!$M:$N, 2, FALSE)</f>
        <v>{BLACK}Powered by: {GOLD}750V DC</v>
      </c>
      <c r="CB267" t="str">
        <f t="shared" si="138"/>
        <v>{BLACK}Cars: {GOLD}5</v>
      </c>
      <c r="CC267" t="s">
        <v>602</v>
      </c>
      <c r="CD267" t="str">
        <f t="shared" si="139"/>
        <v>{YELLOW}10% Bonus for long distance travel{}</v>
      </c>
      <c r="CE267" t="str">
        <f t="shared" si="140"/>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68" spans="1:83" x14ac:dyDescent="0.25">
      <c r="A268" t="s">
        <v>82</v>
      </c>
      <c r="B268" t="s">
        <v>1136</v>
      </c>
      <c r="C268">
        <v>503</v>
      </c>
      <c r="D268">
        <v>172</v>
      </c>
      <c r="E268" t="s">
        <v>1508</v>
      </c>
      <c r="F268" t="s">
        <v>403</v>
      </c>
      <c r="G268" t="s">
        <v>295</v>
      </c>
      <c r="H268" t="s">
        <v>302</v>
      </c>
      <c r="I268">
        <v>2004</v>
      </c>
      <c r="L268">
        <v>4</v>
      </c>
      <c r="M268">
        <v>2680</v>
      </c>
      <c r="V268">
        <f>227/5*4</f>
        <v>181.6</v>
      </c>
      <c r="X268">
        <v>5</v>
      </c>
      <c r="Y268">
        <v>210</v>
      </c>
      <c r="Z268" s="3">
        <f t="shared" si="141"/>
        <v>0.11563876651982379</v>
      </c>
      <c r="AA268">
        <v>100</v>
      </c>
      <c r="AB268">
        <f t="shared" si="137"/>
        <v>160</v>
      </c>
      <c r="AE268">
        <v>23</v>
      </c>
      <c r="AF268">
        <v>23</v>
      </c>
      <c r="AG268">
        <v>2.8</v>
      </c>
      <c r="AI268" s="10">
        <v>66</v>
      </c>
      <c r="AJ268" t="str">
        <f>CONCATENATE(VLOOKUP(AK268, 'Voxel Sizes'!$A$2:$B$18,2,FALSE),"x",INT(AG268*15), "x", INT(AH268*15))</f>
        <v>214x42x0</v>
      </c>
      <c r="AK268">
        <f t="shared" si="142"/>
        <v>13</v>
      </c>
      <c r="AM268" t="str">
        <f>CONCATENATE(VLOOKUP(AK268,Constants!$A$2:$C$16,IF(AL268&lt;&gt;"", 3, 2), FALSE),IF(AL268&lt;&gt;"",CONCATENATE(",",VLOOKUP(AL268,$B:$AM,38,FALSE)),""))</f>
        <v>4,5,4</v>
      </c>
      <c r="AQ268" t="s">
        <v>1137</v>
      </c>
      <c r="AS268" t="s">
        <v>1125</v>
      </c>
      <c r="AT268" t="s">
        <v>220</v>
      </c>
      <c r="AW268">
        <v>28</v>
      </c>
      <c r="AX268" s="15" t="str">
        <f t="shared" si="143"/>
        <v/>
      </c>
      <c r="AY268">
        <v>-15</v>
      </c>
      <c r="AZ268">
        <v>-35</v>
      </c>
      <c r="BA268">
        <f t="shared" si="144"/>
        <v>20</v>
      </c>
      <c r="BB268">
        <f t="shared" si="145"/>
        <v>13.4</v>
      </c>
      <c r="BC268">
        <f t="shared" si="146"/>
        <v>10.5</v>
      </c>
      <c r="BD268" s="3">
        <f t="shared" si="147"/>
        <v>0.86133333333333328</v>
      </c>
      <c r="BE268">
        <f t="shared" si="148"/>
        <v>8.8000000000000007</v>
      </c>
      <c r="BF268">
        <f>VLOOKUP($G268,Constants!$I:$K, 2, FALSE)</f>
        <v>0.85</v>
      </c>
      <c r="BG268">
        <f>VLOOKUP($G268,Constants!$I:$K, 3, FALSE)*IF(AND(F268="multiple_unit",AA268&lt;110),0.75,1)</f>
        <v>1.7249999999999999</v>
      </c>
      <c r="BH268">
        <f>INT(POWER(((Constants!$G$2+$BA268+$BB268+$BC268+$BE268)*$BD268)*$BG268, 1.05))+$AZ268</f>
        <v>72</v>
      </c>
      <c r="BI268">
        <f>INT(POWER((((Constants!$G$1+$BA268+$BB268+$BC268+$BE268)*($BD268))*$BF268),IF($F268="wagon",1,1.2)))+$AY268</f>
        <v>93</v>
      </c>
      <c r="BJ268" s="14">
        <f t="shared" si="149"/>
        <v>56250</v>
      </c>
      <c r="BK268" s="14">
        <f t="shared" si="150"/>
        <v>7556.25</v>
      </c>
      <c r="BO268" t="s">
        <v>219</v>
      </c>
      <c r="BQ268" t="s">
        <v>1147</v>
      </c>
      <c r="BR268">
        <v>4</v>
      </c>
      <c r="BS268">
        <v>205</v>
      </c>
      <c r="BU268" t="s">
        <v>282</v>
      </c>
      <c r="BV268" t="str">
        <f>VLOOKUP(I268,Eras!$A$2:$C$10, 2, TRUE)</f>
        <v>prv</v>
      </c>
      <c r="BW268" t="s">
        <v>333</v>
      </c>
      <c r="BX268" t="str">
        <f t="shared" si="151"/>
        <v>prv_EMU (Express)</v>
      </c>
      <c r="BY268" t="str">
        <f t="shared" si="152"/>
        <v>electric_THIRD_RAIL</v>
      </c>
      <c r="BZ268" s="17" t="str" cm="1">
        <f t="array" ref="BZ268">_xlfn.CONCAT("{BLACK}Length: {GOLD}", TEXT(ROUNDUP(IF(AP268&lt;&gt;"",SUM(VALUE(_xlfn.TEXTSPLIT(AP268, ","))), SUM(VALUE(_xlfn.TEXTSPLIT(AM268, ",")))*IF(L268, L268, 1))/16, 1), "#,##0.0"), " tiles{}")</f>
        <v>{BLACK}Length: {GOLD}3.3 tiles{}</v>
      </c>
      <c r="CA268" t="str">
        <f>VLOOKUP($BY268, Constants!$M:$N, 2, FALSE)</f>
        <v>{BLACK}Powered by: {GOLD}750V DC</v>
      </c>
      <c r="CB268" t="str">
        <f t="shared" si="138"/>
        <v>{BLACK}Cars: {GOLD}4</v>
      </c>
      <c r="CC268" t="s">
        <v>602</v>
      </c>
      <c r="CD268" t="str">
        <f t="shared" si="139"/>
        <v>{YELLOW}10% Bonus for long distance travel{}</v>
      </c>
      <c r="CE268" t="str">
        <f t="shared" si="140"/>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69" spans="1:83" x14ac:dyDescent="0.25">
      <c r="A269" t="s">
        <v>1309</v>
      </c>
      <c r="B269" t="s">
        <v>1310</v>
      </c>
      <c r="C269">
        <v>505</v>
      </c>
      <c r="D269">
        <v>173</v>
      </c>
      <c r="E269" t="s">
        <v>1508</v>
      </c>
      <c r="F269" t="s">
        <v>403</v>
      </c>
      <c r="G269" t="s">
        <v>1311</v>
      </c>
      <c r="H269" t="s">
        <v>274</v>
      </c>
      <c r="I269">
        <v>2009</v>
      </c>
      <c r="L269">
        <v>1</v>
      </c>
      <c r="M269">
        <v>86</v>
      </c>
      <c r="V269">
        <v>12</v>
      </c>
      <c r="X269">
        <v>5</v>
      </c>
      <c r="Y269">
        <v>35</v>
      </c>
      <c r="Z269" s="3">
        <f t="shared" si="141"/>
        <v>0.29166666666666669</v>
      </c>
      <c r="AA269">
        <v>35</v>
      </c>
      <c r="AB269">
        <f t="shared" si="137"/>
        <v>56</v>
      </c>
      <c r="AE269">
        <v>9.6</v>
      </c>
      <c r="AF269">
        <v>9.6</v>
      </c>
      <c r="AG269">
        <v>2.4</v>
      </c>
      <c r="AH269">
        <v>3.2</v>
      </c>
      <c r="AI269" s="10">
        <v>42</v>
      </c>
      <c r="AJ269" t="str">
        <f>CONCATENATE(VLOOKUP(AK269, 'Voxel Sizes'!$A$2:$B$18,2,FALSE),"x",INT(AG269*15), "x", INT(AH269*15))</f>
        <v>102x36x48</v>
      </c>
      <c r="AK269">
        <f t="shared" si="142"/>
        <v>6</v>
      </c>
      <c r="AM269" t="str">
        <f>CONCATENATE(VLOOKUP(AK269,Constants!$A$2:$C$16,IF(AL269&lt;&gt;"", 3, 2), FALSE),IF(AL269&lt;&gt;"",CONCATENATE(",",VLOOKUP(AL269,$B:$AM,38,FALSE)),""))</f>
        <v>2,2,2</v>
      </c>
      <c r="AQ269" t="s">
        <v>1310</v>
      </c>
      <c r="AS269">
        <v>1</v>
      </c>
      <c r="AW269">
        <v>28</v>
      </c>
      <c r="AX269" s="15" t="str">
        <f t="shared" si="143"/>
        <v/>
      </c>
      <c r="BA269">
        <f t="shared" si="144"/>
        <v>7</v>
      </c>
      <c r="BB269">
        <f t="shared" si="145"/>
        <v>0.42999999999999994</v>
      </c>
      <c r="BC269">
        <f t="shared" si="146"/>
        <v>1.75</v>
      </c>
      <c r="BD269" s="3">
        <f t="shared" si="147"/>
        <v>0.85466666666666669</v>
      </c>
      <c r="BE269">
        <f t="shared" si="148"/>
        <v>1.4000000000000001</v>
      </c>
      <c r="BF269">
        <f>VLOOKUP($G269,Constants!$I:$K, 2, FALSE)</f>
        <v>0.98</v>
      </c>
      <c r="BG269">
        <f>VLOOKUP($G269,Constants!$I:$K, 3, FALSE)*IF(AND(F269="multiple_unit",AA269&lt;110),0.75,1)</f>
        <v>1.41</v>
      </c>
      <c r="BH269">
        <f>INT(POWER(((Constants!$G$2+$BA269+$BB269+$BC269+$BE269)*$BD269)*$BG269, 1.05))+$AZ269</f>
        <v>21</v>
      </c>
      <c r="BI269">
        <f>INT(POWER((((Constants!$G$1+$BA269+$BB269+$BC269+$BE269)*($BD269))*$BF269),IF($F269="wagon",1,1.2)))+$AY269</f>
        <v>39</v>
      </c>
      <c r="BJ269" s="14">
        <f t="shared" si="149"/>
        <v>16406.25</v>
      </c>
      <c r="BK269" s="14">
        <f t="shared" si="150"/>
        <v>3168.75</v>
      </c>
      <c r="BR269">
        <v>6</v>
      </c>
      <c r="BU269" t="s">
        <v>282</v>
      </c>
      <c r="BV269" t="str">
        <f>VLOOKUP(I269,Eras!$A$2:$C$10, 2, TRUE)</f>
        <v>mod</v>
      </c>
      <c r="BW269" t="s">
        <v>329</v>
      </c>
      <c r="BX269" t="str">
        <f t="shared" si="151"/>
        <v>mod_DMU (Cheap)</v>
      </c>
      <c r="BY269" t="str">
        <f t="shared" si="152"/>
        <v>lpgflywheel_RAIL</v>
      </c>
      <c r="BZ269" s="17" t="str" cm="1">
        <f t="array" ref="BZ269">_xlfn.CONCAT("{BLACK}Length: {GOLD}", TEXT(ROUNDUP(IF(AP269&lt;&gt;"",SUM(VALUE(_xlfn.TEXTSPLIT(AP269, ","))), SUM(VALUE(_xlfn.TEXTSPLIT(AM269, ",")))*IF(L269, L269, 1))/16, 1), "#,##0.0"), " tiles{}")</f>
        <v>{BLACK}Length: {GOLD}0.4 tiles{}</v>
      </c>
      <c r="CA269" t="str">
        <f>VLOOKUP($BY269, Constants!$M:$N, 2, FALSE)</f>
        <v>{BLACK}Powered by: {GOLD}LPG / Flywheel</v>
      </c>
      <c r="CC269" t="s">
        <v>1314</v>
      </c>
      <c r="CE269" t="str">
        <f t="shared" si="140"/>
        <v>{BLACK}Powered by: {GOLD}LPG / Flywheel {}{BLACK}Length: {GOLD}0.4 tiles{}{SILVER}The Parry People Mover PPM60 uses a small LPG engine with a flywheel to capture energy from braking. The units are currently used on the Stourbridge Town Branch Line, where they are limited to 20mph.</v>
      </c>
    </row>
    <row r="270" spans="1:83" x14ac:dyDescent="0.25">
      <c r="A270" t="s">
        <v>75</v>
      </c>
      <c r="B270" t="s">
        <v>242</v>
      </c>
      <c r="C270">
        <v>506</v>
      </c>
      <c r="D270">
        <v>174</v>
      </c>
      <c r="E270" t="s">
        <v>1508</v>
      </c>
      <c r="F270" t="s">
        <v>403</v>
      </c>
      <c r="G270" t="s">
        <v>551</v>
      </c>
      <c r="H270" t="s">
        <v>550</v>
      </c>
      <c r="I270">
        <v>2007</v>
      </c>
      <c r="J270">
        <v>2009</v>
      </c>
      <c r="L270">
        <v>6</v>
      </c>
      <c r="M270">
        <f>16*280</f>
        <v>4480</v>
      </c>
      <c r="N270" s="8">
        <v>2800</v>
      </c>
      <c r="V270">
        <v>265</v>
      </c>
      <c r="X270">
        <v>4</v>
      </c>
      <c r="Y270">
        <v>210</v>
      </c>
      <c r="Z270" s="3">
        <f t="shared" si="141"/>
        <v>7.9245283018867921E-2</v>
      </c>
      <c r="AA270">
        <v>157</v>
      </c>
      <c r="AB270">
        <f t="shared" si="137"/>
        <v>251</v>
      </c>
      <c r="AE270">
        <v>20.88</v>
      </c>
      <c r="AF270">
        <v>20.88</v>
      </c>
      <c r="AH270">
        <v>3.82</v>
      </c>
      <c r="AI270" s="10">
        <v>57</v>
      </c>
      <c r="AJ270" t="str">
        <f>CONCATENATE(VLOOKUP(AK270, 'Voxel Sizes'!$A$2:$B$18,2,FALSE),"x",INT(AG270*15), "x", INT(AH270*15))</f>
        <v>198x0x57</v>
      </c>
      <c r="AK270">
        <f t="shared" si="142"/>
        <v>12</v>
      </c>
      <c r="AM270" t="str">
        <f>CONCATENATE(VLOOKUP(AK270,Constants!$A$2:$C$16,IF(AL270&lt;&gt;"", 3, 2), FALSE),IF(AL270&lt;&gt;"",CONCATENATE(",",VLOOKUP(AL270,$B:$AM,38,FALSE)),""))</f>
        <v>4,4,4</v>
      </c>
      <c r="AQ270" t="s">
        <v>1276</v>
      </c>
      <c r="AS270" t="s">
        <v>526</v>
      </c>
      <c r="AW270">
        <v>30</v>
      </c>
      <c r="AX270" s="15" t="str">
        <f t="shared" si="143"/>
        <v/>
      </c>
      <c r="AY270">
        <v>-15</v>
      </c>
      <c r="AZ270">
        <v>-30</v>
      </c>
      <c r="BA270">
        <f t="shared" si="144"/>
        <v>30</v>
      </c>
      <c r="BB270">
        <f t="shared" si="145"/>
        <v>20</v>
      </c>
      <c r="BC270">
        <f t="shared" si="146"/>
        <v>10.5</v>
      </c>
      <c r="BD270" s="3">
        <f t="shared" si="147"/>
        <v>0.85733333333333328</v>
      </c>
      <c r="BE270">
        <f t="shared" si="148"/>
        <v>11.400000000000002</v>
      </c>
      <c r="BF270">
        <f>VLOOKUP($G270,Constants!$I:$K, 2, FALSE)</f>
        <v>0.85</v>
      </c>
      <c r="BG270">
        <f>VLOOKUP($G270,Constants!$I:$K, 3, FALSE)*IF(AND(F270="multiple_unit",AA270&lt;110),0.75,1)</f>
        <v>2.4</v>
      </c>
      <c r="BH270">
        <f>INT(POWER(((Constants!$G$2+$BA270+$BB270+$BC270+$BE270)*$BD270)*$BG270, 1.05))+$AZ270</f>
        <v>173</v>
      </c>
      <c r="BI270">
        <f>INT(POWER((((Constants!$G$1+$BA270+$BB270+$BC270+$BE270)*($BD270))*$BF270),IF($F270="wagon",1,1.2)))+$AY270</f>
        <v>130</v>
      </c>
      <c r="BJ270" s="14">
        <f t="shared" si="149"/>
        <v>135156.25</v>
      </c>
      <c r="BK270" s="14">
        <f t="shared" si="150"/>
        <v>10562.5</v>
      </c>
      <c r="BQ270" t="s">
        <v>1145</v>
      </c>
      <c r="BR270">
        <v>5</v>
      </c>
      <c r="BS270">
        <v>205</v>
      </c>
      <c r="BU270" t="s">
        <v>282</v>
      </c>
      <c r="BV270" t="str">
        <f>VLOOKUP(I270,Eras!$A$2:$C$10, 2, TRUE)</f>
        <v>mod</v>
      </c>
      <c r="BW270" t="s">
        <v>333</v>
      </c>
      <c r="BX270" t="str">
        <f t="shared" si="151"/>
        <v>mod_EMU (Express)</v>
      </c>
      <c r="BY270" t="str">
        <f t="shared" si="152"/>
        <v>dual_electric_DUAL_POWER</v>
      </c>
      <c r="BZ270" s="17" t="str" cm="1">
        <f t="array" ref="BZ270">_xlfn.CONCAT("{BLACK}Length: {GOLD}", TEXT(ROUNDUP(IF(AP270&lt;&gt;"",SUM(VALUE(_xlfn.TEXTSPLIT(AP270, ","))), SUM(VALUE(_xlfn.TEXTSPLIT(AM270, ",")))*IF(L270, L270, 1))/16, 1), "#,##0.0"), " tiles{}")</f>
        <v>{BLACK}Length: {GOLD}4.5 tiles{}</v>
      </c>
      <c r="CA270" t="str">
        <f>VLOOKUP($BY270, Constants!$M:$N, 2, FALSE)</f>
        <v>{BLACK}Powered by: {GOLD}25kV AC / 750V DC</v>
      </c>
      <c r="CB270" t="str">
        <f t="shared" ref="CB270:CB305" si="153">IF(L270&gt;1,_xlfn.CONCAT("{BLACK}Cars: {GOLD}", L270),"")</f>
        <v>{BLACK}Cars: {GOLD}6</v>
      </c>
      <c r="CC270" t="s">
        <v>1279</v>
      </c>
      <c r="CD270" t="str">
        <f t="shared" ref="CD270:CD305" si="154">IF(BU270="BRAKE","{YELLOW}Speed bonus for slow wagons{}",IF(BS270&gt;190,CONCATENATE("{YELLOW}",INT((BS270-185)/1.85),"% Bonus for long distance travel{}"),IF(AND(BS270&lt;180,BS270&lt;&gt;0),CONCATENATE("{YELLOW}",INT((185-BS270)/1.85),"% Penalty for long distance travel{}"),"")))</f>
        <v>{YELLOW}10% Bonus for long distance travel{}</v>
      </c>
      <c r="CE270" t="str">
        <f t="shared" si="140"/>
        <v>{BLACK}Powered by: {GOLD}25kV AC / 750V DC {BLACK}Cars: {GOLD}6{}{BLACK}Length: {GOLD}4.5 tiles{}{YELLOW}10% Bonus for long distance travel{}{SILVER}The Class 395 is a dedicated high speed unit built for the HS1 high speed route. It is part of Hitachi's AT300 series.</v>
      </c>
    </row>
    <row r="271" spans="1:83" x14ac:dyDescent="0.25">
      <c r="A271" t="s">
        <v>75</v>
      </c>
      <c r="B271" t="s">
        <v>1305</v>
      </c>
      <c r="C271">
        <v>507</v>
      </c>
      <c r="D271">
        <v>175</v>
      </c>
      <c r="E271" t="s">
        <v>1508</v>
      </c>
      <c r="F271" t="s">
        <v>403</v>
      </c>
      <c r="G271" t="s">
        <v>551</v>
      </c>
      <c r="H271" t="s">
        <v>550</v>
      </c>
      <c r="I271">
        <v>2007</v>
      </c>
      <c r="J271">
        <v>2009</v>
      </c>
      <c r="L271">
        <v>5</v>
      </c>
      <c r="M271">
        <f>16*280</f>
        <v>4480</v>
      </c>
      <c r="N271" s="8">
        <v>2800</v>
      </c>
      <c r="V271">
        <v>265</v>
      </c>
      <c r="X271">
        <v>4</v>
      </c>
      <c r="Y271">
        <v>210</v>
      </c>
      <c r="Z271" s="3">
        <f t="shared" si="141"/>
        <v>7.9245283018867921E-2</v>
      </c>
      <c r="AA271">
        <v>157</v>
      </c>
      <c r="AB271">
        <f t="shared" si="137"/>
        <v>251</v>
      </c>
      <c r="AE271">
        <v>20.88</v>
      </c>
      <c r="AF271">
        <v>20.88</v>
      </c>
      <c r="AH271">
        <v>3.82</v>
      </c>
      <c r="AI271" s="10">
        <v>57</v>
      </c>
      <c r="AJ271" t="str">
        <f>CONCATENATE(VLOOKUP(AK271, 'Voxel Sizes'!$A$2:$B$18,2,FALSE),"x",INT(AG271*15), "x", INT(AH271*15))</f>
        <v>198x0x57</v>
      </c>
      <c r="AK271">
        <f t="shared" si="142"/>
        <v>12</v>
      </c>
      <c r="AM271" t="str">
        <f>CONCATENATE(VLOOKUP(AK271,Constants!$A$2:$C$16,IF(AL271&lt;&gt;"", 3, 2), FALSE),IF(AL271&lt;&gt;"",CONCATENATE(",",VLOOKUP(AL271,$B:$AM,38,FALSE)),""))</f>
        <v>4,4,4</v>
      </c>
      <c r="AQ271" t="s">
        <v>1306</v>
      </c>
      <c r="AS271" t="s">
        <v>663</v>
      </c>
      <c r="AT271" t="s">
        <v>242</v>
      </c>
      <c r="AW271">
        <v>30</v>
      </c>
      <c r="AX271" s="15" t="str">
        <f t="shared" si="143"/>
        <v/>
      </c>
      <c r="AY271">
        <v>-15</v>
      </c>
      <c r="AZ271">
        <v>-30</v>
      </c>
      <c r="BA271">
        <f t="shared" si="144"/>
        <v>30</v>
      </c>
      <c r="BB271">
        <f t="shared" si="145"/>
        <v>20</v>
      </c>
      <c r="BC271">
        <f t="shared" si="146"/>
        <v>10.5</v>
      </c>
      <c r="BD271" s="3">
        <f t="shared" si="147"/>
        <v>0.85733333333333328</v>
      </c>
      <c r="BE271">
        <f t="shared" si="148"/>
        <v>9.5</v>
      </c>
      <c r="BF271">
        <f>VLOOKUP($G271,Constants!$I:$K, 2, FALSE)</f>
        <v>0.85</v>
      </c>
      <c r="BG271">
        <f>VLOOKUP($G271,Constants!$I:$K, 3, FALSE)*IF(AND(F271="multiple_unit",AA271&lt;110),0.75,1)</f>
        <v>2.4</v>
      </c>
      <c r="BH271">
        <f>INT(POWER(((Constants!$G$2+$BA271+$BB271+$BC271+$BE271)*$BD271)*$BG271, 1.05))+$AZ271</f>
        <v>168</v>
      </c>
      <c r="BI271">
        <f>INT(POWER((((Constants!$G$1+$BA271+$BB271+$BC271+$BE271)*($BD271))*$BF271),IF($F271="wagon",1,1.2)))+$AY271</f>
        <v>126</v>
      </c>
      <c r="BJ271" s="14">
        <f t="shared" si="149"/>
        <v>131250</v>
      </c>
      <c r="BK271" s="14">
        <f t="shared" si="150"/>
        <v>10237.5</v>
      </c>
      <c r="BQ271" t="s">
        <v>1147</v>
      </c>
      <c r="BR271">
        <v>5</v>
      </c>
      <c r="BS271">
        <v>205</v>
      </c>
      <c r="BU271" t="s">
        <v>282</v>
      </c>
      <c r="BV271" t="str">
        <f>VLOOKUP(I271,Eras!$A$2:$C$10, 2, TRUE)</f>
        <v>mod</v>
      </c>
      <c r="BW271" t="s">
        <v>333</v>
      </c>
      <c r="BX271" t="str">
        <f t="shared" si="151"/>
        <v>mod_EMU (Express)</v>
      </c>
      <c r="BY271" t="str">
        <f t="shared" si="152"/>
        <v>dual_electric_DUAL_POWER</v>
      </c>
      <c r="BZ271" s="17" t="str" cm="1">
        <f t="array" ref="BZ271">_xlfn.CONCAT("{BLACK}Length: {GOLD}", TEXT(ROUNDUP(IF(AP271&lt;&gt;"",SUM(VALUE(_xlfn.TEXTSPLIT(AP271, ","))), SUM(VALUE(_xlfn.TEXTSPLIT(AM271, ",")))*IF(L271, L271, 1))/16, 1), "#,##0.0"), " tiles{}")</f>
        <v>{BLACK}Length: {GOLD}3.8 tiles{}</v>
      </c>
      <c r="CA271" t="str">
        <f>VLOOKUP($BY271, Constants!$M:$N, 2, FALSE)</f>
        <v>{BLACK}Powered by: {GOLD}25kV AC / 750V DC</v>
      </c>
      <c r="CB271" t="str">
        <f t="shared" si="153"/>
        <v>{BLACK}Cars: {GOLD}5</v>
      </c>
      <c r="CC271" t="s">
        <v>1279</v>
      </c>
      <c r="CD271" t="str">
        <f t="shared" si="154"/>
        <v>{YELLOW}10% Bonus for long distance travel{}</v>
      </c>
      <c r="CE271" t="str">
        <f t="shared" si="140"/>
        <v>{BLACK}Powered by: {GOLD}25kV AC / 750V DC {BLACK}Cars: {GOLD}5{}{BLACK}Length: {GOLD}3.8 tiles{}{YELLOW}10% Bonus for long distance travel{}{SILVER}The Class 395 is a dedicated high speed unit built for the HS1 high speed route. It is part of Hitachi's AT300 series.</v>
      </c>
    </row>
    <row r="272" spans="1:83" x14ac:dyDescent="0.25">
      <c r="A272" t="s">
        <v>80</v>
      </c>
      <c r="B272" t="s">
        <v>218</v>
      </c>
      <c r="C272">
        <v>508</v>
      </c>
      <c r="D272">
        <v>176</v>
      </c>
      <c r="E272" t="s">
        <v>1508</v>
      </c>
      <c r="F272" t="s">
        <v>403</v>
      </c>
      <c r="G272" t="s">
        <v>551</v>
      </c>
      <c r="H272" t="s">
        <v>550</v>
      </c>
      <c r="I272">
        <v>2009</v>
      </c>
      <c r="L272">
        <v>5</v>
      </c>
      <c r="M272">
        <f>800*2</f>
        <v>1600</v>
      </c>
      <c r="V272">
        <v>212.8</v>
      </c>
      <c r="X272">
        <v>7</v>
      </c>
      <c r="Y272">
        <v>180</v>
      </c>
      <c r="Z272" s="3">
        <f t="shared" si="141"/>
        <v>8.4586466165413529E-2</v>
      </c>
      <c r="AA272">
        <v>75</v>
      </c>
      <c r="AB272">
        <f t="shared" si="137"/>
        <v>120</v>
      </c>
      <c r="AE272">
        <v>20.399999999999999</v>
      </c>
      <c r="AF272">
        <v>20.399999999999999</v>
      </c>
      <c r="AG272">
        <v>2.8</v>
      </c>
      <c r="AH272">
        <v>3.78</v>
      </c>
      <c r="AI272" s="10">
        <v>90</v>
      </c>
      <c r="AJ272" t="str">
        <f>CONCATENATE(VLOOKUP(AK272, 'Voxel Sizes'!$A$2:$B$18,2,FALSE),"x",INT(AG272*15), "x", INT(AH272*15))</f>
        <v>198x42x56</v>
      </c>
      <c r="AK272">
        <f t="shared" si="142"/>
        <v>12</v>
      </c>
      <c r="AM272" t="str">
        <f>CONCATENATE(VLOOKUP(AK272,Constants!$A$2:$C$16,IF(AL272&lt;&gt;"", 3, 2), FALSE),IF(AL272&lt;&gt;"",CONCATENATE(",",VLOOKUP(AL272,$B:$AM,38,FALSE)),""))</f>
        <v>4,4,4</v>
      </c>
      <c r="AQ272" t="s">
        <v>598</v>
      </c>
      <c r="AR272" t="s">
        <v>599</v>
      </c>
      <c r="AS272" t="s">
        <v>600</v>
      </c>
      <c r="AW272">
        <v>30</v>
      </c>
      <c r="AX272" s="15" t="str">
        <f t="shared" si="143"/>
        <v/>
      </c>
      <c r="AY272">
        <v>-15</v>
      </c>
      <c r="AZ272">
        <v>-35</v>
      </c>
      <c r="BA272">
        <f t="shared" si="144"/>
        <v>15</v>
      </c>
      <c r="BB272">
        <f t="shared" si="145"/>
        <v>8</v>
      </c>
      <c r="BC272">
        <f t="shared" si="146"/>
        <v>9</v>
      </c>
      <c r="BD272" s="3">
        <f t="shared" si="147"/>
        <v>0.85466666666666669</v>
      </c>
      <c r="BE272">
        <f t="shared" si="148"/>
        <v>15</v>
      </c>
      <c r="BF272">
        <f>VLOOKUP($G272,Constants!$I:$K, 2, FALSE)</f>
        <v>0.85</v>
      </c>
      <c r="BG272">
        <f>VLOOKUP($G272,Constants!$I:$K, 3, FALSE)*IF(AND(F272="multiple_unit",AA272&lt;110),0.75,1)</f>
        <v>1.7999999999999998</v>
      </c>
      <c r="BH272">
        <f>INT(POWER(((Constants!$G$2+$BA272+$BB272+$BC272+$BE272)*$BD272)*$BG272, 1.05))+$AZ272</f>
        <v>64</v>
      </c>
      <c r="BI272">
        <f>INT(POWER((((Constants!$G$1+$BA272+$BB272+$BC272+$BE272)*($BD272))*$BF272),IF($F272="wagon",1,1.2)))+$AY272</f>
        <v>81</v>
      </c>
      <c r="BJ272" s="14">
        <f t="shared" si="149"/>
        <v>50000</v>
      </c>
      <c r="BK272" s="14">
        <f t="shared" si="150"/>
        <v>6581.25</v>
      </c>
      <c r="BR272">
        <v>6</v>
      </c>
      <c r="BS272">
        <v>165</v>
      </c>
      <c r="BU272" t="s">
        <v>282</v>
      </c>
      <c r="BV272" t="str">
        <f>VLOOKUP(I272,Eras!$A$2:$C$10, 2, TRUE)</f>
        <v>mod</v>
      </c>
      <c r="BW272" t="s">
        <v>332</v>
      </c>
      <c r="BX272" t="str">
        <f t="shared" si="151"/>
        <v>mod_EMU</v>
      </c>
      <c r="BY272" t="str">
        <f t="shared" si="152"/>
        <v>dual_electric_DUAL_POWER</v>
      </c>
      <c r="BZ272" s="17" t="str" cm="1">
        <f t="array" ref="BZ272">_xlfn.CONCAT("{BLACK}Length: {GOLD}", TEXT(ROUNDUP(IF(AP272&lt;&gt;"",SUM(VALUE(_xlfn.TEXTSPLIT(AP272, ","))), SUM(VALUE(_xlfn.TEXTSPLIT(AM272, ",")))*IF(L272, L272, 1))/16, 1), "#,##0.0"), " tiles{}")</f>
        <v>{BLACK}Length: {GOLD}3.8 tiles{}</v>
      </c>
      <c r="CA272" t="str">
        <f>VLOOKUP($BY272, Constants!$M:$N, 2, FALSE)</f>
        <v>{BLACK}Powered by: {GOLD}25kV AC / 750V DC</v>
      </c>
      <c r="CB272" t="str">
        <f t="shared" si="153"/>
        <v>{BLACK}Cars: {GOLD}5</v>
      </c>
      <c r="CC272" t="s">
        <v>597</v>
      </c>
      <c r="CD272" t="str">
        <f t="shared" si="154"/>
        <v>{YELLOW}10% Penalty for long distance travel{}</v>
      </c>
      <c r="CE272" t="str">
        <f t="shared" si="140"/>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73" spans="1:83" x14ac:dyDescent="0.25">
      <c r="A273" t="s">
        <v>1271</v>
      </c>
      <c r="B273" t="s">
        <v>1272</v>
      </c>
      <c r="C273">
        <v>509</v>
      </c>
      <c r="D273">
        <v>177</v>
      </c>
      <c r="E273" t="s">
        <v>1508</v>
      </c>
      <c r="F273" t="s">
        <v>403</v>
      </c>
      <c r="G273" t="s">
        <v>540</v>
      </c>
      <c r="H273" t="s">
        <v>296</v>
      </c>
      <c r="I273">
        <v>2017</v>
      </c>
      <c r="L273">
        <v>5</v>
      </c>
      <c r="M273">
        <v>3200</v>
      </c>
      <c r="N273" s="8">
        <v>2250</v>
      </c>
      <c r="V273">
        <v>243</v>
      </c>
      <c r="X273">
        <v>5</v>
      </c>
      <c r="Y273">
        <v>195</v>
      </c>
      <c r="Z273" s="3">
        <f t="shared" si="141"/>
        <v>8.0246913580246909E-2</v>
      </c>
      <c r="AA273">
        <v>140</v>
      </c>
      <c r="AB273">
        <f t="shared" si="137"/>
        <v>224</v>
      </c>
      <c r="AE273">
        <v>26</v>
      </c>
      <c r="AF273">
        <v>24</v>
      </c>
      <c r="AI273" s="10">
        <v>66</v>
      </c>
      <c r="AJ273" t="str">
        <f>CONCATENATE(VLOOKUP(AK273, 'Voxel Sizes'!$A$2:$B$18,2,FALSE),"x",INT(AG273*15), "x", INT(AH273*15))</f>
        <v>238x0x0</v>
      </c>
      <c r="AK273">
        <f t="shared" si="142"/>
        <v>14</v>
      </c>
      <c r="AM273" t="str">
        <f>CONCATENATE(VLOOKUP(AK273,Constants!$A$2:$C$16,IF(AL273&lt;&gt;"", 3, 2), FALSE),IF(AL273&lt;&gt;"",CONCATENATE(",",VLOOKUP(AL273,$B:$AM,38,FALSE)),""))</f>
        <v>4,6,4</v>
      </c>
      <c r="AN273">
        <v>12</v>
      </c>
      <c r="AQ273" t="s">
        <v>1273</v>
      </c>
      <c r="AR273" t="s">
        <v>1274</v>
      </c>
      <c r="AS273" t="s">
        <v>605</v>
      </c>
      <c r="AW273">
        <v>30</v>
      </c>
      <c r="AX273" s="15" t="str">
        <f t="shared" si="143"/>
        <v/>
      </c>
      <c r="AY273">
        <v>-15</v>
      </c>
      <c r="AZ273">
        <v>-30</v>
      </c>
      <c r="BA273">
        <f t="shared" si="144"/>
        <v>28</v>
      </c>
      <c r="BB273">
        <f t="shared" si="145"/>
        <v>16</v>
      </c>
      <c r="BC273">
        <f t="shared" si="146"/>
        <v>9.75</v>
      </c>
      <c r="BD273" s="3">
        <f t="shared" si="147"/>
        <v>0.84399999999999997</v>
      </c>
      <c r="BE273">
        <f t="shared" si="148"/>
        <v>11</v>
      </c>
      <c r="BF273">
        <f>VLOOKUP($G273,Constants!$I:$K, 2, FALSE)</f>
        <v>0.9</v>
      </c>
      <c r="BG273">
        <f>VLOOKUP($G273,Constants!$I:$K, 3, FALSE)*IF(AND(F273="multiple_unit",AA273&lt;110),0.75,1)</f>
        <v>2.5</v>
      </c>
      <c r="BH273">
        <f>INT(POWER(((Constants!$G$2+$BA273+$BB273+$BC273+$BE273)*$BD273)*$BG273, 1.05))+$AZ273</f>
        <v>158</v>
      </c>
      <c r="BI273">
        <f>INT(POWER((((Constants!$G$1+$BA273+$BB273+$BC273+$BE273)*($BD273))*$BF273),IF($F273="wagon",1,1.2)))+$AY273</f>
        <v>122</v>
      </c>
      <c r="BJ273" s="14">
        <f t="shared" si="149"/>
        <v>123437.5</v>
      </c>
      <c r="BK273" s="14">
        <f t="shared" si="150"/>
        <v>9912.5</v>
      </c>
      <c r="BQ273" t="s">
        <v>1145</v>
      </c>
      <c r="BR273">
        <v>10</v>
      </c>
      <c r="BS273">
        <v>222</v>
      </c>
      <c r="BU273" t="s">
        <v>282</v>
      </c>
      <c r="BV273" t="str">
        <f>VLOOKUP(I273,Eras!$A$2:$C$10, 2, TRUE)</f>
        <v>mod</v>
      </c>
      <c r="BW273" t="s">
        <v>333</v>
      </c>
      <c r="BX273" t="str">
        <f t="shared" si="151"/>
        <v>mod_EMU (Express)</v>
      </c>
      <c r="BY273" t="str">
        <f t="shared" si="152"/>
        <v>dual_power_ELRL</v>
      </c>
      <c r="BZ273" s="17" t="str" cm="1">
        <f t="array" ref="BZ273">_xlfn.CONCAT("{BLACK}Length: {GOLD}", TEXT(ROUNDUP(IF(AP273&lt;&gt;"",SUM(VALUE(_xlfn.TEXTSPLIT(AP273, ","))), SUM(VALUE(_xlfn.TEXTSPLIT(AM273, ",")))*IF(L273, L273, 1))/16, 1), "#,##0.0"), " tiles{}")</f>
        <v>{BLACK}Length: {GOLD}4.4 tiles{}</v>
      </c>
      <c r="CA273" t="str">
        <f>VLOOKUP($BY273, Constants!$M:$N, 2, FALSE)</f>
        <v>{BLACK}Powered by: {GOLD}25kV AC / Diesel</v>
      </c>
      <c r="CB273" t="str">
        <f t="shared" si="153"/>
        <v>{BLACK}Cars: {GOLD}5</v>
      </c>
      <c r="CC273" t="s">
        <v>1275</v>
      </c>
      <c r="CD273" t="str">
        <f t="shared" si="154"/>
        <v>{YELLOW}20% Bonus for long distance travel{}</v>
      </c>
      <c r="CE273" t="str">
        <f t="shared" si="140"/>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74" spans="1:83" x14ac:dyDescent="0.25">
      <c r="A274" t="s">
        <v>90</v>
      </c>
      <c r="B274" t="s">
        <v>647</v>
      </c>
      <c r="C274">
        <v>510</v>
      </c>
      <c r="D274">
        <v>178</v>
      </c>
      <c r="E274" t="s">
        <v>1508</v>
      </c>
      <c r="F274" t="s">
        <v>403</v>
      </c>
      <c r="G274" t="s">
        <v>272</v>
      </c>
      <c r="H274" t="s">
        <v>274</v>
      </c>
      <c r="I274">
        <v>2019</v>
      </c>
      <c r="L274">
        <v>2</v>
      </c>
      <c r="M274">
        <f>523*2</f>
        <v>1046</v>
      </c>
      <c r="V274">
        <v>80</v>
      </c>
      <c r="X274">
        <v>5</v>
      </c>
      <c r="Y274">
        <v>145</v>
      </c>
      <c r="Z274" s="3">
        <f t="shared" si="141"/>
        <v>0.18124999999999999</v>
      </c>
      <c r="AA274">
        <v>100</v>
      </c>
      <c r="AB274">
        <f t="shared" si="137"/>
        <v>160</v>
      </c>
      <c r="AE274">
        <v>24</v>
      </c>
      <c r="AF274">
        <v>24</v>
      </c>
      <c r="AG274">
        <v>2.7</v>
      </c>
      <c r="AH274">
        <v>3.85</v>
      </c>
      <c r="AI274" s="10">
        <v>63</v>
      </c>
      <c r="AJ274" t="str">
        <f>CONCATENATE(VLOOKUP(AK274, 'Voxel Sizes'!$A$2:$B$18,2,FALSE),"x",INT(AG274*15), "x", INT(AH274*15))</f>
        <v>238x40x57</v>
      </c>
      <c r="AK274">
        <f t="shared" si="142"/>
        <v>14</v>
      </c>
      <c r="AM274" t="str">
        <f>CONCATENATE(VLOOKUP(AK274,Constants!$A$2:$C$16,IF(AL274&lt;&gt;"", 3, 2), FALSE),IF(AL274&lt;&gt;"",CONCATENATE(",",VLOOKUP(AL274,$B:$AM,38,FALSE)),""))</f>
        <v>4,6,4</v>
      </c>
      <c r="AQ274" t="s">
        <v>648</v>
      </c>
      <c r="AS274" t="s">
        <v>466</v>
      </c>
      <c r="AW274">
        <v>30</v>
      </c>
      <c r="AX274" s="15" t="str">
        <f t="shared" si="143"/>
        <v/>
      </c>
      <c r="AY274">
        <v>-15</v>
      </c>
      <c r="AZ274">
        <v>-25</v>
      </c>
      <c r="BA274">
        <f t="shared" si="144"/>
        <v>20</v>
      </c>
      <c r="BB274">
        <f t="shared" si="145"/>
        <v>5.23</v>
      </c>
      <c r="BC274">
        <f t="shared" si="146"/>
        <v>7.25</v>
      </c>
      <c r="BD274" s="3">
        <f t="shared" si="147"/>
        <v>0.84133333333333327</v>
      </c>
      <c r="BE274">
        <f t="shared" si="148"/>
        <v>4.2</v>
      </c>
      <c r="BF274">
        <f>VLOOKUP($G274,Constants!$I:$K, 2, FALSE)</f>
        <v>1</v>
      </c>
      <c r="BG274">
        <f>VLOOKUP($G274,Constants!$I:$K, 3, FALSE)*IF(AND(F274="multiple_unit",AA274&lt;110),0.75,1)</f>
        <v>1.5</v>
      </c>
      <c r="BH274">
        <f>INT(POWER(((Constants!$G$2+$BA274+$BB274+$BC274+$BE274)*$BD274)*$BG274, 1.05))+$AZ274</f>
        <v>39</v>
      </c>
      <c r="BI274">
        <f>INT(POWER((((Constants!$G$1+$BA274+$BB274+$BC274+$BE274)*($BD274))*$BF274),IF($F274="wagon",1,1.2)))+$AY274</f>
        <v>77</v>
      </c>
      <c r="BJ274" s="14">
        <f t="shared" si="149"/>
        <v>30468.75</v>
      </c>
      <c r="BK274" s="14">
        <f t="shared" si="150"/>
        <v>6256.25</v>
      </c>
      <c r="BR274">
        <v>2</v>
      </c>
      <c r="BS274">
        <v>185</v>
      </c>
      <c r="BU274" t="s">
        <v>282</v>
      </c>
      <c r="BV274" t="str">
        <f>VLOOKUP(I274,Eras!$A$2:$C$10, 2, TRUE)</f>
        <v>mod</v>
      </c>
      <c r="BW274" t="s">
        <v>330</v>
      </c>
      <c r="BX274" t="str">
        <f t="shared" si="151"/>
        <v>mod_DMU</v>
      </c>
      <c r="BY274" t="str">
        <f t="shared" si="152"/>
        <v>diesel_RAIL</v>
      </c>
      <c r="BZ274" s="17" t="str" cm="1">
        <f t="array" ref="BZ274">_xlfn.CONCAT("{BLACK}Length: {GOLD}", TEXT(ROUNDUP(IF(AP274&lt;&gt;"",SUM(VALUE(_xlfn.TEXTSPLIT(AP274, ","))), SUM(VALUE(_xlfn.TEXTSPLIT(AM274, ",")))*IF(L274, L274, 1))/16, 1), "#,##0.0"), " tiles{}")</f>
        <v>{BLACK}Length: {GOLD}1.8 tiles{}</v>
      </c>
      <c r="CA274" t="str">
        <f>VLOOKUP($BY274, Constants!$M:$N, 2, FALSE)</f>
        <v>{BLACK}Powered by: {GOLD}Diesel</v>
      </c>
      <c r="CB274" t="str">
        <f t="shared" si="153"/>
        <v>{BLACK}Cars: {GOLD}2</v>
      </c>
      <c r="CC274" t="s">
        <v>649</v>
      </c>
      <c r="CD274" t="str">
        <f t="shared" si="154"/>
        <v/>
      </c>
      <c r="CE274" t="str">
        <f t="shared" si="140"/>
        <v>{BLACK}Powered by: {GOLD}Diesel {BLACK}Cars: {GOLD}2{}{BLACK}Length: {GOLD}1.8 tiles{}{SILVER}The Class 195 is designed to replace Sprinter and Pacer units with a multiple unit of far higher quality and passenger comfort.</v>
      </c>
    </row>
    <row r="275" spans="1:83" x14ac:dyDescent="0.25">
      <c r="A275" t="s">
        <v>1240</v>
      </c>
      <c r="B275" t="s">
        <v>1244</v>
      </c>
      <c r="C275">
        <v>511</v>
      </c>
      <c r="D275">
        <v>179</v>
      </c>
      <c r="E275" t="s">
        <v>1508</v>
      </c>
      <c r="F275" t="s">
        <v>403</v>
      </c>
      <c r="G275" t="s">
        <v>540</v>
      </c>
      <c r="H275" t="s">
        <v>296</v>
      </c>
      <c r="I275">
        <v>2019</v>
      </c>
      <c r="L275">
        <v>5</v>
      </c>
      <c r="M275">
        <v>3500</v>
      </c>
      <c r="N275" s="8">
        <v>2570</v>
      </c>
      <c r="V275">
        <v>163</v>
      </c>
      <c r="X275">
        <v>5</v>
      </c>
      <c r="Y275">
        <v>185</v>
      </c>
      <c r="Z275" s="3">
        <f t="shared" si="141"/>
        <v>0.11349693251533742</v>
      </c>
      <c r="AA275">
        <v>100</v>
      </c>
      <c r="AB275">
        <f t="shared" si="137"/>
        <v>160</v>
      </c>
      <c r="AE275">
        <v>20.100000000000001</v>
      </c>
      <c r="AF275">
        <v>20.100000000000001</v>
      </c>
      <c r="AG275">
        <v>2.72</v>
      </c>
      <c r="AH275">
        <v>3.95</v>
      </c>
      <c r="AI275" s="10">
        <v>45</v>
      </c>
      <c r="AJ275" t="str">
        <f>CONCATENATE(VLOOKUP(AK275, 'Voxel Sizes'!$A$2:$B$18,2,FALSE),"x",INT(AG275*15), "x", INT(AH275*15))</f>
        <v>198x40x59</v>
      </c>
      <c r="AK275">
        <f t="shared" si="142"/>
        <v>12</v>
      </c>
      <c r="AM275" t="str">
        <f>CONCATENATE(VLOOKUP(AK275,Constants!$A$2:$C$16,IF(AL275&lt;&gt;"", 3, 2), FALSE),IF(AL275&lt;&gt;"",CONCATENATE(",",VLOOKUP(AL275,$B:$AM,38,FALSE)),""))</f>
        <v>4,4,4</v>
      </c>
      <c r="AN275">
        <v>6</v>
      </c>
      <c r="AO275" s="12" t="s">
        <v>1250</v>
      </c>
      <c r="AP275" s="12" t="s">
        <v>1253</v>
      </c>
      <c r="AQ275" t="s">
        <v>1252</v>
      </c>
      <c r="AR275" t="s">
        <v>1248</v>
      </c>
      <c r="AS275" t="s">
        <v>1251</v>
      </c>
      <c r="AW275">
        <v>30</v>
      </c>
      <c r="AX275" s="15" t="str">
        <f t="shared" si="143"/>
        <v/>
      </c>
      <c r="AY275">
        <v>-15</v>
      </c>
      <c r="AZ275">
        <v>-30</v>
      </c>
      <c r="BA275">
        <f t="shared" si="144"/>
        <v>20</v>
      </c>
      <c r="BB275">
        <f t="shared" si="145"/>
        <v>17.5</v>
      </c>
      <c r="BC275">
        <f t="shared" si="146"/>
        <v>9.25</v>
      </c>
      <c r="BD275" s="3">
        <f t="shared" si="147"/>
        <v>0.84133333333333327</v>
      </c>
      <c r="BE275">
        <f t="shared" si="148"/>
        <v>7.5</v>
      </c>
      <c r="BF275">
        <f>VLOOKUP($G275,Constants!$I:$K, 2, FALSE)</f>
        <v>0.9</v>
      </c>
      <c r="BG275">
        <f>VLOOKUP($G275,Constants!$I:$K, 3, FALSE)*IF(AND(F275="multiple_unit",AA275&lt;110),0.75,1)</f>
        <v>1.875</v>
      </c>
      <c r="BH275">
        <f>INT(POWER(((Constants!$G$2+$BA275+$BB275+$BC275+$BE275)*$BD275)*$BG275, 1.05))+$AZ275</f>
        <v>87</v>
      </c>
      <c r="BI275">
        <f>INT(POWER((((Constants!$G$1+$BA275+$BB275+$BC275+$BE275)*($BD275))*$BF275),IF($F275="wagon",1,1.2)))+$AY275</f>
        <v>100</v>
      </c>
      <c r="BJ275" s="14">
        <f t="shared" si="149"/>
        <v>67968.75</v>
      </c>
      <c r="BK275" s="14">
        <f t="shared" si="150"/>
        <v>8125</v>
      </c>
      <c r="BR275">
        <v>9</v>
      </c>
      <c r="BU275" t="s">
        <v>282</v>
      </c>
      <c r="BV275" t="str">
        <f>VLOOKUP(I275,Eras!$A$2:$C$10, 2, TRUE)</f>
        <v>mod</v>
      </c>
      <c r="BW275" t="s">
        <v>332</v>
      </c>
      <c r="BX275" t="str">
        <f t="shared" si="151"/>
        <v>mod_EMU</v>
      </c>
      <c r="BY275" t="str">
        <f t="shared" si="152"/>
        <v>dual_power_ELRL</v>
      </c>
      <c r="BZ275" s="17" t="str" cm="1">
        <f t="array" ref="BZ275">_xlfn.CONCAT("{BLACK}Length: {GOLD}", TEXT(ROUNDUP(IF(AP275&lt;&gt;"",SUM(VALUE(_xlfn.TEXTSPLIT(AP275, ","))), SUM(VALUE(_xlfn.TEXTSPLIT(AM275, ",")))*IF(L275, L275, 1))/16, 1), "#,##0.0"), " tiles{}")</f>
        <v>{BLACK}Length: {GOLD}3.0 tiles{}</v>
      </c>
      <c r="CA275" t="str">
        <f>VLOOKUP($BY275, Constants!$M:$N, 2, FALSE)</f>
        <v>{BLACK}Powered by: {GOLD}25kV AC / Diesel</v>
      </c>
      <c r="CB275" t="str">
        <f t="shared" si="153"/>
        <v>{BLACK}Cars: {GOLD}5</v>
      </c>
      <c r="CC275" t="s">
        <v>1243</v>
      </c>
      <c r="CD275" t="str">
        <f t="shared" si="154"/>
        <v/>
      </c>
      <c r="CE275" t="str">
        <f t="shared" si="140"/>
        <v>{BLACK}Powered by: {GOLD}25kV AC / Diesel {BLACK}Cars: {GOLD}5{}{BLACK}Length: {GOLD}3.0 tiles{}{SILVER}The Class 755 was designed to modernise services on the East Anglia franchise. The design features a distinctive "power pack" containing the diesel engines used for bi-mode operation.</v>
      </c>
    </row>
    <row r="276" spans="1:83" x14ac:dyDescent="0.25">
      <c r="A276" t="s">
        <v>1259</v>
      </c>
      <c r="B276" t="s">
        <v>1260</v>
      </c>
      <c r="C276">
        <v>512</v>
      </c>
      <c r="D276">
        <v>180</v>
      </c>
      <c r="E276" t="s">
        <v>1508</v>
      </c>
      <c r="F276" t="s">
        <v>403</v>
      </c>
      <c r="G276" t="s">
        <v>295</v>
      </c>
      <c r="H276" t="s">
        <v>296</v>
      </c>
      <c r="I276">
        <v>2018</v>
      </c>
      <c r="L276">
        <v>3</v>
      </c>
      <c r="M276">
        <f>335*6</f>
        <v>2010</v>
      </c>
      <c r="V276">
        <v>130</v>
      </c>
      <c r="X276">
        <v>5</v>
      </c>
      <c r="Y276">
        <v>150</v>
      </c>
      <c r="Z276" s="3">
        <f t="shared" si="141"/>
        <v>0.11538461538461539</v>
      </c>
      <c r="AA276">
        <v>100</v>
      </c>
      <c r="AB276">
        <f t="shared" si="137"/>
        <v>160</v>
      </c>
      <c r="AE276">
        <v>23</v>
      </c>
      <c r="AF276">
        <v>23</v>
      </c>
      <c r="AI276" s="10">
        <v>69</v>
      </c>
      <c r="AJ276" t="str">
        <f>CONCATENATE(VLOOKUP(AK276, 'Voxel Sizes'!$A$2:$B$18,2,FALSE),"x",INT(AG276*15), "x", INT(AH276*15))</f>
        <v>214x0x0</v>
      </c>
      <c r="AK276">
        <f t="shared" si="142"/>
        <v>13</v>
      </c>
      <c r="AM276" t="str">
        <f>CONCATENATE(VLOOKUP(AK276,Constants!$A$2:$C$16,IF(AL276&lt;&gt;"", 3, 2), FALSE),IF(AL276&lt;&gt;"",CONCATENATE(",",VLOOKUP(AL276,$B:$AM,38,FALSE)),""))</f>
        <v>4,5,4</v>
      </c>
      <c r="AQ276" t="s">
        <v>1277</v>
      </c>
      <c r="AS276" t="s">
        <v>291</v>
      </c>
      <c r="AW276">
        <v>32</v>
      </c>
      <c r="AX276" s="15" t="str">
        <f t="shared" si="143"/>
        <v/>
      </c>
      <c r="AY276">
        <v>-15</v>
      </c>
      <c r="AZ276">
        <v>-32</v>
      </c>
      <c r="BA276">
        <f t="shared" si="144"/>
        <v>20</v>
      </c>
      <c r="BB276">
        <f t="shared" si="145"/>
        <v>10.049999999999999</v>
      </c>
      <c r="BC276">
        <f t="shared" si="146"/>
        <v>7.5</v>
      </c>
      <c r="BD276" s="3">
        <f t="shared" si="147"/>
        <v>0.84266666666666667</v>
      </c>
      <c r="BE276">
        <f t="shared" si="148"/>
        <v>6.9</v>
      </c>
      <c r="BF276">
        <f>VLOOKUP($G276,Constants!$I:$K, 2, FALSE)</f>
        <v>0.85</v>
      </c>
      <c r="BG276">
        <f>VLOOKUP($G276,Constants!$I:$K, 3, FALSE)*IF(AND(F276="multiple_unit",AA276&lt;110),0.75,1)</f>
        <v>1.7249999999999999</v>
      </c>
      <c r="BH276">
        <f>INT(POWER(((Constants!$G$2+$BA276+$BB276+$BC276+$BE276)*$BD276)*$BG276, 1.05))+$AZ276</f>
        <v>57</v>
      </c>
      <c r="BI276">
        <f>INT(POWER((((Constants!$G$1+$BA276+$BB276+$BC276+$BE276)*($BD276))*$BF276),IF($F276="wagon",1,1.2)))+$AY276</f>
        <v>75</v>
      </c>
      <c r="BJ276" s="14">
        <f t="shared" si="149"/>
        <v>44531.25</v>
      </c>
      <c r="BK276" s="14">
        <f t="shared" si="150"/>
        <v>6093.75</v>
      </c>
      <c r="BR276">
        <v>11</v>
      </c>
      <c r="BS276">
        <v>185</v>
      </c>
      <c r="BU276" t="s">
        <v>282</v>
      </c>
      <c r="BV276" t="str">
        <f>VLOOKUP(I276,Eras!$A$2:$C$10, 2, TRUE)</f>
        <v>mod</v>
      </c>
      <c r="BW276" t="s">
        <v>332</v>
      </c>
      <c r="BX276" t="str">
        <f t="shared" si="151"/>
        <v>mod_EMU</v>
      </c>
      <c r="BY276" t="str">
        <f t="shared" si="152"/>
        <v>electric_ELRL</v>
      </c>
      <c r="BZ276" s="17" t="str" cm="1">
        <f t="array" ref="BZ276">_xlfn.CONCAT("{BLACK}Length: {GOLD}", TEXT(ROUNDUP(IF(AP276&lt;&gt;"",SUM(VALUE(_xlfn.TEXTSPLIT(AP276, ","))), SUM(VALUE(_xlfn.TEXTSPLIT(AM276, ",")))*IF(L276, L276, 1))/16, 1), "#,##0.0"), " tiles{}")</f>
        <v>{BLACK}Length: {GOLD}2.5 tiles{}</v>
      </c>
      <c r="CA276" t="str">
        <f>VLOOKUP($BY276, Constants!$M:$N, 2, FALSE)</f>
        <v>{BLACK}Powered by: {GOLD}25kV AC</v>
      </c>
      <c r="CB276" t="str">
        <f t="shared" si="153"/>
        <v>{BLACK}Cars: {GOLD}3</v>
      </c>
      <c r="CC276" t="s">
        <v>1278</v>
      </c>
      <c r="CD276" t="str">
        <f t="shared" si="154"/>
        <v/>
      </c>
      <c r="CE276" t="str">
        <f t="shared" si="140"/>
        <v>{BLACK}Powered by: {GOLD}25kV AC {BLACK}Cars: {GOLD}3{}{BLACK}Length: {GOLD}2.5 tiles{}{SILVER}The Class 385 was built for use on newly electrified lines in Scotland. Unlike most AT200 variants, it has cab end doors to allow for trolley services throughout the train.</v>
      </c>
    </row>
    <row r="277" spans="1:83" x14ac:dyDescent="0.25">
      <c r="A277" t="s">
        <v>1265</v>
      </c>
      <c r="B277" t="s">
        <v>1287</v>
      </c>
      <c r="C277">
        <v>513</v>
      </c>
      <c r="D277">
        <v>181</v>
      </c>
      <c r="E277" t="s">
        <v>1508</v>
      </c>
      <c r="F277" t="s">
        <v>403</v>
      </c>
      <c r="G277" t="s">
        <v>551</v>
      </c>
      <c r="H277" t="s">
        <v>550</v>
      </c>
      <c r="I277">
        <v>2016</v>
      </c>
      <c r="L277">
        <v>8</v>
      </c>
      <c r="M277">
        <v>4400</v>
      </c>
      <c r="N277" s="8">
        <v>2560</v>
      </c>
      <c r="V277">
        <v>278</v>
      </c>
      <c r="X277">
        <v>6</v>
      </c>
      <c r="Y277">
        <v>225</v>
      </c>
      <c r="Z277" s="3">
        <f t="shared" si="141"/>
        <v>8.0935251798561147E-2</v>
      </c>
      <c r="AA277">
        <v>100</v>
      </c>
      <c r="AB277">
        <f t="shared" si="137"/>
        <v>160</v>
      </c>
      <c r="AE277">
        <v>20.2</v>
      </c>
      <c r="AF277">
        <v>20.2</v>
      </c>
      <c r="AI277" s="10">
        <v>69</v>
      </c>
      <c r="AJ277" t="str">
        <f>CONCATENATE(VLOOKUP(AK277, 'Voxel Sizes'!$A$2:$B$18,2,FALSE),"x",INT(AG277*15), "x", INT(AH277*15))</f>
        <v>198x0x0</v>
      </c>
      <c r="AK277">
        <f t="shared" si="142"/>
        <v>12</v>
      </c>
      <c r="AM277" t="str">
        <f>CONCATENATE(VLOOKUP(AK277,Constants!$A$2:$C$16,IF(AL277&lt;&gt;"", 3, 2), FALSE),IF(AL277&lt;&gt;"",CONCATENATE(",",VLOOKUP(AL277,$B:$AM,38,FALSE)),""))</f>
        <v>4,4,4</v>
      </c>
      <c r="AQ277" t="s">
        <v>1288</v>
      </c>
      <c r="AR277" t="s">
        <v>1291</v>
      </c>
      <c r="AS277" t="s">
        <v>1289</v>
      </c>
      <c r="AW277">
        <v>30</v>
      </c>
      <c r="AX277" s="15" t="str">
        <f t="shared" si="143"/>
        <v/>
      </c>
      <c r="AY277">
        <v>-15</v>
      </c>
      <c r="AZ277">
        <v>-30</v>
      </c>
      <c r="BA277">
        <f t="shared" si="144"/>
        <v>20</v>
      </c>
      <c r="BB277">
        <f t="shared" si="145"/>
        <v>20</v>
      </c>
      <c r="BC277">
        <f t="shared" si="146"/>
        <v>11.25</v>
      </c>
      <c r="BD277" s="3">
        <f t="shared" si="147"/>
        <v>0.84533333333333327</v>
      </c>
      <c r="BE277">
        <f t="shared" si="148"/>
        <v>18.400000000000002</v>
      </c>
      <c r="BF277">
        <f>VLOOKUP($G277,Constants!$I:$K, 2, FALSE)</f>
        <v>0.85</v>
      </c>
      <c r="BG277">
        <f>VLOOKUP($G277,Constants!$I:$K, 3, FALSE)*IF(AND(F277="multiple_unit",AA277&lt;110),0.75,1)</f>
        <v>1.7999999999999998</v>
      </c>
      <c r="BH277">
        <f>INT(POWER(((Constants!$G$2+$BA277+$BB277+$BC277+$BE277)*$BD277)*$BG277, 1.05))+$AZ277</f>
        <v>113</v>
      </c>
      <c r="BI277">
        <f>INT(POWER((((Constants!$G$1+$BA277+$BB277+$BC277+$BE277)*($BD277))*$BF277),IF($F277="wagon",1,1.2)))+$AY277</f>
        <v>123</v>
      </c>
      <c r="BJ277" s="14">
        <f t="shared" si="149"/>
        <v>88281.25</v>
      </c>
      <c r="BK277" s="14">
        <f t="shared" si="150"/>
        <v>9993.75</v>
      </c>
      <c r="BQ277" t="s">
        <v>1145</v>
      </c>
      <c r="BR277">
        <v>3</v>
      </c>
      <c r="BU277" t="s">
        <v>282</v>
      </c>
      <c r="BV277" t="str">
        <f>VLOOKUP(I277,Eras!$A$2:$C$10, 2, TRUE)</f>
        <v>mod</v>
      </c>
      <c r="BW277" t="s">
        <v>332</v>
      </c>
      <c r="BX277" t="str">
        <f t="shared" si="151"/>
        <v>mod_EMU</v>
      </c>
      <c r="BY277" t="str">
        <f t="shared" si="152"/>
        <v>dual_electric_DUAL_POWER</v>
      </c>
      <c r="BZ277" s="17" t="str" cm="1">
        <f t="array" ref="BZ277">_xlfn.CONCAT("{BLACK}Length: {GOLD}", TEXT(ROUNDUP(IF(AP277&lt;&gt;"",SUM(VALUE(_xlfn.TEXTSPLIT(AP277, ","))), SUM(VALUE(_xlfn.TEXTSPLIT(AM277, ",")))*IF(L277, L277, 1))/16, 1), "#,##0.0"), " tiles{}")</f>
        <v>{BLACK}Length: {GOLD}6.0 tiles{}</v>
      </c>
      <c r="CA277" t="str">
        <f>VLOOKUP($BY277, Constants!$M:$N, 2, FALSE)</f>
        <v>{BLACK}Powered by: {GOLD}25kV AC / 750V DC</v>
      </c>
      <c r="CB277" t="str">
        <f t="shared" si="153"/>
        <v>{BLACK}Cars: {GOLD}8</v>
      </c>
      <c r="CC277" t="s">
        <v>1290</v>
      </c>
      <c r="CD277" t="str">
        <f t="shared" si="154"/>
        <v/>
      </c>
      <c r="CE277" t="str">
        <f t="shared" si="140"/>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78" spans="1:83" x14ac:dyDescent="0.25">
      <c r="A278" t="s">
        <v>1261</v>
      </c>
      <c r="B278" t="s">
        <v>1262</v>
      </c>
      <c r="C278">
        <v>514</v>
      </c>
      <c r="D278">
        <v>182</v>
      </c>
      <c r="E278" t="s">
        <v>1508</v>
      </c>
      <c r="F278" t="s">
        <v>403</v>
      </c>
      <c r="G278" t="s">
        <v>295</v>
      </c>
      <c r="H278" t="s">
        <v>296</v>
      </c>
      <c r="I278">
        <v>2017</v>
      </c>
      <c r="L278">
        <v>9</v>
      </c>
      <c r="M278">
        <v>1900</v>
      </c>
      <c r="V278">
        <v>264</v>
      </c>
      <c r="X278">
        <v>7</v>
      </c>
      <c r="Y278">
        <v>220</v>
      </c>
      <c r="Z278" s="3">
        <f t="shared" si="141"/>
        <v>8.3333333333333329E-2</v>
      </c>
      <c r="AA278">
        <v>90</v>
      </c>
      <c r="AB278">
        <f t="shared" si="137"/>
        <v>144</v>
      </c>
      <c r="AE278">
        <v>22.7</v>
      </c>
      <c r="AF278">
        <v>22.7</v>
      </c>
      <c r="AI278" s="10">
        <v>78</v>
      </c>
      <c r="AJ278" t="str">
        <f>CONCATENATE(VLOOKUP(AK278, 'Voxel Sizes'!$A$2:$B$18,2,FALSE),"x",INT(AG278*15), "x", INT(AH278*15))</f>
        <v>214x0x0</v>
      </c>
      <c r="AK278">
        <f t="shared" si="142"/>
        <v>13</v>
      </c>
      <c r="AM278" t="str">
        <f>CONCATENATE(VLOOKUP(AK278,Constants!$A$2:$C$16,IF(AL278&lt;&gt;"", 3, 2), FALSE),IF(AL278&lt;&gt;"",CONCATENATE(",",VLOOKUP(AL278,$B:$AM,38,FALSE)),""))</f>
        <v>4,5,4</v>
      </c>
      <c r="AQ278" t="s">
        <v>1280</v>
      </c>
      <c r="AS278" t="s">
        <v>1281</v>
      </c>
      <c r="AW278">
        <v>30</v>
      </c>
      <c r="AX278" s="15" t="str">
        <f t="shared" si="143"/>
        <v/>
      </c>
      <c r="AY278">
        <v>-19</v>
      </c>
      <c r="AZ278">
        <v>-22</v>
      </c>
      <c r="BA278">
        <f t="shared" si="144"/>
        <v>18</v>
      </c>
      <c r="BB278">
        <f t="shared" si="145"/>
        <v>9.5</v>
      </c>
      <c r="BC278">
        <f t="shared" si="146"/>
        <v>11</v>
      </c>
      <c r="BD278" s="3">
        <f t="shared" si="147"/>
        <v>0.84399999999999997</v>
      </c>
      <c r="BE278">
        <f t="shared" si="148"/>
        <v>23.4</v>
      </c>
      <c r="BF278">
        <f>VLOOKUP($G278,Constants!$I:$K, 2, FALSE)</f>
        <v>0.85</v>
      </c>
      <c r="BG278">
        <f>VLOOKUP($G278,Constants!$I:$K, 3, FALSE)*IF(AND(F278="multiple_unit",AA278&lt;110),0.75,1)</f>
        <v>1.7249999999999999</v>
      </c>
      <c r="BH278">
        <f>INT(POWER(((Constants!$G$2+$BA278+$BB278+$BC278+$BE278)*$BD278)*$BG278, 1.05))+$AZ278</f>
        <v>100</v>
      </c>
      <c r="BI278">
        <f>INT(POWER((((Constants!$G$1+$BA278+$BB278+$BC278+$BE278)*($BD278))*$BF278),IF($F278="wagon",1,1.2)))+$AY278</f>
        <v>104</v>
      </c>
      <c r="BJ278" s="14">
        <f t="shared" si="149"/>
        <v>78125</v>
      </c>
      <c r="BK278" s="14">
        <f t="shared" si="150"/>
        <v>8450</v>
      </c>
      <c r="BQ278" t="s">
        <v>1149</v>
      </c>
      <c r="BR278">
        <v>1</v>
      </c>
      <c r="BS278">
        <v>165</v>
      </c>
      <c r="BU278" t="s">
        <v>282</v>
      </c>
      <c r="BV278" t="str">
        <f>VLOOKUP(I278,Eras!$A$2:$C$10, 2, TRUE)</f>
        <v>mod</v>
      </c>
      <c r="BW278" t="s">
        <v>332</v>
      </c>
      <c r="BX278" t="str">
        <f t="shared" si="151"/>
        <v>mod_EMU</v>
      </c>
      <c r="BY278" t="str">
        <f t="shared" si="152"/>
        <v>electric_ELRL</v>
      </c>
      <c r="BZ278" s="17" t="str" cm="1">
        <f t="array" ref="BZ278">_xlfn.CONCAT("{BLACK}Length: {GOLD}", TEXT(ROUNDUP(IF(AP278&lt;&gt;"",SUM(VALUE(_xlfn.TEXTSPLIT(AP278, ","))), SUM(VALUE(_xlfn.TEXTSPLIT(AM278, ",")))*IF(L278, L278, 1))/16, 1), "#,##0.0"), " tiles{}")</f>
        <v>{BLACK}Length: {GOLD}7.4 tiles{}</v>
      </c>
      <c r="CA278" t="str">
        <f>VLOOKUP($BY278, Constants!$M:$N, 2, FALSE)</f>
        <v>{BLACK}Powered by: {GOLD}25kV AC</v>
      </c>
      <c r="CB278" t="str">
        <f t="shared" si="153"/>
        <v>{BLACK}Cars: {GOLD}9</v>
      </c>
      <c r="CC278" t="s">
        <v>1282</v>
      </c>
      <c r="CD278" t="str">
        <f t="shared" si="154"/>
        <v>{YELLOW}10% Penalty for long distance travel{}</v>
      </c>
      <c r="CE278" t="str">
        <f t="shared" si="140"/>
        <v>{BLACK}Powered by: {GOLD}25kV AC {BLACK}Cars: {GOLD}9{}{BLACK}Length: {GOLD}7.4 tiles{}{YELLOW}10% Penalty for long distance travel{}{SILVER}Designed for London's Crossrail route, the Class 345 entered service on TfL Rail between Liverpool Street and Shenfield.</v>
      </c>
    </row>
    <row r="279" spans="1:83" x14ac:dyDescent="0.25">
      <c r="A279" t="s">
        <v>1266</v>
      </c>
      <c r="B279" t="s">
        <v>1286</v>
      </c>
      <c r="C279">
        <v>515</v>
      </c>
      <c r="D279">
        <v>183</v>
      </c>
      <c r="E279" t="s">
        <v>1508</v>
      </c>
      <c r="F279" t="s">
        <v>403</v>
      </c>
      <c r="G279" t="s">
        <v>295</v>
      </c>
      <c r="H279" t="s">
        <v>302</v>
      </c>
      <c r="I279">
        <v>2017</v>
      </c>
      <c r="L279">
        <v>5</v>
      </c>
      <c r="M279">
        <v>1600</v>
      </c>
      <c r="V279">
        <v>173</v>
      </c>
      <c r="X279">
        <v>6</v>
      </c>
      <c r="Y279">
        <v>175</v>
      </c>
      <c r="Z279" s="3">
        <f t="shared" si="141"/>
        <v>0.10115606936416185</v>
      </c>
      <c r="AA279">
        <v>100</v>
      </c>
      <c r="AB279">
        <f t="shared" si="137"/>
        <v>160</v>
      </c>
      <c r="AE279">
        <v>20</v>
      </c>
      <c r="AF279">
        <v>20</v>
      </c>
      <c r="AG279">
        <v>2.8</v>
      </c>
      <c r="AI279" s="10">
        <v>69</v>
      </c>
      <c r="AJ279" t="str">
        <f>CONCATENATE(VLOOKUP(AK279, 'Voxel Sizes'!$A$2:$B$18,2,FALSE),"x",INT(AG279*15), "x", INT(AH279*15))</f>
        <v>198x42x0</v>
      </c>
      <c r="AK279">
        <f t="shared" si="142"/>
        <v>12</v>
      </c>
      <c r="AM279" t="str">
        <f>CONCATENATE(VLOOKUP(AK279,Constants!$A$2:$C$16,IF(AL279&lt;&gt;"", 3, 2), FALSE),IF(AL279&lt;&gt;"",CONCATENATE(",",VLOOKUP(AL279,$B:$AM,38,FALSE)),""))</f>
        <v>4,4,4</v>
      </c>
      <c r="AQ279" t="s">
        <v>1292</v>
      </c>
      <c r="AS279" t="s">
        <v>1293</v>
      </c>
      <c r="AW279">
        <v>30</v>
      </c>
      <c r="AX279" s="15" t="str">
        <f t="shared" si="143"/>
        <v/>
      </c>
      <c r="AY279">
        <v>-15</v>
      </c>
      <c r="AZ279">
        <v>-30</v>
      </c>
      <c r="BA279">
        <f t="shared" si="144"/>
        <v>20</v>
      </c>
      <c r="BB279">
        <f t="shared" si="145"/>
        <v>8</v>
      </c>
      <c r="BC279">
        <f t="shared" si="146"/>
        <v>8.75</v>
      </c>
      <c r="BD279" s="3">
        <f t="shared" si="147"/>
        <v>0.84399999999999997</v>
      </c>
      <c r="BE279">
        <f t="shared" si="148"/>
        <v>11.500000000000002</v>
      </c>
      <c r="BF279">
        <f>VLOOKUP($G279,Constants!$I:$K, 2, FALSE)</f>
        <v>0.85</v>
      </c>
      <c r="BG279">
        <f>VLOOKUP($G279,Constants!$I:$K, 3, FALSE)*IF(AND(F279="multiple_unit",AA279&lt;110),0.75,1)</f>
        <v>1.7249999999999999</v>
      </c>
      <c r="BH279">
        <f>INT(POWER(((Constants!$G$2+$BA279+$BB279+$BC279+$BE279)*$BD279)*$BG279, 1.05))+$AZ279</f>
        <v>66</v>
      </c>
      <c r="BI279">
        <f>INT(POWER((((Constants!$G$1+$BA279+$BB279+$BC279+$BE279)*($BD279))*$BF279),IF($F279="wagon",1,1.2)))+$AY279</f>
        <v>82</v>
      </c>
      <c r="BJ279" s="14">
        <f t="shared" si="149"/>
        <v>51562.5</v>
      </c>
      <c r="BK279" s="14">
        <f t="shared" si="150"/>
        <v>6662.5</v>
      </c>
      <c r="BR279">
        <v>4</v>
      </c>
      <c r="BU279" t="s">
        <v>282</v>
      </c>
      <c r="BV279" t="str">
        <f>VLOOKUP(I279,Eras!$A$2:$C$10, 2, TRUE)</f>
        <v>mod</v>
      </c>
      <c r="BW279" t="s">
        <v>332</v>
      </c>
      <c r="BX279" t="str">
        <f t="shared" si="151"/>
        <v>mod_EMU</v>
      </c>
      <c r="BY279" t="str">
        <f t="shared" si="152"/>
        <v>electric_THIRD_RAIL</v>
      </c>
      <c r="BZ279" s="17" t="str" cm="1">
        <f t="array" ref="BZ279">_xlfn.CONCAT("{BLACK}Length: {GOLD}", TEXT(ROUNDUP(IF(AP279&lt;&gt;"",SUM(VALUE(_xlfn.TEXTSPLIT(AP279, ","))), SUM(VALUE(_xlfn.TEXTSPLIT(AM279, ",")))*IF(L279, L279, 1))/16, 1), "#,##0.0"), " tiles{}")</f>
        <v>{BLACK}Length: {GOLD}3.8 tiles{}</v>
      </c>
      <c r="CA279" t="str">
        <f>VLOOKUP($BY279, Constants!$M:$N, 2, FALSE)</f>
        <v>{BLACK}Powered by: {GOLD}750V DC</v>
      </c>
      <c r="CB279" t="str">
        <f t="shared" si="153"/>
        <v>{BLACK}Cars: {GOLD}5</v>
      </c>
      <c r="CC279" t="s">
        <v>1294</v>
      </c>
      <c r="CD279" t="str">
        <f t="shared" si="154"/>
        <v/>
      </c>
      <c r="CE279" t="str">
        <f t="shared" si="140"/>
        <v>{BLACK}Powered by: {GOLD}750V DC {BLACK}Cars: {GOLD}5{}{BLACK}Length: {GOLD}3.8 tiles{}{SILVER}South West Trains procured the Class 707 as part of capacity improvements for routes out of London Waterloo.</v>
      </c>
    </row>
    <row r="280" spans="1:83" x14ac:dyDescent="0.25">
      <c r="A280" t="s">
        <v>1263</v>
      </c>
      <c r="B280" t="s">
        <v>1264</v>
      </c>
      <c r="C280">
        <v>516</v>
      </c>
      <c r="D280">
        <v>184</v>
      </c>
      <c r="E280" t="s">
        <v>1508</v>
      </c>
      <c r="F280" t="s">
        <v>403</v>
      </c>
      <c r="G280" t="s">
        <v>551</v>
      </c>
      <c r="H280" t="s">
        <v>550</v>
      </c>
      <c r="I280">
        <v>2019</v>
      </c>
      <c r="L280">
        <v>4</v>
      </c>
      <c r="M280">
        <v>1800</v>
      </c>
      <c r="N280" s="8">
        <v>1600</v>
      </c>
      <c r="V280">
        <v>151</v>
      </c>
      <c r="X280">
        <v>6</v>
      </c>
      <c r="Y280">
        <v>160</v>
      </c>
      <c r="Z280" s="3">
        <f t="shared" si="141"/>
        <v>0.10596026490066225</v>
      </c>
      <c r="AA280">
        <v>75</v>
      </c>
      <c r="AB280">
        <f t="shared" si="137"/>
        <v>120</v>
      </c>
      <c r="AE280">
        <v>21.44</v>
      </c>
      <c r="AF280">
        <v>21.4</v>
      </c>
      <c r="AI280" s="10">
        <v>78</v>
      </c>
      <c r="AJ280" t="str">
        <f>CONCATENATE(VLOOKUP(AK280, 'Voxel Sizes'!$A$2:$B$18,2,FALSE),"x",INT(AG280*15), "x", INT(AH280*15))</f>
        <v>214x0x0</v>
      </c>
      <c r="AK280">
        <f t="shared" si="142"/>
        <v>13</v>
      </c>
      <c r="AM280" t="str">
        <f>CONCATENATE(VLOOKUP(AK280,Constants!$A$2:$C$16,IF(AL280&lt;&gt;"", 3, 2), FALSE),IF(AL280&lt;&gt;"",CONCATENATE(",",VLOOKUP(AL280,$B:$AM,38,FALSE)),""))</f>
        <v>4,5,4</v>
      </c>
      <c r="AQ280" t="s">
        <v>1283</v>
      </c>
      <c r="AR280" t="s">
        <v>1284</v>
      </c>
      <c r="AS280" t="s">
        <v>554</v>
      </c>
      <c r="AW280">
        <v>30</v>
      </c>
      <c r="AX280" s="15" t="str">
        <f t="shared" si="143"/>
        <v/>
      </c>
      <c r="AY280">
        <v>-19</v>
      </c>
      <c r="AZ280">
        <v>-25</v>
      </c>
      <c r="BA280">
        <f t="shared" si="144"/>
        <v>15</v>
      </c>
      <c r="BB280">
        <f t="shared" si="145"/>
        <v>9</v>
      </c>
      <c r="BC280">
        <f t="shared" si="146"/>
        <v>8</v>
      </c>
      <c r="BD280" s="3">
        <f t="shared" si="147"/>
        <v>0.84133333333333327</v>
      </c>
      <c r="BE280">
        <f t="shared" si="148"/>
        <v>10.4</v>
      </c>
      <c r="BF280">
        <f>VLOOKUP($G280,Constants!$I:$K, 2, FALSE)</f>
        <v>0.85</v>
      </c>
      <c r="BG280">
        <f>VLOOKUP($G280,Constants!$I:$K, 3, FALSE)*IF(AND(F280="multiple_unit",AA280&lt;110),0.75,1)</f>
        <v>1.7999999999999998</v>
      </c>
      <c r="BH280">
        <f>INT(POWER(((Constants!$G$2+$BA280+$BB280+$BC280+$BE280)*$BD280)*$BG280, 1.05))+$AZ280</f>
        <v>63</v>
      </c>
      <c r="BI280">
        <f>INT(POWER((((Constants!$G$1+$BA280+$BB280+$BC280+$BE280)*($BD280))*$BF280),IF($F280="wagon",1,1.2)))+$AY280</f>
        <v>67</v>
      </c>
      <c r="BJ280" s="14">
        <f t="shared" si="149"/>
        <v>49218.75</v>
      </c>
      <c r="BK280" s="14">
        <f t="shared" si="150"/>
        <v>5443.75</v>
      </c>
      <c r="BR280">
        <v>2</v>
      </c>
      <c r="BS280">
        <v>165</v>
      </c>
      <c r="BU280" t="s">
        <v>282</v>
      </c>
      <c r="BV280" t="str">
        <f>VLOOKUP(I280,Eras!$A$2:$C$10, 2, TRUE)</f>
        <v>mod</v>
      </c>
      <c r="BW280" t="s">
        <v>332</v>
      </c>
      <c r="BX280" t="str">
        <f t="shared" si="151"/>
        <v>mod_EMU</v>
      </c>
      <c r="BY280" t="str">
        <f t="shared" si="152"/>
        <v>dual_electric_DUAL_POWER</v>
      </c>
      <c r="BZ280" s="17" t="str" cm="1">
        <f t="array" ref="BZ280">_xlfn.CONCAT("{BLACK}Length: {GOLD}", TEXT(ROUNDUP(IF(AP280&lt;&gt;"",SUM(VALUE(_xlfn.TEXTSPLIT(AP280, ","))), SUM(VALUE(_xlfn.TEXTSPLIT(AM280, ",")))*IF(L280, L280, 1))/16, 1), "#,##0.0"), " tiles{}")</f>
        <v>{BLACK}Length: {GOLD}3.3 tiles{}</v>
      </c>
      <c r="CA280" t="str">
        <f>VLOOKUP($BY280, Constants!$M:$N, 2, FALSE)</f>
        <v>{BLACK}Powered by: {GOLD}25kV AC / 750V DC</v>
      </c>
      <c r="CB280" t="str">
        <f t="shared" si="153"/>
        <v>{BLACK}Cars: {GOLD}4</v>
      </c>
      <c r="CC280" t="s">
        <v>1285</v>
      </c>
      <c r="CD280" t="str">
        <f t="shared" si="154"/>
        <v>{YELLOW}10% Penalty for long distance travel{}</v>
      </c>
      <c r="CE280" t="str">
        <f t="shared" si="140"/>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281" spans="1:83" x14ac:dyDescent="0.25">
      <c r="A281" t="s">
        <v>1261</v>
      </c>
      <c r="B281" t="s">
        <v>1295</v>
      </c>
      <c r="C281">
        <v>517</v>
      </c>
      <c r="D281">
        <v>185</v>
      </c>
      <c r="E281" t="s">
        <v>1508</v>
      </c>
      <c r="F281" t="s">
        <v>403</v>
      </c>
      <c r="G281" t="s">
        <v>295</v>
      </c>
      <c r="H281" t="s">
        <v>296</v>
      </c>
      <c r="I281">
        <v>2017</v>
      </c>
      <c r="L281">
        <v>7</v>
      </c>
      <c r="M281">
        <v>1900</v>
      </c>
      <c r="V281">
        <v>264</v>
      </c>
      <c r="X281">
        <v>7</v>
      </c>
      <c r="Y281">
        <v>220</v>
      </c>
      <c r="Z281" s="3">
        <f t="shared" si="141"/>
        <v>8.3333333333333329E-2</v>
      </c>
      <c r="AA281">
        <v>90</v>
      </c>
      <c r="AB281">
        <f t="shared" si="137"/>
        <v>144</v>
      </c>
      <c r="AE281">
        <v>22.7</v>
      </c>
      <c r="AF281">
        <v>22.7</v>
      </c>
      <c r="AI281" s="10">
        <v>78</v>
      </c>
      <c r="AJ281" t="str">
        <f>CONCATENATE(VLOOKUP(AK281, 'Voxel Sizes'!$A$2:$B$18,2,FALSE),"x",INT(AG281*15), "x", INT(AH281*15))</f>
        <v>214x0x0</v>
      </c>
      <c r="AK281">
        <f t="shared" si="142"/>
        <v>13</v>
      </c>
      <c r="AM281" t="str">
        <f>CONCATENATE(VLOOKUP(AK281,Constants!$A$2:$C$16,IF(AL281&lt;&gt;"", 3, 2), FALSE),IF(AL281&lt;&gt;"",CONCATENATE(",",VLOOKUP(AL281,$B:$AM,38,FALSE)),""))</f>
        <v>4,5,4</v>
      </c>
      <c r="AQ281" t="s">
        <v>1302</v>
      </c>
      <c r="AS281" t="s">
        <v>1303</v>
      </c>
      <c r="AT281" t="s">
        <v>1262</v>
      </c>
      <c r="AW281">
        <v>30</v>
      </c>
      <c r="AX281" s="15" t="str">
        <f t="shared" si="143"/>
        <v/>
      </c>
      <c r="AY281">
        <v>-19</v>
      </c>
      <c r="AZ281">
        <v>-22</v>
      </c>
      <c r="BA281">
        <f t="shared" si="144"/>
        <v>18</v>
      </c>
      <c r="BB281">
        <f t="shared" si="145"/>
        <v>9.5</v>
      </c>
      <c r="BC281">
        <f t="shared" si="146"/>
        <v>11</v>
      </c>
      <c r="BD281" s="3">
        <f t="shared" si="147"/>
        <v>0.84399999999999997</v>
      </c>
      <c r="BE281">
        <f t="shared" si="148"/>
        <v>18.2</v>
      </c>
      <c r="BF281">
        <f>VLOOKUP($G281,Constants!$I:$K, 2, FALSE)</f>
        <v>0.85</v>
      </c>
      <c r="BG281">
        <f>VLOOKUP($G281,Constants!$I:$K, 3, FALSE)*IF(AND(F281="multiple_unit",AA281&lt;110),0.75,1)</f>
        <v>1.7249999999999999</v>
      </c>
      <c r="BH281">
        <f>INT(POWER(((Constants!$G$2+$BA281+$BB281+$BC281+$BE281)*$BD281)*$BG281, 1.05))+$AZ281</f>
        <v>90</v>
      </c>
      <c r="BI281">
        <f>INT(POWER((((Constants!$G$1+$BA281+$BB281+$BC281+$BE281)*($BD281))*$BF281),IF($F281="wagon",1,1.2)))+$AY281</f>
        <v>94</v>
      </c>
      <c r="BJ281" s="14">
        <f t="shared" si="149"/>
        <v>70312.5</v>
      </c>
      <c r="BK281" s="14">
        <f t="shared" si="150"/>
        <v>7637.5</v>
      </c>
      <c r="BQ281" t="s">
        <v>1148</v>
      </c>
      <c r="BR281">
        <v>1</v>
      </c>
      <c r="BS281">
        <v>165</v>
      </c>
      <c r="BU281" t="s">
        <v>282</v>
      </c>
      <c r="BV281" t="str">
        <f>VLOOKUP(I281,Eras!$A$2:$C$10, 2, TRUE)</f>
        <v>mod</v>
      </c>
      <c r="BW281" t="s">
        <v>332</v>
      </c>
      <c r="BX281" t="str">
        <f t="shared" si="151"/>
        <v>mod_EMU</v>
      </c>
      <c r="BY281" t="str">
        <f t="shared" si="152"/>
        <v>electric_ELRL</v>
      </c>
      <c r="BZ281" s="17" t="str" cm="1">
        <f t="array" ref="BZ281">_xlfn.CONCAT("{BLACK}Length: {GOLD}", TEXT(ROUNDUP(IF(AP281&lt;&gt;"",SUM(VALUE(_xlfn.TEXTSPLIT(AP281, ","))), SUM(VALUE(_xlfn.TEXTSPLIT(AM281, ",")))*IF(L281, L281, 1))/16, 1), "#,##0.0"), " tiles{}")</f>
        <v>{BLACK}Length: {GOLD}5.7 tiles{}</v>
      </c>
      <c r="CA281" t="str">
        <f>VLOOKUP($BY281, Constants!$M:$N, 2, FALSE)</f>
        <v>{BLACK}Powered by: {GOLD}25kV AC</v>
      </c>
      <c r="CB281" t="str">
        <f t="shared" si="153"/>
        <v>{BLACK}Cars: {GOLD}7</v>
      </c>
      <c r="CC281" t="s">
        <v>1282</v>
      </c>
      <c r="CD281" t="str">
        <f t="shared" si="154"/>
        <v>{YELLOW}10% Penalty for long distance travel{}</v>
      </c>
      <c r="CE281" t="str">
        <f t="shared" si="140"/>
        <v>{BLACK}Powered by: {GOLD}25kV AC {BLACK}Cars: {GOLD}7{}{BLACK}Length: {GOLD}5.7 tiles{}{YELLOW}10% Penalty for long distance travel{}{SILVER}Designed for London's Crossrail route, the Class 345 entered service on TfL Rail between Liverpool Street and Shenfield.</v>
      </c>
    </row>
    <row r="282" spans="1:83" x14ac:dyDescent="0.25">
      <c r="A282" t="s">
        <v>1261</v>
      </c>
      <c r="B282" t="s">
        <v>1296</v>
      </c>
      <c r="C282">
        <v>518</v>
      </c>
      <c r="D282">
        <v>186</v>
      </c>
      <c r="E282" t="s">
        <v>1508</v>
      </c>
      <c r="F282" t="s">
        <v>403</v>
      </c>
      <c r="G282" t="s">
        <v>295</v>
      </c>
      <c r="H282" t="s">
        <v>296</v>
      </c>
      <c r="I282">
        <v>2017</v>
      </c>
      <c r="L282">
        <v>4</v>
      </c>
      <c r="M282">
        <v>1900</v>
      </c>
      <c r="V282">
        <v>264</v>
      </c>
      <c r="X282">
        <v>7</v>
      </c>
      <c r="Y282">
        <v>220</v>
      </c>
      <c r="Z282" s="3">
        <f t="shared" si="141"/>
        <v>8.3333333333333329E-2</v>
      </c>
      <c r="AA282">
        <v>90</v>
      </c>
      <c r="AB282">
        <f t="shared" si="137"/>
        <v>144</v>
      </c>
      <c r="AE282">
        <v>22.7</v>
      </c>
      <c r="AF282">
        <v>22.7</v>
      </c>
      <c r="AI282" s="10">
        <v>78</v>
      </c>
      <c r="AJ282" t="str">
        <f>CONCATENATE(VLOOKUP(AK282, 'Voxel Sizes'!$A$2:$B$18,2,FALSE),"x",INT(AG282*15), "x", INT(AH282*15))</f>
        <v>214x0x0</v>
      </c>
      <c r="AK282">
        <f t="shared" si="142"/>
        <v>13</v>
      </c>
      <c r="AM282" t="str">
        <f>CONCATENATE(VLOOKUP(AK282,Constants!$A$2:$C$16,IF(AL282&lt;&gt;"", 3, 2), FALSE),IF(AL282&lt;&gt;"",CONCATENATE(",",VLOOKUP(AL282,$B:$AM,38,FALSE)),""))</f>
        <v>4,5,4</v>
      </c>
      <c r="AQ282" t="s">
        <v>1304</v>
      </c>
      <c r="AS282" t="s">
        <v>1125</v>
      </c>
      <c r="AT282" t="s">
        <v>1262</v>
      </c>
      <c r="AW282">
        <v>30</v>
      </c>
      <c r="AX282" s="15" t="str">
        <f t="shared" si="143"/>
        <v/>
      </c>
      <c r="AY282">
        <v>-19</v>
      </c>
      <c r="AZ282">
        <v>-22</v>
      </c>
      <c r="BA282">
        <f t="shared" si="144"/>
        <v>18</v>
      </c>
      <c r="BB282">
        <f t="shared" si="145"/>
        <v>9.5</v>
      </c>
      <c r="BC282">
        <f t="shared" si="146"/>
        <v>11</v>
      </c>
      <c r="BD282" s="3">
        <f t="shared" si="147"/>
        <v>0.84399999999999997</v>
      </c>
      <c r="BE282">
        <f t="shared" si="148"/>
        <v>10.4</v>
      </c>
      <c r="BF282">
        <f>VLOOKUP($G282,Constants!$I:$K, 2, FALSE)</f>
        <v>0.85</v>
      </c>
      <c r="BG282">
        <f>VLOOKUP($G282,Constants!$I:$K, 3, FALSE)*IF(AND(F282="multiple_unit",AA282&lt;110),0.75,1)</f>
        <v>1.7249999999999999</v>
      </c>
      <c r="BH282">
        <f>INT(POWER(((Constants!$G$2+$BA282+$BB282+$BC282+$BE282)*$BD282)*$BG282, 1.05))+$AZ282</f>
        <v>75</v>
      </c>
      <c r="BI282">
        <f>INT(POWER((((Constants!$G$1+$BA282+$BB282+$BC282+$BE282)*($BD282))*$BF282),IF($F282="wagon",1,1.2)))+$AY282</f>
        <v>79</v>
      </c>
      <c r="BJ282" s="14">
        <f t="shared" si="149"/>
        <v>58593.75</v>
      </c>
      <c r="BK282" s="14">
        <f t="shared" si="150"/>
        <v>6418.75</v>
      </c>
      <c r="BQ282" t="s">
        <v>1147</v>
      </c>
      <c r="BR282">
        <v>1</v>
      </c>
      <c r="BS282">
        <v>165</v>
      </c>
      <c r="BU282" t="s">
        <v>282</v>
      </c>
      <c r="BV282" t="str">
        <f>VLOOKUP(I282,Eras!$A$2:$C$10, 2, TRUE)</f>
        <v>mod</v>
      </c>
      <c r="BW282" t="s">
        <v>332</v>
      </c>
      <c r="BX282" t="str">
        <f t="shared" si="151"/>
        <v>mod_EMU</v>
      </c>
      <c r="BY282" t="str">
        <f t="shared" si="152"/>
        <v>electric_ELRL</v>
      </c>
      <c r="BZ282" s="17" t="str" cm="1">
        <f t="array" ref="BZ282">_xlfn.CONCAT("{BLACK}Length: {GOLD}", TEXT(ROUNDUP(IF(AP282&lt;&gt;"",SUM(VALUE(_xlfn.TEXTSPLIT(AP282, ","))), SUM(VALUE(_xlfn.TEXTSPLIT(AM282, ",")))*IF(L282, L282, 1))/16, 1), "#,##0.0"), " tiles{}")</f>
        <v>{BLACK}Length: {GOLD}3.3 tiles{}</v>
      </c>
      <c r="CA282" t="str">
        <f>VLOOKUP($BY282, Constants!$M:$N, 2, FALSE)</f>
        <v>{BLACK}Powered by: {GOLD}25kV AC</v>
      </c>
      <c r="CB282" t="str">
        <f t="shared" si="153"/>
        <v>{BLACK}Cars: {GOLD}4</v>
      </c>
      <c r="CC282" t="s">
        <v>1282</v>
      </c>
      <c r="CD282" t="str">
        <f t="shared" si="154"/>
        <v>{YELLOW}10% Penalty for long distance travel{}</v>
      </c>
      <c r="CE282" t="str">
        <f t="shared" si="140"/>
        <v>{BLACK}Powered by: {GOLD}25kV AC {BLACK}Cars: {GOLD}4{}{BLACK}Length: {GOLD}3.3 tiles{}{YELLOW}10% Penalty for long distance travel{}{SILVER}Designed for London's Crossrail route, the Class 345 entered service on TfL Rail between Liverpool Street and Shenfield.</v>
      </c>
    </row>
    <row r="283" spans="1:83" x14ac:dyDescent="0.25">
      <c r="A283" t="s">
        <v>1265</v>
      </c>
      <c r="B283" t="s">
        <v>1297</v>
      </c>
      <c r="C283">
        <v>519</v>
      </c>
      <c r="D283">
        <v>187</v>
      </c>
      <c r="E283" t="s">
        <v>1508</v>
      </c>
      <c r="F283" t="s">
        <v>403</v>
      </c>
      <c r="G283" t="s">
        <v>551</v>
      </c>
      <c r="H283" t="s">
        <v>550</v>
      </c>
      <c r="I283">
        <v>2016</v>
      </c>
      <c r="L283">
        <v>5</v>
      </c>
      <c r="M283">
        <v>4400</v>
      </c>
      <c r="N283" s="8">
        <v>2560</v>
      </c>
      <c r="V283">
        <v>278</v>
      </c>
      <c r="X283">
        <v>6</v>
      </c>
      <c r="Y283">
        <v>225</v>
      </c>
      <c r="Z283" s="3">
        <f t="shared" si="141"/>
        <v>8.0935251798561147E-2</v>
      </c>
      <c r="AA283">
        <v>100</v>
      </c>
      <c r="AB283">
        <f t="shared" si="137"/>
        <v>160</v>
      </c>
      <c r="AE283">
        <v>20.2</v>
      </c>
      <c r="AF283">
        <v>20.2</v>
      </c>
      <c r="AI283" s="10">
        <v>69</v>
      </c>
      <c r="AJ283" t="str">
        <f>CONCATENATE(VLOOKUP(AK283, 'Voxel Sizes'!$A$2:$B$18,2,FALSE),"x",INT(AG283*15), "x", INT(AH283*15))</f>
        <v>198x0x0</v>
      </c>
      <c r="AK283">
        <f t="shared" si="142"/>
        <v>12</v>
      </c>
      <c r="AM283" t="str">
        <f>CONCATENATE(VLOOKUP(AK283,Constants!$A$2:$C$16,IF(AL283&lt;&gt;"", 3, 2), FALSE),IF(AL283&lt;&gt;"",CONCATENATE(",",VLOOKUP(AL283,$B:$AM,38,FALSE)),""))</f>
        <v>4,4,4</v>
      </c>
      <c r="AQ283" t="s">
        <v>1307</v>
      </c>
      <c r="AR283" t="s">
        <v>1291</v>
      </c>
      <c r="AS283" t="s">
        <v>663</v>
      </c>
      <c r="AT283" t="s">
        <v>1287</v>
      </c>
      <c r="AW283">
        <v>30</v>
      </c>
      <c r="AX283" s="15" t="str">
        <f t="shared" si="143"/>
        <v/>
      </c>
      <c r="AY283">
        <v>-15</v>
      </c>
      <c r="AZ283">
        <v>-30</v>
      </c>
      <c r="BA283">
        <f t="shared" si="144"/>
        <v>20</v>
      </c>
      <c r="BB283">
        <f t="shared" si="145"/>
        <v>20</v>
      </c>
      <c r="BC283">
        <f t="shared" si="146"/>
        <v>11.25</v>
      </c>
      <c r="BD283" s="3">
        <f t="shared" si="147"/>
        <v>0.84533333333333327</v>
      </c>
      <c r="BE283">
        <f t="shared" si="148"/>
        <v>11.500000000000002</v>
      </c>
      <c r="BF283">
        <f>VLOOKUP($G283,Constants!$I:$K, 2, FALSE)</f>
        <v>0.85</v>
      </c>
      <c r="BG283">
        <f>VLOOKUP($G283,Constants!$I:$K, 3, FALSE)*IF(AND(F283="multiple_unit",AA283&lt;110),0.75,1)</f>
        <v>1.7999999999999998</v>
      </c>
      <c r="BH283">
        <f>INT(POWER(((Constants!$G$2+$BA283+$BB283+$BC283+$BE283)*$BD283)*$BG283, 1.05))+$AZ283</f>
        <v>99</v>
      </c>
      <c r="BI283">
        <f>INT(POWER((((Constants!$G$1+$BA283+$BB283+$BC283+$BE283)*($BD283))*$BF283),IF($F283="wagon",1,1.2)))+$AY283</f>
        <v>109</v>
      </c>
      <c r="BJ283" s="14">
        <f t="shared" si="149"/>
        <v>77343.75</v>
      </c>
      <c r="BK283" s="14">
        <f t="shared" si="150"/>
        <v>8856.25</v>
      </c>
      <c r="BQ283" t="s">
        <v>1147</v>
      </c>
      <c r="BR283">
        <v>3</v>
      </c>
      <c r="BU283" t="s">
        <v>282</v>
      </c>
      <c r="BV283" t="str">
        <f>VLOOKUP(I283,Eras!$A$2:$C$10, 2, TRUE)</f>
        <v>mod</v>
      </c>
      <c r="BW283" t="s">
        <v>332</v>
      </c>
      <c r="BX283" t="str">
        <f t="shared" si="151"/>
        <v>mod_EMU</v>
      </c>
      <c r="BY283" t="str">
        <f t="shared" si="152"/>
        <v>dual_electric_DUAL_POWER</v>
      </c>
      <c r="BZ283" s="17" t="str" cm="1">
        <f t="array" ref="BZ283">_xlfn.CONCAT("{BLACK}Length: {GOLD}", TEXT(ROUNDUP(IF(AP283&lt;&gt;"",SUM(VALUE(_xlfn.TEXTSPLIT(AP283, ","))), SUM(VALUE(_xlfn.TEXTSPLIT(AM283, ",")))*IF(L283, L283, 1))/16, 1), "#,##0.0"), " tiles{}")</f>
        <v>{BLACK}Length: {GOLD}3.8 tiles{}</v>
      </c>
      <c r="CA283" t="str">
        <f>VLOOKUP($BY283, Constants!$M:$N, 2, FALSE)</f>
        <v>{BLACK}Powered by: {GOLD}25kV AC / 750V DC</v>
      </c>
      <c r="CB283" t="str">
        <f t="shared" si="153"/>
        <v>{BLACK}Cars: {GOLD}5</v>
      </c>
      <c r="CC283" t="s">
        <v>1290</v>
      </c>
      <c r="CD283" t="str">
        <f t="shared" si="154"/>
        <v/>
      </c>
      <c r="CE283" t="str">
        <f t="shared" si="140"/>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284" spans="1:83" x14ac:dyDescent="0.25">
      <c r="A284" t="s">
        <v>1271</v>
      </c>
      <c r="B284" t="s">
        <v>1298</v>
      </c>
      <c r="C284">
        <v>520</v>
      </c>
      <c r="D284">
        <v>188</v>
      </c>
      <c r="E284" t="s">
        <v>1508</v>
      </c>
      <c r="F284" t="s">
        <v>403</v>
      </c>
      <c r="G284" t="s">
        <v>540</v>
      </c>
      <c r="H284" t="s">
        <v>296</v>
      </c>
      <c r="I284">
        <v>2017</v>
      </c>
      <c r="L284">
        <v>4</v>
      </c>
      <c r="M284">
        <v>3200</v>
      </c>
      <c r="N284" s="8">
        <v>2250</v>
      </c>
      <c r="V284">
        <v>243</v>
      </c>
      <c r="X284">
        <v>5</v>
      </c>
      <c r="Y284">
        <v>195</v>
      </c>
      <c r="Z284" s="3">
        <f t="shared" si="141"/>
        <v>8.0246913580246909E-2</v>
      </c>
      <c r="AA284">
        <v>140</v>
      </c>
      <c r="AB284">
        <f t="shared" si="137"/>
        <v>224</v>
      </c>
      <c r="AE284">
        <v>26</v>
      </c>
      <c r="AF284">
        <v>24</v>
      </c>
      <c r="AI284" s="10">
        <v>66</v>
      </c>
      <c r="AJ284" t="str">
        <f>CONCATENATE(VLOOKUP(AK284, 'Voxel Sizes'!$A$2:$B$18,2,FALSE),"x",INT(AG284*15), "x", INT(AH284*15))</f>
        <v>238x0x0</v>
      </c>
      <c r="AK284">
        <f t="shared" si="142"/>
        <v>14</v>
      </c>
      <c r="AM284" t="str">
        <f>CONCATENATE(VLOOKUP(AK284,Constants!$A$2:$C$16,IF(AL284&lt;&gt;"", 3, 2), FALSE),IF(AL284&lt;&gt;"",CONCATENATE(",",VLOOKUP(AL284,$B:$AM,38,FALSE)),""))</f>
        <v>4,6,4</v>
      </c>
      <c r="AN284">
        <v>12</v>
      </c>
      <c r="AQ284" t="s">
        <v>1299</v>
      </c>
      <c r="AR284" t="s">
        <v>1274</v>
      </c>
      <c r="AS284" t="s">
        <v>1125</v>
      </c>
      <c r="AT284" t="s">
        <v>1272</v>
      </c>
      <c r="AW284">
        <v>30</v>
      </c>
      <c r="AX284" s="15" t="str">
        <f t="shared" si="143"/>
        <v/>
      </c>
      <c r="AY284">
        <v>-15</v>
      </c>
      <c r="AZ284">
        <v>-30</v>
      </c>
      <c r="BA284">
        <f t="shared" si="144"/>
        <v>28</v>
      </c>
      <c r="BB284">
        <f t="shared" si="145"/>
        <v>16</v>
      </c>
      <c r="BC284">
        <f t="shared" si="146"/>
        <v>9.75</v>
      </c>
      <c r="BD284" s="3">
        <f t="shared" si="147"/>
        <v>0.84399999999999997</v>
      </c>
      <c r="BE284">
        <f t="shared" si="148"/>
        <v>8.8000000000000007</v>
      </c>
      <c r="BF284">
        <f>VLOOKUP($G284,Constants!$I:$K, 2, FALSE)</f>
        <v>0.9</v>
      </c>
      <c r="BG284">
        <f>VLOOKUP($G284,Constants!$I:$K, 3, FALSE)*IF(AND(F284="multiple_unit",AA284&lt;110),0.75,1)</f>
        <v>2.5</v>
      </c>
      <c r="BH284">
        <f>INT(POWER(((Constants!$G$2+$BA284+$BB284+$BC284+$BE284)*$BD284)*$BG284, 1.05))+$AZ284</f>
        <v>152</v>
      </c>
      <c r="BI284">
        <f>INT(POWER((((Constants!$G$1+$BA284+$BB284+$BC284+$BE284)*($BD284))*$BF284),IF($F284="wagon",1,1.2)))+$AY284</f>
        <v>118</v>
      </c>
      <c r="BJ284" s="14">
        <f t="shared" si="149"/>
        <v>118750</v>
      </c>
      <c r="BK284" s="14">
        <f t="shared" si="150"/>
        <v>9587.5</v>
      </c>
      <c r="BQ284" t="s">
        <v>1147</v>
      </c>
      <c r="BR284">
        <v>10</v>
      </c>
      <c r="BS284">
        <v>222</v>
      </c>
      <c r="BU284" t="s">
        <v>282</v>
      </c>
      <c r="BV284" t="str">
        <f>VLOOKUP(I284,Eras!$A$2:$C$10, 2, TRUE)</f>
        <v>mod</v>
      </c>
      <c r="BW284" t="s">
        <v>333</v>
      </c>
      <c r="BX284" t="str">
        <f t="shared" si="151"/>
        <v>mod_EMU (Express)</v>
      </c>
      <c r="BY284" t="str">
        <f t="shared" si="152"/>
        <v>dual_power_ELRL</v>
      </c>
      <c r="BZ284" s="17" t="str" cm="1">
        <f t="array" ref="BZ284">_xlfn.CONCAT("{BLACK}Length: {GOLD}", TEXT(ROUNDUP(IF(AP284&lt;&gt;"",SUM(VALUE(_xlfn.TEXTSPLIT(AP284, ","))), SUM(VALUE(_xlfn.TEXTSPLIT(AM284, ",")))*IF(L284, L284, 1))/16, 1), "#,##0.0"), " tiles{}")</f>
        <v>{BLACK}Length: {GOLD}3.5 tiles{}</v>
      </c>
      <c r="CA284" t="str">
        <f>VLOOKUP($BY284, Constants!$M:$N, 2, FALSE)</f>
        <v>{BLACK}Powered by: {GOLD}25kV AC / Diesel</v>
      </c>
      <c r="CB284" t="str">
        <f t="shared" si="153"/>
        <v>{BLACK}Cars: {GOLD}4</v>
      </c>
      <c r="CC284" t="s">
        <v>1275</v>
      </c>
      <c r="CD284" t="str">
        <f t="shared" si="154"/>
        <v>{YELLOW}20% Bonus for long distance travel{}</v>
      </c>
      <c r="CE284" t="str">
        <f t="shared" si="140"/>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285" spans="1:83" x14ac:dyDescent="0.25">
      <c r="A285" t="s">
        <v>1497</v>
      </c>
      <c r="B285" t="s">
        <v>1498</v>
      </c>
      <c r="C285">
        <v>522</v>
      </c>
      <c r="D285">
        <v>189</v>
      </c>
      <c r="E285" t="s">
        <v>1508</v>
      </c>
      <c r="F285" t="s">
        <v>403</v>
      </c>
      <c r="G285" t="s">
        <v>540</v>
      </c>
      <c r="H285" t="s">
        <v>1500</v>
      </c>
      <c r="I285">
        <v>2023</v>
      </c>
      <c r="L285">
        <v>4</v>
      </c>
      <c r="M285">
        <v>2000</v>
      </c>
      <c r="N285" s="8">
        <v>970</v>
      </c>
      <c r="V285">
        <v>233</v>
      </c>
      <c r="X285">
        <v>6</v>
      </c>
      <c r="Y285">
        <v>162</v>
      </c>
      <c r="Z285" s="3">
        <f t="shared" si="141"/>
        <v>6.9527896995708161E-2</v>
      </c>
      <c r="AA285">
        <v>75</v>
      </c>
      <c r="AB285">
        <f t="shared" si="137"/>
        <v>120</v>
      </c>
      <c r="AC285">
        <v>100</v>
      </c>
      <c r="AE285">
        <v>16</v>
      </c>
      <c r="AF285">
        <v>16</v>
      </c>
      <c r="AG285">
        <v>2.8</v>
      </c>
      <c r="AH285">
        <v>3.8</v>
      </c>
      <c r="AI285" s="10">
        <v>45</v>
      </c>
      <c r="AJ285" t="str">
        <f>CONCATENATE(VLOOKUP(AK285, 'Voxel Sizes'!$A$2:$B$18,2,FALSE),"x",INT(AG285*15), "x", INT(AH285*15))</f>
        <v>152x42x57</v>
      </c>
      <c r="AK285">
        <f t="shared" si="142"/>
        <v>9</v>
      </c>
      <c r="AM285" t="str">
        <f>CONCATENATE(VLOOKUP(AK285,Constants!$A$2:$C$16,IF(AL285&lt;&gt;"", 3, 2), FALSE),IF(AL285&lt;&gt;"",CONCATENATE(",",VLOOKUP(AL285,$B:$AM,38,FALSE)),""))</f>
        <v>2,5,2</v>
      </c>
      <c r="AQ285" t="s">
        <v>1505</v>
      </c>
      <c r="AS285" t="s">
        <v>554</v>
      </c>
      <c r="AW285">
        <v>30</v>
      </c>
      <c r="AX285" s="15" t="str">
        <f t="shared" si="143"/>
        <v/>
      </c>
      <c r="AY285">
        <v>-17</v>
      </c>
      <c r="AZ285">
        <v>-20</v>
      </c>
      <c r="BA285">
        <f t="shared" si="144"/>
        <v>15</v>
      </c>
      <c r="BB285">
        <f t="shared" si="145"/>
        <v>10</v>
      </c>
      <c r="BC285">
        <f t="shared" si="146"/>
        <v>8.1000000000000014</v>
      </c>
      <c r="BD285" s="3">
        <f t="shared" si="147"/>
        <v>0.83599999999999997</v>
      </c>
      <c r="BE285">
        <f t="shared" si="148"/>
        <v>6</v>
      </c>
      <c r="BF285">
        <f>VLOOKUP($G285,Constants!$I:$K, 2, FALSE)</f>
        <v>0.9</v>
      </c>
      <c r="BG285">
        <f>VLOOKUP($G285,Constants!$I:$K, 3, FALSE)*IF(AND(F285="multiple_unit",AA285&lt;110),0.75,1)</f>
        <v>1.875</v>
      </c>
      <c r="BH285">
        <f>INT(POWER(((Constants!$G$2+$BA285+$BB285+$BC285+$BE285)*$BD285)*$BG285, 1.05))+$AZ285</f>
        <v>65</v>
      </c>
      <c r="BI285">
        <f>INT(POWER((((Constants!$G$1+$BA285+$BB285+$BC285+$BE285)*($BD285))*$BF285),IF($F285="wagon",1,1.2)))+$AY285</f>
        <v>68</v>
      </c>
      <c r="BJ285" s="14">
        <f t="shared" ref="BJ285" si="155">BH285*IF($F285="wagon",62.5,781.25)</f>
        <v>50781.25</v>
      </c>
      <c r="BK285" s="14">
        <f t="shared" ref="BK285" si="156">BI285*IF($F285="wagon",2.73,81.25)</f>
        <v>5525</v>
      </c>
      <c r="BR285">
        <v>3</v>
      </c>
      <c r="BU285" t="s">
        <v>282</v>
      </c>
      <c r="BV285" t="s">
        <v>321</v>
      </c>
      <c r="BW285" t="s">
        <v>332</v>
      </c>
      <c r="BX285" t="str">
        <f t="shared" si="151"/>
        <v>mod_EMU</v>
      </c>
      <c r="BY285" t="str">
        <f t="shared" si="152"/>
        <v>dual_power_BATTERY</v>
      </c>
      <c r="BZ285" s="17" t="str" cm="1">
        <f t="array" ref="BZ285">_xlfn.CONCAT("{BLACK}Length: {GOLD}", TEXT(ROUNDUP(IF(AP285&lt;&gt;"",SUM(VALUE(_xlfn.TEXTSPLIT(AP285, ","))), SUM(VALUE(_xlfn.TEXTSPLIT(AM285, ",")))*IF(L285, L285, 1))/16, 1), "#,##0.0"), " tiles{}")</f>
        <v>{BLACK}Length: {GOLD}2.3 tiles{}</v>
      </c>
      <c r="CA285" t="str">
        <f>VLOOKUP($BY285, Constants!$M:$N, 2, FALSE)</f>
        <v>{BLACK}Powered by: {GOLD}750V DC / Battery</v>
      </c>
      <c r="CB285" t="str">
        <f t="shared" si="153"/>
        <v>{BLACK}Cars: {GOLD}4</v>
      </c>
      <c r="CC285" t="s">
        <v>1503</v>
      </c>
      <c r="CD285" t="str">
        <f t="shared" si="154"/>
        <v/>
      </c>
      <c r="CE285" t="str">
        <f t="shared" si="140"/>
        <v>{BLACK}Powered by: {GOLD}750V DC / Battery {BLACK}Cars: {GOLD}4{}{BLACK}Length: {GOLD}2.3 tiles{}{SILVER}The Class 777 "METRO" is a dual-mode unit which charges a battery when on third rail power, which can be used to travel over unpowered track.</v>
      </c>
    </row>
    <row r="286" spans="1:83" x14ac:dyDescent="0.25">
      <c r="A286" t="s">
        <v>95</v>
      </c>
      <c r="B286" t="s">
        <v>228</v>
      </c>
      <c r="C286">
        <v>700</v>
      </c>
      <c r="D286">
        <v>190</v>
      </c>
      <c r="E286" t="s">
        <v>1508</v>
      </c>
      <c r="F286" t="s">
        <v>262</v>
      </c>
      <c r="G286" t="s">
        <v>1108</v>
      </c>
      <c r="H286" t="s">
        <v>1410</v>
      </c>
      <c r="I286">
        <v>1889</v>
      </c>
      <c r="K286">
        <v>1923</v>
      </c>
      <c r="M286">
        <v>100</v>
      </c>
      <c r="V286">
        <v>15</v>
      </c>
      <c r="Y286">
        <v>22</v>
      </c>
      <c r="Z286" s="3">
        <f t="shared" si="141"/>
        <v>0.14666666666666667</v>
      </c>
      <c r="AA286">
        <v>25</v>
      </c>
      <c r="AB286">
        <f t="shared" ref="AB286:AB305" si="157">ROUND(AA286*1.6, 0)</f>
        <v>40</v>
      </c>
      <c r="AF286">
        <v>8</v>
      </c>
      <c r="AJ286" t="str">
        <f>CONCATENATE(VLOOKUP(AK286, 'Voxel Sizes'!$A$2:$B$18,2,FALSE),"x",INT(AG286*15), "x", INT(AH286*15))</f>
        <v>82x0x0</v>
      </c>
      <c r="AK286">
        <f t="shared" si="142"/>
        <v>5</v>
      </c>
      <c r="AM286" t="str">
        <f>CONCATENATE(VLOOKUP(AK286,Constants!$A$2:$C$16,IF(AL286&lt;&gt;"", 3, 2), FALSE),IF(AL286&lt;&gt;"",CONCATENATE(",",VLOOKUP(AL286,$B:$AM,38,FALSE)),""))</f>
        <v>2,1,2</v>
      </c>
      <c r="AW286">
        <v>29</v>
      </c>
      <c r="AX286" s="15">
        <f t="shared" si="143"/>
        <v>42</v>
      </c>
      <c r="AY286">
        <v>-5</v>
      </c>
      <c r="BA286">
        <f t="shared" si="144"/>
        <v>5</v>
      </c>
      <c r="BB286">
        <f t="shared" si="145"/>
        <v>0.5</v>
      </c>
      <c r="BC286">
        <f t="shared" si="146"/>
        <v>1.1000000000000001</v>
      </c>
      <c r="BD286" s="3">
        <f t="shared" si="147"/>
        <v>1</v>
      </c>
      <c r="BE286">
        <f t="shared" si="148"/>
        <v>0</v>
      </c>
      <c r="BF286">
        <f>VLOOKUP($G286,Constants!$I:$K, 2, FALSE)</f>
        <v>0.9</v>
      </c>
      <c r="BG286">
        <f>VLOOKUP($G286,Constants!$I:$K, 3, FALSE)*IF(AND(F286="multiple_unit",AA286&lt;110),0.75,1)</f>
        <v>1.6</v>
      </c>
      <c r="BH286">
        <f>INT(POWER(((Constants!$G$2+$BA286+$BB286+$BC286+$BE286)*$BD286)*$BG286, 1.05))+$AZ286</f>
        <v>21</v>
      </c>
      <c r="BI286">
        <f>INT(POWER((((Constants!$G$1+$BA286+$BB286+$BC286+$BE286)*($BD286))*$BF286),IF($F286="wagon",1,1.2)))+$AY286</f>
        <v>30</v>
      </c>
      <c r="BJ286" s="14">
        <f t="shared" si="149"/>
        <v>16406.25</v>
      </c>
      <c r="BK286" s="14">
        <f t="shared" si="150"/>
        <v>2437.5</v>
      </c>
      <c r="BR286">
        <v>1</v>
      </c>
      <c r="BV286" t="str">
        <f>VLOOKUP(I286,Eras!$A$2:$C$10, 2, TRUE)</f>
        <v>vct</v>
      </c>
      <c r="BW286" t="s">
        <v>344</v>
      </c>
      <c r="BX286" t="str">
        <f t="shared" si="151"/>
        <v>vct_LU</v>
      </c>
      <c r="BY286" t="str">
        <f t="shared" si="152"/>
        <v>tube_FOURTH_RAIL</v>
      </c>
      <c r="BZ286" s="17" t="str" cm="1">
        <f t="array" ref="BZ286">_xlfn.CONCAT("{BLACK}Length: {GOLD}", TEXT(ROUNDUP(IF(AP286&lt;&gt;"",SUM(VALUE(_xlfn.TEXTSPLIT(AP286, ","))), SUM(VALUE(_xlfn.TEXTSPLIT(AM286, ",")))*IF(L286, L286, 1))/16, 1), "#,##0.0"), " tiles{}")</f>
        <v>{BLACK}Length: {GOLD}0.4 tiles{}</v>
      </c>
      <c r="CA286" t="str">
        <f>VLOOKUP($BY286, Constants!$M:$N, 2, FALSE)</f>
        <v>{BLACK}Powered by: {GOLD}630V DC</v>
      </c>
      <c r="CB286" t="str">
        <f t="shared" si="153"/>
        <v/>
      </c>
      <c r="CC286" t="s">
        <v>1457</v>
      </c>
      <c r="CD286" t="str">
        <f t="shared" si="154"/>
        <v/>
      </c>
      <c r="CE286" t="str">
        <f t="shared" si="140"/>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287" spans="1:83" x14ac:dyDescent="0.25">
      <c r="A287" t="s">
        <v>96</v>
      </c>
      <c r="B287" t="s">
        <v>191</v>
      </c>
      <c r="C287">
        <v>702</v>
      </c>
      <c r="D287">
        <v>191</v>
      </c>
      <c r="E287" t="s">
        <v>1508</v>
      </c>
      <c r="F287" t="s">
        <v>403</v>
      </c>
      <c r="G287" t="s">
        <v>1108</v>
      </c>
      <c r="H287" t="s">
        <v>1410</v>
      </c>
      <c r="I287">
        <v>1906</v>
      </c>
      <c r="K287">
        <v>1953</v>
      </c>
      <c r="L287">
        <v>3</v>
      </c>
      <c r="M287">
        <v>350</v>
      </c>
      <c r="V287">
        <f>27+20+20</f>
        <v>67</v>
      </c>
      <c r="X287">
        <v>8</v>
      </c>
      <c r="Y287">
        <v>55</v>
      </c>
      <c r="Z287" s="3">
        <f t="shared" si="141"/>
        <v>8.2089552238805971E-2</v>
      </c>
      <c r="AA287">
        <v>35</v>
      </c>
      <c r="AB287">
        <f t="shared" si="157"/>
        <v>56</v>
      </c>
      <c r="AE287">
        <v>15.3</v>
      </c>
      <c r="AF287">
        <v>15.3</v>
      </c>
      <c r="AG287">
        <v>2.67</v>
      </c>
      <c r="AH287">
        <v>2.8</v>
      </c>
      <c r="AI287" s="10">
        <v>78</v>
      </c>
      <c r="AJ287" t="str">
        <f>CONCATENATE(VLOOKUP(AK287, 'Voxel Sizes'!$A$2:$B$18,2,FALSE),"x",INT(AG287*15), "x", INT(AH287*15))</f>
        <v>152x40x42</v>
      </c>
      <c r="AK287">
        <f t="shared" si="142"/>
        <v>9</v>
      </c>
      <c r="AM287" t="str">
        <f>CONCATENATE(VLOOKUP(AK287,Constants!$A$2:$C$16,IF(AL287&lt;&gt;"", 3, 2), FALSE),IF(AL287&lt;&gt;"",CONCATENATE(",",VLOOKUP(AL287,$B:$AM,38,FALSE)),""))</f>
        <v>2,5,2</v>
      </c>
      <c r="AQ287" t="s">
        <v>1459</v>
      </c>
      <c r="AS287" t="s">
        <v>291</v>
      </c>
      <c r="AW287">
        <v>34</v>
      </c>
      <c r="AX287" s="15">
        <f t="shared" si="143"/>
        <v>55</v>
      </c>
      <c r="AY287">
        <v>-25</v>
      </c>
      <c r="BA287">
        <f t="shared" si="144"/>
        <v>7</v>
      </c>
      <c r="BB287">
        <f t="shared" si="145"/>
        <v>1.75</v>
      </c>
      <c r="BC287">
        <f t="shared" si="146"/>
        <v>2.75</v>
      </c>
      <c r="BD287" s="3">
        <f t="shared" si="147"/>
        <v>0.99199999999999999</v>
      </c>
      <c r="BE287">
        <f t="shared" si="148"/>
        <v>7.8000000000000007</v>
      </c>
      <c r="BF287">
        <f>VLOOKUP($G287,Constants!$I:$K, 2, FALSE)</f>
        <v>0.9</v>
      </c>
      <c r="BG287">
        <f>VLOOKUP($G287,Constants!$I:$K, 3, FALSE)*IF(AND(F287="multiple_unit",AA287&lt;110),0.75,1)</f>
        <v>1.2000000000000002</v>
      </c>
      <c r="BH287">
        <f>INT(POWER(((Constants!$G$2+$BA287+$BB287+$BC287+$BE287)*$BD287)*$BG287, 1.05))+$AZ287</f>
        <v>34</v>
      </c>
      <c r="BI287">
        <f>INT(POWER((((Constants!$G$1+$BA287+$BB287+$BC287+$BE287)*($BD287))*$BF287),IF($F287="wagon",1,1.2)))+$AY287</f>
        <v>35</v>
      </c>
      <c r="BJ287" s="14">
        <f t="shared" si="149"/>
        <v>26562.5</v>
      </c>
      <c r="BK287" s="14">
        <f t="shared" si="150"/>
        <v>2843.75</v>
      </c>
      <c r="BR287">
        <v>2</v>
      </c>
      <c r="BS287">
        <v>120</v>
      </c>
      <c r="BU287" t="s">
        <v>282</v>
      </c>
      <c r="BV287" t="str">
        <f>VLOOKUP(I287,Eras!$A$2:$C$10, 2, TRUE)</f>
        <v>edw</v>
      </c>
      <c r="BW287" t="s">
        <v>344</v>
      </c>
      <c r="BX287" t="str">
        <f t="shared" si="151"/>
        <v>edw_LU</v>
      </c>
      <c r="BY287" t="str">
        <f t="shared" si="152"/>
        <v>tube_FOURTH_RAIL</v>
      </c>
      <c r="BZ287" s="17" t="str" cm="1">
        <f t="array" ref="BZ287">_xlfn.CONCAT("{BLACK}Length: {GOLD}", TEXT(ROUNDUP(IF(AP287&lt;&gt;"",SUM(VALUE(_xlfn.TEXTSPLIT(AP287, ","))), SUM(VALUE(_xlfn.TEXTSPLIT(AM287, ",")))*IF(L287, L287, 1))/16, 1), "#,##0.0"), " tiles{}")</f>
        <v>{BLACK}Length: {GOLD}1.7 tiles{}</v>
      </c>
      <c r="CA287" t="str">
        <f>VLOOKUP($BY287, Constants!$M:$N, 2, FALSE)</f>
        <v>{BLACK}Powered by: {GOLD}630V DC</v>
      </c>
      <c r="CB287" t="str">
        <f t="shared" si="153"/>
        <v>{BLACK}Cars: {GOLD}3</v>
      </c>
      <c r="CC287" t="s">
        <v>1460</v>
      </c>
      <c r="CD287" t="str">
        <f t="shared" si="154"/>
        <v>{YELLOW}35% Penalty for long distance travel{}</v>
      </c>
      <c r="CE287" t="str">
        <f t="shared" si="140"/>
        <v>{BLACK}Powered by: {GOLD}630V DC {BLACK}Cars: {GOLD}3{}{BLACK}Length: {GOLD}1.7 tiles{}{YELLOW}35% Penalty for long distance travel{}{SILVER}The Gate Stock was a deep level unit used on Charles Yerkes' Tube lines. It was named for the manual entry gates, each operated by a gateman.</v>
      </c>
    </row>
    <row r="288" spans="1:83" x14ac:dyDescent="0.25">
      <c r="A288" t="s">
        <v>97</v>
      </c>
      <c r="B288" t="s">
        <v>192</v>
      </c>
      <c r="C288">
        <v>704</v>
      </c>
      <c r="D288">
        <v>192</v>
      </c>
      <c r="E288" t="s">
        <v>1508</v>
      </c>
      <c r="F288" t="s">
        <v>403</v>
      </c>
      <c r="G288" t="s">
        <v>1108</v>
      </c>
      <c r="H288" t="s">
        <v>1410</v>
      </c>
      <c r="I288">
        <v>1923</v>
      </c>
      <c r="K288">
        <v>1991</v>
      </c>
      <c r="L288">
        <v>3</v>
      </c>
      <c r="M288">
        <v>450</v>
      </c>
      <c r="V288">
        <v>74</v>
      </c>
      <c r="X288">
        <v>10</v>
      </c>
      <c r="Y288">
        <v>60</v>
      </c>
      <c r="Z288" s="3">
        <f t="shared" si="141"/>
        <v>8.1081081081081086E-2</v>
      </c>
      <c r="AA288">
        <v>40</v>
      </c>
      <c r="AB288">
        <f t="shared" si="157"/>
        <v>64</v>
      </c>
      <c r="AE288">
        <v>15.3</v>
      </c>
      <c r="AF288">
        <v>15.3</v>
      </c>
      <c r="AG288">
        <v>2.67</v>
      </c>
      <c r="AH288">
        <v>2.8</v>
      </c>
      <c r="AI288" s="10">
        <v>84</v>
      </c>
      <c r="AJ288" t="str">
        <f>CONCATENATE(VLOOKUP(AK288, 'Voxel Sizes'!$A$2:$B$18,2,FALSE),"x",INT(AG288*15), "x", INT(AH288*15))</f>
        <v>152x40x42</v>
      </c>
      <c r="AK288">
        <f t="shared" si="142"/>
        <v>9</v>
      </c>
      <c r="AM288" t="str">
        <f>CONCATENATE(VLOOKUP(AK288,Constants!$A$2:$C$16,IF(AL288&lt;&gt;"", 3, 2), FALSE),IF(AL288&lt;&gt;"",CONCATENATE(",",VLOOKUP(AL288,$B:$AM,38,FALSE)),""))</f>
        <v>2,5,2</v>
      </c>
      <c r="AQ288" t="s">
        <v>1461</v>
      </c>
      <c r="AS288" t="s">
        <v>291</v>
      </c>
      <c r="AW288">
        <v>41</v>
      </c>
      <c r="AX288" s="15">
        <f t="shared" si="143"/>
        <v>76</v>
      </c>
      <c r="AY288">
        <v>-25</v>
      </c>
      <c r="BA288">
        <f t="shared" si="144"/>
        <v>8</v>
      </c>
      <c r="BB288">
        <f t="shared" si="145"/>
        <v>2.25</v>
      </c>
      <c r="BC288">
        <f t="shared" si="146"/>
        <v>3</v>
      </c>
      <c r="BD288" s="3">
        <f t="shared" si="147"/>
        <v>0.96933333333333338</v>
      </c>
      <c r="BE288">
        <f t="shared" si="148"/>
        <v>8.4</v>
      </c>
      <c r="BF288">
        <f>VLOOKUP($G288,Constants!$I:$K, 2, FALSE)</f>
        <v>0.9</v>
      </c>
      <c r="BG288">
        <f>VLOOKUP($G288,Constants!$I:$K, 3, FALSE)*IF(AND(F288="multiple_unit",AA288&lt;110),0.75,1)</f>
        <v>1.2000000000000002</v>
      </c>
      <c r="BH288">
        <f>INT(POWER(((Constants!$G$2+$BA288+$BB288+$BC288+$BE288)*$BD288)*$BG288, 1.05))+$AZ288</f>
        <v>36</v>
      </c>
      <c r="BI288">
        <f>INT(POWER((((Constants!$G$1+$BA288+$BB288+$BC288+$BE288)*($BD288))*$BF288),IF($F288="wagon",1,1.2)))+$AY288</f>
        <v>38</v>
      </c>
      <c r="BJ288" s="14">
        <f t="shared" si="149"/>
        <v>28125</v>
      </c>
      <c r="BK288" s="14">
        <f t="shared" si="150"/>
        <v>3087.5</v>
      </c>
      <c r="BR288">
        <v>3</v>
      </c>
      <c r="BS288">
        <v>120</v>
      </c>
      <c r="BU288" t="s">
        <v>282</v>
      </c>
      <c r="BV288" t="str">
        <f>VLOOKUP(I288,Eras!$A$2:$C$10, 2, TRUE)</f>
        <v>big4</v>
      </c>
      <c r="BW288" t="s">
        <v>344</v>
      </c>
      <c r="BX288" t="str">
        <f t="shared" si="151"/>
        <v>big4_LU</v>
      </c>
      <c r="BY288" t="str">
        <f t="shared" si="152"/>
        <v>tube_FOURTH_RAIL</v>
      </c>
      <c r="BZ288" s="17" t="str" cm="1">
        <f t="array" ref="BZ288">_xlfn.CONCAT("{BLACK}Length: {GOLD}", TEXT(ROUNDUP(IF(AP288&lt;&gt;"",SUM(VALUE(_xlfn.TEXTSPLIT(AP288, ","))), SUM(VALUE(_xlfn.TEXTSPLIT(AM288, ",")))*IF(L288, L288, 1))/16, 1), "#,##0.0"), " tiles{}")</f>
        <v>{BLACK}Length: {GOLD}1.7 tiles{}</v>
      </c>
      <c r="CA288" t="str">
        <f>VLOOKUP($BY288, Constants!$M:$N, 2, FALSE)</f>
        <v>{BLACK}Powered by: {GOLD}630V DC</v>
      </c>
      <c r="CB288" t="str">
        <f t="shared" si="153"/>
        <v>{BLACK}Cars: {GOLD}3</v>
      </c>
      <c r="CC288" t="s">
        <v>1462</v>
      </c>
      <c r="CD288" t="str">
        <f t="shared" si="154"/>
        <v>{YELLOW}35% Penalty for long distance travel{}</v>
      </c>
      <c r="CE288" t="str">
        <f t="shared" si="140"/>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9" spans="1:83" x14ac:dyDescent="0.25">
      <c r="A289" t="s">
        <v>98</v>
      </c>
      <c r="B289" t="s">
        <v>251</v>
      </c>
      <c r="C289">
        <v>708</v>
      </c>
      <c r="D289">
        <v>193</v>
      </c>
      <c r="E289" t="s">
        <v>1508</v>
      </c>
      <c r="F289" t="s">
        <v>403</v>
      </c>
      <c r="G289" t="s">
        <v>1108</v>
      </c>
      <c r="H289" t="s">
        <v>1410</v>
      </c>
      <c r="I289">
        <v>1937</v>
      </c>
      <c r="K289">
        <v>1981</v>
      </c>
      <c r="L289">
        <v>3</v>
      </c>
      <c r="M289">
        <v>500</v>
      </c>
      <c r="V289">
        <v>79</v>
      </c>
      <c r="X289">
        <v>10</v>
      </c>
      <c r="Y289">
        <v>60</v>
      </c>
      <c r="Z289" s="3">
        <f t="shared" si="141"/>
        <v>7.5949367088607597E-2</v>
      </c>
      <c r="AA289">
        <v>42</v>
      </c>
      <c r="AB289">
        <f t="shared" si="157"/>
        <v>67</v>
      </c>
      <c r="AE289">
        <v>16</v>
      </c>
      <c r="AF289">
        <v>16</v>
      </c>
      <c r="AG289">
        <v>2.92</v>
      </c>
      <c r="AH289">
        <v>3.68</v>
      </c>
      <c r="AI289" s="10">
        <v>129</v>
      </c>
      <c r="AJ289" t="str">
        <f>CONCATENATE(VLOOKUP(AK289, 'Voxel Sizes'!$A$2:$B$18,2,FALSE),"x",INT(AG289*15), "x", INT(AH289*15))</f>
        <v>152x43x55</v>
      </c>
      <c r="AK289">
        <f t="shared" si="142"/>
        <v>9</v>
      </c>
      <c r="AM289" t="str">
        <f>CONCATENATE(VLOOKUP(AK289,Constants!$A$2:$C$16,IF(AL289&lt;&gt;"", 3, 2), FALSE),IF(AL289&lt;&gt;"",CONCATENATE(",",VLOOKUP(AL289,$B:$AM,38,FALSE)),""))</f>
        <v>2,5,2</v>
      </c>
      <c r="AQ289" t="s">
        <v>1463</v>
      </c>
      <c r="AS289" t="s">
        <v>291</v>
      </c>
      <c r="AW289">
        <v>39</v>
      </c>
      <c r="AX289" s="15">
        <f t="shared" si="143"/>
        <v>52</v>
      </c>
      <c r="AY289">
        <v>-22</v>
      </c>
      <c r="AZ289">
        <v>6</v>
      </c>
      <c r="BA289">
        <f t="shared" si="144"/>
        <v>8.4</v>
      </c>
      <c r="BB289">
        <f t="shared" si="145"/>
        <v>2.5</v>
      </c>
      <c r="BC289">
        <f t="shared" si="146"/>
        <v>3</v>
      </c>
      <c r="BD289" s="3">
        <f t="shared" si="147"/>
        <v>0.95066666666666666</v>
      </c>
      <c r="BE289">
        <f t="shared" si="148"/>
        <v>12.9</v>
      </c>
      <c r="BF289">
        <f>VLOOKUP($G289,Constants!$I:$K, 2, FALSE)</f>
        <v>0.9</v>
      </c>
      <c r="BG289">
        <f>VLOOKUP($G289,Constants!$I:$K, 3, FALSE)*IF(AND(F289="multiple_unit",AA289&lt;110),0.75,1)</f>
        <v>1.2000000000000002</v>
      </c>
      <c r="BH289">
        <f>INT(POWER(((Constants!$G$2+$BA289+$BB289+$BC289+$BE289)*$BD289)*$BG289, 1.05))+$AZ289</f>
        <v>49</v>
      </c>
      <c r="BI289">
        <f>INT(POWER((((Constants!$G$1+$BA289+$BB289+$BC289+$BE289)*($BD289))*$BF289),IF($F289="wagon",1,1.2)))+$AY289</f>
        <v>51</v>
      </c>
      <c r="BJ289" s="14">
        <f t="shared" si="149"/>
        <v>38281.25</v>
      </c>
      <c r="BK289" s="14">
        <f t="shared" si="150"/>
        <v>4143.75</v>
      </c>
      <c r="BR289">
        <v>5</v>
      </c>
      <c r="BS289">
        <v>120</v>
      </c>
      <c r="BU289" t="s">
        <v>282</v>
      </c>
      <c r="BV289" t="str">
        <f>VLOOKUP(I289,Eras!$A$2:$C$10, 2, TRUE)</f>
        <v>big4</v>
      </c>
      <c r="BW289" t="s">
        <v>344</v>
      </c>
      <c r="BX289" t="str">
        <f t="shared" si="151"/>
        <v>big4_LU</v>
      </c>
      <c r="BY289" t="str">
        <f t="shared" si="152"/>
        <v>tube_FOURTH_RAIL</v>
      </c>
      <c r="BZ289" s="17" t="str" cm="1">
        <f t="array" ref="BZ289">_xlfn.CONCAT("{BLACK}Length: {GOLD}", TEXT(ROUNDUP(IF(AP289&lt;&gt;"",SUM(VALUE(_xlfn.TEXTSPLIT(AP289, ","))), SUM(VALUE(_xlfn.TEXTSPLIT(AM289, ",")))*IF(L289, L289, 1))/16, 1), "#,##0.0"), " tiles{}")</f>
        <v>{BLACK}Length: {GOLD}1.7 tiles{}</v>
      </c>
      <c r="CA289" t="str">
        <f>VLOOKUP($BY289, Constants!$M:$N, 2, FALSE)</f>
        <v>{BLACK}Powered by: {GOLD}630V DC</v>
      </c>
      <c r="CB289" t="str">
        <f t="shared" si="153"/>
        <v>{BLACK}Cars: {GOLD}3</v>
      </c>
      <c r="CC289" t="s">
        <v>1464</v>
      </c>
      <c r="CD289" t="str">
        <f t="shared" si="154"/>
        <v>{YELLOW}35% Penalty for long distance travel{}</v>
      </c>
      <c r="CE289" t="str">
        <f t="shared" si="140"/>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290" spans="1:83" x14ac:dyDescent="0.25">
      <c r="A290" t="s">
        <v>1409</v>
      </c>
      <c r="B290" t="s">
        <v>190</v>
      </c>
      <c r="C290">
        <v>720</v>
      </c>
      <c r="D290">
        <v>194</v>
      </c>
      <c r="E290" t="s">
        <v>1508</v>
      </c>
      <c r="F290" t="s">
        <v>403</v>
      </c>
      <c r="G290" t="s">
        <v>1108</v>
      </c>
      <c r="H290" t="s">
        <v>1410</v>
      </c>
      <c r="I290">
        <v>1903</v>
      </c>
      <c r="J290">
        <v>1939</v>
      </c>
      <c r="K290">
        <v>1939</v>
      </c>
      <c r="L290">
        <v>6</v>
      </c>
      <c r="M290">
        <v>400</v>
      </c>
      <c r="V290">
        <f>(14*6)+20</f>
        <v>104</v>
      </c>
      <c r="X290">
        <v>10</v>
      </c>
      <c r="Y290">
        <v>100</v>
      </c>
      <c r="Z290" s="3">
        <f t="shared" si="141"/>
        <v>9.6153846153846159E-2</v>
      </c>
      <c r="AA290">
        <v>30</v>
      </c>
      <c r="AB290">
        <f t="shared" si="157"/>
        <v>48</v>
      </c>
      <c r="AE290">
        <v>13.87</v>
      </c>
      <c r="AF290">
        <v>13.8</v>
      </c>
      <c r="AG290">
        <v>2.59</v>
      </c>
      <c r="AI290" s="10">
        <v>102</v>
      </c>
      <c r="AJ290" t="str">
        <f>CONCATENATE(VLOOKUP(AK290, 'Voxel Sizes'!$A$2:$B$18,2,FALSE),"x",INT(AG290*15), "x", INT(AH290*15))</f>
        <v>136x38x0</v>
      </c>
      <c r="AK290">
        <f t="shared" si="142"/>
        <v>8</v>
      </c>
      <c r="AM290" t="str">
        <f>CONCATENATE(VLOOKUP(AK290,Constants!$A$2:$C$16,IF(AL290&lt;&gt;"", 3, 2), FALSE),IF(AL290&lt;&gt;"",CONCATENATE(",",VLOOKUP(AL290,$B:$AM,38,FALSE)),""))</f>
        <v>2,4,2</v>
      </c>
      <c r="AQ290" t="s">
        <v>1414</v>
      </c>
      <c r="AS290" t="s">
        <v>526</v>
      </c>
      <c r="AW290">
        <v>34</v>
      </c>
      <c r="AX290" s="15">
        <f t="shared" si="143"/>
        <v>44</v>
      </c>
      <c r="AY290">
        <v>-25</v>
      </c>
      <c r="BA290">
        <f t="shared" si="144"/>
        <v>6</v>
      </c>
      <c r="BB290">
        <f t="shared" si="145"/>
        <v>2</v>
      </c>
      <c r="BC290">
        <f t="shared" si="146"/>
        <v>5</v>
      </c>
      <c r="BD290" s="3">
        <f t="shared" si="147"/>
        <v>0.996</v>
      </c>
      <c r="BE290">
        <f t="shared" si="148"/>
        <v>20.399999999999999</v>
      </c>
      <c r="BF290">
        <f>VLOOKUP($G290,Constants!$I:$K, 2, FALSE)</f>
        <v>0.9</v>
      </c>
      <c r="BG290">
        <f>VLOOKUP($G290,Constants!$I:$K, 3, FALSE)*IF(AND(F290="multiple_unit",AA290&lt;110),0.75,1)</f>
        <v>1.2000000000000002</v>
      </c>
      <c r="BH290">
        <f>INT(POWER(((Constants!$G$2+$BA290+$BB290+$BC290+$BE290)*$BD290)*$BG290, 1.05))+$AZ290</f>
        <v>55</v>
      </c>
      <c r="BI290">
        <f>INT(POWER((((Constants!$G$1+$BA290+$BB290+$BC290+$BE290)*($BD290))*$BF290),IF($F290="wagon",1,1.2)))+$AY290</f>
        <v>67</v>
      </c>
      <c r="BJ290" s="14">
        <f t="shared" si="149"/>
        <v>42968.75</v>
      </c>
      <c r="BK290" s="14">
        <f t="shared" si="150"/>
        <v>5443.75</v>
      </c>
      <c r="BR290">
        <v>3</v>
      </c>
      <c r="BS290">
        <v>120</v>
      </c>
      <c r="BU290" t="s">
        <v>282</v>
      </c>
      <c r="BV290" t="str">
        <f>VLOOKUP(I290,Eras!$A$2:$C$10, 2, TRUE)</f>
        <v>edw</v>
      </c>
      <c r="BW290" t="s">
        <v>344</v>
      </c>
      <c r="BX290" t="str">
        <f t="shared" si="151"/>
        <v>edw_LU</v>
      </c>
      <c r="BY290" t="str">
        <f t="shared" si="152"/>
        <v>tube_FOURTH_RAIL</v>
      </c>
      <c r="BZ290" s="17" t="str" cm="1">
        <f t="array" ref="BZ290">_xlfn.CONCAT("{BLACK}Length: {GOLD}", TEXT(ROUNDUP(IF(AP290&lt;&gt;"",SUM(VALUE(_xlfn.TEXTSPLIT(AP290, ","))), SUM(VALUE(_xlfn.TEXTSPLIT(AM290, ",")))*IF(L290, L290, 1))/16, 1), "#,##0.0"), " tiles{}")</f>
        <v>{BLACK}Length: {GOLD}3.0 tiles{}</v>
      </c>
      <c r="CA290" t="str">
        <f>VLOOKUP($BY290, Constants!$M:$N, 2, FALSE)</f>
        <v>{BLACK}Powered by: {GOLD}630V DC</v>
      </c>
      <c r="CB290" t="str">
        <f t="shared" si="153"/>
        <v>{BLACK}Cars: {GOLD}6</v>
      </c>
      <c r="CC290" t="s">
        <v>1413</v>
      </c>
      <c r="CD290" t="str">
        <f t="shared" si="154"/>
        <v>{YELLOW}35% Penalty for long distance travel{}</v>
      </c>
      <c r="CE290" t="str">
        <f t="shared" si="140"/>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291" spans="1:83" x14ac:dyDescent="0.25">
      <c r="A291" t="s">
        <v>99</v>
      </c>
      <c r="B291" t="s">
        <v>193</v>
      </c>
      <c r="C291">
        <v>722</v>
      </c>
      <c r="D291">
        <v>195</v>
      </c>
      <c r="E291" t="s">
        <v>1508</v>
      </c>
      <c r="F291" t="s">
        <v>403</v>
      </c>
      <c r="G291" t="s">
        <v>1108</v>
      </c>
      <c r="H291" t="s">
        <v>1410</v>
      </c>
      <c r="I291">
        <v>1938</v>
      </c>
      <c r="K291">
        <v>2020</v>
      </c>
      <c r="L291">
        <v>7</v>
      </c>
      <c r="M291">
        <v>650</v>
      </c>
      <c r="V291">
        <v>161</v>
      </c>
      <c r="X291">
        <v>10</v>
      </c>
      <c r="Y291">
        <v>130</v>
      </c>
      <c r="Z291" s="3">
        <f t="shared" si="141"/>
        <v>8.0745341614906832E-2</v>
      </c>
      <c r="AA291">
        <v>45</v>
      </c>
      <c r="AB291">
        <f t="shared" si="157"/>
        <v>72</v>
      </c>
      <c r="AE291">
        <v>15.8</v>
      </c>
      <c r="AF291">
        <v>15.8</v>
      </c>
      <c r="AG291">
        <v>2.59</v>
      </c>
      <c r="AH291">
        <v>2.883</v>
      </c>
      <c r="AI291" s="10">
        <v>108</v>
      </c>
      <c r="AJ291" t="str">
        <f>CONCATENATE(VLOOKUP(AK291, 'Voxel Sizes'!$A$2:$B$18,2,FALSE),"x",INT(AG291*15), "x", INT(AH291*15))</f>
        <v>152x38x43</v>
      </c>
      <c r="AK291">
        <f t="shared" si="142"/>
        <v>9</v>
      </c>
      <c r="AM291" t="str">
        <f>CONCATENATE(VLOOKUP(AK291,Constants!$A$2:$C$16,IF(AL291&lt;&gt;"", 3, 2), FALSE),IF(AL291&lt;&gt;"",CONCATENATE(",",VLOOKUP(AL291,$B:$AM,38,FALSE)),""))</f>
        <v>2,5,2</v>
      </c>
      <c r="AQ291" t="s">
        <v>1415</v>
      </c>
      <c r="AS291" t="s">
        <v>1416</v>
      </c>
      <c r="AW291">
        <v>40</v>
      </c>
      <c r="AX291" s="15">
        <f t="shared" si="143"/>
        <v>90</v>
      </c>
      <c r="AY291">
        <v>-25</v>
      </c>
      <c r="BA291">
        <f t="shared" si="144"/>
        <v>9</v>
      </c>
      <c r="BB291">
        <f t="shared" si="145"/>
        <v>3.25</v>
      </c>
      <c r="BC291">
        <f t="shared" si="146"/>
        <v>6.5</v>
      </c>
      <c r="BD291" s="3">
        <f t="shared" si="147"/>
        <v>0.94933333333333336</v>
      </c>
      <c r="BE291">
        <f t="shared" si="148"/>
        <v>25.2</v>
      </c>
      <c r="BF291">
        <f>VLOOKUP($G291,Constants!$I:$K, 2, FALSE)</f>
        <v>0.9</v>
      </c>
      <c r="BG291">
        <f>VLOOKUP($G291,Constants!$I:$K, 3, FALSE)*IF(AND(F291="multiple_unit",AA291&lt;110),0.75,1)</f>
        <v>1.2000000000000002</v>
      </c>
      <c r="BH291">
        <f>INT(POWER(((Constants!$G$2+$BA291+$BB291+$BC291+$BE291)*$BD291)*$BG291, 1.05))+$AZ291</f>
        <v>68</v>
      </c>
      <c r="BI291">
        <f>INT(POWER((((Constants!$G$1+$BA291+$BB291+$BC291+$BE291)*($BD291))*$BF291),IF($F291="wagon",1,1.2)))+$AY291</f>
        <v>85</v>
      </c>
      <c r="BJ291" s="14">
        <f t="shared" si="149"/>
        <v>53125</v>
      </c>
      <c r="BK291" s="14">
        <f t="shared" si="150"/>
        <v>6906.25</v>
      </c>
      <c r="BR291">
        <v>4</v>
      </c>
      <c r="BS291">
        <v>120</v>
      </c>
      <c r="BU291" t="s">
        <v>282</v>
      </c>
      <c r="BV291" t="str">
        <f>VLOOKUP(I291,Eras!$A$2:$C$10, 2, TRUE)</f>
        <v>big4</v>
      </c>
      <c r="BW291" t="s">
        <v>344</v>
      </c>
      <c r="BX291" t="str">
        <f t="shared" si="151"/>
        <v>big4_LU</v>
      </c>
      <c r="BY291" t="str">
        <f t="shared" si="152"/>
        <v>tube_FOURTH_RAIL</v>
      </c>
      <c r="BZ291" s="17" t="str" cm="1">
        <f t="array" ref="BZ291">_xlfn.CONCAT("{BLACK}Length: {GOLD}", TEXT(ROUNDUP(IF(AP291&lt;&gt;"",SUM(VALUE(_xlfn.TEXTSPLIT(AP291, ","))), SUM(VALUE(_xlfn.TEXTSPLIT(AM291, ",")))*IF(L291, L291, 1))/16, 1), "#,##0.0"), " tiles{}")</f>
        <v>{BLACK}Length: {GOLD}4.0 tiles{}</v>
      </c>
      <c r="CA291" t="str">
        <f>VLOOKUP($BY291, Constants!$M:$N, 2, FALSE)</f>
        <v>{BLACK}Powered by: {GOLD}630V DC</v>
      </c>
      <c r="CB291" t="str">
        <f t="shared" si="153"/>
        <v>{BLACK}Cars: {GOLD}7</v>
      </c>
      <c r="CC291" t="s">
        <v>1417</v>
      </c>
      <c r="CD291" t="str">
        <f t="shared" si="154"/>
        <v>{YELLOW}35% Penalty for long distance travel{}</v>
      </c>
      <c r="CE291" t="str">
        <f t="shared" si="140"/>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2" spans="1:83" x14ac:dyDescent="0.25">
      <c r="A292" t="s">
        <v>100</v>
      </c>
      <c r="B292" t="s">
        <v>194</v>
      </c>
      <c r="C292">
        <v>724</v>
      </c>
      <c r="D292">
        <v>196</v>
      </c>
      <c r="E292" t="s">
        <v>1508</v>
      </c>
      <c r="F292" t="s">
        <v>403</v>
      </c>
      <c r="G292" t="s">
        <v>1108</v>
      </c>
      <c r="H292" t="s">
        <v>1410</v>
      </c>
      <c r="I292">
        <v>1959</v>
      </c>
      <c r="K292">
        <v>2000</v>
      </c>
      <c r="L292">
        <v>7</v>
      </c>
      <c r="M292">
        <v>750</v>
      </c>
      <c r="V292">
        <v>167</v>
      </c>
      <c r="X292">
        <v>10</v>
      </c>
      <c r="Y292">
        <v>135</v>
      </c>
      <c r="Z292" s="3">
        <f t="shared" si="141"/>
        <v>8.0838323353293412E-2</v>
      </c>
      <c r="AA292">
        <v>45</v>
      </c>
      <c r="AB292">
        <f t="shared" si="157"/>
        <v>72</v>
      </c>
      <c r="AE292">
        <v>15.9</v>
      </c>
      <c r="AF292">
        <v>15.9</v>
      </c>
      <c r="AG292">
        <v>2.59</v>
      </c>
      <c r="AH292">
        <v>2.883</v>
      </c>
      <c r="AI292" s="10">
        <v>120</v>
      </c>
      <c r="AJ292" t="str">
        <f>CONCATENATE(VLOOKUP(AK292, 'Voxel Sizes'!$A$2:$B$18,2,FALSE),"x",INT(AG292*15), "x", INT(AH292*15))</f>
        <v>152x38x43</v>
      </c>
      <c r="AK292">
        <f t="shared" si="142"/>
        <v>9</v>
      </c>
      <c r="AM292" t="str">
        <f>CONCATENATE(VLOOKUP(AK292,Constants!$A$2:$C$16,IF(AL292&lt;&gt;"", 3, 2), FALSE),IF(AL292&lt;&gt;"",CONCATENATE(",",VLOOKUP(AL292,$B:$AM,38,FALSE)),""))</f>
        <v>2,5,2</v>
      </c>
      <c r="AQ292" t="s">
        <v>1418</v>
      </c>
      <c r="AS292" t="s">
        <v>1416</v>
      </c>
      <c r="AW292">
        <v>38</v>
      </c>
      <c r="AX292" s="15">
        <f t="shared" si="143"/>
        <v>49</v>
      </c>
      <c r="AY292">
        <v>-25</v>
      </c>
      <c r="AZ292">
        <v>-1</v>
      </c>
      <c r="BA292">
        <f t="shared" si="144"/>
        <v>9</v>
      </c>
      <c r="BB292">
        <f t="shared" si="145"/>
        <v>3.75</v>
      </c>
      <c r="BC292">
        <f t="shared" si="146"/>
        <v>6.75</v>
      </c>
      <c r="BD292" s="3">
        <f t="shared" si="147"/>
        <v>0.92133333333333334</v>
      </c>
      <c r="BE292">
        <f t="shared" si="148"/>
        <v>28.000000000000004</v>
      </c>
      <c r="BF292">
        <f>VLOOKUP($G292,Constants!$I:$K, 2, FALSE)</f>
        <v>0.9</v>
      </c>
      <c r="BG292">
        <f>VLOOKUP($G292,Constants!$I:$K, 3, FALSE)*IF(AND(F292="multiple_unit",AA292&lt;110),0.75,1)</f>
        <v>1.2000000000000002</v>
      </c>
      <c r="BH292">
        <f>INT(POWER(((Constants!$G$2+$BA292+$BB292+$BC292+$BE292)*$BD292)*$BG292, 1.05))+$AZ292</f>
        <v>70</v>
      </c>
      <c r="BI292">
        <f>INT(POWER((((Constants!$G$1+$BA292+$BB292+$BC292+$BE292)*($BD292))*$BF292),IF($F292="wagon",1,1.2)))+$AY292</f>
        <v>89</v>
      </c>
      <c r="BJ292" s="14">
        <f t="shared" si="149"/>
        <v>54687.5</v>
      </c>
      <c r="BK292" s="14">
        <f t="shared" si="150"/>
        <v>7231.25</v>
      </c>
      <c r="BR292">
        <v>5</v>
      </c>
      <c r="BS292">
        <v>120</v>
      </c>
      <c r="BU292" t="s">
        <v>282</v>
      </c>
      <c r="BV292" t="str">
        <f>VLOOKUP(I292,Eras!$A$2:$C$10, 2, TRUE)</f>
        <v>dsl</v>
      </c>
      <c r="BW292" t="s">
        <v>344</v>
      </c>
      <c r="BX292" t="str">
        <f t="shared" si="151"/>
        <v>dsl_LU</v>
      </c>
      <c r="BY292" t="str">
        <f t="shared" si="152"/>
        <v>tube_FOURTH_RAIL</v>
      </c>
      <c r="BZ292" s="17" t="str" cm="1">
        <f t="array" ref="BZ292">_xlfn.CONCAT("{BLACK}Length: {GOLD}", TEXT(ROUNDUP(IF(AP292&lt;&gt;"",SUM(VALUE(_xlfn.TEXTSPLIT(AP292, ","))), SUM(VALUE(_xlfn.TEXTSPLIT(AM292, ",")))*IF(L292, L292, 1))/16, 1), "#,##0.0"), " tiles{}")</f>
        <v>{BLACK}Length: {GOLD}4.0 tiles{}</v>
      </c>
      <c r="CA292" t="str">
        <f>VLOOKUP($BY292, Constants!$M:$N, 2, FALSE)</f>
        <v>{BLACK}Powered by: {GOLD}630V DC</v>
      </c>
      <c r="CB292" t="str">
        <f t="shared" si="153"/>
        <v>{BLACK}Cars: {GOLD}7</v>
      </c>
      <c r="CC292" t="s">
        <v>1419</v>
      </c>
      <c r="CD292" t="str">
        <f t="shared" si="154"/>
        <v>{YELLOW}35% Penalty for long distance travel{}</v>
      </c>
      <c r="CE292" t="str">
        <f t="shared" si="140"/>
        <v>{BLACK}Powered by: {GOLD}630V DC {BLACK}Cars: {GOLD}7{}{BLACK}Length: {GOLD}4.0 tiles{}{YELLOW}35% Penalty for long distance travel{}{SILVER}The 1959 stock was based on the aluminium-bodied 1956 stock, built for the Piccadilly line but used across many deep level Tube lines over its long life.</v>
      </c>
    </row>
    <row r="293" spans="1:83" x14ac:dyDescent="0.25">
      <c r="A293" t="s">
        <v>101</v>
      </c>
      <c r="B293" t="s">
        <v>195</v>
      </c>
      <c r="C293">
        <v>726</v>
      </c>
      <c r="D293">
        <v>197</v>
      </c>
      <c r="E293" t="s">
        <v>1508</v>
      </c>
      <c r="F293" t="s">
        <v>403</v>
      </c>
      <c r="G293" t="s">
        <v>1108</v>
      </c>
      <c r="H293" t="s">
        <v>1410</v>
      </c>
      <c r="I293">
        <v>1960</v>
      </c>
      <c r="K293">
        <v>2012</v>
      </c>
      <c r="L293">
        <v>4</v>
      </c>
      <c r="M293">
        <v>450</v>
      </c>
      <c r="V293">
        <f>32+21+21+32</f>
        <v>106</v>
      </c>
      <c r="X293">
        <v>10</v>
      </c>
      <c r="Y293">
        <v>80</v>
      </c>
      <c r="Z293" s="3">
        <f t="shared" si="141"/>
        <v>7.5471698113207544E-2</v>
      </c>
      <c r="AA293">
        <v>70</v>
      </c>
      <c r="AB293">
        <f t="shared" si="157"/>
        <v>112</v>
      </c>
      <c r="AE293">
        <v>16.2</v>
      </c>
      <c r="AF293">
        <v>16.2</v>
      </c>
      <c r="AG293">
        <v>2.94</v>
      </c>
      <c r="AH293">
        <v>3.68</v>
      </c>
      <c r="AI293" s="10">
        <v>114</v>
      </c>
      <c r="AJ293" t="str">
        <f>CONCATENATE(VLOOKUP(AK293, 'Voxel Sizes'!$A$2:$B$18,2,FALSE),"x",INT(AG293*15), "x", INT(AH293*15))</f>
        <v>152x44x55</v>
      </c>
      <c r="AK293">
        <f t="shared" si="142"/>
        <v>9</v>
      </c>
      <c r="AM293" t="str">
        <f>CONCATENATE(VLOOKUP(AK293,Constants!$A$2:$C$16,IF(AL293&lt;&gt;"", 3, 2), FALSE),IF(AL293&lt;&gt;"",CONCATENATE(",",VLOOKUP(AL293,$B:$AM,38,FALSE)),""))</f>
        <v>2,5,2</v>
      </c>
      <c r="AQ293" t="s">
        <v>1420</v>
      </c>
      <c r="AS293" t="s">
        <v>464</v>
      </c>
      <c r="AW293">
        <v>39</v>
      </c>
      <c r="AX293" s="15">
        <f t="shared" si="143"/>
        <v>60</v>
      </c>
      <c r="AY293">
        <v>-25</v>
      </c>
      <c r="BA293">
        <f t="shared" si="144"/>
        <v>14</v>
      </c>
      <c r="BB293">
        <f t="shared" si="145"/>
        <v>2.25</v>
      </c>
      <c r="BC293">
        <f t="shared" si="146"/>
        <v>4</v>
      </c>
      <c r="BD293" s="3">
        <f t="shared" si="147"/>
        <v>0.92</v>
      </c>
      <c r="BE293">
        <f t="shared" si="148"/>
        <v>15.2</v>
      </c>
      <c r="BF293">
        <f>VLOOKUP($G293,Constants!$I:$K, 2, FALSE)</f>
        <v>0.9</v>
      </c>
      <c r="BG293">
        <f>VLOOKUP($G293,Constants!$I:$K, 3, FALSE)*IF(AND(F293="multiple_unit",AA293&lt;110),0.75,1)</f>
        <v>1.2000000000000002</v>
      </c>
      <c r="BH293">
        <f>INT(POWER(((Constants!$G$2+$BA293+$BB293+$BC293+$BE293)*$BD293)*$BG293, 1.05))+$AZ293</f>
        <v>53</v>
      </c>
      <c r="BI293">
        <f>INT(POWER((((Constants!$G$1+$BA293+$BB293+$BC293+$BE293)*($BD293))*$BF293),IF($F293="wagon",1,1.2)))+$AY293</f>
        <v>63</v>
      </c>
      <c r="BJ293" s="14">
        <f t="shared" si="149"/>
        <v>41406.25</v>
      </c>
      <c r="BK293" s="14">
        <f t="shared" si="150"/>
        <v>5118.75</v>
      </c>
      <c r="BR293">
        <v>6</v>
      </c>
      <c r="BS293">
        <v>120</v>
      </c>
      <c r="BU293" t="s">
        <v>282</v>
      </c>
      <c r="BV293" t="str">
        <f>VLOOKUP(I293,Eras!$A$2:$C$10, 2, TRUE)</f>
        <v>dsl</v>
      </c>
      <c r="BW293" t="s">
        <v>344</v>
      </c>
      <c r="BX293" t="str">
        <f t="shared" si="151"/>
        <v>dsl_LU</v>
      </c>
      <c r="BY293" t="str">
        <f t="shared" si="152"/>
        <v>tube_FOURTH_RAIL</v>
      </c>
      <c r="BZ293" s="17" t="str" cm="1">
        <f t="array" ref="BZ293">_xlfn.CONCAT("{BLACK}Length: {GOLD}", TEXT(ROUNDUP(IF(AP293&lt;&gt;"",SUM(VALUE(_xlfn.TEXTSPLIT(AP293, ","))), SUM(VALUE(_xlfn.TEXTSPLIT(AM293, ",")))*IF(L293, L293, 1))/16, 1), "#,##0.0"), " tiles{}")</f>
        <v>{BLACK}Length: {GOLD}2.3 tiles{}</v>
      </c>
      <c r="CA293" t="str">
        <f>VLOOKUP($BY293, Constants!$M:$N, 2, FALSE)</f>
        <v>{BLACK}Powered by: {GOLD}630V DC</v>
      </c>
      <c r="CB293" t="str">
        <f t="shared" si="153"/>
        <v>{BLACK}Cars: {GOLD}4</v>
      </c>
      <c r="CC293" t="s">
        <v>1421</v>
      </c>
      <c r="CD293" t="str">
        <f t="shared" si="154"/>
        <v>{YELLOW}35% Penalty for long distance travel{}</v>
      </c>
      <c r="CE293" t="str">
        <f t="shared" si="140"/>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294" spans="1:83" x14ac:dyDescent="0.25">
      <c r="A294" t="s">
        <v>102</v>
      </c>
      <c r="B294" t="s">
        <v>196</v>
      </c>
      <c r="C294">
        <v>728</v>
      </c>
      <c r="D294">
        <v>198</v>
      </c>
      <c r="E294" t="s">
        <v>1508</v>
      </c>
      <c r="F294" t="s">
        <v>403</v>
      </c>
      <c r="G294" t="s">
        <v>1108</v>
      </c>
      <c r="H294" t="s">
        <v>1410</v>
      </c>
      <c r="I294">
        <v>1967</v>
      </c>
      <c r="K294">
        <v>2011</v>
      </c>
      <c r="L294">
        <v>4</v>
      </c>
      <c r="M294">
        <v>500</v>
      </c>
      <c r="V294">
        <f>28.5+28.5+19.4+19.4</f>
        <v>95.800000000000011</v>
      </c>
      <c r="X294">
        <v>10</v>
      </c>
      <c r="Y294">
        <v>70</v>
      </c>
      <c r="Z294" s="3">
        <f t="shared" si="141"/>
        <v>7.3068893528183701E-2</v>
      </c>
      <c r="AA294">
        <v>45</v>
      </c>
      <c r="AB294">
        <f t="shared" si="157"/>
        <v>72</v>
      </c>
      <c r="AE294">
        <v>16</v>
      </c>
      <c r="AF294">
        <v>16</v>
      </c>
      <c r="AG294">
        <v>2.6419999999999999</v>
      </c>
      <c r="AH294">
        <v>2.8769999999999998</v>
      </c>
      <c r="AI294" s="10">
        <v>120</v>
      </c>
      <c r="AJ294" t="str">
        <f>CONCATENATE(VLOOKUP(AK294, 'Voxel Sizes'!$A$2:$B$18,2,FALSE),"x",INT(AG294*15), "x", INT(AH294*15))</f>
        <v>152x39x43</v>
      </c>
      <c r="AK294">
        <f t="shared" si="142"/>
        <v>9</v>
      </c>
      <c r="AM294" t="str">
        <f>CONCATENATE(VLOOKUP(AK294,Constants!$A$2:$C$16,IF(AL294&lt;&gt;"", 3, 2), FALSE),IF(AL294&lt;&gt;"",CONCATENATE(",",VLOOKUP(AL294,$B:$AM,38,FALSE)),""))</f>
        <v>2,5,2</v>
      </c>
      <c r="AQ294" t="s">
        <v>1422</v>
      </c>
      <c r="AS294" t="s">
        <v>464</v>
      </c>
      <c r="AW294">
        <v>36</v>
      </c>
      <c r="AX294" s="15">
        <f t="shared" si="143"/>
        <v>52</v>
      </c>
      <c r="AY294">
        <v>-23</v>
      </c>
      <c r="AZ294">
        <v>2</v>
      </c>
      <c r="BA294">
        <f t="shared" si="144"/>
        <v>9</v>
      </c>
      <c r="BB294">
        <f t="shared" si="145"/>
        <v>2.5</v>
      </c>
      <c r="BC294">
        <f t="shared" si="146"/>
        <v>3.5</v>
      </c>
      <c r="BD294" s="3">
        <f t="shared" si="147"/>
        <v>0.91066666666666662</v>
      </c>
      <c r="BE294">
        <f t="shared" si="148"/>
        <v>16</v>
      </c>
      <c r="BF294">
        <f>VLOOKUP($G294,Constants!$I:$K, 2, FALSE)</f>
        <v>0.9</v>
      </c>
      <c r="BG294">
        <f>VLOOKUP($G294,Constants!$I:$K, 3, FALSE)*IF(AND(F294="multiple_unit",AA294&lt;110),0.75,1)</f>
        <v>1.2000000000000002</v>
      </c>
      <c r="BH294">
        <f>INT(POWER(((Constants!$G$2+$BA294+$BB294+$BC294+$BE294)*$BD294)*$BG294, 1.05))+$AZ294</f>
        <v>49</v>
      </c>
      <c r="BI294">
        <f>INT(POWER((((Constants!$G$1+$BA294+$BB294+$BC294+$BE294)*($BD294))*$BF294),IF($F294="wagon",1,1.2)))+$AY294</f>
        <v>54</v>
      </c>
      <c r="BJ294" s="14">
        <f t="shared" si="149"/>
        <v>38281.25</v>
      </c>
      <c r="BK294" s="14">
        <f t="shared" si="150"/>
        <v>4387.5</v>
      </c>
      <c r="BR294">
        <v>7</v>
      </c>
      <c r="BS294">
        <v>120</v>
      </c>
      <c r="BU294" t="s">
        <v>282</v>
      </c>
      <c r="BV294" t="str">
        <f>VLOOKUP(I294,Eras!$A$2:$C$10, 2, TRUE)</f>
        <v>dsl</v>
      </c>
      <c r="BW294" t="s">
        <v>344</v>
      </c>
      <c r="BX294" t="str">
        <f t="shared" si="151"/>
        <v>dsl_LU</v>
      </c>
      <c r="BY294" t="str">
        <f t="shared" si="152"/>
        <v>tube_FOURTH_RAIL</v>
      </c>
      <c r="BZ294" s="17" t="str" cm="1">
        <f t="array" ref="BZ294">_xlfn.CONCAT("{BLACK}Length: {GOLD}", TEXT(ROUNDUP(IF(AP294&lt;&gt;"",SUM(VALUE(_xlfn.TEXTSPLIT(AP294, ","))), SUM(VALUE(_xlfn.TEXTSPLIT(AM294, ",")))*IF(L294, L294, 1))/16, 1), "#,##0.0"), " tiles{}")</f>
        <v>{BLACK}Length: {GOLD}2.3 tiles{}</v>
      </c>
      <c r="CA294" t="str">
        <f>VLOOKUP($BY294, Constants!$M:$N, 2, FALSE)</f>
        <v>{BLACK}Powered by: {GOLD}630V DC</v>
      </c>
      <c r="CB294" t="str">
        <f t="shared" si="153"/>
        <v>{BLACK}Cars: {GOLD}4</v>
      </c>
      <c r="CC294" t="s">
        <v>1423</v>
      </c>
      <c r="CD294" t="str">
        <f t="shared" si="154"/>
        <v>{YELLOW}35% Penalty for long distance travel{}</v>
      </c>
      <c r="CE294" t="str">
        <f t="shared" si="140"/>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5" spans="1:83" x14ac:dyDescent="0.25">
      <c r="A295" t="s">
        <v>103</v>
      </c>
      <c r="B295" t="s">
        <v>197</v>
      </c>
      <c r="C295">
        <v>730</v>
      </c>
      <c r="D295">
        <v>199</v>
      </c>
      <c r="E295" t="s">
        <v>1508</v>
      </c>
      <c r="F295" t="s">
        <v>403</v>
      </c>
      <c r="G295" t="s">
        <v>1108</v>
      </c>
      <c r="H295" t="s">
        <v>1410</v>
      </c>
      <c r="I295">
        <v>1970</v>
      </c>
      <c r="K295">
        <v>2014</v>
      </c>
      <c r="L295">
        <v>2</v>
      </c>
      <c r="M295">
        <v>580</v>
      </c>
      <c r="V295">
        <f>31+20</f>
        <v>51</v>
      </c>
      <c r="X295">
        <v>10</v>
      </c>
      <c r="Y295">
        <v>40</v>
      </c>
      <c r="Z295" s="3">
        <f t="shared" si="141"/>
        <v>7.8431372549019607E-2</v>
      </c>
      <c r="AA295">
        <v>45</v>
      </c>
      <c r="AB295">
        <f t="shared" si="157"/>
        <v>72</v>
      </c>
      <c r="AE295">
        <v>16</v>
      </c>
      <c r="AF295">
        <v>16</v>
      </c>
      <c r="AG295">
        <v>2.92</v>
      </c>
      <c r="AH295">
        <v>3.68</v>
      </c>
      <c r="AI295" s="10">
        <v>135</v>
      </c>
      <c r="AJ295" t="str">
        <f>CONCATENATE(VLOOKUP(AK295, 'Voxel Sizes'!$A$2:$B$18,2,FALSE),"x",INT(AG295*15), "x", INT(AH295*15))</f>
        <v>152x43x55</v>
      </c>
      <c r="AK295">
        <f t="shared" si="142"/>
        <v>9</v>
      </c>
      <c r="AM295" t="str">
        <f>CONCATENATE(VLOOKUP(AK295,Constants!$A$2:$C$16,IF(AL295&lt;&gt;"", 3, 2), FALSE),IF(AL295&lt;&gt;"",CONCATENATE(",",VLOOKUP(AL295,$B:$AM,38,FALSE)),""))</f>
        <v>2,5,2</v>
      </c>
      <c r="AQ295" t="s">
        <v>1424</v>
      </c>
      <c r="AS295" t="s">
        <v>466</v>
      </c>
      <c r="AW295">
        <v>38</v>
      </c>
      <c r="AX295" s="15">
        <f t="shared" si="143"/>
        <v>52</v>
      </c>
      <c r="AY295">
        <v>-25</v>
      </c>
      <c r="BA295">
        <f t="shared" si="144"/>
        <v>9</v>
      </c>
      <c r="BB295">
        <f t="shared" si="145"/>
        <v>2.9</v>
      </c>
      <c r="BC295">
        <f t="shared" si="146"/>
        <v>2</v>
      </c>
      <c r="BD295" s="3">
        <f t="shared" si="147"/>
        <v>0.90666666666666662</v>
      </c>
      <c r="BE295">
        <f t="shared" si="148"/>
        <v>9</v>
      </c>
      <c r="BF295">
        <f>VLOOKUP($G295,Constants!$I:$K, 2, FALSE)</f>
        <v>0.9</v>
      </c>
      <c r="BG295">
        <f>VLOOKUP($G295,Constants!$I:$K, 3, FALSE)*IF(AND(F295="multiple_unit",AA295&lt;110),0.75,1)</f>
        <v>1.2000000000000002</v>
      </c>
      <c r="BH295">
        <f>INT(POWER(((Constants!$G$2+$BA295+$BB295+$BC295+$BE295)*$BD295)*$BG295, 1.05))+$AZ295</f>
        <v>36</v>
      </c>
      <c r="BI295">
        <f>INT(POWER((((Constants!$G$1+$BA295+$BB295+$BC295+$BE295)*($BD295))*$BF295),IF($F295="wagon",1,1.2)))+$AY295</f>
        <v>36</v>
      </c>
      <c r="BJ295" s="14">
        <f t="shared" si="149"/>
        <v>28125</v>
      </c>
      <c r="BK295" s="14">
        <f t="shared" si="150"/>
        <v>2925</v>
      </c>
      <c r="BR295">
        <v>8</v>
      </c>
      <c r="BS295">
        <v>120</v>
      </c>
      <c r="BU295" t="s">
        <v>282</v>
      </c>
      <c r="BV295" t="str">
        <f>VLOOKUP(I295,Eras!$A$2:$C$10, 2, TRUE)</f>
        <v>lbr</v>
      </c>
      <c r="BW295" t="s">
        <v>344</v>
      </c>
      <c r="BX295" t="str">
        <f t="shared" si="151"/>
        <v>lbr_LU</v>
      </c>
      <c r="BY295" t="str">
        <f t="shared" si="152"/>
        <v>tube_FOURTH_RAIL</v>
      </c>
      <c r="BZ295" s="17" t="str" cm="1">
        <f t="array" ref="BZ295">_xlfn.CONCAT("{BLACK}Length: {GOLD}", TEXT(ROUNDUP(IF(AP295&lt;&gt;"",SUM(VALUE(_xlfn.TEXTSPLIT(AP295, ","))), SUM(VALUE(_xlfn.TEXTSPLIT(AM295, ",")))*IF(L295, L295, 1))/16, 1), "#,##0.0"), " tiles{}")</f>
        <v>{BLACK}Length: {GOLD}1.2 tiles{}</v>
      </c>
      <c r="CA295" t="str">
        <f>VLOOKUP($BY295, Constants!$M:$N, 2, FALSE)</f>
        <v>{BLACK}Powered by: {GOLD}630V DC</v>
      </c>
      <c r="CB295" t="str">
        <f t="shared" si="153"/>
        <v>{BLACK}Cars: {GOLD}2</v>
      </c>
      <c r="CC295" t="s">
        <v>1425</v>
      </c>
      <c r="CD295" t="str">
        <f t="shared" si="154"/>
        <v>{YELLOW}35% Penalty for long distance travel{}</v>
      </c>
      <c r="CE295" t="str">
        <f t="shared" si="140"/>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296" spans="1:83" x14ac:dyDescent="0.25">
      <c r="A296" t="s">
        <v>104</v>
      </c>
      <c r="B296" t="s">
        <v>198</v>
      </c>
      <c r="C296">
        <v>731</v>
      </c>
      <c r="D296">
        <v>200</v>
      </c>
      <c r="E296" t="s">
        <v>1508</v>
      </c>
      <c r="F296" t="s">
        <v>403</v>
      </c>
      <c r="G296" t="s">
        <v>1108</v>
      </c>
      <c r="H296" t="s">
        <v>1410</v>
      </c>
      <c r="I296">
        <v>1975</v>
      </c>
      <c r="L296">
        <v>3</v>
      </c>
      <c r="M296">
        <v>930</v>
      </c>
      <c r="V296">
        <f>27+26+18</f>
        <v>71</v>
      </c>
      <c r="X296">
        <v>10</v>
      </c>
      <c r="Y296">
        <v>55</v>
      </c>
      <c r="Z296" s="3">
        <f t="shared" si="141"/>
        <v>7.746478873239436E-2</v>
      </c>
      <c r="AA296">
        <v>45</v>
      </c>
      <c r="AB296">
        <f t="shared" si="157"/>
        <v>72</v>
      </c>
      <c r="AE296">
        <v>17.47</v>
      </c>
      <c r="AF296">
        <v>17</v>
      </c>
      <c r="AG296">
        <v>2.62</v>
      </c>
      <c r="AH296">
        <v>2.88</v>
      </c>
      <c r="AI296" s="10">
        <v>114</v>
      </c>
      <c r="AJ296" t="str">
        <f>CONCATENATE(VLOOKUP(AK296, 'Voxel Sizes'!$A$2:$B$18,2,FALSE),"x",INT(AG296*15), "x", INT(AH296*15))</f>
        <v>164x39x43</v>
      </c>
      <c r="AK296">
        <f t="shared" si="142"/>
        <v>10</v>
      </c>
      <c r="AM296" t="str">
        <f>CONCATENATE(VLOOKUP(AK296,Constants!$A$2:$C$16,IF(AL296&lt;&gt;"", 3, 2), FALSE),IF(AL296&lt;&gt;"",CONCATENATE(",",VLOOKUP(AL296,$B:$AM,38,FALSE)),""))</f>
        <v>4,2,4</v>
      </c>
      <c r="AQ296" t="s">
        <v>1428</v>
      </c>
      <c r="AS296" t="s">
        <v>291</v>
      </c>
      <c r="AW296">
        <v>39</v>
      </c>
      <c r="AX296" s="15" t="str">
        <f t="shared" si="143"/>
        <v/>
      </c>
      <c r="AY296">
        <v>-25</v>
      </c>
      <c r="BA296">
        <f t="shared" si="144"/>
        <v>9</v>
      </c>
      <c r="BB296">
        <f t="shared" si="145"/>
        <v>4.6500000000000004</v>
      </c>
      <c r="BC296">
        <f t="shared" si="146"/>
        <v>2.75</v>
      </c>
      <c r="BD296" s="3">
        <f t="shared" si="147"/>
        <v>0.9</v>
      </c>
      <c r="BE296">
        <f t="shared" si="148"/>
        <v>11.400000000000002</v>
      </c>
      <c r="BF296">
        <f>VLOOKUP($G296,Constants!$I:$K, 2, FALSE)</f>
        <v>0.9</v>
      </c>
      <c r="BG296">
        <f>VLOOKUP($G296,Constants!$I:$K, 3, FALSE)*IF(AND(F296="multiple_unit",AA296&lt;110),0.75,1)</f>
        <v>1.2000000000000002</v>
      </c>
      <c r="BH296">
        <f>INT(POWER(((Constants!$G$2+$BA296+$BB296+$BC296+$BE296)*$BD296)*$BG296, 1.05))+$AZ296</f>
        <v>42</v>
      </c>
      <c r="BI296">
        <f>INT(POWER((((Constants!$G$1+$BA296+$BB296+$BC296+$BE296)*($BD296))*$BF296),IF($F296="wagon",1,1.2)))+$AY296</f>
        <v>45</v>
      </c>
      <c r="BJ296" s="14">
        <f t="shared" si="149"/>
        <v>32812.5</v>
      </c>
      <c r="BK296" s="14">
        <f t="shared" si="150"/>
        <v>3656.25</v>
      </c>
      <c r="BR296">
        <v>9</v>
      </c>
      <c r="BS296">
        <v>120</v>
      </c>
      <c r="BU296" t="s">
        <v>282</v>
      </c>
      <c r="BV296" t="str">
        <f>VLOOKUP(I296,Eras!$A$2:$C$10, 2, TRUE)</f>
        <v>lbr</v>
      </c>
      <c r="BW296" t="s">
        <v>344</v>
      </c>
      <c r="BX296" t="str">
        <f t="shared" si="151"/>
        <v>lbr_LU</v>
      </c>
      <c r="BY296" t="str">
        <f t="shared" si="152"/>
        <v>tube_FOURTH_RAIL</v>
      </c>
      <c r="BZ296" s="17" t="str" cm="1">
        <f t="array" ref="BZ296">_xlfn.CONCAT("{BLACK}Length: {GOLD}", TEXT(ROUNDUP(IF(AP296&lt;&gt;"",SUM(VALUE(_xlfn.TEXTSPLIT(AP296, ","))), SUM(VALUE(_xlfn.TEXTSPLIT(AM296, ",")))*IF(L296, L296, 1))/16, 1), "#,##0.0"), " tiles{}")</f>
        <v>{BLACK}Length: {GOLD}1.9 tiles{}</v>
      </c>
      <c r="CA296" t="str">
        <f>VLOOKUP($BY296, Constants!$M:$N, 2, FALSE)</f>
        <v>{BLACK}Powered by: {GOLD}630V DC</v>
      </c>
      <c r="CB296" t="str">
        <f t="shared" si="153"/>
        <v>{BLACK}Cars: {GOLD}3</v>
      </c>
      <c r="CC296" t="s">
        <v>1429</v>
      </c>
      <c r="CD296" t="str">
        <f t="shared" si="154"/>
        <v>{YELLOW}35% Penalty for long distance travel{}</v>
      </c>
      <c r="CE296" t="str">
        <f t="shared" si="140"/>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7" spans="1:83" x14ac:dyDescent="0.25">
      <c r="A297" t="s">
        <v>1465</v>
      </c>
      <c r="B297" t="s">
        <v>1469</v>
      </c>
      <c r="C297">
        <v>732</v>
      </c>
      <c r="D297">
        <v>201</v>
      </c>
      <c r="E297" t="s">
        <v>1508</v>
      </c>
      <c r="F297" t="s">
        <v>403</v>
      </c>
      <c r="G297" t="s">
        <v>1108</v>
      </c>
      <c r="H297" t="s">
        <v>1410</v>
      </c>
      <c r="I297">
        <v>1975</v>
      </c>
      <c r="L297">
        <v>3</v>
      </c>
      <c r="M297">
        <v>930</v>
      </c>
      <c r="V297">
        <f>27+26+18</f>
        <v>71</v>
      </c>
      <c r="X297">
        <v>10</v>
      </c>
      <c r="Y297">
        <v>55</v>
      </c>
      <c r="Z297" s="3">
        <f t="shared" si="141"/>
        <v>7.746478873239436E-2</v>
      </c>
      <c r="AA297">
        <v>45</v>
      </c>
      <c r="AB297">
        <f t="shared" si="157"/>
        <v>72</v>
      </c>
      <c r="AE297">
        <v>17.47</v>
      </c>
      <c r="AF297">
        <v>17</v>
      </c>
      <c r="AG297">
        <v>2.62</v>
      </c>
      <c r="AH297">
        <v>2.88</v>
      </c>
      <c r="AJ297" t="str">
        <f>CONCATENATE(VLOOKUP(AK297, 'Voxel Sizes'!$A$2:$B$18,2,FALSE),"x",INT(AG297*15), "x", INT(AH297*15))</f>
        <v>164x39x43</v>
      </c>
      <c r="AK297">
        <f t="shared" si="142"/>
        <v>10</v>
      </c>
      <c r="AM297" t="str">
        <f>CONCATENATE(VLOOKUP(AK297,Constants!$A$2:$C$16,IF(AL297&lt;&gt;"", 3, 2), FALSE),IF(AL297&lt;&gt;"",CONCATENATE(",",VLOOKUP(AL297,$B:$AM,38,FALSE)),""))</f>
        <v>4,2,4</v>
      </c>
      <c r="AQ297" t="s">
        <v>1428</v>
      </c>
      <c r="AS297" t="s">
        <v>1466</v>
      </c>
      <c r="AT297" t="s">
        <v>198</v>
      </c>
      <c r="AW297">
        <v>39</v>
      </c>
      <c r="AX297" s="15" t="str">
        <f t="shared" si="143"/>
        <v/>
      </c>
      <c r="AY297">
        <v>-25</v>
      </c>
      <c r="BA297">
        <f t="shared" si="144"/>
        <v>9</v>
      </c>
      <c r="BB297">
        <f t="shared" si="145"/>
        <v>4.6500000000000004</v>
      </c>
      <c r="BC297">
        <f t="shared" si="146"/>
        <v>2.75</v>
      </c>
      <c r="BD297" s="3">
        <f t="shared" si="147"/>
        <v>0.9</v>
      </c>
      <c r="BE297">
        <f t="shared" si="148"/>
        <v>0</v>
      </c>
      <c r="BF297">
        <f>VLOOKUP($G297,Constants!$I:$K, 2, FALSE)</f>
        <v>0.9</v>
      </c>
      <c r="BG297">
        <f>VLOOKUP($G297,Constants!$I:$K, 3, FALSE)*IF(AND(F297="multiple_unit",AA297&lt;110),0.75,1)</f>
        <v>1.2000000000000002</v>
      </c>
      <c r="BH297">
        <f>INT(POWER(((Constants!$G$2+$BA297+$BB297+$BC297+$BE297)*$BD297)*$BG297, 1.05))+$AZ297</f>
        <v>27</v>
      </c>
      <c r="BI297">
        <f>INT(POWER((((Constants!$G$1+$BA297+$BB297+$BC297+$BE297)*($BD297))*$BF297),IF($F297="wagon",1,1.2)))+$AY297</f>
        <v>23</v>
      </c>
      <c r="BJ297" s="14">
        <f t="shared" si="149"/>
        <v>21093.75</v>
      </c>
      <c r="BK297" s="14">
        <f t="shared" si="150"/>
        <v>1868.75</v>
      </c>
      <c r="BQ297" t="s">
        <v>1468</v>
      </c>
      <c r="BR297">
        <v>9</v>
      </c>
      <c r="BS297">
        <v>120</v>
      </c>
      <c r="BU297" t="s">
        <v>282</v>
      </c>
      <c r="BV297" t="str">
        <f>VLOOKUP(I297,Eras!$A$2:$C$10, 2, TRUE)</f>
        <v>lbr</v>
      </c>
      <c r="BW297" t="s">
        <v>344</v>
      </c>
      <c r="BX297" t="str">
        <f t="shared" si="151"/>
        <v>lbr_LU</v>
      </c>
      <c r="BY297" t="str">
        <f t="shared" si="152"/>
        <v>tube_FOURTH_RAIL</v>
      </c>
      <c r="BZ297" s="17" t="str" cm="1">
        <f t="array" ref="BZ297">_xlfn.CONCAT("{BLACK}Length: {GOLD}", TEXT(ROUNDUP(IF(AP297&lt;&gt;"",SUM(VALUE(_xlfn.TEXTSPLIT(AP297, ","))), SUM(VALUE(_xlfn.TEXTSPLIT(AM297, ",")))*IF(L297, L297, 1))/16, 1), "#,##0.0"), " tiles{}")</f>
        <v>{BLACK}Length: {GOLD}1.9 tiles{}</v>
      </c>
      <c r="CA297" t="str">
        <f>VLOOKUP($BY297, Constants!$M:$N, 2, FALSE)</f>
        <v>{BLACK}Powered by: {GOLD}630V DC</v>
      </c>
      <c r="CB297" t="str">
        <f t="shared" si="153"/>
        <v>{BLACK}Cars: {GOLD}3</v>
      </c>
      <c r="CC297" t="s">
        <v>1467</v>
      </c>
      <c r="CD297" t="str">
        <f t="shared" si="154"/>
        <v>{YELLOW}35% Penalty for long distance travel{}</v>
      </c>
      <c r="CE297" t="str">
        <f t="shared" si="140"/>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298" spans="1:83" x14ac:dyDescent="0.25">
      <c r="A298" t="s">
        <v>105</v>
      </c>
      <c r="B298" t="s">
        <v>199</v>
      </c>
      <c r="C298">
        <v>736</v>
      </c>
      <c r="D298">
        <v>202</v>
      </c>
      <c r="E298" t="s">
        <v>1508</v>
      </c>
      <c r="F298" t="s">
        <v>403</v>
      </c>
      <c r="G298" t="s">
        <v>1108</v>
      </c>
      <c r="H298" t="s">
        <v>1410</v>
      </c>
      <c r="I298">
        <v>1980</v>
      </c>
      <c r="K298">
        <v>2017</v>
      </c>
      <c r="L298">
        <v>3</v>
      </c>
      <c r="M298">
        <v>980</v>
      </c>
      <c r="V298">
        <f>27+26+18</f>
        <v>71</v>
      </c>
      <c r="X298">
        <v>10</v>
      </c>
      <c r="Y298">
        <v>60</v>
      </c>
      <c r="Z298" s="3">
        <f t="shared" si="141"/>
        <v>8.4507042253521125E-2</v>
      </c>
      <c r="AA298">
        <v>50</v>
      </c>
      <c r="AB298">
        <f t="shared" si="157"/>
        <v>80</v>
      </c>
      <c r="AE298">
        <v>18.37</v>
      </c>
      <c r="AF298">
        <v>18.37</v>
      </c>
      <c r="AG298">
        <v>2.85</v>
      </c>
      <c r="AH298">
        <v>3.62</v>
      </c>
      <c r="AI298" s="10">
        <v>138</v>
      </c>
      <c r="AJ298" t="str">
        <f>CONCATENATE(VLOOKUP(AK298, 'Voxel Sizes'!$A$2:$B$18,2,FALSE),"x",INT(AG298*15), "x", INT(AH298*15))</f>
        <v>186x42x54</v>
      </c>
      <c r="AK298">
        <f t="shared" si="142"/>
        <v>11</v>
      </c>
      <c r="AM298" t="str">
        <f>CONCATENATE(VLOOKUP(AK298,Constants!$A$2:$C$16,IF(AL298&lt;&gt;"", 3, 2), FALSE),IF(AL298&lt;&gt;"",CONCATENATE(",",VLOOKUP(AL298,$B:$AM,38,FALSE)),""))</f>
        <v>4,3,4</v>
      </c>
      <c r="AQ298" t="s">
        <v>1426</v>
      </c>
      <c r="AS298" t="s">
        <v>291</v>
      </c>
      <c r="AW298">
        <v>33</v>
      </c>
      <c r="AX298" s="15">
        <f t="shared" si="143"/>
        <v>45</v>
      </c>
      <c r="AY298">
        <v>-25</v>
      </c>
      <c r="BA298">
        <f t="shared" si="144"/>
        <v>10</v>
      </c>
      <c r="BB298">
        <f t="shared" si="145"/>
        <v>4.9000000000000004</v>
      </c>
      <c r="BC298">
        <f t="shared" si="146"/>
        <v>3</v>
      </c>
      <c r="BD298" s="3">
        <f t="shared" si="147"/>
        <v>0.89333333333333331</v>
      </c>
      <c r="BE298">
        <f t="shared" si="148"/>
        <v>13.8</v>
      </c>
      <c r="BF298">
        <f>VLOOKUP($G298,Constants!$I:$K, 2, FALSE)</f>
        <v>0.9</v>
      </c>
      <c r="BG298">
        <f>VLOOKUP($G298,Constants!$I:$K, 3, FALSE)*IF(AND(F298="multiple_unit",AA298&lt;110),0.75,1)</f>
        <v>1.2000000000000002</v>
      </c>
      <c r="BH298">
        <f>INT(POWER(((Constants!$G$2+$BA298+$BB298+$BC298+$BE298)*$BD298)*$BG298, 1.05))+$AZ298</f>
        <v>47</v>
      </c>
      <c r="BI298">
        <f>INT(POWER((((Constants!$G$1+$BA298+$BB298+$BC298+$BE298)*($BD298))*$BF298),IF($F298="wagon",1,1.2)))+$AY298</f>
        <v>52</v>
      </c>
      <c r="BJ298" s="14">
        <f t="shared" si="149"/>
        <v>36718.75</v>
      </c>
      <c r="BK298" s="14">
        <f t="shared" si="150"/>
        <v>4225</v>
      </c>
      <c r="BR298">
        <v>11</v>
      </c>
      <c r="BS298">
        <v>120</v>
      </c>
      <c r="BU298" t="s">
        <v>282</v>
      </c>
      <c r="BV298" t="str">
        <f>VLOOKUP(I298,Eras!$A$2:$C$10, 2, TRUE)</f>
        <v>lbr</v>
      </c>
      <c r="BW298" t="s">
        <v>344</v>
      </c>
      <c r="BX298" t="str">
        <f t="shared" si="151"/>
        <v>lbr_LU</v>
      </c>
      <c r="BY298" t="str">
        <f t="shared" si="152"/>
        <v>tube_FOURTH_RAIL</v>
      </c>
      <c r="BZ298" s="17" t="str" cm="1">
        <f t="array" ref="BZ298">_xlfn.CONCAT("{BLACK}Length: {GOLD}", TEXT(ROUNDUP(IF(AP298&lt;&gt;"",SUM(VALUE(_xlfn.TEXTSPLIT(AP298, ","))), SUM(VALUE(_xlfn.TEXTSPLIT(AM298, ",")))*IF(L298, L298, 1))/16, 1), "#,##0.0"), " tiles{}")</f>
        <v>{BLACK}Length: {GOLD}2.1 tiles{}</v>
      </c>
      <c r="CA298" t="str">
        <f>VLOOKUP($BY298, Constants!$M:$N, 2, FALSE)</f>
        <v>{BLACK}Powered by: {GOLD}630V DC</v>
      </c>
      <c r="CB298" t="str">
        <f t="shared" si="153"/>
        <v>{BLACK}Cars: {GOLD}3</v>
      </c>
      <c r="CC298" t="s">
        <v>1427</v>
      </c>
      <c r="CD298" t="str">
        <f t="shared" si="154"/>
        <v>{YELLOW}35% Penalty for long distance travel{}</v>
      </c>
      <c r="CE298" t="str">
        <f t="shared" si="140"/>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299" spans="1:83" x14ac:dyDescent="0.25">
      <c r="A299" t="s">
        <v>106</v>
      </c>
      <c r="B299" t="s">
        <v>200</v>
      </c>
      <c r="C299">
        <v>738</v>
      </c>
      <c r="D299">
        <v>203</v>
      </c>
      <c r="E299" t="s">
        <v>1508</v>
      </c>
      <c r="F299" t="s">
        <v>403</v>
      </c>
      <c r="G299" t="s">
        <v>1108</v>
      </c>
      <c r="H299" t="s">
        <v>1410</v>
      </c>
      <c r="I299">
        <v>1993</v>
      </c>
      <c r="L299">
        <v>4</v>
      </c>
      <c r="M299">
        <v>1150</v>
      </c>
      <c r="V299">
        <f>20+22+29+22</f>
        <v>93</v>
      </c>
      <c r="X299">
        <v>10</v>
      </c>
      <c r="Y299">
        <v>70</v>
      </c>
      <c r="Z299" s="3">
        <f t="shared" si="141"/>
        <v>7.5268817204301078E-2</v>
      </c>
      <c r="AA299">
        <v>62</v>
      </c>
      <c r="AB299">
        <f t="shared" si="157"/>
        <v>99</v>
      </c>
      <c r="AE299">
        <v>16.25</v>
      </c>
      <c r="AF299">
        <v>16.25</v>
      </c>
      <c r="AG299">
        <v>2.62</v>
      </c>
      <c r="AH299">
        <v>2.87</v>
      </c>
      <c r="AI299" s="10">
        <v>114</v>
      </c>
      <c r="AJ299" t="str">
        <f>CONCATENATE(VLOOKUP(AK299, 'Voxel Sizes'!$A$2:$B$18,2,FALSE),"x",INT(AG299*15), "x", INT(AH299*15))</f>
        <v>164x39x43</v>
      </c>
      <c r="AK299">
        <f t="shared" si="142"/>
        <v>10</v>
      </c>
      <c r="AM299" t="str">
        <f>CONCATENATE(VLOOKUP(AK299,Constants!$A$2:$C$16,IF(AL299&lt;&gt;"", 3, 2), FALSE),IF(AL299&lt;&gt;"",CONCATENATE(",",VLOOKUP(AL299,$B:$AM,38,FALSE)),""))</f>
        <v>4,2,4</v>
      </c>
      <c r="AQ299" t="s">
        <v>1430</v>
      </c>
      <c r="AS299" t="s">
        <v>464</v>
      </c>
      <c r="AW299">
        <v>29</v>
      </c>
      <c r="AX299" s="15" t="str">
        <f t="shared" si="143"/>
        <v/>
      </c>
      <c r="AY299">
        <v>-22</v>
      </c>
      <c r="BA299">
        <f t="shared" si="144"/>
        <v>12.4</v>
      </c>
      <c r="BB299">
        <f t="shared" si="145"/>
        <v>5.75</v>
      </c>
      <c r="BC299">
        <f t="shared" si="146"/>
        <v>3.5</v>
      </c>
      <c r="BD299" s="3">
        <f t="shared" si="147"/>
        <v>0.876</v>
      </c>
      <c r="BE299">
        <f t="shared" si="148"/>
        <v>15.2</v>
      </c>
      <c r="BF299">
        <f>VLOOKUP($G299,Constants!$I:$K, 2, FALSE)</f>
        <v>0.9</v>
      </c>
      <c r="BG299">
        <f>VLOOKUP($G299,Constants!$I:$K, 3, FALSE)*IF(AND(F299="multiple_unit",AA299&lt;110),0.75,1)</f>
        <v>1.2000000000000002</v>
      </c>
      <c r="BH299">
        <f>INT(POWER(((Constants!$G$2+$BA299+$BB299+$BC299+$BE299)*$BD299)*$BG299, 1.05))+$AZ299</f>
        <v>53</v>
      </c>
      <c r="BI299">
        <f>INT(POWER((((Constants!$G$1+$BA299+$BB299+$BC299+$BE299)*($BD299))*$BF299),IF($F299="wagon",1,1.2)))+$AY299</f>
        <v>63</v>
      </c>
      <c r="BJ299" s="14">
        <f t="shared" si="149"/>
        <v>41406.25</v>
      </c>
      <c r="BK299" s="14">
        <f t="shared" si="150"/>
        <v>5118.75</v>
      </c>
      <c r="BR299">
        <v>3</v>
      </c>
      <c r="BS299">
        <v>120</v>
      </c>
      <c r="BU299" t="s">
        <v>282</v>
      </c>
      <c r="BV299" t="str">
        <f>VLOOKUP(I299,Eras!$A$2:$C$10, 2, TRUE)</f>
        <v>lbr</v>
      </c>
      <c r="BW299" t="s">
        <v>344</v>
      </c>
      <c r="BX299" t="str">
        <f t="shared" si="151"/>
        <v>lbr_LU</v>
      </c>
      <c r="BY299" t="str">
        <f t="shared" si="152"/>
        <v>tube_FOURTH_RAIL</v>
      </c>
      <c r="BZ299" s="17" t="str" cm="1">
        <f t="array" ref="BZ299">_xlfn.CONCAT("{BLACK}Length: {GOLD}", TEXT(ROUNDUP(IF(AP299&lt;&gt;"",SUM(VALUE(_xlfn.TEXTSPLIT(AP299, ","))), SUM(VALUE(_xlfn.TEXTSPLIT(AM299, ",")))*IF(L299, L299, 1))/16, 1), "#,##0.0"), " tiles{}")</f>
        <v>{BLACK}Length: {GOLD}2.5 tiles{}</v>
      </c>
      <c r="CA299" t="str">
        <f>VLOOKUP($BY299, Constants!$M:$N, 2, FALSE)</f>
        <v>{BLACK}Powered by: {GOLD}630V DC</v>
      </c>
      <c r="CB299" t="str">
        <f t="shared" si="153"/>
        <v>{BLACK}Cars: {GOLD}4</v>
      </c>
      <c r="CC299" t="s">
        <v>1431</v>
      </c>
      <c r="CD299" t="str">
        <f t="shared" si="154"/>
        <v>{YELLOW}35% Penalty for long distance travel{}</v>
      </c>
      <c r="CE299" t="str">
        <f t="shared" si="140"/>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0" spans="1:83" x14ac:dyDescent="0.25">
      <c r="A300" t="s">
        <v>1432</v>
      </c>
      <c r="B300" t="s">
        <v>227</v>
      </c>
      <c r="C300">
        <v>740</v>
      </c>
      <c r="D300">
        <v>204</v>
      </c>
      <c r="E300" t="s">
        <v>1508</v>
      </c>
      <c r="F300" t="s">
        <v>403</v>
      </c>
      <c r="G300" t="s">
        <v>1108</v>
      </c>
      <c r="H300" t="s">
        <v>1410</v>
      </c>
      <c r="I300">
        <v>1996</v>
      </c>
      <c r="L300">
        <v>3</v>
      </c>
      <c r="M300">
        <v>1200</v>
      </c>
      <c r="V300">
        <f>29+27+21</f>
        <v>77</v>
      </c>
      <c r="X300">
        <v>10</v>
      </c>
      <c r="Y300">
        <v>65</v>
      </c>
      <c r="Z300" s="3">
        <f t="shared" si="141"/>
        <v>8.4415584415584416E-2</v>
      </c>
      <c r="AA300">
        <v>62</v>
      </c>
      <c r="AB300">
        <f t="shared" si="157"/>
        <v>99</v>
      </c>
      <c r="AE300">
        <v>17.77</v>
      </c>
      <c r="AF300">
        <v>17.77</v>
      </c>
      <c r="AG300">
        <v>2.63</v>
      </c>
      <c r="AH300">
        <v>2.87</v>
      </c>
      <c r="AI300" s="10">
        <v>108</v>
      </c>
      <c r="AJ300" t="str">
        <f>CONCATENATE(VLOOKUP(AK300, 'Voxel Sizes'!$A$2:$B$18,2,FALSE),"x",INT(AG300*15), "x", INT(AH300*15))</f>
        <v>164x39x43</v>
      </c>
      <c r="AK300">
        <f t="shared" si="142"/>
        <v>10</v>
      </c>
      <c r="AM300" t="str">
        <f>CONCATENATE(VLOOKUP(AK300,Constants!$A$2:$C$16,IF(AL300&lt;&gt;"", 3, 2), FALSE),IF(AL300&lt;&gt;"",CONCATENATE(",",VLOOKUP(AL300,$B:$AM,38,FALSE)),""))</f>
        <v>4,2,4</v>
      </c>
      <c r="AQ300" t="s">
        <v>1438</v>
      </c>
      <c r="AS300" t="s">
        <v>291</v>
      </c>
      <c r="AW300">
        <v>32</v>
      </c>
      <c r="AX300" s="15" t="str">
        <f t="shared" si="143"/>
        <v/>
      </c>
      <c r="AY300">
        <v>-25</v>
      </c>
      <c r="AZ300">
        <v>5</v>
      </c>
      <c r="BA300">
        <f t="shared" si="144"/>
        <v>12.4</v>
      </c>
      <c r="BB300">
        <f t="shared" si="145"/>
        <v>6</v>
      </c>
      <c r="BC300">
        <f t="shared" si="146"/>
        <v>3.25</v>
      </c>
      <c r="BD300" s="3">
        <f t="shared" si="147"/>
        <v>0.872</v>
      </c>
      <c r="BE300">
        <f t="shared" si="148"/>
        <v>10.8</v>
      </c>
      <c r="BF300">
        <f>VLOOKUP($G300,Constants!$I:$K, 2, FALSE)</f>
        <v>0.9</v>
      </c>
      <c r="BG300">
        <f>VLOOKUP($G300,Constants!$I:$K, 3, FALSE)*IF(AND(F300="multiple_unit",AA300&lt;110),0.75,1)</f>
        <v>1.2000000000000002</v>
      </c>
      <c r="BH300">
        <f>INT(POWER(((Constants!$G$2+$BA300+$BB300+$BC300+$BE300)*$BD300)*$BG300, 1.05))+$AZ300</f>
        <v>52</v>
      </c>
      <c r="BI300">
        <f>INT(POWER((((Constants!$G$1+$BA300+$BB300+$BC300+$BE300)*($BD300))*$BF300),IF($F300="wagon",1,1.2)))+$AY300</f>
        <v>51</v>
      </c>
      <c r="BJ300" s="14">
        <f t="shared" si="149"/>
        <v>40625</v>
      </c>
      <c r="BK300" s="14">
        <f t="shared" si="150"/>
        <v>4143.75</v>
      </c>
      <c r="BR300">
        <v>2</v>
      </c>
      <c r="BS300">
        <v>120</v>
      </c>
      <c r="BU300" t="s">
        <v>282</v>
      </c>
      <c r="BV300" t="str">
        <f>VLOOKUP(I300,Eras!$A$2:$C$10, 2, TRUE)</f>
        <v>prv</v>
      </c>
      <c r="BW300" t="s">
        <v>344</v>
      </c>
      <c r="BX300" t="str">
        <f t="shared" si="151"/>
        <v>prv_LU</v>
      </c>
      <c r="BY300" t="str">
        <f t="shared" si="152"/>
        <v>tube_FOURTH_RAIL</v>
      </c>
      <c r="BZ300" s="17" t="str" cm="1">
        <f t="array" ref="BZ300">_xlfn.CONCAT("{BLACK}Length: {GOLD}", TEXT(ROUNDUP(IF(AP300&lt;&gt;"",SUM(VALUE(_xlfn.TEXTSPLIT(AP300, ","))), SUM(VALUE(_xlfn.TEXTSPLIT(AM300, ",")))*IF(L300, L300, 1))/16, 1), "#,##0.0"), " tiles{}")</f>
        <v>{BLACK}Length: {GOLD}1.9 tiles{}</v>
      </c>
      <c r="CA300" t="str">
        <f>VLOOKUP($BY300, Constants!$M:$N, 2, FALSE)</f>
        <v>{BLACK}Powered by: {GOLD}630V DC</v>
      </c>
      <c r="CB300" t="str">
        <f t="shared" si="153"/>
        <v>{BLACK}Cars: {GOLD}3</v>
      </c>
      <c r="CC300" t="s">
        <v>1433</v>
      </c>
      <c r="CD300" t="str">
        <f t="shared" si="154"/>
        <v>{YELLOW}35% Penalty for long distance travel{}</v>
      </c>
      <c r="CE300" t="str">
        <f t="shared" si="140"/>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01" spans="1:83" x14ac:dyDescent="0.25">
      <c r="A301" t="s">
        <v>107</v>
      </c>
      <c r="B301" t="s">
        <v>201</v>
      </c>
      <c r="C301">
        <v>742</v>
      </c>
      <c r="D301">
        <v>205</v>
      </c>
      <c r="E301" t="s">
        <v>1508</v>
      </c>
      <c r="F301" t="s">
        <v>403</v>
      </c>
      <c r="G301" t="s">
        <v>1108</v>
      </c>
      <c r="H301" t="s">
        <v>1410</v>
      </c>
      <c r="I301">
        <v>2009</v>
      </c>
      <c r="L301">
        <v>4</v>
      </c>
      <c r="M301">
        <v>1200</v>
      </c>
      <c r="V301">
        <f>197.3/2</f>
        <v>98.65</v>
      </c>
      <c r="X301">
        <v>10</v>
      </c>
      <c r="Y301">
        <v>75</v>
      </c>
      <c r="Z301" s="3">
        <f t="shared" si="141"/>
        <v>7.6026355803345158E-2</v>
      </c>
      <c r="AA301">
        <v>50</v>
      </c>
      <c r="AB301">
        <f t="shared" si="157"/>
        <v>80</v>
      </c>
      <c r="AE301">
        <v>16.594999999999999</v>
      </c>
      <c r="AF301">
        <v>16.594999999999999</v>
      </c>
      <c r="AG301">
        <v>2.68</v>
      </c>
      <c r="AH301">
        <v>2.883</v>
      </c>
      <c r="AI301" s="10">
        <v>141</v>
      </c>
      <c r="AJ301" t="str">
        <f>CONCATENATE(VLOOKUP(AK301, 'Voxel Sizes'!$A$2:$B$18,2,FALSE),"x",INT(AG301*15), "x", INT(AH301*15))</f>
        <v>164x40x43</v>
      </c>
      <c r="AK301">
        <f t="shared" si="142"/>
        <v>10</v>
      </c>
      <c r="AM301" t="str">
        <f>CONCATENATE(VLOOKUP(AK301,Constants!$A$2:$C$16,IF(AL301&lt;&gt;"", 3, 2), FALSE),IF(AL301&lt;&gt;"",CONCATENATE(",",VLOOKUP(AL301,$B:$AM,38,FALSE)),""))</f>
        <v>4,2,4</v>
      </c>
      <c r="AQ301" t="s">
        <v>1439</v>
      </c>
      <c r="AS301" t="s">
        <v>464</v>
      </c>
      <c r="AW301">
        <v>31</v>
      </c>
      <c r="AX301" s="15" t="str">
        <f t="shared" si="143"/>
        <v/>
      </c>
      <c r="AY301">
        <v>-25</v>
      </c>
      <c r="AZ301">
        <v>-8</v>
      </c>
      <c r="BA301">
        <f t="shared" si="144"/>
        <v>10</v>
      </c>
      <c r="BB301">
        <f t="shared" si="145"/>
        <v>6</v>
      </c>
      <c r="BC301">
        <f t="shared" si="146"/>
        <v>3.75</v>
      </c>
      <c r="BD301" s="3">
        <f t="shared" si="147"/>
        <v>0.85466666666666669</v>
      </c>
      <c r="BE301">
        <f t="shared" si="148"/>
        <v>18.799999999999997</v>
      </c>
      <c r="BF301">
        <f>VLOOKUP($G301,Constants!$I:$K, 2, FALSE)</f>
        <v>0.9</v>
      </c>
      <c r="BG301">
        <f>VLOOKUP($G301,Constants!$I:$K, 3, FALSE)*IF(AND(F301="multiple_unit",AA301&lt;110),0.75,1)</f>
        <v>1.2000000000000002</v>
      </c>
      <c r="BH301">
        <f>INT(POWER(((Constants!$G$2+$BA301+$BB301+$BC301+$BE301)*$BD301)*$BG301, 1.05))+$AZ301</f>
        <v>46</v>
      </c>
      <c r="BI301">
        <f>INT(POWER((((Constants!$G$1+$BA301+$BB301+$BC301+$BE301)*($BD301))*$BF301),IF($F301="wagon",1,1.2)))+$AY301</f>
        <v>61</v>
      </c>
      <c r="BJ301" s="14">
        <f t="shared" si="149"/>
        <v>35937.5</v>
      </c>
      <c r="BK301" s="14">
        <f t="shared" si="150"/>
        <v>4956.25</v>
      </c>
      <c r="BR301">
        <v>12</v>
      </c>
      <c r="BS301">
        <v>120</v>
      </c>
      <c r="BU301" t="s">
        <v>282</v>
      </c>
      <c r="BV301" t="str">
        <f>VLOOKUP(I301,Eras!$A$2:$C$10, 2, TRUE)</f>
        <v>mod</v>
      </c>
      <c r="BW301" t="s">
        <v>344</v>
      </c>
      <c r="BX301" t="str">
        <f t="shared" si="151"/>
        <v>mod_LU</v>
      </c>
      <c r="BY301" t="str">
        <f t="shared" si="152"/>
        <v>tube_FOURTH_RAIL</v>
      </c>
      <c r="BZ301" s="17" t="str" cm="1">
        <f t="array" ref="BZ301">_xlfn.CONCAT("{BLACK}Length: {GOLD}", TEXT(ROUNDUP(IF(AP301&lt;&gt;"",SUM(VALUE(_xlfn.TEXTSPLIT(AP301, ","))), SUM(VALUE(_xlfn.TEXTSPLIT(AM301, ",")))*IF(L301, L301, 1))/16, 1), "#,##0.0"), " tiles{}")</f>
        <v>{BLACK}Length: {GOLD}2.5 tiles{}</v>
      </c>
      <c r="CA301" t="str">
        <f>VLOOKUP($BY301, Constants!$M:$N, 2, FALSE)</f>
        <v>{BLACK}Powered by: {GOLD}630V DC</v>
      </c>
      <c r="CB301" t="str">
        <f t="shared" si="153"/>
        <v>{BLACK}Cars: {GOLD}4</v>
      </c>
      <c r="CC301" t="s">
        <v>1440</v>
      </c>
      <c r="CD301" t="str">
        <f t="shared" si="154"/>
        <v>{YELLOW}35% Penalty for long distance travel{}</v>
      </c>
      <c r="CE301" t="str">
        <f t="shared" si="140"/>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02" spans="1:83" x14ac:dyDescent="0.25">
      <c r="A302" t="s">
        <v>1441</v>
      </c>
      <c r="B302" t="s">
        <v>202</v>
      </c>
      <c r="C302">
        <v>744</v>
      </c>
      <c r="D302">
        <v>206</v>
      </c>
      <c r="E302" t="s">
        <v>1508</v>
      </c>
      <c r="F302" t="s">
        <v>403</v>
      </c>
      <c r="G302" t="s">
        <v>1108</v>
      </c>
      <c r="H302" t="s">
        <v>1410</v>
      </c>
      <c r="I302">
        <v>2010</v>
      </c>
      <c r="L302">
        <v>7</v>
      </c>
      <c r="M302">
        <v>2400</v>
      </c>
      <c r="V302">
        <v>213.7</v>
      </c>
      <c r="X302">
        <v>10</v>
      </c>
      <c r="Y302">
        <v>180</v>
      </c>
      <c r="Z302" s="3">
        <f t="shared" si="141"/>
        <v>8.4230229293401959E-2</v>
      </c>
      <c r="AA302">
        <v>62</v>
      </c>
      <c r="AB302">
        <f t="shared" si="157"/>
        <v>99</v>
      </c>
      <c r="AE302">
        <v>17.45</v>
      </c>
      <c r="AF302">
        <v>17.45</v>
      </c>
      <c r="AG302">
        <v>2.92</v>
      </c>
      <c r="AH302">
        <v>3.68</v>
      </c>
      <c r="AI302" s="10">
        <v>156</v>
      </c>
      <c r="AJ302" t="str">
        <f>CONCATENATE(VLOOKUP(AK302, 'Voxel Sizes'!$A$2:$B$18,2,FALSE),"x",INT(AG302*15), "x", INT(AH302*15))</f>
        <v>164x43x55</v>
      </c>
      <c r="AK302">
        <f t="shared" si="142"/>
        <v>10</v>
      </c>
      <c r="AM302" t="str">
        <f>CONCATENATE(VLOOKUP(AK302,Constants!$A$2:$C$16,IF(AL302&lt;&gt;"", 3, 2), FALSE),IF(AL302&lt;&gt;"",CONCATENATE(",",VLOOKUP(AL302,$B:$AM,38,FALSE)),""))</f>
        <v>4,2,4</v>
      </c>
      <c r="AQ302" t="s">
        <v>1442</v>
      </c>
      <c r="AS302" t="s">
        <v>1443</v>
      </c>
      <c r="AW302">
        <v>34</v>
      </c>
      <c r="AX302" s="15" t="str">
        <f t="shared" si="143"/>
        <v/>
      </c>
      <c r="AY302">
        <v>-25</v>
      </c>
      <c r="BA302">
        <f t="shared" si="144"/>
        <v>12.4</v>
      </c>
      <c r="BB302">
        <f t="shared" si="145"/>
        <v>12</v>
      </c>
      <c r="BC302">
        <f t="shared" si="146"/>
        <v>9</v>
      </c>
      <c r="BD302" s="3">
        <f t="shared" si="147"/>
        <v>0.85333333333333328</v>
      </c>
      <c r="BE302">
        <f t="shared" si="148"/>
        <v>36.4</v>
      </c>
      <c r="BF302">
        <f>VLOOKUP($G302,Constants!$I:$K, 2, FALSE)</f>
        <v>0.9</v>
      </c>
      <c r="BG302">
        <f>VLOOKUP($G302,Constants!$I:$K, 3, FALSE)*IF(AND(F302="multiple_unit",AA302&lt;110),0.75,1)</f>
        <v>1.2000000000000002</v>
      </c>
      <c r="BH302">
        <f>INT(POWER(((Constants!$G$2+$BA302+$BB302+$BC302+$BE302)*$BD302)*$BG302, 1.05))+$AZ302</f>
        <v>95</v>
      </c>
      <c r="BI302">
        <f>INT(POWER((((Constants!$G$1+$BA302+$BB302+$BC302+$BE302)*($BD302))*$BF302),IF($F302="wagon",1,1.2)))+$AY302</f>
        <v>125</v>
      </c>
      <c r="BJ302" s="14">
        <f t="shared" si="149"/>
        <v>74218.75</v>
      </c>
      <c r="BK302" s="14">
        <f t="shared" si="150"/>
        <v>10156.25</v>
      </c>
      <c r="BQ302" t="s">
        <v>1145</v>
      </c>
      <c r="BR302">
        <v>1</v>
      </c>
      <c r="BS302">
        <v>120</v>
      </c>
      <c r="BU302" t="s">
        <v>282</v>
      </c>
      <c r="BV302" t="str">
        <f>VLOOKUP(I302,Eras!$A$2:$C$10, 2, TRUE)</f>
        <v>mod</v>
      </c>
      <c r="BW302" t="s">
        <v>344</v>
      </c>
      <c r="BX302" t="str">
        <f t="shared" si="151"/>
        <v>mod_LU</v>
      </c>
      <c r="BY302" t="str">
        <f t="shared" si="152"/>
        <v>tube_FOURTH_RAIL</v>
      </c>
      <c r="BZ302" s="17" t="str" cm="1">
        <f t="array" ref="BZ302">_xlfn.CONCAT("{BLACK}Length: {GOLD}", TEXT(ROUNDUP(IF(AP302&lt;&gt;"",SUM(VALUE(_xlfn.TEXTSPLIT(AP302, ","))), SUM(VALUE(_xlfn.TEXTSPLIT(AM302, ",")))*IF(L302, L302, 1))/16, 1), "#,##0.0"), " tiles{}")</f>
        <v>{BLACK}Length: {GOLD}4.4 tiles{}</v>
      </c>
      <c r="CA302" t="str">
        <f>VLOOKUP($BY302, Constants!$M:$N, 2, FALSE)</f>
        <v>{BLACK}Powered by: {GOLD}630V DC</v>
      </c>
      <c r="CB302" t="str">
        <f t="shared" si="153"/>
        <v>{BLACK}Cars: {GOLD}7</v>
      </c>
      <c r="CC302" t="s">
        <v>1444</v>
      </c>
      <c r="CD302" t="str">
        <f t="shared" si="154"/>
        <v>{YELLOW}35% Penalty for long distance travel{}</v>
      </c>
      <c r="CE302" t="str">
        <f t="shared" si="140"/>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03" spans="1:83" x14ac:dyDescent="0.25">
      <c r="A303" t="s">
        <v>1445</v>
      </c>
      <c r="B303" t="s">
        <v>1448</v>
      </c>
      <c r="C303">
        <v>745</v>
      </c>
      <c r="D303">
        <v>207</v>
      </c>
      <c r="E303" t="s">
        <v>1508</v>
      </c>
      <c r="F303" t="s">
        <v>403</v>
      </c>
      <c r="G303" t="s">
        <v>1108</v>
      </c>
      <c r="H303" t="s">
        <v>1410</v>
      </c>
      <c r="I303">
        <v>2010</v>
      </c>
      <c r="L303">
        <v>6</v>
      </c>
      <c r="M303">
        <v>2400</v>
      </c>
      <c r="V303">
        <f>213.7/7*6</f>
        <v>183.17142857142858</v>
      </c>
      <c r="X303">
        <v>10</v>
      </c>
      <c r="Y303">
        <v>180</v>
      </c>
      <c r="Z303" s="3">
        <f t="shared" si="141"/>
        <v>9.8268600842302295E-2</v>
      </c>
      <c r="AA303">
        <v>62</v>
      </c>
      <c r="AB303">
        <f t="shared" si="157"/>
        <v>99</v>
      </c>
      <c r="AE303">
        <v>17.45</v>
      </c>
      <c r="AF303">
        <v>17.45</v>
      </c>
      <c r="AG303">
        <v>2.92</v>
      </c>
      <c r="AH303">
        <v>3.68</v>
      </c>
      <c r="AI303" s="10">
        <v>156</v>
      </c>
      <c r="AJ303" t="str">
        <f>CONCATENATE(VLOOKUP(AK303, 'Voxel Sizes'!$A$2:$B$18,2,FALSE),"x",INT(AG303*15), "x", INT(AH303*15))</f>
        <v>164x43x55</v>
      </c>
      <c r="AK303">
        <f t="shared" si="142"/>
        <v>10</v>
      </c>
      <c r="AM303" t="str">
        <f>CONCATENATE(VLOOKUP(AK303,Constants!$A$2:$C$16,IF(AL303&lt;&gt;"", 3, 2), FALSE),IF(AL303&lt;&gt;"",CONCATENATE(",",VLOOKUP(AL303,$B:$AM,38,FALSE)),""))</f>
        <v>4,2,4</v>
      </c>
      <c r="AQ303" t="s">
        <v>1446</v>
      </c>
      <c r="AS303" t="s">
        <v>1303</v>
      </c>
      <c r="AT303" t="s">
        <v>202</v>
      </c>
      <c r="AW303">
        <v>34</v>
      </c>
      <c r="AX303" s="15" t="str">
        <f t="shared" si="143"/>
        <v/>
      </c>
      <c r="AY303">
        <v>-25</v>
      </c>
      <c r="BA303">
        <f t="shared" si="144"/>
        <v>12.4</v>
      </c>
      <c r="BB303">
        <f t="shared" si="145"/>
        <v>12</v>
      </c>
      <c r="BC303">
        <f t="shared" si="146"/>
        <v>9</v>
      </c>
      <c r="BD303" s="3">
        <f t="shared" si="147"/>
        <v>0.85333333333333328</v>
      </c>
      <c r="BE303">
        <f t="shared" si="148"/>
        <v>31.200000000000003</v>
      </c>
      <c r="BF303">
        <f>VLOOKUP($G303,Constants!$I:$K, 2, FALSE)</f>
        <v>0.9</v>
      </c>
      <c r="BG303">
        <f>VLOOKUP($G303,Constants!$I:$K, 3, FALSE)*IF(AND(F303="multiple_unit",AA303&lt;110),0.75,1)</f>
        <v>1.2000000000000002</v>
      </c>
      <c r="BH303">
        <f>INT(POWER(((Constants!$G$2+$BA303+$BB303+$BC303+$BE303)*$BD303)*$BG303, 1.05))+$AZ303</f>
        <v>88</v>
      </c>
      <c r="BI303">
        <f>INT(POWER((((Constants!$G$1+$BA303+$BB303+$BC303+$BE303)*($BD303))*$BF303),IF($F303="wagon",1,1.2)))+$AY303</f>
        <v>114</v>
      </c>
      <c r="BJ303" s="14">
        <f t="shared" si="149"/>
        <v>68750</v>
      </c>
      <c r="BK303" s="14">
        <f t="shared" si="150"/>
        <v>9262.5</v>
      </c>
      <c r="BQ303" t="s">
        <v>1147</v>
      </c>
      <c r="BR303">
        <v>1</v>
      </c>
      <c r="BS303">
        <v>120</v>
      </c>
      <c r="BU303" t="s">
        <v>282</v>
      </c>
      <c r="BV303" t="str">
        <f>VLOOKUP(I303,Eras!$A$2:$C$10, 2, TRUE)</f>
        <v>mod</v>
      </c>
      <c r="BW303" t="s">
        <v>344</v>
      </c>
      <c r="BX303" t="str">
        <f t="shared" si="151"/>
        <v>mod_LU</v>
      </c>
      <c r="BY303" t="str">
        <f t="shared" si="152"/>
        <v>tube_FOURTH_RAIL</v>
      </c>
      <c r="BZ303" s="17" t="str" cm="1">
        <f t="array" ref="BZ303">_xlfn.CONCAT("{BLACK}Length: {GOLD}", TEXT(ROUNDUP(IF(AP303&lt;&gt;"",SUM(VALUE(_xlfn.TEXTSPLIT(AP303, ","))), SUM(VALUE(_xlfn.TEXTSPLIT(AM303, ",")))*IF(L303, L303, 1))/16, 1), "#,##0.0"), " tiles{}")</f>
        <v>{BLACK}Length: {GOLD}3.8 tiles{}</v>
      </c>
      <c r="CA303" t="str">
        <f>VLOOKUP($BY303, Constants!$M:$N, 2, FALSE)</f>
        <v>{BLACK}Powered by: {GOLD}630V DC</v>
      </c>
      <c r="CB303" t="str">
        <f t="shared" si="153"/>
        <v>{BLACK}Cars: {GOLD}6</v>
      </c>
      <c r="CC303" t="s">
        <v>1447</v>
      </c>
      <c r="CD303" t="str">
        <f t="shared" si="154"/>
        <v>{YELLOW}35% Penalty for long distance travel{}</v>
      </c>
      <c r="CE303" t="str">
        <f t="shared" si="140"/>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4" spans="1:83" x14ac:dyDescent="0.25">
      <c r="A304" t="s">
        <v>1492</v>
      </c>
      <c r="B304" t="s">
        <v>1493</v>
      </c>
      <c r="C304">
        <v>746</v>
      </c>
      <c r="D304">
        <v>208</v>
      </c>
      <c r="E304" t="s">
        <v>1508</v>
      </c>
      <c r="F304" t="s">
        <v>403</v>
      </c>
      <c r="G304" t="s">
        <v>1108</v>
      </c>
      <c r="H304" t="s">
        <v>1410</v>
      </c>
      <c r="I304">
        <v>2025</v>
      </c>
      <c r="L304">
        <v>9</v>
      </c>
      <c r="M304">
        <v>3400</v>
      </c>
      <c r="V304">
        <v>190</v>
      </c>
      <c r="X304">
        <v>10</v>
      </c>
      <c r="Y304">
        <v>160</v>
      </c>
      <c r="Z304" s="3">
        <f t="shared" si="141"/>
        <v>8.4210526315789472E-2</v>
      </c>
      <c r="AA304">
        <v>62</v>
      </c>
      <c r="AB304">
        <f t="shared" si="157"/>
        <v>99</v>
      </c>
      <c r="AE304">
        <f>113.7/9</f>
        <v>12.633333333333333</v>
      </c>
      <c r="AF304">
        <v>12.6</v>
      </c>
      <c r="AG304">
        <v>2.6</v>
      </c>
      <c r="AH304">
        <v>2.8</v>
      </c>
      <c r="AI304" s="10">
        <v>119</v>
      </c>
      <c r="AJ304" t="str">
        <f>CONCATENATE(VLOOKUP(AK304, 'Voxel Sizes'!$A$2:$B$18,2,FALSE),"x",INT(AG304*15), "x", INT(AH304*15))</f>
        <v>120x39x42</v>
      </c>
      <c r="AK304">
        <f t="shared" si="142"/>
        <v>7</v>
      </c>
      <c r="AM304" t="str">
        <f>CONCATENATE(VLOOKUP(AK304,Constants!$A$2:$C$16,IF(AL304&lt;&gt;"", 3, 2), FALSE),IF(AL304&lt;&gt;"",CONCATENATE(",",VLOOKUP(AL304,$B:$AM,38,FALSE)),""))</f>
        <v>2,3,2</v>
      </c>
      <c r="AQ304" t="s">
        <v>1494</v>
      </c>
      <c r="AS304" t="s">
        <v>1495</v>
      </c>
      <c r="AW304">
        <v>32</v>
      </c>
      <c r="AX304" s="15" t="str">
        <f t="shared" si="143"/>
        <v/>
      </c>
      <c r="AY304">
        <v>-25</v>
      </c>
      <c r="BA304">
        <f t="shared" si="144"/>
        <v>12.4</v>
      </c>
      <c r="BB304">
        <f t="shared" si="145"/>
        <v>17</v>
      </c>
      <c r="BC304">
        <f t="shared" si="146"/>
        <v>8</v>
      </c>
      <c r="BD304" s="3">
        <f t="shared" si="147"/>
        <v>0.83333333333333337</v>
      </c>
      <c r="BE304">
        <f t="shared" si="148"/>
        <v>35.699999999999996</v>
      </c>
      <c r="BF304">
        <f>VLOOKUP($G304,Constants!$I:$K, 2, FALSE)</f>
        <v>0.9</v>
      </c>
      <c r="BG304">
        <f>VLOOKUP($G304,Constants!$I:$K, 3, FALSE)*IF(AND(F304="multiple_unit",AA304&lt;110),0.75,1)</f>
        <v>1.2000000000000002</v>
      </c>
      <c r="BH304">
        <f>INT(POWER(((Constants!$G$2+$BA304+$BB304+$BC304+$BE304)*$BD304)*$BG304, 1.05))+$AZ304</f>
        <v>97</v>
      </c>
      <c r="BI304">
        <f>INT(POWER((((Constants!$G$1+$BA304+$BB304+$BC304+$BE304)*($BD304))*$BF304),IF($F304="wagon",1,1.2)))+$AY304</f>
        <v>127</v>
      </c>
      <c r="BJ304" s="14">
        <f t="shared" si="149"/>
        <v>75781.25</v>
      </c>
      <c r="BK304" s="14">
        <f t="shared" si="150"/>
        <v>10318.75</v>
      </c>
      <c r="BR304">
        <v>6</v>
      </c>
      <c r="BS304">
        <v>120</v>
      </c>
      <c r="BU304" t="s">
        <v>282</v>
      </c>
      <c r="BV304" t="str">
        <f>VLOOKUP(I304,Eras!$A$2:$C$10, 2, TRUE)</f>
        <v>mod</v>
      </c>
      <c r="BW304" t="s">
        <v>344</v>
      </c>
      <c r="BX304" t="str">
        <f t="shared" si="151"/>
        <v>mod_LU</v>
      </c>
      <c r="BY304" t="str">
        <f t="shared" si="152"/>
        <v>tube_FOURTH_RAIL</v>
      </c>
      <c r="BZ304" s="17" t="str" cm="1">
        <f t="array" ref="BZ304">_xlfn.CONCAT("{BLACK}Length: {GOLD}", TEXT(ROUNDUP(IF(AP304&lt;&gt;"",SUM(VALUE(_xlfn.TEXTSPLIT(AP304, ","))), SUM(VALUE(_xlfn.TEXTSPLIT(AM304, ",")))*IF(L304, L304, 1))/16, 1), "#,##0.0"), " tiles{}")</f>
        <v>{BLACK}Length: {GOLD}4.0 tiles{}</v>
      </c>
      <c r="CA304" t="str">
        <f>VLOOKUP($BY304, Constants!$M:$N, 2, FALSE)</f>
        <v>{BLACK}Powered by: {GOLD}630V DC</v>
      </c>
      <c r="CB304" t="str">
        <f t="shared" si="153"/>
        <v>{BLACK}Cars: {GOLD}9</v>
      </c>
      <c r="CC304" t="s">
        <v>1496</v>
      </c>
      <c r="CD304" t="str">
        <f t="shared" si="154"/>
        <v>{YELLOW}35% Penalty for long distance travel{}</v>
      </c>
      <c r="CE304" t="str">
        <f t="shared" si="140"/>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05" spans="1:83" x14ac:dyDescent="0.25">
      <c r="A305" t="s">
        <v>1450</v>
      </c>
      <c r="B305" t="s">
        <v>1451</v>
      </c>
      <c r="C305">
        <v>750</v>
      </c>
      <c r="D305">
        <v>209</v>
      </c>
      <c r="E305" t="s">
        <v>1508</v>
      </c>
      <c r="F305" t="s">
        <v>403</v>
      </c>
      <c r="G305" t="s">
        <v>1108</v>
      </c>
      <c r="H305" t="s">
        <v>1410</v>
      </c>
      <c r="I305">
        <v>1980</v>
      </c>
      <c r="L305">
        <v>3</v>
      </c>
      <c r="M305">
        <v>300</v>
      </c>
      <c r="V305">
        <v>60</v>
      </c>
      <c r="X305">
        <v>9</v>
      </c>
      <c r="Y305">
        <v>45</v>
      </c>
      <c r="Z305" s="3">
        <f t="shared" si="141"/>
        <v>7.4999999999999997E-2</v>
      </c>
      <c r="AA305">
        <v>34</v>
      </c>
      <c r="AB305">
        <f t="shared" si="157"/>
        <v>54</v>
      </c>
      <c r="AE305">
        <v>12.58</v>
      </c>
      <c r="AF305">
        <v>12.58</v>
      </c>
      <c r="AG305">
        <v>2.34</v>
      </c>
      <c r="AH305">
        <v>2.65</v>
      </c>
      <c r="AI305" s="10">
        <v>90</v>
      </c>
      <c r="AJ305" t="str">
        <f>CONCATENATE(VLOOKUP(AK305, 'Voxel Sizes'!$A$2:$B$18,2,FALSE),"x",INT(AG305*15), "x", INT(AH305*15))</f>
        <v>120x35x39</v>
      </c>
      <c r="AK305">
        <f t="shared" si="142"/>
        <v>7</v>
      </c>
      <c r="AM305" t="str">
        <f>CONCATENATE(VLOOKUP(AK305,Constants!$A$2:$C$16,IF(AL305&lt;&gt;"", 3, 2), FALSE),IF(AL305&lt;&gt;"",CONCATENATE(",",VLOOKUP(AL305,$B:$AM,38,FALSE)),""))</f>
        <v>2,3,2</v>
      </c>
      <c r="AQ305" t="s">
        <v>1453</v>
      </c>
      <c r="AS305" t="s">
        <v>291</v>
      </c>
      <c r="AW305">
        <v>33</v>
      </c>
      <c r="AX305" s="15" t="str">
        <f t="shared" si="143"/>
        <v/>
      </c>
      <c r="BA305">
        <f t="shared" si="144"/>
        <v>6.8</v>
      </c>
      <c r="BB305">
        <f t="shared" si="145"/>
        <v>1.5</v>
      </c>
      <c r="BC305">
        <f t="shared" si="146"/>
        <v>2.25</v>
      </c>
      <c r="BD305" s="3">
        <f t="shared" si="147"/>
        <v>0.89333333333333331</v>
      </c>
      <c r="BE305">
        <f t="shared" si="148"/>
        <v>9</v>
      </c>
      <c r="BF305">
        <f>VLOOKUP($G305,Constants!$I:$K, 2, FALSE)</f>
        <v>0.9</v>
      </c>
      <c r="BG305">
        <f>VLOOKUP($G305,Constants!$I:$K, 3, FALSE)*IF(AND(F305="multiple_unit",AA305&lt;110),0.75,1)</f>
        <v>1.2000000000000002</v>
      </c>
      <c r="BH305">
        <f>INT(POWER(((Constants!$G$2+$BA305+$BB305+$BC305+$BE305)*$BD305)*$BG305, 1.05))+$AZ305</f>
        <v>30</v>
      </c>
      <c r="BI305">
        <f>INT(POWER((((Constants!$G$1+$BA305+$BB305+$BC305+$BE305)*($BD305))*$BF305),IF($F305="wagon",1,1.2)))+$AY305</f>
        <v>54</v>
      </c>
      <c r="BJ305" s="14">
        <f t="shared" si="149"/>
        <v>23437.5</v>
      </c>
      <c r="BK305" s="14">
        <f t="shared" si="150"/>
        <v>4387.5</v>
      </c>
      <c r="BR305">
        <v>5</v>
      </c>
      <c r="BS305">
        <v>120</v>
      </c>
      <c r="BU305" t="s">
        <v>282</v>
      </c>
      <c r="BV305" t="str">
        <f>VLOOKUP(I305,Eras!$A$2:$C$10, 2, TRUE)</f>
        <v>lbr</v>
      </c>
      <c r="BW305" t="s">
        <v>344</v>
      </c>
      <c r="BX305" t="str">
        <f t="shared" si="151"/>
        <v>lbr_LU</v>
      </c>
      <c r="BY305" t="str">
        <f t="shared" si="152"/>
        <v>tube_FOURTH_RAIL</v>
      </c>
      <c r="BZ305" s="17" t="str" cm="1">
        <f t="array" ref="BZ305">_xlfn.CONCAT("{BLACK}Length: {GOLD}", TEXT(ROUNDUP(IF(AP305&lt;&gt;"",SUM(VALUE(_xlfn.TEXTSPLIT(AP305, ","))), SUM(VALUE(_xlfn.TEXTSPLIT(AM305, ",")))*IF(L305, L305, 1))/16, 1), "#,##0.0"), " tiles{}")</f>
        <v>{BLACK}Length: {GOLD}1.4 tiles{}</v>
      </c>
      <c r="CA305" t="str">
        <f>VLOOKUP($BY305, Constants!$M:$N, 2, FALSE)</f>
        <v>{BLACK}Powered by: {GOLD}630V DC</v>
      </c>
      <c r="CB305" t="str">
        <f t="shared" si="153"/>
        <v>{BLACK}Cars: {GOLD}3</v>
      </c>
      <c r="CC305" t="s">
        <v>1452</v>
      </c>
      <c r="CD305" t="str">
        <f t="shared" si="154"/>
        <v>{YELLOW}35% Penalty for long distance travel{}</v>
      </c>
      <c r="CE305" t="str">
        <f t="shared" si="140"/>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C305" xr:uid="{CF2E8555-48EE-4386-A1B1-369F6A2E644F}">
    <sortState xmlns:xlrd2="http://schemas.microsoft.com/office/spreadsheetml/2017/richdata2" ref="A2:CC297">
      <sortCondition ref="C127"/>
    </sortState>
  </autoFilter>
  <sortState xmlns:xlrd2="http://schemas.microsoft.com/office/spreadsheetml/2017/richdata2" ref="A2:CE305">
    <sortCondition ref="C286:C30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2</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2024-12-21T15:45:29Z</dcterms:modified>
</cp:coreProperties>
</file>