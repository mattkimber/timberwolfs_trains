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B72B9FCE-026B-4E4E-925B-CE63D1464692}" xr6:coauthVersionLast="45" xr6:coauthVersionMax="45" xr10:uidLastSave="{00000000-0000-0000-0000-000000000000}"/>
  <bookViews>
    <workbookView xWindow="60" yWindow="1005" windowWidth="26625" windowHeight="1360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49" i="1" l="1"/>
  <c r="AX49" i="1" s="1"/>
  <c r="AG49" i="1"/>
  <c r="AI49" i="1" s="1"/>
  <c r="AF49" i="1"/>
  <c r="X49" i="1"/>
  <c r="AV16" i="1" l="1"/>
  <c r="AX16" i="1" s="1"/>
  <c r="AI16" i="1"/>
  <c r="AF16" i="1"/>
  <c r="AG16" i="1"/>
  <c r="X16" i="1"/>
  <c r="AV50" i="1" l="1"/>
  <c r="AX50" i="1" s="1"/>
  <c r="AG50" i="1"/>
  <c r="AI50" i="1" s="1"/>
  <c r="X50" i="1"/>
  <c r="AV51" i="1"/>
  <c r="AX51" i="1" s="1"/>
  <c r="AG51" i="1"/>
  <c r="AI51" i="1" s="1"/>
  <c r="X51" i="1"/>
  <c r="AV48" i="1"/>
  <c r="AX48" i="1" s="1"/>
  <c r="AG48" i="1"/>
  <c r="AI48" i="1" s="1"/>
  <c r="X48" i="1"/>
  <c r="AV9" i="1"/>
  <c r="AX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V15" i="1"/>
  <c r="AX15" i="1" s="1"/>
  <c r="AG15" i="1"/>
  <c r="AF15" i="1"/>
  <c r="X15" i="1"/>
  <c r="AE13" i="1"/>
  <c r="AV13" i="1"/>
  <c r="AX13" i="1" s="1"/>
  <c r="AG13" i="1"/>
  <c r="X13" i="1"/>
  <c r="AV14" i="1"/>
  <c r="AX14" i="1" s="1"/>
  <c r="AG14" i="1"/>
  <c r="AF14" i="1" s="1"/>
  <c r="X14" i="1"/>
  <c r="AV11" i="1"/>
  <c r="AX11" i="1" s="1"/>
  <c r="AG11" i="1"/>
  <c r="X11" i="1"/>
  <c r="AV19" i="1"/>
  <c r="AX19" i="1" s="1"/>
  <c r="AG19" i="1"/>
  <c r="AI19" i="1" s="1"/>
  <c r="X19" i="1"/>
  <c r="AV18" i="1"/>
  <c r="AX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V41" i="1"/>
  <c r="AX41" i="1" s="1"/>
  <c r="AG41" i="1"/>
  <c r="AF41" i="1" s="1"/>
  <c r="X41" i="1"/>
  <c r="AV40" i="1"/>
  <c r="AX40" i="1" s="1"/>
  <c r="AG40" i="1"/>
  <c r="AF40" i="1" s="1"/>
  <c r="X40" i="1"/>
  <c r="AV39" i="1"/>
  <c r="AX39" i="1" s="1"/>
  <c r="AG39" i="1"/>
  <c r="AF39" i="1" s="1"/>
  <c r="X39" i="1"/>
  <c r="AV38" i="1"/>
  <c r="AX38" i="1" s="1"/>
  <c r="AG38" i="1"/>
  <c r="AF38" i="1" s="1"/>
  <c r="X38" i="1"/>
  <c r="AV30" i="1"/>
  <c r="AX30" i="1" s="1"/>
  <c r="AG30" i="1"/>
  <c r="AF30" i="1" s="1"/>
  <c r="X30" i="1"/>
  <c r="AV36" i="1"/>
  <c r="AX36" i="1" s="1"/>
  <c r="AG36" i="1"/>
  <c r="AF36" i="1" s="1"/>
  <c r="X36" i="1"/>
  <c r="AV34" i="1"/>
  <c r="AX34" i="1" s="1"/>
  <c r="AG34" i="1"/>
  <c r="X34" i="1"/>
  <c r="AV33" i="1"/>
  <c r="AX33" i="1" s="1"/>
  <c r="AG33" i="1"/>
  <c r="AF33" i="1" s="1"/>
  <c r="X33" i="1"/>
  <c r="AF34" i="1" l="1"/>
  <c r="AV44" i="1"/>
  <c r="AX44" i="1" s="1"/>
  <c r="AV45" i="1"/>
  <c r="AG44" i="1"/>
  <c r="AF44" i="1" s="1"/>
  <c r="AG45" i="1"/>
  <c r="AF45" i="1" s="1"/>
  <c r="AV27" i="1"/>
  <c r="AX27" i="1" s="1"/>
  <c r="AG27" i="1"/>
  <c r="X27" i="1"/>
  <c r="AF27" i="1" l="1"/>
  <c r="AV25" i="1"/>
  <c r="AX25" i="1" s="1"/>
  <c r="AV26" i="1"/>
  <c r="AX26" i="1" s="1"/>
  <c r="AV28" i="1"/>
  <c r="AG25" i="1"/>
  <c r="AF25" i="1" s="1"/>
  <c r="X25" i="1"/>
  <c r="AG24" i="1" l="1"/>
  <c r="AF24" i="1" s="1"/>
  <c r="X24" i="1"/>
  <c r="AV23" i="1"/>
  <c r="AX23" i="1" s="1"/>
  <c r="AV24" i="1"/>
  <c r="AX24" i="1" s="1"/>
  <c r="AX28" i="1"/>
  <c r="AG23" i="1"/>
  <c r="X23" i="1"/>
  <c r="AF23" i="1" l="1"/>
  <c r="G21" i="6"/>
  <c r="G22" i="6"/>
  <c r="B25" i="6"/>
  <c r="B24" i="6"/>
  <c r="I21" i="6"/>
  <c r="I22" i="6" s="1"/>
  <c r="H21" i="6"/>
  <c r="H22" i="6" s="1"/>
  <c r="F21" i="6"/>
  <c r="F22" i="6" s="1"/>
  <c r="E21" i="6"/>
  <c r="E22" i="6" s="1"/>
  <c r="D21" i="6"/>
  <c r="D22" i="6" s="1"/>
  <c r="C21" i="6"/>
  <c r="C22" i="6" s="1"/>
  <c r="B21" i="6"/>
  <c r="B22" i="6" s="1"/>
  <c r="T218" i="1"/>
  <c r="AV198" i="1"/>
  <c r="AX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V244" i="1"/>
  <c r="AX244" i="1" s="1"/>
  <c r="AV245" i="1"/>
  <c r="AX245" i="1" s="1"/>
  <c r="AV246" i="1"/>
  <c r="AX246" i="1" s="1"/>
  <c r="AV247" i="1"/>
  <c r="AX247" i="1" s="1"/>
  <c r="AV248" i="1"/>
  <c r="AX248" i="1" s="1"/>
  <c r="AV219" i="1"/>
  <c r="AX219" i="1" s="1"/>
  <c r="AE219" i="1"/>
  <c r="AG244" i="1"/>
  <c r="AF244" i="1" s="1"/>
  <c r="AG245" i="1"/>
  <c r="AF245" i="1" s="1"/>
  <c r="AG246" i="1"/>
  <c r="AF246" i="1" s="1"/>
  <c r="AG247" i="1"/>
  <c r="AF247" i="1" s="1"/>
  <c r="AG248" i="1"/>
  <c r="AF248" i="1" s="1"/>
  <c r="AG219" i="1"/>
  <c r="AF219" i="1" s="1"/>
  <c r="X219" i="1"/>
  <c r="B15" i="6" l="1"/>
  <c r="K208" i="1"/>
  <c r="K217" i="1"/>
  <c r="AV233" i="1"/>
  <c r="AX233" i="1" s="1"/>
  <c r="AG233" i="1"/>
  <c r="X233" i="1"/>
  <c r="AF233" i="1" l="1"/>
  <c r="T185" i="1"/>
  <c r="K196" i="1"/>
  <c r="AV66" i="1"/>
  <c r="AX66" i="1" s="1"/>
  <c r="AG66" i="1"/>
  <c r="X66" i="1"/>
  <c r="AV194" i="1"/>
  <c r="K194" i="1"/>
  <c r="T194" i="1"/>
  <c r="AF66" i="1" l="1"/>
  <c r="K191" i="1"/>
  <c r="T191" i="1"/>
  <c r="K184" i="1" l="1"/>
  <c r="T184" i="1"/>
  <c r="AA171" i="1" l="1"/>
  <c r="T148" i="1" l="1"/>
  <c r="T144" i="1"/>
  <c r="AV193" i="1"/>
  <c r="AX193" i="1" s="1"/>
  <c r="AG193" i="1"/>
  <c r="AF193" i="1" s="1"/>
  <c r="X193" i="1"/>
  <c r="K214" i="1" l="1"/>
  <c r="AV216" i="1"/>
  <c r="AX216" i="1" s="1"/>
  <c r="AG216" i="1"/>
  <c r="AF216" i="1" s="1"/>
  <c r="X216" i="1"/>
  <c r="AE205" i="1" l="1"/>
  <c r="AV7" i="1" l="1"/>
  <c r="AX7" i="1" s="1"/>
  <c r="AG7" i="1"/>
  <c r="AF7" i="1" s="1"/>
  <c r="X7" i="1"/>
  <c r="AV189" i="1"/>
  <c r="AX189" i="1" s="1"/>
  <c r="AG189" i="1"/>
  <c r="X189" i="1"/>
  <c r="AF189" i="1" l="1"/>
  <c r="X181" i="1"/>
  <c r="X179" i="1"/>
  <c r="Q143" i="1" l="1"/>
  <c r="S143" i="1" s="1"/>
  <c r="Q139" i="1" l="1"/>
  <c r="S139" i="1" s="1"/>
  <c r="AB139" i="1"/>
  <c r="AB140" i="1"/>
  <c r="Q140" i="1"/>
  <c r="S140" i="1" s="1"/>
  <c r="AB137" i="1" l="1"/>
  <c r="AG137" i="1" s="1"/>
  <c r="AV65" i="1"/>
  <c r="AX65" i="1" s="1"/>
  <c r="AG65" i="1"/>
  <c r="X65" i="1"/>
  <c r="AB135" i="1"/>
  <c r="Q135" i="1"/>
  <c r="S135" i="1" s="1"/>
  <c r="Q134" i="1"/>
  <c r="S134" i="1" s="1"/>
  <c r="AF65" i="1" l="1"/>
  <c r="Q133" i="1"/>
  <c r="S133" i="1" s="1"/>
  <c r="Q132" i="1"/>
  <c r="S132" i="1" s="1"/>
  <c r="Q131" i="1"/>
  <c r="S131" i="1" s="1"/>
  <c r="AV64" i="1"/>
  <c r="AX64" i="1" s="1"/>
  <c r="AG64" i="1"/>
  <c r="X64" i="1"/>
  <c r="Q130" i="1"/>
  <c r="S130" i="1" s="1"/>
  <c r="Q103" i="1"/>
  <c r="S103" i="1" s="1"/>
  <c r="Q129" i="1"/>
  <c r="S129" i="1" s="1"/>
  <c r="AF64" i="1" l="1"/>
  <c r="AV63" i="1"/>
  <c r="AX63" i="1" s="1"/>
  <c r="AG63" i="1"/>
  <c r="X63" i="1"/>
  <c r="U128" i="1"/>
  <c r="Q128" i="1"/>
  <c r="S128" i="1" s="1"/>
  <c r="AF63" i="1" l="1"/>
  <c r="AV62" i="1"/>
  <c r="AX62" i="1" s="1"/>
  <c r="AG62" i="1"/>
  <c r="X62" i="1"/>
  <c r="AB125" i="1"/>
  <c r="Q125" i="1"/>
  <c r="S125" i="1" s="1"/>
  <c r="AE124" i="1"/>
  <c r="AF62" i="1" l="1"/>
  <c r="AV61" i="1"/>
  <c r="AX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V57" i="1"/>
  <c r="AX57" i="1" s="1"/>
  <c r="AG57" i="1"/>
  <c r="Q112" i="1"/>
  <c r="S112" i="1" s="1"/>
  <c r="AB112" i="1"/>
  <c r="AF57" i="1" l="1"/>
  <c r="Q111" i="1"/>
  <c r="S111" i="1" s="1"/>
  <c r="AV60" i="1" l="1"/>
  <c r="AX60" i="1" s="1"/>
  <c r="AG60" i="1"/>
  <c r="Q110" i="1"/>
  <c r="S110" i="1" s="1"/>
  <c r="AB110" i="1"/>
  <c r="Q109" i="1"/>
  <c r="S109" i="1" s="1"/>
  <c r="AB109" i="1"/>
  <c r="Q108" i="1"/>
  <c r="S108" i="1" s="1"/>
  <c r="AB107" i="1"/>
  <c r="Q107" i="1"/>
  <c r="S107" i="1" s="1"/>
  <c r="AB106" i="1"/>
  <c r="Q106" i="1"/>
  <c r="S106" i="1" s="1"/>
  <c r="Q105" i="1"/>
  <c r="S105" i="1" s="1"/>
  <c r="AB102" i="1"/>
  <c r="AV54" i="1"/>
  <c r="AX54" i="1" s="1"/>
  <c r="AG54" i="1"/>
  <c r="Q102" i="1"/>
  <c r="S102" i="1" s="1"/>
  <c r="Q101" i="1"/>
  <c r="S101" i="1" s="1"/>
  <c r="AV31" i="1"/>
  <c r="AX31" i="1" s="1"/>
  <c r="AG31" i="1"/>
  <c r="AV10" i="1"/>
  <c r="AX10" i="1" s="1"/>
  <c r="AV43" i="1"/>
  <c r="AX43" i="1" s="1"/>
  <c r="AG10" i="1"/>
  <c r="AG43" i="1"/>
  <c r="AF54" i="1" l="1"/>
  <c r="AF60" i="1"/>
  <c r="AF43" i="1"/>
  <c r="AF31" i="1"/>
  <c r="AF10" i="1"/>
  <c r="AV88" i="1"/>
  <c r="AX88" i="1" s="1"/>
  <c r="AG88" i="1"/>
  <c r="Q88" i="1"/>
  <c r="S88" i="1" s="1"/>
  <c r="AV8" i="1"/>
  <c r="AX8" i="1" s="1"/>
  <c r="AG8" i="1"/>
  <c r="AF88" i="1" l="1"/>
  <c r="AF8" i="1"/>
  <c r="AV56" i="1"/>
  <c r="AX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V79" i="1"/>
  <c r="AX79" i="1" s="1"/>
  <c r="AV80" i="1"/>
  <c r="AX80" i="1" s="1"/>
  <c r="AV81" i="1"/>
  <c r="AX81" i="1" s="1"/>
  <c r="AV82" i="1"/>
  <c r="AX82" i="1" s="1"/>
  <c r="AV83" i="1"/>
  <c r="AX83" i="1" s="1"/>
  <c r="AV84" i="1"/>
  <c r="AX84" i="1" s="1"/>
  <c r="AV85" i="1"/>
  <c r="AX85" i="1" s="1"/>
  <c r="AV86" i="1"/>
  <c r="AX86" i="1" s="1"/>
  <c r="AV89" i="1"/>
  <c r="AX89" i="1" s="1"/>
  <c r="AV90" i="1"/>
  <c r="AX90" i="1" s="1"/>
  <c r="AV91" i="1"/>
  <c r="AX91" i="1" s="1"/>
  <c r="AV92" i="1"/>
  <c r="AX92" i="1" s="1"/>
  <c r="AV93" i="1"/>
  <c r="AX93" i="1" s="1"/>
  <c r="AV94" i="1"/>
  <c r="AX94" i="1" s="1"/>
  <c r="AV95" i="1"/>
  <c r="AX95" i="1" s="1"/>
  <c r="AV96" i="1"/>
  <c r="AX96" i="1" s="1"/>
  <c r="AV97" i="1"/>
  <c r="AX97" i="1" s="1"/>
  <c r="AV99" i="1"/>
  <c r="AX99" i="1" s="1"/>
  <c r="AV100" i="1"/>
  <c r="AX100" i="1" s="1"/>
  <c r="AV101" i="1"/>
  <c r="AX101" i="1" s="1"/>
  <c r="AV102" i="1"/>
  <c r="AX102" i="1" s="1"/>
  <c r="AV87" i="1"/>
  <c r="AX87" i="1" s="1"/>
  <c r="AV103" i="1"/>
  <c r="AX103" i="1" s="1"/>
  <c r="AV104" i="1"/>
  <c r="AX104" i="1" s="1"/>
  <c r="AV105" i="1"/>
  <c r="AX105" i="1" s="1"/>
  <c r="AV106" i="1"/>
  <c r="AX106" i="1" s="1"/>
  <c r="AV107" i="1"/>
  <c r="AX107" i="1" s="1"/>
  <c r="AV108" i="1"/>
  <c r="AX108" i="1" s="1"/>
  <c r="AV109" i="1"/>
  <c r="AX109" i="1" s="1"/>
  <c r="AV110" i="1"/>
  <c r="AX110" i="1" s="1"/>
  <c r="AV111" i="1"/>
  <c r="AX111" i="1" s="1"/>
  <c r="AV112" i="1"/>
  <c r="AX112" i="1" s="1"/>
  <c r="AV113" i="1"/>
  <c r="AX113" i="1" s="1"/>
  <c r="AV116" i="1"/>
  <c r="AX116" i="1" s="1"/>
  <c r="AV117" i="1"/>
  <c r="AX117" i="1" s="1"/>
  <c r="AV118" i="1"/>
  <c r="AX118" i="1" s="1"/>
  <c r="AV119" i="1"/>
  <c r="AX119" i="1" s="1"/>
  <c r="AV120" i="1"/>
  <c r="AX120" i="1" s="1"/>
  <c r="AV121" i="1"/>
  <c r="AX121" i="1" s="1"/>
  <c r="AV122" i="1"/>
  <c r="AX122" i="1" s="1"/>
  <c r="AV125" i="1"/>
  <c r="AX125" i="1" s="1"/>
  <c r="AV126" i="1"/>
  <c r="AX126" i="1" s="1"/>
  <c r="AV127" i="1"/>
  <c r="AX127" i="1" s="1"/>
  <c r="AV128" i="1"/>
  <c r="AX128" i="1" s="1"/>
  <c r="AV129" i="1"/>
  <c r="AX129" i="1" s="1"/>
  <c r="AV130" i="1"/>
  <c r="AX130" i="1" s="1"/>
  <c r="AV131" i="1"/>
  <c r="AX131" i="1" s="1"/>
  <c r="AV132" i="1"/>
  <c r="AX132" i="1" s="1"/>
  <c r="AV133" i="1"/>
  <c r="AX133" i="1" s="1"/>
  <c r="AV134" i="1"/>
  <c r="AX134" i="1" s="1"/>
  <c r="AV135" i="1"/>
  <c r="AX135" i="1" s="1"/>
  <c r="AV136" i="1"/>
  <c r="AX136" i="1" s="1"/>
  <c r="AV137" i="1"/>
  <c r="AX137" i="1" s="1"/>
  <c r="AV138" i="1"/>
  <c r="AX138" i="1" s="1"/>
  <c r="AV139" i="1"/>
  <c r="AX139" i="1" s="1"/>
  <c r="AV140" i="1"/>
  <c r="AX140" i="1" s="1"/>
  <c r="AV141" i="1"/>
  <c r="AX141" i="1" s="1"/>
  <c r="AV142" i="1"/>
  <c r="AX142" i="1" s="1"/>
  <c r="AV143" i="1"/>
  <c r="AX143" i="1" s="1"/>
  <c r="AV145" i="1"/>
  <c r="AX145" i="1" s="1"/>
  <c r="AV149" i="1"/>
  <c r="AX149" i="1" s="1"/>
  <c r="AV150" i="1"/>
  <c r="AX150" i="1" s="1"/>
  <c r="AV151" i="1"/>
  <c r="AX151" i="1" s="1"/>
  <c r="AV152" i="1"/>
  <c r="AX152" i="1" s="1"/>
  <c r="AV153" i="1"/>
  <c r="AX153" i="1" s="1"/>
  <c r="AV154" i="1"/>
  <c r="AX154" i="1" s="1"/>
  <c r="AV155" i="1"/>
  <c r="AX155" i="1" s="1"/>
  <c r="AV157" i="1"/>
  <c r="AX157" i="1" s="1"/>
  <c r="AV158" i="1"/>
  <c r="AX158" i="1" s="1"/>
  <c r="AV160" i="1"/>
  <c r="AX160" i="1" s="1"/>
  <c r="AV161" i="1"/>
  <c r="AX161" i="1" s="1"/>
  <c r="AV162" i="1"/>
  <c r="AX162" i="1" s="1"/>
  <c r="AV163" i="1"/>
  <c r="AX163" i="1" s="1"/>
  <c r="AV165" i="1"/>
  <c r="AX165" i="1" s="1"/>
  <c r="AV166" i="1"/>
  <c r="AX166" i="1" s="1"/>
  <c r="AV167" i="1"/>
  <c r="AX167" i="1" s="1"/>
  <c r="AV156" i="1"/>
  <c r="AX156" i="1" s="1"/>
  <c r="AV168" i="1"/>
  <c r="AX168" i="1" s="1"/>
  <c r="AV169" i="1"/>
  <c r="AX169" i="1" s="1"/>
  <c r="AV170" i="1"/>
  <c r="AX170" i="1" s="1"/>
  <c r="AV172" i="1"/>
  <c r="AX172" i="1" s="1"/>
  <c r="AV173" i="1"/>
  <c r="AX173" i="1" s="1"/>
  <c r="AV175" i="1"/>
  <c r="AX175" i="1" s="1"/>
  <c r="AV176" i="1"/>
  <c r="AX176" i="1" s="1"/>
  <c r="AV177" i="1"/>
  <c r="AX177" i="1" s="1"/>
  <c r="AV178" i="1"/>
  <c r="AX178" i="1" s="1"/>
  <c r="AV183" i="1"/>
  <c r="AX183" i="1" s="1"/>
  <c r="AV186" i="1"/>
  <c r="AX186" i="1" s="1"/>
  <c r="AV187" i="1"/>
  <c r="AX187" i="1" s="1"/>
  <c r="AV190" i="1"/>
  <c r="AX190" i="1" s="1"/>
  <c r="AV200" i="1"/>
  <c r="AX200" i="1" s="1"/>
  <c r="AV201" i="1"/>
  <c r="AX201" i="1" s="1"/>
  <c r="AV202" i="1"/>
  <c r="AX202" i="1" s="1"/>
  <c r="AV204" i="1"/>
  <c r="AX204" i="1" s="1"/>
  <c r="AV213" i="1"/>
  <c r="AX213" i="1" s="1"/>
  <c r="AV215" i="1"/>
  <c r="AX215" i="1" s="1"/>
  <c r="AV115" i="1"/>
  <c r="AX115" i="1" s="1"/>
  <c r="AV98" i="1"/>
  <c r="AX98" i="1" s="1"/>
  <c r="AV114" i="1"/>
  <c r="AX114" i="1" s="1"/>
  <c r="AV123" i="1"/>
  <c r="AX123" i="1" s="1"/>
  <c r="AV124" i="1"/>
  <c r="AX124" i="1" s="1"/>
  <c r="AV146" i="1"/>
  <c r="AX146" i="1" s="1"/>
  <c r="AV159" i="1"/>
  <c r="AX159" i="1" s="1"/>
  <c r="AV164" i="1"/>
  <c r="AX164" i="1" s="1"/>
  <c r="AV147" i="1"/>
  <c r="AX147" i="1" s="1"/>
  <c r="AV209" i="1"/>
  <c r="AX209" i="1" s="1"/>
  <c r="AV197" i="1"/>
  <c r="AX197" i="1" s="1"/>
  <c r="AV205" i="1"/>
  <c r="AX205" i="1" s="1"/>
  <c r="AV212" i="1"/>
  <c r="AX212" i="1" s="1"/>
  <c r="AV188" i="1"/>
  <c r="AX188" i="1" s="1"/>
  <c r="AV181" i="1"/>
  <c r="AX181" i="1" s="1"/>
  <c r="AV179" i="1"/>
  <c r="AX179" i="1" s="1"/>
  <c r="AV203" i="1"/>
  <c r="AX203" i="1" s="1"/>
  <c r="AV214" i="1"/>
  <c r="AX214" i="1" s="1"/>
  <c r="AV210" i="1"/>
  <c r="AX210" i="1" s="1"/>
  <c r="AV211" i="1"/>
  <c r="AX211" i="1" s="1"/>
  <c r="AV182" i="1"/>
  <c r="AX182" i="1" s="1"/>
  <c r="AV195" i="1"/>
  <c r="AX195" i="1" s="1"/>
  <c r="AV144" i="1"/>
  <c r="AX144" i="1" s="1"/>
  <c r="AV148" i="1"/>
  <c r="AX148" i="1" s="1"/>
  <c r="AV174" i="1"/>
  <c r="AX174" i="1" s="1"/>
  <c r="AV171" i="1"/>
  <c r="AX171" i="1" s="1"/>
  <c r="AV184" i="1"/>
  <c r="AX184" i="1" s="1"/>
  <c r="AV191" i="1"/>
  <c r="AX191" i="1" s="1"/>
  <c r="AX194" i="1"/>
  <c r="AV196" i="1"/>
  <c r="AX196" i="1" s="1"/>
  <c r="AV185" i="1"/>
  <c r="AX185" i="1" s="1"/>
  <c r="AV217" i="1"/>
  <c r="AX217" i="1" s="1"/>
  <c r="AV199" i="1"/>
  <c r="AX199" i="1" s="1"/>
  <c r="AV180" i="1"/>
  <c r="AX180" i="1" s="1"/>
  <c r="AV206" i="1"/>
  <c r="AX206" i="1" s="1"/>
  <c r="AV207" i="1"/>
  <c r="AX207" i="1" s="1"/>
  <c r="AV208" i="1"/>
  <c r="AX208" i="1" s="1"/>
  <c r="AV192" i="1"/>
  <c r="AX192" i="1" s="1"/>
  <c r="AV218" i="1"/>
  <c r="AX218" i="1" s="1"/>
  <c r="AV234" i="1"/>
  <c r="AX234" i="1" s="1"/>
  <c r="AV220" i="1"/>
  <c r="AX220" i="1" s="1"/>
  <c r="AV235" i="1"/>
  <c r="AX235" i="1" s="1"/>
  <c r="AV236" i="1"/>
  <c r="AX236" i="1" s="1"/>
  <c r="AV237" i="1"/>
  <c r="AX237" i="1" s="1"/>
  <c r="AV238" i="1"/>
  <c r="AX238" i="1" s="1"/>
  <c r="AV239" i="1"/>
  <c r="AX239" i="1" s="1"/>
  <c r="AV221" i="1"/>
  <c r="AX221" i="1" s="1"/>
  <c r="AV222" i="1"/>
  <c r="AX222" i="1" s="1"/>
  <c r="AV223" i="1"/>
  <c r="AX223" i="1" s="1"/>
  <c r="AV224" i="1"/>
  <c r="AX224" i="1" s="1"/>
  <c r="AV225" i="1"/>
  <c r="AX225" i="1" s="1"/>
  <c r="AV226" i="1"/>
  <c r="AX226" i="1" s="1"/>
  <c r="AV227" i="1"/>
  <c r="AX227" i="1" s="1"/>
  <c r="AV228" i="1"/>
  <c r="AX228" i="1" s="1"/>
  <c r="AV229" i="1"/>
  <c r="AX229" i="1" s="1"/>
  <c r="AV230" i="1"/>
  <c r="AX230" i="1" s="1"/>
  <c r="AV231" i="1"/>
  <c r="AX231" i="1" s="1"/>
  <c r="AV232" i="1"/>
  <c r="AX232" i="1" s="1"/>
  <c r="AV240" i="1"/>
  <c r="AX240" i="1" s="1"/>
  <c r="AV241" i="1"/>
  <c r="AX241" i="1" s="1"/>
  <c r="AV2" i="1"/>
  <c r="AX2" i="1" s="1"/>
  <c r="AV3" i="1"/>
  <c r="AX3" i="1" s="1"/>
  <c r="AV242" i="1"/>
  <c r="AX242" i="1" s="1"/>
  <c r="AV4" i="1"/>
  <c r="AX4" i="1" s="1"/>
  <c r="AV5" i="1"/>
  <c r="AX5" i="1" s="1"/>
  <c r="AV6" i="1"/>
  <c r="AX6" i="1" s="1"/>
  <c r="AV53" i="1"/>
  <c r="AX53" i="1" s="1"/>
  <c r="AV52" i="1"/>
  <c r="AX52" i="1" s="1"/>
  <c r="AV243" i="1"/>
  <c r="AX243" i="1" s="1"/>
  <c r="AV42" i="1"/>
  <c r="AX42" i="1" s="1"/>
  <c r="AX45" i="1"/>
  <c r="AV46" i="1"/>
  <c r="AX46" i="1" s="1"/>
  <c r="AV20" i="1"/>
  <c r="AX20" i="1" s="1"/>
  <c r="AV21" i="1"/>
  <c r="AX21" i="1" s="1"/>
  <c r="AV22" i="1"/>
  <c r="AX22" i="1" s="1"/>
  <c r="AV12" i="1"/>
  <c r="AX12" i="1" s="1"/>
  <c r="AV17" i="1"/>
  <c r="AX17" i="1" s="1"/>
  <c r="AV29" i="1"/>
  <c r="AX29" i="1" s="1"/>
  <c r="AV32" i="1"/>
  <c r="AX32" i="1" s="1"/>
  <c r="AV37" i="1"/>
  <c r="AX37" i="1" s="1"/>
  <c r="AV35" i="1"/>
  <c r="AX35" i="1" s="1"/>
  <c r="AV47" i="1"/>
  <c r="AX47" i="1" s="1"/>
  <c r="AV59" i="1"/>
  <c r="AX59" i="1" s="1"/>
  <c r="AV55" i="1"/>
  <c r="AX55" i="1" s="1"/>
  <c r="AV67" i="1"/>
  <c r="AX67" i="1" s="1"/>
  <c r="AV68" i="1"/>
  <c r="AX68" i="1" s="1"/>
  <c r="AV69" i="1"/>
  <c r="AX69" i="1" s="1"/>
  <c r="AV70" i="1"/>
  <c r="AX70" i="1" s="1"/>
  <c r="AV71" i="1"/>
  <c r="AX71" i="1" s="1"/>
  <c r="AV72" i="1"/>
  <c r="AX72" i="1" s="1"/>
  <c r="AV73" i="1"/>
  <c r="AX73" i="1" s="1"/>
  <c r="AV74" i="1"/>
  <c r="AX74" i="1" s="1"/>
  <c r="AV75" i="1"/>
  <c r="AX75" i="1" s="1"/>
  <c r="AV76" i="1"/>
  <c r="AX76" i="1" s="1"/>
  <c r="AV77" i="1"/>
  <c r="AX77" i="1" s="1"/>
  <c r="AV78" i="1"/>
  <c r="AX78" i="1" s="1"/>
  <c r="AV58" i="1"/>
  <c r="AX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<sst xmlns="http://schemas.openxmlformats.org/spreadsheetml/2006/main" count="1890" uniqueCount="884">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</sst>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48"/>
  <sheetViews>
    <sheetView tabSelected="1" workbookViewId="0">
      <pane xSplit="1" ySplit="1" topLeftCell="B44" activePane="bottomRight" state="frozenSplit"/>
      <selection pane="topRight" activeCell="B1" sqref="B1"/>
      <selection pane="bottomLeft" activeCell="A2" sqref="A2"/>
      <selection pane="bottomRight" activeCell="B50" sqref="B5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325</v>
      </c>
      <c r="AV1" s="1" t="s">
        <v>366</v>
      </c>
      <c r="AW1" s="1" t="s">
        <v>387</v>
      </c>
      <c r="AX1" s="1" t="s">
        <v>389</v>
      </c>
      <c r="AY1" s="1" t="s">
        <v>390</v>
      </c>
    </row>
    <row r="2" spans="1:51"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326</v>
      </c>
      <c r="AV2" t="str">
        <f>VLOOKUP(G2,Eras!$A$2:$C$10, 2, TRUE)</f>
        <v>vct</v>
      </c>
      <c r="AW2" t="s">
        <v>378</v>
      </c>
      <c r="AX2" t="str">
        <f t="shared" ref="AX2:AX22" si="2">CONCATENATE(AV2,"_",AW2)</f>
        <v>vct_Carriage</v>
      </c>
      <c r="AY2" t="s">
        <v>779</v>
      </c>
    </row>
    <row r="3" spans="1:51"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326</v>
      </c>
      <c r="AV3" t="str">
        <f>VLOOKUP(G3,Eras!$A$2:$C$10, 2, TRUE)</f>
        <v>big4</v>
      </c>
      <c r="AW3" t="s">
        <v>378</v>
      </c>
      <c r="AX3" t="str">
        <f t="shared" si="2"/>
        <v>big4_Carriage</v>
      </c>
      <c r="AY3" t="s">
        <v>500</v>
      </c>
    </row>
    <row r="4" spans="1:51"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326</v>
      </c>
      <c r="AV4" t="str">
        <f>VLOOKUP(G4,Eras!$A$2:$C$10, 2, TRUE)</f>
        <v>ebr</v>
      </c>
      <c r="AW4" t="s">
        <v>378</v>
      </c>
      <c r="AX4" t="str">
        <f t="shared" si="2"/>
        <v>ebr_Carriage</v>
      </c>
      <c r="AY4" t="s">
        <v>682</v>
      </c>
    </row>
    <row r="5" spans="1:51"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326</v>
      </c>
      <c r="AV5" t="str">
        <f>VLOOKUP(G5,Eras!$A$2:$C$10, 2, TRUE)</f>
        <v>dsl</v>
      </c>
      <c r="AW5" t="s">
        <v>378</v>
      </c>
      <c r="AX5" t="str">
        <f t="shared" si="2"/>
        <v>dsl_Carriage</v>
      </c>
      <c r="AY5" t="s">
        <v>404</v>
      </c>
    </row>
    <row r="6" spans="1:51"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326</v>
      </c>
      <c r="AV6" t="str">
        <f>VLOOKUP(G6,Eras!$A$2:$C$10, 2, TRUE)</f>
        <v>lbr</v>
      </c>
      <c r="AW6" t="s">
        <v>378</v>
      </c>
      <c r="AX6" t="str">
        <f t="shared" si="2"/>
        <v>lbr_Carriage</v>
      </c>
      <c r="AY6" t="s">
        <v>405</v>
      </c>
    </row>
    <row r="7" spans="1:51"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326</v>
      </c>
      <c r="AV7" t="str">
        <f>VLOOKUP(G7,Eras!$A$2:$C$10, 2, TRUE)</f>
        <v>lbr</v>
      </c>
      <c r="AW7" t="s">
        <v>378</v>
      </c>
      <c r="AX7" t="str">
        <f t="shared" si="2"/>
        <v>lbr_Carriage</v>
      </c>
      <c r="AY7" t="s">
        <v>629</v>
      </c>
    </row>
    <row r="8" spans="1:51"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326</v>
      </c>
      <c r="AV8" t="str">
        <f>VLOOKUP(G8,Eras!$A$2:$C$10, 2, TRUE)</f>
        <v>edw</v>
      </c>
      <c r="AW8" t="s">
        <v>378</v>
      </c>
      <c r="AX8" t="str">
        <f t="shared" si="2"/>
        <v>edw_Carriage</v>
      </c>
      <c r="AY8" t="s">
        <v>449</v>
      </c>
    </row>
    <row r="9" spans="1:51"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463</v>
      </c>
      <c r="AV9" t="str">
        <f>VLOOKUP(G9,Eras!$A$2:$C$10, 2, TRUE)</f>
        <v>vct</v>
      </c>
      <c r="AW9" t="s">
        <v>384</v>
      </c>
      <c r="AX9" t="str">
        <f t="shared" ref="AX9" si="5">CONCATENATE(AV9,"_",AW9)</f>
        <v>vct_Flat Wagon</v>
      </c>
      <c r="AY9" t="s">
        <v>851</v>
      </c>
    </row>
    <row r="10" spans="1:51"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463</v>
      </c>
      <c r="AV10" t="str">
        <f>VLOOKUP(G10,Eras!$A$2:$C$10, 2, TRUE)</f>
        <v>edw</v>
      </c>
      <c r="AW10" t="s">
        <v>384</v>
      </c>
      <c r="AX10" t="str">
        <f t="shared" si="2"/>
        <v>edw_Flat Wagon</v>
      </c>
      <c r="AY10" t="s">
        <v>464</v>
      </c>
    </row>
    <row r="11" spans="1:51"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463</v>
      </c>
      <c r="AV11" t="str">
        <f>VLOOKUP(G11,Eras!$A$2:$C$10, 2, TRUE)</f>
        <v>big4</v>
      </c>
      <c r="AW11" t="s">
        <v>384</v>
      </c>
      <c r="AX11" t="str">
        <f t="shared" ref="AX11" si="8">CONCATENATE(AV11,"_",AW11)</f>
        <v>big4_Flat Wagon</v>
      </c>
      <c r="AY11" t="s">
        <v>840</v>
      </c>
    </row>
    <row r="12" spans="1:51"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463</v>
      </c>
      <c r="AV12" t="str">
        <f>VLOOKUP(G12,Eras!$A$2:$C$10, 2, TRUE)</f>
        <v>edw</v>
      </c>
      <c r="AW12" t="s">
        <v>384</v>
      </c>
      <c r="AX12" t="str">
        <f t="shared" si="2"/>
        <v>edw_Flat Wagon</v>
      </c>
      <c r="AY12" t="s">
        <v>832</v>
      </c>
    </row>
    <row r="13" spans="1:51"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463</v>
      </c>
      <c r="AV13" t="str">
        <f>VLOOKUP(G13,Eras!$A$2:$C$10, 2, TRUE)</f>
        <v>ebr</v>
      </c>
      <c r="AW13" t="s">
        <v>384</v>
      </c>
      <c r="AX13" t="str">
        <f t="shared" si="2"/>
        <v>ebr_Flat Wagon</v>
      </c>
      <c r="AY13" t="s">
        <v>846</v>
      </c>
    </row>
    <row r="14" spans="1:51"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463</v>
      </c>
      <c r="AV14" t="str">
        <f>VLOOKUP(G14,Eras!$A$2:$C$10, 2, TRUE)</f>
        <v>lbr</v>
      </c>
      <c r="AW14" t="s">
        <v>384</v>
      </c>
      <c r="AX14" t="str">
        <f t="shared" ref="AX14:AX16" si="11">CONCATENATE(AV14,"_",AW14)</f>
        <v>lbr_Flat Wagon</v>
      </c>
      <c r="AY14" t="s">
        <v>843</v>
      </c>
    </row>
    <row r="15" spans="1:51"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463</v>
      </c>
      <c r="AV15" t="str">
        <f>VLOOKUP(G15,Eras!$A$2:$C$10, 2, TRUE)</f>
        <v>mod</v>
      </c>
      <c r="AW15" t="s">
        <v>384</v>
      </c>
      <c r="AX15" t="str">
        <f t="shared" si="11"/>
        <v>mod_Flat Wagon</v>
      </c>
      <c r="AY15" t="s">
        <v>849</v>
      </c>
    </row>
    <row r="16" spans="1:51"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329</v>
      </c>
      <c r="AV16" t="str">
        <f>VLOOKUP(G16,Eras!$A$2:$C$10, 2, TRUE)</f>
        <v>big4</v>
      </c>
      <c r="AW16" t="s">
        <v>763</v>
      </c>
      <c r="AX16" t="str">
        <f t="shared" si="11"/>
        <v>big4_Extra</v>
      </c>
      <c r="AY16" t="s">
        <v>867</v>
      </c>
    </row>
    <row r="17" spans="1:51"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329</v>
      </c>
      <c r="AV17" t="str">
        <f>VLOOKUP(G17,Eras!$A$2:$C$10, 2, TRUE)</f>
        <v>dsl</v>
      </c>
      <c r="AW17" t="s">
        <v>763</v>
      </c>
      <c r="AX17" t="str">
        <f t="shared" si="2"/>
        <v>dsl_Extra</v>
      </c>
      <c r="AY17" t="s">
        <v>868</v>
      </c>
    </row>
    <row r="18" spans="1:51"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329</v>
      </c>
      <c r="AV18" t="str">
        <f>VLOOKUP(G18,Eras!$A$2:$C$10, 2, TRUE)</f>
        <v>lbr</v>
      </c>
      <c r="AW18" t="s">
        <v>763</v>
      </c>
      <c r="AX18" t="str">
        <f t="shared" ref="AX18" si="14">CONCATENATE(AV18,"_",AW18)</f>
        <v>lbr_Extra</v>
      </c>
      <c r="AY18" t="s">
        <v>869</v>
      </c>
    </row>
    <row r="19" spans="1:51"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329</v>
      </c>
      <c r="AV19" t="str">
        <f>VLOOKUP(G19,Eras!$A$2:$C$10, 2, TRUE)</f>
        <v>prv</v>
      </c>
      <c r="AW19" t="s">
        <v>763</v>
      </c>
      <c r="AX19" t="str">
        <f t="shared" ref="AX19" si="17">CONCATENATE(AV19,"_",AW19)</f>
        <v>prv_Extra</v>
      </c>
      <c r="AY19" t="s">
        <v>882</v>
      </c>
    </row>
    <row r="20" spans="1:51"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329</v>
      </c>
      <c r="AV20" t="str">
        <f>VLOOKUP(G20,Eras!$A$2:$C$10, 2, TRUE)</f>
        <v>vct</v>
      </c>
      <c r="AW20" t="s">
        <v>383</v>
      </c>
      <c r="AX20" t="str">
        <f t="shared" si="2"/>
        <v>vct_Open Wagon</v>
      </c>
      <c r="AY20" t="s">
        <v>407</v>
      </c>
    </row>
    <row r="21" spans="1:51"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784</v>
      </c>
      <c r="AV21" t="str">
        <f>VLOOKUP(G21,Eras!$A$2:$C$10, 2, TRUE)</f>
        <v>edw</v>
      </c>
      <c r="AW21" t="s">
        <v>383</v>
      </c>
      <c r="AX21" t="str">
        <f t="shared" si="2"/>
        <v>edw_Open Wagon</v>
      </c>
      <c r="AY21" t="s">
        <v>408</v>
      </c>
    </row>
    <row r="22" spans="1:51"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784</v>
      </c>
      <c r="AV22" t="str">
        <f>VLOOKUP(G22,Eras!$A$2:$C$10, 2, TRUE)</f>
        <v>big4</v>
      </c>
      <c r="AW22" t="s">
        <v>383</v>
      </c>
      <c r="AX22" t="str">
        <f t="shared" si="2"/>
        <v>big4_Open Wagon</v>
      </c>
      <c r="AY22" t="s">
        <v>785</v>
      </c>
    </row>
    <row r="23" spans="1:51"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784</v>
      </c>
      <c r="AV23" t="str">
        <f>VLOOKUP(G23,Eras!$A$2:$C$10, 2, TRUE)</f>
        <v>ebr</v>
      </c>
      <c r="AW23" t="s">
        <v>383</v>
      </c>
      <c r="AX23" t="str">
        <f t="shared" ref="AX23:AX28" si="18">CONCATENATE(AV23,"_",AW23)</f>
        <v>ebr_Open Wagon</v>
      </c>
      <c r="AY23" t="s">
        <v>791</v>
      </c>
    </row>
    <row r="24" spans="1:51"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784</v>
      </c>
      <c r="AV24" t="str">
        <f>VLOOKUP(G24,Eras!$A$2:$C$10, 2, TRUE)</f>
        <v>lbr</v>
      </c>
      <c r="AW24" t="s">
        <v>383</v>
      </c>
      <c r="AX24" t="str">
        <f t="shared" si="18"/>
        <v>lbr_Open Wagon</v>
      </c>
      <c r="AY24" t="s">
        <v>792</v>
      </c>
    </row>
    <row r="25" spans="1:51"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784</v>
      </c>
      <c r="AV25" t="str">
        <f>VLOOKUP(G25,Eras!$A$2:$C$10, 2, TRUE)</f>
        <v>lbr</v>
      </c>
      <c r="AW25" t="s">
        <v>383</v>
      </c>
      <c r="AX25" t="str">
        <f t="shared" si="18"/>
        <v>lbr_Open Wagon</v>
      </c>
      <c r="AY25" t="s">
        <v>796</v>
      </c>
    </row>
    <row r="26" spans="1:51"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784</v>
      </c>
      <c r="AV26" t="str">
        <f>VLOOKUP(G26,Eras!$A$2:$C$10, 2, TRUE)</f>
        <v>mod</v>
      </c>
      <c r="AW26" t="s">
        <v>383</v>
      </c>
      <c r="AX26" t="str">
        <f t="shared" si="18"/>
        <v>mod_Open Wagon</v>
      </c>
      <c r="AY26" t="s">
        <v>797</v>
      </c>
    </row>
    <row r="27" spans="1:51"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784</v>
      </c>
      <c r="AV27" t="str">
        <f>VLOOKUP(G27,Eras!$A$2:$C$10, 2, TRUE)</f>
        <v>dsl</v>
      </c>
      <c r="AW27" t="s">
        <v>383</v>
      </c>
      <c r="AX27" t="str">
        <f t="shared" ref="AX27" si="21">CONCATENATE(AV27,"_",AW27)</f>
        <v>dsl_Open Wagon</v>
      </c>
      <c r="AY27" t="s">
        <v>802</v>
      </c>
    </row>
    <row r="28" spans="1:51"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784</v>
      </c>
      <c r="AV28" t="str">
        <f>VLOOKUP(G28,Eras!$A$2:$C$10, 2, TRUE)</f>
        <v>prv</v>
      </c>
      <c r="AW28" t="s">
        <v>383</v>
      </c>
      <c r="AX28" t="str">
        <f t="shared" si="18"/>
        <v>prv_Open Wagon</v>
      </c>
      <c r="AY28" t="s">
        <v>798</v>
      </c>
    </row>
    <row r="29" spans="1:51"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V29" t="e">
        <f>VLOOKUP(G29,Eras!$A$2:$C$10, 2, TRUE)</f>
        <v>#N/A</v>
      </c>
      <c r="AX29" t="e">
        <f t="shared" ref="AX29:AX104" si="22">CONCATENATE(AV29,"_",AW29)</f>
        <v>#N/A</v>
      </c>
    </row>
    <row r="30" spans="1:51"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329</v>
      </c>
      <c r="AV30" t="str">
        <f>VLOOKUP(G30,Eras!$A$2:$C$10, 2, TRUE)</f>
        <v>vct</v>
      </c>
      <c r="AW30" t="s">
        <v>385</v>
      </c>
      <c r="AX30" t="str">
        <f>CONCATENATE(AV30,"_",AW30)</f>
        <v>vct_Van</v>
      </c>
      <c r="AY30" t="s">
        <v>821</v>
      </c>
    </row>
    <row r="31" spans="1:51"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329</v>
      </c>
      <c r="AV31" t="str">
        <f>VLOOKUP(G31,Eras!$A$2:$C$10, 2, TRUE)</f>
        <v>edw</v>
      </c>
      <c r="AW31" t="s">
        <v>385</v>
      </c>
      <c r="AX31" t="str">
        <f>CONCATENATE(AV31,"_",AW31)</f>
        <v>edw_Van</v>
      </c>
      <c r="AY31" t="s">
        <v>465</v>
      </c>
    </row>
    <row r="32" spans="1:51"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329</v>
      </c>
      <c r="AV32" t="str">
        <f>VLOOKUP(G32,Eras!$A$2:$C$10, 2, TRUE)</f>
        <v>big4</v>
      </c>
      <c r="AW32" t="s">
        <v>385</v>
      </c>
      <c r="AX32" t="str">
        <f t="shared" si="22"/>
        <v>big4_Van</v>
      </c>
      <c r="AY32" t="s">
        <v>809</v>
      </c>
    </row>
    <row r="33" spans="1:51"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329</v>
      </c>
      <c r="AV33" t="str">
        <f>VLOOKUP(G33,Eras!$A$2:$C$10, 2, TRUE)</f>
        <v>dsl</v>
      </c>
      <c r="AW33" t="s">
        <v>385</v>
      </c>
      <c r="AX33" t="str">
        <f t="shared" si="22"/>
        <v>dsl_Van</v>
      </c>
      <c r="AY33" t="s">
        <v>812</v>
      </c>
    </row>
    <row r="34" spans="1:51"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329</v>
      </c>
      <c r="AV34" t="str">
        <f>VLOOKUP(G34,Eras!$A$2:$C$10, 2, TRUE)</f>
        <v>lbr</v>
      </c>
      <c r="AW34" t="s">
        <v>385</v>
      </c>
      <c r="AX34" t="str">
        <f t="shared" ref="AX34" si="25">CONCATENATE(AV34,"_",AW34)</f>
        <v>lbr_Van</v>
      </c>
      <c r="AY34" t="s">
        <v>815</v>
      </c>
    </row>
    <row r="35" spans="1:51"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329</v>
      </c>
      <c r="AV35" t="str">
        <f>VLOOKUP(G35,Eras!$A$2:$C$10, 2, TRUE)</f>
        <v>dsl</v>
      </c>
      <c r="AW35" t="s">
        <v>385</v>
      </c>
      <c r="AX35" t="str">
        <f>CONCATENATE(AV35,"_",AW35)</f>
        <v>dsl_Van</v>
      </c>
      <c r="AY35" t="s">
        <v>816</v>
      </c>
    </row>
    <row r="36" spans="1:51"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329</v>
      </c>
      <c r="AV36" t="str">
        <f>VLOOKUP(G36,Eras!$A$2:$C$10, 2, TRUE)</f>
        <v>lbr</v>
      </c>
      <c r="AW36" t="s">
        <v>385</v>
      </c>
      <c r="AX36" t="str">
        <f>CONCATENATE(AV36,"_",AW36)</f>
        <v>lbr_Van</v>
      </c>
      <c r="AY36" t="s">
        <v>818</v>
      </c>
    </row>
    <row r="37" spans="1:51"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823</v>
      </c>
      <c r="AV37" t="str">
        <f>VLOOKUP(G37,Eras!$A$2:$C$10, 2, TRUE)</f>
        <v>vct</v>
      </c>
      <c r="AW37" t="s">
        <v>385</v>
      </c>
      <c r="AX37" t="str">
        <f t="shared" si="22"/>
        <v>vct_Van</v>
      </c>
      <c r="AY37" t="s">
        <v>822</v>
      </c>
    </row>
    <row r="38" spans="1:51"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823</v>
      </c>
      <c r="AV38" t="str">
        <f>VLOOKUP(G38,Eras!$A$2:$C$10, 2, TRUE)</f>
        <v>edw</v>
      </c>
      <c r="AW38" t="s">
        <v>385</v>
      </c>
      <c r="AX38" t="str">
        <f t="shared" ref="AX38:AX39" si="28">CONCATENATE(AV38,"_",AW38)</f>
        <v>edw_Van</v>
      </c>
      <c r="AY38" t="s">
        <v>826</v>
      </c>
    </row>
    <row r="39" spans="1:51"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823</v>
      </c>
      <c r="AV39" t="str">
        <f>VLOOKUP(G39,Eras!$A$2:$C$10, 2, TRUE)</f>
        <v>big4</v>
      </c>
      <c r="AW39" t="s">
        <v>385</v>
      </c>
      <c r="AX39" t="str">
        <f t="shared" si="28"/>
        <v>big4_Van</v>
      </c>
      <c r="AY39" t="s">
        <v>827</v>
      </c>
    </row>
    <row r="40" spans="1:51"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823</v>
      </c>
      <c r="AV40" t="str">
        <f>VLOOKUP(G40,Eras!$A$2:$C$10, 2, TRUE)</f>
        <v>dsl</v>
      </c>
      <c r="AW40" t="s">
        <v>385</v>
      </c>
      <c r="AX40" t="str">
        <f t="shared" ref="AX40" si="31">CONCATENATE(AV40,"_",AW40)</f>
        <v>dsl_Van</v>
      </c>
      <c r="AY40" t="s">
        <v>831</v>
      </c>
    </row>
    <row r="41" spans="1:51"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823</v>
      </c>
      <c r="AV41" t="str">
        <f>VLOOKUP(G41,Eras!$A$2:$C$10, 2, TRUE)</f>
        <v>lbr</v>
      </c>
      <c r="AW41" t="s">
        <v>385</v>
      </c>
      <c r="AX41" t="str">
        <f t="shared" ref="AX41" si="34">CONCATENATE(AV41,"_",AW41)</f>
        <v>lbr_Van</v>
      </c>
      <c r="AY41" t="s">
        <v>830</v>
      </c>
    </row>
    <row r="42" spans="1:51"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327</v>
      </c>
      <c r="AV42" t="str">
        <f>VLOOKUP(G42,Eras!$A$2:$C$10, 2, TRUE)</f>
        <v>vct</v>
      </c>
      <c r="AW42" t="s">
        <v>386</v>
      </c>
      <c r="AX42" t="str">
        <f t="shared" si="22"/>
        <v>vct_Tanker</v>
      </c>
      <c r="AY42" t="s">
        <v>406</v>
      </c>
    </row>
    <row r="43" spans="1:51"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327</v>
      </c>
      <c r="AV43" t="str">
        <f>VLOOKUP(G43,Eras!$A$2:$C$10, 2, TRUE)</f>
        <v>edw</v>
      </c>
      <c r="AW43" t="s">
        <v>386</v>
      </c>
      <c r="AX43" t="str">
        <f t="shared" si="22"/>
        <v>edw_Tanker</v>
      </c>
      <c r="AY43" t="s">
        <v>460</v>
      </c>
    </row>
    <row r="44" spans="1:51"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327</v>
      </c>
      <c r="AV44" t="str">
        <f>VLOOKUP(G44,Eras!$A$2:$C$10, 2, TRUE)</f>
        <v>big4</v>
      </c>
      <c r="AW44" t="s">
        <v>386</v>
      </c>
      <c r="AX44" t="str">
        <f t="shared" si="22"/>
        <v>big4_Tanker</v>
      </c>
      <c r="AY44" t="s">
        <v>806</v>
      </c>
    </row>
    <row r="45" spans="1:51"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327</v>
      </c>
      <c r="AV45" t="str">
        <f>VLOOKUP(G45,Eras!$A$2:$C$10, 2, TRUE)</f>
        <v>dsl</v>
      </c>
      <c r="AW45" t="s">
        <v>386</v>
      </c>
      <c r="AX45" t="str">
        <f t="shared" si="22"/>
        <v>dsl_Tanker</v>
      </c>
      <c r="AY45" t="s">
        <v>780</v>
      </c>
    </row>
    <row r="46" spans="1:51"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327</v>
      </c>
      <c r="AV46" t="str">
        <f>VLOOKUP(G46,Eras!$A$2:$C$10, 2, TRUE)</f>
        <v>lbr</v>
      </c>
      <c r="AW46" t="s">
        <v>386</v>
      </c>
      <c r="AX46" t="str">
        <f t="shared" si="22"/>
        <v>lbr_Tanker</v>
      </c>
      <c r="AY46" t="s">
        <v>781</v>
      </c>
    </row>
    <row r="47" spans="1:51"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863</v>
      </c>
      <c r="AV47" t="str">
        <f>VLOOKUP(G47,Eras!$A$2:$C$10, 2, TRUE)</f>
        <v>lbr</v>
      </c>
      <c r="AW47" t="s">
        <v>384</v>
      </c>
      <c r="AX47" t="str">
        <f t="shared" si="22"/>
        <v>lbr_Flat Wagon</v>
      </c>
      <c r="AY47" t="s">
        <v>864</v>
      </c>
    </row>
    <row r="48" spans="1:51"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863</v>
      </c>
      <c r="AV48" t="str">
        <f>VLOOKUP(G48,Eras!$A$2:$C$10, 2, TRUE)</f>
        <v>prv</v>
      </c>
      <c r="AW48" t="s">
        <v>384</v>
      </c>
      <c r="AX48" t="str">
        <f t="shared" ref="AX48:AX50" si="37">CONCATENATE(AV48,"_",AW48)</f>
        <v>prv_Flat Wagon</v>
      </c>
      <c r="AY48" t="s">
        <v>862</v>
      </c>
    </row>
    <row r="49" spans="1:51"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711</v>
      </c>
      <c r="AV49" t="str">
        <f>VLOOKUP(G49,Eras!$A$2:$C$10, 2, TRUE)</f>
        <v>edw</v>
      </c>
      <c r="AW49" t="s">
        <v>384</v>
      </c>
      <c r="AX49" t="str">
        <f t="shared" ref="AX49" si="40">CONCATENATE(AV49,"_",AW49)</f>
        <v>edw_Flat Wagon</v>
      </c>
      <c r="AY49" t="s">
        <v>881</v>
      </c>
    </row>
    <row r="50" spans="1:51"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711</v>
      </c>
      <c r="AV50" t="str">
        <f>VLOOKUP(G50,Eras!$A$2:$C$10, 2, TRUE)</f>
        <v>ebr</v>
      </c>
      <c r="AW50" t="s">
        <v>379</v>
      </c>
      <c r="AX50" t="str">
        <f t="shared" si="37"/>
        <v>ebr_Mail Carriage</v>
      </c>
      <c r="AY50" t="s">
        <v>883</v>
      </c>
    </row>
    <row r="51" spans="1:51"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711</v>
      </c>
      <c r="AV51" t="str">
        <f>VLOOKUP(G51,Eras!$A$2:$C$10, 2, TRUE)</f>
        <v>dsl</v>
      </c>
      <c r="AW51" t="s">
        <v>379</v>
      </c>
      <c r="AX51" t="str">
        <f t="shared" ref="AX51" si="43">CONCATENATE(AV51,"_",AW51)</f>
        <v>dsl_Mail Carriage</v>
      </c>
      <c r="AY51" t="s">
        <v>860</v>
      </c>
    </row>
    <row r="52" spans="1:51"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765</v>
      </c>
      <c r="AV52" t="str">
        <f>VLOOKUP(G52,Eras!$A$2:$C$10, 2, TRUE)</f>
        <v>big4</v>
      </c>
      <c r="AW52" t="s">
        <v>763</v>
      </c>
      <c r="AX52" t="str">
        <f t="shared" si="22"/>
        <v>big4_Extra</v>
      </c>
      <c r="AY52" t="s">
        <v>778</v>
      </c>
    </row>
    <row r="53" spans="1:51"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765</v>
      </c>
      <c r="AV53" t="str">
        <f>VLOOKUP(G53,Eras!$A$2:$C$10, 2, TRUE)</f>
        <v>vct</v>
      </c>
      <c r="AW53" t="s">
        <v>763</v>
      </c>
      <c r="AX53" t="str">
        <f t="shared" si="22"/>
        <v>vct_Extra</v>
      </c>
      <c r="AY53" t="s">
        <v>764</v>
      </c>
    </row>
    <row r="54" spans="1:51"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V54" t="str">
        <f>VLOOKUP(G54,Eras!$A$2:$C$10, 2, TRUE)</f>
        <v>edw</v>
      </c>
      <c r="AX54" t="str">
        <f t="shared" si="22"/>
        <v>edw_</v>
      </c>
    </row>
    <row r="55" spans="1:51"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V55" t="str">
        <f>VLOOKUP(G55,Eras!$A$2:$C$10, 2, TRUE)</f>
        <v>edw</v>
      </c>
      <c r="AX55" t="str">
        <f t="shared" si="22"/>
        <v>edw_</v>
      </c>
    </row>
    <row r="56" spans="1:51"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V56" t="str">
        <f>VLOOKUP(G56,Eras!$A$2:$C$10, 2, TRUE)</f>
        <v>edw</v>
      </c>
      <c r="AX56" t="str">
        <f t="shared" si="22"/>
        <v>edw_</v>
      </c>
    </row>
    <row r="57" spans="1:51"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V57" t="str">
        <f>VLOOKUP(G57,Eras!$A$2:$C$10, 2, TRUE)</f>
        <v>big4</v>
      </c>
      <c r="AX57" t="str">
        <f t="shared" si="22"/>
        <v>big4_</v>
      </c>
    </row>
    <row r="58" spans="1:51"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V58" t="str">
        <f>VLOOKUP(G58,Eras!$A$2:$C$10, 2, TRUE)</f>
        <v>big4</v>
      </c>
      <c r="AX58" t="str">
        <f t="shared" si="22"/>
        <v>big4_</v>
      </c>
    </row>
    <row r="59" spans="1:51"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V59" t="str">
        <f>VLOOKUP(G59,Eras!$A$2:$C$10, 2, TRUE)</f>
        <v>big4</v>
      </c>
      <c r="AX59" t="str">
        <f t="shared" si="22"/>
        <v>big4_</v>
      </c>
    </row>
    <row r="60" spans="1:51"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V60" t="str">
        <f>VLOOKUP(G60,Eras!$A$2:$C$10, 2, TRUE)</f>
        <v>big4</v>
      </c>
      <c r="AX60" t="str">
        <f t="shared" si="22"/>
        <v>big4_</v>
      </c>
    </row>
    <row r="61" spans="1:51"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V61" t="str">
        <f>VLOOKUP(G61,Eras!$A$2:$C$10, 2, TRUE)</f>
        <v>big4</v>
      </c>
      <c r="AX61" t="str">
        <f t="shared" si="22"/>
        <v>big4_</v>
      </c>
    </row>
    <row r="62" spans="1:51"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V62" t="str">
        <f>VLOOKUP(G62,Eras!$A$2:$C$10, 2, TRUE)</f>
        <v>big4</v>
      </c>
      <c r="AX62" t="str">
        <f t="shared" si="22"/>
        <v>big4_</v>
      </c>
    </row>
    <row r="63" spans="1:51"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V63" t="str">
        <f>VLOOKUP(G63,Eras!$A$2:$C$10, 2, TRUE)</f>
        <v>big4</v>
      </c>
      <c r="AX63" t="str">
        <f t="shared" si="22"/>
        <v>big4_</v>
      </c>
    </row>
    <row r="64" spans="1:51"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V64" t="str">
        <f>VLOOKUP(G64,Eras!$A$2:$C$10, 2, TRUE)</f>
        <v>big4</v>
      </c>
      <c r="AX64" t="str">
        <f t="shared" si="22"/>
        <v>big4_</v>
      </c>
    </row>
    <row r="65" spans="1:50"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V65" t="str">
        <f>VLOOKUP(G65,Eras!$A$2:$C$10, 2, TRUE)</f>
        <v>big4</v>
      </c>
      <c r="AX65" t="str">
        <f t="shared" si="22"/>
        <v>big4_</v>
      </c>
    </row>
    <row r="66" spans="1:50"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V66" t="str">
        <f>VLOOKUP(G66,Eras!$A$2:$C$10, 2, TRUE)</f>
        <v>dsl</v>
      </c>
      <c r="AX66" t="str">
        <f t="shared" si="22"/>
        <v>dsl_</v>
      </c>
    </row>
    <row r="67" spans="1:50"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V67" t="str">
        <f>VLOOKUP(G67,Eras!$A$2:$C$10, 2, TRUE)</f>
        <v>early</v>
      </c>
      <c r="AW67" t="s">
        <v>370</v>
      </c>
      <c r="AX67" t="str">
        <f t="shared" si="22"/>
        <v>early_Mixed Traffic</v>
      </c>
    </row>
    <row r="68" spans="1:50"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V68" t="str">
        <f>VLOOKUP(G68,Eras!$A$2:$C$10, 2, TRUE)</f>
        <v>early</v>
      </c>
      <c r="AX68" t="str">
        <f t="shared" si="22"/>
        <v>early_</v>
      </c>
    </row>
    <row r="69" spans="1:50"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V69" t="str">
        <f>VLOOKUP(G69,Eras!$A$2:$C$10, 2, TRUE)</f>
        <v>early</v>
      </c>
      <c r="AW69" t="s">
        <v>370</v>
      </c>
      <c r="AX69" t="str">
        <f t="shared" si="22"/>
        <v>early_Mixed Traffic</v>
      </c>
    </row>
    <row r="70" spans="1:50"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V70" t="str">
        <f>VLOOKUP(G70,Eras!$A$2:$C$10, 2, TRUE)</f>
        <v>early</v>
      </c>
      <c r="AW70" t="s">
        <v>370</v>
      </c>
      <c r="AX70" t="str">
        <f t="shared" si="22"/>
        <v>early_Mixed Traffic</v>
      </c>
    </row>
    <row r="71" spans="1:50"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V71" t="str">
        <f>VLOOKUP(G71,Eras!$A$2:$C$10, 2, TRUE)</f>
        <v>early</v>
      </c>
      <c r="AW71" t="s">
        <v>370</v>
      </c>
      <c r="AX71" t="str">
        <f t="shared" si="22"/>
        <v>early_Mixed Traffic</v>
      </c>
    </row>
    <row r="72" spans="1:50"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V72" t="str">
        <f>VLOOKUP(G72,Eras!$A$2:$C$10, 2, TRUE)</f>
        <v>early</v>
      </c>
      <c r="AW72" t="s">
        <v>371</v>
      </c>
      <c r="AX72" t="str">
        <f t="shared" si="22"/>
        <v>early_Express</v>
      </c>
    </row>
    <row r="73" spans="1:50"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V73" t="str">
        <f>VLOOKUP(G73,Eras!$A$2:$C$10, 2, TRUE)</f>
        <v>early</v>
      </c>
      <c r="AX73" t="str">
        <f t="shared" si="22"/>
        <v>early_</v>
      </c>
    </row>
    <row r="74" spans="1:50"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V74" t="str">
        <f>VLOOKUP(G74,Eras!$A$2:$C$10, 2, TRUE)</f>
        <v>early</v>
      </c>
      <c r="AX74" t="str">
        <f t="shared" si="22"/>
        <v>early_</v>
      </c>
    </row>
    <row r="75" spans="1:50"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V75" t="str">
        <f>VLOOKUP(G75,Eras!$A$2:$C$10, 2, TRUE)</f>
        <v>early</v>
      </c>
      <c r="AX75" t="str">
        <f t="shared" si="22"/>
        <v>early_</v>
      </c>
    </row>
    <row r="76" spans="1:50"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V76" t="str">
        <f>VLOOKUP(G76,Eras!$A$2:$C$10, 2, TRUE)</f>
        <v>vct</v>
      </c>
      <c r="AX76" t="str">
        <f t="shared" si="22"/>
        <v>vct_</v>
      </c>
    </row>
    <row r="77" spans="1:50"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V77" t="str">
        <f>VLOOKUP(G77,Eras!$A$2:$C$10, 2, TRUE)</f>
        <v>vct</v>
      </c>
      <c r="AX77" t="str">
        <f t="shared" si="22"/>
        <v>vct_</v>
      </c>
    </row>
    <row r="78" spans="1:50"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V78" t="str">
        <f>VLOOKUP(G78,Eras!$A$2:$C$10, 2, TRUE)</f>
        <v>vct</v>
      </c>
      <c r="AX78" t="str">
        <f t="shared" si="22"/>
        <v>vct_</v>
      </c>
    </row>
    <row r="79" spans="1:50"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V79" t="str">
        <f>VLOOKUP(G79,Eras!$A$2:$C$10, 2, TRUE)</f>
        <v>vct</v>
      </c>
      <c r="AX79" t="str">
        <f t="shared" si="22"/>
        <v>vct_</v>
      </c>
    </row>
    <row r="80" spans="1:50"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V80" t="str">
        <f>VLOOKUP(G80,Eras!$A$2:$C$10, 2, TRUE)</f>
        <v>vct</v>
      </c>
      <c r="AX80" t="str">
        <f t="shared" si="22"/>
        <v>vct_</v>
      </c>
    </row>
    <row r="81" spans="1:51"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V81" t="str">
        <f>VLOOKUP(G81,Eras!$A$2:$C$10, 2, TRUE)</f>
        <v>vct</v>
      </c>
      <c r="AX81" t="str">
        <f t="shared" si="22"/>
        <v>vct_</v>
      </c>
    </row>
    <row r="82" spans="1:51"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V82" t="str">
        <f>VLOOKUP(G82,Eras!$A$2:$C$10, 2, TRUE)</f>
        <v>vct</v>
      </c>
      <c r="AX82" t="str">
        <f t="shared" si="22"/>
        <v>vct_</v>
      </c>
    </row>
    <row r="83" spans="1:51"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V83" t="str">
        <f>VLOOKUP(G83,Eras!$A$2:$C$10, 2, TRUE)</f>
        <v>vct</v>
      </c>
      <c r="AW83" t="s">
        <v>371</v>
      </c>
      <c r="AX83" t="str">
        <f t="shared" si="22"/>
        <v>vct_Express</v>
      </c>
    </row>
    <row r="84" spans="1:51"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V84" t="str">
        <f>VLOOKUP(G84,Eras!$A$2:$C$10, 2, TRUE)</f>
        <v>vct</v>
      </c>
      <c r="AX84" t="str">
        <f t="shared" si="22"/>
        <v>vct_</v>
      </c>
    </row>
    <row r="85" spans="1:51"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V85" t="str">
        <f>VLOOKUP(G85,Eras!$A$2:$C$10, 2, TRUE)</f>
        <v>vct</v>
      </c>
      <c r="AX85" t="str">
        <f t="shared" si="22"/>
        <v>vct_</v>
      </c>
    </row>
    <row r="86" spans="1:51"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V86" t="str">
        <f>VLOOKUP(G86,Eras!$A$2:$C$10, 2, TRUE)</f>
        <v>vct</v>
      </c>
      <c r="AX86" t="str">
        <f t="shared" si="22"/>
        <v>vct_</v>
      </c>
    </row>
    <row r="87" spans="1:51"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V87" t="str">
        <f>VLOOKUP(G87,Eras!$A$2:$C$10, 2, TRUE)</f>
        <v>vct</v>
      </c>
      <c r="AX87" t="str">
        <f t="shared" si="22"/>
        <v>vct_</v>
      </c>
    </row>
    <row r="88" spans="1:51"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V88" t="str">
        <f>VLOOKUP(G88,Eras!$A$2:$C$10, 2, TRUE)</f>
        <v>edw</v>
      </c>
      <c r="AW88" t="s">
        <v>369</v>
      </c>
      <c r="AX88" t="str">
        <f t="shared" si="22"/>
        <v>edw_Cheap</v>
      </c>
      <c r="AY88" t="s">
        <v>452</v>
      </c>
    </row>
    <row r="89" spans="1:51"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V89" t="str">
        <f>VLOOKUP(G89,Eras!$A$2:$C$10, 2, TRUE)</f>
        <v>edw</v>
      </c>
      <c r="AW89" t="s">
        <v>371</v>
      </c>
      <c r="AX89" t="str">
        <f t="shared" si="22"/>
        <v>edw_Express</v>
      </c>
      <c r="AY89" t="s">
        <v>391</v>
      </c>
    </row>
    <row r="90" spans="1:51"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V90" t="str">
        <f>VLOOKUP(G90,Eras!$A$2:$C$10, 2, TRUE)</f>
        <v>edw</v>
      </c>
      <c r="AW90" t="s">
        <v>382</v>
      </c>
      <c r="AX90" t="str">
        <f t="shared" si="22"/>
        <v>edw_Freight (Electric)</v>
      </c>
      <c r="AY90" t="s">
        <v>393</v>
      </c>
    </row>
    <row r="91" spans="1:51"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U91" t="s">
        <v>326</v>
      </c>
      <c r="AV91" t="str">
        <f>VLOOKUP(G91,Eras!$A$2:$C$10, 2, TRUE)</f>
        <v>edw</v>
      </c>
      <c r="AW91" t="s">
        <v>373</v>
      </c>
      <c r="AX91" t="str">
        <f t="shared" si="22"/>
        <v>edw_DMU (Cheap)</v>
      </c>
      <c r="AY91" t="s">
        <v>392</v>
      </c>
    </row>
    <row r="92" spans="1:51"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V92" t="str">
        <f>VLOOKUP(G92,Eras!$A$2:$C$10, 2, TRUE)</f>
        <v>edw</v>
      </c>
      <c r="AW92" t="s">
        <v>420</v>
      </c>
      <c r="AX92" t="str">
        <f t="shared" si="22"/>
        <v>edw_Passenger</v>
      </c>
      <c r="AY92" t="s">
        <v>412</v>
      </c>
    </row>
    <row r="93" spans="1:51"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V93" t="str">
        <f>VLOOKUP(G93,Eras!$A$2:$C$10, 2, TRUE)</f>
        <v>edw</v>
      </c>
      <c r="AW93" t="s">
        <v>370</v>
      </c>
      <c r="AX93" t="str">
        <f t="shared" si="22"/>
        <v>edw_Mixed Traffic</v>
      </c>
      <c r="AY93" t="s">
        <v>421</v>
      </c>
    </row>
    <row r="94" spans="1:51"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V94" t="str">
        <f>VLOOKUP(G94,Eras!$A$2:$C$10, 2, TRUE)</f>
        <v>edw</v>
      </c>
      <c r="AW94" t="s">
        <v>420</v>
      </c>
      <c r="AX94" t="str">
        <f t="shared" si="22"/>
        <v>edw_Passenger</v>
      </c>
      <c r="AY94" t="s">
        <v>424</v>
      </c>
    </row>
    <row r="95" spans="1:51"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V95" t="str">
        <f>VLOOKUP(G95,Eras!$A$2:$C$10, 2, TRUE)</f>
        <v>edw</v>
      </c>
      <c r="AW95" t="s">
        <v>372</v>
      </c>
      <c r="AX95" t="str">
        <f t="shared" si="22"/>
        <v>edw_Freight</v>
      </c>
      <c r="AY95" t="s">
        <v>429</v>
      </c>
    </row>
    <row r="96" spans="1:51"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V96" t="str">
        <f>VLOOKUP(G96,Eras!$A$2:$C$10, 2, TRUE)</f>
        <v>edw</v>
      </c>
      <c r="AW96" t="s">
        <v>372</v>
      </c>
      <c r="AX96" t="str">
        <f t="shared" si="22"/>
        <v>edw_Freight</v>
      </c>
      <c r="AY96" t="s">
        <v>434</v>
      </c>
    </row>
    <row r="97" spans="1:51"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V97" t="str">
        <f>VLOOKUP(G97,Eras!$A$2:$C$10, 2, TRUE)</f>
        <v>edw</v>
      </c>
      <c r="AW97" t="s">
        <v>382</v>
      </c>
      <c r="AX97" t="str">
        <f t="shared" si="22"/>
        <v>edw_Freight (Electric)</v>
      </c>
      <c r="AY97" t="s">
        <v>443</v>
      </c>
    </row>
    <row r="98" spans="1:51"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U98" t="s">
        <v>326</v>
      </c>
      <c r="AV98" t="str">
        <f>VLOOKUP(G98,Eras!$A$2:$C$10, 2, TRUE)</f>
        <v>edw</v>
      </c>
      <c r="AW98" t="s">
        <v>376</v>
      </c>
      <c r="AX98" t="str">
        <f t="shared" si="22"/>
        <v>edw_EMU</v>
      </c>
      <c r="AY98" t="s">
        <v>445</v>
      </c>
    </row>
    <row r="99" spans="1:51"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V99" t="str">
        <f>VLOOKUP(G99,Eras!$A$2:$C$10, 2, TRUE)</f>
        <v>edw</v>
      </c>
      <c r="AX99" t="str">
        <f t="shared" si="22"/>
        <v>edw_</v>
      </c>
    </row>
    <row r="100" spans="1:51"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V100" t="str">
        <f>VLOOKUP(G100,Eras!$A$2:$C$10, 2, TRUE)</f>
        <v>edw</v>
      </c>
      <c r="AX100" t="str">
        <f t="shared" si="22"/>
        <v>edw_</v>
      </c>
    </row>
    <row r="101" spans="1:51"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V101" t="str">
        <f>VLOOKUP(G101,Eras!$A$2:$C$10, 2, TRUE)</f>
        <v>big4</v>
      </c>
      <c r="AW101" t="s">
        <v>370</v>
      </c>
      <c r="AX101" t="str">
        <f t="shared" si="22"/>
        <v>big4_Mixed Traffic</v>
      </c>
      <c r="AY101" t="s">
        <v>469</v>
      </c>
    </row>
    <row r="102" spans="1:51"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V102" t="str">
        <f>VLOOKUP(G102,Eras!$A$2:$C$10, 2, TRUE)</f>
        <v>big4</v>
      </c>
      <c r="AW102" t="s">
        <v>371</v>
      </c>
      <c r="AX102" t="str">
        <f t="shared" si="22"/>
        <v>big4_Express</v>
      </c>
      <c r="AY102" t="s">
        <v>474</v>
      </c>
    </row>
    <row r="103" spans="1:51"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V103" t="str">
        <f>VLOOKUP(G103,Eras!$A$2:$C$10, 2, TRUE)</f>
        <v>big4</v>
      </c>
      <c r="AW103" t="s">
        <v>369</v>
      </c>
      <c r="AX103" t="str">
        <f t="shared" si="22"/>
        <v>big4_Cheap</v>
      </c>
      <c r="AY103" t="s">
        <v>394</v>
      </c>
    </row>
    <row r="104" spans="1:51"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V104" t="str">
        <f>VLOOKUP(G104,Eras!$A$2:$C$10, 2, TRUE)</f>
        <v>big4</v>
      </c>
      <c r="AW104" t="s">
        <v>370</v>
      </c>
      <c r="AX104" t="str">
        <f t="shared" si="22"/>
        <v>big4_Mixed Traffic</v>
      </c>
      <c r="AY104" t="s">
        <v>395</v>
      </c>
    </row>
    <row r="105" spans="1:51"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V105" t="str">
        <f>VLOOKUP(G105,Eras!$A$2:$C$10, 2, TRUE)</f>
        <v>big4</v>
      </c>
      <c r="AW105" t="s">
        <v>371</v>
      </c>
      <c r="AX105" t="str">
        <f t="shared" ref="AX105:AX168" si="48">CONCATENATE(AV105,"_",AW105)</f>
        <v>big4_Express</v>
      </c>
      <c r="AY105" t="s">
        <v>396</v>
      </c>
    </row>
    <row r="106" spans="1:51"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V106" t="str">
        <f>VLOOKUP(G106,Eras!$A$2:$C$10, 2, TRUE)</f>
        <v>big4</v>
      </c>
      <c r="AW106" t="s">
        <v>420</v>
      </c>
      <c r="AX106" t="str">
        <f t="shared" si="48"/>
        <v>big4_Passenger</v>
      </c>
      <c r="AY106" t="s">
        <v>475</v>
      </c>
    </row>
    <row r="107" spans="1:51"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V107" t="str">
        <f>VLOOKUP(G107,Eras!$A$2:$C$10, 2, TRUE)</f>
        <v>big4</v>
      </c>
      <c r="AW107" t="s">
        <v>371</v>
      </c>
      <c r="AX107" t="str">
        <f t="shared" si="48"/>
        <v>big4_Express</v>
      </c>
      <c r="AY107" t="s">
        <v>479</v>
      </c>
    </row>
    <row r="108" spans="1:51"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V108" t="str">
        <f>VLOOKUP(G108,Eras!$A$2:$C$10, 2, TRUE)</f>
        <v>big4</v>
      </c>
      <c r="AW108" t="s">
        <v>370</v>
      </c>
      <c r="AX108" t="str">
        <f t="shared" si="48"/>
        <v>big4_Mixed Traffic</v>
      </c>
      <c r="AY108" t="s">
        <v>480</v>
      </c>
    </row>
    <row r="109" spans="1:51"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V109" t="str">
        <f>VLOOKUP(G109,Eras!$A$2:$C$10, 2, TRUE)</f>
        <v>big4</v>
      </c>
      <c r="AW109" t="s">
        <v>370</v>
      </c>
      <c r="AX109" t="str">
        <f t="shared" si="48"/>
        <v>big4_Mixed Traffic</v>
      </c>
      <c r="AY109" t="s">
        <v>483</v>
      </c>
    </row>
    <row r="110" spans="1:51"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V110" t="str">
        <f>VLOOKUP(G110,Eras!$A$2:$C$10, 2, TRUE)</f>
        <v>big4</v>
      </c>
      <c r="AW110" t="s">
        <v>371</v>
      </c>
      <c r="AX110" t="str">
        <f t="shared" si="48"/>
        <v>big4_Express</v>
      </c>
      <c r="AY110" t="s">
        <v>485</v>
      </c>
    </row>
    <row r="111" spans="1:51"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V111" t="str">
        <f>VLOOKUP(G111,Eras!$A$2:$C$10, 2, TRUE)</f>
        <v>big4</v>
      </c>
      <c r="AW111" t="s">
        <v>369</v>
      </c>
      <c r="AX111" t="str">
        <f t="shared" si="48"/>
        <v>big4_Cheap</v>
      </c>
      <c r="AY111" t="s">
        <v>489</v>
      </c>
    </row>
    <row r="112" spans="1:51"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V112" t="str">
        <f>VLOOKUP(G112,Eras!$A$2:$C$10, 2, TRUE)</f>
        <v>big4</v>
      </c>
      <c r="AW112" t="s">
        <v>371</v>
      </c>
      <c r="AX112" t="str">
        <f t="shared" si="48"/>
        <v>big4_Express</v>
      </c>
      <c r="AY112" t="s">
        <v>491</v>
      </c>
    </row>
    <row r="113" spans="1:51"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V113" t="str">
        <f>VLOOKUP(G113,Eras!$A$2:$C$10, 2, TRUE)</f>
        <v>big4</v>
      </c>
      <c r="AW113" t="s">
        <v>369</v>
      </c>
      <c r="AX113" t="str">
        <f t="shared" si="48"/>
        <v>big4_Cheap</v>
      </c>
      <c r="AY113" t="s">
        <v>495</v>
      </c>
    </row>
    <row r="114" spans="1:51"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U114" t="s">
        <v>326</v>
      </c>
      <c r="AV114" t="str">
        <f>VLOOKUP(G114,Eras!$A$2:$C$10, 2, TRUE)</f>
        <v>big4</v>
      </c>
      <c r="AW114" t="s">
        <v>377</v>
      </c>
      <c r="AX114" t="str">
        <f t="shared" si="48"/>
        <v>big4_EMU (Express)</v>
      </c>
      <c r="AY114" t="s">
        <v>497</v>
      </c>
    </row>
    <row r="115" spans="1:51"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U115" t="s">
        <v>326</v>
      </c>
      <c r="AV115" t="str">
        <f>VLOOKUP(G115,Eras!$A$2:$C$10, 2, TRUE)</f>
        <v>big4</v>
      </c>
      <c r="AW115" t="s">
        <v>373</v>
      </c>
      <c r="AX115" t="str">
        <f t="shared" si="48"/>
        <v>big4_DMU (Cheap)</v>
      </c>
      <c r="AY115" t="s">
        <v>502</v>
      </c>
    </row>
    <row r="116" spans="1:51"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V116" t="str">
        <f>VLOOKUP(G116,Eras!$A$2:$C$10, 2, TRUE)</f>
        <v>big4</v>
      </c>
      <c r="AW116" t="s">
        <v>370</v>
      </c>
      <c r="AX116" t="str">
        <f t="shared" si="48"/>
        <v>big4_Mixed Traffic</v>
      </c>
      <c r="AY116" t="s">
        <v>411</v>
      </c>
    </row>
    <row r="117" spans="1:51"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V117" t="str">
        <f>VLOOKUP(G117,Eras!$A$2:$C$10, 2, TRUE)</f>
        <v>big4</v>
      </c>
      <c r="AW117" t="s">
        <v>371</v>
      </c>
      <c r="AX117" t="str">
        <f t="shared" si="48"/>
        <v>big4_Express</v>
      </c>
      <c r="AY117" t="s">
        <v>397</v>
      </c>
    </row>
    <row r="118" spans="1:51"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V118" t="str">
        <f>VLOOKUP(G118,Eras!$A$2:$C$10, 2, TRUE)</f>
        <v>big4</v>
      </c>
      <c r="AW118" t="s">
        <v>372</v>
      </c>
      <c r="AX118" t="str">
        <f t="shared" si="48"/>
        <v>big4_Freight</v>
      </c>
      <c r="AY118" t="s">
        <v>504</v>
      </c>
    </row>
    <row r="119" spans="1:51"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V119" t="str">
        <f>VLOOKUP(G119,Eras!$A$2:$C$10, 2, TRUE)</f>
        <v>big4</v>
      </c>
      <c r="AW119" t="s">
        <v>371</v>
      </c>
      <c r="AX119" t="str">
        <f t="shared" si="48"/>
        <v>big4_Express</v>
      </c>
      <c r="AY119" t="s">
        <v>505</v>
      </c>
    </row>
    <row r="120" spans="1:51"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V120" t="str">
        <f>VLOOKUP(G120,Eras!$A$2:$C$10, 2, TRUE)</f>
        <v>big4</v>
      </c>
      <c r="AW120" t="s">
        <v>370</v>
      </c>
      <c r="AX120" t="str">
        <f t="shared" si="48"/>
        <v>big4_Mixed Traffic</v>
      </c>
      <c r="AY120" t="s">
        <v>508</v>
      </c>
    </row>
    <row r="121" spans="1:51"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V121" t="str">
        <f>VLOOKUP(G121,Eras!$A$2:$C$10, 2, TRUE)</f>
        <v>big4</v>
      </c>
      <c r="AW121" t="s">
        <v>370</v>
      </c>
      <c r="AX121" t="str">
        <f t="shared" si="48"/>
        <v>big4_Mixed Traffic</v>
      </c>
      <c r="AY121" t="s">
        <v>511</v>
      </c>
    </row>
    <row r="122" spans="1:51"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V122" t="str">
        <f>VLOOKUP(G122,Eras!$A$2:$C$10, 2, TRUE)</f>
        <v>big4</v>
      </c>
      <c r="AW122" t="s">
        <v>371</v>
      </c>
      <c r="AX122" t="str">
        <f t="shared" si="48"/>
        <v>big4_Express</v>
      </c>
      <c r="AY122" t="s">
        <v>512</v>
      </c>
    </row>
    <row r="123" spans="1:51"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U123" t="s">
        <v>326</v>
      </c>
      <c r="AV123" t="str">
        <f>VLOOKUP(G123,Eras!$A$2:$C$10, 2, TRUE)</f>
        <v>big4</v>
      </c>
      <c r="AW123" t="s">
        <v>376</v>
      </c>
      <c r="AX123" t="str">
        <f t="shared" si="48"/>
        <v>big4_EMU</v>
      </c>
      <c r="AY123" t="s">
        <v>515</v>
      </c>
    </row>
    <row r="124" spans="1:51"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U124" t="s">
        <v>326</v>
      </c>
      <c r="AV124" t="str">
        <f>VLOOKUP(G124,Eras!$A$2:$C$10, 2, TRUE)</f>
        <v>big4</v>
      </c>
      <c r="AW124" t="s">
        <v>376</v>
      </c>
      <c r="AX124" t="str">
        <f t="shared" si="48"/>
        <v>big4_EMU</v>
      </c>
      <c r="AY124" t="s">
        <v>516</v>
      </c>
    </row>
    <row r="125" spans="1:51"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V125" t="str">
        <f>VLOOKUP(G125,Eras!$A$2:$C$10, 2, TRUE)</f>
        <v>big4</v>
      </c>
      <c r="AW125" t="s">
        <v>371</v>
      </c>
      <c r="AX125" t="str">
        <f t="shared" si="48"/>
        <v>big4_Express</v>
      </c>
      <c r="AY125" t="s">
        <v>524</v>
      </c>
    </row>
    <row r="126" spans="1:51"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V126" t="str">
        <f>VLOOKUP(G126,Eras!$A$2:$C$10, 2, TRUE)</f>
        <v>big4</v>
      </c>
      <c r="AW126" t="s">
        <v>380</v>
      </c>
      <c r="AX126" t="str">
        <f t="shared" si="48"/>
        <v>big4_MT (Electric)</v>
      </c>
      <c r="AY126" t="s">
        <v>525</v>
      </c>
    </row>
    <row r="127" spans="1:51"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V127" t="str">
        <f>VLOOKUP(G127,Eras!$A$2:$C$10, 2, TRUE)</f>
        <v>big4</v>
      </c>
      <c r="AX127" t="str">
        <f t="shared" si="48"/>
        <v>big4_</v>
      </c>
    </row>
    <row r="128" spans="1:51"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V128" t="str">
        <f>VLOOKUP(G128,Eras!$A$2:$C$10, 2, TRUE)</f>
        <v>big4</v>
      </c>
      <c r="AW128" t="s">
        <v>369</v>
      </c>
      <c r="AX128" t="str">
        <f t="shared" si="48"/>
        <v>big4_Cheap</v>
      </c>
      <c r="AY128" t="s">
        <v>527</v>
      </c>
    </row>
    <row r="129" spans="1:51"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V129" t="str">
        <f>VLOOKUP(G129,Eras!$A$2:$C$10, 2, TRUE)</f>
        <v>big4</v>
      </c>
      <c r="AW129" t="s">
        <v>369</v>
      </c>
      <c r="AX129" t="str">
        <f t="shared" si="48"/>
        <v>big4_Cheap</v>
      </c>
      <c r="AY129" t="s">
        <v>531</v>
      </c>
    </row>
    <row r="130" spans="1:51"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V130" t="str">
        <f>VLOOKUP(G130,Eras!$A$2:$C$10, 2, TRUE)</f>
        <v>big4</v>
      </c>
      <c r="AW130" t="s">
        <v>372</v>
      </c>
      <c r="AX130" t="str">
        <f t="shared" si="48"/>
        <v>big4_Freight</v>
      </c>
      <c r="AY130" t="s">
        <v>532</v>
      </c>
    </row>
    <row r="131" spans="1:51"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V131" t="str">
        <f>VLOOKUP(G131,Eras!$A$2:$C$10, 2, TRUE)</f>
        <v>big4</v>
      </c>
      <c r="AW131" t="s">
        <v>370</v>
      </c>
      <c r="AX131" t="str">
        <f t="shared" si="48"/>
        <v>big4_Mixed Traffic</v>
      </c>
      <c r="AY131" t="s">
        <v>537</v>
      </c>
    </row>
    <row r="132" spans="1:51"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V132" t="str">
        <f>VLOOKUP(G132,Eras!$A$2:$C$10, 2, TRUE)</f>
        <v>big4</v>
      </c>
      <c r="AW132" t="s">
        <v>371</v>
      </c>
      <c r="AX132" t="str">
        <f t="shared" si="48"/>
        <v>big4_Express</v>
      </c>
      <c r="AY132" t="s">
        <v>541</v>
      </c>
    </row>
    <row r="133" spans="1:51"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V133" t="str">
        <f>VLOOKUP(G133,Eras!$A$2:$C$10, 2, TRUE)</f>
        <v>big4</v>
      </c>
      <c r="AW133" t="s">
        <v>370</v>
      </c>
      <c r="AX133" t="str">
        <f t="shared" si="48"/>
        <v>big4_Mixed Traffic</v>
      </c>
      <c r="AY133" t="s">
        <v>542</v>
      </c>
    </row>
    <row r="134" spans="1:51"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V134" t="str">
        <f>VLOOKUP(G134,Eras!$A$2:$C$10, 2, TRUE)</f>
        <v>big4</v>
      </c>
      <c r="AW134" t="s">
        <v>370</v>
      </c>
      <c r="AX134" t="str">
        <f t="shared" si="48"/>
        <v>big4_Mixed Traffic</v>
      </c>
      <c r="AY134" t="s">
        <v>544</v>
      </c>
    </row>
    <row r="135" spans="1:51"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V135" t="str">
        <f>VLOOKUP(G135,Eras!$A$2:$C$10, 2, TRUE)</f>
        <v>big4</v>
      </c>
      <c r="AW135" t="s">
        <v>369</v>
      </c>
      <c r="AX135" t="str">
        <f t="shared" si="48"/>
        <v>big4_Cheap</v>
      </c>
      <c r="AY135" t="s">
        <v>550</v>
      </c>
    </row>
    <row r="136" spans="1:51"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V136" t="str">
        <f>VLOOKUP(G136,Eras!$A$2:$C$10, 2, TRUE)</f>
        <v>big4</v>
      </c>
      <c r="AW136" t="s">
        <v>370</v>
      </c>
      <c r="AX136" t="str">
        <f t="shared" si="48"/>
        <v>big4_Mixed Traffic</v>
      </c>
      <c r="AY136" t="s">
        <v>551</v>
      </c>
    </row>
    <row r="137" spans="1:51"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V137" t="str">
        <f>VLOOKUP(G137,Eras!$A$2:$C$10, 2, TRUE)</f>
        <v>ebr</v>
      </c>
      <c r="AW137" t="s">
        <v>371</v>
      </c>
      <c r="AX137" t="str">
        <f t="shared" si="48"/>
        <v>ebr_Express</v>
      </c>
      <c r="AY137" t="s">
        <v>552</v>
      </c>
    </row>
    <row r="138" spans="1:51"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V138" t="str">
        <f>VLOOKUP(G138,Eras!$A$2:$C$10, 2, TRUE)</f>
        <v>ebr</v>
      </c>
      <c r="AW138" t="s">
        <v>382</v>
      </c>
      <c r="AX138" t="str">
        <f t="shared" si="48"/>
        <v>ebr_Freight (Electric)</v>
      </c>
      <c r="AY138" t="s">
        <v>398</v>
      </c>
    </row>
    <row r="139" spans="1:51"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V139" t="str">
        <f>VLOOKUP(G139,Eras!$A$2:$C$10, 2, TRUE)</f>
        <v>ebr</v>
      </c>
      <c r="AW139" t="s">
        <v>370</v>
      </c>
      <c r="AX139" t="str">
        <f t="shared" si="48"/>
        <v>ebr_Mixed Traffic</v>
      </c>
      <c r="AY139" t="s">
        <v>560</v>
      </c>
    </row>
    <row r="140" spans="1:51"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V140" t="str">
        <f>VLOOKUP(G140,Eras!$A$2:$C$10, 2, TRUE)</f>
        <v>ebr</v>
      </c>
      <c r="AW140" t="s">
        <v>370</v>
      </c>
      <c r="AX140" t="str">
        <f t="shared" si="48"/>
        <v>ebr_Mixed Traffic</v>
      </c>
      <c r="AY140" t="s">
        <v>559</v>
      </c>
    </row>
    <row r="141" spans="1:51"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V141" t="str">
        <f>VLOOKUP(G141,Eras!$A$2:$C$10, 2, TRUE)</f>
        <v>ebr</v>
      </c>
      <c r="AW141" t="s">
        <v>369</v>
      </c>
      <c r="AX141" t="str">
        <f t="shared" si="48"/>
        <v>ebr_Cheap</v>
      </c>
      <c r="AY141" t="s">
        <v>399</v>
      </c>
    </row>
    <row r="142" spans="1:51"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V142" t="str">
        <f>VLOOKUP(G142,Eras!$A$2:$C$10, 2, TRUE)</f>
        <v>ebr</v>
      </c>
      <c r="AW142" t="s">
        <v>381</v>
      </c>
      <c r="AX142" t="str">
        <f t="shared" si="48"/>
        <v>ebr_Express (Electric)</v>
      </c>
      <c r="AY142" t="s">
        <v>561</v>
      </c>
    </row>
    <row r="143" spans="1:51"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V143" t="str">
        <f>VLOOKUP(G143,Eras!$A$2:$C$10, 2, TRUE)</f>
        <v>ebr</v>
      </c>
      <c r="AW143" t="s">
        <v>372</v>
      </c>
      <c r="AX143" t="str">
        <f t="shared" si="48"/>
        <v>ebr_Freight</v>
      </c>
      <c r="AY143" t="s">
        <v>564</v>
      </c>
    </row>
    <row r="144" spans="1:51"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U144" t="s">
        <v>326</v>
      </c>
      <c r="AV144" t="str">
        <f>VLOOKUP(G144,Eras!$A$2:$C$10, 2, TRUE)</f>
        <v>ebr</v>
      </c>
      <c r="AW144" t="s">
        <v>376</v>
      </c>
      <c r="AX144" t="str">
        <f t="shared" si="48"/>
        <v>ebr_EMU</v>
      </c>
      <c r="AY144" t="s">
        <v>671</v>
      </c>
    </row>
    <row r="145" spans="1:51"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V145" t="str">
        <f>VLOOKUP(G145,Eras!$A$2:$C$10, 2, TRUE)</f>
        <v>dsl</v>
      </c>
      <c r="AW145" t="s">
        <v>371</v>
      </c>
      <c r="AX145" t="str">
        <f t="shared" si="48"/>
        <v>dsl_Express</v>
      </c>
      <c r="AY145" t="s">
        <v>565</v>
      </c>
    </row>
    <row r="146" spans="1:51"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U146" t="s">
        <v>326</v>
      </c>
      <c r="AV146" t="str">
        <f>VLOOKUP(G146,Eras!$A$2:$C$10, 2, TRUE)</f>
        <v>dsl</v>
      </c>
      <c r="AW146" t="s">
        <v>374</v>
      </c>
      <c r="AX146" t="str">
        <f t="shared" si="48"/>
        <v>dsl_DMU</v>
      </c>
      <c r="AY146" t="s">
        <v>566</v>
      </c>
    </row>
    <row r="147" spans="1:51"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V147" t="str">
        <f>VLOOKUP(G147,Eras!$A$2:$C$10, 2, TRUE)</f>
        <v>dsl</v>
      </c>
      <c r="AX147" t="str">
        <f t="shared" si="48"/>
        <v>dsl_</v>
      </c>
    </row>
    <row r="148" spans="1:51"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U148" t="s">
        <v>326</v>
      </c>
      <c r="AV148" t="str">
        <f>VLOOKUP(G148,Eras!$A$2:$C$10, 2, TRUE)</f>
        <v>dsl</v>
      </c>
      <c r="AW148" t="s">
        <v>377</v>
      </c>
      <c r="AX148" t="str">
        <f t="shared" si="48"/>
        <v>dsl_EMU (Express)</v>
      </c>
      <c r="AY148" t="s">
        <v>676</v>
      </c>
    </row>
    <row r="149" spans="1:51"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V149" t="str">
        <f>VLOOKUP(G149,Eras!$A$2:$C$10, 2, TRUE)</f>
        <v>dsl</v>
      </c>
      <c r="AW149" t="s">
        <v>372</v>
      </c>
      <c r="AX149" t="str">
        <f t="shared" si="48"/>
        <v>dsl_Freight</v>
      </c>
      <c r="AY149" t="s">
        <v>570</v>
      </c>
    </row>
    <row r="150" spans="1:51"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V150" t="str">
        <f>VLOOKUP(G150,Eras!$A$2:$C$10, 2, TRUE)</f>
        <v>dsl</v>
      </c>
      <c r="AW150" t="s">
        <v>370</v>
      </c>
      <c r="AX150" t="str">
        <f t="shared" si="48"/>
        <v>dsl_Mixed Traffic</v>
      </c>
      <c r="AY150" t="s">
        <v>400</v>
      </c>
    </row>
    <row r="151" spans="1:51"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V151" t="str">
        <f>VLOOKUP(G151,Eras!$A$2:$C$10, 2, TRUE)</f>
        <v>dsl</v>
      </c>
      <c r="AW151" t="s">
        <v>371</v>
      </c>
      <c r="AX151" t="str">
        <f t="shared" si="48"/>
        <v>dsl_Express</v>
      </c>
      <c r="AY151" t="s">
        <v>568</v>
      </c>
    </row>
    <row r="152" spans="1:51"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V152" t="str">
        <f>VLOOKUP(G152,Eras!$A$2:$C$10, 2, TRUE)</f>
        <v>dsl</v>
      </c>
      <c r="AW152" t="s">
        <v>420</v>
      </c>
      <c r="AX152" t="str">
        <f t="shared" si="48"/>
        <v>dsl_Passenger</v>
      </c>
      <c r="AY152" t="s">
        <v>571</v>
      </c>
    </row>
    <row r="153" spans="1:51"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V153" t="str">
        <f>VLOOKUP(G153,Eras!$A$2:$C$10, 2, TRUE)</f>
        <v>dsl</v>
      </c>
      <c r="AW153" t="s">
        <v>371</v>
      </c>
      <c r="AX153" t="str">
        <f t="shared" si="48"/>
        <v>dsl_Express</v>
      </c>
      <c r="AY153" t="s">
        <v>572</v>
      </c>
    </row>
    <row r="154" spans="1:51"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V154" t="str">
        <f>VLOOKUP(G154,Eras!$A$2:$C$10, 2, TRUE)</f>
        <v>dsl</v>
      </c>
      <c r="AW154" t="s">
        <v>370</v>
      </c>
      <c r="AX154" t="str">
        <f t="shared" si="48"/>
        <v>dsl_Mixed Traffic</v>
      </c>
      <c r="AY154" t="s">
        <v>401</v>
      </c>
    </row>
    <row r="155" spans="1:51"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V155" t="str">
        <f>VLOOKUP(G155,Eras!$A$2:$C$10, 2, TRUE)</f>
        <v>dsl</v>
      </c>
      <c r="AW155" t="s">
        <v>380</v>
      </c>
      <c r="AX155" t="str">
        <f t="shared" si="48"/>
        <v>dsl_MT (Electric)</v>
      </c>
      <c r="AY155" t="s">
        <v>402</v>
      </c>
    </row>
    <row r="156" spans="1:51"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V156" t="str">
        <f>VLOOKUP(G156,Eras!$A$2:$C$10, 2, TRUE)</f>
        <v>dsl</v>
      </c>
      <c r="AW156" t="s">
        <v>370</v>
      </c>
      <c r="AX156" t="str">
        <f t="shared" si="48"/>
        <v>dsl_Mixed Traffic</v>
      </c>
      <c r="AY156" t="s">
        <v>590</v>
      </c>
    </row>
    <row r="157" spans="1:51"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V157" t="str">
        <f>VLOOKUP(G157,Eras!$A$2:$C$10, 2, TRUE)</f>
        <v>dsl</v>
      </c>
      <c r="AW157" t="s">
        <v>370</v>
      </c>
      <c r="AX157" t="str">
        <f t="shared" si="48"/>
        <v>dsl_Mixed Traffic</v>
      </c>
      <c r="AY157" t="s">
        <v>410</v>
      </c>
    </row>
    <row r="158" spans="1:51"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V158" t="str">
        <f>VLOOKUP(G158,Eras!$A$2:$C$10, 2, TRUE)</f>
        <v>dsl</v>
      </c>
      <c r="AW158" t="s">
        <v>381</v>
      </c>
      <c r="AX158" t="str">
        <f t="shared" si="48"/>
        <v>dsl_Express (Electric)</v>
      </c>
      <c r="AY158" t="s">
        <v>574</v>
      </c>
    </row>
    <row r="159" spans="1:51"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V159" t="str">
        <f>VLOOKUP(G159,Eras!$A$2:$C$10, 2, TRUE)</f>
        <v>dsl</v>
      </c>
      <c r="AW159" t="s">
        <v>374</v>
      </c>
      <c r="AX159" t="str">
        <f t="shared" si="48"/>
        <v>dsl_DMU</v>
      </c>
    </row>
    <row r="160" spans="1:51"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V160" t="str">
        <f>VLOOKUP(G160,Eras!$A$2:$C$10, 2, TRUE)</f>
        <v>dsl</v>
      </c>
      <c r="AW160" t="s">
        <v>372</v>
      </c>
      <c r="AX160" t="str">
        <f t="shared" si="48"/>
        <v>dsl_Freight</v>
      </c>
      <c r="AY160" t="s">
        <v>403</v>
      </c>
    </row>
    <row r="161" spans="1:51"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V161" t="str">
        <f>VLOOKUP(G161,Eras!$A$2:$C$10, 2, TRUE)</f>
        <v>dsl</v>
      </c>
      <c r="AW161" t="s">
        <v>371</v>
      </c>
      <c r="AX161" t="str">
        <f t="shared" si="48"/>
        <v>dsl_Express</v>
      </c>
      <c r="AY161" t="s">
        <v>578</v>
      </c>
    </row>
    <row r="162" spans="1:51"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V162" t="str">
        <f>VLOOKUP(G162,Eras!$A$2:$C$10, 2, TRUE)</f>
        <v>dsl</v>
      </c>
      <c r="AW162" t="s">
        <v>370</v>
      </c>
      <c r="AX162" t="str">
        <f t="shared" si="48"/>
        <v>dsl_Mixed Traffic</v>
      </c>
      <c r="AY162" t="s">
        <v>580</v>
      </c>
    </row>
    <row r="163" spans="1:51"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V163" t="str">
        <f>VLOOKUP(G163,Eras!$A$2:$C$10, 2, TRUE)</f>
        <v>dsl</v>
      </c>
      <c r="AW163" t="s">
        <v>375</v>
      </c>
      <c r="AX163" t="str">
        <f t="shared" si="48"/>
        <v>dsl_DMU (Express)</v>
      </c>
      <c r="AY163" t="s">
        <v>584</v>
      </c>
    </row>
    <row r="164" spans="1:51"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U164" t="s">
        <v>326</v>
      </c>
      <c r="AV164" t="str">
        <f>VLOOKUP(G164,Eras!$A$2:$C$10, 2, TRUE)</f>
        <v>dsl</v>
      </c>
      <c r="AW164" t="s">
        <v>374</v>
      </c>
      <c r="AX164" t="str">
        <f t="shared" si="48"/>
        <v>dsl_DMU</v>
      </c>
      <c r="AY164" t="s">
        <v>585</v>
      </c>
    </row>
    <row r="165" spans="1:51"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V165" t="str">
        <f>VLOOKUP(G165,Eras!$A$2:$C$10, 2, TRUE)</f>
        <v>dsl</v>
      </c>
      <c r="AW165" t="s">
        <v>370</v>
      </c>
      <c r="AX165" t="str">
        <f t="shared" si="48"/>
        <v>dsl_Mixed Traffic</v>
      </c>
      <c r="AY165" t="s">
        <v>586</v>
      </c>
    </row>
    <row r="166" spans="1:51"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V166" t="str">
        <f>VLOOKUP(G166,Eras!$A$2:$C$10, 2, TRUE)</f>
        <v>dsl</v>
      </c>
      <c r="AW166" t="s">
        <v>370</v>
      </c>
      <c r="AX166" t="str">
        <f t="shared" si="48"/>
        <v>dsl_Mixed Traffic</v>
      </c>
      <c r="AY166" t="s">
        <v>587</v>
      </c>
    </row>
    <row r="167" spans="1:51"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V167" t="str">
        <f>VLOOKUP(G167,Eras!$A$2:$C$10, 2, TRUE)</f>
        <v>dsl</v>
      </c>
      <c r="AW167" t="s">
        <v>372</v>
      </c>
      <c r="AX167" t="str">
        <f t="shared" si="48"/>
        <v>dsl_Freight</v>
      </c>
      <c r="AY167" t="s">
        <v>588</v>
      </c>
    </row>
    <row r="168" spans="1:51"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V168" t="str">
        <f>VLOOKUP(G168,Eras!$A$2:$C$10, 2, TRUE)</f>
        <v>dsl</v>
      </c>
      <c r="AW168" t="s">
        <v>372</v>
      </c>
      <c r="AX168" t="str">
        <f t="shared" si="48"/>
        <v>dsl_Freight</v>
      </c>
      <c r="AY168" t="s">
        <v>592</v>
      </c>
    </row>
    <row r="169" spans="1:51"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V169" t="str">
        <f>VLOOKUP(G169,Eras!$A$2:$C$10, 2, TRUE)</f>
        <v>dsl</v>
      </c>
      <c r="AW169" t="s">
        <v>369</v>
      </c>
      <c r="AX169" t="str">
        <f t="shared" ref="AX169:AX232" si="53">CONCATENATE(AV169,"_",AW169)</f>
        <v>dsl_Cheap</v>
      </c>
      <c r="AY169" t="s">
        <v>594</v>
      </c>
    </row>
    <row r="170" spans="1:51"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V170" t="str">
        <f>VLOOKUP(G170,Eras!$A$2:$C$10, 2, TRUE)</f>
        <v>dsl</v>
      </c>
      <c r="AW170" t="s">
        <v>369</v>
      </c>
      <c r="AX170" t="str">
        <f t="shared" si="53"/>
        <v>dsl_Cheap</v>
      </c>
      <c r="AY170" t="s">
        <v>596</v>
      </c>
    </row>
    <row r="171" spans="1:51"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U171" t="s">
        <v>326</v>
      </c>
      <c r="AV171" t="str">
        <f>VLOOKUP(G171,Eras!$A$2:$C$10, 2, TRUE)</f>
        <v>dsl</v>
      </c>
      <c r="AW171" t="s">
        <v>377</v>
      </c>
      <c r="AX171" t="str">
        <f t="shared" si="53"/>
        <v>dsl_EMU (Express)</v>
      </c>
      <c r="AY171" t="s">
        <v>680</v>
      </c>
    </row>
    <row r="172" spans="1:51"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V172" t="str">
        <f>VLOOKUP(G172,Eras!$A$2:$C$10, 2, TRUE)</f>
        <v>dsl</v>
      </c>
      <c r="AX172" t="str">
        <f t="shared" si="53"/>
        <v>dsl_</v>
      </c>
      <c r="AY172" t="s">
        <v>599</v>
      </c>
    </row>
    <row r="173" spans="1:51"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V173" t="str">
        <f>VLOOKUP(G173,Eras!$A$2:$C$10, 2, TRUE)</f>
        <v>dsl</v>
      </c>
      <c r="AW173" t="s">
        <v>381</v>
      </c>
      <c r="AX173" t="str">
        <f t="shared" si="53"/>
        <v>dsl_Express (Electric)</v>
      </c>
      <c r="AY173" t="s">
        <v>575</v>
      </c>
    </row>
    <row r="174" spans="1:51"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U174" t="s">
        <v>326</v>
      </c>
      <c r="AV174" t="str">
        <f>VLOOKUP(G174,Eras!$A$2:$C$10, 2, TRUE)</f>
        <v>dsl</v>
      </c>
      <c r="AW174" t="s">
        <v>375</v>
      </c>
      <c r="AX174" t="str">
        <f t="shared" si="53"/>
        <v>dsl_DMU (Express)</v>
      </c>
      <c r="AY174" t="s">
        <v>679</v>
      </c>
    </row>
    <row r="175" spans="1:51"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V175" t="str">
        <f>VLOOKUP(G175,Eras!$A$2:$C$10, 2, TRUE)</f>
        <v>dsl</v>
      </c>
      <c r="AW175" t="s">
        <v>371</v>
      </c>
      <c r="AX175" t="str">
        <f t="shared" si="53"/>
        <v>dsl_Express</v>
      </c>
      <c r="AY175" t="s">
        <v>600</v>
      </c>
    </row>
    <row r="176" spans="1:51"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V176" t="str">
        <f>VLOOKUP(G176,Eras!$A$2:$C$10, 2, TRUE)</f>
        <v>lbr</v>
      </c>
      <c r="AW176" t="s">
        <v>381</v>
      </c>
      <c r="AX176" t="str">
        <f t="shared" si="53"/>
        <v>lbr_Express (Electric)</v>
      </c>
      <c r="AY176" t="s">
        <v>601</v>
      </c>
    </row>
    <row r="177" spans="1:51"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V177" t="str">
        <f>VLOOKUP(G177,Eras!$A$2:$C$10, 2, TRUE)</f>
        <v>lbr</v>
      </c>
      <c r="AW177" t="s">
        <v>371</v>
      </c>
      <c r="AX177" t="str">
        <f t="shared" si="53"/>
        <v>lbr_Express</v>
      </c>
      <c r="AY177" t="s">
        <v>409</v>
      </c>
    </row>
    <row r="178" spans="1:51"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V178" t="str">
        <f>VLOOKUP(G178,Eras!$A$2:$C$10, 2, TRUE)</f>
        <v>lbr</v>
      </c>
      <c r="AW178" t="s">
        <v>372</v>
      </c>
      <c r="AX178" t="str">
        <f t="shared" si="53"/>
        <v>lbr_Freight</v>
      </c>
      <c r="AY178" t="s">
        <v>603</v>
      </c>
    </row>
    <row r="179" spans="1:51"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U179" t="s">
        <v>326</v>
      </c>
      <c r="AV179" t="str">
        <f>VLOOKUP(G179,Eras!$A$2:$C$10, 2, TRUE)</f>
        <v>lbr</v>
      </c>
      <c r="AW179" t="s">
        <v>376</v>
      </c>
      <c r="AX179" t="str">
        <f t="shared" si="53"/>
        <v>lbr_EMU</v>
      </c>
      <c r="AY179" t="s">
        <v>606</v>
      </c>
    </row>
    <row r="180" spans="1:51"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U180" t="s">
        <v>326</v>
      </c>
      <c r="AV180" t="str">
        <f>VLOOKUP(G180,Eras!$A$2:$C$10, 2, TRUE)</f>
        <v>lbr</v>
      </c>
      <c r="AW180" t="s">
        <v>377</v>
      </c>
      <c r="AX180" t="str">
        <f t="shared" si="53"/>
        <v>lbr_EMU (Express)</v>
      </c>
      <c r="AY180" t="s">
        <v>730</v>
      </c>
    </row>
    <row r="181" spans="1:51"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U181" t="s">
        <v>326</v>
      </c>
      <c r="AV181" t="str">
        <f>VLOOKUP(G181,Eras!$A$2:$C$10, 2, TRUE)</f>
        <v>lbr</v>
      </c>
      <c r="AW181" t="s">
        <v>376</v>
      </c>
      <c r="AX181" t="str">
        <f t="shared" si="53"/>
        <v>lbr_EMU</v>
      </c>
      <c r="AY181" t="s">
        <v>612</v>
      </c>
    </row>
    <row r="182" spans="1:51"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U182" t="s">
        <v>326</v>
      </c>
      <c r="AV182" t="str">
        <f>VLOOKUP(G182,Eras!$A$2:$C$10, 2, TRUE)</f>
        <v>lbr</v>
      </c>
      <c r="AW182" t="s">
        <v>376</v>
      </c>
      <c r="AX182" t="str">
        <f t="shared" si="53"/>
        <v>lbr_EMU</v>
      </c>
      <c r="AY182" t="s">
        <v>665</v>
      </c>
    </row>
    <row r="183" spans="1:51"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V183" t="str">
        <f>VLOOKUP(G183,Eras!$A$2:$C$10, 2, TRUE)</f>
        <v>lbr</v>
      </c>
      <c r="AW183" t="s">
        <v>372</v>
      </c>
      <c r="AX183" t="str">
        <f t="shared" si="53"/>
        <v>lbr_Freight</v>
      </c>
      <c r="AY183" t="s">
        <v>614</v>
      </c>
    </row>
    <row r="184" spans="1:51"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U184" t="s">
        <v>326</v>
      </c>
      <c r="AV184" t="str">
        <f>VLOOKUP(G184,Eras!$A$2:$C$10, 2, TRUE)</f>
        <v>lbr</v>
      </c>
      <c r="AW184" t="s">
        <v>374</v>
      </c>
      <c r="AX184" t="str">
        <f t="shared" si="53"/>
        <v>lbr_DMU</v>
      </c>
      <c r="AY184" t="s">
        <v>684</v>
      </c>
    </row>
    <row r="185" spans="1:51"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U185" t="s">
        <v>326</v>
      </c>
      <c r="AV185" t="str">
        <f>VLOOKUP(G185,Eras!$A$2:$C$10, 2, TRUE)</f>
        <v>lbr</v>
      </c>
      <c r="AW185" t="s">
        <v>373</v>
      </c>
      <c r="AX185" t="str">
        <f t="shared" si="53"/>
        <v>lbr_DMU (Cheap)</v>
      </c>
      <c r="AY185" t="s">
        <v>702</v>
      </c>
    </row>
    <row r="186" spans="1:51"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V186" t="str">
        <f>VLOOKUP(G186,Eras!$A$2:$C$10, 2, TRUE)</f>
        <v>lbr</v>
      </c>
      <c r="AW186" t="s">
        <v>372</v>
      </c>
      <c r="AX186" t="str">
        <f t="shared" si="53"/>
        <v>lbr_Freight</v>
      </c>
      <c r="AY186" t="s">
        <v>616</v>
      </c>
    </row>
    <row r="187" spans="1:51"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V187" t="str">
        <f>VLOOKUP(G187,Eras!$A$2:$C$10, 2, TRUE)</f>
        <v>lbr</v>
      </c>
      <c r="AW187" t="s">
        <v>371</v>
      </c>
      <c r="AX187" t="str">
        <f t="shared" si="53"/>
        <v>lbr_Express</v>
      </c>
      <c r="AY187" t="s">
        <v>619</v>
      </c>
    </row>
    <row r="188" spans="1:51"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U188" t="s">
        <v>326</v>
      </c>
      <c r="AV188" t="str">
        <f>VLOOKUP(G188,Eras!$A$2:$C$10, 2, TRUE)</f>
        <v>lbr</v>
      </c>
      <c r="AW188" t="s">
        <v>376</v>
      </c>
      <c r="AX188" t="str">
        <f t="shared" si="53"/>
        <v>lbr_EMU</v>
      </c>
      <c r="AY188" t="s">
        <v>620</v>
      </c>
    </row>
    <row r="189" spans="1:51"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V189" t="str">
        <f>VLOOKUP(G189,Eras!$A$2:$C$10, 2, TRUE)</f>
        <v>lbr</v>
      </c>
      <c r="AW189" t="s">
        <v>381</v>
      </c>
      <c r="AX189" t="str">
        <f t="shared" si="53"/>
        <v>lbr_Express (Electric)</v>
      </c>
      <c r="AY189" t="s">
        <v>624</v>
      </c>
    </row>
    <row r="190" spans="1:51"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V190" t="str">
        <f>VLOOKUP(G190,Eras!$A$2:$C$10, 2, TRUE)</f>
        <v>lbr</v>
      </c>
      <c r="AW190" t="s">
        <v>381</v>
      </c>
      <c r="AX190" t="str">
        <f t="shared" si="53"/>
        <v>lbr_Express (Electric)</v>
      </c>
      <c r="AY190" t="s">
        <v>627</v>
      </c>
    </row>
    <row r="191" spans="1:51"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U191" t="s">
        <v>326</v>
      </c>
      <c r="AV191" t="str">
        <f>VLOOKUP(G191,Eras!$A$2:$C$10, 2, TRUE)</f>
        <v>lbr</v>
      </c>
      <c r="AW191" t="s">
        <v>374</v>
      </c>
      <c r="AX191" t="str">
        <f t="shared" si="53"/>
        <v>lbr_DMU</v>
      </c>
      <c r="AY191" t="s">
        <v>688</v>
      </c>
    </row>
    <row r="192" spans="1:51"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U192" t="s">
        <v>326</v>
      </c>
      <c r="AV192" t="str">
        <f>VLOOKUP(G192,Eras!$A$2:$C$10, 2, TRUE)</f>
        <v>lbr</v>
      </c>
      <c r="AW192" t="s">
        <v>377</v>
      </c>
      <c r="AX192" t="str">
        <f t="shared" si="53"/>
        <v>lbr_EMU (Express)</v>
      </c>
      <c r="AY192" t="s">
        <v>726</v>
      </c>
    </row>
    <row r="193" spans="1:51"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V193" t="str">
        <f>VLOOKUP(G193,Eras!$A$2:$C$10, 2, TRUE)</f>
        <v>lbr</v>
      </c>
      <c r="AW193" t="s">
        <v>372</v>
      </c>
      <c r="AX193" t="str">
        <f t="shared" si="53"/>
        <v>lbr_Freight</v>
      </c>
      <c r="AY193" t="s">
        <v>669</v>
      </c>
    </row>
    <row r="194" spans="1:51"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U194" t="s">
        <v>326</v>
      </c>
      <c r="AV194" t="str">
        <f>VLOOKUP(G194,Eras!$A$2:$C$10, 2, TRUE)</f>
        <v>lbr</v>
      </c>
      <c r="AW194" t="s">
        <v>375</v>
      </c>
      <c r="AX194" t="str">
        <f t="shared" si="53"/>
        <v>lbr_DMU (Express)</v>
      </c>
      <c r="AY194" t="s">
        <v>691</v>
      </c>
    </row>
    <row r="195" spans="1:51"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U195" t="s">
        <v>326</v>
      </c>
      <c r="AV195" t="str">
        <f>VLOOKUP(G195,Eras!$A$2:$C$10, 2, TRUE)</f>
        <v>lbr</v>
      </c>
      <c r="AW195" t="s">
        <v>376</v>
      </c>
      <c r="AX195" t="str">
        <f t="shared" si="53"/>
        <v>lbr_EMU</v>
      </c>
      <c r="AY195" t="s">
        <v>667</v>
      </c>
    </row>
    <row r="196" spans="1:51"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U196" t="s">
        <v>326</v>
      </c>
      <c r="AV196" t="str">
        <f>VLOOKUP(G196,Eras!$A$2:$C$10, 2, TRUE)</f>
        <v>lbr</v>
      </c>
      <c r="AW196" t="s">
        <v>374</v>
      </c>
      <c r="AX196" t="str">
        <f t="shared" si="53"/>
        <v>lbr_DMU</v>
      </c>
      <c r="AY196" t="s">
        <v>695</v>
      </c>
    </row>
    <row r="197" spans="1:51"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U197" t="s">
        <v>326</v>
      </c>
      <c r="AV197" t="str">
        <f>VLOOKUP(G197,Eras!$A$2:$C$10, 2, TRUE)</f>
        <v>lbr</v>
      </c>
      <c r="AW197" t="s">
        <v>376</v>
      </c>
      <c r="AX197" t="str">
        <f t="shared" si="53"/>
        <v>lbr_EMU</v>
      </c>
      <c r="AY197" t="s">
        <v>631</v>
      </c>
    </row>
    <row r="198" spans="1:51"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U198" t="s">
        <v>326</v>
      </c>
      <c r="AV198" t="str">
        <f>VLOOKUP(G198,Eras!$A$2:$C$10, 2, TRUE)</f>
        <v>lbr</v>
      </c>
      <c r="AW198" t="s">
        <v>377</v>
      </c>
      <c r="AX198" t="str">
        <f t="shared" si="53"/>
        <v>lbr_EMU (Express)</v>
      </c>
      <c r="AY198" t="s">
        <v>757</v>
      </c>
    </row>
    <row r="199" spans="1:51"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U199" t="s">
        <v>711</v>
      </c>
      <c r="AV199" t="str">
        <f>VLOOKUP(G199,Eras!$A$2:$C$10, 2, TRUE)</f>
        <v>prv</v>
      </c>
      <c r="AW199" t="s">
        <v>375</v>
      </c>
      <c r="AX199" t="str">
        <f t="shared" si="53"/>
        <v>prv_DMU (Express)</v>
      </c>
      <c r="AY199" t="s">
        <v>712</v>
      </c>
    </row>
    <row r="200" spans="1:51"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V200" t="str">
        <f>VLOOKUP(G200,Eras!$A$2:$C$10, 2, TRUE)</f>
        <v>lbr</v>
      </c>
      <c r="AW200" t="s">
        <v>372</v>
      </c>
      <c r="AX200" t="str">
        <f t="shared" si="53"/>
        <v>lbr_Freight</v>
      </c>
      <c r="AY200" t="s">
        <v>637</v>
      </c>
    </row>
    <row r="201" spans="1:51"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V201" t="str">
        <f>VLOOKUP(G201,Eras!$A$2:$C$10, 2, TRUE)</f>
        <v>prv</v>
      </c>
      <c r="AW201" t="s">
        <v>372</v>
      </c>
      <c r="AX201" t="str">
        <f t="shared" si="53"/>
        <v>prv_Freight</v>
      </c>
      <c r="AY201" t="s">
        <v>617</v>
      </c>
    </row>
    <row r="202" spans="1:51"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V202" t="str">
        <f>VLOOKUP(G202,Eras!$A$2:$C$10, 2, TRUE)</f>
        <v>prv</v>
      </c>
      <c r="AW202" t="s">
        <v>372</v>
      </c>
      <c r="AX202" t="str">
        <f t="shared" si="53"/>
        <v>prv_Freight</v>
      </c>
      <c r="AY202" t="s">
        <v>618</v>
      </c>
    </row>
    <row r="203" spans="1:51"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U203" t="s">
        <v>326</v>
      </c>
      <c r="AV203" t="str">
        <f>VLOOKUP(G203,Eras!$A$2:$C$10, 2, TRUE)</f>
        <v>prv</v>
      </c>
      <c r="AW203" t="s">
        <v>374</v>
      </c>
      <c r="AX203" t="str">
        <f t="shared" si="53"/>
        <v>prv_DMU</v>
      </c>
      <c r="AY203" t="s">
        <v>646</v>
      </c>
    </row>
    <row r="204" spans="1:51"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V204" t="str">
        <f>VLOOKUP(G204,Eras!$A$2:$C$10, 2, TRUE)</f>
        <v>prv</v>
      </c>
      <c r="AW204" t="s">
        <v>372</v>
      </c>
      <c r="AX204" t="str">
        <f t="shared" si="53"/>
        <v>prv_Freight</v>
      </c>
      <c r="AY204" t="s">
        <v>635</v>
      </c>
    </row>
    <row r="205" spans="1:51"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U205" t="s">
        <v>326</v>
      </c>
      <c r="AV205" t="str">
        <f>VLOOKUP(G205,Eras!$A$2:$C$10, 2, TRUE)</f>
        <v>prv</v>
      </c>
      <c r="AW205" t="s">
        <v>377</v>
      </c>
      <c r="AX205" t="str">
        <f t="shared" si="53"/>
        <v>prv_EMU (Express)</v>
      </c>
      <c r="AY205" t="s">
        <v>639</v>
      </c>
    </row>
    <row r="206" spans="1:51"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U206" t="s">
        <v>326</v>
      </c>
      <c r="AV206" t="str">
        <f>VLOOKUP(G206,Eras!$A$2:$C$10, 2, TRUE)</f>
        <v>prv</v>
      </c>
      <c r="AW206" t="s">
        <v>377</v>
      </c>
      <c r="AX206" t="str">
        <f t="shared" si="53"/>
        <v>prv_EMU (Express)</v>
      </c>
      <c r="AY206" t="s">
        <v>716</v>
      </c>
    </row>
    <row r="207" spans="1:51"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U207" t="s">
        <v>326</v>
      </c>
      <c r="AV207" t="str">
        <f>VLOOKUP(G207,Eras!$A$2:$C$10, 2, TRUE)</f>
        <v>prv</v>
      </c>
      <c r="AW207" t="s">
        <v>375</v>
      </c>
      <c r="AX207" t="str">
        <f t="shared" si="53"/>
        <v>prv_DMU (Express)</v>
      </c>
      <c r="AY207" t="s">
        <v>719</v>
      </c>
    </row>
    <row r="208" spans="1:51"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U208" t="s">
        <v>326</v>
      </c>
      <c r="AV208" t="str">
        <f>VLOOKUP(G208,Eras!$A$2:$C$10, 2, TRUE)</f>
        <v>prv</v>
      </c>
      <c r="AW208" t="s">
        <v>375</v>
      </c>
      <c r="AX208" t="str">
        <f t="shared" si="53"/>
        <v>prv_DMU (Express)</v>
      </c>
      <c r="AY208" t="s">
        <v>720</v>
      </c>
    </row>
    <row r="209" spans="1:51"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U209" t="s">
        <v>326</v>
      </c>
      <c r="AV209" t="str">
        <f>VLOOKUP(G209,Eras!$A$2:$C$10, 2, TRUE)</f>
        <v>prv</v>
      </c>
      <c r="AW209" t="s">
        <v>376</v>
      </c>
      <c r="AX209" t="str">
        <f t="shared" si="53"/>
        <v>prv_EMU</v>
      </c>
      <c r="AY209" t="s">
        <v>642</v>
      </c>
    </row>
    <row r="210" spans="1:51"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U210" t="s">
        <v>326</v>
      </c>
      <c r="AV210" t="str">
        <f>VLOOKUP(G210,Eras!$A$2:$C$10, 2, TRUE)</f>
        <v>prv</v>
      </c>
      <c r="AW210" t="s">
        <v>376</v>
      </c>
      <c r="AX210" t="str">
        <f t="shared" si="53"/>
        <v>prv_EMU</v>
      </c>
      <c r="AY210" t="s">
        <v>659</v>
      </c>
    </row>
    <row r="211" spans="1:51"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U211" t="s">
        <v>326</v>
      </c>
      <c r="AV211" t="str">
        <f>VLOOKUP(G211,Eras!$A$2:$C$10, 2, TRUE)</f>
        <v>prv</v>
      </c>
      <c r="AW211" t="s">
        <v>377</v>
      </c>
      <c r="AX211" t="str">
        <f t="shared" si="53"/>
        <v>prv_EMU (Express)</v>
      </c>
      <c r="AY211" t="s">
        <v>660</v>
      </c>
    </row>
    <row r="212" spans="1:51"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V212" t="str">
        <f>VLOOKUP(G212,Eras!$A$2:$C$10, 2, TRUE)</f>
        <v>mod</v>
      </c>
      <c r="AW212" t="s">
        <v>377</v>
      </c>
      <c r="AX212" t="str">
        <f t="shared" si="53"/>
        <v>mod_EMU (Express)</v>
      </c>
    </row>
    <row r="213" spans="1:51"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V213" t="str">
        <f>VLOOKUP(G213,Eras!$A$2:$C$10, 2, TRUE)</f>
        <v>mod</v>
      </c>
      <c r="AW213" t="s">
        <v>372</v>
      </c>
      <c r="AX213" t="str">
        <f t="shared" si="53"/>
        <v>mod_Freight</v>
      </c>
      <c r="AY213" t="s">
        <v>649</v>
      </c>
    </row>
    <row r="214" spans="1:51"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U214" t="s">
        <v>326</v>
      </c>
      <c r="AV214" t="str">
        <f>VLOOKUP(G214,Eras!$A$2:$C$10, 2, TRUE)</f>
        <v>mod</v>
      </c>
      <c r="AW214" t="s">
        <v>376</v>
      </c>
      <c r="AX214" t="str">
        <f t="shared" si="53"/>
        <v>mod_EMU</v>
      </c>
      <c r="AY214" t="s">
        <v>655</v>
      </c>
    </row>
    <row r="215" spans="1:51"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V215" t="str">
        <f>VLOOKUP(G215,Eras!$A$2:$C$10, 2, TRUE)</f>
        <v>mod</v>
      </c>
      <c r="AW215" t="s">
        <v>370</v>
      </c>
      <c r="AX215" t="str">
        <f t="shared" si="53"/>
        <v>mod_Mixed Traffic</v>
      </c>
      <c r="AY215" t="s">
        <v>654</v>
      </c>
    </row>
    <row r="216" spans="1:51"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V216" t="str">
        <f>VLOOKUP(G216,Eras!$A$2:$C$10, 2, TRUE)</f>
        <v>mod</v>
      </c>
      <c r="AW216" t="s">
        <v>382</v>
      </c>
      <c r="AX216" t="str">
        <f t="shared" si="53"/>
        <v>mod_Freight (Electric)</v>
      </c>
    </row>
    <row r="217" spans="1:51"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U217" t="s">
        <v>326</v>
      </c>
      <c r="AV217" t="str">
        <f>VLOOKUP(G217,Eras!$A$2:$C$10, 2, TRUE)</f>
        <v>mod</v>
      </c>
      <c r="AW217" t="s">
        <v>374</v>
      </c>
      <c r="AX217" t="str">
        <f t="shared" si="53"/>
        <v>mod_DMU</v>
      </c>
      <c r="AY217" t="s">
        <v>709</v>
      </c>
    </row>
    <row r="218" spans="1:51"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U218" t="s">
        <v>326</v>
      </c>
      <c r="AV218" t="str">
        <f>VLOOKUP(G218,Eras!$A$2:$C$10, 2, TRUE)</f>
        <v>lbr</v>
      </c>
      <c r="AW218" t="s">
        <v>377</v>
      </c>
      <c r="AX218" t="str">
        <f t="shared" si="53"/>
        <v>lbr_EMU (Express)</v>
      </c>
      <c r="AY218" t="s">
        <v>757</v>
      </c>
    </row>
    <row r="219" spans="1:51"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U219" t="s">
        <v>326</v>
      </c>
      <c r="AV219" t="str">
        <f>VLOOKUP(G219,Eras!$A$2:$C$10, 2, TRUE)</f>
        <v>vct</v>
      </c>
      <c r="AW219" t="s">
        <v>376</v>
      </c>
      <c r="AX219" t="str">
        <f t="shared" si="53"/>
        <v>vct_EMU</v>
      </c>
      <c r="AY219" t="s">
        <v>742</v>
      </c>
    </row>
    <row r="220" spans="1:51"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V220" t="str">
        <f>VLOOKUP(G220,Eras!$A$2:$C$10, 2, TRUE)</f>
        <v>edw</v>
      </c>
      <c r="AW220" t="s">
        <v>388</v>
      </c>
      <c r="AX220" t="str">
        <f t="shared" si="53"/>
        <v>edw_LU</v>
      </c>
    </row>
    <row r="221" spans="1:51"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V221" t="str">
        <f>VLOOKUP(G221,Eras!$A$2:$C$10, 2, TRUE)</f>
        <v>big4</v>
      </c>
      <c r="AW221" t="s">
        <v>388</v>
      </c>
      <c r="AX221" t="str">
        <f t="shared" si="53"/>
        <v>big4_LU</v>
      </c>
    </row>
    <row r="222" spans="1:51"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V222" t="str">
        <f>VLOOKUP(G222,Eras!$A$2:$C$10, 2, TRUE)</f>
        <v>dsl</v>
      </c>
      <c r="AW222" t="s">
        <v>388</v>
      </c>
      <c r="AX222" t="str">
        <f t="shared" si="53"/>
        <v>dsl_LU</v>
      </c>
    </row>
    <row r="223" spans="1:51"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V223" t="str">
        <f>VLOOKUP(G223,Eras!$A$2:$C$10, 2, TRUE)</f>
        <v>dsl</v>
      </c>
      <c r="AW223" t="s">
        <v>388</v>
      </c>
      <c r="AX223" t="str">
        <f t="shared" si="53"/>
        <v>dsl_LU</v>
      </c>
    </row>
    <row r="224" spans="1:51"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V224" t="str">
        <f>VLOOKUP(G224,Eras!$A$2:$C$10, 2, TRUE)</f>
        <v>dsl</v>
      </c>
      <c r="AW224" t="s">
        <v>388</v>
      </c>
      <c r="AX224" t="str">
        <f t="shared" si="53"/>
        <v>dsl_LU</v>
      </c>
    </row>
    <row r="225" spans="1:50"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V225" t="str">
        <f>VLOOKUP(G225,Eras!$A$2:$C$10, 2, TRUE)</f>
        <v>dsl</v>
      </c>
      <c r="AW225" t="s">
        <v>388</v>
      </c>
      <c r="AX225" t="str">
        <f t="shared" si="53"/>
        <v>dsl_LU</v>
      </c>
    </row>
    <row r="226" spans="1:50"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V226" t="str">
        <f>VLOOKUP(G226,Eras!$A$2:$C$10, 2, TRUE)</f>
        <v>lbr</v>
      </c>
      <c r="AW226" t="s">
        <v>388</v>
      </c>
      <c r="AX226" t="str">
        <f t="shared" si="53"/>
        <v>lbr_LU</v>
      </c>
    </row>
    <row r="227" spans="1:50"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V227" t="str">
        <f>VLOOKUP(G227,Eras!$A$2:$C$10, 2, TRUE)</f>
        <v>lbr</v>
      </c>
      <c r="AW227" t="s">
        <v>388</v>
      </c>
      <c r="AX227" t="str">
        <f t="shared" si="53"/>
        <v>lbr_LU</v>
      </c>
    </row>
    <row r="228" spans="1:50"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V228" t="str">
        <f>VLOOKUP(G228,Eras!$A$2:$C$10, 2, TRUE)</f>
        <v>lbr</v>
      </c>
      <c r="AW228" t="s">
        <v>388</v>
      </c>
      <c r="AX228" t="str">
        <f t="shared" si="53"/>
        <v>lbr_LU</v>
      </c>
    </row>
    <row r="229" spans="1:50"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V229" t="str">
        <f>VLOOKUP(G229,Eras!$A$2:$C$10, 2, TRUE)</f>
        <v>lbr</v>
      </c>
      <c r="AW229" t="s">
        <v>388</v>
      </c>
      <c r="AX229" t="str">
        <f t="shared" si="53"/>
        <v>lbr_LU</v>
      </c>
    </row>
    <row r="230" spans="1:50"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V230" t="str">
        <f>VLOOKUP(G230,Eras!$A$2:$C$10, 2, TRUE)</f>
        <v>prv</v>
      </c>
      <c r="AW230" t="s">
        <v>388</v>
      </c>
      <c r="AX230" t="str">
        <f t="shared" si="53"/>
        <v>prv_LU</v>
      </c>
    </row>
    <row r="231" spans="1:50"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V231" t="str">
        <f>VLOOKUP(G231,Eras!$A$2:$C$10, 2, TRUE)</f>
        <v>mod</v>
      </c>
      <c r="AW231" t="s">
        <v>388</v>
      </c>
      <c r="AX231" t="str">
        <f t="shared" si="53"/>
        <v>mod_LU</v>
      </c>
    </row>
    <row r="232" spans="1:50"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V232" t="str">
        <f>VLOOKUP(G232,Eras!$A$2:$C$10, 2, TRUE)</f>
        <v>mod</v>
      </c>
      <c r="AW232" t="s">
        <v>388</v>
      </c>
      <c r="AX232" t="str">
        <f t="shared" si="53"/>
        <v>mod_LU</v>
      </c>
    </row>
    <row r="233" spans="1:50"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V233" t="e">
        <f>VLOOKUP(G233,Eras!$A$2:$C$10, 2, TRUE)</f>
        <v>#N/A</v>
      </c>
      <c r="AX233" t="e">
        <f t="shared" ref="AX233:AX248" si="56">CONCATENATE(AV233,"_",AW233)</f>
        <v>#N/A</v>
      </c>
    </row>
    <row r="234" spans="1:50"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V234" t="e">
        <f>VLOOKUP(G234,Eras!$A$2:$C$10, 2, TRUE)</f>
        <v>#N/A</v>
      </c>
      <c r="AX234" t="e">
        <f t="shared" si="56"/>
        <v>#N/A</v>
      </c>
    </row>
    <row r="235" spans="1:50"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V235" t="e">
        <f>VLOOKUP(G235,Eras!$A$2:$C$10, 2, TRUE)</f>
        <v>#N/A</v>
      </c>
      <c r="AX235" t="e">
        <f t="shared" si="56"/>
        <v>#N/A</v>
      </c>
    </row>
    <row r="236" spans="1:50"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V236" t="e">
        <f>VLOOKUP(G236,Eras!$A$2:$C$10, 2, TRUE)</f>
        <v>#N/A</v>
      </c>
      <c r="AX236" t="e">
        <f t="shared" si="56"/>
        <v>#N/A</v>
      </c>
    </row>
    <row r="237" spans="1:50"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V237" t="e">
        <f>VLOOKUP(G237,Eras!$A$2:$C$10, 2, TRUE)</f>
        <v>#N/A</v>
      </c>
      <c r="AX237" t="e">
        <f t="shared" si="56"/>
        <v>#N/A</v>
      </c>
    </row>
    <row r="238" spans="1:50"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V238" t="e">
        <f>VLOOKUP(G238,Eras!$A$2:$C$10, 2, TRUE)</f>
        <v>#N/A</v>
      </c>
      <c r="AW238" t="s">
        <v>388</v>
      </c>
      <c r="AX238" t="e">
        <f t="shared" si="56"/>
        <v>#N/A</v>
      </c>
    </row>
    <row r="239" spans="1:50"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V239" t="e">
        <f>VLOOKUP(G239,Eras!$A$2:$C$10, 2, TRUE)</f>
        <v>#N/A</v>
      </c>
      <c r="AW239" t="s">
        <v>388</v>
      </c>
      <c r="AX239" t="e">
        <f t="shared" si="56"/>
        <v>#N/A</v>
      </c>
    </row>
    <row r="240" spans="1:50"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V240" t="e">
        <f>VLOOKUP(G240,Eras!$A$2:$C$10, 2, TRUE)</f>
        <v>#N/A</v>
      </c>
      <c r="AX240" t="e">
        <f t="shared" si="56"/>
        <v>#N/A</v>
      </c>
    </row>
    <row r="241" spans="1:50"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V241" t="e">
        <f>VLOOKUP(G241,Eras!$A$2:$C$10, 2, TRUE)</f>
        <v>#N/A</v>
      </c>
      <c r="AX241" t="e">
        <f t="shared" si="56"/>
        <v>#N/A</v>
      </c>
    </row>
    <row r="242" spans="1:50"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V242" t="e">
        <f>VLOOKUP(G242,Eras!$A$2:$C$10, 2, TRUE)</f>
        <v>#N/A</v>
      </c>
      <c r="AX242" t="e">
        <f t="shared" si="56"/>
        <v>#N/A</v>
      </c>
    </row>
    <row r="243" spans="1:50"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V243" t="e">
        <f>VLOOKUP(G243,Eras!$A$2:$C$10, 2, TRUE)</f>
        <v>#N/A</v>
      </c>
      <c r="AX243" t="e">
        <f t="shared" si="56"/>
        <v>#N/A</v>
      </c>
    </row>
    <row r="244" spans="1:50"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V244" t="e">
        <f>VLOOKUP(G244,Eras!$A$2:$C$10, 2, TRUE)</f>
        <v>#N/A</v>
      </c>
      <c r="AX244" t="e">
        <f t="shared" si="56"/>
        <v>#N/A</v>
      </c>
    </row>
    <row r="245" spans="1:50"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V245" t="e">
        <f>VLOOKUP(G245,Eras!$A$2:$C$10, 2, TRUE)</f>
        <v>#N/A</v>
      </c>
      <c r="AX245" t="e">
        <f t="shared" si="56"/>
        <v>#N/A</v>
      </c>
    </row>
    <row r="246" spans="1:50"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V246" t="e">
        <f>VLOOKUP(G246,Eras!$A$2:$C$10, 2, TRUE)</f>
        <v>#N/A</v>
      </c>
      <c r="AX246" t="e">
        <f t="shared" si="56"/>
        <v>#N/A</v>
      </c>
    </row>
    <row r="247" spans="1:50"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V247" t="e">
        <f>VLOOKUP(G247,Eras!$A$2:$C$10, 2, TRUE)</f>
        <v>#N/A</v>
      </c>
      <c r="AX247" t="e">
        <f t="shared" si="56"/>
        <v>#N/A</v>
      </c>
    </row>
    <row r="248" spans="1:50"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V248" t="e">
        <f>VLOOKUP(G248,Eras!$A$2:$C$10, 2, TRUE)</f>
        <v>#N/A</v>
      </c>
      <c r="AX248" t="e">
        <f t="shared" si="56"/>
        <v>#N/A</v>
      </c>
    </row>
  </sheetData>
  <autoFilter ref="A1:AY248" xr:uid="{CF2E8555-48EE-4386-A1B1-369F6A2E644F}">
    <sortState xmlns:xlrd2="http://schemas.microsoft.com/office/spreadsheetml/2017/richdata2" ref="A2:AY248">
      <sortCondition ref="C178"/>
    </sortState>
  </autoFilter>
  <sortState xmlns:xlrd2="http://schemas.microsoft.com/office/spreadsheetml/2017/richdata2" ref="A54:AY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0</v>
      </c>
      <c r="T3">
        <f>COUNTIF(Table!$AX:$AX,CONCATENATE($A3,"_",T$1))</f>
        <v>0</v>
      </c>
      <c r="U3">
        <f>COUNTIF(Table!$AX:$AX,CONCATENATE($A3,"_",U$1))</f>
        <v>0</v>
      </c>
      <c r="V3">
        <f>COUNTIF(Table!$AX:$AX,CONCATENATE($A3,"_",V$1))</f>
        <v>0</v>
      </c>
      <c r="W3">
        <f>COUNTIF(Table!$AX:$AX,CONCATENATE($A3,"_",W$1))</f>
        <v>0</v>
      </c>
    </row>
    <row r="4" spans="1:23" x14ac:dyDescent="0.25">
      <c r="A4" t="s">
        <v>427</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1</v>
      </c>
      <c r="T4">
        <f>COUNTIF(Table!$AX:$AX,CONCATENATE($A4,"_",T$1))</f>
        <v>1</v>
      </c>
      <c r="U4">
        <f>COUNTIF(Table!$AX:$AX,CONCATENATE($A4,"_",U$1))</f>
        <v>2</v>
      </c>
      <c r="V4">
        <f>COUNTIF(Table!$AX:$AX,CONCATENATE($A4,"_",V$1))</f>
        <v>1</v>
      </c>
      <c r="W4">
        <f>COUNTIF(Table!$AX:$AX,CONCATENATE($A4,"_",W$1))</f>
        <v>1</v>
      </c>
    </row>
    <row r="5" spans="1:23" x14ac:dyDescent="0.25">
      <c r="A5" t="s">
        <v>361</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3</v>
      </c>
      <c r="U5">
        <f>COUNTIF(Table!$AX:$AX,CONCATENATE($A5,"_",U$1))</f>
        <v>2</v>
      </c>
      <c r="V5">
        <f>COUNTIF(Table!$AX:$AX,CONCATENATE($A5,"_",V$1))</f>
        <v>1</v>
      </c>
      <c r="W5">
        <f>COUNTIF(Table!$AX:$AX,CONCATENATE($A5,"_",W$1))</f>
        <v>0</v>
      </c>
    </row>
    <row r="6" spans="1:23" x14ac:dyDescent="0.25">
      <c r="A6" t="s">
        <v>362</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1</v>
      </c>
      <c r="U6">
        <f>COUNTIF(Table!$AX:$AX,CONCATENATE($A6,"_",U$1))</f>
        <v>2</v>
      </c>
      <c r="V6">
        <f>COUNTIF(Table!$AX:$AX,CONCATENATE($A6,"_",V$1))</f>
        <v>1</v>
      </c>
      <c r="W6">
        <f>COUNTIF(Table!$AX:$AX,CONCATENATE($A6,"_",W$1))</f>
        <v>2</v>
      </c>
    </row>
    <row r="7" spans="1:23" x14ac:dyDescent="0.25">
      <c r="A7" t="s">
        <v>697</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1</v>
      </c>
      <c r="S7">
        <f>COUNTIF(Table!$AX:$AX,CONCATENATE($A7,"_",S$1))</f>
        <v>1</v>
      </c>
      <c r="T7">
        <f>COUNTIF(Table!$AX:$AX,CONCATENATE($A7,"_",T$1))</f>
        <v>1</v>
      </c>
      <c r="U7">
        <f>COUNTIF(Table!$AX:$AX,CONCATENATE($A7,"_",U$1))</f>
        <v>0</v>
      </c>
      <c r="V7">
        <f>COUNTIF(Table!$AX:$AX,CONCATENATE($A7,"_",V$1))</f>
        <v>0</v>
      </c>
      <c r="W7">
        <f>COUNTIF(Table!$AX:$AX,CONCATENATE($A7,"_",W$1))</f>
        <v>0</v>
      </c>
    </row>
    <row r="8" spans="1:23" x14ac:dyDescent="0.25">
      <c r="A8" t="s">
        <v>363</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1</v>
      </c>
      <c r="S8">
        <f>COUNTIF(Table!$AX:$AX,CONCATENATE($A8,"_",S$1))</f>
        <v>1</v>
      </c>
      <c r="T8">
        <f>COUNTIF(Table!$AX:$AX,CONCATENATE($A8,"_",T$1))</f>
        <v>0</v>
      </c>
      <c r="U8">
        <f>COUNTIF(Table!$AX:$AX,CONCATENATE($A8,"_",U$1))</f>
        <v>3</v>
      </c>
      <c r="V8">
        <f>COUNTIF(Table!$AX:$AX,CONCATENATE($A8,"_",V$1))</f>
        <v>1</v>
      </c>
      <c r="W8">
        <f>COUNTIF(Table!$AX:$AX,CONCATENATE($A8,"_",W$1))</f>
        <v>1</v>
      </c>
    </row>
    <row r="9" spans="1:23" x14ac:dyDescent="0.25">
      <c r="A9" t="s">
        <v>698</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2</v>
      </c>
      <c r="U9">
        <f>COUNTIF(Table!$AX:$AX,CONCATENATE($A9,"_",U$1))</f>
        <v>3</v>
      </c>
      <c r="V9">
        <f>COUNTIF(Table!$AX:$AX,CONCATENATE($A9,"_",V$1))</f>
        <v>1</v>
      </c>
      <c r="W9">
        <f>COUNTIF(Table!$AX:$AX,CONCATENATE($A9,"_",W$1))</f>
        <v>1</v>
      </c>
    </row>
    <row r="10" spans="1:23" x14ac:dyDescent="0.25">
      <c r="A10" t="s">
        <v>364</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1</v>
      </c>
      <c r="U10">
        <f>COUNTIF(Table!$AX:$AX,CONCATENATE($A10,"_",U$1))</f>
        <v>0</v>
      </c>
      <c r="V10">
        <f>COUNTIF(Table!$AX:$AX,CONCATENATE($A10,"_",V$1))</f>
        <v>0</v>
      </c>
      <c r="W10">
        <f>COUNTIF(Table!$AX:$AX,CONCATENATE($A10,"_",W$1))</f>
        <v>1</v>
      </c>
    </row>
    <row r="11" spans="1:23" x14ac:dyDescent="0.25">
      <c r="A11" t="s">
        <v>365</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1</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2020-07-12T13:03:37Z</dcterms:modified>
</cp:coreProperties>
</file>