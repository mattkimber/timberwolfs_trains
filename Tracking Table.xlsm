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46B6AA0-CC76-4A6A-A80E-0FEA12DA29DB}" xr6:coauthVersionLast="45" xr6:coauthVersionMax="45" xr10:uidLastSave="{00000000-0000-0000-0000-000000000000}"/>
  <bookViews>
    <workbookView xWindow="2700" yWindow="2340" windowWidth="15000"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91" i="1" l="1"/>
  <c r="AG92" i="1"/>
  <c r="AG93" i="1" s="1"/>
  <c r="AG94"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88" i="1" s="1"/>
  <c r="AG26" i="1"/>
  <c r="AG51" i="1" s="1"/>
  <c r="AG27" i="1"/>
  <c r="AG63"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65" i="1" s="1"/>
  <c r="AG56" i="1"/>
  <c r="AG58" i="1" s="1"/>
  <c r="AG57" i="1"/>
  <c r="AG71" i="1" s="1"/>
  <c r="AG61" i="1"/>
  <c r="AG64" i="1"/>
  <c r="AG66" i="1"/>
  <c r="AG67" i="1"/>
  <c r="AG68" i="1"/>
  <c r="AG74" i="1"/>
  <c r="AG76" i="1"/>
  <c r="AG77" i="1"/>
  <c r="AG78" i="1"/>
  <c r="AG79" i="1"/>
  <c r="AG90" i="1" s="1"/>
  <c r="AG81" i="1"/>
  <c r="AG82" i="1"/>
  <c r="AG83" i="1"/>
  <c r="AG84" i="1" s="1"/>
  <c r="AG85" i="1"/>
  <c r="AG86" i="1"/>
  <c r="AG87" i="1" s="1"/>
  <c r="AE95" i="1"/>
  <c r="Z95" i="1"/>
  <c r="AP92" i="1"/>
  <c r="AR92" i="1" s="1"/>
  <c r="AE92" i="1"/>
  <c r="V92" i="1"/>
  <c r="Z93" i="1"/>
  <c r="O93" i="1"/>
  <c r="Q93" i="1" s="1"/>
  <c r="O91" i="1"/>
  <c r="Q91" i="1" s="1"/>
  <c r="AG69" i="1" l="1"/>
  <c r="AG62" i="1"/>
  <c r="AG73" i="1"/>
  <c r="AG70" i="1"/>
  <c r="AG80" i="1"/>
  <c r="AG95" i="1"/>
  <c r="AG89" i="1"/>
  <c r="AG72" i="1"/>
  <c r="AG45" i="1"/>
  <c r="AG60" i="1"/>
  <c r="AG52" i="1"/>
  <c r="AG32" i="1"/>
  <c r="AD92" i="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E98" i="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<sst xmlns="http://schemas.openxmlformats.org/spreadsheetml/2006/main" count="1279" uniqueCount="646">
  <si>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</si>
  <si>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</si>
  <si>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</si>
  <si>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</si>
  <si>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</si>
  <si>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</si>
  <si>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</si>
  <si>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</si>
  <si>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</si>
  <si>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</si>
  <si>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</si>
  <si>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</si>
  <si>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</si>
  <si>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</si>
  <si>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</si>
  <si>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</si>
  <si>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</si>
  <si>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</si>
  <si>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</si>
  <si>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</si>
  <si>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</si>
  <si>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</si>
  <si>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</si>
  <si>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</si>
  <si>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</si>
  <si>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</si>
  <si>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</si>
  <si>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</si>
  <si>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</si>
  <si>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</si>
  <si>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</si>
  <si>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</si>
  <si>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</si>
  <si>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</si>
  <si>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</si>
  <si>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</si>
  <si>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</si>
  <si>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</si>
  <si>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</si>
  <si>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</si>
  <si>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</si>
  <si>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</si>
  <si>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</si>
  <si>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</si>
  <si>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</si>
  <si>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</si>
  <si>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</si>
  <si>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</si>
  <si>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</si>
  <si>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</si>
  <si>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</si>
  <si>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</si>
  <si>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</si>
  <si>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</si>
  <si>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</si>
  <si>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</si>
  <si>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</si>
  <si>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</si>
  <si>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</si>
  <si>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</si>
  <si>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</si>
  <si>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</si>
  <si>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</si>
  <si>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</si>
  <si>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</si>
  <si>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</si>
  <si>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</si>
  <si>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</si>
  <si>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</si>
  <si>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</si>
  <si>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</si>
  <si>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</si>
  <si>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</si>
  <si>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</si>
  <si>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</si>
  <si>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</si>
  <si>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</si>
  <si>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</si>
  <si>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</si>
  <si>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</si>
  <si>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</si>
  <si>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</si>
  <si>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</si>
  <si>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</si>
  <si>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</si>
  <si>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</si>
  <si>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</si>
  <si>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</si>
  <si>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</si>
  <si>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</si>
  <si>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</si>
  <si>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</si>
  <si>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</si>
  <si>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</si>
  <si>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</si>
  <si>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</si>
  <si>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</si>
  <si>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</si>
  <si>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</si>
  <si>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</si>
  <si>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</si>
  <si>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</si>
  <si>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</si>
  <si>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</si>
  <si>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</si>
  <si>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</si>
  <si>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</si>
  <si>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</si>
  <si>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</si>
  <si>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</si>
  <si>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</si>
  <si>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</si>
  <si>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</si>
  <si>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</si>
  <si>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</si>
  <si>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</si>
  <si>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</si>
  <si>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</si>
  <si>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</si>
  <si>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</si>
  <si>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</si>
  <si>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</si>
  <si>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</si>
  <si>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</si>
  <si>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</si>
  <si>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</si>
  <si>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</si>
  <si>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</si>
  <si>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</si>
  <si>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</si>
  <si>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</si>
  <si>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</si>
  <si>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</si>
  <si>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</si>
  <si>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</si>
  <si>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</si>
  <si>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</si>
  <si>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</si>
  <si>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</si>
  <si>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</si>
  <si>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</si>
  <si>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</si>
  <si>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</si>
  <si>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</si>
  <si>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</si>
  <si>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</si>
  <si>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</si>
  <si>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</si>
  <si>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</si>
  <si>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</si>
  <si>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</si>
  <si>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</si>
  <si>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</si>
  <si>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</si>
  <si>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</si>
  <si>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</si>
  <si>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</si>
  <si>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</si>
  <si>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</si>
  <si>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</si>
  <si>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</si>
  <si>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</si>
  <si>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</si>
  <si>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</si>
  <si>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</si>
  <si>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</si>
  <si>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</si>
  <si>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</si>
  <si>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</si>
  <si>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</si>
  <si>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</si>
  <si>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</si>
  <si>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</si>
  <si>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</si>
  <si>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</si>
  <si>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</si>
  <si>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</si>
  <si>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</si>
  <si>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</si>
  <si>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</si>
  <si>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</si>
  <si>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</si>
  <si>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</si>
  <si>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</si>
  <si>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</si>
  <si>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</si>
  <si>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</si>
  <si>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</si>
  <si>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</si>
  <si>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</si>
  <si>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</si>
  <si>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</si>
  <si>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</si>
  <si>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</si>
  <si>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</si>
  <si>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</si>
  <si>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</si>
  <si>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</si>
  <si>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</si>
  <si>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</si>
  <si>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</si>
  <si>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</si>
  <si>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</si>
  <si>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</si>
  <si>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</si>
  <si>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</si>
  <si>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</si>
  <si>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</si>
  <si>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</si>
  <si>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</si>
  <si>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</si>
  <si>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</si>
  <si>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</si>
  <si>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</si>
  <si>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</si>
  <si>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</si>
  <si>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</si>
  <si>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</si>
  <si>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</si>
  <si>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</si>
  <si>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</si>
  <si>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</si>
  <si>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</si>
  <si>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</si>
  <si>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</si>
  <si>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</si>
  <si>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</si>
  <si>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</si>
  <si>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</si>
  <si>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</si>
  <si>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</si>
  <si>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</si>
  <si>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</si>
  <si>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</si>
  <si>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</si>
  <si>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</si>
  <si>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</si>
  <si>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</si>
  <si>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</si>
  <si>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</si>
  <si>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</si>
  <si>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</si>
  <si>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</si>
  <si>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</si>
  <si>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</si>
  <si>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</si>
  <si>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</si>
  <si>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</si>
  <si>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</si>
  <si>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</si>
  <si>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</si>
  <si>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</si>
  <si>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</si>
  <si>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</si>
  <si>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</si>
  <si>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</si>
  <si>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</si>
  <si>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</si>
  <si>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</si>
  <si>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</si>
  <si>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</si>
  <si>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</si>
  <si>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</si>
  <si>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</si>
  <si>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</si>
  <si>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</si>
  <si>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</si>
  <si>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</si>
  <si>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</si>
  <si>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</si>
  <si>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</si>
  <si>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</si>
  <si>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</si>
  <si>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</si>
  <si>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</si>
  <si>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</si>
  <si>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</si>
  <si>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</si>
  <si>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</si>
  <si>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</si>
  <si>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</si>
  <si>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</si>
  <si>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</si>
  <si>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</si>
  <si>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</si>
  <si>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</si>
  <si>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</si>
  <si>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</si>
  <si>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</si>
  <si>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</si>
  <si>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</si>
  <si>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</si>
  <si>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</si>
  <si>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</si>
  <si>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</si>
  <si>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</si>
  <si>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</si>
  <si>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</si>
  <si>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</si>
  <si>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</si>
  <si>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</si>
  <si>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</si>
  <si>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</si>
  <si>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</si>
  <si>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</si>
  <si>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</si>
  <si>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</si>
  <si>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</si>
  <si>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</si>
  <si>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</si>
  <si>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</si>
  <si>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</si>
  <si>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</si>
  <si>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</si>
  <si>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</si>
  <si>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</si>
  <si>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</si>
  <si>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</si>
  <si>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</si>
  <si>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</si>
  <si>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</si>
  <si>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</si>
  <si>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</si>
  <si>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</si>
  <si>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</si>
  <si>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</si>
  <si>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</si>
  <si>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</si>
  <si>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</si>
  <si>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</si>
  <si>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</si>
  <si>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</si>
  <si>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</si>
  <si>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</si>
  <si>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</si>
  <si>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</si>
  <si>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</si>
  <si>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</si>
  <si>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</si>
  <si>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</si>
  <si>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</si>
  <si>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</si>
  <si>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</si>
  <si>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</si>
  <si>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</si>
  <si>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</si>
  <si>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</si>
  <si>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</si>
  <si>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</si>
  <si>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</si>
  <si>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</si>
  <si>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</si>
  <si>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</si>
  <si>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</si>
  <si>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</si>
  <si>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</si>
  <si>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</si>
  <si>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</si>
  <si>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</si>
  <si>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</si>
  <si>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</si>
  <si>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</si>
  <si>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</si>
  <si>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</si>
  <si>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</si>
  <si>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</si>
  <si>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</si>
  <si>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</si>
  <si>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</si>
  <si>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</si>
  <si>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</si>
  <si>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</si>
  <si>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</si>
  <si>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</si>
  <si>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</si>
  <si>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</si>
  <si>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</si>
  <si>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</si>
  <si>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</si>
  <si>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</si>
  <si>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</si>
  <si>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</si>
  <si>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</si>
  <si>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</si>
  <si>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</si>
  <si>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</si>
  <si>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</si>
  <si>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</si>
  <si>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</si>
  <si>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</si>
  <si>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</si>
  <si>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</si>
  <si>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</si>
  <si>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</si>
  <si>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</si>
  <si>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</si>
  <si>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</si>
  <si>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</si>
  <si>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</si>
  <si>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</si>
  <si>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</si>
  <si>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</si>
  <si>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</si>
  <si>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</si>
  <si>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</si>
  <si>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</si>
  <si>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</si>
  <si>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</si>
  <si>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</si>
  <si>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</si>
  <si>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</si>
  <si>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</si>
  <si>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</si>
  <si>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</si>
  <si>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</si>
  <si>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</si>
  <si>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</si>
  <si>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</si>
  <si>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</si>
  <si>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</si>
  <si>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</si>
  <si>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</si>
  <si>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</si>
  <si>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</si>
  <si>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</si>
  <si>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</si>
  <si>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</si>
  <si>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</si>
  <si>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</si>
  <si>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</si>
  <si>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</si>
  <si>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</si>
  <si>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</si>
  <si>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</si>
  <si>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</si>
  <si>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</si>
  <si>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</si>
  <si>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</si>
  <si>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</si>
  <si>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</si>
  <si>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</si>
  <si>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</si>
  <si>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</si>
  <si>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</si>
  <si>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</si>
  <si>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</si>
  <si>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</si>
  <si>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</si>
  <si>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</si>
  <si>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</si>
  <si>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</si>
  <si>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</si>
  <si>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</si>
  <si>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</si>
  <si>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</si>
  <si>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</si>
  <si>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</si>
  <si>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</si>
  <si>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</si>
  <si>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</si>
  <si>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</si>
  <si>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</si>
  <si>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</si>
  <si>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</si>
  <si>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</si>
  <si>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</si>
  <si>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</si>
  <si>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</si>
  <si>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</si>
  <si>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</si>
  <si>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</si>
  <si>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</si>
  <si>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</si>
  <si>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</si>
  <si>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</si>
  <si>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</si>
  <si>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</si>
  <si>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</si>
  <si>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</si>
  <si>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</si>
  <si>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</si>
  <si>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</si>
  <si>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</si>
  <si>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</si>
  <si>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</si>
  <si>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</si>
  <si>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</si>
  <si>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</si>
  <si>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</si>
  <si>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</si>
  <si>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</si>
  <si>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</si>
  <si>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</si>
  <si>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</si>
  <si>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</si>
  <si>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</si>
  <si>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</si>
  <si>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</si>
  <si>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</si>
  <si>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</si>
  <si>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</si>
  <si>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</si>
  <si>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</si>
  <si>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</si>
  <si>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</si>
  <si>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</si>
  <si>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</si>
  <si>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</si>
  <si>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</si>
  <si>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</si>
  <si>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</si>
  <si>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</si>
  <si>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</si>
  <si>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</si>
  <si>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</si>
  <si>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</si>
  <si>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</si>
  <si>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</si>
  <si>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</si>
  <si>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</si>
  <si>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</si>
  <si>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</si>
  <si>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</si>
  <si>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</si>
  <si>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</si>
  <si>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</si>
  <si>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</si>
  <si>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</si>
  <si>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</si>
  <si>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</si>
  <si>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</si>
  <si>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</si>
  <si>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</si>
  <si>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</si>
  <si>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</si>
  <si>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</si>
  <si>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</si>
  <si>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</si>
  <si>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</si>
  <si>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</si>
  <si>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</si>
  <si>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</si>
  <si>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</si>
  <si>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</si>
  <si>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</si>
  <si>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</si>
  <si>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</si>
  <si>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</si>
  <si>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</si>
  <si>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</si>
  <si>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</si>
  <si>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</si>
  <si>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</si>
  <si>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</si>
  <si>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</si>
  <si>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</si>
  <si>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</si>
  <si>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</si>
  <si>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</si>
  <si>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</si>
  <si>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</si>
  <si>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</si>
  <si>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</si>
  <si>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</si>
  <si>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</si>
  <si>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</si>
  <si>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</si>
  <si>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</si>
  <si>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</si>
  <si>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</si>
  <si>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</si>
  <si>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</si>
  <si>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</si>
  <si>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</si>
  <si>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</si>
  <si>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</si>
  <si>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</si>
  <si>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</si>
  <si>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</si>
  <si>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</si>
  <si>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</si>
  <si>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</si>
  <si>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</si>
  <si>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</si>
  <si>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</si>
  <si>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</si>
  <si>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</si>
  <si>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</si>
  <si>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</si>
  <si>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</si>
  <si>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</si>
  <si>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</si>
  <si>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</si>
  <si>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</si>
  <si>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</si>
  <si>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</si>
  <si>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</si>
  <si>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</si>
  <si>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</si>
  <si>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</si>
  <si>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</si>
  <si>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</si>
  <si>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</si>
  <si>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</si>
  <si>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</si>
  <si>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</si>
  <si>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</si>
  <si>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</si>
  <si>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</si>
  <si>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</si>
  <si>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</si>
  <si>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</si>
  <si>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</si>
  <si>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</si>
  <si>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</si>
  <si>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</si>
  <si>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</si>
  <si>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</si>
  <si>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</si>
  <si>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</si>
  <si>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</si>
  <si>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</si>
  <si>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</si>
  <si>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</si>
  <si>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</si>
  <si>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</si>
  <si>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</si>
  <si>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</si>
  <si>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</si>
  <si>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</si>
  <si>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</si>
  <si>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</si>
  <si>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</si>
  <si>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</si>
  <si>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2,5,3</t>
  </si>
  <si>
    <t>1,1,2</t>
  </si>
  <si>
    <t>1,2,2</t>
  </si>
  <si>
    <t>1,3,2</t>
  </si>
  <si>
    <t>2,3,3</t>
  </si>
  <si>
    <t>3,4,4</t>
  </si>
  <si>
    <t>BR Class 7 "Britannia"</t>
  </si>
  <si>
    <t>BR Class 6 "Clan"</t>
  </si>
  <si>
    <t>BR Class 9F</t>
  </si>
  <si>
    <t>br_clan_class</t>
  </si>
  <si>
    <t>br_britannia_class</t>
  </si>
  <si>
    <t>br_class_9f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</si>
</sst>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B68" activePane="bottomRight" state="frozenSplit"/>
      <selection pane="topRight" activeCell="B1" sqref="B1"/>
      <selection pane="bottomLeft" activeCell="A2" sqref="A2"/>
      <selection pane="bottomRight" activeCell="B102" sqref="B102"/>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183</v>
      </c>
      <c r="B1" s="1" t="s">
        <v>184</v>
      </c>
      <c r="C1" s="1" t="s">
        <v>182</v>
      </c>
      <c r="D1" s="1" t="s">
        <v>378</v>
      </c>
      <c r="E1" s="1" t="s">
        <v>381</v>
      </c>
      <c r="F1" s="1" t="s">
        <v>186</v>
      </c>
      <c r="G1" s="1" t="s">
        <v>187</v>
      </c>
      <c r="H1" s="1" t="s">
        <v>188</v>
      </c>
      <c r="I1" s="1" t="s">
        <v>189</v>
      </c>
      <c r="J1" s="1" t="s">
        <v>190</v>
      </c>
      <c r="K1" s="1" t="s">
        <v>492</v>
      </c>
      <c r="L1" s="1" t="s">
        <v>489</v>
      </c>
      <c r="M1" s="1" t="s">
        <v>490</v>
      </c>
      <c r="N1" s="1" t="s">
        <v>487</v>
      </c>
      <c r="O1" s="1" t="s">
        <v>488</v>
      </c>
      <c r="P1" s="1" t="s">
        <v>493</v>
      </c>
      <c r="Q1" s="1" t="s">
        <v>491</v>
      </c>
      <c r="R1" s="1" t="s">
        <v>191</v>
      </c>
      <c r="S1" s="1" t="s">
        <v>192</v>
      </c>
      <c r="T1" s="1" t="s">
        <v>384</v>
      </c>
      <c r="U1" s="1" t="s">
        <v>193</v>
      </c>
      <c r="V1" s="3" t="s">
        <v>372</v>
      </c>
      <c r="W1" s="1" t="s">
        <v>194</v>
      </c>
      <c r="X1" s="1" t="s">
        <v>497</v>
      </c>
      <c r="Y1" s="1" t="s">
        <v>195</v>
      </c>
      <c r="Z1" s="1" t="s">
        <v>393</v>
      </c>
      <c r="AA1" s="1" t="s">
        <v>337</v>
      </c>
      <c r="AB1" s="1" t="s">
        <v>196</v>
      </c>
      <c r="AC1" s="1" t="s">
        <v>371</v>
      </c>
      <c r="AD1" s="1" t="s">
        <v>185</v>
      </c>
      <c r="AE1" s="1" t="s">
        <v>376</v>
      </c>
      <c r="AF1" s="1" t="s">
        <v>399</v>
      </c>
      <c r="AG1" s="1" t="s">
        <v>338</v>
      </c>
      <c r="AH1" s="1" t="s">
        <v>529</v>
      </c>
      <c r="AI1" s="1" t="s">
        <v>530</v>
      </c>
      <c r="AJ1" s="1" t="s">
        <v>613</v>
      </c>
      <c r="AK1" s="1" t="s">
        <v>377</v>
      </c>
      <c r="AL1" s="1" t="s">
        <v>385</v>
      </c>
      <c r="AM1" s="1" t="s">
        <v>386</v>
      </c>
      <c r="AN1" s="1" t="s">
        <v>416</v>
      </c>
      <c r="AO1" s="1" t="s">
        <v>390</v>
      </c>
      <c r="AP1" s="1" t="s">
        <v>440</v>
      </c>
      <c r="AQ1" s="1" t="s">
        <v>461</v>
      </c>
      <c r="AR1" s="1" t="s">
        <v>463</v>
      </c>
      <c r="AS1" s="1" t="s">
        <v>464</v>
      </c>
    </row>
    <row r="2" spans="1:45" x14ac:dyDescent="0.25">
      <c r="A2" t="s">
        <v>157</v>
      </c>
      <c r="B2" t="s">
        <v>363</v>
      </c>
      <c r="C2" t="s">
        <v>389</v>
      </c>
      <c r="E2" t="s">
        <v>411</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394</v>
      </c>
      <c r="AP2" t="str">
        <f>VLOOKUP(F2,Eras!$A$2:$C$12, 2, TRUE)</f>
        <v>early</v>
      </c>
      <c r="AQ2" t="s">
        <v>457</v>
      </c>
      <c r="AR2" t="str">
        <f t="shared" ref="AR2:AR35" si="2">CONCATENATE(AP2,"_",AQ2)</f>
        <v>early_Open Wagon</v>
      </c>
      <c r="AS2" t="s">
        <v>481</v>
      </c>
    </row>
    <row r="3" spans="1:45" x14ac:dyDescent="0.25">
      <c r="A3" t="s">
        <v>179</v>
      </c>
      <c r="B3" t="s">
        <v>295</v>
      </c>
      <c r="C3" t="s">
        <v>197</v>
      </c>
      <c r="E3" t="s">
        <v>383</v>
      </c>
      <c r="F3">
        <v>1802</v>
      </c>
      <c r="R3">
        <v>5</v>
      </c>
      <c r="V3" s="4" t="str">
        <f t="shared" si="0"/>
        <v/>
      </c>
      <c r="W3">
        <v>5</v>
      </c>
      <c r="AD3" t="str">
        <f>CONCATENATE(VLOOKUP(AE3, 'Voxel Sizes'!$A$2:$B$18,2,FALSE),"x",INT(AA3*15), "x", INT(AB3*15))</f>
        <v>0x0x0</v>
      </c>
      <c r="AE3">
        <f t="shared" si="1"/>
        <v>0</v>
      </c>
      <c r="AG3" t="str">
        <f>CONCATENATE(VLOOKUP(AE3,'Articulated Lengths'!$A$2:$C$16, IF(AF3&lt;&gt;"", 3, 2), FALSE),IF(AF3&lt;&gt;"",CONCATENATE(",",VLOOKUP(AF3,$B$2:$AG$213,32,FALSE)),""))</f>
        <v>na</v>
      </c>
      <c r="AL3">
        <v>10</v>
      </c>
      <c r="AM3">
        <v>10</v>
      </c>
      <c r="AP3" t="str">
        <f>VLOOKUP(F3,Eras!$A$2:$C$12, 2, TRUE)</f>
        <v>early</v>
      </c>
      <c r="AQ3" t="s">
        <v>444</v>
      </c>
      <c r="AR3" t="str">
        <f t="shared" si="2"/>
        <v>early_Mixed Traffic</v>
      </c>
    </row>
    <row r="4" spans="1:45" x14ac:dyDescent="0.25">
      <c r="A4" t="s">
        <v>0</v>
      </c>
      <c r="B4" t="s">
        <v>198</v>
      </c>
      <c r="C4" t="s">
        <v>197</v>
      </c>
      <c r="E4" t="s">
        <v>382</v>
      </c>
      <c r="F4">
        <v>1812</v>
      </c>
      <c r="R4">
        <v>5</v>
      </c>
      <c r="V4" s="4" t="str">
        <f t="shared" si="0"/>
        <v/>
      </c>
      <c r="AD4" t="str">
        <f>CONCATENATE(VLOOKUP(AE4, 'Voxel Sizes'!$A$2:$B$18,2,FALSE),"x",INT(AA4*15), "x", INT(AB4*15))</f>
        <v>0x0x0</v>
      </c>
      <c r="AE4">
        <f t="shared" si="1"/>
        <v>0</v>
      </c>
      <c r="AG4" t="str">
        <f>CONCATENATE(VLOOKUP(AE4,'Articulated Lengths'!$A$2:$C$16, IF(AF4&lt;&gt;"", 3, 2), FALSE),IF(AF4&lt;&gt;"",CONCATENATE(",",VLOOKUP(AF4,$B$2:$AG$213,32,FALSE)),""))</f>
        <v>na</v>
      </c>
      <c r="AL4">
        <v>10</v>
      </c>
      <c r="AM4">
        <v>10</v>
      </c>
      <c r="AP4" t="str">
        <f>VLOOKUP(F4,Eras!$A$2:$C$12, 2, TRUE)</f>
        <v>early</v>
      </c>
      <c r="AR4" t="str">
        <f t="shared" si="2"/>
        <v>early_</v>
      </c>
    </row>
    <row r="5" spans="1:45" x14ac:dyDescent="0.25">
      <c r="A5" t="s">
        <v>1</v>
      </c>
      <c r="B5" t="s">
        <v>199</v>
      </c>
      <c r="C5" t="s">
        <v>197</v>
      </c>
      <c r="E5" t="s">
        <v>382</v>
      </c>
      <c r="F5">
        <v>1825</v>
      </c>
      <c r="R5">
        <v>7</v>
      </c>
      <c r="U5">
        <v>8.5</v>
      </c>
      <c r="V5" s="4">
        <f t="shared" si="0"/>
        <v>0.12142857142857143</v>
      </c>
      <c r="W5">
        <v>15</v>
      </c>
      <c r="AD5" t="str">
        <f>CONCATENATE(VLOOKUP(AE5, 'Voxel Sizes'!$A$2:$B$18,2,FALSE),"x",INT(AA5*15), "x", INT(AB5*15))</f>
        <v>0x0x0</v>
      </c>
      <c r="AE5">
        <f t="shared" si="1"/>
        <v>0</v>
      </c>
      <c r="AG5" t="str">
        <f>CONCATENATE(VLOOKUP(AE5,'Articulated Lengths'!$A$2:$C$16, IF(AF5&lt;&gt;"", 3, 2), FALSE),IF(AF5&lt;&gt;"",CONCATENATE(",",VLOOKUP(AF5,$B$2:$AG$213,32,FALSE)),""))</f>
        <v>na</v>
      </c>
      <c r="AL5">
        <v>10</v>
      </c>
      <c r="AM5">
        <v>10</v>
      </c>
      <c r="AP5" t="str">
        <f>VLOOKUP(F5,Eras!$A$2:$C$12, 2, TRUE)</f>
        <v>early</v>
      </c>
      <c r="AQ5" t="s">
        <v>444</v>
      </c>
      <c r="AR5" t="str">
        <f t="shared" si="2"/>
        <v>early_Mixed Traffic</v>
      </c>
    </row>
    <row r="6" spans="1:45" x14ac:dyDescent="0.25">
      <c r="A6" t="s">
        <v>2</v>
      </c>
      <c r="B6" t="s">
        <v>200</v>
      </c>
      <c r="C6" t="s">
        <v>197</v>
      </c>
      <c r="E6" t="s">
        <v>382</v>
      </c>
      <c r="F6">
        <v>1830</v>
      </c>
      <c r="R6">
        <v>4.3</v>
      </c>
      <c r="V6" s="4" t="str">
        <f t="shared" si="0"/>
        <v/>
      </c>
      <c r="AD6" t="str">
        <f>CONCATENATE(VLOOKUP(AE6, 'Voxel Sizes'!$A$2:$B$18,2,FALSE),"x",INT(AA6*15), "x", INT(AB6*15))</f>
        <v>0x0x0</v>
      </c>
      <c r="AE6">
        <f t="shared" si="1"/>
        <v>0</v>
      </c>
      <c r="AG6" t="str">
        <f>CONCATENATE(VLOOKUP(AE6,'Articulated Lengths'!$A$2:$C$16, IF(AF6&lt;&gt;"", 3, 2), FALSE),IF(AF6&lt;&gt;"",CONCATENATE(",",VLOOKUP(AF6,$B$2:$AG$213,32,FALSE)),""))</f>
        <v>na</v>
      </c>
      <c r="AL6">
        <v>10</v>
      </c>
      <c r="AM6">
        <v>10</v>
      </c>
      <c r="AP6" t="str">
        <f>VLOOKUP(F6,Eras!$A$2:$C$12, 2, TRUE)</f>
        <v>early</v>
      </c>
      <c r="AQ6" t="s">
        <v>444</v>
      </c>
      <c r="AR6" t="str">
        <f t="shared" si="2"/>
        <v>early_Mixed Traffic</v>
      </c>
    </row>
    <row r="7" spans="1:45" x14ac:dyDescent="0.25">
      <c r="A7" t="s">
        <v>171</v>
      </c>
      <c r="B7" t="s">
        <v>296</v>
      </c>
      <c r="C7" t="s">
        <v>197</v>
      </c>
      <c r="E7" t="s">
        <v>382</v>
      </c>
      <c r="F7">
        <v>1838</v>
      </c>
      <c r="U7">
        <v>9.6</v>
      </c>
      <c r="V7" s="4" t="str">
        <f t="shared" si="0"/>
        <v/>
      </c>
      <c r="W7">
        <v>45</v>
      </c>
      <c r="AD7" t="str">
        <f>CONCATENATE(VLOOKUP(AE7, 'Voxel Sizes'!$A$2:$B$18,2,FALSE),"x",INT(AA7*15), "x", INT(AB7*15))</f>
        <v>0x0x0</v>
      </c>
      <c r="AE7">
        <f t="shared" si="1"/>
        <v>0</v>
      </c>
      <c r="AG7" t="str">
        <f>CONCATENATE(VLOOKUP(AE7,'Articulated Lengths'!$A$2:$C$16, IF(AF7&lt;&gt;"", 3, 2), FALSE),IF(AF7&lt;&gt;"",CONCATENATE(",",VLOOKUP(AF7,$B$2:$AG$213,32,FALSE)),""))</f>
        <v>na</v>
      </c>
      <c r="AL7">
        <v>10</v>
      </c>
      <c r="AM7">
        <v>10</v>
      </c>
      <c r="AP7" t="str">
        <f>VLOOKUP(F7,Eras!$A$2:$C$12, 2, TRUE)</f>
        <v>early</v>
      </c>
      <c r="AQ7" t="s">
        <v>444</v>
      </c>
      <c r="AR7" t="str">
        <f t="shared" si="2"/>
        <v>early_Mixed Traffic</v>
      </c>
    </row>
    <row r="8" spans="1:45" x14ac:dyDescent="0.25">
      <c r="A8" t="s">
        <v>172</v>
      </c>
      <c r="B8" t="s">
        <v>297</v>
      </c>
      <c r="C8" t="s">
        <v>197</v>
      </c>
      <c r="E8" t="s">
        <v>382</v>
      </c>
      <c r="F8">
        <v>1838</v>
      </c>
      <c r="V8" s="4" t="str">
        <f t="shared" si="0"/>
        <v/>
      </c>
      <c r="AD8" t="str">
        <f>CONCATENATE(VLOOKUP(AE8, 'Voxel Sizes'!$A$2:$B$18,2,FALSE),"x",INT(AA8*15), "x", INT(AB8*15))</f>
        <v>0x0x0</v>
      </c>
      <c r="AE8">
        <f t="shared" si="1"/>
        <v>0</v>
      </c>
      <c r="AG8" t="str">
        <f>CONCATENATE(VLOOKUP(AE8,'Articulated Lengths'!$A$2:$C$16, IF(AF8&lt;&gt;"", 3, 2), FALSE),IF(AF8&lt;&gt;"",CONCATENATE(",",VLOOKUP(AF8,$B$2:$AG$213,32,FALSE)),""))</f>
        <v>na</v>
      </c>
      <c r="AL8">
        <v>10</v>
      </c>
      <c r="AM8">
        <v>10</v>
      </c>
      <c r="AP8" t="str">
        <f>VLOOKUP(F8,Eras!$A$2:$C$12, 2, TRUE)</f>
        <v>early</v>
      </c>
      <c r="AQ8" t="s">
        <v>445</v>
      </c>
      <c r="AR8" t="str">
        <f t="shared" si="2"/>
        <v>early_Express</v>
      </c>
    </row>
    <row r="9" spans="1:45" x14ac:dyDescent="0.25">
      <c r="A9" t="s">
        <v>3</v>
      </c>
      <c r="B9" t="s">
        <v>201</v>
      </c>
      <c r="C9" t="s">
        <v>197</v>
      </c>
      <c r="E9" t="s">
        <v>382</v>
      </c>
      <c r="F9">
        <v>1846</v>
      </c>
      <c r="R9">
        <v>19</v>
      </c>
      <c r="U9">
        <v>34</v>
      </c>
      <c r="V9" s="4">
        <f t="shared" si="0"/>
        <v>0.17894736842105263</v>
      </c>
      <c r="AD9" t="str">
        <f>CONCATENATE(VLOOKUP(AE9, 'Voxel Sizes'!$A$2:$B$18,2,FALSE),"x",INT(AA9*15), "x", INT(AB9*15))</f>
        <v>0x0x0</v>
      </c>
      <c r="AE9">
        <f t="shared" si="1"/>
        <v>0</v>
      </c>
      <c r="AG9" t="str">
        <f>CONCATENATE(VLOOKUP(AE9,'Articulated Lengths'!$A$2:$C$16, IF(AF9&lt;&gt;"", 3, 2), FALSE),IF(AF9&lt;&gt;"",CONCATENATE(",",VLOOKUP(AF9,$B$2:$AG$213,32,FALSE)),""))</f>
        <v>na</v>
      </c>
      <c r="AL9">
        <v>10</v>
      </c>
      <c r="AM9">
        <v>10</v>
      </c>
      <c r="AP9" t="str">
        <f>VLOOKUP(F9,Eras!$A$2:$C$12, 2, TRUE)</f>
        <v>early</v>
      </c>
      <c r="AR9" t="str">
        <f t="shared" si="2"/>
        <v>early_</v>
      </c>
    </row>
    <row r="10" spans="1:45" x14ac:dyDescent="0.25">
      <c r="A10" t="s">
        <v>6</v>
      </c>
      <c r="B10" t="s">
        <v>298</v>
      </c>
      <c r="C10" t="s">
        <v>197</v>
      </c>
      <c r="E10" t="s">
        <v>382</v>
      </c>
      <c r="F10">
        <v>1846</v>
      </c>
      <c r="R10">
        <v>42</v>
      </c>
      <c r="V10" s="4" t="str">
        <f t="shared" si="0"/>
        <v/>
      </c>
      <c r="Y10">
        <v>6</v>
      </c>
      <c r="Z10">
        <v>6</v>
      </c>
      <c r="AD10" t="str">
        <f>CONCATENATE(VLOOKUP(AE10, 'Voxel Sizes'!$A$2:$B$18,2,FALSE),"x",INT(AA10*15), "x", INT(AB10*15))</f>
        <v>60x0x0</v>
      </c>
      <c r="AE10">
        <f t="shared" si="1"/>
        <v>4</v>
      </c>
      <c r="AG10" t="str">
        <f>CONCATENATE(VLOOKUP(AE10,'Articulated Lengths'!$A$2:$C$16, IF(AF10&lt;&gt;"", 3, 2), FALSE),IF(AF10&lt;&gt;"",CONCATENATE(",",VLOOKUP(AF10,$B$2:$AG$213,32,FALSE)),""))</f>
        <v>1,2,1</v>
      </c>
      <c r="AL10">
        <v>10</v>
      </c>
      <c r="AM10">
        <v>10</v>
      </c>
      <c r="AP10" t="str">
        <f>VLOOKUP(F10,Eras!$A$2:$C$12, 2, TRUE)</f>
        <v>early</v>
      </c>
      <c r="AR10" t="str">
        <f t="shared" si="2"/>
        <v>early_</v>
      </c>
    </row>
    <row r="11" spans="1:45" x14ac:dyDescent="0.25">
      <c r="A11" t="s">
        <v>4</v>
      </c>
      <c r="B11" t="s">
        <v>202</v>
      </c>
      <c r="C11" t="s">
        <v>197</v>
      </c>
      <c r="E11" t="s">
        <v>382</v>
      </c>
      <c r="F11">
        <v>1847</v>
      </c>
      <c r="V11" s="4" t="str">
        <f t="shared" si="0"/>
        <v/>
      </c>
      <c r="W11">
        <v>60</v>
      </c>
      <c r="AD11" t="str">
        <f>CONCATENATE(VLOOKUP(AE11, 'Voxel Sizes'!$A$2:$B$18,2,FALSE),"x",INT(AA11*15), "x", INT(AB11*15))</f>
        <v>0x0x0</v>
      </c>
      <c r="AE11">
        <f t="shared" si="1"/>
        <v>0</v>
      </c>
      <c r="AG11" t="str">
        <f>CONCATENATE(VLOOKUP(AE11,'Articulated Lengths'!$A$2:$C$16, IF(AF11&lt;&gt;"", 3, 2), FALSE),IF(AF11&lt;&gt;"",CONCATENATE(",",VLOOKUP(AF11,$B$2:$AG$213,32,FALSE)),""))</f>
        <v>na</v>
      </c>
      <c r="AL11">
        <v>10</v>
      </c>
      <c r="AM11">
        <v>10</v>
      </c>
      <c r="AP11" t="str">
        <f>VLOOKUP(F11,Eras!$A$2:$C$12, 2, TRUE)</f>
        <v>early</v>
      </c>
      <c r="AR11" t="str">
        <f t="shared" si="2"/>
        <v>early_</v>
      </c>
    </row>
    <row r="12" spans="1:45" x14ac:dyDescent="0.25">
      <c r="A12" t="s">
        <v>5</v>
      </c>
      <c r="B12" t="s">
        <v>203</v>
      </c>
      <c r="C12" t="s">
        <v>197</v>
      </c>
      <c r="E12" t="s">
        <v>382</v>
      </c>
      <c r="F12">
        <v>1852</v>
      </c>
      <c r="R12">
        <v>64</v>
      </c>
      <c r="U12">
        <v>65</v>
      </c>
      <c r="V12" s="4">
        <f t="shared" si="0"/>
        <v>0.1015625</v>
      </c>
      <c r="AD12" t="str">
        <f>CONCATENATE(VLOOKUP(AE12, 'Voxel Sizes'!$A$2:$B$18,2,FALSE),"x",INT(AA12*15), "x", INT(AB12*15))</f>
        <v>0x0x0</v>
      </c>
      <c r="AE12">
        <f t="shared" si="1"/>
        <v>0</v>
      </c>
      <c r="AG12" t="str">
        <f>CONCATENATE(VLOOKUP(AE12,'Articulated Lengths'!$A$2:$C$16, IF(AF12&lt;&gt;"", 3, 2), FALSE),IF(AF12&lt;&gt;"",CONCATENATE(",",VLOOKUP(AF12,$B$2:$AG$213,32,FALSE)),""))</f>
        <v>na</v>
      </c>
      <c r="AL12">
        <v>10</v>
      </c>
      <c r="AM12">
        <v>10</v>
      </c>
      <c r="AP12" t="str">
        <f>VLOOKUP(F12,Eras!$A$2:$C$12, 2, TRUE)</f>
        <v>vct</v>
      </c>
      <c r="AR12" t="str">
        <f t="shared" si="2"/>
        <v>vct_</v>
      </c>
    </row>
    <row r="13" spans="1:45" x14ac:dyDescent="0.25">
      <c r="A13" t="s">
        <v>7</v>
      </c>
      <c r="B13" t="s">
        <v>299</v>
      </c>
      <c r="C13" t="s">
        <v>197</v>
      </c>
      <c r="E13" t="s">
        <v>382</v>
      </c>
      <c r="F13">
        <v>1859</v>
      </c>
      <c r="R13">
        <v>27.4</v>
      </c>
      <c r="V13" s="4" t="str">
        <f t="shared" si="0"/>
        <v/>
      </c>
      <c r="W13">
        <v>70</v>
      </c>
      <c r="AD13" t="str">
        <f>CONCATENATE(VLOOKUP(AE13, 'Voxel Sizes'!$A$2:$B$18,2,FALSE),"x",INT(AA13*15), "x", INT(AB13*15))</f>
        <v>0x0x0</v>
      </c>
      <c r="AE13">
        <f t="shared" si="1"/>
        <v>0</v>
      </c>
      <c r="AG13" t="str">
        <f>CONCATENATE(VLOOKUP(AE13,'Articulated Lengths'!$A$2:$C$16, IF(AF13&lt;&gt;"", 3, 2), FALSE),IF(AF13&lt;&gt;"",CONCATENATE(",",VLOOKUP(AF13,$B$2:$AG$213,32,FALSE)),""))</f>
        <v>na</v>
      </c>
      <c r="AL13">
        <v>10</v>
      </c>
      <c r="AM13">
        <v>10</v>
      </c>
      <c r="AP13" t="str">
        <f>VLOOKUP(F13,Eras!$A$2:$C$12, 2, TRUE)</f>
        <v>vct</v>
      </c>
      <c r="AR13" t="str">
        <f t="shared" si="2"/>
        <v>vct_</v>
      </c>
    </row>
    <row r="14" spans="1:45" x14ac:dyDescent="0.25">
      <c r="A14" t="s">
        <v>153</v>
      </c>
      <c r="B14" t="s">
        <v>387</v>
      </c>
      <c r="C14" t="s">
        <v>389</v>
      </c>
      <c r="E14" t="s">
        <v>382</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 IF(AF14&lt;&gt;"", 3, 2), FALSE),IF(AF14&lt;&gt;"",CONCATENATE(",",VLOOKUP(AF14,$B$2:$AG$213,32,FALSE)),""))</f>
        <v>1,2,1</v>
      </c>
      <c r="AL14">
        <v>10</v>
      </c>
      <c r="AM14">
        <v>10</v>
      </c>
      <c r="AO14" t="s">
        <v>392</v>
      </c>
      <c r="AP14" t="str">
        <f>VLOOKUP(F14,Eras!$A$2:$C$12, 2, TRUE)</f>
        <v>vct</v>
      </c>
      <c r="AQ14" t="s">
        <v>460</v>
      </c>
      <c r="AR14" t="str">
        <f t="shared" si="2"/>
        <v>vct_Tanker</v>
      </c>
      <c r="AS14" t="s">
        <v>480</v>
      </c>
    </row>
    <row r="15" spans="1:45" x14ac:dyDescent="0.25">
      <c r="A15" t="s">
        <v>19</v>
      </c>
      <c r="B15" t="s">
        <v>204</v>
      </c>
      <c r="C15" t="s">
        <v>197</v>
      </c>
      <c r="E15" t="s">
        <v>382</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 IF(AF15&lt;&gt;"", 3, 2), FALSE),IF(AF15&lt;&gt;"",CONCATENATE(",",VLOOKUP(AF15,$B$2:$AG$213,32,FALSE)),""))</f>
        <v>1,3,1</v>
      </c>
      <c r="AL15">
        <v>10</v>
      </c>
      <c r="AM15">
        <v>10</v>
      </c>
      <c r="AP15" t="str">
        <f>VLOOKUP(F15,Eras!$A$2:$C$12, 2, TRUE)</f>
        <v>vct</v>
      </c>
      <c r="AR15" t="str">
        <f t="shared" si="2"/>
        <v>vct_</v>
      </c>
    </row>
    <row r="16" spans="1:45" x14ac:dyDescent="0.25">
      <c r="A16" t="s">
        <v>42</v>
      </c>
      <c r="B16" t="s">
        <v>300</v>
      </c>
      <c r="C16" t="s">
        <v>197</v>
      </c>
      <c r="E16" t="s">
        <v>382</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 IF(AF16&lt;&gt;"", 3, 2), FALSE),IF(AF16&lt;&gt;"",CONCATENATE(",",VLOOKUP(AF16,$B$2:$AG$213,32,FALSE)),""))</f>
        <v>1,3,1</v>
      </c>
      <c r="AL16">
        <v>10</v>
      </c>
      <c r="AM16">
        <v>10</v>
      </c>
      <c r="AP16" t="str">
        <f>VLOOKUP(F16,Eras!$A$2:$C$12, 2, TRUE)</f>
        <v>vct</v>
      </c>
      <c r="AR16" t="str">
        <f t="shared" si="2"/>
        <v>vct_</v>
      </c>
    </row>
    <row r="17" spans="1:45" x14ac:dyDescent="0.25">
      <c r="A17" t="s">
        <v>9</v>
      </c>
      <c r="B17" t="s">
        <v>205</v>
      </c>
      <c r="C17" t="s">
        <v>197</v>
      </c>
      <c r="E17" t="s">
        <v>382</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 IF(AF17&lt;&gt;"", 3, 2), FALSE),IF(AF17&lt;&gt;"",CONCATENATE(",",VLOOKUP(AF17,$B$2:$AG$213,32,FALSE)),""))</f>
        <v>na</v>
      </c>
      <c r="AL17">
        <v>10</v>
      </c>
      <c r="AM17">
        <v>10</v>
      </c>
      <c r="AP17" t="str">
        <f>VLOOKUP(F17,Eras!$A$2:$C$12, 2, TRUE)</f>
        <v>vct</v>
      </c>
      <c r="AR17" t="str">
        <f t="shared" si="2"/>
        <v>vct_</v>
      </c>
    </row>
    <row r="18" spans="1:45" x14ac:dyDescent="0.25">
      <c r="A18" t="s">
        <v>173</v>
      </c>
      <c r="B18" t="s">
        <v>206</v>
      </c>
      <c r="C18" t="s">
        <v>197</v>
      </c>
      <c r="E18" t="s">
        <v>382</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 IF(AF18&lt;&gt;"", 3, 2), FALSE),IF(AF18&lt;&gt;"",CONCATENATE(",",VLOOKUP(AF18,$B$2:$AG$213,32,FALSE)),""))</f>
        <v>2,4,2</v>
      </c>
      <c r="AL18">
        <v>10</v>
      </c>
      <c r="AM18">
        <v>10</v>
      </c>
      <c r="AP18" t="str">
        <f>VLOOKUP(F18,Eras!$A$2:$C$12, 2, TRUE)</f>
        <v>vct</v>
      </c>
      <c r="AR18" t="str">
        <f t="shared" si="2"/>
        <v>vct_</v>
      </c>
    </row>
    <row r="19" spans="1:45" x14ac:dyDescent="0.25">
      <c r="A19" t="s">
        <v>15</v>
      </c>
      <c r="B19" t="s">
        <v>207</v>
      </c>
      <c r="C19" t="s">
        <v>197</v>
      </c>
      <c r="E19" t="s">
        <v>382</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 IF(AF19&lt;&gt;"", 3, 2), FALSE),IF(AF19&lt;&gt;"",CONCATENATE(",",VLOOKUP(AF19,$B$2:$AG$213,32,FALSE)),""))</f>
        <v>2,5,2</v>
      </c>
      <c r="AL19">
        <v>10</v>
      </c>
      <c r="AM19">
        <v>10</v>
      </c>
      <c r="AP19" t="str">
        <f>VLOOKUP(F19,Eras!$A$2:$C$12, 2, TRUE)</f>
        <v>vct</v>
      </c>
      <c r="AR19" t="str">
        <f t="shared" si="2"/>
        <v>vct_</v>
      </c>
    </row>
    <row r="20" spans="1:45" x14ac:dyDescent="0.25">
      <c r="A20" t="s">
        <v>8</v>
      </c>
      <c r="B20" t="s">
        <v>208</v>
      </c>
      <c r="C20" t="s">
        <v>197</v>
      </c>
      <c r="E20" t="s">
        <v>382</v>
      </c>
      <c r="F20">
        <v>1891</v>
      </c>
      <c r="V20" s="4" t="str">
        <f t="shared" si="0"/>
        <v/>
      </c>
      <c r="AD20" t="str">
        <f>CONCATENATE(VLOOKUP(AE20, 'Voxel Sizes'!$A$2:$B$18,2,FALSE),"x",INT(AA20*15), "x", INT(AB20*15))</f>
        <v>0x0x0</v>
      </c>
      <c r="AE20">
        <f t="shared" si="1"/>
        <v>0</v>
      </c>
      <c r="AG20" t="str">
        <f>CONCATENATE(VLOOKUP(AE20,'Articulated Lengths'!$A$2:$C$16, IF(AF20&lt;&gt;"", 3, 2), FALSE),IF(AF20&lt;&gt;"",CONCATENATE(",",VLOOKUP(AF20,$B$2:$AG$213,32,FALSE)),""))</f>
        <v>na</v>
      </c>
      <c r="AL20">
        <v>10</v>
      </c>
      <c r="AM20">
        <v>10</v>
      </c>
      <c r="AP20" t="str">
        <f>VLOOKUP(F20,Eras!$A$2:$C$12, 2, TRUE)</f>
        <v>vct</v>
      </c>
      <c r="AQ20" t="s">
        <v>445</v>
      </c>
      <c r="AR20" t="str">
        <f t="shared" si="2"/>
        <v>vct_Express</v>
      </c>
    </row>
    <row r="21" spans="1:45" x14ac:dyDescent="0.25">
      <c r="A21" t="s">
        <v>17</v>
      </c>
      <c r="B21" t="s">
        <v>333</v>
      </c>
      <c r="C21" t="s">
        <v>197</v>
      </c>
      <c r="E21" t="s">
        <v>382</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 IF(AF21&lt;&gt;"", 3, 2), FALSE),IF(AF21&lt;&gt;"",CONCATENATE(",",VLOOKUP(AF21,$B$2:$AG$213,32,FALSE)),""))</f>
        <v>na</v>
      </c>
      <c r="AL21">
        <v>10</v>
      </c>
      <c r="AM21">
        <v>10</v>
      </c>
      <c r="AP21" t="str">
        <f>VLOOKUP(F21,Eras!$A$2:$C$12, 2, TRUE)</f>
        <v>vct</v>
      </c>
      <c r="AR21" t="str">
        <f t="shared" si="2"/>
        <v>vct_</v>
      </c>
    </row>
    <row r="22" spans="1:45" x14ac:dyDescent="0.25">
      <c r="A22" t="s">
        <v>181</v>
      </c>
      <c r="B22" t="s">
        <v>209</v>
      </c>
      <c r="C22" t="s">
        <v>197</v>
      </c>
      <c r="E22" t="s">
        <v>382</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 IF(AF22&lt;&gt;"", 3, 2), FALSE),IF(AF22&lt;&gt;"",CONCATENATE(",",VLOOKUP(AF22,$B$2:$AG$213,32,FALSE)),""))</f>
        <v>2,2,2</v>
      </c>
      <c r="AL22">
        <v>10</v>
      </c>
      <c r="AM22">
        <v>10</v>
      </c>
      <c r="AP22" t="str">
        <f>VLOOKUP(F22,Eras!$A$2:$C$12, 2, TRUE)</f>
        <v>vct</v>
      </c>
      <c r="AR22" t="str">
        <f t="shared" si="2"/>
        <v>vct_</v>
      </c>
    </row>
    <row r="23" spans="1:45" x14ac:dyDescent="0.25">
      <c r="A23" t="s">
        <v>12</v>
      </c>
      <c r="B23" t="s">
        <v>332</v>
      </c>
      <c r="C23" t="s">
        <v>197</v>
      </c>
      <c r="E23" t="s">
        <v>382</v>
      </c>
      <c r="F23">
        <v>1899</v>
      </c>
      <c r="V23" s="4" t="str">
        <f t="shared" si="0"/>
        <v/>
      </c>
      <c r="AD23" t="str">
        <f>CONCATENATE(VLOOKUP(AE23, 'Voxel Sizes'!$A$2:$B$18,2,FALSE),"x",INT(AA23*15), "x", INT(AB23*15))</f>
        <v>0x0x0</v>
      </c>
      <c r="AE23">
        <f t="shared" si="1"/>
        <v>0</v>
      </c>
      <c r="AG23" t="str">
        <f>CONCATENATE(VLOOKUP(AE23,'Articulated Lengths'!$A$2:$C$16, IF(AF23&lt;&gt;"", 3, 2), FALSE),IF(AF23&lt;&gt;"",CONCATENATE(",",VLOOKUP(AF23,$B$2:$AG$213,32,FALSE)),""))</f>
        <v>na</v>
      </c>
      <c r="AL23">
        <v>10</v>
      </c>
      <c r="AM23">
        <v>10</v>
      </c>
      <c r="AP23" t="str">
        <f>VLOOKUP(F23,Eras!$A$2:$C$12, 2, TRUE)</f>
        <v>vct</v>
      </c>
      <c r="AR23" t="str">
        <f t="shared" si="2"/>
        <v>vct_</v>
      </c>
    </row>
    <row r="24" spans="1:45" x14ac:dyDescent="0.25">
      <c r="A24" t="s">
        <v>177</v>
      </c>
      <c r="B24" t="s">
        <v>330</v>
      </c>
      <c r="C24" t="s">
        <v>197</v>
      </c>
      <c r="E24" t="s">
        <v>382</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 IF(AF24&lt;&gt;"", 3, 2), FALSE),IF(AF24&lt;&gt;"",CONCATENATE(",",VLOOKUP(AF24,$B$2:$AG$213,32,FALSE)),""))</f>
        <v>na</v>
      </c>
      <c r="AL24">
        <v>10</v>
      </c>
      <c r="AM24">
        <v>10</v>
      </c>
      <c r="AP24" t="str">
        <f>VLOOKUP(F24,Eras!$A$2:$C$12, 2, TRUE)</f>
        <v>vct</v>
      </c>
      <c r="AR24" t="str">
        <f t="shared" si="2"/>
        <v>vct_</v>
      </c>
    </row>
    <row r="25" spans="1:45" x14ac:dyDescent="0.25">
      <c r="A25" t="s">
        <v>549</v>
      </c>
      <c r="B25" t="s">
        <v>550</v>
      </c>
      <c r="C25" t="s">
        <v>399</v>
      </c>
      <c r="E25" t="s">
        <v>382</v>
      </c>
      <c r="F25">
        <v>1900</v>
      </c>
      <c r="R25">
        <v>42</v>
      </c>
      <c r="V25" s="4" t="str">
        <f t="shared" si="0"/>
        <v/>
      </c>
      <c r="Y25">
        <v>7.5</v>
      </c>
      <c r="Z25">
        <v>8</v>
      </c>
      <c r="AD25" t="str">
        <f>CONCATENATE(VLOOKUP(AE25, 'Voxel Sizes'!$A$2:$B$18,2,FALSE),"x",INT(AA25*15), "x", INT(AB25*15))</f>
        <v>82x0x0</v>
      </c>
      <c r="AE25">
        <f t="shared" si="1"/>
        <v>5</v>
      </c>
      <c r="AG25" t="str">
        <f>CONCATENATE(VLOOKUP(AE25,'Articulated Lengths'!$A$2:$C$16, IF(AF25&lt;&gt;"", 3, 2), FALSE),IF(AF25&lt;&gt;"",CONCATENATE(",",VLOOKUP(AF25,$B$2:$AG$213,32,FALSE)),""))</f>
        <v>1,3,1</v>
      </c>
      <c r="AL25">
        <v>10</v>
      </c>
      <c r="AM25">
        <v>10</v>
      </c>
      <c r="AP25" t="str">
        <f>VLOOKUP(F25,Eras!$A$2:$C$12, 2, TRUE)</f>
        <v>edw</v>
      </c>
      <c r="AR25" t="str">
        <f t="shared" si="2"/>
        <v>edw_</v>
      </c>
    </row>
    <row r="26" spans="1:45" x14ac:dyDescent="0.25">
      <c r="A26" t="s">
        <v>417</v>
      </c>
      <c r="B26" t="s">
        <v>418</v>
      </c>
      <c r="C26" t="s">
        <v>399</v>
      </c>
      <c r="E26" t="s">
        <v>382</v>
      </c>
      <c r="F26">
        <v>1900</v>
      </c>
      <c r="R26">
        <v>42</v>
      </c>
      <c r="V26" s="4" t="str">
        <f t="shared" si="0"/>
        <v/>
      </c>
      <c r="Y26">
        <v>7.5</v>
      </c>
      <c r="Z26">
        <v>8</v>
      </c>
      <c r="AD26" t="str">
        <f>CONCATENATE(VLOOKUP(AE26, 'Voxel Sizes'!$A$2:$B$18,2,FALSE),"x",INT(AA26*15), "x", INT(AB26*15))</f>
        <v>82x0x0</v>
      </c>
      <c r="AE26">
        <f t="shared" si="1"/>
        <v>5</v>
      </c>
      <c r="AG26" t="str">
        <f>CONCATENATE(VLOOKUP(AE26,'Articulated Lengths'!$A$2:$C$16, IF(AF26&lt;&gt;"", 3, 2), FALSE),IF(AF26&lt;&gt;"",CONCATENATE(",",VLOOKUP(AF26,$B$2:$AG$213,32,FALSE)),""))</f>
        <v>1,3,1</v>
      </c>
      <c r="AL26">
        <v>10</v>
      </c>
      <c r="AM26">
        <v>10</v>
      </c>
      <c r="AP26" t="str">
        <f>VLOOKUP(F26,Eras!$A$2:$C$12, 2, TRUE)</f>
        <v>edw</v>
      </c>
      <c r="AR26" t="str">
        <f t="shared" si="2"/>
        <v>edw_</v>
      </c>
    </row>
    <row r="27" spans="1:45" x14ac:dyDescent="0.25">
      <c r="A27" t="s">
        <v>564</v>
      </c>
      <c r="B27" t="s">
        <v>565</v>
      </c>
      <c r="C27" t="s">
        <v>399</v>
      </c>
      <c r="E27" t="s">
        <v>382</v>
      </c>
      <c r="F27">
        <v>1927</v>
      </c>
      <c r="R27">
        <v>53</v>
      </c>
      <c r="V27" s="4" t="str">
        <f t="shared" si="0"/>
        <v/>
      </c>
      <c r="Y27">
        <v>7.5</v>
      </c>
      <c r="Z27">
        <v>8</v>
      </c>
      <c r="AD27" t="str">
        <f>CONCATENATE(VLOOKUP(AE27, 'Voxel Sizes'!$A$2:$B$18,2,FALSE),"x",INT(AA27*15), "x", INT(AB27*15))</f>
        <v>82x0x0</v>
      </c>
      <c r="AE27">
        <f t="shared" si="1"/>
        <v>5</v>
      </c>
      <c r="AG27" t="str">
        <f>CONCATENATE(VLOOKUP(AE27,'Articulated Lengths'!$A$2:$C$16, IF(AF27&lt;&gt;"", 3, 2), FALSE),IF(AF27&lt;&gt;"",CONCATENATE(",",VLOOKUP(AF27,$B$2:$AG$213,32,FALSE)),""))</f>
        <v>1,3,1</v>
      </c>
      <c r="AL27">
        <v>10</v>
      </c>
      <c r="AM27">
        <v>10</v>
      </c>
      <c r="AP27" t="str">
        <f>VLOOKUP(F27,Eras!$A$2:$C$12, 2, TRUE)</f>
        <v>big4</v>
      </c>
      <c r="AR27" t="str">
        <f t="shared" si="2"/>
        <v>big4_</v>
      </c>
    </row>
    <row r="28" spans="1:45" x14ac:dyDescent="0.25">
      <c r="A28" t="s">
        <v>517</v>
      </c>
      <c r="B28" t="s">
        <v>518</v>
      </c>
      <c r="C28" t="s">
        <v>399</v>
      </c>
      <c r="E28" t="s">
        <v>382</v>
      </c>
      <c r="F28">
        <v>1900</v>
      </c>
      <c r="R28">
        <v>42</v>
      </c>
      <c r="V28" s="4" t="str">
        <f t="shared" si="0"/>
        <v/>
      </c>
      <c r="Y28">
        <v>7.5</v>
      </c>
      <c r="Z28">
        <v>8</v>
      </c>
      <c r="AD28" t="str">
        <f>CONCATENATE(VLOOKUP(AE28, 'Voxel Sizes'!$A$2:$B$18,2,FALSE),"x",INT(AA28*15), "x", INT(AB28*15))</f>
        <v>82x0x0</v>
      </c>
      <c r="AE28">
        <f t="shared" si="1"/>
        <v>5</v>
      </c>
      <c r="AG28" t="str">
        <f>CONCATENATE(VLOOKUP(AE28,'Articulated Lengths'!$A$2:$C$16, IF(AF28&lt;&gt;"", 3, 2), FALSE),IF(AF28&lt;&gt;"",CONCATENATE(",",VLOOKUP(AF28,$B$2:$AG$213,32,FALSE)),""))</f>
        <v>1,3,1</v>
      </c>
      <c r="AL28">
        <v>10</v>
      </c>
      <c r="AM28">
        <v>10</v>
      </c>
      <c r="AP28" t="str">
        <f>VLOOKUP(F28,Eras!$A$2:$C$12, 2, TRUE)</f>
        <v>edw</v>
      </c>
      <c r="AR28" t="str">
        <f t="shared" si="2"/>
        <v>edw_</v>
      </c>
    </row>
    <row r="29" spans="1:45" x14ac:dyDescent="0.25">
      <c r="A29" t="s">
        <v>591</v>
      </c>
      <c r="B29" t="s">
        <v>590</v>
      </c>
      <c r="C29" t="s">
        <v>399</v>
      </c>
      <c r="E29" t="s">
        <v>382</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 IF(AF29&lt;&gt;"", 3, 2), FALSE),IF(AF29&lt;&gt;"",CONCATENATE(",",VLOOKUP(AF29,$B$2:$AG$213,32,FALSE)),""))</f>
        <v>1,3,1</v>
      </c>
      <c r="AL29">
        <v>10</v>
      </c>
      <c r="AM29">
        <v>10</v>
      </c>
      <c r="AP29" t="str">
        <f>VLOOKUP(F29,Eras!$A$2:$C$12, 2, TRUE)</f>
        <v>big4</v>
      </c>
      <c r="AR29" t="str">
        <f t="shared" ref="AR29" si="5">CONCATENATE(AP29,"_",AQ29)</f>
        <v>big4_</v>
      </c>
    </row>
    <row r="30" spans="1:45" x14ac:dyDescent="0.25">
      <c r="A30" t="s">
        <v>123</v>
      </c>
      <c r="B30" t="s">
        <v>262</v>
      </c>
      <c r="C30" t="s">
        <v>197</v>
      </c>
      <c r="E30" t="s">
        <v>382</v>
      </c>
      <c r="F30">
        <v>1900</v>
      </c>
      <c r="V30" s="4" t="str">
        <f t="shared" si="0"/>
        <v/>
      </c>
      <c r="AD30" t="str">
        <f>CONCATENATE(VLOOKUP(AE30, 'Voxel Sizes'!$A$2:$B$18,2,FALSE),"x",INT(AA30*15), "x", INT(AB30*15))</f>
        <v>0x0x0</v>
      </c>
      <c r="AE30">
        <f t="shared" si="1"/>
        <v>0</v>
      </c>
      <c r="AG30" t="str">
        <f>CONCATENATE(VLOOKUP(AE30,'Articulated Lengths'!$A$2:$C$16, IF(AF30&lt;&gt;"", 3, 2), FALSE),IF(AF30&lt;&gt;"",CONCATENATE(",",VLOOKUP(AF30,$B$2:$AG$213,32,FALSE)),""))</f>
        <v>na</v>
      </c>
      <c r="AL30">
        <v>10</v>
      </c>
      <c r="AM30">
        <v>10</v>
      </c>
      <c r="AP30" t="str">
        <f>VLOOKUP(F30,Eras!$A$2:$C$12, 2, TRUE)</f>
        <v>edw</v>
      </c>
      <c r="AQ30" t="s">
        <v>462</v>
      </c>
      <c r="AR30" t="str">
        <f t="shared" si="2"/>
        <v>edw_LU</v>
      </c>
    </row>
    <row r="31" spans="1:45" x14ac:dyDescent="0.25">
      <c r="A31" t="s">
        <v>526</v>
      </c>
      <c r="B31" t="s">
        <v>527</v>
      </c>
      <c r="C31" t="s">
        <v>370</v>
      </c>
      <c r="D31" t="s">
        <v>379</v>
      </c>
      <c r="E31" t="s">
        <v>382</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 IF(AF31&lt;&gt;"", 3, 2), FALSE),IF(AF31&lt;&gt;"",CONCATENATE(",",VLOOKUP(AF31,$B$2:$AG$213,32,FALSE)),""))</f>
        <v>1,2,1</v>
      </c>
      <c r="AK31">
        <v>1</v>
      </c>
      <c r="AL31">
        <v>10</v>
      </c>
      <c r="AM31">
        <v>10</v>
      </c>
      <c r="AP31" t="str">
        <f>VLOOKUP(F31,Eras!$A$2:$C$12, 2, TRUE)</f>
        <v>edw</v>
      </c>
      <c r="AQ31" t="s">
        <v>443</v>
      </c>
      <c r="AR31" t="str">
        <f t="shared" si="2"/>
        <v>edw_Cheap</v>
      </c>
      <c r="AS31" t="s">
        <v>528</v>
      </c>
    </row>
    <row r="32" spans="1:45" x14ac:dyDescent="0.25">
      <c r="A32" t="s">
        <v>16</v>
      </c>
      <c r="B32" t="s">
        <v>331</v>
      </c>
      <c r="C32" t="s">
        <v>370</v>
      </c>
      <c r="D32" t="s">
        <v>379</v>
      </c>
      <c r="E32" t="s">
        <v>382</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418</v>
      </c>
      <c r="AG32" t="str">
        <f>CONCATENATE(VLOOKUP(AE32,'Articulated Lengths'!$A$2:$C$16, IF(AF32&lt;&gt;"", 3, 2), FALSE),IF(AF32&lt;&gt;"",CONCATENATE(",",VLOOKUP(AF32,$B$2:$AG$213,32,FALSE)),""))</f>
        <v>2,2,3,1,3,1</v>
      </c>
      <c r="AK32">
        <v>1</v>
      </c>
      <c r="AL32">
        <v>10</v>
      </c>
      <c r="AM32">
        <v>10</v>
      </c>
      <c r="AP32" t="str">
        <f>VLOOKUP(F32,Eras!$A$2:$C$12, 2, TRUE)</f>
        <v>edw</v>
      </c>
      <c r="AQ32" t="s">
        <v>445</v>
      </c>
      <c r="AR32" t="str">
        <f t="shared" si="2"/>
        <v>edw_Express</v>
      </c>
      <c r="AS32" t="s">
        <v>465</v>
      </c>
    </row>
    <row r="33" spans="1:45" x14ac:dyDescent="0.25">
      <c r="A33" t="s">
        <v>158</v>
      </c>
      <c r="B33" t="s">
        <v>364</v>
      </c>
      <c r="C33" t="s">
        <v>389</v>
      </c>
      <c r="E33" t="s">
        <v>382</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 IF(AF33&lt;&gt;"", 3, 2), FALSE),IF(AF33&lt;&gt;"",CONCATENATE(",",VLOOKUP(AF33,$B$2:$AG$213,32,FALSE)),""))</f>
        <v>1,2,1</v>
      </c>
      <c r="AL33">
        <v>10</v>
      </c>
      <c r="AM33">
        <v>10</v>
      </c>
      <c r="AO33" t="s">
        <v>394</v>
      </c>
      <c r="AP33" t="str">
        <f>VLOOKUP(F33,Eras!$A$2:$C$12, 2, TRUE)</f>
        <v>edw</v>
      </c>
      <c r="AQ33" t="s">
        <v>457</v>
      </c>
      <c r="AR33" t="str">
        <f t="shared" si="2"/>
        <v>edw_Open Wagon</v>
      </c>
      <c r="AS33" t="s">
        <v>482</v>
      </c>
    </row>
    <row r="34" spans="1:45" x14ac:dyDescent="0.25">
      <c r="A34" t="s">
        <v>70</v>
      </c>
      <c r="B34" t="s">
        <v>210</v>
      </c>
      <c r="C34" t="s">
        <v>370</v>
      </c>
      <c r="D34" t="s">
        <v>404</v>
      </c>
      <c r="E34" t="s">
        <v>405</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 IF(AF34&lt;&gt;"", 3, 2), FALSE),IF(AF34&lt;&gt;"",CONCATENATE(",",VLOOKUP(AF34,$B$2:$AG$213,32,FALSE)),""))</f>
        <v>2,3,2</v>
      </c>
      <c r="AL34">
        <v>10</v>
      </c>
      <c r="AM34">
        <v>10</v>
      </c>
      <c r="AP34" t="str">
        <f>VLOOKUP(F34,Eras!$A$2:$C$12, 2, TRUE)</f>
        <v>edw</v>
      </c>
      <c r="AQ34" t="s">
        <v>456</v>
      </c>
      <c r="AR34" t="str">
        <f t="shared" si="2"/>
        <v>edw_Freight (Electric)</v>
      </c>
      <c r="AS34" t="s">
        <v>467</v>
      </c>
    </row>
    <row r="35" spans="1:45" x14ac:dyDescent="0.25">
      <c r="A35" t="s">
        <v>178</v>
      </c>
      <c r="B35" t="s">
        <v>211</v>
      </c>
      <c r="C35" t="s">
        <v>370</v>
      </c>
      <c r="D35" t="s">
        <v>380</v>
      </c>
      <c r="E35" t="s">
        <v>382</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 IF(AF35&lt;&gt;"", 3, 2), FALSE),IF(AF35&lt;&gt;"",CONCATENATE(",",VLOOKUP(AF35,$B$2:$AG$213,32,FALSE)),""))</f>
        <v>3,4,3</v>
      </c>
      <c r="AL35">
        <v>10</v>
      </c>
      <c r="AM35">
        <v>10</v>
      </c>
      <c r="AO35" t="s">
        <v>391</v>
      </c>
      <c r="AP35" t="str">
        <f>VLOOKUP(F35,Eras!$A$2:$C$12, 2, TRUE)</f>
        <v>edw</v>
      </c>
      <c r="AQ35" t="s">
        <v>447</v>
      </c>
      <c r="AR35" t="str">
        <f t="shared" si="2"/>
        <v>edw_DMU (Cheap)</v>
      </c>
      <c r="AS35" t="s">
        <v>466</v>
      </c>
    </row>
    <row r="36" spans="1:45" x14ac:dyDescent="0.25">
      <c r="A36" t="s">
        <v>543</v>
      </c>
      <c r="B36" t="s">
        <v>544</v>
      </c>
      <c r="C36" t="s">
        <v>389</v>
      </c>
      <c r="E36" t="s">
        <v>382</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 IF(AF36&lt;&gt;"", 3, 2), FALSE),IF(AF36&lt;&gt;"",CONCATENATE(",",VLOOKUP(AF36,$B$2:$AG$213,32,FALSE)),""))</f>
        <v>1,3,1</v>
      </c>
      <c r="AL36">
        <v>10</v>
      </c>
      <c r="AM36">
        <v>10</v>
      </c>
      <c r="AO36" t="s">
        <v>394</v>
      </c>
      <c r="AP36" t="str">
        <f>VLOOKUP(F36,Eras!$A$2:$C$12, 2, TRUE)</f>
        <v>edw</v>
      </c>
      <c r="AQ36" t="s">
        <v>459</v>
      </c>
      <c r="AR36" t="str">
        <f t="shared" ref="AR36" si="6">CONCATENATE(AP36,"_",AQ36)</f>
        <v>edw_Van</v>
      </c>
      <c r="AS36" t="s">
        <v>542</v>
      </c>
    </row>
    <row r="37" spans="1:45" x14ac:dyDescent="0.25">
      <c r="A37" t="s">
        <v>538</v>
      </c>
      <c r="B37" t="s">
        <v>539</v>
      </c>
      <c r="C37" t="s">
        <v>389</v>
      </c>
      <c r="E37" t="s">
        <v>382</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 IF(AF37&lt;&gt;"", 3, 2), FALSE),IF(AF37&lt;&gt;"",CONCATENATE(",",VLOOKUP(AF37,$B$2:$AG$213,32,FALSE)),""))</f>
        <v>1,3,1</v>
      </c>
      <c r="AL37">
        <v>10</v>
      </c>
      <c r="AM37">
        <v>10</v>
      </c>
      <c r="AO37" t="s">
        <v>540</v>
      </c>
      <c r="AP37" t="str">
        <f>VLOOKUP(F37,Eras!$A$2:$C$12, 2, TRUE)</f>
        <v>edw</v>
      </c>
      <c r="AQ37" t="s">
        <v>458</v>
      </c>
      <c r="AR37" t="str">
        <f t="shared" ref="AR37:AR38" si="7">CONCATENATE(AP37,"_",AQ37)</f>
        <v>edw_Flat Wagon</v>
      </c>
      <c r="AS37" t="s">
        <v>541</v>
      </c>
    </row>
    <row r="38" spans="1:45" ht="14.25" customHeight="1" x14ac:dyDescent="0.25">
      <c r="A38" t="s">
        <v>535</v>
      </c>
      <c r="B38" t="s">
        <v>536</v>
      </c>
      <c r="C38" t="s">
        <v>389</v>
      </c>
      <c r="E38" t="s">
        <v>382</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 IF(AF38&lt;&gt;"", 3, 2), FALSE),IF(AF38&lt;&gt;"",CONCATENATE(",",VLOOKUP(AF38,$B$2:$AG$213,32,FALSE)),""))</f>
        <v>1,3,1</v>
      </c>
      <c r="AL38">
        <v>10</v>
      </c>
      <c r="AM38">
        <v>10</v>
      </c>
      <c r="AO38" t="s">
        <v>392</v>
      </c>
      <c r="AP38" t="str">
        <f>VLOOKUP(F38,Eras!$A$2:$C$12, 2, TRUE)</f>
        <v>edw</v>
      </c>
      <c r="AQ38" t="s">
        <v>460</v>
      </c>
      <c r="AR38" t="str">
        <f t="shared" si="7"/>
        <v>edw_Tanker</v>
      </c>
      <c r="AS38" t="s">
        <v>537</v>
      </c>
    </row>
    <row r="39" spans="1:45" x14ac:dyDescent="0.25">
      <c r="A39" t="s">
        <v>154</v>
      </c>
      <c r="B39" t="s">
        <v>388</v>
      </c>
      <c r="C39" t="s">
        <v>197</v>
      </c>
      <c r="E39" t="s">
        <v>382</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 IF(AF39&lt;&gt;"", 3, 2), FALSE),IF(AF39&lt;&gt;"",CONCATENATE(",",VLOOKUP(AF39,$B$2:$AG$213,32,FALSE)),""))</f>
        <v>1,3,1</v>
      </c>
      <c r="AL39">
        <v>10</v>
      </c>
      <c r="AM39">
        <v>10</v>
      </c>
      <c r="AO39" t="s">
        <v>392</v>
      </c>
      <c r="AP39" t="str">
        <f>VLOOKUP(F39,Eras!$A$2:$C$12, 2, TRUE)</f>
        <v>big4</v>
      </c>
      <c r="AQ39" t="s">
        <v>460</v>
      </c>
      <c r="AR39" t="str">
        <f t="shared" ref="AR39:AR72" si="8">CONCATENATE(AP39,"_",AQ39)</f>
        <v>big4_Tanker</v>
      </c>
      <c r="AS39" t="s">
        <v>534</v>
      </c>
    </row>
    <row r="40" spans="1:45" x14ac:dyDescent="0.25">
      <c r="A40" t="s">
        <v>523</v>
      </c>
      <c r="B40" t="s">
        <v>524</v>
      </c>
      <c r="C40" t="s">
        <v>389</v>
      </c>
      <c r="E40" t="s">
        <v>382</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 IF(AF40&lt;&gt;"", 3, 2), FALSE),IF(AF40&lt;&gt;"",CONCATENATE(",",VLOOKUP(AF40,$B$2:$AG$213,32,FALSE)),""))</f>
        <v>3,4,3</v>
      </c>
      <c r="AL40">
        <v>10</v>
      </c>
      <c r="AM40">
        <v>10</v>
      </c>
      <c r="AO40" t="s">
        <v>391</v>
      </c>
      <c r="AP40" t="str">
        <f>VLOOKUP(F40,Eras!$A$2:$C$12, 2, TRUE)</f>
        <v>edw</v>
      </c>
      <c r="AQ40" t="s">
        <v>452</v>
      </c>
      <c r="AR40" t="str">
        <f t="shared" si="8"/>
        <v>edw_Carriage</v>
      </c>
      <c r="AS40" t="s">
        <v>525</v>
      </c>
    </row>
    <row r="41" spans="1:45" x14ac:dyDescent="0.25">
      <c r="A41" t="s">
        <v>144</v>
      </c>
      <c r="B41" t="s">
        <v>576</v>
      </c>
      <c r="C41" t="s">
        <v>389</v>
      </c>
      <c r="E41" t="s">
        <v>382</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 IF(AF41&lt;&gt;"", 3, 2), FALSE),IF(AF41&lt;&gt;"",CONCATENATE(",",VLOOKUP(AF41,$B$2:$AG$213,32,FALSE)),""))</f>
        <v>3,6,3</v>
      </c>
      <c r="AL41">
        <v>10</v>
      </c>
      <c r="AM41">
        <v>10</v>
      </c>
      <c r="AO41" t="s">
        <v>391</v>
      </c>
      <c r="AP41" t="str">
        <f>VLOOKUP(F41,Eras!$A$2:$C$12, 2, TRUE)</f>
        <v>big4</v>
      </c>
      <c r="AQ41" t="s">
        <v>452</v>
      </c>
      <c r="AR41" t="str">
        <f>CONCATENATE(AP41,"_",AQ41)</f>
        <v>big4_Carriage</v>
      </c>
      <c r="AS41" t="s">
        <v>577</v>
      </c>
    </row>
    <row r="42" spans="1:45" x14ac:dyDescent="0.25">
      <c r="A42" t="s">
        <v>18</v>
      </c>
      <c r="B42" t="s">
        <v>212</v>
      </c>
      <c r="C42" t="s">
        <v>370</v>
      </c>
      <c r="D42" t="s">
        <v>379</v>
      </c>
      <c r="E42" t="s">
        <v>382</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 IF(AF42&lt;&gt;"", 3, 2), FALSE),IF(AF42&lt;&gt;"",CONCATENATE(",",VLOOKUP(AF42,$B$2:$AG$213,32,FALSE)),""))</f>
        <v>2,2,2</v>
      </c>
      <c r="AK42">
        <v>1</v>
      </c>
      <c r="AL42">
        <v>10</v>
      </c>
      <c r="AM42">
        <v>10</v>
      </c>
      <c r="AP42" t="str">
        <f>VLOOKUP(F42,Eras!$A$2:$C$12, 2, TRUE)</f>
        <v>edw</v>
      </c>
      <c r="AQ42" t="s">
        <v>494</v>
      </c>
      <c r="AR42" t="str">
        <f t="shared" si="8"/>
        <v>edw_Passenger</v>
      </c>
      <c r="AS42" t="s">
        <v>486</v>
      </c>
    </row>
    <row r="43" spans="1:45" x14ac:dyDescent="0.25">
      <c r="A43" t="s">
        <v>20</v>
      </c>
      <c r="B43" t="s">
        <v>496</v>
      </c>
      <c r="C43" t="s">
        <v>370</v>
      </c>
      <c r="D43" t="s">
        <v>379</v>
      </c>
      <c r="E43" t="s">
        <v>382</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 IF(AF43&lt;&gt;"", 3, 2), FALSE),IF(AF43&lt;&gt;"",CONCATENATE(",",VLOOKUP(AF43,$B$2:$AG$213,32,FALSE)),""))</f>
        <v>2,3,2</v>
      </c>
      <c r="AK43">
        <v>1</v>
      </c>
      <c r="AL43">
        <v>10</v>
      </c>
      <c r="AM43">
        <v>10</v>
      </c>
      <c r="AP43" t="str">
        <f>VLOOKUP(F43,Eras!$A$2:$C$12, 2, TRUE)</f>
        <v>edw</v>
      </c>
      <c r="AQ43" t="s">
        <v>444</v>
      </c>
      <c r="AR43" t="str">
        <f t="shared" si="8"/>
        <v>edw_Mixed Traffic</v>
      </c>
      <c r="AS43" t="s">
        <v>495</v>
      </c>
    </row>
    <row r="44" spans="1:45" x14ac:dyDescent="0.25">
      <c r="A44" t="s">
        <v>28</v>
      </c>
      <c r="B44" t="s">
        <v>213</v>
      </c>
      <c r="C44" t="s">
        <v>370</v>
      </c>
      <c r="D44" t="s">
        <v>379</v>
      </c>
      <c r="E44" t="s">
        <v>382</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 IF(AF44&lt;&gt;"", 3, 2), FALSE),IF(AF44&lt;&gt;"",CONCATENATE(",",VLOOKUP(AF44,$B$2:$AG$213,32,FALSE)),""))</f>
        <v>2,4,2</v>
      </c>
      <c r="AK44">
        <v>1</v>
      </c>
      <c r="AL44">
        <v>10</v>
      </c>
      <c r="AM44">
        <v>10</v>
      </c>
      <c r="AP44" t="str">
        <f>VLOOKUP(F44,Eras!$A$2:$C$12, 2, TRUE)</f>
        <v>edw</v>
      </c>
      <c r="AQ44" t="s">
        <v>494</v>
      </c>
      <c r="AR44" t="str">
        <f t="shared" si="8"/>
        <v>edw_Passenger</v>
      </c>
      <c r="AS44" t="s">
        <v>498</v>
      </c>
    </row>
    <row r="45" spans="1:45" x14ac:dyDescent="0.25">
      <c r="A45" t="s">
        <v>29</v>
      </c>
      <c r="B45" t="s">
        <v>502</v>
      </c>
      <c r="C45" t="s">
        <v>370</v>
      </c>
      <c r="D45" t="s">
        <v>379</v>
      </c>
      <c r="E45" t="s">
        <v>382</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418</v>
      </c>
      <c r="AG45" t="str">
        <f>CONCATENATE(VLOOKUP(AE45,'Articulated Lengths'!$A$2:$C$16, IF(AF45&lt;&gt;"", 3, 2), FALSE),IF(AF45&lt;&gt;"",CONCATENATE(",",VLOOKUP(AF45,$B$2:$AG$213,32,FALSE)),""))</f>
        <v>2,3,3,1,3,1</v>
      </c>
      <c r="AK45">
        <v>1</v>
      </c>
      <c r="AL45">
        <v>10</v>
      </c>
      <c r="AM45">
        <v>10</v>
      </c>
      <c r="AP45" t="str">
        <f>VLOOKUP(F45,Eras!$A$2:$C$12, 2, TRUE)</f>
        <v>edw</v>
      </c>
      <c r="AQ45" t="s">
        <v>446</v>
      </c>
      <c r="AR45" t="str">
        <f t="shared" si="8"/>
        <v>edw_Freight</v>
      </c>
      <c r="AS45" t="s">
        <v>503</v>
      </c>
    </row>
    <row r="46" spans="1:45" x14ac:dyDescent="0.25">
      <c r="A46" t="s">
        <v>510</v>
      </c>
      <c r="B46" t="s">
        <v>516</v>
      </c>
      <c r="C46" t="s">
        <v>370</v>
      </c>
      <c r="D46" t="s">
        <v>379</v>
      </c>
      <c r="E46" t="s">
        <v>382</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518</v>
      </c>
      <c r="AG46" t="str">
        <f>CONCATENATE(VLOOKUP(AE46,'Articulated Lengths'!$A$2:$C$16, IF(AF46&lt;&gt;"", 3, 2), FALSE),IF(AF46&lt;&gt;"",CONCATENATE(",",VLOOKUP(AF46,$B$2:$AG$213,32,FALSE)),""))</f>
        <v>2,2,3,1,3,1</v>
      </c>
      <c r="AK46">
        <v>1</v>
      </c>
      <c r="AL46">
        <v>10</v>
      </c>
      <c r="AM46">
        <v>10</v>
      </c>
      <c r="AP46" t="str">
        <f>VLOOKUP(F46,Eras!$A$2:$C$12, 2, TRUE)</f>
        <v>edw</v>
      </c>
      <c r="AQ46" t="s">
        <v>446</v>
      </c>
      <c r="AR46" t="str">
        <f t="shared" si="8"/>
        <v>edw_Freight</v>
      </c>
      <c r="AS46" t="s">
        <v>509</v>
      </c>
    </row>
    <row r="47" spans="1:45" x14ac:dyDescent="0.25">
      <c r="A47" t="s">
        <v>71</v>
      </c>
      <c r="B47" t="s">
        <v>214</v>
      </c>
      <c r="C47" t="s">
        <v>370</v>
      </c>
      <c r="D47" t="s">
        <v>404</v>
      </c>
      <c r="E47" t="s">
        <v>382</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 IF(AF47&lt;&gt;"", 3, 2), FALSE),IF(AF47&lt;&gt;"",CONCATENATE(",",VLOOKUP(AF47,$B$2:$AG$213,32,FALSE)),""))</f>
        <v>2,3,2</v>
      </c>
      <c r="AL47">
        <v>10</v>
      </c>
      <c r="AM47">
        <v>10</v>
      </c>
      <c r="AP47" t="str">
        <f>VLOOKUP(F47,Eras!$A$2:$C$12, 2, TRUE)</f>
        <v>edw</v>
      </c>
      <c r="AQ47" t="s">
        <v>456</v>
      </c>
      <c r="AR47" t="str">
        <f t="shared" si="8"/>
        <v>edw_Freight (Electric)</v>
      </c>
      <c r="AS47" t="s">
        <v>519</v>
      </c>
    </row>
    <row r="48" spans="1:45" x14ac:dyDescent="0.25">
      <c r="A48" t="s">
        <v>520</v>
      </c>
      <c r="B48" t="s">
        <v>522</v>
      </c>
      <c r="C48" t="s">
        <v>532</v>
      </c>
      <c r="D48" t="s">
        <v>404</v>
      </c>
      <c r="E48" t="s">
        <v>412</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 IF(AF48&lt;&gt;"", 3, 2), FALSE),IF(AF48&lt;&gt;"",CONCATENATE(",",VLOOKUP(AF48,$B$2:$AG$213,32,FALSE)),""))</f>
        <v>3,4,3</v>
      </c>
      <c r="AH48" t="s">
        <v>533</v>
      </c>
      <c r="AI48" t="s">
        <v>531</v>
      </c>
      <c r="AL48">
        <v>10</v>
      </c>
      <c r="AM48">
        <v>10</v>
      </c>
      <c r="AO48" t="s">
        <v>391</v>
      </c>
      <c r="AP48" t="str">
        <f>VLOOKUP(F48,Eras!$A$2:$C$12, 2, TRUE)</f>
        <v>edw</v>
      </c>
      <c r="AQ48" t="s">
        <v>450</v>
      </c>
      <c r="AR48" t="str">
        <f t="shared" si="8"/>
        <v>edw_EMU</v>
      </c>
      <c r="AS48" t="s">
        <v>521</v>
      </c>
    </row>
    <row r="49" spans="1:45" x14ac:dyDescent="0.25">
      <c r="A49" t="s">
        <v>38</v>
      </c>
      <c r="B49" t="s">
        <v>215</v>
      </c>
      <c r="C49" t="s">
        <v>197</v>
      </c>
      <c r="E49" t="s">
        <v>382</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 IF(AF49&lt;&gt;"", 3, 2), FALSE),IF(AF49&lt;&gt;"",CONCATENATE(",",VLOOKUP(AF49,$B$2:$AG$213,32,FALSE)),""))</f>
        <v>na</v>
      </c>
      <c r="AL49">
        <v>10</v>
      </c>
      <c r="AM49">
        <v>10</v>
      </c>
      <c r="AP49" t="str">
        <f>VLOOKUP(F49,Eras!$A$2:$C$12, 2, TRUE)</f>
        <v>edw</v>
      </c>
      <c r="AR49" t="str">
        <f t="shared" si="8"/>
        <v>edw_</v>
      </c>
    </row>
    <row r="50" spans="1:45" x14ac:dyDescent="0.25">
      <c r="A50" t="s">
        <v>24</v>
      </c>
      <c r="B50" t="s">
        <v>216</v>
      </c>
      <c r="C50" t="s">
        <v>197</v>
      </c>
      <c r="E50" t="s">
        <v>382</v>
      </c>
      <c r="F50">
        <v>1922</v>
      </c>
      <c r="G50">
        <v>1924</v>
      </c>
      <c r="U50">
        <v>119</v>
      </c>
      <c r="V50" s="4" t="str">
        <f t="shared" si="0"/>
        <v/>
      </c>
      <c r="AD50" t="str">
        <f>CONCATENATE(VLOOKUP(AE50, 'Voxel Sizes'!$A$2:$B$18,2,FALSE),"x",INT(AA50*15), "x", INT(AB50*15))</f>
        <v>0x0x0</v>
      </c>
      <c r="AE50">
        <f t="shared" si="1"/>
        <v>0</v>
      </c>
      <c r="AG50" t="str">
        <f>CONCATENATE(VLOOKUP(AE50,'Articulated Lengths'!$A$2:$C$16, IF(AF50&lt;&gt;"", 3, 2), FALSE),IF(AF50&lt;&gt;"",CONCATENATE(",",VLOOKUP(AF50,$B$2:$AG$213,32,FALSE)),""))</f>
        <v>na</v>
      </c>
      <c r="AL50">
        <v>10</v>
      </c>
      <c r="AM50">
        <v>10</v>
      </c>
      <c r="AP50" t="str">
        <f>VLOOKUP(F50,Eras!$A$2:$C$12, 2, TRUE)</f>
        <v>edw</v>
      </c>
      <c r="AR50" t="str">
        <f t="shared" si="8"/>
        <v>edw_</v>
      </c>
    </row>
    <row r="51" spans="1:45" x14ac:dyDescent="0.25">
      <c r="A51" t="s">
        <v>11</v>
      </c>
      <c r="B51" t="s">
        <v>217</v>
      </c>
      <c r="C51" t="s">
        <v>370</v>
      </c>
      <c r="D51" t="s">
        <v>379</v>
      </c>
      <c r="E51" t="s">
        <v>382</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418</v>
      </c>
      <c r="AG51" t="str">
        <f>CONCATENATE(VLOOKUP(AE51,'Articulated Lengths'!$A$2:$C$16, IF(AF51&lt;&gt;"", 3, 2), FALSE),IF(AF51&lt;&gt;"",CONCATENATE(",",VLOOKUP(AF51,$B$2:$AG$213,32,FALSE)),""))</f>
        <v>2,2,3,1,3,1</v>
      </c>
      <c r="AK51">
        <v>1</v>
      </c>
      <c r="AL51">
        <v>10</v>
      </c>
      <c r="AM51">
        <v>10</v>
      </c>
      <c r="AP51" t="str">
        <f>VLOOKUP(F51,Eras!$A$2:$C$12, 2, TRUE)</f>
        <v>big4</v>
      </c>
      <c r="AQ51" t="s">
        <v>444</v>
      </c>
      <c r="AR51" t="str">
        <f t="shared" si="8"/>
        <v>big4_Mixed Traffic</v>
      </c>
      <c r="AS51" t="s">
        <v>546</v>
      </c>
    </row>
    <row r="52" spans="1:45" x14ac:dyDescent="0.25">
      <c r="A52" t="s">
        <v>547</v>
      </c>
      <c r="B52" t="s">
        <v>548</v>
      </c>
      <c r="C52" t="s">
        <v>370</v>
      </c>
      <c r="D52" t="s">
        <v>379</v>
      </c>
      <c r="E52" t="s">
        <v>382</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550</v>
      </c>
      <c r="AG52" t="str">
        <f>CONCATENATE(VLOOKUP(AE52,'Articulated Lengths'!$A$2:$C$16, IF(AF52&lt;&gt;"", 3, 2), FALSE),IF(AF52&lt;&gt;"",CONCATENATE(",",VLOOKUP(AF52,$B$2:$AG$213,32,FALSE)),""))</f>
        <v>2,3,3,1,3,1</v>
      </c>
      <c r="AK52">
        <v>1</v>
      </c>
      <c r="AL52">
        <v>10</v>
      </c>
      <c r="AM52">
        <v>10</v>
      </c>
      <c r="AP52" t="str">
        <f>VLOOKUP(F52,Eras!$A$2:$C$12, 2, TRUE)</f>
        <v>big4</v>
      </c>
      <c r="AQ52" t="s">
        <v>445</v>
      </c>
      <c r="AR52" t="str">
        <f t="shared" si="8"/>
        <v>big4_Express</v>
      </c>
      <c r="AS52" t="s">
        <v>551</v>
      </c>
    </row>
    <row r="53" spans="1:45" x14ac:dyDescent="0.25">
      <c r="A53" t="s">
        <v>10</v>
      </c>
      <c r="B53" t="s">
        <v>218</v>
      </c>
      <c r="C53" t="s">
        <v>370</v>
      </c>
      <c r="D53" t="s">
        <v>379</v>
      </c>
      <c r="E53" t="s">
        <v>382</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 IF(AF53&lt;&gt;"", 3, 2), FALSE),IF(AF53&lt;&gt;"",CONCATENATE(",",VLOOKUP(AF53,$B$2:$AG$213,32,FALSE)),""))</f>
        <v>2,2,2</v>
      </c>
      <c r="AK53">
        <v>1</v>
      </c>
      <c r="AL53">
        <v>10</v>
      </c>
      <c r="AM53">
        <v>10</v>
      </c>
      <c r="AP53" t="str">
        <f>VLOOKUP(F53,Eras!$A$2:$C$12, 2, TRUE)</f>
        <v>big4</v>
      </c>
      <c r="AQ53" t="s">
        <v>443</v>
      </c>
      <c r="AR53" t="str">
        <f t="shared" si="8"/>
        <v>big4_Cheap</v>
      </c>
      <c r="AS53" t="s">
        <v>468</v>
      </c>
    </row>
    <row r="54" spans="1:45" x14ac:dyDescent="0.25">
      <c r="A54" t="s">
        <v>21</v>
      </c>
      <c r="B54" t="s">
        <v>219</v>
      </c>
      <c r="C54" t="s">
        <v>370</v>
      </c>
      <c r="D54" t="s">
        <v>379</v>
      </c>
      <c r="E54" t="s">
        <v>382</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 IF(AF54&lt;&gt;"", 3, 2), FALSE),IF(AF54&lt;&gt;"",CONCATENATE(",",VLOOKUP(AF54,$B$2:$AG$213,32,FALSE)),""))</f>
        <v>2,3,2</v>
      </c>
      <c r="AK54">
        <v>1</v>
      </c>
      <c r="AL54">
        <v>10</v>
      </c>
      <c r="AM54">
        <v>10</v>
      </c>
      <c r="AP54" t="str">
        <f>VLOOKUP(F54,Eras!$A$2:$C$12, 2, TRUE)</f>
        <v>big4</v>
      </c>
      <c r="AQ54" t="s">
        <v>444</v>
      </c>
      <c r="AR54" t="str">
        <f t="shared" si="8"/>
        <v>big4_Mixed Traffic</v>
      </c>
      <c r="AS54" t="s">
        <v>469</v>
      </c>
    </row>
    <row r="55" spans="1:45" x14ac:dyDescent="0.25">
      <c r="A55" t="s">
        <v>569</v>
      </c>
      <c r="B55" t="s">
        <v>570</v>
      </c>
      <c r="C55" t="s">
        <v>399</v>
      </c>
      <c r="E55" t="s">
        <v>382</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 IF(AF55&lt;&gt;"", 3, 2), FALSE),IF(AF55&lt;&gt;"",CONCATENATE(",",VLOOKUP(AF55,$B$2:$AG$213,32,FALSE)),""))</f>
        <v>1,3,1</v>
      </c>
      <c r="AP55" t="str">
        <f>VLOOKUP(F55,Eras!$A$2:$C$12, 2, TRUE)</f>
        <v>big4</v>
      </c>
      <c r="AR55" t="str">
        <f t="shared" ref="AR55" si="10">CONCATENATE(AP55,"_",AQ55)</f>
        <v>big4_</v>
      </c>
    </row>
    <row r="56" spans="1:45" x14ac:dyDescent="0.25">
      <c r="A56" t="s">
        <v>398</v>
      </c>
      <c r="B56" t="s">
        <v>397</v>
      </c>
      <c r="C56" t="s">
        <v>399</v>
      </c>
      <c r="E56" t="s">
        <v>382</v>
      </c>
      <c r="F56">
        <v>1925</v>
      </c>
      <c r="R56">
        <v>52</v>
      </c>
      <c r="V56" s="4" t="str">
        <f t="shared" si="0"/>
        <v/>
      </c>
      <c r="Y56">
        <v>7.64</v>
      </c>
      <c r="Z56">
        <v>8</v>
      </c>
      <c r="AD56" t="str">
        <f>CONCATENATE(VLOOKUP(AE56, 'Voxel Sizes'!$A$2:$B$18,2,FALSE),"x",INT(AA56*15), "x", INT(AB56*15))</f>
        <v>82x0x0</v>
      </c>
      <c r="AE56">
        <f t="shared" si="1"/>
        <v>5</v>
      </c>
      <c r="AG56" t="str">
        <f>CONCATENATE(VLOOKUP(AE56,'Articulated Lengths'!$A$2:$C$16, IF(AF56&lt;&gt;"", 3, 2), FALSE),IF(AF56&lt;&gt;"",CONCATENATE(",",VLOOKUP(AF56,$B$2:$AG$213,32,FALSE)),""))</f>
        <v>1,3,1</v>
      </c>
      <c r="AP56" t="str">
        <f>VLOOKUP(F56,Eras!$A$2:$C$12, 2, TRUE)</f>
        <v>big4</v>
      </c>
      <c r="AR56" t="str">
        <f t="shared" si="8"/>
        <v>big4_</v>
      </c>
    </row>
    <row r="57" spans="1:45" x14ac:dyDescent="0.25">
      <c r="A57" t="s">
        <v>401</v>
      </c>
      <c r="B57" t="s">
        <v>402</v>
      </c>
      <c r="C57" t="s">
        <v>399</v>
      </c>
      <c r="E57" t="s">
        <v>382</v>
      </c>
      <c r="F57">
        <v>1925</v>
      </c>
      <c r="R57">
        <v>52</v>
      </c>
      <c r="V57" s="4" t="str">
        <f t="shared" si="0"/>
        <v/>
      </c>
      <c r="Y57">
        <v>7.64</v>
      </c>
      <c r="Z57">
        <v>8</v>
      </c>
      <c r="AD57" t="str">
        <f>CONCATENATE(VLOOKUP(AE57, 'Voxel Sizes'!$A$2:$B$18,2,FALSE),"x",INT(AA57*15), "x", INT(AB57*15))</f>
        <v>82x0x0</v>
      </c>
      <c r="AE57">
        <f t="shared" si="1"/>
        <v>5</v>
      </c>
      <c r="AG57" t="str">
        <f>CONCATENATE(VLOOKUP(AE57,'Articulated Lengths'!$A$2:$C$16, IF(AF57&lt;&gt;"", 3, 2), FALSE),IF(AF57&lt;&gt;"",CONCATENATE(",",VLOOKUP(AF57,$B$2:$AG$213,32,FALSE)),""))</f>
        <v>1,3,1</v>
      </c>
      <c r="AP57" t="str">
        <f>VLOOKUP(F57,Eras!$A$2:$C$12, 2, TRUE)</f>
        <v>big4</v>
      </c>
      <c r="AR57" t="str">
        <f t="shared" si="8"/>
        <v>big4_</v>
      </c>
    </row>
    <row r="58" spans="1:45" x14ac:dyDescent="0.25">
      <c r="A58" t="s">
        <v>31</v>
      </c>
      <c r="B58" t="s">
        <v>403</v>
      </c>
      <c r="C58" t="s">
        <v>370</v>
      </c>
      <c r="D58" t="s">
        <v>379</v>
      </c>
      <c r="E58" t="s">
        <v>382</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397</v>
      </c>
      <c r="AG58" t="str">
        <f>CONCATENATE(VLOOKUP(AE58,'Articulated Lengths'!$A$2:$C$16, IF(AF58&lt;&gt;"", 3, 2), FALSE),IF(AF58&lt;&gt;"",CONCATENATE(",",VLOOKUP(AF58,$B$2:$AG$213,32,FALSE)),""))</f>
        <v>2,2,3,1,3,1</v>
      </c>
      <c r="AK58">
        <v>1</v>
      </c>
      <c r="AL58">
        <v>10</v>
      </c>
      <c r="AM58">
        <v>10</v>
      </c>
      <c r="AP58" t="str">
        <f>VLOOKUP(F58,Eras!$A$2:$C$12, 2, TRUE)</f>
        <v>big4</v>
      </c>
      <c r="AQ58" t="s">
        <v>445</v>
      </c>
      <c r="AR58" t="str">
        <f t="shared" si="8"/>
        <v>big4_Express</v>
      </c>
      <c r="AS58" t="s">
        <v>470</v>
      </c>
    </row>
    <row r="59" spans="1:45" x14ac:dyDescent="0.25">
      <c r="A59" t="s">
        <v>175</v>
      </c>
      <c r="B59" t="s">
        <v>553</v>
      </c>
      <c r="C59" t="s">
        <v>370</v>
      </c>
      <c r="D59" t="s">
        <v>379</v>
      </c>
      <c r="E59" t="s">
        <v>382</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518</v>
      </c>
      <c r="AG59" t="str">
        <f>CONCATENATE(VLOOKUP(AE59,'Articulated Lengths'!$A$2:$C$16, IF(AF59&lt;&gt;"", 3, 2), FALSE),IF(AF59&lt;&gt;"",CONCATENATE(",",VLOOKUP(AF59,$B$2:$AG$213,32,FALSE)),""))</f>
        <v>2,2,3,1,3,1</v>
      </c>
      <c r="AK59">
        <v>1</v>
      </c>
      <c r="AL59">
        <v>10</v>
      </c>
      <c r="AM59">
        <v>10</v>
      </c>
      <c r="AP59" t="str">
        <f>VLOOKUP(F59,Eras!$A$2:$C$12, 2, TRUE)</f>
        <v>big4</v>
      </c>
      <c r="AQ59" t="s">
        <v>494</v>
      </c>
      <c r="AR59" t="str">
        <f t="shared" si="8"/>
        <v>big4_Passenger</v>
      </c>
      <c r="AS59" t="s">
        <v>552</v>
      </c>
    </row>
    <row r="60" spans="1:45" x14ac:dyDescent="0.25">
      <c r="A60" t="s">
        <v>555</v>
      </c>
      <c r="B60" t="s">
        <v>554</v>
      </c>
      <c r="C60" t="s">
        <v>370</v>
      </c>
      <c r="D60" t="s">
        <v>379</v>
      </c>
      <c r="E60" t="s">
        <v>382</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550</v>
      </c>
      <c r="AG60" t="str">
        <f>CONCATENATE(VLOOKUP(AE60,'Articulated Lengths'!$A$2:$C$16, IF(AF60&lt;&gt;"", 3, 2), FALSE),IF(AF60&lt;&gt;"",CONCATENATE(",",VLOOKUP(AF60,$B$2:$AG$213,32,FALSE)),""))</f>
        <v>2,4,3,1,3,1</v>
      </c>
      <c r="AK60">
        <v>1</v>
      </c>
      <c r="AL60">
        <v>10</v>
      </c>
      <c r="AM60">
        <v>10</v>
      </c>
      <c r="AP60" t="str">
        <f>VLOOKUP(F60,Eras!$A$2:$C$12, 2, TRUE)</f>
        <v>big4</v>
      </c>
      <c r="AQ60" t="s">
        <v>445</v>
      </c>
      <c r="AR60" t="str">
        <f t="shared" si="8"/>
        <v>big4_Express</v>
      </c>
      <c r="AS60" t="s">
        <v>556</v>
      </c>
    </row>
    <row r="61" spans="1:45" x14ac:dyDescent="0.25">
      <c r="A61" t="s">
        <v>34</v>
      </c>
      <c r="B61" t="s">
        <v>558</v>
      </c>
      <c r="C61" t="s">
        <v>370</v>
      </c>
      <c r="D61" t="s">
        <v>379</v>
      </c>
      <c r="E61" t="s">
        <v>382</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 IF(AF61&lt;&gt;"", 3, 2), FALSE),IF(AF61&lt;&gt;"",CONCATENATE(",",VLOOKUP(AF61,$B$2:$AG$213,32,FALSE)),""))</f>
        <v>2,4,2</v>
      </c>
      <c r="AK61">
        <v>1</v>
      </c>
      <c r="AL61">
        <v>10</v>
      </c>
      <c r="AM61">
        <v>10</v>
      </c>
      <c r="AP61" t="str">
        <f>VLOOKUP(F61,Eras!$A$2:$C$12, 2, TRUE)</f>
        <v>big4</v>
      </c>
      <c r="AQ61" t="s">
        <v>444</v>
      </c>
      <c r="AR61" t="str">
        <f t="shared" si="8"/>
        <v>big4_Mixed Traffic</v>
      </c>
      <c r="AS61" t="s">
        <v>557</v>
      </c>
    </row>
    <row r="62" spans="1:45" x14ac:dyDescent="0.25">
      <c r="A62" t="s">
        <v>559</v>
      </c>
      <c r="B62" t="s">
        <v>561</v>
      </c>
      <c r="C62" t="s">
        <v>370</v>
      </c>
      <c r="D62" t="s">
        <v>379</v>
      </c>
      <c r="E62" t="s">
        <v>382</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550</v>
      </c>
      <c r="AG62" t="str">
        <f>CONCATENATE(VLOOKUP(AE62,'Articulated Lengths'!$A$2:$C$16, IF(AF62&lt;&gt;"", 3, 2), FALSE),IF(AF62&lt;&gt;"",CONCATENATE(",",VLOOKUP(AF62,$B$2:$AG$213,32,FALSE)),""))</f>
        <v>2,3,3,1,3,1</v>
      </c>
      <c r="AK62">
        <v>1</v>
      </c>
      <c r="AL62">
        <v>10</v>
      </c>
      <c r="AM62">
        <v>10</v>
      </c>
      <c r="AP62" t="str">
        <f>VLOOKUP(F62,Eras!$A$2:$C$12, 2, TRUE)</f>
        <v>big4</v>
      </c>
      <c r="AQ62" t="s">
        <v>444</v>
      </c>
      <c r="AR62" t="str">
        <f t="shared" si="8"/>
        <v>big4_Mixed Traffic</v>
      </c>
      <c r="AS62" t="s">
        <v>560</v>
      </c>
    </row>
    <row r="63" spans="1:45" x14ac:dyDescent="0.25">
      <c r="A63" t="s">
        <v>26</v>
      </c>
      <c r="B63" t="s">
        <v>563</v>
      </c>
      <c r="C63" t="s">
        <v>370</v>
      </c>
      <c r="D63" t="s">
        <v>379</v>
      </c>
      <c r="E63" t="s">
        <v>382</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565</v>
      </c>
      <c r="AG63" t="str">
        <f>CONCATENATE(VLOOKUP(AE63,'Articulated Lengths'!$A$2:$C$16, IF(AF63&lt;&gt;"", 3, 2), FALSE),IF(AF63&lt;&gt;"",CONCATENATE(",",VLOOKUP(AF63,$B$2:$AG$213,32,FALSE)),""))</f>
        <v>2,4,3,1,3,1</v>
      </c>
      <c r="AK63">
        <v>1</v>
      </c>
      <c r="AL63">
        <v>10</v>
      </c>
      <c r="AM63">
        <v>10</v>
      </c>
      <c r="AP63" t="str">
        <f>VLOOKUP(F63,Eras!$A$2:$C$12, 2, TRUE)</f>
        <v>big4</v>
      </c>
      <c r="AQ63" t="s">
        <v>445</v>
      </c>
      <c r="AR63" t="str">
        <f t="shared" si="8"/>
        <v>big4_Express</v>
      </c>
      <c r="AS63" t="s">
        <v>562</v>
      </c>
    </row>
    <row r="64" spans="1:45" x14ac:dyDescent="0.25">
      <c r="A64" t="s">
        <v>22</v>
      </c>
      <c r="B64" t="s">
        <v>567</v>
      </c>
      <c r="C64" t="s">
        <v>370</v>
      </c>
      <c r="D64" t="s">
        <v>379</v>
      </c>
      <c r="E64" t="s">
        <v>382</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 IF(AF64&lt;&gt;"", 3, 2), FALSE),IF(AF64&lt;&gt;"",CONCATENATE(",",VLOOKUP(AF64,$B$2:$AG$213,32,FALSE)),""))</f>
        <v>2,2,2</v>
      </c>
      <c r="AK64">
        <v>1</v>
      </c>
      <c r="AL64">
        <v>10</v>
      </c>
      <c r="AM64">
        <v>10</v>
      </c>
      <c r="AP64" t="str">
        <f>VLOOKUP(F64,Eras!$A$2:$C$12, 2, TRUE)</f>
        <v>big4</v>
      </c>
      <c r="AQ64" t="s">
        <v>443</v>
      </c>
      <c r="AR64" t="str">
        <f t="shared" si="8"/>
        <v>big4_Cheap</v>
      </c>
      <c r="AS64" t="s">
        <v>566</v>
      </c>
    </row>
    <row r="65" spans="1:45" x14ac:dyDescent="0.25">
      <c r="A65" t="s">
        <v>35</v>
      </c>
      <c r="B65" t="s">
        <v>220</v>
      </c>
      <c r="C65" t="s">
        <v>370</v>
      </c>
      <c r="D65" t="s">
        <v>379</v>
      </c>
      <c r="E65" t="s">
        <v>382</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570</v>
      </c>
      <c r="AG65" t="str">
        <f>CONCATENATE(VLOOKUP(AE65,'Articulated Lengths'!$A$2:$C$16, IF(AF65&lt;&gt;"", 3, 2), FALSE),IF(AF65&lt;&gt;"",CONCATENATE(",",VLOOKUP(AF65,$B$2:$AG$213,32,FALSE)),""))</f>
        <v>2,2,3,1,3,1</v>
      </c>
      <c r="AK65">
        <v>1</v>
      </c>
      <c r="AL65">
        <v>10</v>
      </c>
      <c r="AM65">
        <v>10</v>
      </c>
      <c r="AP65" t="str">
        <f>VLOOKUP(F65,Eras!$A$2:$C$12, 2, TRUE)</f>
        <v>big4</v>
      </c>
      <c r="AQ65" t="s">
        <v>445</v>
      </c>
      <c r="AR65" t="str">
        <f t="shared" si="8"/>
        <v>big4_Express</v>
      </c>
      <c r="AS65" t="s">
        <v>568</v>
      </c>
    </row>
    <row r="66" spans="1:45" x14ac:dyDescent="0.25">
      <c r="A66" t="s">
        <v>571</v>
      </c>
      <c r="B66" t="s">
        <v>573</v>
      </c>
      <c r="C66" t="s">
        <v>370</v>
      </c>
      <c r="D66" t="s">
        <v>379</v>
      </c>
      <c r="E66" t="s">
        <v>382</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 IF(AF66&lt;&gt;"", 3, 2), FALSE),IF(AF66&lt;&gt;"",CONCATENATE(",",VLOOKUP(AF66,$B$2:$AG$213,32,FALSE)),""))</f>
        <v>1,3,1</v>
      </c>
      <c r="AK66">
        <v>1</v>
      </c>
      <c r="AL66">
        <v>10</v>
      </c>
      <c r="AM66">
        <v>10</v>
      </c>
      <c r="AP66" t="str">
        <f>VLOOKUP(F66,Eras!$A$2:$C$12, 2, TRUE)</f>
        <v>big4</v>
      </c>
      <c r="AQ66" t="s">
        <v>443</v>
      </c>
      <c r="AR66" t="str">
        <f t="shared" si="8"/>
        <v>big4_Cheap</v>
      </c>
      <c r="AS66" t="s">
        <v>572</v>
      </c>
    </row>
    <row r="67" spans="1:45" x14ac:dyDescent="0.25">
      <c r="A67" t="s">
        <v>85</v>
      </c>
      <c r="B67" t="s">
        <v>321</v>
      </c>
      <c r="C67" t="s">
        <v>532</v>
      </c>
      <c r="D67" t="s">
        <v>404</v>
      </c>
      <c r="E67" t="s">
        <v>412</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 IF(AF67&lt;&gt;"", 3, 2), FALSE),IF(AF67&lt;&gt;"",CONCATENATE(",",VLOOKUP(AF67,$B$2:$AG$213,32,FALSE)),""))</f>
        <v>3,6,3</v>
      </c>
      <c r="AH67" t="s">
        <v>575</v>
      </c>
      <c r="AI67" t="s">
        <v>578</v>
      </c>
      <c r="AL67">
        <v>10</v>
      </c>
      <c r="AM67">
        <v>10</v>
      </c>
      <c r="AO67" t="s">
        <v>391</v>
      </c>
      <c r="AP67" t="str">
        <f>VLOOKUP(F67,Eras!$A$2:$C$12, 2, TRUE)</f>
        <v>big4</v>
      </c>
      <c r="AQ67" t="s">
        <v>451</v>
      </c>
      <c r="AR67" t="str">
        <f t="shared" si="8"/>
        <v>big4_EMU (Express)</v>
      </c>
      <c r="AS67" t="s">
        <v>574</v>
      </c>
    </row>
    <row r="68" spans="1:45" x14ac:dyDescent="0.25">
      <c r="A68" t="s">
        <v>84</v>
      </c>
      <c r="B68" t="s">
        <v>249</v>
      </c>
      <c r="C68" t="s">
        <v>370</v>
      </c>
      <c r="D68" t="s">
        <v>380</v>
      </c>
      <c r="E68" t="s">
        <v>382</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 IF(AF68&lt;&gt;"", 3, 2), FALSE),IF(AF68&lt;&gt;"",CONCATENATE(",",VLOOKUP(AF68,$B$2:$AG$213,32,FALSE)),""))</f>
        <v>3,4,3</v>
      </c>
      <c r="AL68">
        <v>10</v>
      </c>
      <c r="AM68">
        <v>10</v>
      </c>
      <c r="AO68" t="s">
        <v>391</v>
      </c>
      <c r="AP68" t="str">
        <f>VLOOKUP(F68,Eras!$A$2:$C$12, 2, TRUE)</f>
        <v>big4</v>
      </c>
      <c r="AQ68" t="s">
        <v>447</v>
      </c>
      <c r="AR68" t="str">
        <f t="shared" si="8"/>
        <v>big4_DMU (Cheap)</v>
      </c>
      <c r="AS68" t="s">
        <v>579</v>
      </c>
    </row>
    <row r="69" spans="1:45" x14ac:dyDescent="0.25">
      <c r="A69" t="s">
        <v>30</v>
      </c>
      <c r="B69" t="s">
        <v>396</v>
      </c>
      <c r="C69" t="s">
        <v>370</v>
      </c>
      <c r="D69" t="s">
        <v>379</v>
      </c>
      <c r="E69" t="s">
        <v>382</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402</v>
      </c>
      <c r="AG69" t="str">
        <f>CONCATENATE(VLOOKUP(AE69,'Articulated Lengths'!$A$2:$C$16, IF(AF69&lt;&gt;"", 3, 2), FALSE),IF(AF69&lt;&gt;"",CONCATENATE(",",VLOOKUP(AF69,$B$2:$AG$213,32,FALSE)),""))</f>
        <v>2,3,3,1,3,1</v>
      </c>
      <c r="AK69">
        <v>1</v>
      </c>
      <c r="AL69">
        <v>10</v>
      </c>
      <c r="AM69">
        <v>10</v>
      </c>
      <c r="AP69" t="str">
        <f>VLOOKUP(F69,Eras!$A$2:$C$12, 2, TRUE)</f>
        <v>big4</v>
      </c>
      <c r="AQ69" t="s">
        <v>444</v>
      </c>
      <c r="AR69" t="str">
        <f t="shared" si="8"/>
        <v>big4_Mixed Traffic</v>
      </c>
      <c r="AS69" t="s">
        <v>485</v>
      </c>
    </row>
    <row r="70" spans="1:45" x14ac:dyDescent="0.25">
      <c r="A70" t="s">
        <v>32</v>
      </c>
      <c r="B70" t="s">
        <v>395</v>
      </c>
      <c r="C70" t="s">
        <v>370</v>
      </c>
      <c r="D70" t="s">
        <v>379</v>
      </c>
      <c r="E70" t="s">
        <v>382</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397</v>
      </c>
      <c r="AG70" t="str">
        <f>CONCATENATE(VLOOKUP(AE70,'Articulated Lengths'!$A$2:$C$16, IF(AF70&lt;&gt;"", 3, 2), FALSE),IF(AF70&lt;&gt;"",CONCATENATE(",",VLOOKUP(AF70,$B$2:$AG$213,32,FALSE)),""))</f>
        <v>2,3,3,1,3,1</v>
      </c>
      <c r="AK70">
        <v>1</v>
      </c>
      <c r="AL70">
        <v>10</v>
      </c>
      <c r="AM70">
        <v>10</v>
      </c>
      <c r="AP70" t="str">
        <f>VLOOKUP(F70,Eras!$A$2:$C$12, 2, TRUE)</f>
        <v>big4</v>
      </c>
      <c r="AQ70" t="s">
        <v>445</v>
      </c>
      <c r="AR70" t="str">
        <f t="shared" si="8"/>
        <v>big4_Express</v>
      </c>
      <c r="AS70" t="s">
        <v>471</v>
      </c>
    </row>
    <row r="71" spans="1:45" x14ac:dyDescent="0.25">
      <c r="A71" t="s">
        <v>580</v>
      </c>
      <c r="B71" t="s">
        <v>221</v>
      </c>
      <c r="C71" t="s">
        <v>370</v>
      </c>
      <c r="D71" t="s">
        <v>379</v>
      </c>
      <c r="E71" t="s">
        <v>382</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402</v>
      </c>
      <c r="AG71" t="str">
        <f>CONCATENATE(VLOOKUP(AE71,'Articulated Lengths'!$A$2:$C$16, IF(AF71&lt;&gt;"", 3, 2), FALSE),IF(AF71&lt;&gt;"",CONCATENATE(",",VLOOKUP(AF71,$B$2:$AG$213,32,FALSE)),""))</f>
        <v>2,3,3,1,3,1</v>
      </c>
      <c r="AK71">
        <v>1</v>
      </c>
      <c r="AL71">
        <v>10</v>
      </c>
      <c r="AM71">
        <v>10</v>
      </c>
      <c r="AP71" t="str">
        <f>VLOOKUP(F71,Eras!$A$2:$C$12, 2, TRUE)</f>
        <v>big4</v>
      </c>
      <c r="AQ71" t="s">
        <v>446</v>
      </c>
      <c r="AR71" t="str">
        <f t="shared" si="8"/>
        <v>big4_Freight</v>
      </c>
      <c r="AS71" t="s">
        <v>581</v>
      </c>
    </row>
    <row r="72" spans="1:45" x14ac:dyDescent="0.25">
      <c r="A72" t="s">
        <v>27</v>
      </c>
      <c r="B72" t="s">
        <v>583</v>
      </c>
      <c r="C72" t="s">
        <v>370</v>
      </c>
      <c r="D72" t="s">
        <v>379</v>
      </c>
      <c r="E72" t="s">
        <v>382</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565</v>
      </c>
      <c r="AG72" t="str">
        <f>CONCATENATE(VLOOKUP(AE72,'Articulated Lengths'!$A$2:$C$16, IF(AF72&lt;&gt;"", 3, 2), FALSE),IF(AF72&lt;&gt;"",CONCATENATE(",",VLOOKUP(AF72,$B$2:$AG$213,32,FALSE)),""))</f>
        <v>2,4,3,1,3,1</v>
      </c>
      <c r="AK72">
        <v>1</v>
      </c>
      <c r="AL72">
        <v>10</v>
      </c>
      <c r="AM72">
        <v>10</v>
      </c>
      <c r="AP72" t="str">
        <f>VLOOKUP(F72,Eras!$A$2:$C$12, 2, TRUE)</f>
        <v>big4</v>
      </c>
      <c r="AQ72" t="s">
        <v>445</v>
      </c>
      <c r="AR72" t="str">
        <f t="shared" si="8"/>
        <v>big4_Express</v>
      </c>
      <c r="AS72" t="s">
        <v>582</v>
      </c>
    </row>
    <row r="73" spans="1:45" x14ac:dyDescent="0.25">
      <c r="A73" t="s">
        <v>14</v>
      </c>
      <c r="B73" t="s">
        <v>584</v>
      </c>
      <c r="C73" t="s">
        <v>370</v>
      </c>
      <c r="D73" t="s">
        <v>379</v>
      </c>
      <c r="E73" t="s">
        <v>382</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565</v>
      </c>
      <c r="AG73" t="str">
        <f>CONCATENATE(VLOOKUP(AE73,'Articulated Lengths'!$A$2:$C$16, IF(AF73&lt;&gt;"", 3, 2), FALSE),IF(AF73&lt;&gt;"",CONCATENATE(",",VLOOKUP(AF73,$B$2:$AG$213,32,FALSE)),""))</f>
        <v>2,3,3,1,3,1</v>
      </c>
      <c r="AK73">
        <v>1</v>
      </c>
      <c r="AL73">
        <v>10</v>
      </c>
      <c r="AM73">
        <v>10</v>
      </c>
      <c r="AP73" t="str">
        <f>VLOOKUP(F73,Eras!$A$2:$C$12, 2, TRUE)</f>
        <v>big4</v>
      </c>
      <c r="AQ73" t="s">
        <v>444</v>
      </c>
      <c r="AR73" t="str">
        <f t="shared" ref="AR73:AR107" si="17">CONCATENATE(AP73,"_",AQ73)</f>
        <v>big4_Mixed Traffic</v>
      </c>
      <c r="AS73" t="s">
        <v>585</v>
      </c>
    </row>
    <row r="74" spans="1:45" x14ac:dyDescent="0.25">
      <c r="A74" t="s">
        <v>23</v>
      </c>
      <c r="B74" t="s">
        <v>586</v>
      </c>
      <c r="C74" t="s">
        <v>370</v>
      </c>
      <c r="D74" t="s">
        <v>379</v>
      </c>
      <c r="E74" t="s">
        <v>382</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550</v>
      </c>
      <c r="AG74" t="str">
        <f>CONCATENATE(VLOOKUP(AE74,'Articulated Lengths'!$A$2:$C$16, IF(AF74&lt;&gt;"", 3, 2), FALSE),IF(AF74&lt;&gt;"",CONCATENATE(",",VLOOKUP(AF74,$B$2:$AG$213,32,FALSE)),""))</f>
        <v>2,3,3,1,3,1</v>
      </c>
      <c r="AK74">
        <v>1</v>
      </c>
      <c r="AL74">
        <v>10</v>
      </c>
      <c r="AM74">
        <v>10</v>
      </c>
      <c r="AP74" t="str">
        <f>VLOOKUP(F74,Eras!$A$2:$C$12, 2, TRUE)</f>
        <v>big4</v>
      </c>
      <c r="AQ74" t="s">
        <v>444</v>
      </c>
      <c r="AR74" t="str">
        <f t="shared" si="17"/>
        <v>big4_Mixed Traffic</v>
      </c>
      <c r="AS74" t="s">
        <v>588</v>
      </c>
    </row>
    <row r="75" spans="1:45" x14ac:dyDescent="0.25">
      <c r="A75" t="s">
        <v>33</v>
      </c>
      <c r="B75" t="s">
        <v>587</v>
      </c>
      <c r="C75" t="s">
        <v>370</v>
      </c>
      <c r="D75" t="s">
        <v>379</v>
      </c>
      <c r="E75" t="s">
        <v>382</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590</v>
      </c>
      <c r="AG75" t="str">
        <f>CONCATENATE(VLOOKUP(AE75,'Articulated Lengths'!$A$2:$C$16, IF(AF75&lt;&gt;"", 3, 2), FALSE),IF(AF75&lt;&gt;"",CONCATENATE(",",VLOOKUP(AF75,$B$2:$AG$213,32,FALSE)),""))</f>
        <v>2,5,3,1,3,1</v>
      </c>
      <c r="AK75">
        <v>1</v>
      </c>
      <c r="AL75">
        <v>10</v>
      </c>
      <c r="AM75">
        <v>10</v>
      </c>
      <c r="AP75" t="str">
        <f>VLOOKUP(F75,Eras!$A$2:$C$12, 2, TRUE)</f>
        <v>big4</v>
      </c>
      <c r="AQ75" t="s">
        <v>445</v>
      </c>
      <c r="AR75" t="str">
        <f t="shared" si="17"/>
        <v>big4_Express</v>
      </c>
      <c r="AS75" t="s">
        <v>589</v>
      </c>
    </row>
    <row r="76" spans="1:45" x14ac:dyDescent="0.25">
      <c r="A76" t="s">
        <v>86</v>
      </c>
      <c r="B76" t="s">
        <v>322</v>
      </c>
      <c r="C76" t="s">
        <v>532</v>
      </c>
      <c r="D76" t="s">
        <v>404</v>
      </c>
      <c r="E76" t="s">
        <v>412</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 IF(AF76&lt;&gt;"", 3, 2), FALSE),IF(AF76&lt;&gt;"",CONCATENATE(",",VLOOKUP(AF76,$B$2:$AG$213,32,FALSE)),""))</f>
        <v>3,6,3</v>
      </c>
      <c r="AH76" t="s">
        <v>594</v>
      </c>
      <c r="AI76" t="s">
        <v>595</v>
      </c>
      <c r="AL76">
        <v>10</v>
      </c>
      <c r="AM76">
        <v>10</v>
      </c>
      <c r="AO76" t="s">
        <v>391</v>
      </c>
      <c r="AP76" t="str">
        <f>VLOOKUP(F76,Eras!$A$2:$C$12, 2, TRUE)</f>
        <v>big4</v>
      </c>
      <c r="AQ76" t="s">
        <v>450</v>
      </c>
      <c r="AR76" t="str">
        <f t="shared" si="17"/>
        <v>big4_EMU</v>
      </c>
      <c r="AS76" t="s">
        <v>592</v>
      </c>
    </row>
    <row r="77" spans="1:45" x14ac:dyDescent="0.25">
      <c r="A77" t="s">
        <v>87</v>
      </c>
      <c r="B77" t="s">
        <v>323</v>
      </c>
      <c r="C77" t="s">
        <v>532</v>
      </c>
      <c r="D77" t="s">
        <v>404</v>
      </c>
      <c r="E77" t="s">
        <v>412</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 IF(AF77&lt;&gt;"", 3, 2), FALSE),IF(AF77&lt;&gt;"",CONCATENATE(",",VLOOKUP(AF77,$B$2:$AG$213,32,FALSE)),""))</f>
        <v>3,6,3</v>
      </c>
      <c r="AH77" t="s">
        <v>596</v>
      </c>
      <c r="AI77" t="s">
        <v>597</v>
      </c>
      <c r="AL77">
        <v>10</v>
      </c>
      <c r="AM77">
        <v>10</v>
      </c>
      <c r="AO77" t="s">
        <v>391</v>
      </c>
      <c r="AP77" t="str">
        <f>VLOOKUP(F77,Eras!$A$2:$C$12, 2, TRUE)</f>
        <v>big4</v>
      </c>
      <c r="AQ77" t="s">
        <v>450</v>
      </c>
      <c r="AR77" t="str">
        <f t="shared" si="17"/>
        <v>big4_EMU</v>
      </c>
      <c r="AS77" t="s">
        <v>593</v>
      </c>
    </row>
    <row r="78" spans="1:45" x14ac:dyDescent="0.25">
      <c r="A78" t="s">
        <v>129</v>
      </c>
      <c r="B78" t="s">
        <v>266</v>
      </c>
      <c r="C78" t="s">
        <v>197</v>
      </c>
      <c r="E78" t="s">
        <v>382</v>
      </c>
      <c r="F78">
        <v>1938</v>
      </c>
      <c r="V78" s="4" t="str">
        <f t="shared" si="18"/>
        <v/>
      </c>
      <c r="AD78" t="str">
        <f>CONCATENATE(VLOOKUP(AE78, 'Voxel Sizes'!$A$2:$B$18,2,FALSE),"x",INT(AA78*15), "x", INT(AB78*15))</f>
        <v>0x0x0</v>
      </c>
      <c r="AE78">
        <f t="shared" si="14"/>
        <v>0</v>
      </c>
      <c r="AG78" t="str">
        <f>CONCATENATE(VLOOKUP(AE78,'Articulated Lengths'!$A$2:$C$16, IF(AF78&lt;&gt;"", 3, 2), FALSE),IF(AF78&lt;&gt;"",CONCATENATE(",",VLOOKUP(AF78,$B$2:$AG$213,32,FALSE)),""))</f>
        <v>na</v>
      </c>
      <c r="AL78">
        <v>10</v>
      </c>
      <c r="AM78">
        <v>10</v>
      </c>
      <c r="AP78" t="str">
        <f>VLOOKUP(F78,Eras!$A$2:$C$12, 2, TRUE)</f>
        <v>big4</v>
      </c>
      <c r="AQ78" t="s">
        <v>462</v>
      </c>
      <c r="AR78" t="str">
        <f t="shared" si="17"/>
        <v>big4_LU</v>
      </c>
    </row>
    <row r="79" spans="1:45" x14ac:dyDescent="0.25">
      <c r="A79" t="s">
        <v>598</v>
      </c>
      <c r="B79" t="s">
        <v>599</v>
      </c>
      <c r="C79" t="s">
        <v>399</v>
      </c>
      <c r="E79" t="s">
        <v>382</v>
      </c>
      <c r="F79">
        <v>1941</v>
      </c>
      <c r="R79">
        <v>52</v>
      </c>
      <c r="V79" s="4" t="str">
        <f t="shared" si="18"/>
        <v/>
      </c>
      <c r="Y79">
        <v>7.64</v>
      </c>
      <c r="Z79">
        <v>8</v>
      </c>
      <c r="AD79" t="str">
        <f>CONCATENATE(VLOOKUP(AE79, 'Voxel Sizes'!$A$2:$B$18,2,FALSE),"x",INT(AA79*15), "x", INT(AB79*15))</f>
        <v>82x0x0</v>
      </c>
      <c r="AE79">
        <f t="shared" si="14"/>
        <v>5</v>
      </c>
      <c r="AG79" t="str">
        <f>CONCATENATE(VLOOKUP(AE79,'Articulated Lengths'!$A$2:$C$16, IF(AF79&lt;&gt;"", 3, 2), FALSE),IF(AF79&lt;&gt;"",CONCATENATE(",",VLOOKUP(AF79,$B$2:$AG$213,32,FALSE)),""))</f>
        <v>1,3,1</v>
      </c>
      <c r="AP79" t="str">
        <f>VLOOKUP(F79,Eras!$A$2:$C$12, 2, TRUE)</f>
        <v>big4</v>
      </c>
      <c r="AR79" t="str">
        <f t="shared" si="17"/>
        <v>big4_</v>
      </c>
    </row>
    <row r="80" spans="1:45" x14ac:dyDescent="0.25">
      <c r="A80" t="s">
        <v>36</v>
      </c>
      <c r="B80" t="s">
        <v>600</v>
      </c>
      <c r="C80" t="s">
        <v>370</v>
      </c>
      <c r="D80" t="s">
        <v>379</v>
      </c>
      <c r="E80" t="s">
        <v>382</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599</v>
      </c>
      <c r="AG80" t="str">
        <f>CONCATENATE(VLOOKUP(AE80,'Articulated Lengths'!$A$2:$C$16, IF(AF80&lt;&gt;"", 3, 2), FALSE),IF(AF80&lt;&gt;"",CONCATENATE(",",VLOOKUP(AF80,$B$2:$AG$213,32,FALSE)),""))</f>
        <v>2,4,3,1,3,1</v>
      </c>
      <c r="AK80">
        <v>1</v>
      </c>
      <c r="AL80">
        <v>10</v>
      </c>
      <c r="AM80">
        <v>10</v>
      </c>
      <c r="AP80" t="str">
        <f>VLOOKUP(F80,Eras!$A$2:$C$12, 2, TRUE)</f>
        <v>big4</v>
      </c>
      <c r="AQ80" t="s">
        <v>445</v>
      </c>
      <c r="AR80" t="str">
        <f t="shared" si="17"/>
        <v>big4_Express</v>
      </c>
      <c r="AS80" t="s">
        <v>601</v>
      </c>
    </row>
    <row r="81" spans="1:45" x14ac:dyDescent="0.25">
      <c r="A81" t="s">
        <v>72</v>
      </c>
      <c r="B81" t="s">
        <v>222</v>
      </c>
      <c r="C81" t="s">
        <v>370</v>
      </c>
      <c r="D81" t="s">
        <v>404</v>
      </c>
      <c r="E81" t="s">
        <v>412</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 IF(AF81&lt;&gt;"", 3, 2), FALSE),IF(AF81&lt;&gt;"",CONCATENATE(",",VLOOKUP(AF81,$B$2:$AG$213,32,FALSE)),""))</f>
        <v>3,4,3</v>
      </c>
      <c r="AL81">
        <v>10</v>
      </c>
      <c r="AM81">
        <v>10</v>
      </c>
      <c r="AP81" t="str">
        <f>VLOOKUP(F81,Eras!$A$2:$C$12, 2, TRUE)</f>
        <v>big4</v>
      </c>
      <c r="AQ81" t="s">
        <v>454</v>
      </c>
      <c r="AR81" t="str">
        <f t="shared" si="17"/>
        <v>big4_MT (Electric)</v>
      </c>
      <c r="AS81" t="s">
        <v>602</v>
      </c>
    </row>
    <row r="82" spans="1:45" x14ac:dyDescent="0.25">
      <c r="A82" t="s">
        <v>13</v>
      </c>
      <c r="B82" t="s">
        <v>223</v>
      </c>
      <c r="C82" t="s">
        <v>197</v>
      </c>
      <c r="E82" t="s">
        <v>382</v>
      </c>
      <c r="F82">
        <v>1942</v>
      </c>
      <c r="R82">
        <v>72</v>
      </c>
      <c r="U82">
        <v>119</v>
      </c>
      <c r="V82" s="4">
        <f t="shared" si="18"/>
        <v>0.16527777777777777</v>
      </c>
      <c r="AD82" t="str">
        <f>CONCATENATE(VLOOKUP(AE82, 'Voxel Sizes'!$A$2:$B$18,2,FALSE),"x",INT(AA82*15), "x", INT(AB82*15))</f>
        <v>0x0x0</v>
      </c>
      <c r="AE82">
        <f t="shared" si="14"/>
        <v>0</v>
      </c>
      <c r="AG82" t="str">
        <f>CONCATENATE(VLOOKUP(AE82,'Articulated Lengths'!$A$2:$C$16, IF(AF82&lt;&gt;"", 3, 2), FALSE),IF(AF82&lt;&gt;"",CONCATENATE(",",VLOOKUP(AF82,$B$2:$AG$213,32,FALSE)),""))</f>
        <v>na</v>
      </c>
      <c r="AL82">
        <v>10</v>
      </c>
      <c r="AM82">
        <v>10</v>
      </c>
      <c r="AP82" t="str">
        <f>VLOOKUP(F82,Eras!$A$2:$C$12, 2, TRUE)</f>
        <v>big4</v>
      </c>
      <c r="AR82" t="str">
        <f t="shared" si="17"/>
        <v>big4_</v>
      </c>
    </row>
    <row r="83" spans="1:45" x14ac:dyDescent="0.25">
      <c r="A83" t="s">
        <v>606</v>
      </c>
      <c r="B83" t="s">
        <v>605</v>
      </c>
      <c r="C83" t="s">
        <v>399</v>
      </c>
      <c r="E83" t="s">
        <v>382</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 IF(AF83&lt;&gt;"", 3, 2), FALSE),IF(AF83&lt;&gt;"",CONCATENATE(",",VLOOKUP(AF83,$B$2:$AG$213,32,FALSE)),""))</f>
        <v>1,2,1</v>
      </c>
      <c r="AP83" t="str">
        <f>VLOOKUP(F83,Eras!$A$2:$C$12, 2, TRUE)</f>
        <v>big4</v>
      </c>
      <c r="AR83" t="str">
        <f t="shared" ref="AR83" si="23">CONCATENATE(AP83,"_",AQ83)</f>
        <v>big4_</v>
      </c>
    </row>
    <row r="84" spans="1:45" x14ac:dyDescent="0.25">
      <c r="A84" t="s">
        <v>40</v>
      </c>
      <c r="B84" t="s">
        <v>603</v>
      </c>
      <c r="C84" t="s">
        <v>370</v>
      </c>
      <c r="D84" t="s">
        <v>379</v>
      </c>
      <c r="E84" t="s">
        <v>382</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605</v>
      </c>
      <c r="AG84" t="str">
        <f>CONCATENATE(VLOOKUP(AE84,'Articulated Lengths'!$A$2:$C$16, IF(AF84&lt;&gt;"", 3, 2), FALSE),IF(AF84&lt;&gt;"",CONCATENATE(",",VLOOKUP(AF84,$B$2:$AG$213,32,FALSE)),""))</f>
        <v>2,2,3,1,2,1</v>
      </c>
      <c r="AK84">
        <v>1</v>
      </c>
      <c r="AL84">
        <v>10</v>
      </c>
      <c r="AM84">
        <v>10</v>
      </c>
      <c r="AP84" t="str">
        <f>VLOOKUP(F84,Eras!$A$2:$C$12, 2, TRUE)</f>
        <v>big4</v>
      </c>
      <c r="AQ84" t="s">
        <v>443</v>
      </c>
      <c r="AR84" t="str">
        <f t="shared" si="17"/>
        <v>big4_Cheap</v>
      </c>
      <c r="AS84" t="s">
        <v>604</v>
      </c>
    </row>
    <row r="85" spans="1:45" x14ac:dyDescent="0.25">
      <c r="A85" t="s">
        <v>607</v>
      </c>
      <c r="B85" t="s">
        <v>301</v>
      </c>
      <c r="C85" t="s">
        <v>370</v>
      </c>
      <c r="D85" t="s">
        <v>379</v>
      </c>
      <c r="E85" t="s">
        <v>382</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 IF(AF85&lt;&gt;"", 3, 2), FALSE),IF(AF85&lt;&gt;"",CONCATENATE(",",VLOOKUP(AF85,$B$2:$AG$213,32,FALSE)),""))</f>
        <v>1,3,1</v>
      </c>
      <c r="AK85">
        <v>1</v>
      </c>
      <c r="AL85">
        <v>10</v>
      </c>
      <c r="AM85">
        <v>10</v>
      </c>
      <c r="AP85" t="str">
        <f>VLOOKUP(F85,Eras!$A$2:$C$12, 2, TRUE)</f>
        <v>big4</v>
      </c>
      <c r="AQ85" t="s">
        <v>443</v>
      </c>
      <c r="AR85" t="str">
        <f t="shared" si="17"/>
        <v>big4_Cheap</v>
      </c>
      <c r="AS85" t="s">
        <v>608</v>
      </c>
    </row>
    <row r="86" spans="1:45" x14ac:dyDescent="0.25">
      <c r="A86" t="s">
        <v>611</v>
      </c>
      <c r="B86" t="s">
        <v>612</v>
      </c>
      <c r="C86" t="s">
        <v>399</v>
      </c>
      <c r="E86" t="s">
        <v>382</v>
      </c>
      <c r="F86">
        <v>1943</v>
      </c>
      <c r="R86">
        <v>52</v>
      </c>
      <c r="V86" s="4" t="str">
        <f t="shared" si="18"/>
        <v/>
      </c>
      <c r="Y86">
        <v>6</v>
      </c>
      <c r="Z86">
        <v>6</v>
      </c>
      <c r="AD86" t="str">
        <f>CONCATENATE(VLOOKUP(AE86, 'Voxel Sizes'!$A$2:$B$18,2,FALSE),"x",INT(AA86*15), "x", INT(AB86*15))</f>
        <v>60x0x0</v>
      </c>
      <c r="AE86">
        <f t="shared" si="14"/>
        <v>4</v>
      </c>
      <c r="AG86" t="str">
        <f>CONCATENATE(VLOOKUP(AE86,'Articulated Lengths'!$A$2:$C$16, IF(AF86&lt;&gt;"", 3, 2), FALSE),IF(AF86&lt;&gt;"",CONCATENATE(",",VLOOKUP(AF86,$B$2:$AG$213,32,FALSE)),""))</f>
        <v>1,2,1</v>
      </c>
      <c r="AP86" t="str">
        <f>VLOOKUP(F86,Eras!$A$2:$C$12, 2, TRUE)</f>
        <v>big4</v>
      </c>
      <c r="AR86" t="str">
        <f t="shared" si="17"/>
        <v>big4_</v>
      </c>
    </row>
    <row r="87" spans="1:45" x14ac:dyDescent="0.25">
      <c r="A87" t="s">
        <v>39</v>
      </c>
      <c r="B87" t="s">
        <v>610</v>
      </c>
      <c r="C87" t="s">
        <v>370</v>
      </c>
      <c r="D87" t="s">
        <v>379</v>
      </c>
      <c r="E87" t="s">
        <v>382</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612</v>
      </c>
      <c r="AG87" t="str">
        <f>CONCATENATE(VLOOKUP(AE87,'Articulated Lengths'!$A$2:$C$16, IF(AF87&lt;&gt;"", 3, 2), FALSE),IF(AF87&lt;&gt;"",CONCATENATE(",",VLOOKUP(AF87,$B$2:$AG$213,32,FALSE)),""))</f>
        <v>2,3,3,1,2,1</v>
      </c>
      <c r="AK87">
        <v>1</v>
      </c>
      <c r="AL87">
        <v>10</v>
      </c>
      <c r="AM87">
        <v>10</v>
      </c>
      <c r="AP87" t="str">
        <f>VLOOKUP(F87,Eras!$A$2:$C$12, 2, TRUE)</f>
        <v>big4</v>
      </c>
      <c r="AQ87" t="s">
        <v>446</v>
      </c>
      <c r="AR87" t="str">
        <f t="shared" si="17"/>
        <v>big4_Freight</v>
      </c>
      <c r="AS87" t="s">
        <v>609</v>
      </c>
    </row>
    <row r="88" spans="1:45" x14ac:dyDescent="0.25">
      <c r="A88" t="s">
        <v>615</v>
      </c>
      <c r="B88" t="s">
        <v>329</v>
      </c>
      <c r="C88" t="s">
        <v>370</v>
      </c>
      <c r="D88" t="s">
        <v>379</v>
      </c>
      <c r="E88" t="s">
        <v>382</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550</v>
      </c>
      <c r="AG88" t="str">
        <f>CONCATENATE(VLOOKUP(AE88,'Articulated Lengths'!$A$2:$C$16, IF(AF88&lt;&gt;"", 3, 2), FALSE),IF(AF88&lt;&gt;"",CONCATENATE(",",VLOOKUP(AF88,$B$2:$AG$213,32,FALSE)),""))</f>
        <v>2,3,3,1,3,1</v>
      </c>
      <c r="AJ88" t="s">
        <v>561</v>
      </c>
      <c r="AK88">
        <v>1</v>
      </c>
      <c r="AL88">
        <v>10</v>
      </c>
      <c r="AM88">
        <v>10</v>
      </c>
      <c r="AP88" t="str">
        <f>VLOOKUP(F88,Eras!$A$2:$C$12, 2, TRUE)</f>
        <v>big4</v>
      </c>
      <c r="AQ88" t="s">
        <v>444</v>
      </c>
      <c r="AR88" t="str">
        <f t="shared" si="17"/>
        <v>big4_Mixed Traffic</v>
      </c>
      <c r="AS88" t="s">
        <v>614</v>
      </c>
    </row>
    <row r="89" spans="1:45" x14ac:dyDescent="0.25">
      <c r="A89" t="s">
        <v>616</v>
      </c>
      <c r="B89" t="s">
        <v>617</v>
      </c>
      <c r="C89" t="s">
        <v>370</v>
      </c>
      <c r="D89" t="s">
        <v>379</v>
      </c>
      <c r="E89" t="s">
        <v>382</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550</v>
      </c>
      <c r="AG89" t="str">
        <f>CONCATENATE(VLOOKUP(AE89,'Articulated Lengths'!$A$2:$C$16, IF(AF89&lt;&gt;"", 3, 2), FALSE),IF(AF89&lt;&gt;"",CONCATENATE(",",VLOOKUP(AF89,$B$2:$AG$213,32,FALSE)),""))</f>
        <v>2,3,3,1,3,1</v>
      </c>
      <c r="AK89">
        <v>1</v>
      </c>
      <c r="AL89">
        <v>10</v>
      </c>
      <c r="AM89">
        <v>10</v>
      </c>
      <c r="AP89" t="str">
        <f>VLOOKUP(F89,Eras!$A$2:$C$12, 2, TRUE)</f>
        <v>big4</v>
      </c>
      <c r="AQ89" t="s">
        <v>445</v>
      </c>
      <c r="AR89" t="str">
        <f t="shared" si="17"/>
        <v>big4_Express</v>
      </c>
      <c r="AS89" t="s">
        <v>618</v>
      </c>
    </row>
    <row r="90" spans="1:45" x14ac:dyDescent="0.25">
      <c r="A90" t="s">
        <v>37</v>
      </c>
      <c r="B90" t="s">
        <v>620</v>
      </c>
      <c r="C90" t="s">
        <v>370</v>
      </c>
      <c r="D90" t="s">
        <v>379</v>
      </c>
      <c r="E90" t="s">
        <v>382</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599</v>
      </c>
      <c r="AG90" t="str">
        <f>CONCATENATE(VLOOKUP(AE90,'Articulated Lengths'!$A$2:$C$16, IF(AF90&lt;&gt;"", 3, 2), FALSE),IF(AF90&lt;&gt;"",CONCATENATE(",",VLOOKUP(AF90,$B$2:$AG$213,32,FALSE)),""))</f>
        <v>2,4,3,1,3,1</v>
      </c>
      <c r="AK90">
        <v>1</v>
      </c>
      <c r="AL90">
        <v>10</v>
      </c>
      <c r="AM90">
        <v>10</v>
      </c>
      <c r="AP90" t="str">
        <f>VLOOKUP(F90,Eras!$A$2:$C$12, 2, TRUE)</f>
        <v>big4</v>
      </c>
      <c r="AQ90" t="s">
        <v>444</v>
      </c>
      <c r="AR90" t="str">
        <f t="shared" si="17"/>
        <v>big4_Mixed Traffic</v>
      </c>
      <c r="AS90" t="s">
        <v>619</v>
      </c>
    </row>
    <row r="91" spans="1:45" x14ac:dyDescent="0.25">
      <c r="A91" t="s">
        <v>41</v>
      </c>
      <c r="B91" t="s">
        <v>622</v>
      </c>
      <c r="C91" t="s">
        <v>370</v>
      </c>
      <c r="D91" t="s">
        <v>379</v>
      </c>
      <c r="E91" t="s">
        <v>382</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 IF(AF91&lt;&gt;"", 3, 2), FALSE),IF(AF91&lt;&gt;"",CONCATENATE(",",VLOOKUP(AF91,$B$2:$AG$213,32,FALSE)),""))</f>
        <v>3,6,3</v>
      </c>
      <c r="AL91">
        <v>10</v>
      </c>
      <c r="AM91">
        <v>10</v>
      </c>
      <c r="AP91" t="str">
        <f>VLOOKUP(F91,Eras!$A$2:$C$12, 2, TRUE)</f>
        <v>big4</v>
      </c>
      <c r="AQ91" t="s">
        <v>444</v>
      </c>
      <c r="AR91" t="str">
        <f t="shared" si="17"/>
        <v>big4_Mixed Traffic</v>
      </c>
      <c r="AS91" t="s">
        <v>621</v>
      </c>
    </row>
    <row r="92" spans="1:45" x14ac:dyDescent="0.25">
      <c r="A92" t="s">
        <v>626</v>
      </c>
      <c r="B92" t="s">
        <v>625</v>
      </c>
      <c r="C92" t="s">
        <v>399</v>
      </c>
      <c r="E92" t="s">
        <v>382</v>
      </c>
      <c r="F92">
        <v>1946</v>
      </c>
      <c r="R92">
        <v>52</v>
      </c>
      <c r="V92" s="4" t="str">
        <f t="shared" si="18"/>
        <v/>
      </c>
      <c r="Y92">
        <v>6</v>
      </c>
      <c r="Z92">
        <v>6</v>
      </c>
      <c r="AD92" t="str">
        <f>CONCATENATE(VLOOKUP(AE92, 'Voxel Sizes'!$A$2:$B$18,2,FALSE),"x",INT(AA92*15), "x", INT(AB92*15))</f>
        <v>60x0x0</v>
      </c>
      <c r="AE92">
        <f t="shared" si="14"/>
        <v>4</v>
      </c>
      <c r="AG92" t="str">
        <f>CONCATENATE(VLOOKUP(AE92,'Articulated Lengths'!$A$2:$C$16, IF(AF92&lt;&gt;"", 3, 2), FALSE),IF(AF92&lt;&gt;"",CONCATENATE(",",VLOOKUP(AF92,$B$2:$AG$213,32,FALSE)),""))</f>
        <v>1,2,1</v>
      </c>
      <c r="AP92" t="str">
        <f>VLOOKUP(F92,Eras!$A$2:$C$12, 2, TRUE)</f>
        <v>big4</v>
      </c>
      <c r="AR92" t="str">
        <f t="shared" si="17"/>
        <v>big4_</v>
      </c>
    </row>
    <row r="93" spans="1:45" x14ac:dyDescent="0.25">
      <c r="A93" t="s">
        <v>623</v>
      </c>
      <c r="B93" t="s">
        <v>624</v>
      </c>
      <c r="C93" t="s">
        <v>370</v>
      </c>
      <c r="D93" t="s">
        <v>379</v>
      </c>
      <c r="E93" t="s">
        <v>382</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625</v>
      </c>
      <c r="AG93" t="str">
        <f>CONCATENATE(VLOOKUP(AE93,'Articulated Lengths'!$A$2:$C$16, IF(AF93&lt;&gt;"", 3, 2), FALSE),IF(AF93&lt;&gt;"",CONCATENATE(",",VLOOKUP(AF93,$B$2:$AG$213,32,FALSE)),""))</f>
        <v>2,2,3,1,2,1</v>
      </c>
      <c r="AK93">
        <v>1</v>
      </c>
      <c r="AL93">
        <v>10</v>
      </c>
      <c r="AM93">
        <v>10</v>
      </c>
      <c r="AP93" t="str">
        <f>VLOOKUP(F93,Eras!$A$2:$C$12, 2, TRUE)</f>
        <v>big4</v>
      </c>
      <c r="AQ93" t="s">
        <v>443</v>
      </c>
      <c r="AR93" t="str">
        <f t="shared" si="17"/>
        <v>big4_Cheap</v>
      </c>
      <c r="AS93" t="s">
        <v>627</v>
      </c>
    </row>
    <row r="94" spans="1:45" x14ac:dyDescent="0.25">
      <c r="A94" t="s">
        <v>73</v>
      </c>
      <c r="B94" t="s">
        <v>224</v>
      </c>
      <c r="C94" t="s">
        <v>370</v>
      </c>
      <c r="D94" t="s">
        <v>380</v>
      </c>
      <c r="E94" t="s">
        <v>382</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 IF(AF94&lt;&gt;"", 3, 2), FALSE),IF(AF94&lt;&gt;"",CONCATENATE(",",VLOOKUP(AF94,$B$2:$AG$213,32,FALSE)),""))</f>
        <v>3,5,3</v>
      </c>
      <c r="AL94">
        <v>10</v>
      </c>
      <c r="AM94">
        <v>10</v>
      </c>
      <c r="AP94" t="str">
        <f>VLOOKUP(F94,Eras!$A$2:$C$12, 2, TRUE)</f>
        <v>big4</v>
      </c>
      <c r="AQ94" t="s">
        <v>444</v>
      </c>
      <c r="AR94" t="str">
        <f t="shared" si="17"/>
        <v>big4_Mixed Traffic</v>
      </c>
      <c r="AS94" t="s">
        <v>628</v>
      </c>
    </row>
    <row r="95" spans="1:45" x14ac:dyDescent="0.25">
      <c r="A95" t="s">
        <v>25</v>
      </c>
      <c r="B95" t="s">
        <v>630</v>
      </c>
      <c r="C95" t="s">
        <v>370</v>
      </c>
      <c r="D95" t="s">
        <v>379</v>
      </c>
      <c r="E95" t="s">
        <v>382</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565</v>
      </c>
      <c r="AG95" t="str">
        <f>CONCATENATE(VLOOKUP(AE95,'Articulated Lengths'!$A$2:$C$16, IF(AF95&lt;&gt;"", 3, 2), FALSE),IF(AF95&lt;&gt;"",CONCATENATE(",",VLOOKUP(AF95,$B$2:$AG$213,32,FALSE)),""))</f>
        <v>2,5,3,1,3,1</v>
      </c>
      <c r="AK95">
        <v>1</v>
      </c>
      <c r="AL95">
        <v>10</v>
      </c>
      <c r="AM95">
        <v>10</v>
      </c>
      <c r="AP95" t="str">
        <f>VLOOKUP(F95,Eras!$A$2:$C$12, 2, TRUE)</f>
        <v>br</v>
      </c>
      <c r="AQ95" t="s">
        <v>445</v>
      </c>
      <c r="AR95" t="str">
        <f t="shared" si="17"/>
        <v>br_Express</v>
      </c>
      <c r="AS95" t="s">
        <v>629</v>
      </c>
    </row>
    <row r="96" spans="1:45" x14ac:dyDescent="0.25">
      <c r="A96" t="s">
        <v>77</v>
      </c>
      <c r="B96" t="s">
        <v>353</v>
      </c>
      <c r="C96" t="s">
        <v>370</v>
      </c>
      <c r="D96" t="s">
        <v>404</v>
      </c>
      <c r="E96" t="s">
        <v>405</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 IF(AF96&lt;&gt;"", 3, 2), FALSE),IF(AF96&lt;&gt;"",CONCATENATE(",",VLOOKUP(AF96,$B$2:$AG$213,32,FALSE)),""))</f>
        <v>2,5,2</v>
      </c>
      <c r="AL96">
        <v>10</v>
      </c>
      <c r="AM96">
        <v>10</v>
      </c>
      <c r="AP96" t="str">
        <f>VLOOKUP(F96,Eras!$A$2:$C$12, 2, TRUE)</f>
        <v>br</v>
      </c>
      <c r="AQ96" t="s">
        <v>456</v>
      </c>
      <c r="AR96" t="str">
        <f t="shared" si="17"/>
        <v>br_Freight (Electric)</v>
      </c>
      <c r="AS96" t="s">
        <v>472</v>
      </c>
    </row>
    <row r="97" spans="1:45" x14ac:dyDescent="0.25">
      <c r="A97" t="s">
        <v>641</v>
      </c>
      <c r="B97" t="s">
        <v>643</v>
      </c>
      <c r="C97" t="s">
        <v>197</v>
      </c>
      <c r="E97" t="s">
        <v>382</v>
      </c>
      <c r="F97">
        <v>1951</v>
      </c>
      <c r="G97">
        <v>1952</v>
      </c>
      <c r="R97">
        <v>89.92</v>
      </c>
      <c r="S97">
        <v>14.38</v>
      </c>
      <c r="U97">
        <v>122</v>
      </c>
      <c r="V97" s="4">
        <f t="shared" si="18"/>
        <v>0.11697027804410355</v>
      </c>
      <c r="Y97">
        <v>20.96</v>
      </c>
      <c r="Z97">
        <v>20.96</v>
      </c>
      <c r="AB97">
        <v>3.98</v>
      </c>
      <c r="AD97" t="str">
        <f>CONCATENATE(VLOOKUP(AE97, 'Voxel Sizes'!$A$2:$B$18,2,FALSE),"x",INT(AA97*15), "x", INT(AB97*15))</f>
        <v>198x0x59</v>
      </c>
      <c r="AE97">
        <f t="shared" si="14"/>
        <v>12</v>
      </c>
      <c r="AG97" t="str">
        <f>CONCATENATE(VLOOKUP(AE97,'Articulated Lengths'!$A$2:$C$16, IF(AF97&lt;&gt;"", 3, 2), FALSE),IF(AF97&lt;&gt;"",CONCATENATE(",",VLOOKUP(AF97,$B$2:$AG$213,32,FALSE)),""))</f>
        <v>3,6,3</v>
      </c>
      <c r="AL97">
        <v>10</v>
      </c>
      <c r="AM97">
        <v>10</v>
      </c>
      <c r="AP97" t="str">
        <f>VLOOKUP(F97,Eras!$A$2:$C$12, 2, TRUE)</f>
        <v>br</v>
      </c>
      <c r="AR97" t="str">
        <f t="shared" si="17"/>
        <v>br_</v>
      </c>
    </row>
    <row r="98" spans="1:45" x14ac:dyDescent="0.25">
      <c r="A98" t="s">
        <v>640</v>
      </c>
      <c r="B98" t="s">
        <v>644</v>
      </c>
      <c r="C98" t="s">
        <v>197</v>
      </c>
      <c r="E98" t="s">
        <v>382</v>
      </c>
      <c r="F98">
        <v>1951</v>
      </c>
      <c r="G98">
        <v>1954</v>
      </c>
      <c r="R98">
        <v>95.5</v>
      </c>
      <c r="S98">
        <v>50</v>
      </c>
      <c r="U98">
        <v>143</v>
      </c>
      <c r="V98" s="4">
        <f t="shared" si="18"/>
        <v>9.8281786941580754E-2</v>
      </c>
      <c r="Y98">
        <v>20.96</v>
      </c>
      <c r="Z98">
        <v>20.96</v>
      </c>
      <c r="AB98">
        <v>3.98</v>
      </c>
      <c r="AD98" t="str">
        <f>CONCATENATE(VLOOKUP(AE98, 'Voxel Sizes'!$A$2:$B$18,2,FALSE),"x",INT(AA98*15), "x", INT(AB98*15))</f>
        <v>198x0x59</v>
      </c>
      <c r="AE98">
        <f t="shared" si="14"/>
        <v>12</v>
      </c>
      <c r="AG98" t="str">
        <f>CONCATENATE(VLOOKUP(AE98,'Articulated Lengths'!$A$2:$C$16, IF(AF98&lt;&gt;"", 3, 2), FALSE),IF(AF98&lt;&gt;"",CONCATENATE(",",VLOOKUP(AF98,$B$2:$AG$213,32,FALSE)),""))</f>
        <v>3,6,3</v>
      </c>
      <c r="AL98">
        <v>10</v>
      </c>
      <c r="AM98">
        <v>10</v>
      </c>
      <c r="AP98" t="str">
        <f>VLOOKUP(F98,Eras!$A$2:$C$12, 2, TRUE)</f>
        <v>br</v>
      </c>
      <c r="AR98" t="str">
        <f t="shared" si="17"/>
        <v>br_</v>
      </c>
    </row>
    <row r="99" spans="1:45" x14ac:dyDescent="0.25">
      <c r="A99" t="s">
        <v>83</v>
      </c>
      <c r="B99" t="s">
        <v>225</v>
      </c>
      <c r="C99" t="s">
        <v>370</v>
      </c>
      <c r="D99" t="s">
        <v>380</v>
      </c>
      <c r="E99" t="s">
        <v>382</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 IF(AF99&lt;&gt;"", 3, 2), FALSE),IF(AF99&lt;&gt;"",CONCATENATE(",",VLOOKUP(AF99,$B$2:$AG$213,32,FALSE)),""))</f>
        <v>2,2,2</v>
      </c>
      <c r="AK99">
        <v>1</v>
      </c>
      <c r="AL99">
        <v>10</v>
      </c>
      <c r="AM99">
        <v>10</v>
      </c>
      <c r="AP99" t="str">
        <f>VLOOKUP(F99,Eras!$A$2:$C$12, 2, TRUE)</f>
        <v>br</v>
      </c>
      <c r="AQ99" t="s">
        <v>443</v>
      </c>
      <c r="AR99" t="str">
        <f t="shared" si="17"/>
        <v>br_Cheap</v>
      </c>
      <c r="AS99" t="s">
        <v>473</v>
      </c>
    </row>
    <row r="100" spans="1:45" x14ac:dyDescent="0.25">
      <c r="A100" t="s">
        <v>78</v>
      </c>
      <c r="B100" t="s">
        <v>354</v>
      </c>
      <c r="C100" t="s">
        <v>197</v>
      </c>
      <c r="E100" t="s">
        <v>382</v>
      </c>
      <c r="F100">
        <v>1953</v>
      </c>
      <c r="G100">
        <v>1954</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 IF(AF100&lt;&gt;"", 3, 2), FALSE),IF(AF100&lt;&gt;"",CONCATENATE(",",VLOOKUP(AF100,$B$2:$AG$213,32,FALSE)),""))</f>
        <v>3,5,3</v>
      </c>
      <c r="AL100">
        <v>10</v>
      </c>
      <c r="AM100">
        <v>10</v>
      </c>
      <c r="AP100" t="str">
        <f>VLOOKUP(F100,Eras!$A$2:$C$12, 2, TRUE)</f>
        <v>br</v>
      </c>
      <c r="AR100" t="str">
        <f t="shared" si="17"/>
        <v>br_</v>
      </c>
    </row>
    <row r="101" spans="1:45" x14ac:dyDescent="0.25">
      <c r="A101" t="s">
        <v>642</v>
      </c>
      <c r="B101" t="s">
        <v>645</v>
      </c>
      <c r="C101" t="s">
        <v>197</v>
      </c>
      <c r="E101" t="s">
        <v>382</v>
      </c>
      <c r="F101">
        <v>1954</v>
      </c>
      <c r="G101">
        <v>1960</v>
      </c>
      <c r="R101">
        <v>90</v>
      </c>
      <c r="S101">
        <v>51</v>
      </c>
      <c r="U101">
        <v>176</v>
      </c>
      <c r="V101" s="4">
        <f t="shared" si="18"/>
        <v>0.12482269503546099</v>
      </c>
      <c r="W101">
        <v>90</v>
      </c>
      <c r="Y101">
        <v>20.170000000000002</v>
      </c>
      <c r="Z101">
        <v>20.170000000000002</v>
      </c>
      <c r="AD101" t="str">
        <f>CONCATENATE(VLOOKUP(AE101, 'Voxel Sizes'!$A$2:$B$18,2,FALSE),"x",INT(AA101*15), "x", INT(AB101*15))</f>
        <v>198x0x0</v>
      </c>
      <c r="AE101">
        <f t="shared" si="14"/>
        <v>12</v>
      </c>
      <c r="AG101" t="str">
        <f>CONCATENATE(VLOOKUP(AE101,'Articulated Lengths'!$A$2:$C$16, IF(AF101&lt;&gt;"", 3, 2), FALSE),IF(AF101&lt;&gt;"",CONCATENATE(",",VLOOKUP(AF101,$B$2:$AG$213,32,FALSE)),""))</f>
        <v>3,6,3</v>
      </c>
      <c r="AL101">
        <v>10</v>
      </c>
      <c r="AM101">
        <v>10</v>
      </c>
      <c r="AP101" t="str">
        <f>VLOOKUP(F101,Eras!$A$2:$C$12, 2, TRUE)</f>
        <v>br</v>
      </c>
      <c r="AR101" t="str">
        <f t="shared" si="17"/>
        <v>br_</v>
      </c>
    </row>
    <row r="102" spans="1:45" x14ac:dyDescent="0.25">
      <c r="A102" t="s">
        <v>49</v>
      </c>
      <c r="B102" t="s">
        <v>375</v>
      </c>
      <c r="C102" t="s">
        <v>197</v>
      </c>
      <c r="E102" t="s">
        <v>382</v>
      </c>
      <c r="F102">
        <v>1955</v>
      </c>
      <c r="G102">
        <v>1962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 IF(AF102&lt;&gt;"", 3, 2), FALSE),IF(AF102&lt;&gt;"",CONCATENATE(",",VLOOKUP(AF102,$B$2:$AG$213,32,FALSE)),""))</f>
        <v>3,6,3</v>
      </c>
      <c r="AL102">
        <v>10</v>
      </c>
      <c r="AM102">
        <v>10</v>
      </c>
      <c r="AP102" t="str">
        <f>VLOOKUP(F102,Eras!$A$2:$C$12, 2, TRUE)</f>
        <v>dsl</v>
      </c>
      <c r="AQ102" t="s">
        <v>445</v>
      </c>
      <c r="AR102" t="str">
        <f t="shared" si="17"/>
        <v>dsl_Express</v>
      </c>
    </row>
    <row r="103" spans="1:45" x14ac:dyDescent="0.25">
      <c r="A103" t="s">
        <v>88</v>
      </c>
      <c r="B103" t="s">
        <v>324</v>
      </c>
      <c r="C103" t="s">
        <v>197</v>
      </c>
      <c r="E103" t="s">
        <v>382</v>
      </c>
      <c r="F103">
        <v>1956</v>
      </c>
      <c r="G103">
        <v>1960</v>
      </c>
      <c r="H103">
        <v>2003</v>
      </c>
      <c r="J103">
        <v>300</v>
      </c>
      <c r="R103">
        <f>32.5+25</f>
        <v>57.5</v>
      </c>
      <c r="V103" s="4" t="str">
        <f t="shared" si="18"/>
        <v/>
      </c>
      <c r="W103">
        <v>70</v>
      </c>
      <c r="Y103">
        <v>17.37</v>
      </c>
      <c r="Z103">
        <v>17.37</v>
      </c>
      <c r="AB103">
        <v>3.77</v>
      </c>
      <c r="AD103" t="str">
        <f>CONCATENATE(VLOOKUP(AE103, 'Voxel Sizes'!$A$2:$B$18,2,FALSE),"x",INT(AA103*15), "x", INT(AB103*15))</f>
        <v>164x0x56</v>
      </c>
      <c r="AE103">
        <f t="shared" si="14"/>
        <v>10</v>
      </c>
      <c r="AG103" t="str">
        <f>CONCATENATE(VLOOKUP(AE103,'Articulated Lengths'!$A$2:$C$16, IF(AF103&lt;&gt;"", 3, 2), FALSE),IF(AF103&lt;&gt;"",CONCATENATE(",",VLOOKUP(AF103,$B$2:$AG$213,32,FALSE)),""))</f>
        <v>3,4,3</v>
      </c>
      <c r="AL103">
        <v>10</v>
      </c>
      <c r="AM103">
        <v>10</v>
      </c>
      <c r="AP103" t="str">
        <f>VLOOKUP(F103,Eras!$A$2:$C$12, 2, TRUE)</f>
        <v>dsl</v>
      </c>
      <c r="AQ103" t="s">
        <v>448</v>
      </c>
      <c r="AR103" t="str">
        <f t="shared" si="17"/>
        <v>dsl_DMU</v>
      </c>
    </row>
    <row r="104" spans="1:45" x14ac:dyDescent="0.25">
      <c r="A104" t="s">
        <v>91</v>
      </c>
      <c r="B104" t="s">
        <v>250</v>
      </c>
      <c r="C104" t="s">
        <v>197</v>
      </c>
      <c r="E104" t="s">
        <v>382</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 IF(AF104&lt;&gt;"", 3, 2), FALSE),IF(AF104&lt;&gt;"",CONCATENATE(",",VLOOKUP(AF104,$B$2:$AG$213,32,FALSE)),""))</f>
        <v>3,4,3</v>
      </c>
      <c r="AL104">
        <v>10</v>
      </c>
      <c r="AM104">
        <v>10</v>
      </c>
      <c r="AP104" t="str">
        <f>VLOOKUP(F104,Eras!$A$2:$C$12, 2, TRUE)</f>
        <v>dsl</v>
      </c>
      <c r="AR104" t="str">
        <f t="shared" si="17"/>
        <v>dsl_</v>
      </c>
    </row>
    <row r="105" spans="1:45" x14ac:dyDescent="0.25">
      <c r="A105" t="s">
        <v>147</v>
      </c>
      <c r="B105" t="s">
        <v>365</v>
      </c>
      <c r="C105" t="s">
        <v>389</v>
      </c>
      <c r="E105" t="s">
        <v>382</v>
      </c>
      <c r="F105">
        <v>1956</v>
      </c>
      <c r="R105">
        <v>40</v>
      </c>
      <c r="T105">
        <v>9</v>
      </c>
      <c r="V105" s="4" t="str">
        <f t="shared" si="18"/>
        <v/>
      </c>
      <c r="W105">
        <v>100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 IF(AF105&lt;&gt;"", 3, 2), FALSE),IF(AF105&lt;&gt;"",CONCATENATE(",",VLOOKUP(AF105,$B$2:$AG$213,32,FALSE)),""))</f>
        <v>3,6,3</v>
      </c>
      <c r="AL105">
        <v>10</v>
      </c>
      <c r="AM105">
        <v>10</v>
      </c>
      <c r="AO105" t="s">
        <v>391</v>
      </c>
      <c r="AP105" t="str">
        <f>VLOOKUP(F105,Eras!$A$2:$C$12, 2, TRUE)</f>
        <v>dsl</v>
      </c>
      <c r="AQ105" t="s">
        <v>452</v>
      </c>
      <c r="AR105" t="str">
        <f t="shared" si="17"/>
        <v>dsl_Carriage</v>
      </c>
      <c r="AS105" t="s">
        <v>478</v>
      </c>
    </row>
    <row r="106" spans="1:45" x14ac:dyDescent="0.25">
      <c r="A106" t="s">
        <v>56</v>
      </c>
      <c r="B106" t="s">
        <v>226</v>
      </c>
      <c r="C106" t="s">
        <v>197</v>
      </c>
      <c r="E106" t="s">
        <v>382</v>
      </c>
      <c r="F106">
        <v>1957</v>
      </c>
      <c r="G106">
        <v>1962</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 IF(AF106&lt;&gt;"", 3, 2), FALSE),IF(AF106&lt;&gt;"",CONCATENATE(",",VLOOKUP(AF106,$B$2:$AG$213,32,FALSE)),""))</f>
        <v>3,4,3</v>
      </c>
      <c r="AL106">
        <v>10</v>
      </c>
      <c r="AM106">
        <v>10</v>
      </c>
      <c r="AP106" t="str">
        <f>VLOOKUP(F106,Eras!$A$2:$C$12, 2, TRUE)</f>
        <v>dsl</v>
      </c>
      <c r="AR106" t="str">
        <f t="shared" si="17"/>
        <v>dsl_</v>
      </c>
    </row>
    <row r="107" spans="1:45" x14ac:dyDescent="0.25">
      <c r="A107" t="s">
        <v>60</v>
      </c>
      <c r="B107" t="s">
        <v>373</v>
      </c>
      <c r="C107" t="s">
        <v>370</v>
      </c>
      <c r="D107" t="s">
        <v>380</v>
      </c>
      <c r="E107" t="s">
        <v>382</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 IF(AF107&lt;&gt;"", 3, 2), FALSE),IF(AF107&lt;&gt;"",CONCATENATE(",",VLOOKUP(AF107,$B$2:$AG$213,32,FALSE)),""))</f>
        <v>2,4,2</v>
      </c>
      <c r="AL107">
        <v>10</v>
      </c>
      <c r="AM107">
        <v>10</v>
      </c>
      <c r="AP107" t="str">
        <f>VLOOKUP(F107,Eras!$A$2:$C$12, 2, TRUE)</f>
        <v>dsl</v>
      </c>
      <c r="AQ107" t="s">
        <v>444</v>
      </c>
      <c r="AR107" t="str">
        <f t="shared" si="17"/>
        <v>dsl_Mixed Traffic</v>
      </c>
      <c r="AS107" t="s">
        <v>474</v>
      </c>
    </row>
    <row r="108" spans="1:45" x14ac:dyDescent="0.25">
      <c r="A108" t="s">
        <v>43</v>
      </c>
      <c r="B108" t="s">
        <v>227</v>
      </c>
      <c r="C108" t="s">
        <v>197</v>
      </c>
      <c r="E108" t="s">
        <v>382</v>
      </c>
      <c r="F108">
        <v>1958</v>
      </c>
      <c r="G108">
        <v>1961</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 IF(AF108&lt;&gt;"", 3, 2), FALSE),IF(AF108&lt;&gt;"",CONCATENATE(",",VLOOKUP(AF108,$B$2:$AG$213,32,FALSE)),""))</f>
        <v>3,6,3</v>
      </c>
      <c r="AL108">
        <v>10</v>
      </c>
      <c r="AM108">
        <v>10</v>
      </c>
      <c r="AP108" t="str">
        <f>VLOOKUP(F108,Eras!$A$2:$C$12, 2, TRUE)</f>
        <v>dsl</v>
      </c>
      <c r="AR108" t="str">
        <f t="shared" ref="AR108:AR139" si="26">CONCATENATE(AP108,"_",AQ108)</f>
        <v>dsl_</v>
      </c>
    </row>
    <row r="109" spans="1:45" x14ac:dyDescent="0.25">
      <c r="A109" t="s">
        <v>47</v>
      </c>
      <c r="B109" t="s">
        <v>228</v>
      </c>
      <c r="C109" t="s">
        <v>197</v>
      </c>
      <c r="E109" t="s">
        <v>382</v>
      </c>
      <c r="F109">
        <v>1958</v>
      </c>
      <c r="G109">
        <v>1961</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 IF(AF109&lt;&gt;"", 3, 2), FALSE),IF(AF109&lt;&gt;"",CONCATENATE(",",VLOOKUP(AF109,$B$2:$AG$213,32,FALSE)),""))</f>
        <v>3,5,3</v>
      </c>
      <c r="AL109">
        <v>10</v>
      </c>
      <c r="AM109">
        <v>10</v>
      </c>
      <c r="AP109" t="str">
        <f>VLOOKUP(F109,Eras!$A$2:$C$12, 2, TRUE)</f>
        <v>dsl</v>
      </c>
      <c r="AR109" t="str">
        <f t="shared" si="26"/>
        <v>dsl_</v>
      </c>
    </row>
    <row r="110" spans="1:45" x14ac:dyDescent="0.25">
      <c r="A110" t="s">
        <v>52</v>
      </c>
      <c r="B110" t="s">
        <v>229</v>
      </c>
      <c r="C110" t="s">
        <v>197</v>
      </c>
      <c r="E110" t="s">
        <v>382</v>
      </c>
      <c r="F110">
        <v>1958</v>
      </c>
      <c r="G110">
        <v>1962</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 IF(AF110&lt;&gt;"", 3, 2), FALSE),IF(AF110&lt;&gt;"",CONCATENATE(",",VLOOKUP(AF110,$B$2:$AG$213,32,FALSE)),""))</f>
        <v>3,6,3</v>
      </c>
      <c r="AL110">
        <v>10</v>
      </c>
      <c r="AM110">
        <v>10</v>
      </c>
      <c r="AP110" t="str">
        <f>VLOOKUP(F110,Eras!$A$2:$C$12, 2, TRUE)</f>
        <v>dsl</v>
      </c>
      <c r="AR110" t="str">
        <f t="shared" si="26"/>
        <v>dsl_</v>
      </c>
    </row>
    <row r="111" spans="1:45" x14ac:dyDescent="0.25">
      <c r="A111" t="s">
        <v>53</v>
      </c>
      <c r="B111" t="s">
        <v>406</v>
      </c>
      <c r="C111" t="s">
        <v>370</v>
      </c>
      <c r="D111" t="s">
        <v>380</v>
      </c>
      <c r="E111" t="s">
        <v>382</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 IF(AF111&lt;&gt;"", 3, 2), FALSE),IF(AF111&lt;&gt;"",CONCATENATE(",",VLOOKUP(AF111,$B$2:$AG$213,32,FALSE)),""))</f>
        <v>3,4,3</v>
      </c>
      <c r="AL111">
        <v>10</v>
      </c>
      <c r="AM111">
        <v>10</v>
      </c>
      <c r="AP111" t="str">
        <f>VLOOKUP(F111,Eras!$A$2:$C$12, 2, TRUE)</f>
        <v>dsl</v>
      </c>
      <c r="AQ111" t="s">
        <v>444</v>
      </c>
      <c r="AR111" t="str">
        <f t="shared" si="26"/>
        <v>dsl_Mixed Traffic</v>
      </c>
      <c r="AS111" t="s">
        <v>475</v>
      </c>
    </row>
    <row r="112" spans="1:45" x14ac:dyDescent="0.25">
      <c r="A112" t="s">
        <v>79</v>
      </c>
      <c r="B112" t="s">
        <v>302</v>
      </c>
      <c r="C112" t="s">
        <v>370</v>
      </c>
      <c r="D112" t="s">
        <v>404</v>
      </c>
      <c r="E112" t="s">
        <v>412</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 IF(AF112&lt;&gt;"", 3, 2), FALSE),IF(AF112&lt;&gt;"",CONCATENATE(",",VLOOKUP(AF112,$B$2:$AG$213,32,FALSE)),""))</f>
        <v>3,4,3</v>
      </c>
      <c r="AL112">
        <v>10</v>
      </c>
      <c r="AM112">
        <v>10</v>
      </c>
      <c r="AP112" t="str">
        <f>VLOOKUP(F112,Eras!$A$2:$C$12, 2, TRUE)</f>
        <v>dsl</v>
      </c>
      <c r="AQ112" t="s">
        <v>454</v>
      </c>
      <c r="AR112" t="str">
        <f t="shared" si="26"/>
        <v>dsl_MT (Electric)</v>
      </c>
      <c r="AS112" t="s">
        <v>476</v>
      </c>
    </row>
    <row r="113" spans="1:45" x14ac:dyDescent="0.25">
      <c r="A113" t="s">
        <v>50</v>
      </c>
      <c r="B113" t="s">
        <v>374</v>
      </c>
      <c r="C113" t="s">
        <v>370</v>
      </c>
      <c r="D113" t="s">
        <v>380</v>
      </c>
      <c r="E113" t="s">
        <v>382</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 IF(AF113&lt;&gt;"", 3, 2), FALSE),IF(AF113&lt;&gt;"",CONCATENATE(",",VLOOKUP(AF113,$B$2:$AG$213,32,FALSE)),""))</f>
        <v>2,5,2</v>
      </c>
      <c r="AL113">
        <v>10</v>
      </c>
      <c r="AM113">
        <v>10</v>
      </c>
      <c r="AP113" t="str">
        <f>VLOOKUP(F113,Eras!$A$2:$C$12, 2, TRUE)</f>
        <v>dsl</v>
      </c>
      <c r="AQ113" t="s">
        <v>444</v>
      </c>
      <c r="AR113" t="str">
        <f t="shared" si="26"/>
        <v>dsl_Mixed Traffic</v>
      </c>
      <c r="AS113" t="s">
        <v>484</v>
      </c>
    </row>
    <row r="114" spans="1:45" x14ac:dyDescent="0.25">
      <c r="A114" t="s">
        <v>74</v>
      </c>
      <c r="B114" t="s">
        <v>303</v>
      </c>
      <c r="C114" t="s">
        <v>197</v>
      </c>
      <c r="E114" t="s">
        <v>405</v>
      </c>
      <c r="F114">
        <v>1959</v>
      </c>
      <c r="G114">
        <v>1964</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 IF(AF114&lt;&gt;"", 3, 2), FALSE),IF(AF114&lt;&gt;"",CONCATENATE(",",VLOOKUP(AF114,$B$2:$AG$213,32,FALSE)),""))</f>
        <v>3,4,3</v>
      </c>
      <c r="AL114">
        <v>10</v>
      </c>
      <c r="AM114">
        <v>10</v>
      </c>
      <c r="AP114" t="str">
        <f>VLOOKUP(F114,Eras!$A$2:$C$12, 2, TRUE)</f>
        <v>dsl</v>
      </c>
      <c r="AQ114" t="s">
        <v>455</v>
      </c>
      <c r="AR114" t="str">
        <f t="shared" si="26"/>
        <v>dsl_Express (Electric)</v>
      </c>
    </row>
    <row r="115" spans="1:45" x14ac:dyDescent="0.25">
      <c r="A115" t="s">
        <v>89</v>
      </c>
      <c r="B115" t="s">
        <v>325</v>
      </c>
      <c r="C115" t="s">
        <v>197</v>
      </c>
      <c r="E115" t="s">
        <v>382</v>
      </c>
      <c r="F115">
        <v>1959</v>
      </c>
      <c r="G115">
        <v>1961</v>
      </c>
      <c r="H115">
        <v>2000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 IF(AF115&lt;&gt;"", 3, 2), FALSE),IF(AF115&lt;&gt;"",CONCATENATE(",",VLOOKUP(AF115,$B$2:$AG$213,32,FALSE)),""))</f>
        <v>3,5,3</v>
      </c>
      <c r="AL115">
        <v>10</v>
      </c>
      <c r="AM115">
        <v>10</v>
      </c>
      <c r="AP115" t="str">
        <f>VLOOKUP(F115,Eras!$A$2:$C$12, 2, TRUE)</f>
        <v>dsl</v>
      </c>
      <c r="AQ115" t="s">
        <v>448</v>
      </c>
      <c r="AR115" t="str">
        <f t="shared" si="26"/>
        <v>dsl_DMU</v>
      </c>
    </row>
    <row r="116" spans="1:45" x14ac:dyDescent="0.25">
      <c r="A116" t="s">
        <v>130</v>
      </c>
      <c r="B116" t="s">
        <v>267</v>
      </c>
      <c r="C116" t="s">
        <v>197</v>
      </c>
      <c r="E116" t="s">
        <v>382</v>
      </c>
      <c r="F116">
        <v>1959</v>
      </c>
      <c r="V116" s="4" t="str">
        <f t="shared" si="18"/>
        <v/>
      </c>
      <c r="AD116" t="str">
        <f>CONCATENATE(VLOOKUP(AE116, 'Voxel Sizes'!$A$2:$B$18,2,FALSE),"x",INT(AA116*15), "x", INT(AB116*15))</f>
        <v>0x0x0</v>
      </c>
      <c r="AE116">
        <f t="shared" si="14"/>
        <v>0</v>
      </c>
      <c r="AG116" t="str">
        <f>CONCATENATE(VLOOKUP(AE116,'Articulated Lengths'!$A$2:$C$16, IF(AF116&lt;&gt;"", 3, 2), FALSE),IF(AF116&lt;&gt;"",CONCATENATE(",",VLOOKUP(AF116,$B$2:$AG$213,32,FALSE)),""))</f>
        <v>na</v>
      </c>
      <c r="AL116">
        <v>10</v>
      </c>
      <c r="AM116">
        <v>10</v>
      </c>
      <c r="AP116" t="str">
        <f>VLOOKUP(F116,Eras!$A$2:$C$12, 2, TRUE)</f>
        <v>dsl</v>
      </c>
      <c r="AQ116" t="s">
        <v>462</v>
      </c>
      <c r="AR116" t="str">
        <f t="shared" si="26"/>
        <v>dsl_LU</v>
      </c>
    </row>
    <row r="117" spans="1:45" x14ac:dyDescent="0.25">
      <c r="A117" t="s">
        <v>51</v>
      </c>
      <c r="B117" t="s">
        <v>369</v>
      </c>
      <c r="C117" t="s">
        <v>370</v>
      </c>
      <c r="D117" t="s">
        <v>380</v>
      </c>
      <c r="E117" t="s">
        <v>382</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 IF(AF117&lt;&gt;"", 3, 2), FALSE),IF(AF117&lt;&gt;"",CONCATENATE(",",VLOOKUP(AF117,$B$2:$AG$213,32,FALSE)),""))</f>
        <v>3,5,3</v>
      </c>
      <c r="AL117">
        <v>10</v>
      </c>
      <c r="AM117">
        <v>10</v>
      </c>
      <c r="AP117" t="str">
        <f>VLOOKUP(F117,Eras!$A$2:$C$12, 2, TRUE)</f>
        <v>dsl</v>
      </c>
      <c r="AQ117" t="s">
        <v>444</v>
      </c>
      <c r="AR117" t="str">
        <f t="shared" si="26"/>
        <v>dsl_Mixed Traffic</v>
      </c>
      <c r="AS117" t="s">
        <v>477</v>
      </c>
    </row>
    <row r="118" spans="1:45" x14ac:dyDescent="0.25">
      <c r="A118" t="s">
        <v>62</v>
      </c>
      <c r="B118" t="s">
        <v>230</v>
      </c>
      <c r="C118" t="s">
        <v>197</v>
      </c>
      <c r="E118" t="s">
        <v>382</v>
      </c>
      <c r="F118">
        <v>1960</v>
      </c>
      <c r="G118">
        <v>1962</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 IF(AF118&lt;&gt;"", 3, 2), FALSE),IF(AF118&lt;&gt;"",CONCATENATE(",",VLOOKUP(AF118,$B$2:$AG$213,32,FALSE)),""))</f>
        <v>3,6,3</v>
      </c>
      <c r="AL118">
        <v>10</v>
      </c>
      <c r="AM118">
        <v>10</v>
      </c>
      <c r="AP118" t="str">
        <f>VLOOKUP(F118,Eras!$A$2:$C$12, 2, TRUE)</f>
        <v>dsl</v>
      </c>
      <c r="AR118" t="str">
        <f t="shared" si="26"/>
        <v>dsl_</v>
      </c>
    </row>
    <row r="119" spans="1:45" x14ac:dyDescent="0.25">
      <c r="A119" t="s">
        <v>63</v>
      </c>
      <c r="B119" t="s">
        <v>231</v>
      </c>
      <c r="C119" t="s">
        <v>197</v>
      </c>
      <c r="E119" t="s">
        <v>382</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 IF(AF119&lt;&gt;"", 3, 2), FALSE),IF(AF119&lt;&gt;"",CONCATENATE(",",VLOOKUP(AF119,$B$2:$AG$213,32,FALSE)),""))</f>
        <v>2,5,2</v>
      </c>
      <c r="AL119">
        <v>10</v>
      </c>
      <c r="AM119">
        <v>10</v>
      </c>
      <c r="AP119" t="str">
        <f>VLOOKUP(F119,Eras!$A$2:$C$12, 2, TRUE)</f>
        <v>dsl</v>
      </c>
      <c r="AR119" t="str">
        <f t="shared" si="26"/>
        <v>dsl_</v>
      </c>
    </row>
    <row r="120" spans="1:45" x14ac:dyDescent="0.25">
      <c r="A120" t="s">
        <v>174</v>
      </c>
      <c r="B120" t="s">
        <v>328</v>
      </c>
      <c r="C120" t="s">
        <v>197</v>
      </c>
      <c r="E120" t="s">
        <v>382</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 IF(AF120&lt;&gt;"", 3, 2), FALSE),IF(AF120&lt;&gt;"",CONCATENATE(",",VLOOKUP(AF120,$B$2:$AG$213,32,FALSE)),""))</f>
        <v>na</v>
      </c>
      <c r="AL120">
        <v>10</v>
      </c>
      <c r="AM120">
        <v>10</v>
      </c>
      <c r="AP120" t="str">
        <f>VLOOKUP(F120,Eras!$A$2:$C$12, 2, TRUE)</f>
        <v>dsl</v>
      </c>
      <c r="AR120" t="str">
        <f t="shared" si="26"/>
        <v>dsl_</v>
      </c>
    </row>
    <row r="121" spans="1:45" x14ac:dyDescent="0.25">
      <c r="A121" t="s">
        <v>90</v>
      </c>
      <c r="B121" t="s">
        <v>304</v>
      </c>
      <c r="C121" t="s">
        <v>197</v>
      </c>
      <c r="E121" t="s">
        <v>382</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 IF(AF121&lt;&gt;"", 3, 2), FALSE),IF(AF121&lt;&gt;"",CONCATENATE(",",VLOOKUP(AF121,$B$2:$AG$213,32,FALSE)),""))</f>
        <v>3,6,3</v>
      </c>
      <c r="AL121">
        <v>10</v>
      </c>
      <c r="AM121">
        <v>10</v>
      </c>
      <c r="AP121" t="str">
        <f>VLOOKUP(F121,Eras!$A$2:$C$12, 2, TRUE)</f>
        <v>dsl</v>
      </c>
      <c r="AQ121" t="s">
        <v>448</v>
      </c>
      <c r="AR121" t="str">
        <f t="shared" si="26"/>
        <v>dsl_DMU</v>
      </c>
    </row>
    <row r="122" spans="1:45" x14ac:dyDescent="0.25">
      <c r="A122" t="s">
        <v>131</v>
      </c>
      <c r="B122" t="s">
        <v>268</v>
      </c>
      <c r="C122" t="s">
        <v>197</v>
      </c>
      <c r="E122" t="s">
        <v>382</v>
      </c>
      <c r="F122">
        <v>1960</v>
      </c>
      <c r="V122" s="4" t="str">
        <f t="shared" si="18"/>
        <v/>
      </c>
      <c r="AD122" t="str">
        <f>CONCATENATE(VLOOKUP(AE122, 'Voxel Sizes'!$A$2:$B$18,2,FALSE),"x",INT(AA122*15), "x", INT(AB122*15))</f>
        <v>0x0x0</v>
      </c>
      <c r="AE122">
        <f t="shared" si="14"/>
        <v>0</v>
      </c>
      <c r="AG122" t="str">
        <f>CONCATENATE(VLOOKUP(AE122,'Articulated Lengths'!$A$2:$C$16, IF(AF122&lt;&gt;"", 3, 2), FALSE),IF(AF122&lt;&gt;"",CONCATENATE(",",VLOOKUP(AF122,$B$2:$AG$213,32,FALSE)),""))</f>
        <v>na</v>
      </c>
      <c r="AL122">
        <v>10</v>
      </c>
      <c r="AM122">
        <v>10</v>
      </c>
      <c r="AP122" t="str">
        <f>VLOOKUP(F122,Eras!$A$2:$C$12, 2, TRUE)</f>
        <v>dsl</v>
      </c>
      <c r="AQ122" t="s">
        <v>462</v>
      </c>
      <c r="AR122" t="str">
        <f t="shared" si="26"/>
        <v>dsl_LU</v>
      </c>
    </row>
    <row r="123" spans="1:45" x14ac:dyDescent="0.25">
      <c r="A123" t="s">
        <v>46</v>
      </c>
      <c r="B123" t="s">
        <v>232</v>
      </c>
      <c r="C123" t="s">
        <v>197</v>
      </c>
      <c r="E123" t="s">
        <v>382</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 IF(AF123&lt;&gt;"", 3, 2), FALSE),IF(AF123&lt;&gt;"",CONCATENATE(",",VLOOKUP(AF123,$B$2:$AG$213,32,FALSE)),""))</f>
        <v>2,5,2</v>
      </c>
      <c r="AL123">
        <v>10</v>
      </c>
      <c r="AM123">
        <v>10</v>
      </c>
      <c r="AP123" t="str">
        <f>VLOOKUP(F123,Eras!$A$2:$C$12, 2, TRUE)</f>
        <v>dsl</v>
      </c>
      <c r="AR123" t="str">
        <f t="shared" si="26"/>
        <v>dsl_</v>
      </c>
    </row>
    <row r="124" spans="1:45" x14ac:dyDescent="0.25">
      <c r="A124" t="s">
        <v>48</v>
      </c>
      <c r="B124" t="s">
        <v>233</v>
      </c>
      <c r="C124" t="s">
        <v>197</v>
      </c>
      <c r="E124" t="s">
        <v>382</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 IF(AF124&lt;&gt;"", 3, 2), FALSE),IF(AF124&lt;&gt;"",CONCATENATE(",",VLOOKUP(AF124,$B$2:$AG$213,32,FALSE)),""))</f>
        <v>3,6,3</v>
      </c>
      <c r="AL124">
        <v>10</v>
      </c>
      <c r="AM124">
        <v>10</v>
      </c>
      <c r="AP124" t="str">
        <f>VLOOKUP(F124,Eras!$A$2:$C$12, 2, TRUE)</f>
        <v>dsl</v>
      </c>
      <c r="AR124" t="str">
        <f t="shared" si="26"/>
        <v>dsl_</v>
      </c>
    </row>
    <row r="125" spans="1:45" x14ac:dyDescent="0.25">
      <c r="A125" t="s">
        <v>61</v>
      </c>
      <c r="B125" t="s">
        <v>414</v>
      </c>
      <c r="C125" t="s">
        <v>197</v>
      </c>
      <c r="E125" t="s">
        <v>382</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 IF(AF125&lt;&gt;"", 3, 2), FALSE),IF(AF125&lt;&gt;"",CONCATENATE(",",VLOOKUP(AF125,$B$2:$AG$213,32,FALSE)),""))</f>
        <v>2,5,2</v>
      </c>
      <c r="AL125">
        <v>10</v>
      </c>
      <c r="AM125">
        <v>10</v>
      </c>
      <c r="AP125" t="str">
        <f>VLOOKUP(F125,Eras!$A$2:$C$12, 2, TRUE)</f>
        <v>dsl</v>
      </c>
      <c r="AR125" t="str">
        <f t="shared" si="26"/>
        <v>dsl_</v>
      </c>
    </row>
    <row r="126" spans="1:45" x14ac:dyDescent="0.25">
      <c r="A126" t="s">
        <v>64</v>
      </c>
      <c r="B126" t="s">
        <v>234</v>
      </c>
      <c r="C126" t="s">
        <v>197</v>
      </c>
      <c r="E126" t="s">
        <v>382</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 IF(AF126&lt;&gt;"", 3, 2), FALSE),IF(AF126&lt;&gt;"",CONCATENATE(",",VLOOKUP(AF126,$B$2:$AG$213,32,FALSE)),""))</f>
        <v>2,5,2</v>
      </c>
      <c r="AL126">
        <v>10</v>
      </c>
      <c r="AM126">
        <v>10</v>
      </c>
      <c r="AP126" t="str">
        <f>VLOOKUP(F126,Eras!$A$2:$C$12, 2, TRUE)</f>
        <v>dsl</v>
      </c>
      <c r="AR126" t="str">
        <f t="shared" si="26"/>
        <v>dsl_</v>
      </c>
    </row>
    <row r="127" spans="1:45" x14ac:dyDescent="0.25">
      <c r="A127" t="s">
        <v>55</v>
      </c>
      <c r="B127" t="s">
        <v>235</v>
      </c>
      <c r="C127" t="s">
        <v>197</v>
      </c>
      <c r="E127" t="s">
        <v>382</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 IF(AF127&lt;&gt;"", 3, 2), FALSE),IF(AF127&lt;&gt;"",CONCATENATE(",",VLOOKUP(AF127,$B$2:$AG$213,32,FALSE)),""))</f>
        <v>3,5,3</v>
      </c>
      <c r="AL127">
        <v>10</v>
      </c>
      <c r="AM127">
        <v>10</v>
      </c>
      <c r="AP127" t="str">
        <f>VLOOKUP(F127,Eras!$A$2:$C$12, 2, TRUE)</f>
        <v>dsl</v>
      </c>
      <c r="AR127" t="str">
        <f t="shared" si="26"/>
        <v>dsl_</v>
      </c>
    </row>
    <row r="128" spans="1:45" x14ac:dyDescent="0.25">
      <c r="A128" t="s">
        <v>67</v>
      </c>
      <c r="B128" t="s">
        <v>236</v>
      </c>
      <c r="C128" t="s">
        <v>197</v>
      </c>
      <c r="E128" t="s">
        <v>382</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 IF(AF128&lt;&gt;"", 3, 2), FALSE),IF(AF128&lt;&gt;"",CONCATENATE(",",VLOOKUP(AF128,$B$2:$AG$213,32,FALSE)),""))</f>
        <v>2,5,2</v>
      </c>
      <c r="AL128">
        <v>10</v>
      </c>
      <c r="AM128">
        <v>10</v>
      </c>
      <c r="AP128" t="str">
        <f>VLOOKUP(F128,Eras!$A$2:$C$12, 2, TRUE)</f>
        <v>dsl</v>
      </c>
      <c r="AR128" t="str">
        <f t="shared" si="26"/>
        <v>dsl_</v>
      </c>
    </row>
    <row r="129" spans="1:45" x14ac:dyDescent="0.25">
      <c r="A129" t="s">
        <v>66</v>
      </c>
      <c r="B129" t="s">
        <v>237</v>
      </c>
      <c r="C129" t="s">
        <v>197</v>
      </c>
      <c r="E129" t="s">
        <v>382</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 IF(AF129&lt;&gt;"", 3, 2), FALSE),IF(AF129&lt;&gt;"",CONCATENATE(",",VLOOKUP(AF129,$B$2:$AG$213,32,FALSE)),""))</f>
        <v>2,2,2</v>
      </c>
      <c r="AL129">
        <v>10</v>
      </c>
      <c r="AM129">
        <v>10</v>
      </c>
      <c r="AP129" t="str">
        <f>VLOOKUP(F129,Eras!$A$2:$C$12, 2, TRUE)</f>
        <v>dsl</v>
      </c>
      <c r="AR129" t="str">
        <f t="shared" si="26"/>
        <v>dsl_</v>
      </c>
    </row>
    <row r="130" spans="1:45" x14ac:dyDescent="0.25">
      <c r="A130" t="s">
        <v>68</v>
      </c>
      <c r="B130" t="s">
        <v>355</v>
      </c>
      <c r="C130" t="s">
        <v>197</v>
      </c>
      <c r="E130" t="s">
        <v>382</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 IF(AF130&lt;&gt;"", 3, 2), FALSE),IF(AF130&lt;&gt;"",CONCATENATE(",",VLOOKUP(AF130,$B$2:$AG$213,32,FALSE)),""))</f>
        <v>3,4,3</v>
      </c>
      <c r="AL130">
        <v>10</v>
      </c>
      <c r="AM130">
        <v>10</v>
      </c>
      <c r="AP130" t="str">
        <f>VLOOKUP(F130,Eras!$A$2:$C$12, 2, TRUE)</f>
        <v>gen2</v>
      </c>
      <c r="AR130" t="str">
        <f t="shared" si="26"/>
        <v>gen2_</v>
      </c>
    </row>
    <row r="131" spans="1:45" x14ac:dyDescent="0.25">
      <c r="A131" t="s">
        <v>75</v>
      </c>
      <c r="B131" t="s">
        <v>356</v>
      </c>
      <c r="C131" t="s">
        <v>197</v>
      </c>
      <c r="E131" t="s">
        <v>382</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 IF(AF131&lt;&gt;"", 3, 2), FALSE),IF(AF131&lt;&gt;"",CONCATENATE(",",VLOOKUP(AF131,$B$2:$AG$213,32,FALSE)),""))</f>
        <v>3,4,3</v>
      </c>
      <c r="AL131">
        <v>10</v>
      </c>
      <c r="AM131">
        <v>10</v>
      </c>
      <c r="AP131" t="str">
        <f>VLOOKUP(F131,Eras!$A$2:$C$12, 2, TRUE)</f>
        <v>gen2</v>
      </c>
      <c r="AR131" t="str">
        <f t="shared" si="26"/>
        <v>gen2_</v>
      </c>
    </row>
    <row r="132" spans="1:45" x14ac:dyDescent="0.25">
      <c r="A132" t="s">
        <v>54</v>
      </c>
      <c r="B132" t="s">
        <v>238</v>
      </c>
      <c r="C132" t="s">
        <v>197</v>
      </c>
      <c r="E132" t="s">
        <v>382</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 IF(AF132&lt;&gt;"", 3, 2), FALSE),IF(AF132&lt;&gt;"",CONCATENATE(",",VLOOKUP(AF132,$B$2:$AG$213,32,FALSE)),""))</f>
        <v>3,6,3</v>
      </c>
      <c r="AL132">
        <v>10</v>
      </c>
      <c r="AM132">
        <v>10</v>
      </c>
      <c r="AP132" t="str">
        <f>VLOOKUP(F132,Eras!$A$2:$C$12, 2, TRUE)</f>
        <v>gen2</v>
      </c>
      <c r="AR132" t="str">
        <f t="shared" si="26"/>
        <v>gen2_</v>
      </c>
    </row>
    <row r="133" spans="1:45" x14ac:dyDescent="0.25">
      <c r="A133" t="s">
        <v>132</v>
      </c>
      <c r="B133" t="s">
        <v>269</v>
      </c>
      <c r="C133" t="s">
        <v>197</v>
      </c>
      <c r="E133" t="s">
        <v>382</v>
      </c>
      <c r="F133">
        <v>1967</v>
      </c>
      <c r="V133" s="4" t="str">
        <f t="shared" si="18"/>
        <v/>
      </c>
      <c r="AD133" t="str">
        <f>CONCATENATE(VLOOKUP(AE133, 'Voxel Sizes'!$A$2:$B$18,2,FALSE),"x",INT(AA133*15), "x", INT(AB133*15))</f>
        <v>0x0x0</v>
      </c>
      <c r="AE133">
        <f t="shared" si="14"/>
        <v>0</v>
      </c>
      <c r="AG133" t="str">
        <f>CONCATENATE(VLOOKUP(AE133,'Articulated Lengths'!$A$2:$C$16, IF(AF133&lt;&gt;"", 3, 2), FALSE),IF(AF133&lt;&gt;"",CONCATENATE(",",VLOOKUP(AF133,$B$2:$AG$213,32,FALSE)),""))</f>
        <v>na</v>
      </c>
      <c r="AL133">
        <v>10</v>
      </c>
      <c r="AM133">
        <v>10</v>
      </c>
      <c r="AP133" t="str">
        <f>VLOOKUP(F133,Eras!$A$2:$C$12, 2, TRUE)</f>
        <v>gen2</v>
      </c>
      <c r="AQ133" t="s">
        <v>462</v>
      </c>
      <c r="AR133" t="str">
        <f t="shared" si="26"/>
        <v>gen2_LU</v>
      </c>
    </row>
    <row r="134" spans="1:45" x14ac:dyDescent="0.25">
      <c r="A134" t="s">
        <v>133</v>
      </c>
      <c r="B134" t="s">
        <v>270</v>
      </c>
      <c r="C134" t="s">
        <v>197</v>
      </c>
      <c r="E134" t="s">
        <v>382</v>
      </c>
      <c r="F134">
        <v>1969</v>
      </c>
      <c r="V134" s="4" t="str">
        <f t="shared" si="18"/>
        <v/>
      </c>
      <c r="AD134" t="str">
        <f>CONCATENATE(VLOOKUP(AE134, 'Voxel Sizes'!$A$2:$B$18,2,FALSE),"x",INT(AA134*15), "x", INT(AB134*15))</f>
        <v>0x0x0</v>
      </c>
      <c r="AE134">
        <f t="shared" si="14"/>
        <v>0</v>
      </c>
      <c r="AG134" t="str">
        <f>CONCATENATE(VLOOKUP(AE134,'Articulated Lengths'!$A$2:$C$16, IF(AF134&lt;&gt;"", 3, 2), FALSE),IF(AF134&lt;&gt;"",CONCATENATE(",",VLOOKUP(AF134,$B$2:$AG$213,32,FALSE)),""))</f>
        <v>na</v>
      </c>
      <c r="AL134">
        <v>10</v>
      </c>
      <c r="AM134">
        <v>10</v>
      </c>
      <c r="AP134" t="str">
        <f>VLOOKUP(F134,Eras!$A$2:$C$12, 2, TRUE)</f>
        <v>gen2</v>
      </c>
      <c r="AQ134" t="s">
        <v>462</v>
      </c>
      <c r="AR134" t="str">
        <f t="shared" si="26"/>
        <v>gen2_LU</v>
      </c>
    </row>
    <row r="135" spans="1:45" x14ac:dyDescent="0.25">
      <c r="A135" t="s">
        <v>76</v>
      </c>
      <c r="B135" t="s">
        <v>239</v>
      </c>
      <c r="C135" t="s">
        <v>197</v>
      </c>
      <c r="E135" t="s">
        <v>382</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 IF(AF135&lt;&gt;"", 3, 2), FALSE),IF(AF135&lt;&gt;"",CONCATENATE(",",VLOOKUP(AF135,$B$2:$AG$213,32,FALSE)),""))</f>
        <v>3,4,3</v>
      </c>
      <c r="AL135">
        <v>10</v>
      </c>
      <c r="AM135">
        <v>10</v>
      </c>
      <c r="AP135" t="str">
        <f>VLOOKUP(F135,Eras!$A$2:$C$12, 2, TRUE)</f>
        <v>gen2</v>
      </c>
      <c r="AR135" t="str">
        <f t="shared" si="26"/>
        <v>gen2_</v>
      </c>
    </row>
    <row r="136" spans="1:45" x14ac:dyDescent="0.25">
      <c r="A136" t="s">
        <v>134</v>
      </c>
      <c r="B136" t="s">
        <v>271</v>
      </c>
      <c r="C136" t="s">
        <v>197</v>
      </c>
      <c r="E136" t="s">
        <v>382</v>
      </c>
      <c r="F136">
        <v>1973</v>
      </c>
      <c r="V136" s="4" t="str">
        <f t="shared" si="18"/>
        <v/>
      </c>
      <c r="AD136" t="str">
        <f>CONCATENATE(VLOOKUP(AE136, 'Voxel Sizes'!$A$2:$B$18,2,FALSE),"x",INT(AA136*15), "x", INT(AB136*15))</f>
        <v>0x0x0</v>
      </c>
      <c r="AE136">
        <f t="shared" ref="AE136:AE198" si="27">ROUND(15*((Z136*10)/256),0)</f>
        <v>0</v>
      </c>
      <c r="AG136" t="str">
        <f>CONCATENATE(VLOOKUP(AE136,'Articulated Lengths'!$A$2:$C$16, IF(AF136&lt;&gt;"", 3, 2), FALSE),IF(AF136&lt;&gt;"",CONCATENATE(",",VLOOKUP(AF136,$B$2:$AG$213,32,FALSE)),""))</f>
        <v>na</v>
      </c>
      <c r="AL136">
        <v>10</v>
      </c>
      <c r="AM136">
        <v>10</v>
      </c>
      <c r="AP136" t="str">
        <f>VLOOKUP(F136,Eras!$A$2:$C$12, 2, TRUE)</f>
        <v>gen2</v>
      </c>
      <c r="AQ136" t="s">
        <v>462</v>
      </c>
      <c r="AR136" t="str">
        <f t="shared" si="26"/>
        <v>gen2_LU</v>
      </c>
    </row>
    <row r="137" spans="1:45" x14ac:dyDescent="0.25">
      <c r="A137" t="s">
        <v>45</v>
      </c>
      <c r="B137" t="s">
        <v>415</v>
      </c>
      <c r="C137" t="s">
        <v>370</v>
      </c>
      <c r="D137" t="s">
        <v>380</v>
      </c>
      <c r="E137" t="s">
        <v>382</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 IF(AF137&lt;&gt;"", 3, 2), FALSE),IF(AF137&lt;&gt;"",CONCATENATE(",",VLOOKUP(AF137,$B$2:$AG$213,32,FALSE)),""))</f>
        <v>3,4,3</v>
      </c>
      <c r="AL137">
        <v>10</v>
      </c>
      <c r="AM137">
        <v>10</v>
      </c>
      <c r="AN137">
        <v>1</v>
      </c>
      <c r="AP137" t="str">
        <f>VLOOKUP(F137,Eras!$A$2:$C$12, 2, TRUE)</f>
        <v>gen3</v>
      </c>
      <c r="AQ137" t="s">
        <v>445</v>
      </c>
      <c r="AR137" t="str">
        <f t="shared" si="26"/>
        <v>gen3_Express</v>
      </c>
      <c r="AS137" t="s">
        <v>483</v>
      </c>
    </row>
    <row r="138" spans="1:45" x14ac:dyDescent="0.25">
      <c r="A138" t="s">
        <v>148</v>
      </c>
      <c r="B138" t="s">
        <v>367</v>
      </c>
      <c r="C138" t="s">
        <v>389</v>
      </c>
      <c r="E138" t="s">
        <v>382</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 IF(AF138&lt;&gt;"", 3, 2), FALSE),IF(AF138&lt;&gt;"",CONCATENATE(",",VLOOKUP(AF138,$B$2:$AG$213,32,FALSE)),""))</f>
        <v>4,5,4</v>
      </c>
      <c r="AL138">
        <v>10</v>
      </c>
      <c r="AM138">
        <v>10</v>
      </c>
      <c r="AO138" t="s">
        <v>391</v>
      </c>
      <c r="AP138" t="str">
        <f>VLOOKUP(F138,Eras!$A$2:$C$12, 2, TRUE)</f>
        <v>gen3</v>
      </c>
      <c r="AQ138" t="s">
        <v>452</v>
      </c>
      <c r="AR138" t="str">
        <f t="shared" si="26"/>
        <v>gen3_Carriage</v>
      </c>
      <c r="AS138" t="s">
        <v>479</v>
      </c>
    </row>
    <row r="139" spans="1:45" x14ac:dyDescent="0.25">
      <c r="A139" t="s">
        <v>170</v>
      </c>
      <c r="B139" t="s">
        <v>240</v>
      </c>
      <c r="C139" t="s">
        <v>197</v>
      </c>
      <c r="E139" t="s">
        <v>382</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 IF(AF139&lt;&gt;"", 3, 2), FALSE),IF(AF139&lt;&gt;"",CONCATENATE(",",VLOOKUP(AF139,$B$2:$AG$213,32,FALSE)),""))</f>
        <v>3,5,3</v>
      </c>
      <c r="AL139">
        <v>10</v>
      </c>
      <c r="AM139">
        <v>10</v>
      </c>
      <c r="AP139" t="str">
        <f>VLOOKUP(F139,Eras!$A$2:$C$12, 2, TRUE)</f>
        <v>gen3</v>
      </c>
      <c r="AR139" t="str">
        <f t="shared" si="26"/>
        <v>gen3_</v>
      </c>
    </row>
    <row r="140" spans="1:45" x14ac:dyDescent="0.25">
      <c r="A140" t="s">
        <v>98</v>
      </c>
      <c r="B140" t="s">
        <v>253</v>
      </c>
      <c r="C140" t="s">
        <v>197</v>
      </c>
      <c r="E140" t="s">
        <v>382</v>
      </c>
      <c r="F140">
        <v>1976</v>
      </c>
      <c r="G140">
        <v>1977</v>
      </c>
      <c r="H140" t="s">
        <v>180</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 IF(AF140&lt;&gt;"", 3, 2), FALSE),IF(AF140&lt;&gt;"",CONCATENATE(",",VLOOKUP(AF140,$B$2:$AG$213,32,FALSE)),""))</f>
        <v>3,6,3</v>
      </c>
      <c r="AL140">
        <v>10</v>
      </c>
      <c r="AM140">
        <v>10</v>
      </c>
      <c r="AP140" t="str">
        <f>VLOOKUP(F140,Eras!$A$2:$C$12, 2, TRUE)</f>
        <v>gen3</v>
      </c>
      <c r="AQ140" t="s">
        <v>450</v>
      </c>
      <c r="AR140" t="str">
        <f t="shared" ref="AR140:AR171" si="28">CONCATENATE(AP140,"_",AQ140)</f>
        <v>gen3_EMU</v>
      </c>
    </row>
    <row r="141" spans="1:45" x14ac:dyDescent="0.25">
      <c r="A141" t="s">
        <v>135</v>
      </c>
      <c r="B141" t="s">
        <v>272</v>
      </c>
      <c r="C141" t="s">
        <v>197</v>
      </c>
      <c r="E141" t="s">
        <v>382</v>
      </c>
      <c r="F141">
        <v>1978</v>
      </c>
      <c r="V141" s="4" t="str">
        <f t="shared" si="18"/>
        <v/>
      </c>
      <c r="AD141" t="str">
        <f>CONCATENATE(VLOOKUP(AE141, 'Voxel Sizes'!$A$2:$B$18,2,FALSE),"x",INT(AA141*15), "x", INT(AB141*15))</f>
        <v>0x0x0</v>
      </c>
      <c r="AE141">
        <f t="shared" si="27"/>
        <v>0</v>
      </c>
      <c r="AG141" t="str">
        <f>CONCATENATE(VLOOKUP(AE141,'Articulated Lengths'!$A$2:$C$16, IF(AF141&lt;&gt;"", 3, 2), FALSE),IF(AF141&lt;&gt;"",CONCATENATE(",",VLOOKUP(AF141,$B$2:$AG$213,32,FALSE)),""))</f>
        <v>na</v>
      </c>
      <c r="AL141">
        <v>10</v>
      </c>
      <c r="AM141">
        <v>10</v>
      </c>
      <c r="AP141" t="str">
        <f>VLOOKUP(F141,Eras!$A$2:$C$12, 2, TRUE)</f>
        <v>gen3</v>
      </c>
      <c r="AQ141" t="s">
        <v>462</v>
      </c>
      <c r="AR141" t="str">
        <f t="shared" si="28"/>
        <v>gen3_LU</v>
      </c>
    </row>
    <row r="142" spans="1:45" x14ac:dyDescent="0.25">
      <c r="A142" t="s">
        <v>97</v>
      </c>
      <c r="B142" t="s">
        <v>252</v>
      </c>
      <c r="C142" t="s">
        <v>197</v>
      </c>
      <c r="E142" t="s">
        <v>382</v>
      </c>
      <c r="F142">
        <v>1980</v>
      </c>
      <c r="G142">
        <v>1981</v>
      </c>
      <c r="H142" t="s">
        <v>180</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 IF(AF142&lt;&gt;"", 3, 2), FALSE),IF(AF142&lt;&gt;"",CONCATENATE(",",VLOOKUP(AF142,$B$2:$AG$213,32,FALSE)),""))</f>
        <v>3,6,3</v>
      </c>
      <c r="AL142">
        <v>10</v>
      </c>
      <c r="AM142">
        <v>10</v>
      </c>
      <c r="AP142" t="str">
        <f>VLOOKUP(F142,Eras!$A$2:$C$12, 2, TRUE)</f>
        <v>gen3</v>
      </c>
      <c r="AQ142" t="s">
        <v>450</v>
      </c>
      <c r="AR142" t="str">
        <f t="shared" si="28"/>
        <v>gen3_EMU</v>
      </c>
    </row>
    <row r="143" spans="1:45" x14ac:dyDescent="0.25">
      <c r="A143" t="s">
        <v>57</v>
      </c>
      <c r="B143" t="s">
        <v>241</v>
      </c>
      <c r="C143" t="s">
        <v>197</v>
      </c>
      <c r="E143" t="s">
        <v>382</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 IF(AF143&lt;&gt;"", 3, 2), FALSE),IF(AF143&lt;&gt;"",CONCATENATE(",",VLOOKUP(AF143,$B$2:$AG$213,32,FALSE)),""))</f>
        <v>3,5,3</v>
      </c>
      <c r="AL143">
        <v>10</v>
      </c>
      <c r="AM143">
        <v>10</v>
      </c>
      <c r="AP143" t="str">
        <f>VLOOKUP(F143,Eras!$A$2:$C$12, 2, TRUE)</f>
        <v>gen3</v>
      </c>
      <c r="AR143" t="str">
        <f t="shared" si="28"/>
        <v>gen3_</v>
      </c>
    </row>
    <row r="144" spans="1:45" x14ac:dyDescent="0.25">
      <c r="A144" t="s">
        <v>136</v>
      </c>
      <c r="B144" t="s">
        <v>273</v>
      </c>
      <c r="C144" t="s">
        <v>197</v>
      </c>
      <c r="E144" t="s">
        <v>382</v>
      </c>
      <c r="F144">
        <v>1983</v>
      </c>
      <c r="V144" s="4" t="str">
        <f t="shared" si="29"/>
        <v/>
      </c>
      <c r="AD144" t="str">
        <f>CONCATENATE(VLOOKUP(AE144, 'Voxel Sizes'!$A$2:$B$18,2,FALSE),"x",INT(AA144*15), "x", INT(AB144*15))</f>
        <v>0x0x0</v>
      </c>
      <c r="AE144">
        <f t="shared" si="27"/>
        <v>0</v>
      </c>
      <c r="AG144" t="str">
        <f>CONCATENATE(VLOOKUP(AE144,'Articulated Lengths'!$A$2:$C$16, IF(AF144&lt;&gt;"", 3, 2), FALSE),IF(AF144&lt;&gt;"",CONCATENATE(",",VLOOKUP(AF144,$B$2:$AG$213,32,FALSE)),""))</f>
        <v>na</v>
      </c>
      <c r="AL144">
        <v>10</v>
      </c>
      <c r="AM144">
        <v>10</v>
      </c>
      <c r="AP144" t="str">
        <f>VLOOKUP(F144,Eras!$A$2:$C$12, 2, TRUE)</f>
        <v>gen3</v>
      </c>
      <c r="AQ144" t="s">
        <v>462</v>
      </c>
      <c r="AR144" t="str">
        <f t="shared" si="28"/>
        <v>gen3_LU</v>
      </c>
    </row>
    <row r="145" spans="1:44" x14ac:dyDescent="0.25">
      <c r="A145" t="s">
        <v>44</v>
      </c>
      <c r="B145" t="s">
        <v>242</v>
      </c>
      <c r="C145" t="s">
        <v>197</v>
      </c>
      <c r="E145" t="s">
        <v>382</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 IF(AF145&lt;&gt;"", 3, 2), FALSE),IF(AF145&lt;&gt;"",CONCATENATE(",",VLOOKUP(AF145,$B$2:$AG$213,32,FALSE)),""))</f>
        <v>4,5,4</v>
      </c>
      <c r="AL145">
        <v>10</v>
      </c>
      <c r="AM145">
        <v>10</v>
      </c>
      <c r="AP145" t="str">
        <f>VLOOKUP(F145,Eras!$A$2:$C$12, 2, TRUE)</f>
        <v>gen4</v>
      </c>
      <c r="AR145" t="str">
        <f t="shared" si="28"/>
        <v>gen4_</v>
      </c>
    </row>
    <row r="146" spans="1:44" x14ac:dyDescent="0.25">
      <c r="A146" t="s">
        <v>82</v>
      </c>
      <c r="B146" t="s">
        <v>243</v>
      </c>
      <c r="C146" t="s">
        <v>197</v>
      </c>
      <c r="E146" t="s">
        <v>382</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 IF(AF146&lt;&gt;"", 3, 2), FALSE),IF(AF146&lt;&gt;"",CONCATENATE(",",VLOOKUP(AF146,$B$2:$AG$213,32,FALSE)),""))</f>
        <v>3,5,3</v>
      </c>
      <c r="AL146">
        <v>10</v>
      </c>
      <c r="AM146">
        <v>10</v>
      </c>
      <c r="AP146" t="str">
        <f>VLOOKUP(F146,Eras!$A$2:$C$12, 2, TRUE)</f>
        <v>gen4</v>
      </c>
      <c r="AR146" t="str">
        <f t="shared" si="28"/>
        <v>gen4_</v>
      </c>
    </row>
    <row r="147" spans="1:44" x14ac:dyDescent="0.25">
      <c r="A147" t="s">
        <v>96</v>
      </c>
      <c r="B147" t="s">
        <v>251</v>
      </c>
      <c r="C147" t="s">
        <v>197</v>
      </c>
      <c r="E147" t="s">
        <v>382</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 IF(AF147&lt;&gt;"", 3, 2), FALSE),IF(AF147&lt;&gt;"",CONCATENATE(",",VLOOKUP(AF147,$B$2:$AG$213,32,FALSE)),""))</f>
        <v>3,6,3</v>
      </c>
      <c r="AL147">
        <v>10</v>
      </c>
      <c r="AM147">
        <v>10</v>
      </c>
      <c r="AP147" t="str">
        <f>VLOOKUP(F147,Eras!$A$2:$C$12, 2, TRUE)</f>
        <v>gen4</v>
      </c>
      <c r="AQ147" t="s">
        <v>450</v>
      </c>
      <c r="AR147" t="str">
        <f t="shared" si="28"/>
        <v>gen4_EMU</v>
      </c>
    </row>
    <row r="148" spans="1:44" x14ac:dyDescent="0.25">
      <c r="A148" t="s">
        <v>80</v>
      </c>
      <c r="B148" t="s">
        <v>327</v>
      </c>
      <c r="C148" t="s">
        <v>197</v>
      </c>
      <c r="E148" t="s">
        <v>382</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 IF(AF148&lt;&gt;"", 3, 2), FALSE),IF(AF148&lt;&gt;"",CONCATENATE(",",VLOOKUP(AF148,$B$2:$AG$213,32,FALSE)),""))</f>
        <v>3,5,3</v>
      </c>
      <c r="AL148">
        <v>10</v>
      </c>
      <c r="AM148">
        <v>10</v>
      </c>
      <c r="AP148" t="str">
        <f>VLOOKUP(F148,Eras!$A$2:$C$12, 2, TRUE)</f>
        <v>gen4</v>
      </c>
      <c r="AQ148" t="s">
        <v>455</v>
      </c>
      <c r="AR148" t="str">
        <f t="shared" si="28"/>
        <v>gen4_Express (Electric)</v>
      </c>
    </row>
    <row r="149" spans="1:44" x14ac:dyDescent="0.25">
      <c r="A149" t="s">
        <v>93</v>
      </c>
      <c r="B149" t="s">
        <v>334</v>
      </c>
      <c r="C149" t="s">
        <v>197</v>
      </c>
      <c r="E149" t="s">
        <v>382</v>
      </c>
      <c r="F149">
        <v>1992</v>
      </c>
      <c r="G149">
        <v>1994</v>
      </c>
      <c r="H149" t="s">
        <v>180</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 IF(AF149&lt;&gt;"", 3, 2), FALSE),IF(AF149&lt;&gt;"",CONCATENATE(",",VLOOKUP(AF149,$B$2:$AG$213,32,FALSE)),""))</f>
        <v>3,6,3</v>
      </c>
      <c r="AL149">
        <v>10</v>
      </c>
      <c r="AM149">
        <v>10</v>
      </c>
      <c r="AP149" t="str">
        <f>VLOOKUP(F149,Eras!$A$2:$C$12, 2, TRUE)</f>
        <v>gen4</v>
      </c>
      <c r="AR149" t="str">
        <f t="shared" si="28"/>
        <v>gen4_</v>
      </c>
    </row>
    <row r="150" spans="1:44" x14ac:dyDescent="0.25">
      <c r="A150" t="s">
        <v>137</v>
      </c>
      <c r="B150" t="s">
        <v>274</v>
      </c>
      <c r="C150" t="s">
        <v>197</v>
      </c>
      <c r="E150" t="s">
        <v>382</v>
      </c>
      <c r="F150">
        <v>1992</v>
      </c>
      <c r="V150" s="4" t="str">
        <f t="shared" si="29"/>
        <v/>
      </c>
      <c r="AD150" t="str">
        <f>CONCATENATE(VLOOKUP(AE150, 'Voxel Sizes'!$A$2:$B$18,2,FALSE),"x",INT(AA150*15), "x", INT(AB150*15))</f>
        <v>0x0x0</v>
      </c>
      <c r="AE150">
        <f t="shared" si="27"/>
        <v>0</v>
      </c>
      <c r="AG150" t="str">
        <f>CONCATENATE(VLOOKUP(AE150,'Articulated Lengths'!$A$2:$C$16, IF(AF150&lt;&gt;"", 3, 2), FALSE),IF(AF150&lt;&gt;"",CONCATENATE(",",VLOOKUP(AF150,$B$2:$AG$213,32,FALSE)),""))</f>
        <v>na</v>
      </c>
      <c r="AL150">
        <v>10</v>
      </c>
      <c r="AM150">
        <v>10</v>
      </c>
      <c r="AP150" t="str">
        <f>VLOOKUP(F150,Eras!$A$2:$C$12, 2, TRUE)</f>
        <v>gen4</v>
      </c>
      <c r="AQ150" t="s">
        <v>462</v>
      </c>
      <c r="AR150" t="str">
        <f t="shared" si="28"/>
        <v>gen4_LU</v>
      </c>
    </row>
    <row r="151" spans="1:44" x14ac:dyDescent="0.25">
      <c r="A151" t="s">
        <v>81</v>
      </c>
      <c r="B151" t="s">
        <v>244</v>
      </c>
      <c r="C151" t="s">
        <v>197</v>
      </c>
      <c r="E151" t="s">
        <v>382</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 IF(AF151&lt;&gt;"", 3, 2), FALSE),IF(AF151&lt;&gt;"",CONCATENATE(",",VLOOKUP(AF151,$B$2:$AG$213,32,FALSE)),""))</f>
        <v>4,5,4</v>
      </c>
      <c r="AL151">
        <v>10</v>
      </c>
      <c r="AM151">
        <v>10</v>
      </c>
      <c r="AP151" t="str">
        <f>VLOOKUP(F151,Eras!$A$2:$C$12, 2, TRUE)</f>
        <v>gen4</v>
      </c>
      <c r="AR151" t="str">
        <f t="shared" si="28"/>
        <v>gen4_</v>
      </c>
    </row>
    <row r="152" spans="1:44" x14ac:dyDescent="0.25">
      <c r="A152" t="s">
        <v>138</v>
      </c>
      <c r="B152" t="s">
        <v>318</v>
      </c>
      <c r="C152" t="s">
        <v>197</v>
      </c>
      <c r="E152" t="s">
        <v>382</v>
      </c>
      <c r="F152">
        <v>1995</v>
      </c>
      <c r="V152" s="4" t="str">
        <f t="shared" si="29"/>
        <v/>
      </c>
      <c r="AD152" t="str">
        <f>CONCATENATE(VLOOKUP(AE152, 'Voxel Sizes'!$A$2:$B$18,2,FALSE),"x",INT(AA152*15), "x", INT(AB152*15))</f>
        <v>0x0x0</v>
      </c>
      <c r="AE152">
        <f t="shared" si="27"/>
        <v>0</v>
      </c>
      <c r="AG152" t="str">
        <f>CONCATENATE(VLOOKUP(AE152,'Articulated Lengths'!$A$2:$C$16, IF(AF152&lt;&gt;"", 3, 2), FALSE),IF(AF152&lt;&gt;"",CONCATENATE(",",VLOOKUP(AF152,$B$2:$AG$213,32,FALSE)),""))</f>
        <v>na</v>
      </c>
      <c r="AL152">
        <v>10</v>
      </c>
      <c r="AM152">
        <v>10</v>
      </c>
      <c r="AP152" t="str">
        <f>VLOOKUP(F152,Eras!$A$2:$C$12, 2, TRUE)</f>
        <v>prv</v>
      </c>
      <c r="AQ152" t="s">
        <v>462</v>
      </c>
      <c r="AR152" t="str">
        <f t="shared" si="28"/>
        <v>prv_LU</v>
      </c>
    </row>
    <row r="153" spans="1:44" x14ac:dyDescent="0.25">
      <c r="A153" t="s">
        <v>58</v>
      </c>
      <c r="B153" t="s">
        <v>245</v>
      </c>
      <c r="C153" t="s">
        <v>197</v>
      </c>
      <c r="E153" t="s">
        <v>382</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 IF(AF153&lt;&gt;"", 3, 2), FALSE),IF(AF153&lt;&gt;"",CONCATENATE(",",VLOOKUP(AF153,$B$2:$AG$213,32,FALSE)),""))</f>
        <v>4,5,4</v>
      </c>
      <c r="AL153">
        <v>10</v>
      </c>
      <c r="AM153">
        <v>10</v>
      </c>
      <c r="AP153" t="str">
        <f>VLOOKUP(F153,Eras!$A$2:$C$12, 2, TRUE)</f>
        <v>prv</v>
      </c>
      <c r="AR153" t="str">
        <f t="shared" si="28"/>
        <v>prv_</v>
      </c>
    </row>
    <row r="154" spans="1:44" x14ac:dyDescent="0.25">
      <c r="A154" t="s">
        <v>176</v>
      </c>
      <c r="B154" t="s">
        <v>326</v>
      </c>
      <c r="C154" t="s">
        <v>197</v>
      </c>
      <c r="E154" t="s">
        <v>382</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 IF(AF154&lt;&gt;"", 3, 2), FALSE),IF(AF154&lt;&gt;"",CONCATENATE(",",VLOOKUP(AF154,$B$2:$AG$213,32,FALSE)),""))</f>
        <v>3,5,3</v>
      </c>
      <c r="AL154">
        <v>10</v>
      </c>
      <c r="AM154">
        <v>10</v>
      </c>
      <c r="AP154" t="str">
        <f>VLOOKUP(F154,Eras!$A$2:$C$12, 2, TRUE)</f>
        <v>prv</v>
      </c>
      <c r="AQ154" t="s">
        <v>446</v>
      </c>
      <c r="AR154" t="str">
        <f t="shared" si="28"/>
        <v>prv_Freight</v>
      </c>
    </row>
    <row r="155" spans="1:44" x14ac:dyDescent="0.25">
      <c r="A155" t="s">
        <v>59</v>
      </c>
      <c r="B155" t="s">
        <v>246</v>
      </c>
      <c r="C155" t="s">
        <v>197</v>
      </c>
      <c r="E155" t="s">
        <v>382</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 IF(AF155&lt;&gt;"", 3, 2), FALSE),IF(AF155&lt;&gt;"",CONCATENATE(",",VLOOKUP(AF155,$B$2:$AG$213,32,FALSE)),""))</f>
        <v>3,6,3</v>
      </c>
      <c r="AL155">
        <v>10</v>
      </c>
      <c r="AM155">
        <v>10</v>
      </c>
      <c r="AP155" t="str">
        <f>VLOOKUP(F155,Eras!$A$2:$C$12, 2, TRUE)</f>
        <v>prv</v>
      </c>
      <c r="AR155" t="str">
        <f t="shared" si="28"/>
        <v>prv_</v>
      </c>
    </row>
    <row r="156" spans="1:44" x14ac:dyDescent="0.25">
      <c r="A156" t="s">
        <v>94</v>
      </c>
      <c r="B156" t="s">
        <v>335</v>
      </c>
      <c r="C156" t="s">
        <v>197</v>
      </c>
      <c r="E156" t="s">
        <v>382</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 IF(AF156&lt;&gt;"", 3, 2), FALSE),IF(AF156&lt;&gt;"",CONCATENATE(",",VLOOKUP(AF156,$B$2:$AG$213,32,FALSE)),""))</f>
        <v>na</v>
      </c>
      <c r="AL156">
        <v>10</v>
      </c>
      <c r="AM156">
        <v>10</v>
      </c>
      <c r="AP156" t="str">
        <f>VLOOKUP(F156,Eras!$A$2:$C$12, 2, TRUE)</f>
        <v>prv</v>
      </c>
      <c r="AQ156" t="s">
        <v>451</v>
      </c>
      <c r="AR156" t="str">
        <f t="shared" si="28"/>
        <v>prv_EMU (Express)</v>
      </c>
    </row>
    <row r="157" spans="1:44" x14ac:dyDescent="0.25">
      <c r="A157" t="s">
        <v>92</v>
      </c>
      <c r="B157" t="s">
        <v>305</v>
      </c>
      <c r="C157" t="s">
        <v>197</v>
      </c>
      <c r="E157" t="s">
        <v>382</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 IF(AF157&lt;&gt;"", 3, 2), FALSE),IF(AF157&lt;&gt;"",CONCATENATE(",",VLOOKUP(AF157,$B$2:$AG$213,32,FALSE)),""))</f>
        <v>3,6,3</v>
      </c>
      <c r="AL157">
        <v>10</v>
      </c>
      <c r="AM157">
        <v>10</v>
      </c>
      <c r="AP157" t="str">
        <f>VLOOKUP(F157,Eras!$A$2:$C$12, 2, TRUE)</f>
        <v>prv</v>
      </c>
      <c r="AQ157" t="s">
        <v>450</v>
      </c>
      <c r="AR157" t="str">
        <f t="shared" si="28"/>
        <v>prv_EMU</v>
      </c>
    </row>
    <row r="158" spans="1:44" x14ac:dyDescent="0.25">
      <c r="A158" t="s">
        <v>95</v>
      </c>
      <c r="B158" t="s">
        <v>336</v>
      </c>
      <c r="C158" t="s">
        <v>197</v>
      </c>
      <c r="E158" t="s">
        <v>382</v>
      </c>
      <c r="F158">
        <v>2007</v>
      </c>
      <c r="G158">
        <v>2009</v>
      </c>
      <c r="H158" t="s">
        <v>180</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 IF(AF158&lt;&gt;"", 3, 2), FALSE),IF(AF158&lt;&gt;"",CONCATENATE(",",VLOOKUP(AF158,$B$2:$AG$213,32,FALSE)),""))</f>
        <v>3,6,3</v>
      </c>
      <c r="AL158">
        <v>10</v>
      </c>
      <c r="AM158">
        <v>10</v>
      </c>
      <c r="AP158" t="str">
        <f>VLOOKUP(F158,Eras!$A$2:$C$12, 2, TRUE)</f>
        <v>mod</v>
      </c>
      <c r="AQ158" t="s">
        <v>451</v>
      </c>
      <c r="AR158" t="str">
        <f t="shared" si="28"/>
        <v>mod_EMU (Express)</v>
      </c>
    </row>
    <row r="159" spans="1:44" x14ac:dyDescent="0.25">
      <c r="A159" t="s">
        <v>65</v>
      </c>
      <c r="B159" t="s">
        <v>247</v>
      </c>
      <c r="C159" t="s">
        <v>197</v>
      </c>
      <c r="E159" t="s">
        <v>382</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 IF(AF159&lt;&gt;"", 3, 2), FALSE),IF(AF159&lt;&gt;"",CONCATENATE(",",VLOOKUP(AF159,$B$2:$AG$213,32,FALSE)),""))</f>
        <v>3,6,3</v>
      </c>
      <c r="AL159">
        <v>10</v>
      </c>
      <c r="AM159">
        <v>10</v>
      </c>
      <c r="AP159" t="str">
        <f>VLOOKUP(F159,Eras!$A$2:$C$12, 2, TRUE)</f>
        <v>mod</v>
      </c>
      <c r="AR159" t="str">
        <f t="shared" si="28"/>
        <v>mod_</v>
      </c>
    </row>
    <row r="160" spans="1:44" x14ac:dyDescent="0.25">
      <c r="A160" t="s">
        <v>139</v>
      </c>
      <c r="B160" t="s">
        <v>275</v>
      </c>
      <c r="C160" t="s">
        <v>197</v>
      </c>
      <c r="E160" t="s">
        <v>382</v>
      </c>
      <c r="F160">
        <v>2009</v>
      </c>
      <c r="V160" s="4" t="str">
        <f t="shared" si="29"/>
        <v/>
      </c>
      <c r="AD160" t="str">
        <f>CONCATENATE(VLOOKUP(AE160, 'Voxel Sizes'!$A$2:$B$18,2,FALSE),"x",INT(AA160*15), "x", INT(AB160*15))</f>
        <v>0x0x0</v>
      </c>
      <c r="AE160">
        <f t="shared" si="27"/>
        <v>0</v>
      </c>
      <c r="AG160" t="str">
        <f>CONCATENATE(VLOOKUP(AE160,'Articulated Lengths'!$A$2:$C$16, IF(AF160&lt;&gt;"", 3, 2), FALSE),IF(AF160&lt;&gt;"",CONCATENATE(",",VLOOKUP(AF160,$B$2:$AG$213,32,FALSE)),""))</f>
        <v>na</v>
      </c>
      <c r="AL160">
        <v>10</v>
      </c>
      <c r="AM160">
        <v>10</v>
      </c>
      <c r="AP160" t="str">
        <f>VLOOKUP(F160,Eras!$A$2:$C$12, 2, TRUE)</f>
        <v>mod</v>
      </c>
      <c r="AQ160" t="s">
        <v>462</v>
      </c>
      <c r="AR160" t="str">
        <f t="shared" si="28"/>
        <v>mod_LU</v>
      </c>
    </row>
    <row r="161" spans="1:44" x14ac:dyDescent="0.25">
      <c r="A161" t="s">
        <v>140</v>
      </c>
      <c r="B161" t="s">
        <v>276</v>
      </c>
      <c r="C161" t="s">
        <v>197</v>
      </c>
      <c r="E161" t="s">
        <v>382</v>
      </c>
      <c r="F161">
        <v>2010</v>
      </c>
      <c r="V161" s="4" t="str">
        <f t="shared" si="29"/>
        <v/>
      </c>
      <c r="AD161" t="str">
        <f>CONCATENATE(VLOOKUP(AE161, 'Voxel Sizes'!$A$2:$B$18,2,FALSE),"x",INT(AA161*15), "x", INT(AB161*15))</f>
        <v>0x0x0</v>
      </c>
      <c r="AE161">
        <f t="shared" si="27"/>
        <v>0</v>
      </c>
      <c r="AG161" t="str">
        <f>CONCATENATE(VLOOKUP(AE161,'Articulated Lengths'!$A$2:$C$16, IF(AF161&lt;&gt;"", 3, 2), FALSE),IF(AF161&lt;&gt;"",CONCATENATE(",",VLOOKUP(AF161,$B$2:$AG$213,32,FALSE)),""))</f>
        <v>na</v>
      </c>
      <c r="AL161">
        <v>10</v>
      </c>
      <c r="AM161">
        <v>10</v>
      </c>
      <c r="AP161" t="str">
        <f>VLOOKUP(F161,Eras!$A$2:$C$12, 2, TRUE)</f>
        <v>mod</v>
      </c>
      <c r="AQ161" t="s">
        <v>462</v>
      </c>
      <c r="AR161" t="str">
        <f t="shared" si="28"/>
        <v>mod_LU</v>
      </c>
    </row>
    <row r="162" spans="1:44" x14ac:dyDescent="0.25">
      <c r="A162" t="s">
        <v>69</v>
      </c>
      <c r="B162" t="s">
        <v>248</v>
      </c>
      <c r="C162" t="s">
        <v>197</v>
      </c>
      <c r="E162" t="s">
        <v>382</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 IF(AF162&lt;&gt;"", 3, 2), FALSE),IF(AF162&lt;&gt;"",CONCATENATE(",",VLOOKUP(AF162,$B$2:$AG$213,32,FALSE)),""))</f>
        <v>na</v>
      </c>
      <c r="AL162">
        <v>10</v>
      </c>
      <c r="AM162">
        <v>10</v>
      </c>
      <c r="AP162" t="str">
        <f>VLOOKUP(F162,Eras!$A$2:$C$12, 2, TRUE)</f>
        <v>mod</v>
      </c>
      <c r="AR162" t="str">
        <f t="shared" si="28"/>
        <v>mod_</v>
      </c>
    </row>
    <row r="163" spans="1:44" x14ac:dyDescent="0.25">
      <c r="A163" t="s">
        <v>99</v>
      </c>
      <c r="B163" t="s">
        <v>306</v>
      </c>
      <c r="C163" t="s">
        <v>197</v>
      </c>
      <c r="E163" t="s">
        <v>382</v>
      </c>
      <c r="V163" s="4" t="str">
        <f t="shared" si="29"/>
        <v/>
      </c>
      <c r="AD163" t="str">
        <f>CONCATENATE(VLOOKUP(AE163, 'Voxel Sizes'!$A$2:$B$18,2,FALSE),"x",INT(AA163*15), "x", INT(AB163*15))</f>
        <v>0x0x0</v>
      </c>
      <c r="AE163">
        <f t="shared" si="27"/>
        <v>0</v>
      </c>
      <c r="AG163" t="str">
        <f>CONCATENATE(VLOOKUP(AE163,'Articulated Lengths'!$A$2:$C$16, IF(AF163&lt;&gt;"", 3, 2), FALSE),IF(AF163&lt;&gt;"",CONCATENATE(",",VLOOKUP(AF163,$B$2:$AG$213,32,FALSE)),""))</f>
        <v>na</v>
      </c>
      <c r="AL163">
        <v>10</v>
      </c>
      <c r="AM163">
        <v>10</v>
      </c>
      <c r="AP163" t="e">
        <f>VLOOKUP(F163,Eras!$A$2:$C$12, 2, TRUE)</f>
        <v>#N/A</v>
      </c>
      <c r="AR163" t="e">
        <f t="shared" si="28"/>
        <v>#N/A</v>
      </c>
    </row>
    <row r="164" spans="1:44" x14ac:dyDescent="0.25">
      <c r="A164" t="s">
        <v>100</v>
      </c>
      <c r="B164" t="s">
        <v>307</v>
      </c>
      <c r="C164" t="s">
        <v>197</v>
      </c>
      <c r="E164" t="s">
        <v>382</v>
      </c>
      <c r="V164" s="4" t="str">
        <f t="shared" si="29"/>
        <v/>
      </c>
      <c r="AD164" t="str">
        <f>CONCATENATE(VLOOKUP(AE164, 'Voxel Sizes'!$A$2:$B$18,2,FALSE),"x",INT(AA164*15), "x", INT(AB164*15))</f>
        <v>0x0x0</v>
      </c>
      <c r="AE164">
        <f t="shared" si="27"/>
        <v>0</v>
      </c>
      <c r="AG164" t="str">
        <f>CONCATENATE(VLOOKUP(AE164,'Articulated Lengths'!$A$2:$C$16, IF(AF164&lt;&gt;"", 3, 2), FALSE),IF(AF164&lt;&gt;"",CONCATENATE(",",VLOOKUP(AF164,$B$2:$AG$213,32,FALSE)),""))</f>
        <v>na</v>
      </c>
      <c r="AL164">
        <v>10</v>
      </c>
      <c r="AM164">
        <v>10</v>
      </c>
      <c r="AP164" t="e">
        <f>VLOOKUP(F164,Eras!$A$2:$C$12, 2, TRUE)</f>
        <v>#N/A</v>
      </c>
      <c r="AR164" t="e">
        <f t="shared" si="28"/>
        <v>#N/A</v>
      </c>
    </row>
    <row r="165" spans="1:44" x14ac:dyDescent="0.25">
      <c r="A165" t="s">
        <v>101</v>
      </c>
      <c r="B165" t="s">
        <v>308</v>
      </c>
      <c r="C165" t="s">
        <v>197</v>
      </c>
      <c r="E165" t="s">
        <v>382</v>
      </c>
      <c r="V165" s="4" t="str">
        <f t="shared" si="29"/>
        <v/>
      </c>
      <c r="AD165" t="str">
        <f>CONCATENATE(VLOOKUP(AE165, 'Voxel Sizes'!$A$2:$B$18,2,FALSE),"x",INT(AA165*15), "x", INT(AB165*15))</f>
        <v>0x0x0</v>
      </c>
      <c r="AE165">
        <f t="shared" si="27"/>
        <v>0</v>
      </c>
      <c r="AG165" t="str">
        <f>CONCATENATE(VLOOKUP(AE165,'Articulated Lengths'!$A$2:$C$16, IF(AF165&lt;&gt;"", 3, 2), FALSE),IF(AF165&lt;&gt;"",CONCATENATE(",",VLOOKUP(AF165,$B$2:$AG$213,32,FALSE)),""))</f>
        <v>na</v>
      </c>
      <c r="AL165">
        <v>10</v>
      </c>
      <c r="AM165">
        <v>10</v>
      </c>
      <c r="AP165" t="e">
        <f>VLOOKUP(F165,Eras!$A$2:$C$12, 2, TRUE)</f>
        <v>#N/A</v>
      </c>
      <c r="AR165" t="e">
        <f t="shared" si="28"/>
        <v>#N/A</v>
      </c>
    </row>
    <row r="166" spans="1:44" x14ac:dyDescent="0.25">
      <c r="A166" t="s">
        <v>102</v>
      </c>
      <c r="B166" t="s">
        <v>309</v>
      </c>
      <c r="C166" t="s">
        <v>197</v>
      </c>
      <c r="E166" t="s">
        <v>382</v>
      </c>
      <c r="V166" s="4" t="str">
        <f t="shared" si="29"/>
        <v/>
      </c>
      <c r="AD166" t="str">
        <f>CONCATENATE(VLOOKUP(AE166, 'Voxel Sizes'!$A$2:$B$18,2,FALSE),"x",INT(AA166*15), "x", INT(AB166*15))</f>
        <v>0x0x0</v>
      </c>
      <c r="AE166">
        <f t="shared" si="27"/>
        <v>0</v>
      </c>
      <c r="AG166" t="str">
        <f>CONCATENATE(VLOOKUP(AE166,'Articulated Lengths'!$A$2:$C$16, IF(AF166&lt;&gt;"", 3, 2), FALSE),IF(AF166&lt;&gt;"",CONCATENATE(",",VLOOKUP(AF166,$B$2:$AG$213,32,FALSE)),""))</f>
        <v>na</v>
      </c>
      <c r="AL166">
        <v>10</v>
      </c>
      <c r="AM166">
        <v>10</v>
      </c>
      <c r="AP166" t="e">
        <f>VLOOKUP(F166,Eras!$A$2:$C$12, 2, TRUE)</f>
        <v>#N/A</v>
      </c>
      <c r="AR166" t="e">
        <f t="shared" si="28"/>
        <v>#N/A</v>
      </c>
    </row>
    <row r="167" spans="1:44" x14ac:dyDescent="0.25">
      <c r="A167" t="s">
        <v>103</v>
      </c>
      <c r="B167" t="s">
        <v>254</v>
      </c>
      <c r="C167" t="s">
        <v>197</v>
      </c>
      <c r="E167" t="s">
        <v>382</v>
      </c>
      <c r="V167" s="4" t="str">
        <f t="shared" si="29"/>
        <v/>
      </c>
      <c r="AD167" t="str">
        <f>CONCATENATE(VLOOKUP(AE167, 'Voxel Sizes'!$A$2:$B$18,2,FALSE),"x",INT(AA167*15), "x", INT(AB167*15))</f>
        <v>0x0x0</v>
      </c>
      <c r="AE167">
        <f t="shared" si="27"/>
        <v>0</v>
      </c>
      <c r="AG167" t="str">
        <f>CONCATENATE(VLOOKUP(AE167,'Articulated Lengths'!$A$2:$C$16, IF(AF167&lt;&gt;"", 3, 2), FALSE),IF(AF167&lt;&gt;"",CONCATENATE(",",VLOOKUP(AF167,$B$2:$AG$213,32,FALSE)),""))</f>
        <v>na</v>
      </c>
      <c r="AL167">
        <v>10</v>
      </c>
      <c r="AM167">
        <v>10</v>
      </c>
      <c r="AP167" t="e">
        <f>VLOOKUP(F167,Eras!$A$2:$C$12, 2, TRUE)</f>
        <v>#N/A</v>
      </c>
      <c r="AR167" t="e">
        <f t="shared" si="28"/>
        <v>#N/A</v>
      </c>
    </row>
    <row r="168" spans="1:44" x14ac:dyDescent="0.25">
      <c r="A168" t="s">
        <v>104</v>
      </c>
      <c r="B168" t="s">
        <v>255</v>
      </c>
      <c r="C168" t="s">
        <v>197</v>
      </c>
      <c r="E168" t="s">
        <v>382</v>
      </c>
      <c r="V168" s="4" t="str">
        <f t="shared" si="29"/>
        <v/>
      </c>
      <c r="AD168" t="str">
        <f>CONCATENATE(VLOOKUP(AE168, 'Voxel Sizes'!$A$2:$B$18,2,FALSE),"x",INT(AA168*15), "x", INT(AB168*15))</f>
        <v>0x0x0</v>
      </c>
      <c r="AE168">
        <f t="shared" si="27"/>
        <v>0</v>
      </c>
      <c r="AG168" t="str">
        <f>CONCATENATE(VLOOKUP(AE168,'Articulated Lengths'!$A$2:$C$16, IF(AF168&lt;&gt;"", 3, 2), FALSE),IF(AF168&lt;&gt;"",CONCATENATE(",",VLOOKUP(AF168,$B$2:$AG$213,32,FALSE)),""))</f>
        <v>na</v>
      </c>
      <c r="AL168">
        <v>10</v>
      </c>
      <c r="AM168">
        <v>10</v>
      </c>
      <c r="AP168" t="e">
        <f>VLOOKUP(F168,Eras!$A$2:$C$12, 2, TRUE)</f>
        <v>#N/A</v>
      </c>
      <c r="AR168" t="e">
        <f t="shared" si="28"/>
        <v>#N/A</v>
      </c>
    </row>
    <row r="169" spans="1:44" x14ac:dyDescent="0.25">
      <c r="A169" t="s">
        <v>105</v>
      </c>
      <c r="B169" t="s">
        <v>256</v>
      </c>
      <c r="C169" t="s">
        <v>197</v>
      </c>
      <c r="E169" t="s">
        <v>382</v>
      </c>
      <c r="V169" s="4" t="str">
        <f t="shared" si="29"/>
        <v/>
      </c>
      <c r="AD169" t="str">
        <f>CONCATENATE(VLOOKUP(AE169, 'Voxel Sizes'!$A$2:$B$18,2,FALSE),"x",INT(AA169*15), "x", INT(AB169*15))</f>
        <v>0x0x0</v>
      </c>
      <c r="AE169">
        <f t="shared" si="27"/>
        <v>0</v>
      </c>
      <c r="AG169" t="str">
        <f>CONCATENATE(VLOOKUP(AE169,'Articulated Lengths'!$A$2:$C$16, IF(AF169&lt;&gt;"", 3, 2), FALSE),IF(AF169&lt;&gt;"",CONCATENATE(",",VLOOKUP(AF169,$B$2:$AG$213,32,FALSE)),""))</f>
        <v>na</v>
      </c>
      <c r="AL169">
        <v>10</v>
      </c>
      <c r="AM169">
        <v>10</v>
      </c>
      <c r="AP169" t="e">
        <f>VLOOKUP(F169,Eras!$A$2:$C$12, 2, TRUE)</f>
        <v>#N/A</v>
      </c>
      <c r="AR169" t="e">
        <f t="shared" si="28"/>
        <v>#N/A</v>
      </c>
    </row>
    <row r="170" spans="1:44" x14ac:dyDescent="0.25">
      <c r="A170" t="s">
        <v>106</v>
      </c>
      <c r="B170" t="s">
        <v>357</v>
      </c>
      <c r="C170" t="s">
        <v>197</v>
      </c>
      <c r="E170" t="s">
        <v>382</v>
      </c>
      <c r="V170" s="4" t="str">
        <f t="shared" si="29"/>
        <v/>
      </c>
      <c r="AD170" t="str">
        <f>CONCATENATE(VLOOKUP(AE170, 'Voxel Sizes'!$A$2:$B$18,2,FALSE),"x",INT(AA170*15), "x", INT(AB170*15))</f>
        <v>0x0x0</v>
      </c>
      <c r="AE170">
        <f t="shared" si="27"/>
        <v>0</v>
      </c>
      <c r="AG170" t="str">
        <f>CONCATENATE(VLOOKUP(AE170,'Articulated Lengths'!$A$2:$C$16, IF(AF170&lt;&gt;"", 3, 2), FALSE),IF(AF170&lt;&gt;"",CONCATENATE(",",VLOOKUP(AF170,$B$2:$AG$213,32,FALSE)),""))</f>
        <v>na</v>
      </c>
      <c r="AL170">
        <v>10</v>
      </c>
      <c r="AM170">
        <v>10</v>
      </c>
      <c r="AP170" t="e">
        <f>VLOOKUP(F170,Eras!$A$2:$C$12, 2, TRUE)</f>
        <v>#N/A</v>
      </c>
      <c r="AR170" t="e">
        <f t="shared" si="28"/>
        <v>#N/A</v>
      </c>
    </row>
    <row r="171" spans="1:44" x14ac:dyDescent="0.25">
      <c r="A171" t="s">
        <v>107</v>
      </c>
      <c r="B171" t="s">
        <v>257</v>
      </c>
      <c r="C171" t="s">
        <v>197</v>
      </c>
      <c r="E171" t="s">
        <v>382</v>
      </c>
      <c r="V171" s="4" t="str">
        <f t="shared" si="29"/>
        <v/>
      </c>
      <c r="AD171" t="str">
        <f>CONCATENATE(VLOOKUP(AE171, 'Voxel Sizes'!$A$2:$B$18,2,FALSE),"x",INT(AA171*15), "x", INT(AB171*15))</f>
        <v>0x0x0</v>
      </c>
      <c r="AE171">
        <f t="shared" si="27"/>
        <v>0</v>
      </c>
      <c r="AG171" t="str">
        <f>CONCATENATE(VLOOKUP(AE171,'Articulated Lengths'!$A$2:$C$16, IF(AF171&lt;&gt;"", 3, 2), FALSE),IF(AF171&lt;&gt;"",CONCATENATE(",",VLOOKUP(AF171,$B$2:$AG$213,32,FALSE)),""))</f>
        <v>na</v>
      </c>
      <c r="AL171">
        <v>10</v>
      </c>
      <c r="AM171">
        <v>10</v>
      </c>
      <c r="AP171" t="e">
        <f>VLOOKUP(F171,Eras!$A$2:$C$12, 2, TRUE)</f>
        <v>#N/A</v>
      </c>
      <c r="AR171" t="e">
        <f t="shared" si="28"/>
        <v>#N/A</v>
      </c>
    </row>
    <row r="172" spans="1:44" x14ac:dyDescent="0.25">
      <c r="A172" t="s">
        <v>108</v>
      </c>
      <c r="B172" t="s">
        <v>359</v>
      </c>
      <c r="C172" t="s">
        <v>197</v>
      </c>
      <c r="E172" t="s">
        <v>382</v>
      </c>
      <c r="V172" s="4" t="str">
        <f t="shared" si="29"/>
        <v/>
      </c>
      <c r="AD172" t="str">
        <f>CONCATENATE(VLOOKUP(AE172, 'Voxel Sizes'!$A$2:$B$18,2,FALSE),"x",INT(AA172*15), "x", INT(AB172*15))</f>
        <v>0x0x0</v>
      </c>
      <c r="AE172">
        <f t="shared" si="27"/>
        <v>0</v>
      </c>
      <c r="AG172" t="str">
        <f>CONCATENATE(VLOOKUP(AE172,'Articulated Lengths'!$A$2:$C$16, 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109</v>
      </c>
      <c r="B173" t="s">
        <v>258</v>
      </c>
      <c r="C173" t="s">
        <v>197</v>
      </c>
      <c r="E173" t="s">
        <v>382</v>
      </c>
      <c r="V173" s="4" t="str">
        <f t="shared" si="29"/>
        <v/>
      </c>
      <c r="AD173" t="str">
        <f>CONCATENATE(VLOOKUP(AE173, 'Voxel Sizes'!$A$2:$B$18,2,FALSE),"x",INT(AA173*15), "x", INT(AB173*15))</f>
        <v>0x0x0</v>
      </c>
      <c r="AE173">
        <f t="shared" si="27"/>
        <v>0</v>
      </c>
      <c r="AG173" t="str">
        <f>CONCATENATE(VLOOKUP(AE173,'Articulated Lengths'!$A$2:$C$16, IF(AF173&lt;&gt;"", 3, 2), FALSE),IF(AF173&lt;&gt;"",CONCATENATE(",",VLOOKUP(AF173,$B$2:$AG$213,32,FALSE)),""))</f>
        <v>na</v>
      </c>
      <c r="AL173">
        <v>10</v>
      </c>
      <c r="AM173">
        <v>10</v>
      </c>
      <c r="AP173" t="e">
        <f>VLOOKUP(F173,Eras!$A$2:$C$12, 2, TRUE)</f>
        <v>#N/A</v>
      </c>
      <c r="AR173" t="e">
        <f t="shared" si="30"/>
        <v>#N/A</v>
      </c>
    </row>
    <row r="174" spans="1:44" x14ac:dyDescent="0.25">
      <c r="A174" t="s">
        <v>110</v>
      </c>
      <c r="B174" t="s">
        <v>312</v>
      </c>
      <c r="C174" t="s">
        <v>197</v>
      </c>
      <c r="E174" t="s">
        <v>382</v>
      </c>
      <c r="V174" s="4" t="str">
        <f t="shared" si="29"/>
        <v/>
      </c>
      <c r="AD174" t="str">
        <f>CONCATENATE(VLOOKUP(AE174, 'Voxel Sizes'!$A$2:$B$18,2,FALSE),"x",INT(AA174*15), "x", INT(AB174*15))</f>
        <v>0x0x0</v>
      </c>
      <c r="AE174">
        <f t="shared" si="27"/>
        <v>0</v>
      </c>
      <c r="AG174" t="str">
        <f>CONCATENATE(VLOOKUP(AE174,'Articulated Lengths'!$A$2:$C$16, IF(AF174&lt;&gt;"", 3, 2), FALSE),IF(AF174&lt;&gt;"",CONCATENATE(",",VLOOKUP(AF174,$B$2:$AG$213,32,FALSE)),""))</f>
        <v>na</v>
      </c>
      <c r="AL174">
        <v>10</v>
      </c>
      <c r="AM174">
        <v>10</v>
      </c>
      <c r="AP174" t="e">
        <f>VLOOKUP(F174,Eras!$A$2:$C$12, 2, TRUE)</f>
        <v>#N/A</v>
      </c>
      <c r="AR174" t="e">
        <f t="shared" si="30"/>
        <v>#N/A</v>
      </c>
    </row>
    <row r="175" spans="1:44" x14ac:dyDescent="0.25">
      <c r="A175" t="s">
        <v>111</v>
      </c>
      <c r="B175" t="s">
        <v>313</v>
      </c>
      <c r="C175" t="s">
        <v>197</v>
      </c>
      <c r="E175" t="s">
        <v>382</v>
      </c>
      <c r="V175" s="4" t="str">
        <f t="shared" si="29"/>
        <v/>
      </c>
      <c r="AD175" t="str">
        <f>CONCATENATE(VLOOKUP(AE175, 'Voxel Sizes'!$A$2:$B$18,2,FALSE),"x",INT(AA175*15), "x", INT(AB175*15))</f>
        <v>0x0x0</v>
      </c>
      <c r="AE175">
        <f t="shared" si="27"/>
        <v>0</v>
      </c>
      <c r="AG175" t="str">
        <f>CONCATENATE(VLOOKUP(AE175,'Articulated Lengths'!$A$2:$C$16, IF(AF175&lt;&gt;"", 3, 2), FALSE),IF(AF175&lt;&gt;"",CONCATENATE(",",VLOOKUP(AF175,$B$2:$AG$213,32,FALSE)),""))</f>
        <v>na</v>
      </c>
      <c r="AL175">
        <v>10</v>
      </c>
      <c r="AM175">
        <v>10</v>
      </c>
      <c r="AP175" t="e">
        <f>VLOOKUP(F175,Eras!$A$2:$C$12, 2, TRUE)</f>
        <v>#N/A</v>
      </c>
      <c r="AR175" t="e">
        <f t="shared" si="30"/>
        <v>#N/A</v>
      </c>
    </row>
    <row r="176" spans="1:44" x14ac:dyDescent="0.25">
      <c r="A176" t="s">
        <v>112</v>
      </c>
      <c r="B176" t="s">
        <v>314</v>
      </c>
      <c r="C176" t="s">
        <v>197</v>
      </c>
      <c r="E176" t="s">
        <v>382</v>
      </c>
      <c r="V176" s="4" t="str">
        <f t="shared" si="29"/>
        <v/>
      </c>
      <c r="AD176" t="str">
        <f>CONCATENATE(VLOOKUP(AE176, 'Voxel Sizes'!$A$2:$B$18,2,FALSE),"x",INT(AA176*15), "x", INT(AB176*15))</f>
        <v>0x0x0</v>
      </c>
      <c r="AE176">
        <f t="shared" si="27"/>
        <v>0</v>
      </c>
      <c r="AG176" t="str">
        <f>CONCATENATE(VLOOKUP(AE176,'Articulated Lengths'!$A$2:$C$16, IF(AF176&lt;&gt;"", 3, 2), FALSE),IF(AF176&lt;&gt;"",CONCATENATE(",",VLOOKUP(AF176,$B$2:$AG$213,32,FALSE)),""))</f>
        <v>na</v>
      </c>
      <c r="AL176">
        <v>10</v>
      </c>
      <c r="AM176">
        <v>10</v>
      </c>
      <c r="AP176" t="e">
        <f>VLOOKUP(F176,Eras!$A$2:$C$12, 2, TRUE)</f>
        <v>#N/A</v>
      </c>
      <c r="AR176" t="e">
        <f t="shared" si="30"/>
        <v>#N/A</v>
      </c>
    </row>
    <row r="177" spans="1:44" x14ac:dyDescent="0.25">
      <c r="A177" t="s">
        <v>113</v>
      </c>
      <c r="B177" t="s">
        <v>315</v>
      </c>
      <c r="C177" t="s">
        <v>197</v>
      </c>
      <c r="E177" t="s">
        <v>382</v>
      </c>
      <c r="V177" s="4" t="str">
        <f t="shared" si="29"/>
        <v/>
      </c>
      <c r="AD177" t="str">
        <f>CONCATENATE(VLOOKUP(AE177, 'Voxel Sizes'!$A$2:$B$18,2,FALSE),"x",INT(AA177*15), "x", INT(AB177*15))</f>
        <v>0x0x0</v>
      </c>
      <c r="AE177">
        <f t="shared" si="27"/>
        <v>0</v>
      </c>
      <c r="AG177" t="str">
        <f>CONCATENATE(VLOOKUP(AE177,'Articulated Lengths'!$A$2:$C$16, IF(AF177&lt;&gt;"", 3, 2), FALSE),IF(AF177&lt;&gt;"",CONCATENATE(",",VLOOKUP(AF177,$B$2:$AG$213,32,FALSE)),""))</f>
        <v>na</v>
      </c>
      <c r="AL177">
        <v>10</v>
      </c>
      <c r="AM177">
        <v>10</v>
      </c>
      <c r="AP177" t="e">
        <f>VLOOKUP(F177,Eras!$A$2:$C$12, 2, TRUE)</f>
        <v>#N/A</v>
      </c>
      <c r="AR177" t="e">
        <f t="shared" si="30"/>
        <v>#N/A</v>
      </c>
    </row>
    <row r="178" spans="1:44" x14ac:dyDescent="0.25">
      <c r="A178" t="s">
        <v>114</v>
      </c>
      <c r="B178" t="s">
        <v>259</v>
      </c>
      <c r="C178" t="s">
        <v>197</v>
      </c>
      <c r="E178" t="s">
        <v>382</v>
      </c>
      <c r="V178" s="4" t="str">
        <f t="shared" si="29"/>
        <v/>
      </c>
      <c r="AD178" t="str">
        <f>CONCATENATE(VLOOKUP(AE178, 'Voxel Sizes'!$A$2:$B$18,2,FALSE),"x",INT(AA178*15), "x", INT(AB178*15))</f>
        <v>0x0x0</v>
      </c>
      <c r="AE178">
        <f t="shared" si="27"/>
        <v>0</v>
      </c>
      <c r="AG178" t="str">
        <f>CONCATENATE(VLOOKUP(AE178,'Articulated Lengths'!$A$2:$C$16, IF(AF178&lt;&gt;"", 3, 2), FALSE),IF(AF178&lt;&gt;"",CONCATENATE(",",VLOOKUP(AF178,$B$2:$AG$213,32,FALSE)),""))</f>
        <v>na</v>
      </c>
      <c r="AL178">
        <v>10</v>
      </c>
      <c r="AM178">
        <v>10</v>
      </c>
      <c r="AP178" t="e">
        <f>VLOOKUP(F178,Eras!$A$2:$C$12, 2, TRUE)</f>
        <v>#N/A</v>
      </c>
      <c r="AR178" t="e">
        <f t="shared" si="30"/>
        <v>#N/A</v>
      </c>
    </row>
    <row r="179" spans="1:44" x14ac:dyDescent="0.25">
      <c r="A179" t="s">
        <v>115</v>
      </c>
      <c r="B179" t="s">
        <v>260</v>
      </c>
      <c r="C179" t="s">
        <v>197</v>
      </c>
      <c r="E179" t="s">
        <v>382</v>
      </c>
      <c r="V179" s="4" t="str">
        <f t="shared" si="29"/>
        <v/>
      </c>
      <c r="AD179" t="str">
        <f>CONCATENATE(VLOOKUP(AE179, 'Voxel Sizes'!$A$2:$B$18,2,FALSE),"x",INT(AA179*15), "x", INT(AB179*15))</f>
        <v>0x0x0</v>
      </c>
      <c r="AE179">
        <f t="shared" si="27"/>
        <v>0</v>
      </c>
      <c r="AG179" t="str">
        <f>CONCATENATE(VLOOKUP(AE179,'Articulated Lengths'!$A$2:$C$16, IF(AF179&lt;&gt;"", 3, 2), FALSE),IF(AF179&lt;&gt;"",CONCATENATE(",",VLOOKUP(AF179,$B$2:$AG$213,32,FALSE)),""))</f>
        <v>na</v>
      </c>
      <c r="AL179">
        <v>10</v>
      </c>
      <c r="AM179">
        <v>10</v>
      </c>
      <c r="AP179" t="e">
        <f>VLOOKUP(F179,Eras!$A$2:$C$12, 2, TRUE)</f>
        <v>#N/A</v>
      </c>
      <c r="AR179" t="e">
        <f t="shared" si="30"/>
        <v>#N/A</v>
      </c>
    </row>
    <row r="180" spans="1:44" x14ac:dyDescent="0.25">
      <c r="A180" t="s">
        <v>116</v>
      </c>
      <c r="B180" t="s">
        <v>261</v>
      </c>
      <c r="C180" t="s">
        <v>197</v>
      </c>
      <c r="E180" t="s">
        <v>382</v>
      </c>
      <c r="V180" s="4" t="str">
        <f t="shared" si="29"/>
        <v/>
      </c>
      <c r="AD180" t="str">
        <f>CONCATENATE(VLOOKUP(AE180, 'Voxel Sizes'!$A$2:$B$18,2,FALSE),"x",INT(AA180*15), "x", INT(AB180*15))</f>
        <v>0x0x0</v>
      </c>
      <c r="AE180">
        <f t="shared" si="27"/>
        <v>0</v>
      </c>
      <c r="AG180" t="str">
        <f>CONCATENATE(VLOOKUP(AE180,'Articulated Lengths'!$A$2:$C$16, IF(AF180&lt;&gt;"", 3, 2), FALSE),IF(AF180&lt;&gt;"",CONCATENATE(",",VLOOKUP(AF180,$B$2:$AG$213,32,FALSE)),""))</f>
        <v>na</v>
      </c>
      <c r="AL180">
        <v>10</v>
      </c>
      <c r="AM180">
        <v>10</v>
      </c>
      <c r="AP180" t="e">
        <f>VLOOKUP(F180,Eras!$A$2:$C$12, 2, TRUE)</f>
        <v>#N/A</v>
      </c>
      <c r="AR180" t="e">
        <f t="shared" si="30"/>
        <v>#N/A</v>
      </c>
    </row>
    <row r="181" spans="1:44" x14ac:dyDescent="0.25">
      <c r="A181" t="s">
        <v>117</v>
      </c>
      <c r="B181" t="s">
        <v>316</v>
      </c>
      <c r="C181" t="s">
        <v>197</v>
      </c>
      <c r="E181" t="s">
        <v>382</v>
      </c>
      <c r="V181" s="4" t="str">
        <f t="shared" si="29"/>
        <v/>
      </c>
      <c r="AD181" t="str">
        <f>CONCATENATE(VLOOKUP(AE181, 'Voxel Sizes'!$A$2:$B$18,2,FALSE),"x",INT(AA181*15), "x", INT(AB181*15))</f>
        <v>0x0x0</v>
      </c>
      <c r="AE181">
        <f t="shared" si="27"/>
        <v>0</v>
      </c>
      <c r="AG181" t="str">
        <f>CONCATENATE(VLOOKUP(AE181,'Articulated Lengths'!$A$2:$C$16, IF(AF181&lt;&gt;"", 3, 2), FALSE),IF(AF181&lt;&gt;"",CONCATENATE(",",VLOOKUP(AF181,$B$2:$AG$213,32,FALSE)),""))</f>
        <v>na</v>
      </c>
      <c r="AL181">
        <v>10</v>
      </c>
      <c r="AM181">
        <v>10</v>
      </c>
      <c r="AP181" t="e">
        <f>VLOOKUP(F181,Eras!$A$2:$C$12, 2, TRUE)</f>
        <v>#N/A</v>
      </c>
      <c r="AR181" t="e">
        <f t="shared" si="30"/>
        <v>#N/A</v>
      </c>
    </row>
    <row r="182" spans="1:44" x14ac:dyDescent="0.25">
      <c r="A182" t="s">
        <v>118</v>
      </c>
      <c r="B182" t="s">
        <v>311</v>
      </c>
      <c r="C182" t="s">
        <v>197</v>
      </c>
      <c r="E182" t="s">
        <v>382</v>
      </c>
      <c r="V182" s="4" t="str">
        <f t="shared" si="29"/>
        <v/>
      </c>
      <c r="AD182" t="str">
        <f>CONCATENATE(VLOOKUP(AE182, 'Voxel Sizes'!$A$2:$B$18,2,FALSE),"x",INT(AA182*15), "x", INT(AB182*15))</f>
        <v>0x0x0</v>
      </c>
      <c r="AE182">
        <f t="shared" si="27"/>
        <v>0</v>
      </c>
      <c r="AG182" t="str">
        <f>CONCATENATE(VLOOKUP(AE182,'Articulated Lengths'!$A$2:$C$16, IF(AF182&lt;&gt;"", 3, 2), FALSE),IF(AF182&lt;&gt;"",CONCATENATE(",",VLOOKUP(AF182,$B$2:$AG$213,32,FALSE)),""))</f>
        <v>na</v>
      </c>
      <c r="AL182">
        <v>10</v>
      </c>
      <c r="AM182">
        <v>10</v>
      </c>
      <c r="AP182" t="e">
        <f>VLOOKUP(F182,Eras!$A$2:$C$12, 2, TRUE)</f>
        <v>#N/A</v>
      </c>
      <c r="AR182" t="e">
        <f t="shared" si="30"/>
        <v>#N/A</v>
      </c>
    </row>
    <row r="183" spans="1:44" x14ac:dyDescent="0.25">
      <c r="A183" t="s">
        <v>119</v>
      </c>
      <c r="B183" t="s">
        <v>310</v>
      </c>
      <c r="C183" t="s">
        <v>197</v>
      </c>
      <c r="E183" t="s">
        <v>382</v>
      </c>
      <c r="V183" s="4" t="str">
        <f t="shared" si="29"/>
        <v/>
      </c>
      <c r="AD183" t="str">
        <f>CONCATENATE(VLOOKUP(AE183, 'Voxel Sizes'!$A$2:$B$18,2,FALSE),"x",INT(AA183*15), "x", INT(AB183*15))</f>
        <v>0x0x0</v>
      </c>
      <c r="AE183">
        <f t="shared" si="27"/>
        <v>0</v>
      </c>
      <c r="AG183" t="str">
        <f>CONCATENATE(VLOOKUP(AE183,'Articulated Lengths'!$A$2:$C$16, IF(AF183&lt;&gt;"", 3, 2), FALSE),IF(AF183&lt;&gt;"",CONCATENATE(",",VLOOKUP(AF183,$B$2:$AG$213,32,FALSE)),""))</f>
        <v>na</v>
      </c>
      <c r="AL183">
        <v>10</v>
      </c>
      <c r="AM183">
        <v>10</v>
      </c>
      <c r="AP183" t="e">
        <f>VLOOKUP(F183,Eras!$A$2:$C$12, 2, TRUE)</f>
        <v>#N/A</v>
      </c>
      <c r="AR183" t="e">
        <f t="shared" si="30"/>
        <v>#N/A</v>
      </c>
    </row>
    <row r="184" spans="1:44" x14ac:dyDescent="0.25">
      <c r="A184" t="s">
        <v>120</v>
      </c>
      <c r="B184" t="s">
        <v>320</v>
      </c>
      <c r="C184" t="s">
        <v>197</v>
      </c>
      <c r="E184" t="s">
        <v>382</v>
      </c>
      <c r="V184" s="4" t="str">
        <f t="shared" si="29"/>
        <v/>
      </c>
      <c r="AD184" t="str">
        <f>CONCATENATE(VLOOKUP(AE184, 'Voxel Sizes'!$A$2:$B$18,2,FALSE),"x",INT(AA184*15), "x", INT(AB184*15))</f>
        <v>0x0x0</v>
      </c>
      <c r="AE184">
        <f t="shared" si="27"/>
        <v>0</v>
      </c>
      <c r="AG184" t="str">
        <f>CONCATENATE(VLOOKUP(AE184,'Articulated Lengths'!$A$2:$C$16, IF(AF184&lt;&gt;"", 3, 2), FALSE),IF(AF184&lt;&gt;"",CONCATENATE(",",VLOOKUP(AF184,$B$2:$AG$213,32,FALSE)),""))</f>
        <v>na</v>
      </c>
      <c r="AL184">
        <v>10</v>
      </c>
      <c r="AM184">
        <v>10</v>
      </c>
      <c r="AP184" t="e">
        <f>VLOOKUP(F184,Eras!$A$2:$C$12, 2, TRUE)</f>
        <v>#N/A</v>
      </c>
      <c r="AR184" t="e">
        <f t="shared" si="30"/>
        <v>#N/A</v>
      </c>
    </row>
    <row r="185" spans="1:44" x14ac:dyDescent="0.25">
      <c r="A185" t="s">
        <v>121</v>
      </c>
      <c r="B185" t="s">
        <v>360</v>
      </c>
      <c r="C185" t="s">
        <v>197</v>
      </c>
      <c r="E185" t="s">
        <v>382</v>
      </c>
      <c r="V185" s="4" t="str">
        <f t="shared" si="29"/>
        <v/>
      </c>
      <c r="AD185" t="str">
        <f>CONCATENATE(VLOOKUP(AE185, 'Voxel Sizes'!$A$2:$B$18,2,FALSE),"x",INT(AA185*15), "x", INT(AB185*15))</f>
        <v>0x0x0</v>
      </c>
      <c r="AE185">
        <f t="shared" si="27"/>
        <v>0</v>
      </c>
      <c r="AG185" t="str">
        <f>CONCATENATE(VLOOKUP(AE185,'Articulated Lengths'!$A$2:$C$16, IF(AF185&lt;&gt;"", 3, 2), FALSE),IF(AF185&lt;&gt;"",CONCATENATE(",",VLOOKUP(AF185,$B$2:$AG$213,32,FALSE)),""))</f>
        <v>na</v>
      </c>
      <c r="AL185">
        <v>10</v>
      </c>
      <c r="AM185">
        <v>10</v>
      </c>
      <c r="AP185" t="e">
        <f>VLOOKUP(F185,Eras!$A$2:$C$12, 2, TRUE)</f>
        <v>#N/A</v>
      </c>
      <c r="AR185" t="e">
        <f t="shared" si="30"/>
        <v>#N/A</v>
      </c>
    </row>
    <row r="186" spans="1:44" x14ac:dyDescent="0.25">
      <c r="A186" t="s">
        <v>122</v>
      </c>
      <c r="B186" t="s">
        <v>319</v>
      </c>
      <c r="C186" t="s">
        <v>197</v>
      </c>
      <c r="E186" t="s">
        <v>382</v>
      </c>
      <c r="V186" s="4" t="str">
        <f t="shared" si="29"/>
        <v/>
      </c>
      <c r="AD186" t="str">
        <f>CONCATENATE(VLOOKUP(AE186, 'Voxel Sizes'!$A$2:$B$18,2,FALSE),"x",INT(AA186*15), "x", INT(AB186*15))</f>
        <v>0x0x0</v>
      </c>
      <c r="AE186">
        <f t="shared" si="27"/>
        <v>0</v>
      </c>
      <c r="AG186" t="str">
        <f>CONCATENATE(VLOOKUP(AE186,'Articulated Lengths'!$A$2:$C$16, IF(AF186&lt;&gt;"", 3, 2), FALSE),IF(AF186&lt;&gt;"",CONCATENATE(",",VLOOKUP(AF186,$B$2:$AG$213,32,FALSE)),""))</f>
        <v>na</v>
      </c>
      <c r="AL186">
        <v>10</v>
      </c>
      <c r="AM186">
        <v>10</v>
      </c>
      <c r="AP186" t="e">
        <f>VLOOKUP(F186,Eras!$A$2:$C$12, 2, TRUE)</f>
        <v>#N/A</v>
      </c>
      <c r="AR186" t="e">
        <f t="shared" si="30"/>
        <v>#N/A</v>
      </c>
    </row>
    <row r="187" spans="1:44" x14ac:dyDescent="0.25">
      <c r="A187" t="s">
        <v>124</v>
      </c>
      <c r="B187" t="s">
        <v>263</v>
      </c>
      <c r="C187" t="s">
        <v>197</v>
      </c>
      <c r="E187" t="s">
        <v>382</v>
      </c>
      <c r="V187" s="4" t="str">
        <f t="shared" si="29"/>
        <v/>
      </c>
      <c r="AD187" t="str">
        <f>CONCATENATE(VLOOKUP(AE187, 'Voxel Sizes'!$A$2:$B$18,2,FALSE),"x",INT(AA187*15), "x", INT(AB187*15))</f>
        <v>0x0x0</v>
      </c>
      <c r="AE187">
        <f t="shared" si="27"/>
        <v>0</v>
      </c>
      <c r="AG187" t="str">
        <f>CONCATENATE(VLOOKUP(AE187,'Articulated Lengths'!$A$2:$C$16, IF(AF187&lt;&gt;"", 3, 2), FALSE),IF(AF187&lt;&gt;"",CONCATENATE(",",VLOOKUP(AF187,$B$2:$AG$213,32,FALSE)),""))</f>
        <v>na</v>
      </c>
      <c r="AL187">
        <v>10</v>
      </c>
      <c r="AM187">
        <v>10</v>
      </c>
      <c r="AP187" t="e">
        <f>VLOOKUP(F187,Eras!$A$2:$C$12, 2, TRUE)</f>
        <v>#N/A</v>
      </c>
      <c r="AR187" t="e">
        <f t="shared" si="30"/>
        <v>#N/A</v>
      </c>
    </row>
    <row r="188" spans="1:44" x14ac:dyDescent="0.25">
      <c r="A188" t="s">
        <v>125</v>
      </c>
      <c r="B188" t="s">
        <v>264</v>
      </c>
      <c r="C188" t="s">
        <v>197</v>
      </c>
      <c r="E188" t="s">
        <v>382</v>
      </c>
      <c r="V188" s="4" t="str">
        <f t="shared" si="29"/>
        <v/>
      </c>
      <c r="AD188" t="str">
        <f>CONCATENATE(VLOOKUP(AE188, 'Voxel Sizes'!$A$2:$B$18,2,FALSE),"x",INT(AA188*15), "x", INT(AB188*15))</f>
        <v>0x0x0</v>
      </c>
      <c r="AE188">
        <f t="shared" si="27"/>
        <v>0</v>
      </c>
      <c r="AG188" t="str">
        <f>CONCATENATE(VLOOKUP(AE188,'Articulated Lengths'!$A$2:$C$16, IF(AF188&lt;&gt;"", 3, 2), FALSE),IF(AF188&lt;&gt;"",CONCATENATE(",",VLOOKUP(AF188,$B$2:$AG$213,32,FALSE)),""))</f>
        <v>na</v>
      </c>
      <c r="AL188">
        <v>10</v>
      </c>
      <c r="AM188">
        <v>10</v>
      </c>
      <c r="AP188" t="e">
        <f>VLOOKUP(F188,Eras!$A$2:$C$12, 2, TRUE)</f>
        <v>#N/A</v>
      </c>
      <c r="AR188" t="e">
        <f t="shared" si="30"/>
        <v>#N/A</v>
      </c>
    </row>
    <row r="189" spans="1:44" x14ac:dyDescent="0.25">
      <c r="A189" t="s">
        <v>126</v>
      </c>
      <c r="B189" t="s">
        <v>317</v>
      </c>
      <c r="C189" t="s">
        <v>197</v>
      </c>
      <c r="E189" t="s">
        <v>382</v>
      </c>
      <c r="V189" s="4" t="str">
        <f t="shared" si="29"/>
        <v/>
      </c>
      <c r="AD189" t="str">
        <f>CONCATENATE(VLOOKUP(AE189, 'Voxel Sizes'!$A$2:$B$18,2,FALSE),"x",INT(AA189*15), "x", INT(AB189*15))</f>
        <v>0x0x0</v>
      </c>
      <c r="AE189">
        <f t="shared" si="27"/>
        <v>0</v>
      </c>
      <c r="AG189" t="str">
        <f>CONCATENATE(VLOOKUP(AE189,'Articulated Lengths'!$A$2:$C$16, IF(AF189&lt;&gt;"", 3, 2), FALSE),IF(AF189&lt;&gt;"",CONCATENATE(",",VLOOKUP(AF189,$B$2:$AG$213,32,FALSE)),""))</f>
        <v>na</v>
      </c>
      <c r="AL189">
        <v>10</v>
      </c>
      <c r="AM189">
        <v>10</v>
      </c>
      <c r="AP189" t="e">
        <f>VLOOKUP(F189,Eras!$A$2:$C$12, 2, TRUE)</f>
        <v>#N/A</v>
      </c>
      <c r="AR189" t="e">
        <f t="shared" si="30"/>
        <v>#N/A</v>
      </c>
    </row>
    <row r="190" spans="1:44" x14ac:dyDescent="0.25">
      <c r="A190" t="s">
        <v>127</v>
      </c>
      <c r="B190" t="s">
        <v>358</v>
      </c>
      <c r="C190" t="s">
        <v>197</v>
      </c>
      <c r="E190" t="s">
        <v>382</v>
      </c>
      <c r="V190" s="4" t="str">
        <f t="shared" si="29"/>
        <v/>
      </c>
      <c r="AD190" t="str">
        <f>CONCATENATE(VLOOKUP(AE190, 'Voxel Sizes'!$A$2:$B$18,2,FALSE),"x",INT(AA190*15), "x", INT(AB190*15))</f>
        <v>0x0x0</v>
      </c>
      <c r="AE190">
        <f t="shared" si="27"/>
        <v>0</v>
      </c>
      <c r="AG190" t="str">
        <f>CONCATENATE(VLOOKUP(AE190,'Articulated Lengths'!$A$2:$C$16, IF(AF190&lt;&gt;"", 3, 2), FALSE),IF(AF190&lt;&gt;"",CONCATENATE(",",VLOOKUP(AF190,$B$2:$AG$213,32,FALSE)),""))</f>
        <v>na</v>
      </c>
      <c r="AL190">
        <v>10</v>
      </c>
      <c r="AM190">
        <v>10</v>
      </c>
      <c r="AP190" t="e">
        <f>VLOOKUP(F190,Eras!$A$2:$C$12, 2, TRUE)</f>
        <v>#N/A</v>
      </c>
      <c r="AQ190" t="s">
        <v>462</v>
      </c>
      <c r="AR190" t="e">
        <f t="shared" si="30"/>
        <v>#N/A</v>
      </c>
    </row>
    <row r="191" spans="1:44" x14ac:dyDescent="0.25">
      <c r="A191" t="s">
        <v>128</v>
      </c>
      <c r="B191" t="s">
        <v>265</v>
      </c>
      <c r="C191" t="s">
        <v>197</v>
      </c>
      <c r="E191" t="s">
        <v>382</v>
      </c>
      <c r="V191" s="4" t="str">
        <f t="shared" si="29"/>
        <v/>
      </c>
      <c r="AD191" t="str">
        <f>CONCATENATE(VLOOKUP(AE191, 'Voxel Sizes'!$A$2:$B$18,2,FALSE),"x",INT(AA191*15), "x", INT(AB191*15))</f>
        <v>0x0x0</v>
      </c>
      <c r="AE191">
        <f t="shared" si="27"/>
        <v>0</v>
      </c>
      <c r="AG191" t="str">
        <f>CONCATENATE(VLOOKUP(AE191,'Articulated Lengths'!$A$2:$C$16, IF(AF191&lt;&gt;"", 3, 2), FALSE),IF(AF191&lt;&gt;"",CONCATENATE(",",VLOOKUP(AF191,$B$2:$AG$213,32,FALSE)),""))</f>
        <v>na</v>
      </c>
      <c r="AL191">
        <v>10</v>
      </c>
      <c r="AM191">
        <v>10</v>
      </c>
      <c r="AP191" t="e">
        <f>VLOOKUP(F191,Eras!$A$2:$C$12, 2, TRUE)</f>
        <v>#N/A</v>
      </c>
      <c r="AQ191" t="s">
        <v>462</v>
      </c>
      <c r="AR191" t="e">
        <f t="shared" si="30"/>
        <v>#N/A</v>
      </c>
    </row>
    <row r="192" spans="1:44" x14ac:dyDescent="0.25">
      <c r="A192" t="s">
        <v>141</v>
      </c>
      <c r="B192" t="s">
        <v>361</v>
      </c>
      <c r="C192" t="s">
        <v>197</v>
      </c>
      <c r="E192" t="s">
        <v>382</v>
      </c>
      <c r="V192" s="4" t="str">
        <f t="shared" si="29"/>
        <v/>
      </c>
      <c r="AD192" t="str">
        <f>CONCATENATE(VLOOKUP(AE192, 'Voxel Sizes'!$A$2:$B$18,2,FALSE),"x",INT(AA192*15), "x", INT(AB192*15))</f>
        <v>0x0x0</v>
      </c>
      <c r="AE192">
        <f t="shared" si="27"/>
        <v>0</v>
      </c>
      <c r="AG192" t="str">
        <f>CONCATENATE(VLOOKUP(AE192,'Articulated Lengths'!$A$2:$C$16, IF(AF192&lt;&gt;"", 3, 2), FALSE),IF(AF192&lt;&gt;"",CONCATENATE(",",VLOOKUP(AF192,$B$2:$AG$213,32,FALSE)),""))</f>
        <v>na</v>
      </c>
      <c r="AL192">
        <v>10</v>
      </c>
      <c r="AM192">
        <v>10</v>
      </c>
      <c r="AP192" t="e">
        <f>VLOOKUP(F192,Eras!$A$2:$C$12, 2, TRUE)</f>
        <v>#N/A</v>
      </c>
      <c r="AR192" t="e">
        <f t="shared" si="30"/>
        <v>#N/A</v>
      </c>
    </row>
    <row r="193" spans="1:44" x14ac:dyDescent="0.25">
      <c r="A193" t="s">
        <v>142</v>
      </c>
      <c r="B193" t="s">
        <v>362</v>
      </c>
      <c r="C193" t="s">
        <v>197</v>
      </c>
      <c r="E193" t="s">
        <v>382</v>
      </c>
      <c r="V193" s="4" t="str">
        <f t="shared" si="29"/>
        <v/>
      </c>
      <c r="AD193" t="str">
        <f>CONCATENATE(VLOOKUP(AE193, 'Voxel Sizes'!$A$2:$B$18,2,FALSE),"x",INT(AA193*15), "x", INT(AB193*15))</f>
        <v>0x0x0</v>
      </c>
      <c r="AE193">
        <f t="shared" si="27"/>
        <v>0</v>
      </c>
      <c r="AG193" t="str">
        <f>CONCATENATE(VLOOKUP(AE193,'Articulated Lengths'!$A$2:$C$16, IF(AF193&lt;&gt;"", 3, 2), FALSE),IF(AF193&lt;&gt;"",CONCATENATE(",",VLOOKUP(AF193,$B$2:$AG$213,32,FALSE)),""))</f>
        <v>na</v>
      </c>
      <c r="AL193">
        <v>10</v>
      </c>
      <c r="AM193">
        <v>10</v>
      </c>
      <c r="AP193" t="e">
        <f>VLOOKUP(F193,Eras!$A$2:$C$12, 2, TRUE)</f>
        <v>#N/A</v>
      </c>
      <c r="AR193" t="e">
        <f t="shared" si="30"/>
        <v>#N/A</v>
      </c>
    </row>
    <row r="194" spans="1:44" x14ac:dyDescent="0.25">
      <c r="A194" t="s">
        <v>143</v>
      </c>
      <c r="B194" t="s">
        <v>277</v>
      </c>
      <c r="C194" t="s">
        <v>197</v>
      </c>
      <c r="E194" t="s">
        <v>382</v>
      </c>
      <c r="V194" s="4" t="str">
        <f t="shared" si="29"/>
        <v/>
      </c>
      <c r="AD194" t="str">
        <f>CONCATENATE(VLOOKUP(AE194, 'Voxel Sizes'!$A$2:$B$18,2,FALSE),"x",INT(AA194*15), "x", INT(AB194*15))</f>
        <v>0x0x0</v>
      </c>
      <c r="AE194">
        <f t="shared" si="27"/>
        <v>0</v>
      </c>
      <c r="AG194" t="str">
        <f>CONCATENATE(VLOOKUP(AE194,'Articulated Lengths'!$A$2:$C$16, IF(AF194&lt;&gt;"", 3, 2), FALSE),IF(AF194&lt;&gt;"",CONCATENATE(",",VLOOKUP(AF194,$B$2:$AG$213,32,FALSE)),""))</f>
        <v>na</v>
      </c>
      <c r="AL194">
        <v>10</v>
      </c>
      <c r="AM194">
        <v>10</v>
      </c>
      <c r="AP194" t="e">
        <f>VLOOKUP(F194,Eras!$A$2:$C$12, 2, TRUE)</f>
        <v>#N/A</v>
      </c>
      <c r="AR194" t="e">
        <f t="shared" si="30"/>
        <v>#N/A</v>
      </c>
    </row>
    <row r="195" spans="1:44" x14ac:dyDescent="0.25">
      <c r="A195" t="s">
        <v>145</v>
      </c>
      <c r="B195" t="s">
        <v>278</v>
      </c>
      <c r="C195" t="s">
        <v>197</v>
      </c>
      <c r="E195" t="s">
        <v>382</v>
      </c>
      <c r="V195" s="4" t="str">
        <f t="shared" si="29"/>
        <v/>
      </c>
      <c r="AD195" t="str">
        <f>CONCATENATE(VLOOKUP(AE195, 'Voxel Sizes'!$A$2:$B$18,2,FALSE),"x",INT(AA195*15), "x", INT(AB195*15))</f>
        <v>0x0x0</v>
      </c>
      <c r="AE195">
        <f t="shared" si="27"/>
        <v>0</v>
      </c>
      <c r="AG195" t="str">
        <f>CONCATENATE(VLOOKUP(AE195,'Articulated Lengths'!$A$2:$C$16, IF(AF195&lt;&gt;"", 3, 2), FALSE),IF(AF195&lt;&gt;"",CONCATENATE(",",VLOOKUP(AF195,$B$2:$AG$213,32,FALSE)),""))</f>
        <v>na</v>
      </c>
      <c r="AL195">
        <v>10</v>
      </c>
      <c r="AM195">
        <v>10</v>
      </c>
      <c r="AP195" t="e">
        <f>VLOOKUP(F195,Eras!$A$2:$C$12, 2, TRUE)</f>
        <v>#N/A</v>
      </c>
      <c r="AR195" t="e">
        <f t="shared" si="30"/>
        <v>#N/A</v>
      </c>
    </row>
    <row r="196" spans="1:44" x14ac:dyDescent="0.25">
      <c r="A196" t="s">
        <v>146</v>
      </c>
      <c r="B196" t="s">
        <v>366</v>
      </c>
      <c r="C196" t="s">
        <v>197</v>
      </c>
      <c r="E196" t="s">
        <v>382</v>
      </c>
      <c r="T196">
        <v>9</v>
      </c>
      <c r="V196" s="4" t="str">
        <f t="shared" si="29"/>
        <v/>
      </c>
      <c r="AD196" t="str">
        <f>CONCATENATE(VLOOKUP(AE196, 'Voxel Sizes'!$A$2:$B$18,2,FALSE),"x",INT(AA196*15), "x", INT(AB196*15))</f>
        <v>0x0x0</v>
      </c>
      <c r="AE196">
        <f t="shared" si="27"/>
        <v>0</v>
      </c>
      <c r="AG196" t="str">
        <f>CONCATENATE(VLOOKUP(AE196,'Articulated Lengths'!$A$2:$C$16, IF(AF196&lt;&gt;"", 3, 2), FALSE),IF(AF196&lt;&gt;"",CONCATENATE(",",VLOOKUP(AF196,$B$2:$AG$213,32,FALSE)),""))</f>
        <v>na</v>
      </c>
      <c r="AL196">
        <v>10</v>
      </c>
      <c r="AM196">
        <v>10</v>
      </c>
      <c r="AP196" t="e">
        <f>VLOOKUP(F196,Eras!$A$2:$C$12, 2, TRUE)</f>
        <v>#N/A</v>
      </c>
      <c r="AR196" t="e">
        <f t="shared" si="30"/>
        <v>#N/A</v>
      </c>
    </row>
    <row r="197" spans="1:44" x14ac:dyDescent="0.25">
      <c r="A197" t="s">
        <v>149</v>
      </c>
      <c r="B197" t="s">
        <v>368</v>
      </c>
      <c r="C197" t="s">
        <v>197</v>
      </c>
      <c r="E197" t="s">
        <v>382</v>
      </c>
      <c r="V197" s="4" t="str">
        <f t="shared" si="29"/>
        <v/>
      </c>
      <c r="AD197" t="str">
        <f>CONCATENATE(VLOOKUP(AE197, 'Voxel Sizes'!$A$2:$B$18,2,FALSE),"x",INT(AA197*15), "x", INT(AB197*15))</f>
        <v>0x0x0</v>
      </c>
      <c r="AE197">
        <f t="shared" si="27"/>
        <v>0</v>
      </c>
      <c r="AG197" t="str">
        <f>CONCATENATE(VLOOKUP(AE197,'Articulated Lengths'!$A$2:$C$16, IF(AF197&lt;&gt;"", 3, 2), FALSE),IF(AF197&lt;&gt;"",CONCATENATE(",",VLOOKUP(AF197,$B$2:$AG$213,32,FALSE)),""))</f>
        <v>na</v>
      </c>
      <c r="AL197">
        <v>10</v>
      </c>
      <c r="AM197">
        <v>10</v>
      </c>
      <c r="AP197" t="e">
        <f>VLOOKUP(F197,Eras!$A$2:$C$12, 2, TRUE)</f>
        <v>#N/A</v>
      </c>
      <c r="AR197" t="e">
        <f t="shared" si="30"/>
        <v>#N/A</v>
      </c>
    </row>
    <row r="198" spans="1:44" x14ac:dyDescent="0.25">
      <c r="A198" t="s">
        <v>150</v>
      </c>
      <c r="B198" t="s">
        <v>279</v>
      </c>
      <c r="C198" t="s">
        <v>197</v>
      </c>
      <c r="E198" t="s">
        <v>382</v>
      </c>
      <c r="V198" s="4" t="str">
        <f t="shared" si="29"/>
        <v/>
      </c>
      <c r="AD198" t="str">
        <f>CONCATENATE(VLOOKUP(AE198, 'Voxel Sizes'!$A$2:$B$18,2,FALSE),"x",INT(AA198*15), "x", INT(AB198*15))</f>
        <v>0x0x0</v>
      </c>
      <c r="AE198">
        <f t="shared" si="27"/>
        <v>0</v>
      </c>
      <c r="AG198" t="str">
        <f>CONCATENATE(VLOOKUP(AE198,'Articulated Lengths'!$A$2:$C$16, IF(AF198&lt;&gt;"", 3, 2), FALSE),IF(AF198&lt;&gt;"",CONCATENATE(",",VLOOKUP(AF198,$B$2:$AG$213,32,FALSE)),""))</f>
        <v>na</v>
      </c>
      <c r="AL198">
        <v>10</v>
      </c>
      <c r="AM198">
        <v>10</v>
      </c>
      <c r="AP198" t="e">
        <f>VLOOKUP(F198,Eras!$A$2:$C$12, 2, TRUE)</f>
        <v>#N/A</v>
      </c>
      <c r="AR198" t="e">
        <f t="shared" si="30"/>
        <v>#N/A</v>
      </c>
    </row>
    <row r="199" spans="1:44" x14ac:dyDescent="0.25">
      <c r="A199" t="s">
        <v>151</v>
      </c>
      <c r="B199" t="s">
        <v>280</v>
      </c>
      <c r="C199" t="s">
        <v>197</v>
      </c>
      <c r="E199" t="s">
        <v>382</v>
      </c>
      <c r="V199" s="4" t="str">
        <f t="shared" si="29"/>
        <v/>
      </c>
      <c r="AD199" t="str">
        <f>CONCATENATE(VLOOKUP(AE199, 'Voxel Sizes'!$A$2:$B$18,2,FALSE),"x",INT(AA199*15), "x", INT(AB199*15))</f>
        <v>0x0x0</v>
      </c>
      <c r="AE199">
        <f t="shared" ref="AE199:AE213" si="31">ROUND(15*((Z199*10)/256),0)</f>
        <v>0</v>
      </c>
      <c r="AG199" t="str">
        <f>CONCATENATE(VLOOKUP(AE199,'Articulated Lengths'!$A$2:$C$16, IF(AF199&lt;&gt;"", 3, 2), FALSE),IF(AF199&lt;&gt;"",CONCATENATE(",",VLOOKUP(AF199,$B$2:$AG$213,32,FALSE)),""))</f>
        <v>na</v>
      </c>
      <c r="AL199">
        <v>10</v>
      </c>
      <c r="AM199">
        <v>10</v>
      </c>
      <c r="AP199" t="e">
        <f>VLOOKUP(F199,Eras!$A$2:$C$12, 2, TRUE)</f>
        <v>#N/A</v>
      </c>
      <c r="AR199" t="e">
        <f t="shared" si="30"/>
        <v>#N/A</v>
      </c>
    </row>
    <row r="200" spans="1:44" x14ac:dyDescent="0.25">
      <c r="A200" t="s">
        <v>152</v>
      </c>
      <c r="B200" t="s">
        <v>281</v>
      </c>
      <c r="C200" t="s">
        <v>197</v>
      </c>
      <c r="E200" t="s">
        <v>382</v>
      </c>
      <c r="V200" s="4" t="str">
        <f t="shared" si="29"/>
        <v/>
      </c>
      <c r="AD200" t="str">
        <f>CONCATENATE(VLOOKUP(AE200, 'Voxel Sizes'!$A$2:$B$18,2,FALSE),"x",INT(AA200*15), "x", INT(AB200*15))</f>
        <v>0x0x0</v>
      </c>
      <c r="AE200">
        <f t="shared" si="31"/>
        <v>0</v>
      </c>
      <c r="AG200" t="str">
        <f>CONCATENATE(VLOOKUP(AE200,'Articulated Lengths'!$A$2:$C$16, IF(AF200&lt;&gt;"", 3, 2), FALSE),IF(AF200&lt;&gt;"",CONCATENATE(",",VLOOKUP(AF200,$B$2:$AG$213,32,FALSE)),""))</f>
        <v>na</v>
      </c>
      <c r="AL200">
        <v>10</v>
      </c>
      <c r="AM200">
        <v>10</v>
      </c>
      <c r="AP200" t="e">
        <f>VLOOKUP(F200,Eras!$A$2:$C$12, 2, TRUE)</f>
        <v>#N/A</v>
      </c>
      <c r="AR200" t="e">
        <f t="shared" si="30"/>
        <v>#N/A</v>
      </c>
    </row>
    <row r="201" spans="1:44" x14ac:dyDescent="0.25">
      <c r="A201" t="s">
        <v>155</v>
      </c>
      <c r="B201" t="s">
        <v>282</v>
      </c>
      <c r="C201" t="s">
        <v>197</v>
      </c>
      <c r="E201" t="s">
        <v>382</v>
      </c>
      <c r="V201" s="4" t="str">
        <f t="shared" si="29"/>
        <v/>
      </c>
      <c r="AD201" t="str">
        <f>CONCATENATE(VLOOKUP(AE201, 'Voxel Sizes'!$A$2:$B$18,2,FALSE),"x",INT(AA201*15), "x", INT(AB201*15))</f>
        <v>0x0x0</v>
      </c>
      <c r="AE201">
        <f t="shared" si="31"/>
        <v>0</v>
      </c>
      <c r="AG201" t="str">
        <f>CONCATENATE(VLOOKUP(AE201,'Articulated Lengths'!$A$2:$C$16, IF(AF201&lt;&gt;"", 3, 2), FALSE),IF(AF201&lt;&gt;"",CONCATENATE(",",VLOOKUP(AF201,$B$2:$AG$213,32,FALSE)),""))</f>
        <v>na</v>
      </c>
      <c r="AL201">
        <v>10</v>
      </c>
      <c r="AM201">
        <v>10</v>
      </c>
      <c r="AP201" t="e">
        <f>VLOOKUP(F201,Eras!$A$2:$C$12, 2, TRUE)</f>
        <v>#N/A</v>
      </c>
      <c r="AR201" t="e">
        <f t="shared" si="30"/>
        <v>#N/A</v>
      </c>
    </row>
    <row r="202" spans="1:44" x14ac:dyDescent="0.25">
      <c r="A202" t="s">
        <v>156</v>
      </c>
      <c r="B202" t="s">
        <v>283</v>
      </c>
      <c r="C202" t="s">
        <v>197</v>
      </c>
      <c r="E202" t="s">
        <v>382</v>
      </c>
      <c r="V202" s="4" t="str">
        <f t="shared" si="29"/>
        <v/>
      </c>
      <c r="AD202" t="str">
        <f>CONCATENATE(VLOOKUP(AE202, 'Voxel Sizes'!$A$2:$B$18,2,FALSE),"x",INT(AA202*15), "x", INT(AB202*15))</f>
        <v>0x0x0</v>
      </c>
      <c r="AE202">
        <f t="shared" si="31"/>
        <v>0</v>
      </c>
      <c r="AG202" t="str">
        <f>CONCATENATE(VLOOKUP(AE202,'Articulated Lengths'!$A$2:$C$16, IF(AF202&lt;&gt;"", 3, 2), FALSE),IF(AF202&lt;&gt;"",CONCATENATE(",",VLOOKUP(AF202,$B$2:$AG$213,32,FALSE)),""))</f>
        <v>na</v>
      </c>
      <c r="AL202">
        <v>10</v>
      </c>
      <c r="AM202">
        <v>10</v>
      </c>
      <c r="AP202" t="e">
        <f>VLOOKUP(F202,Eras!$A$2:$C$12, 2, TRUE)</f>
        <v>#N/A</v>
      </c>
      <c r="AR202" t="e">
        <f t="shared" si="30"/>
        <v>#N/A</v>
      </c>
    </row>
    <row r="203" spans="1:44" x14ac:dyDescent="0.25">
      <c r="A203" t="s">
        <v>159</v>
      </c>
      <c r="B203" t="s">
        <v>284</v>
      </c>
      <c r="C203" t="s">
        <v>197</v>
      </c>
      <c r="E203" t="s">
        <v>382</v>
      </c>
      <c r="V203" s="4" t="str">
        <f t="shared" si="29"/>
        <v/>
      </c>
      <c r="AD203" t="str">
        <f>CONCATENATE(VLOOKUP(AE203, 'Voxel Sizes'!$A$2:$B$18,2,FALSE),"x",INT(AA203*15), "x", INT(AB203*15))</f>
        <v>0x0x0</v>
      </c>
      <c r="AE203">
        <f t="shared" si="31"/>
        <v>0</v>
      </c>
      <c r="AG203" t="str">
        <f>CONCATENATE(VLOOKUP(AE203,'Articulated Lengths'!$A$2:$C$16, 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160</v>
      </c>
      <c r="B204" t="s">
        <v>285</v>
      </c>
      <c r="C204" t="s">
        <v>197</v>
      </c>
      <c r="E204" t="s">
        <v>382</v>
      </c>
      <c r="V204" s="4" t="str">
        <f t="shared" si="29"/>
        <v/>
      </c>
      <c r="AD204" t="str">
        <f>CONCATENATE(VLOOKUP(AE204, 'Voxel Sizes'!$A$2:$B$18,2,FALSE),"x",INT(AA204*15), "x", INT(AB204*15))</f>
        <v>0x0x0</v>
      </c>
      <c r="AE204">
        <f t="shared" si="31"/>
        <v>0</v>
      </c>
      <c r="AG204" t="str">
        <f>CONCATENATE(VLOOKUP(AE204,'Articulated Lengths'!$A$2:$C$16, IF(AF204&lt;&gt;"", 3, 2), FALSE),IF(AF204&lt;&gt;"",CONCATENATE(",",VLOOKUP(AF204,$B$2:$AG$213,32,FALSE)),""))</f>
        <v>na</v>
      </c>
      <c r="AL204">
        <v>10</v>
      </c>
      <c r="AM204">
        <v>10</v>
      </c>
      <c r="AP204" t="e">
        <f>VLOOKUP(F204,Eras!$A$2:$C$12, 2, TRUE)</f>
        <v>#N/A</v>
      </c>
      <c r="AR204" t="e">
        <f t="shared" si="32"/>
        <v>#N/A</v>
      </c>
    </row>
    <row r="205" spans="1:44" x14ac:dyDescent="0.25">
      <c r="A205" t="s">
        <v>161</v>
      </c>
      <c r="B205" t="s">
        <v>286</v>
      </c>
      <c r="C205" t="s">
        <v>197</v>
      </c>
      <c r="E205" t="s">
        <v>382</v>
      </c>
      <c r="V205" s="4" t="str">
        <f t="shared" si="29"/>
        <v/>
      </c>
      <c r="AD205" t="str">
        <f>CONCATENATE(VLOOKUP(AE205, 'Voxel Sizes'!$A$2:$B$18,2,FALSE),"x",INT(AA205*15), "x", INT(AB205*15))</f>
        <v>0x0x0</v>
      </c>
      <c r="AE205">
        <f t="shared" si="31"/>
        <v>0</v>
      </c>
      <c r="AG205" t="str">
        <f>CONCATENATE(VLOOKUP(AE205,'Articulated Lengths'!$A$2:$C$16, IF(AF205&lt;&gt;"", 3, 2), FALSE),IF(AF205&lt;&gt;"",CONCATENATE(",",VLOOKUP(AF205,$B$2:$AG$213,32,FALSE)),""))</f>
        <v>na</v>
      </c>
      <c r="AL205">
        <v>10</v>
      </c>
      <c r="AM205">
        <v>10</v>
      </c>
      <c r="AP205" t="e">
        <f>VLOOKUP(F205,Eras!$A$2:$C$12, 2, TRUE)</f>
        <v>#N/A</v>
      </c>
      <c r="AR205" t="e">
        <f t="shared" si="32"/>
        <v>#N/A</v>
      </c>
    </row>
    <row r="206" spans="1:44" x14ac:dyDescent="0.25">
      <c r="A206" t="s">
        <v>162</v>
      </c>
      <c r="B206" t="s">
        <v>287</v>
      </c>
      <c r="C206" t="s">
        <v>197</v>
      </c>
      <c r="E206" t="s">
        <v>382</v>
      </c>
      <c r="V206" s="4" t="str">
        <f t="shared" ref="V206:V218" si="33">IF(AND(R206&gt;0,U206&gt;0),(U206/((R206+S206)*10)),"")</f>
        <v/>
      </c>
      <c r="AD206" t="str">
        <f>CONCATENATE(VLOOKUP(AE206, 'Voxel Sizes'!$A$2:$B$18,2,FALSE),"x",INT(AA206*15), "x", INT(AB206*15))</f>
        <v>0x0x0</v>
      </c>
      <c r="AE206">
        <f t="shared" si="31"/>
        <v>0</v>
      </c>
      <c r="AG206" t="str">
        <f>CONCATENATE(VLOOKUP(AE206,'Articulated Lengths'!$A$2:$C$16, IF(AF206&lt;&gt;"", 3, 2), FALSE),IF(AF206&lt;&gt;"",CONCATENATE(",",VLOOKUP(AF206,$B$2:$AG$213,32,FALSE)),""))</f>
        <v>na</v>
      </c>
      <c r="AL206">
        <v>10</v>
      </c>
      <c r="AM206">
        <v>10</v>
      </c>
      <c r="AP206" t="e">
        <f>VLOOKUP(F206,Eras!$A$2:$C$12, 2, TRUE)</f>
        <v>#N/A</v>
      </c>
      <c r="AR206" t="e">
        <f t="shared" si="32"/>
        <v>#N/A</v>
      </c>
    </row>
    <row r="207" spans="1:44" x14ac:dyDescent="0.25">
      <c r="A207" t="s">
        <v>163</v>
      </c>
      <c r="B207" t="s">
        <v>288</v>
      </c>
      <c r="C207" t="s">
        <v>197</v>
      </c>
      <c r="E207" t="s">
        <v>382</v>
      </c>
      <c r="V207" s="4" t="str">
        <f t="shared" si="33"/>
        <v/>
      </c>
      <c r="AD207" t="str">
        <f>CONCATENATE(VLOOKUP(AE207, 'Voxel Sizes'!$A$2:$B$18,2,FALSE),"x",INT(AA207*15), "x", INT(AB207*15))</f>
        <v>0x0x0</v>
      </c>
      <c r="AE207">
        <f t="shared" si="31"/>
        <v>0</v>
      </c>
      <c r="AG207" t="str">
        <f>CONCATENATE(VLOOKUP(AE207,'Articulated Lengths'!$A$2:$C$16, IF(AF207&lt;&gt;"", 3, 2), FALSE),IF(AF207&lt;&gt;"",CONCATENATE(",",VLOOKUP(AF207,$B$2:$AG$213,32,FALSE)),""))</f>
        <v>na</v>
      </c>
      <c r="AL207">
        <v>10</v>
      </c>
      <c r="AM207">
        <v>10</v>
      </c>
      <c r="AP207" t="e">
        <f>VLOOKUP(F207,Eras!$A$2:$C$12, 2, TRUE)</f>
        <v>#N/A</v>
      </c>
      <c r="AR207" t="e">
        <f t="shared" si="32"/>
        <v>#N/A</v>
      </c>
    </row>
    <row r="208" spans="1:44" x14ac:dyDescent="0.25">
      <c r="A208" t="s">
        <v>164</v>
      </c>
      <c r="B208" t="s">
        <v>289</v>
      </c>
      <c r="C208" t="s">
        <v>197</v>
      </c>
      <c r="E208" t="s">
        <v>382</v>
      </c>
      <c r="V208" s="4" t="str">
        <f t="shared" si="33"/>
        <v/>
      </c>
      <c r="AD208" t="str">
        <f>CONCATENATE(VLOOKUP(AE208, 'Voxel Sizes'!$A$2:$B$18,2,FALSE),"x",INT(AA208*15), "x", INT(AB208*15))</f>
        <v>0x0x0</v>
      </c>
      <c r="AE208">
        <f t="shared" si="31"/>
        <v>0</v>
      </c>
      <c r="AG208" t="str">
        <f>CONCATENATE(VLOOKUP(AE208,'Articulated Lengths'!$A$2:$C$16, IF(AF208&lt;&gt;"", 3, 2), FALSE),IF(AF208&lt;&gt;"",CONCATENATE(",",VLOOKUP(AF208,$B$2:$AG$213,32,FALSE)),""))</f>
        <v>na</v>
      </c>
      <c r="AL208">
        <v>10</v>
      </c>
      <c r="AM208">
        <v>10</v>
      </c>
      <c r="AP208" t="e">
        <f>VLOOKUP(F208,Eras!$A$2:$C$12, 2, TRUE)</f>
        <v>#N/A</v>
      </c>
      <c r="AR208" t="e">
        <f t="shared" si="32"/>
        <v>#N/A</v>
      </c>
    </row>
    <row r="209" spans="1:44" x14ac:dyDescent="0.25">
      <c r="A209" t="s">
        <v>165</v>
      </c>
      <c r="B209" t="s">
        <v>290</v>
      </c>
      <c r="C209" t="s">
        <v>197</v>
      </c>
      <c r="E209" t="s">
        <v>382</v>
      </c>
      <c r="V209" s="4" t="str">
        <f t="shared" si="33"/>
        <v/>
      </c>
      <c r="AD209" t="str">
        <f>CONCATENATE(VLOOKUP(AE209, 'Voxel Sizes'!$A$2:$B$18,2,FALSE),"x",INT(AA209*15), "x", INT(AB209*15))</f>
        <v>0x0x0</v>
      </c>
      <c r="AE209">
        <f t="shared" si="31"/>
        <v>0</v>
      </c>
      <c r="AG209" t="str">
        <f>CONCATENATE(VLOOKUP(AE209,'Articulated Lengths'!$A$2:$C$16, IF(AF209&lt;&gt;"", 3, 2), FALSE),IF(AF209&lt;&gt;"",CONCATENATE(",",VLOOKUP(AF209,$B$2:$AG$213,32,FALSE)),""))</f>
        <v>na</v>
      </c>
      <c r="AL209">
        <v>10</v>
      </c>
      <c r="AM209">
        <v>10</v>
      </c>
      <c r="AP209" t="e">
        <f>VLOOKUP(F209,Eras!$A$2:$C$12, 2, TRUE)</f>
        <v>#N/A</v>
      </c>
      <c r="AR209" t="e">
        <f t="shared" si="32"/>
        <v>#N/A</v>
      </c>
    </row>
    <row r="210" spans="1:44" x14ac:dyDescent="0.25">
      <c r="A210" t="s">
        <v>166</v>
      </c>
      <c r="B210" t="s">
        <v>291</v>
      </c>
      <c r="C210" t="s">
        <v>197</v>
      </c>
      <c r="E210" t="s">
        <v>382</v>
      </c>
      <c r="V210" s="4" t="str">
        <f t="shared" si="33"/>
        <v/>
      </c>
      <c r="AD210" t="str">
        <f>CONCATENATE(VLOOKUP(AE210, 'Voxel Sizes'!$A$2:$B$18,2,FALSE),"x",INT(AA210*15), "x", INT(AB210*15))</f>
        <v>0x0x0</v>
      </c>
      <c r="AE210">
        <f t="shared" si="31"/>
        <v>0</v>
      </c>
      <c r="AG210" t="str">
        <f>CONCATENATE(VLOOKUP(AE210,'Articulated Lengths'!$A$2:$C$16, IF(AF210&lt;&gt;"", 3, 2), FALSE),IF(AF210&lt;&gt;"",CONCATENATE(",",VLOOKUP(AF210,$B$2:$AG$213,32,FALSE)),""))</f>
        <v>na</v>
      </c>
      <c r="AL210">
        <v>10</v>
      </c>
      <c r="AM210">
        <v>10</v>
      </c>
      <c r="AP210" t="e">
        <f>VLOOKUP(F210,Eras!$A$2:$C$12, 2, TRUE)</f>
        <v>#N/A</v>
      </c>
      <c r="AR210" t="e">
        <f t="shared" si="32"/>
        <v>#N/A</v>
      </c>
    </row>
    <row r="211" spans="1:44" x14ac:dyDescent="0.25">
      <c r="A211" t="s">
        <v>167</v>
      </c>
      <c r="B211" t="s">
        <v>292</v>
      </c>
      <c r="C211" t="s">
        <v>197</v>
      </c>
      <c r="E211" t="s">
        <v>382</v>
      </c>
      <c r="V211" s="4" t="str">
        <f t="shared" si="33"/>
        <v/>
      </c>
      <c r="AD211" t="str">
        <f>CONCATENATE(VLOOKUP(AE211, 'Voxel Sizes'!$A$2:$B$18,2,FALSE),"x",INT(AA211*15), "x", INT(AB211*15))</f>
        <v>0x0x0</v>
      </c>
      <c r="AE211">
        <f t="shared" si="31"/>
        <v>0</v>
      </c>
      <c r="AG211" t="str">
        <f>CONCATENATE(VLOOKUP(AE211,'Articulated Lengths'!$A$2:$C$16, IF(AF211&lt;&gt;"", 3, 2), FALSE),IF(AF211&lt;&gt;"",CONCATENATE(",",VLOOKUP(AF211,$B$2:$AG$213,32,FALSE)),""))</f>
        <v>na</v>
      </c>
      <c r="AL211">
        <v>10</v>
      </c>
      <c r="AM211">
        <v>10</v>
      </c>
      <c r="AP211" t="e">
        <f>VLOOKUP(F211,Eras!$A$2:$C$12, 2, TRUE)</f>
        <v>#N/A</v>
      </c>
      <c r="AR211" t="e">
        <f t="shared" si="32"/>
        <v>#N/A</v>
      </c>
    </row>
    <row r="212" spans="1:44" x14ac:dyDescent="0.25">
      <c r="A212" t="s">
        <v>168</v>
      </c>
      <c r="B212" t="s">
        <v>293</v>
      </c>
      <c r="C212" t="s">
        <v>197</v>
      </c>
      <c r="E212" t="s">
        <v>382</v>
      </c>
      <c r="V212" s="4" t="str">
        <f t="shared" si="33"/>
        <v/>
      </c>
      <c r="AD212" t="str">
        <f>CONCATENATE(VLOOKUP(AE212, 'Voxel Sizes'!$A$2:$B$18,2,FALSE),"x",INT(AA212*15), "x", INT(AB212*15))</f>
        <v>0x0x0</v>
      </c>
      <c r="AE212">
        <f t="shared" si="31"/>
        <v>0</v>
      </c>
      <c r="AG212" t="str">
        <f>CONCATENATE(VLOOKUP(AE212,'Articulated Lengths'!$A$2:$C$16, IF(AF212&lt;&gt;"", 3, 2), FALSE),IF(AF212&lt;&gt;"",CONCATENATE(",",VLOOKUP(AF212,$B$2:$AG$213,32,FALSE)),""))</f>
        <v>na</v>
      </c>
      <c r="AL212">
        <v>10</v>
      </c>
      <c r="AM212">
        <v>10</v>
      </c>
      <c r="AP212" t="e">
        <f>VLOOKUP(F212,Eras!$A$2:$C$12, 2, TRUE)</f>
        <v>#N/A</v>
      </c>
      <c r="AR212" t="e">
        <f t="shared" si="32"/>
        <v>#N/A</v>
      </c>
    </row>
    <row r="213" spans="1:44" x14ac:dyDescent="0.25">
      <c r="A213" t="s">
        <v>169</v>
      </c>
      <c r="B213" t="s">
        <v>294</v>
      </c>
      <c r="C213" t="s">
        <v>197</v>
      </c>
      <c r="E213" t="s">
        <v>382</v>
      </c>
      <c r="V213" s="4" t="str">
        <f t="shared" si="33"/>
        <v/>
      </c>
      <c r="AD213" t="str">
        <f>CONCATENATE(VLOOKUP(AE213, 'Voxel Sizes'!$A$2:$B$18,2,FALSE),"x",INT(AA213*15), "x", INT(AB213*15))</f>
        <v>0x0x0</v>
      </c>
      <c r="AE213">
        <f t="shared" si="31"/>
        <v>0</v>
      </c>
      <c r="AG213" t="str">
        <f>CONCATENATE(VLOOKUP(AE213,'Articulated Lengths'!$A$2:$C$16, IF(AF213&lt;&gt;"", 3, 2), FALSE),IF(AF213&lt;&gt;"",CONCATENATE(",",VLOOKUP(AF213,$B$2:$AG$213,32,FALSE)),""))</f>
        <v>na</v>
      </c>
      <c r="AL213">
        <v>10</v>
      </c>
      <c r="AM213">
        <v>10</v>
      </c>
      <c r="AP213" t="e">
        <f>VLOOKUP(F213,Eras!$A$2:$C$12, 2, TRUE)</f>
        <v>#N/A</v>
      </c>
      <c r="AR213" t="e">
        <f t="shared" si="32"/>
        <v>#N/A</v>
      </c>
    </row>
    <row r="214" spans="1:44" x14ac:dyDescent="0.25">
      <c r="A214" t="s">
        <v>504</v>
      </c>
      <c r="B214" t="s">
        <v>511</v>
      </c>
      <c r="C214" t="s">
        <v>197</v>
      </c>
      <c r="V214" s="4" t="str">
        <f t="shared" si="33"/>
        <v/>
      </c>
    </row>
    <row r="215" spans="1:44" x14ac:dyDescent="0.25">
      <c r="A215" t="s">
        <v>505</v>
      </c>
      <c r="B215" t="s">
        <v>512</v>
      </c>
      <c r="C215" t="s">
        <v>197</v>
      </c>
      <c r="V215" s="4" t="str">
        <f t="shared" si="33"/>
        <v/>
      </c>
    </row>
    <row r="216" spans="1:44" x14ac:dyDescent="0.25">
      <c r="A216" t="s">
        <v>506</v>
      </c>
      <c r="B216" t="s">
        <v>513</v>
      </c>
      <c r="C216" t="s">
        <v>197</v>
      </c>
      <c r="V216" s="4" t="str">
        <f t="shared" si="33"/>
        <v/>
      </c>
    </row>
    <row r="217" spans="1:44" x14ac:dyDescent="0.25">
      <c r="A217" t="s">
        <v>507</v>
      </c>
      <c r="B217" t="s">
        <v>514</v>
      </c>
      <c r="C217" t="s">
        <v>197</v>
      </c>
      <c r="V217" s="4" t="str">
        <f t="shared" si="33"/>
        <v/>
      </c>
    </row>
    <row r="218" spans="1:44" x14ac:dyDescent="0.25">
      <c r="A218" t="s">
        <v>508</v>
      </c>
      <c r="B218" t="s">
        <v>515</v>
      </c>
      <c r="C218" t="s">
        <v>197</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494</v>
      </c>
      <c r="D1" s="1" t="s">
        <v>444</v>
      </c>
      <c r="E1" s="1" t="s">
        <v>443</v>
      </c>
      <c r="F1" s="1" t="s">
        <v>445</v>
      </c>
      <c r="G1" s="1" t="s">
        <v>446</v>
      </c>
      <c r="H1" s="1" t="s">
        <v>454</v>
      </c>
      <c r="I1" s="1" t="s">
        <v>455</v>
      </c>
      <c r="J1" s="1" t="s">
        <v>456</v>
      </c>
      <c r="K1" s="1" t="s">
        <v>447</v>
      </c>
      <c r="L1" s="1" t="s">
        <v>448</v>
      </c>
      <c r="M1" s="1" t="s">
        <v>449</v>
      </c>
      <c r="N1" s="1" t="s">
        <v>450</v>
      </c>
      <c r="O1" s="1" t="s">
        <v>451</v>
      </c>
      <c r="P1" s="1" t="s">
        <v>462</v>
      </c>
      <c r="Q1" s="1" t="s">
        <v>452</v>
      </c>
      <c r="R1" s="1" t="s">
        <v>453</v>
      </c>
      <c r="S1" s="1" t="s">
        <v>457</v>
      </c>
      <c r="T1" s="1" t="s">
        <v>458</v>
      </c>
      <c r="U1" s="1" t="s">
        <v>459</v>
      </c>
      <c r="V1" s="1" t="s">
        <v>460</v>
      </c>
    </row>
    <row r="2" spans="1:22" x14ac:dyDescent="0.25">
      <c r="A2" s="1" t="s">
        <v>441</v>
      </c>
      <c r="B2" s="1" t="s">
        <v>442</v>
      </c>
    </row>
    <row r="3" spans="1:22" x14ac:dyDescent="0.25">
      <c r="A3" t="s">
        <v>430</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501</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431</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432</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433</v>
      </c>
      <c r="B7" t="str">
        <f>VLOOKUP(A7, Eras!$B$2:$C$12, 2, FALSE)</f>
        <v>Early BR (1948-1955)</v>
      </c>
      <c r="C7">
        <f>COUNTIF(Table!$AR:$AR,CONCATENATE($A7,"_",C$1))</f>
        <v>0</v>
      </c>
      <c r="D7">
        <f>COUNTIF(Table!$AR:$AR,CONCATENATE($A7,"_",D$1))</f>
        <v>0</v>
      </c>
      <c r="E7">
        <f>COUNTIF(Table!$AR:$AR,CONCATENATE($A7,"_",E$1))</f>
        <v>1</v>
      </c>
      <c r="F7">
        <f>COUNTIF(Table!$AR:$AR,CONCATENATE($A7,"_",F$1))</f>
        <v>1</v>
      </c>
      <c r="G7">
        <f>COUNTIF(Table!$AR:$AR,CONCATENATE($A7,"_",G$1))</f>
        <v>0</v>
      </c>
      <c r="H7">
        <f>COUNTIF(Table!$AR:$AR,CONCATENATE($A7,"_",H$1))</f>
        <v>0</v>
      </c>
      <c r="I7">
        <f>COUNTIF(Table!$AR:$AR,CONCATENATE($A7,"_",I$1))</f>
        <v>0</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434</v>
      </c>
      <c r="B8" t="str">
        <f>VLOOKUP(A8, Eras!$B$2:$C$12, 2, FALSE)</f>
        <v>Dieselisation (1955-1965)</v>
      </c>
      <c r="C8">
        <f>COUNTIF(Table!$AR:$AR,CONCATENATE($A8,"_",C$1))</f>
        <v>0</v>
      </c>
      <c r="D8">
        <f>COUNTIF(Table!$AR:$AR,CONCATENATE($A8,"_",D$1))</f>
        <v>4</v>
      </c>
      <c r="E8">
        <f>COUNTIF(Table!$AR:$AR,CONCATENATE($A8,"_",E$1))</f>
        <v>0</v>
      </c>
      <c r="F8">
        <f>COUNTIF(Table!$AR:$AR,CONCATENATE($A8,"_",F$1))</f>
        <v>1</v>
      </c>
      <c r="G8">
        <f>COUNTIF(Table!$AR:$AR,CONCATENATE($A8,"_",G$1))</f>
        <v>0</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435</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0</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436</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437</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438</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439</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419</v>
      </c>
      <c r="B1" s="1" t="s">
        <v>429</v>
      </c>
      <c r="C1" s="1" t="s">
        <v>420</v>
      </c>
    </row>
    <row r="2" spans="1:3" x14ac:dyDescent="0.25">
      <c r="A2">
        <v>1800</v>
      </c>
      <c r="B2" t="s">
        <v>430</v>
      </c>
      <c r="C2" t="s">
        <v>500</v>
      </c>
    </row>
    <row r="3" spans="1:3" x14ac:dyDescent="0.25">
      <c r="A3">
        <v>1850</v>
      </c>
      <c r="B3" t="s">
        <v>501</v>
      </c>
      <c r="C3" t="s">
        <v>499</v>
      </c>
    </row>
    <row r="4" spans="1:3" x14ac:dyDescent="0.25">
      <c r="A4">
        <v>1900</v>
      </c>
      <c r="B4" t="s">
        <v>431</v>
      </c>
      <c r="C4" t="s">
        <v>421</v>
      </c>
    </row>
    <row r="5" spans="1:3" x14ac:dyDescent="0.25">
      <c r="A5">
        <v>1923</v>
      </c>
      <c r="B5" t="s">
        <v>432</v>
      </c>
      <c r="C5" t="s">
        <v>545</v>
      </c>
    </row>
    <row r="6" spans="1:3" x14ac:dyDescent="0.25">
      <c r="A6">
        <v>1948</v>
      </c>
      <c r="B6" t="s">
        <v>433</v>
      </c>
      <c r="C6" t="s">
        <v>422</v>
      </c>
    </row>
    <row r="7" spans="1:3" x14ac:dyDescent="0.25">
      <c r="A7">
        <v>1955</v>
      </c>
      <c r="B7" t="s">
        <v>434</v>
      </c>
      <c r="C7" t="s">
        <v>423</v>
      </c>
    </row>
    <row r="8" spans="1:3" x14ac:dyDescent="0.25">
      <c r="A8">
        <v>1965</v>
      </c>
      <c r="B8" t="s">
        <v>435</v>
      </c>
      <c r="C8" t="s">
        <v>424</v>
      </c>
    </row>
    <row r="9" spans="1:3" x14ac:dyDescent="0.25">
      <c r="A9">
        <v>1975</v>
      </c>
      <c r="B9" t="s">
        <v>436</v>
      </c>
      <c r="C9" t="s">
        <v>425</v>
      </c>
    </row>
    <row r="10" spans="1:3" x14ac:dyDescent="0.25">
      <c r="A10">
        <v>1985</v>
      </c>
      <c r="B10" t="s">
        <v>437</v>
      </c>
      <c r="C10" t="s">
        <v>426</v>
      </c>
    </row>
    <row r="11" spans="1:3" x14ac:dyDescent="0.25">
      <c r="A11">
        <v>1995</v>
      </c>
      <c r="B11" t="s">
        <v>438</v>
      </c>
      <c r="C11" t="s">
        <v>427</v>
      </c>
    </row>
    <row r="12" spans="1:3" x14ac:dyDescent="0.25">
      <c r="A12">
        <v>2005</v>
      </c>
      <c r="B12" t="s">
        <v>439</v>
      </c>
      <c r="C12" t="s">
        <v>428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11" sqref="C11"/>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339</v>
      </c>
      <c r="B1" s="1" t="s">
        <v>340</v>
      </c>
      <c r="C1" s="1" t="s">
        <v>631</v>
      </c>
    </row>
    <row r="2" spans="1:3" x14ac:dyDescent="0.25">
      <c r="A2" s="2">
        <v>0</v>
      </c>
      <c r="B2" s="2" t="s">
        <v>197</v>
      </c>
    </row>
    <row r="3" spans="1:3" x14ac:dyDescent="0.25">
      <c r="A3">
        <v>3</v>
      </c>
      <c r="B3" t="s">
        <v>400</v>
      </c>
      <c r="C3" t="s">
        <v>635</v>
      </c>
    </row>
    <row r="4" spans="1:3" x14ac:dyDescent="0.25">
      <c r="A4">
        <v>4</v>
      </c>
      <c r="B4" t="s">
        <v>341</v>
      </c>
      <c r="C4" t="s">
        <v>636</v>
      </c>
    </row>
    <row r="5" spans="1:3" x14ac:dyDescent="0.25">
      <c r="A5">
        <v>5</v>
      </c>
      <c r="B5" t="s">
        <v>342</v>
      </c>
      <c r="C5" t="s">
        <v>637</v>
      </c>
    </row>
    <row r="6" spans="1:3" x14ac:dyDescent="0.25">
      <c r="A6">
        <v>6</v>
      </c>
      <c r="B6" t="s">
        <v>413</v>
      </c>
      <c r="C6" t="s">
        <v>632</v>
      </c>
    </row>
    <row r="7" spans="1:3" x14ac:dyDescent="0.25">
      <c r="A7">
        <v>7</v>
      </c>
      <c r="B7" t="s">
        <v>343</v>
      </c>
      <c r="C7" t="s">
        <v>638</v>
      </c>
    </row>
    <row r="8" spans="1:3" x14ac:dyDescent="0.25">
      <c r="A8">
        <v>8</v>
      </c>
      <c r="B8" t="s">
        <v>344</v>
      </c>
      <c r="C8" t="s">
        <v>633</v>
      </c>
    </row>
    <row r="9" spans="1:3" x14ac:dyDescent="0.25">
      <c r="A9">
        <v>9</v>
      </c>
      <c r="B9" t="s">
        <v>347</v>
      </c>
      <c r="C9" t="s">
        <v>634</v>
      </c>
    </row>
    <row r="10" spans="1:3" x14ac:dyDescent="0.25">
      <c r="A10">
        <v>10</v>
      </c>
      <c r="B10" t="s">
        <v>345</v>
      </c>
      <c r="C10" t="s">
        <v>639</v>
      </c>
    </row>
    <row r="11" spans="1:3" x14ac:dyDescent="0.25">
      <c r="A11">
        <v>11</v>
      </c>
      <c r="B11" t="s">
        <v>346</v>
      </c>
      <c r="C11" t="s">
        <v>346</v>
      </c>
    </row>
    <row r="12" spans="1:3" x14ac:dyDescent="0.25">
      <c r="A12">
        <v>12</v>
      </c>
      <c r="B12" t="s">
        <v>348</v>
      </c>
      <c r="C12" t="s">
        <v>348</v>
      </c>
    </row>
    <row r="13" spans="1:3" x14ac:dyDescent="0.25">
      <c r="A13">
        <v>13</v>
      </c>
      <c r="B13" t="s">
        <v>349</v>
      </c>
      <c r="C13" t="s">
        <v>349</v>
      </c>
    </row>
    <row r="14" spans="1:3" x14ac:dyDescent="0.25">
      <c r="A14">
        <v>14</v>
      </c>
      <c r="B14" t="s">
        <v>350</v>
      </c>
      <c r="C14" t="s">
        <v>350</v>
      </c>
    </row>
    <row r="15" spans="1:3" x14ac:dyDescent="0.25">
      <c r="A15">
        <v>15</v>
      </c>
      <c r="B15" t="s">
        <v>351</v>
      </c>
      <c r="C15" t="s">
        <v>351</v>
      </c>
    </row>
    <row r="16" spans="1:3" x14ac:dyDescent="0.25">
      <c r="A16">
        <v>16</v>
      </c>
      <c r="B16" t="s">
        <v>352</v>
      </c>
      <c r="C16" t="s">
        <v>352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407</v>
      </c>
      <c r="B1" s="1" t="s">
        <v>408</v>
      </c>
      <c r="C1" s="1" t="s">
        <v>409</v>
      </c>
      <c r="D1" s="1" t="s">
        <v>410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2020-06-20T17:31:02Z</dcterms:modified>
</cp:coreProperties>
</file>