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3CD77D76-2E15-4DF0-BCB6-729B456EC9D5}" xr6:coauthVersionLast="45" xr6:coauthVersionMax="45" xr10:uidLastSave="{00000000-0000-0000-0000-000000000000}"/>
  <bookViews>
    <workbookView xWindow="0" yWindow="780" windowWidth="20640" windowHeight="1213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305" i="1" l="1"/>
  <c r="V305" i="1"/>
  <c r="T302" i="1" l="1"/>
  <c r="V302" i="1"/>
  <c r="BU299" i="1"/>
  <c r="V304" i="1"/>
  <c r="T304" i="1"/>
  <c r="T301" i="1"/>
  <c r="V301" i="1"/>
  <c r="BA300" i="1" l="1"/>
  <c r="T300" i="1"/>
  <c r="V300" i="1"/>
  <c r="V299" i="1"/>
  <c r="T299" i="1"/>
  <c r="V298" i="1"/>
  <c r="V297" i="1" l="1"/>
  <c r="N23" i="2" l="1"/>
  <c r="T296" i="1"/>
  <c r="V296" i="1"/>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s="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G90" i="1"/>
  <c r="AF90" i="1" s="1"/>
  <c r="X90" i="1"/>
  <c r="Q91" i="1"/>
  <c r="S91" i="1" s="1"/>
  <c r="X91" i="1"/>
  <c r="AG91" i="1"/>
  <c r="AF91" i="1" s="1"/>
  <c r="AT91" i="1"/>
  <c r="AW91" i="1"/>
  <c r="AX91" i="1"/>
  <c r="AY91" i="1"/>
  <c r="AZ91" i="1"/>
  <c r="BA91" i="1"/>
  <c r="BB91" i="1"/>
  <c r="BC91" i="1"/>
  <c r="BR91" i="1"/>
  <c r="BT91" i="1" s="1"/>
  <c r="BU91" i="1"/>
  <c r="BV91" i="1" s="1"/>
  <c r="BW91" i="1"/>
  <c r="BY91" i="1"/>
  <c r="N22" i="2"/>
  <c r="BY89" i="1"/>
  <c r="BW89" i="1"/>
  <c r="BU89" i="1"/>
  <c r="BV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R5" i="1"/>
  <c r="BT5" i="1" s="1"/>
  <c r="BC5" i="1"/>
  <c r="BB5" i="1"/>
  <c r="BA5" i="1"/>
  <c r="AZ5" i="1"/>
  <c r="AY5" i="1"/>
  <c r="AX5" i="1"/>
  <c r="AW5" i="1"/>
  <c r="AT5" i="1"/>
  <c r="AI5" i="1"/>
  <c r="AG5" i="1"/>
  <c r="AF5" i="1" s="1"/>
  <c r="X5" i="1"/>
  <c r="BY70" i="1"/>
  <c r="BW70" i="1"/>
  <c r="BU70" i="1"/>
  <c r="BV70" i="1" s="1"/>
  <c r="BR70" i="1"/>
  <c r="BT70" i="1" s="1"/>
  <c r="BC70" i="1"/>
  <c r="BB70" i="1"/>
  <c r="BA70" i="1"/>
  <c r="AZ70" i="1"/>
  <c r="AY70" i="1"/>
  <c r="AX70" i="1"/>
  <c r="AW70" i="1"/>
  <c r="AT70" i="1"/>
  <c r="AG70" i="1"/>
  <c r="AF70" i="1" s="1"/>
  <c r="X70" i="1"/>
  <c r="AI90" i="1" l="1"/>
  <c r="BZ5" i="1"/>
  <c r="BZ4" i="1"/>
  <c r="BZ70" i="1"/>
  <c r="BZ89" i="1"/>
  <c r="BD91" i="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1" i="1"/>
  <c r="BW281" i="1"/>
  <c r="BU281" i="1"/>
  <c r="BV281" i="1" s="1"/>
  <c r="BZ281" i="1" s="1"/>
  <c r="BR281" i="1"/>
  <c r="BT281" i="1" s="1"/>
  <c r="BC281" i="1"/>
  <c r="BB281" i="1"/>
  <c r="BA281" i="1"/>
  <c r="AZ281" i="1"/>
  <c r="AY281" i="1"/>
  <c r="AX281" i="1"/>
  <c r="AW281" i="1"/>
  <c r="AT281" i="1"/>
  <c r="AG281" i="1"/>
  <c r="AF281" i="1" s="1"/>
  <c r="X281" i="1"/>
  <c r="N19" i="2"/>
  <c r="BY36" i="1"/>
  <c r="BW36" i="1"/>
  <c r="BU36" i="1"/>
  <c r="BV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Q101" i="1"/>
  <c r="S101" i="1" s="1"/>
  <c r="BZ36" i="1" l="1"/>
  <c r="BZ7" i="1"/>
  <c r="BZ6" i="1"/>
  <c r="BZ50" i="1"/>
  <c r="BZ8" i="1"/>
  <c r="AI89" i="1"/>
  <c r="AI91" i="1"/>
  <c r="AI36" i="1"/>
  <c r="BD50" i="1"/>
  <c r="BF50" i="1" s="1"/>
  <c r="BE50" i="1"/>
  <c r="BG50" i="1" s="1"/>
  <c r="AI50" i="1"/>
  <c r="BE6" i="1"/>
  <c r="BG6" i="1" s="1"/>
  <c r="BE281" i="1"/>
  <c r="BG281" i="1" s="1"/>
  <c r="AI281" i="1"/>
  <c r="BD8" i="1"/>
  <c r="BF8" i="1" s="1"/>
  <c r="BD6" i="1"/>
  <c r="BF6" i="1" s="1"/>
  <c r="BD281" i="1"/>
  <c r="BF281" i="1" s="1"/>
  <c r="BE36" i="1"/>
  <c r="BG36" i="1" s="1"/>
  <c r="BD36" i="1"/>
  <c r="BF36" i="1" s="1"/>
  <c r="AI6" i="1"/>
  <c r="BE7" i="1"/>
  <c r="BG7" i="1" s="1"/>
  <c r="BD7" i="1"/>
  <c r="BF7" i="1" s="1"/>
  <c r="AI7" i="1"/>
  <c r="AI8" i="1"/>
  <c r="BE8" i="1"/>
  <c r="BG8" i="1" s="1"/>
  <c r="Q103" i="1"/>
  <c r="S103" i="1" s="1"/>
  <c r="Q107" i="1"/>
  <c r="S107" i="1" s="1"/>
  <c r="Q106" i="1" l="1"/>
  <c r="S106" i="1" s="1"/>
  <c r="AW106" i="1"/>
  <c r="BZ249" i="1" l="1"/>
  <c r="BZ252" i="1"/>
  <c r="BZ253" i="1"/>
  <c r="BY282" i="1"/>
  <c r="BW282" i="1"/>
  <c r="BU282" i="1"/>
  <c r="BV282" i="1" s="1"/>
  <c r="BR282" i="1"/>
  <c r="BT282" i="1" s="1"/>
  <c r="BC282" i="1"/>
  <c r="BB282" i="1"/>
  <c r="BA282" i="1"/>
  <c r="AZ282" i="1"/>
  <c r="AY282" i="1"/>
  <c r="AX282" i="1"/>
  <c r="AW282" i="1"/>
  <c r="AT282" i="1"/>
  <c r="AG282" i="1"/>
  <c r="AI282" i="1" s="1"/>
  <c r="X282" i="1"/>
  <c r="Q104" i="1"/>
  <c r="S104" i="1" s="1"/>
  <c r="BY82" i="1"/>
  <c r="BW82" i="1"/>
  <c r="BU82" i="1"/>
  <c r="BV82" i="1" s="1"/>
  <c r="BR82" i="1"/>
  <c r="BT82" i="1" s="1"/>
  <c r="BC82" i="1"/>
  <c r="BB82" i="1"/>
  <c r="BA82" i="1"/>
  <c r="AZ82" i="1"/>
  <c r="AY82" i="1"/>
  <c r="AX82" i="1"/>
  <c r="AW82" i="1"/>
  <c r="AT82" i="1"/>
  <c r="AG82" i="1"/>
  <c r="AI82" i="1" s="1"/>
  <c r="X82" i="1"/>
  <c r="BY81" i="1"/>
  <c r="BW81" i="1"/>
  <c r="BU81" i="1"/>
  <c r="BV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81" i="1" l="1"/>
  <c r="BZ282" i="1"/>
  <c r="BZ105" i="1"/>
  <c r="BZ82" i="1"/>
  <c r="BZ9" i="1"/>
  <c r="AI105" i="1"/>
  <c r="BE282" i="1"/>
  <c r="BG282" i="1" s="1"/>
  <c r="BD282" i="1"/>
  <c r="BF282" i="1" s="1"/>
  <c r="AF282" i="1"/>
  <c r="BE82" i="1"/>
  <c r="BG82" i="1" s="1"/>
  <c r="BE81" i="1"/>
  <c r="BG81" i="1" s="1"/>
  <c r="AF81" i="1"/>
  <c r="AF82" i="1"/>
  <c r="BD81" i="1"/>
  <c r="BF81" i="1" s="1"/>
  <c r="BD82" i="1"/>
  <c r="BF82" i="1" s="1"/>
  <c r="BE105" i="1"/>
  <c r="BG105" i="1" s="1"/>
  <c r="BD105" i="1"/>
  <c r="BF105" i="1" s="1"/>
  <c r="BE9" i="1"/>
  <c r="BG9" i="1" s="1"/>
  <c r="AF9" i="1"/>
  <c r="BD9" i="1"/>
  <c r="BF9" i="1" s="1"/>
  <c r="S110" i="1"/>
  <c r="Q111" i="1"/>
  <c r="S111" i="1" s="1"/>
  <c r="BB265" i="1" l="1"/>
  <c r="AT265" i="1"/>
  <c r="AT296" i="1"/>
  <c r="AT297" i="1"/>
  <c r="AT298" i="1"/>
  <c r="AT299" i="1"/>
  <c r="AT300" i="1"/>
  <c r="AT301" i="1"/>
  <c r="AT302" i="1"/>
  <c r="AT303" i="1"/>
  <c r="AT304" i="1"/>
  <c r="AT307" i="1"/>
  <c r="AT308" i="1"/>
  <c r="AT306" i="1"/>
  <c r="AT305" i="1"/>
  <c r="AT309" i="1"/>
  <c r="AT206" i="1"/>
  <c r="V265" i="1"/>
  <c r="N18" i="2"/>
  <c r="AG265" i="1"/>
  <c r="AF265" i="1" s="1"/>
  <c r="AW265" i="1"/>
  <c r="AX265" i="1"/>
  <c r="AY265" i="1"/>
  <c r="AZ265" i="1"/>
  <c r="BA265" i="1"/>
  <c r="BC265" i="1"/>
  <c r="BR265" i="1"/>
  <c r="BT265" i="1" s="1"/>
  <c r="BU265" i="1"/>
  <c r="BV265" i="1" s="1"/>
  <c r="BZ265" i="1" s="1"/>
  <c r="X265" i="1"/>
  <c r="V173" i="1"/>
  <c r="AI265" i="1" l="1"/>
  <c r="BD265" i="1"/>
  <c r="BF265" i="1" s="1"/>
  <c r="BE265" i="1"/>
  <c r="BG265" i="1" s="1"/>
  <c r="AZ294" i="1"/>
  <c r="AZ290"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6" i="1"/>
  <c r="AZ267" i="1"/>
  <c r="AZ268" i="1"/>
  <c r="AZ269" i="1"/>
  <c r="AZ280" i="1"/>
  <c r="AZ270" i="1"/>
  <c r="AZ271" i="1"/>
  <c r="AZ272" i="1"/>
  <c r="AZ283" i="1"/>
  <c r="AZ284" i="1"/>
  <c r="AZ26" i="1"/>
  <c r="AZ27" i="1"/>
  <c r="AZ285" i="1"/>
  <c r="AZ286" i="1"/>
  <c r="AZ287" i="1"/>
  <c r="AZ288" i="1"/>
  <c r="AZ289" i="1"/>
  <c r="AZ291" i="1"/>
  <c r="AZ292" i="1"/>
  <c r="AZ293" i="1"/>
  <c r="AZ274" i="1"/>
  <c r="AZ277" i="1"/>
  <c r="AZ278" i="1"/>
  <c r="AZ276" i="1"/>
  <c r="AZ273" i="1"/>
  <c r="AZ279" i="1"/>
  <c r="AZ275" i="1"/>
  <c r="AZ295" i="1"/>
  <c r="AZ296" i="1"/>
  <c r="AZ297" i="1"/>
  <c r="AZ298" i="1"/>
  <c r="AZ299" i="1"/>
  <c r="AZ300" i="1"/>
  <c r="AZ301" i="1"/>
  <c r="AZ302" i="1"/>
  <c r="AZ303" i="1"/>
  <c r="AZ304" i="1"/>
  <c r="AZ307" i="1"/>
  <c r="AZ308" i="1"/>
  <c r="AZ306" i="1"/>
  <c r="AZ305" i="1"/>
  <c r="AZ309" i="1"/>
  <c r="AZ206" i="1"/>
  <c r="AZ2" i="1"/>
  <c r="BY267" i="1" l="1"/>
  <c r="BW267" i="1"/>
  <c r="BU267" i="1"/>
  <c r="BV267" i="1" s="1"/>
  <c r="BZ267" i="1" s="1"/>
  <c r="BR267" i="1"/>
  <c r="BT267" i="1" s="1"/>
  <c r="BC267" i="1"/>
  <c r="BB267" i="1"/>
  <c r="BA267" i="1"/>
  <c r="AY267" i="1"/>
  <c r="AW267" i="1"/>
  <c r="AT267" i="1"/>
  <c r="AG267" i="1"/>
  <c r="AF267" i="1" s="1"/>
  <c r="X267" i="1"/>
  <c r="V267" i="1"/>
  <c r="K267" i="1"/>
  <c r="AX267" i="1" s="1"/>
  <c r="BU253" i="1"/>
  <c r="BR253" i="1"/>
  <c r="BT253" i="1" s="1"/>
  <c r="BC253" i="1"/>
  <c r="BB253" i="1"/>
  <c r="BA253" i="1"/>
  <c r="AY253" i="1"/>
  <c r="AW253" i="1"/>
  <c r="AT253" i="1"/>
  <c r="AG253" i="1"/>
  <c r="AI253" i="1" s="1"/>
  <c r="X253" i="1"/>
  <c r="V253" i="1"/>
  <c r="K253" i="1"/>
  <c r="AX253" i="1" s="1"/>
  <c r="BY280" i="1"/>
  <c r="BW280" i="1"/>
  <c r="BU280" i="1"/>
  <c r="BV280" i="1" s="1"/>
  <c r="BR280" i="1"/>
  <c r="BT280" i="1" s="1"/>
  <c r="BC280" i="1"/>
  <c r="BB280" i="1"/>
  <c r="BA280" i="1"/>
  <c r="AY280" i="1"/>
  <c r="AX280" i="1"/>
  <c r="AW280" i="1"/>
  <c r="AT280" i="1"/>
  <c r="AG280" i="1"/>
  <c r="AF280" i="1" s="1"/>
  <c r="X280" i="1"/>
  <c r="V280" i="1"/>
  <c r="BY279" i="1"/>
  <c r="BW279" i="1"/>
  <c r="BU279" i="1"/>
  <c r="BV279" i="1" s="1"/>
  <c r="BZ279" i="1" s="1"/>
  <c r="BR279" i="1"/>
  <c r="BT279" i="1" s="1"/>
  <c r="BC279" i="1"/>
  <c r="BB279" i="1"/>
  <c r="BA279" i="1"/>
  <c r="AY279" i="1"/>
  <c r="AX279" i="1"/>
  <c r="AW279" i="1"/>
  <c r="AT279" i="1"/>
  <c r="AG279" i="1"/>
  <c r="AF279" i="1" s="1"/>
  <c r="X279" i="1"/>
  <c r="V279" i="1"/>
  <c r="BY278" i="1"/>
  <c r="BW278" i="1"/>
  <c r="BU278" i="1"/>
  <c r="BV278" i="1" s="1"/>
  <c r="BR278" i="1"/>
  <c r="BT278" i="1" s="1"/>
  <c r="BC278" i="1"/>
  <c r="BB278" i="1"/>
  <c r="BA278" i="1"/>
  <c r="AY278" i="1"/>
  <c r="AX278" i="1"/>
  <c r="AW278" i="1"/>
  <c r="AT278" i="1"/>
  <c r="AG278" i="1"/>
  <c r="AF278" i="1" s="1"/>
  <c r="X278" i="1"/>
  <c r="V278" i="1"/>
  <c r="BY277" i="1"/>
  <c r="BW277" i="1"/>
  <c r="BU277" i="1"/>
  <c r="BV277" i="1" s="1"/>
  <c r="BZ277" i="1" s="1"/>
  <c r="BR277" i="1"/>
  <c r="BT277" i="1" s="1"/>
  <c r="BC277" i="1"/>
  <c r="BB277" i="1"/>
  <c r="BA277" i="1"/>
  <c r="AY277" i="1"/>
  <c r="AX277" i="1"/>
  <c r="AW277" i="1"/>
  <c r="AT277" i="1"/>
  <c r="AG277" i="1"/>
  <c r="AF277" i="1" s="1"/>
  <c r="X277" i="1"/>
  <c r="V277" i="1"/>
  <c r="V275" i="1"/>
  <c r="V273" i="1"/>
  <c r="BZ278" i="1" l="1"/>
  <c r="BZ280" i="1"/>
  <c r="AF253" i="1"/>
  <c r="BE267" i="1"/>
  <c r="BG267" i="1" s="1"/>
  <c r="BE277" i="1"/>
  <c r="BG277" i="1" s="1"/>
  <c r="BE279" i="1"/>
  <c r="BG279" i="1" s="1"/>
  <c r="BE280" i="1"/>
  <c r="BG280" i="1" s="1"/>
  <c r="BE253" i="1"/>
  <c r="BG253" i="1" s="1"/>
  <c r="BE278" i="1"/>
  <c r="BG278" i="1" s="1"/>
  <c r="AI267" i="1"/>
  <c r="BD267" i="1"/>
  <c r="BF267" i="1" s="1"/>
  <c r="BD253" i="1"/>
  <c r="BF253" i="1" s="1"/>
  <c r="AI280" i="1"/>
  <c r="AI279" i="1"/>
  <c r="AI277" i="1"/>
  <c r="AI278" i="1"/>
  <c r="BD280" i="1"/>
  <c r="BF280" i="1" s="1"/>
  <c r="BD279" i="1"/>
  <c r="BF279" i="1" s="1"/>
  <c r="BD278" i="1"/>
  <c r="BF278" i="1" s="1"/>
  <c r="BD277" i="1"/>
  <c r="BF277" i="1" s="1"/>
  <c r="V276" i="1"/>
  <c r="V274" i="1"/>
  <c r="V272" i="1" l="1"/>
  <c r="K272" i="1"/>
  <c r="V266" i="1"/>
  <c r="V252" i="1"/>
  <c r="V249" i="1"/>
  <c r="V269" i="1"/>
  <c r="V271" i="1"/>
  <c r="K249" i="1" l="1"/>
  <c r="BC249" i="1" l="1"/>
  <c r="BB249" i="1"/>
  <c r="BA249" i="1"/>
  <c r="BC252" i="1"/>
  <c r="BB252" i="1"/>
  <c r="BA252" i="1"/>
  <c r="BU249" i="1"/>
  <c r="BR249" i="1"/>
  <c r="BT249" i="1" s="1"/>
  <c r="AY249" i="1"/>
  <c r="AW249" i="1"/>
  <c r="AT249" i="1"/>
  <c r="AG249" i="1"/>
  <c r="AF249" i="1" s="1"/>
  <c r="X249" i="1"/>
  <c r="AX249" i="1"/>
  <c r="BY275" i="1"/>
  <c r="BW275" i="1"/>
  <c r="BU275" i="1"/>
  <c r="BV275" i="1" s="1"/>
  <c r="BR275" i="1"/>
  <c r="BT275" i="1" s="1"/>
  <c r="BC275" i="1"/>
  <c r="BB275" i="1"/>
  <c r="BA275" i="1"/>
  <c r="AY275" i="1"/>
  <c r="AX275" i="1"/>
  <c r="AW275" i="1"/>
  <c r="AT275" i="1"/>
  <c r="AG275" i="1"/>
  <c r="AF275" i="1" s="1"/>
  <c r="X275" i="1"/>
  <c r="BY273" i="1"/>
  <c r="BW273" i="1"/>
  <c r="BU273" i="1"/>
  <c r="BV273" i="1" s="1"/>
  <c r="BR273" i="1"/>
  <c r="BT273" i="1" s="1"/>
  <c r="BC273" i="1"/>
  <c r="BB273" i="1"/>
  <c r="BA273" i="1"/>
  <c r="AY273" i="1"/>
  <c r="AX273" i="1"/>
  <c r="AW273" i="1"/>
  <c r="AT273" i="1"/>
  <c r="AG273" i="1"/>
  <c r="AF273" i="1" s="1"/>
  <c r="X273" i="1"/>
  <c r="BY276" i="1"/>
  <c r="BW276" i="1"/>
  <c r="BU276" i="1"/>
  <c r="BV276" i="1" s="1"/>
  <c r="BR276" i="1"/>
  <c r="BT276" i="1" s="1"/>
  <c r="BC276" i="1"/>
  <c r="BB276" i="1"/>
  <c r="BA276" i="1"/>
  <c r="AY276" i="1"/>
  <c r="AX276" i="1"/>
  <c r="AW276" i="1"/>
  <c r="AT276" i="1"/>
  <c r="AG276" i="1"/>
  <c r="AF276" i="1" s="1"/>
  <c r="X276" i="1"/>
  <c r="K252" i="1"/>
  <c r="AX252" i="1" s="1"/>
  <c r="X252" i="1"/>
  <c r="AG252" i="1"/>
  <c r="AF252" i="1" s="1"/>
  <c r="AT252" i="1"/>
  <c r="AW252" i="1"/>
  <c r="AY252" i="1"/>
  <c r="BR252" i="1"/>
  <c r="BT252" i="1" s="1"/>
  <c r="BU252" i="1"/>
  <c r="BZ276" i="1" l="1"/>
  <c r="BZ273" i="1"/>
  <c r="BZ275" i="1"/>
  <c r="BE275" i="1"/>
  <c r="BG275" i="1" s="1"/>
  <c r="BE273" i="1"/>
  <c r="BG273" i="1" s="1"/>
  <c r="AI249" i="1"/>
  <c r="BE252" i="1"/>
  <c r="BG252" i="1" s="1"/>
  <c r="BE276" i="1"/>
  <c r="BG276" i="1" s="1"/>
  <c r="BE249" i="1"/>
  <c r="BG249" i="1" s="1"/>
  <c r="AI276" i="1"/>
  <c r="BD252" i="1"/>
  <c r="BF252" i="1" s="1"/>
  <c r="AI252" i="1"/>
  <c r="AI275" i="1"/>
  <c r="BD249" i="1"/>
  <c r="BF249" i="1" s="1"/>
  <c r="BD273" i="1"/>
  <c r="BF273" i="1" s="1"/>
  <c r="BD275" i="1"/>
  <c r="BF275" i="1" s="1"/>
  <c r="AI273" i="1"/>
  <c r="BD276" i="1"/>
  <c r="BF276"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0" i="1"/>
  <c r="BW260" i="1"/>
  <c r="BU260" i="1"/>
  <c r="BV260" i="1" s="1"/>
  <c r="BR260" i="1"/>
  <c r="BT260" i="1" s="1"/>
  <c r="BC260" i="1"/>
  <c r="BB260" i="1"/>
  <c r="BA260" i="1"/>
  <c r="AY260" i="1"/>
  <c r="AX260" i="1"/>
  <c r="AW260" i="1"/>
  <c r="AT260" i="1"/>
  <c r="AG260" i="1"/>
  <c r="AI260" i="1" s="1"/>
  <c r="X260" i="1"/>
  <c r="V260" i="1"/>
  <c r="BZ260" i="1" l="1"/>
  <c r="BE260" i="1"/>
  <c r="BG260" i="1" s="1"/>
  <c r="B39" i="6"/>
  <c r="BD260" i="1"/>
  <c r="BF260" i="1" s="1"/>
  <c r="AF260" i="1"/>
  <c r="BR309" i="1"/>
  <c r="BT309" i="1" s="1"/>
  <c r="BR201" i="1"/>
  <c r="BT201" i="1" s="1"/>
  <c r="BR206" i="1"/>
  <c r="BT206" i="1" s="1"/>
  <c r="AW309" i="1"/>
  <c r="AX309" i="1"/>
  <c r="AY309" i="1"/>
  <c r="AW201" i="1"/>
  <c r="AX201" i="1"/>
  <c r="AY201" i="1"/>
  <c r="AW206" i="1"/>
  <c r="AX206" i="1"/>
  <c r="AY206" i="1"/>
  <c r="BU206" i="1"/>
  <c r="BV206" i="1" s="1"/>
  <c r="BZ206" i="1" s="1"/>
  <c r="BC309" i="1"/>
  <c r="BC201" i="1"/>
  <c r="BC206" i="1"/>
  <c r="BB309" i="1"/>
  <c r="BB201" i="1"/>
  <c r="BB206" i="1"/>
  <c r="AT201" i="1"/>
  <c r="AG309" i="1"/>
  <c r="AF309" i="1" s="1"/>
  <c r="AG201" i="1"/>
  <c r="AF201" i="1" s="1"/>
  <c r="AG206" i="1"/>
  <c r="AF206" i="1" s="1"/>
  <c r="X296" i="1"/>
  <c r="X297" i="1"/>
  <c r="X298" i="1"/>
  <c r="X299" i="1"/>
  <c r="X300" i="1"/>
  <c r="X301" i="1"/>
  <c r="X302" i="1"/>
  <c r="X303" i="1"/>
  <c r="X304" i="1"/>
  <c r="X307" i="1"/>
  <c r="X308" i="1"/>
  <c r="X306" i="1"/>
  <c r="X305" i="1"/>
  <c r="X309" i="1"/>
  <c r="X201" i="1"/>
  <c r="X206" i="1"/>
  <c r="AI309"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50" i="1"/>
  <c r="BW251" i="1"/>
  <c r="BW254" i="1"/>
  <c r="BW255" i="1"/>
  <c r="BW256" i="1"/>
  <c r="BW257" i="1"/>
  <c r="BW258" i="1"/>
  <c r="BW259" i="1"/>
  <c r="BW261" i="1"/>
  <c r="BW262" i="1"/>
  <c r="BW270" i="1"/>
  <c r="BW263" i="1"/>
  <c r="BW264" i="1"/>
  <c r="BW266" i="1"/>
  <c r="BW268" i="1"/>
  <c r="BW283" i="1"/>
  <c r="BW284" i="1"/>
  <c r="BW26" i="1"/>
  <c r="BW27" i="1"/>
  <c r="BW285" i="1"/>
  <c r="BW286" i="1"/>
  <c r="BW287" i="1"/>
  <c r="BW288" i="1"/>
  <c r="BW289" i="1"/>
  <c r="BW290" i="1"/>
  <c r="BW291" i="1"/>
  <c r="BW292" i="1"/>
  <c r="BW293" i="1"/>
  <c r="BW271" i="1"/>
  <c r="BW269" i="1"/>
  <c r="BW272" i="1"/>
  <c r="BW274" i="1"/>
  <c r="BW294" i="1"/>
  <c r="BW295" i="1"/>
  <c r="BW296" i="1"/>
  <c r="BW297" i="1"/>
  <c r="BW298" i="1"/>
  <c r="BW299" i="1"/>
  <c r="BW300" i="1"/>
  <c r="BW301" i="1"/>
  <c r="BW302" i="1"/>
  <c r="BW303" i="1"/>
  <c r="BW304" i="1"/>
  <c r="BW307" i="1"/>
  <c r="BW308" i="1"/>
  <c r="BW306" i="1"/>
  <c r="BW305" i="1"/>
  <c r="BW309"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50" i="1"/>
  <c r="BV250" i="1" s="1"/>
  <c r="BU251" i="1"/>
  <c r="BV251" i="1" s="1"/>
  <c r="BU254" i="1"/>
  <c r="BV254" i="1" s="1"/>
  <c r="BU255" i="1"/>
  <c r="BV255" i="1" s="1"/>
  <c r="BU256" i="1"/>
  <c r="BV256" i="1" s="1"/>
  <c r="BU257" i="1"/>
  <c r="BV257" i="1" s="1"/>
  <c r="BU258" i="1"/>
  <c r="BV258" i="1" s="1"/>
  <c r="BU259" i="1"/>
  <c r="BV259" i="1" s="1"/>
  <c r="BU261" i="1"/>
  <c r="BV261" i="1" s="1"/>
  <c r="BU262" i="1"/>
  <c r="BV262" i="1" s="1"/>
  <c r="BU270" i="1"/>
  <c r="BV270" i="1" s="1"/>
  <c r="BU263" i="1"/>
  <c r="BV263" i="1" s="1"/>
  <c r="BU264" i="1"/>
  <c r="BV264" i="1" s="1"/>
  <c r="BU266" i="1"/>
  <c r="BV266" i="1" s="1"/>
  <c r="BU268" i="1"/>
  <c r="BV268" i="1" s="1"/>
  <c r="BU283" i="1"/>
  <c r="BV283" i="1" s="1"/>
  <c r="BU284" i="1"/>
  <c r="BV284" i="1" s="1"/>
  <c r="BU26" i="1"/>
  <c r="BV26" i="1" s="1"/>
  <c r="BU27" i="1"/>
  <c r="BV27" i="1" s="1"/>
  <c r="BU285" i="1"/>
  <c r="BV285" i="1" s="1"/>
  <c r="BU286" i="1"/>
  <c r="BV286" i="1" s="1"/>
  <c r="BU287" i="1"/>
  <c r="BV287" i="1" s="1"/>
  <c r="BU288" i="1"/>
  <c r="BU289" i="1"/>
  <c r="BU290" i="1"/>
  <c r="BU291" i="1"/>
  <c r="BU292" i="1"/>
  <c r="BV292" i="1" s="1"/>
  <c r="BU293" i="1"/>
  <c r="BV293" i="1" s="1"/>
  <c r="BU271" i="1"/>
  <c r="BV271" i="1" s="1"/>
  <c r="BU269" i="1"/>
  <c r="BV269" i="1" s="1"/>
  <c r="BU272" i="1"/>
  <c r="BV272" i="1" s="1"/>
  <c r="BU274" i="1"/>
  <c r="BV274" i="1" s="1"/>
  <c r="BU294" i="1"/>
  <c r="BV294" i="1" s="1"/>
  <c r="BU295" i="1"/>
  <c r="BV295" i="1" s="1"/>
  <c r="BU296" i="1"/>
  <c r="BU297" i="1"/>
  <c r="BU298" i="1"/>
  <c r="BU300" i="1"/>
  <c r="BU301" i="1"/>
  <c r="BU302" i="1"/>
  <c r="BV302" i="1" s="1"/>
  <c r="BU303" i="1"/>
  <c r="BU304" i="1"/>
  <c r="BV304" i="1" s="1"/>
  <c r="BU307" i="1"/>
  <c r="BU308" i="1"/>
  <c r="BU306" i="1"/>
  <c r="BU305" i="1"/>
  <c r="BU309" i="1"/>
  <c r="BV309" i="1" s="1"/>
  <c r="BU201" i="1"/>
  <c r="BV201" i="1" s="1"/>
  <c r="BU2" i="1"/>
  <c r="BZ201" i="1" l="1"/>
  <c r="BZ309" i="1"/>
  <c r="BV88" i="1"/>
  <c r="BV289" i="1"/>
  <c r="BV299" i="1"/>
  <c r="BV298" i="1"/>
  <c r="BV305" i="1"/>
  <c r="BV296" i="1"/>
  <c r="BV306" i="1"/>
  <c r="BV290" i="1"/>
  <c r="BV308" i="1"/>
  <c r="BV288" i="1"/>
  <c r="BV300" i="1"/>
  <c r="BV24" i="1"/>
  <c r="BV16" i="1"/>
  <c r="BV307" i="1"/>
  <c r="BV297" i="1"/>
  <c r="BV23" i="1"/>
  <c r="BV15" i="1"/>
  <c r="BV22" i="1"/>
  <c r="BV14" i="1"/>
  <c r="BV2" i="1"/>
  <c r="BV303" i="1"/>
  <c r="BV291" i="1"/>
  <c r="BV21" i="1"/>
  <c r="BV13" i="1"/>
  <c r="BV20" i="1"/>
  <c r="BV12" i="1"/>
  <c r="BV301"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09" i="1"/>
  <c r="BE309" i="1" s="1"/>
  <c r="BD201" i="1" l="1"/>
  <c r="BF201" i="1" s="1"/>
  <c r="BG201" i="1"/>
  <c r="BD206" i="1"/>
  <c r="BF206" i="1" s="1"/>
  <c r="BG206" i="1"/>
  <c r="BD309" i="1"/>
  <c r="BF309" i="1" s="1"/>
  <c r="BG309"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50" i="1"/>
  <c r="BZ250" i="1" s="1"/>
  <c r="BY251" i="1"/>
  <c r="BZ251" i="1" s="1"/>
  <c r="BY254" i="1"/>
  <c r="BZ254" i="1" s="1"/>
  <c r="BY255" i="1"/>
  <c r="BZ255" i="1" s="1"/>
  <c r="BY256" i="1"/>
  <c r="BZ256" i="1" s="1"/>
  <c r="BY257" i="1"/>
  <c r="BZ257" i="1" s="1"/>
  <c r="BY258" i="1"/>
  <c r="BZ258" i="1" s="1"/>
  <c r="BY259" i="1"/>
  <c r="BZ259" i="1" s="1"/>
  <c r="BY261" i="1"/>
  <c r="BZ261" i="1" s="1"/>
  <c r="BY262" i="1"/>
  <c r="BZ262" i="1" s="1"/>
  <c r="BY270" i="1"/>
  <c r="BZ270" i="1" s="1"/>
  <c r="BY263" i="1"/>
  <c r="BZ263" i="1" s="1"/>
  <c r="BY264" i="1"/>
  <c r="BZ264" i="1" s="1"/>
  <c r="BY266" i="1"/>
  <c r="BZ266" i="1" s="1"/>
  <c r="BY268" i="1"/>
  <c r="BZ268" i="1" s="1"/>
  <c r="BY283" i="1"/>
  <c r="BZ283" i="1" s="1"/>
  <c r="BY284" i="1"/>
  <c r="BZ284" i="1" s="1"/>
  <c r="BY26" i="1"/>
  <c r="BZ26" i="1" s="1"/>
  <c r="BY27" i="1"/>
  <c r="BZ27" i="1" s="1"/>
  <c r="BY285" i="1"/>
  <c r="BZ285" i="1" s="1"/>
  <c r="BY286" i="1"/>
  <c r="BZ286" i="1" s="1"/>
  <c r="BY287" i="1"/>
  <c r="BZ287" i="1" s="1"/>
  <c r="BY288" i="1"/>
  <c r="BZ288" i="1" s="1"/>
  <c r="BY289" i="1"/>
  <c r="BZ289" i="1" s="1"/>
  <c r="BY290" i="1"/>
  <c r="BZ290" i="1" s="1"/>
  <c r="BY291" i="1"/>
  <c r="BZ291" i="1" s="1"/>
  <c r="BY292" i="1"/>
  <c r="BZ292" i="1" s="1"/>
  <c r="BY293" i="1"/>
  <c r="BZ293" i="1" s="1"/>
  <c r="BY271" i="1"/>
  <c r="BZ271" i="1" s="1"/>
  <c r="BY269" i="1"/>
  <c r="BZ269" i="1" s="1"/>
  <c r="BY272" i="1"/>
  <c r="BZ272" i="1" s="1"/>
  <c r="BY274" i="1"/>
  <c r="BZ274" i="1" s="1"/>
  <c r="BY294" i="1"/>
  <c r="BZ294"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7" i="1"/>
  <c r="BZ307" i="1" s="1"/>
  <c r="BY308" i="1"/>
  <c r="BZ308" i="1" s="1"/>
  <c r="BY306" i="1"/>
  <c r="BZ306" i="1" s="1"/>
  <c r="BY305" i="1"/>
  <c r="BZ305"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V268" i="1"/>
  <c r="V270" i="1"/>
  <c r="V263" i="1"/>
  <c r="V264" i="1"/>
  <c r="V255" i="1"/>
  <c r="V256" i="1"/>
  <c r="V257" i="1"/>
  <c r="V258" i="1"/>
  <c r="V259" i="1"/>
  <c r="V261" i="1"/>
  <c r="V262" i="1"/>
  <c r="V251" i="1"/>
  <c r="V241" i="1"/>
  <c r="V242" i="1"/>
  <c r="V243" i="1"/>
  <c r="V247" i="1"/>
  <c r="V248" i="1"/>
  <c r="V233" i="1"/>
  <c r="V234" i="1"/>
  <c r="V235" i="1"/>
  <c r="V236" i="1"/>
  <c r="V237" i="1"/>
  <c r="V238" i="1"/>
  <c r="V239" i="1"/>
  <c r="V240" i="1"/>
  <c r="V232" i="1"/>
  <c r="V228" i="1"/>
  <c r="V227" i="1"/>
  <c r="V226" i="1"/>
  <c r="V224" i="1"/>
  <c r="V223" i="1"/>
  <c r="V221" i="1"/>
  <c r="V219" i="1"/>
  <c r="V218" i="1"/>
  <c r="V217" i="1"/>
  <c r="V216" i="1"/>
  <c r="V215"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6" i="1"/>
  <c r="X256" i="1" s="1"/>
  <c r="BR256" i="1"/>
  <c r="BT256" i="1" s="1"/>
  <c r="BC256" i="1"/>
  <c r="BB256" i="1"/>
  <c r="BA256" i="1"/>
  <c r="AY256" i="1"/>
  <c r="AX256" i="1"/>
  <c r="AW256" i="1"/>
  <c r="AT256" i="1"/>
  <c r="AG256" i="1"/>
  <c r="AI256" i="1" s="1"/>
  <c r="T231" i="1"/>
  <c r="X231" i="1" s="1"/>
  <c r="BR231" i="1"/>
  <c r="BT231" i="1" s="1"/>
  <c r="BC231" i="1"/>
  <c r="BB231" i="1"/>
  <c r="BA231" i="1"/>
  <c r="AY231" i="1"/>
  <c r="AX231" i="1"/>
  <c r="AW231" i="1"/>
  <c r="AT231" i="1"/>
  <c r="AG231" i="1"/>
  <c r="AI231" i="1" s="1"/>
  <c r="T251" i="1"/>
  <c r="BR250" i="1"/>
  <c r="BT250" i="1" s="1"/>
  <c r="BC250" i="1"/>
  <c r="BB250" i="1"/>
  <c r="AY250" i="1"/>
  <c r="AX250" i="1"/>
  <c r="AW250" i="1"/>
  <c r="AT250" i="1"/>
  <c r="AG250" i="1"/>
  <c r="AI250" i="1" s="1"/>
  <c r="AE250" i="1"/>
  <c r="BA250" i="1" s="1"/>
  <c r="X250" i="1"/>
  <c r="T264" i="1"/>
  <c r="BR263" i="1"/>
  <c r="BT263" i="1" s="1"/>
  <c r="BC263" i="1"/>
  <c r="BB263" i="1"/>
  <c r="BA263" i="1"/>
  <c r="AY263" i="1"/>
  <c r="AX263" i="1"/>
  <c r="AW263" i="1"/>
  <c r="AT263" i="1"/>
  <c r="AG263" i="1"/>
  <c r="AI263" i="1" s="1"/>
  <c r="X263" i="1"/>
  <c r="T259" i="1"/>
  <c r="X259" i="1" s="1"/>
  <c r="BR259" i="1"/>
  <c r="BT259" i="1" s="1"/>
  <c r="BC259" i="1"/>
  <c r="BB259" i="1"/>
  <c r="BA259" i="1"/>
  <c r="AY259" i="1"/>
  <c r="AW259" i="1"/>
  <c r="AT259" i="1"/>
  <c r="AG259" i="1"/>
  <c r="AI259" i="1" s="1"/>
  <c r="K259" i="1"/>
  <c r="AX259" i="1" s="1"/>
  <c r="T239" i="1"/>
  <c r="X239" i="1" s="1"/>
  <c r="BR239" i="1"/>
  <c r="BT239" i="1" s="1"/>
  <c r="BC239" i="1"/>
  <c r="BB239" i="1"/>
  <c r="BA239" i="1"/>
  <c r="AY239" i="1"/>
  <c r="AX239" i="1"/>
  <c r="AW239" i="1"/>
  <c r="AT239" i="1"/>
  <c r="AG239" i="1"/>
  <c r="AI239" i="1" s="1"/>
  <c r="T224" i="1"/>
  <c r="X224" i="1" s="1"/>
  <c r="BR224" i="1"/>
  <c r="BT224" i="1" s="1"/>
  <c r="BC224" i="1"/>
  <c r="BB224" i="1"/>
  <c r="BA224" i="1"/>
  <c r="AY224" i="1"/>
  <c r="AX224" i="1"/>
  <c r="AW224" i="1"/>
  <c r="AT224" i="1"/>
  <c r="AG224" i="1"/>
  <c r="AI224" i="1" s="1"/>
  <c r="T246" i="1"/>
  <c r="X246" i="1" s="1"/>
  <c r="T255" i="1"/>
  <c r="X255" i="1" s="1"/>
  <c r="BR255" i="1"/>
  <c r="BT255" i="1" s="1"/>
  <c r="BC255" i="1"/>
  <c r="BB255" i="1"/>
  <c r="BA255" i="1"/>
  <c r="AY255" i="1"/>
  <c r="AX255" i="1"/>
  <c r="AW255" i="1"/>
  <c r="AT255" i="1"/>
  <c r="AG255" i="1"/>
  <c r="AI255" i="1" s="1"/>
  <c r="T230" i="1"/>
  <c r="X230" i="1" s="1"/>
  <c r="BR230" i="1"/>
  <c r="BT230" i="1" s="1"/>
  <c r="BC230" i="1"/>
  <c r="BB230" i="1"/>
  <c r="BA230" i="1"/>
  <c r="AY230" i="1"/>
  <c r="AX230" i="1"/>
  <c r="AW230" i="1"/>
  <c r="AT230" i="1"/>
  <c r="AG230" i="1"/>
  <c r="AI230" i="1" s="1"/>
  <c r="BR246" i="1"/>
  <c r="BT246" i="1" s="1"/>
  <c r="BC246" i="1"/>
  <c r="BB246" i="1"/>
  <c r="BA246" i="1"/>
  <c r="AY246" i="1"/>
  <c r="AX246" i="1"/>
  <c r="AW246" i="1"/>
  <c r="AT246" i="1"/>
  <c r="AG246" i="1"/>
  <c r="AI246" i="1" s="1"/>
  <c r="BE256" i="1" l="1"/>
  <c r="BG256" i="1" s="1"/>
  <c r="BE263" i="1"/>
  <c r="BG263" i="1" s="1"/>
  <c r="BE224" i="1"/>
  <c r="BG224" i="1" s="1"/>
  <c r="BE246" i="1"/>
  <c r="BG246" i="1" s="1"/>
  <c r="BE239" i="1"/>
  <c r="BG239" i="1" s="1"/>
  <c r="BE250" i="1"/>
  <c r="BG250" i="1" s="1"/>
  <c r="BE230" i="1"/>
  <c r="BG230" i="1" s="1"/>
  <c r="BE259" i="1"/>
  <c r="BG259" i="1" s="1"/>
  <c r="BE231" i="1"/>
  <c r="BG231" i="1" s="1"/>
  <c r="BE255" i="1"/>
  <c r="BG255" i="1" s="1"/>
  <c r="BD263" i="1"/>
  <c r="BF263" i="1" s="1"/>
  <c r="BD250" i="1"/>
  <c r="BF250" i="1" s="1"/>
  <c r="BD246" i="1"/>
  <c r="BF246" i="1" s="1"/>
  <c r="BD255" i="1"/>
  <c r="BF255" i="1" s="1"/>
  <c r="BD259" i="1"/>
  <c r="BF259" i="1" s="1"/>
  <c r="BD239" i="1"/>
  <c r="BF239" i="1" s="1"/>
  <c r="BD256" i="1"/>
  <c r="BF256" i="1" s="1"/>
  <c r="BD231" i="1"/>
  <c r="BF231" i="1" s="1"/>
  <c r="AF263" i="1"/>
  <c r="AF239" i="1"/>
  <c r="BD224" i="1"/>
  <c r="BF224" i="1" s="1"/>
  <c r="BD230" i="1"/>
  <c r="BF230" i="1" s="1"/>
  <c r="AF246"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7" i="1"/>
  <c r="AT238" i="1"/>
  <c r="AT240" i="1"/>
  <c r="AT241" i="1"/>
  <c r="AT242" i="1"/>
  <c r="AT243" i="1"/>
  <c r="AT244" i="1"/>
  <c r="AT245" i="1"/>
  <c r="AT247" i="1"/>
  <c r="AT248" i="1"/>
  <c r="AT251" i="1"/>
  <c r="AT254" i="1"/>
  <c r="AT257" i="1"/>
  <c r="AT258" i="1"/>
  <c r="AT261" i="1"/>
  <c r="AT262" i="1"/>
  <c r="AT264" i="1"/>
  <c r="AT266" i="1"/>
  <c r="AT268" i="1"/>
  <c r="AT270" i="1"/>
  <c r="AT283" i="1"/>
  <c r="AT284" i="1"/>
  <c r="AT26" i="1"/>
  <c r="AT27" i="1"/>
  <c r="AT285" i="1"/>
  <c r="AT286" i="1"/>
  <c r="AT287" i="1"/>
  <c r="AT288" i="1"/>
  <c r="AT289" i="1"/>
  <c r="AT290" i="1"/>
  <c r="AT291" i="1"/>
  <c r="AT292" i="1"/>
  <c r="AT293" i="1"/>
  <c r="AT271" i="1"/>
  <c r="AT269" i="1"/>
  <c r="AT272" i="1"/>
  <c r="AT274" i="1"/>
  <c r="AT294" i="1"/>
  <c r="AT295" i="1"/>
  <c r="AT2" i="1"/>
  <c r="BC30" i="1" l="1"/>
  <c r="BC28" i="1"/>
  <c r="BC29" i="1"/>
  <c r="BC284"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6" i="1"/>
  <c r="BC213" i="1"/>
  <c r="BC26" i="1"/>
  <c r="BC27" i="1"/>
  <c r="BC285" i="1"/>
  <c r="BC286" i="1"/>
  <c r="BC287" i="1"/>
  <c r="BC288" i="1"/>
  <c r="BC289" i="1"/>
  <c r="BC290" i="1"/>
  <c r="BC291" i="1"/>
  <c r="BC292" i="1"/>
  <c r="BC293" i="1"/>
  <c r="BC271" i="1"/>
  <c r="BC269" i="1"/>
  <c r="BC272" i="1"/>
  <c r="BC274" i="1"/>
  <c r="BC294" i="1"/>
  <c r="BC295" i="1"/>
  <c r="BC296" i="1"/>
  <c r="BC297" i="1"/>
  <c r="BC298" i="1"/>
  <c r="BC299" i="1"/>
  <c r="BC300" i="1"/>
  <c r="BC301" i="1"/>
  <c r="BC302" i="1"/>
  <c r="BC303" i="1"/>
  <c r="BC304" i="1"/>
  <c r="BC307" i="1"/>
  <c r="BC308" i="1"/>
  <c r="BC306" i="1"/>
  <c r="BC305" i="1"/>
  <c r="BC215" i="1"/>
  <c r="BC216" i="1"/>
  <c r="BC217" i="1"/>
  <c r="BC218" i="1"/>
  <c r="BC219" i="1"/>
  <c r="BC173" i="1"/>
  <c r="BC221" i="1"/>
  <c r="BC223" i="1"/>
  <c r="BC225" i="1"/>
  <c r="BC226" i="1"/>
  <c r="BC227" i="1"/>
  <c r="BC228" i="1"/>
  <c r="BC229" i="1"/>
  <c r="BC232" i="1"/>
  <c r="BC233" i="1"/>
  <c r="BC234" i="1"/>
  <c r="BC235" i="1"/>
  <c r="BC236" i="1"/>
  <c r="BC237" i="1"/>
  <c r="BC238" i="1"/>
  <c r="BC240" i="1"/>
  <c r="BC241" i="1"/>
  <c r="BC242" i="1"/>
  <c r="BC243" i="1"/>
  <c r="BC244" i="1"/>
  <c r="BC247" i="1"/>
  <c r="BC248" i="1"/>
  <c r="BC251" i="1"/>
  <c r="BC254" i="1"/>
  <c r="BC257" i="1"/>
  <c r="BC258" i="1"/>
  <c r="BC261" i="1"/>
  <c r="BC262" i="1"/>
  <c r="BC264" i="1"/>
  <c r="BC268" i="1"/>
  <c r="BC270" i="1"/>
  <c r="BC245"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3" i="1"/>
  <c r="BA30" i="1"/>
  <c r="BA28" i="1"/>
  <c r="BA29" i="1"/>
  <c r="BA284"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6" i="1"/>
  <c r="BA213" i="1"/>
  <c r="BA26" i="1"/>
  <c r="BA27" i="1"/>
  <c r="BA285" i="1"/>
  <c r="BA286" i="1"/>
  <c r="BA287" i="1"/>
  <c r="BA288" i="1"/>
  <c r="BA289" i="1"/>
  <c r="BA290" i="1"/>
  <c r="BA291" i="1"/>
  <c r="BA292" i="1"/>
  <c r="BA293" i="1"/>
  <c r="BA271" i="1"/>
  <c r="BA269" i="1"/>
  <c r="BA272" i="1"/>
  <c r="BA274" i="1"/>
  <c r="BA294" i="1"/>
  <c r="BA296" i="1"/>
  <c r="BA297" i="1"/>
  <c r="BA298" i="1"/>
  <c r="BA299" i="1"/>
  <c r="BA301" i="1"/>
  <c r="BA302" i="1"/>
  <c r="BA303" i="1"/>
  <c r="BA304" i="1"/>
  <c r="BA307" i="1"/>
  <c r="BA308" i="1"/>
  <c r="BA306" i="1"/>
  <c r="BA305" i="1"/>
  <c r="BA215" i="1"/>
  <c r="BA216" i="1"/>
  <c r="BA217" i="1"/>
  <c r="BA219" i="1"/>
  <c r="BA173" i="1"/>
  <c r="BA221" i="1"/>
  <c r="BA223" i="1"/>
  <c r="BA225" i="1"/>
  <c r="BA226" i="1"/>
  <c r="BA227" i="1"/>
  <c r="BA228" i="1"/>
  <c r="BA229" i="1"/>
  <c r="BA232" i="1"/>
  <c r="BA233" i="1"/>
  <c r="BA234" i="1"/>
  <c r="BA235" i="1"/>
  <c r="BA236" i="1"/>
  <c r="BA237" i="1"/>
  <c r="BA238" i="1"/>
  <c r="BA240" i="1"/>
  <c r="BA241" i="1"/>
  <c r="BA242" i="1"/>
  <c r="BA243" i="1"/>
  <c r="BA244" i="1"/>
  <c r="BA247" i="1"/>
  <c r="BA248" i="1"/>
  <c r="BA254" i="1"/>
  <c r="BA257" i="1"/>
  <c r="BA258" i="1"/>
  <c r="BA261" i="1"/>
  <c r="BA262" i="1"/>
  <c r="BA264" i="1"/>
  <c r="BA268" i="1"/>
  <c r="BA270" i="1"/>
  <c r="BA245"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3" i="1"/>
  <c r="AW30" i="1"/>
  <c r="AX30" i="1"/>
  <c r="AY30" i="1"/>
  <c r="BB30" i="1"/>
  <c r="AW28" i="1"/>
  <c r="AX28" i="1"/>
  <c r="AY28" i="1"/>
  <c r="BB28" i="1"/>
  <c r="AW29" i="1"/>
  <c r="AX29" i="1"/>
  <c r="AY29" i="1"/>
  <c r="BB29" i="1"/>
  <c r="AW284" i="1"/>
  <c r="AX284" i="1"/>
  <c r="AY284" i="1"/>
  <c r="BB284"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6" i="1"/>
  <c r="AY266" i="1"/>
  <c r="BB266" i="1"/>
  <c r="AW213" i="1"/>
  <c r="AX213" i="1"/>
  <c r="AY213" i="1"/>
  <c r="BB213" i="1"/>
  <c r="AW26" i="1"/>
  <c r="AX26" i="1"/>
  <c r="AY26" i="1"/>
  <c r="BB26" i="1"/>
  <c r="AW27" i="1"/>
  <c r="AX27" i="1"/>
  <c r="AY27" i="1"/>
  <c r="BB27" i="1"/>
  <c r="AW285" i="1"/>
  <c r="AX285" i="1"/>
  <c r="AY285" i="1"/>
  <c r="BB285"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71" i="1"/>
  <c r="AX271" i="1"/>
  <c r="AY271" i="1"/>
  <c r="BB271" i="1"/>
  <c r="AW269" i="1"/>
  <c r="AX269" i="1"/>
  <c r="AY269" i="1"/>
  <c r="BB269" i="1"/>
  <c r="AW272" i="1"/>
  <c r="AX272" i="1"/>
  <c r="AY272" i="1"/>
  <c r="BB272" i="1"/>
  <c r="AW274" i="1"/>
  <c r="AX274" i="1"/>
  <c r="AY274" i="1"/>
  <c r="BB274" i="1"/>
  <c r="AW294" i="1"/>
  <c r="AX294" i="1"/>
  <c r="AY294" i="1"/>
  <c r="BB294"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7" i="1"/>
  <c r="AX307" i="1"/>
  <c r="AY307" i="1"/>
  <c r="BB307" i="1"/>
  <c r="AW308" i="1"/>
  <c r="AX308" i="1"/>
  <c r="AY308" i="1"/>
  <c r="BB308" i="1"/>
  <c r="AW306" i="1"/>
  <c r="AX306" i="1"/>
  <c r="AY306" i="1"/>
  <c r="BB306" i="1"/>
  <c r="AW305" i="1"/>
  <c r="AX305" i="1"/>
  <c r="AY305" i="1"/>
  <c r="BB305"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7" i="1"/>
  <c r="AY237" i="1"/>
  <c r="BB237" i="1"/>
  <c r="AW238" i="1"/>
  <c r="AX238" i="1"/>
  <c r="AY238" i="1"/>
  <c r="BB238" i="1"/>
  <c r="AW240" i="1"/>
  <c r="AY240" i="1"/>
  <c r="BB240" i="1"/>
  <c r="AW241" i="1"/>
  <c r="AX241" i="1"/>
  <c r="AY241" i="1"/>
  <c r="BB241" i="1"/>
  <c r="AW242" i="1"/>
  <c r="AY242" i="1"/>
  <c r="BB242" i="1"/>
  <c r="AW243" i="1"/>
  <c r="AX243" i="1"/>
  <c r="AY243" i="1"/>
  <c r="BB243" i="1"/>
  <c r="AW244" i="1"/>
  <c r="AX244" i="1"/>
  <c r="AY244" i="1"/>
  <c r="BB244" i="1"/>
  <c r="AW247" i="1"/>
  <c r="AX247" i="1"/>
  <c r="AY247" i="1"/>
  <c r="BB247" i="1"/>
  <c r="AW248" i="1"/>
  <c r="AX248" i="1"/>
  <c r="AY248" i="1"/>
  <c r="BB248" i="1"/>
  <c r="AW251" i="1"/>
  <c r="AX251" i="1"/>
  <c r="AY251" i="1"/>
  <c r="BB251" i="1"/>
  <c r="AW254" i="1"/>
  <c r="AX254" i="1"/>
  <c r="AY254" i="1"/>
  <c r="BB254" i="1"/>
  <c r="AW257" i="1"/>
  <c r="AX257" i="1"/>
  <c r="AY257" i="1"/>
  <c r="BB257" i="1"/>
  <c r="AW258" i="1"/>
  <c r="AY258" i="1"/>
  <c r="BB258" i="1"/>
  <c r="AW261" i="1"/>
  <c r="AX261" i="1"/>
  <c r="AY261" i="1"/>
  <c r="BB261" i="1"/>
  <c r="AW262" i="1"/>
  <c r="AX262" i="1"/>
  <c r="AY262" i="1"/>
  <c r="BB262" i="1"/>
  <c r="AW264" i="1"/>
  <c r="AX264" i="1"/>
  <c r="AY264" i="1"/>
  <c r="BB264" i="1"/>
  <c r="AW268" i="1"/>
  <c r="AY268" i="1"/>
  <c r="BB268" i="1"/>
  <c r="AW270" i="1"/>
  <c r="AY270" i="1"/>
  <c r="BB270" i="1"/>
  <c r="AW245" i="1"/>
  <c r="AX245" i="1"/>
  <c r="AY245" i="1"/>
  <c r="BB245"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3" i="1"/>
  <c r="AX283" i="1"/>
  <c r="AW283" i="1"/>
  <c r="BB283" i="1"/>
  <c r="BE298" i="1" l="1"/>
  <c r="BG298" i="1" s="1"/>
  <c r="BE238" i="1"/>
  <c r="BE154" i="1"/>
  <c r="BE131" i="1"/>
  <c r="BE106" i="1"/>
  <c r="BG106" i="1" s="1"/>
  <c r="BE99" i="1"/>
  <c r="BE97" i="1"/>
  <c r="BE24" i="1"/>
  <c r="BG24" i="1" s="1"/>
  <c r="BE22" i="1"/>
  <c r="BG22" i="1" s="1"/>
  <c r="BE16" i="1"/>
  <c r="BE13" i="1"/>
  <c r="BE43" i="1"/>
  <c r="BG43" i="1" s="1"/>
  <c r="BE76" i="1"/>
  <c r="BG76" i="1" s="1"/>
  <c r="BE222" i="1"/>
  <c r="BE101" i="1"/>
  <c r="BE18" i="1"/>
  <c r="BG18" i="1" s="1"/>
  <c r="BE57" i="1"/>
  <c r="BG57" i="1" s="1"/>
  <c r="BE59" i="1"/>
  <c r="BG59" i="1" s="1"/>
  <c r="BE182" i="1"/>
  <c r="BG182" i="1" s="1"/>
  <c r="BE180" i="1"/>
  <c r="BE254" i="1"/>
  <c r="BG254" i="1" s="1"/>
  <c r="BE244" i="1"/>
  <c r="BE248" i="1"/>
  <c r="BG248" i="1" s="1"/>
  <c r="BE112" i="1"/>
  <c r="BG112" i="1" s="1"/>
  <c r="BE103" i="1"/>
  <c r="BG103" i="1" s="1"/>
  <c r="BE94" i="1"/>
  <c r="BG94" i="1" s="1"/>
  <c r="BE20" i="1"/>
  <c r="BG20" i="1" s="1"/>
  <c r="BE2" i="1"/>
  <c r="BG2" i="1" s="1"/>
  <c r="BE42" i="1"/>
  <c r="BG42" i="1" s="1"/>
  <c r="BE63" i="1"/>
  <c r="BG63" i="1" s="1"/>
  <c r="BE58" i="1"/>
  <c r="BG58" i="1" s="1"/>
  <c r="BE75" i="1"/>
  <c r="BG75" i="1" s="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2" i="1"/>
  <c r="BG262"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1" i="1"/>
  <c r="BG241" i="1" s="1"/>
  <c r="BE233" i="1"/>
  <c r="BG233" i="1" s="1"/>
  <c r="BE229" i="1"/>
  <c r="BG229" i="1" s="1"/>
  <c r="BE227" i="1"/>
  <c r="BG227" i="1" s="1"/>
  <c r="BE225" i="1"/>
  <c r="BG225" i="1" s="1"/>
  <c r="BE221" i="1"/>
  <c r="BG221" i="1" s="1"/>
  <c r="BE219" i="1"/>
  <c r="BG219" i="1" s="1"/>
  <c r="BE217" i="1"/>
  <c r="BG217" i="1" s="1"/>
  <c r="BE215" i="1"/>
  <c r="BG215" i="1" s="1"/>
  <c r="BE306" i="1"/>
  <c r="BG306" i="1" s="1"/>
  <c r="BE307" i="1"/>
  <c r="BG307" i="1" s="1"/>
  <c r="BE303" i="1"/>
  <c r="BG303" i="1" s="1"/>
  <c r="BE301" i="1"/>
  <c r="BG301" i="1" s="1"/>
  <c r="BE299" i="1"/>
  <c r="BG299" i="1" s="1"/>
  <c r="BE297" i="1"/>
  <c r="BG297" i="1" s="1"/>
  <c r="BE274" i="1"/>
  <c r="BG274" i="1" s="1"/>
  <c r="BE269" i="1"/>
  <c r="BG269" i="1" s="1"/>
  <c r="BE293" i="1"/>
  <c r="BG293" i="1" s="1"/>
  <c r="BE291" i="1"/>
  <c r="BG291" i="1" s="1"/>
  <c r="BE289" i="1"/>
  <c r="BG289" i="1" s="1"/>
  <c r="BE287" i="1"/>
  <c r="BG287" i="1" s="1"/>
  <c r="BE285" i="1"/>
  <c r="BG285"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5" i="1"/>
  <c r="BG245" i="1" s="1"/>
  <c r="BE181" i="1"/>
  <c r="BG181" i="1" s="1"/>
  <c r="BE179" i="1"/>
  <c r="BG179" i="1" s="1"/>
  <c r="BE257" i="1"/>
  <c r="BG257" i="1" s="1"/>
  <c r="BE247" i="1"/>
  <c r="BG247" i="1" s="1"/>
  <c r="BE243" i="1"/>
  <c r="BG243" i="1" s="1"/>
  <c r="BE235" i="1"/>
  <c r="BG235" i="1" s="1"/>
  <c r="BE283" i="1"/>
  <c r="BG283"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4" i="1"/>
  <c r="BG264" i="1" s="1"/>
  <c r="BE261" i="1"/>
  <c r="BG261"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4" i="1"/>
  <c r="BG284"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5" i="1"/>
  <c r="BG305" i="1" s="1"/>
  <c r="BE308" i="1"/>
  <c r="BG308" i="1" s="1"/>
  <c r="BE304" i="1"/>
  <c r="BG304" i="1" s="1"/>
  <c r="BE302" i="1"/>
  <c r="BG302" i="1" s="1"/>
  <c r="BE300" i="1"/>
  <c r="BG300" i="1" s="1"/>
  <c r="BE296" i="1"/>
  <c r="BG296" i="1" s="1"/>
  <c r="BE294" i="1"/>
  <c r="BG294" i="1" s="1"/>
  <c r="BE272" i="1"/>
  <c r="BG272" i="1" s="1"/>
  <c r="BE271" i="1"/>
  <c r="BG271" i="1" s="1"/>
  <c r="BE292" i="1"/>
  <c r="BG292" i="1" s="1"/>
  <c r="BE290" i="1"/>
  <c r="BG290" i="1" s="1"/>
  <c r="BE288" i="1"/>
  <c r="BG288" i="1" s="1"/>
  <c r="BE286" i="1"/>
  <c r="BG286" i="1" s="1"/>
  <c r="BE27" i="1"/>
  <c r="BG27" i="1" s="1"/>
  <c r="BE108" i="1"/>
  <c r="BG108" i="1" s="1"/>
  <c r="BE30" i="1"/>
  <c r="BG30" i="1" s="1"/>
  <c r="BE29" i="1"/>
  <c r="BG29" i="1" s="1"/>
  <c r="BE28" i="1"/>
  <c r="BG28" i="1" s="1"/>
  <c r="BE109" i="1"/>
  <c r="BG109" i="1" s="1"/>
  <c r="BE110" i="1"/>
  <c r="BG110" i="1" s="1"/>
  <c r="BE111" i="1"/>
  <c r="BG111" i="1" s="1"/>
  <c r="BD306" i="1"/>
  <c r="BF306" i="1" s="1"/>
  <c r="BD304" i="1"/>
  <c r="BF304" i="1" s="1"/>
  <c r="BD301" i="1"/>
  <c r="BF301" i="1" s="1"/>
  <c r="BD297" i="1"/>
  <c r="BF297" i="1" s="1"/>
  <c r="BD274" i="1"/>
  <c r="BF274" i="1" s="1"/>
  <c r="BD271" i="1"/>
  <c r="BF271" i="1" s="1"/>
  <c r="BD291" i="1"/>
  <c r="BF291" i="1" s="1"/>
  <c r="BD288" i="1"/>
  <c r="BF288" i="1" s="1"/>
  <c r="BD285" i="1"/>
  <c r="BF285" i="1" s="1"/>
  <c r="BD254" i="1"/>
  <c r="BF254" i="1" s="1"/>
  <c r="BD248" i="1"/>
  <c r="BF248" i="1" s="1"/>
  <c r="BD244" i="1"/>
  <c r="BF244" i="1" s="1"/>
  <c r="BD264" i="1"/>
  <c r="BF264" i="1" s="1"/>
  <c r="BD262" i="1"/>
  <c r="BF262" i="1" s="1"/>
  <c r="BD261" i="1"/>
  <c r="BF261" i="1" s="1"/>
  <c r="BD241" i="1"/>
  <c r="BF241" i="1" s="1"/>
  <c r="BD305" i="1"/>
  <c r="BF305" i="1" s="1"/>
  <c r="BD307" i="1"/>
  <c r="BF307" i="1" s="1"/>
  <c r="BD302" i="1"/>
  <c r="BF302" i="1" s="1"/>
  <c r="BD299" i="1"/>
  <c r="BF299" i="1" s="1"/>
  <c r="BD296" i="1"/>
  <c r="BF296" i="1" s="1"/>
  <c r="BD294" i="1"/>
  <c r="BF294" i="1" s="1"/>
  <c r="BD269" i="1"/>
  <c r="BF269" i="1" s="1"/>
  <c r="BD292" i="1"/>
  <c r="BF292" i="1" s="1"/>
  <c r="BD289" i="1"/>
  <c r="BF289" i="1" s="1"/>
  <c r="BD286" i="1"/>
  <c r="BF286" i="1" s="1"/>
  <c r="BD26" i="1"/>
  <c r="BF26" i="1" s="1"/>
  <c r="BD257" i="1"/>
  <c r="BF257" i="1" s="1"/>
  <c r="BG238" i="1"/>
  <c r="BD238" i="1"/>
  <c r="BF238" i="1" s="1"/>
  <c r="BD284" i="1"/>
  <c r="BF284" i="1" s="1"/>
  <c r="BD283" i="1"/>
  <c r="BF283" i="1" s="1"/>
  <c r="BD245" i="1"/>
  <c r="BF245" i="1" s="1"/>
  <c r="BD308" i="1"/>
  <c r="BF308" i="1" s="1"/>
  <c r="BD303" i="1"/>
  <c r="BF303" i="1" s="1"/>
  <c r="BD300" i="1"/>
  <c r="BF300" i="1" s="1"/>
  <c r="BD298" i="1"/>
  <c r="BF298" i="1" s="1"/>
  <c r="BD272" i="1"/>
  <c r="BF272" i="1" s="1"/>
  <c r="BD293" i="1"/>
  <c r="BF293" i="1" s="1"/>
  <c r="BD290" i="1"/>
  <c r="BF290" i="1" s="1"/>
  <c r="BD287" i="1"/>
  <c r="BF287" i="1" s="1"/>
  <c r="BD27" i="1"/>
  <c r="BF27" i="1" s="1"/>
  <c r="BD247" i="1"/>
  <c r="BF247" i="1" s="1"/>
  <c r="BD243" i="1"/>
  <c r="BF243" i="1" s="1"/>
  <c r="BD235" i="1"/>
  <c r="BF235" i="1" s="1"/>
  <c r="BG222" i="1"/>
  <c r="BG154" i="1"/>
  <c r="BG131" i="1"/>
  <c r="BG101" i="1"/>
  <c r="BG99" i="1"/>
  <c r="BG97"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0" i="1"/>
  <c r="BG244"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5" i="1"/>
  <c r="BR244" i="1"/>
  <c r="BT244" i="1" s="1"/>
  <c r="AG244" i="1"/>
  <c r="AI244" i="1" s="1"/>
  <c r="X244" i="1"/>
  <c r="AF244"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1" i="1"/>
  <c r="BT271" i="1" s="1"/>
  <c r="BR269" i="1"/>
  <c r="BT269" i="1" s="1"/>
  <c r="BR272" i="1"/>
  <c r="BT272" i="1" s="1"/>
  <c r="BR274" i="1"/>
  <c r="BT274" i="1" s="1"/>
  <c r="BR294" i="1"/>
  <c r="BT294" i="1" s="1"/>
  <c r="BR295" i="1"/>
  <c r="BT295" i="1" s="1"/>
  <c r="AE295" i="1"/>
  <c r="BA295" i="1" s="1"/>
  <c r="BE295" i="1" s="1"/>
  <c r="AG271" i="1"/>
  <c r="AG269" i="1"/>
  <c r="AG272" i="1"/>
  <c r="AG274" i="1"/>
  <c r="AG294" i="1"/>
  <c r="AG295" i="1"/>
  <c r="X295" i="1"/>
  <c r="BD295" i="1" l="1"/>
  <c r="BF295" i="1" s="1"/>
  <c r="BG295" i="1"/>
  <c r="AI295" i="1"/>
  <c r="AI294" i="1"/>
  <c r="AI274" i="1"/>
  <c r="AI272" i="1"/>
  <c r="AI269" i="1"/>
  <c r="AI271" i="1"/>
  <c r="B15" i="6"/>
  <c r="K258" i="1"/>
  <c r="AX258" i="1" s="1"/>
  <c r="BE258" i="1" s="1"/>
  <c r="K270" i="1"/>
  <c r="AX270" i="1" s="1"/>
  <c r="BE270" i="1" s="1"/>
  <c r="BR293" i="1"/>
  <c r="BT293" i="1" s="1"/>
  <c r="AG293" i="1"/>
  <c r="AI293" i="1" s="1"/>
  <c r="X293" i="1"/>
  <c r="BD270" i="1" l="1"/>
  <c r="BF270" i="1" s="1"/>
  <c r="BG270" i="1"/>
  <c r="BD258" i="1"/>
  <c r="BF258" i="1" s="1"/>
  <c r="BG258" i="1"/>
  <c r="T235" i="1"/>
  <c r="K242" i="1"/>
  <c r="AX242" i="1" s="1"/>
  <c r="BE242" i="1" s="1"/>
  <c r="BR24" i="1"/>
  <c r="BT24" i="1" s="1"/>
  <c r="AG24" i="1"/>
  <c r="AI24" i="1" s="1"/>
  <c r="X24" i="1"/>
  <c r="BR240" i="1"/>
  <c r="K240" i="1"/>
  <c r="AX240" i="1" s="1"/>
  <c r="BE240" i="1" s="1"/>
  <c r="T240" i="1"/>
  <c r="BG242" i="1" l="1"/>
  <c r="BD242" i="1"/>
  <c r="BF242" i="1" s="1"/>
  <c r="BG240" i="1"/>
  <c r="BD240" i="1"/>
  <c r="BF240" i="1" s="1"/>
  <c r="K237" i="1"/>
  <c r="AX237" i="1" s="1"/>
  <c r="BE237" i="1" s="1"/>
  <c r="T237" i="1"/>
  <c r="BD237" i="1" l="1"/>
  <c r="BF237" i="1" s="1"/>
  <c r="BG237" i="1"/>
  <c r="K234" i="1"/>
  <c r="AX234" i="1" s="1"/>
  <c r="BE234" i="1" s="1"/>
  <c r="T234" i="1"/>
  <c r="BG234" i="1" l="1"/>
  <c r="BD234" i="1"/>
  <c r="BF234" i="1" s="1"/>
  <c r="AA226" i="1"/>
  <c r="T221" i="1" l="1"/>
  <c r="T219" i="1"/>
  <c r="BR205" i="1"/>
  <c r="BT205" i="1" s="1"/>
  <c r="AG205" i="1"/>
  <c r="X205" i="1"/>
  <c r="AF205" i="1" l="1"/>
  <c r="AI205" i="1"/>
  <c r="K268" i="1"/>
  <c r="AX268" i="1" s="1"/>
  <c r="BE268" i="1" s="1"/>
  <c r="BR213" i="1"/>
  <c r="BT213" i="1" s="1"/>
  <c r="AG213" i="1"/>
  <c r="X213" i="1"/>
  <c r="BD268" i="1" l="1"/>
  <c r="BF268" i="1" s="1"/>
  <c r="BG268" i="1"/>
  <c r="AI213" i="1"/>
  <c r="AE251" i="1"/>
  <c r="BA251" i="1" s="1"/>
  <c r="BE251" i="1" s="1"/>
  <c r="BD251" i="1" l="1"/>
  <c r="BF251" i="1" s="1"/>
  <c r="BG251"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3" i="1"/>
  <c r="X207" i="1"/>
  <c r="X208" i="1"/>
  <c r="X209" i="1"/>
  <c r="X210" i="1"/>
  <c r="X251" i="1"/>
  <c r="X261" i="1"/>
  <c r="X266" i="1"/>
  <c r="X211" i="1"/>
  <c r="X212" i="1"/>
  <c r="X248" i="1"/>
  <c r="X268" i="1"/>
  <c r="X262" i="1"/>
  <c r="X264" i="1"/>
  <c r="X233" i="1"/>
  <c r="X241" i="1"/>
  <c r="X219" i="1"/>
  <c r="X221" i="1"/>
  <c r="X227" i="1"/>
  <c r="X226" i="1"/>
  <c r="X234" i="1"/>
  <c r="X237" i="1"/>
  <c r="X240" i="1"/>
  <c r="X242" i="1"/>
  <c r="X235" i="1"/>
  <c r="X270" i="1"/>
  <c r="X247" i="1"/>
  <c r="X229" i="1"/>
  <c r="X254" i="1"/>
  <c r="X257" i="1"/>
  <c r="X258" i="1"/>
  <c r="X238" i="1"/>
  <c r="X245" i="1"/>
  <c r="X286" i="1"/>
  <c r="X287" i="1"/>
  <c r="X288" i="1"/>
  <c r="X289" i="1"/>
  <c r="X290" i="1"/>
  <c r="X291" i="1"/>
  <c r="X26" i="1"/>
  <c r="X27" i="1"/>
  <c r="X28" i="1"/>
  <c r="X285" i="1"/>
  <c r="X32" i="1"/>
  <c r="X283" i="1"/>
  <c r="X284" i="1"/>
  <c r="X63" i="1"/>
  <c r="X64" i="1"/>
  <c r="X39" i="1"/>
  <c r="X43" i="1"/>
  <c r="X45" i="1"/>
  <c r="X53" i="1"/>
  <c r="X47" i="1"/>
  <c r="X292" i="1"/>
  <c r="X73" i="1"/>
  <c r="X65" i="1"/>
  <c r="X75" i="1"/>
  <c r="X58" i="1"/>
  <c r="X271" i="1"/>
  <c r="X269" i="1"/>
  <c r="X272" i="1"/>
  <c r="X274"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1" i="1"/>
  <c r="BT261" i="1" s="1"/>
  <c r="BR243" i="1"/>
  <c r="BT243" i="1" s="1"/>
  <c r="BR251" i="1"/>
  <c r="BT251" i="1" s="1"/>
  <c r="BR266" i="1"/>
  <c r="BT266" i="1" s="1"/>
  <c r="BR236" i="1"/>
  <c r="BT236" i="1" s="1"/>
  <c r="BR232" i="1"/>
  <c r="BT232" i="1" s="1"/>
  <c r="BR228" i="1"/>
  <c r="BT228" i="1" s="1"/>
  <c r="BR248" i="1"/>
  <c r="BT248" i="1" s="1"/>
  <c r="BR268" i="1"/>
  <c r="BT268" i="1" s="1"/>
  <c r="BR262" i="1"/>
  <c r="BT262" i="1" s="1"/>
  <c r="BR264" i="1"/>
  <c r="BT264" i="1" s="1"/>
  <c r="BR233" i="1"/>
  <c r="BT233" i="1" s="1"/>
  <c r="BR241" i="1"/>
  <c r="BT241" i="1" s="1"/>
  <c r="BR219" i="1"/>
  <c r="BT219" i="1" s="1"/>
  <c r="BR221" i="1"/>
  <c r="BT221" i="1" s="1"/>
  <c r="BR227" i="1"/>
  <c r="BT227" i="1" s="1"/>
  <c r="BR226" i="1"/>
  <c r="BT226" i="1" s="1"/>
  <c r="BR234" i="1"/>
  <c r="BT234" i="1" s="1"/>
  <c r="BR237" i="1"/>
  <c r="BT237" i="1" s="1"/>
  <c r="BT240" i="1"/>
  <c r="BR242" i="1"/>
  <c r="BT242" i="1" s="1"/>
  <c r="BR235" i="1"/>
  <c r="BT235" i="1" s="1"/>
  <c r="BR270" i="1"/>
  <c r="BT270" i="1" s="1"/>
  <c r="BR247" i="1"/>
  <c r="BT247" i="1" s="1"/>
  <c r="BR229" i="1"/>
  <c r="BT229" i="1" s="1"/>
  <c r="BR254" i="1"/>
  <c r="BT254" i="1" s="1"/>
  <c r="BR257" i="1"/>
  <c r="BT257" i="1" s="1"/>
  <c r="BR258" i="1"/>
  <c r="BT258" i="1" s="1"/>
  <c r="BR238" i="1"/>
  <c r="BT238" i="1" s="1"/>
  <c r="BR245" i="1"/>
  <c r="BT245" i="1" s="1"/>
  <c r="BR286" i="1"/>
  <c r="BT286" i="1" s="1"/>
  <c r="BR296" i="1"/>
  <c r="BT296" i="1" s="1"/>
  <c r="BR287" i="1"/>
  <c r="BT287" i="1" s="1"/>
  <c r="BR288" i="1"/>
  <c r="BT288" i="1" s="1"/>
  <c r="BR289" i="1"/>
  <c r="BT289" i="1" s="1"/>
  <c r="BR290" i="1"/>
  <c r="BT290" i="1" s="1"/>
  <c r="BR291" i="1"/>
  <c r="BT291" i="1" s="1"/>
  <c r="BR297" i="1"/>
  <c r="BT297" i="1" s="1"/>
  <c r="BR298" i="1"/>
  <c r="BT298" i="1" s="1"/>
  <c r="BR299" i="1"/>
  <c r="BT299" i="1" s="1"/>
  <c r="BR300" i="1"/>
  <c r="BT300" i="1" s="1"/>
  <c r="BR301" i="1"/>
  <c r="BT301" i="1" s="1"/>
  <c r="BR302" i="1"/>
  <c r="BT302" i="1" s="1"/>
  <c r="BR304" i="1"/>
  <c r="BT304" i="1" s="1"/>
  <c r="BR303" i="1"/>
  <c r="BT303" i="1" s="1"/>
  <c r="BR305" i="1"/>
  <c r="BT305" i="1" s="1"/>
  <c r="BR306" i="1"/>
  <c r="BT306" i="1" s="1"/>
  <c r="BR307" i="1"/>
  <c r="BT307" i="1" s="1"/>
  <c r="BR308" i="1"/>
  <c r="BT308" i="1" s="1"/>
  <c r="BR26" i="1"/>
  <c r="BT26" i="1" s="1"/>
  <c r="BR27" i="1"/>
  <c r="BT27" i="1" s="1"/>
  <c r="BR28" i="1"/>
  <c r="BT28" i="1" s="1"/>
  <c r="BR30" i="1"/>
  <c r="BT30" i="1" s="1"/>
  <c r="BR285" i="1"/>
  <c r="BT285" i="1" s="1"/>
  <c r="BR32" i="1"/>
  <c r="BT32" i="1" s="1"/>
  <c r="BR33" i="1"/>
  <c r="BT33" i="1" s="1"/>
  <c r="BR34" i="1"/>
  <c r="BT34" i="1" s="1"/>
  <c r="BR283" i="1"/>
  <c r="BT283" i="1" s="1"/>
  <c r="BR284" i="1"/>
  <c r="BT284" i="1" s="1"/>
  <c r="BR60" i="1"/>
  <c r="BT60" i="1" s="1"/>
  <c r="BT63" i="1"/>
  <c r="BR64" i="1"/>
  <c r="BT64" i="1" s="1"/>
  <c r="BR37" i="1"/>
  <c r="BT37" i="1" s="1"/>
  <c r="BR38" i="1"/>
  <c r="BT38" i="1" s="1"/>
  <c r="BR39" i="1"/>
  <c r="BT39" i="1" s="1"/>
  <c r="BR53" i="1"/>
  <c r="BT53" i="1" s="1"/>
  <c r="BR47" i="1"/>
  <c r="BT47" i="1" s="1"/>
  <c r="BR292" i="1"/>
  <c r="BT292"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5"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6" i="1"/>
  <c r="AF255" i="1"/>
  <c r="AF259" i="1"/>
  <c r="AF86" i="1"/>
  <c r="AF85" i="1"/>
  <c r="AF230" i="1"/>
  <c r="AF231" i="1"/>
  <c r="AF224" i="1"/>
  <c r="AF250" i="1"/>
  <c r="AF55" i="1"/>
  <c r="AF57" i="1"/>
  <c r="AF87" i="1"/>
  <c r="AF213" i="1"/>
  <c r="AF294" i="1"/>
  <c r="AF271" i="1"/>
  <c r="AF274" i="1"/>
  <c r="AF269" i="1"/>
  <c r="AF272" i="1"/>
  <c r="AF293"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1" i="1"/>
  <c r="AI261" i="1" s="1"/>
  <c r="AG243" i="1"/>
  <c r="AI243" i="1" s="1"/>
  <c r="AG251" i="1"/>
  <c r="AI251" i="1" s="1"/>
  <c r="AG266" i="1"/>
  <c r="AI266" i="1" s="1"/>
  <c r="AG236" i="1"/>
  <c r="AI236" i="1" s="1"/>
  <c r="AG232" i="1"/>
  <c r="AI232" i="1" s="1"/>
  <c r="AG228" i="1"/>
  <c r="AI228" i="1" s="1"/>
  <c r="AG248" i="1"/>
  <c r="AI248" i="1" s="1"/>
  <c r="AG268" i="1"/>
  <c r="AI268" i="1" s="1"/>
  <c r="AG262" i="1"/>
  <c r="AI262" i="1" s="1"/>
  <c r="AG264" i="1"/>
  <c r="AI264" i="1" s="1"/>
  <c r="AG233" i="1"/>
  <c r="AI233" i="1" s="1"/>
  <c r="AG241" i="1"/>
  <c r="AI241" i="1" s="1"/>
  <c r="AG219" i="1"/>
  <c r="AI219" i="1" s="1"/>
  <c r="AG221" i="1"/>
  <c r="AI221" i="1" s="1"/>
  <c r="AG227" i="1"/>
  <c r="AI227" i="1" s="1"/>
  <c r="AG226" i="1"/>
  <c r="AI226" i="1" s="1"/>
  <c r="AG234" i="1"/>
  <c r="AI234" i="1" s="1"/>
  <c r="AG237" i="1"/>
  <c r="AI237" i="1" s="1"/>
  <c r="AG240" i="1"/>
  <c r="AI240" i="1" s="1"/>
  <c r="AG242" i="1"/>
  <c r="AI242" i="1" s="1"/>
  <c r="AG235" i="1"/>
  <c r="AI235" i="1" s="1"/>
  <c r="AG270" i="1"/>
  <c r="AI270" i="1" s="1"/>
  <c r="AG247" i="1"/>
  <c r="AI247" i="1" s="1"/>
  <c r="AG254" i="1"/>
  <c r="AI254" i="1" s="1"/>
  <c r="AG257" i="1"/>
  <c r="AI257" i="1" s="1"/>
  <c r="AG258" i="1"/>
  <c r="AI258" i="1" s="1"/>
  <c r="AG238" i="1"/>
  <c r="AI238" i="1" s="1"/>
  <c r="AG245" i="1"/>
  <c r="AI245" i="1" s="1"/>
  <c r="AG286" i="1"/>
  <c r="AI286" i="1" s="1"/>
  <c r="AG296" i="1"/>
  <c r="AI296" i="1" s="1"/>
  <c r="AG287" i="1"/>
  <c r="AI287" i="1" s="1"/>
  <c r="AG288" i="1"/>
  <c r="AI288" i="1" s="1"/>
  <c r="AG289" i="1"/>
  <c r="AI289" i="1" s="1"/>
  <c r="AG290" i="1"/>
  <c r="AI290" i="1" s="1"/>
  <c r="AG291" i="1"/>
  <c r="AI291" i="1" s="1"/>
  <c r="AG297" i="1"/>
  <c r="AI297" i="1" s="1"/>
  <c r="AG298" i="1"/>
  <c r="AI298" i="1" s="1"/>
  <c r="AG299" i="1"/>
  <c r="AI299" i="1" s="1"/>
  <c r="AG300" i="1"/>
  <c r="AI300" i="1" s="1"/>
  <c r="AG301" i="1"/>
  <c r="AI301" i="1" s="1"/>
  <c r="AG302" i="1"/>
  <c r="AI302" i="1" s="1"/>
  <c r="AG304" i="1"/>
  <c r="AI304" i="1" s="1"/>
  <c r="AG303" i="1"/>
  <c r="AI303" i="1" s="1"/>
  <c r="AG305" i="1"/>
  <c r="AG306" i="1"/>
  <c r="AI306" i="1" s="1"/>
  <c r="AG307" i="1"/>
  <c r="AI307" i="1" s="1"/>
  <c r="AG308" i="1"/>
  <c r="AI308" i="1" s="1"/>
  <c r="AG26" i="1"/>
  <c r="AI26" i="1" s="1"/>
  <c r="AG27" i="1"/>
  <c r="AI27" i="1" s="1"/>
  <c r="AG28" i="1"/>
  <c r="AI28" i="1" s="1"/>
  <c r="AG30" i="1"/>
  <c r="AI30" i="1" s="1"/>
  <c r="AG285" i="1"/>
  <c r="AI285" i="1" s="1"/>
  <c r="AG32" i="1"/>
  <c r="AI32" i="1" s="1"/>
  <c r="AG33" i="1"/>
  <c r="AI33" i="1" s="1"/>
  <c r="AG34" i="1"/>
  <c r="AI34" i="1" s="1"/>
  <c r="AG283" i="1"/>
  <c r="AI283" i="1" s="1"/>
  <c r="AG284" i="1"/>
  <c r="AI284" i="1" s="1"/>
  <c r="AG60" i="1"/>
  <c r="AI60" i="1" s="1"/>
  <c r="AG64" i="1"/>
  <c r="AI64" i="1" s="1"/>
  <c r="AG37" i="1"/>
  <c r="AI37" i="1" s="1"/>
  <c r="AG38" i="1"/>
  <c r="AI38" i="1" s="1"/>
  <c r="AG39" i="1"/>
  <c r="AI39" i="1" s="1"/>
  <c r="AG43" i="1"/>
  <c r="AI43" i="1" s="1"/>
  <c r="AG45" i="1"/>
  <c r="AG53" i="1"/>
  <c r="AI53" i="1" s="1"/>
  <c r="AG47" i="1"/>
  <c r="AI47" i="1" s="1"/>
  <c r="AG292" i="1"/>
  <c r="AI292" i="1" s="1"/>
  <c r="AG73" i="1"/>
  <c r="AI73" i="1" s="1"/>
  <c r="AG65" i="1"/>
  <c r="AI65" i="1" s="1"/>
  <c r="AG75" i="1"/>
  <c r="AI75" i="1" s="1"/>
  <c r="AG58" i="1"/>
  <c r="AI58" i="1" s="1"/>
  <c r="AG16" i="1"/>
  <c r="AI16" i="1" s="1"/>
  <c r="AI148" i="1" l="1"/>
  <c r="AI141" i="1"/>
  <c r="AI305" i="1"/>
  <c r="AF305" i="1"/>
  <c r="AI147" i="1"/>
  <c r="AF45" i="1"/>
  <c r="AI45" i="1"/>
  <c r="AI146" i="1"/>
  <c r="AI134" i="1"/>
  <c r="AF43" i="1"/>
  <c r="AF292" i="1"/>
  <c r="AF134" i="1"/>
  <c r="AF147" i="1"/>
  <c r="AF146" i="1"/>
  <c r="AF16" i="1"/>
  <c r="AF128" i="1"/>
  <c r="AF125" i="1"/>
  <c r="AF118" i="1"/>
  <c r="AF115" i="1"/>
  <c r="AF109" i="1"/>
  <c r="AF104" i="1"/>
  <c r="AF100" i="1"/>
  <c r="AF96" i="1"/>
  <c r="AF88" i="1"/>
  <c r="AF30" i="1"/>
  <c r="AF303" i="1"/>
  <c r="AF238" i="1"/>
  <c r="AF226" i="1"/>
  <c r="AF236" i="1"/>
  <c r="AF210" i="1"/>
  <c r="AF194" i="1"/>
  <c r="AF184" i="1"/>
  <c r="AF168" i="1"/>
  <c r="AF160" i="1"/>
  <c r="AF149" i="1"/>
  <c r="AF304" i="1"/>
  <c r="AF258" i="1"/>
  <c r="AF227" i="1"/>
  <c r="AF248" i="1"/>
  <c r="AF218" i="1"/>
  <c r="AF202" i="1"/>
  <c r="AF181" i="1"/>
  <c r="AF178" i="1"/>
  <c r="AF167" i="1"/>
  <c r="AF159" i="1"/>
  <c r="AF154" i="1"/>
  <c r="AF148" i="1"/>
  <c r="AF138" i="1"/>
  <c r="AF132" i="1"/>
  <c r="AF126" i="1"/>
  <c r="AF117" i="1"/>
  <c r="AF112" i="1"/>
  <c r="AF108" i="1"/>
  <c r="AF103" i="1"/>
  <c r="AF99" i="1"/>
  <c r="AF94" i="1"/>
  <c r="AF17" i="1"/>
  <c r="AF75" i="1"/>
  <c r="AF64" i="1"/>
  <c r="AF300" i="1"/>
  <c r="AF287" i="1"/>
  <c r="AF242" i="1"/>
  <c r="AF268" i="1"/>
  <c r="AF173" i="1"/>
  <c r="AF204" i="1"/>
  <c r="AF190" i="1"/>
  <c r="AF179" i="1"/>
  <c r="AF164" i="1"/>
  <c r="AF152" i="1"/>
  <c r="AF145" i="1"/>
  <c r="AF39" i="1"/>
  <c r="AF284" i="1"/>
  <c r="AF28" i="1"/>
  <c r="AF299" i="1"/>
  <c r="AF296" i="1"/>
  <c r="AF247" i="1"/>
  <c r="AF233" i="1"/>
  <c r="AF220" i="1"/>
  <c r="AF209" i="1"/>
  <c r="AF197" i="1"/>
  <c r="AF193" i="1"/>
  <c r="AF183" i="1"/>
  <c r="AF174" i="1"/>
  <c r="AF163" i="1"/>
  <c r="AF151" i="1"/>
  <c r="AF143" i="1"/>
  <c r="AF65" i="1"/>
  <c r="AF53" i="1"/>
  <c r="AF32" i="1"/>
  <c r="AF27" i="1"/>
  <c r="AF306" i="1"/>
  <c r="AF302" i="1"/>
  <c r="AF298" i="1"/>
  <c r="AF289" i="1"/>
  <c r="AF286" i="1"/>
  <c r="AF257" i="1"/>
  <c r="AF270" i="1"/>
  <c r="AF237" i="1"/>
  <c r="AF221" i="1"/>
  <c r="AF264" i="1"/>
  <c r="AF228" i="1"/>
  <c r="AF251"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8" i="1"/>
  <c r="AF291" i="1"/>
  <c r="AF229" i="1"/>
  <c r="AF241" i="1"/>
  <c r="AF261" i="1"/>
  <c r="AF215" i="1"/>
  <c r="AF198" i="1"/>
  <c r="AF187" i="1"/>
  <c r="AF175" i="1"/>
  <c r="AF156" i="1"/>
  <c r="AF139" i="1"/>
  <c r="AF47" i="1"/>
  <c r="AF33" i="1"/>
  <c r="AF307" i="1"/>
  <c r="AF290" i="1"/>
  <c r="AF240" i="1"/>
  <c r="AF266" i="1"/>
  <c r="AF144" i="1"/>
  <c r="AF223" i="1"/>
  <c r="AF38" i="1"/>
  <c r="AF283" i="1"/>
  <c r="AF58" i="1"/>
  <c r="AF73" i="1"/>
  <c r="AF37" i="1"/>
  <c r="AF60" i="1"/>
  <c r="AF285" i="1"/>
  <c r="AF26" i="1"/>
  <c r="AF301" i="1"/>
  <c r="AF297" i="1"/>
  <c r="AF288" i="1"/>
  <c r="AF245" i="1"/>
  <c r="AF254" i="1"/>
  <c r="AF235" i="1"/>
  <c r="AF234" i="1"/>
  <c r="AF219" i="1"/>
  <c r="AF262" i="1"/>
  <c r="AF232" i="1"/>
  <c r="AF243"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6" i="1"/>
  <c r="AX266" i="1" s="1"/>
  <c r="BE266" i="1" s="1"/>
  <c r="T220" i="1"/>
  <c r="X220" i="1" s="1"/>
  <c r="BG266" i="1" l="1"/>
  <c r="BD266" i="1"/>
  <c r="BF266"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<sst xmlns="http://schemas.openxmlformats.org/spreadsheetml/2006/main" count="3311" uniqueCount="1480">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</sst>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09"/>
  <sheetViews>
    <sheetView tabSelected="1" workbookViewId="0">
      <pane xSplit="1" ySplit="1" topLeftCell="AD290" activePane="bottomRight" state="frozenSplit"/>
      <selection pane="topRight" activeCell="B1" sqref="B1"/>
      <selection pane="bottomLeft" activeCell="A2" sqref="A2"/>
      <selection pane="bottomRight" activeCell="AH300" sqref="AH300"/>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147</v>
      </c>
      <c r="B1" s="1" t="s">
        <v>148</v>
      </c>
      <c r="C1" s="1" t="s">
        <v>756</v>
      </c>
      <c r="D1" s="1" t="s">
        <v>146</v>
      </c>
      <c r="E1" s="1" t="s">
        <v>297</v>
      </c>
      <c r="F1" s="1" t="s">
        <v>300</v>
      </c>
      <c r="G1" s="1" t="s">
        <v>150</v>
      </c>
      <c r="H1" s="1" t="s">
        <v>151</v>
      </c>
      <c r="I1" s="1" t="s">
        <v>152</v>
      </c>
      <c r="J1" s="1" t="s">
        <v>153</v>
      </c>
      <c r="K1" s="1" t="s">
        <v>154</v>
      </c>
      <c r="L1" s="8" t="s">
        <v>571</v>
      </c>
      <c r="M1" s="5" t="s">
        <v>402</v>
      </c>
      <c r="N1" s="5" t="s">
        <v>399</v>
      </c>
      <c r="O1" s="5" t="s">
        <v>400</v>
      </c>
      <c r="P1" s="5" t="s">
        <v>397</v>
      </c>
      <c r="Q1" s="5" t="s">
        <v>398</v>
      </c>
      <c r="R1" s="5" t="s">
        <v>403</v>
      </c>
      <c r="S1" s="5" t="s">
        <v>401</v>
      </c>
      <c r="T1" s="1" t="s">
        <v>155</v>
      </c>
      <c r="U1" s="8" t="s">
        <v>156</v>
      </c>
      <c r="V1" s="1" t="s">
        <v>303</v>
      </c>
      <c r="W1" s="1" t="s">
        <v>157</v>
      </c>
      <c r="X1" s="3" t="s">
        <v>291</v>
      </c>
      <c r="Y1" s="1" t="s">
        <v>158</v>
      </c>
      <c r="Z1" s="1" t="s">
        <v>407</v>
      </c>
      <c r="AA1" s="1" t="s">
        <v>159</v>
      </c>
      <c r="AB1" s="1" t="s">
        <v>312</v>
      </c>
      <c r="AC1" s="1" t="s">
        <v>270</v>
      </c>
      <c r="AD1" s="1" t="s">
        <v>160</v>
      </c>
      <c r="AE1" s="10" t="s">
        <v>290</v>
      </c>
      <c r="AF1" s="1" t="s">
        <v>149</v>
      </c>
      <c r="AG1" s="1" t="s">
        <v>295</v>
      </c>
      <c r="AH1" s="1" t="s">
        <v>318</v>
      </c>
      <c r="AI1" s="1" t="s">
        <v>271</v>
      </c>
      <c r="AJ1" s="1" t="s">
        <v>1298</v>
      </c>
      <c r="AK1" s="12" t="s">
        <v>716</v>
      </c>
      <c r="AL1" s="12" t="s">
        <v>1280</v>
      </c>
      <c r="AM1" s="1" t="s">
        <v>428</v>
      </c>
      <c r="AN1" s="1" t="s">
        <v>582</v>
      </c>
      <c r="AO1" s="1" t="s">
        <v>429</v>
      </c>
      <c r="AP1" s="1" t="s">
        <v>510</v>
      </c>
      <c r="AQ1" s="1" t="s">
        <v>296</v>
      </c>
      <c r="AR1" s="1" t="s">
        <v>1208</v>
      </c>
      <c r="AS1" s="1" t="s">
        <v>1132</v>
      </c>
      <c r="AT1" s="1" t="s">
        <v>1158</v>
      </c>
      <c r="AU1" s="1" t="s">
        <v>1133</v>
      </c>
      <c r="AV1" s="1" t="s">
        <v>1150</v>
      </c>
      <c r="AW1" s="1" t="s">
        <v>1134</v>
      </c>
      <c r="AX1" s="1" t="s">
        <v>1135</v>
      </c>
      <c r="AY1" s="1" t="s">
        <v>1136</v>
      </c>
      <c r="AZ1" s="1" t="s">
        <v>1139</v>
      </c>
      <c r="BA1" s="1" t="s">
        <v>1145</v>
      </c>
      <c r="BB1" s="1" t="s">
        <v>1140</v>
      </c>
      <c r="BC1" s="1" t="s">
        <v>1144</v>
      </c>
      <c r="BD1" s="1" t="s">
        <v>304</v>
      </c>
      <c r="BE1" s="1" t="s">
        <v>305</v>
      </c>
      <c r="BF1" s="1" t="s">
        <v>1210</v>
      </c>
      <c r="BG1" s="1" t="s">
        <v>1211</v>
      </c>
      <c r="BH1" s="1" t="s">
        <v>334</v>
      </c>
      <c r="BI1" s="1" t="s">
        <v>596</v>
      </c>
      <c r="BJ1" s="1" t="s">
        <v>691</v>
      </c>
      <c r="BK1" s="1" t="s">
        <v>1151</v>
      </c>
      <c r="BL1" s="1" t="s">
        <v>1163</v>
      </c>
      <c r="BM1" s="1" t="s">
        <v>1185</v>
      </c>
      <c r="BN1" s="1" t="s">
        <v>1194</v>
      </c>
      <c r="BO1" s="1" t="s">
        <v>1195</v>
      </c>
      <c r="BP1" s="1" t="s">
        <v>1082</v>
      </c>
      <c r="BQ1" s="1" t="s">
        <v>309</v>
      </c>
      <c r="BR1" s="1" t="s">
        <v>350</v>
      </c>
      <c r="BS1" s="1" t="s">
        <v>371</v>
      </c>
      <c r="BT1" s="1" t="s">
        <v>373</v>
      </c>
      <c r="BU1" s="1" t="s">
        <v>1251</v>
      </c>
      <c r="BV1" s="1" t="s">
        <v>1245</v>
      </c>
      <c r="BW1" s="1" t="s">
        <v>1192</v>
      </c>
      <c r="BX1" s="1" t="s">
        <v>1159</v>
      </c>
      <c r="BY1" s="1" t="s">
        <v>1193</v>
      </c>
      <c r="BZ1" s="1" t="s">
        <v>374</v>
      </c>
    </row>
    <row r="2" spans="1:78" x14ac:dyDescent="0.25">
      <c r="A2" t="s">
        <v>447</v>
      </c>
      <c r="B2" t="s">
        <v>448</v>
      </c>
      <c r="C2">
        <v>-1</v>
      </c>
      <c r="D2" t="s">
        <v>318</v>
      </c>
      <c r="E2" t="s">
        <v>318</v>
      </c>
      <c r="F2" t="s">
        <v>301</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1429</v>
      </c>
      <c r="B3" t="s">
        <v>1430</v>
      </c>
      <c r="C3">
        <v>-1</v>
      </c>
      <c r="D3" t="s">
        <v>318</v>
      </c>
      <c r="E3" t="s">
        <v>318</v>
      </c>
      <c r="F3" t="s">
        <v>301</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1418</v>
      </c>
      <c r="B4" t="s">
        <v>1417</v>
      </c>
      <c r="C4">
        <v>-1</v>
      </c>
      <c r="D4" t="s">
        <v>318</v>
      </c>
      <c r="E4" t="s">
        <v>318</v>
      </c>
      <c r="F4" t="s">
        <v>301</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1410</v>
      </c>
      <c r="B5" t="s">
        <v>1411</v>
      </c>
      <c r="C5">
        <v>-1</v>
      </c>
      <c r="D5" t="s">
        <v>318</v>
      </c>
      <c r="E5" t="s">
        <v>318</v>
      </c>
      <c r="F5" t="s">
        <v>301</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1394</v>
      </c>
      <c r="B6" t="s">
        <v>1395</v>
      </c>
      <c r="C6">
        <v>-1</v>
      </c>
      <c r="D6" t="s">
        <v>318</v>
      </c>
      <c r="E6" t="s">
        <v>318</v>
      </c>
      <c r="F6" t="s">
        <v>301</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1392</v>
      </c>
      <c r="B7" t="s">
        <v>1393</v>
      </c>
      <c r="C7">
        <v>-1</v>
      </c>
      <c r="D7" t="s">
        <v>318</v>
      </c>
      <c r="E7" t="s">
        <v>318</v>
      </c>
      <c r="F7" t="s">
        <v>301</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1389</v>
      </c>
      <c r="B8" t="s">
        <v>1390</v>
      </c>
      <c r="C8">
        <v>-1</v>
      </c>
      <c r="D8" t="s">
        <v>318</v>
      </c>
      <c r="E8" t="s">
        <v>318</v>
      </c>
      <c r="F8" t="s">
        <v>301</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1367</v>
      </c>
      <c r="B9" t="s">
        <v>1368</v>
      </c>
      <c r="C9">
        <v>-1</v>
      </c>
      <c r="D9" t="s">
        <v>318</v>
      </c>
      <c r="E9" t="s">
        <v>318</v>
      </c>
      <c r="F9" t="s">
        <v>301</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335</v>
      </c>
      <c r="B10" t="s">
        <v>336</v>
      </c>
      <c r="C10">
        <v>-1</v>
      </c>
      <c r="D10" t="s">
        <v>318</v>
      </c>
      <c r="E10" t="s">
        <v>318</v>
      </c>
      <c r="F10" t="s">
        <v>301</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1243</v>
      </c>
      <c r="B11" t="s">
        <v>1244</v>
      </c>
      <c r="C11">
        <v>-1</v>
      </c>
      <c r="D11" t="s">
        <v>318</v>
      </c>
      <c r="E11" t="s">
        <v>318</v>
      </c>
      <c r="F11" t="s">
        <v>301</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1232</v>
      </c>
      <c r="B12" t="s">
        <v>1231</v>
      </c>
      <c r="C12">
        <v>-1</v>
      </c>
      <c r="D12" t="s">
        <v>318</v>
      </c>
      <c r="E12" t="s">
        <v>318</v>
      </c>
      <c r="F12" t="s">
        <v>301</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416</v>
      </c>
      <c r="B13" t="s">
        <v>417</v>
      </c>
      <c r="C13">
        <v>-1</v>
      </c>
      <c r="D13" t="s">
        <v>318</v>
      </c>
      <c r="E13" t="s">
        <v>318</v>
      </c>
      <c r="F13" t="s">
        <v>301</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1227</v>
      </c>
      <c r="B14" t="s">
        <v>1226</v>
      </c>
      <c r="C14">
        <v>-1</v>
      </c>
      <c r="D14" t="s">
        <v>318</v>
      </c>
      <c r="E14" t="s">
        <v>318</v>
      </c>
      <c r="F14" t="s">
        <v>301</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467</v>
      </c>
      <c r="B15" t="s">
        <v>468</v>
      </c>
      <c r="C15">
        <v>-1</v>
      </c>
      <c r="D15" t="s">
        <v>318</v>
      </c>
      <c r="E15" t="s">
        <v>318</v>
      </c>
      <c r="F15" t="s">
        <v>301</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317</v>
      </c>
      <c r="B16" t="s">
        <v>316</v>
      </c>
      <c r="C16">
        <v>-1</v>
      </c>
      <c r="D16" t="s">
        <v>318</v>
      </c>
      <c r="E16" t="s">
        <v>318</v>
      </c>
      <c r="F16" t="s">
        <v>301</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320</v>
      </c>
      <c r="B17" t="s">
        <v>321</v>
      </c>
      <c r="C17">
        <v>-1</v>
      </c>
      <c r="D17" t="s">
        <v>318</v>
      </c>
      <c r="E17" t="s">
        <v>318</v>
      </c>
      <c r="F17" t="s">
        <v>301</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462</v>
      </c>
      <c r="B18" t="s">
        <v>463</v>
      </c>
      <c r="C18">
        <v>-1</v>
      </c>
      <c r="D18" t="s">
        <v>318</v>
      </c>
      <c r="E18" t="s">
        <v>318</v>
      </c>
      <c r="F18" t="s">
        <v>301</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488</v>
      </c>
      <c r="B19" t="s">
        <v>487</v>
      </c>
      <c r="C19">
        <v>-1</v>
      </c>
      <c r="D19" t="s">
        <v>318</v>
      </c>
      <c r="E19" t="s">
        <v>318</v>
      </c>
      <c r="F19" t="s">
        <v>301</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495</v>
      </c>
      <c r="B20" t="s">
        <v>496</v>
      </c>
      <c r="C20">
        <v>-1</v>
      </c>
      <c r="D20" t="s">
        <v>318</v>
      </c>
      <c r="E20" t="s">
        <v>318</v>
      </c>
      <c r="F20" t="s">
        <v>301</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503</v>
      </c>
      <c r="B21" t="s">
        <v>502</v>
      </c>
      <c r="C21">
        <v>-1</v>
      </c>
      <c r="D21" t="s">
        <v>318</v>
      </c>
      <c r="E21" t="s">
        <v>318</v>
      </c>
      <c r="F21" t="s">
        <v>301</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508</v>
      </c>
      <c r="B22" t="s">
        <v>509</v>
      </c>
      <c r="C22">
        <v>-1</v>
      </c>
      <c r="D22" t="s">
        <v>318</v>
      </c>
      <c r="E22" t="s">
        <v>318</v>
      </c>
      <c r="F22" t="s">
        <v>301</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523</v>
      </c>
      <c r="B23" t="s">
        <v>522</v>
      </c>
      <c r="C23">
        <v>-1</v>
      </c>
      <c r="D23" t="s">
        <v>318</v>
      </c>
      <c r="E23" t="s">
        <v>318</v>
      </c>
      <c r="F23" t="s">
        <v>301</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665</v>
      </c>
      <c r="B24" t="s">
        <v>666</v>
      </c>
      <c r="C24">
        <v>-1</v>
      </c>
      <c r="D24" t="s">
        <v>318</v>
      </c>
      <c r="E24" t="s">
        <v>318</v>
      </c>
      <c r="F24" t="s">
        <v>301</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1422</v>
      </c>
      <c r="B25" t="s">
        <v>1423</v>
      </c>
      <c r="C25">
        <v>4</v>
      </c>
      <c r="D25" t="s">
        <v>308</v>
      </c>
      <c r="E25" t="s">
        <v>1146</v>
      </c>
      <c r="F25" t="s">
        <v>1428</v>
      </c>
      <c r="G25">
        <v>1700</v>
      </c>
      <c r="I25">
        <v>1870</v>
      </c>
      <c r="T25">
        <v>8</v>
      </c>
      <c r="V25">
        <v>5</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914</v>
      </c>
      <c r="BQ25" t="s">
        <v>310</v>
      </c>
      <c r="BR25" t="str">
        <f>VLOOKUP(G25,Eras!$A$2:$C$10, 2, TRUE)</f>
        <v>early</v>
      </c>
      <c r="BS25" t="s">
        <v>362</v>
      </c>
      <c r="BT25" t="str">
        <f t="shared" si="10"/>
        <v>early_Carriage</v>
      </c>
      <c r="BU25" t="str">
        <f t="shared" si="11"/>
        <v>carriage_PLATEWAY</v>
      </c>
      <c r="BV25" t="str">
        <f>VLOOKUP($BU25, Constants!$M:$N, 2, FALSE)</f>
        <v/>
      </c>
      <c r="BW25" t="str">
        <f t="shared" si="12"/>
        <v/>
      </c>
      <c r="BX25" t="s">
        <v>1424</v>
      </c>
      <c r="BY25" t="str">
        <f t="shared" si="13"/>
        <v/>
      </c>
      <c r="BZ25" t="str">
        <f t="shared" si="14"/>
        <v>{SILVER}The first enclosed passenger carriages were adapted from stagecoach bodies, with wooden frames.</v>
      </c>
    </row>
    <row r="26" spans="1:78" x14ac:dyDescent="0.25">
      <c r="A26" t="s">
        <v>118</v>
      </c>
      <c r="B26" t="s">
        <v>280</v>
      </c>
      <c r="C26">
        <v>6</v>
      </c>
      <c r="D26" t="s">
        <v>308</v>
      </c>
      <c r="E26" t="s">
        <v>1146</v>
      </c>
      <c r="F26" t="s">
        <v>301</v>
      </c>
      <c r="G26">
        <v>1855</v>
      </c>
      <c r="I26">
        <v>1900</v>
      </c>
      <c r="T26">
        <v>18</v>
      </c>
      <c r="V26">
        <v>6</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914</v>
      </c>
      <c r="BQ26" t="s">
        <v>310</v>
      </c>
      <c r="BR26" t="str">
        <f>VLOOKUP(G26,Eras!$A$2:$C$10, 2, TRUE)</f>
        <v>vct</v>
      </c>
      <c r="BS26" t="s">
        <v>362</v>
      </c>
      <c r="BT26" t="str">
        <f t="shared" si="10"/>
        <v>vct_Carriage</v>
      </c>
      <c r="BU26" t="str">
        <f t="shared" si="11"/>
        <v>carriage_RAIL</v>
      </c>
      <c r="BV26" t="str">
        <f>VLOOKUP($BU26, Constants!$M:$N, 2, FALSE)</f>
        <v/>
      </c>
      <c r="BW26" t="str">
        <f t="shared" si="12"/>
        <v/>
      </c>
      <c r="BX26" t="s">
        <v>1374</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119</v>
      </c>
      <c r="B27" t="s">
        <v>281</v>
      </c>
      <c r="C27">
        <v>8</v>
      </c>
      <c r="D27" t="s">
        <v>308</v>
      </c>
      <c r="E27" t="s">
        <v>1146</v>
      </c>
      <c r="F27" t="s">
        <v>301</v>
      </c>
      <c r="G27">
        <v>1875</v>
      </c>
      <c r="I27">
        <v>1915</v>
      </c>
      <c r="T27">
        <v>21</v>
      </c>
      <c r="V27">
        <v>6</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914</v>
      </c>
      <c r="BQ27" t="s">
        <v>310</v>
      </c>
      <c r="BR27" t="str">
        <f>VLOOKUP(G27,Eras!$A$2:$C$10, 2, TRUE)</f>
        <v>vct</v>
      </c>
      <c r="BS27" t="s">
        <v>362</v>
      </c>
      <c r="BT27" t="str">
        <f t="shared" si="10"/>
        <v>vct_Carriage</v>
      </c>
      <c r="BU27" t="str">
        <f t="shared" si="11"/>
        <v>carriage_RAIL</v>
      </c>
      <c r="BV27" t="str">
        <f>VLOOKUP($BU27, Constants!$M:$N, 2, FALSE)</f>
        <v/>
      </c>
      <c r="BW27" t="str">
        <f t="shared" si="12"/>
        <v/>
      </c>
      <c r="BX27" t="s">
        <v>1452</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120</v>
      </c>
      <c r="B28" t="s">
        <v>222</v>
      </c>
      <c r="C28">
        <v>10</v>
      </c>
      <c r="D28" t="s">
        <v>308</v>
      </c>
      <c r="E28" t="s">
        <v>1146</v>
      </c>
      <c r="F28" t="s">
        <v>301</v>
      </c>
      <c r="G28">
        <v>1892</v>
      </c>
      <c r="I28">
        <v>1935</v>
      </c>
      <c r="T28">
        <v>28</v>
      </c>
      <c r="V28">
        <v>6</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914</v>
      </c>
      <c r="BQ28" t="s">
        <v>310</v>
      </c>
      <c r="BR28" t="str">
        <f>VLOOKUP(G28,Eras!$A$2:$C$10, 2, TRUE)</f>
        <v>vct</v>
      </c>
      <c r="BS28" t="s">
        <v>362</v>
      </c>
      <c r="BT28" t="str">
        <f t="shared" si="10"/>
        <v>vct_Carriage</v>
      </c>
      <c r="BU28" t="str">
        <f t="shared" si="11"/>
        <v>carriage_RAIL</v>
      </c>
      <c r="BV28" t="str">
        <f>VLOOKUP($BU28, Constants!$M:$N, 2, FALSE)</f>
        <v/>
      </c>
      <c r="BW28" t="str">
        <f t="shared" si="12"/>
        <v/>
      </c>
      <c r="BX28" t="s">
        <v>749</v>
      </c>
      <c r="BY28" t="str">
        <f t="shared" si="13"/>
        <v/>
      </c>
      <c r="BZ28" t="str">
        <f t="shared" si="14"/>
        <v>{SILVER}Toward the end of the Victorian era, passenger carriages began to be mounted on bogies rather than fixed axles. Many featured clerestory-style roofs.</v>
      </c>
    </row>
    <row r="29" spans="1:78" x14ac:dyDescent="0.25">
      <c r="A29" t="s">
        <v>422</v>
      </c>
      <c r="B29" t="s">
        <v>423</v>
      </c>
      <c r="C29">
        <v>12</v>
      </c>
      <c r="D29" t="s">
        <v>308</v>
      </c>
      <c r="E29" t="s">
        <v>1146</v>
      </c>
      <c r="F29" t="s">
        <v>301</v>
      </c>
      <c r="G29">
        <v>1904</v>
      </c>
      <c r="I29">
        <v>1955</v>
      </c>
      <c r="T29">
        <v>34</v>
      </c>
      <c r="V29">
        <v>7</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914</v>
      </c>
      <c r="BQ29" t="s">
        <v>310</v>
      </c>
      <c r="BR29" t="str">
        <f>VLOOKUP(G29,Eras!$A$2:$C$10, 2, TRUE)</f>
        <v>edw</v>
      </c>
      <c r="BS29" t="s">
        <v>362</v>
      </c>
      <c r="BT29" t="str">
        <f t="shared" si="10"/>
        <v>edw_Carriage</v>
      </c>
      <c r="BU29" t="str">
        <f t="shared" si="11"/>
        <v>carriage_RAIL</v>
      </c>
      <c r="BV29" t="str">
        <f>VLOOKUP($BU29, Constants!$M:$N, 2, FALSE)</f>
        <v/>
      </c>
      <c r="BW29" t="str">
        <f t="shared" si="12"/>
        <v/>
      </c>
      <c r="BX29" t="s">
        <v>424</v>
      </c>
      <c r="BY29" t="str">
        <f t="shared" si="13"/>
        <v/>
      </c>
      <c r="BZ29" t="str">
        <f t="shared" si="14"/>
        <v>{SILVER}In the early 20th century passenger coaches were stretched to greater lengths. This is a typical LNWR design.</v>
      </c>
    </row>
    <row r="30" spans="1:78" x14ac:dyDescent="0.25">
      <c r="A30" t="s">
        <v>121</v>
      </c>
      <c r="B30" t="s">
        <v>474</v>
      </c>
      <c r="C30">
        <v>14</v>
      </c>
      <c r="D30" t="s">
        <v>308</v>
      </c>
      <c r="E30" t="s">
        <v>1147</v>
      </c>
      <c r="F30" t="s">
        <v>301</v>
      </c>
      <c r="G30">
        <v>1928</v>
      </c>
      <c r="I30">
        <v>1970</v>
      </c>
      <c r="T30">
        <v>40</v>
      </c>
      <c r="V30">
        <v>6</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914</v>
      </c>
      <c r="BQ30" t="s">
        <v>310</v>
      </c>
      <c r="BR30" t="str">
        <f>VLOOKUP(G30,Eras!$A$2:$C$10, 2, TRUE)</f>
        <v>big4</v>
      </c>
      <c r="BS30" t="s">
        <v>362</v>
      </c>
      <c r="BT30" t="str">
        <f t="shared" si="10"/>
        <v>big4_Carriage</v>
      </c>
      <c r="BU30" t="str">
        <f t="shared" si="11"/>
        <v>luxury_carriage_RAIL</v>
      </c>
      <c r="BV30" t="str">
        <f>VLOOKUP($BU30, Constants!$M:$N, 2, FALSE)</f>
        <v/>
      </c>
      <c r="BW30" t="str">
        <f t="shared" si="12"/>
        <v/>
      </c>
      <c r="BX30" t="s">
        <v>1453</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1160</v>
      </c>
      <c r="B31" t="s">
        <v>1161</v>
      </c>
      <c r="C31">
        <v>15</v>
      </c>
      <c r="D31" t="s">
        <v>308</v>
      </c>
      <c r="E31" t="s">
        <v>1147</v>
      </c>
      <c r="F31" t="s">
        <v>301</v>
      </c>
      <c r="G31">
        <v>1931</v>
      </c>
      <c r="I31">
        <v>1965</v>
      </c>
      <c r="T31">
        <v>36</v>
      </c>
      <c r="V31">
        <v>7</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1209</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914</v>
      </c>
      <c r="BQ31" t="s">
        <v>310</v>
      </c>
      <c r="BR31" t="str">
        <f>VLOOKUP(G31,Eras!$A$2:$C$10, 2, TRUE)</f>
        <v>big4</v>
      </c>
      <c r="BS31" t="s">
        <v>362</v>
      </c>
      <c r="BT31" t="str">
        <f t="shared" si="10"/>
        <v>big4_Carriage</v>
      </c>
      <c r="BU31" t="str">
        <f t="shared" si="11"/>
        <v>luxury_carriage_RAIL</v>
      </c>
      <c r="BV31" t="str">
        <f>VLOOKUP($BU31, Constants!$M:$N, 2, FALSE)</f>
        <v/>
      </c>
      <c r="BW31" t="str">
        <f t="shared" si="12"/>
        <v/>
      </c>
      <c r="BX31" t="s">
        <v>1162</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123</v>
      </c>
      <c r="B32" t="s">
        <v>285</v>
      </c>
      <c r="C32">
        <v>16</v>
      </c>
      <c r="D32" t="s">
        <v>308</v>
      </c>
      <c r="E32" t="s">
        <v>1146</v>
      </c>
      <c r="F32" t="s">
        <v>301</v>
      </c>
      <c r="G32">
        <v>1951</v>
      </c>
      <c r="H32">
        <v>1963</v>
      </c>
      <c r="I32">
        <v>1974</v>
      </c>
      <c r="T32">
        <v>32.5</v>
      </c>
      <c r="V32">
        <v>8</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914</v>
      </c>
      <c r="BQ32" t="s">
        <v>310</v>
      </c>
      <c r="BR32" t="str">
        <f>VLOOKUP(G32,Eras!$A$2:$C$10, 2, TRUE)</f>
        <v>ebr</v>
      </c>
      <c r="BS32" t="s">
        <v>362</v>
      </c>
      <c r="BT32" t="str">
        <f t="shared" si="10"/>
        <v>ebr_Carriage</v>
      </c>
      <c r="BU32" t="str">
        <f t="shared" si="11"/>
        <v>carriage_RAIL</v>
      </c>
      <c r="BV32" t="str">
        <f>VLOOKUP($BU32, Constants!$M:$N, 2, FALSE)</f>
        <v/>
      </c>
      <c r="BW32" t="str">
        <f t="shared" si="12"/>
        <v/>
      </c>
      <c r="BX32" t="s">
        <v>655</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124</v>
      </c>
      <c r="B33" t="s">
        <v>284</v>
      </c>
      <c r="C33">
        <v>17</v>
      </c>
      <c r="D33" t="s">
        <v>308</v>
      </c>
      <c r="E33" t="s">
        <v>1146</v>
      </c>
      <c r="F33" t="s">
        <v>301</v>
      </c>
      <c r="G33">
        <v>1956</v>
      </c>
      <c r="I33">
        <v>2010</v>
      </c>
      <c r="T33">
        <v>40</v>
      </c>
      <c r="V33">
        <v>8</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914</v>
      </c>
      <c r="BQ33" t="s">
        <v>310</v>
      </c>
      <c r="BR33" t="str">
        <f>VLOOKUP(G33,Eras!$A$2:$C$10, 2, TRUE)</f>
        <v>dsl</v>
      </c>
      <c r="BS33" t="s">
        <v>362</v>
      </c>
      <c r="BT33" t="str">
        <f t="shared" si="10"/>
        <v>dsl_Carriage</v>
      </c>
      <c r="BU33" t="str">
        <f t="shared" si="11"/>
        <v>carriage_RAIL</v>
      </c>
      <c r="BV33" t="str">
        <f>VLOOKUP($BU33, Constants!$M:$N, 2, FALSE)</f>
        <v/>
      </c>
      <c r="BW33" t="str">
        <f t="shared" si="12"/>
        <v/>
      </c>
      <c r="BX33" t="s">
        <v>388</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125</v>
      </c>
      <c r="B34" t="s">
        <v>286</v>
      </c>
      <c r="C34">
        <v>18</v>
      </c>
      <c r="D34" t="s">
        <v>308</v>
      </c>
      <c r="E34" t="s">
        <v>1146</v>
      </c>
      <c r="F34" t="s">
        <v>301</v>
      </c>
      <c r="G34">
        <v>1975</v>
      </c>
      <c r="T34">
        <v>34</v>
      </c>
      <c r="V34">
        <v>8</v>
      </c>
      <c r="X34" s="4" t="str">
        <f t="shared" ref="X34:X61"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914</v>
      </c>
      <c r="BQ34" t="s">
        <v>310</v>
      </c>
      <c r="BR34" t="str">
        <f>VLOOKUP(G34,Eras!$A$2:$C$10, 2, TRUE)</f>
        <v>lbr</v>
      </c>
      <c r="BS34" t="s">
        <v>362</v>
      </c>
      <c r="BT34" t="str">
        <f t="shared" si="10"/>
        <v>lbr_Carriage</v>
      </c>
      <c r="BU34" t="str">
        <f t="shared" si="11"/>
        <v>carriage_RAIL</v>
      </c>
      <c r="BV34" t="str">
        <f>VLOOKUP($BU34, Constants!$M:$N, 2, FALSE)</f>
        <v/>
      </c>
      <c r="BW34" t="str">
        <f t="shared" si="12"/>
        <v/>
      </c>
      <c r="BX34" t="s">
        <v>389</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126</v>
      </c>
      <c r="B35" t="s">
        <v>287</v>
      </c>
      <c r="C35">
        <v>19</v>
      </c>
      <c r="D35" t="s">
        <v>308</v>
      </c>
      <c r="E35" t="s">
        <v>1146</v>
      </c>
      <c r="F35" t="s">
        <v>301</v>
      </c>
      <c r="G35">
        <v>1988</v>
      </c>
      <c r="T35">
        <v>40</v>
      </c>
      <c r="V35">
        <v>8</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914</v>
      </c>
      <c r="BQ35" t="s">
        <v>310</v>
      </c>
      <c r="BR35" t="str">
        <f>VLOOKUP(G35,Eras!$A$2:$C$10, 2, TRUE)</f>
        <v>lbr</v>
      </c>
      <c r="BS35" t="s">
        <v>362</v>
      </c>
      <c r="BT35" t="str">
        <f t="shared" si="10"/>
        <v>lbr_Carriage</v>
      </c>
      <c r="BU35" t="str">
        <f t="shared" si="11"/>
        <v>carriage_RAIL</v>
      </c>
      <c r="BV35" t="str">
        <f>VLOOKUP($BU35, Constants!$M:$N, 2, FALSE)</f>
        <v/>
      </c>
      <c r="BW35" t="str">
        <f t="shared" si="12"/>
        <v/>
      </c>
      <c r="BX35" t="s">
        <v>602</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1397</v>
      </c>
      <c r="B36" t="s">
        <v>1398</v>
      </c>
      <c r="C36">
        <v>20</v>
      </c>
      <c r="D36" t="s">
        <v>308</v>
      </c>
      <c r="E36" t="s">
        <v>308</v>
      </c>
      <c r="F36" t="s">
        <v>1428</v>
      </c>
      <c r="G36">
        <v>1700</v>
      </c>
      <c r="I36">
        <v>1875</v>
      </c>
      <c r="T36">
        <v>2</v>
      </c>
      <c r="V36">
        <v>4</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1409</v>
      </c>
      <c r="BQ36" t="s">
        <v>754</v>
      </c>
      <c r="BR36" t="str">
        <f>VLOOKUP(G36,Eras!$A$2:$C$10, 2, TRUE)</f>
        <v>early</v>
      </c>
      <c r="BS36" t="s">
        <v>367</v>
      </c>
      <c r="BT36" t="str">
        <f t="shared" si="10"/>
        <v>early_Open Wagon</v>
      </c>
      <c r="BU36" t="str">
        <f t="shared" si="11"/>
        <v>wagon_PLATEWAY</v>
      </c>
      <c r="BV36" t="str">
        <f>VLOOKUP($BU36, Constants!$M:$N, 2, FALSE)</f>
        <v/>
      </c>
      <c r="BW36" t="str">
        <f t="shared" si="12"/>
        <v/>
      </c>
      <c r="BX36" t="s">
        <v>1399</v>
      </c>
      <c r="BY36" t="str">
        <f t="shared" si="16"/>
        <v/>
      </c>
      <c r="BZ36" t="str">
        <f t="shared" si="14"/>
        <v>{SILVER}Early open wagons had simple four-wheeled structures and were typically pulled by horses on quarry lines.</v>
      </c>
    </row>
    <row r="37" spans="1:78" x14ac:dyDescent="0.25">
      <c r="A37" t="s">
        <v>131</v>
      </c>
      <c r="B37" t="s">
        <v>282</v>
      </c>
      <c r="C37">
        <v>22</v>
      </c>
      <c r="D37" t="s">
        <v>308</v>
      </c>
      <c r="E37" t="s">
        <v>308</v>
      </c>
      <c r="F37" t="s">
        <v>301</v>
      </c>
      <c r="G37">
        <v>1850</v>
      </c>
      <c r="I37">
        <v>1920</v>
      </c>
      <c r="T37">
        <v>5</v>
      </c>
      <c r="V37">
        <v>4</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1409</v>
      </c>
      <c r="BQ37" t="s">
        <v>754</v>
      </c>
      <c r="BR37" t="str">
        <f>VLOOKUP(G37,Eras!$A$2:$C$10, 2, TRUE)</f>
        <v>vct</v>
      </c>
      <c r="BS37" t="s">
        <v>367</v>
      </c>
      <c r="BT37" t="str">
        <f t="shared" si="10"/>
        <v>vct_Open Wagon</v>
      </c>
      <c r="BU37" t="str">
        <f t="shared" si="11"/>
        <v>wagon_RAIL</v>
      </c>
      <c r="BV37" t="str">
        <f>VLOOKUP($BU37, Constants!$M:$N, 2, FALSE)</f>
        <v/>
      </c>
      <c r="BW37" t="str">
        <f t="shared" si="12"/>
        <v/>
      </c>
      <c r="BX37" t="s">
        <v>391</v>
      </c>
      <c r="BY37" t="str">
        <f t="shared" si="16"/>
        <v/>
      </c>
      <c r="BZ37" t="str">
        <f t="shared" si="14"/>
        <v>{SILVER}Open "plank" wagons are named for the number of planks used in the construction of their sides.</v>
      </c>
    </row>
    <row r="38" spans="1:78" x14ac:dyDescent="0.25">
      <c r="A38" t="s">
        <v>132</v>
      </c>
      <c r="B38" t="s">
        <v>283</v>
      </c>
      <c r="C38">
        <v>23</v>
      </c>
      <c r="D38" t="s">
        <v>308</v>
      </c>
      <c r="E38" t="s">
        <v>308</v>
      </c>
      <c r="F38" t="s">
        <v>301</v>
      </c>
      <c r="G38">
        <v>1902</v>
      </c>
      <c r="I38">
        <v>1965</v>
      </c>
      <c r="T38">
        <v>8</v>
      </c>
      <c r="V38">
        <v>4</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1081</v>
      </c>
      <c r="BQ38" t="s">
        <v>754</v>
      </c>
      <c r="BR38" t="str">
        <f>VLOOKUP(G38,Eras!$A$2:$C$10, 2, TRUE)</f>
        <v>edw</v>
      </c>
      <c r="BS38" t="s">
        <v>367</v>
      </c>
      <c r="BT38" t="str">
        <f t="shared" si="10"/>
        <v>edw_Open Wagon</v>
      </c>
      <c r="BU38" t="str">
        <f t="shared" si="11"/>
        <v>wagon_RAIL</v>
      </c>
      <c r="BV38" t="str">
        <f>VLOOKUP($BU38, Constants!$M:$N, 2, FALSE)</f>
        <v/>
      </c>
      <c r="BW38" t="str">
        <f t="shared" si="12"/>
        <v/>
      </c>
      <c r="BX38" t="s">
        <v>392</v>
      </c>
      <c r="BY38" t="str">
        <f t="shared" si="16"/>
        <v/>
      </c>
      <c r="BZ38" t="str">
        <f t="shared" si="14"/>
        <v>{SILVER}The 5 plank wagon became one of the common standard types used by the GWR, with thousands built.</v>
      </c>
    </row>
    <row r="39" spans="1:78" x14ac:dyDescent="0.25">
      <c r="A39" t="s">
        <v>133</v>
      </c>
      <c r="B39" t="s">
        <v>227</v>
      </c>
      <c r="C39">
        <v>24</v>
      </c>
      <c r="D39" t="s">
        <v>308</v>
      </c>
      <c r="E39" t="s">
        <v>308</v>
      </c>
      <c r="F39" t="s">
        <v>301</v>
      </c>
      <c r="G39">
        <v>1935</v>
      </c>
      <c r="I39">
        <v>1970</v>
      </c>
      <c r="T39">
        <v>10</v>
      </c>
      <c r="V39">
        <v>5</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1081</v>
      </c>
      <c r="BQ39" t="s">
        <v>754</v>
      </c>
      <c r="BR39" t="str">
        <f>VLOOKUP(G39,Eras!$A$2:$C$10, 2, TRUE)</f>
        <v>big4</v>
      </c>
      <c r="BS39" t="s">
        <v>367</v>
      </c>
      <c r="BT39" t="str">
        <f t="shared" si="10"/>
        <v>big4_Open Wagon</v>
      </c>
      <c r="BU39" t="str">
        <f t="shared" si="11"/>
        <v>wagon_RAIL</v>
      </c>
      <c r="BV39" t="str">
        <f>VLOOKUP($BU39, Constants!$M:$N, 2, FALSE)</f>
        <v/>
      </c>
      <c r="BW39" t="str">
        <f t="shared" si="12"/>
        <v/>
      </c>
      <c r="BX39" t="s">
        <v>755</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759</v>
      </c>
      <c r="B40" t="s">
        <v>760</v>
      </c>
      <c r="C40">
        <v>26</v>
      </c>
      <c r="D40" t="s">
        <v>308</v>
      </c>
      <c r="E40" t="s">
        <v>308</v>
      </c>
      <c r="F40" t="s">
        <v>301</v>
      </c>
      <c r="G40">
        <v>1951</v>
      </c>
      <c r="I40">
        <v>1985</v>
      </c>
      <c r="T40">
        <v>10</v>
      </c>
      <c r="V40">
        <v>5</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1081</v>
      </c>
      <c r="BQ40" t="s">
        <v>754</v>
      </c>
      <c r="BR40" t="str">
        <f>VLOOKUP(G40,Eras!$A$2:$C$10, 2, TRUE)</f>
        <v>ebr</v>
      </c>
      <c r="BS40" t="s">
        <v>367</v>
      </c>
      <c r="BT40" t="str">
        <f t="shared" si="10"/>
        <v>ebr_Open Wagon</v>
      </c>
      <c r="BU40" t="str">
        <f t="shared" si="11"/>
        <v>wagon_RAIL</v>
      </c>
      <c r="BV40" t="str">
        <f>VLOOKUP($BU40, Constants!$M:$N, 2, FALSE)</f>
        <v/>
      </c>
      <c r="BW40" t="str">
        <f t="shared" si="12"/>
        <v/>
      </c>
      <c r="BX40" t="s">
        <v>761</v>
      </c>
      <c r="BY40" t="str">
        <f t="shared" si="16"/>
        <v/>
      </c>
      <c r="BZ40" t="str">
        <f t="shared" si="14"/>
        <v>{SILVER}BR continued to make steel bodied wagons following LNER designs, gradually altering the body style.</v>
      </c>
    </row>
    <row r="41" spans="1:78" x14ac:dyDescent="0.25">
      <c r="A41" t="s">
        <v>757</v>
      </c>
      <c r="B41" t="s">
        <v>758</v>
      </c>
      <c r="C41">
        <v>28</v>
      </c>
      <c r="D41" t="s">
        <v>308</v>
      </c>
      <c r="E41" t="s">
        <v>308</v>
      </c>
      <c r="F41" t="s">
        <v>301</v>
      </c>
      <c r="G41">
        <v>1971</v>
      </c>
      <c r="I41">
        <v>2018</v>
      </c>
      <c r="T41">
        <v>14</v>
      </c>
      <c r="V41">
        <v>6</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1081</v>
      </c>
      <c r="BQ41" t="s">
        <v>754</v>
      </c>
      <c r="BR41" t="str">
        <f>VLOOKUP(G41,Eras!$A$2:$C$10, 2, TRUE)</f>
        <v>lbr</v>
      </c>
      <c r="BS41" t="s">
        <v>367</v>
      </c>
      <c r="BT41" t="str">
        <f t="shared" si="10"/>
        <v>lbr_Open Wagon</v>
      </c>
      <c r="BU41" t="str">
        <f t="shared" si="11"/>
        <v>wagon_RAIL</v>
      </c>
      <c r="BV41" t="str">
        <f>VLOOKUP($BU41, Constants!$M:$N, 2, FALSE)</f>
        <v/>
      </c>
      <c r="BW41" t="str">
        <f t="shared" si="12"/>
        <v/>
      </c>
      <c r="BX41" t="s">
        <v>762</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763</v>
      </c>
      <c r="B42" t="s">
        <v>765</v>
      </c>
      <c r="C42">
        <v>30</v>
      </c>
      <c r="D42" t="s">
        <v>308</v>
      </c>
      <c r="E42" t="s">
        <v>308</v>
      </c>
      <c r="F42" t="s">
        <v>301</v>
      </c>
      <c r="G42">
        <v>1989</v>
      </c>
      <c r="T42">
        <v>12</v>
      </c>
      <c r="V42">
        <v>7</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1081</v>
      </c>
      <c r="BQ42" t="s">
        <v>754</v>
      </c>
      <c r="BR42" t="str">
        <f>VLOOKUP(G42,Eras!$A$2:$C$10, 2, TRUE)</f>
        <v>lbr</v>
      </c>
      <c r="BS42" t="s">
        <v>367</v>
      </c>
      <c r="BT42" t="str">
        <f t="shared" si="10"/>
        <v>lbr_Open Wagon</v>
      </c>
      <c r="BU42" t="str">
        <f t="shared" si="11"/>
        <v>wagon_RAIL</v>
      </c>
      <c r="BV42" t="str">
        <f>VLOOKUP($BU42, Constants!$M:$N, 2, FALSE)</f>
        <v/>
      </c>
      <c r="BW42" t="str">
        <f t="shared" si="12"/>
        <v/>
      </c>
      <c r="BX42" t="s">
        <v>766</v>
      </c>
      <c r="BY42" t="str">
        <f t="shared" si="16"/>
        <v/>
      </c>
      <c r="BZ42" t="str">
        <f t="shared" si="14"/>
        <v>{SILVER}MEA wagons used frames from old hopper wagons combined with a new box body.</v>
      </c>
    </row>
    <row r="43" spans="1:78" x14ac:dyDescent="0.25">
      <c r="A43" t="s">
        <v>764</v>
      </c>
      <c r="B43" t="s">
        <v>228</v>
      </c>
      <c r="C43">
        <v>32</v>
      </c>
      <c r="D43" t="s">
        <v>308</v>
      </c>
      <c r="E43" t="s">
        <v>308</v>
      </c>
      <c r="F43" t="s">
        <v>301</v>
      </c>
      <c r="G43">
        <v>2015</v>
      </c>
      <c r="T43">
        <v>24</v>
      </c>
      <c r="V43">
        <v>8</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1081</v>
      </c>
      <c r="BQ43" t="s">
        <v>754</v>
      </c>
      <c r="BR43" t="str">
        <f>VLOOKUP(G43,Eras!$A$2:$C$10, 2, TRUE)</f>
        <v>mod</v>
      </c>
      <c r="BS43" t="s">
        <v>367</v>
      </c>
      <c r="BT43" t="str">
        <f t="shared" si="10"/>
        <v>mod_Open Wagon</v>
      </c>
      <c r="BU43" t="str">
        <f t="shared" si="11"/>
        <v>wagon_RAIL</v>
      </c>
      <c r="BV43" t="str">
        <f>VLOOKUP($BU43, Constants!$M:$N, 2, FALSE)</f>
        <v/>
      </c>
      <c r="BW43" t="str">
        <f t="shared" si="12"/>
        <v/>
      </c>
      <c r="BX43" t="s">
        <v>767</v>
      </c>
      <c r="BY43" t="str">
        <f t="shared" si="16"/>
        <v/>
      </c>
      <c r="BZ43" t="str">
        <f t="shared" si="14"/>
        <v>{SILVER}The MWA is another wagon rebuilt using new bodies on an old frame, resulting in a high capacity bogie open wagon.</v>
      </c>
    </row>
    <row r="44" spans="1:78" x14ac:dyDescent="0.25">
      <c r="A44" t="s">
        <v>769</v>
      </c>
      <c r="B44" t="s">
        <v>771</v>
      </c>
      <c r="C44">
        <v>40</v>
      </c>
      <c r="D44" t="s">
        <v>308</v>
      </c>
      <c r="E44" t="s">
        <v>308</v>
      </c>
      <c r="F44" t="s">
        <v>301</v>
      </c>
      <c r="G44">
        <v>1968</v>
      </c>
      <c r="I44">
        <v>2010</v>
      </c>
      <c r="T44">
        <v>17</v>
      </c>
      <c r="V44">
        <v>15</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1081</v>
      </c>
      <c r="BQ44" t="s">
        <v>754</v>
      </c>
      <c r="BR44" t="str">
        <f>VLOOKUP(G44,Eras!$A$2:$C$10, 2, TRUE)</f>
        <v>dsl</v>
      </c>
      <c r="BS44" t="s">
        <v>367</v>
      </c>
      <c r="BT44" t="str">
        <f t="shared" si="10"/>
        <v>dsl_Open Wagon</v>
      </c>
      <c r="BU44" t="str">
        <f t="shared" si="11"/>
        <v>wagon_RAIL</v>
      </c>
      <c r="BV44" t="str">
        <f>VLOOKUP($BU44, Constants!$M:$N, 2, FALSE)</f>
        <v/>
      </c>
      <c r="BW44" t="str">
        <f t="shared" si="12"/>
        <v/>
      </c>
      <c r="BX44" t="s">
        <v>772</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770</v>
      </c>
      <c r="B45" t="s">
        <v>229</v>
      </c>
      <c r="C45">
        <v>41</v>
      </c>
      <c r="D45" t="s">
        <v>308</v>
      </c>
      <c r="E45" t="s">
        <v>308</v>
      </c>
      <c r="F45" t="s">
        <v>301</v>
      </c>
      <c r="G45">
        <v>2000</v>
      </c>
      <c r="T45">
        <v>24</v>
      </c>
      <c r="V45">
        <v>15</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1081</v>
      </c>
      <c r="BQ45" t="s">
        <v>754</v>
      </c>
      <c r="BR45" t="str">
        <f>VLOOKUP(G45,Eras!$A$2:$C$10, 2, TRUE)</f>
        <v>prv</v>
      </c>
      <c r="BS45" t="s">
        <v>367</v>
      </c>
      <c r="BT45" t="str">
        <f t="shared" si="10"/>
        <v>prv_Open Wagon</v>
      </c>
      <c r="BU45" t="str">
        <f t="shared" si="11"/>
        <v>wagon_RAIL</v>
      </c>
      <c r="BV45" t="str">
        <f>VLOOKUP($BU45, Constants!$M:$N, 2, FALSE)</f>
        <v/>
      </c>
      <c r="BW45" t="str">
        <f t="shared" si="12"/>
        <v/>
      </c>
      <c r="BX45" t="s">
        <v>768</v>
      </c>
      <c r="BY45" t="str">
        <f t="shared" si="16"/>
        <v/>
      </c>
      <c r="BZ45" t="str">
        <f t="shared" si="14"/>
        <v>{SILVER}The HHA is a large self-discharging hopper built for Freightliner to use on coal trains.</v>
      </c>
    </row>
    <row r="46" spans="1:78" x14ac:dyDescent="0.25">
      <c r="A46" t="s">
        <v>835</v>
      </c>
      <c r="B46" t="s">
        <v>836</v>
      </c>
      <c r="C46">
        <v>50</v>
      </c>
      <c r="D46" t="s">
        <v>308</v>
      </c>
      <c r="E46" t="s">
        <v>308</v>
      </c>
      <c r="F46" t="s">
        <v>301</v>
      </c>
      <c r="G46">
        <v>1930</v>
      </c>
      <c r="I46">
        <v>1970</v>
      </c>
      <c r="T46">
        <v>7</v>
      </c>
      <c r="V46">
        <v>18</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1084</v>
      </c>
      <c r="BQ46" t="s">
        <v>313</v>
      </c>
      <c r="BR46" t="str">
        <f>VLOOKUP(G46,Eras!$A$2:$C$10, 2, TRUE)</f>
        <v>big4</v>
      </c>
      <c r="BS46" t="s">
        <v>733</v>
      </c>
      <c r="BT46" t="str">
        <f t="shared" si="10"/>
        <v>big4_Extra</v>
      </c>
      <c r="BU46" t="str">
        <f t="shared" si="11"/>
        <v>wagon_RAIL</v>
      </c>
      <c r="BV46" t="str">
        <f>VLOOKUP($BU46, Constants!$M:$N, 2, FALSE)</f>
        <v/>
      </c>
      <c r="BW46" t="str">
        <f t="shared" si="12"/>
        <v/>
      </c>
      <c r="BX46" t="s">
        <v>1454</v>
      </c>
      <c r="BY46" t="str">
        <f t="shared" si="16"/>
        <v/>
      </c>
      <c r="BZ46" t="str">
        <f t="shared" si="14"/>
        <v>{SILVER}Conflats were built to carry containers, meaning goods could be loaded separately and then the whole container placed on the train in one operation.</v>
      </c>
    </row>
    <row r="47" spans="1:78" x14ac:dyDescent="0.25">
      <c r="A47" t="s">
        <v>804</v>
      </c>
      <c r="B47" t="s">
        <v>805</v>
      </c>
      <c r="C47">
        <v>52</v>
      </c>
      <c r="D47" t="s">
        <v>308</v>
      </c>
      <c r="E47" t="s">
        <v>308</v>
      </c>
      <c r="F47" t="s">
        <v>301</v>
      </c>
      <c r="G47">
        <v>1964</v>
      </c>
      <c r="I47">
        <v>1995</v>
      </c>
      <c r="T47">
        <v>17</v>
      </c>
      <c r="V47">
        <v>18</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1084</v>
      </c>
      <c r="BQ47" t="s">
        <v>313</v>
      </c>
      <c r="BR47" t="str">
        <f>VLOOKUP(G47,Eras!$A$2:$C$10, 2, TRUE)</f>
        <v>dsl</v>
      </c>
      <c r="BS47" t="s">
        <v>733</v>
      </c>
      <c r="BT47" t="str">
        <f t="shared" si="10"/>
        <v>dsl_Extra</v>
      </c>
      <c r="BU47" t="str">
        <f t="shared" si="11"/>
        <v>wagon_RAIL</v>
      </c>
      <c r="BV47" t="str">
        <f>VLOOKUP($BU47, Constants!$M:$N, 2, FALSE)</f>
        <v/>
      </c>
      <c r="BW47" t="str">
        <f t="shared" si="12"/>
        <v/>
      </c>
      <c r="BX47" t="s">
        <v>837</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806</v>
      </c>
      <c r="B48" t="s">
        <v>807</v>
      </c>
      <c r="C48">
        <v>54</v>
      </c>
      <c r="D48" t="s">
        <v>308</v>
      </c>
      <c r="E48" t="s">
        <v>308</v>
      </c>
      <c r="F48" t="s">
        <v>301</v>
      </c>
      <c r="G48">
        <v>1991</v>
      </c>
      <c r="T48">
        <v>17</v>
      </c>
      <c r="V48">
        <v>18</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1084</v>
      </c>
      <c r="BQ48" t="s">
        <v>313</v>
      </c>
      <c r="BR48" t="str">
        <f>VLOOKUP(G48,Eras!$A$2:$C$10, 2, TRUE)</f>
        <v>lbr</v>
      </c>
      <c r="BS48" t="s">
        <v>733</v>
      </c>
      <c r="BT48" t="str">
        <f t="shared" si="10"/>
        <v>lbr_Extra</v>
      </c>
      <c r="BU48" t="str">
        <f t="shared" si="11"/>
        <v>wagon_RAIL</v>
      </c>
      <c r="BV48" t="str">
        <f>VLOOKUP($BU48, Constants!$M:$N, 2, FALSE)</f>
        <v/>
      </c>
      <c r="BW48" t="str">
        <f t="shared" si="12"/>
        <v/>
      </c>
      <c r="BX48" t="s">
        <v>838</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839</v>
      </c>
      <c r="B49" t="s">
        <v>840</v>
      </c>
      <c r="C49">
        <v>56</v>
      </c>
      <c r="D49" t="s">
        <v>308</v>
      </c>
      <c r="E49" t="s">
        <v>308</v>
      </c>
      <c r="F49" t="s">
        <v>301</v>
      </c>
      <c r="G49">
        <v>1997</v>
      </c>
      <c r="T49">
        <v>23</v>
      </c>
      <c r="V49">
        <v>18</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1084</v>
      </c>
      <c r="BQ49" t="s">
        <v>313</v>
      </c>
      <c r="BR49" t="str">
        <f>VLOOKUP(G49,Eras!$A$2:$C$10, 2, TRUE)</f>
        <v>prv</v>
      </c>
      <c r="BS49" t="s">
        <v>733</v>
      </c>
      <c r="BT49" t="str">
        <f t="shared" si="10"/>
        <v>prv_Extra</v>
      </c>
      <c r="BU49" t="str">
        <f t="shared" si="11"/>
        <v>wagon_RAIL</v>
      </c>
      <c r="BV49" t="str">
        <f>VLOOKUP($BU49, Constants!$M:$N, 2, FALSE)</f>
        <v/>
      </c>
      <c r="BW49" t="str">
        <f t="shared" si="12"/>
        <v/>
      </c>
      <c r="BX49" t="s">
        <v>851</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1404</v>
      </c>
      <c r="B50" t="s">
        <v>1403</v>
      </c>
      <c r="C50">
        <v>59</v>
      </c>
      <c r="D50" t="s">
        <v>308</v>
      </c>
      <c r="E50" t="s">
        <v>308</v>
      </c>
      <c r="F50" t="s">
        <v>1428</v>
      </c>
      <c r="G50">
        <v>1700</v>
      </c>
      <c r="I50">
        <v>1875</v>
      </c>
      <c r="T50">
        <v>2</v>
      </c>
      <c r="V50">
        <v>5</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1083</v>
      </c>
      <c r="BQ50" t="s">
        <v>438</v>
      </c>
      <c r="BR50" t="str">
        <f>VLOOKUP(G50,Eras!$A$2:$C$10, 2, TRUE)</f>
        <v>early</v>
      </c>
      <c r="BS50" t="s">
        <v>368</v>
      </c>
      <c r="BT50" t="str">
        <f t="shared" si="10"/>
        <v>early_Flat Wagon</v>
      </c>
      <c r="BU50" t="str">
        <f t="shared" si="11"/>
        <v>wagon_PLATEWAY</v>
      </c>
      <c r="BV50" t="str">
        <f>VLOOKUP($BU50, Constants!$M:$N, 2, FALSE)</f>
        <v/>
      </c>
      <c r="BW50" t="str">
        <f t="shared" si="12"/>
        <v/>
      </c>
      <c r="BX50" t="s">
        <v>1405</v>
      </c>
      <c r="BY50" t="str">
        <f t="shared" si="16"/>
        <v/>
      </c>
      <c r="BZ50" t="str">
        <f t="shared" si="14"/>
        <v>{SILVER}Early flat wagons had simple wooden construction, and sometimes featured stakes for securing loads.</v>
      </c>
    </row>
    <row r="51" spans="1:78" x14ac:dyDescent="0.25">
      <c r="A51" t="s">
        <v>820</v>
      </c>
      <c r="B51" t="s">
        <v>822</v>
      </c>
      <c r="C51">
        <v>60</v>
      </c>
      <c r="D51" t="s">
        <v>308</v>
      </c>
      <c r="E51" t="s">
        <v>308</v>
      </c>
      <c r="F51" t="s">
        <v>301</v>
      </c>
      <c r="G51">
        <v>1850</v>
      </c>
      <c r="I51">
        <v>1924</v>
      </c>
      <c r="T51">
        <v>5</v>
      </c>
      <c r="V51">
        <v>5</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1083</v>
      </c>
      <c r="BQ51" t="s">
        <v>438</v>
      </c>
      <c r="BR51" t="str">
        <f>VLOOKUP(G51,Eras!$A$2:$C$10, 2, TRUE)</f>
        <v>vct</v>
      </c>
      <c r="BS51" t="s">
        <v>368</v>
      </c>
      <c r="BT51" t="str">
        <f t="shared" si="10"/>
        <v>vct_Flat Wagon</v>
      </c>
      <c r="BU51" t="str">
        <f t="shared" si="11"/>
        <v>wagon_RAIL</v>
      </c>
      <c r="BV51" t="str">
        <f>VLOOKUP($BU51, Constants!$M:$N, 2, FALSE)</f>
        <v/>
      </c>
      <c r="BW51" t="str">
        <f t="shared" si="12"/>
        <v/>
      </c>
      <c r="BX51" t="s">
        <v>821</v>
      </c>
      <c r="BY51" t="str">
        <f t="shared" si="16"/>
        <v/>
      </c>
      <c r="BZ51" t="str">
        <f t="shared" si="14"/>
        <v>{SILVER}Flat wagons carried goods such as metal pipes and wood, where a flat surface with bolsters for tying loads down was most convenient.</v>
      </c>
    </row>
    <row r="52" spans="1:78" x14ac:dyDescent="0.25">
      <c r="A52" t="s">
        <v>436</v>
      </c>
      <c r="B52" t="s">
        <v>437</v>
      </c>
      <c r="C52">
        <v>62</v>
      </c>
      <c r="D52" t="s">
        <v>308</v>
      </c>
      <c r="E52" t="s">
        <v>308</v>
      </c>
      <c r="F52" t="s">
        <v>301</v>
      </c>
      <c r="G52">
        <v>1906</v>
      </c>
      <c r="I52">
        <v>1960</v>
      </c>
      <c r="T52">
        <v>7</v>
      </c>
      <c r="V52">
        <v>5</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1083</v>
      </c>
      <c r="BQ52" t="s">
        <v>438</v>
      </c>
      <c r="BR52" t="str">
        <f>VLOOKUP(G52,Eras!$A$2:$C$10, 2, TRUE)</f>
        <v>edw</v>
      </c>
      <c r="BS52" t="s">
        <v>368</v>
      </c>
      <c r="BT52" t="str">
        <f t="shared" si="10"/>
        <v>edw_Flat Wagon</v>
      </c>
      <c r="BU52" t="str">
        <f t="shared" si="11"/>
        <v>wagon_RAIL</v>
      </c>
      <c r="BV52" t="str">
        <f>VLOOKUP($BU52, Constants!$M:$N, 2, FALSE)</f>
        <v/>
      </c>
      <c r="BW52" t="str">
        <f t="shared" si="12"/>
        <v/>
      </c>
      <c r="BX52" t="s">
        <v>439</v>
      </c>
      <c r="BY52" t="str">
        <f t="shared" si="16"/>
        <v/>
      </c>
      <c r="BZ52" t="str">
        <f t="shared" si="14"/>
        <v>{SILVER}"Beaver" was the GWR telegraph code for a flat wagon, with an additional letter used to identify the length.</v>
      </c>
    </row>
    <row r="53" spans="1:78" x14ac:dyDescent="0.25">
      <c r="A53" t="s">
        <v>134</v>
      </c>
      <c r="B53" t="s">
        <v>803</v>
      </c>
      <c r="C53">
        <v>64</v>
      </c>
      <c r="D53" t="s">
        <v>308</v>
      </c>
      <c r="E53" t="s">
        <v>308</v>
      </c>
      <c r="F53" t="s">
        <v>301</v>
      </c>
      <c r="G53">
        <v>1916</v>
      </c>
      <c r="I53">
        <v>1965</v>
      </c>
      <c r="T53">
        <v>14</v>
      </c>
      <c r="V53">
        <v>6</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1083</v>
      </c>
      <c r="BQ53" t="s">
        <v>438</v>
      </c>
      <c r="BR53" t="str">
        <f>VLOOKUP(G53,Eras!$A$2:$C$10, 2, TRUE)</f>
        <v>edw</v>
      </c>
      <c r="BS53" t="s">
        <v>368</v>
      </c>
      <c r="BT53" t="str">
        <f t="shared" si="10"/>
        <v>edw_Flat Wagon</v>
      </c>
      <c r="BU53" t="str">
        <f t="shared" si="11"/>
        <v>wagon_RAIL</v>
      </c>
      <c r="BV53" t="str">
        <f>VLOOKUP($BU53, Constants!$M:$N, 2, FALSE)</f>
        <v/>
      </c>
      <c r="BW53" t="str">
        <f t="shared" si="12"/>
        <v/>
      </c>
      <c r="BX53" t="s">
        <v>802</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808</v>
      </c>
      <c r="B54" t="s">
        <v>809</v>
      </c>
      <c r="C54">
        <v>66</v>
      </c>
      <c r="D54" t="s">
        <v>308</v>
      </c>
      <c r="E54" t="s">
        <v>308</v>
      </c>
      <c r="F54" t="s">
        <v>301</v>
      </c>
      <c r="G54">
        <v>1925</v>
      </c>
      <c r="I54">
        <v>1970</v>
      </c>
      <c r="T54">
        <v>7</v>
      </c>
      <c r="V54">
        <v>5</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1083</v>
      </c>
      <c r="BQ54" t="s">
        <v>438</v>
      </c>
      <c r="BR54" t="str">
        <f>VLOOKUP(G54,Eras!$A$2:$C$10, 2, TRUE)</f>
        <v>big4</v>
      </c>
      <c r="BS54" t="s">
        <v>368</v>
      </c>
      <c r="BT54" t="str">
        <f t="shared" si="10"/>
        <v>big4_Flat Wagon</v>
      </c>
      <c r="BU54" t="str">
        <f t="shared" si="11"/>
        <v>wagon_RAIL</v>
      </c>
      <c r="BV54" t="str">
        <f>VLOOKUP($BU54, Constants!$M:$N, 2, FALSE)</f>
        <v/>
      </c>
      <c r="BW54" t="str">
        <f t="shared" si="12"/>
        <v/>
      </c>
      <c r="BX54" t="s">
        <v>810</v>
      </c>
      <c r="BY54" t="str">
        <f t="shared" si="16"/>
        <v/>
      </c>
      <c r="BZ54" t="str">
        <f t="shared" si="14"/>
        <v>{SILVER}The LMS built double bolsters to carry welded rail, with single rails laid across multiple bolster wagons.</v>
      </c>
    </row>
    <row r="55" spans="1:78" x14ac:dyDescent="0.25">
      <c r="A55" t="s">
        <v>814</v>
      </c>
      <c r="B55" t="s">
        <v>815</v>
      </c>
      <c r="C55">
        <v>68</v>
      </c>
      <c r="D55" t="s">
        <v>308</v>
      </c>
      <c r="E55" t="s">
        <v>308</v>
      </c>
      <c r="F55" t="s">
        <v>301</v>
      </c>
      <c r="G55">
        <v>1949</v>
      </c>
      <c r="I55">
        <v>2010</v>
      </c>
      <c r="T55">
        <v>16</v>
      </c>
      <c r="V55">
        <v>7</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1083</v>
      </c>
      <c r="BQ55" t="s">
        <v>438</v>
      </c>
      <c r="BR55" t="str">
        <f>VLOOKUP(G55,Eras!$A$2:$C$10, 2, TRUE)</f>
        <v>ebr</v>
      </c>
      <c r="BS55" t="s">
        <v>368</v>
      </c>
      <c r="BT55" t="str">
        <f t="shared" si="10"/>
        <v>ebr_Flat Wagon</v>
      </c>
      <c r="BU55" t="str">
        <f t="shared" si="11"/>
        <v>wagon_RAIL</v>
      </c>
      <c r="BV55" t="str">
        <f>VLOOKUP($BU55, Constants!$M:$N, 2, FALSE)</f>
        <v/>
      </c>
      <c r="BW55" t="str">
        <f t="shared" si="12"/>
        <v/>
      </c>
      <c r="BX55" t="s">
        <v>816</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811</v>
      </c>
      <c r="B56" t="s">
        <v>812</v>
      </c>
      <c r="C56">
        <v>70</v>
      </c>
      <c r="D56" t="s">
        <v>308</v>
      </c>
      <c r="E56" t="s">
        <v>308</v>
      </c>
      <c r="F56" t="s">
        <v>301</v>
      </c>
      <c r="G56">
        <v>1975</v>
      </c>
      <c r="T56">
        <v>16</v>
      </c>
      <c r="V56">
        <v>6</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1083</v>
      </c>
      <c r="BQ56" t="s">
        <v>438</v>
      </c>
      <c r="BR56" t="str">
        <f>VLOOKUP(G56,Eras!$A$2:$C$10, 2, TRUE)</f>
        <v>lbr</v>
      </c>
      <c r="BS56" t="s">
        <v>368</v>
      </c>
      <c r="BT56" t="str">
        <f t="shared" si="10"/>
        <v>lbr_Flat Wagon</v>
      </c>
      <c r="BU56" t="str">
        <f t="shared" si="11"/>
        <v>wagon_RAIL</v>
      </c>
      <c r="BV56" t="str">
        <f>VLOOKUP($BU56, Constants!$M:$N, 2, FALSE)</f>
        <v/>
      </c>
      <c r="BW56" t="str">
        <f t="shared" si="12"/>
        <v/>
      </c>
      <c r="BX56" t="s">
        <v>813</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817</v>
      </c>
      <c r="B57" t="s">
        <v>818</v>
      </c>
      <c r="C57">
        <v>72</v>
      </c>
      <c r="D57" t="s">
        <v>308</v>
      </c>
      <c r="E57" t="s">
        <v>308</v>
      </c>
      <c r="F57" t="s">
        <v>301</v>
      </c>
      <c r="G57">
        <v>2009</v>
      </c>
      <c r="T57">
        <v>16</v>
      </c>
      <c r="V57">
        <v>6</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1083</v>
      </c>
      <c r="BQ57" t="s">
        <v>438</v>
      </c>
      <c r="BR57" t="str">
        <f>VLOOKUP(G57,Eras!$A$2:$C$10, 2, TRUE)</f>
        <v>mod</v>
      </c>
      <c r="BS57" t="s">
        <v>368</v>
      </c>
      <c r="BT57" t="str">
        <f t="shared" si="10"/>
        <v>mod_Flat Wagon</v>
      </c>
      <c r="BU57" t="str">
        <f t="shared" si="11"/>
        <v>wagon_RAIL</v>
      </c>
      <c r="BV57" t="str">
        <f>VLOOKUP($BU57, Constants!$M:$N, 2, FALSE)</f>
        <v/>
      </c>
      <c r="BW57" t="str">
        <f t="shared" si="12"/>
        <v/>
      </c>
      <c r="BX57" t="s">
        <v>819</v>
      </c>
      <c r="BY57" t="str">
        <f t="shared" si="16"/>
        <v/>
      </c>
      <c r="BZ57" t="str">
        <f t="shared" si="14"/>
        <v>{SILVER}Despite the age of the "Salmon" bolster wagons, in 2009 they were refurbished with new end plates to make loading track panels simpler.</v>
      </c>
    </row>
    <row r="58" spans="1:78" x14ac:dyDescent="0.25">
      <c r="A58" t="s">
        <v>823</v>
      </c>
      <c r="B58" t="s">
        <v>824</v>
      </c>
      <c r="C58">
        <v>80</v>
      </c>
      <c r="D58" t="s">
        <v>308</v>
      </c>
      <c r="E58" t="s">
        <v>308</v>
      </c>
      <c r="F58" t="s">
        <v>301</v>
      </c>
      <c r="G58">
        <v>1972</v>
      </c>
      <c r="T58">
        <v>17</v>
      </c>
      <c r="V58">
        <v>8</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929</v>
      </c>
      <c r="BQ58" t="s">
        <v>833</v>
      </c>
      <c r="BR58" t="str">
        <f>VLOOKUP(G58,Eras!$A$2:$C$10, 2, TRUE)</f>
        <v>lbr</v>
      </c>
      <c r="BS58" t="s">
        <v>368</v>
      </c>
      <c r="BT58" t="str">
        <f t="shared" si="10"/>
        <v>lbr_Flat Wagon</v>
      </c>
      <c r="BU58" t="str">
        <f t="shared" si="11"/>
        <v>wagon_RAIL</v>
      </c>
      <c r="BV58" t="str">
        <f>VLOOKUP($BU58, Constants!$M:$N, 2, FALSE)</f>
        <v/>
      </c>
      <c r="BW58" t="str">
        <f t="shared" si="12"/>
        <v/>
      </c>
      <c r="BX58" t="s">
        <v>834</v>
      </c>
      <c r="BY58" t="str">
        <f t="shared" si="16"/>
        <v/>
      </c>
      <c r="BZ58" t="str">
        <f t="shared" si="14"/>
        <v>{SILVER}BAA wagons could initially carry steel in a large variety of forms, although many were later modified to be dedicated coil carriers.</v>
      </c>
    </row>
    <row r="59" spans="1:78" x14ac:dyDescent="0.25">
      <c r="A59" t="s">
        <v>825</v>
      </c>
      <c r="B59" t="s">
        <v>826</v>
      </c>
      <c r="C59">
        <v>82</v>
      </c>
      <c r="D59" t="s">
        <v>308</v>
      </c>
      <c r="E59" t="s">
        <v>308</v>
      </c>
      <c r="F59" t="s">
        <v>301</v>
      </c>
      <c r="G59">
        <v>1998</v>
      </c>
      <c r="T59">
        <v>24</v>
      </c>
      <c r="V59">
        <v>10</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929</v>
      </c>
      <c r="BQ59" t="s">
        <v>833</v>
      </c>
      <c r="BR59" t="str">
        <f>VLOOKUP(G59,Eras!$A$2:$C$10, 2, TRUE)</f>
        <v>prv</v>
      </c>
      <c r="BS59" t="s">
        <v>368</v>
      </c>
      <c r="BT59" t="str">
        <f t="shared" si="10"/>
        <v>prv_Flat Wagon</v>
      </c>
      <c r="BU59" t="str">
        <f t="shared" si="11"/>
        <v>wagon_RAIL</v>
      </c>
      <c r="BV59" t="str">
        <f>VLOOKUP($BU59, Constants!$M:$N, 2, FALSE)</f>
        <v/>
      </c>
      <c r="BW59" t="str">
        <f t="shared" si="12"/>
        <v/>
      </c>
      <c r="BX59" t="s">
        <v>832</v>
      </c>
      <c r="BY59" t="str">
        <f t="shared" si="16"/>
        <v/>
      </c>
      <c r="BZ59" t="str">
        <f t="shared" si="14"/>
        <v>{SILVER}The BYA/BRA covered steel carriers gained their name from the corrugated sliding cover and its curved cross section.</v>
      </c>
    </row>
    <row r="60" spans="1:78" x14ac:dyDescent="0.25">
      <c r="A60" t="s">
        <v>130</v>
      </c>
      <c r="B60" t="s">
        <v>306</v>
      </c>
      <c r="C60">
        <v>93</v>
      </c>
      <c r="D60" t="s">
        <v>308</v>
      </c>
      <c r="E60" t="s">
        <v>308</v>
      </c>
      <c r="F60" t="s">
        <v>301</v>
      </c>
      <c r="G60">
        <v>1860</v>
      </c>
      <c r="I60">
        <v>1922</v>
      </c>
      <c r="T60">
        <v>5</v>
      </c>
      <c r="V60">
        <v>4</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370</v>
      </c>
      <c r="BQ60" t="s">
        <v>311</v>
      </c>
      <c r="BR60" t="str">
        <f>VLOOKUP(G60,Eras!$A$2:$C$10, 2, TRUE)</f>
        <v>vct</v>
      </c>
      <c r="BS60" t="s">
        <v>370</v>
      </c>
      <c r="BT60" t="str">
        <f t="shared" si="10"/>
        <v>vct_Tanker</v>
      </c>
      <c r="BU60" t="str">
        <f t="shared" si="11"/>
        <v>wagon_RAIL</v>
      </c>
      <c r="BV60" t="str">
        <f>VLOOKUP($BU60, Constants!$M:$N, 2, FALSE)</f>
        <v/>
      </c>
      <c r="BW60" t="str">
        <f t="shared" si="12"/>
        <v/>
      </c>
      <c r="BX60" t="s">
        <v>390</v>
      </c>
      <c r="BY60" t="str">
        <f t="shared" si="16"/>
        <v/>
      </c>
      <c r="BZ60" t="str">
        <f t="shared" si="14"/>
        <v>{SILVER}Early four wheel tank wagons are limited to low speeds by their construction and primitive suspension.</v>
      </c>
    </row>
    <row r="61" spans="1:78" x14ac:dyDescent="0.25">
      <c r="A61" t="s">
        <v>433</v>
      </c>
      <c r="B61" t="s">
        <v>434</v>
      </c>
      <c r="C61">
        <v>94</v>
      </c>
      <c r="D61" t="s">
        <v>308</v>
      </c>
      <c r="E61" t="s">
        <v>308</v>
      </c>
      <c r="F61" t="s">
        <v>301</v>
      </c>
      <c r="G61">
        <v>1901</v>
      </c>
      <c r="I61">
        <v>1939</v>
      </c>
      <c r="T61">
        <v>10</v>
      </c>
      <c r="V61">
        <v>5</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370</v>
      </c>
      <c r="BQ61" t="s">
        <v>311</v>
      </c>
      <c r="BR61" t="str">
        <f>VLOOKUP(G61,Eras!$A$2:$C$10, 2, TRUE)</f>
        <v>edw</v>
      </c>
      <c r="BS61" t="s">
        <v>370</v>
      </c>
      <c r="BT61" t="str">
        <f t="shared" si="10"/>
        <v>edw_Tanker</v>
      </c>
      <c r="BU61" t="str">
        <f t="shared" si="11"/>
        <v>wagon_RAIL</v>
      </c>
      <c r="BV61" t="str">
        <f>VLOOKUP($BU61, Constants!$M:$N, 2, FALSE)</f>
        <v/>
      </c>
      <c r="BW61" t="str">
        <f t="shared" si="12"/>
        <v/>
      </c>
      <c r="BX61" t="s">
        <v>435</v>
      </c>
      <c r="BY61" t="str">
        <f t="shared" si="16"/>
        <v/>
      </c>
      <c r="BZ61" t="str">
        <f t="shared" si="14"/>
        <v>{SILVER}The GWR's cylindrical tank wagons were built by the Locomotive department, as the iron cylinders used similar techniques to steam engines.</v>
      </c>
    </row>
    <row r="62" spans="1:78" x14ac:dyDescent="0.25">
      <c r="A62" t="s">
        <v>775</v>
      </c>
      <c r="B62" t="s">
        <v>307</v>
      </c>
      <c r="C62">
        <v>96</v>
      </c>
      <c r="D62" t="s">
        <v>308</v>
      </c>
      <c r="E62" t="s">
        <v>308</v>
      </c>
      <c r="F62" t="s">
        <v>301</v>
      </c>
      <c r="G62">
        <v>1928</v>
      </c>
      <c r="I62">
        <v>1975</v>
      </c>
      <c r="T62">
        <v>11</v>
      </c>
      <c r="V62">
        <v>5</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370</v>
      </c>
      <c r="BQ62" t="s">
        <v>311</v>
      </c>
      <c r="BR62" t="str">
        <f>VLOOKUP(G62,Eras!$A$2:$C$10, 2, TRUE)</f>
        <v>big4</v>
      </c>
      <c r="BS62" t="s">
        <v>370</v>
      </c>
      <c r="BT62" t="str">
        <f t="shared" si="10"/>
        <v>big4_Tanker</v>
      </c>
      <c r="BU62" t="str">
        <f t="shared" si="11"/>
        <v>wagon_RAIL</v>
      </c>
      <c r="BV62" t="str">
        <f>VLOOKUP($BU62, Constants!$M:$N, 2, FALSE)</f>
        <v/>
      </c>
      <c r="BW62" t="str">
        <f t="shared" si="12"/>
        <v/>
      </c>
      <c r="BX62" t="s">
        <v>776</v>
      </c>
      <c r="BY62" t="str">
        <f t="shared" si="16"/>
        <v/>
      </c>
      <c r="BZ62" t="str">
        <f t="shared" si="14"/>
        <v>{SILVER}Six wheeled tank wagons formed the core of the GWR (and later BR) "milk trains", long freight consists transporting milk from farms to cities.</v>
      </c>
    </row>
    <row r="63" spans="1:78" x14ac:dyDescent="0.25">
      <c r="A63" t="s">
        <v>773</v>
      </c>
      <c r="B63" t="s">
        <v>752</v>
      </c>
      <c r="C63">
        <v>97</v>
      </c>
      <c r="D63" t="s">
        <v>308</v>
      </c>
      <c r="E63" t="s">
        <v>308</v>
      </c>
      <c r="F63" t="s">
        <v>301</v>
      </c>
      <c r="G63">
        <v>1966</v>
      </c>
      <c r="T63">
        <v>12</v>
      </c>
      <c r="V63">
        <v>6</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370</v>
      </c>
      <c r="BQ63" t="s">
        <v>311</v>
      </c>
      <c r="BR63" t="str">
        <f>VLOOKUP(G63,Eras!$A$2:$C$10, 2, TRUE)</f>
        <v>dsl</v>
      </c>
      <c r="BS63" t="s">
        <v>370</v>
      </c>
      <c r="BT63" t="str">
        <f t="shared" si="10"/>
        <v>dsl_Tanker</v>
      </c>
      <c r="BU63" t="str">
        <f t="shared" si="11"/>
        <v>wagon_RAIL</v>
      </c>
      <c r="BV63" t="str">
        <f>VLOOKUP($BU63, Constants!$M:$N, 2, FALSE)</f>
        <v/>
      </c>
      <c r="BW63" t="str">
        <f t="shared" si="12"/>
        <v/>
      </c>
      <c r="BX63" t="s">
        <v>750</v>
      </c>
      <c r="BY63" t="str">
        <f t="shared" si="16"/>
        <v/>
      </c>
      <c r="BZ63" t="str">
        <f t="shared" si="14"/>
        <v>{SILVER}TTA tankers were constructed on "monobloc" principles and featured automatic braking.</v>
      </c>
    </row>
    <row r="64" spans="1:78" x14ac:dyDescent="0.25">
      <c r="A64" t="s">
        <v>774</v>
      </c>
      <c r="B64" t="s">
        <v>753</v>
      </c>
      <c r="C64">
        <v>99</v>
      </c>
      <c r="D64" t="s">
        <v>308</v>
      </c>
      <c r="E64" t="s">
        <v>308</v>
      </c>
      <c r="F64" t="s">
        <v>301</v>
      </c>
      <c r="G64">
        <v>1970</v>
      </c>
      <c r="T64">
        <v>24</v>
      </c>
      <c r="V64">
        <v>7</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370</v>
      </c>
      <c r="BQ64" t="s">
        <v>311</v>
      </c>
      <c r="BR64" t="str">
        <f>VLOOKUP(G64,Eras!$A$2:$C$10, 2, TRUE)</f>
        <v>lbr</v>
      </c>
      <c r="BS64" t="s">
        <v>370</v>
      </c>
      <c r="BT64" t="str">
        <f t="shared" si="10"/>
        <v>lbr_Tanker</v>
      </c>
      <c r="BU64" t="str">
        <f t="shared" si="11"/>
        <v>wagon_RAIL</v>
      </c>
      <c r="BV64" t="str">
        <f>VLOOKUP($BU64, Constants!$M:$N, 2, FALSE)</f>
        <v/>
      </c>
      <c r="BW64" t="str">
        <f t="shared" si="12"/>
        <v/>
      </c>
      <c r="BX64" t="s">
        <v>751</v>
      </c>
      <c r="BY64" t="str">
        <f t="shared" si="16"/>
        <v/>
      </c>
      <c r="BZ64" t="str">
        <f t="shared" si="14"/>
        <v>{SILVER}Large bogie tankers allowed for carrying heavy loads of liquids at high speeds. The long frames allow tanks to take up more space without fouling axles.</v>
      </c>
    </row>
    <row r="65" spans="1:78" x14ac:dyDescent="0.25">
      <c r="A65" t="s">
        <v>843</v>
      </c>
      <c r="B65" t="s">
        <v>231</v>
      </c>
      <c r="C65">
        <v>100</v>
      </c>
      <c r="D65" t="s">
        <v>308</v>
      </c>
      <c r="E65" t="s">
        <v>308</v>
      </c>
      <c r="F65" t="s">
        <v>301</v>
      </c>
      <c r="G65">
        <v>1850</v>
      </c>
      <c r="I65">
        <v>1925</v>
      </c>
      <c r="T65">
        <v>8</v>
      </c>
      <c r="V65">
        <v>4</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945</v>
      </c>
      <c r="BQ65" t="s">
        <v>793</v>
      </c>
      <c r="BR65" t="str">
        <f>VLOOKUP(G65,Eras!$A$2:$C$10, 2, TRUE)</f>
        <v>vct</v>
      </c>
      <c r="BS65" t="s">
        <v>369</v>
      </c>
      <c r="BT65" t="str">
        <f t="shared" si="10"/>
        <v>vct_Van</v>
      </c>
      <c r="BU65" t="str">
        <f t="shared" si="11"/>
        <v>wagon_RAIL</v>
      </c>
      <c r="BV65" t="str">
        <f>VLOOKUP($BU65, Constants!$M:$N, 2, FALSE)</f>
        <v/>
      </c>
      <c r="BW65" t="str">
        <f t="shared" si="12"/>
        <v/>
      </c>
      <c r="BX65" t="s">
        <v>792</v>
      </c>
      <c r="BY65" t="str">
        <f t="shared" si="16"/>
        <v/>
      </c>
      <c r="BZ65" t="str">
        <f t="shared" si="14"/>
        <v>{SILVER}Livestock traffic was common early on in railway history, with specialised cattle wagons and stations equipped to handle loading and unloading.</v>
      </c>
    </row>
    <row r="66" spans="1:78" x14ac:dyDescent="0.25">
      <c r="A66" t="s">
        <v>844</v>
      </c>
      <c r="B66" t="s">
        <v>794</v>
      </c>
      <c r="C66">
        <v>101</v>
      </c>
      <c r="D66" t="s">
        <v>308</v>
      </c>
      <c r="E66" t="s">
        <v>308</v>
      </c>
      <c r="F66" t="s">
        <v>301</v>
      </c>
      <c r="G66">
        <v>1905</v>
      </c>
      <c r="I66">
        <v>1955</v>
      </c>
      <c r="T66">
        <v>10</v>
      </c>
      <c r="V66">
        <v>5</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945</v>
      </c>
      <c r="BQ66" t="s">
        <v>793</v>
      </c>
      <c r="BR66" t="str">
        <f>VLOOKUP(G66,Eras!$A$2:$C$10, 2, TRUE)</f>
        <v>edw</v>
      </c>
      <c r="BS66" t="s">
        <v>369</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796</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845</v>
      </c>
      <c r="B67" t="s">
        <v>795</v>
      </c>
      <c r="C67">
        <v>102</v>
      </c>
      <c r="D67" t="s">
        <v>308</v>
      </c>
      <c r="E67" t="s">
        <v>308</v>
      </c>
      <c r="F67" t="s">
        <v>301</v>
      </c>
      <c r="G67">
        <v>1930</v>
      </c>
      <c r="I67">
        <v>1975</v>
      </c>
      <c r="T67">
        <v>10</v>
      </c>
      <c r="V67">
        <v>5</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945</v>
      </c>
      <c r="BQ67" t="s">
        <v>793</v>
      </c>
      <c r="BR67" t="str">
        <f>VLOOKUP(G67,Eras!$A$2:$C$10, 2, TRUE)</f>
        <v>big4</v>
      </c>
      <c r="BS67" t="s">
        <v>369</v>
      </c>
      <c r="BT67" t="str">
        <f t="shared" si="27"/>
        <v>big4_Van</v>
      </c>
      <c r="BU67" t="str">
        <f t="shared" si="28"/>
        <v>wagon_RAIL</v>
      </c>
      <c r="BV67" t="str">
        <f>VLOOKUP($BU67, Constants!$M:$N, 2, FALSE)</f>
        <v/>
      </c>
      <c r="BW67" t="str">
        <f t="shared" si="29"/>
        <v/>
      </c>
      <c r="BX67" t="s">
        <v>797</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846</v>
      </c>
      <c r="B68" t="s">
        <v>798</v>
      </c>
      <c r="C68">
        <v>103</v>
      </c>
      <c r="D68" t="s">
        <v>308</v>
      </c>
      <c r="E68" t="s">
        <v>308</v>
      </c>
      <c r="F68" t="s">
        <v>301</v>
      </c>
      <c r="G68">
        <v>1960</v>
      </c>
      <c r="I68">
        <v>2000</v>
      </c>
      <c r="T68">
        <v>14</v>
      </c>
      <c r="V68">
        <v>6</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945</v>
      </c>
      <c r="BQ68" t="s">
        <v>793</v>
      </c>
      <c r="BR68" t="str">
        <f>VLOOKUP(G68,Eras!$A$2:$C$10, 2, TRUE)</f>
        <v>dsl</v>
      </c>
      <c r="BS68" t="s">
        <v>369</v>
      </c>
      <c r="BT68" t="str">
        <f t="shared" si="27"/>
        <v>dsl_Van</v>
      </c>
      <c r="BU68" t="str">
        <f t="shared" si="28"/>
        <v>wagon_RAIL</v>
      </c>
      <c r="BV68" t="str">
        <f>VLOOKUP($BU68, Constants!$M:$N, 2, FALSE)</f>
        <v/>
      </c>
      <c r="BW68" t="str">
        <f t="shared" si="29"/>
        <v/>
      </c>
      <c r="BX68" t="s">
        <v>801</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847</v>
      </c>
      <c r="B69" t="s">
        <v>799</v>
      </c>
      <c r="C69">
        <v>104</v>
      </c>
      <c r="D69" t="s">
        <v>308</v>
      </c>
      <c r="E69" t="s">
        <v>308</v>
      </c>
      <c r="F69" t="s">
        <v>301</v>
      </c>
      <c r="G69">
        <v>1990</v>
      </c>
      <c r="T69">
        <v>16</v>
      </c>
      <c r="V69">
        <v>6</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945</v>
      </c>
      <c r="BQ69" t="s">
        <v>793</v>
      </c>
      <c r="BR69" t="str">
        <f>VLOOKUP(G69,Eras!$A$2:$C$10, 2, TRUE)</f>
        <v>lbr</v>
      </c>
      <c r="BS69" t="s">
        <v>369</v>
      </c>
      <c r="BT69" t="str">
        <f t="shared" si="27"/>
        <v>lbr_Van</v>
      </c>
      <c r="BU69" t="str">
        <f t="shared" si="28"/>
        <v>wagon_RAIL</v>
      </c>
      <c r="BV69" t="str">
        <f>VLOOKUP($BU69, Constants!$M:$N, 2, FALSE)</f>
        <v/>
      </c>
      <c r="BW69" t="str">
        <f t="shared" si="29"/>
        <v/>
      </c>
      <c r="BX69" t="s">
        <v>800</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1406</v>
      </c>
      <c r="B70" t="s">
        <v>1407</v>
      </c>
      <c r="C70">
        <v>110</v>
      </c>
      <c r="D70" t="s">
        <v>308</v>
      </c>
      <c r="E70" t="s">
        <v>308</v>
      </c>
      <c r="F70" t="s">
        <v>1428</v>
      </c>
      <c r="G70">
        <v>1700</v>
      </c>
      <c r="I70">
        <v>1875</v>
      </c>
      <c r="T70">
        <v>3</v>
      </c>
      <c r="V70">
        <v>3</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369</v>
      </c>
      <c r="BQ70" t="s">
        <v>313</v>
      </c>
      <c r="BR70" t="str">
        <f>VLOOKUP(G70,Eras!$A$2:$C$10, 2, TRUE)</f>
        <v>early</v>
      </c>
      <c r="BS70" t="s">
        <v>369</v>
      </c>
      <c r="BT70" t="str">
        <f t="shared" si="27"/>
        <v>early_Van</v>
      </c>
      <c r="BU70" t="str">
        <f t="shared" si="28"/>
        <v>wagon_PLATEWAY</v>
      </c>
      <c r="BV70" t="str">
        <f>VLOOKUP($BU70, Constants!$M:$N, 2, FALSE)</f>
        <v/>
      </c>
      <c r="BW70" t="str">
        <f t="shared" si="29"/>
        <v/>
      </c>
      <c r="BX70" t="s">
        <v>1408</v>
      </c>
      <c r="BY70" t="str">
        <f t="shared" si="30"/>
        <v/>
      </c>
      <c r="BZ70" t="str">
        <f t="shared" si="31"/>
        <v>{SILVER}Simple canvas-covered wagons were some of the earliest vehicles for moving piece goods which needed to be sheltered from the elements.</v>
      </c>
    </row>
    <row r="71" spans="1:78" x14ac:dyDescent="0.25">
      <c r="A71" t="s">
        <v>789</v>
      </c>
      <c r="B71" t="s">
        <v>790</v>
      </c>
      <c r="C71">
        <v>112</v>
      </c>
      <c r="D71" t="s">
        <v>308</v>
      </c>
      <c r="E71" t="s">
        <v>308</v>
      </c>
      <c r="F71" t="s">
        <v>301</v>
      </c>
      <c r="G71">
        <v>1850</v>
      </c>
      <c r="I71">
        <v>1930</v>
      </c>
      <c r="T71">
        <v>6</v>
      </c>
      <c r="V71">
        <v>4</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369</v>
      </c>
      <c r="BQ71" t="s">
        <v>313</v>
      </c>
      <c r="BR71" t="str">
        <f>VLOOKUP(G71,Eras!$A$2:$C$10, 2, TRUE)</f>
        <v>vct</v>
      </c>
      <c r="BS71" t="s">
        <v>369</v>
      </c>
      <c r="BT71" t="str">
        <f t="shared" si="27"/>
        <v>vct_Van</v>
      </c>
      <c r="BU71" t="str">
        <f t="shared" si="28"/>
        <v>wagon_RAIL</v>
      </c>
      <c r="BV71" t="str">
        <f>VLOOKUP($BU71, Constants!$M:$N, 2, FALSE)</f>
        <v/>
      </c>
      <c r="BW71" t="str">
        <f t="shared" si="29"/>
        <v/>
      </c>
      <c r="BX71" t="s">
        <v>791</v>
      </c>
      <c r="BY71" t="str">
        <f t="shared" si="30"/>
        <v/>
      </c>
      <c r="BZ71" t="str">
        <f t="shared" si="31"/>
        <v>{SILVER}Piece goods were an important source of revenue for early railways, with most building large quantities of covered vans.</v>
      </c>
    </row>
    <row r="72" spans="1:78" x14ac:dyDescent="0.25">
      <c r="A72" t="s">
        <v>441</v>
      </c>
      <c r="B72" t="s">
        <v>442</v>
      </c>
      <c r="C72">
        <v>114</v>
      </c>
      <c r="D72" t="s">
        <v>308</v>
      </c>
      <c r="E72" t="s">
        <v>308</v>
      </c>
      <c r="F72" t="s">
        <v>301</v>
      </c>
      <c r="G72">
        <v>1902</v>
      </c>
      <c r="I72">
        <v>1960</v>
      </c>
      <c r="T72">
        <v>7</v>
      </c>
      <c r="V72">
        <v>5</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369</v>
      </c>
      <c r="BQ72" t="s">
        <v>313</v>
      </c>
      <c r="BR72" t="str">
        <f>VLOOKUP(G72,Eras!$A$2:$C$10, 2, TRUE)</f>
        <v>edw</v>
      </c>
      <c r="BS72" t="s">
        <v>369</v>
      </c>
      <c r="BT72" t="str">
        <f t="shared" si="27"/>
        <v>edw_Van</v>
      </c>
      <c r="BU72" t="str">
        <f t="shared" si="28"/>
        <v>wagon_RAIL</v>
      </c>
      <c r="BV72" t="str">
        <f>VLOOKUP($BU72, Constants!$M:$N, 2, FALSE)</f>
        <v/>
      </c>
      <c r="BW72" t="str">
        <f t="shared" si="29"/>
        <v/>
      </c>
      <c r="BX72" t="s">
        <v>440</v>
      </c>
      <c r="BY72" t="str">
        <f t="shared" si="30"/>
        <v/>
      </c>
      <c r="BZ72" t="str">
        <f t="shared" si="31"/>
        <v>{SILVER}This goods van uses an iron frame with a wooden body, making it stronger than earlier wooden-framed vans.</v>
      </c>
    </row>
    <row r="73" spans="1:78" x14ac:dyDescent="0.25">
      <c r="A73" t="s">
        <v>777</v>
      </c>
      <c r="B73" t="s">
        <v>778</v>
      </c>
      <c r="C73">
        <v>116</v>
      </c>
      <c r="D73" t="s">
        <v>308</v>
      </c>
      <c r="E73" t="s">
        <v>308</v>
      </c>
      <c r="F73" t="s">
        <v>301</v>
      </c>
      <c r="G73">
        <v>1932</v>
      </c>
      <c r="I73">
        <v>1970</v>
      </c>
      <c r="T73">
        <v>8</v>
      </c>
      <c r="V73">
        <v>5</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369</v>
      </c>
      <c r="BQ73" t="s">
        <v>313</v>
      </c>
      <c r="BR73" t="str">
        <f>VLOOKUP(G73,Eras!$A$2:$C$10, 2, TRUE)</f>
        <v>big4</v>
      </c>
      <c r="BS73" t="s">
        <v>369</v>
      </c>
      <c r="BT73" t="str">
        <f t="shared" si="27"/>
        <v>big4_Van</v>
      </c>
      <c r="BU73" t="str">
        <f t="shared" si="28"/>
        <v>wagon_RAIL</v>
      </c>
      <c r="BV73" t="str">
        <f>VLOOKUP($BU73, Constants!$M:$N, 2, FALSE)</f>
        <v/>
      </c>
      <c r="BW73" t="str">
        <f t="shared" si="29"/>
        <v/>
      </c>
      <c r="BX73" t="s">
        <v>779</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780</v>
      </c>
      <c r="B74" t="s">
        <v>781</v>
      </c>
      <c r="C74">
        <v>118</v>
      </c>
      <c r="D74" t="s">
        <v>308</v>
      </c>
      <c r="E74" t="s">
        <v>308</v>
      </c>
      <c r="F74" t="s">
        <v>301</v>
      </c>
      <c r="G74">
        <v>1962</v>
      </c>
      <c r="I74">
        <v>1985</v>
      </c>
      <c r="T74">
        <v>8</v>
      </c>
      <c r="V74">
        <v>7</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369</v>
      </c>
      <c r="BQ74" t="s">
        <v>313</v>
      </c>
      <c r="BR74" t="str">
        <f>VLOOKUP(G74,Eras!$A$2:$C$10, 2, TRUE)</f>
        <v>dsl</v>
      </c>
      <c r="BS74" t="s">
        <v>369</v>
      </c>
      <c r="BT74" t="str">
        <f t="shared" si="27"/>
        <v>dsl_Van</v>
      </c>
      <c r="BU74" t="str">
        <f t="shared" si="28"/>
        <v>wagon_RAIL</v>
      </c>
      <c r="BV74" t="str">
        <f>VLOOKUP($BU74, Constants!$M:$N, 2, FALSE)</f>
        <v/>
      </c>
      <c r="BW74" t="str">
        <f t="shared" si="29"/>
        <v/>
      </c>
      <c r="BX74" t="s">
        <v>782</v>
      </c>
      <c r="BY74" t="str">
        <f t="shared" si="30"/>
        <v/>
      </c>
      <c r="BZ74" t="str">
        <f t="shared" si="31"/>
        <v>{SILVER}The Vanwide was BR's final development of the traditional van design, featuring wider doors for increased loading speed.</v>
      </c>
    </row>
    <row r="75" spans="1:78" x14ac:dyDescent="0.25">
      <c r="A75" t="s">
        <v>841</v>
      </c>
      <c r="B75" t="s">
        <v>232</v>
      </c>
      <c r="C75">
        <v>121</v>
      </c>
      <c r="D75" t="s">
        <v>308</v>
      </c>
      <c r="E75" t="s">
        <v>308</v>
      </c>
      <c r="F75" t="s">
        <v>301</v>
      </c>
      <c r="G75">
        <v>1969</v>
      </c>
      <c r="I75">
        <v>2010</v>
      </c>
      <c r="T75">
        <v>16</v>
      </c>
      <c r="V75">
        <v>7</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369</v>
      </c>
      <c r="BQ75" t="s">
        <v>313</v>
      </c>
      <c r="BR75" t="str">
        <f>VLOOKUP(G75,Eras!$A$2:$C$10, 2, TRUE)</f>
        <v>dsl</v>
      </c>
      <c r="BS75" t="s">
        <v>369</v>
      </c>
      <c r="BT75" t="str">
        <f t="shared" si="27"/>
        <v>dsl_Van</v>
      </c>
      <c r="BU75" t="str">
        <f t="shared" si="28"/>
        <v>wagon_RAIL</v>
      </c>
      <c r="BV75" t="str">
        <f>VLOOKUP($BU75, Constants!$M:$N, 2, FALSE)</f>
        <v/>
      </c>
      <c r="BW75" t="str">
        <f t="shared" si="29"/>
        <v/>
      </c>
      <c r="BX75" t="s">
        <v>786</v>
      </c>
      <c r="BY75" t="str">
        <f t="shared" si="30"/>
        <v/>
      </c>
      <c r="BZ75" t="str">
        <f t="shared" si="31"/>
        <v>{SILVER}The VDA was BR's first air braked general purpose van, later used for the Speedlink freight network.</v>
      </c>
    </row>
    <row r="76" spans="1:78" x14ac:dyDescent="0.25">
      <c r="A76" t="s">
        <v>783</v>
      </c>
      <c r="B76" t="s">
        <v>784</v>
      </c>
      <c r="C76">
        <v>123</v>
      </c>
      <c r="D76" t="s">
        <v>308</v>
      </c>
      <c r="E76" t="s">
        <v>308</v>
      </c>
      <c r="F76" t="s">
        <v>301</v>
      </c>
      <c r="G76">
        <v>1978</v>
      </c>
      <c r="T76">
        <v>8</v>
      </c>
      <c r="V76">
        <v>7</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369</v>
      </c>
      <c r="BQ76" t="s">
        <v>313</v>
      </c>
      <c r="BR76" t="str">
        <f>VLOOKUP(G76,Eras!$A$2:$C$10, 2, TRUE)</f>
        <v>lbr</v>
      </c>
      <c r="BS76" t="s">
        <v>369</v>
      </c>
      <c r="BT76" t="str">
        <f t="shared" si="27"/>
        <v>lbr_Van</v>
      </c>
      <c r="BU76" t="str">
        <f t="shared" si="28"/>
        <v>wagon_RAIL</v>
      </c>
      <c r="BV76" t="str">
        <f>VLOOKUP($BU76, Constants!$M:$N, 2, FALSE)</f>
        <v/>
      </c>
      <c r="BW76" t="str">
        <f t="shared" si="29"/>
        <v/>
      </c>
      <c r="BX76" t="s">
        <v>785</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842</v>
      </c>
      <c r="B77" t="s">
        <v>787</v>
      </c>
      <c r="C77">
        <v>125</v>
      </c>
      <c r="D77" t="s">
        <v>308</v>
      </c>
      <c r="E77" t="s">
        <v>308</v>
      </c>
      <c r="F77" t="s">
        <v>301</v>
      </c>
      <c r="G77">
        <v>1982</v>
      </c>
      <c r="T77">
        <v>21</v>
      </c>
      <c r="V77">
        <v>9</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369</v>
      </c>
      <c r="BQ77" t="s">
        <v>313</v>
      </c>
      <c r="BR77" t="str">
        <f>VLOOKUP(G77,Eras!$A$2:$C$10, 2, TRUE)</f>
        <v>lbr</v>
      </c>
      <c r="BS77" t="s">
        <v>369</v>
      </c>
      <c r="BT77" t="str">
        <f t="shared" si="27"/>
        <v>lbr_Van</v>
      </c>
      <c r="BU77" t="str">
        <f t="shared" si="28"/>
        <v>wagon_RAIL</v>
      </c>
      <c r="BV77" t="str">
        <f>VLOOKUP($BU77, Constants!$M:$N, 2, FALSE)</f>
        <v/>
      </c>
      <c r="BW77" t="str">
        <f t="shared" si="29"/>
        <v/>
      </c>
      <c r="BX77" t="s">
        <v>788</v>
      </c>
      <c r="BY77" t="str">
        <f t="shared" si="30"/>
        <v/>
      </c>
      <c r="BZ77" t="str">
        <f t="shared" si="31"/>
        <v>{SILVER}VGA vans followed continental practice with doors extending into the roof panel, providing a larger vertical opening.</v>
      </c>
    </row>
    <row r="78" spans="1:78" x14ac:dyDescent="0.25">
      <c r="A78" t="s">
        <v>849</v>
      </c>
      <c r="B78" t="s">
        <v>848</v>
      </c>
      <c r="C78">
        <v>131</v>
      </c>
      <c r="D78" t="s">
        <v>308</v>
      </c>
      <c r="E78" t="s">
        <v>308</v>
      </c>
      <c r="F78" t="s">
        <v>301</v>
      </c>
      <c r="G78">
        <v>1913</v>
      </c>
      <c r="H78">
        <v>1955</v>
      </c>
      <c r="I78">
        <v>1965</v>
      </c>
      <c r="T78">
        <v>20</v>
      </c>
      <c r="V78">
        <v>7</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1087</v>
      </c>
      <c r="BQ78" t="s">
        <v>684</v>
      </c>
      <c r="BR78" t="str">
        <f>VLOOKUP(G78,Eras!$A$2:$C$10, 2, TRUE)</f>
        <v>edw</v>
      </c>
      <c r="BS78" t="s">
        <v>363</v>
      </c>
      <c r="BT78" t="str">
        <f t="shared" si="27"/>
        <v>edw_Mail Carriage</v>
      </c>
      <c r="BU78" t="str">
        <f t="shared" si="28"/>
        <v>wagon_RAIL</v>
      </c>
      <c r="BV78" t="str">
        <f>VLOOKUP($BU78, Constants!$M:$N, 2, FALSE)</f>
        <v/>
      </c>
      <c r="BW78" t="str">
        <f t="shared" si="29"/>
        <v/>
      </c>
      <c r="BX78" t="s">
        <v>850</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827</v>
      </c>
      <c r="B79" t="s">
        <v>829</v>
      </c>
      <c r="C79">
        <v>133</v>
      </c>
      <c r="D79" t="s">
        <v>308</v>
      </c>
      <c r="E79" t="s">
        <v>308</v>
      </c>
      <c r="F79" t="s">
        <v>301</v>
      </c>
      <c r="G79">
        <v>1950</v>
      </c>
      <c r="I79">
        <v>1975</v>
      </c>
      <c r="T79">
        <v>18</v>
      </c>
      <c r="V79">
        <v>7</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1085</v>
      </c>
      <c r="BQ79" t="s">
        <v>684</v>
      </c>
      <c r="BR79" t="str">
        <f>VLOOKUP(G79,Eras!$A$2:$C$10, 2, TRUE)</f>
        <v>ebr</v>
      </c>
      <c r="BS79" t="s">
        <v>363</v>
      </c>
      <c r="BT79" t="str">
        <f t="shared" si="27"/>
        <v>ebr_Mail Carriage</v>
      </c>
      <c r="BU79" t="str">
        <f t="shared" si="28"/>
        <v>wagon_RAIL</v>
      </c>
      <c r="BV79" t="str">
        <f>VLOOKUP($BU79, Constants!$M:$N, 2, FALSE)</f>
        <v/>
      </c>
      <c r="BW79" t="str">
        <f t="shared" si="29"/>
        <v/>
      </c>
      <c r="BX79" t="s">
        <v>852</v>
      </c>
      <c r="BY79" t="str">
        <f t="shared" si="30"/>
        <v/>
      </c>
      <c r="BZ79" t="str">
        <f t="shared" si="31"/>
        <v>{SILVER}BR built several of these six-wheeled parcels vans in the early 1950s.</v>
      </c>
    </row>
    <row r="80" spans="1:78" x14ac:dyDescent="0.25">
      <c r="A80" t="s">
        <v>1425</v>
      </c>
      <c r="B80" t="s">
        <v>1426</v>
      </c>
      <c r="C80">
        <v>134</v>
      </c>
      <c r="D80" t="s">
        <v>308</v>
      </c>
      <c r="E80" t="s">
        <v>1146</v>
      </c>
      <c r="F80" t="s">
        <v>1428</v>
      </c>
      <c r="G80">
        <v>1700</v>
      </c>
      <c r="I80">
        <v>1870</v>
      </c>
      <c r="T80">
        <v>8</v>
      </c>
      <c r="V80">
        <v>5</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1085</v>
      </c>
      <c r="BQ80" t="s">
        <v>684</v>
      </c>
      <c r="BR80" t="str">
        <f>VLOOKUP(G80,Eras!$A$2:$C$10, 2, TRUE)</f>
        <v>early</v>
      </c>
      <c r="BS80" t="s">
        <v>362</v>
      </c>
      <c r="BT80" t="str">
        <f t="shared" si="27"/>
        <v>early_Carriage</v>
      </c>
      <c r="BU80" t="str">
        <f t="shared" si="28"/>
        <v>carriage_PLATEWAY</v>
      </c>
      <c r="BV80" t="str">
        <f>VLOOKUP($BU80, Constants!$M:$N, 2, FALSE)</f>
        <v/>
      </c>
      <c r="BW80" t="str">
        <f t="shared" si="29"/>
        <v/>
      </c>
      <c r="BX80" t="s">
        <v>1427</v>
      </c>
      <c r="BY80" t="str">
        <f t="shared" si="30"/>
        <v/>
      </c>
      <c r="BZ80" t="str">
        <f t="shared" si="31"/>
        <v>{SILVER}Although dedicated brake carriages were not common until the 1840s, this one is included in the set to allow early parcel and mail transport.</v>
      </c>
    </row>
    <row r="81" spans="1:78" x14ac:dyDescent="0.25">
      <c r="A81" t="s">
        <v>1375</v>
      </c>
      <c r="B81" t="s">
        <v>1377</v>
      </c>
      <c r="C81">
        <v>136</v>
      </c>
      <c r="D81" t="s">
        <v>308</v>
      </c>
      <c r="E81" t="s">
        <v>1146</v>
      </c>
      <c r="F81" t="s">
        <v>301</v>
      </c>
      <c r="G81">
        <v>1855</v>
      </c>
      <c r="I81">
        <v>1900</v>
      </c>
      <c r="T81">
        <v>18</v>
      </c>
      <c r="V81">
        <v>6</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1085</v>
      </c>
      <c r="BQ81" t="s">
        <v>684</v>
      </c>
      <c r="BR81" t="str">
        <f>VLOOKUP(G81,Eras!$A$2:$C$10, 2, TRUE)</f>
        <v>vct</v>
      </c>
      <c r="BS81" t="s">
        <v>362</v>
      </c>
      <c r="BT81" t="str">
        <f t="shared" si="27"/>
        <v>vct_Carriage</v>
      </c>
      <c r="BU81" t="str">
        <f t="shared" si="28"/>
        <v>carriage_RAIL</v>
      </c>
      <c r="BV81" t="str">
        <f>VLOOKUP($BU81, Constants!$M:$N, 2, FALSE)</f>
        <v/>
      </c>
      <c r="BW81" t="str">
        <f t="shared" si="29"/>
        <v/>
      </c>
      <c r="BX81" t="s">
        <v>1382</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1376</v>
      </c>
      <c r="B82" t="s">
        <v>1378</v>
      </c>
      <c r="C82">
        <v>138</v>
      </c>
      <c r="D82" t="s">
        <v>308</v>
      </c>
      <c r="E82" t="s">
        <v>1146</v>
      </c>
      <c r="F82" t="s">
        <v>301</v>
      </c>
      <c r="G82">
        <v>1875</v>
      </c>
      <c r="I82">
        <v>1915</v>
      </c>
      <c r="T82">
        <v>21</v>
      </c>
      <c r="V82">
        <v>6</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1085</v>
      </c>
      <c r="BQ82" t="s">
        <v>684</v>
      </c>
      <c r="BR82" t="str">
        <f>VLOOKUP(G82,Eras!$A$2:$C$10, 2, TRUE)</f>
        <v>vct</v>
      </c>
      <c r="BS82" t="s">
        <v>362</v>
      </c>
      <c r="BT82" t="str">
        <f t="shared" si="27"/>
        <v>vct_Carriage</v>
      </c>
      <c r="BU82" t="str">
        <f t="shared" si="28"/>
        <v>carriage_RAIL</v>
      </c>
      <c r="BV82" t="str">
        <f>VLOOKUP($BU82, Constants!$M:$N, 2, FALSE)</f>
        <v/>
      </c>
      <c r="BW82" t="str">
        <f t="shared" si="29"/>
        <v/>
      </c>
      <c r="BX82" t="s">
        <v>1379</v>
      </c>
      <c r="BY82" t="str">
        <f t="shared" si="30"/>
        <v/>
      </c>
      <c r="BZ82" t="str">
        <f t="shared" si="31"/>
        <v>{SILVER}Although carriages gained more luxurious fixtures and fittings through the Victorian era, braking still required a guard's van.</v>
      </c>
    </row>
    <row r="83" spans="1:78" x14ac:dyDescent="0.25">
      <c r="A83" t="s">
        <v>1201</v>
      </c>
      <c r="B83" t="s">
        <v>1202</v>
      </c>
      <c r="C83">
        <v>140</v>
      </c>
      <c r="D83" t="s">
        <v>308</v>
      </c>
      <c r="E83" t="s">
        <v>1146</v>
      </c>
      <c r="F83" t="s">
        <v>301</v>
      </c>
      <c r="G83">
        <v>1892</v>
      </c>
      <c r="I83">
        <v>1935</v>
      </c>
      <c r="T83">
        <v>28</v>
      </c>
      <c r="V83">
        <v>6</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1085</v>
      </c>
      <c r="BQ83" t="s">
        <v>684</v>
      </c>
      <c r="BR83" t="str">
        <f>VLOOKUP(G83,Eras!$A$2:$C$10, 2, TRUE)</f>
        <v>vct</v>
      </c>
      <c r="BS83" t="s">
        <v>363</v>
      </c>
      <c r="BT83" t="str">
        <f t="shared" si="27"/>
        <v>vct_Mail Carriage</v>
      </c>
      <c r="BU83" t="str">
        <f t="shared" si="28"/>
        <v>carriage_RAIL</v>
      </c>
      <c r="BV83" t="str">
        <f>VLOOKUP($BU83, Constants!$M:$N, 2, FALSE)</f>
        <v/>
      </c>
      <c r="BW83" t="str">
        <f t="shared" si="29"/>
        <v/>
      </c>
      <c r="BX83" t="s">
        <v>1203</v>
      </c>
      <c r="BY83" t="str">
        <f t="shared" si="30"/>
        <v/>
      </c>
      <c r="BZ83" t="str">
        <f t="shared" si="31"/>
        <v>{SILVER}This brake carriage is designed for use with clerestory carriages. It can carry parcels and mail.</v>
      </c>
    </row>
    <row r="84" spans="1:78" x14ac:dyDescent="0.25">
      <c r="A84" t="s">
        <v>1197</v>
      </c>
      <c r="B84" t="s">
        <v>1196</v>
      </c>
      <c r="C84">
        <v>141</v>
      </c>
      <c r="D84" t="s">
        <v>308</v>
      </c>
      <c r="E84" t="s">
        <v>1146</v>
      </c>
      <c r="F84" t="s">
        <v>301</v>
      </c>
      <c r="G84">
        <v>1904</v>
      </c>
      <c r="I84">
        <v>1955</v>
      </c>
      <c r="T84">
        <v>29</v>
      </c>
      <c r="V84">
        <v>7</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1085</v>
      </c>
      <c r="BQ84" t="s">
        <v>684</v>
      </c>
      <c r="BR84" t="str">
        <f>VLOOKUP(G84,Eras!$A$2:$C$10, 2, TRUE)</f>
        <v>edw</v>
      </c>
      <c r="BS84" t="s">
        <v>363</v>
      </c>
      <c r="BT84" t="str">
        <f t="shared" si="27"/>
        <v>edw_Mail Carriage</v>
      </c>
      <c r="BU84" t="str">
        <f t="shared" si="28"/>
        <v>carriage_RAIL</v>
      </c>
      <c r="BV84" t="str">
        <f>VLOOKUP($BU84, Constants!$M:$N, 2, FALSE)</f>
        <v/>
      </c>
      <c r="BW84" t="str">
        <f t="shared" si="29"/>
        <v/>
      </c>
      <c r="BX84" t="s">
        <v>1204</v>
      </c>
      <c r="BY84" t="str">
        <f t="shared" si="30"/>
        <v/>
      </c>
      <c r="BZ84" t="str">
        <f t="shared" si="31"/>
        <v>{SILVER}Brake carriages continued to be a fixture of passenger trains during the steam era, carrying bulky luggage and parcels.</v>
      </c>
    </row>
    <row r="85" spans="1:78" x14ac:dyDescent="0.25">
      <c r="A85" t="s">
        <v>1198</v>
      </c>
      <c r="B85" t="s">
        <v>1199</v>
      </c>
      <c r="C85">
        <v>142</v>
      </c>
      <c r="D85" t="s">
        <v>308</v>
      </c>
      <c r="E85" t="s">
        <v>1146</v>
      </c>
      <c r="F85" t="s">
        <v>301</v>
      </c>
      <c r="G85">
        <v>1951</v>
      </c>
      <c r="H85">
        <v>1963</v>
      </c>
      <c r="I85">
        <v>1974</v>
      </c>
      <c r="T85">
        <v>31</v>
      </c>
      <c r="V85">
        <v>7</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1085</v>
      </c>
      <c r="BQ85" t="s">
        <v>684</v>
      </c>
      <c r="BR85" t="str">
        <f>VLOOKUP(G85,Eras!$A$2:$C$10, 2, TRUE)</f>
        <v>ebr</v>
      </c>
      <c r="BS85" t="s">
        <v>363</v>
      </c>
      <c r="BT85" t="str">
        <f t="shared" si="27"/>
        <v>ebr_Mail Carriage</v>
      </c>
      <c r="BU85" t="str">
        <f t="shared" si="28"/>
        <v>carriage_RAIL</v>
      </c>
      <c r="BV85" t="str">
        <f>VLOOKUP($BU85, Constants!$M:$N, 2, FALSE)</f>
        <v/>
      </c>
      <c r="BW85" t="str">
        <f t="shared" si="29"/>
        <v/>
      </c>
      <c r="BX85" t="s">
        <v>1200</v>
      </c>
      <c r="BY85" t="str">
        <f t="shared" si="30"/>
        <v/>
      </c>
      <c r="BZ85" t="str">
        <f t="shared" si="31"/>
        <v>{SILVER}BG for (Brake Gangway) is the BR designation for a brake coach. As well as a guard's compartment it had two large areas for storing luggage.</v>
      </c>
    </row>
    <row r="86" spans="1:78" x14ac:dyDescent="0.25">
      <c r="A86" t="s">
        <v>1205</v>
      </c>
      <c r="B86" t="s">
        <v>1206</v>
      </c>
      <c r="C86">
        <v>143</v>
      </c>
      <c r="D86" t="s">
        <v>308</v>
      </c>
      <c r="E86" t="s">
        <v>1146</v>
      </c>
      <c r="F86" t="s">
        <v>301</v>
      </c>
      <c r="G86">
        <v>1956</v>
      </c>
      <c r="I86">
        <v>2010</v>
      </c>
      <c r="T86">
        <v>33</v>
      </c>
      <c r="V86">
        <v>7</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1085</v>
      </c>
      <c r="BQ86" t="s">
        <v>684</v>
      </c>
      <c r="BR86" t="str">
        <f>VLOOKUP(G86,Eras!$A$2:$C$10, 2, TRUE)</f>
        <v>dsl</v>
      </c>
      <c r="BS86" t="s">
        <v>362</v>
      </c>
      <c r="BT86" t="str">
        <f t="shared" si="27"/>
        <v>dsl_Carriage</v>
      </c>
      <c r="BU86" t="str">
        <f t="shared" si="28"/>
        <v>carriage_RAIL</v>
      </c>
      <c r="BV86" t="str">
        <f>VLOOKUP($BU86, Constants!$M:$N, 2, FALSE)</f>
        <v/>
      </c>
      <c r="BW86" t="str">
        <f t="shared" si="29"/>
        <v/>
      </c>
      <c r="BX86" t="s">
        <v>1207</v>
      </c>
      <c r="BY86" t="str">
        <f t="shared" si="30"/>
        <v/>
      </c>
      <c r="BZ86" t="str">
        <f t="shared" si="31"/>
        <v>{SILVER}The Mk2 carriage also featured the BG Full Brake style, with luggage and parcel compartments.</v>
      </c>
    </row>
    <row r="87" spans="1:78" x14ac:dyDescent="0.25">
      <c r="A87" t="s">
        <v>831</v>
      </c>
      <c r="B87" t="s">
        <v>828</v>
      </c>
      <c r="C87">
        <v>144</v>
      </c>
      <c r="D87" t="s">
        <v>308</v>
      </c>
      <c r="E87" t="s">
        <v>308</v>
      </c>
      <c r="F87" t="s">
        <v>301</v>
      </c>
      <c r="G87">
        <v>1958</v>
      </c>
      <c r="T87">
        <v>30</v>
      </c>
      <c r="V87">
        <v>9</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1085</v>
      </c>
      <c r="BQ87" t="s">
        <v>684</v>
      </c>
      <c r="BR87" t="str">
        <f>VLOOKUP(G87,Eras!$A$2:$C$10, 2, TRUE)</f>
        <v>dsl</v>
      </c>
      <c r="BS87" t="s">
        <v>363</v>
      </c>
      <c r="BT87" t="str">
        <f t="shared" si="27"/>
        <v>dsl_Mail Carriage</v>
      </c>
      <c r="BU87" t="str">
        <f t="shared" si="28"/>
        <v>wagon_RAIL</v>
      </c>
      <c r="BV87" t="str">
        <f>VLOOKUP($BU87, Constants!$M:$N, 2, FALSE)</f>
        <v/>
      </c>
      <c r="BW87" t="str">
        <f t="shared" si="29"/>
        <v/>
      </c>
      <c r="BX87" t="s">
        <v>830</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144</v>
      </c>
      <c r="B88" t="s">
        <v>233</v>
      </c>
      <c r="C88">
        <v>148</v>
      </c>
      <c r="D88" t="s">
        <v>161</v>
      </c>
      <c r="E88" t="s">
        <v>298</v>
      </c>
      <c r="F88" t="s">
        <v>302</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354</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1437</v>
      </c>
      <c r="B89" t="s">
        <v>1438</v>
      </c>
      <c r="C89">
        <v>149</v>
      </c>
      <c r="D89" t="s">
        <v>1439</v>
      </c>
      <c r="E89" t="s">
        <v>1439</v>
      </c>
      <c r="F89" t="s">
        <v>1428</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354</v>
      </c>
      <c r="BT89" t="str">
        <f t="shared" si="27"/>
        <v>early_Mixed Traffic</v>
      </c>
      <c r="BU89" t="str">
        <f t="shared" si="28"/>
        <v>horses_PLATEWAY</v>
      </c>
      <c r="BV89" t="str">
        <f>VLOOKUP($BU89, Constants!$M:$N, 2, FALSE)</f>
        <v>{BLACK}Powered by: {GOLD}Grass and hay</v>
      </c>
      <c r="BW89" t="str">
        <f t="shared" si="29"/>
        <v/>
      </c>
      <c r="BX89" t="s">
        <v>1442</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1443</v>
      </c>
      <c r="B90" t="s">
        <v>1439</v>
      </c>
      <c r="C90">
        <v>150</v>
      </c>
      <c r="D90" t="s">
        <v>1439</v>
      </c>
      <c r="E90" t="s">
        <v>1439</v>
      </c>
      <c r="F90" t="s">
        <v>1428</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354</v>
      </c>
      <c r="BT90" t="str">
        <f t="shared" si="27"/>
        <v>early_Mixed Traffic</v>
      </c>
      <c r="BU90" t="str">
        <f t="shared" si="28"/>
        <v>horses_PLATEWAY</v>
      </c>
      <c r="BV90" t="str">
        <f>VLOOKUP($BU90, Constants!$M:$N, 2, FALSE)</f>
        <v>{BLACK}Powered by: {GOLD}Grass and hay</v>
      </c>
      <c r="BW90" t="str">
        <f t="shared" si="29"/>
        <v/>
      </c>
      <c r="BX90" t="s">
        <v>1444</v>
      </c>
      <c r="BY90" t="str">
        <f t="shared" si="30"/>
        <v/>
      </c>
      <c r="BZ90" t="str">
        <f t="shared" si="31"/>
        <v>{BLACK}Powered by: {GOLD}Grass and hay {}{SILVER}The power of a horse-drawn train can easily be doubled by the expedient addition of a second horse.</v>
      </c>
    </row>
    <row r="91" spans="1:78" x14ac:dyDescent="0.25">
      <c r="A91" t="s">
        <v>1431</v>
      </c>
      <c r="B91" t="s">
        <v>1432</v>
      </c>
      <c r="C91">
        <v>151</v>
      </c>
      <c r="D91" t="s">
        <v>289</v>
      </c>
      <c r="E91" t="s">
        <v>298</v>
      </c>
      <c r="F91" t="s">
        <v>1428</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1430</v>
      </c>
      <c r="AI91" t="str">
        <f>CONCATENATE(VLOOKUP(AG91,Constants!$A$2:$C$16,IF(AH91&lt;&gt;"", 3, 2), FALSE),IF(AH91&lt;&gt;"",CONCATENATE(",",VLOOKUP(AH91,$B:$AI,34,FALSE)),""))</f>
        <v>1,2,1,1,2,1</v>
      </c>
      <c r="AS91">
        <v>28</v>
      </c>
      <c r="AT91">
        <f t="shared" si="19"/>
        <v>45</v>
      </c>
      <c r="AU91">
        <v>-22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19</v>
      </c>
      <c r="BF91" s="15">
        <f t="shared" si="25"/>
        <v>14062.5</v>
      </c>
      <c r="BG91" s="15">
        <f t="shared" si="26"/>
        <v>1543.75</v>
      </c>
      <c r="BN91">
        <v>3</v>
      </c>
      <c r="BR91" t="str">
        <f>VLOOKUP(G91,Eras!$A$2:$C$10, 2, TRUE)</f>
        <v>early</v>
      </c>
      <c r="BS91" t="s">
        <v>354</v>
      </c>
      <c r="BT91" t="str">
        <f t="shared" si="27"/>
        <v>early_Mixed Traffic</v>
      </c>
      <c r="BU91" t="str">
        <f t="shared" si="28"/>
        <v>steam_PLATEWAY</v>
      </c>
      <c r="BV91" t="str">
        <f>VLOOKUP($BU91, Constants!$M:$N, 2, FALSE)</f>
        <v>{BLACK}Powered by: {GOLD}Steam</v>
      </c>
      <c r="BW91" t="str">
        <f t="shared" si="29"/>
        <v/>
      </c>
      <c r="BX91" t="s">
        <v>1435</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1445</v>
      </c>
      <c r="B92" t="s">
        <v>1446</v>
      </c>
      <c r="C92">
        <v>152</v>
      </c>
      <c r="D92" t="s">
        <v>1446</v>
      </c>
      <c r="E92" t="s">
        <v>1439</v>
      </c>
      <c r="F92" t="s">
        <v>1428</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354</v>
      </c>
      <c r="BT92" t="str">
        <f t="shared" si="27"/>
        <v>early_Mixed Traffic</v>
      </c>
      <c r="BU92" t="str">
        <f t="shared" si="28"/>
        <v>horses_PLATEWAY</v>
      </c>
      <c r="BV92" t="str">
        <f>VLOOKUP($BU92, Constants!$M:$N, 2, FALSE)</f>
        <v>{BLACK}Powered by: {GOLD}Grass and hay</v>
      </c>
      <c r="BW92" t="str">
        <f t="shared" si="29"/>
        <v/>
      </c>
      <c r="BX92" t="s">
        <v>1447</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1419</v>
      </c>
      <c r="B93" t="s">
        <v>1415</v>
      </c>
      <c r="C93">
        <v>153</v>
      </c>
      <c r="D93" t="s">
        <v>289</v>
      </c>
      <c r="E93" t="s">
        <v>298</v>
      </c>
      <c r="F93" t="s">
        <v>1428</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1417</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354</v>
      </c>
      <c r="BT93" t="str">
        <f t="shared" si="27"/>
        <v>early_Mixed Traffic</v>
      </c>
      <c r="BU93" t="str">
        <f t="shared" si="28"/>
        <v>steam_PLATEWAY</v>
      </c>
      <c r="BV93" t="str">
        <f>VLOOKUP($BU93, Constants!$M:$N, 2, FALSE)</f>
        <v>{BLACK}Powered by: {GOLD}Steam</v>
      </c>
      <c r="BW93" t="str">
        <f t="shared" si="29"/>
        <v/>
      </c>
      <c r="BX93" t="s">
        <v>1416</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1420</v>
      </c>
      <c r="B94" t="s">
        <v>162</v>
      </c>
      <c r="C94">
        <v>154</v>
      </c>
      <c r="D94" t="s">
        <v>289</v>
      </c>
      <c r="E94" t="s">
        <v>298</v>
      </c>
      <c r="F94" t="s">
        <v>1428</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1411</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354</v>
      </c>
      <c r="BT94" t="str">
        <f t="shared" si="27"/>
        <v>early_Mixed Traffic</v>
      </c>
      <c r="BU94" t="str">
        <f t="shared" si="28"/>
        <v>steam_PLATEWAY</v>
      </c>
      <c r="BV94" t="str">
        <f>VLOOKUP($BU94, Constants!$M:$N, 2, FALSE)</f>
        <v>{BLACK}Powered by: {GOLD}Steam</v>
      </c>
      <c r="BW94" t="str">
        <f t="shared" si="29"/>
        <v/>
      </c>
      <c r="BX94" t="s">
        <v>1412</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1421</v>
      </c>
      <c r="B95" t="s">
        <v>1413</v>
      </c>
      <c r="C95">
        <v>155</v>
      </c>
      <c r="D95" t="s">
        <v>289</v>
      </c>
      <c r="E95" t="s">
        <v>298</v>
      </c>
      <c r="F95" t="s">
        <v>301</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1411</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354</v>
      </c>
      <c r="BT95" t="str">
        <f t="shared" si="27"/>
        <v>early_Mixed Traffic</v>
      </c>
      <c r="BU95" t="str">
        <f t="shared" si="28"/>
        <v>steam_RAIL</v>
      </c>
      <c r="BV95" t="str">
        <f>VLOOKUP($BU95, Constants!$M:$N, 2, FALSE)</f>
        <v>{BLACK}Powered by: {GOLD}Steam</v>
      </c>
      <c r="BW95" t="str">
        <f t="shared" si="29"/>
        <v/>
      </c>
      <c r="BX95" t="s">
        <v>1414</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136</v>
      </c>
      <c r="B96" t="s">
        <v>234</v>
      </c>
      <c r="C96">
        <v>156</v>
      </c>
      <c r="D96" t="s">
        <v>289</v>
      </c>
      <c r="E96" t="s">
        <v>298</v>
      </c>
      <c r="F96" t="s">
        <v>301</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1395</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354</v>
      </c>
      <c r="BT96" t="str">
        <f t="shared" si="27"/>
        <v>early_Mixed Traffic</v>
      </c>
      <c r="BU96" t="str">
        <f t="shared" si="28"/>
        <v>steam_RAIL</v>
      </c>
      <c r="BV96" t="str">
        <f>VLOOKUP($BU96, Constants!$M:$N, 2, FALSE)</f>
        <v>{BLACK}Powered by: {GOLD}Steam</v>
      </c>
      <c r="BW96" t="str">
        <f t="shared" si="29"/>
        <v/>
      </c>
      <c r="BX96" t="s">
        <v>1396</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137</v>
      </c>
      <c r="B97" t="s">
        <v>235</v>
      </c>
      <c r="C97">
        <v>158</v>
      </c>
      <c r="D97" t="s">
        <v>161</v>
      </c>
      <c r="E97" t="s">
        <v>298</v>
      </c>
      <c r="F97" t="s">
        <v>301</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355</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163</v>
      </c>
      <c r="C98">
        <v>160</v>
      </c>
      <c r="D98" t="s">
        <v>289</v>
      </c>
      <c r="E98" t="s">
        <v>298</v>
      </c>
      <c r="F98" t="s">
        <v>301</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1393</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354</v>
      </c>
      <c r="BT98" t="str">
        <f t="shared" si="27"/>
        <v>early_Mixed Traffic</v>
      </c>
      <c r="BU98" t="str">
        <f t="shared" si="28"/>
        <v>steam_RAIL</v>
      </c>
      <c r="BV98" t="str">
        <f>VLOOKUP($BU98, Constants!$M:$N, 2, FALSE)</f>
        <v>{BLACK}Powered by: {GOLD}Steam</v>
      </c>
      <c r="BW98" t="str">
        <f t="shared" si="29"/>
        <v/>
      </c>
      <c r="BX98" t="s">
        <v>1391</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236</v>
      </c>
      <c r="C99">
        <v>162</v>
      </c>
      <c r="D99" t="s">
        <v>161</v>
      </c>
      <c r="E99" t="s">
        <v>298</v>
      </c>
      <c r="F99" t="s">
        <v>301</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164</v>
      </c>
      <c r="C100">
        <v>164</v>
      </c>
      <c r="D100" t="s">
        <v>289</v>
      </c>
      <c r="E100" t="s">
        <v>298</v>
      </c>
      <c r="F100" t="s">
        <v>301</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1395</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355</v>
      </c>
      <c r="BT100" t="str">
        <f t="shared" si="27"/>
        <v>early_Express</v>
      </c>
      <c r="BU100" t="str">
        <f t="shared" si="28"/>
        <v>steam_RAIL</v>
      </c>
      <c r="BV100" t="str">
        <f>VLOOKUP($BU100, Constants!$M:$N, 2, FALSE)</f>
        <v>{BLACK}Powered by: {GOLD}Steam</v>
      </c>
      <c r="BW100" t="str">
        <f t="shared" si="29"/>
        <v/>
      </c>
      <c r="BX100" t="s">
        <v>1388</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165</v>
      </c>
      <c r="C101">
        <v>166</v>
      </c>
      <c r="D101" t="s">
        <v>289</v>
      </c>
      <c r="E101" t="s">
        <v>298</v>
      </c>
      <c r="F101" t="s">
        <v>301</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1390</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356</v>
      </c>
      <c r="BT101" t="str">
        <f t="shared" si="27"/>
        <v>vct_Freight</v>
      </c>
      <c r="BU101" t="str">
        <f t="shared" si="28"/>
        <v>steam_RAIL</v>
      </c>
      <c r="BV101" t="str">
        <f>VLOOKUP($BU101, Constants!$M:$N, 2, FALSE)</f>
        <v>{BLACK}Powered by: {GOLD}Steam</v>
      </c>
      <c r="BW101" t="str">
        <f t="shared" si="29"/>
        <v/>
      </c>
      <c r="BX101" t="s">
        <v>1387</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237</v>
      </c>
      <c r="C102">
        <v>168</v>
      </c>
      <c r="D102" t="s">
        <v>289</v>
      </c>
      <c r="E102" t="s">
        <v>298</v>
      </c>
      <c r="F102" t="s">
        <v>301</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1395</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355</v>
      </c>
      <c r="BT102" t="str">
        <f t="shared" si="27"/>
        <v>vct_Express</v>
      </c>
      <c r="BU102" t="str">
        <f t="shared" si="28"/>
        <v>steam_RAIL</v>
      </c>
      <c r="BV102" t="str">
        <f>VLOOKUP($BU102, Constants!$M:$N, 2, FALSE)</f>
        <v>{BLACK}Powered by: {GOLD}Steam</v>
      </c>
      <c r="BW102" t="str">
        <f t="shared" si="29"/>
        <v/>
      </c>
      <c r="BX102" t="s">
        <v>1448</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166</v>
      </c>
      <c r="C103">
        <v>170</v>
      </c>
      <c r="D103" t="s">
        <v>289</v>
      </c>
      <c r="E103" t="s">
        <v>298</v>
      </c>
      <c r="F103" t="s">
        <v>301</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354</v>
      </c>
      <c r="BT103" t="str">
        <f t="shared" si="27"/>
        <v>vct_Mixed Traffic</v>
      </c>
      <c r="BU103" t="str">
        <f t="shared" si="28"/>
        <v>steam_RAIL</v>
      </c>
      <c r="BV103" t="str">
        <f>VLOOKUP($BU103, Constants!$M:$N, 2, FALSE)</f>
        <v>{BLACK}Powered by: {GOLD}Steam</v>
      </c>
      <c r="BW103" t="str">
        <f t="shared" si="29"/>
        <v/>
      </c>
      <c r="BX103" t="s">
        <v>1386</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238</v>
      </c>
      <c r="C104">
        <v>172</v>
      </c>
      <c r="D104" t="s">
        <v>289</v>
      </c>
      <c r="E104" t="s">
        <v>298</v>
      </c>
      <c r="F104" t="s">
        <v>301</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1380</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1369</v>
      </c>
      <c r="B105" t="s">
        <v>1372</v>
      </c>
      <c r="C105">
        <v>173</v>
      </c>
      <c r="D105" t="s">
        <v>289</v>
      </c>
      <c r="E105" t="s">
        <v>298</v>
      </c>
      <c r="F105" t="s">
        <v>301</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1368</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354</v>
      </c>
      <c r="BT105" t="str">
        <f t="shared" si="27"/>
        <v>vct_Mixed Traffic</v>
      </c>
      <c r="BU105" t="str">
        <f t="shared" si="28"/>
        <v>steam_RAIL</v>
      </c>
      <c r="BV105" t="str">
        <f>VLOOKUP($BU105, Constants!$M:$N, 2, FALSE)</f>
        <v>{BLACK}Powered by: {GOLD}Steam</v>
      </c>
      <c r="BW105" t="str">
        <f t="shared" si="29"/>
        <v/>
      </c>
      <c r="BX105" t="s">
        <v>1371</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167</v>
      </c>
      <c r="C106">
        <v>174</v>
      </c>
      <c r="D106" t="s">
        <v>289</v>
      </c>
      <c r="E106" t="s">
        <v>298</v>
      </c>
      <c r="F106" t="s">
        <v>301</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1368</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354</v>
      </c>
      <c r="BT106" t="str">
        <f t="shared" si="27"/>
        <v>vct_Mixed Traffic</v>
      </c>
      <c r="BU106" t="str">
        <f t="shared" si="28"/>
        <v>steam_RAIL</v>
      </c>
      <c r="BV106" t="str">
        <f>VLOOKUP($BU106, Constants!$M:$N, 2, FALSE)</f>
        <v>{BLACK}Powered by: {GOLD}Steam</v>
      </c>
      <c r="BW106" t="str">
        <f t="shared" si="29"/>
        <v/>
      </c>
      <c r="BX106" t="s">
        <v>1383</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138</v>
      </c>
      <c r="B107" t="s">
        <v>1385</v>
      </c>
      <c r="C107">
        <v>176</v>
      </c>
      <c r="D107" t="s">
        <v>289</v>
      </c>
      <c r="E107" t="s">
        <v>298</v>
      </c>
      <c r="F107" t="s">
        <v>301</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1244</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356</v>
      </c>
      <c r="BT107" t="str">
        <f t="shared" si="27"/>
        <v>vct_Freight</v>
      </c>
      <c r="BU107" t="str">
        <f t="shared" si="28"/>
        <v>steam_RAIL</v>
      </c>
      <c r="BV107" t="str">
        <f>VLOOKUP($BU107, Constants!$M:$N, 2, FALSE)</f>
        <v>{BLACK}Powered by: {GOLD}Steam</v>
      </c>
      <c r="BW107" t="str">
        <f t="shared" si="29"/>
        <v/>
      </c>
      <c r="BX107" t="s">
        <v>1384</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1370</v>
      </c>
      <c r="B108" t="s">
        <v>1366</v>
      </c>
      <c r="C108">
        <v>178</v>
      </c>
      <c r="D108" t="s">
        <v>289</v>
      </c>
      <c r="E108" t="s">
        <v>298</v>
      </c>
      <c r="F108" t="s">
        <v>301</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1368</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354</v>
      </c>
      <c r="BT108" t="str">
        <f t="shared" si="27"/>
        <v>vct_Mixed Traffic</v>
      </c>
      <c r="BU108" t="str">
        <f t="shared" si="28"/>
        <v>steam_RAIL</v>
      </c>
      <c r="BV108" t="str">
        <f>VLOOKUP($BU108, Constants!$M:$N, 2, FALSE)</f>
        <v>{BLACK}Powered by: {GOLD}Steam</v>
      </c>
      <c r="BW108" t="str">
        <f t="shared" si="29"/>
        <v/>
      </c>
      <c r="BX108" t="s">
        <v>1373</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1363</v>
      </c>
      <c r="B109" t="s">
        <v>1364</v>
      </c>
      <c r="C109">
        <v>180</v>
      </c>
      <c r="D109" t="s">
        <v>161</v>
      </c>
      <c r="E109" t="s">
        <v>298</v>
      </c>
      <c r="F109" t="s">
        <v>301</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1244</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355</v>
      </c>
      <c r="BT109" t="str">
        <f t="shared" si="27"/>
        <v>vct_Express</v>
      </c>
      <c r="BU109" t="str">
        <f t="shared" si="28"/>
        <v>steam_RAIL</v>
      </c>
      <c r="BV109" t="str">
        <f>VLOOKUP($BU109, Constants!$M:$N, 2, FALSE)</f>
        <v>{BLACK}Powered by: {GOLD}Steam</v>
      </c>
      <c r="BW109" t="str">
        <f t="shared" si="29"/>
        <v/>
      </c>
      <c r="BX109" t="s">
        <v>1365</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1361</v>
      </c>
      <c r="B110" t="s">
        <v>267</v>
      </c>
      <c r="C110">
        <v>182</v>
      </c>
      <c r="D110" t="s">
        <v>289</v>
      </c>
      <c r="E110" t="s">
        <v>298</v>
      </c>
      <c r="F110" t="s">
        <v>301</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336</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355</v>
      </c>
      <c r="BT110" t="str">
        <f t="shared" si="27"/>
        <v>vct_Express</v>
      </c>
      <c r="BU110" t="str">
        <f t="shared" si="28"/>
        <v>steam_RAIL</v>
      </c>
      <c r="BV110" t="str">
        <f>VLOOKUP($BU110, Constants!$M:$N, 2, FALSE)</f>
        <v>{BLACK}Powered by: {GOLD}Steam</v>
      </c>
      <c r="BW110" t="str">
        <f t="shared" si="29"/>
        <v/>
      </c>
      <c r="BX110" t="s">
        <v>1362</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145</v>
      </c>
      <c r="B111" t="s">
        <v>1360</v>
      </c>
      <c r="C111">
        <v>184</v>
      </c>
      <c r="D111" t="s">
        <v>289</v>
      </c>
      <c r="E111" t="s">
        <v>298</v>
      </c>
      <c r="F111" t="s">
        <v>301</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353</v>
      </c>
      <c r="BT111" t="str">
        <f t="shared" si="27"/>
        <v>vct_Cheap</v>
      </c>
      <c r="BU111" t="str">
        <f t="shared" si="28"/>
        <v>steam_RAIL</v>
      </c>
      <c r="BV111" t="str">
        <f>VLOOKUP($BU111, Constants!$M:$N, 2, FALSE)</f>
        <v>{BLACK}Powered by: {GOLD}Steam</v>
      </c>
      <c r="BW111" t="str">
        <f t="shared" si="29"/>
        <v/>
      </c>
      <c r="BX111" t="s">
        <v>1359</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266</v>
      </c>
      <c r="C112">
        <v>186</v>
      </c>
      <c r="D112" t="s">
        <v>161</v>
      </c>
      <c r="E112" t="s">
        <v>298</v>
      </c>
      <c r="F112" t="s">
        <v>301</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142</v>
      </c>
      <c r="B113" t="s">
        <v>264</v>
      </c>
      <c r="C113">
        <v>188</v>
      </c>
      <c r="D113" t="s">
        <v>289</v>
      </c>
      <c r="E113" t="s">
        <v>298</v>
      </c>
      <c r="F113" t="s">
        <v>301</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353</v>
      </c>
      <c r="BT113" t="str">
        <f t="shared" si="27"/>
        <v>vct_Cheap</v>
      </c>
      <c r="BU113" t="str">
        <f t="shared" si="28"/>
        <v>steam_RAIL</v>
      </c>
      <c r="BV113" t="str">
        <f>VLOOKUP($BU113, Constants!$M:$N, 2, FALSE)</f>
        <v>{BLACK}Powered by: {GOLD}Steam</v>
      </c>
      <c r="BW113" t="str">
        <f t="shared" si="29"/>
        <v/>
      </c>
      <c r="BX113" t="s">
        <v>1191</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425</v>
      </c>
      <c r="B114" t="s">
        <v>426</v>
      </c>
      <c r="C114">
        <v>194</v>
      </c>
      <c r="D114" t="s">
        <v>289</v>
      </c>
      <c r="E114" t="s">
        <v>298</v>
      </c>
      <c r="F114" t="s">
        <v>301</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353</v>
      </c>
      <c r="BT114" t="str">
        <f t="shared" si="27"/>
        <v>edw_Cheap</v>
      </c>
      <c r="BU114" t="str">
        <f t="shared" si="28"/>
        <v>steam_RAIL</v>
      </c>
      <c r="BV114" t="str">
        <f>VLOOKUP($BU114, Constants!$M:$N, 2, FALSE)</f>
        <v>{BLACK}Powered by: {GOLD}Steam</v>
      </c>
      <c r="BW114" t="str">
        <f t="shared" si="29"/>
        <v/>
      </c>
      <c r="BX114" t="s">
        <v>427</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265</v>
      </c>
      <c r="C115">
        <v>196</v>
      </c>
      <c r="D115" t="s">
        <v>289</v>
      </c>
      <c r="E115" t="s">
        <v>298</v>
      </c>
      <c r="F115" t="s">
        <v>301</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336</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355</v>
      </c>
      <c r="BT115" t="str">
        <f t="shared" si="27"/>
        <v>edw_Express</v>
      </c>
      <c r="BU115" t="str">
        <f t="shared" si="28"/>
        <v>steam_RAIL</v>
      </c>
      <c r="BV115" t="str">
        <f>VLOOKUP($BU115, Constants!$M:$N, 2, FALSE)</f>
        <v>{BLACK}Powered by: {GOLD}Steam</v>
      </c>
      <c r="BW115" t="str">
        <f t="shared" si="29"/>
        <v/>
      </c>
      <c r="BX115" t="s">
        <v>375</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168</v>
      </c>
      <c r="C116">
        <v>198</v>
      </c>
      <c r="D116" t="s">
        <v>289</v>
      </c>
      <c r="E116" t="s">
        <v>323</v>
      </c>
      <c r="F116" t="s">
        <v>324</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366</v>
      </c>
      <c r="BT116" t="str">
        <f t="shared" si="27"/>
        <v>edw_Freight (Electric)</v>
      </c>
      <c r="BU116" t="str">
        <f t="shared" si="28"/>
        <v>electric_ELRL</v>
      </c>
      <c r="BV116" t="str">
        <f>VLOOKUP($BU116, Constants!$M:$N, 2, FALSE)</f>
        <v>{BLACK}Powered by: {GOLD}25kV AC</v>
      </c>
      <c r="BW116" t="str">
        <f t="shared" si="29"/>
        <v/>
      </c>
      <c r="BX116" t="s">
        <v>377</v>
      </c>
      <c r="BY116" t="str">
        <f t="shared" si="32"/>
        <v/>
      </c>
      <c r="BZ116" t="str">
        <f t="shared" si="31"/>
        <v>{BLACK}Powered by: {GOLD}25kV AC {}{SILVER}The LNER ES1 (ES for Electric Shunter) is designed for hauling heavy freight trains on steep inclines.</v>
      </c>
    </row>
    <row r="117" spans="1:78" x14ac:dyDescent="0.25">
      <c r="A117" t="s">
        <v>12</v>
      </c>
      <c r="B117" t="s">
        <v>170</v>
      </c>
      <c r="C117">
        <v>202</v>
      </c>
      <c r="D117" t="s">
        <v>289</v>
      </c>
      <c r="E117" t="s">
        <v>298</v>
      </c>
      <c r="F117" t="s">
        <v>301</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404</v>
      </c>
      <c r="BT117" t="str">
        <f t="shared" si="27"/>
        <v>edw_Passenger</v>
      </c>
      <c r="BU117" t="str">
        <f t="shared" si="28"/>
        <v>steam_RAIL</v>
      </c>
      <c r="BV117" t="str">
        <f>VLOOKUP($BU117, Constants!$M:$N, 2, FALSE)</f>
        <v>{BLACK}Powered by: {GOLD}Steam</v>
      </c>
      <c r="BW117" t="str">
        <f t="shared" si="29"/>
        <v/>
      </c>
      <c r="BX117" t="s">
        <v>396</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406</v>
      </c>
      <c r="C118">
        <v>204</v>
      </c>
      <c r="D118" t="s">
        <v>289</v>
      </c>
      <c r="E118" t="s">
        <v>298</v>
      </c>
      <c r="F118" t="s">
        <v>301</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354</v>
      </c>
      <c r="BT118" t="str">
        <f t="shared" si="27"/>
        <v>edw_Mixed Traffic</v>
      </c>
      <c r="BU118" t="str">
        <f t="shared" si="28"/>
        <v>steam_RAIL</v>
      </c>
      <c r="BV118" t="str">
        <f>VLOOKUP($BU118, Constants!$M:$N, 2, FALSE)</f>
        <v>{BLACK}Powered by: {GOLD}Steam</v>
      </c>
      <c r="BW118" t="str">
        <f t="shared" si="29"/>
        <v/>
      </c>
      <c r="BX118" t="s">
        <v>405</v>
      </c>
      <c r="BY118" t="str">
        <f t="shared" si="32"/>
        <v/>
      </c>
      <c r="BZ118" t="str">
        <f t="shared" si="31"/>
        <v>{BLACK}Powered by: {GOLD}Steam {}{SILVER}The GWR "Small Prairie" tank engines were designed for operating branch lines.</v>
      </c>
    </row>
    <row r="119" spans="1:78" ht="14.25" customHeight="1" x14ac:dyDescent="0.25">
      <c r="A119" t="s">
        <v>1240</v>
      </c>
      <c r="B119" t="s">
        <v>1241</v>
      </c>
      <c r="C119">
        <v>205</v>
      </c>
      <c r="D119" t="s">
        <v>289</v>
      </c>
      <c r="E119" t="s">
        <v>298</v>
      </c>
      <c r="F119" t="s">
        <v>301</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1244</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355</v>
      </c>
      <c r="BT119" t="str">
        <f t="shared" si="27"/>
        <v>edw_Express</v>
      </c>
      <c r="BU119" t="str">
        <f t="shared" si="28"/>
        <v>steam_RAIL</v>
      </c>
      <c r="BV119" t="str">
        <f>VLOOKUP($BU119, Constants!$M:$N, 2, FALSE)</f>
        <v>{BLACK}Powered by: {GOLD}Steam</v>
      </c>
      <c r="BW119" t="str">
        <f t="shared" si="29"/>
        <v/>
      </c>
      <c r="BX119" t="s">
        <v>1242</v>
      </c>
      <c r="BY119" t="str">
        <f t="shared" si="32"/>
        <v/>
      </c>
      <c r="BZ119" t="str">
        <f t="shared" si="31"/>
        <v>{BLACK}Powered by: {GOLD}Steam {}{SILVER}The Star class was the first in a string of successful four cylinder express locomotives built by the GWR.</v>
      </c>
    </row>
    <row r="120" spans="1:78" x14ac:dyDescent="0.25">
      <c r="A120" t="s">
        <v>22</v>
      </c>
      <c r="B120" t="s">
        <v>171</v>
      </c>
      <c r="C120">
        <v>206</v>
      </c>
      <c r="D120" t="s">
        <v>289</v>
      </c>
      <c r="E120" t="s">
        <v>298</v>
      </c>
      <c r="F120" t="s">
        <v>301</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404</v>
      </c>
      <c r="BT120" t="str">
        <f t="shared" si="27"/>
        <v>edw_Passenger</v>
      </c>
      <c r="BU120" t="str">
        <f t="shared" si="28"/>
        <v>steam_RAIL</v>
      </c>
      <c r="BV120" t="str">
        <f>VLOOKUP($BU120, Constants!$M:$N, 2, FALSE)</f>
        <v>{BLACK}Powered by: {GOLD}Steam</v>
      </c>
      <c r="BW120" t="str">
        <f t="shared" si="29"/>
        <v/>
      </c>
      <c r="BX120" t="s">
        <v>408</v>
      </c>
      <c r="BY120" t="str">
        <f t="shared" si="32"/>
        <v/>
      </c>
      <c r="BZ120" t="str">
        <f t="shared" si="31"/>
        <v>{BLACK}Powered by: {GOLD}Steam {}{SILVER}The GCR 9N (later LNER A5) is a 4-6-2 tank locomotive designed for suburban passenger services.</v>
      </c>
    </row>
    <row r="121" spans="1:78" x14ac:dyDescent="0.25">
      <c r="A121" t="s">
        <v>23</v>
      </c>
      <c r="B121" t="s">
        <v>412</v>
      </c>
      <c r="C121">
        <v>208</v>
      </c>
      <c r="D121" t="s">
        <v>289</v>
      </c>
      <c r="E121" t="s">
        <v>298</v>
      </c>
      <c r="F121" t="s">
        <v>301</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336</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356</v>
      </c>
      <c r="BT121" t="str">
        <f t="shared" si="27"/>
        <v>edw_Freight</v>
      </c>
      <c r="BU121" t="str">
        <f t="shared" si="28"/>
        <v>steam_RAIL</v>
      </c>
      <c r="BV121" t="str">
        <f>VLOOKUP($BU121, Constants!$M:$N, 2, FALSE)</f>
        <v>{BLACK}Powered by: {GOLD}Steam</v>
      </c>
      <c r="BW121" t="str">
        <f t="shared" si="29"/>
        <v/>
      </c>
      <c r="BX121" t="s">
        <v>1239</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1213</v>
      </c>
      <c r="B122" t="s">
        <v>1212</v>
      </c>
      <c r="C122">
        <v>209</v>
      </c>
      <c r="D122" t="s">
        <v>289</v>
      </c>
      <c r="E122" t="s">
        <v>298</v>
      </c>
      <c r="F122" t="s">
        <v>301</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1231</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356</v>
      </c>
      <c r="BT122" t="str">
        <f t="shared" si="27"/>
        <v>edw_Freight</v>
      </c>
      <c r="BU122" t="str">
        <f t="shared" si="28"/>
        <v>steam_RAIL</v>
      </c>
      <c r="BV122" t="str">
        <f>VLOOKUP($BU122, Constants!$M:$N, 2, FALSE)</f>
        <v>{BLACK}Powered by: {GOLD}Steam</v>
      </c>
      <c r="BW122" t="str">
        <f t="shared" si="29"/>
        <v/>
      </c>
      <c r="BX122" t="s">
        <v>1224</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414</v>
      </c>
      <c r="B123" t="s">
        <v>415</v>
      </c>
      <c r="C123">
        <v>210</v>
      </c>
      <c r="D123" t="s">
        <v>289</v>
      </c>
      <c r="E123" t="s">
        <v>298</v>
      </c>
      <c r="F123" t="s">
        <v>301</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417</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356</v>
      </c>
      <c r="BT123" t="str">
        <f t="shared" si="27"/>
        <v>edw_Freight</v>
      </c>
      <c r="BU123" t="str">
        <f t="shared" si="28"/>
        <v>steam_RAIL</v>
      </c>
      <c r="BV123" t="str">
        <f>VLOOKUP($BU123, Constants!$M:$N, 2, FALSE)</f>
        <v>{BLACK}Powered by: {GOLD}Steam</v>
      </c>
      <c r="BW123" t="str">
        <f t="shared" si="29"/>
        <v/>
      </c>
      <c r="BX123" t="s">
        <v>413</v>
      </c>
      <c r="BY123" t="str">
        <f t="shared" si="32"/>
        <v/>
      </c>
      <c r="BZ123" t="str">
        <f t="shared" si="31"/>
        <v>{BLACK}Powered by: {GOLD}Steam {}{SILVER}The Gresley K2 is a freight engine, designed for the GNR which had been using passenger engines to haul goods trains.</v>
      </c>
    </row>
    <row r="124" spans="1:78" x14ac:dyDescent="0.25">
      <c r="A124" t="s">
        <v>1220</v>
      </c>
      <c r="B124" t="s">
        <v>1221</v>
      </c>
      <c r="C124">
        <v>211</v>
      </c>
      <c r="D124" t="s">
        <v>289</v>
      </c>
      <c r="E124" t="s">
        <v>298</v>
      </c>
      <c r="F124" t="s">
        <v>301</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417</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356</v>
      </c>
      <c r="BT124" t="str">
        <f t="shared" si="27"/>
        <v>edw_Freight</v>
      </c>
      <c r="BU124" t="str">
        <f t="shared" si="28"/>
        <v>steam_RAIL</v>
      </c>
      <c r="BV124" t="str">
        <f>VLOOKUP($BU124, Constants!$M:$N, 2, FALSE)</f>
        <v>{BLACK}Powered by: {GOLD}Steam</v>
      </c>
      <c r="BW124" t="str">
        <f t="shared" si="29"/>
        <v/>
      </c>
      <c r="BX124" t="s">
        <v>1225</v>
      </c>
      <c r="BY124" t="str">
        <f t="shared" si="32"/>
        <v/>
      </c>
      <c r="BZ124" t="str">
        <f t="shared" si="31"/>
        <v>{BLACK}Powered by: {GOLD}Steam {}{SILVER}The D81 (later LNER J20 Class) was the most powerful British 0-6-0 tender locomotive for over twenty years.</v>
      </c>
    </row>
    <row r="125" spans="1:78" x14ac:dyDescent="0.25">
      <c r="A125" t="s">
        <v>60</v>
      </c>
      <c r="B125" t="s">
        <v>172</v>
      </c>
      <c r="C125">
        <v>212</v>
      </c>
      <c r="D125" t="s">
        <v>289</v>
      </c>
      <c r="E125" t="s">
        <v>323</v>
      </c>
      <c r="F125" t="s">
        <v>324</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366</v>
      </c>
      <c r="BT125" t="str">
        <f t="shared" si="27"/>
        <v>edw_Freight (Electric)</v>
      </c>
      <c r="BU125" t="str">
        <f t="shared" si="28"/>
        <v>electric_ELRL</v>
      </c>
      <c r="BV125" t="str">
        <f>VLOOKUP($BU125, Constants!$M:$N, 2, FALSE)</f>
        <v>{BLACK}Powered by: {GOLD}25kV AC</v>
      </c>
      <c r="BW125" t="str">
        <f t="shared" si="29"/>
        <v/>
      </c>
      <c r="BX125" t="s">
        <v>418</v>
      </c>
      <c r="BY125" t="str">
        <f t="shared" si="32"/>
        <v/>
      </c>
      <c r="BZ125" t="str">
        <f t="shared" si="31"/>
        <v>{BLACK}Powered by: {GOLD}25kV AC {}{SILVER}The LNER EF1 is an early electric freight engine designed for hauling heavy coal trains.</v>
      </c>
    </row>
    <row r="126" spans="1:78" x14ac:dyDescent="0.25">
      <c r="A126" t="s">
        <v>7</v>
      </c>
      <c r="B126" t="s">
        <v>174</v>
      </c>
      <c r="C126">
        <v>214</v>
      </c>
      <c r="D126" t="s">
        <v>289</v>
      </c>
      <c r="E126" t="s">
        <v>298</v>
      </c>
      <c r="F126" t="s">
        <v>301</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336</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354</v>
      </c>
      <c r="BT126" t="str">
        <f t="shared" si="27"/>
        <v>big4_Mixed Traffic</v>
      </c>
      <c r="BU126" t="str">
        <f t="shared" si="28"/>
        <v>steam_RAIL</v>
      </c>
      <c r="BV126" t="str">
        <f>VLOOKUP($BU126, Constants!$M:$N, 2, FALSE)</f>
        <v>{BLACK}Powered by: {GOLD}Steam</v>
      </c>
      <c r="BW126" t="str">
        <f t="shared" si="29"/>
        <v/>
      </c>
      <c r="BX126" t="s">
        <v>444</v>
      </c>
      <c r="BY126" t="str">
        <f t="shared" si="32"/>
        <v/>
      </c>
      <c r="BZ126" t="str">
        <f t="shared" si="31"/>
        <v>{BLACK}Powered by: {GOLD}Steam {}{SILVER}The Fowler 4F is a development of the earlier Midland 3835 class.</v>
      </c>
    </row>
    <row r="127" spans="1:78" x14ac:dyDescent="0.25">
      <c r="A127" t="s">
        <v>1214</v>
      </c>
      <c r="B127" t="s">
        <v>1216</v>
      </c>
      <c r="C127">
        <v>215</v>
      </c>
      <c r="D127" t="s">
        <v>289</v>
      </c>
      <c r="E127" t="s">
        <v>298</v>
      </c>
      <c r="F127" t="s">
        <v>301</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353</v>
      </c>
      <c r="BT127" t="str">
        <f t="shared" si="27"/>
        <v>edw_Cheap</v>
      </c>
      <c r="BU127" t="str">
        <f t="shared" si="28"/>
        <v>steam_RAIL</v>
      </c>
      <c r="BV127" t="str">
        <f>VLOOKUP($BU127, Constants!$M:$N, 2, FALSE)</f>
        <v>{BLACK}Powered by: {GOLD}Steam</v>
      </c>
      <c r="BW127" t="str">
        <f t="shared" si="29"/>
        <v/>
      </c>
      <c r="BX127" t="s">
        <v>1233</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445</v>
      </c>
      <c r="B128" t="s">
        <v>446</v>
      </c>
      <c r="C128">
        <v>216</v>
      </c>
      <c r="D128" t="s">
        <v>289</v>
      </c>
      <c r="E128" t="s">
        <v>298</v>
      </c>
      <c r="F128" t="s">
        <v>301</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448</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355</v>
      </c>
      <c r="BT128" t="str">
        <f t="shared" si="27"/>
        <v>big4_Express</v>
      </c>
      <c r="BU128" t="str">
        <f t="shared" si="28"/>
        <v>steam_RAIL</v>
      </c>
      <c r="BV128" t="str">
        <f>VLOOKUP($BU128, Constants!$M:$N, 2, FALSE)</f>
        <v>{BLACK}Powered by: {GOLD}Steam</v>
      </c>
      <c r="BW128" t="str">
        <f t="shared" si="29"/>
        <v/>
      </c>
      <c r="BX128" t="s">
        <v>449</v>
      </c>
      <c r="BY128" t="str">
        <f t="shared" si="32"/>
        <v/>
      </c>
      <c r="BZ128" t="str">
        <f t="shared" si="31"/>
        <v>{BLACK}Powered by: {GOLD}Steam {}{SILVER}The Castle Class is a large, powerful express locomotive designed by GWR Chief Mechanical Engineer Charles Collett</v>
      </c>
    </row>
    <row r="129" spans="1:78" x14ac:dyDescent="0.25">
      <c r="A129" t="s">
        <v>1215</v>
      </c>
      <c r="B129" t="s">
        <v>1219</v>
      </c>
      <c r="C129">
        <v>217</v>
      </c>
      <c r="D129" t="s">
        <v>289</v>
      </c>
      <c r="E129" t="s">
        <v>298</v>
      </c>
      <c r="F129" t="s">
        <v>301</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1226</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356</v>
      </c>
      <c r="BT129" t="str">
        <f t="shared" si="27"/>
        <v>edw_Freight</v>
      </c>
      <c r="BU129" t="str">
        <f t="shared" si="28"/>
        <v>steam_RAIL</v>
      </c>
      <c r="BV129" t="str">
        <f>VLOOKUP($BU129, Constants!$M:$N, 2, FALSE)</f>
        <v>{BLACK}Powered by: {GOLD}Steam</v>
      </c>
      <c r="BW129" t="str">
        <f t="shared" si="29"/>
        <v/>
      </c>
      <c r="BX129" t="s">
        <v>1228</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175</v>
      </c>
      <c r="C130">
        <v>218</v>
      </c>
      <c r="D130" t="s">
        <v>289</v>
      </c>
      <c r="E130" t="s">
        <v>298</v>
      </c>
      <c r="F130" t="s">
        <v>301</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353</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378</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1222</v>
      </c>
      <c r="B131" t="s">
        <v>1223</v>
      </c>
      <c r="C131">
        <v>219</v>
      </c>
      <c r="D131" t="s">
        <v>289</v>
      </c>
      <c r="E131" t="s">
        <v>298</v>
      </c>
      <c r="F131" t="s">
        <v>301</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1226</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355</v>
      </c>
      <c r="BT131" t="str">
        <f t="shared" si="49"/>
        <v>edw_Express</v>
      </c>
      <c r="BU131" t="str">
        <f t="shared" si="50"/>
        <v>steam_RAIL</v>
      </c>
      <c r="BV131" t="str">
        <f>VLOOKUP($BU131, Constants!$M:$N, 2, FALSE)</f>
        <v>{BLACK}Powered by: {GOLD}Steam</v>
      </c>
      <c r="BW131" t="str">
        <f t="shared" si="51"/>
        <v/>
      </c>
      <c r="BX131" t="s">
        <v>1229</v>
      </c>
      <c r="BY131" t="str">
        <f t="shared" si="52"/>
        <v/>
      </c>
      <c r="BZ131" t="str">
        <f t="shared" si="53"/>
        <v>{BLACK}Powered by: {GOLD}Steam {}{SILVER}The Caledonian 72 class was a 4-4-0 express locomotive, later inherited by the LMS after grouping.</v>
      </c>
    </row>
    <row r="132" spans="1:78" x14ac:dyDescent="0.25">
      <c r="A132" t="s">
        <v>15</v>
      </c>
      <c r="B132" t="s">
        <v>176</v>
      </c>
      <c r="C132">
        <v>220</v>
      </c>
      <c r="D132" t="s">
        <v>289</v>
      </c>
      <c r="E132" t="s">
        <v>298</v>
      </c>
      <c r="F132" t="s">
        <v>301</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354</v>
      </c>
      <c r="BT132" t="str">
        <f t="shared" si="49"/>
        <v>big4_Mixed Traffic</v>
      </c>
      <c r="BU132" t="str">
        <f t="shared" si="50"/>
        <v>steam_RAIL</v>
      </c>
      <c r="BV132" t="str">
        <f>VLOOKUP($BU132, Constants!$M:$N, 2, FALSE)</f>
        <v>{BLACK}Powered by: {GOLD}Steam</v>
      </c>
      <c r="BW132" t="str">
        <f t="shared" si="51"/>
        <v/>
      </c>
      <c r="BX132" t="s">
        <v>379</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1217</v>
      </c>
      <c r="B133" t="s">
        <v>1218</v>
      </c>
      <c r="C133">
        <v>221</v>
      </c>
      <c r="D133" t="s">
        <v>289</v>
      </c>
      <c r="E133" t="s">
        <v>298</v>
      </c>
      <c r="F133" t="s">
        <v>301</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356</v>
      </c>
      <c r="BT133" t="str">
        <f t="shared" si="49"/>
        <v>big4_Freight</v>
      </c>
      <c r="BU133" t="str">
        <f t="shared" si="50"/>
        <v>steam_RAIL</v>
      </c>
      <c r="BV133" t="str">
        <f>VLOOKUP($BU133, Constants!$M:$N, 2, FALSE)</f>
        <v>{BLACK}Powered by: {GOLD}Steam</v>
      </c>
      <c r="BW133" t="str">
        <f t="shared" si="51"/>
        <v/>
      </c>
      <c r="BX133" t="s">
        <v>1230</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322</v>
      </c>
      <c r="C134">
        <v>222</v>
      </c>
      <c r="D134" t="s">
        <v>289</v>
      </c>
      <c r="E134" t="s">
        <v>298</v>
      </c>
      <c r="F134" t="s">
        <v>301</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316</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355</v>
      </c>
      <c r="BT134" t="str">
        <f t="shared" si="49"/>
        <v>big4_Express</v>
      </c>
      <c r="BU134" t="str">
        <f t="shared" si="50"/>
        <v>steam_RAIL</v>
      </c>
      <c r="BV134" t="str">
        <f>VLOOKUP($BU134, Constants!$M:$N, 2, FALSE)</f>
        <v>{BLACK}Powered by: {GOLD}Steam</v>
      </c>
      <c r="BW134" t="str">
        <f t="shared" si="51"/>
        <v/>
      </c>
      <c r="BX134" t="s">
        <v>380</v>
      </c>
      <c r="BY134" t="str">
        <f t="shared" si="52"/>
        <v/>
      </c>
      <c r="BZ134" t="str">
        <f t="shared" si="53"/>
        <v>{BLACK}Powered by: {GOLD}Steam {}{SILVER}The Hughes Crab was named for its distinctive "scuttling" motion, caused by the inclined cylinders.</v>
      </c>
    </row>
    <row r="135" spans="1:78" x14ac:dyDescent="0.25">
      <c r="A135" t="s">
        <v>18</v>
      </c>
      <c r="B135" t="s">
        <v>173</v>
      </c>
      <c r="C135">
        <v>223</v>
      </c>
      <c r="D135" t="s">
        <v>161</v>
      </c>
      <c r="E135" t="s">
        <v>298</v>
      </c>
      <c r="F135" t="s">
        <v>301</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140</v>
      </c>
      <c r="B136" t="s">
        <v>451</v>
      </c>
      <c r="C136">
        <v>224</v>
      </c>
      <c r="D136" t="s">
        <v>289</v>
      </c>
      <c r="E136" t="s">
        <v>298</v>
      </c>
      <c r="F136" t="s">
        <v>301</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417</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404</v>
      </c>
      <c r="BT136" t="str">
        <f t="shared" si="49"/>
        <v>big4_Passenger</v>
      </c>
      <c r="BU136" t="str">
        <f t="shared" si="50"/>
        <v>steam_RAIL</v>
      </c>
      <c r="BV136" t="str">
        <f>VLOOKUP($BU136, Constants!$M:$N, 2, FALSE)</f>
        <v>{BLACK}Powered by: {GOLD}Steam</v>
      </c>
      <c r="BW136" t="str">
        <f t="shared" si="51"/>
        <v/>
      </c>
      <c r="BX136" t="s">
        <v>450</v>
      </c>
      <c r="BY136" t="str">
        <f t="shared" si="52"/>
        <v/>
      </c>
      <c r="BZ136" t="str">
        <f t="shared" si="53"/>
        <v>{BLACK}Powered by: {GOLD}Steam {}{SILVER}The D49 is a Nigel Gresley designed 4-4-0 locomotive for passenger traffic.</v>
      </c>
    </row>
    <row r="137" spans="1:78" x14ac:dyDescent="0.25">
      <c r="A137" t="s">
        <v>453</v>
      </c>
      <c r="B137" t="s">
        <v>452</v>
      </c>
      <c r="C137">
        <v>226</v>
      </c>
      <c r="D137" t="s">
        <v>289</v>
      </c>
      <c r="E137" t="s">
        <v>298</v>
      </c>
      <c r="F137" t="s">
        <v>301</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448</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355</v>
      </c>
      <c r="BT137" t="str">
        <f t="shared" si="49"/>
        <v>big4_Express</v>
      </c>
      <c r="BU137" t="str">
        <f t="shared" si="50"/>
        <v>steam_RAIL</v>
      </c>
      <c r="BV137" t="str">
        <f>VLOOKUP($BU137, Constants!$M:$N, 2, FALSE)</f>
        <v>{BLACK}Powered by: {GOLD}Steam</v>
      </c>
      <c r="BW137" t="str">
        <f t="shared" si="51"/>
        <v/>
      </c>
      <c r="BX137" t="s">
        <v>454</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456</v>
      </c>
      <c r="C138">
        <v>228</v>
      </c>
      <c r="D138" t="s">
        <v>289</v>
      </c>
      <c r="E138" t="s">
        <v>298</v>
      </c>
      <c r="F138" t="s">
        <v>301</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354</v>
      </c>
      <c r="BT138" t="str">
        <f t="shared" si="49"/>
        <v>big4_Mixed Traffic</v>
      </c>
      <c r="BU138" t="str">
        <f t="shared" si="50"/>
        <v>steam_RAIL</v>
      </c>
      <c r="BV138" t="str">
        <f>VLOOKUP($BU138, Constants!$M:$N, 2, FALSE)</f>
        <v>{BLACK}Powered by: {GOLD}Steam</v>
      </c>
      <c r="BW138" t="str">
        <f t="shared" si="51"/>
        <v/>
      </c>
      <c r="BX138" t="s">
        <v>455</v>
      </c>
      <c r="BY138" t="str">
        <f t="shared" si="52"/>
        <v/>
      </c>
      <c r="BZ138" t="str">
        <f t="shared" si="53"/>
        <v>{BLACK}Powered by: {GOLD}Steam {}{SILVER}Fowler's 2-6-4T achieved high speeds for a tank engine, and was typically used on longer distance services.</v>
      </c>
    </row>
    <row r="139" spans="1:78" x14ac:dyDescent="0.25">
      <c r="A139" t="s">
        <v>457</v>
      </c>
      <c r="B139" t="s">
        <v>459</v>
      </c>
      <c r="C139">
        <v>230</v>
      </c>
      <c r="D139" t="s">
        <v>289</v>
      </c>
      <c r="E139" t="s">
        <v>298</v>
      </c>
      <c r="F139" t="s">
        <v>301</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448</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354</v>
      </c>
      <c r="BT139" t="str">
        <f t="shared" si="49"/>
        <v>big4_Mixed Traffic</v>
      </c>
      <c r="BU139" t="str">
        <f t="shared" si="50"/>
        <v>steam_RAIL</v>
      </c>
      <c r="BV139" t="str">
        <f>VLOOKUP($BU139, Constants!$M:$N, 2, FALSE)</f>
        <v>{BLACK}Powered by: {GOLD}Steam</v>
      </c>
      <c r="BW139" t="str">
        <f t="shared" si="51"/>
        <v/>
      </c>
      <c r="BX139" t="s">
        <v>458</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461</v>
      </c>
      <c r="C140">
        <v>232</v>
      </c>
      <c r="D140" t="s">
        <v>289</v>
      </c>
      <c r="E140" t="s">
        <v>298</v>
      </c>
      <c r="F140" t="s">
        <v>301</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463</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355</v>
      </c>
      <c r="BT140" t="str">
        <f t="shared" si="49"/>
        <v>big4_Express</v>
      </c>
      <c r="BU140" t="str">
        <f t="shared" si="50"/>
        <v>steam_RAIL</v>
      </c>
      <c r="BV140" t="str">
        <f>VLOOKUP($BU140, Constants!$M:$N, 2, FALSE)</f>
        <v>{BLACK}Powered by: {GOLD}Steam</v>
      </c>
      <c r="BW140" t="str">
        <f t="shared" si="51"/>
        <v/>
      </c>
      <c r="BX140" t="s">
        <v>460</v>
      </c>
      <c r="BY140" t="str">
        <f t="shared" si="52"/>
        <v/>
      </c>
      <c r="BZ140" t="str">
        <f t="shared" si="53"/>
        <v>{BLACK}Powered by: {GOLD}Steam {}{SILVER}The Gresley A3 is a Pacific (4-6-2) locomotive famed for its 100mph+ performance hauling LNER's Flying Scotsman service.</v>
      </c>
    </row>
    <row r="141" spans="1:78" x14ac:dyDescent="0.25">
      <c r="A141" t="s">
        <v>1449</v>
      </c>
      <c r="B141" t="s">
        <v>1450</v>
      </c>
      <c r="C141">
        <v>233</v>
      </c>
      <c r="D141" t="s">
        <v>289</v>
      </c>
      <c r="E141" t="s">
        <v>298</v>
      </c>
      <c r="F141" t="s">
        <v>301</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316</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355</v>
      </c>
      <c r="BT141" t="str">
        <f t="shared" si="49"/>
        <v>big4_Express</v>
      </c>
      <c r="BU141" t="str">
        <f t="shared" si="50"/>
        <v>steam_RAIL</v>
      </c>
      <c r="BV141" t="str">
        <f>VLOOKUP($BU141, Constants!$M:$N, 2, FALSE)</f>
        <v>{BLACK}Powered by: {GOLD}Steam</v>
      </c>
      <c r="BW141" t="str">
        <f t="shared" si="51"/>
        <v/>
      </c>
      <c r="BX141" t="s">
        <v>1451</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465</v>
      </c>
      <c r="C142">
        <v>234</v>
      </c>
      <c r="D142" t="s">
        <v>289</v>
      </c>
      <c r="E142" t="s">
        <v>298</v>
      </c>
      <c r="F142" t="s">
        <v>301</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353</v>
      </c>
      <c r="BT142" t="str">
        <f t="shared" si="49"/>
        <v>big4_Cheap</v>
      </c>
      <c r="BU142" t="str">
        <f t="shared" si="50"/>
        <v>steam_RAIL</v>
      </c>
      <c r="BV142" t="str">
        <f>VLOOKUP($BU142, Constants!$M:$N, 2, FALSE)</f>
        <v>{BLACK}Powered by: {GOLD}Steam</v>
      </c>
      <c r="BW142" t="str">
        <f t="shared" si="51"/>
        <v/>
      </c>
      <c r="BX142" t="s">
        <v>464</v>
      </c>
      <c r="BY142" t="str">
        <f t="shared" si="52"/>
        <v/>
      </c>
      <c r="BZ142" t="str">
        <f t="shared" si="53"/>
        <v>{BLACK}Powered by: {GOLD}Steam {}{SILVER}The 5700 class numbered 863 locomotives, and was ubiquitous across the GWR network.</v>
      </c>
    </row>
    <row r="143" spans="1:78" x14ac:dyDescent="0.25">
      <c r="A143" t="s">
        <v>29</v>
      </c>
      <c r="B143" t="s">
        <v>177</v>
      </c>
      <c r="C143">
        <v>235</v>
      </c>
      <c r="D143" t="s">
        <v>289</v>
      </c>
      <c r="E143" t="s">
        <v>298</v>
      </c>
      <c r="F143" t="s">
        <v>301</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468</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355</v>
      </c>
      <c r="BT143" t="str">
        <f t="shared" si="49"/>
        <v>big4_Express</v>
      </c>
      <c r="BU143" t="str">
        <f t="shared" si="50"/>
        <v>steam_RAIL</v>
      </c>
      <c r="BV143" t="str">
        <f>VLOOKUP($BU143, Constants!$M:$N, 2, FALSE)</f>
        <v>{BLACK}Powered by: {GOLD}Steam</v>
      </c>
      <c r="BW143" t="str">
        <f t="shared" si="51"/>
        <v/>
      </c>
      <c r="BX143" t="s">
        <v>466</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198</v>
      </c>
      <c r="C144">
        <v>236</v>
      </c>
      <c r="D144" t="s">
        <v>431</v>
      </c>
      <c r="E144" t="s">
        <v>299</v>
      </c>
      <c r="F144" t="s">
        <v>301</v>
      </c>
      <c r="G144">
        <v>1933</v>
      </c>
      <c r="H144">
        <v>1942</v>
      </c>
      <c r="I144">
        <v>1962</v>
      </c>
      <c r="J144">
        <v>1</v>
      </c>
      <c r="K144">
        <v>260</v>
      </c>
      <c r="T144">
        <v>35</v>
      </c>
      <c r="V144">
        <v>8</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198</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310</v>
      </c>
      <c r="BR144" t="str">
        <f>VLOOKUP(G144,Eras!$A$2:$C$10, 2, TRUE)</f>
        <v>big4</v>
      </c>
      <c r="BS144" t="s">
        <v>357</v>
      </c>
      <c r="BT144" t="str">
        <f t="shared" si="49"/>
        <v>big4_DMU (Cheap)</v>
      </c>
      <c r="BU144" t="str">
        <f t="shared" si="50"/>
        <v>diesel_RAIL</v>
      </c>
      <c r="BV144" t="str">
        <f>VLOOKUP($BU144, Constants!$M:$N, 2, FALSE)</f>
        <v>{BLACK}Powered by: {GOLD}Diesel</v>
      </c>
      <c r="BW144" t="str">
        <f t="shared" si="51"/>
        <v/>
      </c>
      <c r="BX144" t="s">
        <v>476</v>
      </c>
      <c r="BY144" t="str">
        <f t="shared" si="52"/>
        <v/>
      </c>
      <c r="BZ144" t="str">
        <f t="shared" si="53"/>
        <v>{BLACK}Powered by: {GOLD}Diesel {}{SILVER}The GWR Railcars used AEC bus hardware in a lightweight streamlined body.</v>
      </c>
    </row>
    <row r="145" spans="1:78" x14ac:dyDescent="0.25">
      <c r="A145" t="s">
        <v>469</v>
      </c>
      <c r="B145" t="s">
        <v>471</v>
      </c>
      <c r="C145">
        <v>237</v>
      </c>
      <c r="D145" t="s">
        <v>289</v>
      </c>
      <c r="E145" t="s">
        <v>298</v>
      </c>
      <c r="F145" t="s">
        <v>301</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353</v>
      </c>
      <c r="BT145" t="str">
        <f t="shared" si="49"/>
        <v>big4_Cheap</v>
      </c>
      <c r="BU145" t="str">
        <f t="shared" si="50"/>
        <v>steam_RAIL</v>
      </c>
      <c r="BV145" t="str">
        <f>VLOOKUP($BU145, Constants!$M:$N, 2, FALSE)</f>
        <v>{BLACK}Powered by: {GOLD}Steam</v>
      </c>
      <c r="BW145" t="str">
        <f t="shared" si="51"/>
        <v/>
      </c>
      <c r="BX145" t="s">
        <v>470</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315</v>
      </c>
      <c r="C146">
        <v>238</v>
      </c>
      <c r="D146" t="s">
        <v>289</v>
      </c>
      <c r="E146" t="s">
        <v>298</v>
      </c>
      <c r="F146" t="s">
        <v>301</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321</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354</v>
      </c>
      <c r="BT146" t="str">
        <f t="shared" si="49"/>
        <v>big4_Mixed Traffic</v>
      </c>
      <c r="BU146" t="str">
        <f t="shared" si="50"/>
        <v>steam_RAIL</v>
      </c>
      <c r="BV146" t="str">
        <f>VLOOKUP($BU146, Constants!$M:$N, 2, FALSE)</f>
        <v>{BLACK}Powered by: {GOLD}Steam</v>
      </c>
      <c r="BW146" t="str">
        <f t="shared" si="51"/>
        <v/>
      </c>
      <c r="BX146" t="s">
        <v>395</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314</v>
      </c>
      <c r="C147">
        <v>240</v>
      </c>
      <c r="D147" t="s">
        <v>289</v>
      </c>
      <c r="E147" t="s">
        <v>298</v>
      </c>
      <c r="F147" t="s">
        <v>301</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316</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355</v>
      </c>
      <c r="BT147" t="str">
        <f t="shared" si="49"/>
        <v>big4_Express</v>
      </c>
      <c r="BU147" t="str">
        <f t="shared" si="50"/>
        <v>steam_RAIL</v>
      </c>
      <c r="BV147" t="str">
        <f>VLOOKUP($BU147, Constants!$M:$N, 2, FALSE)</f>
        <v>{BLACK}Powered by: {GOLD}Steam</v>
      </c>
      <c r="BW147" t="str">
        <f t="shared" si="51"/>
        <v/>
      </c>
      <c r="BX147" t="s">
        <v>381</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477</v>
      </c>
      <c r="B148" t="s">
        <v>178</v>
      </c>
      <c r="C148">
        <v>242</v>
      </c>
      <c r="D148" t="s">
        <v>289</v>
      </c>
      <c r="E148" t="s">
        <v>298</v>
      </c>
      <c r="F148" t="s">
        <v>301</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321</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356</v>
      </c>
      <c r="BT148" t="str">
        <f t="shared" si="49"/>
        <v>big4_Freight</v>
      </c>
      <c r="BU148" t="str">
        <f t="shared" si="50"/>
        <v>steam_RAIL</v>
      </c>
      <c r="BV148" t="str">
        <f>VLOOKUP($BU148, Constants!$M:$N, 2, FALSE)</f>
        <v>{BLACK}Powered by: {GOLD}Steam</v>
      </c>
      <c r="BW148" t="str">
        <f t="shared" si="51"/>
        <v/>
      </c>
      <c r="BX148" t="s">
        <v>478</v>
      </c>
      <c r="BY148" t="str">
        <f t="shared" si="52"/>
        <v/>
      </c>
      <c r="BZ148" t="str">
        <f t="shared" si="53"/>
        <v>{BLACK}Powered by: {GOLD}Steam {}{SILVER}The Stanier 8F is a further development of the Class 5, specialised for freight traffic with a 2-8-0 layout.</v>
      </c>
    </row>
    <row r="149" spans="1:78" x14ac:dyDescent="0.25">
      <c r="A149" t="s">
        <v>21</v>
      </c>
      <c r="B149" t="s">
        <v>480</v>
      </c>
      <c r="C149">
        <v>244</v>
      </c>
      <c r="D149" t="s">
        <v>289</v>
      </c>
      <c r="E149" t="s">
        <v>298</v>
      </c>
      <c r="F149" t="s">
        <v>301</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463</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355</v>
      </c>
      <c r="BT149" t="str">
        <f t="shared" si="49"/>
        <v>big4_Express</v>
      </c>
      <c r="BU149" t="str">
        <f t="shared" si="50"/>
        <v>steam_RAIL</v>
      </c>
      <c r="BV149" t="str">
        <f>VLOOKUP($BU149, Constants!$M:$N, 2, FALSE)</f>
        <v>{BLACK}Powered by: {GOLD}Steam</v>
      </c>
      <c r="BW149" t="str">
        <f t="shared" si="51"/>
        <v/>
      </c>
      <c r="BX149" t="s">
        <v>479</v>
      </c>
      <c r="BY149" t="str">
        <f t="shared" si="52"/>
        <v/>
      </c>
      <c r="BZ149" t="str">
        <f t="shared" si="53"/>
        <v>{BLACK}Powered by: {GOLD}Steam {}{SILVER}The Gresley A4 is the iconic pinnacle of high-speed British steam, holding numerous speed and power records.</v>
      </c>
    </row>
    <row r="150" spans="1:78" x14ac:dyDescent="0.25">
      <c r="A150" t="s">
        <v>10</v>
      </c>
      <c r="B150" t="s">
        <v>481</v>
      </c>
      <c r="C150">
        <v>246</v>
      </c>
      <c r="D150" t="s">
        <v>289</v>
      </c>
      <c r="E150" t="s">
        <v>298</v>
      </c>
      <c r="F150" t="s">
        <v>301</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463</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354</v>
      </c>
      <c r="BT150" t="str">
        <f t="shared" si="49"/>
        <v>big4_Mixed Traffic</v>
      </c>
      <c r="BU150" t="str">
        <f t="shared" si="50"/>
        <v>steam_RAIL</v>
      </c>
      <c r="BV150" t="str">
        <f>VLOOKUP($BU150, Constants!$M:$N, 2, FALSE)</f>
        <v>{BLACK}Powered by: {GOLD}Steam</v>
      </c>
      <c r="BW150" t="str">
        <f t="shared" si="51"/>
        <v/>
      </c>
      <c r="BX150" t="s">
        <v>482</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483</v>
      </c>
      <c r="C151">
        <v>248</v>
      </c>
      <c r="D151" t="s">
        <v>289</v>
      </c>
      <c r="E151" t="s">
        <v>298</v>
      </c>
      <c r="F151" t="s">
        <v>301</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448</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354</v>
      </c>
      <c r="BT151" t="str">
        <f t="shared" si="49"/>
        <v>big4_Mixed Traffic</v>
      </c>
      <c r="BU151" t="str">
        <f t="shared" si="50"/>
        <v>steam_RAIL</v>
      </c>
      <c r="BV151" t="str">
        <f>VLOOKUP($BU151, Constants!$M:$N, 2, FALSE)</f>
        <v>{BLACK}Powered by: {GOLD}Steam</v>
      </c>
      <c r="BW151" t="str">
        <f t="shared" si="51"/>
        <v/>
      </c>
      <c r="BX151" t="s">
        <v>485</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484</v>
      </c>
      <c r="C152">
        <v>250</v>
      </c>
      <c r="D152" t="s">
        <v>289</v>
      </c>
      <c r="E152" t="s">
        <v>298</v>
      </c>
      <c r="F152" t="s">
        <v>301</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487</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355</v>
      </c>
      <c r="BT152" t="str">
        <f t="shared" si="49"/>
        <v>big4_Express</v>
      </c>
      <c r="BU152" t="str">
        <f t="shared" si="50"/>
        <v>steam_RAIL</v>
      </c>
      <c r="BV152" t="str">
        <f>VLOOKUP($BU152, Constants!$M:$N, 2, FALSE)</f>
        <v>{BLACK}Powered by: {GOLD}Steam</v>
      </c>
      <c r="BW152" t="str">
        <f t="shared" si="51"/>
        <v/>
      </c>
      <c r="BX152" t="s">
        <v>486</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497</v>
      </c>
      <c r="C153">
        <v>252</v>
      </c>
      <c r="D153" t="s">
        <v>289</v>
      </c>
      <c r="E153" t="s">
        <v>298</v>
      </c>
      <c r="F153" t="s">
        <v>301</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496</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355</v>
      </c>
      <c r="BT153" t="str">
        <f t="shared" si="49"/>
        <v>big4_Express</v>
      </c>
      <c r="BU153" t="str">
        <f t="shared" si="50"/>
        <v>steam_RAIL</v>
      </c>
      <c r="BV153" t="str">
        <f>VLOOKUP($BU153, Constants!$M:$N, 2, FALSE)</f>
        <v>{BLACK}Powered by: {GOLD}Steam</v>
      </c>
      <c r="BW153" t="str">
        <f t="shared" si="51"/>
        <v/>
      </c>
      <c r="BX153" t="s">
        <v>498</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180</v>
      </c>
      <c r="C154">
        <v>254</v>
      </c>
      <c r="D154" t="s">
        <v>161</v>
      </c>
      <c r="E154" t="s">
        <v>298</v>
      </c>
      <c r="F154" t="s">
        <v>301</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179</v>
      </c>
      <c r="C155">
        <v>256</v>
      </c>
      <c r="D155" t="s">
        <v>289</v>
      </c>
      <c r="E155" t="s">
        <v>323</v>
      </c>
      <c r="F155" t="s">
        <v>330</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364</v>
      </c>
      <c r="BT155" t="str">
        <f t="shared" si="49"/>
        <v>big4_MT (Electric)</v>
      </c>
      <c r="BU155" t="str">
        <f t="shared" si="50"/>
        <v>electric_THIRD_RAIL</v>
      </c>
      <c r="BV155" t="str">
        <f>VLOOKUP($BU155, Constants!$M:$N, 2, FALSE)</f>
        <v>{BLACK}Powered by: {GOLD}750V DC</v>
      </c>
      <c r="BW155" t="str">
        <f t="shared" si="51"/>
        <v/>
      </c>
      <c r="BX155" t="s">
        <v>499</v>
      </c>
      <c r="BY155" t="str">
        <f t="shared" si="52"/>
        <v/>
      </c>
      <c r="BZ155" t="str">
        <f t="shared" si="53"/>
        <v>{BLACK}Powered by: {GOLD}750V DC {}{SILVER}With six traction motors, the CC is adept at handling both heavy freight and long passenger trains.</v>
      </c>
    </row>
    <row r="156" spans="1:78" x14ac:dyDescent="0.25">
      <c r="A156" t="s">
        <v>33</v>
      </c>
      <c r="B156" t="s">
        <v>500</v>
      </c>
      <c r="C156">
        <v>258</v>
      </c>
      <c r="D156" t="s">
        <v>289</v>
      </c>
      <c r="E156" t="s">
        <v>298</v>
      </c>
      <c r="F156" t="s">
        <v>301</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502</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353</v>
      </c>
      <c r="BT156" t="str">
        <f t="shared" si="49"/>
        <v>big4_Cheap</v>
      </c>
      <c r="BU156" t="str">
        <f t="shared" si="50"/>
        <v>steam_RAIL</v>
      </c>
      <c r="BV156" t="str">
        <f>VLOOKUP($BU156, Constants!$M:$N, 2, FALSE)</f>
        <v>{BLACK}Powered by: {GOLD}Steam</v>
      </c>
      <c r="BW156" t="str">
        <f t="shared" si="51"/>
        <v/>
      </c>
      <c r="BX156" t="s">
        <v>501</v>
      </c>
      <c r="BY156" t="str">
        <f t="shared" si="52"/>
        <v/>
      </c>
      <c r="BZ156" t="str">
        <f t="shared" si="53"/>
        <v>{BLACK}Powered by: {GOLD}Steam {}{SILVER}The Q1 was designed for function over form and the most efficient possible use of materials.</v>
      </c>
    </row>
    <row r="157" spans="1:78" x14ac:dyDescent="0.25">
      <c r="A157" t="s">
        <v>504</v>
      </c>
      <c r="B157" t="s">
        <v>239</v>
      </c>
      <c r="C157">
        <v>260</v>
      </c>
      <c r="D157" t="s">
        <v>289</v>
      </c>
      <c r="E157" t="s">
        <v>298</v>
      </c>
      <c r="F157" t="s">
        <v>301</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353</v>
      </c>
      <c r="BT157" t="str">
        <f t="shared" si="49"/>
        <v>big4_Cheap</v>
      </c>
      <c r="BU157" t="str">
        <f t="shared" si="50"/>
        <v>steam_RAIL</v>
      </c>
      <c r="BV157" t="str">
        <f>VLOOKUP($BU157, Constants!$M:$N, 2, FALSE)</f>
        <v>{BLACK}Powered by: {GOLD}Steam</v>
      </c>
      <c r="BW157" t="str">
        <f t="shared" si="51"/>
        <v/>
      </c>
      <c r="BX157" t="s">
        <v>505</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507</v>
      </c>
      <c r="C158">
        <v>262</v>
      </c>
      <c r="D158" t="s">
        <v>289</v>
      </c>
      <c r="E158" t="s">
        <v>298</v>
      </c>
      <c r="F158" t="s">
        <v>301</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509</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356</v>
      </c>
      <c r="BT158" t="str">
        <f t="shared" si="49"/>
        <v>big4_Freight</v>
      </c>
      <c r="BU158" t="str">
        <f t="shared" si="50"/>
        <v>steam_RAIL</v>
      </c>
      <c r="BV158" t="str">
        <f>VLOOKUP($BU158, Constants!$M:$N, 2, FALSE)</f>
        <v>{BLACK}Powered by: {GOLD}Steam</v>
      </c>
      <c r="BW158" t="str">
        <f t="shared" si="51"/>
        <v/>
      </c>
      <c r="BX158" t="s">
        <v>506</v>
      </c>
      <c r="BY158" t="str">
        <f t="shared" si="52"/>
        <v/>
      </c>
      <c r="BZ158" t="str">
        <f t="shared" si="53"/>
        <v>{BLACK}Powered by: {GOLD}Steam {}{SILVER}Robert Riddles adapted the LMS 8F for low cost and simple construction, resulting in this "austerity" freight locomotive.</v>
      </c>
    </row>
    <row r="159" spans="1:78" x14ac:dyDescent="0.25">
      <c r="A159" t="s">
        <v>512</v>
      </c>
      <c r="B159" t="s">
        <v>263</v>
      </c>
      <c r="C159">
        <v>264</v>
      </c>
      <c r="D159" t="s">
        <v>289</v>
      </c>
      <c r="E159" t="s">
        <v>298</v>
      </c>
      <c r="F159" t="s">
        <v>301</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448</v>
      </c>
      <c r="AI159" t="str">
        <f>CONCATENATE(VLOOKUP(AG159,Constants!$A$2:$C$16,IF(AH159&lt;&gt;"", 3, 2), FALSE),IF(AH159&lt;&gt;"",CONCATENATE(",",VLOOKUP(AH159,$B:$AI,34,FALSE)),""))</f>
        <v>2,3,2,2,1,2</v>
      </c>
      <c r="AP159" t="s">
        <v>459</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354</v>
      </c>
      <c r="BT159" t="str">
        <f t="shared" si="49"/>
        <v>big4_Mixed Traffic</v>
      </c>
      <c r="BU159" t="str">
        <f t="shared" si="50"/>
        <v>steam_RAIL</v>
      </c>
      <c r="BV159" t="str">
        <f>VLOOKUP($BU159, Constants!$M:$N, 2, FALSE)</f>
        <v>{BLACK}Powered by: {GOLD}Steam</v>
      </c>
      <c r="BW159" t="str">
        <f t="shared" si="51"/>
        <v/>
      </c>
      <c r="BX159" t="s">
        <v>511</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513</v>
      </c>
      <c r="B160" t="s">
        <v>514</v>
      </c>
      <c r="C160">
        <v>266</v>
      </c>
      <c r="D160" t="s">
        <v>289</v>
      </c>
      <c r="E160" t="s">
        <v>298</v>
      </c>
      <c r="F160" t="s">
        <v>301</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448</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355</v>
      </c>
      <c r="BT160" t="str">
        <f t="shared" si="49"/>
        <v>big4_Express</v>
      </c>
      <c r="BU160" t="str">
        <f t="shared" si="50"/>
        <v>steam_RAIL</v>
      </c>
      <c r="BV160" t="str">
        <f>VLOOKUP($BU160, Constants!$M:$N, 2, FALSE)</f>
        <v>{BLACK}Powered by: {GOLD}Steam</v>
      </c>
      <c r="BW160" t="str">
        <f t="shared" si="51"/>
        <v/>
      </c>
      <c r="BX160" t="s">
        <v>515</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517</v>
      </c>
      <c r="C161">
        <v>268</v>
      </c>
      <c r="D161" t="s">
        <v>289</v>
      </c>
      <c r="E161" t="s">
        <v>298</v>
      </c>
      <c r="F161" t="s">
        <v>301</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496</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354</v>
      </c>
      <c r="BT161" t="str">
        <f t="shared" si="49"/>
        <v>big4_Mixed Traffic</v>
      </c>
      <c r="BU161" t="str">
        <f t="shared" si="50"/>
        <v>steam_RAIL</v>
      </c>
      <c r="BV161" t="str">
        <f>VLOOKUP($BU161, Constants!$M:$N, 2, FALSE)</f>
        <v>{BLACK}Powered by: {GOLD}Steam</v>
      </c>
      <c r="BW161" t="str">
        <f t="shared" si="51"/>
        <v/>
      </c>
      <c r="BX161" t="s">
        <v>516</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519</v>
      </c>
      <c r="C162">
        <v>270</v>
      </c>
      <c r="D162" t="s">
        <v>289</v>
      </c>
      <c r="E162" t="s">
        <v>298</v>
      </c>
      <c r="F162" t="s">
        <v>301</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354</v>
      </c>
      <c r="BT162" t="str">
        <f t="shared" si="49"/>
        <v>big4_Mixed Traffic</v>
      </c>
      <c r="BU162" t="str">
        <f t="shared" si="50"/>
        <v>steam_RAIL</v>
      </c>
      <c r="BV162" t="str">
        <f>VLOOKUP($BU162, Constants!$M:$N, 2, FALSE)</f>
        <v>{BLACK}Powered by: {GOLD}Steam</v>
      </c>
      <c r="BW162" t="str">
        <f t="shared" si="51"/>
        <v/>
      </c>
      <c r="BX162" t="s">
        <v>518</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520</v>
      </c>
      <c r="B163" t="s">
        <v>521</v>
      </c>
      <c r="C163">
        <v>272</v>
      </c>
      <c r="D163" t="s">
        <v>289</v>
      </c>
      <c r="E163" t="s">
        <v>298</v>
      </c>
      <c r="F163" t="s">
        <v>301</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522</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353</v>
      </c>
      <c r="BT163" t="str">
        <f t="shared" si="49"/>
        <v>big4_Cheap</v>
      </c>
      <c r="BU163" t="str">
        <f t="shared" si="50"/>
        <v>steam_RAIL</v>
      </c>
      <c r="BV163" t="str">
        <f>VLOOKUP($BU163, Constants!$M:$N, 2, FALSE)</f>
        <v>{BLACK}Powered by: {GOLD}Steam</v>
      </c>
      <c r="BW163" t="str">
        <f t="shared" si="51"/>
        <v/>
      </c>
      <c r="BX163" t="s">
        <v>524</v>
      </c>
      <c r="BY163" t="str">
        <f t="shared" si="56"/>
        <v/>
      </c>
      <c r="BZ163" t="str">
        <f t="shared" si="53"/>
        <v>{BLACK}Powered by: {GOLD}Steam {}{SILVER}The Ivatt Class 2 is a light, low-powered Mogul designed to replace the LMS fleet of 0-6-0 engines.</v>
      </c>
    </row>
    <row r="164" spans="1:78" x14ac:dyDescent="0.25">
      <c r="A164" t="s">
        <v>62</v>
      </c>
      <c r="B164" t="s">
        <v>181</v>
      </c>
      <c r="C164">
        <v>274</v>
      </c>
      <c r="D164" t="s">
        <v>289</v>
      </c>
      <c r="E164" t="s">
        <v>299</v>
      </c>
      <c r="F164" t="s">
        <v>301</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354</v>
      </c>
      <c r="BT164" t="str">
        <f t="shared" si="49"/>
        <v>big4_Mixed Traffic</v>
      </c>
      <c r="BU164" t="str">
        <f t="shared" si="50"/>
        <v>diesel_RAIL</v>
      </c>
      <c r="BV164" t="str">
        <f>VLOOKUP($BU164, Constants!$M:$N, 2, FALSE)</f>
        <v>{BLACK}Powered by: {GOLD}Diesel</v>
      </c>
      <c r="BW164" t="str">
        <f t="shared" si="51"/>
        <v/>
      </c>
      <c r="BX164" t="s">
        <v>525</v>
      </c>
      <c r="BY164" t="str">
        <f t="shared" si="56"/>
        <v/>
      </c>
      <c r="BZ164" t="str">
        <f t="shared" si="53"/>
        <v>{BLACK}Powered by: {GOLD}Diesel {}{SILVER}The EE 10000 is the first mainline diesel locomotive built in the UK. Two were built for the LMS.</v>
      </c>
    </row>
    <row r="165" spans="1:78" x14ac:dyDescent="0.25">
      <c r="A165" t="s">
        <v>19</v>
      </c>
      <c r="B165" t="s">
        <v>527</v>
      </c>
      <c r="C165">
        <v>276</v>
      </c>
      <c r="D165" t="s">
        <v>289</v>
      </c>
      <c r="E165" t="s">
        <v>298</v>
      </c>
      <c r="F165" t="s">
        <v>301</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463</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355</v>
      </c>
      <c r="BT165" t="str">
        <f t="shared" si="49"/>
        <v>ebr_Express</v>
      </c>
      <c r="BU165" t="str">
        <f t="shared" si="50"/>
        <v>steam_RAIL</v>
      </c>
      <c r="BV165" t="str">
        <f>VLOOKUP($BU165, Constants!$M:$N, 2, FALSE)</f>
        <v>{BLACK}Powered by: {GOLD}Steam</v>
      </c>
      <c r="BW165" t="str">
        <f t="shared" si="51"/>
        <v/>
      </c>
      <c r="BX165" t="s">
        <v>526</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274</v>
      </c>
      <c r="C166">
        <v>278</v>
      </c>
      <c r="D166" t="s">
        <v>289</v>
      </c>
      <c r="E166" t="s">
        <v>323</v>
      </c>
      <c r="F166" t="s">
        <v>324</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366</v>
      </c>
      <c r="BT166" t="str">
        <f t="shared" si="49"/>
        <v>ebr_Freight (Electric)</v>
      </c>
      <c r="BU166" t="str">
        <f t="shared" si="50"/>
        <v>electric_ELRL</v>
      </c>
      <c r="BV166" t="str">
        <f>VLOOKUP($BU166, Constants!$M:$N, 2, FALSE)</f>
        <v>{BLACK}Powered by: {GOLD}25kV AC</v>
      </c>
      <c r="BW166" t="str">
        <f t="shared" si="51"/>
        <v/>
      </c>
      <c r="BX166" t="s">
        <v>382</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536</v>
      </c>
      <c r="B167" t="s">
        <v>530</v>
      </c>
      <c r="C167">
        <v>280</v>
      </c>
      <c r="D167" t="s">
        <v>289</v>
      </c>
      <c r="E167" t="s">
        <v>298</v>
      </c>
      <c r="F167" t="s">
        <v>301</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468</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354</v>
      </c>
      <c r="BT167" t="str">
        <f t="shared" si="49"/>
        <v>ebr_Mixed Traffic</v>
      </c>
      <c r="BU167" t="str">
        <f t="shared" si="50"/>
        <v>steam_RAIL</v>
      </c>
      <c r="BV167" t="str">
        <f>VLOOKUP($BU167, Constants!$M:$N, 2, FALSE)</f>
        <v>{BLACK}Powered by: {GOLD}Steam</v>
      </c>
      <c r="BW167" t="str">
        <f t="shared" si="51"/>
        <v/>
      </c>
      <c r="BX167" t="s">
        <v>534</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537</v>
      </c>
      <c r="B168" t="s">
        <v>531</v>
      </c>
      <c r="C168">
        <v>282</v>
      </c>
      <c r="D168" t="s">
        <v>289</v>
      </c>
      <c r="E168" t="s">
        <v>298</v>
      </c>
      <c r="F168" t="s">
        <v>301</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468</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354</v>
      </c>
      <c r="BT168" t="str">
        <f t="shared" si="49"/>
        <v>ebr_Mixed Traffic</v>
      </c>
      <c r="BU168" t="str">
        <f t="shared" si="50"/>
        <v>steam_RAIL</v>
      </c>
      <c r="BV168" t="str">
        <f>VLOOKUP($BU168, Constants!$M:$N, 2, FALSE)</f>
        <v>{BLACK}Powered by: {GOLD}Steam</v>
      </c>
      <c r="BW168" t="str">
        <f t="shared" si="51"/>
        <v/>
      </c>
      <c r="BX168" t="s">
        <v>533</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182</v>
      </c>
      <c r="C169">
        <v>284</v>
      </c>
      <c r="D169" t="s">
        <v>289</v>
      </c>
      <c r="E169" t="s">
        <v>299</v>
      </c>
      <c r="F169" t="s">
        <v>301</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353</v>
      </c>
      <c r="BT169" t="str">
        <f t="shared" si="49"/>
        <v>ebr_Cheap</v>
      </c>
      <c r="BU169" t="str">
        <f t="shared" si="50"/>
        <v>diesel_RAIL</v>
      </c>
      <c r="BV169" t="str">
        <f>VLOOKUP($BU169, Constants!$M:$N, 2, FALSE)</f>
        <v>{BLACK}Powered by: {GOLD}Diesel</v>
      </c>
      <c r="BW169" t="str">
        <f t="shared" si="51"/>
        <v/>
      </c>
      <c r="BX169" t="s">
        <v>383</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275</v>
      </c>
      <c r="C170">
        <v>286</v>
      </c>
      <c r="D170" t="s">
        <v>289</v>
      </c>
      <c r="E170" t="s">
        <v>323</v>
      </c>
      <c r="F170" t="s">
        <v>324</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365</v>
      </c>
      <c r="BT170" t="str">
        <f t="shared" si="49"/>
        <v>ebr_Express (Electric)</v>
      </c>
      <c r="BU170" t="str">
        <f t="shared" si="50"/>
        <v>electric_ELRL</v>
      </c>
      <c r="BV170" t="str">
        <f>VLOOKUP($BU170, Constants!$M:$N, 2, FALSE)</f>
        <v>{BLACK}Powered by: {GOLD}25kV AC</v>
      </c>
      <c r="BW170" t="str">
        <f t="shared" si="51"/>
        <v/>
      </c>
      <c r="BX170" t="s">
        <v>535</v>
      </c>
      <c r="BY170" t="str">
        <f t="shared" si="56"/>
        <v/>
      </c>
      <c r="BZ170" t="str">
        <f t="shared" si="53"/>
        <v>{BLACK}Powered by: {GOLD}25kV AC {}{SILVER}The Class 77  is a larger version of the earlier Class 76, designed to haul passenger services on the Woodhead Line.</v>
      </c>
    </row>
    <row r="171" spans="1:78" x14ac:dyDescent="0.25">
      <c r="A171" t="s">
        <v>529</v>
      </c>
      <c r="B171" t="s">
        <v>532</v>
      </c>
      <c r="C171">
        <v>288</v>
      </c>
      <c r="D171" t="s">
        <v>289</v>
      </c>
      <c r="E171" t="s">
        <v>298</v>
      </c>
      <c r="F171" t="s">
        <v>301</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468</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356</v>
      </c>
      <c r="BT171" t="str">
        <f t="shared" si="49"/>
        <v>ebr_Freight</v>
      </c>
      <c r="BU171" t="str">
        <f t="shared" si="50"/>
        <v>steam_RAIL</v>
      </c>
      <c r="BV171" t="str">
        <f>VLOOKUP($BU171, Constants!$M:$N, 2, FALSE)</f>
        <v>{BLACK}Powered by: {GOLD}Steam</v>
      </c>
      <c r="BW171" t="str">
        <f t="shared" si="51"/>
        <v/>
      </c>
      <c r="BX171" t="s">
        <v>538</v>
      </c>
      <c r="BY171" t="str">
        <f t="shared" si="56"/>
        <v/>
      </c>
      <c r="BZ171" t="str">
        <f t="shared" si="53"/>
        <v>{BLACK}Powered by: {GOLD}Steam {}{SILVER}The 9F class included the last steam locomotive ever to be built by British Railways, "Evening Star"</v>
      </c>
    </row>
    <row r="172" spans="1:78" x14ac:dyDescent="0.25">
      <c r="A172" t="s">
        <v>42</v>
      </c>
      <c r="B172" t="s">
        <v>294</v>
      </c>
      <c r="C172">
        <v>290</v>
      </c>
      <c r="D172" t="s">
        <v>289</v>
      </c>
      <c r="E172" t="s">
        <v>299</v>
      </c>
      <c r="F172" t="s">
        <v>301</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355</v>
      </c>
      <c r="BT172" t="str">
        <f t="shared" si="49"/>
        <v>dsl_Express</v>
      </c>
      <c r="BU172" t="str">
        <f t="shared" si="50"/>
        <v>diesel_RAIL</v>
      </c>
      <c r="BV172" t="str">
        <f>VLOOKUP($BU172, Constants!$M:$N, 2, FALSE)</f>
        <v>{BLACK}Powered by: {GOLD}Diesel</v>
      </c>
      <c r="BW172" t="str">
        <f t="shared" si="51"/>
        <v/>
      </c>
      <c r="BX172" t="s">
        <v>539</v>
      </c>
      <c r="BY172" t="str">
        <f t="shared" si="56"/>
        <v/>
      </c>
      <c r="BZ172" t="str">
        <f t="shared" si="53"/>
        <v>{BLACK}Powered by: {GOLD}Diesel {}{SILVER}The Class 55 uses two Napier Deltic marine engines to create a high speed express diesel locomotive.</v>
      </c>
    </row>
    <row r="173" spans="1:78" x14ac:dyDescent="0.25">
      <c r="A173" t="s">
        <v>75</v>
      </c>
      <c r="B173" t="s">
        <v>259</v>
      </c>
      <c r="C173">
        <v>292</v>
      </c>
      <c r="D173" t="s">
        <v>431</v>
      </c>
      <c r="E173" t="s">
        <v>299</v>
      </c>
      <c r="F173" t="s">
        <v>301</v>
      </c>
      <c r="G173">
        <v>1956</v>
      </c>
      <c r="H173">
        <v>1960</v>
      </c>
      <c r="I173">
        <v>2003</v>
      </c>
      <c r="J173">
        <v>2</v>
      </c>
      <c r="K173">
        <v>600</v>
      </c>
      <c r="T173">
        <f>32.5+25</f>
        <v>57.5</v>
      </c>
      <c r="V173">
        <f>J173*8</f>
        <v>16</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541</v>
      </c>
      <c r="AO173" t="s">
        <v>494</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310</v>
      </c>
      <c r="BR173" t="str">
        <f>VLOOKUP(G173,Eras!$A$2:$C$10, 2, TRUE)</f>
        <v>dsl</v>
      </c>
      <c r="BS173" t="s">
        <v>358</v>
      </c>
      <c r="BT173" t="str">
        <f t="shared" si="49"/>
        <v>dsl_DMU</v>
      </c>
      <c r="BU173" t="str">
        <f t="shared" si="50"/>
        <v>diesel_RAIL</v>
      </c>
      <c r="BV173" t="str">
        <f>VLOOKUP($BU173, Constants!$M:$N, 2, FALSE)</f>
        <v>{BLACK}Powered by: {GOLD}Diesel</v>
      </c>
      <c r="BW173" t="str">
        <f t="shared" si="51"/>
        <v>{BLACK}Cars: {GOLD}2</v>
      </c>
      <c r="BX173" t="s">
        <v>540</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543</v>
      </c>
      <c r="B174" t="s">
        <v>183</v>
      </c>
      <c r="C174">
        <v>294</v>
      </c>
      <c r="D174" t="s">
        <v>289</v>
      </c>
      <c r="E174" t="s">
        <v>299</v>
      </c>
      <c r="F174" t="s">
        <v>301</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356</v>
      </c>
      <c r="BT174" t="str">
        <f t="shared" si="49"/>
        <v>dsl_Freight</v>
      </c>
      <c r="BU174" t="str">
        <f t="shared" si="50"/>
        <v>diesel_RAIL</v>
      </c>
      <c r="BV174" t="str">
        <f>VLOOKUP($BU174, Constants!$M:$N, 2, FALSE)</f>
        <v>{BLACK}Powered by: {GOLD}Diesel</v>
      </c>
      <c r="BW174" t="str">
        <f t="shared" si="51"/>
        <v/>
      </c>
      <c r="BX174" t="s">
        <v>1455</v>
      </c>
      <c r="BY174" t="str">
        <f t="shared" si="56"/>
        <v/>
      </c>
      <c r="BZ174" t="str">
        <f t="shared" si="53"/>
        <v>{BLACK}Powered by: {GOLD}Diesel {}{SILVER}The Class 31 (Brush Type 2) was part of BR's pilot scheme to test replacing steam locomotives with diesel traction. It had many nicknames including "Ped", "Gargoyle" and "Gurgler"</v>
      </c>
    </row>
    <row r="175" spans="1:78" x14ac:dyDescent="0.25">
      <c r="A175" t="s">
        <v>50</v>
      </c>
      <c r="B175" t="s">
        <v>292</v>
      </c>
      <c r="C175">
        <v>296</v>
      </c>
      <c r="D175" t="s">
        <v>289</v>
      </c>
      <c r="E175" t="s">
        <v>299</v>
      </c>
      <c r="F175" t="s">
        <v>301</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354</v>
      </c>
      <c r="BT175" t="str">
        <f t="shared" si="49"/>
        <v>dsl_Mixed Traffic</v>
      </c>
      <c r="BU175" t="str">
        <f t="shared" si="50"/>
        <v>diesel_RAIL</v>
      </c>
      <c r="BV175" t="str">
        <f>VLOOKUP($BU175, Constants!$M:$N, 2, FALSE)</f>
        <v>{BLACK}Powered by: {GOLD}Diesel</v>
      </c>
      <c r="BW175" t="str">
        <f t="shared" si="51"/>
        <v/>
      </c>
      <c r="BX175" t="s">
        <v>384</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184</v>
      </c>
      <c r="C176">
        <v>298</v>
      </c>
      <c r="D176" t="s">
        <v>289</v>
      </c>
      <c r="E176" t="s">
        <v>299</v>
      </c>
      <c r="F176" t="s">
        <v>301</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666</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355</v>
      </c>
      <c r="BT176" t="str">
        <f t="shared" si="49"/>
        <v>dsl_Express</v>
      </c>
      <c r="BU176" t="str">
        <f t="shared" si="50"/>
        <v>diesel_RAIL</v>
      </c>
      <c r="BV176" t="str">
        <f>VLOOKUP($BU176, Constants!$M:$N, 2, FALSE)</f>
        <v>{BLACK}Powered by: {GOLD}Diesel</v>
      </c>
      <c r="BW176" t="str">
        <f t="shared" si="51"/>
        <v/>
      </c>
      <c r="BX176" t="s">
        <v>542</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185</v>
      </c>
      <c r="C177">
        <v>300</v>
      </c>
      <c r="D177" t="s">
        <v>289</v>
      </c>
      <c r="E177" t="s">
        <v>299</v>
      </c>
      <c r="F177" t="s">
        <v>301</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404</v>
      </c>
      <c r="BT177" t="str">
        <f t="shared" si="49"/>
        <v>dsl_Passenger</v>
      </c>
      <c r="BU177" t="str">
        <f t="shared" si="50"/>
        <v>diesel_RAIL</v>
      </c>
      <c r="BV177" t="str">
        <f>VLOOKUP($BU177, Constants!$M:$N, 2, FALSE)</f>
        <v>{BLACK}Powered by: {GOLD}Diesel</v>
      </c>
      <c r="BW177" t="str">
        <f t="shared" si="51"/>
        <v/>
      </c>
      <c r="BX177" t="s">
        <v>544</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546</v>
      </c>
      <c r="C178">
        <v>302</v>
      </c>
      <c r="D178" t="s">
        <v>289</v>
      </c>
      <c r="E178" t="s">
        <v>299</v>
      </c>
      <c r="F178" t="s">
        <v>301</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355</v>
      </c>
      <c r="BT178" t="str">
        <f t="shared" si="49"/>
        <v>dsl_Express</v>
      </c>
      <c r="BU178" t="str">
        <f t="shared" si="50"/>
        <v>diesel_RAIL</v>
      </c>
      <c r="BV178" t="str">
        <f>VLOOKUP($BU178, Constants!$M:$N, 2, FALSE)</f>
        <v>{BLACK}Powered by: {GOLD}Diesel</v>
      </c>
      <c r="BW178" t="str">
        <f t="shared" si="51"/>
        <v/>
      </c>
      <c r="BX178" t="s">
        <v>545</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325</v>
      </c>
      <c r="C179">
        <v>304</v>
      </c>
      <c r="D179" t="s">
        <v>289</v>
      </c>
      <c r="E179" t="s">
        <v>299</v>
      </c>
      <c r="F179" t="s">
        <v>301</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354</v>
      </c>
      <c r="BT179" t="str">
        <f t="shared" si="49"/>
        <v>dsl_Mixed Traffic</v>
      </c>
      <c r="BU179" t="str">
        <f t="shared" si="50"/>
        <v>diesel_RAIL</v>
      </c>
      <c r="BV179" t="str">
        <f>VLOOKUP($BU179, Constants!$M:$N, 2, FALSE)</f>
        <v>{BLACK}Powered by: {GOLD}Diesel</v>
      </c>
      <c r="BW179" t="str">
        <f t="shared" si="51"/>
        <v/>
      </c>
      <c r="BX179" t="s">
        <v>385</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240</v>
      </c>
      <c r="C180">
        <v>306</v>
      </c>
      <c r="D180" t="s">
        <v>289</v>
      </c>
      <c r="E180" t="s">
        <v>323</v>
      </c>
      <c r="F180" t="s">
        <v>330</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364</v>
      </c>
      <c r="BT180" t="str">
        <f t="shared" si="49"/>
        <v>dsl_MT (Electric)</v>
      </c>
      <c r="BU180" t="str">
        <f t="shared" si="50"/>
        <v>electric_THIRD_RAIL</v>
      </c>
      <c r="BV180" t="str">
        <f>VLOOKUP($BU180, Constants!$M:$N, 2, FALSE)</f>
        <v>{BLACK}Powered by: {GOLD}750V DC</v>
      </c>
      <c r="BW180" t="str">
        <f t="shared" si="51"/>
        <v/>
      </c>
      <c r="BX180" t="s">
        <v>386</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562</v>
      </c>
      <c r="B181" t="s">
        <v>564</v>
      </c>
      <c r="C181">
        <v>308</v>
      </c>
      <c r="D181" t="s">
        <v>289</v>
      </c>
      <c r="E181" t="s">
        <v>299</v>
      </c>
      <c r="F181" t="s">
        <v>301</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354</v>
      </c>
      <c r="BT181" t="str">
        <f t="shared" si="49"/>
        <v>dsl_Mixed Traffic</v>
      </c>
      <c r="BU181" t="str">
        <f t="shared" si="50"/>
        <v>diesel_RAIL</v>
      </c>
      <c r="BV181" t="str">
        <f>VLOOKUP($BU181, Constants!$M:$N, 2, FALSE)</f>
        <v>{BLACK}Powered by: {GOLD}Diesel</v>
      </c>
      <c r="BW181" t="str">
        <f t="shared" si="51"/>
        <v/>
      </c>
      <c r="BX181" t="s">
        <v>563</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293</v>
      </c>
      <c r="C182">
        <v>310</v>
      </c>
      <c r="D182" t="s">
        <v>289</v>
      </c>
      <c r="E182" t="s">
        <v>299</v>
      </c>
      <c r="F182" t="s">
        <v>301</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354</v>
      </c>
      <c r="BT182" t="str">
        <f t="shared" si="49"/>
        <v>dsl_Mixed Traffic</v>
      </c>
      <c r="BU182" t="str">
        <f t="shared" si="50"/>
        <v>diesel_RAIL</v>
      </c>
      <c r="BV182" t="str">
        <f>VLOOKUP($BU182, Constants!$M:$N, 2, FALSE)</f>
        <v>{BLACK}Powered by: {GOLD}Diesel</v>
      </c>
      <c r="BW182" t="str">
        <f t="shared" si="51"/>
        <v/>
      </c>
      <c r="BX182" t="s">
        <v>394</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241</v>
      </c>
      <c r="C183">
        <v>312</v>
      </c>
      <c r="D183" t="s">
        <v>289</v>
      </c>
      <c r="E183" t="s">
        <v>323</v>
      </c>
      <c r="F183" t="s">
        <v>324</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365</v>
      </c>
      <c r="BT183" t="str">
        <f t="shared" si="49"/>
        <v>dsl_Express (Electric)</v>
      </c>
      <c r="BU183" t="str">
        <f t="shared" si="50"/>
        <v>electric_ELRL</v>
      </c>
      <c r="BV183" t="str">
        <f>VLOOKUP($BU183, Constants!$M:$N, 2, FALSE)</f>
        <v>{BLACK}Powered by: {GOLD}25kV AC</v>
      </c>
      <c r="BW183" t="str">
        <f t="shared" si="51"/>
        <v/>
      </c>
      <c r="BX183" t="s">
        <v>547</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288</v>
      </c>
      <c r="C184">
        <v>314</v>
      </c>
      <c r="D184" t="s">
        <v>289</v>
      </c>
      <c r="E184" t="s">
        <v>299</v>
      </c>
      <c r="F184" t="s">
        <v>301</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356</v>
      </c>
      <c r="BT184" t="str">
        <f t="shared" si="49"/>
        <v>dsl_Freight</v>
      </c>
      <c r="BU184" t="str">
        <f t="shared" si="50"/>
        <v>diesel_RAIL</v>
      </c>
      <c r="BV184" t="str">
        <f>VLOOKUP($BU184, Constants!$M:$N, 2, FALSE)</f>
        <v>{BLACK}Powered by: {GOLD}Diesel</v>
      </c>
      <c r="BW184" t="str">
        <f t="shared" si="51"/>
        <v/>
      </c>
      <c r="BX184" t="s">
        <v>387</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552</v>
      </c>
      <c r="C185">
        <v>316</v>
      </c>
      <c r="D185" t="s">
        <v>289</v>
      </c>
      <c r="E185" t="s">
        <v>299</v>
      </c>
      <c r="F185" t="s">
        <v>301</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355</v>
      </c>
      <c r="BT185" t="str">
        <f t="shared" si="49"/>
        <v>dsl_Express</v>
      </c>
      <c r="BU185" t="str">
        <f t="shared" si="50"/>
        <v>diesel_RAIL</v>
      </c>
      <c r="BV185" t="str">
        <f>VLOOKUP($BU185, Constants!$M:$N, 2, FALSE)</f>
        <v>{BLACK}Powered by: {GOLD}Diesel</v>
      </c>
      <c r="BW185" t="str">
        <f t="shared" si="51"/>
        <v/>
      </c>
      <c r="BX185" t="s">
        <v>551</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554</v>
      </c>
      <c r="C186">
        <v>318</v>
      </c>
      <c r="D186" t="s">
        <v>289</v>
      </c>
      <c r="E186" t="s">
        <v>299</v>
      </c>
      <c r="F186" t="s">
        <v>301</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354</v>
      </c>
      <c r="BT186" t="str">
        <f t="shared" si="49"/>
        <v>dsl_Mixed Traffic</v>
      </c>
      <c r="BU186" t="str">
        <f t="shared" si="50"/>
        <v>diesel_RAIL</v>
      </c>
      <c r="BV186" t="str">
        <f>VLOOKUP($BU186, Constants!$M:$N, 2, FALSE)</f>
        <v>{BLACK}Powered by: {GOLD}Diesel</v>
      </c>
      <c r="BW186" t="str">
        <f t="shared" si="51"/>
        <v/>
      </c>
      <c r="BX186" t="s">
        <v>553</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186</v>
      </c>
      <c r="C187">
        <v>320</v>
      </c>
      <c r="D187" t="s">
        <v>289</v>
      </c>
      <c r="E187" t="s">
        <v>299</v>
      </c>
      <c r="F187" t="s">
        <v>301</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354</v>
      </c>
      <c r="BT187" t="str">
        <f t="shared" si="49"/>
        <v>dsl_Mixed Traffic</v>
      </c>
      <c r="BU187" t="str">
        <f t="shared" si="50"/>
        <v>diesel_RAIL</v>
      </c>
      <c r="BV187" t="str">
        <f>VLOOKUP($BU187, Constants!$M:$N, 2, FALSE)</f>
        <v>{BLACK}Powered by: {GOLD}Diesel</v>
      </c>
      <c r="BW187" t="str">
        <f t="shared" si="51"/>
        <v/>
      </c>
      <c r="BX187" t="s">
        <v>559</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187</v>
      </c>
      <c r="C188">
        <v>322</v>
      </c>
      <c r="D188" t="s">
        <v>289</v>
      </c>
      <c r="E188" t="s">
        <v>299</v>
      </c>
      <c r="F188" t="s">
        <v>301</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354</v>
      </c>
      <c r="BT188" t="str">
        <f t="shared" si="49"/>
        <v>dsl_Mixed Traffic</v>
      </c>
      <c r="BU188" t="str">
        <f t="shared" si="50"/>
        <v>diesel_RAIL</v>
      </c>
      <c r="BV188" t="str">
        <f>VLOOKUP($BU188, Constants!$M:$N, 2, FALSE)</f>
        <v>{BLACK}Powered by: {GOLD}Diesel</v>
      </c>
      <c r="BW188" t="str">
        <f t="shared" si="51"/>
        <v/>
      </c>
      <c r="BX188" t="s">
        <v>560</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332</v>
      </c>
      <c r="C189">
        <v>324</v>
      </c>
      <c r="D189" t="s">
        <v>289</v>
      </c>
      <c r="E189" t="s">
        <v>299</v>
      </c>
      <c r="F189" t="s">
        <v>301</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356</v>
      </c>
      <c r="BT189" t="str">
        <f t="shared" si="49"/>
        <v>dsl_Freight</v>
      </c>
      <c r="BU189" t="str">
        <f t="shared" si="50"/>
        <v>diesel_RAIL</v>
      </c>
      <c r="BV189" t="str">
        <f>VLOOKUP($BU189, Constants!$M:$N, 2, FALSE)</f>
        <v>{BLACK}Powered by: {GOLD}Diesel</v>
      </c>
      <c r="BW189" t="str">
        <f t="shared" si="51"/>
        <v/>
      </c>
      <c r="BX189" t="s">
        <v>561</v>
      </c>
      <c r="BY189" t="str">
        <f t="shared" si="56"/>
        <v/>
      </c>
      <c r="BZ189" t="str">
        <f t="shared" si="53"/>
        <v>{BLACK}Powered by: {GOLD}Diesel {}{SILVER}The Class 25 locomotives became known as "Rats" because they were found all over the British Rail network.</v>
      </c>
    </row>
    <row r="190" spans="1:78" x14ac:dyDescent="0.25">
      <c r="A190" t="s">
        <v>566</v>
      </c>
      <c r="B190" t="s">
        <v>188</v>
      </c>
      <c r="C190">
        <v>326</v>
      </c>
      <c r="D190" t="s">
        <v>289</v>
      </c>
      <c r="E190" t="s">
        <v>299</v>
      </c>
      <c r="F190" t="s">
        <v>301</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356</v>
      </c>
      <c r="BT190" t="str">
        <f t="shared" si="49"/>
        <v>dsl_Freight</v>
      </c>
      <c r="BU190" t="str">
        <f t="shared" si="50"/>
        <v>diesel_RAIL</v>
      </c>
      <c r="BV190" t="str">
        <f>VLOOKUP($BU190, Constants!$M:$N, 2, FALSE)</f>
        <v>{BLACK}Powered by: {GOLD}Diesel</v>
      </c>
      <c r="BW190" t="str">
        <f t="shared" si="51"/>
        <v/>
      </c>
      <c r="BX190" t="s">
        <v>565</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189</v>
      </c>
      <c r="C191">
        <v>328</v>
      </c>
      <c r="D191" t="s">
        <v>289</v>
      </c>
      <c r="E191" t="s">
        <v>299</v>
      </c>
      <c r="F191" t="s">
        <v>301</v>
      </c>
      <c r="G191">
        <v>1962</v>
      </c>
      <c r="H191">
        <v>1965</v>
      </c>
      <c r="I191">
        <v>1971</v>
      </c>
      <c r="K191">
        <v>900</v>
      </c>
      <c r="T191">
        <v>69</v>
      </c>
      <c r="W191">
        <v>178</v>
      </c>
      <c r="X191" s="4">
        <f t="shared" ref="X191:X254"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353</v>
      </c>
      <c r="BT191" t="str">
        <f t="shared" si="49"/>
        <v>dsl_Cheap</v>
      </c>
      <c r="BU191" t="str">
        <f t="shared" si="50"/>
        <v>diesel_RAIL</v>
      </c>
      <c r="BV191" t="str">
        <f>VLOOKUP($BU191, Constants!$M:$N, 2, FALSE)</f>
        <v>{BLACK}Powered by: {GOLD}Diesel</v>
      </c>
      <c r="BW191" t="str">
        <f t="shared" si="51"/>
        <v/>
      </c>
      <c r="BX191" t="s">
        <v>567</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568</v>
      </c>
      <c r="C192">
        <v>330</v>
      </c>
      <c r="D192" t="s">
        <v>289</v>
      </c>
      <c r="E192" t="s">
        <v>299</v>
      </c>
      <c r="F192" t="s">
        <v>301</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353</v>
      </c>
      <c r="BT192" t="str">
        <f t="shared" si="49"/>
        <v>dsl_Cheap</v>
      </c>
      <c r="BU192" t="str">
        <f t="shared" si="50"/>
        <v>diesel_RAIL</v>
      </c>
      <c r="BV192" t="str">
        <f>VLOOKUP($BU192, Constants!$M:$N, 2, FALSE)</f>
        <v>{BLACK}Powered by: {GOLD}Diesel</v>
      </c>
      <c r="BW192" t="str">
        <f t="shared" si="51"/>
        <v/>
      </c>
      <c r="BX192" t="s">
        <v>569</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276</v>
      </c>
      <c r="C193">
        <v>332</v>
      </c>
      <c r="D193" t="s">
        <v>289</v>
      </c>
      <c r="E193" t="s">
        <v>570</v>
      </c>
      <c r="F193" t="s">
        <v>301</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572</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277</v>
      </c>
      <c r="C194">
        <v>334</v>
      </c>
      <c r="D194" t="s">
        <v>289</v>
      </c>
      <c r="E194" t="s">
        <v>323</v>
      </c>
      <c r="F194" t="s">
        <v>324</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7" si="58">ROUND(15*((AB194*10)/256),0)</f>
        <v>10</v>
      </c>
      <c r="AI194" t="str">
        <f>CONCATENATE(VLOOKUP(AG194,Constants!$A$2:$C$16,IF(AH194&lt;&gt;"", 3, 2), FALSE),IF(AH194&lt;&gt;"",CONCATENATE(",",VLOOKUP(AH194,$B:$AI,34,FALSE)),""))</f>
        <v>4,2,4</v>
      </c>
      <c r="AS194">
        <v>37</v>
      </c>
      <c r="AT194" t="str">
        <f t="shared" ref="AT194:AT257" si="59">IF(I194&lt;&gt;"",MAX(8,(I194-G194)-4),"")</f>
        <v/>
      </c>
      <c r="AW194">
        <f t="shared" ref="AW194:AW257" si="60">MIN(Y194/150, 1)*30</f>
        <v>20</v>
      </c>
      <c r="AX194">
        <f t="shared" ref="AX194:AX257" si="61">MIN(K194/4000, 1)*20</f>
        <v>18</v>
      </c>
      <c r="AY194">
        <f t="shared" ref="AY194:AY257" si="62">MIN(W194/400,1)*20</f>
        <v>13.35</v>
      </c>
      <c r="AZ194" s="4">
        <f t="shared" ref="AZ194:AZ257" si="63">1-(MAX(G194-1900, 0)/750)</f>
        <v>0.91333333333333333</v>
      </c>
      <c r="BA194">
        <f t="shared" ref="BA194:BA257"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7" si="65">BD194*IF($D194="wagon",62.5,781.25)</f>
        <v>117187.5</v>
      </c>
      <c r="BG194" s="15">
        <f t="shared" ref="BG194:BG257" si="66">BE194*IF($D194="wagon",2.73,81.25)</f>
        <v>9181.25</v>
      </c>
      <c r="BN194">
        <v>11</v>
      </c>
      <c r="BR194" t="str">
        <f>VLOOKUP(G194,Eras!$A$2:$C$10, 2, TRUE)</f>
        <v>dsl</v>
      </c>
      <c r="BS194" t="s">
        <v>365</v>
      </c>
      <c r="BT194" t="str">
        <f t="shared" ref="BT194:BT257" si="67">CONCATENATE(BR194,"_",BS194)</f>
        <v>dsl_Express (Electric)</v>
      </c>
      <c r="BU194" t="str">
        <f t="shared" ref="BU194:BU257" si="68">_xlfn.CONCAT(E194, "_",F194)</f>
        <v>electric_ELRL</v>
      </c>
      <c r="BV194" t="str">
        <f>VLOOKUP($BU194, Constants!$M:$N, 2, FALSE)</f>
        <v>{BLACK}Powered by: {GOLD}25kV AC</v>
      </c>
      <c r="BW194" t="str">
        <f t="shared" ref="BW194:BW205" si="69">IF(J194&gt;1,_xlfn.CONCAT("{BLACK}Cars: {GOLD}", J194),"")</f>
        <v/>
      </c>
      <c r="BX194" t="s">
        <v>548</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7"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190</v>
      </c>
      <c r="C195">
        <v>336</v>
      </c>
      <c r="D195" t="s">
        <v>289</v>
      </c>
      <c r="E195" t="s">
        <v>299</v>
      </c>
      <c r="F195" t="s">
        <v>301</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355</v>
      </c>
      <c r="BT195" t="str">
        <f t="shared" si="67"/>
        <v>dsl_Express</v>
      </c>
      <c r="BU195" t="str">
        <f t="shared" si="68"/>
        <v>diesel_RAIL</v>
      </c>
      <c r="BV195" t="str">
        <f>VLOOKUP($BU195, Constants!$M:$N, 2, FALSE)</f>
        <v>{BLACK}Powered by: {GOLD}Diesel</v>
      </c>
      <c r="BW195" t="str">
        <f t="shared" si="69"/>
        <v/>
      </c>
      <c r="BX195" t="s">
        <v>573</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191</v>
      </c>
      <c r="C196">
        <v>338</v>
      </c>
      <c r="D196" t="s">
        <v>289</v>
      </c>
      <c r="E196" t="s">
        <v>323</v>
      </c>
      <c r="F196" t="s">
        <v>324</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365</v>
      </c>
      <c r="BT196" t="str">
        <f t="shared" si="67"/>
        <v>lbr_Express (Electric)</v>
      </c>
      <c r="BU196" t="str">
        <f t="shared" si="68"/>
        <v>electric_ELRL</v>
      </c>
      <c r="BV196" t="str">
        <f>VLOOKUP($BU196, Constants!$M:$N, 2, FALSE)</f>
        <v>{BLACK}Powered by: {GOLD}25kV AC</v>
      </c>
      <c r="BW196" t="str">
        <f t="shared" si="69"/>
        <v/>
      </c>
      <c r="BX196" t="s">
        <v>574</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333</v>
      </c>
      <c r="C197">
        <v>340</v>
      </c>
      <c r="D197" t="s">
        <v>289</v>
      </c>
      <c r="E197" t="s">
        <v>299</v>
      </c>
      <c r="F197" t="s">
        <v>301</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355</v>
      </c>
      <c r="BT197" t="str">
        <f t="shared" si="67"/>
        <v>lbr_Express</v>
      </c>
      <c r="BU197" t="str">
        <f t="shared" si="68"/>
        <v>diesel_RAIL</v>
      </c>
      <c r="BV197" t="str">
        <f>VLOOKUP($BU197, Constants!$M:$N, 2, FALSE)</f>
        <v>{BLACK}Powered by: {GOLD}Diesel</v>
      </c>
      <c r="BW197" t="str">
        <f t="shared" si="69"/>
        <v/>
      </c>
      <c r="BX197" t="s">
        <v>393</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575</v>
      </c>
      <c r="B198" t="s">
        <v>577</v>
      </c>
      <c r="C198">
        <v>342</v>
      </c>
      <c r="D198" t="s">
        <v>289</v>
      </c>
      <c r="E198" t="s">
        <v>299</v>
      </c>
      <c r="F198" t="s">
        <v>301</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356</v>
      </c>
      <c r="BT198" t="str">
        <f t="shared" si="67"/>
        <v>lbr_Freight</v>
      </c>
      <c r="BU198" t="str">
        <f t="shared" si="68"/>
        <v>diesel_RAIL</v>
      </c>
      <c r="BV198" t="str">
        <f>VLOOKUP($BU198, Constants!$M:$N, 2, FALSE)</f>
        <v>{BLACK}Powered by: {GOLD}Diesel</v>
      </c>
      <c r="BW198" t="str">
        <f t="shared" si="69"/>
        <v/>
      </c>
      <c r="BX198" t="s">
        <v>576</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588</v>
      </c>
      <c r="C199">
        <v>344</v>
      </c>
      <c r="D199" t="s">
        <v>289</v>
      </c>
      <c r="E199" t="s">
        <v>299</v>
      </c>
      <c r="F199" t="s">
        <v>301</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356</v>
      </c>
      <c r="BT199" t="str">
        <f t="shared" si="67"/>
        <v>lbr_Freight</v>
      </c>
      <c r="BU199" t="str">
        <f t="shared" si="68"/>
        <v>diesel_RAIL</v>
      </c>
      <c r="BV199" t="str">
        <f>VLOOKUP($BU199, Constants!$M:$N, 2, FALSE)</f>
        <v>{BLACK}Powered by: {GOLD}Diesel</v>
      </c>
      <c r="BW199" t="str">
        <f t="shared" si="69"/>
        <v/>
      </c>
      <c r="BX199" t="s">
        <v>587</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192</v>
      </c>
      <c r="C200">
        <v>346</v>
      </c>
      <c r="D200" t="s">
        <v>289</v>
      </c>
      <c r="E200" t="s">
        <v>299</v>
      </c>
      <c r="F200" t="s">
        <v>301</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356</v>
      </c>
      <c r="BT200" t="str">
        <f t="shared" si="67"/>
        <v>lbr_Freight</v>
      </c>
      <c r="BU200" t="str">
        <f t="shared" si="68"/>
        <v>diesel_RAIL</v>
      </c>
      <c r="BV200" t="str">
        <f>VLOOKUP($BU200, Constants!$M:$N, 2, FALSE)</f>
        <v>{BLACK}Powered by: {GOLD}Diesel</v>
      </c>
      <c r="BW200" t="str">
        <f t="shared" si="69"/>
        <v/>
      </c>
      <c r="BX200" t="s">
        <v>589</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1235</v>
      </c>
      <c r="B201" t="s">
        <v>1237</v>
      </c>
      <c r="C201">
        <v>347</v>
      </c>
      <c r="D201" t="s">
        <v>289</v>
      </c>
      <c r="E201" t="s">
        <v>323</v>
      </c>
      <c r="F201" t="s">
        <v>324</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355</v>
      </c>
      <c r="BT201" t="str">
        <f t="shared" si="67"/>
        <v>lbr_Express</v>
      </c>
      <c r="BU201" t="str">
        <f t="shared" si="68"/>
        <v>electric_ELRL</v>
      </c>
      <c r="BV201" t="str">
        <f>VLOOKUP($BU201, Constants!$M:$N, 2, FALSE)</f>
        <v>{BLACK}Powered by: {GOLD}25kV AC</v>
      </c>
      <c r="BW201" t="str">
        <f t="shared" si="69"/>
        <v/>
      </c>
      <c r="BX201" t="s">
        <v>1271</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193</v>
      </c>
      <c r="C202">
        <v>348</v>
      </c>
      <c r="D202" t="s">
        <v>289</v>
      </c>
      <c r="E202" t="s">
        <v>323</v>
      </c>
      <c r="F202" t="s">
        <v>324</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355</v>
      </c>
      <c r="BT202" t="str">
        <f t="shared" si="67"/>
        <v>lbr_Express</v>
      </c>
      <c r="BU202" t="str">
        <f t="shared" si="68"/>
        <v>electric_ELRL</v>
      </c>
      <c r="BV202" t="str">
        <f>VLOOKUP($BU202, Constants!$M:$N, 2, FALSE)</f>
        <v>{BLACK}Powered by: {GOLD}25kV AC</v>
      </c>
      <c r="BW202" t="str">
        <f t="shared" si="69"/>
        <v/>
      </c>
      <c r="BX202" t="s">
        <v>592</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598</v>
      </c>
      <c r="B203" t="s">
        <v>261</v>
      </c>
      <c r="C203">
        <v>350</v>
      </c>
      <c r="D203" t="s">
        <v>289</v>
      </c>
      <c r="E203" t="s">
        <v>323</v>
      </c>
      <c r="F203" t="s">
        <v>324</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365</v>
      </c>
      <c r="BT203" t="str">
        <f t="shared" si="67"/>
        <v>lbr_Express (Electric)</v>
      </c>
      <c r="BU203" t="str">
        <f t="shared" si="68"/>
        <v>electric_ELRL</v>
      </c>
      <c r="BV203" t="str">
        <f>VLOOKUP($BU203, Constants!$M:$N, 2, FALSE)</f>
        <v>{BLACK}Powered by: {GOLD}25kV AC</v>
      </c>
      <c r="BW203" t="str">
        <f t="shared" si="69"/>
        <v/>
      </c>
      <c r="BX203" t="s">
        <v>597</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599</v>
      </c>
      <c r="B204" t="s">
        <v>601</v>
      </c>
      <c r="C204">
        <v>352</v>
      </c>
      <c r="D204" t="s">
        <v>289</v>
      </c>
      <c r="E204" t="s">
        <v>323</v>
      </c>
      <c r="F204" t="s">
        <v>324</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365</v>
      </c>
      <c r="BT204" t="str">
        <f t="shared" si="67"/>
        <v>lbr_Express (Electric)</v>
      </c>
      <c r="BU204" t="str">
        <f t="shared" si="68"/>
        <v>electric_ELRL</v>
      </c>
      <c r="BV204" t="str">
        <f>VLOOKUP($BU204, Constants!$M:$N, 2, FALSE)</f>
        <v>{BLACK}Powered by: {GOLD}25kV AC</v>
      </c>
      <c r="BW204" t="str">
        <f t="shared" si="69"/>
        <v/>
      </c>
      <c r="BX204" t="s">
        <v>600</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641</v>
      </c>
      <c r="B205" t="s">
        <v>605</v>
      </c>
      <c r="C205">
        <v>354</v>
      </c>
      <c r="D205" t="s">
        <v>289</v>
      </c>
      <c r="E205" t="s">
        <v>299</v>
      </c>
      <c r="F205" t="s">
        <v>301</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356</v>
      </c>
      <c r="BT205" t="str">
        <f t="shared" si="67"/>
        <v>lbr_Freight</v>
      </c>
      <c r="BU205" t="str">
        <f t="shared" si="68"/>
        <v>diesel_RAIL</v>
      </c>
      <c r="BV205" t="str">
        <f>VLOOKUP($BU205, Constants!$M:$N, 2, FALSE)</f>
        <v>{BLACK}Powered by: {GOLD}Diesel</v>
      </c>
      <c r="BW205" t="str">
        <f t="shared" si="69"/>
        <v/>
      </c>
      <c r="BX205" t="s">
        <v>642</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1352</v>
      </c>
      <c r="B206" t="s">
        <v>1238</v>
      </c>
      <c r="C206">
        <v>355</v>
      </c>
      <c r="D206" t="s">
        <v>289</v>
      </c>
      <c r="E206" t="s">
        <v>299</v>
      </c>
      <c r="F206" t="s">
        <v>301</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353</v>
      </c>
      <c r="BT206" t="str">
        <f t="shared" si="67"/>
        <v>lbr_Cheap</v>
      </c>
      <c r="BU206" t="str">
        <f t="shared" si="68"/>
        <v>diesel_RAIL</v>
      </c>
      <c r="BV206" t="str">
        <f>VLOOKUP($BU206, Constants!$M:$N, 2, FALSE)</f>
        <v>{BLACK}Powered by: {GOLD}Diesel</v>
      </c>
      <c r="BX206" t="s">
        <v>1456</v>
      </c>
      <c r="BZ206"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78" x14ac:dyDescent="0.25">
      <c r="A207" t="s">
        <v>626</v>
      </c>
      <c r="B207" t="s">
        <v>194</v>
      </c>
      <c r="C207">
        <v>356</v>
      </c>
      <c r="D207" t="s">
        <v>289</v>
      </c>
      <c r="E207" t="s">
        <v>581</v>
      </c>
      <c r="F207" t="s">
        <v>580</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194</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356</v>
      </c>
      <c r="BT207" t="str">
        <f t="shared" si="67"/>
        <v>lbr_Freight</v>
      </c>
      <c r="BU207" t="str">
        <f t="shared" si="68"/>
        <v>dual_electric_DUAL_POWER</v>
      </c>
      <c r="BV207" t="str">
        <f>VLOOKUP($BU207, Constants!$M:$N, 2, FALSE)</f>
        <v>{BLACK}Powered by: {GOLD}25kV AC / 750V DC</v>
      </c>
      <c r="BW207" t="str">
        <f t="shared" ref="BW207:BW248" si="72">IF(J207&gt;1,_xlfn.CONCAT("{BLACK}Cars: {GOLD}", J207),"")</f>
        <v/>
      </c>
      <c r="BX207" t="s">
        <v>610</v>
      </c>
      <c r="BY207" t="str">
        <f t="shared" ref="BY207:BY248"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195</v>
      </c>
      <c r="C208">
        <v>358</v>
      </c>
      <c r="D208" t="s">
        <v>289</v>
      </c>
      <c r="E208" t="s">
        <v>299</v>
      </c>
      <c r="F208" t="s">
        <v>301</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356</v>
      </c>
      <c r="BT208" t="str">
        <f t="shared" si="67"/>
        <v>prv_Freight</v>
      </c>
      <c r="BU208" t="str">
        <f t="shared" si="68"/>
        <v>diesel_RAIL</v>
      </c>
      <c r="BV208" t="str">
        <f>VLOOKUP($BU208, Constants!$M:$N, 2, FALSE)</f>
        <v>{BLACK}Powered by: {GOLD}Diesel</v>
      </c>
      <c r="BW208" t="str">
        <f t="shared" si="72"/>
        <v/>
      </c>
      <c r="BX208" t="s">
        <v>590</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141</v>
      </c>
      <c r="B209" t="s">
        <v>260</v>
      </c>
      <c r="C209">
        <v>360</v>
      </c>
      <c r="D209" t="s">
        <v>289</v>
      </c>
      <c r="E209" t="s">
        <v>299</v>
      </c>
      <c r="F209" t="s">
        <v>301</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356</v>
      </c>
      <c r="BT209" t="str">
        <f t="shared" si="67"/>
        <v>prv_Freight</v>
      </c>
      <c r="BU209" t="str">
        <f t="shared" si="68"/>
        <v>diesel_RAIL</v>
      </c>
      <c r="BV209" t="str">
        <f>VLOOKUP($BU209, Constants!$M:$N, 2, FALSE)</f>
        <v>{BLACK}Powered by: {GOLD}Diesel</v>
      </c>
      <c r="BW209" t="str">
        <f t="shared" si="72"/>
        <v/>
      </c>
      <c r="BX209" t="s">
        <v>591</v>
      </c>
      <c r="BY209" t="str">
        <f t="shared" si="73"/>
        <v/>
      </c>
      <c r="BZ209" t="str">
        <f t="shared" si="71"/>
        <v>{BLACK}Powered by: {GOLD}Diesel {}{SILVER}The Class 57 is a re-engineered locomotive using Class 47 bodyshells and parts, giving rise to its "Bodysnatcher" nickname.</v>
      </c>
    </row>
    <row r="210" spans="1:78" x14ac:dyDescent="0.25">
      <c r="A210" t="s">
        <v>625</v>
      </c>
      <c r="B210" t="s">
        <v>609</v>
      </c>
      <c r="C210">
        <v>362</v>
      </c>
      <c r="D210" t="s">
        <v>289</v>
      </c>
      <c r="E210" t="s">
        <v>299</v>
      </c>
      <c r="F210" t="s">
        <v>301</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356</v>
      </c>
      <c r="BT210" t="str">
        <f t="shared" si="67"/>
        <v>prv_Freight</v>
      </c>
      <c r="BU210" t="str">
        <f t="shared" si="68"/>
        <v>diesel_RAIL</v>
      </c>
      <c r="BV210" t="str">
        <f>VLOOKUP($BU210, Constants!$M:$N, 2, FALSE)</f>
        <v>{BLACK}Powered by: {GOLD}Diesel</v>
      </c>
      <c r="BW210" t="str">
        <f t="shared" si="72"/>
        <v/>
      </c>
      <c r="BX210" t="s">
        <v>608</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196</v>
      </c>
      <c r="C211">
        <v>364</v>
      </c>
      <c r="D211" t="s">
        <v>289</v>
      </c>
      <c r="E211" t="s">
        <v>299</v>
      </c>
      <c r="F211" t="s">
        <v>301</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356</v>
      </c>
      <c r="BT211" t="str">
        <f t="shared" si="67"/>
        <v>mod_Freight</v>
      </c>
      <c r="BU211" t="str">
        <f t="shared" si="68"/>
        <v>diesel_RAIL</v>
      </c>
      <c r="BV211" t="str">
        <f>VLOOKUP($BU211, Constants!$M:$N, 2, FALSE)</f>
        <v>{BLACK}Powered by: {GOLD}Diesel</v>
      </c>
      <c r="BW211" t="str">
        <f t="shared" si="72"/>
        <v/>
      </c>
      <c r="BX211" t="s">
        <v>622</v>
      </c>
      <c r="BY211" t="str">
        <f t="shared" si="73"/>
        <v/>
      </c>
      <c r="BZ211" t="str">
        <f t="shared" si="71"/>
        <v>{BLACK}Powered by: {GOLD}Diesel {}{SILVER}The General Electric Class 70 is designed with crash safety in mind, hence the bonnet-like structure at each end.</v>
      </c>
    </row>
    <row r="212" spans="1:78" x14ac:dyDescent="0.25">
      <c r="A212" t="s">
        <v>624</v>
      </c>
      <c r="B212" t="s">
        <v>623</v>
      </c>
      <c r="C212">
        <v>366</v>
      </c>
      <c r="D212" t="s">
        <v>289</v>
      </c>
      <c r="E212" t="s">
        <v>299</v>
      </c>
      <c r="F212" t="s">
        <v>301</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354</v>
      </c>
      <c r="BT212" t="str">
        <f t="shared" si="67"/>
        <v>mod_Mixed Traffic</v>
      </c>
      <c r="BU212" t="str">
        <f t="shared" si="68"/>
        <v>diesel_RAIL</v>
      </c>
      <c r="BV212" t="str">
        <f>VLOOKUP($BU212, Constants!$M:$N, 2, FALSE)</f>
        <v>{BLACK}Powered by: {GOLD}Diesel</v>
      </c>
      <c r="BW212" t="str">
        <f t="shared" si="72"/>
        <v/>
      </c>
      <c r="BX212" t="s">
        <v>627</v>
      </c>
      <c r="BY212" t="str">
        <f t="shared" si="73"/>
        <v/>
      </c>
      <c r="BZ212" t="str">
        <f t="shared" si="71"/>
        <v>{BLACK}Powered by: {GOLD}Diesel {}{SILVER}The Class 68 is a modern mixed traffic disel locomotive with a powerful 16-cylinder Caterpillar engine.</v>
      </c>
    </row>
    <row r="213" spans="1:78" x14ac:dyDescent="0.25">
      <c r="A213" t="s">
        <v>58</v>
      </c>
      <c r="B213" t="s">
        <v>197</v>
      </c>
      <c r="C213">
        <v>368</v>
      </c>
      <c r="D213" t="s">
        <v>161</v>
      </c>
      <c r="E213" t="s">
        <v>570</v>
      </c>
      <c r="F213" t="s">
        <v>301</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366</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143</v>
      </c>
      <c r="B214" t="s">
        <v>169</v>
      </c>
      <c r="C214">
        <v>420</v>
      </c>
      <c r="D214" t="s">
        <v>431</v>
      </c>
      <c r="E214" t="s">
        <v>1269</v>
      </c>
      <c r="F214" t="s">
        <v>301</v>
      </c>
      <c r="G214">
        <v>1903</v>
      </c>
      <c r="I214">
        <v>1940</v>
      </c>
      <c r="J214">
        <v>1</v>
      </c>
      <c r="K214">
        <v>85</v>
      </c>
      <c r="T214">
        <v>35</v>
      </c>
      <c r="V214">
        <v>8</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169</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222</v>
      </c>
      <c r="BN214">
        <v>5</v>
      </c>
      <c r="BO214">
        <v>185</v>
      </c>
      <c r="BQ214" t="s">
        <v>310</v>
      </c>
      <c r="BR214" t="str">
        <f>VLOOKUP(G214,Eras!$A$2:$C$10, 2, TRUE)</f>
        <v>edw</v>
      </c>
      <c r="BS214" t="s">
        <v>357</v>
      </c>
      <c r="BT214" t="str">
        <f t="shared" si="67"/>
        <v>edw_DMU (Cheap)</v>
      </c>
      <c r="BU214" t="str">
        <f t="shared" si="68"/>
        <v>petrol_RAIL</v>
      </c>
      <c r="BV214" t="str">
        <f>VLOOKUP($BU214, Constants!$M:$N, 2, FALSE)</f>
        <v>{BLACK}Powered by: {GOLD}Petrol</v>
      </c>
      <c r="BW214" t="str">
        <f t="shared" si="72"/>
        <v/>
      </c>
      <c r="BX214" t="s">
        <v>376</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419</v>
      </c>
      <c r="B215" t="s">
        <v>421</v>
      </c>
      <c r="C215">
        <v>422</v>
      </c>
      <c r="D215" t="s">
        <v>431</v>
      </c>
      <c r="E215" t="s">
        <v>323</v>
      </c>
      <c r="F215" t="s">
        <v>330</v>
      </c>
      <c r="G215">
        <v>1914</v>
      </c>
      <c r="I215">
        <v>1960</v>
      </c>
      <c r="J215">
        <v>3</v>
      </c>
      <c r="K215">
        <v>1000</v>
      </c>
      <c r="T215">
        <v>117</v>
      </c>
      <c r="V215">
        <f>8*3</f>
        <v>24</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432</v>
      </c>
      <c r="AO215" t="s">
        <v>430</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310</v>
      </c>
      <c r="BR215" t="str">
        <f>VLOOKUP(G215,Eras!$A$2:$C$10, 2, TRUE)</f>
        <v>edw</v>
      </c>
      <c r="BS215" t="s">
        <v>360</v>
      </c>
      <c r="BT215" t="str">
        <f t="shared" si="67"/>
        <v>edw_EMU</v>
      </c>
      <c r="BU215" t="str">
        <f t="shared" si="68"/>
        <v>electric_THIRD_RAIL</v>
      </c>
      <c r="BV215" t="str">
        <f>VLOOKUP($BU215, Constants!$M:$N, 2, FALSE)</f>
        <v>{BLACK}Powered by: {GOLD}750V DC</v>
      </c>
      <c r="BW215" t="str">
        <f t="shared" si="72"/>
        <v>{BLACK}Cars: {GOLD}3</v>
      </c>
      <c r="BX215" t="s">
        <v>420</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256</v>
      </c>
      <c r="C216">
        <v>424</v>
      </c>
      <c r="D216" t="s">
        <v>431</v>
      </c>
      <c r="E216" t="s">
        <v>323</v>
      </c>
      <c r="F216" t="s">
        <v>330</v>
      </c>
      <c r="G216">
        <v>1932</v>
      </c>
      <c r="I216">
        <v>1972</v>
      </c>
      <c r="J216">
        <v>5</v>
      </c>
      <c r="K216">
        <v>1800</v>
      </c>
      <c r="T216">
        <v>253</v>
      </c>
      <c r="V216">
        <f>8*5</f>
        <v>40</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473</v>
      </c>
      <c r="AO216" t="s">
        <v>475</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310</v>
      </c>
      <c r="BR216" t="str">
        <f>VLOOKUP(G216,Eras!$A$2:$C$10, 2, TRUE)</f>
        <v>big4</v>
      </c>
      <c r="BS216" t="s">
        <v>361</v>
      </c>
      <c r="BT216" t="str">
        <f t="shared" si="67"/>
        <v>big4_EMU (Express)</v>
      </c>
      <c r="BU216" t="str">
        <f t="shared" si="68"/>
        <v>electric_THIRD_RAIL</v>
      </c>
      <c r="BV216" t="str">
        <f>VLOOKUP($BU216, Constants!$M:$N, 2, FALSE)</f>
        <v>{BLACK}Powered by: {GOLD}750V DC</v>
      </c>
      <c r="BW216" t="str">
        <f t="shared" si="72"/>
        <v>{BLACK}Cars: {GOLD}5</v>
      </c>
      <c r="BX216" t="s">
        <v>472</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257</v>
      </c>
      <c r="C217">
        <v>426</v>
      </c>
      <c r="D217" t="s">
        <v>431</v>
      </c>
      <c r="E217" t="s">
        <v>323</v>
      </c>
      <c r="F217" t="s">
        <v>330</v>
      </c>
      <c r="G217">
        <v>1937</v>
      </c>
      <c r="H217">
        <v>1938</v>
      </c>
      <c r="I217">
        <v>1972</v>
      </c>
      <c r="J217">
        <v>4</v>
      </c>
      <c r="K217">
        <v>900</v>
      </c>
      <c r="T217">
        <v>160.80000000000001</v>
      </c>
      <c r="V217">
        <f>8*4</f>
        <v>32</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491</v>
      </c>
      <c r="AO217" t="s">
        <v>492</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310</v>
      </c>
      <c r="BR217" t="str">
        <f>VLOOKUP(G217,Eras!$A$2:$C$10, 2, TRUE)</f>
        <v>big4</v>
      </c>
      <c r="BS217" t="s">
        <v>360</v>
      </c>
      <c r="BT217" t="str">
        <f t="shared" si="67"/>
        <v>big4_EMU</v>
      </c>
      <c r="BU217" t="str">
        <f t="shared" si="68"/>
        <v>electric_THIRD_RAIL</v>
      </c>
      <c r="BV217" t="str">
        <f>VLOOKUP($BU217, Constants!$M:$N, 2, FALSE)</f>
        <v>{BLACK}Powered by: {GOLD}750V DC</v>
      </c>
      <c r="BW217" t="str">
        <f t="shared" si="72"/>
        <v>{BLACK}Cars: {GOLD}4</v>
      </c>
      <c r="BX217" t="s">
        <v>489</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258</v>
      </c>
      <c r="C218">
        <v>428</v>
      </c>
      <c r="D218" t="s">
        <v>431</v>
      </c>
      <c r="E218" t="s">
        <v>323</v>
      </c>
      <c r="F218" t="s">
        <v>330</v>
      </c>
      <c r="G218">
        <v>1938</v>
      </c>
      <c r="H218">
        <v>1939</v>
      </c>
      <c r="I218">
        <v>1971</v>
      </c>
      <c r="J218">
        <v>2</v>
      </c>
      <c r="K218">
        <v>550</v>
      </c>
      <c r="T218">
        <v>77</v>
      </c>
      <c r="V218">
        <f>8*2</f>
        <v>16</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493</v>
      </c>
      <c r="AO218" t="s">
        <v>494</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310</v>
      </c>
      <c r="BR218" t="str">
        <f>VLOOKUP(G218,Eras!$A$2:$C$10, 2, TRUE)</f>
        <v>big4</v>
      </c>
      <c r="BS218" t="s">
        <v>360</v>
      </c>
      <c r="BT218" t="str">
        <f t="shared" si="67"/>
        <v>big4_EMU</v>
      </c>
      <c r="BU218" t="str">
        <f t="shared" si="68"/>
        <v>electric_THIRD_RAIL</v>
      </c>
      <c r="BV218" t="str">
        <f>VLOOKUP($BU218, Constants!$M:$N, 2, FALSE)</f>
        <v>{BLACK}Powered by: {GOLD}750V DC</v>
      </c>
      <c r="BW218" t="str">
        <f t="shared" si="72"/>
        <v>{BLACK}Cars: {GOLD}2</v>
      </c>
      <c r="BX218" t="s">
        <v>490</v>
      </c>
      <c r="BY218" t="str">
        <f t="shared" si="73"/>
        <v/>
      </c>
      <c r="BZ218" t="str">
        <f t="shared" si="71"/>
        <v>{BLACK}Powered by: {GOLD}750V DC {BLACK}Cars: {GOLD}2{}{SILVER}The 2-HAL (named for 2 units, Half Lavatory) is designed for suburban commuter services.</v>
      </c>
    </row>
    <row r="219" spans="1:78" x14ac:dyDescent="0.25">
      <c r="A219" t="s">
        <v>90</v>
      </c>
      <c r="B219" t="s">
        <v>205</v>
      </c>
      <c r="C219">
        <v>430</v>
      </c>
      <c r="D219" t="s">
        <v>431</v>
      </c>
      <c r="E219" t="s">
        <v>323</v>
      </c>
      <c r="F219" t="s">
        <v>324</v>
      </c>
      <c r="G219">
        <v>1954</v>
      </c>
      <c r="I219">
        <v>1984</v>
      </c>
      <c r="J219">
        <v>3</v>
      </c>
      <c r="K219">
        <v>740</v>
      </c>
      <c r="T219">
        <f>51.4+26.8+27.9</f>
        <v>106.1</v>
      </c>
      <c r="V219">
        <f>8*3</f>
        <v>24</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643</v>
      </c>
      <c r="AO219" t="s">
        <v>319</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310</v>
      </c>
      <c r="BR219" t="str">
        <f>VLOOKUP(G219,Eras!$A$2:$C$10, 2, TRUE)</f>
        <v>ebr</v>
      </c>
      <c r="BS219" t="s">
        <v>360</v>
      </c>
      <c r="BT219" t="str">
        <f t="shared" si="67"/>
        <v>ebr_EMU</v>
      </c>
      <c r="BU219" t="str">
        <f t="shared" si="68"/>
        <v>electric_ELRL</v>
      </c>
      <c r="BV219" t="str">
        <f>VLOOKUP($BU219, Constants!$M:$N, 2, FALSE)</f>
        <v>{BLACK}Powered by: {GOLD}25kV AC</v>
      </c>
      <c r="BW219" t="str">
        <f t="shared" si="72"/>
        <v>{BLACK}Cars: {GOLD}3</v>
      </c>
      <c r="BX219" t="s">
        <v>644</v>
      </c>
      <c r="BY219" t="str">
        <f t="shared" si="73"/>
        <v/>
      </c>
      <c r="BZ219" t="str">
        <f t="shared" si="71"/>
        <v>{BLACK}Powered by: {GOLD}25kV AC {BLACK}Cars: {GOLD}3{}{SILVER}The Class 506 was built by Metro Cammell and BRCW for the Woodhead Line.</v>
      </c>
    </row>
    <row r="220" spans="1:78" x14ac:dyDescent="0.25">
      <c r="A220" t="s">
        <v>77</v>
      </c>
      <c r="B220" t="s">
        <v>199</v>
      </c>
      <c r="C220">
        <v>432</v>
      </c>
      <c r="D220" t="s">
        <v>161</v>
      </c>
      <c r="E220" t="s">
        <v>299</v>
      </c>
      <c r="F220" t="s">
        <v>301</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645</v>
      </c>
      <c r="B221" t="s">
        <v>647</v>
      </c>
      <c r="C221">
        <v>434</v>
      </c>
      <c r="D221" t="s">
        <v>431</v>
      </c>
      <c r="E221" t="s">
        <v>323</v>
      </c>
      <c r="F221" t="s">
        <v>330</v>
      </c>
      <c r="G221">
        <v>1956</v>
      </c>
      <c r="I221">
        <v>1995</v>
      </c>
      <c r="J221">
        <v>2</v>
      </c>
      <c r="K221">
        <v>500</v>
      </c>
      <c r="T221">
        <f>40+32</f>
        <v>72</v>
      </c>
      <c r="V221">
        <f>8*2</f>
        <v>16</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648</v>
      </c>
      <c r="AO221" t="s">
        <v>494</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279</v>
      </c>
      <c r="BN221">
        <v>12</v>
      </c>
      <c r="BO221">
        <v>185</v>
      </c>
      <c r="BQ221" t="s">
        <v>310</v>
      </c>
      <c r="BR221" t="str">
        <f>VLOOKUP(G221,Eras!$A$2:$C$10, 2, TRUE)</f>
        <v>dsl</v>
      </c>
      <c r="BS221" t="s">
        <v>361</v>
      </c>
      <c r="BT221" t="str">
        <f t="shared" si="67"/>
        <v>dsl_EMU (Express)</v>
      </c>
      <c r="BU221" t="str">
        <f t="shared" si="68"/>
        <v>electric_THIRD_RAIL</v>
      </c>
      <c r="BV221" t="str">
        <f>VLOOKUP($BU221, Constants!$M:$N, 2, FALSE)</f>
        <v>{BLACK}Powered by: {GOLD}750V DC</v>
      </c>
      <c r="BW221" t="str">
        <f t="shared" si="72"/>
        <v>{BLACK}Cars: {GOLD}2</v>
      </c>
      <c r="BX221" t="s">
        <v>649</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549</v>
      </c>
      <c r="B222" t="s">
        <v>550</v>
      </c>
      <c r="C222">
        <v>436</v>
      </c>
      <c r="D222" t="s">
        <v>161</v>
      </c>
      <c r="E222" t="s">
        <v>299</v>
      </c>
      <c r="F222" t="s">
        <v>301</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358</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139</v>
      </c>
      <c r="B223" t="s">
        <v>262</v>
      </c>
      <c r="C223">
        <v>438</v>
      </c>
      <c r="D223" t="s">
        <v>431</v>
      </c>
      <c r="E223" t="s">
        <v>299</v>
      </c>
      <c r="F223" t="s">
        <v>301</v>
      </c>
      <c r="G223">
        <v>1960</v>
      </c>
      <c r="I223">
        <v>1973</v>
      </c>
      <c r="J223">
        <v>6</v>
      </c>
      <c r="K223">
        <v>1000</v>
      </c>
      <c r="T223">
        <v>304</v>
      </c>
      <c r="V223">
        <f>7*6</f>
        <v>42</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555</v>
      </c>
      <c r="AO223" t="s">
        <v>556</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1186</v>
      </c>
      <c r="BN223">
        <v>2</v>
      </c>
      <c r="BO223">
        <v>222</v>
      </c>
      <c r="BQ223" t="s">
        <v>310</v>
      </c>
      <c r="BR223" t="str">
        <f>VLOOKUP(G223,Eras!$A$2:$C$10, 2, TRUE)</f>
        <v>dsl</v>
      </c>
      <c r="BS223" t="s">
        <v>359</v>
      </c>
      <c r="BT223" t="str">
        <f t="shared" si="67"/>
        <v>dsl_DMU (Express)</v>
      </c>
      <c r="BU223" t="str">
        <f t="shared" si="68"/>
        <v>diesel_RAIL</v>
      </c>
      <c r="BV223" t="str">
        <f>VLOOKUP($BU223, Constants!$M:$N, 2, FALSE)</f>
        <v>{BLACK}Powered by: {GOLD}Diesel</v>
      </c>
      <c r="BW223" t="str">
        <f t="shared" si="72"/>
        <v>{BLACK}Cars: {GOLD}6</v>
      </c>
      <c r="BX223" t="s">
        <v>557</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139</v>
      </c>
      <c r="B224" t="s">
        <v>1172</v>
      </c>
      <c r="C224">
        <v>439</v>
      </c>
      <c r="D224" t="s">
        <v>431</v>
      </c>
      <c r="E224" t="s">
        <v>299</v>
      </c>
      <c r="F224" t="s">
        <v>301</v>
      </c>
      <c r="G224">
        <v>1960</v>
      </c>
      <c r="I224">
        <v>1973</v>
      </c>
      <c r="J224">
        <v>5</v>
      </c>
      <c r="K224">
        <v>1000</v>
      </c>
      <c r="T224">
        <f>304/6*5</f>
        <v>253.33333333333331</v>
      </c>
      <c r="V224">
        <f>7*5</f>
        <v>35</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1173</v>
      </c>
      <c r="AO224" t="s">
        <v>696</v>
      </c>
      <c r="AP224" t="s">
        <v>262</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1188</v>
      </c>
      <c r="BN224">
        <v>2</v>
      </c>
      <c r="BO224">
        <v>222</v>
      </c>
      <c r="BQ224" t="s">
        <v>310</v>
      </c>
      <c r="BR224" t="str">
        <f>VLOOKUP(G224,Eras!$A$2:$C$10, 2, TRUE)</f>
        <v>dsl</v>
      </c>
      <c r="BS224" t="s">
        <v>359</v>
      </c>
      <c r="BT224" t="str">
        <f t="shared" si="67"/>
        <v>dsl_DMU (Express)</v>
      </c>
      <c r="BU224" t="str">
        <f t="shared" si="68"/>
        <v>diesel_RAIL</v>
      </c>
      <c r="BV224" t="str">
        <f>VLOOKUP($BU224, Constants!$M:$N, 2, FALSE)</f>
        <v>{BLACK}Powered by: {GOLD}Diesel</v>
      </c>
      <c r="BW224" t="str">
        <f t="shared" si="72"/>
        <v>{BLACK}Cars: {GOLD}5</v>
      </c>
      <c r="BX224" t="s">
        <v>557</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242</v>
      </c>
      <c r="C225">
        <v>440</v>
      </c>
      <c r="D225" t="s">
        <v>431</v>
      </c>
      <c r="E225" t="s">
        <v>299</v>
      </c>
      <c r="F225" t="s">
        <v>301</v>
      </c>
      <c r="G225">
        <v>1960</v>
      </c>
      <c r="I225">
        <v>2017</v>
      </c>
      <c r="J225">
        <v>1</v>
      </c>
      <c r="K225">
        <v>300</v>
      </c>
      <c r="T225">
        <v>38</v>
      </c>
      <c r="V225">
        <v>8</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242</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310</v>
      </c>
      <c r="BR225" t="str">
        <f>VLOOKUP(G225,Eras!$A$2:$C$10, 2, TRUE)</f>
        <v>dsl</v>
      </c>
      <c r="BS225" t="s">
        <v>358</v>
      </c>
      <c r="BT225" t="str">
        <f t="shared" si="67"/>
        <v>dsl_DMU</v>
      </c>
      <c r="BU225" t="str">
        <f t="shared" si="68"/>
        <v>diesel_RAIL</v>
      </c>
      <c r="BV225" t="str">
        <f>VLOOKUP($BU225, Constants!$M:$N, 2, FALSE)</f>
        <v>{BLACK}Powered by: {GOLD}Diesel</v>
      </c>
      <c r="BW225" t="str">
        <f t="shared" si="72"/>
        <v/>
      </c>
      <c r="BX225" t="s">
        <v>558</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646</v>
      </c>
      <c r="B226" t="s">
        <v>279</v>
      </c>
      <c r="C226">
        <v>442</v>
      </c>
      <c r="D226" t="s">
        <v>431</v>
      </c>
      <c r="E226" t="s">
        <v>323</v>
      </c>
      <c r="F226" t="s">
        <v>330</v>
      </c>
      <c r="G226">
        <v>1964</v>
      </c>
      <c r="H226">
        <v>1972</v>
      </c>
      <c r="I226">
        <v>2005</v>
      </c>
      <c r="J226">
        <v>4</v>
      </c>
      <c r="K226">
        <v>1000</v>
      </c>
      <c r="T226">
        <v>152</v>
      </c>
      <c r="V226">
        <f>8*4</f>
        <v>32</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656</v>
      </c>
      <c r="AO226" t="s">
        <v>654</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647</v>
      </c>
      <c r="BN226">
        <v>5</v>
      </c>
      <c r="BO226">
        <v>185</v>
      </c>
      <c r="BQ226" t="s">
        <v>310</v>
      </c>
      <c r="BR226" t="str">
        <f>VLOOKUP(G226,Eras!$A$2:$C$10, 2, TRUE)</f>
        <v>dsl</v>
      </c>
      <c r="BS226" t="s">
        <v>361</v>
      </c>
      <c r="BT226" t="str">
        <f t="shared" si="67"/>
        <v>dsl_EMU (Express)</v>
      </c>
      <c r="BU226" t="str">
        <f t="shared" si="68"/>
        <v>electric_THIRD_RAIL</v>
      </c>
      <c r="BV226" t="str">
        <f>VLOOKUP($BU226, Constants!$M:$N, 2, FALSE)</f>
        <v>{BLACK}Powered by: {GOLD}750V DC</v>
      </c>
      <c r="BW226" t="str">
        <f t="shared" si="72"/>
        <v>{BLACK}Cars: {GOLD}4</v>
      </c>
      <c r="BX226" t="s">
        <v>653</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650</v>
      </c>
      <c r="C227">
        <v>444</v>
      </c>
      <c r="D227" t="s">
        <v>431</v>
      </c>
      <c r="E227" t="s">
        <v>323</v>
      </c>
      <c r="F227" t="s">
        <v>324</v>
      </c>
      <c r="G227">
        <v>1965</v>
      </c>
      <c r="I227">
        <v>2002</v>
      </c>
      <c r="J227">
        <v>4</v>
      </c>
      <c r="K227">
        <v>1080</v>
      </c>
      <c r="T227">
        <v>158</v>
      </c>
      <c r="V227">
        <f>8*4</f>
        <v>32</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651</v>
      </c>
      <c r="AO227" t="s">
        <v>584</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310</v>
      </c>
      <c r="BR227" t="str">
        <f>VLOOKUP(G227,Eras!$A$2:$C$10, 2, TRUE)</f>
        <v>dsl</v>
      </c>
      <c r="BS227" t="s">
        <v>359</v>
      </c>
      <c r="BT227" t="str">
        <f t="shared" si="67"/>
        <v>dsl_DMU (Express)</v>
      </c>
      <c r="BU227" t="str">
        <f t="shared" si="68"/>
        <v>electric_ELRL</v>
      </c>
      <c r="BV227" t="str">
        <f>VLOOKUP($BU227, Constants!$M:$N, 2, FALSE)</f>
        <v>{BLACK}Powered by: {GOLD}25kV AC</v>
      </c>
      <c r="BW227" t="str">
        <f t="shared" si="72"/>
        <v>{BLACK}Cars: {GOLD}4</v>
      </c>
      <c r="BX227" t="s">
        <v>652</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202</v>
      </c>
      <c r="C228">
        <v>446</v>
      </c>
      <c r="D228" t="s">
        <v>431</v>
      </c>
      <c r="E228" t="s">
        <v>581</v>
      </c>
      <c r="F228" t="s">
        <v>580</v>
      </c>
      <c r="G228">
        <v>1976</v>
      </c>
      <c r="H228">
        <v>1977</v>
      </c>
      <c r="J228">
        <v>3</v>
      </c>
      <c r="K228">
        <v>880</v>
      </c>
      <c r="T228">
        <v>104.5</v>
      </c>
      <c r="V228">
        <f>8*3</f>
        <v>24</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578</v>
      </c>
      <c r="AN228" t="s">
        <v>583</v>
      </c>
      <c r="AO228" t="s">
        <v>319</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310</v>
      </c>
      <c r="BR228" t="str">
        <f>VLOOKUP(G228,Eras!$A$2:$C$10, 2, TRUE)</f>
        <v>lbr</v>
      </c>
      <c r="BS228" t="s">
        <v>360</v>
      </c>
      <c r="BT228" t="str">
        <f t="shared" si="67"/>
        <v>lbr_EMU</v>
      </c>
      <c r="BU228" t="str">
        <f t="shared" si="68"/>
        <v>dual_electric_DUAL_POWER</v>
      </c>
      <c r="BV228" t="str">
        <f>VLOOKUP($BU228, Constants!$M:$N, 2, FALSE)</f>
        <v>{BLACK}Powered by: {GOLD}25kV AC / 750V DC</v>
      </c>
      <c r="BW228" t="str">
        <f t="shared" si="72"/>
        <v>{BLACK}Cars: {GOLD}3</v>
      </c>
      <c r="BX228" t="s">
        <v>579</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701</v>
      </c>
      <c r="B229" t="s">
        <v>702</v>
      </c>
      <c r="C229">
        <v>448</v>
      </c>
      <c r="D229" t="s">
        <v>431</v>
      </c>
      <c r="E229" t="s">
        <v>323</v>
      </c>
      <c r="F229" t="s">
        <v>324</v>
      </c>
      <c r="G229">
        <v>1979</v>
      </c>
      <c r="H229">
        <v>1986</v>
      </c>
      <c r="I229">
        <v>1988</v>
      </c>
      <c r="J229">
        <v>14</v>
      </c>
      <c r="K229">
        <v>8000</v>
      </c>
      <c r="T229">
        <v>434</v>
      </c>
      <c r="V229">
        <v>35</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704</v>
      </c>
      <c r="AO229" t="s">
        <v>711</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1190</v>
      </c>
      <c r="BN229">
        <v>8</v>
      </c>
      <c r="BO229">
        <v>222</v>
      </c>
      <c r="BQ229" t="s">
        <v>310</v>
      </c>
      <c r="BR229" t="str">
        <f>VLOOKUP(G229,Eras!$A$2:$C$10, 2, TRUE)</f>
        <v>lbr</v>
      </c>
      <c r="BS229" t="s">
        <v>361</v>
      </c>
      <c r="BT229" t="str">
        <f t="shared" si="67"/>
        <v>lbr_EMU (Express)</v>
      </c>
      <c r="BU229" t="str">
        <f t="shared" si="68"/>
        <v>electric_ELRL</v>
      </c>
      <c r="BV229" t="str">
        <f>VLOOKUP($BU229, Constants!$M:$N, 2, FALSE)</f>
        <v>{BLACK}Powered by: {GOLD}25kV AC</v>
      </c>
      <c r="BW229" t="str">
        <f t="shared" si="72"/>
        <v>{BLACK}Cars: {GOLD}14</v>
      </c>
      <c r="BX229" t="s">
        <v>703</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701</v>
      </c>
      <c r="B230" t="s">
        <v>1167</v>
      </c>
      <c r="C230">
        <v>449</v>
      </c>
      <c r="D230" t="s">
        <v>431</v>
      </c>
      <c r="E230" t="s">
        <v>323</v>
      </c>
      <c r="F230" t="s">
        <v>324</v>
      </c>
      <c r="G230">
        <v>1979</v>
      </c>
      <c r="H230">
        <v>1986</v>
      </c>
      <c r="I230">
        <v>1988</v>
      </c>
      <c r="J230">
        <v>8</v>
      </c>
      <c r="K230">
        <v>8000</v>
      </c>
      <c r="T230">
        <f>(434/14)*8</f>
        <v>248</v>
      </c>
      <c r="V230">
        <v>30</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1181</v>
      </c>
      <c r="AO230" t="s">
        <v>732</v>
      </c>
      <c r="AP230" t="s">
        <v>702</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1189</v>
      </c>
      <c r="BN230">
        <v>8</v>
      </c>
      <c r="BO230">
        <v>222</v>
      </c>
      <c r="BQ230" t="s">
        <v>310</v>
      </c>
      <c r="BR230" t="str">
        <f>VLOOKUP(G230,Eras!$A$2:$C$10, 2, TRUE)</f>
        <v>lbr</v>
      </c>
      <c r="BS230" t="s">
        <v>361</v>
      </c>
      <c r="BT230" t="str">
        <f t="shared" si="67"/>
        <v>lbr_EMU (Express)</v>
      </c>
      <c r="BU230" t="str">
        <f t="shared" si="68"/>
        <v>electric_ELRL</v>
      </c>
      <c r="BV230" t="str">
        <f>VLOOKUP($BU230, Constants!$M:$N, 2, FALSE)</f>
        <v>{BLACK}Powered by: {GOLD}25kV AC</v>
      </c>
      <c r="BW230" t="str">
        <f t="shared" si="72"/>
        <v>{BLACK}Cars: {GOLD}8</v>
      </c>
      <c r="BX230" t="s">
        <v>703</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701</v>
      </c>
      <c r="B231" t="s">
        <v>1182</v>
      </c>
      <c r="C231">
        <v>450</v>
      </c>
      <c r="D231" t="s">
        <v>431</v>
      </c>
      <c r="E231" t="s">
        <v>323</v>
      </c>
      <c r="F231" t="s">
        <v>324</v>
      </c>
      <c r="G231">
        <v>1979</v>
      </c>
      <c r="H231">
        <v>1986</v>
      </c>
      <c r="I231">
        <v>1988</v>
      </c>
      <c r="J231">
        <v>5</v>
      </c>
      <c r="K231">
        <v>8000</v>
      </c>
      <c r="T231">
        <f>(434/14)*5</f>
        <v>155</v>
      </c>
      <c r="V231">
        <v>18</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1187</v>
      </c>
      <c r="AO231" t="s">
        <v>696</v>
      </c>
      <c r="AP231" t="s">
        <v>702</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1188</v>
      </c>
      <c r="BN231">
        <v>8</v>
      </c>
      <c r="BO231">
        <v>222</v>
      </c>
      <c r="BQ231" t="s">
        <v>310</v>
      </c>
      <c r="BR231" t="str">
        <f>VLOOKUP(G231,Eras!$A$2:$C$10, 2, TRUE)</f>
        <v>lbr</v>
      </c>
      <c r="BS231" t="s">
        <v>361</v>
      </c>
      <c r="BT231" t="str">
        <f t="shared" si="67"/>
        <v>lbr_EMU (Express)</v>
      </c>
      <c r="BU231" t="str">
        <f t="shared" si="68"/>
        <v>electric_ELRL</v>
      </c>
      <c r="BV231" t="str">
        <f>VLOOKUP($BU231, Constants!$M:$N, 2, FALSE)</f>
        <v>{BLACK}Powered by: {GOLD}25kV AC</v>
      </c>
      <c r="BW231" t="str">
        <f t="shared" si="72"/>
        <v>{BLACK}Cars: {GOLD}5</v>
      </c>
      <c r="BX231" t="s">
        <v>703</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201</v>
      </c>
      <c r="C232">
        <v>452</v>
      </c>
      <c r="D232" t="s">
        <v>431</v>
      </c>
      <c r="E232" t="s">
        <v>323</v>
      </c>
      <c r="F232" t="s">
        <v>324</v>
      </c>
      <c r="G232">
        <v>1980</v>
      </c>
      <c r="H232">
        <v>1981</v>
      </c>
      <c r="J232">
        <v>4</v>
      </c>
      <c r="K232">
        <v>880</v>
      </c>
      <c r="T232">
        <v>127.5</v>
      </c>
      <c r="V232">
        <f t="shared" ref="V232:V243" si="74">8*J232</f>
        <v>32</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586</v>
      </c>
      <c r="AO232" t="s">
        <v>584</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310</v>
      </c>
      <c r="BR232" t="str">
        <f>VLOOKUP(G232,Eras!$A$2:$C$10, 2, TRUE)</f>
        <v>lbr</v>
      </c>
      <c r="BS232" t="s">
        <v>360</v>
      </c>
      <c r="BT232" t="str">
        <f t="shared" si="67"/>
        <v>lbr_EMU</v>
      </c>
      <c r="BU232" t="str">
        <f t="shared" si="68"/>
        <v>electric_ELRL</v>
      </c>
      <c r="BV232" t="str">
        <f>VLOOKUP($BU232, Constants!$M:$N, 2, FALSE)</f>
        <v>{BLACK}Powered by: {GOLD}25kV AC</v>
      </c>
      <c r="BW232" t="str">
        <f t="shared" si="72"/>
        <v>{BLACK}Cars: {GOLD}4</v>
      </c>
      <c r="BX232" t="s">
        <v>585</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203</v>
      </c>
      <c r="C233">
        <v>454</v>
      </c>
      <c r="D233" t="s">
        <v>431</v>
      </c>
      <c r="E233" t="s">
        <v>323</v>
      </c>
      <c r="F233" t="s">
        <v>330</v>
      </c>
      <c r="G233">
        <v>1982</v>
      </c>
      <c r="J233">
        <v>4</v>
      </c>
      <c r="K233">
        <v>992</v>
      </c>
      <c r="T233">
        <v>136</v>
      </c>
      <c r="V233">
        <f t="shared" si="74"/>
        <v>32</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637</v>
      </c>
      <c r="AO233" t="s">
        <v>492</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204</v>
      </c>
      <c r="BN233">
        <v>12</v>
      </c>
      <c r="BO233">
        <v>185</v>
      </c>
      <c r="BQ233" t="s">
        <v>310</v>
      </c>
      <c r="BR233" t="str">
        <f>VLOOKUP(G233,Eras!$A$2:$C$10, 2, TRUE)</f>
        <v>lbr</v>
      </c>
      <c r="BS233" t="s">
        <v>360</v>
      </c>
      <c r="BT233" t="str">
        <f t="shared" si="67"/>
        <v>lbr_EMU</v>
      </c>
      <c r="BU233" t="str">
        <f t="shared" si="68"/>
        <v>electric_THIRD_RAIL</v>
      </c>
      <c r="BV233" t="str">
        <f>VLOOKUP($BU233, Constants!$M:$N, 2, FALSE)</f>
        <v>{BLACK}Powered by: {GOLD}750V DC</v>
      </c>
      <c r="BW233" t="str">
        <f t="shared" si="72"/>
        <v>{BLACK}Cars: {GOLD}4</v>
      </c>
      <c r="BX233" t="s">
        <v>638</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659</v>
      </c>
      <c r="C234">
        <v>456</v>
      </c>
      <c r="D234" t="s">
        <v>431</v>
      </c>
      <c r="E234" t="s">
        <v>299</v>
      </c>
      <c r="F234" t="s">
        <v>301</v>
      </c>
      <c r="G234">
        <v>1984</v>
      </c>
      <c r="H234">
        <v>1987</v>
      </c>
      <c r="J234">
        <v>2</v>
      </c>
      <c r="K234">
        <f>286*2</f>
        <v>572</v>
      </c>
      <c r="T234">
        <f>35.8*2</f>
        <v>71.599999999999994</v>
      </c>
      <c r="V234">
        <f t="shared" si="74"/>
        <v>16</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658</v>
      </c>
      <c r="AO234" t="s">
        <v>494</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1152</v>
      </c>
      <c r="BN234">
        <v>1</v>
      </c>
      <c r="BO234">
        <v>185</v>
      </c>
      <c r="BQ234" t="s">
        <v>310</v>
      </c>
      <c r="BR234" t="str">
        <f>VLOOKUP(G234,Eras!$A$2:$C$10, 2, TRUE)</f>
        <v>lbr</v>
      </c>
      <c r="BS234" t="s">
        <v>358</v>
      </c>
      <c r="BT234" t="str">
        <f t="shared" si="67"/>
        <v>lbr_DMU</v>
      </c>
      <c r="BU234" t="str">
        <f t="shared" si="68"/>
        <v>diesel_RAIL</v>
      </c>
      <c r="BV234" t="str">
        <f>VLOOKUP($BU234, Constants!$M:$N, 2, FALSE)</f>
        <v>{BLACK}Powered by: {GOLD}Diesel</v>
      </c>
      <c r="BW234" t="str">
        <f t="shared" si="72"/>
        <v>{BLACK}Cars: {GOLD}2</v>
      </c>
      <c r="BX234" t="s">
        <v>657</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674</v>
      </c>
      <c r="B235" t="s">
        <v>251</v>
      </c>
      <c r="C235">
        <v>458</v>
      </c>
      <c r="D235" t="s">
        <v>431</v>
      </c>
      <c r="E235" t="s">
        <v>299</v>
      </c>
      <c r="F235" t="s">
        <v>301</v>
      </c>
      <c r="G235">
        <v>1984</v>
      </c>
      <c r="H235">
        <v>1988</v>
      </c>
      <c r="I235">
        <v>2005</v>
      </c>
      <c r="J235">
        <v>2</v>
      </c>
      <c r="K235">
        <v>205</v>
      </c>
      <c r="T235">
        <f>26+26.5</f>
        <v>52.5</v>
      </c>
      <c r="V235">
        <f t="shared" si="74"/>
        <v>16</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669</v>
      </c>
      <c r="AO235" t="s">
        <v>494</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1153</v>
      </c>
      <c r="BN235">
        <v>2</v>
      </c>
      <c r="BO235">
        <v>148</v>
      </c>
      <c r="BQ235" t="s">
        <v>310</v>
      </c>
      <c r="BR235" t="str">
        <f>VLOOKUP(G235,Eras!$A$2:$C$10, 2, TRUE)</f>
        <v>lbr</v>
      </c>
      <c r="BS235" t="s">
        <v>357</v>
      </c>
      <c r="BT235" t="str">
        <f t="shared" si="67"/>
        <v>lbr_DMU (Cheap)</v>
      </c>
      <c r="BU235" t="str">
        <f t="shared" si="68"/>
        <v>diesel_RAIL</v>
      </c>
      <c r="BV235" t="str">
        <f>VLOOKUP($BU235, Constants!$M:$N, 2, FALSE)</f>
        <v>{BLACK}Powered by: {GOLD}Diesel</v>
      </c>
      <c r="BW235" t="str">
        <f t="shared" si="72"/>
        <v>{BLACK}Cars: {GOLD}2</v>
      </c>
      <c r="BX235" t="s">
        <v>675</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200</v>
      </c>
      <c r="C236">
        <v>460</v>
      </c>
      <c r="D236" t="s">
        <v>431</v>
      </c>
      <c r="E236" t="s">
        <v>581</v>
      </c>
      <c r="F236" t="s">
        <v>580</v>
      </c>
      <c r="G236">
        <v>1987</v>
      </c>
      <c r="H236">
        <v>1990</v>
      </c>
      <c r="J236">
        <v>4</v>
      </c>
      <c r="K236">
        <f>4*332</f>
        <v>1328</v>
      </c>
      <c r="T236">
        <v>140.30000000000001</v>
      </c>
      <c r="V236">
        <f t="shared" si="74"/>
        <v>32</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594</v>
      </c>
      <c r="AN236" t="s">
        <v>595</v>
      </c>
      <c r="AO236" t="s">
        <v>584</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310</v>
      </c>
      <c r="BR236" t="str">
        <f>VLOOKUP(G236,Eras!$A$2:$C$10, 2, TRUE)</f>
        <v>lbr</v>
      </c>
      <c r="BS236" t="s">
        <v>360</v>
      </c>
      <c r="BT236" t="str">
        <f t="shared" si="67"/>
        <v>lbr_EMU</v>
      </c>
      <c r="BU236" t="str">
        <f t="shared" si="68"/>
        <v>dual_electric_DUAL_POWER</v>
      </c>
      <c r="BV236" t="str">
        <f>VLOOKUP($BU236, Constants!$M:$N, 2, FALSE)</f>
        <v>{BLACK}Powered by: {GOLD}25kV AC / 750V DC</v>
      </c>
      <c r="BW236" t="str">
        <f t="shared" si="72"/>
        <v>{BLACK}Cars: {GOLD}4</v>
      </c>
      <c r="BX236" t="s">
        <v>593</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660</v>
      </c>
      <c r="B237" t="s">
        <v>248</v>
      </c>
      <c r="C237">
        <v>462</v>
      </c>
      <c r="D237" t="s">
        <v>431</v>
      </c>
      <c r="E237" t="s">
        <v>299</v>
      </c>
      <c r="F237" t="s">
        <v>301</v>
      </c>
      <c r="G237">
        <v>1988</v>
      </c>
      <c r="J237">
        <v>2</v>
      </c>
      <c r="K237">
        <f>285*2</f>
        <v>570</v>
      </c>
      <c r="T237">
        <f>35.5+36.1</f>
        <v>71.599999999999994</v>
      </c>
      <c r="V237">
        <f t="shared" si="74"/>
        <v>16</v>
      </c>
      <c r="W237">
        <v>110</v>
      </c>
      <c r="X237" s="4">
        <f t="shared" si="57"/>
        <v>0.15363128491620112</v>
      </c>
      <c r="Y237">
        <v>75</v>
      </c>
      <c r="AA237">
        <v>23</v>
      </c>
      <c r="AB237">
        <v>23</v>
      </c>
      <c r="AC237">
        <v>2.8</v>
      </c>
      <c r="AD237">
        <v>3.7</v>
      </c>
      <c r="AE237" s="11">
        <v>69</v>
      </c>
      <c r="AF237" t="str">
        <f>CONCATENATE(VLOOKUP(AG237, 'Voxel Sizes'!$A$2:$B$18,2,FALSE),"x",INT(AC237*15), "x", INT(AD237*15))</f>
        <v>214x42x55</v>
      </c>
      <c r="AG237">
        <f t="shared" si="58"/>
        <v>13</v>
      </c>
      <c r="AI237" t="str">
        <f>CONCATENATE(VLOOKUP(AG237,Constants!$A$2:$C$16,IF(AH237&lt;&gt;"", 3, 2), FALSE),IF(AH237&lt;&gt;"",CONCATENATE(",",VLOOKUP(AH237,$B:$AI,34,FALSE)),""))</f>
        <v>4,5,4</v>
      </c>
      <c r="AM237" t="s">
        <v>662</v>
      </c>
      <c r="AO237" t="s">
        <v>494</v>
      </c>
      <c r="AS237">
        <v>33</v>
      </c>
      <c r="AT237" t="str">
        <f t="shared" si="59"/>
        <v/>
      </c>
      <c r="AU237">
        <v>-10</v>
      </c>
      <c r="AV237">
        <v>-15</v>
      </c>
      <c r="AW237">
        <f t="shared" si="60"/>
        <v>15</v>
      </c>
      <c r="AX237">
        <f t="shared" si="61"/>
        <v>2.8499999999999996</v>
      </c>
      <c r="AY237">
        <f t="shared" si="62"/>
        <v>5.5</v>
      </c>
      <c r="AZ237" s="4">
        <f t="shared" si="63"/>
        <v>0.88266666666666671</v>
      </c>
      <c r="BA237">
        <f t="shared" si="64"/>
        <v>4.6000000000000005</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65"/>
        <v>28906.25</v>
      </c>
      <c r="BG237" s="15">
        <f t="shared" si="66"/>
        <v>5525</v>
      </c>
      <c r="BK237" t="s">
        <v>1154</v>
      </c>
      <c r="BN237">
        <v>4</v>
      </c>
      <c r="BO237">
        <v>185</v>
      </c>
      <c r="BQ237" t="s">
        <v>310</v>
      </c>
      <c r="BR237" t="str">
        <f>VLOOKUP(G237,Eras!$A$2:$C$10, 2, TRUE)</f>
        <v>lbr</v>
      </c>
      <c r="BS237" t="s">
        <v>358</v>
      </c>
      <c r="BT237" t="str">
        <f t="shared" si="67"/>
        <v>lbr_DMU</v>
      </c>
      <c r="BU237" t="str">
        <f t="shared" si="68"/>
        <v>diesel_RAIL</v>
      </c>
      <c r="BV237" t="str">
        <f>VLOOKUP($BU237, Constants!$M:$N, 2, FALSE)</f>
        <v>{BLACK}Powered by: {GOLD}Diesel</v>
      </c>
      <c r="BW237" t="str">
        <f t="shared" si="72"/>
        <v>{BLACK}Cars: {GOLD}2</v>
      </c>
      <c r="BX237" t="s">
        <v>661</v>
      </c>
      <c r="BY237" t="str">
        <f t="shared" si="73"/>
        <v/>
      </c>
      <c r="BZ237" t="str">
        <f t="shared" si="71"/>
        <v>{BLACK}Powered by: {GOLD}Diesel {BLACK}Cars: {GOLD}2{}{SILVER}The Class 156 is a member of the Sprinter family designed for longer journeys, with single doors at each end rather than the metro-style doors of the Class 150s.</v>
      </c>
    </row>
    <row r="238" spans="1:78" x14ac:dyDescent="0.25">
      <c r="A238" t="s">
        <v>99</v>
      </c>
      <c r="B238" t="s">
        <v>255</v>
      </c>
      <c r="C238">
        <v>464</v>
      </c>
      <c r="D238" t="s">
        <v>431</v>
      </c>
      <c r="E238" t="s">
        <v>323</v>
      </c>
      <c r="F238" t="s">
        <v>330</v>
      </c>
      <c r="G238">
        <v>1988</v>
      </c>
      <c r="J238">
        <v>5</v>
      </c>
      <c r="K238">
        <v>1610</v>
      </c>
      <c r="T238">
        <v>202.8</v>
      </c>
      <c r="V238">
        <f t="shared" si="74"/>
        <v>40</v>
      </c>
      <c r="W238">
        <v>190</v>
      </c>
      <c r="X238" s="4">
        <f t="shared" si="57"/>
        <v>9.3688362919132157E-2</v>
      </c>
      <c r="Y238">
        <v>108</v>
      </c>
      <c r="AA238">
        <v>23</v>
      </c>
      <c r="AB238">
        <v>23</v>
      </c>
      <c r="AC238">
        <v>2.74</v>
      </c>
      <c r="AD238">
        <v>3.81</v>
      </c>
      <c r="AE238" s="11">
        <v>66</v>
      </c>
      <c r="AF238" t="str">
        <f>CONCATENATE(VLOOKUP(AG238, 'Voxel Sizes'!$A$2:$B$18,2,FALSE),"x",INT(AC238*15), "x", INT(AD238*15))</f>
        <v>214x41x57</v>
      </c>
      <c r="AG238">
        <f t="shared" si="58"/>
        <v>13</v>
      </c>
      <c r="AI238" t="str">
        <f>CONCATENATE(VLOOKUP(AG238,Constants!$A$2:$C$16,IF(AH238&lt;&gt;"", 3, 2), FALSE),IF(AH238&lt;&gt;"",CONCATENATE(",",VLOOKUP(AH238,$B:$AI,34,FALSE)),""))</f>
        <v>4,5,4</v>
      </c>
      <c r="AM238" t="s">
        <v>698</v>
      </c>
      <c r="AO238" t="s">
        <v>636</v>
      </c>
      <c r="AS238">
        <v>35</v>
      </c>
      <c r="AT238" t="str">
        <f t="shared" si="59"/>
        <v/>
      </c>
      <c r="AU238">
        <v>-10</v>
      </c>
      <c r="AV238">
        <v>-25</v>
      </c>
      <c r="AW238">
        <f t="shared" si="60"/>
        <v>21.599999999999998</v>
      </c>
      <c r="AX238">
        <f t="shared" si="61"/>
        <v>8.0500000000000007</v>
      </c>
      <c r="AY238">
        <f t="shared" si="62"/>
        <v>9.5</v>
      </c>
      <c r="AZ238" s="4">
        <f t="shared" si="63"/>
        <v>0.88266666666666671</v>
      </c>
      <c r="BA238">
        <f t="shared" si="64"/>
        <v>11</v>
      </c>
      <c r="BB238">
        <f>VLOOKUP($E238,Constants!$I:$K, 2, FALSE)</f>
        <v>0.85</v>
      </c>
      <c r="BC238">
        <f>VLOOKUP($E238,Constants!$I:$K, 3, FALSE)*IF(AND(D238="multiple_unit",Y238&lt;110),0.75,1)</f>
        <v>1.7249999999999999</v>
      </c>
      <c r="BD238">
        <f>INT(POWER(((Constants!$G$2+$AW238+$AX238+$AY238+$BA238)*$AZ238)*$BC238, 1.05))+$AV238</f>
        <v>79</v>
      </c>
      <c r="BE238">
        <f>INT(POWER((((Constants!$G$1+$AW238+$AX238+$AY238+$BA238)*($AZ238))*$BB238),IF($D238="wagon",1,1.2)))+$AU238</f>
        <v>96</v>
      </c>
      <c r="BF238" s="15">
        <f t="shared" si="65"/>
        <v>61718.75</v>
      </c>
      <c r="BG238" s="15">
        <f t="shared" si="66"/>
        <v>7800</v>
      </c>
      <c r="BK238" t="s">
        <v>1156</v>
      </c>
      <c r="BM238" t="s">
        <v>1186</v>
      </c>
      <c r="BN238">
        <v>5</v>
      </c>
      <c r="BO238">
        <v>205</v>
      </c>
      <c r="BQ238" t="s">
        <v>310</v>
      </c>
      <c r="BR238" t="str">
        <f>VLOOKUP(G238,Eras!$A$2:$C$10, 2, TRUE)</f>
        <v>lbr</v>
      </c>
      <c r="BS238" t="s">
        <v>361</v>
      </c>
      <c r="BT238" t="str">
        <f t="shared" si="67"/>
        <v>lbr_EMU (Express)</v>
      </c>
      <c r="BU238" t="str">
        <f t="shared" si="68"/>
        <v>electric_THIRD_RAIL</v>
      </c>
      <c r="BV238" t="str">
        <f>VLOOKUP($BU238, Constants!$M:$N, 2, FALSE)</f>
        <v>{BLACK}Powered by: {GOLD}750V DC</v>
      </c>
      <c r="BW238" t="str">
        <f t="shared" si="72"/>
        <v>{BLACK}Cars: {GOLD}5</v>
      </c>
      <c r="BX238" t="s">
        <v>699</v>
      </c>
      <c r="BY238" t="str">
        <f t="shared" si="73"/>
        <v>{YELLOW}10% Bonus for long distance travel{}</v>
      </c>
      <c r="BZ238"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39" spans="1:78" x14ac:dyDescent="0.25">
      <c r="A239" t="s">
        <v>99</v>
      </c>
      <c r="B239" t="s">
        <v>1174</v>
      </c>
      <c r="C239">
        <v>465</v>
      </c>
      <c r="D239" t="s">
        <v>431</v>
      </c>
      <c r="E239" t="s">
        <v>323</v>
      </c>
      <c r="F239" t="s">
        <v>330</v>
      </c>
      <c r="G239">
        <v>1988</v>
      </c>
      <c r="J239">
        <v>4</v>
      </c>
      <c r="K239">
        <v>1610</v>
      </c>
      <c r="T239">
        <f>202.8/5*4</f>
        <v>162.24</v>
      </c>
      <c r="V239">
        <f t="shared" si="74"/>
        <v>32</v>
      </c>
      <c r="W239">
        <v>190</v>
      </c>
      <c r="X239" s="4">
        <f t="shared" si="57"/>
        <v>0.11711045364891517</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1175</v>
      </c>
      <c r="AO239" t="s">
        <v>1166</v>
      </c>
      <c r="AP239" t="s">
        <v>255</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8.8000000000000007</v>
      </c>
      <c r="BB239">
        <f>VLOOKUP($E239,Constants!$I:$K, 2, FALSE)</f>
        <v>0.85</v>
      </c>
      <c r="BC239">
        <f>VLOOKUP($E239,Constants!$I:$K, 3, FALSE)*IF(AND(D239="multiple_unit",Y239&lt;110),0.75,1)</f>
        <v>1.7249999999999999</v>
      </c>
      <c r="BD239">
        <f>INT(POWER(((Constants!$G$2+$AW239+$AX239+$AY239+$BA239)*$AZ239)*$BC239, 1.05))+$AV239</f>
        <v>75</v>
      </c>
      <c r="BE239">
        <f>INT(POWER((((Constants!$G$1+$AW239+$AX239+$AY239+$BA239)*($AZ239))*$BB239),IF($D239="wagon",1,1.2)))+$AU239</f>
        <v>92</v>
      </c>
      <c r="BF239" s="15">
        <f t="shared" si="65"/>
        <v>58593.75</v>
      </c>
      <c r="BG239" s="15">
        <f t="shared" si="66"/>
        <v>7475</v>
      </c>
      <c r="BK239" t="s">
        <v>1156</v>
      </c>
      <c r="BM239" t="s">
        <v>1188</v>
      </c>
      <c r="BN239">
        <v>5</v>
      </c>
      <c r="BO239">
        <v>205</v>
      </c>
      <c r="BQ239" t="s">
        <v>310</v>
      </c>
      <c r="BR239" t="str">
        <f>VLOOKUP(G239,Eras!$A$2:$C$10, 2, TRUE)</f>
        <v>lbr</v>
      </c>
      <c r="BS239" t="s">
        <v>361</v>
      </c>
      <c r="BT239" t="str">
        <f t="shared" si="67"/>
        <v>lbr_EMU (Express)</v>
      </c>
      <c r="BU239" t="str">
        <f t="shared" si="68"/>
        <v>electric_THIRD_RAIL</v>
      </c>
      <c r="BV239" t="str">
        <f>VLOOKUP($BU239, Constants!$M:$N, 2, FALSE)</f>
        <v>{BLACK}Powered by: {GOLD}750V DC</v>
      </c>
      <c r="BW239" t="str">
        <f t="shared" si="72"/>
        <v>{BLACK}Cars: {GOLD}4</v>
      </c>
      <c r="BX239" t="s">
        <v>699</v>
      </c>
      <c r="BY239" t="str">
        <f t="shared" si="73"/>
        <v>{YELLOW}10% Bonus for long distance travel{}</v>
      </c>
      <c r="BZ239"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0" spans="1:78" x14ac:dyDescent="0.25">
      <c r="A240" t="s">
        <v>93</v>
      </c>
      <c r="B240" t="s">
        <v>249</v>
      </c>
      <c r="C240">
        <v>466</v>
      </c>
      <c r="D240" t="s">
        <v>431</v>
      </c>
      <c r="E240" t="s">
        <v>299</v>
      </c>
      <c r="F240" t="s">
        <v>301</v>
      </c>
      <c r="G240">
        <v>1989</v>
      </c>
      <c r="H240">
        <v>1992</v>
      </c>
      <c r="J240">
        <v>3</v>
      </c>
      <c r="K240">
        <f>350*3</f>
        <v>1050</v>
      </c>
      <c r="T240">
        <f>37.8*3</f>
        <v>113.39999999999999</v>
      </c>
      <c r="V240">
        <f t="shared" si="74"/>
        <v>24</v>
      </c>
      <c r="W240">
        <v>120</v>
      </c>
      <c r="X240" s="4">
        <f t="shared" si="57"/>
        <v>0.10582010582010581</v>
      </c>
      <c r="Y240">
        <v>90</v>
      </c>
      <c r="AA240">
        <v>23.2</v>
      </c>
      <c r="AB240">
        <v>23</v>
      </c>
      <c r="AC240">
        <v>2.7</v>
      </c>
      <c r="AE240" s="11">
        <v>69</v>
      </c>
      <c r="AF240" t="str">
        <f>CONCATENATE(VLOOKUP(AG240, 'Voxel Sizes'!$A$2:$B$18,2,FALSE),"x",INT(AC240*15), "x", INT(AD240*15))</f>
        <v>214x40x0</v>
      </c>
      <c r="AG240">
        <f t="shared" si="58"/>
        <v>13</v>
      </c>
      <c r="AI240" t="str">
        <f>CONCATENATE(VLOOKUP(AG240,Constants!$A$2:$C$16,IF(AH240&lt;&gt;"", 3, 2), FALSE),IF(AH240&lt;&gt;"",CONCATENATE(",",VLOOKUP(AH240,$B:$AI,34,FALSE)),""))</f>
        <v>4,5,4</v>
      </c>
      <c r="AM240" t="s">
        <v>663</v>
      </c>
      <c r="AO240" t="s">
        <v>319</v>
      </c>
      <c r="AS240">
        <v>33</v>
      </c>
      <c r="AT240" t="str">
        <f t="shared" si="59"/>
        <v/>
      </c>
      <c r="AU240">
        <v>-10</v>
      </c>
      <c r="AV240">
        <v>-15</v>
      </c>
      <c r="AW240">
        <f t="shared" si="60"/>
        <v>18</v>
      </c>
      <c r="AX240">
        <f t="shared" si="61"/>
        <v>5.25</v>
      </c>
      <c r="AY240">
        <f t="shared" si="62"/>
        <v>6</v>
      </c>
      <c r="AZ240" s="4">
        <f t="shared" si="63"/>
        <v>0.8813333333333333</v>
      </c>
      <c r="BA240">
        <f t="shared" si="64"/>
        <v>6.9</v>
      </c>
      <c r="BB240">
        <f>VLOOKUP($E240,Constants!$I:$K, 2, FALSE)</f>
        <v>1</v>
      </c>
      <c r="BC240">
        <f>VLOOKUP($E240,Constants!$I:$K, 3, FALSE)*IF(AND(D240="multiple_unit",Y240&lt;110),0.75,1)</f>
        <v>1.5</v>
      </c>
      <c r="BD240">
        <f>INT(POWER(((Constants!$G$2+$AW240+$AX240+$AY240+$BA240)*$AZ240)*$BC240, 1.05))+$AV240</f>
        <v>51</v>
      </c>
      <c r="BE240">
        <f>INT(POWER((((Constants!$G$1+$AW240+$AX240+$AY240+$BA240)*($AZ240))*$BB240),IF($D240="wagon",1,1.2)))+$AU240</f>
        <v>86</v>
      </c>
      <c r="BF240" s="15">
        <f t="shared" si="65"/>
        <v>39843.75</v>
      </c>
      <c r="BG240" s="15">
        <f t="shared" si="66"/>
        <v>6987.5</v>
      </c>
      <c r="BK240" t="s">
        <v>1155</v>
      </c>
      <c r="BN240">
        <v>7</v>
      </c>
      <c r="BO240">
        <v>205</v>
      </c>
      <c r="BQ240" t="s">
        <v>310</v>
      </c>
      <c r="BR240" t="str">
        <f>VLOOKUP(G240,Eras!$A$2:$C$10, 2, TRUE)</f>
        <v>lbr</v>
      </c>
      <c r="BS240" t="s">
        <v>359</v>
      </c>
      <c r="BT240" t="str">
        <f t="shared" si="67"/>
        <v>lbr_DMU (Express)</v>
      </c>
      <c r="BU240" t="str">
        <f t="shared" si="68"/>
        <v>diesel_RAIL</v>
      </c>
      <c r="BV240" t="str">
        <f>VLOOKUP($BU240, Constants!$M:$N, 2, FALSE)</f>
        <v>{BLACK}Powered by: {GOLD}Diesel</v>
      </c>
      <c r="BW240" t="str">
        <f t="shared" si="72"/>
        <v>{BLACK}Cars: {GOLD}3</v>
      </c>
      <c r="BX240" t="s">
        <v>664</v>
      </c>
      <c r="BY240" t="str">
        <f t="shared" si="73"/>
        <v>{YELLOW}10% Bonus for long distance travel{}</v>
      </c>
      <c r="BZ240" t="str">
        <f t="shared" si="71"/>
        <v>{BLACK}Powered by: {GOLD}Diesel {BLACK}Cars: {GOLD}3{}{YELLOW}10% Bonus for long distance travel{}{SILVER}The Class 158 has many improvements over earlier generation Sprinters, including air conditioning and a more comfortable ride.</v>
      </c>
    </row>
    <row r="241" spans="1:78" x14ac:dyDescent="0.25">
      <c r="A241" t="s">
        <v>89</v>
      </c>
      <c r="B241" t="s">
        <v>204</v>
      </c>
      <c r="C241">
        <v>468</v>
      </c>
      <c r="D241" t="s">
        <v>431</v>
      </c>
      <c r="E241" t="s">
        <v>323</v>
      </c>
      <c r="F241" t="s">
        <v>330</v>
      </c>
      <c r="G241">
        <v>1990</v>
      </c>
      <c r="J241">
        <v>2</v>
      </c>
      <c r="K241">
        <v>500</v>
      </c>
      <c r="T241">
        <v>72.5</v>
      </c>
      <c r="V241">
        <f t="shared" si="74"/>
        <v>16</v>
      </c>
      <c r="W241">
        <v>120</v>
      </c>
      <c r="X241" s="4">
        <f t="shared" si="57"/>
        <v>0.16551724137931034</v>
      </c>
      <c r="Y241">
        <v>75</v>
      </c>
      <c r="AA241">
        <v>19.8</v>
      </c>
      <c r="AB241">
        <v>19.8</v>
      </c>
      <c r="AE241" s="11">
        <v>75</v>
      </c>
      <c r="AF241" t="str">
        <f>CONCATENATE(VLOOKUP(AG241, 'Voxel Sizes'!$A$2:$B$18,2,FALSE),"x",INT(AC241*15), "x", INT(AD241*15))</f>
        <v>198x0x0</v>
      </c>
      <c r="AG241">
        <f t="shared" si="58"/>
        <v>12</v>
      </c>
      <c r="AI241" t="str">
        <f>CONCATENATE(VLOOKUP(AG241,Constants!$A$2:$C$16,IF(AH241&lt;&gt;"", 3, 2), FALSE),IF(AH241&lt;&gt;"",CONCATENATE(",",VLOOKUP(AH241,$B:$AI,34,FALSE)),""))</f>
        <v>4,4,4</v>
      </c>
      <c r="AM241" t="s">
        <v>639</v>
      </c>
      <c r="AO241" t="s">
        <v>494</v>
      </c>
      <c r="AS241">
        <v>31</v>
      </c>
      <c r="AT241" t="str">
        <f t="shared" si="59"/>
        <v/>
      </c>
      <c r="AU241">
        <v>-10</v>
      </c>
      <c r="AV241">
        <v>-20</v>
      </c>
      <c r="AW241">
        <f t="shared" si="60"/>
        <v>15</v>
      </c>
      <c r="AX241">
        <f t="shared" si="61"/>
        <v>2.5</v>
      </c>
      <c r="AY241">
        <f t="shared" si="62"/>
        <v>6</v>
      </c>
      <c r="AZ241" s="4">
        <f t="shared" si="63"/>
        <v>0.88</v>
      </c>
      <c r="BA241">
        <f t="shared" si="64"/>
        <v>5</v>
      </c>
      <c r="BB241">
        <f>VLOOKUP($E241,Constants!$I:$K, 2, FALSE)</f>
        <v>0.85</v>
      </c>
      <c r="BC241">
        <f>VLOOKUP($E241,Constants!$I:$K, 3, FALSE)*IF(AND(D241="multiple_unit",Y241&lt;110),0.75,1)</f>
        <v>1.7249999999999999</v>
      </c>
      <c r="BD241">
        <f>INT(POWER(((Constants!$G$2+$AW241+$AX241+$AY241+$BA241)*$AZ241)*$BC241, 1.05))+$AV241</f>
        <v>41</v>
      </c>
      <c r="BE241">
        <f>INT(POWER((((Constants!$G$1+$AW241+$AX241+$AY241+$BA241)*($AZ241))*$BB241),IF($D241="wagon",1,1.2)))+$AU241</f>
        <v>55</v>
      </c>
      <c r="BF241" s="15">
        <f t="shared" si="65"/>
        <v>32031.25</v>
      </c>
      <c r="BG241" s="15">
        <f t="shared" si="66"/>
        <v>4468.75</v>
      </c>
      <c r="BK241" t="s">
        <v>203</v>
      </c>
      <c r="BN241">
        <v>8</v>
      </c>
      <c r="BO241">
        <v>185</v>
      </c>
      <c r="BQ241" t="s">
        <v>310</v>
      </c>
      <c r="BR241" t="str">
        <f>VLOOKUP(G241,Eras!$A$2:$C$10, 2, TRUE)</f>
        <v>lbr</v>
      </c>
      <c r="BS241" t="s">
        <v>360</v>
      </c>
      <c r="BT241" t="str">
        <f t="shared" si="67"/>
        <v>lbr_EMU</v>
      </c>
      <c r="BU241" t="str">
        <f t="shared" si="68"/>
        <v>electric_THIRD_RAIL</v>
      </c>
      <c r="BV241" t="str">
        <f>VLOOKUP($BU241, Constants!$M:$N, 2, FALSE)</f>
        <v>{BLACK}Powered by: {GOLD}750V DC</v>
      </c>
      <c r="BW241" t="str">
        <f t="shared" si="72"/>
        <v>{BLACK}Cars: {GOLD}2</v>
      </c>
      <c r="BX241" t="s">
        <v>640</v>
      </c>
      <c r="BY241" t="str">
        <f t="shared" si="73"/>
        <v/>
      </c>
      <c r="BZ241" t="str">
        <f t="shared" si="71"/>
        <v>{BLACK}Powered by: {GOLD}750V DC {BLACK}Cars: {GOLD}2{}{SILVER}The Class 456 is a two-car EMU used for inner suburban services - either as a single unit for services with low demand or coupled to other Class 456 or 455 units for higher capacity routes.</v>
      </c>
    </row>
    <row r="242" spans="1:78" x14ac:dyDescent="0.25">
      <c r="A242" t="s">
        <v>94</v>
      </c>
      <c r="B242" t="s">
        <v>250</v>
      </c>
      <c r="C242">
        <v>470</v>
      </c>
      <c r="D242" t="s">
        <v>431</v>
      </c>
      <c r="E242" t="s">
        <v>299</v>
      </c>
      <c r="F242" t="s">
        <v>301</v>
      </c>
      <c r="G242">
        <v>1991</v>
      </c>
      <c r="H242">
        <v>1992</v>
      </c>
      <c r="J242">
        <v>2</v>
      </c>
      <c r="K242">
        <f>350*2</f>
        <v>700</v>
      </c>
      <c r="T242">
        <v>74</v>
      </c>
      <c r="V242">
        <f t="shared" si="74"/>
        <v>16</v>
      </c>
      <c r="W242">
        <v>105</v>
      </c>
      <c r="X242" s="4">
        <f t="shared" si="57"/>
        <v>0.14189189189189189</v>
      </c>
      <c r="Y242">
        <v>75</v>
      </c>
      <c r="AA242">
        <v>22.91</v>
      </c>
      <c r="AB242">
        <v>22.9</v>
      </c>
      <c r="AC242">
        <v>2.8</v>
      </c>
      <c r="AD242">
        <v>3.8</v>
      </c>
      <c r="AE242" s="11">
        <v>93</v>
      </c>
      <c r="AF242" t="str">
        <f>CONCATENATE(VLOOKUP(AG242, 'Voxel Sizes'!$A$2:$B$18,2,FALSE),"x",INT(AC242*15), "x", INT(AD242*15))</f>
        <v>214x42x57</v>
      </c>
      <c r="AG242">
        <f t="shared" si="58"/>
        <v>13</v>
      </c>
      <c r="AI242" t="str">
        <f>CONCATENATE(VLOOKUP(AG242,Constants!$A$2:$C$16,IF(AH242&lt;&gt;"", 3, 2), FALSE),IF(AH242&lt;&gt;"",CONCATENATE(",",VLOOKUP(AH242,$B:$AI,34,FALSE)),""))</f>
        <v>4,5,4</v>
      </c>
      <c r="AM242" t="s">
        <v>667</v>
      </c>
      <c r="AO242" t="s">
        <v>494</v>
      </c>
      <c r="AS242">
        <v>32</v>
      </c>
      <c r="AT242" t="str">
        <f t="shared" si="59"/>
        <v/>
      </c>
      <c r="AU242">
        <v>-10</v>
      </c>
      <c r="AV242">
        <v>-15</v>
      </c>
      <c r="AW242">
        <f t="shared" si="60"/>
        <v>15</v>
      </c>
      <c r="AX242">
        <f t="shared" si="61"/>
        <v>3.5</v>
      </c>
      <c r="AY242">
        <f t="shared" si="62"/>
        <v>5.25</v>
      </c>
      <c r="AZ242" s="4">
        <f t="shared" si="63"/>
        <v>0.87866666666666671</v>
      </c>
      <c r="BA242">
        <f t="shared" si="64"/>
        <v>6.2</v>
      </c>
      <c r="BB242">
        <f>VLOOKUP($E242,Constants!$I:$K, 2, FALSE)</f>
        <v>1</v>
      </c>
      <c r="BC242">
        <f>VLOOKUP($E242,Constants!$I:$K, 3, FALSE)*IF(AND(D242="multiple_unit",Y242&lt;110),0.75,1)</f>
        <v>1.5</v>
      </c>
      <c r="BD242">
        <f>INT(POWER(((Constants!$G$2+$AW242+$AX242+$AY242+$BA242)*$AZ242)*$BC242, 1.05))+$AV242</f>
        <v>40</v>
      </c>
      <c r="BE242">
        <f>INT(POWER((((Constants!$G$1+$AW242+$AX242+$AY242+$BA242)*($AZ242))*$BB242),IF($D242="wagon",1,1.2)))+$AU242</f>
        <v>72</v>
      </c>
      <c r="BF242" s="15">
        <f t="shared" si="65"/>
        <v>31250</v>
      </c>
      <c r="BG242" s="15">
        <f t="shared" si="66"/>
        <v>5850</v>
      </c>
      <c r="BN242">
        <v>9</v>
      </c>
      <c r="BO242">
        <v>185</v>
      </c>
      <c r="BQ242" t="s">
        <v>310</v>
      </c>
      <c r="BR242" t="str">
        <f>VLOOKUP(G242,Eras!$A$2:$C$10, 2, TRUE)</f>
        <v>lbr</v>
      </c>
      <c r="BS242" t="s">
        <v>358</v>
      </c>
      <c r="BT242" t="str">
        <f t="shared" si="67"/>
        <v>lbr_DMU</v>
      </c>
      <c r="BU242" t="str">
        <f t="shared" si="68"/>
        <v>diesel_RAIL</v>
      </c>
      <c r="BV242" t="str">
        <f>VLOOKUP($BU242, Constants!$M:$N, 2, FALSE)</f>
        <v>{BLACK}Powered by: {GOLD}Diesel</v>
      </c>
      <c r="BW242" t="str">
        <f t="shared" si="72"/>
        <v>{BLACK}Cars: {GOLD}2</v>
      </c>
      <c r="BX242" t="s">
        <v>668</v>
      </c>
      <c r="BY242" t="str">
        <f t="shared" si="73"/>
        <v/>
      </c>
      <c r="BZ242" t="str">
        <f t="shared" si="71"/>
        <v>{BLACK}Powered by: {GOLD}Diesel {BLACK}Cars: {GOLD}2{}{SILVER}The Class 165 is a high capacity DMU with 2+3 seating.</v>
      </c>
    </row>
    <row r="243" spans="1:78" x14ac:dyDescent="0.25">
      <c r="A243" t="s">
        <v>79</v>
      </c>
      <c r="B243" t="s">
        <v>268</v>
      </c>
      <c r="C243">
        <v>472</v>
      </c>
      <c r="D243" t="s">
        <v>431</v>
      </c>
      <c r="E243" t="s">
        <v>323</v>
      </c>
      <c r="F243" t="s">
        <v>330</v>
      </c>
      <c r="G243">
        <v>1992</v>
      </c>
      <c r="H243">
        <v>1994</v>
      </c>
      <c r="J243">
        <v>4</v>
      </c>
      <c r="K243">
        <v>1608</v>
      </c>
      <c r="T243">
        <v>136</v>
      </c>
      <c r="V243">
        <f t="shared" si="74"/>
        <v>32</v>
      </c>
      <c r="W243">
        <v>165</v>
      </c>
      <c r="X243" s="4">
        <f t="shared" si="57"/>
        <v>0.12132352941176471</v>
      </c>
      <c r="Y243">
        <v>75</v>
      </c>
      <c r="AA243">
        <v>20.89</v>
      </c>
      <c r="AB243">
        <v>20.89</v>
      </c>
      <c r="AD243">
        <v>3.77</v>
      </c>
      <c r="AE243" s="11">
        <v>81</v>
      </c>
      <c r="AF243" t="str">
        <f>CONCATENATE(VLOOKUP(AG243, 'Voxel Sizes'!$A$2:$B$18,2,FALSE),"x",INT(AC243*15), "x", INT(AD243*15))</f>
        <v>198x0x56</v>
      </c>
      <c r="AG243">
        <f t="shared" si="58"/>
        <v>12</v>
      </c>
      <c r="AI243" t="str">
        <f>CONCATENATE(VLOOKUP(AG243,Constants!$A$2:$C$16,IF(AH243&lt;&gt;"", 3, 2), FALSE),IF(AH243&lt;&gt;"",CONCATENATE(",",VLOOKUP(AH243,$B:$AI,34,FALSE)),""))</f>
        <v>4,4,4</v>
      </c>
      <c r="AM243" t="s">
        <v>603</v>
      </c>
      <c r="AO243" t="s">
        <v>492</v>
      </c>
      <c r="AS243">
        <v>32</v>
      </c>
      <c r="AT243" t="str">
        <f t="shared" si="59"/>
        <v/>
      </c>
      <c r="AU243">
        <v>-10</v>
      </c>
      <c r="AV243">
        <v>-20</v>
      </c>
      <c r="AW243">
        <f t="shared" si="60"/>
        <v>15</v>
      </c>
      <c r="AX243">
        <f t="shared" si="61"/>
        <v>8.0400000000000009</v>
      </c>
      <c r="AY243">
        <f t="shared" si="62"/>
        <v>8.25</v>
      </c>
      <c r="AZ243" s="4">
        <f t="shared" si="63"/>
        <v>0.8773333333333333</v>
      </c>
      <c r="BA243">
        <f t="shared" si="64"/>
        <v>10.8</v>
      </c>
      <c r="BB243">
        <f>VLOOKUP($E243,Constants!$I:$K, 2, FALSE)</f>
        <v>0.85</v>
      </c>
      <c r="BC243">
        <f>VLOOKUP($E243,Constants!$I:$K, 3, FALSE)*IF(AND(D243="multiple_unit",Y243&lt;110),0.75,1)</f>
        <v>1.7249999999999999</v>
      </c>
      <c r="BD243">
        <f>INT(POWER(((Constants!$G$2+$AW243+$AX243+$AY243+$BA243)*$AZ243)*$BC243, 1.05))+$AV243</f>
        <v>68</v>
      </c>
      <c r="BE243">
        <f>INT(POWER((((Constants!$G$1+$AW243+$AX243+$AY243+$BA243)*($AZ243))*$BB243),IF($D243="wagon",1,1.2)))+$AU243</f>
        <v>80</v>
      </c>
      <c r="BF243" s="15">
        <f t="shared" si="65"/>
        <v>53125</v>
      </c>
      <c r="BG243" s="15">
        <f t="shared" si="66"/>
        <v>6500</v>
      </c>
      <c r="BN243">
        <v>10</v>
      </c>
      <c r="BO243">
        <v>185</v>
      </c>
      <c r="BQ243" t="s">
        <v>310</v>
      </c>
      <c r="BR243" t="str">
        <f>VLOOKUP(G243,Eras!$A$2:$C$10, 2, TRUE)</f>
        <v>lbr</v>
      </c>
      <c r="BS243" t="s">
        <v>360</v>
      </c>
      <c r="BT243" t="str">
        <f t="shared" si="67"/>
        <v>lbr_EMU</v>
      </c>
      <c r="BU243" t="str">
        <f t="shared" si="68"/>
        <v>electric_THIRD_RAIL</v>
      </c>
      <c r="BV243" t="str">
        <f>VLOOKUP($BU243, Constants!$M:$N, 2, FALSE)</f>
        <v>{BLACK}Powered by: {GOLD}750V DC</v>
      </c>
      <c r="BW243" t="str">
        <f t="shared" si="72"/>
        <v>{BLACK}Cars: {GOLD}4</v>
      </c>
      <c r="BX243" t="s">
        <v>604</v>
      </c>
      <c r="BY243" t="str">
        <f t="shared" si="73"/>
        <v/>
      </c>
      <c r="BZ243" t="str">
        <f t="shared" si="71"/>
        <v>{BLACK}Powered by: {GOLD}750V DC {BLACK}Cars: {GOLD}4{}{SILVER}The BREL Networker was built by three different companies (ABB, Metro-Cammell and BREL) with minor detail differences between each manufacturer's output.</v>
      </c>
    </row>
    <row r="244" spans="1:78" x14ac:dyDescent="0.25">
      <c r="A244" t="s">
        <v>676</v>
      </c>
      <c r="B244" t="s">
        <v>677</v>
      </c>
      <c r="C244">
        <v>474</v>
      </c>
      <c r="D244" t="s">
        <v>431</v>
      </c>
      <c r="E244" t="s">
        <v>581</v>
      </c>
      <c r="F244" t="s">
        <v>580</v>
      </c>
      <c r="G244">
        <v>1992</v>
      </c>
      <c r="H244">
        <v>1996</v>
      </c>
      <c r="J244">
        <v>20</v>
      </c>
      <c r="K244">
        <v>16400</v>
      </c>
      <c r="L244" s="9">
        <v>4600</v>
      </c>
      <c r="T244">
        <v>752</v>
      </c>
      <c r="V244">
        <v>60</v>
      </c>
      <c r="W244">
        <v>220</v>
      </c>
      <c r="X244" s="4">
        <f t="shared" si="57"/>
        <v>2.9255319148936171E-2</v>
      </c>
      <c r="Y244">
        <v>186</v>
      </c>
      <c r="AA244">
        <v>22.15</v>
      </c>
      <c r="AB244">
        <v>22.15</v>
      </c>
      <c r="AC244">
        <v>2.81</v>
      </c>
      <c r="AE244" s="11">
        <v>39</v>
      </c>
      <c r="AF244" t="str">
        <f>CONCATENATE(VLOOKUP(AG244, 'Voxel Sizes'!$A$2:$B$18,2,FALSE),"x",INT(AC244*15), "x", INT(AD244*15))</f>
        <v>214x42x0</v>
      </c>
      <c r="AG244">
        <f t="shared" si="58"/>
        <v>13</v>
      </c>
      <c r="AI244" t="str">
        <f>CONCATENATE(VLOOKUP(AG244,Constants!$A$2:$C$16,IF(AH244&lt;&gt;"", 3, 2), FALSE),IF(AH244&lt;&gt;"",CONCATENATE(",",VLOOKUP(AH244,$B:$AI,34,FALSE)),""))</f>
        <v>4,5,4</v>
      </c>
      <c r="AK244" s="13" t="s">
        <v>1276</v>
      </c>
      <c r="AL244" s="13" t="s">
        <v>1281</v>
      </c>
      <c r="AM244" t="s">
        <v>727</v>
      </c>
      <c r="AN244" t="s">
        <v>677</v>
      </c>
      <c r="AO244" t="s">
        <v>728</v>
      </c>
      <c r="AS244">
        <v>25</v>
      </c>
      <c r="AT244" t="str">
        <f t="shared" si="59"/>
        <v/>
      </c>
      <c r="AW244">
        <f t="shared" si="60"/>
        <v>30</v>
      </c>
      <c r="AX244">
        <f t="shared" si="61"/>
        <v>20</v>
      </c>
      <c r="AY244">
        <f t="shared" si="62"/>
        <v>11</v>
      </c>
      <c r="AZ244" s="4">
        <f t="shared" si="63"/>
        <v>0.8773333333333333</v>
      </c>
      <c r="BA244">
        <f t="shared" si="64"/>
        <v>26</v>
      </c>
      <c r="BB244">
        <f>VLOOKUP($E244,Constants!$I:$K, 2, FALSE)</f>
        <v>0.85</v>
      </c>
      <c r="BC244">
        <f>VLOOKUP($E244,Constants!$I:$K, 3, FALSE)*IF(AND(D244="multiple_unit",Y244&lt;110),0.75,1)</f>
        <v>2.4</v>
      </c>
      <c r="BD244">
        <f>INT(POWER(((Constants!$G$2+$AW244+$AX244+$AY244+$BA244)*$AZ244)*$BC244, 1.05))+$AV244</f>
        <v>252</v>
      </c>
      <c r="BE244">
        <f>INT(POWER((((Constants!$G$1+$AW244+$AX244+$AY244+$BA244)*($AZ244))*$BB244),IF($D244="wagon",1,1.2)))+$AU244</f>
        <v>180</v>
      </c>
      <c r="BF244" s="15">
        <f t="shared" si="65"/>
        <v>196875</v>
      </c>
      <c r="BG244" s="15">
        <f t="shared" si="66"/>
        <v>14625</v>
      </c>
      <c r="BM244" t="s">
        <v>1190</v>
      </c>
      <c r="BN244">
        <v>11</v>
      </c>
      <c r="BO244">
        <v>232</v>
      </c>
      <c r="BQ244" t="s">
        <v>310</v>
      </c>
      <c r="BR244" t="str">
        <f>VLOOKUP(G244,Eras!$A$2:$C$10, 2, TRUE)</f>
        <v>lbr</v>
      </c>
      <c r="BS244" t="s">
        <v>361</v>
      </c>
      <c r="BT244" t="str">
        <f t="shared" si="67"/>
        <v>lbr_EMU (Express)</v>
      </c>
      <c r="BU244" t="str">
        <f t="shared" si="68"/>
        <v>dual_electric_DUAL_POWER</v>
      </c>
      <c r="BV244" t="str">
        <f>VLOOKUP($BU244, Constants!$M:$N, 2, FALSE)</f>
        <v>{BLACK}Powered by: {GOLD}25kV AC / 750V DC</v>
      </c>
      <c r="BW244" t="str">
        <f t="shared" si="72"/>
        <v>{BLACK}Cars: {GOLD}20</v>
      </c>
      <c r="BX244" t="s">
        <v>729</v>
      </c>
      <c r="BY244" t="str">
        <f t="shared" si="73"/>
        <v>{YELLOW}25% Bonus for long distance travel{}</v>
      </c>
      <c r="BZ244"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5" spans="1:78" x14ac:dyDescent="0.25">
      <c r="A245" t="s">
        <v>676</v>
      </c>
      <c r="B245" t="s">
        <v>1164</v>
      </c>
      <c r="C245">
        <v>475</v>
      </c>
      <c r="D245" t="s">
        <v>431</v>
      </c>
      <c r="E245" t="s">
        <v>581</v>
      </c>
      <c r="F245" t="s">
        <v>580</v>
      </c>
      <c r="G245">
        <v>1992</v>
      </c>
      <c r="H245">
        <v>1996</v>
      </c>
      <c r="J245">
        <v>8</v>
      </c>
      <c r="K245">
        <v>16400</v>
      </c>
      <c r="L245" s="9">
        <v>4600</v>
      </c>
      <c r="T245">
        <f>(752/20)*8</f>
        <v>300.8</v>
      </c>
      <c r="V245">
        <v>40</v>
      </c>
      <c r="W245">
        <v>220</v>
      </c>
      <c r="X245" s="4">
        <f t="shared" si="57"/>
        <v>7.3138297872340427E-2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1277</v>
      </c>
      <c r="AL245" s="13" t="s">
        <v>1282</v>
      </c>
      <c r="AM245" t="s">
        <v>731</v>
      </c>
      <c r="AN245" t="s">
        <v>677</v>
      </c>
      <c r="AO245" t="s">
        <v>732</v>
      </c>
      <c r="AP245" t="s">
        <v>677</v>
      </c>
      <c r="AS245">
        <v>25</v>
      </c>
      <c r="AT245" t="str">
        <f t="shared" si="59"/>
        <v/>
      </c>
      <c r="AW245">
        <f t="shared" si="60"/>
        <v>30</v>
      </c>
      <c r="AX245">
        <f t="shared" si="61"/>
        <v>20</v>
      </c>
      <c r="AY245">
        <f t="shared" si="62"/>
        <v>11</v>
      </c>
      <c r="AZ245" s="4">
        <f t="shared" si="63"/>
        <v>0.8773333333333333</v>
      </c>
      <c r="BA245">
        <f t="shared" si="64"/>
        <v>10.4</v>
      </c>
      <c r="BB245">
        <f>VLOOKUP($E245,Constants!$I:$K, 2, FALSE)</f>
        <v>0.85</v>
      </c>
      <c r="BC245">
        <f>VLOOKUP($E245,Constants!$I:$K, 3, FALSE)*IF(AND(D245="multiple_unit",Y245&lt;110),0.75,1)</f>
        <v>2.4</v>
      </c>
      <c r="BD245">
        <f>INT(POWER(((Constants!$G$2+$AW245+$AX245+$AY245+$BA245)*$AZ245)*$BC245, 1.05))+$AV245</f>
        <v>207</v>
      </c>
      <c r="BE245">
        <f>INT(POWER((((Constants!$G$1+$AW245+$AX245+$AY245+$BA245)*($AZ245))*$BB245),IF($D245="wagon",1,1.2)))+$AU245</f>
        <v>148</v>
      </c>
      <c r="BF245" s="15">
        <f t="shared" si="65"/>
        <v>161718.75</v>
      </c>
      <c r="BG245" s="15">
        <f t="shared" si="66"/>
        <v>12025</v>
      </c>
      <c r="BM245" t="s">
        <v>1189</v>
      </c>
      <c r="BN245">
        <v>11</v>
      </c>
      <c r="BO245">
        <v>232</v>
      </c>
      <c r="BQ245" t="s">
        <v>310</v>
      </c>
      <c r="BR245" t="str">
        <f>VLOOKUP(G245,Eras!$A$2:$C$10, 2, TRUE)</f>
        <v>lbr</v>
      </c>
      <c r="BS245" t="s">
        <v>361</v>
      </c>
      <c r="BT245" t="str">
        <f t="shared" si="67"/>
        <v>lbr_EMU (Express)</v>
      </c>
      <c r="BU245" t="str">
        <f t="shared" si="68"/>
        <v>dual_electric_DUAL_POWER</v>
      </c>
      <c r="BV245" t="str">
        <f>VLOOKUP($BU245, Constants!$M:$N, 2, FALSE)</f>
        <v>{BLACK}Powered by: {GOLD}25kV AC / 750V DC</v>
      </c>
      <c r="BW245" t="str">
        <f t="shared" si="72"/>
        <v>{BLACK}Cars: {GOLD}8</v>
      </c>
      <c r="BX245" t="s">
        <v>729</v>
      </c>
      <c r="BY245" t="str">
        <f t="shared" si="73"/>
        <v>{YELLOW}25% Bonus for long distance travel{}</v>
      </c>
      <c r="BZ245"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676</v>
      </c>
      <c r="B246" t="s">
        <v>1165</v>
      </c>
      <c r="C246">
        <v>476</v>
      </c>
      <c r="D246" t="s">
        <v>431</v>
      </c>
      <c r="E246" t="s">
        <v>581</v>
      </c>
      <c r="F246" t="s">
        <v>580</v>
      </c>
      <c r="G246">
        <v>1992</v>
      </c>
      <c r="H246">
        <v>1996</v>
      </c>
      <c r="J246">
        <v>5</v>
      </c>
      <c r="K246">
        <v>16400</v>
      </c>
      <c r="L246" s="9">
        <v>4600</v>
      </c>
      <c r="T246">
        <f>(752/20)*5</f>
        <v>188</v>
      </c>
      <c r="V246">
        <v>30</v>
      </c>
      <c r="W246">
        <v>220</v>
      </c>
      <c r="X246" s="4">
        <f t="shared" si="57"/>
        <v>0.11702127659574468</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1279</v>
      </c>
      <c r="AL246" s="13" t="s">
        <v>1283</v>
      </c>
      <c r="AM246" t="s">
        <v>1171</v>
      </c>
      <c r="AN246" t="s">
        <v>677</v>
      </c>
      <c r="AO246" t="s">
        <v>696</v>
      </c>
      <c r="AP246" t="s">
        <v>677</v>
      </c>
      <c r="AS246">
        <v>25</v>
      </c>
      <c r="AT246" t="str">
        <f t="shared" si="59"/>
        <v/>
      </c>
      <c r="AW246">
        <f t="shared" si="60"/>
        <v>30</v>
      </c>
      <c r="AX246">
        <f t="shared" si="61"/>
        <v>20</v>
      </c>
      <c r="AY246">
        <f t="shared" si="62"/>
        <v>11</v>
      </c>
      <c r="AZ246" s="4">
        <f t="shared" si="63"/>
        <v>0.8773333333333333</v>
      </c>
      <c r="BA246">
        <f t="shared" si="64"/>
        <v>6.5</v>
      </c>
      <c r="BB246">
        <f>VLOOKUP($E246,Constants!$I:$K, 2, FALSE)</f>
        <v>0.85</v>
      </c>
      <c r="BC246">
        <f>VLOOKUP($E246,Constants!$I:$K, 3, FALSE)*IF(AND(D246="multiple_unit",Y246&lt;110),0.75,1)</f>
        <v>2.4</v>
      </c>
      <c r="BD246">
        <f>INT(POWER(((Constants!$G$2+$AW246+$AX246+$AY246+$BA246)*$AZ246)*$BC246, 1.05))+$AV246</f>
        <v>196</v>
      </c>
      <c r="BE246">
        <f>INT(POWER((((Constants!$G$1+$AW246+$AX246+$AY246+$BA246)*($AZ246))*$BB246),IF($D246="wagon",1,1.2)))+$AU246</f>
        <v>140</v>
      </c>
      <c r="BF246" s="15">
        <f t="shared" si="65"/>
        <v>153125</v>
      </c>
      <c r="BG246" s="15">
        <f t="shared" si="66"/>
        <v>11375</v>
      </c>
      <c r="BM246" t="s">
        <v>1188</v>
      </c>
      <c r="BN246">
        <v>11</v>
      </c>
      <c r="BO246">
        <v>232</v>
      </c>
      <c r="BQ246" t="s">
        <v>310</v>
      </c>
      <c r="BR246" t="str">
        <f>VLOOKUP(G246,Eras!$A$2:$C$10, 2, TRUE)</f>
        <v>lbr</v>
      </c>
      <c r="BS246" t="s">
        <v>361</v>
      </c>
      <c r="BT246" t="str">
        <f t="shared" si="67"/>
        <v>lbr_EMU (Express)</v>
      </c>
      <c r="BU246" t="str">
        <f t="shared" si="68"/>
        <v>dual_electric_DUAL_POWER</v>
      </c>
      <c r="BV246" t="str">
        <f>VLOOKUP($BU246, Constants!$M:$N, 2, FALSE)</f>
        <v>{BLACK}Powered by: {GOLD}25kV AC / 750V DC</v>
      </c>
      <c r="BW246" t="str">
        <f t="shared" si="72"/>
        <v>{BLACK}Cars: {GOLD}5</v>
      </c>
      <c r="BX246" t="s">
        <v>729</v>
      </c>
      <c r="BY246" t="str">
        <f t="shared" si="73"/>
        <v>{YELLOW}25% Bonus for long distance travel{}</v>
      </c>
      <c r="BZ246"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96</v>
      </c>
      <c r="B247" t="s">
        <v>206</v>
      </c>
      <c r="C247">
        <v>480</v>
      </c>
      <c r="D247" t="s">
        <v>431</v>
      </c>
      <c r="E247" t="s">
        <v>581</v>
      </c>
      <c r="F247" t="s">
        <v>580</v>
      </c>
      <c r="G247">
        <v>1995</v>
      </c>
      <c r="J247">
        <v>4</v>
      </c>
      <c r="K247">
        <v>1328</v>
      </c>
      <c r="T247">
        <v>138.5</v>
      </c>
      <c r="V247">
        <f>8*J247</f>
        <v>32</v>
      </c>
      <c r="W247">
        <v>160</v>
      </c>
      <c r="X247" s="4">
        <f t="shared" si="57"/>
        <v>0.11552346570397112</v>
      </c>
      <c r="Y247">
        <v>100</v>
      </c>
      <c r="AA247">
        <v>19.829999999999998</v>
      </c>
      <c r="AB247">
        <v>19.8</v>
      </c>
      <c r="AC247">
        <v>2.8</v>
      </c>
      <c r="AD247">
        <v>3.8</v>
      </c>
      <c r="AE247" s="11">
        <v>78</v>
      </c>
      <c r="AF247" t="str">
        <f>CONCATENATE(VLOOKUP(AG247, 'Voxel Sizes'!$A$2:$B$18,2,FALSE),"x",INT(AC247*15), "x", INT(AD247*15))</f>
        <v>198x42x57</v>
      </c>
      <c r="AG247">
        <f t="shared" si="58"/>
        <v>12</v>
      </c>
      <c r="AI247" t="str">
        <f>CONCATENATE(VLOOKUP(AG247,Constants!$A$2:$C$16,IF(AH247&lt;&gt;"", 3, 2), FALSE),IF(AH247&lt;&gt;"",CONCATENATE(",",VLOOKUP(AH247,$B:$AI,34,FALSE)),""))</f>
        <v>4,4,4</v>
      </c>
      <c r="AM247" t="s">
        <v>683</v>
      </c>
      <c r="AN247" t="s">
        <v>686</v>
      </c>
      <c r="AO247" t="s">
        <v>584</v>
      </c>
      <c r="AS247">
        <v>30</v>
      </c>
      <c r="AT247" t="str">
        <f t="shared" si="59"/>
        <v/>
      </c>
      <c r="AU247">
        <v>-15</v>
      </c>
      <c r="AV247">
        <v>-40</v>
      </c>
      <c r="AW247">
        <f t="shared" si="60"/>
        <v>20</v>
      </c>
      <c r="AX247">
        <f t="shared" si="61"/>
        <v>6.6400000000000006</v>
      </c>
      <c r="AY247">
        <f t="shared" si="62"/>
        <v>8</v>
      </c>
      <c r="AZ247" s="4">
        <f t="shared" si="63"/>
        <v>0.87333333333333329</v>
      </c>
      <c r="BA247">
        <f t="shared" si="64"/>
        <v>10.4</v>
      </c>
      <c r="BB247">
        <f>VLOOKUP($E247,Constants!$I:$K, 2, FALSE)</f>
        <v>0.85</v>
      </c>
      <c r="BC247">
        <f>VLOOKUP($E247,Constants!$I:$K, 3, FALSE)*IF(AND(D247="multiple_unit",Y247&lt;110),0.75,1)</f>
        <v>1.7999999999999998</v>
      </c>
      <c r="BD247">
        <f>INT(POWER(((Constants!$G$2+$AW247+$AX247+$AY247+$BA247)*$AZ247)*$BC247, 1.05))+$AV247</f>
        <v>57</v>
      </c>
      <c r="BE247">
        <f>INT(POWER((((Constants!$G$1+$AW247+$AX247+$AY247+$BA247)*($AZ247))*$BB247),IF($D247="wagon",1,1.2)))+$AU247</f>
        <v>80</v>
      </c>
      <c r="BF247" s="15">
        <f t="shared" si="65"/>
        <v>44531.25</v>
      </c>
      <c r="BG247" s="15">
        <f t="shared" si="66"/>
        <v>6500</v>
      </c>
      <c r="BN247">
        <v>2</v>
      </c>
      <c r="BO247">
        <v>185</v>
      </c>
      <c r="BQ247" t="s">
        <v>684</v>
      </c>
      <c r="BR247" t="str">
        <f>VLOOKUP(G247,Eras!$A$2:$C$10, 2, TRUE)</f>
        <v>prv</v>
      </c>
      <c r="BS247" t="s">
        <v>359</v>
      </c>
      <c r="BT247" t="str">
        <f t="shared" si="67"/>
        <v>prv_DMU (Express)</v>
      </c>
      <c r="BU247" t="str">
        <f t="shared" si="68"/>
        <v>dual_electric_DUAL_POWER</v>
      </c>
      <c r="BV247" t="str">
        <f>VLOOKUP($BU247, Constants!$M:$N, 2, FALSE)</f>
        <v>{BLACK}Powered by: {GOLD}25kV AC / 750V DC</v>
      </c>
      <c r="BW247" t="str">
        <f t="shared" si="72"/>
        <v>{BLACK}Cars: {GOLD}4</v>
      </c>
      <c r="BX247" t="s">
        <v>685</v>
      </c>
      <c r="BY247" t="str">
        <f t="shared" si="73"/>
        <v/>
      </c>
      <c r="BZ247" t="str">
        <f t="shared" si="71"/>
        <v>{BLACK}Powered by: {GOLD}25kV AC / 750V DC {BLACK}Cars: {GOLD}4{}{SILVER}The Class 325 is a multiple unit designed for carrying mail and parcels more economically than a locomotive-hauled train. It is based on Class 319 hardware.</v>
      </c>
    </row>
    <row r="248" spans="1:78" x14ac:dyDescent="0.25">
      <c r="A248" t="s">
        <v>84</v>
      </c>
      <c r="B248" t="s">
        <v>621</v>
      </c>
      <c r="C248">
        <v>482</v>
      </c>
      <c r="D248" t="s">
        <v>431</v>
      </c>
      <c r="E248" t="s">
        <v>299</v>
      </c>
      <c r="F248" t="s">
        <v>301</v>
      </c>
      <c r="G248">
        <v>1998</v>
      </c>
      <c r="H248">
        <v>2005</v>
      </c>
      <c r="J248">
        <v>3</v>
      </c>
      <c r="K248">
        <v>1266</v>
      </c>
      <c r="T248">
        <v>135</v>
      </c>
      <c r="V248">
        <f>8*J248</f>
        <v>24</v>
      </c>
      <c r="W248">
        <v>180</v>
      </c>
      <c r="X248" s="4">
        <f t="shared" si="57"/>
        <v>0.13333333333333333</v>
      </c>
      <c r="Y248">
        <v>100</v>
      </c>
      <c r="AA248">
        <v>23.62</v>
      </c>
      <c r="AB248">
        <v>21</v>
      </c>
      <c r="AC248">
        <v>2.69</v>
      </c>
      <c r="AD248">
        <v>3.77</v>
      </c>
      <c r="AE248" s="11">
        <v>63</v>
      </c>
      <c r="AF248" t="str">
        <f>CONCATENATE(VLOOKUP(AG248, 'Voxel Sizes'!$A$2:$B$18,2,FALSE),"x",INT(AC248*15), "x", INT(AD248*15))</f>
        <v>198x40x56</v>
      </c>
      <c r="AG248">
        <f t="shared" si="58"/>
        <v>12</v>
      </c>
      <c r="AI248" t="str">
        <f>CONCATENATE(VLOOKUP(AG248,Constants!$A$2:$C$16,IF(AH248&lt;&gt;"", 3, 2), FALSE),IF(AH248&lt;&gt;"",CONCATENATE(",",VLOOKUP(AH248,$B:$AI,34,FALSE)),""))</f>
        <v>4,4,4</v>
      </c>
      <c r="AM248" t="s">
        <v>620</v>
      </c>
      <c r="AO248" t="s">
        <v>319</v>
      </c>
      <c r="AS248">
        <v>29</v>
      </c>
      <c r="AT248" t="str">
        <f t="shared" si="59"/>
        <v/>
      </c>
      <c r="AU248">
        <v>-15</v>
      </c>
      <c r="AV248">
        <v>-25</v>
      </c>
      <c r="AW248">
        <f t="shared" si="60"/>
        <v>20</v>
      </c>
      <c r="AX248">
        <f t="shared" si="61"/>
        <v>6.33</v>
      </c>
      <c r="AY248">
        <f t="shared" si="62"/>
        <v>9</v>
      </c>
      <c r="AZ248" s="4">
        <f t="shared" si="63"/>
        <v>0.86933333333333329</v>
      </c>
      <c r="BA248">
        <f t="shared" si="64"/>
        <v>6.3</v>
      </c>
      <c r="BB248">
        <f>VLOOKUP($E248,Constants!$I:$K, 2, FALSE)</f>
        <v>1</v>
      </c>
      <c r="BC248">
        <f>VLOOKUP($E248,Constants!$I:$K, 3, FALSE)*IF(AND(D248="multiple_unit",Y248&lt;110),0.75,1)</f>
        <v>1.5</v>
      </c>
      <c r="BD248">
        <f>INT(POWER(((Constants!$G$2+$AW248+$AX248+$AY248+$BA248)*$AZ248)*$BC248, 1.05))+$AV248</f>
        <v>49</v>
      </c>
      <c r="BE248">
        <f>INT(POWER((((Constants!$G$1+$AW248+$AX248+$AY248+$BA248)*($AZ248))*$BB248),IF($D248="wagon",1,1.2)))+$AU248</f>
        <v>92</v>
      </c>
      <c r="BF248" s="15">
        <f t="shared" si="65"/>
        <v>38281.25</v>
      </c>
      <c r="BG248" s="15">
        <f t="shared" si="66"/>
        <v>7475</v>
      </c>
      <c r="BK248" t="s">
        <v>1157</v>
      </c>
      <c r="BN248">
        <v>3</v>
      </c>
      <c r="BO248">
        <v>185</v>
      </c>
      <c r="BQ248" t="s">
        <v>310</v>
      </c>
      <c r="BR248" t="str">
        <f>VLOOKUP(G248,Eras!$A$2:$C$10, 2, TRUE)</f>
        <v>prv</v>
      </c>
      <c r="BS248" t="s">
        <v>358</v>
      </c>
      <c r="BT248" t="str">
        <f t="shared" si="67"/>
        <v>prv_DMU</v>
      </c>
      <c r="BU248" t="str">
        <f t="shared" si="68"/>
        <v>diesel_RAIL</v>
      </c>
      <c r="BV248" t="str">
        <f>VLOOKUP($BU248, Constants!$M:$N, 2, FALSE)</f>
        <v>{BLACK}Powered by: {GOLD}Diesel</v>
      </c>
      <c r="BW248" t="str">
        <f t="shared" si="72"/>
        <v>{BLACK}Cars: {GOLD}3</v>
      </c>
      <c r="BX248" t="s">
        <v>619</v>
      </c>
      <c r="BY248" t="str">
        <f t="shared" si="73"/>
        <v/>
      </c>
      <c r="BZ248" t="str">
        <f t="shared" si="71"/>
        <v>{BLACK}Powered by: {GOLD}Diesel {BLACK}Cars: {GOLD}3{}{SILVER}The Turbostar is a further development of the BR "Networker" units. It is used for regional and long distance services.</v>
      </c>
    </row>
    <row r="249" spans="1:78" x14ac:dyDescent="0.25">
      <c r="A249" t="s">
        <v>1311</v>
      </c>
      <c r="B249" t="s">
        <v>1312</v>
      </c>
      <c r="C249">
        <v>483</v>
      </c>
      <c r="D249" t="s">
        <v>431</v>
      </c>
      <c r="E249" t="s">
        <v>299</v>
      </c>
      <c r="F249" t="s">
        <v>301</v>
      </c>
      <c r="G249">
        <v>2000</v>
      </c>
      <c r="J249">
        <v>2</v>
      </c>
      <c r="K249">
        <f>450*2</f>
        <v>900</v>
      </c>
      <c r="T249">
        <v>98</v>
      </c>
      <c r="V249">
        <f>8*J249</f>
        <v>16</v>
      </c>
      <c r="W249">
        <v>120</v>
      </c>
      <c r="X249" s="4">
        <f t="shared" si="57"/>
        <v>0.12244897959183673</v>
      </c>
      <c r="Y249">
        <v>100</v>
      </c>
      <c r="AA249">
        <v>23.71</v>
      </c>
      <c r="AB249">
        <v>23.71</v>
      </c>
      <c r="AE249" s="11">
        <v>69</v>
      </c>
      <c r="AF249" t="str">
        <f>CONCATENATE(VLOOKUP(AG249, 'Voxel Sizes'!$A$2:$B$18,2,FALSE),"x",INT(AC249*15), "x", INT(AD249*15))</f>
        <v>238x0x0</v>
      </c>
      <c r="AG249">
        <f t="shared" si="58"/>
        <v>14</v>
      </c>
      <c r="AI249" t="str">
        <f>CONCATENATE(VLOOKUP(AG249,Constants!$A$2:$C$16,IF(AH249&lt;&gt;"", 3, 2), FALSE),IF(AH249&lt;&gt;"",CONCATENATE(",",VLOOKUP(AH249,$B:$AI,34,FALSE)),""))</f>
        <v>4,6,4</v>
      </c>
      <c r="AM249" t="s">
        <v>1314</v>
      </c>
      <c r="AO249" t="s">
        <v>494</v>
      </c>
      <c r="AS249">
        <v>22</v>
      </c>
      <c r="AT249" t="str">
        <f t="shared" si="59"/>
        <v/>
      </c>
      <c r="AU249">
        <v>-6</v>
      </c>
      <c r="AV249">
        <v>-25</v>
      </c>
      <c r="AW249">
        <f t="shared" si="60"/>
        <v>20</v>
      </c>
      <c r="AX249">
        <f t="shared" si="61"/>
        <v>4.5</v>
      </c>
      <c r="AY249">
        <f t="shared" si="62"/>
        <v>6</v>
      </c>
      <c r="AZ249" s="4">
        <f t="shared" si="63"/>
        <v>0.8666666666666667</v>
      </c>
      <c r="BA249">
        <f t="shared" si="64"/>
        <v>4.6000000000000005</v>
      </c>
      <c r="BB249">
        <f>VLOOKUP($E249,Constants!$I:$K, 2, FALSE)</f>
        <v>1</v>
      </c>
      <c r="BC249">
        <f>VLOOKUP($E249,Constants!$I:$K, 3, FALSE)*IF(AND(D249="multiple_unit",Y249&lt;110),0.75,1)</f>
        <v>1.5</v>
      </c>
      <c r="BD249">
        <f>INT(POWER(((Constants!$G$2+$AW249+$AX249+$AY249+$BA249)*$AZ249)*$BC249, 1.05))+$AV249</f>
        <v>38</v>
      </c>
      <c r="BE249">
        <f>INT(POWER((((Constants!$G$1+$AW249+$AX249+$AY249+$BA249)*($AZ249))*$BB249),IF($D249="wagon",1,1.2)))+$AU249</f>
        <v>86</v>
      </c>
      <c r="BF249" s="15">
        <f t="shared" si="65"/>
        <v>29687.5</v>
      </c>
      <c r="BG249" s="15">
        <f t="shared" si="66"/>
        <v>6987.5</v>
      </c>
      <c r="BN249">
        <v>4</v>
      </c>
      <c r="BQ249" t="s">
        <v>310</v>
      </c>
      <c r="BR249" t="str">
        <f>VLOOKUP(G249,Eras!$A$2:$C$10, 2, TRUE)</f>
        <v>prv</v>
      </c>
      <c r="BS249" t="s">
        <v>358</v>
      </c>
      <c r="BT249" t="str">
        <f t="shared" si="67"/>
        <v>prv_DMU</v>
      </c>
      <c r="BU249" t="str">
        <f t="shared" si="68"/>
        <v>diesel_RAIL</v>
      </c>
      <c r="BX249" t="s">
        <v>1313</v>
      </c>
      <c r="BZ249" t="str">
        <f t="shared" si="71"/>
        <v>{SILVER}Originally operated by First North Western, the Class 175s were cascaded to services in Wales. They suffered early reliability problems, but work on braking systems and bogies has made a significant improvement.</v>
      </c>
    </row>
    <row r="250" spans="1:78" x14ac:dyDescent="0.25">
      <c r="A250" t="s">
        <v>606</v>
      </c>
      <c r="B250" t="s">
        <v>611</v>
      </c>
      <c r="C250">
        <v>484</v>
      </c>
      <c r="D250" t="s">
        <v>431</v>
      </c>
      <c r="E250" t="s">
        <v>323</v>
      </c>
      <c r="F250" t="s">
        <v>330</v>
      </c>
      <c r="G250">
        <v>2000</v>
      </c>
      <c r="H250">
        <v>2001</v>
      </c>
      <c r="I250">
        <v>2012</v>
      </c>
      <c r="J250">
        <v>8</v>
      </c>
      <c r="K250">
        <v>3620</v>
      </c>
      <c r="T250">
        <v>319</v>
      </c>
      <c r="V250">
        <v>48</v>
      </c>
      <c r="W250">
        <v>240</v>
      </c>
      <c r="X250" s="4">
        <f t="shared" si="57"/>
        <v>7.5235109717868343E-2</v>
      </c>
      <c r="Y250">
        <v>100</v>
      </c>
      <c r="AB250">
        <v>21</v>
      </c>
      <c r="AE250" s="11">
        <f>23*3</f>
        <v>69</v>
      </c>
      <c r="AF250" t="str">
        <f>CONCATENATE(VLOOKUP(AG250, 'Voxel Sizes'!$A$2:$B$18,2,FALSE),"x",INT(AC250*15), "x", INT(AD250*15))</f>
        <v>198x0x0</v>
      </c>
      <c r="AG250">
        <f t="shared" si="58"/>
        <v>12</v>
      </c>
      <c r="AI250" t="str">
        <f>CONCATENATE(VLOOKUP(AG250,Constants!$A$2:$C$16,IF(AH250&lt;&gt;"", 3, 2), FALSE),IF(AH250&lt;&gt;"",CONCATENATE(",",VLOOKUP(AH250,$B:$AI,34,FALSE)),""))</f>
        <v>4,4,4</v>
      </c>
      <c r="AM250" t="s">
        <v>614</v>
      </c>
      <c r="AO250" t="s">
        <v>613</v>
      </c>
      <c r="AS250">
        <v>27</v>
      </c>
      <c r="AT250">
        <f t="shared" si="59"/>
        <v>8</v>
      </c>
      <c r="AU250">
        <v>-15</v>
      </c>
      <c r="AV250">
        <v>-30</v>
      </c>
      <c r="AW250">
        <f t="shared" si="60"/>
        <v>20</v>
      </c>
      <c r="AX250">
        <f t="shared" si="61"/>
        <v>18.100000000000001</v>
      </c>
      <c r="AY250">
        <f t="shared" si="62"/>
        <v>12</v>
      </c>
      <c r="AZ250" s="4">
        <f t="shared" si="63"/>
        <v>0.8666666666666667</v>
      </c>
      <c r="BA250">
        <f t="shared" si="64"/>
        <v>18.400000000000002</v>
      </c>
      <c r="BB250">
        <f>VLOOKUP($E250,Constants!$I:$K, 2, FALSE)</f>
        <v>0.85</v>
      </c>
      <c r="BC250">
        <f>VLOOKUP($E250,Constants!$I:$K, 3, FALSE)*IF(AND(D250="multiple_unit",Y250&lt;110),0.75,1)</f>
        <v>1.7249999999999999</v>
      </c>
      <c r="BD250">
        <f>INT(POWER(((Constants!$G$2+$AW250+$AX250+$AY250+$BA250)*$AZ250)*$BC250, 1.05))+$AV250</f>
        <v>108</v>
      </c>
      <c r="BE250">
        <f>INT(POWER((((Constants!$G$1+$AW250+$AX250+$AY250+$BA250)*($AZ250))*$BB250),IF($D250="wagon",1,1.2)))+$AU250</f>
        <v>125</v>
      </c>
      <c r="BF250" s="15">
        <f t="shared" si="65"/>
        <v>84375</v>
      </c>
      <c r="BG250" s="15">
        <f t="shared" si="66"/>
        <v>10156.25</v>
      </c>
      <c r="BM250" t="s">
        <v>1186</v>
      </c>
      <c r="BN250">
        <v>4</v>
      </c>
      <c r="BO250">
        <v>205</v>
      </c>
      <c r="BQ250" t="s">
        <v>310</v>
      </c>
      <c r="BR250" t="str">
        <f>VLOOKUP(G250,Eras!$A$2:$C$10, 2, TRUE)</f>
        <v>prv</v>
      </c>
      <c r="BS250" t="s">
        <v>361</v>
      </c>
      <c r="BT250" t="str">
        <f t="shared" si="67"/>
        <v>prv_EMU (Express)</v>
      </c>
      <c r="BU250" t="str">
        <f t="shared" si="68"/>
        <v>electric_THIRD_RAIL</v>
      </c>
      <c r="BV250" t="str">
        <f>VLOOKUP($BU250, Constants!$M:$N, 2, FALSE)</f>
        <v>{BLACK}Powered by: {GOLD}750V DC</v>
      </c>
      <c r="BW250" t="str">
        <f>IF(J250&gt;1,_xlfn.CONCAT("{BLACK}Cars: {GOLD}", J250),"")</f>
        <v>{BLACK}Cars: {GOLD}8</v>
      </c>
      <c r="BX250" t="s">
        <v>612</v>
      </c>
      <c r="BY250" t="str">
        <f>IF(BQ250="BRAKE","{YELLOW}Speed bonus for slow wagons{}",IF(BO250&gt;190,CONCATENATE("{YELLOW}",INT((BO250-185)/1.85),"% Bonus for long distance travel{}"),IF(AND(BO250&lt;180,BO250&lt;&gt;0),CONCATENATE("{YELLOW}",INT((185-BO250)/1.85),"% Penalty for long distance travel{}"),"")))</f>
        <v>{YELLOW}10% Bonus for long distance travel{}</v>
      </c>
      <c r="BZ250"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1" spans="1:78" x14ac:dyDescent="0.25">
      <c r="A251" t="s">
        <v>606</v>
      </c>
      <c r="B251" t="s">
        <v>1179</v>
      </c>
      <c r="C251">
        <v>485</v>
      </c>
      <c r="D251" t="s">
        <v>431</v>
      </c>
      <c r="E251" t="s">
        <v>323</v>
      </c>
      <c r="F251" t="s">
        <v>330</v>
      </c>
      <c r="G251">
        <v>2000</v>
      </c>
      <c r="H251">
        <v>2001</v>
      </c>
      <c r="I251">
        <v>2012</v>
      </c>
      <c r="J251">
        <v>5</v>
      </c>
      <c r="K251">
        <v>3620</v>
      </c>
      <c r="T251">
        <f>319/8*5</f>
        <v>199.375</v>
      </c>
      <c r="V251">
        <f>8*J251</f>
        <v>40</v>
      </c>
      <c r="W251">
        <v>240</v>
      </c>
      <c r="X251" s="4">
        <f t="shared" si="57"/>
        <v>0.12037617554858934</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1180</v>
      </c>
      <c r="AO251" t="s">
        <v>696</v>
      </c>
      <c r="AP251" t="s">
        <v>611</v>
      </c>
      <c r="AS251">
        <v>27</v>
      </c>
      <c r="AT251">
        <f t="shared" si="59"/>
        <v>8</v>
      </c>
      <c r="AU251">
        <v>-15</v>
      </c>
      <c r="AV251">
        <v>-30</v>
      </c>
      <c r="AW251">
        <f t="shared" si="60"/>
        <v>20</v>
      </c>
      <c r="AX251">
        <f t="shared" si="61"/>
        <v>18.100000000000001</v>
      </c>
      <c r="AY251">
        <f t="shared" si="62"/>
        <v>12</v>
      </c>
      <c r="AZ251" s="4">
        <f t="shared" si="63"/>
        <v>0.8666666666666667</v>
      </c>
      <c r="BA251">
        <f t="shared" si="64"/>
        <v>11.500000000000002</v>
      </c>
      <c r="BB251">
        <f>VLOOKUP($E251,Constants!$I:$K, 2, FALSE)</f>
        <v>0.85</v>
      </c>
      <c r="BC251">
        <f>VLOOKUP($E251,Constants!$I:$K, 3, FALSE)*IF(AND(D251="multiple_unit",Y251&lt;110),0.75,1)</f>
        <v>1.7249999999999999</v>
      </c>
      <c r="BD251">
        <f>INT(POWER(((Constants!$G$2+$AW251+$AX251+$AY251+$BA251)*$AZ251)*$BC251, 1.05))+$AV251</f>
        <v>95</v>
      </c>
      <c r="BE251">
        <f>INT(POWER((((Constants!$G$1+$AW251+$AX251+$AY251+$BA251)*($AZ251))*$BB251),IF($D251="wagon",1,1.2)))+$AU251</f>
        <v>111</v>
      </c>
      <c r="BF251" s="15">
        <f t="shared" si="65"/>
        <v>74218.75</v>
      </c>
      <c r="BG251" s="15">
        <f t="shared" si="66"/>
        <v>9018.75</v>
      </c>
      <c r="BM251" t="s">
        <v>1188</v>
      </c>
      <c r="BN251">
        <v>4</v>
      </c>
      <c r="BO251">
        <v>205</v>
      </c>
      <c r="BQ251" t="s">
        <v>310</v>
      </c>
      <c r="BR251" t="str">
        <f>VLOOKUP(G251,Eras!$A$2:$C$10, 2, TRUE)</f>
        <v>prv</v>
      </c>
      <c r="BS251" t="s">
        <v>361</v>
      </c>
      <c r="BT251" t="str">
        <f t="shared" si="67"/>
        <v>prv_EMU (Express)</v>
      </c>
      <c r="BU251" t="str">
        <f t="shared" si="68"/>
        <v>electric_THIRD_RAIL</v>
      </c>
      <c r="BV251" t="str">
        <f>VLOOKUP($BU251, Constants!$M:$N, 2, FALSE)</f>
        <v>{BLACK}Powered by: {GOLD}750V DC</v>
      </c>
      <c r="BW251" t="str">
        <f>IF(J251&gt;1,_xlfn.CONCAT("{BLACK}Cars: {GOLD}", J251),"")</f>
        <v>{BLACK}Cars: {GOLD}5</v>
      </c>
      <c r="BX251" t="s">
        <v>612</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2" spans="1:78" x14ac:dyDescent="0.25">
      <c r="A252" t="s">
        <v>1299</v>
      </c>
      <c r="B252" t="s">
        <v>1300</v>
      </c>
      <c r="C252">
        <v>486</v>
      </c>
      <c r="D252" t="s">
        <v>431</v>
      </c>
      <c r="E252" t="s">
        <v>299</v>
      </c>
      <c r="F252" t="s">
        <v>301</v>
      </c>
      <c r="G252">
        <v>2001</v>
      </c>
      <c r="J252">
        <v>5</v>
      </c>
      <c r="K252">
        <f>750*3</f>
        <v>2250</v>
      </c>
      <c r="T252">
        <v>252.5</v>
      </c>
      <c r="V252">
        <f>7*J252</f>
        <v>35</v>
      </c>
      <c r="W252">
        <v>190</v>
      </c>
      <c r="X252" s="4">
        <f t="shared" si="57"/>
        <v>7.5247524752475245E-2</v>
      </c>
      <c r="Y252">
        <v>125</v>
      </c>
      <c r="AA252">
        <v>23.71</v>
      </c>
      <c r="AB252">
        <v>23.71</v>
      </c>
      <c r="AE252" s="11">
        <v>57</v>
      </c>
      <c r="AF252" t="str">
        <f>CONCATENATE(VLOOKUP(AG252, 'Voxel Sizes'!$A$2:$B$18,2,FALSE),"x",INT(AC252*15), "x", INT(AD252*15))</f>
        <v>238x0x0</v>
      </c>
      <c r="AG252">
        <f t="shared" si="58"/>
        <v>14</v>
      </c>
      <c r="AI252" t="str">
        <f>CONCATENATE(VLOOKUP(AG252,Constants!$A$2:$C$16,IF(AH252&lt;&gt;"", 3, 2), FALSE),IF(AH252&lt;&gt;"",CONCATENATE(",",VLOOKUP(AH252,$B:$AI,34,FALSE)),""))</f>
        <v>4,6,4</v>
      </c>
      <c r="AM252" t="s">
        <v>1301</v>
      </c>
      <c r="AO252" t="s">
        <v>636</v>
      </c>
      <c r="AS252">
        <v>22</v>
      </c>
      <c r="AT252" t="str">
        <f t="shared" si="59"/>
        <v/>
      </c>
      <c r="AU252">
        <v>-8</v>
      </c>
      <c r="AV252">
        <v>-30</v>
      </c>
      <c r="AW252">
        <f t="shared" si="60"/>
        <v>25</v>
      </c>
      <c r="AX252">
        <f t="shared" si="61"/>
        <v>11.25</v>
      </c>
      <c r="AY252">
        <f t="shared" si="62"/>
        <v>9.5</v>
      </c>
      <c r="AZ252" s="4">
        <f t="shared" si="63"/>
        <v>0.86533333333333329</v>
      </c>
      <c r="BA252">
        <f t="shared" si="64"/>
        <v>9.5</v>
      </c>
      <c r="BB252">
        <f>VLOOKUP($E252,Constants!$I:$K, 2, FALSE)</f>
        <v>1</v>
      </c>
      <c r="BC252">
        <f>VLOOKUP($E252,Constants!$I:$K, 3, FALSE)*IF(AND(D252="multiple_unit",Y252&lt;110),0.75,1)</f>
        <v>2</v>
      </c>
      <c r="BD252">
        <f>INT(POWER(((Constants!$G$2+$AW252+$AX252+$AY252+$BA252)*$AZ252)*$BC252, 1.05))+$AV252</f>
        <v>101</v>
      </c>
      <c r="BE252">
        <f>INT(POWER((((Constants!$G$1+$AW252+$AX252+$AY252+$BA252)*($AZ252))*$BB252),IF($D252="wagon",1,1.2)))+$AU252</f>
        <v>130</v>
      </c>
      <c r="BF252" s="15">
        <f t="shared" si="65"/>
        <v>78906.25</v>
      </c>
      <c r="BG252" s="15">
        <f t="shared" si="66"/>
        <v>10562.5</v>
      </c>
      <c r="BM252" t="s">
        <v>1186</v>
      </c>
      <c r="BN252">
        <v>7</v>
      </c>
      <c r="BQ252" t="s">
        <v>310</v>
      </c>
      <c r="BR252" t="str">
        <f>VLOOKUP(G252,Eras!$A$2:$C$10, 2, TRUE)</f>
        <v>prv</v>
      </c>
      <c r="BS252" t="s">
        <v>359</v>
      </c>
      <c r="BT252" t="str">
        <f t="shared" si="67"/>
        <v>prv_DMU (Express)</v>
      </c>
      <c r="BU252" t="str">
        <f t="shared" si="68"/>
        <v>diesel_RAIL</v>
      </c>
      <c r="BX252" t="s">
        <v>1302</v>
      </c>
      <c r="BZ252" t="str">
        <f t="shared" si="71"/>
        <v>{SILVER}Unusually for a high speed unit, the Class 180 uses a diesel-hydraulic transmission. Unfortunately the units suffered reliability problems both before and after launch.</v>
      </c>
    </row>
    <row r="253" spans="1:78" x14ac:dyDescent="0.25">
      <c r="A253" t="s">
        <v>1299</v>
      </c>
      <c r="B253" t="s">
        <v>1344</v>
      </c>
      <c r="C253">
        <v>487</v>
      </c>
      <c r="D253" t="s">
        <v>431</v>
      </c>
      <c r="E253" t="s">
        <v>299</v>
      </c>
      <c r="F253" t="s">
        <v>301</v>
      </c>
      <c r="G253">
        <v>2001</v>
      </c>
      <c r="J253">
        <v>4</v>
      </c>
      <c r="K253">
        <f>750*3</f>
        <v>2250</v>
      </c>
      <c r="T253">
        <v>203</v>
      </c>
      <c r="V253">
        <f>7*J253</f>
        <v>28</v>
      </c>
      <c r="W253">
        <v>190</v>
      </c>
      <c r="X253" s="4">
        <f t="shared" si="57"/>
        <v>9.3596059113300489E-2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1345</v>
      </c>
      <c r="AO253" t="s">
        <v>1166</v>
      </c>
      <c r="AP253" t="s">
        <v>1300</v>
      </c>
      <c r="AS253">
        <v>22</v>
      </c>
      <c r="AT253" t="str">
        <f t="shared" si="59"/>
        <v/>
      </c>
      <c r="AU253">
        <v>-8</v>
      </c>
      <c r="AV253">
        <v>-30</v>
      </c>
      <c r="AW253">
        <f t="shared" si="60"/>
        <v>25</v>
      </c>
      <c r="AX253">
        <f t="shared" si="61"/>
        <v>11.25</v>
      </c>
      <c r="AY253">
        <f t="shared" si="62"/>
        <v>9.5</v>
      </c>
      <c r="AZ253" s="4">
        <f t="shared" si="63"/>
        <v>0.86533333333333329</v>
      </c>
      <c r="BA253">
        <f t="shared" si="64"/>
        <v>7.6</v>
      </c>
      <c r="BB253">
        <f>VLOOKUP($E253,Constants!$I:$K, 2, FALSE)</f>
        <v>1</v>
      </c>
      <c r="BC253">
        <f>VLOOKUP($E253,Constants!$I:$K, 3, FALSE)*IF(AND(D253="multiple_unit",Y253&lt;110),0.75,1)</f>
        <v>2</v>
      </c>
      <c r="BD253">
        <f>INT(POWER(((Constants!$G$2+$AW253+$AX253+$AY253+$BA253)*$AZ253)*$BC253, 1.05))+$AV253</f>
        <v>97</v>
      </c>
      <c r="BE253">
        <f>INT(POWER((((Constants!$G$1+$AW253+$AX253+$AY253+$BA253)*($AZ253))*$BB253),IF($D253="wagon",1,1.2)))+$AU253</f>
        <v>125</v>
      </c>
      <c r="BF253" s="15">
        <f t="shared" si="65"/>
        <v>75781.25</v>
      </c>
      <c r="BG253" s="15">
        <f t="shared" si="66"/>
        <v>10156.25</v>
      </c>
      <c r="BM253" t="s">
        <v>1188</v>
      </c>
      <c r="BN253">
        <v>7</v>
      </c>
      <c r="BQ253" t="s">
        <v>310</v>
      </c>
      <c r="BR253" t="str">
        <f>VLOOKUP(G253,Eras!$A$2:$C$10, 2, TRUE)</f>
        <v>prv</v>
      </c>
      <c r="BS253" t="s">
        <v>359</v>
      </c>
      <c r="BT253" t="str">
        <f t="shared" si="67"/>
        <v>prv_DMU (Express)</v>
      </c>
      <c r="BU253" t="str">
        <f t="shared" si="68"/>
        <v>diesel_RAIL</v>
      </c>
      <c r="BX253" t="s">
        <v>1302</v>
      </c>
      <c r="BZ253" t="str">
        <f t="shared" si="71"/>
        <v>{SILVER}Unusually for a high speed unit, the Class 180 uses a diesel-hydraulic transmission. Unfortunately the units suffered reliability problems both before and after launch.</v>
      </c>
    </row>
    <row r="254" spans="1:78" x14ac:dyDescent="0.25">
      <c r="A254" t="s">
        <v>607</v>
      </c>
      <c r="B254" t="s">
        <v>688</v>
      </c>
      <c r="C254">
        <v>488</v>
      </c>
      <c r="D254" t="s">
        <v>431</v>
      </c>
      <c r="E254" t="s">
        <v>323</v>
      </c>
      <c r="F254" t="s">
        <v>324</v>
      </c>
      <c r="G254">
        <v>2002</v>
      </c>
      <c r="J254">
        <v>8</v>
      </c>
      <c r="K254">
        <v>6840</v>
      </c>
      <c r="T254">
        <v>466</v>
      </c>
      <c r="V254">
        <v>60</v>
      </c>
      <c r="W254">
        <v>325</v>
      </c>
      <c r="X254" s="4">
        <f t="shared" si="57"/>
        <v>6.974248927038626E-2</v>
      </c>
      <c r="Y254">
        <v>140</v>
      </c>
      <c r="AA254">
        <v>23.9</v>
      </c>
      <c r="AB254">
        <v>23.9</v>
      </c>
      <c r="AC254">
        <v>2.73</v>
      </c>
      <c r="AD254">
        <v>3.56</v>
      </c>
      <c r="AE254" s="11">
        <v>60</v>
      </c>
      <c r="AF254" t="str">
        <f>CONCATENATE(VLOOKUP(AG254, 'Voxel Sizes'!$A$2:$B$18,2,FALSE),"x",INT(AC254*15), "x", INT(AD254*15))</f>
        <v>238x40x53</v>
      </c>
      <c r="AG254">
        <f t="shared" si="58"/>
        <v>14</v>
      </c>
      <c r="AI254" t="str">
        <f>CONCATENATE(VLOOKUP(AG254,Constants!$A$2:$C$16,IF(AH254&lt;&gt;"", 3, 2), FALSE),IF(AH254&lt;&gt;"",CONCATENATE(",",VLOOKUP(AH254,$B:$AI,34,FALSE)),""))</f>
        <v>4,6,4</v>
      </c>
      <c r="AM254" t="s">
        <v>687</v>
      </c>
      <c r="AO254" t="s">
        <v>690</v>
      </c>
      <c r="AS254">
        <v>29</v>
      </c>
      <c r="AT254" t="str">
        <f t="shared" si="59"/>
        <v/>
      </c>
      <c r="AU254">
        <v>-15</v>
      </c>
      <c r="AV254">
        <v>-35</v>
      </c>
      <c r="AW254">
        <f t="shared" si="60"/>
        <v>28</v>
      </c>
      <c r="AX254">
        <f t="shared" si="61"/>
        <v>20</v>
      </c>
      <c r="AY254">
        <f t="shared" si="62"/>
        <v>16.25</v>
      </c>
      <c r="AZ254" s="4">
        <f t="shared" si="63"/>
        <v>0.86399999999999999</v>
      </c>
      <c r="BA254">
        <f t="shared" si="64"/>
        <v>16</v>
      </c>
      <c r="BB254">
        <f>VLOOKUP($E254,Constants!$I:$K, 2, FALSE)</f>
        <v>0.85</v>
      </c>
      <c r="BC254">
        <f>VLOOKUP($E254,Constants!$I:$K, 3, FALSE)*IF(AND(D254="multiple_unit",Y254&lt;110),0.75,1)</f>
        <v>2.2999999999999998</v>
      </c>
      <c r="BD254">
        <f>INT(POWER(((Constants!$G$2+$AW254+$AX254+$AY254+$BA254)*$AZ254)*$BC254, 1.05))+$AV254</f>
        <v>183</v>
      </c>
      <c r="BE254">
        <f>INT(POWER((((Constants!$G$1+$AW254+$AX254+$AY254+$BA254)*($AZ254))*$BB254),IF($D254="wagon",1,1.2)))+$AU254</f>
        <v>148</v>
      </c>
      <c r="BF254" s="15">
        <f t="shared" si="65"/>
        <v>142968.75</v>
      </c>
      <c r="BG254" s="15">
        <f t="shared" si="66"/>
        <v>12025</v>
      </c>
      <c r="BJ254">
        <v>1</v>
      </c>
      <c r="BM254" t="s">
        <v>1190</v>
      </c>
      <c r="BN254">
        <v>6</v>
      </c>
      <c r="BO254">
        <v>205</v>
      </c>
      <c r="BQ254" t="s">
        <v>310</v>
      </c>
      <c r="BR254" t="str">
        <f>VLOOKUP(G254,Eras!$A$2:$C$10, 2, TRUE)</f>
        <v>prv</v>
      </c>
      <c r="BS254" t="s">
        <v>361</v>
      </c>
      <c r="BT254" t="str">
        <f t="shared" si="67"/>
        <v>prv_EMU (Express)</v>
      </c>
      <c r="BU254" t="str">
        <f t="shared" si="68"/>
        <v>electric_ELRL</v>
      </c>
      <c r="BV254" t="str">
        <f>VLOOKUP($BU254, Constants!$M:$N, 2, FALSE)</f>
        <v>{BLACK}Powered by: {GOLD}25kV AC</v>
      </c>
      <c r="BW254" t="str">
        <f t="shared" ref="BW254:BW264" si="75">IF(J254&gt;1,_xlfn.CONCAT("{BLACK}Cars: {GOLD}", J254),"")</f>
        <v>{BLACK}Cars: {GOLD}8</v>
      </c>
      <c r="BX254" t="s">
        <v>689</v>
      </c>
      <c r="BY254" t="str">
        <f t="shared" ref="BY254:BY264" si="76">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71"/>
        <v>{BLACK}Powered by: {GOLD}25kV AC {BLACK}Cars: {GOLD}8{}{YELLOW}10% Bonus for long distance travel{}{SILVER}The Pendolino is a tilting multiple unit with a design speed of 140mph.  The tilt system is supplied by Fiat Ferroviaria.</v>
      </c>
    </row>
    <row r="255" spans="1:78" x14ac:dyDescent="0.25">
      <c r="A255" t="s">
        <v>607</v>
      </c>
      <c r="B255" t="s">
        <v>1168</v>
      </c>
      <c r="C255">
        <v>489</v>
      </c>
      <c r="D255" t="s">
        <v>431</v>
      </c>
      <c r="E255" t="s">
        <v>323</v>
      </c>
      <c r="F255" t="s">
        <v>324</v>
      </c>
      <c r="G255">
        <v>2002</v>
      </c>
      <c r="J255">
        <v>6</v>
      </c>
      <c r="K255">
        <v>6840</v>
      </c>
      <c r="T255">
        <f>(466/8)*6</f>
        <v>349.5</v>
      </c>
      <c r="V255">
        <f t="shared" ref="V255:V265" si="77">8*J255</f>
        <v>48</v>
      </c>
      <c r="W255">
        <v>325</v>
      </c>
      <c r="X255" s="4">
        <f t="shared" ref="X255:X293" si="78">IF(AND(T255&gt;0,W255&gt;0),(W255/((T255+U255)*10)),"")</f>
        <v>9.2989985693848351E-2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1169</v>
      </c>
      <c r="AO255" t="s">
        <v>1170</v>
      </c>
      <c r="AP255" t="s">
        <v>688</v>
      </c>
      <c r="AS255">
        <v>29</v>
      </c>
      <c r="AT255" t="str">
        <f t="shared" si="59"/>
        <v/>
      </c>
      <c r="AU255">
        <v>-15</v>
      </c>
      <c r="AV255">
        <v>-35</v>
      </c>
      <c r="AW255">
        <f t="shared" si="60"/>
        <v>28</v>
      </c>
      <c r="AX255">
        <f t="shared" si="61"/>
        <v>20</v>
      </c>
      <c r="AY255">
        <f t="shared" si="62"/>
        <v>16.25</v>
      </c>
      <c r="AZ255" s="4">
        <f t="shared" si="63"/>
        <v>0.86399999999999999</v>
      </c>
      <c r="BA255">
        <f t="shared" si="64"/>
        <v>12.000000000000002</v>
      </c>
      <c r="BB255">
        <f>VLOOKUP($E255,Constants!$I:$K, 2, FALSE)</f>
        <v>0.85</v>
      </c>
      <c r="BC255">
        <f>VLOOKUP($E255,Constants!$I:$K, 3, FALSE)*IF(AND(D255="multiple_unit",Y255&lt;110),0.75,1)</f>
        <v>2.2999999999999998</v>
      </c>
      <c r="BD255">
        <f>INT(POWER(((Constants!$G$2+$AW255+$AX255+$AY255+$BA255)*$AZ255)*$BC255, 1.05))+$AV255</f>
        <v>173</v>
      </c>
      <c r="BE255">
        <f>INT(POWER((((Constants!$G$1+$AW255+$AX255+$AY255+$BA255)*($AZ255))*$BB255),IF($D255="wagon",1,1.2)))+$AU255</f>
        <v>140</v>
      </c>
      <c r="BF255" s="15">
        <f t="shared" si="65"/>
        <v>135156.25</v>
      </c>
      <c r="BG255" s="15">
        <f t="shared" si="66"/>
        <v>11375</v>
      </c>
      <c r="BJ255">
        <v>1</v>
      </c>
      <c r="BM255" t="s">
        <v>1189</v>
      </c>
      <c r="BN255">
        <v>6</v>
      </c>
      <c r="BO255">
        <v>205</v>
      </c>
      <c r="BQ255" t="s">
        <v>310</v>
      </c>
      <c r="BR255" t="str">
        <f>VLOOKUP(G255,Eras!$A$2:$C$10, 2, TRUE)</f>
        <v>prv</v>
      </c>
      <c r="BS255" t="s">
        <v>361</v>
      </c>
      <c r="BT255" t="str">
        <f t="shared" si="67"/>
        <v>prv_EMU (Express)</v>
      </c>
      <c r="BU255" t="str">
        <f t="shared" si="68"/>
        <v>electric_ELRL</v>
      </c>
      <c r="BV255" t="str">
        <f>VLOOKUP($BU255, Constants!$M:$N, 2, FALSE)</f>
        <v>{BLACK}Powered by: {GOLD}25kV AC</v>
      </c>
      <c r="BW255" t="str">
        <f t="shared" si="75"/>
        <v>{BLACK}Cars: {GOLD}6</v>
      </c>
      <c r="BX255" t="s">
        <v>689</v>
      </c>
      <c r="BY255" t="str">
        <f t="shared" si="76"/>
        <v>{YELLOW}10% Bonus for long distance travel{}</v>
      </c>
      <c r="BZ255" t="str">
        <f t="shared" si="71"/>
        <v>{BLACK}Powered by: {GOLD}25kV AC {BLACK}Cars: {GOLD}6{}{YELLOW}10% Bonus for long distance travel{}{SILVER}The Pendolino is a tilting multiple unit with a design speed of 140mph.  The tilt system is supplied by Fiat Ferroviaria.</v>
      </c>
    </row>
    <row r="256" spans="1:78" x14ac:dyDescent="0.25">
      <c r="A256" t="s">
        <v>607</v>
      </c>
      <c r="B256" t="s">
        <v>1183</v>
      </c>
      <c r="C256">
        <v>490</v>
      </c>
      <c r="D256" t="s">
        <v>431</v>
      </c>
      <c r="E256" t="s">
        <v>323</v>
      </c>
      <c r="F256" t="s">
        <v>324</v>
      </c>
      <c r="G256">
        <v>2002</v>
      </c>
      <c r="J256">
        <v>4</v>
      </c>
      <c r="K256">
        <v>6840</v>
      </c>
      <c r="T256">
        <f>(466/8)*4</f>
        <v>233</v>
      </c>
      <c r="V256">
        <f t="shared" si="77"/>
        <v>32</v>
      </c>
      <c r="W256">
        <v>325</v>
      </c>
      <c r="X256" s="4">
        <f t="shared" si="78"/>
        <v>0.13948497854077252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1184</v>
      </c>
      <c r="AO256" t="s">
        <v>1166</v>
      </c>
      <c r="AP256" t="s">
        <v>688</v>
      </c>
      <c r="AS256">
        <v>29</v>
      </c>
      <c r="AT256" t="str">
        <f t="shared" si="59"/>
        <v/>
      </c>
      <c r="AU256">
        <v>-15</v>
      </c>
      <c r="AV256">
        <v>-35</v>
      </c>
      <c r="AW256">
        <f t="shared" si="60"/>
        <v>28</v>
      </c>
      <c r="AX256">
        <f t="shared" si="61"/>
        <v>20</v>
      </c>
      <c r="AY256">
        <f t="shared" si="62"/>
        <v>16.25</v>
      </c>
      <c r="AZ256" s="4">
        <f t="shared" si="63"/>
        <v>0.86399999999999999</v>
      </c>
      <c r="BA256">
        <f t="shared" si="64"/>
        <v>8</v>
      </c>
      <c r="BB256">
        <f>VLOOKUP($E256,Constants!$I:$K, 2, FALSE)</f>
        <v>0.85</v>
      </c>
      <c r="BC256">
        <f>VLOOKUP($E256,Constants!$I:$K, 3, FALSE)*IF(AND(D256="multiple_unit",Y256&lt;110),0.75,1)</f>
        <v>2.2999999999999998</v>
      </c>
      <c r="BD256">
        <f>INT(POWER(((Constants!$G$2+$AW256+$AX256+$AY256+$BA256)*$AZ256)*$BC256, 1.05))+$AV256</f>
        <v>162</v>
      </c>
      <c r="BE256">
        <f>INT(POWER((((Constants!$G$1+$AW256+$AX256+$AY256+$BA256)*($AZ256))*$BB256),IF($D256="wagon",1,1.2)))+$AU256</f>
        <v>132</v>
      </c>
      <c r="BF256" s="15">
        <f t="shared" si="65"/>
        <v>126562.5</v>
      </c>
      <c r="BG256" s="15">
        <f t="shared" si="66"/>
        <v>10725</v>
      </c>
      <c r="BJ256">
        <v>1</v>
      </c>
      <c r="BM256" t="s">
        <v>1188</v>
      </c>
      <c r="BN256">
        <v>6</v>
      </c>
      <c r="BO256">
        <v>205</v>
      </c>
      <c r="BQ256" t="s">
        <v>310</v>
      </c>
      <c r="BR256" t="str">
        <f>VLOOKUP(G256,Eras!$A$2:$C$10, 2, TRUE)</f>
        <v>prv</v>
      </c>
      <c r="BS256" t="s">
        <v>361</v>
      </c>
      <c r="BT256" t="str">
        <f t="shared" si="67"/>
        <v>prv_EMU (Express)</v>
      </c>
      <c r="BU256" t="str">
        <f t="shared" si="68"/>
        <v>electric_ELRL</v>
      </c>
      <c r="BV256" t="str">
        <f>VLOOKUP($BU256, Constants!$M:$N, 2, FALSE)</f>
        <v>{BLACK}Powered by: {GOLD}25kV AC</v>
      </c>
      <c r="BW256" t="str">
        <f t="shared" si="75"/>
        <v>{BLACK}Cars: {GOLD}4</v>
      </c>
      <c r="BX256" t="s">
        <v>689</v>
      </c>
      <c r="BY256" t="str">
        <f t="shared" si="76"/>
        <v>{YELLOW}10% Bonus for long distance travel{}</v>
      </c>
      <c r="BZ256" t="str">
        <f t="shared" si="71"/>
        <v>{BLACK}Powered by: {GOLD}25kV AC {BLACK}Cars: {GOLD}4{}{YELLOW}10% Bonus for long distance travel{}{SILVER}The Pendolino is a tilting multiple unit with a design speed of 140mph.  The tilt system is supplied by Fiat Ferroviaria.</v>
      </c>
    </row>
    <row r="257" spans="1:78" x14ac:dyDescent="0.25">
      <c r="A257" t="s">
        <v>97</v>
      </c>
      <c r="B257" t="s">
        <v>247</v>
      </c>
      <c r="C257">
        <v>492</v>
      </c>
      <c r="D257" t="s">
        <v>431</v>
      </c>
      <c r="E257" t="s">
        <v>299</v>
      </c>
      <c r="F257" t="s">
        <v>301</v>
      </c>
      <c r="G257">
        <v>2002</v>
      </c>
      <c r="J257">
        <v>4</v>
      </c>
      <c r="K257">
        <v>3000</v>
      </c>
      <c r="T257">
        <v>185.6</v>
      </c>
      <c r="V257">
        <f t="shared" si="77"/>
        <v>32</v>
      </c>
      <c r="W257">
        <v>185</v>
      </c>
      <c r="X257" s="4">
        <f t="shared" si="78"/>
        <v>9.9676724137931036E-2</v>
      </c>
      <c r="Y257">
        <v>125</v>
      </c>
      <c r="AA257">
        <v>23.8</v>
      </c>
      <c r="AB257">
        <v>23.8</v>
      </c>
      <c r="AC257">
        <v>2.73</v>
      </c>
      <c r="AE257" s="11">
        <v>51</v>
      </c>
      <c r="AF257" t="str">
        <f>CONCATENATE(VLOOKUP(AG257, 'Voxel Sizes'!$A$2:$B$18,2,FALSE),"x",INT(AC257*15), "x", INT(AD257*15))</f>
        <v>238x40x0</v>
      </c>
      <c r="AG257">
        <f t="shared" si="58"/>
        <v>14</v>
      </c>
      <c r="AI257" t="str">
        <f>CONCATENATE(VLOOKUP(AG257,Constants!$A$2:$C$16,IF(AH257&lt;&gt;"", 3, 2), FALSE),IF(AH257&lt;&gt;"",CONCATENATE(",",VLOOKUP(AH257,$B:$AI,34,FALSE)),""))</f>
        <v>4,6,4</v>
      </c>
      <c r="AM257" t="s">
        <v>694</v>
      </c>
      <c r="AO257" t="s">
        <v>492</v>
      </c>
      <c r="AS257">
        <v>29</v>
      </c>
      <c r="AT257" t="str">
        <f t="shared" si="59"/>
        <v/>
      </c>
      <c r="AU257">
        <v>-15</v>
      </c>
      <c r="AV257">
        <v>-35</v>
      </c>
      <c r="AW257">
        <f t="shared" si="60"/>
        <v>25</v>
      </c>
      <c r="AX257">
        <f t="shared" si="61"/>
        <v>15</v>
      </c>
      <c r="AY257">
        <f t="shared" si="62"/>
        <v>9.25</v>
      </c>
      <c r="AZ257" s="4">
        <f t="shared" si="63"/>
        <v>0.86399999999999999</v>
      </c>
      <c r="BA257">
        <f t="shared" si="64"/>
        <v>6.8000000000000007</v>
      </c>
      <c r="BB257">
        <f>VLOOKUP($E257,Constants!$I:$K, 2, FALSE)</f>
        <v>1</v>
      </c>
      <c r="BC257">
        <f>VLOOKUP($E257,Constants!$I:$K, 3, FALSE)*IF(AND(D257="multiple_unit",Y257&lt;110),0.75,1)</f>
        <v>2</v>
      </c>
      <c r="BD257">
        <f>INT(POWER(((Constants!$G$2+$AW257+$AX257+$AY257+$BA257)*$AZ257)*$BC257, 1.05))+$AV257</f>
        <v>98</v>
      </c>
      <c r="BE257">
        <f>INT(POWER((((Constants!$G$1+$AW257+$AX257+$AY257+$BA257)*($AZ257))*$BB257),IF($D257="wagon",1,1.2)))+$AU257</f>
        <v>124</v>
      </c>
      <c r="BF257" s="15">
        <f t="shared" si="65"/>
        <v>76562.5</v>
      </c>
      <c r="BG257" s="15">
        <f t="shared" si="66"/>
        <v>10075</v>
      </c>
      <c r="BN257">
        <v>9</v>
      </c>
      <c r="BO257">
        <v>205</v>
      </c>
      <c r="BQ257" t="s">
        <v>310</v>
      </c>
      <c r="BR257" t="str">
        <f>VLOOKUP(G257,Eras!$A$2:$C$10, 2, TRUE)</f>
        <v>prv</v>
      </c>
      <c r="BS257" t="s">
        <v>359</v>
      </c>
      <c r="BT257" t="str">
        <f t="shared" si="67"/>
        <v>prv_DMU (Express)</v>
      </c>
      <c r="BU257" t="str">
        <f t="shared" si="68"/>
        <v>diesel_RAIL</v>
      </c>
      <c r="BV257" t="str">
        <f>VLOOKUP($BU257, Constants!$M:$N, 2, FALSE)</f>
        <v>{BLACK}Powered by: {GOLD}Diesel</v>
      </c>
      <c r="BW257" t="str">
        <f t="shared" si="75"/>
        <v>{BLACK}Cars: {GOLD}4</v>
      </c>
      <c r="BX257" t="s">
        <v>692</v>
      </c>
      <c r="BY257" t="str">
        <f t="shared" si="76"/>
        <v>{YELLOW}10% Bonus for long distance travel{}</v>
      </c>
      <c r="BZ257" t="str">
        <f t="shared" si="71"/>
        <v>{BLACK}Powered by: {GOLD}Diesel {BLACK}Cars: {GOLD}4{}{YELLOW}10% Bonus for long distance travel{}{SILVER}The Voyager is a high speed diesel multiple unit, built to replace both the HST and locomotive-hauled passenger services on the Cross Country route.</v>
      </c>
    </row>
    <row r="258" spans="1:78" x14ac:dyDescent="0.25">
      <c r="A258" t="s">
        <v>98</v>
      </c>
      <c r="B258" t="s">
        <v>246</v>
      </c>
      <c r="C258">
        <v>494</v>
      </c>
      <c r="D258" t="s">
        <v>431</v>
      </c>
      <c r="E258" t="s">
        <v>299</v>
      </c>
      <c r="F258" t="s">
        <v>301</v>
      </c>
      <c r="G258">
        <v>2002</v>
      </c>
      <c r="J258">
        <v>5</v>
      </c>
      <c r="K258">
        <f>750*5</f>
        <v>3750</v>
      </c>
      <c r="T258">
        <v>282</v>
      </c>
      <c r="V258">
        <f t="shared" si="77"/>
        <v>40</v>
      </c>
      <c r="W258">
        <v>270</v>
      </c>
      <c r="X258" s="4">
        <f t="shared" si="78"/>
        <v>9.5744680851063829E-2</v>
      </c>
      <c r="Y258">
        <v>125</v>
      </c>
      <c r="AA258">
        <v>23.8</v>
      </c>
      <c r="AB258">
        <v>23.8</v>
      </c>
      <c r="AC258">
        <v>2.73</v>
      </c>
      <c r="AE258" s="11">
        <v>51</v>
      </c>
      <c r="AF258" t="str">
        <f>CONCATENATE(VLOOKUP(AG258, 'Voxel Sizes'!$A$2:$B$18,2,FALSE),"x",INT(AC258*15), "x", INT(AD258*15))</f>
        <v>238x40x0</v>
      </c>
      <c r="AG258">
        <f t="shared" ref="AG258:AG309" si="79">ROUND(15*((AB258*10)/256),0)</f>
        <v>14</v>
      </c>
      <c r="AI258" t="str">
        <f>CONCATENATE(VLOOKUP(AG258,Constants!$A$2:$C$16,IF(AH258&lt;&gt;"", 3, 2), FALSE),IF(AH258&lt;&gt;"",CONCATENATE(",",VLOOKUP(AH258,$B:$AI,34,FALSE)),""))</f>
        <v>4,6,4</v>
      </c>
      <c r="AM258" t="s">
        <v>695</v>
      </c>
      <c r="AO258" t="s">
        <v>696</v>
      </c>
      <c r="AP258" t="s">
        <v>247</v>
      </c>
      <c r="AS258">
        <v>29</v>
      </c>
      <c r="AT258" t="str">
        <f t="shared" ref="AT258:AT309" si="80">IF(I258&lt;&gt;"",MAX(8,(I258-G258)-4),"")</f>
        <v/>
      </c>
      <c r="AU258">
        <v>-15</v>
      </c>
      <c r="AV258">
        <v>-35</v>
      </c>
      <c r="AW258">
        <f t="shared" ref="AW258:AW309" si="81">MIN(Y258/150, 1)*30</f>
        <v>25</v>
      </c>
      <c r="AX258">
        <f t="shared" ref="AX258:AX309" si="82">MIN(K258/4000, 1)*20</f>
        <v>18.75</v>
      </c>
      <c r="AY258">
        <f t="shared" ref="AY258:AY309" si="83">MIN(W258/400,1)*20</f>
        <v>13.5</v>
      </c>
      <c r="AZ258" s="4">
        <f t="shared" ref="AZ258:AZ309" si="84">1-(MAX(G258-1900, 0)/750)</f>
        <v>0.86399999999999999</v>
      </c>
      <c r="BA258">
        <f t="shared" ref="BA258:BA309" si="85">((MAX($J258,1)*MIN($AE258/300,1)))*IF(D258="Wagon",50,10)</f>
        <v>8.5</v>
      </c>
      <c r="BB258">
        <f>VLOOKUP($E258,Constants!$I:$K, 2, FALSE)</f>
        <v>1</v>
      </c>
      <c r="BC258">
        <f>VLOOKUP($E258,Constants!$I:$K, 3, FALSE)*IF(AND(D258="multiple_unit",Y258&lt;110),0.75,1)</f>
        <v>2</v>
      </c>
      <c r="BD258">
        <f>INT(POWER(((Constants!$G$2+$AW258+$AX258+$AY258+$BA258)*$AZ258)*$BC258, 1.05))+$AV258</f>
        <v>120</v>
      </c>
      <c r="BE258">
        <f>INT(POWER((((Constants!$G$1+$AW258+$AX258+$AY258+$BA258)*($AZ258))*$BB258),IF($D258="wagon",1,1.2)))+$AU258</f>
        <v>148</v>
      </c>
      <c r="BF258" s="15">
        <f t="shared" ref="BF258:BF309" si="86">BD258*IF($D258="wagon",62.5,781.25)</f>
        <v>93750</v>
      </c>
      <c r="BG258" s="15">
        <f t="shared" ref="BG258:BG309" si="87">BE258*IF($D258="wagon",2.73,81.25)</f>
        <v>12025</v>
      </c>
      <c r="BJ258">
        <v>1</v>
      </c>
      <c r="BM258" t="s">
        <v>1186</v>
      </c>
      <c r="BN258">
        <v>10</v>
      </c>
      <c r="BO258">
        <v>205</v>
      </c>
      <c r="BQ258" t="s">
        <v>310</v>
      </c>
      <c r="BR258" t="str">
        <f>VLOOKUP(G258,Eras!$A$2:$C$10, 2, TRUE)</f>
        <v>prv</v>
      </c>
      <c r="BS258" t="s">
        <v>359</v>
      </c>
      <c r="BT258" t="str">
        <f t="shared" ref="BT258:BT309" si="88">CONCATENATE(BR258,"_",BS258)</f>
        <v>prv_DMU (Express)</v>
      </c>
      <c r="BU258" t="str">
        <f t="shared" ref="BU258:BU309" si="89">_xlfn.CONCAT(E258, "_",F258)</f>
        <v>diesel_RAIL</v>
      </c>
      <c r="BV258" t="str">
        <f>VLOOKUP($BU258, Constants!$M:$N, 2, FALSE)</f>
        <v>{BLACK}Powered by: {GOLD}Diesel</v>
      </c>
      <c r="BW258" t="str">
        <f t="shared" si="75"/>
        <v>{BLACK}Cars: {GOLD}5</v>
      </c>
      <c r="BX258" t="s">
        <v>693</v>
      </c>
      <c r="BY258" t="str">
        <f t="shared" si="76"/>
        <v>{YELLOW}10% Bonus for long distance travel{}</v>
      </c>
      <c r="BZ258" t="str">
        <f t="shared" ref="BZ258:BZ309" si="90">_xlfn.CONCAT(BV258,IF(BV258 &lt;&gt; "", " ", ""),BW258,IF(OR(BW258&lt;&gt;"", BV258&lt;&gt;""), "{}",""), BY258,"{SILVER}", BX258)</f>
        <v>{BLACK}Powered by: {GOLD}Diesel {BLACK}Cars: {GOLD}5{}{YELLOW}10% Bonus for long distance travel{}{SILVER}The Class 221 is outwardly very similar to the Class 220, but internally it has different bogies and features a tilt mechanism for faster cornering.</v>
      </c>
    </row>
    <row r="259" spans="1:78" x14ac:dyDescent="0.25">
      <c r="A259" t="s">
        <v>98</v>
      </c>
      <c r="B259" t="s">
        <v>1176</v>
      </c>
      <c r="C259">
        <v>495</v>
      </c>
      <c r="D259" t="s">
        <v>431</v>
      </c>
      <c r="E259" t="s">
        <v>299</v>
      </c>
      <c r="F259" t="s">
        <v>301</v>
      </c>
      <c r="G259">
        <v>2002</v>
      </c>
      <c r="J259">
        <v>4</v>
      </c>
      <c r="K259">
        <f>750*5</f>
        <v>3750</v>
      </c>
      <c r="T259">
        <f>282/5*4</f>
        <v>225.6</v>
      </c>
      <c r="V259">
        <f t="shared" si="77"/>
        <v>32</v>
      </c>
      <c r="W259">
        <v>270</v>
      </c>
      <c r="X259" s="4">
        <f t="shared" si="78"/>
        <v>0.11968085106382979</v>
      </c>
      <c r="Y259">
        <v>125</v>
      </c>
      <c r="AA259">
        <v>23.8</v>
      </c>
      <c r="AB259">
        <v>23.8</v>
      </c>
      <c r="AC259">
        <v>2.73</v>
      </c>
      <c r="AE259" s="11">
        <v>51</v>
      </c>
      <c r="AF259" t="str">
        <f>CONCATENATE(VLOOKUP(AG259, 'Voxel Sizes'!$A$2:$B$18,2,FALSE),"x",INT(AC259*15), "x", INT(AD259*15))</f>
        <v>238x40x0</v>
      </c>
      <c r="AG259">
        <f t="shared" si="79"/>
        <v>14</v>
      </c>
      <c r="AI259" t="str">
        <f>CONCATENATE(VLOOKUP(AG259,Constants!$A$2:$C$16,IF(AH259&lt;&gt;"", 3, 2), FALSE),IF(AH259&lt;&gt;"",CONCATENATE(",",VLOOKUP(AH259,$B:$AI,34,FALSE)),""))</f>
        <v>4,6,4</v>
      </c>
      <c r="AM259" t="s">
        <v>694</v>
      </c>
      <c r="AO259" t="s">
        <v>1166</v>
      </c>
      <c r="AP259" t="s">
        <v>247</v>
      </c>
      <c r="AS259">
        <v>29</v>
      </c>
      <c r="AT259" t="str">
        <f t="shared" si="80"/>
        <v/>
      </c>
      <c r="AU259">
        <v>-15</v>
      </c>
      <c r="AV259">
        <v>-35</v>
      </c>
      <c r="AW259">
        <f t="shared" si="81"/>
        <v>25</v>
      </c>
      <c r="AX259">
        <f t="shared" si="82"/>
        <v>18.75</v>
      </c>
      <c r="AY259">
        <f t="shared" si="83"/>
        <v>13.5</v>
      </c>
      <c r="AZ259" s="4">
        <f t="shared" si="84"/>
        <v>0.86399999999999999</v>
      </c>
      <c r="BA259">
        <f t="shared" si="85"/>
        <v>6.8000000000000007</v>
      </c>
      <c r="BB259">
        <f>VLOOKUP($E259,Constants!$I:$K, 2, FALSE)</f>
        <v>1</v>
      </c>
      <c r="BC259">
        <f>VLOOKUP($E259,Constants!$I:$K, 3, FALSE)*IF(AND(D259="multiple_unit",Y259&lt;110),0.75,1)</f>
        <v>2</v>
      </c>
      <c r="BD259">
        <f>INT(POWER(((Constants!$G$2+$AW259+$AX259+$AY259+$BA259)*$AZ259)*$BC259, 1.05))+$AV259</f>
        <v>116</v>
      </c>
      <c r="BE259">
        <f>INT(POWER((((Constants!$G$1+$AW259+$AX259+$AY259+$BA259)*($AZ259))*$BB259),IF($D259="wagon",1,1.2)))+$AU259</f>
        <v>143</v>
      </c>
      <c r="BF259" s="15">
        <f t="shared" si="86"/>
        <v>90625</v>
      </c>
      <c r="BG259" s="15">
        <f t="shared" si="87"/>
        <v>11618.75</v>
      </c>
      <c r="BJ259">
        <v>1</v>
      </c>
      <c r="BM259" t="s">
        <v>1188</v>
      </c>
      <c r="BN259">
        <v>10</v>
      </c>
      <c r="BO259">
        <v>205</v>
      </c>
      <c r="BQ259" t="s">
        <v>310</v>
      </c>
      <c r="BR259" t="str">
        <f>VLOOKUP(G259,Eras!$A$2:$C$10, 2, TRUE)</f>
        <v>prv</v>
      </c>
      <c r="BS259" t="s">
        <v>359</v>
      </c>
      <c r="BT259" t="str">
        <f t="shared" si="88"/>
        <v>prv_DMU (Express)</v>
      </c>
      <c r="BU259" t="str">
        <f t="shared" si="89"/>
        <v>diesel_RAIL</v>
      </c>
      <c r="BV259" t="str">
        <f>VLOOKUP($BU259, Constants!$M:$N, 2, FALSE)</f>
        <v>{BLACK}Powered by: {GOLD}Diesel</v>
      </c>
      <c r="BW259" t="str">
        <f t="shared" si="75"/>
        <v>{BLACK}Cars: {GOLD}4</v>
      </c>
      <c r="BX259" t="s">
        <v>693</v>
      </c>
      <c r="BY259" t="str">
        <f t="shared" si="76"/>
        <v>{YELLOW}10% Bonus for long distance travel{}</v>
      </c>
      <c r="BZ259" t="str">
        <f t="shared" si="90"/>
        <v>{BLACK}Powered by: {GOLD}Diesel {BLACK}Cars: {GOLD}4{}{YELLOW}10% Bonus for long distance travel{}{SILVER}The Class 221 is outwardly very similar to the Class 220, but internally it has different bogies and features a tilt mechanism for faster cornering.</v>
      </c>
    </row>
    <row r="260" spans="1:78" x14ac:dyDescent="0.25">
      <c r="A260" t="s">
        <v>1274</v>
      </c>
      <c r="B260" t="s">
        <v>1272</v>
      </c>
      <c r="C260">
        <v>496</v>
      </c>
      <c r="D260" t="s">
        <v>431</v>
      </c>
      <c r="E260" t="s">
        <v>323</v>
      </c>
      <c r="F260" t="s">
        <v>324</v>
      </c>
      <c r="G260">
        <v>2002</v>
      </c>
      <c r="H260">
        <v>2006</v>
      </c>
      <c r="J260">
        <v>4</v>
      </c>
      <c r="K260">
        <v>2080</v>
      </c>
      <c r="T260">
        <v>170</v>
      </c>
      <c r="V260">
        <f t="shared" si="77"/>
        <v>32</v>
      </c>
      <c r="W260">
        <v>180</v>
      </c>
      <c r="X260" s="4">
        <f t="shared" si="78"/>
        <v>0.10588235294117647</v>
      </c>
      <c r="Y260">
        <v>100</v>
      </c>
      <c r="AA260">
        <v>20.399999999999999</v>
      </c>
      <c r="AB260">
        <v>20.399999999999999</v>
      </c>
      <c r="AC260">
        <v>2.8</v>
      </c>
      <c r="AE260" s="11">
        <v>69</v>
      </c>
      <c r="AF260" t="str">
        <f>CONCATENATE(VLOOKUP(AG260, 'Voxel Sizes'!$A$2:$B$18,2,FALSE),"x",INT(AC260*15), "x", INT(AD260*15))</f>
        <v>198x42x0</v>
      </c>
      <c r="AG260">
        <f t="shared" si="79"/>
        <v>12</v>
      </c>
      <c r="AI260" t="str">
        <f>CONCATENATE(VLOOKUP(AG260,Constants!$A$2:$C$16,IF(AH260&lt;&gt;"", 3, 2), FALSE),IF(AH260&lt;&gt;"",CONCATENATE(",",VLOOKUP(AH260,$B:$AI,34,FALSE)),""))</f>
        <v>4,4,4</v>
      </c>
      <c r="AM260" t="s">
        <v>1273</v>
      </c>
      <c r="AO260" t="s">
        <v>584</v>
      </c>
      <c r="AS260">
        <v>28</v>
      </c>
      <c r="AT260" t="str">
        <f t="shared" si="80"/>
        <v/>
      </c>
      <c r="AU260">
        <v>-15</v>
      </c>
      <c r="AV260">
        <v>-30</v>
      </c>
      <c r="AW260">
        <f t="shared" si="81"/>
        <v>20</v>
      </c>
      <c r="AX260">
        <f t="shared" si="82"/>
        <v>10.4</v>
      </c>
      <c r="AY260">
        <f t="shared" si="83"/>
        <v>9</v>
      </c>
      <c r="AZ260" s="4">
        <f t="shared" si="84"/>
        <v>0.86399999999999999</v>
      </c>
      <c r="BA260">
        <f t="shared" si="85"/>
        <v>9.2000000000000011</v>
      </c>
      <c r="BB260">
        <f>VLOOKUP($E260,Constants!$I:$K, 2, FALSE)</f>
        <v>0.85</v>
      </c>
      <c r="BC260">
        <f>VLOOKUP($E260,Constants!$I:$K, 3, FALSE)*IF(AND(D260="multiple_unit",Y260&lt;110),0.75,1)</f>
        <v>1.7249999999999999</v>
      </c>
      <c r="BD260">
        <f>INT(POWER(((Constants!$G$2+$AW260+$AX260+$AY260+$BA260)*$AZ260)*$BC260, 1.05))+$AV260</f>
        <v>69</v>
      </c>
      <c r="BE260">
        <f>INT(POWER((((Constants!$G$1+$AW260+$AX260+$AY260+$BA260)*($AZ260))*$BB260),IF($D260="wagon",1,1.2)))+$AU260</f>
        <v>85</v>
      </c>
      <c r="BF260" s="15">
        <f t="shared" si="86"/>
        <v>53906.25</v>
      </c>
      <c r="BG260" s="15">
        <f t="shared" si="87"/>
        <v>6906.25</v>
      </c>
      <c r="BN260">
        <v>3</v>
      </c>
      <c r="BO260">
        <v>185</v>
      </c>
      <c r="BQ260" t="s">
        <v>310</v>
      </c>
      <c r="BR260" t="str">
        <f>VLOOKUP(G260,Eras!$A$2:$C$10, 2, TRUE)</f>
        <v>prv</v>
      </c>
      <c r="BS260" t="s">
        <v>360</v>
      </c>
      <c r="BT260" t="str">
        <f t="shared" si="88"/>
        <v>prv_EMU</v>
      </c>
      <c r="BU260" t="str">
        <f t="shared" si="89"/>
        <v>electric_ELRL</v>
      </c>
      <c r="BV260" t="str">
        <f>VLOOKUP($BU260, Constants!$M:$N, 2, FALSE)</f>
        <v>{BLACK}Powered by: {GOLD}25kV AC</v>
      </c>
      <c r="BW260" t="str">
        <f t="shared" si="75"/>
        <v>{BLACK}Cars: {GOLD}4</v>
      </c>
      <c r="BX260" t="s">
        <v>1275</v>
      </c>
      <c r="BY260" t="str">
        <f t="shared" si="76"/>
        <v/>
      </c>
      <c r="BZ260" t="str">
        <f t="shared" si="90"/>
        <v>{BLACK}Powered by: {GOLD}25kV AC {BLACK}Cars: {GOLD}4{}{SILVER}The Class 360 is an AC version of the Desiro family of units, ordered to replace slam-door stock on the Great Eastern Main Line.</v>
      </c>
    </row>
    <row r="261" spans="1:78" x14ac:dyDescent="0.25">
      <c r="A261" t="s">
        <v>78</v>
      </c>
      <c r="B261" t="s">
        <v>616</v>
      </c>
      <c r="C261">
        <v>498</v>
      </c>
      <c r="D261" t="s">
        <v>431</v>
      </c>
      <c r="E261" t="s">
        <v>581</v>
      </c>
      <c r="F261" t="s">
        <v>580</v>
      </c>
      <c r="G261">
        <v>2003</v>
      </c>
      <c r="J261">
        <v>4</v>
      </c>
      <c r="K261">
        <v>1600</v>
      </c>
      <c r="T261">
        <v>173.6</v>
      </c>
      <c r="V261">
        <f t="shared" si="77"/>
        <v>32</v>
      </c>
      <c r="W261">
        <v>175</v>
      </c>
      <c r="X261" s="4">
        <f t="shared" si="78"/>
        <v>0.10080645161290322</v>
      </c>
      <c r="Y261">
        <v>100</v>
      </c>
      <c r="AA261">
        <v>20.399999999999999</v>
      </c>
      <c r="AB261">
        <v>20.399999999999999</v>
      </c>
      <c r="AD261">
        <v>3.78</v>
      </c>
      <c r="AE261" s="11">
        <v>60</v>
      </c>
      <c r="AF261" t="str">
        <f>CONCATENATE(VLOOKUP(AG261, 'Voxel Sizes'!$A$2:$B$18,2,FALSE),"x",INT(AC261*15), "x", INT(AD261*15))</f>
        <v>198x0x56</v>
      </c>
      <c r="AG261">
        <f t="shared" si="79"/>
        <v>12</v>
      </c>
      <c r="AI261" t="str">
        <f>CONCATENATE(VLOOKUP(AG261,Constants!$A$2:$C$16,IF(AH261&lt;&gt;"", 3, 2), FALSE),IF(AH261&lt;&gt;"",CONCATENATE(",",VLOOKUP(AH261,$B:$AI,34,FALSE)),""))</f>
        <v>4,4,4</v>
      </c>
      <c r="AM261" t="s">
        <v>617</v>
      </c>
      <c r="AN261" t="s">
        <v>618</v>
      </c>
      <c r="AO261" t="s">
        <v>584</v>
      </c>
      <c r="AS261">
        <v>29</v>
      </c>
      <c r="AT261" t="str">
        <f t="shared" si="80"/>
        <v/>
      </c>
      <c r="AU261">
        <v>-15</v>
      </c>
      <c r="AV261">
        <v>-30</v>
      </c>
      <c r="AW261">
        <f t="shared" si="81"/>
        <v>20</v>
      </c>
      <c r="AX261">
        <f t="shared" si="82"/>
        <v>8</v>
      </c>
      <c r="AY261">
        <f t="shared" si="83"/>
        <v>8.75</v>
      </c>
      <c r="AZ261" s="4">
        <f t="shared" si="84"/>
        <v>0.86266666666666669</v>
      </c>
      <c r="BA261">
        <f t="shared" si="85"/>
        <v>8</v>
      </c>
      <c r="BB261">
        <f>VLOOKUP($E261,Constants!$I:$K, 2, FALSE)</f>
        <v>0.85</v>
      </c>
      <c r="BC261">
        <f>VLOOKUP($E261,Constants!$I:$K, 3, FALSE)*IF(AND(D261="multiple_unit",Y261&lt;110),0.75,1)</f>
        <v>1.7999999999999998</v>
      </c>
      <c r="BD261">
        <f>INT(POWER(((Constants!$G$2+$AW261+$AX261+$AY261+$BA261)*$AZ261)*$BC261, 1.05))+$AV261</f>
        <v>66</v>
      </c>
      <c r="BE261">
        <f>INT(POWER((((Constants!$G$1+$AW261+$AX261+$AY261+$BA261)*($AZ261))*$BB261),IF($D261="wagon",1,1.2)))+$AU261</f>
        <v>78</v>
      </c>
      <c r="BF261" s="15">
        <f t="shared" si="86"/>
        <v>51562.5</v>
      </c>
      <c r="BG261" s="15">
        <f t="shared" si="87"/>
        <v>6337.5</v>
      </c>
      <c r="BN261">
        <v>12</v>
      </c>
      <c r="BO261">
        <v>185</v>
      </c>
      <c r="BQ261" t="s">
        <v>310</v>
      </c>
      <c r="BR261" t="str">
        <f>VLOOKUP(G261,Eras!$A$2:$C$10, 2, TRUE)</f>
        <v>prv</v>
      </c>
      <c r="BS261" t="s">
        <v>360</v>
      </c>
      <c r="BT261" t="str">
        <f t="shared" si="88"/>
        <v>prv_EMU</v>
      </c>
      <c r="BU261" t="str">
        <f t="shared" si="89"/>
        <v>dual_electric_DUAL_POWER</v>
      </c>
      <c r="BV261" t="str">
        <f>VLOOKUP($BU261, Constants!$M:$N, 2, FALSE)</f>
        <v>{BLACK}Powered by: {GOLD}25kV AC / 750V DC</v>
      </c>
      <c r="BW261" t="str">
        <f t="shared" si="75"/>
        <v>{BLACK}Cars: {GOLD}4</v>
      </c>
      <c r="BX261" t="s">
        <v>615</v>
      </c>
      <c r="BY261" t="str">
        <f t="shared" si="76"/>
        <v/>
      </c>
      <c r="BZ261" t="str">
        <f t="shared" si="90"/>
        <v>{BLACK}Powered by: {GOLD}25kV AC / 750V DC {BLACK}Cars: {GOLD}4{}{SILVER}The Class 377 is a dual-voltage EMU, and is a common sight around London and South East England.</v>
      </c>
    </row>
    <row r="262" spans="1:78" x14ac:dyDescent="0.25">
      <c r="A262" t="s">
        <v>86</v>
      </c>
      <c r="B262" t="s">
        <v>244</v>
      </c>
      <c r="C262">
        <v>500</v>
      </c>
      <c r="D262" t="s">
        <v>431</v>
      </c>
      <c r="E262" t="s">
        <v>323</v>
      </c>
      <c r="F262" t="s">
        <v>330</v>
      </c>
      <c r="G262">
        <v>2003</v>
      </c>
      <c r="H262">
        <v>2006</v>
      </c>
      <c r="J262">
        <v>4</v>
      </c>
      <c r="K262">
        <v>2010</v>
      </c>
      <c r="T262">
        <v>170</v>
      </c>
      <c r="V262">
        <f t="shared" si="77"/>
        <v>32</v>
      </c>
      <c r="W262">
        <v>180</v>
      </c>
      <c r="X262" s="4">
        <f t="shared" si="78"/>
        <v>0.10588235294117647</v>
      </c>
      <c r="Y262">
        <v>100</v>
      </c>
      <c r="AA262">
        <v>20.399999999999999</v>
      </c>
      <c r="AB262">
        <v>20.399999999999999</v>
      </c>
      <c r="AC262">
        <v>2.8</v>
      </c>
      <c r="AE262" s="11">
        <v>66</v>
      </c>
      <c r="AF262" t="str">
        <f>CONCATENATE(VLOOKUP(AG262, 'Voxel Sizes'!$A$2:$B$18,2,FALSE),"x",INT(AC262*15), "x", INT(AD262*15))</f>
        <v>198x42x0</v>
      </c>
      <c r="AG262">
        <f t="shared" si="79"/>
        <v>12</v>
      </c>
      <c r="AI262" t="str">
        <f>CONCATENATE(VLOOKUP(AG262,Constants!$A$2:$C$16,IF(AH262&lt;&gt;"", 3, 2), FALSE),IF(AH262&lt;&gt;"",CONCATENATE(",",VLOOKUP(AH262,$B:$AI,34,FALSE)),""))</f>
        <v>4,4,4</v>
      </c>
      <c r="AM262" t="s">
        <v>634</v>
      </c>
      <c r="AO262" t="s">
        <v>584</v>
      </c>
      <c r="AS262">
        <v>28</v>
      </c>
      <c r="AT262" t="str">
        <f t="shared" si="80"/>
        <v/>
      </c>
      <c r="AU262">
        <v>-16</v>
      </c>
      <c r="AV262">
        <v>-28</v>
      </c>
      <c r="AW262">
        <f t="shared" si="81"/>
        <v>20</v>
      </c>
      <c r="AX262">
        <f t="shared" si="82"/>
        <v>10.049999999999999</v>
      </c>
      <c r="AY262">
        <f t="shared" si="83"/>
        <v>9</v>
      </c>
      <c r="AZ262" s="4">
        <f t="shared" si="84"/>
        <v>0.86266666666666669</v>
      </c>
      <c r="BA262">
        <f t="shared" si="85"/>
        <v>8.8000000000000007</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83</v>
      </c>
      <c r="BF262" s="15">
        <f t="shared" si="86"/>
        <v>53906.25</v>
      </c>
      <c r="BG262" s="15">
        <f t="shared" si="87"/>
        <v>6743.75</v>
      </c>
      <c r="BK262" t="s">
        <v>245</v>
      </c>
      <c r="BN262">
        <v>1</v>
      </c>
      <c r="BO262">
        <v>185</v>
      </c>
      <c r="BQ262" t="s">
        <v>310</v>
      </c>
      <c r="BR262" t="str">
        <f>VLOOKUP(G262,Eras!$A$2:$C$10, 2, TRUE)</f>
        <v>prv</v>
      </c>
      <c r="BS262" t="s">
        <v>360</v>
      </c>
      <c r="BT262" t="str">
        <f t="shared" si="88"/>
        <v>prv_EMU</v>
      </c>
      <c r="BU262" t="str">
        <f t="shared" si="89"/>
        <v>electric_THIRD_RAIL</v>
      </c>
      <c r="BV262" t="str">
        <f>VLOOKUP($BU262, Constants!$M:$N, 2, FALSE)</f>
        <v>{BLACK}Powered by: {GOLD}750V DC</v>
      </c>
      <c r="BW262" t="str">
        <f t="shared" si="75"/>
        <v>{BLACK}Cars: {GOLD}4</v>
      </c>
      <c r="BX262" t="s">
        <v>632</v>
      </c>
      <c r="BY262" t="str">
        <f t="shared" si="76"/>
        <v/>
      </c>
      <c r="BZ262" t="str">
        <f t="shared" si="90"/>
        <v>{BLACK}Powered by: {GOLD}750V DC {BLACK}Cars: {GOLD}4{}{SILVER}The Class 450 was designed for South West Trains to replace all slam-door stock. The large order meant the Class 450 became the most numerous type of Desiro unit in the UK.</v>
      </c>
    </row>
    <row r="263" spans="1:78" x14ac:dyDescent="0.25">
      <c r="A263" t="s">
        <v>87</v>
      </c>
      <c r="B263" t="s">
        <v>245</v>
      </c>
      <c r="C263">
        <v>502</v>
      </c>
      <c r="D263" t="s">
        <v>431</v>
      </c>
      <c r="E263" t="s">
        <v>323</v>
      </c>
      <c r="F263" t="s">
        <v>330</v>
      </c>
      <c r="G263">
        <v>2004</v>
      </c>
      <c r="J263">
        <v>5</v>
      </c>
      <c r="K263">
        <v>2680</v>
      </c>
      <c r="T263">
        <v>227</v>
      </c>
      <c r="V263">
        <f t="shared" si="77"/>
        <v>40</v>
      </c>
      <c r="W263">
        <v>210</v>
      </c>
      <c r="X263" s="4">
        <f t="shared" si="78"/>
        <v>9.2511013215859028E-2</v>
      </c>
      <c r="Y263">
        <v>100</v>
      </c>
      <c r="AA263">
        <v>23</v>
      </c>
      <c r="AB263">
        <v>23</v>
      </c>
      <c r="AC263">
        <v>2.8</v>
      </c>
      <c r="AE263" s="11">
        <v>66</v>
      </c>
      <c r="AF263" t="str">
        <f>CONCATENATE(VLOOKUP(AG263, 'Voxel Sizes'!$A$2:$B$18,2,FALSE),"x",INT(AC263*15), "x", INT(AD263*15))</f>
        <v>214x42x0</v>
      </c>
      <c r="AG263">
        <f t="shared" si="79"/>
        <v>13</v>
      </c>
      <c r="AI263" t="str">
        <f>CONCATENATE(VLOOKUP(AG263,Constants!$A$2:$C$16,IF(AH263&lt;&gt;"", 3, 2), FALSE),IF(AH263&lt;&gt;"",CONCATENATE(",",VLOOKUP(AH263,$B:$AI,34,FALSE)),""))</f>
        <v>4,5,4</v>
      </c>
      <c r="AM263" t="s">
        <v>635</v>
      </c>
      <c r="AO263" t="s">
        <v>636</v>
      </c>
      <c r="AS263">
        <v>28</v>
      </c>
      <c r="AT263" t="str">
        <f t="shared" si="80"/>
        <v/>
      </c>
      <c r="AU263">
        <v>-15</v>
      </c>
      <c r="AV263">
        <v>-35</v>
      </c>
      <c r="AW263">
        <f t="shared" si="81"/>
        <v>20</v>
      </c>
      <c r="AX263">
        <f t="shared" si="82"/>
        <v>13.4</v>
      </c>
      <c r="AY263">
        <f t="shared" si="83"/>
        <v>10.5</v>
      </c>
      <c r="AZ263" s="4">
        <f t="shared" si="84"/>
        <v>0.86133333333333328</v>
      </c>
      <c r="BA263">
        <f t="shared" si="85"/>
        <v>11</v>
      </c>
      <c r="BB263">
        <f>VLOOKUP($E263,Constants!$I:$K, 2, FALSE)</f>
        <v>0.85</v>
      </c>
      <c r="BC263">
        <f>VLOOKUP($E263,Constants!$I:$K, 3, FALSE)*IF(AND(D263="multiple_unit",Y263&lt;110),0.75,1)</f>
        <v>1.7249999999999999</v>
      </c>
      <c r="BD263">
        <f>INT(POWER(((Constants!$G$2+$AW263+$AX263+$AY263+$BA263)*$AZ263)*$BC263, 1.05))+$AV263</f>
        <v>76</v>
      </c>
      <c r="BE263">
        <f>INT(POWER((((Constants!$G$1+$AW263+$AX263+$AY263+$BA263)*($AZ263))*$BB263),IF($D263="wagon",1,1.2)))+$AU263</f>
        <v>97</v>
      </c>
      <c r="BF263" s="15">
        <f t="shared" si="86"/>
        <v>59375</v>
      </c>
      <c r="BG263" s="15">
        <f t="shared" si="87"/>
        <v>7881.25</v>
      </c>
      <c r="BK263" t="s">
        <v>244</v>
      </c>
      <c r="BM263" t="s">
        <v>1186</v>
      </c>
      <c r="BN263">
        <v>3</v>
      </c>
      <c r="BO263">
        <v>205</v>
      </c>
      <c r="BQ263" t="s">
        <v>310</v>
      </c>
      <c r="BR263" t="str">
        <f>VLOOKUP(G263,Eras!$A$2:$C$10, 2, TRUE)</f>
        <v>prv</v>
      </c>
      <c r="BS263" t="s">
        <v>361</v>
      </c>
      <c r="BT263" t="str">
        <f t="shared" si="88"/>
        <v>prv_EMU (Express)</v>
      </c>
      <c r="BU263" t="str">
        <f t="shared" si="89"/>
        <v>electric_THIRD_RAIL</v>
      </c>
      <c r="BV263" t="str">
        <f>VLOOKUP($BU263, Constants!$M:$N, 2, FALSE)</f>
        <v>{BLACK}Powered by: {GOLD}750V DC</v>
      </c>
      <c r="BW263" t="str">
        <f t="shared" si="75"/>
        <v>{BLACK}Cars: {GOLD}5</v>
      </c>
      <c r="BX263" t="s">
        <v>633</v>
      </c>
      <c r="BY263" t="str">
        <f t="shared" si="76"/>
        <v>{YELLOW}10% Bonus for long distance travel{}</v>
      </c>
      <c r="BZ263" t="str">
        <f t="shared" si="90"/>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4" spans="1:78" x14ac:dyDescent="0.25">
      <c r="A264" t="s">
        <v>87</v>
      </c>
      <c r="B264" t="s">
        <v>1177</v>
      </c>
      <c r="C264">
        <v>503</v>
      </c>
      <c r="D264" t="s">
        <v>431</v>
      </c>
      <c r="E264" t="s">
        <v>323</v>
      </c>
      <c r="F264" t="s">
        <v>330</v>
      </c>
      <c r="G264">
        <v>2004</v>
      </c>
      <c r="J264">
        <v>4</v>
      </c>
      <c r="K264">
        <v>2680</v>
      </c>
      <c r="T264">
        <f>227/5*4</f>
        <v>181.6</v>
      </c>
      <c r="V264">
        <f t="shared" si="77"/>
        <v>32</v>
      </c>
      <c r="W264">
        <v>210</v>
      </c>
      <c r="X264" s="4">
        <f t="shared" si="78"/>
        <v>0.11563876651982379</v>
      </c>
      <c r="Y264">
        <v>100</v>
      </c>
      <c r="AA264">
        <v>23</v>
      </c>
      <c r="AB264">
        <v>23</v>
      </c>
      <c r="AC264">
        <v>2.8</v>
      </c>
      <c r="AE264" s="11">
        <v>66</v>
      </c>
      <c r="AF264" t="str">
        <f>CONCATENATE(VLOOKUP(AG264, 'Voxel Sizes'!$A$2:$B$18,2,FALSE),"x",INT(AC264*15), "x", INT(AD264*15))</f>
        <v>214x42x0</v>
      </c>
      <c r="AG264">
        <f t="shared" si="79"/>
        <v>13</v>
      </c>
      <c r="AI264" t="str">
        <f>CONCATENATE(VLOOKUP(AG264,Constants!$A$2:$C$16,IF(AH264&lt;&gt;"", 3, 2), FALSE),IF(AH264&lt;&gt;"",CONCATENATE(",",VLOOKUP(AH264,$B:$AI,34,FALSE)),""))</f>
        <v>4,5,4</v>
      </c>
      <c r="AM264" t="s">
        <v>1178</v>
      </c>
      <c r="AO264" t="s">
        <v>1166</v>
      </c>
      <c r="AP264" t="s">
        <v>245</v>
      </c>
      <c r="AS264">
        <v>28</v>
      </c>
      <c r="AT264" t="str">
        <f t="shared" si="80"/>
        <v/>
      </c>
      <c r="AU264">
        <v>-15</v>
      </c>
      <c r="AV264">
        <v>-35</v>
      </c>
      <c r="AW264">
        <f t="shared" si="81"/>
        <v>20</v>
      </c>
      <c r="AX264">
        <f t="shared" si="82"/>
        <v>13.4</v>
      </c>
      <c r="AY264">
        <f t="shared" si="83"/>
        <v>10.5</v>
      </c>
      <c r="AZ264" s="4">
        <f t="shared" si="84"/>
        <v>0.86133333333333328</v>
      </c>
      <c r="BA264">
        <f t="shared" si="85"/>
        <v>8.8000000000000007</v>
      </c>
      <c r="BB264">
        <f>VLOOKUP($E264,Constants!$I:$K, 2, FALSE)</f>
        <v>0.85</v>
      </c>
      <c r="BC264">
        <f>VLOOKUP($E264,Constants!$I:$K, 3, FALSE)*IF(AND(D264="multiple_unit",Y264&lt;110),0.75,1)</f>
        <v>1.7249999999999999</v>
      </c>
      <c r="BD264">
        <f>INT(POWER(((Constants!$G$2+$AW264+$AX264+$AY264+$BA264)*$AZ264)*$BC264, 1.05))+$AV264</f>
        <v>72</v>
      </c>
      <c r="BE264">
        <f>INT(POWER((((Constants!$G$1+$AW264+$AX264+$AY264+$BA264)*($AZ264))*$BB264),IF($D264="wagon",1,1.2)))+$AU264</f>
        <v>93</v>
      </c>
      <c r="BF264" s="15">
        <f t="shared" si="86"/>
        <v>56250</v>
      </c>
      <c r="BG264" s="15">
        <f t="shared" si="87"/>
        <v>7556.25</v>
      </c>
      <c r="BK264" t="s">
        <v>244</v>
      </c>
      <c r="BM264" t="s">
        <v>1188</v>
      </c>
      <c r="BN264">
        <v>4</v>
      </c>
      <c r="BO264">
        <v>205</v>
      </c>
      <c r="BQ264" t="s">
        <v>310</v>
      </c>
      <c r="BR264" t="str">
        <f>VLOOKUP(G264,Eras!$A$2:$C$10, 2, TRUE)</f>
        <v>prv</v>
      </c>
      <c r="BS264" t="s">
        <v>361</v>
      </c>
      <c r="BT264" t="str">
        <f t="shared" si="88"/>
        <v>prv_EMU (Express)</v>
      </c>
      <c r="BU264" t="str">
        <f t="shared" si="89"/>
        <v>electric_THIRD_RAIL</v>
      </c>
      <c r="BV264" t="str">
        <f>VLOOKUP($BU264, Constants!$M:$N, 2, FALSE)</f>
        <v>{BLACK}Powered by: {GOLD}750V DC</v>
      </c>
      <c r="BW264" t="str">
        <f t="shared" si="75"/>
        <v>{BLACK}Cars: {GOLD}4</v>
      </c>
      <c r="BX264" t="s">
        <v>633</v>
      </c>
      <c r="BY264" t="str">
        <f t="shared" si="76"/>
        <v>{YELLOW}10% Bonus for long distance travel{}</v>
      </c>
      <c r="BZ264" t="str">
        <f t="shared" si="90"/>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1353</v>
      </c>
      <c r="B265" t="s">
        <v>1354</v>
      </c>
      <c r="C265">
        <v>505</v>
      </c>
      <c r="D265" t="s">
        <v>431</v>
      </c>
      <c r="E265" t="s">
        <v>1355</v>
      </c>
      <c r="F265" t="s">
        <v>301</v>
      </c>
      <c r="G265">
        <v>2009</v>
      </c>
      <c r="J265">
        <v>1</v>
      </c>
      <c r="K265">
        <v>86</v>
      </c>
      <c r="T265">
        <v>12</v>
      </c>
      <c r="V265">
        <f t="shared" si="77"/>
        <v>8</v>
      </c>
      <c r="W265">
        <v>35</v>
      </c>
      <c r="X265" s="4">
        <f t="shared" si="78"/>
        <v>0.29166666666666669</v>
      </c>
      <c r="Y265">
        <v>35</v>
      </c>
      <c r="AA265">
        <v>9.6</v>
      </c>
      <c r="AB265">
        <v>9.6</v>
      </c>
      <c r="AC265">
        <v>2.4</v>
      </c>
      <c r="AD265">
        <v>3.2</v>
      </c>
      <c r="AE265" s="11">
        <v>42</v>
      </c>
      <c r="AF265" t="str">
        <f>CONCATENATE(VLOOKUP(AG265, 'Voxel Sizes'!$A$2:$B$18,2,FALSE),"x",INT(AC265*15), "x", INT(AD265*15))</f>
        <v>102x36x48</v>
      </c>
      <c r="AG265">
        <f t="shared" si="79"/>
        <v>6</v>
      </c>
      <c r="AI265" t="str">
        <f>CONCATENATE(VLOOKUP(AG265,Constants!$A$2:$C$16,IF(AH265&lt;&gt;"", 3, 2), FALSE),IF(AH265&lt;&gt;"",CONCATENATE(",",VLOOKUP(AH265,$B:$AI,34,FALSE)),""))</f>
        <v>2,2,2</v>
      </c>
      <c r="AM265" t="s">
        <v>1354</v>
      </c>
      <c r="AO265">
        <v>1</v>
      </c>
      <c r="AS265">
        <v>28</v>
      </c>
      <c r="AT265" t="str">
        <f t="shared" si="80"/>
        <v/>
      </c>
      <c r="AW265">
        <f t="shared" si="81"/>
        <v>7</v>
      </c>
      <c r="AX265">
        <f t="shared" si="82"/>
        <v>0.42999999999999994</v>
      </c>
      <c r="AY265">
        <f t="shared" si="83"/>
        <v>1.75</v>
      </c>
      <c r="AZ265" s="4">
        <f t="shared" si="84"/>
        <v>0.85466666666666669</v>
      </c>
      <c r="BA265">
        <f t="shared" si="85"/>
        <v>1.4000000000000001</v>
      </c>
      <c r="BB265">
        <f>VLOOKUP($E265,Constants!$I:$K, 2, FALSE)</f>
        <v>0.98</v>
      </c>
      <c r="BC265">
        <f>VLOOKUP($E265,Constants!$I:$K, 3, FALSE)*IF(AND(D265="multiple_unit",Y265&lt;110),0.75,1)</f>
        <v>1.41</v>
      </c>
      <c r="BD265">
        <f>INT(POWER(((Constants!$G$2+$AW265+$AX265+$AY265+$BA265)*$AZ265)*$BC265, 1.05))+$AV265</f>
        <v>21</v>
      </c>
      <c r="BE265">
        <f>INT(POWER((((Constants!$G$1+$AW265+$AX265+$AY265+$BA265)*($AZ265))*$BB265),IF($D265="wagon",1,1.2)))+$AU265</f>
        <v>39</v>
      </c>
      <c r="BF265" s="15">
        <f t="shared" si="86"/>
        <v>16406.25</v>
      </c>
      <c r="BG265" s="15">
        <f t="shared" si="87"/>
        <v>3168.75</v>
      </c>
      <c r="BN265">
        <v>6</v>
      </c>
      <c r="BQ265" t="s">
        <v>310</v>
      </c>
      <c r="BR265" t="str">
        <f>VLOOKUP(G265,Eras!$A$2:$C$10, 2, TRUE)</f>
        <v>mod</v>
      </c>
      <c r="BS265" t="s">
        <v>357</v>
      </c>
      <c r="BT265" t="str">
        <f t="shared" si="88"/>
        <v>mod_DMU (Cheap)</v>
      </c>
      <c r="BU265" t="str">
        <f t="shared" si="89"/>
        <v>lpgflywheel_RAIL</v>
      </c>
      <c r="BV265" t="str">
        <f>VLOOKUP($BU265, Constants!$M:$N, 2, FALSE)</f>
        <v>{BLACK}Powered by: {GOLD}LPG / Flywheel</v>
      </c>
      <c r="BX265" t="s">
        <v>1358</v>
      </c>
      <c r="BZ265" t="str">
        <f t="shared" si="90"/>
        <v>{BLACK}Powered by: {GOLD}LPG / Flywheel {}{SILVER}The Parry People Mover PPM60 uses a small LPG engine with a flywheel to capture energy from braking. The units are currently used on the Stourbridge Town Branch Line, where they are limited to 20mph.</v>
      </c>
    </row>
    <row r="266" spans="1:78" x14ac:dyDescent="0.25">
      <c r="A266" t="s">
        <v>80</v>
      </c>
      <c r="B266" t="s">
        <v>269</v>
      </c>
      <c r="C266">
        <v>506</v>
      </c>
      <c r="D266" t="s">
        <v>431</v>
      </c>
      <c r="E266" t="s">
        <v>323</v>
      </c>
      <c r="F266" t="s">
        <v>324</v>
      </c>
      <c r="G266">
        <v>2007</v>
      </c>
      <c r="H266">
        <v>2009</v>
      </c>
      <c r="J266">
        <v>6</v>
      </c>
      <c r="K266">
        <f>16*280</f>
        <v>4480</v>
      </c>
      <c r="T266">
        <v>265</v>
      </c>
      <c r="V266">
        <f>7*J266</f>
        <v>42</v>
      </c>
      <c r="W266">
        <v>210</v>
      </c>
      <c r="X266" s="4">
        <f t="shared" si="78"/>
        <v>7.9245283018867921E-2</v>
      </c>
      <c r="Y266">
        <v>157</v>
      </c>
      <c r="AA266">
        <v>20.88</v>
      </c>
      <c r="AB266">
        <v>20.88</v>
      </c>
      <c r="AD266">
        <v>3.82</v>
      </c>
      <c r="AE266" s="11">
        <v>57</v>
      </c>
      <c r="AF266" t="str">
        <f>CONCATENATE(VLOOKUP(AG266, 'Voxel Sizes'!$A$2:$B$18,2,FALSE),"x",INT(AC266*15), "x", INT(AD266*15))</f>
        <v>198x0x57</v>
      </c>
      <c r="AG266">
        <f t="shared" si="79"/>
        <v>12</v>
      </c>
      <c r="AI266" t="str">
        <f>CONCATENATE(VLOOKUP(AG266,Constants!$A$2:$C$16,IF(AH266&lt;&gt;"", 3, 2), FALSE),IF(AH266&lt;&gt;"",CONCATENATE(",",VLOOKUP(AH266,$B:$AI,34,FALSE)),""))</f>
        <v>4,4,4</v>
      </c>
      <c r="AM266" t="s">
        <v>1320</v>
      </c>
      <c r="AO266" t="s">
        <v>556</v>
      </c>
      <c r="AS266">
        <v>30</v>
      </c>
      <c r="AT266" t="str">
        <f t="shared" si="80"/>
        <v/>
      </c>
      <c r="AU266">
        <v>-15</v>
      </c>
      <c r="AV266">
        <v>-30</v>
      </c>
      <c r="AW266">
        <f t="shared" si="81"/>
        <v>30</v>
      </c>
      <c r="AX266">
        <f t="shared" si="82"/>
        <v>20</v>
      </c>
      <c r="AY266">
        <f t="shared" si="83"/>
        <v>10.5</v>
      </c>
      <c r="AZ266" s="4">
        <f t="shared" si="84"/>
        <v>0.85733333333333328</v>
      </c>
      <c r="BA266">
        <f t="shared" si="85"/>
        <v>11.400000000000002</v>
      </c>
      <c r="BB266">
        <f>VLOOKUP($E266,Constants!$I:$K, 2, FALSE)</f>
        <v>0.85</v>
      </c>
      <c r="BC266">
        <f>VLOOKUP($E266,Constants!$I:$K, 3, FALSE)*IF(AND(D266="multiple_unit",Y266&lt;110),0.75,1)</f>
        <v>2.2999999999999998</v>
      </c>
      <c r="BD266">
        <f>INT(POWER(((Constants!$G$2+$AW266+$AX266+$AY266+$BA266)*$AZ266)*$BC266, 1.05))+$AV266</f>
        <v>164</v>
      </c>
      <c r="BE266">
        <f>INT(POWER((((Constants!$G$1+$AW266+$AX266+$AY266+$BA266)*($AZ266))*$BB266),IF($D266="wagon",1,1.2)))+$AU266</f>
        <v>130</v>
      </c>
      <c r="BF266" s="15">
        <f t="shared" si="86"/>
        <v>128125</v>
      </c>
      <c r="BG266" s="15">
        <f t="shared" si="87"/>
        <v>10562.5</v>
      </c>
      <c r="BM266" t="s">
        <v>1186</v>
      </c>
      <c r="BN266">
        <v>5</v>
      </c>
      <c r="BO266">
        <v>205</v>
      </c>
      <c r="BQ266" t="s">
        <v>310</v>
      </c>
      <c r="BR266" t="str">
        <f>VLOOKUP(G266,Eras!$A$2:$C$10, 2, TRUE)</f>
        <v>mod</v>
      </c>
      <c r="BS266" t="s">
        <v>361</v>
      </c>
      <c r="BT266" t="str">
        <f t="shared" si="88"/>
        <v>mod_EMU (Express)</v>
      </c>
      <c r="BU266" t="str">
        <f t="shared" si="89"/>
        <v>electric_ELRL</v>
      </c>
      <c r="BV266" t="str">
        <f>VLOOKUP($BU266, Constants!$M:$N, 2, FALSE)</f>
        <v>{BLACK}Powered by: {GOLD}25kV AC</v>
      </c>
      <c r="BW266" t="str">
        <f t="shared" ref="BW266:BW309" si="91">IF(J266&gt;1,_xlfn.CONCAT("{BLACK}Cars: {GOLD}", J266),"")</f>
        <v>{BLACK}Cars: {GOLD}6</v>
      </c>
      <c r="BX266" t="s">
        <v>1323</v>
      </c>
      <c r="BY266" t="str">
        <f t="shared" ref="BY266:BY308" si="92">IF(BQ266="BRAKE","{YELLOW}Speed bonus for slow wagons{}",IF(BO266&gt;190,CONCATENATE("{YELLOW}",INT((BO266-185)/1.85),"% Bonus for long distance travel{}"),IF(AND(BO266&lt;180,BO266&lt;&gt;0),CONCATENATE("{YELLOW}",INT((185-BO266)/1.85),"% Penalty for long distance travel{}"),"")))</f>
        <v>{YELLOW}10% Bonus for long distance travel{}</v>
      </c>
      <c r="BZ266" t="str">
        <f t="shared" si="90"/>
        <v>{BLACK}Powered by: {GOLD}25kV AC {BLACK}Cars: {GOLD}6{}{YELLOW}10% Bonus for long distance travel{}{SILVER}The Class 395 is a dedicated high speed unit built for the HS1 high speed route. It is part of Hitachi's AT300 series.</v>
      </c>
    </row>
    <row r="267" spans="1:78" x14ac:dyDescent="0.25">
      <c r="A267" t="s">
        <v>80</v>
      </c>
      <c r="B267" t="s">
        <v>1349</v>
      </c>
      <c r="C267">
        <v>507</v>
      </c>
      <c r="D267" t="s">
        <v>431</v>
      </c>
      <c r="E267" t="s">
        <v>323</v>
      </c>
      <c r="F267" t="s">
        <v>324</v>
      </c>
      <c r="G267">
        <v>2007</v>
      </c>
      <c r="H267">
        <v>2009</v>
      </c>
      <c r="J267">
        <v>5</v>
      </c>
      <c r="K267">
        <f>16*280</f>
        <v>4480</v>
      </c>
      <c r="T267">
        <v>265</v>
      </c>
      <c r="V267">
        <f>7*J267</f>
        <v>35</v>
      </c>
      <c r="W267">
        <v>210</v>
      </c>
      <c r="X267" s="4">
        <f t="shared" si="78"/>
        <v>7.9245283018867921E-2</v>
      </c>
      <c r="Y267">
        <v>157</v>
      </c>
      <c r="AA267">
        <v>20.88</v>
      </c>
      <c r="AB267">
        <v>20.88</v>
      </c>
      <c r="AD267">
        <v>3.82</v>
      </c>
      <c r="AE267" s="11">
        <v>57</v>
      </c>
      <c r="AF267" t="str">
        <f>CONCATENATE(VLOOKUP(AG267, 'Voxel Sizes'!$A$2:$B$18,2,FALSE),"x",INT(AC267*15), "x", INT(AD267*15))</f>
        <v>198x0x57</v>
      </c>
      <c r="AG267">
        <f t="shared" si="79"/>
        <v>12</v>
      </c>
      <c r="AI267" t="str">
        <f>CONCATENATE(VLOOKUP(AG267,Constants!$A$2:$C$16,IF(AH267&lt;&gt;"", 3, 2), FALSE),IF(AH267&lt;&gt;"",CONCATENATE(",",VLOOKUP(AH267,$B:$AI,34,FALSE)),""))</f>
        <v>4,4,4</v>
      </c>
      <c r="AM267" t="s">
        <v>1350</v>
      </c>
      <c r="AO267" t="s">
        <v>696</v>
      </c>
      <c r="AP267" t="s">
        <v>269</v>
      </c>
      <c r="AS267">
        <v>30</v>
      </c>
      <c r="AT267" t="str">
        <f t="shared" si="80"/>
        <v/>
      </c>
      <c r="AU267">
        <v>-15</v>
      </c>
      <c r="AV267">
        <v>-30</v>
      </c>
      <c r="AW267">
        <f t="shared" si="81"/>
        <v>30</v>
      </c>
      <c r="AX267">
        <f t="shared" si="82"/>
        <v>20</v>
      </c>
      <c r="AY267">
        <f t="shared" si="83"/>
        <v>10.5</v>
      </c>
      <c r="AZ267" s="4">
        <f t="shared" si="84"/>
        <v>0.85733333333333328</v>
      </c>
      <c r="BA267">
        <f t="shared" si="85"/>
        <v>9.5</v>
      </c>
      <c r="BB267">
        <f>VLOOKUP($E267,Constants!$I:$K, 2, FALSE)</f>
        <v>0.85</v>
      </c>
      <c r="BC267">
        <f>VLOOKUP($E267,Constants!$I:$K, 3, FALSE)*IF(AND(D267="multiple_unit",Y267&lt;110),0.75,1)</f>
        <v>2.2999999999999998</v>
      </c>
      <c r="BD267">
        <f>INT(POWER(((Constants!$G$2+$AW267+$AX267+$AY267+$BA267)*$AZ267)*$BC267, 1.05))+$AV267</f>
        <v>159</v>
      </c>
      <c r="BE267">
        <f>INT(POWER((((Constants!$G$1+$AW267+$AX267+$AY267+$BA267)*($AZ267))*$BB267),IF($D267="wagon",1,1.2)))+$AU267</f>
        <v>126</v>
      </c>
      <c r="BF267" s="15">
        <f t="shared" si="86"/>
        <v>124218.75</v>
      </c>
      <c r="BG267" s="15">
        <f t="shared" si="87"/>
        <v>10237.5</v>
      </c>
      <c r="BM267" t="s">
        <v>1188</v>
      </c>
      <c r="BN267">
        <v>5</v>
      </c>
      <c r="BO267">
        <v>205</v>
      </c>
      <c r="BQ267" t="s">
        <v>310</v>
      </c>
      <c r="BR267" t="str">
        <f>VLOOKUP(G267,Eras!$A$2:$C$10, 2, TRUE)</f>
        <v>mod</v>
      </c>
      <c r="BS267" t="s">
        <v>361</v>
      </c>
      <c r="BT267" t="str">
        <f t="shared" si="88"/>
        <v>mod_EMU (Express)</v>
      </c>
      <c r="BU267" t="str">
        <f t="shared" si="89"/>
        <v>electric_ELRL</v>
      </c>
      <c r="BV267" t="str">
        <f>VLOOKUP($BU267, Constants!$M:$N, 2, FALSE)</f>
        <v>{BLACK}Powered by: {GOLD}25kV AC</v>
      </c>
      <c r="BW267" t="str">
        <f t="shared" si="91"/>
        <v>{BLACK}Cars: {GOLD}5</v>
      </c>
      <c r="BX267" t="s">
        <v>1323</v>
      </c>
      <c r="BY267" t="str">
        <f t="shared" si="92"/>
        <v>{YELLOW}10% Bonus for long distance travel{}</v>
      </c>
      <c r="BZ267" t="str">
        <f t="shared" si="90"/>
        <v>{BLACK}Powered by: {GOLD}25kV AC {BLACK}Cars: {GOLD}5{}{YELLOW}10% Bonus for long distance travel{}{SILVER}The Class 395 is a dedicated high speed unit built for the HS1 high speed route. It is part of Hitachi's AT300 series.</v>
      </c>
    </row>
    <row r="268" spans="1:78" x14ac:dyDescent="0.25">
      <c r="A268" t="s">
        <v>85</v>
      </c>
      <c r="B268" t="s">
        <v>243</v>
      </c>
      <c r="C268">
        <v>508</v>
      </c>
      <c r="D268" t="s">
        <v>431</v>
      </c>
      <c r="E268" t="s">
        <v>581</v>
      </c>
      <c r="F268" t="s">
        <v>580</v>
      </c>
      <c r="G268">
        <v>2009</v>
      </c>
      <c r="J268">
        <v>5</v>
      </c>
      <c r="K268">
        <f>800*2</f>
        <v>1600</v>
      </c>
      <c r="T268">
        <v>212.8</v>
      </c>
      <c r="V268">
        <f>10*J268</f>
        <v>50</v>
      </c>
      <c r="W268">
        <v>180</v>
      </c>
      <c r="X268" s="4">
        <f t="shared" si="78"/>
        <v>8.4586466165413529E-2</v>
      </c>
      <c r="Y268">
        <v>75</v>
      </c>
      <c r="AA268">
        <v>20.399999999999999</v>
      </c>
      <c r="AB268">
        <v>20.399999999999999</v>
      </c>
      <c r="AC268">
        <v>2.8</v>
      </c>
      <c r="AD268">
        <v>3.78</v>
      </c>
      <c r="AE268" s="11">
        <v>90</v>
      </c>
      <c r="AF268" t="str">
        <f>CONCATENATE(VLOOKUP(AG268, 'Voxel Sizes'!$A$2:$B$18,2,FALSE),"x",INT(AC268*15), "x", INT(AD268*15))</f>
        <v>198x42x56</v>
      </c>
      <c r="AG268">
        <f t="shared" si="79"/>
        <v>12</v>
      </c>
      <c r="AI268" t="str">
        <f>CONCATENATE(VLOOKUP(AG268,Constants!$A$2:$C$16,IF(AH268&lt;&gt;"", 3, 2), FALSE),IF(AH268&lt;&gt;"",CONCATENATE(",",VLOOKUP(AH268,$B:$AI,34,FALSE)),""))</f>
        <v>4,4,4</v>
      </c>
      <c r="AM268" t="s">
        <v>629</v>
      </c>
      <c r="AN268" t="s">
        <v>630</v>
      </c>
      <c r="AO268" t="s">
        <v>631</v>
      </c>
      <c r="AS268">
        <v>30</v>
      </c>
      <c r="AT268" t="str">
        <f t="shared" si="80"/>
        <v/>
      </c>
      <c r="AU268">
        <v>-15</v>
      </c>
      <c r="AV268">
        <v>-35</v>
      </c>
      <c r="AW268">
        <f t="shared" si="81"/>
        <v>15</v>
      </c>
      <c r="AX268">
        <f t="shared" si="82"/>
        <v>8</v>
      </c>
      <c r="AY268">
        <f t="shared" si="83"/>
        <v>9</v>
      </c>
      <c r="AZ268" s="4">
        <f t="shared" si="84"/>
        <v>0.85466666666666669</v>
      </c>
      <c r="BA268">
        <f t="shared" si="85"/>
        <v>15</v>
      </c>
      <c r="BB268">
        <f>VLOOKUP($E268,Constants!$I:$K, 2, FALSE)</f>
        <v>0.85</v>
      </c>
      <c r="BC268">
        <f>VLOOKUP($E268,Constants!$I:$K, 3, FALSE)*IF(AND(D268="multiple_unit",Y268&lt;110),0.75,1)</f>
        <v>1.7999999999999998</v>
      </c>
      <c r="BD268">
        <f>INT(POWER(((Constants!$G$2+$AW268+$AX268+$AY268+$BA268)*$AZ268)*$BC268, 1.05))+$AV268</f>
        <v>64</v>
      </c>
      <c r="BE268">
        <f>INT(POWER((((Constants!$G$1+$AW268+$AX268+$AY268+$BA268)*($AZ268))*$BB268),IF($D268="wagon",1,1.2)))+$AU268</f>
        <v>81</v>
      </c>
      <c r="BF268" s="15">
        <f t="shared" si="86"/>
        <v>50000</v>
      </c>
      <c r="BG268" s="15">
        <f t="shared" si="87"/>
        <v>6581.25</v>
      </c>
      <c r="BN268">
        <v>6</v>
      </c>
      <c r="BO268">
        <v>165</v>
      </c>
      <c r="BQ268" t="s">
        <v>310</v>
      </c>
      <c r="BR268" t="str">
        <f>VLOOKUP(G268,Eras!$A$2:$C$10, 2, TRUE)</f>
        <v>mod</v>
      </c>
      <c r="BS268" t="s">
        <v>360</v>
      </c>
      <c r="BT268" t="str">
        <f t="shared" si="88"/>
        <v>mod_EMU</v>
      </c>
      <c r="BU268" t="str">
        <f t="shared" si="89"/>
        <v>dual_electric_DUAL_POWER</v>
      </c>
      <c r="BV268" t="str">
        <f>VLOOKUP($BU268, Constants!$M:$N, 2, FALSE)</f>
        <v>{BLACK}Powered by: {GOLD}25kV AC / 750V DC</v>
      </c>
      <c r="BW268" t="str">
        <f t="shared" si="91"/>
        <v>{BLACK}Cars: {GOLD}5</v>
      </c>
      <c r="BX268" t="s">
        <v>628</v>
      </c>
      <c r="BY268" t="str">
        <f t="shared" si="92"/>
        <v>{YELLOW}10% Penalty for long distance travel{}</v>
      </c>
      <c r="BZ268" t="str">
        <f t="shared" si="90"/>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9" spans="1:78" x14ac:dyDescent="0.25">
      <c r="A269" t="s">
        <v>1315</v>
      </c>
      <c r="B269" t="s">
        <v>1316</v>
      </c>
      <c r="C269">
        <v>509</v>
      </c>
      <c r="D269" t="s">
        <v>431</v>
      </c>
      <c r="E269" t="s">
        <v>570</v>
      </c>
      <c r="F269" t="s">
        <v>324</v>
      </c>
      <c r="G269">
        <v>2017</v>
      </c>
      <c r="J269">
        <v>5</v>
      </c>
      <c r="K269">
        <v>3200</v>
      </c>
      <c r="L269" s="9">
        <v>2250</v>
      </c>
      <c r="T269">
        <v>243</v>
      </c>
      <c r="V269">
        <f>8*J269</f>
        <v>40</v>
      </c>
      <c r="W269">
        <v>195</v>
      </c>
      <c r="X269" s="4">
        <f t="shared" si="78"/>
        <v>8.0246913580246909E-2</v>
      </c>
      <c r="Y269">
        <v>140</v>
      </c>
      <c r="AA269">
        <v>26</v>
      </c>
      <c r="AB269">
        <v>24</v>
      </c>
      <c r="AE269" s="11">
        <v>66</v>
      </c>
      <c r="AF269" t="str">
        <f>CONCATENATE(VLOOKUP(AG269, 'Voxel Sizes'!$A$2:$B$18,2,FALSE),"x",INT(AC269*15), "x", INT(AD269*15))</f>
        <v>238x0x0</v>
      </c>
      <c r="AG269">
        <f t="shared" si="79"/>
        <v>14</v>
      </c>
      <c r="AI269" t="str">
        <f>CONCATENATE(VLOOKUP(AG269,Constants!$A$2:$C$16,IF(AH269&lt;&gt;"", 3, 2), FALSE),IF(AH269&lt;&gt;"",CONCATENATE(",",VLOOKUP(AH269,$B:$AI,34,FALSE)),""))</f>
        <v>4,6,4</v>
      </c>
      <c r="AJ269">
        <v>12</v>
      </c>
      <c r="AM269" t="s">
        <v>1317</v>
      </c>
      <c r="AN269" t="s">
        <v>1318</v>
      </c>
      <c r="AO269" t="s">
        <v>636</v>
      </c>
      <c r="AS269">
        <v>30</v>
      </c>
      <c r="AT269" t="str">
        <f t="shared" si="80"/>
        <v/>
      </c>
      <c r="AU269">
        <v>-15</v>
      </c>
      <c r="AV269">
        <v>-30</v>
      </c>
      <c r="AW269">
        <f t="shared" si="81"/>
        <v>28</v>
      </c>
      <c r="AX269">
        <f t="shared" si="82"/>
        <v>16</v>
      </c>
      <c r="AY269">
        <f t="shared" si="83"/>
        <v>9.75</v>
      </c>
      <c r="AZ269" s="4">
        <f t="shared" si="84"/>
        <v>0.84399999999999997</v>
      </c>
      <c r="BA269">
        <f t="shared" si="85"/>
        <v>11</v>
      </c>
      <c r="BB269">
        <f>VLOOKUP($E269,Constants!$I:$K, 2, FALSE)</f>
        <v>0.9</v>
      </c>
      <c r="BC269">
        <f>VLOOKUP($E269,Constants!$I:$K, 3, FALSE)*IF(AND(D269="multiple_unit",Y269&lt;110),0.75,1)</f>
        <v>2.5</v>
      </c>
      <c r="BD269">
        <f>INT(POWER(((Constants!$G$2+$AW269+$AX269+$AY269+$BA269)*$AZ269)*$BC269, 1.05))+$AV269</f>
        <v>158</v>
      </c>
      <c r="BE269">
        <f>INT(POWER((((Constants!$G$1+$AW269+$AX269+$AY269+$BA269)*($AZ269))*$BB269),IF($D269="wagon",1,1.2)))+$AU269</f>
        <v>122</v>
      </c>
      <c r="BF269" s="15">
        <f t="shared" si="86"/>
        <v>123437.5</v>
      </c>
      <c r="BG269" s="15">
        <f t="shared" si="87"/>
        <v>9912.5</v>
      </c>
      <c r="BM269" t="s">
        <v>1186</v>
      </c>
      <c r="BN269">
        <v>10</v>
      </c>
      <c r="BO269">
        <v>222</v>
      </c>
      <c r="BQ269" t="s">
        <v>310</v>
      </c>
      <c r="BR269" t="str">
        <f>VLOOKUP(G269,Eras!$A$2:$C$10, 2, TRUE)</f>
        <v>mod</v>
      </c>
      <c r="BS269" t="s">
        <v>361</v>
      </c>
      <c r="BT269" t="str">
        <f t="shared" si="88"/>
        <v>mod_EMU (Express)</v>
      </c>
      <c r="BU269" t="str">
        <f t="shared" si="89"/>
        <v>dual_power_ELRL</v>
      </c>
      <c r="BV269" t="str">
        <f>VLOOKUP($BU269, Constants!$M:$N, 2, FALSE)</f>
        <v>{BLACK}Powered by: {GOLD}25kV AC / Diesel</v>
      </c>
      <c r="BW269" t="str">
        <f t="shared" si="91"/>
        <v>{BLACK}Cars: {GOLD}5</v>
      </c>
      <c r="BX269" t="s">
        <v>1319</v>
      </c>
      <c r="BY269" t="str">
        <f t="shared" si="92"/>
        <v>{YELLOW}20% Bonus for long distance travel{}</v>
      </c>
      <c r="BZ269" t="str">
        <f t="shared" si="90"/>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0" spans="1:78" x14ac:dyDescent="0.25">
      <c r="A270" t="s">
        <v>95</v>
      </c>
      <c r="B270" t="s">
        <v>680</v>
      </c>
      <c r="C270">
        <v>510</v>
      </c>
      <c r="D270" t="s">
        <v>431</v>
      </c>
      <c r="E270" t="s">
        <v>299</v>
      </c>
      <c r="F270" t="s">
        <v>301</v>
      </c>
      <c r="G270">
        <v>2019</v>
      </c>
      <c r="J270">
        <v>2</v>
      </c>
      <c r="K270">
        <f>523*2</f>
        <v>1046</v>
      </c>
      <c r="T270">
        <v>80</v>
      </c>
      <c r="V270">
        <f>8*J270</f>
        <v>16</v>
      </c>
      <c r="W270">
        <v>145</v>
      </c>
      <c r="X270" s="4">
        <f t="shared" si="78"/>
        <v>0.18124999999999999</v>
      </c>
      <c r="Y270">
        <v>100</v>
      </c>
      <c r="AA270">
        <v>24</v>
      </c>
      <c r="AB270">
        <v>24</v>
      </c>
      <c r="AC270">
        <v>2.7</v>
      </c>
      <c r="AD270">
        <v>3.85</v>
      </c>
      <c r="AE270" s="11">
        <v>63</v>
      </c>
      <c r="AF270" t="str">
        <f>CONCATENATE(VLOOKUP(AG270, 'Voxel Sizes'!$A$2:$B$18,2,FALSE),"x",INT(AC270*15), "x", INT(AD270*15))</f>
        <v>238x40x57</v>
      </c>
      <c r="AG270">
        <f t="shared" si="79"/>
        <v>14</v>
      </c>
      <c r="AI270" t="str">
        <f>CONCATENATE(VLOOKUP(AG270,Constants!$A$2:$C$16,IF(AH270&lt;&gt;"", 3, 2), FALSE),IF(AH270&lt;&gt;"",CONCATENATE(",",VLOOKUP(AH270,$B:$AI,34,FALSE)),""))</f>
        <v>4,6,4</v>
      </c>
      <c r="AM270" t="s">
        <v>681</v>
      </c>
      <c r="AO270" t="s">
        <v>494</v>
      </c>
      <c r="AS270">
        <v>30</v>
      </c>
      <c r="AT270" t="str">
        <f t="shared" si="80"/>
        <v/>
      </c>
      <c r="AU270">
        <v>-15</v>
      </c>
      <c r="AV270">
        <v>-25</v>
      </c>
      <c r="AW270">
        <f t="shared" si="81"/>
        <v>20</v>
      </c>
      <c r="AX270">
        <f t="shared" si="82"/>
        <v>5.23</v>
      </c>
      <c r="AY270">
        <f t="shared" si="83"/>
        <v>7.25</v>
      </c>
      <c r="AZ270" s="4">
        <f t="shared" si="84"/>
        <v>0.84133333333333327</v>
      </c>
      <c r="BA270">
        <f t="shared" si="85"/>
        <v>4.2</v>
      </c>
      <c r="BB270">
        <f>VLOOKUP($E270,Constants!$I:$K, 2, FALSE)</f>
        <v>1</v>
      </c>
      <c r="BC270">
        <f>VLOOKUP($E270,Constants!$I:$K, 3, FALSE)*IF(AND(D270="multiple_unit",Y270&lt;110),0.75,1)</f>
        <v>1.5</v>
      </c>
      <c r="BD270">
        <f>INT(POWER(((Constants!$G$2+$AW270+$AX270+$AY270+$BA270)*$AZ270)*$BC270, 1.05))+$AV270</f>
        <v>39</v>
      </c>
      <c r="BE270">
        <f>INT(POWER((((Constants!$G$1+$AW270+$AX270+$AY270+$BA270)*($AZ270))*$BB270),IF($D270="wagon",1,1.2)))+$AU270</f>
        <v>77</v>
      </c>
      <c r="BF270" s="15">
        <f t="shared" si="86"/>
        <v>30468.75</v>
      </c>
      <c r="BG270" s="15">
        <f t="shared" si="87"/>
        <v>6256.25</v>
      </c>
      <c r="BN270">
        <v>2</v>
      </c>
      <c r="BO270">
        <v>185</v>
      </c>
      <c r="BQ270" t="s">
        <v>310</v>
      </c>
      <c r="BR270" t="str">
        <f>VLOOKUP(G270,Eras!$A$2:$C$10, 2, TRUE)</f>
        <v>mod</v>
      </c>
      <c r="BS270" t="s">
        <v>358</v>
      </c>
      <c r="BT270" t="str">
        <f t="shared" si="88"/>
        <v>mod_DMU</v>
      </c>
      <c r="BU270" t="str">
        <f t="shared" si="89"/>
        <v>diesel_RAIL</v>
      </c>
      <c r="BV270" t="str">
        <f>VLOOKUP($BU270, Constants!$M:$N, 2, FALSE)</f>
        <v>{BLACK}Powered by: {GOLD}Diesel</v>
      </c>
      <c r="BW270" t="str">
        <f t="shared" si="91"/>
        <v>{BLACK}Cars: {GOLD}2</v>
      </c>
      <c r="BX270" t="s">
        <v>682</v>
      </c>
      <c r="BY270" t="str">
        <f t="shared" si="92"/>
        <v/>
      </c>
      <c r="BZ270" t="str">
        <f t="shared" si="90"/>
        <v>{BLACK}Powered by: {GOLD}Diesel {BLACK}Cars: {GOLD}2{}{SILVER}The Class 195 is designed to replace Sprinter and Pacer units with a multiple unit of far higher quality and passenger comfort.</v>
      </c>
    </row>
    <row r="271" spans="1:78" x14ac:dyDescent="0.25">
      <c r="A271" t="s">
        <v>1284</v>
      </c>
      <c r="B271" t="s">
        <v>1288</v>
      </c>
      <c r="C271">
        <v>511</v>
      </c>
      <c r="D271" t="s">
        <v>431</v>
      </c>
      <c r="E271" t="s">
        <v>570</v>
      </c>
      <c r="F271" t="s">
        <v>324</v>
      </c>
      <c r="G271">
        <v>2019</v>
      </c>
      <c r="J271">
        <v>5</v>
      </c>
      <c r="K271">
        <v>3500</v>
      </c>
      <c r="L271" s="9">
        <v>2570</v>
      </c>
      <c r="T271">
        <v>163</v>
      </c>
      <c r="V271">
        <f>8*J271</f>
        <v>40</v>
      </c>
      <c r="W271">
        <v>185</v>
      </c>
      <c r="X271" s="4">
        <f t="shared" si="78"/>
        <v>0.11349693251533742</v>
      </c>
      <c r="Y271">
        <v>100</v>
      </c>
      <c r="AA271">
        <v>20.100000000000001</v>
      </c>
      <c r="AB271">
        <v>20.100000000000001</v>
      </c>
      <c r="AC271">
        <v>2.72</v>
      </c>
      <c r="AD271">
        <v>3.95</v>
      </c>
      <c r="AE271" s="11">
        <v>45</v>
      </c>
      <c r="AF271" t="str">
        <f>CONCATENATE(VLOOKUP(AG271, 'Voxel Sizes'!$A$2:$B$18,2,FALSE),"x",INT(AC271*15), "x", INT(AD271*15))</f>
        <v>198x40x59</v>
      </c>
      <c r="AG271">
        <f t="shared" si="79"/>
        <v>12</v>
      </c>
      <c r="AI271" t="str">
        <f>CONCATENATE(VLOOKUP(AG271,Constants!$A$2:$C$16,IF(AH271&lt;&gt;"", 3, 2), FALSE),IF(AH271&lt;&gt;"",CONCATENATE(",",VLOOKUP(AH271,$B:$AI,34,FALSE)),""))</f>
        <v>4,4,4</v>
      </c>
      <c r="AJ271">
        <v>6</v>
      </c>
      <c r="AK271" s="13" t="s">
        <v>1294</v>
      </c>
      <c r="AL271" s="13" t="s">
        <v>1297</v>
      </c>
      <c r="AM271" t="s">
        <v>1296</v>
      </c>
      <c r="AN271" t="s">
        <v>1292</v>
      </c>
      <c r="AO271" t="s">
        <v>1295</v>
      </c>
      <c r="AS271">
        <v>30</v>
      </c>
      <c r="AT271" t="str">
        <f t="shared" si="80"/>
        <v/>
      </c>
      <c r="AU271">
        <v>-15</v>
      </c>
      <c r="AV271">
        <v>-30</v>
      </c>
      <c r="AW271">
        <f t="shared" si="81"/>
        <v>20</v>
      </c>
      <c r="AX271">
        <f t="shared" si="82"/>
        <v>17.5</v>
      </c>
      <c r="AY271">
        <f t="shared" si="83"/>
        <v>9.25</v>
      </c>
      <c r="AZ271" s="4">
        <f t="shared" si="84"/>
        <v>0.84133333333333327</v>
      </c>
      <c r="BA271">
        <f t="shared" si="85"/>
        <v>7.5</v>
      </c>
      <c r="BB271">
        <f>VLOOKUP($E271,Constants!$I:$K, 2, FALSE)</f>
        <v>0.9</v>
      </c>
      <c r="BC271">
        <f>VLOOKUP($E271,Constants!$I:$K, 3, FALSE)*IF(AND(D271="multiple_unit",Y271&lt;110),0.75,1)</f>
        <v>1.875</v>
      </c>
      <c r="BD271">
        <f>INT(POWER(((Constants!$G$2+$AW271+$AX271+$AY271+$BA271)*$AZ271)*$BC271, 1.05))+$AV271</f>
        <v>87</v>
      </c>
      <c r="BE271">
        <f>INT(POWER((((Constants!$G$1+$AW271+$AX271+$AY271+$BA271)*($AZ271))*$BB271),IF($D271="wagon",1,1.2)))+$AU271</f>
        <v>100</v>
      </c>
      <c r="BF271" s="15">
        <f t="shared" si="86"/>
        <v>67968.75</v>
      </c>
      <c r="BG271" s="15">
        <f t="shared" si="87"/>
        <v>8125</v>
      </c>
      <c r="BN271">
        <v>9</v>
      </c>
      <c r="BQ271" t="s">
        <v>310</v>
      </c>
      <c r="BR271" t="str">
        <f>VLOOKUP(G271,Eras!$A$2:$C$10, 2, TRUE)</f>
        <v>mod</v>
      </c>
      <c r="BS271" t="s">
        <v>360</v>
      </c>
      <c r="BT271" t="str">
        <f t="shared" si="88"/>
        <v>mod_EMU</v>
      </c>
      <c r="BU271" t="str">
        <f t="shared" si="89"/>
        <v>dual_power_ELRL</v>
      </c>
      <c r="BV271" t="str">
        <f>VLOOKUP($BU271, Constants!$M:$N, 2, FALSE)</f>
        <v>{BLACK}Powered by: {GOLD}25kV AC / Diesel</v>
      </c>
      <c r="BW271" t="str">
        <f t="shared" si="91"/>
        <v>{BLACK}Cars: {GOLD}5</v>
      </c>
      <c r="BX271" t="s">
        <v>1287</v>
      </c>
      <c r="BY271" t="str">
        <f t="shared" si="92"/>
        <v/>
      </c>
      <c r="BZ271" t="str">
        <f t="shared" si="90"/>
        <v>{BLACK}Powered by: {GOLD}25kV AC / Diesel {BLACK}Cars: {GOLD}5{}{SILVER}The Class 755 was designed to modernise services on the East Anglia franchise. The design features a distinctive "power pack" containing the diesel engines used for bi-mode operation.</v>
      </c>
    </row>
    <row r="272" spans="1:78" x14ac:dyDescent="0.25">
      <c r="A272" t="s">
        <v>1303</v>
      </c>
      <c r="B272" t="s">
        <v>1304</v>
      </c>
      <c r="C272">
        <v>512</v>
      </c>
      <c r="D272" t="s">
        <v>431</v>
      </c>
      <c r="E272" t="s">
        <v>323</v>
      </c>
      <c r="F272" t="s">
        <v>324</v>
      </c>
      <c r="G272">
        <v>2018</v>
      </c>
      <c r="J272">
        <v>3</v>
      </c>
      <c r="K272">
        <f>335*6</f>
        <v>2010</v>
      </c>
      <c r="T272">
        <v>130</v>
      </c>
      <c r="V272">
        <f>8*J272</f>
        <v>24</v>
      </c>
      <c r="W272">
        <v>150</v>
      </c>
      <c r="X272" s="4">
        <f t="shared" si="78"/>
        <v>0.11538461538461539</v>
      </c>
      <c r="Y272">
        <v>100</v>
      </c>
      <c r="AA272">
        <v>23</v>
      </c>
      <c r="AB272">
        <v>23</v>
      </c>
      <c r="AE272" s="11">
        <v>69</v>
      </c>
      <c r="AF272" t="str">
        <f>CONCATENATE(VLOOKUP(AG272, 'Voxel Sizes'!$A$2:$B$18,2,FALSE),"x",INT(AC272*15), "x", INT(AD272*15))</f>
        <v>214x0x0</v>
      </c>
      <c r="AG272">
        <f t="shared" si="79"/>
        <v>13</v>
      </c>
      <c r="AI272" t="str">
        <f>CONCATENATE(VLOOKUP(AG272,Constants!$A$2:$C$16,IF(AH272&lt;&gt;"", 3, 2), FALSE),IF(AH272&lt;&gt;"",CONCATENATE(",",VLOOKUP(AH272,$B:$AI,34,FALSE)),""))</f>
        <v>4,5,4</v>
      </c>
      <c r="AM272" t="s">
        <v>1321</v>
      </c>
      <c r="AO272" t="s">
        <v>319</v>
      </c>
      <c r="AS272">
        <v>32</v>
      </c>
      <c r="AT272" t="str">
        <f t="shared" si="80"/>
        <v/>
      </c>
      <c r="AU272">
        <v>-15</v>
      </c>
      <c r="AV272">
        <v>-32</v>
      </c>
      <c r="AW272">
        <f t="shared" si="81"/>
        <v>20</v>
      </c>
      <c r="AX272">
        <f t="shared" si="82"/>
        <v>10.049999999999999</v>
      </c>
      <c r="AY272">
        <f t="shared" si="83"/>
        <v>7.5</v>
      </c>
      <c r="AZ272" s="4">
        <f t="shared" si="84"/>
        <v>0.84266666666666667</v>
      </c>
      <c r="BA272">
        <f t="shared" si="85"/>
        <v>6.9</v>
      </c>
      <c r="BB272">
        <f>VLOOKUP($E272,Constants!$I:$K, 2, FALSE)</f>
        <v>0.85</v>
      </c>
      <c r="BC272">
        <f>VLOOKUP($E272,Constants!$I:$K, 3, FALSE)*IF(AND(D272="multiple_unit",Y272&lt;110),0.75,1)</f>
        <v>1.7249999999999999</v>
      </c>
      <c r="BD272">
        <f>INT(POWER(((Constants!$G$2+$AW272+$AX272+$AY272+$BA272)*$AZ272)*$BC272, 1.05))+$AV272</f>
        <v>57</v>
      </c>
      <c r="BE272">
        <f>INT(POWER((((Constants!$G$1+$AW272+$AX272+$AY272+$BA272)*($AZ272))*$BB272),IF($D272="wagon",1,1.2)))+$AU272</f>
        <v>75</v>
      </c>
      <c r="BF272" s="15">
        <f t="shared" si="86"/>
        <v>44531.25</v>
      </c>
      <c r="BG272" s="15">
        <f t="shared" si="87"/>
        <v>6093.75</v>
      </c>
      <c r="BN272">
        <v>11</v>
      </c>
      <c r="BO272">
        <v>185</v>
      </c>
      <c r="BQ272" t="s">
        <v>310</v>
      </c>
      <c r="BR272" t="str">
        <f>VLOOKUP(G272,Eras!$A$2:$C$10, 2, TRUE)</f>
        <v>mod</v>
      </c>
      <c r="BS272" t="s">
        <v>360</v>
      </c>
      <c r="BT272" t="str">
        <f t="shared" si="88"/>
        <v>mod_EMU</v>
      </c>
      <c r="BU272" t="str">
        <f t="shared" si="89"/>
        <v>electric_ELRL</v>
      </c>
      <c r="BV272" t="str">
        <f>VLOOKUP($BU272, Constants!$M:$N, 2, FALSE)</f>
        <v>{BLACK}Powered by: {GOLD}25kV AC</v>
      </c>
      <c r="BW272" t="str">
        <f t="shared" si="91"/>
        <v>{BLACK}Cars: {GOLD}3</v>
      </c>
      <c r="BX272" t="s">
        <v>1322</v>
      </c>
      <c r="BY272" t="str">
        <f t="shared" si="92"/>
        <v/>
      </c>
      <c r="BZ272" t="str">
        <f t="shared" si="90"/>
        <v>{BLACK}Powered by: {GOLD}25kV AC {BLACK}Cars: {GOLD}3{}{SILVER}The Class 385 was built for use on newly electrified lines in Scotland. Unlike most AT200 variants, it has cab end doors to allow for trolley services throughout the train.</v>
      </c>
    </row>
    <row r="273" spans="1:78" x14ac:dyDescent="0.25">
      <c r="A273" t="s">
        <v>1309</v>
      </c>
      <c r="B273" t="s">
        <v>1331</v>
      </c>
      <c r="C273">
        <v>513</v>
      </c>
      <c r="D273" t="s">
        <v>431</v>
      </c>
      <c r="E273" t="s">
        <v>581</v>
      </c>
      <c r="F273" t="s">
        <v>580</v>
      </c>
      <c r="G273">
        <v>2016</v>
      </c>
      <c r="J273">
        <v>8</v>
      </c>
      <c r="K273">
        <v>4400</v>
      </c>
      <c r="L273" s="9">
        <v>2560</v>
      </c>
      <c r="T273">
        <v>278</v>
      </c>
      <c r="V273">
        <f>9*J273</f>
        <v>72</v>
      </c>
      <c r="W273">
        <v>225</v>
      </c>
      <c r="X273" s="4">
        <f t="shared" si="78"/>
        <v>8.0935251798561147E-2</v>
      </c>
      <c r="Y273">
        <v>100</v>
      </c>
      <c r="AA273">
        <v>20.2</v>
      </c>
      <c r="AB273">
        <v>20.2</v>
      </c>
      <c r="AE273" s="11">
        <v>69</v>
      </c>
      <c r="AF273" t="str">
        <f>CONCATENATE(VLOOKUP(AG273, 'Voxel Sizes'!$A$2:$B$18,2,FALSE),"x",INT(AC273*15), "x", INT(AD273*15))</f>
        <v>198x0x0</v>
      </c>
      <c r="AG273">
        <f t="shared" si="79"/>
        <v>12</v>
      </c>
      <c r="AI273" t="str">
        <f>CONCATENATE(VLOOKUP(AG273,Constants!$A$2:$C$16,IF(AH273&lt;&gt;"", 3, 2), FALSE),IF(AH273&lt;&gt;"",CONCATENATE(",",VLOOKUP(AH273,$B:$AI,34,FALSE)),""))</f>
        <v>4,4,4</v>
      </c>
      <c r="AM273" t="s">
        <v>1332</v>
      </c>
      <c r="AN273" t="s">
        <v>1335</v>
      </c>
      <c r="AO273" t="s">
        <v>1333</v>
      </c>
      <c r="AS273">
        <v>30</v>
      </c>
      <c r="AT273" t="str">
        <f t="shared" si="80"/>
        <v/>
      </c>
      <c r="AU273">
        <v>-15</v>
      </c>
      <c r="AV273">
        <v>-30</v>
      </c>
      <c r="AW273">
        <f t="shared" si="81"/>
        <v>20</v>
      </c>
      <c r="AX273">
        <f t="shared" si="82"/>
        <v>20</v>
      </c>
      <c r="AY273">
        <f t="shared" si="83"/>
        <v>11.25</v>
      </c>
      <c r="AZ273" s="4">
        <f t="shared" si="84"/>
        <v>0.84533333333333327</v>
      </c>
      <c r="BA273">
        <f t="shared" si="85"/>
        <v>18.400000000000002</v>
      </c>
      <c r="BB273">
        <f>VLOOKUP($E273,Constants!$I:$K, 2, FALSE)</f>
        <v>0.85</v>
      </c>
      <c r="BC273">
        <f>VLOOKUP($E273,Constants!$I:$K, 3, FALSE)*IF(AND(D273="multiple_unit",Y273&lt;110),0.75,1)</f>
        <v>1.7999999999999998</v>
      </c>
      <c r="BD273">
        <f>INT(POWER(((Constants!$G$2+$AW273+$AX273+$AY273+$BA273)*$AZ273)*$BC273, 1.05))+$AV273</f>
        <v>113</v>
      </c>
      <c r="BE273">
        <f>INT(POWER((((Constants!$G$1+$AW273+$AX273+$AY273+$BA273)*($AZ273))*$BB273),IF($D273="wagon",1,1.2)))+$AU273</f>
        <v>123</v>
      </c>
      <c r="BF273" s="15">
        <f t="shared" si="86"/>
        <v>88281.25</v>
      </c>
      <c r="BG273" s="15">
        <f t="shared" si="87"/>
        <v>9993.75</v>
      </c>
      <c r="BM273" t="s">
        <v>1186</v>
      </c>
      <c r="BN273">
        <v>3</v>
      </c>
      <c r="BQ273" t="s">
        <v>310</v>
      </c>
      <c r="BR273" t="str">
        <f>VLOOKUP(G273,Eras!$A$2:$C$10, 2, TRUE)</f>
        <v>mod</v>
      </c>
      <c r="BS273" t="s">
        <v>360</v>
      </c>
      <c r="BT273" t="str">
        <f t="shared" si="88"/>
        <v>mod_EMU</v>
      </c>
      <c r="BU273" t="str">
        <f t="shared" si="89"/>
        <v>dual_electric_DUAL_POWER</v>
      </c>
      <c r="BV273" t="str">
        <f>VLOOKUP($BU273, Constants!$M:$N, 2, FALSE)</f>
        <v>{BLACK}Powered by: {GOLD}25kV AC / 750V DC</v>
      </c>
      <c r="BW273" t="str">
        <f t="shared" si="91"/>
        <v>{BLACK}Cars: {GOLD}8</v>
      </c>
      <c r="BX273" t="s">
        <v>1334</v>
      </c>
      <c r="BY273" t="str">
        <f t="shared" si="92"/>
        <v/>
      </c>
      <c r="BZ273" t="str">
        <f t="shared" si="90"/>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4" spans="1:78" x14ac:dyDescent="0.25">
      <c r="A274" t="s">
        <v>1305</v>
      </c>
      <c r="B274" t="s">
        <v>1306</v>
      </c>
      <c r="C274">
        <v>514</v>
      </c>
      <c r="D274" t="s">
        <v>431</v>
      </c>
      <c r="E274" t="s">
        <v>323</v>
      </c>
      <c r="F274" t="s">
        <v>324</v>
      </c>
      <c r="G274">
        <v>2017</v>
      </c>
      <c r="J274">
        <v>9</v>
      </c>
      <c r="K274">
        <v>1900</v>
      </c>
      <c r="T274">
        <v>264</v>
      </c>
      <c r="V274">
        <f>10*J274</f>
        <v>90</v>
      </c>
      <c r="W274">
        <v>220</v>
      </c>
      <c r="X274" s="4">
        <f t="shared" si="78"/>
        <v>8.3333333333333329E-2</v>
      </c>
      <c r="Y274">
        <v>90</v>
      </c>
      <c r="AA274">
        <v>22.7</v>
      </c>
      <c r="AB274">
        <v>22.7</v>
      </c>
      <c r="AE274" s="11">
        <v>78</v>
      </c>
      <c r="AF274" t="str">
        <f>CONCATENATE(VLOOKUP(AG274, 'Voxel Sizes'!$A$2:$B$18,2,FALSE),"x",INT(AC274*15), "x", INT(AD274*15))</f>
        <v>214x0x0</v>
      </c>
      <c r="AG274">
        <f t="shared" si="79"/>
        <v>13</v>
      </c>
      <c r="AI274" t="str">
        <f>CONCATENATE(VLOOKUP(AG274,Constants!$A$2:$C$16,IF(AH274&lt;&gt;"", 3, 2), FALSE),IF(AH274&lt;&gt;"",CONCATENATE(",",VLOOKUP(AH274,$B:$AI,34,FALSE)),""))</f>
        <v>4,5,4</v>
      </c>
      <c r="AM274" t="s">
        <v>1324</v>
      </c>
      <c r="AO274" t="s">
        <v>1325</v>
      </c>
      <c r="AS274">
        <v>30</v>
      </c>
      <c r="AT274" t="str">
        <f t="shared" si="80"/>
        <v/>
      </c>
      <c r="AU274">
        <v>-19</v>
      </c>
      <c r="AV274">
        <v>-22</v>
      </c>
      <c r="AW274">
        <f t="shared" si="81"/>
        <v>18</v>
      </c>
      <c r="AX274">
        <f t="shared" si="82"/>
        <v>9.5</v>
      </c>
      <c r="AY274">
        <f t="shared" si="83"/>
        <v>11</v>
      </c>
      <c r="AZ274" s="4">
        <f t="shared" si="84"/>
        <v>0.84399999999999997</v>
      </c>
      <c r="BA274">
        <f t="shared" si="85"/>
        <v>23.4</v>
      </c>
      <c r="BB274">
        <f>VLOOKUP($E274,Constants!$I:$K, 2, FALSE)</f>
        <v>0.85</v>
      </c>
      <c r="BC274">
        <f>VLOOKUP($E274,Constants!$I:$K, 3, FALSE)*IF(AND(D274="multiple_unit",Y274&lt;110),0.75,1)</f>
        <v>1.7249999999999999</v>
      </c>
      <c r="BD274">
        <f>INT(POWER(((Constants!$G$2+$AW274+$AX274+$AY274+$BA274)*$AZ274)*$BC274, 1.05))+$AV274</f>
        <v>100</v>
      </c>
      <c r="BE274">
        <f>INT(POWER((((Constants!$G$1+$AW274+$AX274+$AY274+$BA274)*($AZ274))*$BB274),IF($D274="wagon",1,1.2)))+$AU274</f>
        <v>104</v>
      </c>
      <c r="BF274" s="15">
        <f t="shared" si="86"/>
        <v>78125</v>
      </c>
      <c r="BG274" s="15">
        <f t="shared" si="87"/>
        <v>8450</v>
      </c>
      <c r="BM274" t="s">
        <v>1190</v>
      </c>
      <c r="BN274">
        <v>1</v>
      </c>
      <c r="BO274">
        <v>165</v>
      </c>
      <c r="BQ274" t="s">
        <v>310</v>
      </c>
      <c r="BR274" t="str">
        <f>VLOOKUP(G274,Eras!$A$2:$C$10, 2, TRUE)</f>
        <v>mod</v>
      </c>
      <c r="BS274" t="s">
        <v>360</v>
      </c>
      <c r="BT274" t="str">
        <f t="shared" si="88"/>
        <v>mod_EMU</v>
      </c>
      <c r="BU274" t="str">
        <f t="shared" si="89"/>
        <v>electric_ELRL</v>
      </c>
      <c r="BV274" t="str">
        <f>VLOOKUP($BU274, Constants!$M:$N, 2, FALSE)</f>
        <v>{BLACK}Powered by: {GOLD}25kV AC</v>
      </c>
      <c r="BW274" t="str">
        <f t="shared" si="91"/>
        <v>{BLACK}Cars: {GOLD}9</v>
      </c>
      <c r="BX274" t="s">
        <v>1326</v>
      </c>
      <c r="BY274" t="str">
        <f t="shared" si="92"/>
        <v>{YELLOW}10% Penalty for long distance travel{}</v>
      </c>
      <c r="BZ274" t="str">
        <f t="shared" si="90"/>
        <v>{BLACK}Powered by: {GOLD}25kV AC {BLACK}Cars: {GOLD}9{}{YELLOW}10% Penalty for long distance travel{}{SILVER}Designed for London's Crossrail route, the Class 345 entered service on TfL Rail between Liverpool Street and Shenfield.</v>
      </c>
    </row>
    <row r="275" spans="1:78" x14ac:dyDescent="0.25">
      <c r="A275" t="s">
        <v>1310</v>
      </c>
      <c r="B275" t="s">
        <v>1330</v>
      </c>
      <c r="C275">
        <v>515</v>
      </c>
      <c r="D275" t="s">
        <v>431</v>
      </c>
      <c r="E275" t="s">
        <v>323</v>
      </c>
      <c r="F275" t="s">
        <v>330</v>
      </c>
      <c r="G275">
        <v>2017</v>
      </c>
      <c r="J275">
        <v>5</v>
      </c>
      <c r="K275">
        <v>1600</v>
      </c>
      <c r="T275">
        <v>173</v>
      </c>
      <c r="V275">
        <f>8*J275</f>
        <v>40</v>
      </c>
      <c r="W275">
        <v>175</v>
      </c>
      <c r="X275" s="4">
        <f t="shared" si="78"/>
        <v>0.10115606936416185</v>
      </c>
      <c r="Y275">
        <v>100</v>
      </c>
      <c r="AA275">
        <v>20</v>
      </c>
      <c r="AB275">
        <v>20</v>
      </c>
      <c r="AC275">
        <v>2.8</v>
      </c>
      <c r="AE275" s="11">
        <v>69</v>
      </c>
      <c r="AF275" t="str">
        <f>CONCATENATE(VLOOKUP(AG275, 'Voxel Sizes'!$A$2:$B$18,2,FALSE),"x",INT(AC275*15), "x", INT(AD275*15))</f>
        <v>198x42x0</v>
      </c>
      <c r="AG275">
        <f t="shared" si="79"/>
        <v>12</v>
      </c>
      <c r="AI275" t="str">
        <f>CONCATENATE(VLOOKUP(AG275,Constants!$A$2:$C$16,IF(AH275&lt;&gt;"", 3, 2), FALSE),IF(AH275&lt;&gt;"",CONCATENATE(",",VLOOKUP(AH275,$B:$AI,34,FALSE)),""))</f>
        <v>4,4,4</v>
      </c>
      <c r="AM275" t="s">
        <v>1336</v>
      </c>
      <c r="AO275" t="s">
        <v>1337</v>
      </c>
      <c r="AS275">
        <v>30</v>
      </c>
      <c r="AT275" t="str">
        <f t="shared" si="80"/>
        <v/>
      </c>
      <c r="AU275">
        <v>-15</v>
      </c>
      <c r="AV275">
        <v>-30</v>
      </c>
      <c r="AW275">
        <f t="shared" si="81"/>
        <v>20</v>
      </c>
      <c r="AX275">
        <f t="shared" si="82"/>
        <v>8</v>
      </c>
      <c r="AY275">
        <f t="shared" si="83"/>
        <v>8.75</v>
      </c>
      <c r="AZ275" s="4">
        <f t="shared" si="84"/>
        <v>0.84399999999999997</v>
      </c>
      <c r="BA275">
        <f t="shared" si="85"/>
        <v>11.500000000000002</v>
      </c>
      <c r="BB275">
        <f>VLOOKUP($E275,Constants!$I:$K, 2, FALSE)</f>
        <v>0.85</v>
      </c>
      <c r="BC275">
        <f>VLOOKUP($E275,Constants!$I:$K, 3, FALSE)*IF(AND(D275="multiple_unit",Y275&lt;110),0.75,1)</f>
        <v>1.7249999999999999</v>
      </c>
      <c r="BD275">
        <f>INT(POWER(((Constants!$G$2+$AW275+$AX275+$AY275+$BA275)*$AZ275)*$BC275, 1.05))+$AV275</f>
        <v>66</v>
      </c>
      <c r="BE275">
        <f>INT(POWER((((Constants!$G$1+$AW275+$AX275+$AY275+$BA275)*($AZ275))*$BB275),IF($D275="wagon",1,1.2)))+$AU275</f>
        <v>82</v>
      </c>
      <c r="BF275" s="15">
        <f t="shared" si="86"/>
        <v>51562.5</v>
      </c>
      <c r="BG275" s="15">
        <f t="shared" si="87"/>
        <v>6662.5</v>
      </c>
      <c r="BN275">
        <v>4</v>
      </c>
      <c r="BQ275" t="s">
        <v>310</v>
      </c>
      <c r="BR275" t="str">
        <f>VLOOKUP(G275,Eras!$A$2:$C$10, 2, TRUE)</f>
        <v>mod</v>
      </c>
      <c r="BS275" t="s">
        <v>360</v>
      </c>
      <c r="BT275" t="str">
        <f t="shared" si="88"/>
        <v>mod_EMU</v>
      </c>
      <c r="BU275" t="str">
        <f t="shared" si="89"/>
        <v>electric_THIRD_RAIL</v>
      </c>
      <c r="BV275" t="str">
        <f>VLOOKUP($BU275, Constants!$M:$N, 2, FALSE)</f>
        <v>{BLACK}Powered by: {GOLD}750V DC</v>
      </c>
      <c r="BW275" t="str">
        <f t="shared" si="91"/>
        <v>{BLACK}Cars: {GOLD}5</v>
      </c>
      <c r="BX275" t="s">
        <v>1338</v>
      </c>
      <c r="BY275" t="str">
        <f t="shared" si="92"/>
        <v/>
      </c>
      <c r="BZ275" t="str">
        <f t="shared" si="90"/>
        <v>{BLACK}Powered by: {GOLD}750V DC {BLACK}Cars: {GOLD}5{}{SILVER}South West Trains procured the Class 707 as part of capacity improvements for routes out of London Waterloo.</v>
      </c>
    </row>
    <row r="276" spans="1:78" x14ac:dyDescent="0.25">
      <c r="A276" t="s">
        <v>1307</v>
      </c>
      <c r="B276" t="s">
        <v>1308</v>
      </c>
      <c r="C276">
        <v>516</v>
      </c>
      <c r="D276" t="s">
        <v>431</v>
      </c>
      <c r="E276" t="s">
        <v>581</v>
      </c>
      <c r="F276" t="s">
        <v>580</v>
      </c>
      <c r="G276">
        <v>2019</v>
      </c>
      <c r="J276">
        <v>4</v>
      </c>
      <c r="K276">
        <v>1800</v>
      </c>
      <c r="L276" s="9">
        <v>1600</v>
      </c>
      <c r="T276">
        <v>151</v>
      </c>
      <c r="V276">
        <f>9*J276</f>
        <v>36</v>
      </c>
      <c r="W276">
        <v>160</v>
      </c>
      <c r="X276" s="4">
        <f t="shared" si="78"/>
        <v>0.10596026490066225</v>
      </c>
      <c r="Y276">
        <v>75</v>
      </c>
      <c r="AA276">
        <v>21.44</v>
      </c>
      <c r="AB276">
        <v>21.4</v>
      </c>
      <c r="AE276" s="11">
        <v>78</v>
      </c>
      <c r="AF276" t="str">
        <f>CONCATENATE(VLOOKUP(AG276, 'Voxel Sizes'!$A$2:$B$18,2,FALSE),"x",INT(AC276*15), "x", INT(AD276*15))</f>
        <v>214x0x0</v>
      </c>
      <c r="AG276">
        <f t="shared" si="79"/>
        <v>13</v>
      </c>
      <c r="AI276" t="str">
        <f>CONCATENATE(VLOOKUP(AG276,Constants!$A$2:$C$16,IF(AH276&lt;&gt;"", 3, 2), FALSE),IF(AH276&lt;&gt;"",CONCATENATE(",",VLOOKUP(AH276,$B:$AI,34,FALSE)),""))</f>
        <v>4,5,4</v>
      </c>
      <c r="AM276" t="s">
        <v>1327</v>
      </c>
      <c r="AN276" t="s">
        <v>1328</v>
      </c>
      <c r="AO276" t="s">
        <v>584</v>
      </c>
      <c r="AS276">
        <v>30</v>
      </c>
      <c r="AT276" t="str">
        <f t="shared" si="80"/>
        <v/>
      </c>
      <c r="AU276">
        <v>-19</v>
      </c>
      <c r="AV276">
        <v>-25</v>
      </c>
      <c r="AW276">
        <f t="shared" si="81"/>
        <v>15</v>
      </c>
      <c r="AX276">
        <f t="shared" si="82"/>
        <v>9</v>
      </c>
      <c r="AY276">
        <f t="shared" si="83"/>
        <v>8</v>
      </c>
      <c r="AZ276" s="4">
        <f t="shared" si="84"/>
        <v>0.84133333333333327</v>
      </c>
      <c r="BA276">
        <f t="shared" si="85"/>
        <v>10.4</v>
      </c>
      <c r="BB276">
        <f>VLOOKUP($E276,Constants!$I:$K, 2, FALSE)</f>
        <v>0.85</v>
      </c>
      <c r="BC276">
        <f>VLOOKUP($E276,Constants!$I:$K, 3, FALSE)*IF(AND(D276="multiple_unit",Y276&lt;110),0.75,1)</f>
        <v>1.7999999999999998</v>
      </c>
      <c r="BD276">
        <f>INT(POWER(((Constants!$G$2+$AW276+$AX276+$AY276+$BA276)*$AZ276)*$BC276, 1.05))+$AV276</f>
        <v>63</v>
      </c>
      <c r="BE276">
        <f>INT(POWER((((Constants!$G$1+$AW276+$AX276+$AY276+$BA276)*($AZ276))*$BB276),IF($D276="wagon",1,1.2)))+$AU276</f>
        <v>67</v>
      </c>
      <c r="BF276" s="15">
        <f t="shared" si="86"/>
        <v>49218.75</v>
      </c>
      <c r="BG276" s="15">
        <f t="shared" si="87"/>
        <v>5443.75</v>
      </c>
      <c r="BN276">
        <v>2</v>
      </c>
      <c r="BO276">
        <v>165</v>
      </c>
      <c r="BQ276" t="s">
        <v>310</v>
      </c>
      <c r="BR276" t="str">
        <f>VLOOKUP(G276,Eras!$A$2:$C$10, 2, TRUE)</f>
        <v>mod</v>
      </c>
      <c r="BS276" t="s">
        <v>360</v>
      </c>
      <c r="BT276" t="str">
        <f t="shared" si="88"/>
        <v>mod_EMU</v>
      </c>
      <c r="BU276" t="str">
        <f t="shared" si="89"/>
        <v>dual_electric_DUAL_POWER</v>
      </c>
      <c r="BV276" t="str">
        <f>VLOOKUP($BU276, Constants!$M:$N, 2, FALSE)</f>
        <v>{BLACK}Powered by: {GOLD}25kV AC / 750V DC</v>
      </c>
      <c r="BW276" t="str">
        <f t="shared" si="91"/>
        <v>{BLACK}Cars: {GOLD}4</v>
      </c>
      <c r="BX276" t="s">
        <v>1329</v>
      </c>
      <c r="BY276" t="str">
        <f t="shared" si="92"/>
        <v>{YELLOW}10% Penalty for long distance travel{}</v>
      </c>
      <c r="BZ276" t="str">
        <f t="shared" si="90"/>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7" spans="1:78" x14ac:dyDescent="0.25">
      <c r="A277" t="s">
        <v>1305</v>
      </c>
      <c r="B277" t="s">
        <v>1339</v>
      </c>
      <c r="C277">
        <v>517</v>
      </c>
      <c r="D277" t="s">
        <v>431</v>
      </c>
      <c r="E277" t="s">
        <v>323</v>
      </c>
      <c r="F277" t="s">
        <v>324</v>
      </c>
      <c r="G277">
        <v>2017</v>
      </c>
      <c r="J277">
        <v>7</v>
      </c>
      <c r="K277">
        <v>1900</v>
      </c>
      <c r="T277">
        <v>264</v>
      </c>
      <c r="V277">
        <f>10*J277</f>
        <v>70</v>
      </c>
      <c r="W277">
        <v>220</v>
      </c>
      <c r="X277" s="4">
        <f t="shared" si="78"/>
        <v>8.3333333333333329E-2</v>
      </c>
      <c r="Y277">
        <v>90</v>
      </c>
      <c r="AA277">
        <v>22.7</v>
      </c>
      <c r="AB277">
        <v>22.7</v>
      </c>
      <c r="AE277" s="11">
        <v>78</v>
      </c>
      <c r="AF277" t="str">
        <f>CONCATENATE(VLOOKUP(AG277, 'Voxel Sizes'!$A$2:$B$18,2,FALSE),"x",INT(AC277*15), "x", INT(AD277*15))</f>
        <v>214x0x0</v>
      </c>
      <c r="AG277">
        <f t="shared" si="79"/>
        <v>13</v>
      </c>
      <c r="AI277" t="str">
        <f>CONCATENATE(VLOOKUP(AG277,Constants!$A$2:$C$16,IF(AH277&lt;&gt;"", 3, 2), FALSE),IF(AH277&lt;&gt;"",CONCATENATE(",",VLOOKUP(AH277,$B:$AI,34,FALSE)),""))</f>
        <v>4,5,4</v>
      </c>
      <c r="AM277" t="s">
        <v>1346</v>
      </c>
      <c r="AO277" t="s">
        <v>1347</v>
      </c>
      <c r="AP277" t="s">
        <v>1306</v>
      </c>
      <c r="AS277">
        <v>30</v>
      </c>
      <c r="AT277" t="str">
        <f t="shared" si="80"/>
        <v/>
      </c>
      <c r="AU277">
        <v>-19</v>
      </c>
      <c r="AV277">
        <v>-22</v>
      </c>
      <c r="AW277">
        <f t="shared" si="81"/>
        <v>18</v>
      </c>
      <c r="AX277">
        <f t="shared" si="82"/>
        <v>9.5</v>
      </c>
      <c r="AY277">
        <f t="shared" si="83"/>
        <v>11</v>
      </c>
      <c r="AZ277" s="4">
        <f t="shared" si="84"/>
        <v>0.84399999999999997</v>
      </c>
      <c r="BA277">
        <f t="shared" si="85"/>
        <v>18.2</v>
      </c>
      <c r="BB277">
        <f>VLOOKUP($E277,Constants!$I:$K, 2, FALSE)</f>
        <v>0.85</v>
      </c>
      <c r="BC277">
        <f>VLOOKUP($E277,Constants!$I:$K, 3, FALSE)*IF(AND(D277="multiple_unit",Y277&lt;110),0.75,1)</f>
        <v>1.7249999999999999</v>
      </c>
      <c r="BD277">
        <f>INT(POWER(((Constants!$G$2+$AW277+$AX277+$AY277+$BA277)*$AZ277)*$BC277, 1.05))+$AV277</f>
        <v>90</v>
      </c>
      <c r="BE277">
        <f>INT(POWER((((Constants!$G$1+$AW277+$AX277+$AY277+$BA277)*($AZ277))*$BB277),IF($D277="wagon",1,1.2)))+$AU277</f>
        <v>94</v>
      </c>
      <c r="BF277" s="15">
        <f t="shared" si="86"/>
        <v>70312.5</v>
      </c>
      <c r="BG277" s="15">
        <f t="shared" si="87"/>
        <v>7637.5</v>
      </c>
      <c r="BM277" t="s">
        <v>1189</v>
      </c>
      <c r="BN277">
        <v>1</v>
      </c>
      <c r="BO277">
        <v>165</v>
      </c>
      <c r="BQ277" t="s">
        <v>310</v>
      </c>
      <c r="BR277" t="str">
        <f>VLOOKUP(G277,Eras!$A$2:$C$10, 2, TRUE)</f>
        <v>mod</v>
      </c>
      <c r="BS277" t="s">
        <v>360</v>
      </c>
      <c r="BT277" t="str">
        <f t="shared" si="88"/>
        <v>mod_EMU</v>
      </c>
      <c r="BU277" t="str">
        <f t="shared" si="89"/>
        <v>electric_ELRL</v>
      </c>
      <c r="BV277" t="str">
        <f>VLOOKUP($BU277, Constants!$M:$N, 2, FALSE)</f>
        <v>{BLACK}Powered by: {GOLD}25kV AC</v>
      </c>
      <c r="BW277" t="str">
        <f t="shared" si="91"/>
        <v>{BLACK}Cars: {GOLD}7</v>
      </c>
      <c r="BX277" t="s">
        <v>1326</v>
      </c>
      <c r="BY277" t="str">
        <f t="shared" si="92"/>
        <v>{YELLOW}10% Penalty for long distance travel{}</v>
      </c>
      <c r="BZ277" t="str">
        <f t="shared" si="90"/>
        <v>{BLACK}Powered by: {GOLD}25kV AC {BLACK}Cars: {GOLD}7{}{YELLOW}10% Penalty for long distance travel{}{SILVER}Designed for London's Crossrail route, the Class 345 entered service on TfL Rail between Liverpool Street and Shenfield.</v>
      </c>
    </row>
    <row r="278" spans="1:78" x14ac:dyDescent="0.25">
      <c r="A278" t="s">
        <v>1305</v>
      </c>
      <c r="B278" t="s">
        <v>1340</v>
      </c>
      <c r="C278">
        <v>518</v>
      </c>
      <c r="D278" t="s">
        <v>431</v>
      </c>
      <c r="E278" t="s">
        <v>323</v>
      </c>
      <c r="F278" t="s">
        <v>324</v>
      </c>
      <c r="G278">
        <v>2017</v>
      </c>
      <c r="J278">
        <v>4</v>
      </c>
      <c r="K278">
        <v>1900</v>
      </c>
      <c r="T278">
        <v>264</v>
      </c>
      <c r="V278">
        <f>10*J278</f>
        <v>40</v>
      </c>
      <c r="W278">
        <v>220</v>
      </c>
      <c r="X278" s="4">
        <f t="shared" si="78"/>
        <v>8.3333333333333329E-2</v>
      </c>
      <c r="Y278">
        <v>90</v>
      </c>
      <c r="AA278">
        <v>22.7</v>
      </c>
      <c r="AB278">
        <v>22.7</v>
      </c>
      <c r="AE278" s="11">
        <v>78</v>
      </c>
      <c r="AF278" t="str">
        <f>CONCATENATE(VLOOKUP(AG278, 'Voxel Sizes'!$A$2:$B$18,2,FALSE),"x",INT(AC278*15), "x", INT(AD278*15))</f>
        <v>214x0x0</v>
      </c>
      <c r="AG278">
        <f t="shared" si="79"/>
        <v>13</v>
      </c>
      <c r="AI278" t="str">
        <f>CONCATENATE(VLOOKUP(AG278,Constants!$A$2:$C$16,IF(AH278&lt;&gt;"", 3, 2), FALSE),IF(AH278&lt;&gt;"",CONCATENATE(",",VLOOKUP(AH278,$B:$AI,34,FALSE)),""))</f>
        <v>4,5,4</v>
      </c>
      <c r="AM278" t="s">
        <v>1348</v>
      </c>
      <c r="AO278" t="s">
        <v>1166</v>
      </c>
      <c r="AP278" t="s">
        <v>1306</v>
      </c>
      <c r="AS278">
        <v>30</v>
      </c>
      <c r="AT278" t="str">
        <f t="shared" si="80"/>
        <v/>
      </c>
      <c r="AU278">
        <v>-19</v>
      </c>
      <c r="AV278">
        <v>-22</v>
      </c>
      <c r="AW278">
        <f t="shared" si="81"/>
        <v>18</v>
      </c>
      <c r="AX278">
        <f t="shared" si="82"/>
        <v>9.5</v>
      </c>
      <c r="AY278">
        <f t="shared" si="83"/>
        <v>11</v>
      </c>
      <c r="AZ278" s="4">
        <f t="shared" si="84"/>
        <v>0.84399999999999997</v>
      </c>
      <c r="BA278">
        <f t="shared" si="85"/>
        <v>10.4</v>
      </c>
      <c r="BB278">
        <f>VLOOKUP($E278,Constants!$I:$K, 2, FALSE)</f>
        <v>0.85</v>
      </c>
      <c r="BC278">
        <f>VLOOKUP($E278,Constants!$I:$K, 3, FALSE)*IF(AND(D278="multiple_unit",Y278&lt;110),0.75,1)</f>
        <v>1.7249999999999999</v>
      </c>
      <c r="BD278">
        <f>INT(POWER(((Constants!$G$2+$AW278+$AX278+$AY278+$BA278)*$AZ278)*$BC278, 1.05))+$AV278</f>
        <v>75</v>
      </c>
      <c r="BE278">
        <f>INT(POWER((((Constants!$G$1+$AW278+$AX278+$AY278+$BA278)*($AZ278))*$BB278),IF($D278="wagon",1,1.2)))+$AU278</f>
        <v>79</v>
      </c>
      <c r="BF278" s="15">
        <f t="shared" si="86"/>
        <v>58593.75</v>
      </c>
      <c r="BG278" s="15">
        <f t="shared" si="87"/>
        <v>6418.75</v>
      </c>
      <c r="BM278" t="s">
        <v>1188</v>
      </c>
      <c r="BN278">
        <v>1</v>
      </c>
      <c r="BO278">
        <v>165</v>
      </c>
      <c r="BQ278" t="s">
        <v>310</v>
      </c>
      <c r="BR278" t="str">
        <f>VLOOKUP(G278,Eras!$A$2:$C$10, 2, TRUE)</f>
        <v>mod</v>
      </c>
      <c r="BS278" t="s">
        <v>360</v>
      </c>
      <c r="BT278" t="str">
        <f t="shared" si="88"/>
        <v>mod_EMU</v>
      </c>
      <c r="BU278" t="str">
        <f t="shared" si="89"/>
        <v>electric_ELRL</v>
      </c>
      <c r="BV278" t="str">
        <f>VLOOKUP($BU278, Constants!$M:$N, 2, FALSE)</f>
        <v>{BLACK}Powered by: {GOLD}25kV AC</v>
      </c>
      <c r="BW278" t="str">
        <f t="shared" si="91"/>
        <v>{BLACK}Cars: {GOLD}4</v>
      </c>
      <c r="BX278" t="s">
        <v>1326</v>
      </c>
      <c r="BY278" t="str">
        <f t="shared" si="92"/>
        <v>{YELLOW}10% Penalty for long distance travel{}</v>
      </c>
      <c r="BZ278" t="str">
        <f t="shared" si="90"/>
        <v>{BLACK}Powered by: {GOLD}25kV AC {BLACK}Cars: {GOLD}4{}{YELLOW}10% Penalty for long distance travel{}{SILVER}Designed for London's Crossrail route, the Class 345 entered service on TfL Rail between Liverpool Street and Shenfield.</v>
      </c>
    </row>
    <row r="279" spans="1:78" x14ac:dyDescent="0.25">
      <c r="A279" t="s">
        <v>1309</v>
      </c>
      <c r="B279" t="s">
        <v>1341</v>
      </c>
      <c r="C279">
        <v>519</v>
      </c>
      <c r="D279" t="s">
        <v>431</v>
      </c>
      <c r="E279" t="s">
        <v>581</v>
      </c>
      <c r="F279" t="s">
        <v>580</v>
      </c>
      <c r="G279">
        <v>2016</v>
      </c>
      <c r="J279">
        <v>5</v>
      </c>
      <c r="K279">
        <v>4400</v>
      </c>
      <c r="L279" s="9">
        <v>2560</v>
      </c>
      <c r="T279">
        <v>278</v>
      </c>
      <c r="V279">
        <f>9*J279</f>
        <v>45</v>
      </c>
      <c r="W279">
        <v>225</v>
      </c>
      <c r="X279" s="4">
        <f t="shared" si="78"/>
        <v>8.0935251798561147E-2</v>
      </c>
      <c r="Y279">
        <v>100</v>
      </c>
      <c r="AA279">
        <v>20.2</v>
      </c>
      <c r="AB279">
        <v>20.2</v>
      </c>
      <c r="AE279" s="11">
        <v>69</v>
      </c>
      <c r="AF279" t="str">
        <f>CONCATENATE(VLOOKUP(AG279, 'Voxel Sizes'!$A$2:$B$18,2,FALSE),"x",INT(AC279*15), "x", INT(AD279*15))</f>
        <v>198x0x0</v>
      </c>
      <c r="AG279">
        <f t="shared" si="79"/>
        <v>12</v>
      </c>
      <c r="AI279" t="str">
        <f>CONCATENATE(VLOOKUP(AG279,Constants!$A$2:$C$16,IF(AH279&lt;&gt;"", 3, 2), FALSE),IF(AH279&lt;&gt;"",CONCATENATE(",",VLOOKUP(AH279,$B:$AI,34,FALSE)),""))</f>
        <v>4,4,4</v>
      </c>
      <c r="AM279" t="s">
        <v>1351</v>
      </c>
      <c r="AN279" t="s">
        <v>1335</v>
      </c>
      <c r="AO279" t="s">
        <v>696</v>
      </c>
      <c r="AP279" t="s">
        <v>1331</v>
      </c>
      <c r="AS279">
        <v>30</v>
      </c>
      <c r="AT279" t="str">
        <f t="shared" si="80"/>
        <v/>
      </c>
      <c r="AU279">
        <v>-15</v>
      </c>
      <c r="AV279">
        <v>-30</v>
      </c>
      <c r="AW279">
        <f t="shared" si="81"/>
        <v>20</v>
      </c>
      <c r="AX279">
        <f t="shared" si="82"/>
        <v>20</v>
      </c>
      <c r="AY279">
        <f t="shared" si="83"/>
        <v>11.25</v>
      </c>
      <c r="AZ279" s="4">
        <f t="shared" si="84"/>
        <v>0.84533333333333327</v>
      </c>
      <c r="BA279">
        <f t="shared" si="85"/>
        <v>11.500000000000002</v>
      </c>
      <c r="BB279">
        <f>VLOOKUP($E279,Constants!$I:$K, 2, FALSE)</f>
        <v>0.85</v>
      </c>
      <c r="BC279">
        <f>VLOOKUP($E279,Constants!$I:$K, 3, FALSE)*IF(AND(D279="multiple_unit",Y279&lt;110),0.75,1)</f>
        <v>1.7999999999999998</v>
      </c>
      <c r="BD279">
        <f>INT(POWER(((Constants!$G$2+$AW279+$AX279+$AY279+$BA279)*$AZ279)*$BC279, 1.05))+$AV279</f>
        <v>99</v>
      </c>
      <c r="BE279">
        <f>INT(POWER((((Constants!$G$1+$AW279+$AX279+$AY279+$BA279)*($AZ279))*$BB279),IF($D279="wagon",1,1.2)))+$AU279</f>
        <v>109</v>
      </c>
      <c r="BF279" s="15">
        <f t="shared" si="86"/>
        <v>77343.75</v>
      </c>
      <c r="BG279" s="15">
        <f t="shared" si="87"/>
        <v>8856.25</v>
      </c>
      <c r="BM279" t="s">
        <v>1188</v>
      </c>
      <c r="BN279">
        <v>3</v>
      </c>
      <c r="BQ279" t="s">
        <v>310</v>
      </c>
      <c r="BR279" t="str">
        <f>VLOOKUP(G279,Eras!$A$2:$C$10, 2, TRUE)</f>
        <v>mod</v>
      </c>
      <c r="BS279" t="s">
        <v>360</v>
      </c>
      <c r="BT279" t="str">
        <f t="shared" si="88"/>
        <v>mod_EMU</v>
      </c>
      <c r="BU279" t="str">
        <f t="shared" si="89"/>
        <v>dual_electric_DUAL_POWER</v>
      </c>
      <c r="BV279" t="str">
        <f>VLOOKUP($BU279, Constants!$M:$N, 2, FALSE)</f>
        <v>{BLACK}Powered by: {GOLD}25kV AC / 750V DC</v>
      </c>
      <c r="BW279" t="str">
        <f t="shared" si="91"/>
        <v>{BLACK}Cars: {GOLD}5</v>
      </c>
      <c r="BX279" t="s">
        <v>1334</v>
      </c>
      <c r="BY279" t="str">
        <f t="shared" si="92"/>
        <v/>
      </c>
      <c r="BZ279" t="str">
        <f t="shared" si="90"/>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0" spans="1:78" x14ac:dyDescent="0.25">
      <c r="A280" t="s">
        <v>1315</v>
      </c>
      <c r="B280" t="s">
        <v>1342</v>
      </c>
      <c r="C280">
        <v>520</v>
      </c>
      <c r="D280" t="s">
        <v>431</v>
      </c>
      <c r="E280" t="s">
        <v>570</v>
      </c>
      <c r="F280" t="s">
        <v>324</v>
      </c>
      <c r="G280">
        <v>2017</v>
      </c>
      <c r="J280">
        <v>4</v>
      </c>
      <c r="K280">
        <v>3200</v>
      </c>
      <c r="L280" s="9">
        <v>2250</v>
      </c>
      <c r="T280">
        <v>243</v>
      </c>
      <c r="V280">
        <f>8*J280</f>
        <v>32</v>
      </c>
      <c r="W280">
        <v>195</v>
      </c>
      <c r="X280" s="4">
        <f t="shared" si="78"/>
        <v>8.0246913580246909E-2</v>
      </c>
      <c r="Y280">
        <v>140</v>
      </c>
      <c r="AA280">
        <v>26</v>
      </c>
      <c r="AB280">
        <v>24</v>
      </c>
      <c r="AE280" s="11">
        <v>66</v>
      </c>
      <c r="AF280" t="str">
        <f>CONCATENATE(VLOOKUP(AG280, 'Voxel Sizes'!$A$2:$B$18,2,FALSE),"x",INT(AC280*15), "x", INT(AD280*15))</f>
        <v>238x0x0</v>
      </c>
      <c r="AG280">
        <f t="shared" si="79"/>
        <v>14</v>
      </c>
      <c r="AI280" t="str">
        <f>CONCATENATE(VLOOKUP(AG280,Constants!$A$2:$C$16,IF(AH280&lt;&gt;"", 3, 2), FALSE),IF(AH280&lt;&gt;"",CONCATENATE(",",VLOOKUP(AH280,$B:$AI,34,FALSE)),""))</f>
        <v>4,6,4</v>
      </c>
      <c r="AJ280">
        <v>12</v>
      </c>
      <c r="AM280" t="s">
        <v>1343</v>
      </c>
      <c r="AN280" t="s">
        <v>1318</v>
      </c>
      <c r="AO280" t="s">
        <v>1166</v>
      </c>
      <c r="AP280" t="s">
        <v>1316</v>
      </c>
      <c r="AS280">
        <v>30</v>
      </c>
      <c r="AT280" t="str">
        <f t="shared" si="80"/>
        <v/>
      </c>
      <c r="AU280">
        <v>-15</v>
      </c>
      <c r="AV280">
        <v>-30</v>
      </c>
      <c r="AW280">
        <f t="shared" si="81"/>
        <v>28</v>
      </c>
      <c r="AX280">
        <f t="shared" si="82"/>
        <v>16</v>
      </c>
      <c r="AY280">
        <f t="shared" si="83"/>
        <v>9.75</v>
      </c>
      <c r="AZ280" s="4">
        <f t="shared" si="84"/>
        <v>0.84399999999999997</v>
      </c>
      <c r="BA280">
        <f t="shared" si="85"/>
        <v>8.8000000000000007</v>
      </c>
      <c r="BB280">
        <f>VLOOKUP($E280,Constants!$I:$K, 2, FALSE)</f>
        <v>0.9</v>
      </c>
      <c r="BC280">
        <f>VLOOKUP($E280,Constants!$I:$K, 3, FALSE)*IF(AND(D280="multiple_unit",Y280&lt;110),0.75,1)</f>
        <v>2.5</v>
      </c>
      <c r="BD280">
        <f>INT(POWER(((Constants!$G$2+$AW280+$AX280+$AY280+$BA280)*$AZ280)*$BC280, 1.05))+$AV280</f>
        <v>152</v>
      </c>
      <c r="BE280">
        <f>INT(POWER((((Constants!$G$1+$AW280+$AX280+$AY280+$BA280)*($AZ280))*$BB280),IF($D280="wagon",1,1.2)))+$AU280</f>
        <v>118</v>
      </c>
      <c r="BF280" s="15">
        <f t="shared" si="86"/>
        <v>118750</v>
      </c>
      <c r="BG280" s="15">
        <f t="shared" si="87"/>
        <v>9587.5</v>
      </c>
      <c r="BM280" t="s">
        <v>1188</v>
      </c>
      <c r="BN280">
        <v>10</v>
      </c>
      <c r="BO280">
        <v>222</v>
      </c>
      <c r="BQ280" t="s">
        <v>310</v>
      </c>
      <c r="BR280" t="str">
        <f>VLOOKUP(G280,Eras!$A$2:$C$10, 2, TRUE)</f>
        <v>mod</v>
      </c>
      <c r="BS280" t="s">
        <v>361</v>
      </c>
      <c r="BT280" t="str">
        <f t="shared" si="88"/>
        <v>mod_EMU (Express)</v>
      </c>
      <c r="BU280" t="str">
        <f t="shared" si="89"/>
        <v>dual_power_ELRL</v>
      </c>
      <c r="BV280" t="str">
        <f>VLOOKUP($BU280, Constants!$M:$N, 2, FALSE)</f>
        <v>{BLACK}Powered by: {GOLD}25kV AC / Diesel</v>
      </c>
      <c r="BW280" t="str">
        <f t="shared" si="91"/>
        <v>{BLACK}Cars: {GOLD}4</v>
      </c>
      <c r="BX280" t="s">
        <v>1319</v>
      </c>
      <c r="BY280" t="str">
        <f t="shared" si="92"/>
        <v>{YELLOW}20% Bonus for long distance travel{}</v>
      </c>
      <c r="BZ280" t="str">
        <f t="shared" si="90"/>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1" spans="1:78" x14ac:dyDescent="0.25">
      <c r="A281" t="s">
        <v>1400</v>
      </c>
      <c r="B281" t="s">
        <v>1401</v>
      </c>
      <c r="C281">
        <v>600</v>
      </c>
      <c r="D281" t="s">
        <v>308</v>
      </c>
      <c r="E281" t="s">
        <v>1148</v>
      </c>
      <c r="F281" t="s">
        <v>1428</v>
      </c>
      <c r="G281">
        <v>1700</v>
      </c>
      <c r="I281">
        <v>1860</v>
      </c>
      <c r="T281">
        <v>5</v>
      </c>
      <c r="X281" s="4" t="str">
        <f t="shared" si="78"/>
        <v/>
      </c>
      <c r="Y281">
        <v>39</v>
      </c>
      <c r="AA281">
        <v>6</v>
      </c>
      <c r="AB281">
        <v>6</v>
      </c>
      <c r="AE281" s="11">
        <v>0</v>
      </c>
      <c r="AF281" t="str">
        <f>CONCATENATE(VLOOKUP(AG281, 'Voxel Sizes'!$A$2:$B$18,2,FALSE),"x",INT(AC281*15), "x", INT(AD281*15))</f>
        <v>60x0x0</v>
      </c>
      <c r="AG281">
        <f t="shared" si="79"/>
        <v>4</v>
      </c>
      <c r="AI281" t="str">
        <f>CONCATENATE(VLOOKUP(AG281,Constants!$A$2:$C$16,IF(AH281&lt;&gt;"", 3, 2), FALSE),IF(AH281&lt;&gt;"",CONCATENATE(",",VLOOKUP(AH281,$B:$AI,34,FALSE)),""))</f>
        <v>1,2,1</v>
      </c>
      <c r="AS281">
        <v>30</v>
      </c>
      <c r="AT281">
        <f t="shared" si="80"/>
        <v>156</v>
      </c>
      <c r="AW281">
        <f t="shared" si="81"/>
        <v>7.8000000000000007</v>
      </c>
      <c r="AX281">
        <f t="shared" si="82"/>
        <v>0</v>
      </c>
      <c r="AY281">
        <f t="shared" si="83"/>
        <v>0</v>
      </c>
      <c r="AZ281" s="4">
        <f t="shared" si="84"/>
        <v>1</v>
      </c>
      <c r="BA281">
        <f t="shared" si="85"/>
        <v>0</v>
      </c>
      <c r="BB281">
        <f>VLOOKUP($E281,Constants!$I:$K, 2, FALSE)</f>
        <v>1</v>
      </c>
      <c r="BC281">
        <f>VLOOKUP($E281,Constants!$I:$K, 3, FALSE)*IF(AND(D281="multiple_unit",Y281&lt;110),0.75,1)</f>
        <v>0.4</v>
      </c>
      <c r="BD281">
        <f>INT(POWER(((Constants!$G$2+$AW281+$AX281+$AY281+$BA281)*$AZ281)*$BC281, 1.05))+$AV281</f>
        <v>5</v>
      </c>
      <c r="BE281">
        <f>INT(POWER((((Constants!$G$1+$AW281+$AX281+$AY281+$BA281)*($AZ281))*$BB281),IF($D281="wagon",1,1.2)))+$AU281</f>
        <v>22</v>
      </c>
      <c r="BF281" s="15">
        <f t="shared" si="86"/>
        <v>312.5</v>
      </c>
      <c r="BG281" s="15">
        <f t="shared" si="87"/>
        <v>60.06</v>
      </c>
      <c r="BN281">
        <v>7</v>
      </c>
      <c r="BP281" t="s">
        <v>1086</v>
      </c>
      <c r="BQ281" t="s">
        <v>735</v>
      </c>
      <c r="BR281" t="str">
        <f>VLOOKUP(G281,Eras!$A$2:$C$10, 2, TRUE)</f>
        <v>early</v>
      </c>
      <c r="BS281" t="s">
        <v>733</v>
      </c>
      <c r="BT281" t="str">
        <f t="shared" si="88"/>
        <v>early_Extra</v>
      </c>
      <c r="BU281" t="str">
        <f t="shared" si="89"/>
        <v>brake_PLATEWAY</v>
      </c>
      <c r="BV281" t="e">
        <f>VLOOKUP($BU281, Constants!$M:$N, 2, FALSE)</f>
        <v>#N/A</v>
      </c>
      <c r="BW281" t="str">
        <f t="shared" si="91"/>
        <v/>
      </c>
      <c r="BX281" t="s">
        <v>1402</v>
      </c>
      <c r="BY281" t="str">
        <f t="shared" si="92"/>
        <v>{YELLOW}Speed bonus for slow wagons{}</v>
      </c>
      <c r="BZ281" t="e">
        <f t="shared" si="90"/>
        <v>#N/A</v>
      </c>
    </row>
    <row r="282" spans="1:78" x14ac:dyDescent="0.25">
      <c r="A282" t="s">
        <v>129</v>
      </c>
      <c r="B282" t="s">
        <v>226</v>
      </c>
      <c r="C282">
        <v>601</v>
      </c>
      <c r="D282" t="s">
        <v>308</v>
      </c>
      <c r="E282" t="s">
        <v>1148</v>
      </c>
      <c r="F282" t="s">
        <v>301</v>
      </c>
      <c r="G282">
        <v>1850</v>
      </c>
      <c r="I282">
        <v>1910</v>
      </c>
      <c r="T282">
        <v>10</v>
      </c>
      <c r="X282" s="4" t="str">
        <f t="shared" si="78"/>
        <v/>
      </c>
      <c r="Y282">
        <v>50</v>
      </c>
      <c r="AA282">
        <v>6</v>
      </c>
      <c r="AB282">
        <v>6</v>
      </c>
      <c r="AE282" s="11">
        <v>0</v>
      </c>
      <c r="AF282" t="str">
        <f>CONCATENATE(VLOOKUP(AG282, 'Voxel Sizes'!$A$2:$B$18,2,FALSE),"x",INT(AC282*15), "x", INT(AD282*15))</f>
        <v>60x0x0</v>
      </c>
      <c r="AG282">
        <f t="shared" si="79"/>
        <v>4</v>
      </c>
      <c r="AI282" t="str">
        <f>CONCATENATE(VLOOKUP(AG282,Constants!$A$2:$C$16,IF(AH282&lt;&gt;"", 3, 2), FALSE),IF(AH282&lt;&gt;"",CONCATENATE(",",VLOOKUP(AH282,$B:$AI,34,FALSE)),""))</f>
        <v>1,2,1</v>
      </c>
      <c r="AS282">
        <v>30</v>
      </c>
      <c r="AT282">
        <f t="shared" si="80"/>
        <v>56</v>
      </c>
      <c r="AW282">
        <f t="shared" si="81"/>
        <v>10</v>
      </c>
      <c r="AX282">
        <f t="shared" si="82"/>
        <v>0</v>
      </c>
      <c r="AY282">
        <f t="shared" si="83"/>
        <v>0</v>
      </c>
      <c r="AZ282" s="4">
        <f t="shared" si="84"/>
        <v>1</v>
      </c>
      <c r="BA282">
        <f t="shared" si="85"/>
        <v>0</v>
      </c>
      <c r="BB282">
        <f>VLOOKUP($E282,Constants!$I:$K, 2, FALSE)</f>
        <v>1</v>
      </c>
      <c r="BC282">
        <f>VLOOKUP($E282,Constants!$I:$K, 3, FALSE)*IF(AND(D282="multiple_unit",Y282&lt;110),0.75,1)</f>
        <v>0.4</v>
      </c>
      <c r="BD282">
        <f>INT(POWER(((Constants!$G$2+$AW282+$AX282+$AY282+$BA282)*$AZ282)*$BC282, 1.05))+$AV282</f>
        <v>6</v>
      </c>
      <c r="BE282">
        <f>INT(POWER((((Constants!$G$1+$AW282+$AX282+$AY282+$BA282)*($AZ282))*$BB282),IF($D282="wagon",1,1.2)))+$AU282</f>
        <v>25</v>
      </c>
      <c r="BF282" s="15">
        <f t="shared" si="86"/>
        <v>375</v>
      </c>
      <c r="BG282" s="15">
        <f t="shared" si="87"/>
        <v>68.25</v>
      </c>
      <c r="BN282">
        <v>7</v>
      </c>
      <c r="BP282" t="s">
        <v>1086</v>
      </c>
      <c r="BQ282" t="s">
        <v>735</v>
      </c>
      <c r="BR282" t="str">
        <f>VLOOKUP(G282,Eras!$A$2:$C$10, 2, TRUE)</f>
        <v>vct</v>
      </c>
      <c r="BS282" t="s">
        <v>733</v>
      </c>
      <c r="BT282" t="str">
        <f t="shared" si="88"/>
        <v>vct_Extra</v>
      </c>
      <c r="BU282" t="str">
        <f t="shared" si="89"/>
        <v>brake_RAIL</v>
      </c>
      <c r="BV282" t="str">
        <f>VLOOKUP($BU282, Constants!$M:$N, 2, FALSE)</f>
        <v/>
      </c>
      <c r="BW282" t="str">
        <f t="shared" si="91"/>
        <v/>
      </c>
      <c r="BX282" t="s">
        <v>1381</v>
      </c>
      <c r="BY282" t="str">
        <f t="shared" si="92"/>
        <v>{YELLOW}Speed bonus for slow wagons{}</v>
      </c>
      <c r="BZ282" t="str">
        <f t="shared" si="90"/>
        <v>{YELLOW}Speed bonus for slow wagons{}{SILVER}Brake vans gave extra braking power to allow trains to run at higher speed, and also gave a place for a guard to look after the train from the rear.</v>
      </c>
    </row>
    <row r="283" spans="1:78" x14ac:dyDescent="0.25">
      <c r="A283" t="s">
        <v>127</v>
      </c>
      <c r="B283" t="s">
        <v>224</v>
      </c>
      <c r="C283">
        <v>602</v>
      </c>
      <c r="D283" t="s">
        <v>308</v>
      </c>
      <c r="E283" t="s">
        <v>1148</v>
      </c>
      <c r="F283" t="s">
        <v>301</v>
      </c>
      <c r="G283">
        <v>1894</v>
      </c>
      <c r="I283">
        <v>1970</v>
      </c>
      <c r="T283">
        <v>20</v>
      </c>
      <c r="X283" s="4" t="str">
        <f t="shared" si="78"/>
        <v/>
      </c>
      <c r="Y283">
        <v>70</v>
      </c>
      <c r="AA283">
        <v>7.3</v>
      </c>
      <c r="AB283">
        <v>11</v>
      </c>
      <c r="AE283" s="11">
        <v>0</v>
      </c>
      <c r="AF283" t="str">
        <f>CONCATENATE(VLOOKUP(AG283, 'Voxel Sizes'!$A$2:$B$18,2,FALSE),"x",INT(AC283*15), "x", INT(AD283*15))</f>
        <v>102x0x0</v>
      </c>
      <c r="AG283">
        <f t="shared" si="79"/>
        <v>6</v>
      </c>
      <c r="AI283" t="str">
        <f>CONCATENATE(VLOOKUP(AG283,Constants!$A$2:$C$16,IF(AH283&lt;&gt;"", 3, 2), FALSE),IF(AH283&lt;&gt;"",CONCATENATE(",",VLOOKUP(AH283,$B:$AI,34,FALSE)),""))</f>
        <v>2,2,2</v>
      </c>
      <c r="AS283">
        <v>30</v>
      </c>
      <c r="AT283">
        <f t="shared" si="80"/>
        <v>72</v>
      </c>
      <c r="AW283">
        <f t="shared" si="81"/>
        <v>14</v>
      </c>
      <c r="AX283">
        <f t="shared" si="82"/>
        <v>0</v>
      </c>
      <c r="AY283">
        <f t="shared" si="83"/>
        <v>0</v>
      </c>
      <c r="AZ283" s="4">
        <f t="shared" si="84"/>
        <v>1</v>
      </c>
      <c r="BA283">
        <f t="shared" si="85"/>
        <v>0</v>
      </c>
      <c r="BB283">
        <f>VLOOKUP($E283,Constants!$I:$K, 2, FALSE)</f>
        <v>1</v>
      </c>
      <c r="BC283">
        <f>VLOOKUP($E283,Constants!$I:$K, 3, FALSE)*IF(AND(D283="multiple_unit",Y283&lt;110),0.75,1)</f>
        <v>0.4</v>
      </c>
      <c r="BD283">
        <f>INT(POWER(((Constants!$G$2+$AW283+$AX283+$AY283+$BA283)*$AZ283)*$BC283, 1.05))+$AV283</f>
        <v>8</v>
      </c>
      <c r="BE283">
        <f>INT(POWER((((Constants!$G$1+$AW283+$AX283+$AY283+$BA283)*($AZ283))*$BB283),IF($D283="wagon",1,1.2)))+$AU283</f>
        <v>29</v>
      </c>
      <c r="BF283" s="15">
        <f t="shared" si="86"/>
        <v>500</v>
      </c>
      <c r="BG283" s="15">
        <f t="shared" si="87"/>
        <v>79.17</v>
      </c>
      <c r="BN283">
        <v>7</v>
      </c>
      <c r="BP283" t="s">
        <v>1086</v>
      </c>
      <c r="BQ283" t="s">
        <v>735</v>
      </c>
      <c r="BR283" t="str">
        <f>VLOOKUP(G283,Eras!$A$2:$C$10, 2, TRUE)</f>
        <v>vct</v>
      </c>
      <c r="BS283" t="s">
        <v>733</v>
      </c>
      <c r="BT283" t="str">
        <f t="shared" si="88"/>
        <v>vct_Extra</v>
      </c>
      <c r="BU283" t="str">
        <f t="shared" si="89"/>
        <v>brake_RAIL</v>
      </c>
      <c r="BV283" t="str">
        <f>VLOOKUP($BU283, Constants!$M:$N, 2, FALSE)</f>
        <v/>
      </c>
      <c r="BW283" t="str">
        <f t="shared" si="91"/>
        <v/>
      </c>
      <c r="BX283" t="s">
        <v>734</v>
      </c>
      <c r="BY283" t="str">
        <f t="shared" si="92"/>
        <v>{YELLOW}Speed bonus for slow wagons{}</v>
      </c>
      <c r="BZ283" t="str">
        <f t="shared" si="90"/>
        <v>{YELLOW}Speed bonus for slow wagons{}{SILVER}The Great Western Railway standardised brake van designs from 1894. The distinctive design includes an open "veranda" at the back of the vehicle.</v>
      </c>
    </row>
    <row r="284" spans="1:78" x14ac:dyDescent="0.25">
      <c r="A284" t="s">
        <v>128</v>
      </c>
      <c r="B284" t="s">
        <v>225</v>
      </c>
      <c r="C284">
        <v>604</v>
      </c>
      <c r="D284" t="s">
        <v>308</v>
      </c>
      <c r="E284" t="s">
        <v>1148</v>
      </c>
      <c r="F284" t="s">
        <v>301</v>
      </c>
      <c r="G284">
        <v>1941</v>
      </c>
      <c r="I284">
        <v>1970</v>
      </c>
      <c r="T284">
        <v>20</v>
      </c>
      <c r="X284" s="4" t="str">
        <f t="shared" si="78"/>
        <v/>
      </c>
      <c r="Y284">
        <v>70</v>
      </c>
      <c r="AA284">
        <v>7.3</v>
      </c>
      <c r="AB284">
        <v>11</v>
      </c>
      <c r="AE284" s="11">
        <v>0</v>
      </c>
      <c r="AF284" t="str">
        <f>CONCATENATE(VLOOKUP(AG284, 'Voxel Sizes'!$A$2:$B$18,2,FALSE),"x",INT(AC284*15), "x", INT(AD284*15))</f>
        <v>102x0x0</v>
      </c>
      <c r="AG284">
        <f t="shared" si="79"/>
        <v>6</v>
      </c>
      <c r="AI284" t="str">
        <f>CONCATENATE(VLOOKUP(AG284,Constants!$A$2:$C$16,IF(AH284&lt;&gt;"", 3, 2), FALSE),IF(AH284&lt;&gt;"",CONCATENATE(",",VLOOKUP(AH284,$B:$AI,34,FALSE)),""))</f>
        <v>2,2,2</v>
      </c>
      <c r="AS284">
        <v>30</v>
      </c>
      <c r="AT284">
        <f t="shared" si="80"/>
        <v>25</v>
      </c>
      <c r="AW284">
        <f t="shared" si="81"/>
        <v>14</v>
      </c>
      <c r="AX284">
        <f t="shared" si="82"/>
        <v>0</v>
      </c>
      <c r="AY284">
        <f t="shared" si="83"/>
        <v>0</v>
      </c>
      <c r="AZ284" s="4">
        <f t="shared" si="84"/>
        <v>0.94533333333333336</v>
      </c>
      <c r="BA284">
        <f t="shared" si="85"/>
        <v>0</v>
      </c>
      <c r="BB284">
        <f>VLOOKUP($E284,Constants!$I:$K, 2, FALSE)</f>
        <v>1</v>
      </c>
      <c r="BC284">
        <f>VLOOKUP($E284,Constants!$I:$K, 3, FALSE)*IF(AND(D284="multiple_unit",Y284&lt;110),0.75,1)</f>
        <v>0.4</v>
      </c>
      <c r="BD284">
        <f>INT(POWER(((Constants!$G$2+$AW284+$AX284+$AY284+$BA284)*$AZ284)*$BC284, 1.05))+$AV284</f>
        <v>7</v>
      </c>
      <c r="BE284">
        <f>INT(POWER((((Constants!$G$1+$AW284+$AX284+$AY284+$BA284)*($AZ284))*$BB284),IF($D284="wagon",1,1.2)))+$AU284</f>
        <v>27</v>
      </c>
      <c r="BF284" s="15">
        <f t="shared" si="86"/>
        <v>437.5</v>
      </c>
      <c r="BG284" s="15">
        <f t="shared" si="87"/>
        <v>73.709999999999994</v>
      </c>
      <c r="BN284">
        <v>8</v>
      </c>
      <c r="BP284" t="s">
        <v>1086</v>
      </c>
      <c r="BQ284" t="s">
        <v>735</v>
      </c>
      <c r="BR284" t="str">
        <f>VLOOKUP(G284,Eras!$A$2:$C$10, 2, TRUE)</f>
        <v>big4</v>
      </c>
      <c r="BS284" t="s">
        <v>733</v>
      </c>
      <c r="BT284" t="str">
        <f t="shared" si="88"/>
        <v>big4_Extra</v>
      </c>
      <c r="BU284" t="str">
        <f t="shared" si="89"/>
        <v>brake_RAIL</v>
      </c>
      <c r="BV284" t="str">
        <f>VLOOKUP($BU284, Constants!$M:$N, 2, FALSE)</f>
        <v/>
      </c>
      <c r="BW284" t="str">
        <f t="shared" si="91"/>
        <v/>
      </c>
      <c r="BX284" t="s">
        <v>748</v>
      </c>
      <c r="BY284" t="str">
        <f t="shared" si="92"/>
        <v>{YELLOW}Speed bonus for slow wagons{}</v>
      </c>
      <c r="BZ284" t="str">
        <f t="shared" si="90"/>
        <v>{YELLOW}Speed bonus for slow wagons{}{SILVER}BR inherited a large number of brake vans from the Big Four, but quickly set about introducing their own standard model based on 1940s LNER practice.</v>
      </c>
    </row>
    <row r="285" spans="1:78" x14ac:dyDescent="0.25">
      <c r="A285" t="s">
        <v>122</v>
      </c>
      <c r="B285" t="s">
        <v>223</v>
      </c>
      <c r="D285" t="s">
        <v>161</v>
      </c>
      <c r="E285" t="s">
        <v>1146</v>
      </c>
      <c r="F285" t="s">
        <v>301</v>
      </c>
      <c r="X285" s="4" t="str">
        <f t="shared" si="78"/>
        <v/>
      </c>
      <c r="AF285" t="str">
        <f>CONCATENATE(VLOOKUP(AG285, 'Voxel Sizes'!$A$2:$B$18,2,FALSE),"x",INT(AC285*15), "x", INT(AD285*15))</f>
        <v>0x0x0</v>
      </c>
      <c r="AG285">
        <f t="shared" si="79"/>
        <v>0</v>
      </c>
      <c r="AI285" t="str">
        <f>CONCATENATE(VLOOKUP(AG285,Constants!$A$2:$C$16,IF(AH285&lt;&gt;"", 3, 2), FALSE),IF(AH285&lt;&gt;"",CONCATENATE(",",VLOOKUP(AH285,$B:$AI,34,FALSE)),""))</f>
        <v>na</v>
      </c>
      <c r="AS285">
        <v>30</v>
      </c>
      <c r="AT285" t="str">
        <f t="shared" si="80"/>
        <v/>
      </c>
      <c r="AW285">
        <f t="shared" si="81"/>
        <v>0</v>
      </c>
      <c r="AX285">
        <f t="shared" si="82"/>
        <v>0</v>
      </c>
      <c r="AY285">
        <f t="shared" si="83"/>
        <v>0</v>
      </c>
      <c r="AZ285" s="4">
        <f t="shared" si="84"/>
        <v>1</v>
      </c>
      <c r="BA285">
        <f t="shared" si="85"/>
        <v>0</v>
      </c>
      <c r="BB285">
        <f>VLOOKUP($E285,Constants!$I:$K, 2, FALSE)</f>
        <v>1.2</v>
      </c>
      <c r="BC285">
        <f>VLOOKUP($E285,Constants!$I:$K, 3, FALSE)*IF(AND(D285="multiple_unit",Y285&lt;110),0.75,1)</f>
        <v>0.6</v>
      </c>
      <c r="BD285">
        <f>INT(POWER(((Constants!$G$2+$AW285+$AX285+$AY285+$BA285)*$AZ285)*$BC285, 1.05))+$AV285</f>
        <v>3</v>
      </c>
      <c r="BE285">
        <f>INT(POWER((((Constants!$G$1+$AW285+$AX285+$AY285+$BA285)*($AZ285))*$BB285),IF($D285="wagon",1,1.2)))+$AU285</f>
        <v>32</v>
      </c>
      <c r="BF285" s="15">
        <f t="shared" si="86"/>
        <v>2343.75</v>
      </c>
      <c r="BG285" s="15">
        <f t="shared" si="87"/>
        <v>2600</v>
      </c>
      <c r="BN285">
        <v>12</v>
      </c>
      <c r="BR285" t="e">
        <f>VLOOKUP(G285,Eras!$A$2:$C$10, 2, TRUE)</f>
        <v>#N/A</v>
      </c>
      <c r="BT285" t="e">
        <f t="shared" si="88"/>
        <v>#N/A</v>
      </c>
      <c r="BU285" t="str">
        <f t="shared" si="89"/>
        <v>carriage_RAIL</v>
      </c>
      <c r="BV285" t="str">
        <f>VLOOKUP($BU285, Constants!$M:$N, 2, FALSE)</f>
        <v/>
      </c>
      <c r="BW285" t="str">
        <f t="shared" si="91"/>
        <v/>
      </c>
      <c r="BY285" t="str">
        <f t="shared" si="92"/>
        <v/>
      </c>
      <c r="BZ285" t="str">
        <f t="shared" si="90"/>
        <v>{SILVER}</v>
      </c>
    </row>
    <row r="286" spans="1:78" x14ac:dyDescent="0.25">
      <c r="A286" t="s">
        <v>100</v>
      </c>
      <c r="B286" t="s">
        <v>254</v>
      </c>
      <c r="C286">
        <v>700</v>
      </c>
      <c r="D286" t="s">
        <v>161</v>
      </c>
      <c r="E286" t="s">
        <v>1149</v>
      </c>
      <c r="F286" t="s">
        <v>301</v>
      </c>
      <c r="X286" s="4" t="str">
        <f t="shared" si="78"/>
        <v/>
      </c>
      <c r="AF286" t="str">
        <f>CONCATENATE(VLOOKUP(AG286, 'Voxel Sizes'!$A$2:$B$18,2,FALSE),"x",INT(AC286*15), "x", INT(AD286*15))</f>
        <v>0x0x0</v>
      </c>
      <c r="AG286">
        <f t="shared" si="79"/>
        <v>0</v>
      </c>
      <c r="AI286" t="str">
        <f>CONCATENATE(VLOOKUP(AG286,Constants!$A$2:$C$16,IF(AH286&lt;&gt;"", 3, 2), FALSE),IF(AH286&lt;&gt;"",CONCATENATE(",",VLOOKUP(AH286,$B:$AI,34,FALSE)),""))</f>
        <v>na</v>
      </c>
      <c r="AS286">
        <v>30</v>
      </c>
      <c r="AT286" t="str">
        <f t="shared" si="80"/>
        <v/>
      </c>
      <c r="AW286">
        <f t="shared" si="81"/>
        <v>0</v>
      </c>
      <c r="AX286">
        <f t="shared" si="82"/>
        <v>0</v>
      </c>
      <c r="AY286">
        <f t="shared" si="83"/>
        <v>0</v>
      </c>
      <c r="AZ286" s="4">
        <f t="shared" si="84"/>
        <v>1</v>
      </c>
      <c r="BA286">
        <f t="shared" si="85"/>
        <v>0</v>
      </c>
      <c r="BB286">
        <f>VLOOKUP($E286,Constants!$I:$K, 2, FALSE)</f>
        <v>0.9</v>
      </c>
      <c r="BC286">
        <f>VLOOKUP($E286,Constants!$I:$K, 3, FALSE)*IF(AND(D286="multiple_unit",Y286&lt;110),0.75,1)</f>
        <v>1.6</v>
      </c>
      <c r="BD286">
        <f>INT(POWER(((Constants!$G$2+$AW286+$AX286+$AY286+$BA286)*$AZ286)*$BC286, 1.05))+$AV286</f>
        <v>8</v>
      </c>
      <c r="BE286">
        <f>INT(POWER((((Constants!$G$1+$AW286+$AX286+$AY286+$BA286)*($AZ286))*$BB286),IF($D286="wagon",1,1.2)))+$AU286</f>
        <v>22</v>
      </c>
      <c r="BF286" s="15">
        <f t="shared" si="86"/>
        <v>6250</v>
      </c>
      <c r="BG286" s="15">
        <f t="shared" si="87"/>
        <v>1787.5</v>
      </c>
      <c r="BN286">
        <v>1</v>
      </c>
      <c r="BR286" t="e">
        <f>VLOOKUP(G286,Eras!$A$2:$C$10, 2, TRUE)</f>
        <v>#N/A</v>
      </c>
      <c r="BT286" t="e">
        <f t="shared" si="88"/>
        <v>#N/A</v>
      </c>
      <c r="BU286" t="str">
        <f t="shared" si="89"/>
        <v>tube_RAIL</v>
      </c>
      <c r="BV286" t="str">
        <f>VLOOKUP($BU286, Constants!$M:$N, 2, FALSE)</f>
        <v/>
      </c>
      <c r="BW286" t="str">
        <f t="shared" si="91"/>
        <v/>
      </c>
      <c r="BY286" t="str">
        <f t="shared" si="92"/>
        <v/>
      </c>
      <c r="BZ286" t="str">
        <f t="shared" si="90"/>
        <v>{SILVER}</v>
      </c>
    </row>
    <row r="287" spans="1:78" x14ac:dyDescent="0.25">
      <c r="A287" t="s">
        <v>101</v>
      </c>
      <c r="B287" t="s">
        <v>208</v>
      </c>
      <c r="C287">
        <v>702</v>
      </c>
      <c r="D287" t="s">
        <v>161</v>
      </c>
      <c r="E287" t="s">
        <v>1149</v>
      </c>
      <c r="F287" t="s">
        <v>301</v>
      </c>
      <c r="X287" s="4" t="str">
        <f t="shared" si="78"/>
        <v/>
      </c>
      <c r="AF287" t="str">
        <f>CONCATENATE(VLOOKUP(AG287, 'Voxel Sizes'!$A$2:$B$18,2,FALSE),"x",INT(AC287*15), "x", INT(AD287*15))</f>
        <v>0x0x0</v>
      </c>
      <c r="AG287">
        <f t="shared" si="79"/>
        <v>0</v>
      </c>
      <c r="AI287" t="str">
        <f>CONCATENATE(VLOOKUP(AG287,Constants!$A$2:$C$16,IF(AH287&lt;&gt;"", 3, 2), FALSE),IF(AH287&lt;&gt;"",CONCATENATE(",",VLOOKUP(AH287,$B:$AI,34,FALSE)),""))</f>
        <v>na</v>
      </c>
      <c r="AS287">
        <v>30</v>
      </c>
      <c r="AT287" t="str">
        <f t="shared" si="80"/>
        <v/>
      </c>
      <c r="AW287">
        <f t="shared" si="81"/>
        <v>0</v>
      </c>
      <c r="AX287">
        <f t="shared" si="82"/>
        <v>0</v>
      </c>
      <c r="AY287">
        <f t="shared" si="83"/>
        <v>0</v>
      </c>
      <c r="AZ287" s="4">
        <f t="shared" si="84"/>
        <v>1</v>
      </c>
      <c r="BA287">
        <f t="shared" si="85"/>
        <v>0</v>
      </c>
      <c r="BB287">
        <f>VLOOKUP($E287,Constants!$I:$K, 2, FALSE)</f>
        <v>0.9</v>
      </c>
      <c r="BC287">
        <f>VLOOKUP($E287,Constants!$I:$K, 3, FALSE)*IF(AND(D287="multiple_unit",Y287&lt;110),0.75,1)</f>
        <v>1.6</v>
      </c>
      <c r="BD287">
        <f>INT(POWER(((Constants!$G$2+$AW287+$AX287+$AY287+$BA287)*$AZ287)*$BC287, 1.05))+$AV287</f>
        <v>8</v>
      </c>
      <c r="BE287">
        <f>INT(POWER((((Constants!$G$1+$AW287+$AX287+$AY287+$BA287)*($AZ287))*$BB287),IF($D287="wagon",1,1.2)))+$AU287</f>
        <v>22</v>
      </c>
      <c r="BF287" s="15">
        <f t="shared" si="86"/>
        <v>6250</v>
      </c>
      <c r="BG287" s="15">
        <f t="shared" si="87"/>
        <v>1787.5</v>
      </c>
      <c r="BN287">
        <v>2</v>
      </c>
      <c r="BR287" t="e">
        <f>VLOOKUP(G287,Eras!$A$2:$C$10, 2, TRUE)</f>
        <v>#N/A</v>
      </c>
      <c r="BT287" t="e">
        <f t="shared" si="88"/>
        <v>#N/A</v>
      </c>
      <c r="BU287" t="str">
        <f t="shared" si="89"/>
        <v>tube_RAIL</v>
      </c>
      <c r="BV287" t="str">
        <f>VLOOKUP($BU287, Constants!$M:$N, 2, FALSE)</f>
        <v/>
      </c>
      <c r="BW287" t="str">
        <f t="shared" si="91"/>
        <v/>
      </c>
      <c r="BY287" t="str">
        <f t="shared" si="92"/>
        <v/>
      </c>
      <c r="BZ287" t="str">
        <f t="shared" si="90"/>
        <v>{SILVER}</v>
      </c>
    </row>
    <row r="288" spans="1:78" x14ac:dyDescent="0.25">
      <c r="A288" t="s">
        <v>102</v>
      </c>
      <c r="B288" t="s">
        <v>209</v>
      </c>
      <c r="C288">
        <v>704</v>
      </c>
      <c r="D288" t="s">
        <v>161</v>
      </c>
      <c r="E288" t="s">
        <v>1149</v>
      </c>
      <c r="F288" t="s">
        <v>301</v>
      </c>
      <c r="X288" s="4" t="str">
        <f t="shared" si="78"/>
        <v/>
      </c>
      <c r="AF288" t="str">
        <f>CONCATENATE(VLOOKUP(AG288, 'Voxel Sizes'!$A$2:$B$18,2,FALSE),"x",INT(AC288*15), "x", INT(AD288*15))</f>
        <v>0x0x0</v>
      </c>
      <c r="AG288">
        <f t="shared" si="79"/>
        <v>0</v>
      </c>
      <c r="AI288" t="str">
        <f>CONCATENATE(VLOOKUP(AG288,Constants!$A$2:$C$16,IF(AH288&lt;&gt;"", 3, 2), FALSE),IF(AH288&lt;&gt;"",CONCATENATE(",",VLOOKUP(AH288,$B:$AI,34,FALSE)),""))</f>
        <v>na</v>
      </c>
      <c r="AS288">
        <v>30</v>
      </c>
      <c r="AT288" t="str">
        <f t="shared" si="80"/>
        <v/>
      </c>
      <c r="AW288">
        <f t="shared" si="81"/>
        <v>0</v>
      </c>
      <c r="AX288">
        <f t="shared" si="82"/>
        <v>0</v>
      </c>
      <c r="AY288">
        <f t="shared" si="83"/>
        <v>0</v>
      </c>
      <c r="AZ288" s="4">
        <f t="shared" si="84"/>
        <v>1</v>
      </c>
      <c r="BA288">
        <f t="shared" si="85"/>
        <v>0</v>
      </c>
      <c r="BB288">
        <f>VLOOKUP($E288,Constants!$I:$K, 2, FALSE)</f>
        <v>0.9</v>
      </c>
      <c r="BC288">
        <f>VLOOKUP($E288,Constants!$I:$K, 3, FALSE)*IF(AND(D288="multiple_unit",Y288&lt;110),0.75,1)</f>
        <v>1.6</v>
      </c>
      <c r="BD288">
        <f>INT(POWER(((Constants!$G$2+$AW288+$AX288+$AY288+$BA288)*$AZ288)*$BC288, 1.05))+$AV288</f>
        <v>8</v>
      </c>
      <c r="BE288">
        <f>INT(POWER((((Constants!$G$1+$AW288+$AX288+$AY288+$BA288)*($AZ288))*$BB288),IF($D288="wagon",1,1.2)))+$AU288</f>
        <v>22</v>
      </c>
      <c r="BF288" s="15">
        <f t="shared" si="86"/>
        <v>6250</v>
      </c>
      <c r="BG288" s="15">
        <f t="shared" si="87"/>
        <v>1787.5</v>
      </c>
      <c r="BN288">
        <v>3</v>
      </c>
      <c r="BR288" t="e">
        <f>VLOOKUP(G288,Eras!$A$2:$C$10, 2, TRUE)</f>
        <v>#N/A</v>
      </c>
      <c r="BT288" t="e">
        <f t="shared" si="88"/>
        <v>#N/A</v>
      </c>
      <c r="BU288" t="str">
        <f t="shared" si="89"/>
        <v>tube_RAIL</v>
      </c>
      <c r="BV288" t="str">
        <f>VLOOKUP($BU288, Constants!$M:$N, 2, FALSE)</f>
        <v/>
      </c>
      <c r="BW288" t="str">
        <f t="shared" si="91"/>
        <v/>
      </c>
      <c r="BY288" t="str">
        <f t="shared" si="92"/>
        <v/>
      </c>
      <c r="BZ288" t="str">
        <f t="shared" si="90"/>
        <v>{SILVER}</v>
      </c>
    </row>
    <row r="289" spans="1:78" x14ac:dyDescent="0.25">
      <c r="A289" t="s">
        <v>103</v>
      </c>
      <c r="B289" t="s">
        <v>252</v>
      </c>
      <c r="C289">
        <v>706</v>
      </c>
      <c r="D289" t="s">
        <v>161</v>
      </c>
      <c r="E289" t="s">
        <v>1149</v>
      </c>
      <c r="F289" t="s">
        <v>301</v>
      </c>
      <c r="X289" s="4" t="str">
        <f t="shared" si="78"/>
        <v/>
      </c>
      <c r="AF289" t="str">
        <f>CONCATENATE(VLOOKUP(AG289, 'Voxel Sizes'!$A$2:$B$18,2,FALSE),"x",INT(AC289*15), "x", INT(AD289*15))</f>
        <v>0x0x0</v>
      </c>
      <c r="AG289">
        <f t="shared" si="79"/>
        <v>0</v>
      </c>
      <c r="AI289" t="str">
        <f>CONCATENATE(VLOOKUP(AG289,Constants!$A$2:$C$16,IF(AH289&lt;&gt;"", 3, 2), FALSE),IF(AH289&lt;&gt;"",CONCATENATE(",",VLOOKUP(AH289,$B:$AI,34,FALSE)),""))</f>
        <v>na</v>
      </c>
      <c r="AS289">
        <v>30</v>
      </c>
      <c r="AT289" t="str">
        <f t="shared" si="80"/>
        <v/>
      </c>
      <c r="AW289">
        <f t="shared" si="81"/>
        <v>0</v>
      </c>
      <c r="AX289">
        <f t="shared" si="82"/>
        <v>0</v>
      </c>
      <c r="AY289">
        <f t="shared" si="83"/>
        <v>0</v>
      </c>
      <c r="AZ289" s="4">
        <f t="shared" si="84"/>
        <v>1</v>
      </c>
      <c r="BA289">
        <f t="shared" si="85"/>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 t="shared" si="86"/>
        <v>6250</v>
      </c>
      <c r="BG289" s="15">
        <f t="shared" si="87"/>
        <v>1787.5</v>
      </c>
      <c r="BN289">
        <v>4</v>
      </c>
      <c r="BR289" t="e">
        <f>VLOOKUP(G289,Eras!$A$2:$C$10, 2, TRUE)</f>
        <v>#N/A</v>
      </c>
      <c r="BT289" t="e">
        <f t="shared" si="88"/>
        <v>#N/A</v>
      </c>
      <c r="BU289" t="str">
        <f t="shared" si="89"/>
        <v>tube_RAIL</v>
      </c>
      <c r="BV289" t="str">
        <f>VLOOKUP($BU289, Constants!$M:$N, 2, FALSE)</f>
        <v/>
      </c>
      <c r="BW289" t="str">
        <f t="shared" si="91"/>
        <v/>
      </c>
      <c r="BY289" t="str">
        <f t="shared" si="92"/>
        <v/>
      </c>
      <c r="BZ289" t="str">
        <f t="shared" si="90"/>
        <v>{SILVER}</v>
      </c>
    </row>
    <row r="290" spans="1:78" x14ac:dyDescent="0.25">
      <c r="A290" t="s">
        <v>104</v>
      </c>
      <c r="B290" t="s">
        <v>278</v>
      </c>
      <c r="C290">
        <v>708</v>
      </c>
      <c r="D290" t="s">
        <v>161</v>
      </c>
      <c r="E290" t="s">
        <v>1149</v>
      </c>
      <c r="F290" t="s">
        <v>301</v>
      </c>
      <c r="X290" s="4" t="str">
        <f t="shared" si="78"/>
        <v/>
      </c>
      <c r="AF290" t="str">
        <f>CONCATENATE(VLOOKUP(AG290, 'Voxel Sizes'!$A$2:$B$18,2,FALSE),"x",INT(AC290*15), "x", INT(AD290*15))</f>
        <v>0x0x0</v>
      </c>
      <c r="AG290">
        <f t="shared" si="79"/>
        <v>0</v>
      </c>
      <c r="AI290" t="str">
        <f>CONCATENATE(VLOOKUP(AG290,Constants!$A$2:$C$16,IF(AH290&lt;&gt;"", 3, 2), FALSE),IF(AH290&lt;&gt;"",CONCATENATE(",",VLOOKUP(AH290,$B:$AI,34,FALSE)),""))</f>
        <v>na</v>
      </c>
      <c r="AS290">
        <v>30</v>
      </c>
      <c r="AT290" t="str">
        <f t="shared" si="80"/>
        <v/>
      </c>
      <c r="AW290">
        <f t="shared" si="81"/>
        <v>0</v>
      </c>
      <c r="AX290">
        <f t="shared" si="82"/>
        <v>0</v>
      </c>
      <c r="AY290">
        <f t="shared" si="83"/>
        <v>0</v>
      </c>
      <c r="AZ290" s="4">
        <f t="shared" si="84"/>
        <v>1</v>
      </c>
      <c r="BA290">
        <f t="shared" si="85"/>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86"/>
        <v>6250</v>
      </c>
      <c r="BG290" s="15">
        <f t="shared" si="87"/>
        <v>1787.5</v>
      </c>
      <c r="BN290">
        <v>5</v>
      </c>
      <c r="BR290" t="e">
        <f>VLOOKUP(G290,Eras!$A$2:$C$10, 2, TRUE)</f>
        <v>#N/A</v>
      </c>
      <c r="BS290" t="s">
        <v>372</v>
      </c>
      <c r="BT290" t="e">
        <f t="shared" si="88"/>
        <v>#N/A</v>
      </c>
      <c r="BU290" t="str">
        <f t="shared" si="89"/>
        <v>tube_RAIL</v>
      </c>
      <c r="BV290" t="str">
        <f>VLOOKUP($BU290, Constants!$M:$N, 2, FALSE)</f>
        <v/>
      </c>
      <c r="BW290" t="str">
        <f t="shared" si="91"/>
        <v/>
      </c>
      <c r="BY290" t="str">
        <f t="shared" si="92"/>
        <v/>
      </c>
      <c r="BZ290" t="str">
        <f t="shared" si="90"/>
        <v>{SILVER}</v>
      </c>
    </row>
    <row r="291" spans="1:78" x14ac:dyDescent="0.25">
      <c r="A291" t="s">
        <v>105</v>
      </c>
      <c r="B291" t="s">
        <v>210</v>
      </c>
      <c r="C291">
        <v>710</v>
      </c>
      <c r="D291" t="s">
        <v>161</v>
      </c>
      <c r="E291" t="s">
        <v>1149</v>
      </c>
      <c r="F291" t="s">
        <v>301</v>
      </c>
      <c r="X291" s="4" t="str">
        <f t="shared" si="78"/>
        <v/>
      </c>
      <c r="AF291" t="str">
        <f>CONCATENATE(VLOOKUP(AG291, 'Voxel Sizes'!$A$2:$B$18,2,FALSE),"x",INT(AC291*15), "x", INT(AD291*15))</f>
        <v>0x0x0</v>
      </c>
      <c r="AG291">
        <f t="shared" si="79"/>
        <v>0</v>
      </c>
      <c r="AI291" t="str">
        <f>CONCATENATE(VLOOKUP(AG291,Constants!$A$2:$C$16,IF(AH291&lt;&gt;"", 3, 2), FALSE),IF(AH291&lt;&gt;"",CONCATENATE(",",VLOOKUP(AH291,$B:$AI,34,FALSE)),""))</f>
        <v>na</v>
      </c>
      <c r="AS291">
        <v>30</v>
      </c>
      <c r="AT291" t="str">
        <f t="shared" si="80"/>
        <v/>
      </c>
      <c r="AW291">
        <f t="shared" si="81"/>
        <v>0</v>
      </c>
      <c r="AX291">
        <f t="shared" si="82"/>
        <v>0</v>
      </c>
      <c r="AY291">
        <f t="shared" si="83"/>
        <v>0</v>
      </c>
      <c r="AZ291" s="4">
        <f t="shared" si="84"/>
        <v>1</v>
      </c>
      <c r="BA291">
        <f t="shared" si="85"/>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 t="shared" si="86"/>
        <v>6250</v>
      </c>
      <c r="BG291" s="15">
        <f t="shared" si="87"/>
        <v>1787.5</v>
      </c>
      <c r="BN291">
        <v>6</v>
      </c>
      <c r="BR291" t="e">
        <f>VLOOKUP(G291,Eras!$A$2:$C$10, 2, TRUE)</f>
        <v>#N/A</v>
      </c>
      <c r="BS291" t="s">
        <v>372</v>
      </c>
      <c r="BT291" t="e">
        <f t="shared" si="88"/>
        <v>#N/A</v>
      </c>
      <c r="BU291" t="str">
        <f t="shared" si="89"/>
        <v>tube_RAIL</v>
      </c>
      <c r="BV291" t="str">
        <f>VLOOKUP($BU291, Constants!$M:$N, 2, FALSE)</f>
        <v/>
      </c>
      <c r="BW291" t="str">
        <f t="shared" si="91"/>
        <v/>
      </c>
      <c r="BY291" t="str">
        <f t="shared" si="92"/>
        <v/>
      </c>
      <c r="BZ291" t="str">
        <f t="shared" si="90"/>
        <v>{SILVER}</v>
      </c>
    </row>
    <row r="292" spans="1:78" x14ac:dyDescent="0.25">
      <c r="A292" t="s">
        <v>135</v>
      </c>
      <c r="B292" t="s">
        <v>230</v>
      </c>
      <c r="C292">
        <v>712</v>
      </c>
      <c r="D292" t="s">
        <v>161</v>
      </c>
      <c r="E292" t="s">
        <v>308</v>
      </c>
      <c r="F292" t="s">
        <v>301</v>
      </c>
      <c r="X292" s="4" t="str">
        <f t="shared" si="78"/>
        <v/>
      </c>
      <c r="AE292" s="11">
        <v>0</v>
      </c>
      <c r="AF292" t="str">
        <f>CONCATENATE(VLOOKUP(AG292, 'Voxel Sizes'!$A$2:$B$18,2,FALSE),"x",INT(AC292*15), "x", INT(AD292*15))</f>
        <v>0x0x0</v>
      </c>
      <c r="AG292">
        <f t="shared" si="79"/>
        <v>0</v>
      </c>
      <c r="AI292" t="str">
        <f>CONCATENATE(VLOOKUP(AG292,Constants!$A$2:$C$16,IF(AH292&lt;&gt;"", 3, 2), FALSE),IF(AH292&lt;&gt;"",CONCATENATE(",",VLOOKUP(AH292,$B:$AI,34,FALSE)),""))</f>
        <v>na</v>
      </c>
      <c r="AS292">
        <v>30</v>
      </c>
      <c r="AT292" t="str">
        <f t="shared" si="80"/>
        <v/>
      </c>
      <c r="AW292">
        <f t="shared" si="81"/>
        <v>0</v>
      </c>
      <c r="AX292">
        <f t="shared" si="82"/>
        <v>0</v>
      </c>
      <c r="AY292">
        <f t="shared" si="83"/>
        <v>0</v>
      </c>
      <c r="AZ292" s="4">
        <f t="shared" si="84"/>
        <v>1</v>
      </c>
      <c r="BA292">
        <f t="shared" si="85"/>
        <v>0</v>
      </c>
      <c r="BB292">
        <f>VLOOKUP($E292,Constants!$I:$K, 2, FALSE)</f>
        <v>1</v>
      </c>
      <c r="BC292">
        <f>VLOOKUP($E292,Constants!$I:$K, 3, FALSE)*IF(AND(D292="multiple_unit",Y292&lt;110),0.75,1)</f>
        <v>0.45</v>
      </c>
      <c r="BD292">
        <f>INT(POWER(((Constants!$G$2+$AW292+$AX292+$AY292+$BA292)*$AZ292)*$BC292, 1.05))+$AV292</f>
        <v>2</v>
      </c>
      <c r="BE292">
        <f>INT(POWER((((Constants!$G$1+$AW292+$AX292+$AY292+$BA292)*($AZ292))*$BB292),IF($D292="wagon",1,1.2)))+$AU292</f>
        <v>25</v>
      </c>
      <c r="BF292" s="15">
        <f t="shared" si="86"/>
        <v>1562.5</v>
      </c>
      <c r="BG292" s="15">
        <f t="shared" si="87"/>
        <v>2031.25</v>
      </c>
      <c r="BN292">
        <v>7</v>
      </c>
      <c r="BR292" t="e">
        <f>VLOOKUP(G292,Eras!$A$2:$C$10, 2, TRUE)</f>
        <v>#N/A</v>
      </c>
      <c r="BT292" t="e">
        <f t="shared" si="88"/>
        <v>#N/A</v>
      </c>
      <c r="BU292" t="str">
        <f t="shared" si="89"/>
        <v>wagon_RAIL</v>
      </c>
      <c r="BV292" t="str">
        <f>VLOOKUP($BU292, Constants!$M:$N, 2, FALSE)</f>
        <v/>
      </c>
      <c r="BW292" t="str">
        <f t="shared" si="91"/>
        <v/>
      </c>
      <c r="BY292" t="str">
        <f t="shared" si="92"/>
        <v/>
      </c>
      <c r="BZ292" t="str">
        <f t="shared" si="90"/>
        <v>{SILVER}</v>
      </c>
    </row>
    <row r="293" spans="1:78" x14ac:dyDescent="0.25">
      <c r="A293" t="s">
        <v>679</v>
      </c>
      <c r="B293" t="s">
        <v>678</v>
      </c>
      <c r="C293">
        <v>714</v>
      </c>
      <c r="D293" t="s">
        <v>161</v>
      </c>
      <c r="E293" t="s">
        <v>323</v>
      </c>
      <c r="F293" t="s">
        <v>324</v>
      </c>
      <c r="X293" s="4" t="str">
        <f t="shared" si="78"/>
        <v/>
      </c>
      <c r="AF293" t="str">
        <f>CONCATENATE(VLOOKUP(AG293, 'Voxel Sizes'!$A$2:$B$18,2,FALSE),"x",INT(AC293*15), "x", INT(AD293*15))</f>
        <v>0x0x0</v>
      </c>
      <c r="AG293">
        <f t="shared" si="79"/>
        <v>0</v>
      </c>
      <c r="AI293" t="str">
        <f>CONCATENATE(VLOOKUP(AG293,Constants!$A$2:$C$16,IF(AH293&lt;&gt;"", 3, 2), FALSE),IF(AH293&lt;&gt;"",CONCATENATE(",",VLOOKUP(AH293,$B:$AI,34,FALSE)),""))</f>
        <v>na</v>
      </c>
      <c r="AS293">
        <v>30</v>
      </c>
      <c r="AT293" t="str">
        <f t="shared" si="80"/>
        <v/>
      </c>
      <c r="AW293">
        <f t="shared" si="81"/>
        <v>0</v>
      </c>
      <c r="AX293">
        <f t="shared" si="82"/>
        <v>0</v>
      </c>
      <c r="AY293">
        <f t="shared" si="83"/>
        <v>0</v>
      </c>
      <c r="AZ293" s="4">
        <f t="shared" si="84"/>
        <v>1</v>
      </c>
      <c r="BA293">
        <f t="shared" si="85"/>
        <v>0</v>
      </c>
      <c r="BB293">
        <f>VLOOKUP($E293,Constants!$I:$K, 2, FALSE)</f>
        <v>0.85</v>
      </c>
      <c r="BC293">
        <f>VLOOKUP($E293,Constants!$I:$K, 3, FALSE)*IF(AND(D293="multiple_unit",Y293&lt;110),0.75,1)</f>
        <v>2.2999999999999998</v>
      </c>
      <c r="BD293">
        <f>INT(POWER(((Constants!$G$2+$AW293+$AX293+$AY293+$BA293)*$AZ293)*$BC293, 1.05))+$AV293</f>
        <v>12</v>
      </c>
      <c r="BE293">
        <f>INT(POWER((((Constants!$G$1+$AW293+$AX293+$AY293+$BA293)*($AZ293))*$BB293),IF($D293="wagon",1,1.2)))+$AU293</f>
        <v>21</v>
      </c>
      <c r="BF293" s="15">
        <f t="shared" si="86"/>
        <v>9375</v>
      </c>
      <c r="BG293" s="15">
        <f t="shared" si="87"/>
        <v>1706.25</v>
      </c>
      <c r="BN293">
        <v>8</v>
      </c>
      <c r="BR293" t="e">
        <f>VLOOKUP(G293,Eras!$A$2:$C$10, 2, TRUE)</f>
        <v>#N/A</v>
      </c>
      <c r="BT293" t="e">
        <f t="shared" si="88"/>
        <v>#N/A</v>
      </c>
      <c r="BU293" t="str">
        <f t="shared" si="89"/>
        <v>electric_ELRL</v>
      </c>
      <c r="BV293" t="str">
        <f>VLOOKUP($BU293, Constants!$M:$N, 2, FALSE)</f>
        <v>{BLACK}Powered by: {GOLD}25kV AC</v>
      </c>
      <c r="BW293" t="str">
        <f t="shared" si="91"/>
        <v/>
      </c>
      <c r="BY293" t="str">
        <f t="shared" si="92"/>
        <v/>
      </c>
      <c r="BZ293" t="str">
        <f t="shared" si="90"/>
        <v>{BLACK}Powered by: {GOLD}25kV AC {}{SILVER}</v>
      </c>
    </row>
    <row r="294" spans="1:78" x14ac:dyDescent="0.25">
      <c r="A294" t="s">
        <v>697</v>
      </c>
      <c r="B294" t="s">
        <v>700</v>
      </c>
      <c r="C294">
        <v>716</v>
      </c>
      <c r="D294" t="s">
        <v>161</v>
      </c>
      <c r="E294" t="s">
        <v>323</v>
      </c>
      <c r="F294" t="s">
        <v>330</v>
      </c>
      <c r="AF294" t="str">
        <f>CONCATENATE(VLOOKUP(AG294, 'Voxel Sizes'!$A$2:$B$18,2,FALSE),"x",INT(AC294*15), "x", INT(AD294*15))</f>
        <v>0x0x0</v>
      </c>
      <c r="AG294">
        <f t="shared" si="79"/>
        <v>0</v>
      </c>
      <c r="AI294" t="str">
        <f>CONCATENATE(VLOOKUP(AG294,Constants!$A$2:$C$16,IF(AH294&lt;&gt;"", 3, 2), FALSE),IF(AH294&lt;&gt;"",CONCATENATE(",",VLOOKUP(AH294,$B:$AI,34,FALSE)),""))</f>
        <v>na</v>
      </c>
      <c r="AS294">
        <v>30</v>
      </c>
      <c r="AT294" t="str">
        <f t="shared" si="80"/>
        <v/>
      </c>
      <c r="AW294">
        <f t="shared" si="81"/>
        <v>0</v>
      </c>
      <c r="AX294">
        <f t="shared" si="82"/>
        <v>0</v>
      </c>
      <c r="AY294">
        <f t="shared" si="83"/>
        <v>0</v>
      </c>
      <c r="AZ294" s="4">
        <f t="shared" si="84"/>
        <v>1</v>
      </c>
      <c r="BA294">
        <f t="shared" si="85"/>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86"/>
        <v>9375</v>
      </c>
      <c r="BG294" s="15">
        <f t="shared" si="87"/>
        <v>1706.25</v>
      </c>
      <c r="BN294">
        <v>1</v>
      </c>
      <c r="BR294" t="e">
        <f>VLOOKUP(G294,Eras!$A$2:$C$10, 2, TRUE)</f>
        <v>#N/A</v>
      </c>
      <c r="BT294" t="e">
        <f t="shared" si="88"/>
        <v>#N/A</v>
      </c>
      <c r="BU294" t="str">
        <f t="shared" si="89"/>
        <v>electric_THIRD_RAIL</v>
      </c>
      <c r="BV294" t="str">
        <f>VLOOKUP($BU294, Constants!$M:$N, 2, FALSE)</f>
        <v>{BLACK}Powered by: {GOLD}750V DC</v>
      </c>
      <c r="BW294" t="str">
        <f t="shared" si="91"/>
        <v/>
      </c>
      <c r="BY294" t="str">
        <f t="shared" si="92"/>
        <v/>
      </c>
      <c r="BZ294" t="str">
        <f t="shared" si="90"/>
        <v>{BLACK}Powered by: {GOLD}750V DC {}{SILVER}</v>
      </c>
    </row>
    <row r="295" spans="1:78" x14ac:dyDescent="0.25">
      <c r="A295" t="s">
        <v>712</v>
      </c>
      <c r="B295" t="s">
        <v>713</v>
      </c>
      <c r="C295">
        <v>718</v>
      </c>
      <c r="D295" t="s">
        <v>161</v>
      </c>
      <c r="E295" t="s">
        <v>161</v>
      </c>
      <c r="F295" t="s">
        <v>330</v>
      </c>
      <c r="G295">
        <v>1893</v>
      </c>
      <c r="H295">
        <v>1896</v>
      </c>
      <c r="I295">
        <v>1956</v>
      </c>
      <c r="J295">
        <v>2</v>
      </c>
      <c r="K295">
        <v>120</v>
      </c>
      <c r="T295">
        <v>10</v>
      </c>
      <c r="V295">
        <v>7</v>
      </c>
      <c r="W295">
        <v>30</v>
      </c>
      <c r="X295" s="4">
        <f t="shared" ref="X295:X309" si="93">IF(AND(T295&gt;0,W295&gt;0),(W295/((T295+U295)*10)),"")</f>
        <v>0.3</v>
      </c>
      <c r="Y295">
        <v>35</v>
      </c>
      <c r="AA295">
        <v>14</v>
      </c>
      <c r="AB295">
        <v>14</v>
      </c>
      <c r="AC295">
        <v>2.59</v>
      </c>
      <c r="AE295" s="11">
        <f>41+16</f>
        <v>57</v>
      </c>
      <c r="AF295" t="str">
        <f>CONCATENATE(VLOOKUP(AG295, 'Voxel Sizes'!$A$2:$B$18,2,FALSE),"x",INT(AC295*15), "x", INT(AD295*15))</f>
        <v>136x38x0</v>
      </c>
      <c r="AG295">
        <f t="shared" si="79"/>
        <v>8</v>
      </c>
      <c r="AI295" t="str">
        <f>CONCATENATE(VLOOKUP(AG295,Constants!$A$2:$C$16,IF(AH295&lt;&gt;"", 3, 2), FALSE),IF(AH295&lt;&gt;"",CONCATENATE(",",VLOOKUP(AH295,$B:$AI,34,FALSE)),""))</f>
        <v>2,4,2</v>
      </c>
      <c r="AM295" t="s">
        <v>714</v>
      </c>
      <c r="AO295" t="s">
        <v>494</v>
      </c>
      <c r="AS295">
        <v>25</v>
      </c>
      <c r="AT295">
        <f t="shared" si="80"/>
        <v>59</v>
      </c>
      <c r="AW295">
        <f t="shared" si="81"/>
        <v>7</v>
      </c>
      <c r="AX295">
        <f t="shared" si="82"/>
        <v>0.6</v>
      </c>
      <c r="AY295">
        <f t="shared" si="83"/>
        <v>1.5</v>
      </c>
      <c r="AZ295" s="4">
        <f t="shared" si="84"/>
        <v>1</v>
      </c>
      <c r="BA295">
        <f t="shared" si="85"/>
        <v>3.8</v>
      </c>
      <c r="BB295" t="e">
        <f>VLOOKUP($E295,Constants!$I:$K, 2, FALSE)</f>
        <v>#N/A</v>
      </c>
      <c r="BC295" t="e">
        <f>VLOOKUP($E295,Constants!$I:$K, 3, FALSE)*IF(AND(D295="multiple_unit",Y295&lt;110),0.75,1)</f>
        <v>#N/A</v>
      </c>
      <c r="BD295" t="e">
        <f>INT(POWER(((Constants!$G$2+$AW295+$AX295+$AY295+$BA295)*$AZ295)*$BC295, 1.05))+$AV295</f>
        <v>#N/A</v>
      </c>
      <c r="BE295" t="e">
        <f>INT(POWER((((Constants!$G$1+$AW295+$AX295+$AY295+$BA295)*($AZ295))*$BB295),IF($D295="wagon",1,1.2)))+$AU295</f>
        <v>#N/A</v>
      </c>
      <c r="BF295" s="15" t="e">
        <f t="shared" si="86"/>
        <v>#N/A</v>
      </c>
      <c r="BG295" s="15" t="e">
        <f t="shared" si="87"/>
        <v>#N/A</v>
      </c>
      <c r="BN295">
        <v>2</v>
      </c>
      <c r="BQ295" t="s">
        <v>310</v>
      </c>
      <c r="BR295" t="str">
        <f>VLOOKUP(G295,Eras!$A$2:$C$10, 2, TRUE)</f>
        <v>vct</v>
      </c>
      <c r="BS295" t="s">
        <v>360</v>
      </c>
      <c r="BT295" t="str">
        <f t="shared" si="88"/>
        <v>vct_EMU</v>
      </c>
      <c r="BU295" t="str">
        <f t="shared" si="89"/>
        <v>na_THIRD_RAIL</v>
      </c>
      <c r="BV295" t="e">
        <f>VLOOKUP($BU295, Constants!$M:$N, 2, FALSE)</f>
        <v>#N/A</v>
      </c>
      <c r="BW295" t="str">
        <f t="shared" si="91"/>
        <v>{BLACK}Cars: {GOLD}2</v>
      </c>
      <c r="BX295" t="s">
        <v>715</v>
      </c>
      <c r="BY295" t="str">
        <f t="shared" si="92"/>
        <v/>
      </c>
      <c r="BZ295" t="e">
        <f t="shared" si="90"/>
        <v>#N/A</v>
      </c>
    </row>
    <row r="296" spans="1:78" x14ac:dyDescent="0.25">
      <c r="A296" t="s">
        <v>1457</v>
      </c>
      <c r="B296" t="s">
        <v>207</v>
      </c>
      <c r="C296">
        <v>720</v>
      </c>
      <c r="D296" t="s">
        <v>431</v>
      </c>
      <c r="E296" t="s">
        <v>1149</v>
      </c>
      <c r="F296" t="s">
        <v>1458</v>
      </c>
      <c r="G296">
        <v>1903</v>
      </c>
      <c r="H296">
        <v>1939</v>
      </c>
      <c r="I296">
        <v>1939</v>
      </c>
      <c r="J296">
        <v>6</v>
      </c>
      <c r="K296">
        <v>400</v>
      </c>
      <c r="T296">
        <f>(14*6)+20</f>
        <v>104</v>
      </c>
      <c r="V296">
        <f t="shared" ref="V296:V302" si="94">10*J296</f>
        <v>60</v>
      </c>
      <c r="W296">
        <v>100</v>
      </c>
      <c r="X296" s="4">
        <f t="shared" si="93"/>
        <v>9.6153846153846159E-2</v>
      </c>
      <c r="Y296">
        <v>30</v>
      </c>
      <c r="AA296">
        <v>13.87</v>
      </c>
      <c r="AB296">
        <v>13.8</v>
      </c>
      <c r="AC296">
        <v>2.59</v>
      </c>
      <c r="AE296" s="11">
        <v>102</v>
      </c>
      <c r="AF296" t="str">
        <f>CONCATENATE(VLOOKUP(AG296, 'Voxel Sizes'!$A$2:$B$18,2,FALSE),"x",INT(AC296*15), "x", INT(AD296*15))</f>
        <v>136x38x0</v>
      </c>
      <c r="AG296">
        <f t="shared" si="79"/>
        <v>8</v>
      </c>
      <c r="AI296" t="str">
        <f>CONCATENATE(VLOOKUP(AG296,Constants!$A$2:$C$16,IF(AH296&lt;&gt;"", 3, 2), FALSE),IF(AH296&lt;&gt;"",CONCATENATE(",",VLOOKUP(AH296,$B:$AI,34,FALSE)),""))</f>
        <v>2,4,2</v>
      </c>
      <c r="AM296" t="s">
        <v>1462</v>
      </c>
      <c r="AO296" t="s">
        <v>556</v>
      </c>
      <c r="AS296">
        <v>34</v>
      </c>
      <c r="AT296">
        <f t="shared" si="80"/>
        <v>32</v>
      </c>
      <c r="AW296">
        <f t="shared" si="81"/>
        <v>6</v>
      </c>
      <c r="AX296">
        <f t="shared" si="82"/>
        <v>2</v>
      </c>
      <c r="AY296">
        <f t="shared" si="83"/>
        <v>5</v>
      </c>
      <c r="AZ296" s="4">
        <f t="shared" si="84"/>
        <v>0.996</v>
      </c>
      <c r="BA296">
        <f t="shared" si="85"/>
        <v>20.399999999999999</v>
      </c>
      <c r="BB296">
        <f>VLOOKUP($E296,Constants!$I:$K, 2, FALSE)</f>
        <v>0.9</v>
      </c>
      <c r="BC296">
        <f>VLOOKUP($E296,Constants!$I:$K, 3, FALSE)*IF(AND(D296="multiple_unit",Y296&lt;110),0.75,1)</f>
        <v>1.2000000000000002</v>
      </c>
      <c r="BD296">
        <f>INT(POWER(((Constants!$G$2+$AW296+$AX296+$AY296+$BA296)*$AZ296)*$BC296, 1.05))+$AV296</f>
        <v>55</v>
      </c>
      <c r="BE296">
        <f>INT(POWER((((Constants!$G$1+$AW296+$AX296+$AY296+$BA296)*($AZ296))*$BB296),IF($D296="wagon",1,1.2)))+$AU296</f>
        <v>92</v>
      </c>
      <c r="BF296" s="15">
        <f t="shared" si="86"/>
        <v>42968.75</v>
      </c>
      <c r="BG296" s="15">
        <f t="shared" si="87"/>
        <v>7475</v>
      </c>
      <c r="BN296">
        <v>3</v>
      </c>
      <c r="BO296">
        <v>120</v>
      </c>
      <c r="BQ296" t="s">
        <v>310</v>
      </c>
      <c r="BR296" t="str">
        <f>VLOOKUP(G296,Eras!$A$2:$C$10, 2, TRUE)</f>
        <v>edw</v>
      </c>
      <c r="BS296" t="s">
        <v>372</v>
      </c>
      <c r="BT296" t="str">
        <f t="shared" si="88"/>
        <v>edw_LU</v>
      </c>
      <c r="BU296" t="str">
        <f t="shared" si="89"/>
        <v>tube_FOURTH_RAIL</v>
      </c>
      <c r="BV296" t="str">
        <f>VLOOKUP($BU296, Constants!$M:$N, 2, FALSE)</f>
        <v>{BLACK}Powered by: {GOLD}630V DC</v>
      </c>
      <c r="BW296" t="str">
        <f t="shared" si="91"/>
        <v>{BLACK}Cars: {GOLD}6</v>
      </c>
      <c r="BX296" t="s">
        <v>1461</v>
      </c>
      <c r="BY296" t="str">
        <f t="shared" si="92"/>
        <v>{YELLOW}35% Penalty for long distance travel{}</v>
      </c>
      <c r="BZ296" t="str">
        <f t="shared" si="90"/>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7" spans="1:78" x14ac:dyDescent="0.25">
      <c r="A297" t="s">
        <v>106</v>
      </c>
      <c r="B297" t="s">
        <v>211</v>
      </c>
      <c r="C297">
        <v>722</v>
      </c>
      <c r="D297" t="s">
        <v>431</v>
      </c>
      <c r="E297" t="s">
        <v>1149</v>
      </c>
      <c r="F297" t="s">
        <v>1458</v>
      </c>
      <c r="G297">
        <v>1938</v>
      </c>
      <c r="I297">
        <v>2020</v>
      </c>
      <c r="J297">
        <v>7</v>
      </c>
      <c r="K297">
        <v>650</v>
      </c>
      <c r="T297">
        <v>161</v>
      </c>
      <c r="V297">
        <f t="shared" si="94"/>
        <v>70</v>
      </c>
      <c r="W297">
        <v>130</v>
      </c>
      <c r="X297" s="4">
        <f t="shared" si="93"/>
        <v>8.0745341614906832E-2</v>
      </c>
      <c r="Y297">
        <v>45</v>
      </c>
      <c r="AA297">
        <v>15.8</v>
      </c>
      <c r="AB297">
        <v>15.8</v>
      </c>
      <c r="AC297">
        <v>2.59</v>
      </c>
      <c r="AD297">
        <v>2.883</v>
      </c>
      <c r="AE297" s="11">
        <v>108</v>
      </c>
      <c r="AF297" t="str">
        <f>CONCATENATE(VLOOKUP(AG297, 'Voxel Sizes'!$A$2:$B$18,2,FALSE),"x",INT(AC297*15), "x", INT(AD297*15))</f>
        <v>152x38x43</v>
      </c>
      <c r="AG297">
        <f t="shared" si="79"/>
        <v>9</v>
      </c>
      <c r="AI297" t="str">
        <f>CONCATENATE(VLOOKUP(AG297,Constants!$A$2:$C$16,IF(AH297&lt;&gt;"", 3, 2), FALSE),IF(AH297&lt;&gt;"",CONCATENATE(",",VLOOKUP(AH297,$B:$AI,34,FALSE)),""))</f>
        <v>2,5,2</v>
      </c>
      <c r="AM297" t="s">
        <v>1463</v>
      </c>
      <c r="AO297" t="s">
        <v>1464</v>
      </c>
      <c r="AS297">
        <v>40</v>
      </c>
      <c r="AT297">
        <f t="shared" si="80"/>
        <v>78</v>
      </c>
      <c r="AW297">
        <f t="shared" si="81"/>
        <v>9</v>
      </c>
      <c r="AX297">
        <f t="shared" si="82"/>
        <v>3.25</v>
      </c>
      <c r="AY297">
        <f t="shared" si="83"/>
        <v>6.5</v>
      </c>
      <c r="AZ297" s="4">
        <f t="shared" si="84"/>
        <v>0.94933333333333336</v>
      </c>
      <c r="BA297">
        <f t="shared" si="85"/>
        <v>25.2</v>
      </c>
      <c r="BB297">
        <f>VLOOKUP($E297,Constants!$I:$K, 2, FALSE)</f>
        <v>0.9</v>
      </c>
      <c r="BC297">
        <f>VLOOKUP($E297,Constants!$I:$K, 3, FALSE)*IF(AND(D297="multiple_unit",Y297&lt;110),0.75,1)</f>
        <v>1.2000000000000002</v>
      </c>
      <c r="BD297">
        <f>INT(POWER(((Constants!$G$2+$AW297+$AX297+$AY297+$BA297)*$AZ297)*$BC297, 1.05))+$AV297</f>
        <v>68</v>
      </c>
      <c r="BE297">
        <f>INT(POWER((((Constants!$G$1+$AW297+$AX297+$AY297+$BA297)*($AZ297))*$BB297),IF($D297="wagon",1,1.2)))+$AU297</f>
        <v>110</v>
      </c>
      <c r="BF297" s="15">
        <f t="shared" si="86"/>
        <v>53125</v>
      </c>
      <c r="BG297" s="15">
        <f t="shared" si="87"/>
        <v>8937.5</v>
      </c>
      <c r="BN297">
        <v>4</v>
      </c>
      <c r="BO297">
        <v>120</v>
      </c>
      <c r="BQ297" t="s">
        <v>310</v>
      </c>
      <c r="BR297" t="str">
        <f>VLOOKUP(G297,Eras!$A$2:$C$10, 2, TRUE)</f>
        <v>big4</v>
      </c>
      <c r="BS297" t="s">
        <v>372</v>
      </c>
      <c r="BT297" t="str">
        <f t="shared" si="88"/>
        <v>big4_LU</v>
      </c>
      <c r="BU297" t="str">
        <f t="shared" si="89"/>
        <v>tube_FOURTH_RAIL</v>
      </c>
      <c r="BV297" t="str">
        <f>VLOOKUP($BU297, Constants!$M:$N, 2, FALSE)</f>
        <v>{BLACK}Powered by: {GOLD}630V DC</v>
      </c>
      <c r="BW297" t="str">
        <f t="shared" si="91"/>
        <v>{BLACK}Cars: {GOLD}7</v>
      </c>
      <c r="BX297" t="s">
        <v>1465</v>
      </c>
      <c r="BY297" t="str">
        <f t="shared" si="92"/>
        <v>{YELLOW}35% Penalty for long distance travel{}</v>
      </c>
      <c r="BZ297" t="str">
        <f t="shared" si="90"/>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8" spans="1:78" x14ac:dyDescent="0.25">
      <c r="A298" t="s">
        <v>107</v>
      </c>
      <c r="B298" t="s">
        <v>212</v>
      </c>
      <c r="C298">
        <v>724</v>
      </c>
      <c r="D298" t="s">
        <v>431</v>
      </c>
      <c r="E298" t="s">
        <v>1149</v>
      </c>
      <c r="F298" t="s">
        <v>1458</v>
      </c>
      <c r="G298">
        <v>1959</v>
      </c>
      <c r="I298">
        <v>2000</v>
      </c>
      <c r="J298">
        <v>7</v>
      </c>
      <c r="K298">
        <v>750</v>
      </c>
      <c r="T298">
        <v>167</v>
      </c>
      <c r="V298">
        <f t="shared" si="94"/>
        <v>70</v>
      </c>
      <c r="W298">
        <v>135</v>
      </c>
      <c r="X298" s="4">
        <f t="shared" si="93"/>
        <v>8.0838323353293412E-2</v>
      </c>
      <c r="Y298">
        <v>45</v>
      </c>
      <c r="AA298">
        <v>15.9</v>
      </c>
      <c r="AB298">
        <v>15.9</v>
      </c>
      <c r="AC298">
        <v>2.59</v>
      </c>
      <c r="AD298">
        <v>2.883</v>
      </c>
      <c r="AE298" s="11">
        <v>120</v>
      </c>
      <c r="AF298" t="str">
        <f>CONCATENATE(VLOOKUP(AG298, 'Voxel Sizes'!$A$2:$B$18,2,FALSE),"x",INT(AC298*15), "x", INT(AD298*15))</f>
        <v>152x38x43</v>
      </c>
      <c r="AG298">
        <f t="shared" si="79"/>
        <v>9</v>
      </c>
      <c r="AI298" t="str">
        <f>CONCATENATE(VLOOKUP(AG298,Constants!$A$2:$C$16,IF(AH298&lt;&gt;"", 3, 2), FALSE),IF(AH298&lt;&gt;"",CONCATENATE(",",VLOOKUP(AH298,$B:$AI,34,FALSE)),""))</f>
        <v>2,5,2</v>
      </c>
      <c r="AM298" t="s">
        <v>1466</v>
      </c>
      <c r="AO298" t="s">
        <v>1464</v>
      </c>
      <c r="AS298">
        <v>38</v>
      </c>
      <c r="AT298">
        <f t="shared" si="80"/>
        <v>37</v>
      </c>
      <c r="AV298">
        <v>-1</v>
      </c>
      <c r="AW298">
        <f t="shared" si="81"/>
        <v>9</v>
      </c>
      <c r="AX298">
        <f t="shared" si="82"/>
        <v>3.75</v>
      </c>
      <c r="AY298">
        <f t="shared" si="83"/>
        <v>6.75</v>
      </c>
      <c r="AZ298" s="4">
        <f t="shared" si="84"/>
        <v>0.92133333333333334</v>
      </c>
      <c r="BA298">
        <f t="shared" si="85"/>
        <v>28.000000000000004</v>
      </c>
      <c r="BB298">
        <f>VLOOKUP($E298,Constants!$I:$K, 2, FALSE)</f>
        <v>0.9</v>
      </c>
      <c r="BC298">
        <f>VLOOKUP($E298,Constants!$I:$K, 3, FALSE)*IF(AND(D298="multiple_unit",Y298&lt;110),0.75,1)</f>
        <v>1.2000000000000002</v>
      </c>
      <c r="BD298">
        <f>INT(POWER(((Constants!$G$2+$AW298+$AX298+$AY298+$BA298)*$AZ298)*$BC298, 1.05))+$AV298</f>
        <v>70</v>
      </c>
      <c r="BE298">
        <f>INT(POWER((((Constants!$G$1+$AW298+$AX298+$AY298+$BA298)*($AZ298))*$BB298),IF($D298="wagon",1,1.2)))+$AU298</f>
        <v>114</v>
      </c>
      <c r="BF298" s="15">
        <f t="shared" si="86"/>
        <v>54687.5</v>
      </c>
      <c r="BG298" s="15">
        <f t="shared" si="87"/>
        <v>9262.5</v>
      </c>
      <c r="BN298">
        <v>5</v>
      </c>
      <c r="BO298">
        <v>120</v>
      </c>
      <c r="BQ298" t="s">
        <v>310</v>
      </c>
      <c r="BR298" t="str">
        <f>VLOOKUP(G298,Eras!$A$2:$C$10, 2, TRUE)</f>
        <v>dsl</v>
      </c>
      <c r="BS298" t="s">
        <v>372</v>
      </c>
      <c r="BT298" t="str">
        <f t="shared" si="88"/>
        <v>dsl_LU</v>
      </c>
      <c r="BU298" t="str">
        <f t="shared" si="89"/>
        <v>tube_FOURTH_RAIL</v>
      </c>
      <c r="BV298" t="str">
        <f>VLOOKUP($BU298, Constants!$M:$N, 2, FALSE)</f>
        <v>{BLACK}Powered by: {GOLD}630V DC</v>
      </c>
      <c r="BW298" t="str">
        <f t="shared" si="91"/>
        <v>{BLACK}Cars: {GOLD}7</v>
      </c>
      <c r="BX298" t="s">
        <v>1467</v>
      </c>
      <c r="BY298" t="str">
        <f t="shared" si="92"/>
        <v>{YELLOW}35% Penalty for long distance travel{}</v>
      </c>
      <c r="BZ298" t="str">
        <f t="shared" si="90"/>
        <v>{BLACK}Powered by: {GOLD}630V DC {BLACK}Cars: {GOLD}7{}{YELLOW}35% Penalty for long distance travel{}{SILVER}The 1959 stock was based on the aluminium-bodied 1956 stock, built for the Piccadilly line but used across many deep level Tube lines over its long life.</v>
      </c>
    </row>
    <row r="299" spans="1:78" x14ac:dyDescent="0.25">
      <c r="A299" t="s">
        <v>108</v>
      </c>
      <c r="B299" t="s">
        <v>213</v>
      </c>
      <c r="C299">
        <v>726</v>
      </c>
      <c r="D299" t="s">
        <v>431</v>
      </c>
      <c r="E299" t="s">
        <v>1149</v>
      </c>
      <c r="F299" t="s">
        <v>1458</v>
      </c>
      <c r="G299">
        <v>1960</v>
      </c>
      <c r="I299">
        <v>2012</v>
      </c>
      <c r="J299">
        <v>4</v>
      </c>
      <c r="K299">
        <v>450</v>
      </c>
      <c r="T299">
        <f>32+21+21+32</f>
        <v>106</v>
      </c>
      <c r="V299">
        <f t="shared" si="94"/>
        <v>40</v>
      </c>
      <c r="W299">
        <v>80</v>
      </c>
      <c r="X299" s="4">
        <f t="shared" si="93"/>
        <v>7.5471698113207544E-2</v>
      </c>
      <c r="Y299">
        <v>70</v>
      </c>
      <c r="AA299">
        <v>16.2</v>
      </c>
      <c r="AB299">
        <v>16.2</v>
      </c>
      <c r="AC299">
        <v>2.94</v>
      </c>
      <c r="AD299">
        <v>3.68</v>
      </c>
      <c r="AE299" s="11">
        <v>114</v>
      </c>
      <c r="AF299" t="str">
        <f>CONCATENATE(VLOOKUP(AG299, 'Voxel Sizes'!$A$2:$B$18,2,FALSE),"x",INT(AC299*15), "x", INT(AD299*15))</f>
        <v>152x44x55</v>
      </c>
      <c r="AG299">
        <f t="shared" si="79"/>
        <v>9</v>
      </c>
      <c r="AI299" t="str">
        <f>CONCATENATE(VLOOKUP(AG299,Constants!$A$2:$C$16,IF(AH299&lt;&gt;"", 3, 2), FALSE),IF(AH299&lt;&gt;"",CONCATENATE(",",VLOOKUP(AH299,$B:$AI,34,FALSE)),""))</f>
        <v>2,5,2</v>
      </c>
      <c r="AM299" t="s">
        <v>1468</v>
      </c>
      <c r="AO299" t="s">
        <v>492</v>
      </c>
      <c r="AS299">
        <v>39</v>
      </c>
      <c r="AT299">
        <f t="shared" si="80"/>
        <v>48</v>
      </c>
      <c r="AW299">
        <f t="shared" si="81"/>
        <v>14</v>
      </c>
      <c r="AX299">
        <f t="shared" si="82"/>
        <v>2.25</v>
      </c>
      <c r="AY299">
        <f t="shared" si="83"/>
        <v>4</v>
      </c>
      <c r="AZ299" s="4">
        <f t="shared" si="84"/>
        <v>0.92</v>
      </c>
      <c r="BA299">
        <f t="shared" si="85"/>
        <v>15.2</v>
      </c>
      <c r="BB299">
        <f>VLOOKUP($E299,Constants!$I:$K, 2, FALSE)</f>
        <v>0.9</v>
      </c>
      <c r="BC299">
        <f>VLOOKUP($E299,Constants!$I:$K, 3, FALSE)*IF(AND(D299="multiple_unit",Y299&lt;110),0.75,1)</f>
        <v>1.2000000000000002</v>
      </c>
      <c r="BD299">
        <f>INT(POWER(((Constants!$G$2+$AW299+$AX299+$AY299+$BA299)*$AZ299)*$BC299, 1.05))+$AV299</f>
        <v>53</v>
      </c>
      <c r="BE299">
        <f>INT(POWER((((Constants!$G$1+$AW299+$AX299+$AY299+$BA299)*($AZ299))*$BB299),IF($D299="wagon",1,1.2)))+$AU299</f>
        <v>88</v>
      </c>
      <c r="BF299" s="15">
        <f t="shared" si="86"/>
        <v>41406.25</v>
      </c>
      <c r="BG299" s="15">
        <f t="shared" si="87"/>
        <v>7150</v>
      </c>
      <c r="BN299">
        <v>6</v>
      </c>
      <c r="BO299">
        <v>120</v>
      </c>
      <c r="BQ299" t="s">
        <v>310</v>
      </c>
      <c r="BR299" t="str">
        <f>VLOOKUP(G299,Eras!$A$2:$C$10, 2, TRUE)</f>
        <v>dsl</v>
      </c>
      <c r="BS299" t="s">
        <v>372</v>
      </c>
      <c r="BT299" t="str">
        <f t="shared" si="88"/>
        <v>dsl_LU</v>
      </c>
      <c r="BU299" t="str">
        <f t="shared" si="89"/>
        <v>tube_FOURTH_RAIL</v>
      </c>
      <c r="BV299" t="str">
        <f>VLOOKUP($BU299, Constants!$M:$N, 2, FALSE)</f>
        <v>{BLACK}Powered by: {GOLD}630V DC</v>
      </c>
      <c r="BW299" t="str">
        <f t="shared" si="91"/>
        <v>{BLACK}Cars: {GOLD}4</v>
      </c>
      <c r="BX299" t="s">
        <v>1469</v>
      </c>
      <c r="BY299" t="str">
        <f t="shared" si="92"/>
        <v>{YELLOW}35% Penalty for long distance travel{}</v>
      </c>
      <c r="BZ299" t="str">
        <f t="shared" si="90"/>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0" spans="1:78" x14ac:dyDescent="0.25">
      <c r="A300" t="s">
        <v>109</v>
      </c>
      <c r="B300" t="s">
        <v>214</v>
      </c>
      <c r="C300">
        <v>728</v>
      </c>
      <c r="D300" t="s">
        <v>431</v>
      </c>
      <c r="E300" t="s">
        <v>1149</v>
      </c>
      <c r="F300" t="s">
        <v>1458</v>
      </c>
      <c r="G300">
        <v>1967</v>
      </c>
      <c r="I300">
        <v>2011</v>
      </c>
      <c r="J300">
        <v>4</v>
      </c>
      <c r="K300">
        <v>500</v>
      </c>
      <c r="T300">
        <f>28.5+28.5+19.4+19.4</f>
        <v>95.800000000000011</v>
      </c>
      <c r="V300">
        <f t="shared" si="94"/>
        <v>40</v>
      </c>
      <c r="W300">
        <v>70</v>
      </c>
      <c r="X300" s="4">
        <f t="shared" si="93"/>
        <v>7.3068893528183701E-2</v>
      </c>
      <c r="Y300">
        <v>60</v>
      </c>
      <c r="AA300">
        <v>16</v>
      </c>
      <c r="AB300">
        <v>16</v>
      </c>
      <c r="AC300">
        <v>2.6419999999999999</v>
      </c>
      <c r="AD300">
        <v>2.8769999999999998</v>
      </c>
      <c r="AE300" s="11">
        <v>120</v>
      </c>
      <c r="AF300" t="str">
        <f>CONCATENATE(VLOOKUP(AG300, 'Voxel Sizes'!$A$2:$B$18,2,FALSE),"x",INT(AC300*15), "x", INT(AD300*15))</f>
        <v>152x39x43</v>
      </c>
      <c r="AG300">
        <f t="shared" si="79"/>
        <v>9</v>
      </c>
      <c r="AI300" t="str">
        <f>CONCATENATE(VLOOKUP(AG300,Constants!$A$2:$C$16,IF(AH300&lt;&gt;"", 3, 2), FALSE),IF(AH300&lt;&gt;"",CONCATENATE(",",VLOOKUP(AH300,$B:$AI,34,FALSE)),""))</f>
        <v>2,5,2</v>
      </c>
      <c r="AM300" t="s">
        <v>1470</v>
      </c>
      <c r="AO300" t="s">
        <v>492</v>
      </c>
      <c r="AS300">
        <v>36</v>
      </c>
      <c r="AT300">
        <f t="shared" si="80"/>
        <v>40</v>
      </c>
      <c r="AU300">
        <v>-2</v>
      </c>
      <c r="AV300">
        <v>2</v>
      </c>
      <c r="AW300">
        <f t="shared" si="81"/>
        <v>12</v>
      </c>
      <c r="AX300">
        <f t="shared" si="82"/>
        <v>2.5</v>
      </c>
      <c r="AY300">
        <f t="shared" si="83"/>
        <v>3.5</v>
      </c>
      <c r="AZ300" s="4">
        <f t="shared" si="84"/>
        <v>0.91066666666666662</v>
      </c>
      <c r="BA300">
        <f>((MAX($J300,1)*MIN($AE300/300,1)))*IF(D300="Wagon",50,10)</f>
        <v>16</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82</v>
      </c>
      <c r="BF300" s="15">
        <f t="shared" si="86"/>
        <v>41406.25</v>
      </c>
      <c r="BG300" s="15">
        <f t="shared" si="87"/>
        <v>6662.5</v>
      </c>
      <c r="BN300">
        <v>7</v>
      </c>
      <c r="BO300">
        <v>120</v>
      </c>
      <c r="BQ300" t="s">
        <v>310</v>
      </c>
      <c r="BR300" t="str">
        <f>VLOOKUP(G300,Eras!$A$2:$C$10, 2, TRUE)</f>
        <v>dsl</v>
      </c>
      <c r="BS300" t="s">
        <v>372</v>
      </c>
      <c r="BT300" t="str">
        <f t="shared" si="88"/>
        <v>dsl_LU</v>
      </c>
      <c r="BU300" t="str">
        <f t="shared" si="89"/>
        <v>tube_FOURTH_RAIL</v>
      </c>
      <c r="BV300" t="str">
        <f>VLOOKUP($BU300, Constants!$M:$N, 2, FALSE)</f>
        <v>{BLACK}Powered by: {GOLD}630V DC</v>
      </c>
      <c r="BW300" t="str">
        <f t="shared" si="91"/>
        <v>{BLACK}Cars: {GOLD}4</v>
      </c>
      <c r="BX300" t="s">
        <v>1471</v>
      </c>
      <c r="BY300" t="str">
        <f t="shared" si="92"/>
        <v>{YELLOW}35% Penalty for long distance travel{}</v>
      </c>
      <c r="BZ300" t="str">
        <f t="shared" si="90"/>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1" spans="1:78" x14ac:dyDescent="0.25">
      <c r="A301" t="s">
        <v>110</v>
      </c>
      <c r="B301" t="s">
        <v>215</v>
      </c>
      <c r="C301">
        <v>730</v>
      </c>
      <c r="D301" t="s">
        <v>431</v>
      </c>
      <c r="E301" t="s">
        <v>1149</v>
      </c>
      <c r="F301" t="s">
        <v>1458</v>
      </c>
      <c r="G301">
        <v>1970</v>
      </c>
      <c r="I301">
        <v>2014</v>
      </c>
      <c r="J301">
        <v>2</v>
      </c>
      <c r="K301">
        <v>250</v>
      </c>
      <c r="T301">
        <f>31+20</f>
        <v>51</v>
      </c>
      <c r="V301">
        <f t="shared" si="94"/>
        <v>20</v>
      </c>
      <c r="W301">
        <v>40</v>
      </c>
      <c r="X301" s="4">
        <f t="shared" si="93"/>
        <v>7.8431372549019607E-2</v>
      </c>
      <c r="Y301">
        <v>45</v>
      </c>
      <c r="AA301">
        <v>16</v>
      </c>
      <c r="AB301">
        <v>16</v>
      </c>
      <c r="AC301">
        <v>2.92</v>
      </c>
      <c r="AD301">
        <v>3.68</v>
      </c>
      <c r="AE301" s="11">
        <v>135</v>
      </c>
      <c r="AF301" t="str">
        <f>CONCATENATE(VLOOKUP(AG301, 'Voxel Sizes'!$A$2:$B$18,2,FALSE),"x",INT(AC301*15), "x", INT(AD301*15))</f>
        <v>152x43x55</v>
      </c>
      <c r="AG301">
        <f t="shared" si="79"/>
        <v>9</v>
      </c>
      <c r="AI301" t="str">
        <f>CONCATENATE(VLOOKUP(AG301,Constants!$A$2:$C$16,IF(AH301&lt;&gt;"", 3, 2), FALSE),IF(AH301&lt;&gt;"",CONCATENATE(",",VLOOKUP(AH301,$B:$AI,34,FALSE)),""))</f>
        <v>2,5,2</v>
      </c>
      <c r="AM301" t="s">
        <v>1472</v>
      </c>
      <c r="AO301" t="s">
        <v>494</v>
      </c>
      <c r="AS301">
        <v>38</v>
      </c>
      <c r="AT301">
        <f t="shared" si="80"/>
        <v>40</v>
      </c>
      <c r="AW301">
        <f t="shared" si="81"/>
        <v>9</v>
      </c>
      <c r="AX301">
        <f t="shared" si="82"/>
        <v>1.25</v>
      </c>
      <c r="AY301">
        <f t="shared" si="83"/>
        <v>2</v>
      </c>
      <c r="AZ301" s="4">
        <f t="shared" si="84"/>
        <v>0.90666666666666662</v>
      </c>
      <c r="BA301">
        <f t="shared" si="85"/>
        <v>9</v>
      </c>
      <c r="BB301">
        <f>VLOOKUP($E301,Constants!$I:$K, 2, FALSE)</f>
        <v>0.9</v>
      </c>
      <c r="BC301">
        <f>VLOOKUP($E301,Constants!$I:$K, 3, FALSE)*IF(AND(D301="multiple_unit",Y301&lt;110),0.75,1)</f>
        <v>1.2000000000000002</v>
      </c>
      <c r="BD301">
        <f>INT(POWER(((Constants!$G$2+$AW301+$AX301+$AY301+$BA301)*$AZ301)*$BC301, 1.05))+$AV301</f>
        <v>33</v>
      </c>
      <c r="BE301">
        <f>INT(POWER((((Constants!$G$1+$AW301+$AX301+$AY301+$BA301)*($AZ301))*$BB301),IF($D301="wagon",1,1.2)))+$AU301</f>
        <v>58</v>
      </c>
      <c r="BF301" s="15">
        <f t="shared" si="86"/>
        <v>25781.25</v>
      </c>
      <c r="BG301" s="15">
        <f t="shared" si="87"/>
        <v>4712.5</v>
      </c>
      <c r="BN301">
        <v>8</v>
      </c>
      <c r="BO301">
        <v>120</v>
      </c>
      <c r="BQ301" t="s">
        <v>310</v>
      </c>
      <c r="BR301" t="str">
        <f>VLOOKUP(G301,Eras!$A$2:$C$10, 2, TRUE)</f>
        <v>lbr</v>
      </c>
      <c r="BS301" t="s">
        <v>372</v>
      </c>
      <c r="BT301" t="str">
        <f t="shared" si="88"/>
        <v>lbr_LU</v>
      </c>
      <c r="BU301" t="str">
        <f t="shared" si="89"/>
        <v>tube_FOURTH_RAIL</v>
      </c>
      <c r="BV301" t="str">
        <f>VLOOKUP($BU301, Constants!$M:$N, 2, FALSE)</f>
        <v>{BLACK}Powered by: {GOLD}630V DC</v>
      </c>
      <c r="BW301" t="str">
        <f t="shared" si="91"/>
        <v>{BLACK}Cars: {GOLD}2</v>
      </c>
      <c r="BX301" t="s">
        <v>1473</v>
      </c>
      <c r="BY301" t="str">
        <f t="shared" si="92"/>
        <v>{YELLOW}35% Penalty for long distance travel{}</v>
      </c>
      <c r="BZ301" t="str">
        <f t="shared" si="90"/>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2" spans="1:78" x14ac:dyDescent="0.25">
      <c r="A302" t="s">
        <v>111</v>
      </c>
      <c r="B302" t="s">
        <v>216</v>
      </c>
      <c r="C302">
        <v>732</v>
      </c>
      <c r="D302" t="s">
        <v>431</v>
      </c>
      <c r="E302" t="s">
        <v>1149</v>
      </c>
      <c r="F302" t="s">
        <v>1458</v>
      </c>
      <c r="G302">
        <v>1975</v>
      </c>
      <c r="J302">
        <v>3</v>
      </c>
      <c r="K302">
        <v>375</v>
      </c>
      <c r="T302">
        <f>27+26+18</f>
        <v>71</v>
      </c>
      <c r="V302">
        <f t="shared" si="94"/>
        <v>30</v>
      </c>
      <c r="W302">
        <v>55</v>
      </c>
      <c r="X302" s="4">
        <f t="shared" si="93"/>
        <v>7.746478873239436E-2</v>
      </c>
      <c r="Y302">
        <v>45</v>
      </c>
      <c r="AA302">
        <v>17.47</v>
      </c>
      <c r="AB302">
        <v>17</v>
      </c>
      <c r="AC302">
        <v>2.62</v>
      </c>
      <c r="AD302">
        <v>2.88</v>
      </c>
      <c r="AF302" t="str">
        <f>CONCATENATE(VLOOKUP(AG302, 'Voxel Sizes'!$A$2:$B$18,2,FALSE),"x",INT(AC302*15), "x", INT(AD302*15))</f>
        <v>164x39x43</v>
      </c>
      <c r="AG302">
        <f t="shared" si="79"/>
        <v>10</v>
      </c>
      <c r="AI302" t="str">
        <f>CONCATENATE(VLOOKUP(AG302,Constants!$A$2:$C$16,IF(AH302&lt;&gt;"", 3, 2), FALSE),IF(AH302&lt;&gt;"",CONCATENATE(",",VLOOKUP(AH302,$B:$AI,34,FALSE)),""))</f>
        <v>4,2,4</v>
      </c>
      <c r="AM302" t="s">
        <v>1476</v>
      </c>
      <c r="AO302" t="s">
        <v>319</v>
      </c>
      <c r="AS302">
        <v>39</v>
      </c>
      <c r="AT302" t="str">
        <f t="shared" si="80"/>
        <v/>
      </c>
      <c r="AW302">
        <f t="shared" si="81"/>
        <v>9</v>
      </c>
      <c r="AX302">
        <f t="shared" si="82"/>
        <v>1.875</v>
      </c>
      <c r="AY302">
        <f t="shared" si="83"/>
        <v>2.75</v>
      </c>
      <c r="AZ302" s="4">
        <f t="shared" si="84"/>
        <v>0.9</v>
      </c>
      <c r="BA302">
        <f t="shared" si="85"/>
        <v>0</v>
      </c>
      <c r="BB302">
        <f>VLOOKUP($E302,Constants!$I:$K, 2, FALSE)</f>
        <v>0.9</v>
      </c>
      <c r="BC302">
        <f>VLOOKUP($E302,Constants!$I:$K, 3, FALSE)*IF(AND(D302="multiple_unit",Y302&lt;110),0.75,1)</f>
        <v>1.2000000000000002</v>
      </c>
      <c r="BD302">
        <f>INT(POWER(((Constants!$G$2+$AW302+$AX302+$AY302+$BA302)*$AZ302)*$BC302, 1.05))+$AV302</f>
        <v>23</v>
      </c>
      <c r="BE302">
        <f>INT(POWER((((Constants!$G$1+$AW302+$AX302+$AY302+$BA302)*($AZ302))*$BB302),IF($D302="wagon",1,1.2)))+$AU302</f>
        <v>43</v>
      </c>
      <c r="BF302" s="15">
        <f t="shared" si="86"/>
        <v>17968.75</v>
      </c>
      <c r="BG302" s="15">
        <f t="shared" si="87"/>
        <v>3493.75</v>
      </c>
      <c r="BN302">
        <v>9</v>
      </c>
      <c r="BO302">
        <v>120</v>
      </c>
      <c r="BQ302" t="s">
        <v>310</v>
      </c>
      <c r="BR302" t="str">
        <f>VLOOKUP(G302,Eras!$A$2:$C$10, 2, TRUE)</f>
        <v>lbr</v>
      </c>
      <c r="BS302" t="s">
        <v>372</v>
      </c>
      <c r="BT302" t="str">
        <f t="shared" si="88"/>
        <v>lbr_LU</v>
      </c>
      <c r="BU302" t="str">
        <f t="shared" si="89"/>
        <v>tube_FOURTH_RAIL</v>
      </c>
      <c r="BV302" t="str">
        <f>VLOOKUP($BU302, Constants!$M:$N, 2, FALSE)</f>
        <v>{BLACK}Powered by: {GOLD}630V DC</v>
      </c>
      <c r="BW302" t="str">
        <f t="shared" si="91"/>
        <v>{BLACK}Cars: {GOLD}3</v>
      </c>
      <c r="BX302" t="s">
        <v>1477</v>
      </c>
      <c r="BY302" t="str">
        <f t="shared" si="92"/>
        <v>{YELLOW}35% Penalty for long distance travel{}</v>
      </c>
      <c r="BZ302" t="str">
        <f t="shared" si="90"/>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3" spans="1:78" x14ac:dyDescent="0.25">
      <c r="A303" t="s">
        <v>113</v>
      </c>
      <c r="B303" t="s">
        <v>218</v>
      </c>
      <c r="C303">
        <v>734</v>
      </c>
      <c r="D303" t="s">
        <v>161</v>
      </c>
      <c r="E303" t="s">
        <v>1149</v>
      </c>
      <c r="F303" t="s">
        <v>301</v>
      </c>
      <c r="G303">
        <v>1983</v>
      </c>
      <c r="X303" s="4" t="str">
        <f t="shared" si="93"/>
        <v/>
      </c>
      <c r="AF303" t="str">
        <f>CONCATENATE(VLOOKUP(AG303, 'Voxel Sizes'!$A$2:$B$18,2,FALSE),"x",INT(AC303*15), "x", INT(AD303*15))</f>
        <v>0x0x0</v>
      </c>
      <c r="AG303">
        <f t="shared" si="79"/>
        <v>0</v>
      </c>
      <c r="AI303" t="str">
        <f>CONCATENATE(VLOOKUP(AG303,Constants!$A$2:$C$16,IF(AH303&lt;&gt;"", 3, 2), FALSE),IF(AH303&lt;&gt;"",CONCATENATE(",",VLOOKUP(AH303,$B:$AI,34,FALSE)),""))</f>
        <v>na</v>
      </c>
      <c r="AS303">
        <v>30</v>
      </c>
      <c r="AT303" t="str">
        <f t="shared" si="80"/>
        <v/>
      </c>
      <c r="AW303">
        <f t="shared" si="81"/>
        <v>0</v>
      </c>
      <c r="AX303">
        <f t="shared" si="82"/>
        <v>0</v>
      </c>
      <c r="AY303">
        <f t="shared" si="83"/>
        <v>0</v>
      </c>
      <c r="AZ303" s="4">
        <f t="shared" si="84"/>
        <v>0.88933333333333331</v>
      </c>
      <c r="BA303">
        <f t="shared" si="85"/>
        <v>0</v>
      </c>
      <c r="BB303">
        <f>VLOOKUP($E303,Constants!$I:$K, 2, FALSE)</f>
        <v>0.9</v>
      </c>
      <c r="BC303">
        <f>VLOOKUP($E303,Constants!$I:$K, 3, FALSE)*IF(AND(D303="multiple_unit",Y303&lt;110),0.75,1)</f>
        <v>1.6</v>
      </c>
      <c r="BD303">
        <f>INT(POWER(((Constants!$G$2+$AW303+$AX303+$AY303+$BA303)*$AZ303)*$BC303, 1.05))+$AV303</f>
        <v>7</v>
      </c>
      <c r="BE303">
        <f>INT(POWER((((Constants!$G$1+$AW303+$AX303+$AY303+$BA303)*($AZ303))*$BB303),IF($D303="wagon",1,1.2)))+$AU303</f>
        <v>19</v>
      </c>
      <c r="BF303" s="15">
        <f t="shared" si="86"/>
        <v>5468.75</v>
      </c>
      <c r="BG303" s="15">
        <f t="shared" si="87"/>
        <v>1543.75</v>
      </c>
      <c r="BN303">
        <v>10</v>
      </c>
      <c r="BO303">
        <v>120</v>
      </c>
      <c r="BQ303" t="s">
        <v>310</v>
      </c>
      <c r="BR303" t="str">
        <f>VLOOKUP(G303,Eras!$A$2:$C$10, 2, TRUE)</f>
        <v>lbr</v>
      </c>
      <c r="BS303" t="s">
        <v>372</v>
      </c>
      <c r="BT303" t="str">
        <f t="shared" si="88"/>
        <v>lbr_LU</v>
      </c>
      <c r="BU303" t="str">
        <f t="shared" si="89"/>
        <v>tube_RAIL</v>
      </c>
      <c r="BV303" t="str">
        <f>VLOOKUP($BU303, Constants!$M:$N, 2, FALSE)</f>
        <v/>
      </c>
      <c r="BW303" t="str">
        <f t="shared" si="91"/>
        <v/>
      </c>
      <c r="BY303" t="str">
        <f t="shared" si="92"/>
        <v>{YELLOW}35% Penalty for long distance travel{}</v>
      </c>
      <c r="BZ303" t="str">
        <f t="shared" si="90"/>
        <v>{YELLOW}35% Penalty for long distance travel{}{SILVER}</v>
      </c>
    </row>
    <row r="304" spans="1:78" x14ac:dyDescent="0.25">
      <c r="A304" t="s">
        <v>112</v>
      </c>
      <c r="B304" t="s">
        <v>217</v>
      </c>
      <c r="C304">
        <v>736</v>
      </c>
      <c r="D304" t="s">
        <v>431</v>
      </c>
      <c r="E304" t="s">
        <v>1149</v>
      </c>
      <c r="F304" t="s">
        <v>1458</v>
      </c>
      <c r="G304">
        <v>1980</v>
      </c>
      <c r="I304">
        <v>2017</v>
      </c>
      <c r="J304">
        <v>3</v>
      </c>
      <c r="K304">
        <v>375</v>
      </c>
      <c r="T304">
        <f>27+26+18</f>
        <v>71</v>
      </c>
      <c r="V304">
        <f>10*J304</f>
        <v>30</v>
      </c>
      <c r="W304">
        <v>60</v>
      </c>
      <c r="X304" s="4">
        <f t="shared" si="93"/>
        <v>8.4507042253521125E-2</v>
      </c>
      <c r="Y304">
        <v>50</v>
      </c>
      <c r="AA304">
        <v>18.37</v>
      </c>
      <c r="AB304">
        <v>18.37</v>
      </c>
      <c r="AC304">
        <v>2.85</v>
      </c>
      <c r="AD304">
        <v>3.62</v>
      </c>
      <c r="AE304" s="11">
        <v>138</v>
      </c>
      <c r="AF304" t="str">
        <f>CONCATENATE(VLOOKUP(AG304, 'Voxel Sizes'!$A$2:$B$18,2,FALSE),"x",INT(AC304*15), "x", INT(AD304*15))</f>
        <v>186x42x54</v>
      </c>
      <c r="AG304">
        <f t="shared" si="79"/>
        <v>11</v>
      </c>
      <c r="AI304" t="str">
        <f>CONCATENATE(VLOOKUP(AG304,Constants!$A$2:$C$16,IF(AH304&lt;&gt;"", 3, 2), FALSE),IF(AH304&lt;&gt;"",CONCATENATE(",",VLOOKUP(AH304,$B:$AI,34,FALSE)),""))</f>
        <v>4,3,4</v>
      </c>
      <c r="AM304" t="s">
        <v>1474</v>
      </c>
      <c r="AO304" t="s">
        <v>319</v>
      </c>
      <c r="AS304">
        <v>33</v>
      </c>
      <c r="AT304">
        <f t="shared" si="80"/>
        <v>33</v>
      </c>
      <c r="AW304">
        <f t="shared" si="81"/>
        <v>10</v>
      </c>
      <c r="AX304">
        <f t="shared" si="82"/>
        <v>1.875</v>
      </c>
      <c r="AY304">
        <f t="shared" si="83"/>
        <v>3</v>
      </c>
      <c r="AZ304" s="4">
        <f t="shared" si="84"/>
        <v>0.89333333333333331</v>
      </c>
      <c r="BA304">
        <f t="shared" si="85"/>
        <v>13.8</v>
      </c>
      <c r="BB304">
        <f>VLOOKUP($E304,Constants!$I:$K, 2, FALSE)</f>
        <v>0.9</v>
      </c>
      <c r="BC304">
        <f>VLOOKUP($E304,Constants!$I:$K, 3, FALSE)*IF(AND(D304="multiple_unit",Y304&lt;110),0.75,1)</f>
        <v>1.2000000000000002</v>
      </c>
      <c r="BD304">
        <f>INT(POWER(((Constants!$G$2+$AW304+$AX304+$AY304+$BA304)*$AZ304)*$BC304, 1.05))+$AV304</f>
        <v>43</v>
      </c>
      <c r="BE304">
        <f>INT(POWER((((Constants!$G$1+$AW304+$AX304+$AY304+$BA304)*($AZ304))*$BB304),IF($D304="wagon",1,1.2)))+$AU304</f>
        <v>71</v>
      </c>
      <c r="BF304" s="15">
        <f t="shared" si="86"/>
        <v>33593.75</v>
      </c>
      <c r="BG304" s="15">
        <f t="shared" si="87"/>
        <v>5768.75</v>
      </c>
      <c r="BN304">
        <v>11</v>
      </c>
      <c r="BO304">
        <v>120</v>
      </c>
      <c r="BQ304" t="s">
        <v>310</v>
      </c>
      <c r="BR304" t="str">
        <f>VLOOKUP(G304,Eras!$A$2:$C$10, 2, TRUE)</f>
        <v>lbr</v>
      </c>
      <c r="BS304" t="s">
        <v>372</v>
      </c>
      <c r="BT304" t="str">
        <f t="shared" si="88"/>
        <v>lbr_LU</v>
      </c>
      <c r="BU304" t="str">
        <f t="shared" si="89"/>
        <v>tube_FOURTH_RAIL</v>
      </c>
      <c r="BV304" t="str">
        <f>VLOOKUP($BU304, Constants!$M:$N, 2, FALSE)</f>
        <v>{BLACK}Powered by: {GOLD}630V DC</v>
      </c>
      <c r="BW304" t="str">
        <f t="shared" si="91"/>
        <v>{BLACK}Cars: {GOLD}3</v>
      </c>
      <c r="BX304" t="s">
        <v>1475</v>
      </c>
      <c r="BY304" t="str">
        <f t="shared" si="92"/>
        <v>{YELLOW}35% Penalty for long distance travel{}</v>
      </c>
      <c r="BZ304" t="str">
        <f t="shared" si="90"/>
        <v>{BLACK}Powered by: {GOLD}630V DC {BLACK}Cars: {GOLD}3{}{YELLOW}35% Penalty for long distance travel{}{SILVER}The D78 stock replaced pre-war stock on the District Line. It has the longest car lengths to have been used on the Underground network, at 18.37m for a driving motor car.</v>
      </c>
    </row>
    <row r="305" spans="1:78" x14ac:dyDescent="0.25">
      <c r="A305" t="s">
        <v>114</v>
      </c>
      <c r="B305" t="s">
        <v>219</v>
      </c>
      <c r="C305">
        <v>738</v>
      </c>
      <c r="D305" t="s">
        <v>431</v>
      </c>
      <c r="E305" t="s">
        <v>1149</v>
      </c>
      <c r="F305" t="s">
        <v>1458</v>
      </c>
      <c r="G305">
        <v>1993</v>
      </c>
      <c r="J305">
        <v>4</v>
      </c>
      <c r="K305">
        <v>500</v>
      </c>
      <c r="T305">
        <f>20+22+29+22</f>
        <v>93</v>
      </c>
      <c r="V305">
        <f>10*J305</f>
        <v>40</v>
      </c>
      <c r="W305">
        <v>70</v>
      </c>
      <c r="X305" s="4">
        <f>IF(AND(T305&gt;0,W305&gt;0),(W305/((T305+U305)*10)),"")</f>
        <v>7.5268817204301078E-2</v>
      </c>
      <c r="Y305">
        <v>62</v>
      </c>
      <c r="AA305">
        <v>16.25</v>
      </c>
      <c r="AB305">
        <v>16.25</v>
      </c>
      <c r="AC305">
        <v>2.62</v>
      </c>
      <c r="AD305">
        <v>2.87</v>
      </c>
      <c r="AE305" s="11">
        <v>114</v>
      </c>
      <c r="AF305" t="str">
        <f>CONCATENATE(VLOOKUP(AG305, 'Voxel Sizes'!$A$2:$B$18,2,FALSE),"x",INT(AC305*15), "x", INT(AD305*15))</f>
        <v>164x39x43</v>
      </c>
      <c r="AG305">
        <f>ROUND(15*((AB305*10)/256),0)</f>
        <v>10</v>
      </c>
      <c r="AI305" t="str">
        <f>CONCATENATE(VLOOKUP(AG305,Constants!$A$2:$C$16,IF(AH305&lt;&gt;"", 3, 2), FALSE),IF(AH305&lt;&gt;"",CONCATENATE(",",VLOOKUP(AH305,$B:$AI,34,FALSE)),""))</f>
        <v>4,2,4</v>
      </c>
      <c r="AM305" t="s">
        <v>1478</v>
      </c>
      <c r="AO305" t="s">
        <v>492</v>
      </c>
      <c r="AS305">
        <v>29</v>
      </c>
      <c r="AT305" t="str">
        <f>IF(I305&lt;&gt;"",MAX(8,(I305-G305)-4),"")</f>
        <v/>
      </c>
      <c r="AU305">
        <v>3</v>
      </c>
      <c r="AW305">
        <f>MIN(Y305/150, 1)*30</f>
        <v>12.4</v>
      </c>
      <c r="AX305">
        <f>MIN(K305/4000, 1)*20</f>
        <v>2.5</v>
      </c>
      <c r="AY305">
        <f>MIN(W305/400,1)*20</f>
        <v>3.5</v>
      </c>
      <c r="AZ305" s="4">
        <f>1-(MAX(G305-1900, 0)/750)</f>
        <v>0.876</v>
      </c>
      <c r="BA305">
        <f>((MAX($J305,1)*MIN($AE305/300,1)))*IF(D305="Wagon",50,10)</f>
        <v>15.2</v>
      </c>
      <c r="BB305">
        <f>VLOOKUP($E305,Constants!$I:$K, 2, FALSE)</f>
        <v>0.9</v>
      </c>
      <c r="BC305">
        <f>VLOOKUP($E305,Constants!$I:$K, 3, FALSE)*IF(AND(D305="multiple_unit",Y305&lt;110),0.75,1)</f>
        <v>1.2000000000000002</v>
      </c>
      <c r="BD305">
        <f>INT(POWER(((Constants!$G$2+$AW305+$AX305+$AY305+$BA305)*$AZ305)*$BC305, 1.05))+$AV305</f>
        <v>48</v>
      </c>
      <c r="BE305">
        <f>INT(POWER((((Constants!$G$1+$AW305+$AX305+$AY305+$BA305)*($AZ305))*$BB305),IF($D305="wagon",1,1.2)))+$AU305</f>
        <v>82</v>
      </c>
      <c r="BF305" s="15">
        <f>BD305*IF($D305="wagon",62.5,781.25)</f>
        <v>37500</v>
      </c>
      <c r="BG305" s="15">
        <f>BE305*IF($D305="wagon",2.73,81.25)</f>
        <v>6662.5</v>
      </c>
      <c r="BN305">
        <v>3</v>
      </c>
      <c r="BO305">
        <v>120</v>
      </c>
      <c r="BQ305" t="s">
        <v>310</v>
      </c>
      <c r="BR305" t="str">
        <f>VLOOKUP(G305,Eras!$A$2:$C$10, 2, TRUE)</f>
        <v>lbr</v>
      </c>
      <c r="BS305" t="s">
        <v>372</v>
      </c>
      <c r="BT305" t="str">
        <f>CONCATENATE(BR305,"_",BS305)</f>
        <v>lbr_LU</v>
      </c>
      <c r="BU305" t="str">
        <f>_xlfn.CONCAT(E305, "_",F305)</f>
        <v>tube_FOURTH_RAIL</v>
      </c>
      <c r="BV305" t="str">
        <f>VLOOKUP($BU305, Constants!$M:$N, 2, FALSE)</f>
        <v>{BLACK}Powered by: {GOLD}630V DC</v>
      </c>
      <c r="BW305" t="str">
        <f>IF(J305&gt;1,_xlfn.CONCAT("{BLACK}Cars: {GOLD}", J305),"")</f>
        <v>{BLACK}Cars: {GOLD}4</v>
      </c>
      <c r="BX305" t="s">
        <v>1479</v>
      </c>
      <c r="BY305" t="str">
        <f>IF(BQ305="BRAKE","{YELLOW}Speed bonus for slow wagons{}",IF(BO305&gt;190,CONCATENATE("{YELLOW}",INT((BO305-185)/1.85),"% Bonus for long distance travel{}"),IF(AND(BO305&lt;180,BO305&lt;&gt;0),CONCATENATE("{YELLOW}",INT((185-BO305)/1.85),"% Penalty for long distance travel{}"),"")))</f>
        <v>{YELLOW}35% Penalty for long distance travel{}</v>
      </c>
      <c r="BZ305" t="str">
        <f>_xlfn.CONCAT(BV305,IF(BV305 &lt;&gt; "", " ", ""),BW305,IF(OR(BW305&lt;&gt;"", BV305&lt;&gt;""), "{}",""), BY305,"{SILVER}", BX305)</f>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6" spans="1:78" x14ac:dyDescent="0.25">
      <c r="A306" t="s">
        <v>115</v>
      </c>
      <c r="B306" t="s">
        <v>253</v>
      </c>
      <c r="C306">
        <v>740</v>
      </c>
      <c r="D306" t="s">
        <v>161</v>
      </c>
      <c r="E306" t="s">
        <v>1149</v>
      </c>
      <c r="F306" t="s">
        <v>301</v>
      </c>
      <c r="G306">
        <v>1995</v>
      </c>
      <c r="X306" s="4" t="str">
        <f>IF(AND(T306&gt;0,W306&gt;0),(W306/((T306+U306)*10)),"")</f>
        <v/>
      </c>
      <c r="AF306" t="str">
        <f>CONCATENATE(VLOOKUP(AG306, 'Voxel Sizes'!$A$2:$B$18,2,FALSE),"x",INT(AC306*15), "x", INT(AD306*15))</f>
        <v>0x0x0</v>
      </c>
      <c r="AG306">
        <f>ROUND(15*((AB306*10)/256),0)</f>
        <v>0</v>
      </c>
      <c r="AI306" t="str">
        <f>CONCATENATE(VLOOKUP(AG306,Constants!$A$2:$C$16,IF(AH306&lt;&gt;"", 3, 2), FALSE),IF(AH306&lt;&gt;"",CONCATENATE(",",VLOOKUP(AH306,$B:$AI,34,FALSE)),""))</f>
        <v>na</v>
      </c>
      <c r="AS306">
        <v>30</v>
      </c>
      <c r="AT306" t="str">
        <f>IF(I306&lt;&gt;"",MAX(8,(I306-G306)-4),"")</f>
        <v/>
      </c>
      <c r="AW306">
        <f>MIN(Y306/150, 1)*30</f>
        <v>0</v>
      </c>
      <c r="AX306">
        <f>MIN(K306/4000, 1)*20</f>
        <v>0</v>
      </c>
      <c r="AY306">
        <f>MIN(W306/400,1)*20</f>
        <v>0</v>
      </c>
      <c r="AZ306" s="4">
        <f>1-(MAX(G306-1900, 0)/750)</f>
        <v>0.87333333333333329</v>
      </c>
      <c r="BA306">
        <f>((MAX($J306,1)*MIN($AE306/300,1)))*IF(D306="Wagon",50,10)</f>
        <v>0</v>
      </c>
      <c r="BB306">
        <f>VLOOKUP($E306,Constants!$I:$K, 2, FALSE)</f>
        <v>0.9</v>
      </c>
      <c r="BC306">
        <f>VLOOKUP($E306,Constants!$I:$K, 3, FALSE)*IF(AND(D306="multiple_unit",Y306&lt;110),0.75,1)</f>
        <v>1.6</v>
      </c>
      <c r="BD306">
        <f>INT(POWER(((Constants!$G$2+$AW306+$AX306+$AY306+$BA306)*$AZ306)*$BC306, 1.05))+$AV306</f>
        <v>7</v>
      </c>
      <c r="BE306">
        <f>INT(POWER((((Constants!$G$1+$AW306+$AX306+$AY306+$BA306)*($AZ306))*$BB306),IF($D306="wagon",1,1.2)))+$AU306</f>
        <v>19</v>
      </c>
      <c r="BF306" s="15">
        <f>BD306*IF($D306="wagon",62.5,781.25)</f>
        <v>5468.75</v>
      </c>
      <c r="BG306" s="15">
        <f>BE306*IF($D306="wagon",2.73,81.25)</f>
        <v>1543.75</v>
      </c>
      <c r="BN306">
        <v>2</v>
      </c>
      <c r="BO306">
        <v>120</v>
      </c>
      <c r="BQ306" t="s">
        <v>310</v>
      </c>
      <c r="BR306" t="str">
        <f>VLOOKUP(G306,Eras!$A$2:$C$10, 2, TRUE)</f>
        <v>prv</v>
      </c>
      <c r="BS306" t="s">
        <v>372</v>
      </c>
      <c r="BT306" t="str">
        <f>CONCATENATE(BR306,"_",BS306)</f>
        <v>prv_LU</v>
      </c>
      <c r="BU306" t="str">
        <f>_xlfn.CONCAT(E306, "_",F306)</f>
        <v>tube_RAIL</v>
      </c>
      <c r="BV306" t="str">
        <f>VLOOKUP($BU306, Constants!$M:$N, 2, FALSE)</f>
        <v/>
      </c>
      <c r="BW306" t="str">
        <f>IF(J306&gt;1,_xlfn.CONCAT("{BLACK}Cars: {GOLD}", J306),"")</f>
        <v/>
      </c>
      <c r="BY306" t="str">
        <f>IF(BQ306="BRAKE","{YELLOW}Speed bonus for slow wagons{}",IF(BO306&gt;190,CONCATENATE("{YELLOW}",INT((BO306-185)/1.85),"% Bonus for long distance travel{}"),IF(AND(BO306&lt;180,BO306&lt;&gt;0),CONCATENATE("{YELLOW}",INT((185-BO306)/1.85),"% Penalty for long distance travel{}"),"")))</f>
        <v>{YELLOW}35% Penalty for long distance travel{}</v>
      </c>
      <c r="BZ306" t="str">
        <f>_xlfn.CONCAT(BV306,IF(BV306 &lt;&gt; "", " ", ""),BW306,IF(OR(BW306&lt;&gt;"", BV306&lt;&gt;""), "{}",""), BY306,"{SILVER}", BX306)</f>
        <v>{YELLOW}35% Penalty for long distance travel{}{SILVER}</v>
      </c>
    </row>
    <row r="307" spans="1:78" x14ac:dyDescent="0.25">
      <c r="A307" t="s">
        <v>116</v>
      </c>
      <c r="B307" t="s">
        <v>220</v>
      </c>
      <c r="C307">
        <v>742</v>
      </c>
      <c r="D307" t="s">
        <v>161</v>
      </c>
      <c r="E307" t="s">
        <v>1149</v>
      </c>
      <c r="F307" t="s">
        <v>301</v>
      </c>
      <c r="G307">
        <v>2009</v>
      </c>
      <c r="X307" s="4" t="str">
        <f t="shared" si="93"/>
        <v/>
      </c>
      <c r="AF307" t="str">
        <f>CONCATENATE(VLOOKUP(AG307, 'Voxel Sizes'!$A$2:$B$18,2,FALSE),"x",INT(AC307*15), "x", INT(AD307*15))</f>
        <v>0x0x0</v>
      </c>
      <c r="AG307">
        <f t="shared" si="79"/>
        <v>0</v>
      </c>
      <c r="AI307" t="str">
        <f>CONCATENATE(VLOOKUP(AG307,Constants!$A$2:$C$16,IF(AH307&lt;&gt;"", 3, 2), FALSE),IF(AH307&lt;&gt;"",CONCATENATE(",",VLOOKUP(AH307,$B:$AI,34,FALSE)),""))</f>
        <v>na</v>
      </c>
      <c r="AS307">
        <v>30</v>
      </c>
      <c r="AT307" t="str">
        <f t="shared" si="80"/>
        <v/>
      </c>
      <c r="AW307">
        <f t="shared" si="81"/>
        <v>0</v>
      </c>
      <c r="AX307">
        <f t="shared" si="82"/>
        <v>0</v>
      </c>
      <c r="AY307">
        <f t="shared" si="83"/>
        <v>0</v>
      </c>
      <c r="AZ307" s="4">
        <f t="shared" si="84"/>
        <v>0.85466666666666669</v>
      </c>
      <c r="BA307">
        <f t="shared" si="85"/>
        <v>0</v>
      </c>
      <c r="BB307">
        <f>VLOOKUP($E307,Constants!$I:$K, 2, FALSE)</f>
        <v>0.9</v>
      </c>
      <c r="BC307">
        <f>VLOOKUP($E307,Constants!$I:$K, 3, FALSE)*IF(AND(D307="multiple_unit",Y307&lt;110),0.75,1)</f>
        <v>1.6</v>
      </c>
      <c r="BD307">
        <f>INT(POWER(((Constants!$G$2+$AW307+$AX307+$AY307+$BA307)*$AZ307)*$BC307, 1.05))+$AV307</f>
        <v>7</v>
      </c>
      <c r="BE307">
        <f>INT(POWER((((Constants!$G$1+$AW307+$AX307+$AY307+$BA307)*($AZ307))*$BB307),IF($D307="wagon",1,1.2)))+$AU307</f>
        <v>18</v>
      </c>
      <c r="BF307" s="15">
        <f t="shared" si="86"/>
        <v>5468.75</v>
      </c>
      <c r="BG307" s="15">
        <f t="shared" si="87"/>
        <v>1462.5</v>
      </c>
      <c r="BN307">
        <v>12</v>
      </c>
      <c r="BO307">
        <v>120</v>
      </c>
      <c r="BQ307" t="s">
        <v>310</v>
      </c>
      <c r="BR307" t="str">
        <f>VLOOKUP(G307,Eras!$A$2:$C$10, 2, TRUE)</f>
        <v>mod</v>
      </c>
      <c r="BS307" t="s">
        <v>372</v>
      </c>
      <c r="BT307" t="str">
        <f t="shared" si="88"/>
        <v>mod_LU</v>
      </c>
      <c r="BU307" t="str">
        <f t="shared" si="89"/>
        <v>tube_RAIL</v>
      </c>
      <c r="BV307" t="str">
        <f>VLOOKUP($BU307, Constants!$M:$N, 2, FALSE)</f>
        <v/>
      </c>
      <c r="BW307" t="str">
        <f t="shared" si="91"/>
        <v/>
      </c>
      <c r="BY307" t="str">
        <f t="shared" si="92"/>
        <v>{YELLOW}35% Penalty for long distance travel{}</v>
      </c>
      <c r="BZ307" t="str">
        <f t="shared" si="90"/>
        <v>{YELLOW}35% Penalty for long distance travel{}{SILVER}</v>
      </c>
    </row>
    <row r="308" spans="1:78" x14ac:dyDescent="0.25">
      <c r="A308" t="s">
        <v>117</v>
      </c>
      <c r="B308" t="s">
        <v>221</v>
      </c>
      <c r="C308">
        <v>744</v>
      </c>
      <c r="D308" t="s">
        <v>161</v>
      </c>
      <c r="E308" t="s">
        <v>1149</v>
      </c>
      <c r="F308" t="s">
        <v>301</v>
      </c>
      <c r="G308">
        <v>2010</v>
      </c>
      <c r="X308" s="4" t="str">
        <f t="shared" si="93"/>
        <v/>
      </c>
      <c r="AF308" t="str">
        <f>CONCATENATE(VLOOKUP(AG308, 'Voxel Sizes'!$A$2:$B$18,2,FALSE),"x",INT(AC308*15), "x", INT(AD308*15))</f>
        <v>0x0x0</v>
      </c>
      <c r="AG308">
        <f t="shared" si="79"/>
        <v>0</v>
      </c>
      <c r="AI308" t="str">
        <f>CONCATENATE(VLOOKUP(AG308,Constants!$A$2:$C$16,IF(AH308&lt;&gt;"", 3, 2), FALSE),IF(AH308&lt;&gt;"",CONCATENATE(",",VLOOKUP(AH308,$B:$AI,34,FALSE)),""))</f>
        <v>na</v>
      </c>
      <c r="AS308">
        <v>30</v>
      </c>
      <c r="AT308" t="str">
        <f t="shared" si="80"/>
        <v/>
      </c>
      <c r="AW308">
        <f t="shared" si="81"/>
        <v>0</v>
      </c>
      <c r="AX308">
        <f t="shared" si="82"/>
        <v>0</v>
      </c>
      <c r="AY308">
        <f t="shared" si="83"/>
        <v>0</v>
      </c>
      <c r="AZ308" s="4">
        <f t="shared" si="84"/>
        <v>0.85333333333333328</v>
      </c>
      <c r="BA308">
        <f t="shared" si="85"/>
        <v>0</v>
      </c>
      <c r="BB308">
        <f>VLOOKUP($E308,Constants!$I:$K, 2, FALSE)</f>
        <v>0.9</v>
      </c>
      <c r="BC308">
        <f>VLOOKUP($E308,Constants!$I:$K, 3, FALSE)*IF(AND(D308="multiple_unit",Y308&lt;110),0.75,1)</f>
        <v>1.6</v>
      </c>
      <c r="BD308">
        <f>INT(POWER(((Constants!$G$2+$AW308+$AX308+$AY308+$BA308)*$AZ308)*$BC308, 1.05))+$AV308</f>
        <v>7</v>
      </c>
      <c r="BE308">
        <f>INT(POWER((((Constants!$G$1+$AW308+$AX308+$AY308+$BA308)*($AZ308))*$BB308),IF($D308="wagon",1,1.2)))+$AU308</f>
        <v>18</v>
      </c>
      <c r="BF308" s="15">
        <f t="shared" si="86"/>
        <v>5468.75</v>
      </c>
      <c r="BG308" s="15">
        <f t="shared" si="87"/>
        <v>1462.5</v>
      </c>
      <c r="BN308">
        <v>1</v>
      </c>
      <c r="BO308">
        <v>120</v>
      </c>
      <c r="BQ308" t="s">
        <v>310</v>
      </c>
      <c r="BR308" t="str">
        <f>VLOOKUP(G308,Eras!$A$2:$C$10, 2, TRUE)</f>
        <v>mod</v>
      </c>
      <c r="BS308" t="s">
        <v>372</v>
      </c>
      <c r="BT308" t="str">
        <f t="shared" si="88"/>
        <v>mod_LU</v>
      </c>
      <c r="BU308" t="str">
        <f t="shared" si="89"/>
        <v>tube_RAIL</v>
      </c>
      <c r="BV308" t="str">
        <f>VLOOKUP($BU308, Constants!$M:$N, 2, FALSE)</f>
        <v/>
      </c>
      <c r="BW308" t="str">
        <f t="shared" si="91"/>
        <v/>
      </c>
      <c r="BY308" t="str">
        <f t="shared" si="92"/>
        <v>{YELLOW}35% Penalty for long distance travel{}</v>
      </c>
      <c r="BZ308" t="str">
        <f t="shared" si="90"/>
        <v>{YELLOW}35% Penalty for long distance travel{}{SILVER}</v>
      </c>
    </row>
    <row r="309" spans="1:78" x14ac:dyDescent="0.25">
      <c r="A309" t="s">
        <v>1234</v>
      </c>
      <c r="B309" t="s">
        <v>1236</v>
      </c>
      <c r="D309" t="s">
        <v>161</v>
      </c>
      <c r="E309" t="s">
        <v>299</v>
      </c>
      <c r="F309" t="s">
        <v>301</v>
      </c>
      <c r="X309" s="4" t="str">
        <f t="shared" si="93"/>
        <v/>
      </c>
      <c r="AF309" t="str">
        <f>CONCATENATE(VLOOKUP(AG309, 'Voxel Sizes'!$A$2:$B$18,2,FALSE),"x",INT(AC309*15), "x", INT(AD309*15))</f>
        <v>0x0x0</v>
      </c>
      <c r="AG309">
        <f t="shared" si="79"/>
        <v>0</v>
      </c>
      <c r="AI309" t="str">
        <f>CONCATENATE(VLOOKUP(AG309,Constants!$A$2:$C$16,IF(AH309&lt;&gt;"", 3, 2), FALSE),IF(AH309&lt;&gt;"",CONCATENATE(",",VLOOKUP(AH309,$B:$AI,34,FALSE)),""))</f>
        <v>na</v>
      </c>
      <c r="AS309">
        <v>21</v>
      </c>
      <c r="AT309" t="str">
        <f t="shared" si="80"/>
        <v/>
      </c>
      <c r="AW309">
        <f t="shared" si="81"/>
        <v>0</v>
      </c>
      <c r="AX309">
        <f t="shared" si="82"/>
        <v>0</v>
      </c>
      <c r="AY309">
        <f t="shared" si="83"/>
        <v>0</v>
      </c>
      <c r="AZ309" s="4">
        <f t="shared" si="84"/>
        <v>1</v>
      </c>
      <c r="BA309">
        <f t="shared" si="85"/>
        <v>0</v>
      </c>
      <c r="BB309">
        <f>VLOOKUP($E309,Constants!$I:$K, 2, FALSE)</f>
        <v>1</v>
      </c>
      <c r="BC309">
        <f>VLOOKUP($E309,Constants!$I:$K, 3, FALSE)*IF(AND(D309="multiple_unit",Y309&lt;110),0.75,1)</f>
        <v>2</v>
      </c>
      <c r="BD309">
        <f>INT(POWER(((Constants!$G$2+$AW309+$AX309+$AY309+$BA309)*$AZ309)*$BC309, 1.05))+$AV309</f>
        <v>11</v>
      </c>
      <c r="BE309">
        <f>INT(POWER((((Constants!$G$1+$AW309+$AX309+$AY309+$BA309)*($AZ309))*$BB309),IF($D309="wagon",1,1.2)))+$AU309</f>
        <v>25</v>
      </c>
      <c r="BF309" s="15">
        <f t="shared" si="86"/>
        <v>8593.75</v>
      </c>
      <c r="BG309" s="15">
        <f t="shared" si="87"/>
        <v>2031.25</v>
      </c>
      <c r="BN309">
        <v>4</v>
      </c>
      <c r="BR309" t="e">
        <f>VLOOKUP(G309,Eras!$A$2:$C$10, 2, TRUE)</f>
        <v>#N/A</v>
      </c>
      <c r="BT309" t="e">
        <f t="shared" si="88"/>
        <v>#N/A</v>
      </c>
      <c r="BU309" t="str">
        <f t="shared" si="89"/>
        <v>diesel_RAIL</v>
      </c>
      <c r="BV309" t="str">
        <f>VLOOKUP($BU309, Constants!$M:$N, 2, FALSE)</f>
        <v>{BLACK}Powered by: {GOLD}Diesel</v>
      </c>
      <c r="BW309" t="str">
        <f t="shared" si="91"/>
        <v/>
      </c>
      <c r="BZ309" t="str">
        <f t="shared" si="90"/>
        <v>{BLACK}Powered by: {GOLD}Diesel {}{SILVER}</v>
      </c>
    </row>
  </sheetData>
  <autoFilter ref="A1:BX308" xr:uid="{CF2E8555-48EE-4386-A1B1-369F6A2E644F}">
    <sortState xmlns:xlrd2="http://schemas.microsoft.com/office/spreadsheetml/2017/richdata2" ref="A2:BX303">
      <sortCondition ref="C121"/>
    </sortState>
  </autoFilter>
  <sortState xmlns:xlrd2="http://schemas.microsoft.com/office/spreadsheetml/2017/richdata2" ref="A2:BZ309">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404</v>
      </c>
      <c r="D1" s="1" t="s">
        <v>354</v>
      </c>
      <c r="E1" s="1" t="s">
        <v>353</v>
      </c>
      <c r="F1" s="1" t="s">
        <v>355</v>
      </c>
      <c r="G1" s="1" t="s">
        <v>356</v>
      </c>
      <c r="H1" s="1" t="s">
        <v>364</v>
      </c>
      <c r="I1" s="1" t="s">
        <v>365</v>
      </c>
      <c r="J1" s="1" t="s">
        <v>366</v>
      </c>
      <c r="K1" s="1" t="s">
        <v>357</v>
      </c>
      <c r="L1" s="1" t="s">
        <v>358</v>
      </c>
      <c r="M1" s="1" t="s">
        <v>359</v>
      </c>
      <c r="N1" s="1" t="s">
        <v>360</v>
      </c>
      <c r="O1" s="1" t="s">
        <v>361</v>
      </c>
      <c r="P1" s="1" t="s">
        <v>372</v>
      </c>
      <c r="Q1" s="1" t="s">
        <v>362</v>
      </c>
      <c r="R1" s="1" t="s">
        <v>363</v>
      </c>
      <c r="S1" s="1" t="s">
        <v>367</v>
      </c>
      <c r="T1" s="1" t="s">
        <v>368</v>
      </c>
      <c r="U1" s="1" t="s">
        <v>369</v>
      </c>
      <c r="V1" s="1" t="s">
        <v>370</v>
      </c>
      <c r="W1" s="1" t="s">
        <v>733</v>
      </c>
    </row>
    <row r="2" spans="1:23" x14ac:dyDescent="0.25">
      <c r="A2" s="1" t="s">
        <v>351</v>
      </c>
      <c r="B2" s="1" t="s">
        <v>352</v>
      </c>
    </row>
    <row r="3" spans="1:23" x14ac:dyDescent="0.25">
      <c r="A3" t="s">
        <v>344</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411</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345</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346</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670</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347</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671</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5</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348</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349</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337</v>
      </c>
      <c r="B1" s="1" t="s">
        <v>343</v>
      </c>
      <c r="C1" s="1" t="s">
        <v>338</v>
      </c>
    </row>
    <row r="2" spans="1:3" x14ac:dyDescent="0.25">
      <c r="A2">
        <v>1700</v>
      </c>
      <c r="B2" t="s">
        <v>344</v>
      </c>
      <c r="C2" t="s">
        <v>410</v>
      </c>
    </row>
    <row r="3" spans="1:3" x14ac:dyDescent="0.25">
      <c r="A3">
        <v>1850</v>
      </c>
      <c r="B3" t="s">
        <v>411</v>
      </c>
      <c r="C3" t="s">
        <v>409</v>
      </c>
    </row>
    <row r="4" spans="1:3" x14ac:dyDescent="0.25">
      <c r="A4">
        <v>1900</v>
      </c>
      <c r="B4" t="s">
        <v>345</v>
      </c>
      <c r="C4" t="s">
        <v>339</v>
      </c>
    </row>
    <row r="5" spans="1:3" x14ac:dyDescent="0.25">
      <c r="A5">
        <v>1923</v>
      </c>
      <c r="B5" t="s">
        <v>346</v>
      </c>
      <c r="C5" t="s">
        <v>443</v>
      </c>
    </row>
    <row r="6" spans="1:3" x14ac:dyDescent="0.25">
      <c r="A6">
        <v>1948</v>
      </c>
      <c r="B6" t="s">
        <v>670</v>
      </c>
      <c r="C6" t="s">
        <v>340</v>
      </c>
    </row>
    <row r="7" spans="1:3" x14ac:dyDescent="0.25">
      <c r="A7">
        <v>1955</v>
      </c>
      <c r="B7" t="s">
        <v>347</v>
      </c>
      <c r="C7" t="s">
        <v>673</v>
      </c>
    </row>
    <row r="8" spans="1:3" x14ac:dyDescent="0.25">
      <c r="A8">
        <v>1970</v>
      </c>
      <c r="B8" t="s">
        <v>671</v>
      </c>
      <c r="C8" t="s">
        <v>672</v>
      </c>
    </row>
    <row r="9" spans="1:3" x14ac:dyDescent="0.25">
      <c r="A9">
        <v>1995</v>
      </c>
      <c r="B9" t="s">
        <v>348</v>
      </c>
      <c r="C9" t="s">
        <v>341</v>
      </c>
    </row>
    <row r="10" spans="1:3" x14ac:dyDescent="0.25">
      <c r="A10">
        <v>2005</v>
      </c>
      <c r="B10" t="s">
        <v>349</v>
      </c>
      <c r="C10" t="s">
        <v>342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3"/>
  <sheetViews>
    <sheetView topLeftCell="G1" workbookViewId="0">
      <selection activeCell="J11" sqref="J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272</v>
      </c>
      <c r="B1" s="1" t="s">
        <v>273</v>
      </c>
      <c r="C1" s="1" t="s">
        <v>528</v>
      </c>
      <c r="F1" s="1" t="s">
        <v>1137</v>
      </c>
      <c r="G1">
        <v>15</v>
      </c>
      <c r="I1" s="1" t="s">
        <v>1141</v>
      </c>
      <c r="J1" s="1" t="s">
        <v>1142</v>
      </c>
      <c r="K1" s="1" t="s">
        <v>1143</v>
      </c>
      <c r="M1" s="1" t="s">
        <v>1246</v>
      </c>
      <c r="N1" s="1" t="s">
        <v>1247</v>
      </c>
      <c r="O1" s="1" t="s">
        <v>154</v>
      </c>
    </row>
    <row r="2" spans="1:15" x14ac:dyDescent="0.25">
      <c r="A2" s="2">
        <v>0</v>
      </c>
      <c r="B2" s="2" t="s">
        <v>161</v>
      </c>
      <c r="F2" s="1" t="s">
        <v>1138</v>
      </c>
      <c r="G2">
        <v>5</v>
      </c>
      <c r="I2" t="s">
        <v>299</v>
      </c>
      <c r="J2">
        <v>1</v>
      </c>
      <c r="K2">
        <v>2</v>
      </c>
      <c r="M2" t="s">
        <v>1248</v>
      </c>
      <c r="N2" t="str">
        <f>IF(O2&lt;&gt;"", _xlfn.CONCAT("{BLACK}Powered by: {GOLD}",O2), "")</f>
        <v>{BLACK}Powered by: {GOLD}Diesel</v>
      </c>
      <c r="O2" t="s">
        <v>1257</v>
      </c>
    </row>
    <row r="3" spans="1:15" x14ac:dyDescent="0.25">
      <c r="A3">
        <v>3</v>
      </c>
      <c r="B3" t="s">
        <v>319</v>
      </c>
      <c r="C3" t="s">
        <v>319</v>
      </c>
      <c r="I3" t="s">
        <v>323</v>
      </c>
      <c r="J3">
        <v>0.85</v>
      </c>
      <c r="K3">
        <v>2.2999999999999998</v>
      </c>
      <c r="M3" t="s">
        <v>1249</v>
      </c>
      <c r="N3" t="str">
        <f t="shared" ref="N3:N23" si="0">IF(O3&lt;&gt;"", _xlfn.CONCAT("{BLACK}Powered by: {GOLD}",O3), "")</f>
        <v>{BLACK}Powered by: {GOLD}Steam</v>
      </c>
      <c r="O3" t="s">
        <v>1258</v>
      </c>
    </row>
    <row r="4" spans="1:15" x14ac:dyDescent="0.25">
      <c r="A4">
        <v>4</v>
      </c>
      <c r="B4" t="s">
        <v>747</v>
      </c>
      <c r="C4" t="s">
        <v>747</v>
      </c>
      <c r="I4" t="s">
        <v>298</v>
      </c>
      <c r="J4">
        <v>1.1499999999999999</v>
      </c>
      <c r="K4">
        <v>1.7</v>
      </c>
      <c r="M4" t="s">
        <v>1250</v>
      </c>
      <c r="N4" t="str">
        <f t="shared" si="0"/>
        <v>{BLACK}Powered by: {GOLD}25kV AC</v>
      </c>
      <c r="O4" t="s">
        <v>1259</v>
      </c>
    </row>
    <row r="5" spans="1:15" x14ac:dyDescent="0.25">
      <c r="A5">
        <v>5</v>
      </c>
      <c r="B5" t="s">
        <v>742</v>
      </c>
      <c r="C5" t="s">
        <v>742</v>
      </c>
      <c r="I5" t="s">
        <v>570</v>
      </c>
      <c r="J5">
        <v>0.9</v>
      </c>
      <c r="K5">
        <v>2.5</v>
      </c>
      <c r="M5" t="s">
        <v>1261</v>
      </c>
      <c r="N5" t="str">
        <f t="shared" si="0"/>
        <v>{BLACK}Powered by: {GOLD}750V DC</v>
      </c>
      <c r="O5" t="s">
        <v>1260</v>
      </c>
    </row>
    <row r="6" spans="1:15" x14ac:dyDescent="0.25">
      <c r="A6">
        <v>6</v>
      </c>
      <c r="B6" t="s">
        <v>331</v>
      </c>
      <c r="C6" t="s">
        <v>331</v>
      </c>
      <c r="I6" t="s">
        <v>581</v>
      </c>
      <c r="J6">
        <v>0.85</v>
      </c>
      <c r="K6">
        <v>2.4</v>
      </c>
      <c r="M6" t="s">
        <v>1252</v>
      </c>
      <c r="N6" t="str">
        <f t="shared" si="0"/>
        <v/>
      </c>
    </row>
    <row r="7" spans="1:15" x14ac:dyDescent="0.25">
      <c r="A7">
        <v>7</v>
      </c>
      <c r="B7" t="s">
        <v>740</v>
      </c>
      <c r="C7" t="s">
        <v>740</v>
      </c>
      <c r="I7" t="s">
        <v>1146</v>
      </c>
      <c r="J7">
        <v>1.2</v>
      </c>
      <c r="K7">
        <v>0.6</v>
      </c>
      <c r="M7" t="s">
        <v>1253</v>
      </c>
      <c r="N7" t="str">
        <f t="shared" si="0"/>
        <v/>
      </c>
    </row>
    <row r="8" spans="1:15" x14ac:dyDescent="0.25">
      <c r="A8">
        <v>8</v>
      </c>
      <c r="B8" t="s">
        <v>737</v>
      </c>
      <c r="C8" t="s">
        <v>737</v>
      </c>
      <c r="I8" t="s">
        <v>1147</v>
      </c>
      <c r="J8">
        <v>1.5</v>
      </c>
      <c r="K8">
        <v>0.7</v>
      </c>
      <c r="M8" t="s">
        <v>1254</v>
      </c>
      <c r="N8" t="str">
        <f t="shared" si="0"/>
        <v/>
      </c>
    </row>
    <row r="9" spans="1:15" x14ac:dyDescent="0.25">
      <c r="A9">
        <v>9</v>
      </c>
      <c r="B9" t="s">
        <v>739</v>
      </c>
      <c r="C9" t="s">
        <v>739</v>
      </c>
      <c r="I9" t="s">
        <v>308</v>
      </c>
      <c r="J9">
        <v>1</v>
      </c>
      <c r="K9">
        <v>0.45</v>
      </c>
      <c r="M9" t="s">
        <v>1255</v>
      </c>
      <c r="N9" t="str">
        <f t="shared" si="0"/>
        <v/>
      </c>
    </row>
    <row r="10" spans="1:15" x14ac:dyDescent="0.25">
      <c r="A10">
        <v>10</v>
      </c>
      <c r="B10" t="s">
        <v>741</v>
      </c>
      <c r="C10" t="s">
        <v>741</v>
      </c>
      <c r="I10" t="s">
        <v>1148</v>
      </c>
      <c r="J10">
        <v>1</v>
      </c>
      <c r="K10">
        <v>0.4</v>
      </c>
      <c r="M10" t="s">
        <v>1256</v>
      </c>
      <c r="N10" t="str">
        <f t="shared" si="0"/>
        <v/>
      </c>
    </row>
    <row r="11" spans="1:15" x14ac:dyDescent="0.25">
      <c r="A11">
        <v>11</v>
      </c>
      <c r="B11" t="s">
        <v>743</v>
      </c>
      <c r="C11" t="s">
        <v>743</v>
      </c>
      <c r="I11" t="s">
        <v>1149</v>
      </c>
      <c r="J11">
        <v>0.9</v>
      </c>
      <c r="K11">
        <v>1.6</v>
      </c>
      <c r="M11" t="s">
        <v>1262</v>
      </c>
      <c r="N11" t="str">
        <f t="shared" si="0"/>
        <v>{BLACK}Powered by: {GOLD}750V DC / Diesel</v>
      </c>
      <c r="O11" t="s">
        <v>1263</v>
      </c>
    </row>
    <row r="12" spans="1:15" x14ac:dyDescent="0.25">
      <c r="A12">
        <v>12</v>
      </c>
      <c r="B12" t="s">
        <v>736</v>
      </c>
      <c r="C12" t="s">
        <v>736</v>
      </c>
      <c r="I12" t="s">
        <v>318</v>
      </c>
      <c r="J12">
        <v>0</v>
      </c>
      <c r="K12">
        <v>0</v>
      </c>
      <c r="M12" t="s">
        <v>1264</v>
      </c>
      <c r="N12" t="str">
        <f t="shared" si="0"/>
        <v>{BLACK}Powered by: {GOLD}25kV AC / 750V DC</v>
      </c>
      <c r="O12" t="s">
        <v>1265</v>
      </c>
    </row>
    <row r="13" spans="1:15" x14ac:dyDescent="0.25">
      <c r="A13">
        <v>13</v>
      </c>
      <c r="B13" t="s">
        <v>744</v>
      </c>
      <c r="C13" t="s">
        <v>744</v>
      </c>
      <c r="I13" t="s">
        <v>1269</v>
      </c>
      <c r="J13">
        <v>1.05</v>
      </c>
      <c r="K13">
        <v>1.9</v>
      </c>
      <c r="M13" t="s">
        <v>1266</v>
      </c>
      <c r="N13" t="str">
        <f t="shared" si="0"/>
        <v/>
      </c>
    </row>
    <row r="14" spans="1:15" x14ac:dyDescent="0.25">
      <c r="A14">
        <v>14</v>
      </c>
      <c r="B14" t="s">
        <v>738</v>
      </c>
      <c r="C14" t="s">
        <v>738</v>
      </c>
      <c r="I14" t="s">
        <v>1355</v>
      </c>
      <c r="J14">
        <v>0.98</v>
      </c>
      <c r="K14">
        <v>1.88</v>
      </c>
      <c r="M14" t="s">
        <v>1267</v>
      </c>
      <c r="N14" t="str">
        <f t="shared" si="0"/>
        <v/>
      </c>
    </row>
    <row r="15" spans="1:15" x14ac:dyDescent="0.25">
      <c r="A15">
        <v>15</v>
      </c>
      <c r="B15" t="s">
        <v>745</v>
      </c>
      <c r="C15" t="s">
        <v>745</v>
      </c>
      <c r="I15" t="s">
        <v>1439</v>
      </c>
      <c r="J15">
        <v>0.5</v>
      </c>
      <c r="K15">
        <v>0.5</v>
      </c>
      <c r="M15" t="s">
        <v>1268</v>
      </c>
      <c r="N15" t="str">
        <f t="shared" si="0"/>
        <v/>
      </c>
    </row>
    <row r="16" spans="1:15" x14ac:dyDescent="0.25">
      <c r="A16">
        <v>16</v>
      </c>
      <c r="B16" t="s">
        <v>746</v>
      </c>
      <c r="C16" t="s">
        <v>746</v>
      </c>
      <c r="M16" t="s">
        <v>1270</v>
      </c>
      <c r="N16" t="str">
        <f t="shared" si="0"/>
        <v>{BLACK}Powered by: {GOLD}Petrol</v>
      </c>
      <c r="O16" t="s">
        <v>938</v>
      </c>
    </row>
    <row r="17" spans="13:15" x14ac:dyDescent="0.25">
      <c r="M17" t="s">
        <v>1285</v>
      </c>
      <c r="N17" t="str">
        <f t="shared" si="0"/>
        <v>{BLACK}Powered by: {GOLD}25kV AC / Diesel</v>
      </c>
      <c r="O17" t="s">
        <v>1286</v>
      </c>
    </row>
    <row r="18" spans="13:15" x14ac:dyDescent="0.25">
      <c r="M18" t="s">
        <v>1356</v>
      </c>
      <c r="N18" t="str">
        <f t="shared" si="0"/>
        <v>{BLACK}Powered by: {GOLD}LPG / Flywheel</v>
      </c>
      <c r="O18" t="s">
        <v>1357</v>
      </c>
    </row>
    <row r="19" spans="13:15" x14ac:dyDescent="0.25">
      <c r="M19" t="s">
        <v>1434</v>
      </c>
      <c r="N19" t="str">
        <f t="shared" si="0"/>
        <v/>
      </c>
    </row>
    <row r="20" spans="13:15" x14ac:dyDescent="0.25">
      <c r="M20" t="s">
        <v>1433</v>
      </c>
      <c r="N20" t="str">
        <f t="shared" si="0"/>
        <v>{BLACK}Powered by: {GOLD}Steam</v>
      </c>
      <c r="O20" t="s">
        <v>1258</v>
      </c>
    </row>
    <row r="21" spans="13:15" x14ac:dyDescent="0.25">
      <c r="M21" t="s">
        <v>1436</v>
      </c>
      <c r="N21" t="str">
        <f t="shared" si="0"/>
        <v/>
      </c>
    </row>
    <row r="22" spans="13:15" x14ac:dyDescent="0.25">
      <c r="M22" t="s">
        <v>1441</v>
      </c>
      <c r="N22" t="str">
        <f t="shared" si="0"/>
        <v>{BLACK}Powered by: {GOLD}Grass and hay</v>
      </c>
      <c r="O22" t="s">
        <v>1440</v>
      </c>
    </row>
    <row r="23" spans="13:15" x14ac:dyDescent="0.25">
      <c r="M23" t="s">
        <v>1459</v>
      </c>
      <c r="N23" t="str">
        <f t="shared" si="0"/>
        <v>{BLACK}Powered by: {GOLD}630V DC</v>
      </c>
      <c r="O23" t="s">
        <v>1460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326</v>
      </c>
      <c r="B1" s="1" t="s">
        <v>327</v>
      </c>
      <c r="C1" s="1" t="s">
        <v>328</v>
      </c>
      <c r="D1" s="1" t="s">
        <v>329</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706</v>
      </c>
    </row>
    <row r="3" spans="1:21" x14ac:dyDescent="0.25">
      <c r="A3" t="s">
        <v>718</v>
      </c>
      <c r="B3" t="s">
        <v>702</v>
      </c>
      <c r="C3" t="s">
        <v>705</v>
      </c>
      <c r="D3" t="s">
        <v>705</v>
      </c>
      <c r="E3" t="s">
        <v>705</v>
      </c>
      <c r="F3" t="s">
        <v>705</v>
      </c>
      <c r="G3" t="s">
        <v>709</v>
      </c>
      <c r="H3" t="s">
        <v>708</v>
      </c>
      <c r="I3" t="s">
        <v>708</v>
      </c>
      <c r="J3" t="s">
        <v>710</v>
      </c>
      <c r="K3" t="s">
        <v>705</v>
      </c>
      <c r="L3" t="s">
        <v>705</v>
      </c>
      <c r="M3" t="s">
        <v>705</v>
      </c>
      <c r="N3" t="s">
        <v>705</v>
      </c>
      <c r="O3" t="s">
        <v>707</v>
      </c>
    </row>
    <row r="4" spans="1:21" x14ac:dyDescent="0.25">
      <c r="A4" t="s">
        <v>719</v>
      </c>
      <c r="B4">
        <v>1</v>
      </c>
      <c r="C4">
        <v>1</v>
      </c>
      <c r="D4">
        <v>0</v>
      </c>
      <c r="E4">
        <v>0</v>
      </c>
      <c r="F4">
        <v>0</v>
      </c>
      <c r="G4">
        <v>1</v>
      </c>
      <c r="H4">
        <v>1</v>
      </c>
      <c r="I4">
        <v>0</v>
      </c>
      <c r="J4">
        <v>1</v>
      </c>
      <c r="K4">
        <v>0</v>
      </c>
      <c r="L4">
        <v>0</v>
      </c>
      <c r="M4">
        <v>0</v>
      </c>
      <c r="N4">
        <v>0</v>
      </c>
      <c r="O4">
        <v>1</v>
      </c>
    </row>
    <row r="6" spans="1:21" ht="14.25" customHeight="1" x14ac:dyDescent="0.25">
      <c r="B6" t="s">
        <v>717</v>
      </c>
    </row>
    <row r="7" spans="1:21" x14ac:dyDescent="0.25">
      <c r="A7" t="s">
        <v>718</v>
      </c>
      <c r="B7" t="s">
        <v>677</v>
      </c>
      <c r="C7" t="s">
        <v>723</v>
      </c>
      <c r="D7" t="s">
        <v>722</v>
      </c>
      <c r="E7" t="s">
        <v>722</v>
      </c>
      <c r="F7" t="s">
        <v>722</v>
      </c>
      <c r="G7" t="s">
        <v>722</v>
      </c>
      <c r="H7" t="s">
        <v>724</v>
      </c>
      <c r="I7" t="s">
        <v>722</v>
      </c>
      <c r="J7" t="s">
        <v>722</v>
      </c>
      <c r="K7" t="s">
        <v>722</v>
      </c>
      <c r="L7" t="s">
        <v>722</v>
      </c>
      <c r="M7" t="s">
        <v>722</v>
      </c>
      <c r="N7" t="s">
        <v>722</v>
      </c>
      <c r="O7" t="s">
        <v>724</v>
      </c>
      <c r="P7" t="s">
        <v>722</v>
      </c>
      <c r="Q7" t="s">
        <v>722</v>
      </c>
      <c r="R7" t="s">
        <v>722</v>
      </c>
      <c r="S7" t="s">
        <v>722</v>
      </c>
      <c r="T7" t="s">
        <v>725</v>
      </c>
      <c r="U7" t="s">
        <v>726</v>
      </c>
    </row>
    <row r="8" spans="1:21" x14ac:dyDescent="0.25">
      <c r="A8" t="s">
        <v>719</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272</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720</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721</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730</v>
      </c>
    </row>
    <row r="19" spans="1:9" x14ac:dyDescent="0.25">
      <c r="A19" t="s">
        <v>718</v>
      </c>
      <c r="B19" t="s">
        <v>677</v>
      </c>
      <c r="C19" t="s">
        <v>723</v>
      </c>
      <c r="D19" t="s">
        <v>722</v>
      </c>
      <c r="E19" t="s">
        <v>724</v>
      </c>
      <c r="F19" t="s">
        <v>722</v>
      </c>
      <c r="G19" t="s">
        <v>724</v>
      </c>
      <c r="H19" t="s">
        <v>725</v>
      </c>
      <c r="I19" t="s">
        <v>726</v>
      </c>
    </row>
    <row r="20" spans="1:9" x14ac:dyDescent="0.25">
      <c r="A20" t="s">
        <v>719</v>
      </c>
      <c r="B20">
        <v>0</v>
      </c>
      <c r="C20">
        <v>0</v>
      </c>
      <c r="D20">
        <v>0</v>
      </c>
      <c r="E20">
        <v>0</v>
      </c>
      <c r="F20">
        <v>0</v>
      </c>
      <c r="G20">
        <v>0</v>
      </c>
      <c r="H20">
        <v>0</v>
      </c>
      <c r="I20">
        <v>0</v>
      </c>
    </row>
    <row r="21" spans="1:9" x14ac:dyDescent="0.25">
      <c r="A21" t="s">
        <v>272</v>
      </c>
      <c r="B21">
        <v>22.15</v>
      </c>
      <c r="C21">
        <v>21.84</v>
      </c>
      <c r="D21">
        <v>18.7</v>
      </c>
      <c r="E21">
        <v>18.7</v>
      </c>
      <c r="F21">
        <v>18.7</v>
      </c>
      <c r="G21">
        <v>18.7</v>
      </c>
      <c r="H21">
        <v>21.84</v>
      </c>
      <c r="I21">
        <v>22.15</v>
      </c>
    </row>
    <row r="22" spans="1:9" x14ac:dyDescent="0.25">
      <c r="A22" t="s">
        <v>720</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721</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1278</v>
      </c>
    </row>
    <row r="31" spans="1:9" x14ac:dyDescent="0.25">
      <c r="A31" t="s">
        <v>718</v>
      </c>
      <c r="B31" t="s">
        <v>677</v>
      </c>
      <c r="C31" t="s">
        <v>723</v>
      </c>
      <c r="D31" t="s">
        <v>722</v>
      </c>
      <c r="E31" t="s">
        <v>725</v>
      </c>
      <c r="F31" t="s">
        <v>726</v>
      </c>
    </row>
    <row r="32" spans="1:9" x14ac:dyDescent="0.25">
      <c r="A32" t="s">
        <v>719</v>
      </c>
      <c r="B32">
        <v>0</v>
      </c>
      <c r="C32">
        <v>0</v>
      </c>
      <c r="D32">
        <v>0</v>
      </c>
      <c r="E32">
        <v>0</v>
      </c>
      <c r="F32">
        <v>0</v>
      </c>
    </row>
    <row r="33" spans="1:6" x14ac:dyDescent="0.25">
      <c r="A33" t="s">
        <v>272</v>
      </c>
      <c r="B33">
        <v>22.15</v>
      </c>
      <c r="C33">
        <v>21.84</v>
      </c>
      <c r="D33">
        <v>18.7</v>
      </c>
      <c r="E33">
        <v>21.84</v>
      </c>
      <c r="F33">
        <v>22.15</v>
      </c>
    </row>
    <row r="34" spans="1:6" x14ac:dyDescent="0.25">
      <c r="A34" t="s">
        <v>720</v>
      </c>
      <c r="B34">
        <f t="shared" ref="B34:F34" si="2">ROUND(15*((B33*10)/256),0)</f>
        <v>13</v>
      </c>
      <c r="C34">
        <f t="shared" si="2"/>
        <v>13</v>
      </c>
      <c r="D34">
        <f t="shared" si="2"/>
        <v>11</v>
      </c>
      <c r="E34">
        <f t="shared" si="2"/>
        <v>13</v>
      </c>
      <c r="F34">
        <f t="shared" si="2"/>
        <v>13</v>
      </c>
    </row>
    <row r="35" spans="1:6" x14ac:dyDescent="0.25">
      <c r="A35" t="s">
        <v>721</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1289</v>
      </c>
    </row>
    <row r="43" spans="1:6" x14ac:dyDescent="0.25">
      <c r="A43" t="s">
        <v>718</v>
      </c>
      <c r="B43" t="s">
        <v>1288</v>
      </c>
      <c r="C43" t="s">
        <v>1291</v>
      </c>
      <c r="D43" t="s">
        <v>1293</v>
      </c>
      <c r="E43" t="s">
        <v>1292</v>
      </c>
      <c r="F43" t="s">
        <v>1290</v>
      </c>
    </row>
    <row r="44" spans="1:6" x14ac:dyDescent="0.25">
      <c r="A44" t="s">
        <v>719</v>
      </c>
      <c r="B44">
        <v>1</v>
      </c>
      <c r="C44">
        <v>1</v>
      </c>
      <c r="D44">
        <v>1</v>
      </c>
      <c r="E44">
        <v>1</v>
      </c>
      <c r="F44">
        <v>1</v>
      </c>
    </row>
    <row r="45" spans="1:6" x14ac:dyDescent="0.25">
      <c r="A45" t="s">
        <v>272</v>
      </c>
      <c r="B45">
        <v>20.2</v>
      </c>
      <c r="C45">
        <v>15.7</v>
      </c>
      <c r="D45">
        <v>10</v>
      </c>
      <c r="E45">
        <v>15.7</v>
      </c>
      <c r="F45">
        <v>20.2</v>
      </c>
    </row>
    <row r="46" spans="1:6" x14ac:dyDescent="0.25">
      <c r="A46" t="s">
        <v>720</v>
      </c>
      <c r="B46">
        <f t="shared" ref="B46:F46" si="3">ROUND(15*((B45*10)/256),0)</f>
        <v>12</v>
      </c>
      <c r="C46">
        <f t="shared" si="3"/>
        <v>9</v>
      </c>
      <c r="D46">
        <f t="shared" si="3"/>
        <v>6</v>
      </c>
      <c r="E46">
        <f t="shared" si="3"/>
        <v>9</v>
      </c>
      <c r="F46">
        <f t="shared" si="3"/>
        <v>12</v>
      </c>
    </row>
    <row r="47" spans="1:6" x14ac:dyDescent="0.25">
      <c r="A47" t="s">
        <v>721</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854</v>
      </c>
      <c r="B1" s="1" t="s">
        <v>853</v>
      </c>
      <c r="C1" s="1" t="s">
        <v>1080</v>
      </c>
      <c r="F1" s="1" t="s">
        <v>1088</v>
      </c>
      <c r="G1" s="1" t="s">
        <v>338</v>
      </c>
      <c r="H1" s="1" t="s">
        <v>1090</v>
      </c>
      <c r="J1" s="1" t="s">
        <v>1103</v>
      </c>
      <c r="K1" s="1" t="s">
        <v>1104</v>
      </c>
      <c r="L1" s="1" t="s">
        <v>1105</v>
      </c>
      <c r="M1" s="1" t="s">
        <v>1106</v>
      </c>
      <c r="N1" s="1" t="s">
        <v>1091</v>
      </c>
      <c r="O1" s="1" t="s">
        <v>1099</v>
      </c>
      <c r="P1" s="1" t="s">
        <v>1097</v>
      </c>
      <c r="Q1" s="1" t="s">
        <v>1095</v>
      </c>
      <c r="R1" s="1" t="s">
        <v>1131</v>
      </c>
    </row>
    <row r="2" spans="1:18" ht="15.75" customHeight="1" x14ac:dyDescent="0.25">
      <c r="A2" t="s">
        <v>900</v>
      </c>
      <c r="B2" t="s">
        <v>958</v>
      </c>
      <c r="C2" t="s">
        <v>1006</v>
      </c>
      <c r="D2" t="str">
        <f t="shared" ref="D2:D33" si="0">CONCATENATE("""", A2, """,")</f>
        <v>"ACID",</v>
      </c>
      <c r="F2" t="s">
        <v>1056</v>
      </c>
      <c r="G2" s="14" t="str">
        <f>VLOOKUP(F2,A:B,2, FALSE)</f>
        <v>Batteries</v>
      </c>
      <c r="H2" s="14" t="s">
        <v>1099</v>
      </c>
      <c r="J2" t="s">
        <v>1102</v>
      </c>
      <c r="K2">
        <v>136</v>
      </c>
      <c r="L2">
        <v>38</v>
      </c>
      <c r="M2">
        <v>28</v>
      </c>
      <c r="N2">
        <f>K2/45</f>
        <v>3.0222222222222221</v>
      </c>
      <c r="O2">
        <f>K2/30</f>
        <v>4.5333333333333332</v>
      </c>
      <c r="P2">
        <f>K2/34</f>
        <v>4</v>
      </c>
      <c r="Q2">
        <f>K2/68</f>
        <v>2</v>
      </c>
      <c r="R2">
        <f>K2/60</f>
        <v>2.2666666666666666</v>
      </c>
    </row>
    <row r="3" spans="1:18" x14ac:dyDescent="0.25">
      <c r="A3" t="s">
        <v>859</v>
      </c>
      <c r="B3" t="s">
        <v>921</v>
      </c>
      <c r="C3" t="s">
        <v>978</v>
      </c>
      <c r="D3" t="str">
        <f t="shared" si="0"/>
        <v>"AORE",</v>
      </c>
      <c r="F3" t="s">
        <v>868</v>
      </c>
      <c r="G3" s="14" t="str">
        <f t="shared" ref="G3:G42" si="1">VLOOKUP(F3,A:B,2, FALSE)</f>
        <v>Bulding Materials</v>
      </c>
      <c r="H3" s="14" t="s">
        <v>1091</v>
      </c>
      <c r="J3" t="s">
        <v>1107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1056</v>
      </c>
      <c r="B4" t="s">
        <v>1057</v>
      </c>
      <c r="C4" t="s">
        <v>982</v>
      </c>
      <c r="D4" t="str">
        <f t="shared" si="0"/>
        <v>"BATT",</v>
      </c>
      <c r="F4" t="s">
        <v>867</v>
      </c>
      <c r="G4" s="14" t="str">
        <f t="shared" si="1"/>
        <v>Beer</v>
      </c>
      <c r="H4" s="14" t="s">
        <v>1099</v>
      </c>
      <c r="J4" t="s">
        <v>1108</v>
      </c>
      <c r="K4">
        <v>136</v>
      </c>
      <c r="L4">
        <v>38</v>
      </c>
      <c r="M4">
        <v>28</v>
      </c>
      <c r="N4">
        <f t="shared" si="2"/>
        <v>3.0222222222222221</v>
      </c>
      <c r="O4">
        <f t="shared" si="3"/>
        <v>4.5333333333333332</v>
      </c>
      <c r="P4">
        <f t="shared" si="4"/>
        <v>4</v>
      </c>
      <c r="Q4">
        <f t="shared" si="5"/>
        <v>2</v>
      </c>
      <c r="R4">
        <f t="shared" si="6"/>
        <v>2.2666666666666666</v>
      </c>
    </row>
    <row r="5" spans="1:18" x14ac:dyDescent="0.25">
      <c r="A5" t="s">
        <v>868</v>
      </c>
      <c r="B5" t="s">
        <v>933</v>
      </c>
      <c r="C5" t="s">
        <v>994</v>
      </c>
      <c r="D5" t="str">
        <f t="shared" si="0"/>
        <v>"BDMT",</v>
      </c>
      <c r="F5" t="s">
        <v>995</v>
      </c>
      <c r="G5" s="14" t="str">
        <f t="shared" si="1"/>
        <v>Explosives</v>
      </c>
      <c r="H5" s="14" t="s">
        <v>1099</v>
      </c>
      <c r="J5" t="s">
        <v>1109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991</v>
      </c>
      <c r="B6" t="s">
        <v>992</v>
      </c>
      <c r="C6" t="s">
        <v>978</v>
      </c>
      <c r="D6" t="str">
        <f t="shared" si="0"/>
        <v>"BEAN",</v>
      </c>
      <c r="F6" t="s">
        <v>897</v>
      </c>
      <c r="G6" s="14" t="str">
        <f t="shared" si="1"/>
        <v>Bricks</v>
      </c>
      <c r="H6" s="14" t="s">
        <v>1091</v>
      </c>
      <c r="J6" t="s">
        <v>1110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867</v>
      </c>
      <c r="B7" t="s">
        <v>932</v>
      </c>
      <c r="C7" t="s">
        <v>993</v>
      </c>
      <c r="D7" t="str">
        <f t="shared" si="0"/>
        <v>"BEER",</v>
      </c>
      <c r="F7" t="s">
        <v>1058</v>
      </c>
      <c r="G7" s="14" t="str">
        <f t="shared" si="1"/>
        <v>Bubbles</v>
      </c>
      <c r="H7" s="14" t="s">
        <v>1099</v>
      </c>
      <c r="J7" t="s">
        <v>1111</v>
      </c>
      <c r="K7">
        <v>180</v>
      </c>
      <c r="L7">
        <v>38</v>
      </c>
      <c r="M7">
        <v>28</v>
      </c>
      <c r="N7">
        <f t="shared" si="2"/>
        <v>4</v>
      </c>
      <c r="O7">
        <f t="shared" si="3"/>
        <v>6</v>
      </c>
      <c r="P7">
        <f t="shared" si="4"/>
        <v>5.2941176470588234</v>
      </c>
      <c r="Q7">
        <f t="shared" si="5"/>
        <v>2.6470588235294117</v>
      </c>
      <c r="R7">
        <f t="shared" si="6"/>
        <v>3</v>
      </c>
    </row>
    <row r="8" spans="1:18" x14ac:dyDescent="0.25">
      <c r="A8" t="s">
        <v>995</v>
      </c>
      <c r="B8" t="s">
        <v>996</v>
      </c>
      <c r="C8" t="s">
        <v>997</v>
      </c>
      <c r="D8" t="str">
        <f t="shared" si="0"/>
        <v>"BOOM",</v>
      </c>
      <c r="F8" t="s">
        <v>1001</v>
      </c>
      <c r="G8" s="14" t="str">
        <f t="shared" si="1"/>
        <v>Ceramics</v>
      </c>
      <c r="H8" s="14" t="s">
        <v>1099</v>
      </c>
      <c r="J8" t="s">
        <v>1112</v>
      </c>
      <c r="K8">
        <v>180</v>
      </c>
      <c r="L8">
        <v>38</v>
      </c>
      <c r="M8">
        <v>28</v>
      </c>
      <c r="N8">
        <f t="shared" si="2"/>
        <v>4</v>
      </c>
      <c r="O8">
        <f t="shared" si="3"/>
        <v>6</v>
      </c>
      <c r="P8">
        <f t="shared" si="4"/>
        <v>5.2941176470588234</v>
      </c>
      <c r="Q8">
        <f t="shared" si="5"/>
        <v>2.6470588235294117</v>
      </c>
      <c r="R8">
        <f t="shared" si="6"/>
        <v>3</v>
      </c>
    </row>
    <row r="9" spans="1:18" x14ac:dyDescent="0.25">
      <c r="A9" t="s">
        <v>897</v>
      </c>
      <c r="B9" t="s">
        <v>956</v>
      </c>
      <c r="C9" t="s">
        <v>982</v>
      </c>
      <c r="D9" t="str">
        <f t="shared" si="0"/>
        <v>"BRCK",</v>
      </c>
      <c r="F9" t="s">
        <v>873</v>
      </c>
      <c r="G9" s="14" t="str">
        <f t="shared" si="1"/>
        <v>Copper</v>
      </c>
      <c r="H9" s="14" t="s">
        <v>1096</v>
      </c>
      <c r="J9" t="s">
        <v>1113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1058</v>
      </c>
      <c r="B10" t="s">
        <v>1059</v>
      </c>
      <c r="C10" t="s">
        <v>982</v>
      </c>
      <c r="D10" t="str">
        <f t="shared" si="0"/>
        <v>"BUBL",</v>
      </c>
      <c r="F10" t="s">
        <v>898</v>
      </c>
      <c r="G10" s="14" t="str">
        <f t="shared" si="1"/>
        <v>Cast Iron</v>
      </c>
      <c r="H10" s="14" t="s">
        <v>1096</v>
      </c>
    </row>
    <row r="11" spans="1:18" x14ac:dyDescent="0.25">
      <c r="A11" t="s">
        <v>912</v>
      </c>
      <c r="B11" t="s">
        <v>969</v>
      </c>
      <c r="C11" t="s">
        <v>978</v>
      </c>
      <c r="D11" t="str">
        <f t="shared" si="0"/>
        <v>"CASS",</v>
      </c>
      <c r="F11" t="s">
        <v>1063</v>
      </c>
      <c r="G11" s="14" t="str">
        <f t="shared" si="1"/>
        <v>Fizzy Drinks</v>
      </c>
      <c r="H11" s="14" t="s">
        <v>1099</v>
      </c>
    </row>
    <row r="12" spans="1:18" x14ac:dyDescent="0.25">
      <c r="A12" t="s">
        <v>998</v>
      </c>
      <c r="B12" t="s">
        <v>999</v>
      </c>
      <c r="C12" t="s">
        <v>1000</v>
      </c>
      <c r="D12" t="str">
        <f t="shared" si="0"/>
        <v>"CBLK",</v>
      </c>
      <c r="F12" t="s">
        <v>904</v>
      </c>
      <c r="G12" s="14" t="str">
        <f t="shared" si="1"/>
        <v>Iron</v>
      </c>
      <c r="H12" s="14" t="s">
        <v>1096</v>
      </c>
    </row>
    <row r="13" spans="1:18" x14ac:dyDescent="0.25">
      <c r="A13" t="s">
        <v>1001</v>
      </c>
      <c r="B13" t="s">
        <v>1002</v>
      </c>
      <c r="C13" t="s">
        <v>982</v>
      </c>
      <c r="D13" t="str">
        <f t="shared" si="0"/>
        <v>"CERA",</v>
      </c>
      <c r="F13" t="s">
        <v>896</v>
      </c>
      <c r="G13" s="14" t="str">
        <f t="shared" si="1"/>
        <v>Coffee</v>
      </c>
      <c r="H13" s="14" t="s">
        <v>1099</v>
      </c>
    </row>
    <row r="14" spans="1:18" x14ac:dyDescent="0.25">
      <c r="A14" t="s">
        <v>880</v>
      </c>
      <c r="B14" t="s">
        <v>973</v>
      </c>
      <c r="C14" t="s">
        <v>1003</v>
      </c>
      <c r="D14" t="str">
        <f t="shared" si="0"/>
        <v>"CERE",</v>
      </c>
      <c r="F14" t="s">
        <v>894</v>
      </c>
      <c r="G14" s="14" t="str">
        <f t="shared" si="1"/>
        <v>Metal</v>
      </c>
      <c r="H14" s="14" t="s">
        <v>1096</v>
      </c>
    </row>
    <row r="15" spans="1:18" x14ac:dyDescent="0.25">
      <c r="A15" t="s">
        <v>901</v>
      </c>
      <c r="B15" t="s">
        <v>957</v>
      </c>
      <c r="C15" t="s">
        <v>1006</v>
      </c>
      <c r="D15" t="str">
        <f t="shared" si="0"/>
        <v>"CHLO",</v>
      </c>
      <c r="F15" t="s">
        <v>1039</v>
      </c>
      <c r="G15" s="14" t="str">
        <f t="shared" si="1"/>
        <v>Nuts</v>
      </c>
      <c r="H15" s="14" t="s">
        <v>1099</v>
      </c>
    </row>
    <row r="16" spans="1:18" x14ac:dyDescent="0.25">
      <c r="A16" t="s">
        <v>861</v>
      </c>
      <c r="B16" t="s">
        <v>923</v>
      </c>
      <c r="C16" t="s">
        <v>1004</v>
      </c>
      <c r="D16" t="str">
        <f t="shared" si="0"/>
        <v>"CLAY",</v>
      </c>
      <c r="F16" t="s">
        <v>870</v>
      </c>
      <c r="G16" s="14" t="str">
        <f t="shared" si="1"/>
        <v>Paper</v>
      </c>
      <c r="H16" s="14" t="s">
        <v>1099</v>
      </c>
    </row>
    <row r="17" spans="1:8" x14ac:dyDescent="0.25">
      <c r="A17" t="s">
        <v>903</v>
      </c>
      <c r="B17" t="s">
        <v>964</v>
      </c>
      <c r="C17" t="s">
        <v>1004</v>
      </c>
      <c r="D17" t="str">
        <f t="shared" si="0"/>
        <v>"CMNT",</v>
      </c>
      <c r="F17" t="s">
        <v>1041</v>
      </c>
      <c r="G17" s="14" t="str">
        <f t="shared" si="1"/>
        <v>Pipe</v>
      </c>
      <c r="H17" s="14" t="s">
        <v>1092</v>
      </c>
    </row>
    <row r="18" spans="1:8" x14ac:dyDescent="0.25">
      <c r="A18" t="s">
        <v>754</v>
      </c>
      <c r="B18" t="s">
        <v>917</v>
      </c>
      <c r="C18" t="s">
        <v>978</v>
      </c>
      <c r="D18" t="str">
        <f t="shared" si="0"/>
        <v>"COAL",</v>
      </c>
      <c r="F18" t="s">
        <v>1043</v>
      </c>
      <c r="G18" s="14" t="str">
        <f t="shared" si="1"/>
        <v>Electrical Equipment</v>
      </c>
      <c r="H18" s="14" t="s">
        <v>1099</v>
      </c>
    </row>
    <row r="19" spans="1:8" x14ac:dyDescent="0.25">
      <c r="A19" t="s">
        <v>902</v>
      </c>
      <c r="B19" t="s">
        <v>959</v>
      </c>
      <c r="C19" t="s">
        <v>978</v>
      </c>
      <c r="D19" t="str">
        <f t="shared" si="0"/>
        <v>"COKE",</v>
      </c>
      <c r="F19" t="s">
        <v>1045</v>
      </c>
      <c r="G19" s="14" t="str">
        <f t="shared" si="1"/>
        <v>Alloy Steel</v>
      </c>
      <c r="H19" s="14" t="s">
        <v>1096</v>
      </c>
    </row>
    <row r="20" spans="1:8" x14ac:dyDescent="0.25">
      <c r="A20" t="s">
        <v>1060</v>
      </c>
      <c r="B20" t="s">
        <v>1061</v>
      </c>
      <c r="C20" t="s">
        <v>980</v>
      </c>
      <c r="D20" t="str">
        <f t="shared" si="0"/>
        <v>"COLA",</v>
      </c>
      <c r="F20" t="s">
        <v>1047</v>
      </c>
      <c r="G20" s="14" t="str">
        <f t="shared" si="1"/>
        <v>Carbon Steel</v>
      </c>
      <c r="H20" s="14" t="s">
        <v>1096</v>
      </c>
    </row>
    <row r="21" spans="1:8" x14ac:dyDescent="0.25">
      <c r="A21" t="s">
        <v>873</v>
      </c>
      <c r="B21" t="s">
        <v>1005</v>
      </c>
      <c r="C21" t="s">
        <v>982</v>
      </c>
      <c r="D21" t="str">
        <f t="shared" si="0"/>
        <v>"COPR",</v>
      </c>
      <c r="F21" t="s">
        <v>833</v>
      </c>
      <c r="G21" s="14" t="str">
        <f t="shared" si="1"/>
        <v>Steel</v>
      </c>
      <c r="H21" s="14" t="s">
        <v>1096</v>
      </c>
    </row>
    <row r="22" spans="1:8" x14ac:dyDescent="0.25">
      <c r="A22" t="s">
        <v>860</v>
      </c>
      <c r="B22" t="s">
        <v>922</v>
      </c>
      <c r="C22" t="s">
        <v>978</v>
      </c>
      <c r="D22" t="str">
        <f t="shared" si="0"/>
        <v>"CORE",</v>
      </c>
      <c r="F22" t="s">
        <v>1049</v>
      </c>
      <c r="G22" s="14" t="str">
        <f t="shared" si="1"/>
        <v>Stainless Steel</v>
      </c>
      <c r="H22" s="14" t="s">
        <v>1096</v>
      </c>
    </row>
    <row r="23" spans="1:8" x14ac:dyDescent="0.25">
      <c r="A23" t="s">
        <v>898</v>
      </c>
      <c r="B23" t="s">
        <v>974</v>
      </c>
      <c r="C23" t="s">
        <v>982</v>
      </c>
      <c r="D23" t="str">
        <f t="shared" si="0"/>
        <v>"CSTI",</v>
      </c>
      <c r="F23" t="s">
        <v>1069</v>
      </c>
      <c r="G23" s="14" t="str">
        <f t="shared" si="1"/>
        <v>Toys</v>
      </c>
      <c r="H23" s="14" t="s">
        <v>1099</v>
      </c>
    </row>
    <row r="24" spans="1:8" x14ac:dyDescent="0.25">
      <c r="A24" t="s">
        <v>899</v>
      </c>
      <c r="B24" t="s">
        <v>975</v>
      </c>
      <c r="C24" t="s">
        <v>1006</v>
      </c>
      <c r="D24" t="str">
        <f t="shared" si="0"/>
        <v>"CTAR",</v>
      </c>
      <c r="F24" t="s">
        <v>1031</v>
      </c>
      <c r="G24" s="14" t="str">
        <f t="shared" si="1"/>
        <v>Tyres</v>
      </c>
      <c r="H24" s="14" t="s">
        <v>1100</v>
      </c>
    </row>
    <row r="25" spans="1:8" x14ac:dyDescent="0.25">
      <c r="A25" t="s">
        <v>1062</v>
      </c>
      <c r="B25" t="s">
        <v>1076</v>
      </c>
      <c r="C25" t="s">
        <v>978</v>
      </c>
      <c r="D25" t="str">
        <f t="shared" si="0"/>
        <v>"CTCD",</v>
      </c>
      <c r="F25" t="s">
        <v>1051</v>
      </c>
      <c r="G25" s="14" t="str">
        <f t="shared" si="1"/>
        <v>Vehicle Bodies</v>
      </c>
      <c r="H25" s="14" t="s">
        <v>1101</v>
      </c>
    </row>
    <row r="26" spans="1:8" x14ac:dyDescent="0.25">
      <c r="A26" t="s">
        <v>989</v>
      </c>
      <c r="B26" t="s">
        <v>990</v>
      </c>
      <c r="C26" t="s">
        <v>984</v>
      </c>
      <c r="D26" t="str">
        <f t="shared" si="0"/>
        <v>"DIAM",</v>
      </c>
      <c r="F26" t="s">
        <v>1052</v>
      </c>
      <c r="G26" s="14" t="str">
        <f t="shared" si="1"/>
        <v>Vehicle Engines</v>
      </c>
      <c r="H26" s="14" t="s">
        <v>1099</v>
      </c>
    </row>
    <row r="27" spans="1:8" x14ac:dyDescent="0.25">
      <c r="A27" t="s">
        <v>874</v>
      </c>
      <c r="B27" t="s">
        <v>936</v>
      </c>
      <c r="C27" t="s">
        <v>1007</v>
      </c>
      <c r="D27" t="str">
        <f t="shared" si="0"/>
        <v>"DYES",</v>
      </c>
      <c r="F27" t="s">
        <v>438</v>
      </c>
      <c r="G27" s="14" t="str">
        <f t="shared" si="1"/>
        <v>Wood</v>
      </c>
      <c r="H27" s="14" t="s">
        <v>1093</v>
      </c>
    </row>
    <row r="28" spans="1:8" x14ac:dyDescent="0.25">
      <c r="A28" t="s">
        <v>866</v>
      </c>
      <c r="B28" t="s">
        <v>931</v>
      </c>
      <c r="C28" t="s">
        <v>997</v>
      </c>
      <c r="D28" t="str">
        <f t="shared" si="0"/>
        <v>"ENSP",</v>
      </c>
      <c r="F28" t="s">
        <v>909</v>
      </c>
      <c r="G28" s="14" t="str">
        <f t="shared" si="1"/>
        <v>Zinc</v>
      </c>
      <c r="H28" s="14" t="s">
        <v>1096</v>
      </c>
    </row>
    <row r="29" spans="1:8" x14ac:dyDescent="0.25">
      <c r="A29" t="s">
        <v>1036</v>
      </c>
      <c r="B29" t="s">
        <v>1037</v>
      </c>
      <c r="C29" t="s">
        <v>1007</v>
      </c>
      <c r="D29" t="str">
        <f t="shared" si="0"/>
        <v>"EOIL",</v>
      </c>
      <c r="F29" t="s">
        <v>866</v>
      </c>
      <c r="G29" s="14" t="str">
        <f t="shared" si="1"/>
        <v>Engineering Supplies</v>
      </c>
      <c r="H29" s="14" t="s">
        <v>1094</v>
      </c>
    </row>
    <row r="30" spans="1:8" x14ac:dyDescent="0.25">
      <c r="A30" t="s">
        <v>1008</v>
      </c>
      <c r="B30" t="s">
        <v>1009</v>
      </c>
      <c r="C30" t="s">
        <v>978</v>
      </c>
      <c r="D30" t="str">
        <f t="shared" si="0"/>
        <v>"FECR",</v>
      </c>
      <c r="F30" t="s">
        <v>865</v>
      </c>
      <c r="G30" s="14" t="str">
        <f t="shared" si="1"/>
        <v>Farm Supplies</v>
      </c>
      <c r="H30" s="14" t="s">
        <v>1095</v>
      </c>
    </row>
    <row r="31" spans="1:8" x14ac:dyDescent="0.25">
      <c r="A31" t="s">
        <v>1010</v>
      </c>
      <c r="B31" t="s">
        <v>1011</v>
      </c>
      <c r="C31" t="s">
        <v>1012</v>
      </c>
      <c r="D31" t="str">
        <f t="shared" si="0"/>
        <v>"FERT",</v>
      </c>
      <c r="F31" t="s">
        <v>1054</v>
      </c>
      <c r="G31" s="14" t="str">
        <f t="shared" si="1"/>
        <v>Vehicle Parts</v>
      </c>
      <c r="H31" s="14" t="s">
        <v>1099</v>
      </c>
    </row>
    <row r="32" spans="1:8" x14ac:dyDescent="0.25">
      <c r="A32" t="s">
        <v>881</v>
      </c>
      <c r="B32" t="s">
        <v>970</v>
      </c>
      <c r="C32" t="s">
        <v>1012</v>
      </c>
      <c r="D32" t="str">
        <f t="shared" si="0"/>
        <v>"FICR",</v>
      </c>
      <c r="F32" t="s">
        <v>871</v>
      </c>
      <c r="G32" s="14" t="str">
        <f t="shared" si="1"/>
        <v>Timber</v>
      </c>
      <c r="H32" s="14" t="s">
        <v>1097</v>
      </c>
    </row>
    <row r="33" spans="1:8" x14ac:dyDescent="0.25">
      <c r="A33" t="s">
        <v>879</v>
      </c>
      <c r="B33" t="s">
        <v>941</v>
      </c>
      <c r="C33" t="s">
        <v>985</v>
      </c>
      <c r="D33" t="str">
        <f t="shared" si="0"/>
        <v>"FISH",</v>
      </c>
      <c r="F33" t="s">
        <v>877</v>
      </c>
      <c r="G33" s="14" t="str">
        <f t="shared" si="1"/>
        <v>Plastics</v>
      </c>
      <c r="H33" s="14" t="s">
        <v>1099</v>
      </c>
    </row>
    <row r="34" spans="1:8" x14ac:dyDescent="0.25">
      <c r="A34" t="s">
        <v>865</v>
      </c>
      <c r="B34" t="s">
        <v>930</v>
      </c>
      <c r="C34" t="s">
        <v>997</v>
      </c>
      <c r="D34" t="str">
        <f t="shared" ref="D34:D65" si="7">CONCATENATE("""", A34, """,")</f>
        <v>"FMSP",</v>
      </c>
      <c r="F34" t="s">
        <v>874</v>
      </c>
      <c r="G34" s="14" t="str">
        <f t="shared" si="1"/>
        <v>Dyes</v>
      </c>
      <c r="H34" s="14" t="s">
        <v>1099</v>
      </c>
    </row>
    <row r="35" spans="1:8" x14ac:dyDescent="0.25">
      <c r="A35" t="s">
        <v>864</v>
      </c>
      <c r="B35" t="s">
        <v>928</v>
      </c>
      <c r="C35" t="s">
        <v>985</v>
      </c>
      <c r="D35" t="str">
        <f t="shared" si="7"/>
        <v>"FOOD",</v>
      </c>
      <c r="F35" t="s">
        <v>872</v>
      </c>
      <c r="G35" s="14" t="str">
        <f t="shared" si="1"/>
        <v>Vehicles</v>
      </c>
      <c r="H35" s="14" t="s">
        <v>1098</v>
      </c>
    </row>
    <row r="36" spans="1:8" x14ac:dyDescent="0.25">
      <c r="A36" t="s">
        <v>883</v>
      </c>
      <c r="B36" t="s">
        <v>947</v>
      </c>
      <c r="C36" t="s">
        <v>988</v>
      </c>
      <c r="D36" t="str">
        <f t="shared" si="7"/>
        <v>"FRUT",</v>
      </c>
      <c r="F36" t="s">
        <v>881</v>
      </c>
      <c r="G36" s="14" t="str">
        <f t="shared" si="1"/>
        <v>Fibre Crops</v>
      </c>
      <c r="H36" s="14" t="s">
        <v>1099</v>
      </c>
    </row>
    <row r="37" spans="1:8" x14ac:dyDescent="0.25">
      <c r="A37" t="s">
        <v>882</v>
      </c>
      <c r="B37" t="s">
        <v>971</v>
      </c>
      <c r="C37" t="s">
        <v>1073</v>
      </c>
      <c r="D37" t="str">
        <f t="shared" si="7"/>
        <v>"FRVG",</v>
      </c>
      <c r="F37" t="s">
        <v>869</v>
      </c>
      <c r="G37" s="14" t="str">
        <f t="shared" si="1"/>
        <v>Packaging</v>
      </c>
      <c r="H37" s="14" t="s">
        <v>1099</v>
      </c>
    </row>
    <row r="38" spans="1:8" x14ac:dyDescent="0.25">
      <c r="A38" t="s">
        <v>1063</v>
      </c>
      <c r="B38" t="s">
        <v>1064</v>
      </c>
      <c r="C38" t="s">
        <v>982</v>
      </c>
      <c r="D38" t="str">
        <f t="shared" si="7"/>
        <v>"FZDR",</v>
      </c>
      <c r="F38" t="s">
        <v>1127</v>
      </c>
      <c r="G38" s="14" t="str">
        <f t="shared" si="1"/>
        <v>Steel Sheet</v>
      </c>
      <c r="H38" s="14"/>
    </row>
    <row r="39" spans="1:8" x14ac:dyDescent="0.25">
      <c r="A39" t="s">
        <v>986</v>
      </c>
      <c r="B39" t="s">
        <v>987</v>
      </c>
      <c r="C39" t="s">
        <v>984</v>
      </c>
      <c r="D39" t="str">
        <f t="shared" si="7"/>
        <v>"GOLD",</v>
      </c>
      <c r="F39" t="s">
        <v>1129</v>
      </c>
      <c r="G39" s="14" t="str">
        <f t="shared" si="1"/>
        <v>Steel Wire Rod</v>
      </c>
      <c r="H39" s="14"/>
    </row>
    <row r="40" spans="1:8" x14ac:dyDescent="0.25">
      <c r="A40" t="s">
        <v>313</v>
      </c>
      <c r="B40" t="s">
        <v>927</v>
      </c>
      <c r="C40" t="s">
        <v>983</v>
      </c>
      <c r="D40" t="str">
        <f t="shared" si="7"/>
        <v>"GOOD",</v>
      </c>
      <c r="F40" t="s">
        <v>1126</v>
      </c>
      <c r="G40" s="14" t="str">
        <f t="shared" si="1"/>
        <v>Rebar</v>
      </c>
      <c r="H40" s="14"/>
    </row>
    <row r="41" spans="1:8" x14ac:dyDescent="0.25">
      <c r="A41" t="s">
        <v>884</v>
      </c>
      <c r="B41" t="s">
        <v>946</v>
      </c>
      <c r="C41" t="s">
        <v>978</v>
      </c>
      <c r="D41" t="str">
        <f t="shared" si="7"/>
        <v>"GRAI",</v>
      </c>
      <c r="F41" s="14" t="s">
        <v>1117</v>
      </c>
      <c r="G41" s="14" t="str">
        <f t="shared" si="1"/>
        <v>Cleaning Agents</v>
      </c>
      <c r="H41" s="14" t="s">
        <v>1099</v>
      </c>
    </row>
    <row r="42" spans="1:8" x14ac:dyDescent="0.25">
      <c r="A42" t="s">
        <v>857</v>
      </c>
      <c r="B42" t="s">
        <v>919</v>
      </c>
      <c r="C42" t="s">
        <v>978</v>
      </c>
      <c r="D42" t="str">
        <f t="shared" si="7"/>
        <v>"GRVL",</v>
      </c>
      <c r="F42" s="14" t="s">
        <v>1124</v>
      </c>
      <c r="G42" s="14" t="str">
        <f t="shared" si="1"/>
        <v>Paints and coatings</v>
      </c>
      <c r="H42" s="14" t="s">
        <v>1099</v>
      </c>
    </row>
    <row r="43" spans="1:8" x14ac:dyDescent="0.25">
      <c r="A43" t="s">
        <v>856</v>
      </c>
      <c r="B43" t="s">
        <v>918</v>
      </c>
      <c r="C43" t="s">
        <v>978</v>
      </c>
      <c r="D43" t="str">
        <f t="shared" si="7"/>
        <v>"IORE",</v>
      </c>
    </row>
    <row r="44" spans="1:8" x14ac:dyDescent="0.25">
      <c r="A44" t="s">
        <v>904</v>
      </c>
      <c r="B44" t="s">
        <v>960</v>
      </c>
      <c r="C44" t="s">
        <v>982</v>
      </c>
      <c r="D44" t="str">
        <f t="shared" si="7"/>
        <v>"IRON",</v>
      </c>
    </row>
    <row r="45" spans="1:8" x14ac:dyDescent="0.25">
      <c r="A45" t="s">
        <v>896</v>
      </c>
      <c r="B45" t="s">
        <v>955</v>
      </c>
      <c r="C45" t="s">
        <v>982</v>
      </c>
      <c r="D45" t="str">
        <f t="shared" si="7"/>
        <v>"JAVA",</v>
      </c>
    </row>
    <row r="46" spans="1:8" x14ac:dyDescent="0.25">
      <c r="A46" t="s">
        <v>1014</v>
      </c>
      <c r="B46" t="s">
        <v>1074</v>
      </c>
      <c r="C46" t="s">
        <v>1015</v>
      </c>
      <c r="D46" t="str">
        <f t="shared" si="7"/>
        <v>"KAOL",</v>
      </c>
    </row>
    <row r="47" spans="1:8" x14ac:dyDescent="0.25">
      <c r="A47" t="s">
        <v>863</v>
      </c>
      <c r="B47" t="s">
        <v>926</v>
      </c>
      <c r="C47" t="s">
        <v>978</v>
      </c>
      <c r="D47" t="str">
        <f t="shared" si="7"/>
        <v>"LIME",</v>
      </c>
    </row>
    <row r="48" spans="1:8" x14ac:dyDescent="0.25">
      <c r="A48" t="s">
        <v>793</v>
      </c>
      <c r="B48" t="s">
        <v>945</v>
      </c>
      <c r="C48" t="s">
        <v>982</v>
      </c>
      <c r="D48" t="str">
        <f t="shared" si="7"/>
        <v>"LVST",</v>
      </c>
    </row>
    <row r="49" spans="1:4" x14ac:dyDescent="0.25">
      <c r="A49" t="s">
        <v>684</v>
      </c>
      <c r="B49" t="s">
        <v>916</v>
      </c>
      <c r="C49" t="s">
        <v>979</v>
      </c>
      <c r="D49" t="str">
        <f t="shared" si="7"/>
        <v>"MAIL",</v>
      </c>
    </row>
    <row r="50" spans="1:4" x14ac:dyDescent="0.25">
      <c r="A50" t="s">
        <v>885</v>
      </c>
      <c r="B50" t="s">
        <v>944</v>
      </c>
      <c r="C50" t="s">
        <v>978</v>
      </c>
      <c r="D50" t="str">
        <f t="shared" si="7"/>
        <v>"MAIZ",</v>
      </c>
    </row>
    <row r="51" spans="1:4" x14ac:dyDescent="0.25">
      <c r="A51" t="s">
        <v>894</v>
      </c>
      <c r="B51" t="s">
        <v>953</v>
      </c>
      <c r="C51" t="s">
        <v>982</v>
      </c>
      <c r="D51" t="str">
        <f t="shared" si="7"/>
        <v>"METL",</v>
      </c>
    </row>
    <row r="52" spans="1:4" x14ac:dyDescent="0.25">
      <c r="A52" t="s">
        <v>886</v>
      </c>
      <c r="B52" t="s">
        <v>942</v>
      </c>
      <c r="C52" t="s">
        <v>1016</v>
      </c>
      <c r="D52" t="str">
        <f t="shared" si="7"/>
        <v>"MILK",</v>
      </c>
    </row>
    <row r="53" spans="1:4" x14ac:dyDescent="0.25">
      <c r="A53" t="s">
        <v>913</v>
      </c>
      <c r="B53" t="s">
        <v>965</v>
      </c>
      <c r="C53" t="s">
        <v>978</v>
      </c>
      <c r="D53" t="str">
        <f t="shared" si="7"/>
        <v>"MNO2",</v>
      </c>
    </row>
    <row r="54" spans="1:4" x14ac:dyDescent="0.25">
      <c r="A54" t="s">
        <v>869</v>
      </c>
      <c r="B54" t="s">
        <v>1114</v>
      </c>
      <c r="C54" t="s">
        <v>1038</v>
      </c>
      <c r="D54" t="str">
        <f t="shared" si="7"/>
        <v>"MNSP",</v>
      </c>
    </row>
    <row r="55" spans="1:4" x14ac:dyDescent="0.25">
      <c r="A55" t="s">
        <v>1017</v>
      </c>
      <c r="B55" t="s">
        <v>1018</v>
      </c>
      <c r="C55" t="s">
        <v>978</v>
      </c>
      <c r="D55" t="str">
        <f t="shared" si="7"/>
        <v>"NITR",</v>
      </c>
    </row>
    <row r="56" spans="1:4" x14ac:dyDescent="0.25">
      <c r="A56" t="s">
        <v>1039</v>
      </c>
      <c r="B56" t="s">
        <v>1040</v>
      </c>
      <c r="C56" t="s">
        <v>982</v>
      </c>
      <c r="D56" t="str">
        <f t="shared" si="7"/>
        <v>"NUTS",</v>
      </c>
    </row>
    <row r="57" spans="1:4" x14ac:dyDescent="0.25">
      <c r="A57" t="s">
        <v>311</v>
      </c>
      <c r="B57" t="s">
        <v>937</v>
      </c>
      <c r="C57" t="s">
        <v>980</v>
      </c>
      <c r="D57" t="str">
        <f t="shared" si="7"/>
        <v>"OIL_",</v>
      </c>
    </row>
    <row r="58" spans="1:4" x14ac:dyDescent="0.25">
      <c r="A58" t="s">
        <v>892</v>
      </c>
      <c r="B58" t="s">
        <v>972</v>
      </c>
      <c r="C58" t="s">
        <v>1003</v>
      </c>
      <c r="D58" t="str">
        <f t="shared" si="7"/>
        <v>"OLSD",</v>
      </c>
    </row>
    <row r="59" spans="1:4" x14ac:dyDescent="0.25">
      <c r="A59" t="s">
        <v>870</v>
      </c>
      <c r="B59" t="s">
        <v>934</v>
      </c>
      <c r="C59" t="s">
        <v>982</v>
      </c>
      <c r="D59" t="str">
        <f t="shared" si="7"/>
        <v>"PAPR",</v>
      </c>
    </row>
    <row r="60" spans="1:4" x14ac:dyDescent="0.25">
      <c r="A60" t="s">
        <v>310</v>
      </c>
      <c r="B60" t="s">
        <v>914</v>
      </c>
      <c r="C60" t="s">
        <v>977</v>
      </c>
      <c r="D60" t="str">
        <f t="shared" si="7"/>
        <v>"PASS",</v>
      </c>
    </row>
    <row r="61" spans="1:4" x14ac:dyDescent="0.25">
      <c r="A61" t="s">
        <v>1019</v>
      </c>
      <c r="B61" t="s">
        <v>1020</v>
      </c>
      <c r="C61" t="s">
        <v>978</v>
      </c>
      <c r="D61" t="str">
        <f t="shared" si="7"/>
        <v>"PEAT",</v>
      </c>
    </row>
    <row r="62" spans="1:4" x14ac:dyDescent="0.25">
      <c r="A62" t="s">
        <v>876</v>
      </c>
      <c r="B62" t="s">
        <v>938</v>
      </c>
      <c r="C62" t="s">
        <v>980</v>
      </c>
      <c r="D62" t="str">
        <f t="shared" si="7"/>
        <v>"PETR",</v>
      </c>
    </row>
    <row r="63" spans="1:4" x14ac:dyDescent="0.25">
      <c r="A63" t="s">
        <v>1021</v>
      </c>
      <c r="B63" t="s">
        <v>1022</v>
      </c>
      <c r="C63" t="s">
        <v>978</v>
      </c>
      <c r="D63" t="str">
        <f t="shared" si="7"/>
        <v>"PHOS",</v>
      </c>
    </row>
    <row r="64" spans="1:4" x14ac:dyDescent="0.25">
      <c r="A64" t="s">
        <v>1041</v>
      </c>
      <c r="B64" t="s">
        <v>1042</v>
      </c>
      <c r="C64" t="s">
        <v>982</v>
      </c>
      <c r="D64" t="str">
        <f t="shared" si="7"/>
        <v>"PIPE",</v>
      </c>
    </row>
    <row r="65" spans="1:4" x14ac:dyDescent="0.25">
      <c r="A65" t="s">
        <v>877</v>
      </c>
      <c r="B65" t="s">
        <v>939</v>
      </c>
      <c r="C65" t="s">
        <v>1024</v>
      </c>
      <c r="D65" t="str">
        <f t="shared" si="7"/>
        <v>"PLAS",</v>
      </c>
    </row>
    <row r="66" spans="1:4" x14ac:dyDescent="0.25">
      <c r="A66" t="s">
        <v>1065</v>
      </c>
      <c r="B66" t="s">
        <v>1023</v>
      </c>
      <c r="C66" t="s">
        <v>980</v>
      </c>
      <c r="D66" t="str">
        <f t="shared" ref="D66:D97" si="8">CONCATENATE("""", A66, """,")</f>
        <v>"PLST",</v>
      </c>
    </row>
    <row r="67" spans="1:4" x14ac:dyDescent="0.25">
      <c r="A67" t="s">
        <v>1025</v>
      </c>
      <c r="B67" t="s">
        <v>1026</v>
      </c>
      <c r="C67" t="s">
        <v>978</v>
      </c>
      <c r="D67" t="str">
        <f t="shared" si="8"/>
        <v>"PORE",</v>
      </c>
    </row>
    <row r="68" spans="1:4" x14ac:dyDescent="0.25">
      <c r="A68" t="s">
        <v>1027</v>
      </c>
      <c r="B68" t="s">
        <v>1028</v>
      </c>
      <c r="C68" t="s">
        <v>1003</v>
      </c>
      <c r="D68" t="str">
        <f t="shared" si="8"/>
        <v>"POTA",</v>
      </c>
    </row>
    <row r="69" spans="1:4" x14ac:dyDescent="0.25">
      <c r="A69" t="s">
        <v>1043</v>
      </c>
      <c r="B69" t="s">
        <v>1121</v>
      </c>
      <c r="C69" t="s">
        <v>982</v>
      </c>
      <c r="D69" t="str">
        <f t="shared" si="8"/>
        <v>"POWR",</v>
      </c>
    </row>
    <row r="70" spans="1:4" x14ac:dyDescent="0.25">
      <c r="A70" t="s">
        <v>905</v>
      </c>
      <c r="B70" t="s">
        <v>966</v>
      </c>
      <c r="C70" t="s">
        <v>1003</v>
      </c>
      <c r="D70" t="str">
        <f t="shared" si="8"/>
        <v>"QLME",</v>
      </c>
    </row>
    <row r="71" spans="1:4" x14ac:dyDescent="0.25">
      <c r="A71" t="s">
        <v>911</v>
      </c>
      <c r="B71" t="s">
        <v>968</v>
      </c>
      <c r="C71" t="s">
        <v>1044</v>
      </c>
      <c r="D71" t="str">
        <f t="shared" si="8"/>
        <v>"RCYC",</v>
      </c>
    </row>
    <row r="72" spans="1:4" x14ac:dyDescent="0.25">
      <c r="A72" t="s">
        <v>875</v>
      </c>
      <c r="B72" t="s">
        <v>1120</v>
      </c>
      <c r="C72" t="s">
        <v>980</v>
      </c>
      <c r="D72" t="str">
        <f t="shared" si="8"/>
        <v>"RFPR",</v>
      </c>
    </row>
    <row r="73" spans="1:4" x14ac:dyDescent="0.25">
      <c r="A73" t="s">
        <v>887</v>
      </c>
      <c r="B73" t="s">
        <v>948</v>
      </c>
      <c r="C73" t="s">
        <v>980</v>
      </c>
      <c r="D73" t="str">
        <f t="shared" si="8"/>
        <v>"RUBR",</v>
      </c>
    </row>
    <row r="74" spans="1:4" x14ac:dyDescent="0.25">
      <c r="A74" t="s">
        <v>906</v>
      </c>
      <c r="B74" t="s">
        <v>961</v>
      </c>
      <c r="C74" t="s">
        <v>978</v>
      </c>
      <c r="D74" t="str">
        <f t="shared" si="8"/>
        <v>"SALT",</v>
      </c>
    </row>
    <row r="75" spans="1:4" x14ac:dyDescent="0.25">
      <c r="A75" t="s">
        <v>858</v>
      </c>
      <c r="B75" t="s">
        <v>920</v>
      </c>
      <c r="C75" t="s">
        <v>978</v>
      </c>
      <c r="D75" t="str">
        <f t="shared" si="8"/>
        <v>"SAND",</v>
      </c>
    </row>
    <row r="76" spans="1:4" x14ac:dyDescent="0.25">
      <c r="A76" t="s">
        <v>907</v>
      </c>
      <c r="B76" t="s">
        <v>976</v>
      </c>
      <c r="C76" t="s">
        <v>1003</v>
      </c>
      <c r="D76" t="str">
        <f t="shared" si="8"/>
        <v>"SASH",</v>
      </c>
    </row>
    <row r="77" spans="1:4" x14ac:dyDescent="0.25">
      <c r="A77" t="s">
        <v>862</v>
      </c>
      <c r="B77" t="s">
        <v>924</v>
      </c>
      <c r="C77" t="s">
        <v>1029</v>
      </c>
      <c r="D77" t="str">
        <f t="shared" si="8"/>
        <v>"SCMT",</v>
      </c>
    </row>
    <row r="78" spans="1:4" x14ac:dyDescent="0.25">
      <c r="A78" t="s">
        <v>888</v>
      </c>
      <c r="B78" t="s">
        <v>949</v>
      </c>
      <c r="C78" t="s">
        <v>978</v>
      </c>
      <c r="D78" t="str">
        <f t="shared" si="8"/>
        <v>"SGBT",</v>
      </c>
    </row>
    <row r="79" spans="1:4" x14ac:dyDescent="0.25">
      <c r="A79" t="s">
        <v>889</v>
      </c>
      <c r="B79" t="s">
        <v>950</v>
      </c>
      <c r="C79" t="s">
        <v>1029</v>
      </c>
      <c r="D79" t="str">
        <f t="shared" si="8"/>
        <v>"SGCN",</v>
      </c>
    </row>
    <row r="80" spans="1:4" x14ac:dyDescent="0.25">
      <c r="A80" t="s">
        <v>910</v>
      </c>
      <c r="B80" t="s">
        <v>963</v>
      </c>
      <c r="C80" t="s">
        <v>978</v>
      </c>
      <c r="D80" t="str">
        <f t="shared" si="8"/>
        <v>"SLAG",</v>
      </c>
    </row>
    <row r="81" spans="1:4" x14ac:dyDescent="0.25">
      <c r="A81" t="s">
        <v>1045</v>
      </c>
      <c r="B81" t="s">
        <v>1046</v>
      </c>
      <c r="C81" t="s">
        <v>982</v>
      </c>
      <c r="D81" t="str">
        <f t="shared" si="8"/>
        <v>"STAL",</v>
      </c>
    </row>
    <row r="82" spans="1:4" x14ac:dyDescent="0.25">
      <c r="A82" t="s">
        <v>1047</v>
      </c>
      <c r="B82" t="s">
        <v>1048</v>
      </c>
      <c r="C82" t="s">
        <v>982</v>
      </c>
      <c r="D82" t="str">
        <f t="shared" si="8"/>
        <v>"STCB",</v>
      </c>
    </row>
    <row r="83" spans="1:4" x14ac:dyDescent="0.25">
      <c r="A83" t="s">
        <v>833</v>
      </c>
      <c r="B83" t="s">
        <v>929</v>
      </c>
      <c r="C83" t="s">
        <v>982</v>
      </c>
      <c r="D83" t="str">
        <f t="shared" si="8"/>
        <v>"STEL",</v>
      </c>
    </row>
    <row r="84" spans="1:4" x14ac:dyDescent="0.25">
      <c r="A84" t="s">
        <v>1049</v>
      </c>
      <c r="B84" t="s">
        <v>1050</v>
      </c>
      <c r="C84" t="s">
        <v>982</v>
      </c>
      <c r="D84" t="str">
        <f t="shared" si="8"/>
        <v>"STST",</v>
      </c>
    </row>
    <row r="85" spans="1:4" x14ac:dyDescent="0.25">
      <c r="A85" t="s">
        <v>893</v>
      </c>
      <c r="B85" t="s">
        <v>952</v>
      </c>
      <c r="C85" t="s">
        <v>978</v>
      </c>
      <c r="D85" t="str">
        <f t="shared" si="8"/>
        <v>"SUGR",</v>
      </c>
    </row>
    <row r="86" spans="1:4" x14ac:dyDescent="0.25">
      <c r="A86" t="s">
        <v>908</v>
      </c>
      <c r="B86" t="s">
        <v>967</v>
      </c>
      <c r="C86" t="s">
        <v>1003</v>
      </c>
      <c r="D86" t="str">
        <f t="shared" si="8"/>
        <v>"SULP",</v>
      </c>
    </row>
    <row r="87" spans="1:4" x14ac:dyDescent="0.25">
      <c r="A87" t="s">
        <v>1066</v>
      </c>
      <c r="B87" t="s">
        <v>1077</v>
      </c>
      <c r="C87" t="s">
        <v>983</v>
      </c>
      <c r="D87" t="str">
        <f t="shared" si="8"/>
        <v>"SWET",</v>
      </c>
    </row>
    <row r="88" spans="1:4" x14ac:dyDescent="0.25">
      <c r="A88" t="s">
        <v>1067</v>
      </c>
      <c r="B88" t="s">
        <v>1068</v>
      </c>
      <c r="C88" t="s">
        <v>978</v>
      </c>
      <c r="D88" t="str">
        <f t="shared" si="8"/>
        <v>"TOFF",</v>
      </c>
    </row>
    <row r="89" spans="1:4" x14ac:dyDescent="0.25">
      <c r="A89" t="s">
        <v>855</v>
      </c>
      <c r="B89" t="s">
        <v>915</v>
      </c>
      <c r="C89" t="s">
        <v>1030</v>
      </c>
      <c r="D89" t="str">
        <f t="shared" si="8"/>
        <v>"TOUR",</v>
      </c>
    </row>
    <row r="90" spans="1:4" x14ac:dyDescent="0.25">
      <c r="A90" t="s">
        <v>1069</v>
      </c>
      <c r="B90" t="s">
        <v>1070</v>
      </c>
      <c r="C90" t="s">
        <v>982</v>
      </c>
      <c r="D90" t="str">
        <f t="shared" si="8"/>
        <v>"TOYS",</v>
      </c>
    </row>
    <row r="91" spans="1:4" x14ac:dyDescent="0.25">
      <c r="A91" t="s">
        <v>1031</v>
      </c>
      <c r="B91" t="s">
        <v>1032</v>
      </c>
      <c r="C91" t="s">
        <v>982</v>
      </c>
      <c r="D91" t="str">
        <f t="shared" si="8"/>
        <v>"TYRE",</v>
      </c>
    </row>
    <row r="92" spans="1:4" x14ac:dyDescent="0.25">
      <c r="A92" t="s">
        <v>1033</v>
      </c>
      <c r="B92" t="s">
        <v>1034</v>
      </c>
      <c r="C92" t="s">
        <v>1035</v>
      </c>
      <c r="D92" t="str">
        <f t="shared" si="8"/>
        <v>"URAN",</v>
      </c>
    </row>
    <row r="93" spans="1:4" x14ac:dyDescent="0.25">
      <c r="A93" t="s">
        <v>895</v>
      </c>
      <c r="B93" t="s">
        <v>954</v>
      </c>
      <c r="C93" t="s">
        <v>984</v>
      </c>
      <c r="D93" t="str">
        <f t="shared" si="8"/>
        <v>"VALU",</v>
      </c>
    </row>
    <row r="94" spans="1:4" x14ac:dyDescent="0.25">
      <c r="A94" t="s">
        <v>1051</v>
      </c>
      <c r="B94" t="s">
        <v>1075</v>
      </c>
      <c r="C94" t="s">
        <v>982</v>
      </c>
      <c r="D94" t="str">
        <f t="shared" si="8"/>
        <v>"VBOD",</v>
      </c>
    </row>
    <row r="95" spans="1:4" x14ac:dyDescent="0.25">
      <c r="A95" t="s">
        <v>872</v>
      </c>
      <c r="B95" t="s">
        <v>935</v>
      </c>
      <c r="C95" t="s">
        <v>1013</v>
      </c>
      <c r="D95" t="str">
        <f t="shared" si="8"/>
        <v>"VEHI",</v>
      </c>
    </row>
    <row r="96" spans="1:4" x14ac:dyDescent="0.25">
      <c r="A96" t="s">
        <v>1052</v>
      </c>
      <c r="B96" t="s">
        <v>1053</v>
      </c>
      <c r="C96" t="s">
        <v>982</v>
      </c>
      <c r="D96" t="str">
        <f t="shared" si="8"/>
        <v>"VENG",</v>
      </c>
    </row>
    <row r="97" spans="1:4" x14ac:dyDescent="0.25">
      <c r="A97" t="s">
        <v>1054</v>
      </c>
      <c r="B97" t="s">
        <v>1055</v>
      </c>
      <c r="C97" t="s">
        <v>1038</v>
      </c>
      <c r="D97" t="str">
        <f t="shared" si="8"/>
        <v>"VPTS",</v>
      </c>
    </row>
    <row r="98" spans="1:4" x14ac:dyDescent="0.25">
      <c r="A98" t="s">
        <v>878</v>
      </c>
      <c r="B98" t="s">
        <v>940</v>
      </c>
      <c r="C98" t="s">
        <v>980</v>
      </c>
      <c r="D98" t="str">
        <f t="shared" ref="D98:D112" si="9">CONCATENATE("""", A98, """,")</f>
        <v>"WATR",</v>
      </c>
    </row>
    <row r="99" spans="1:4" x14ac:dyDescent="0.25">
      <c r="A99" t="s">
        <v>871</v>
      </c>
      <c r="B99" t="s">
        <v>1089</v>
      </c>
      <c r="C99" t="s">
        <v>1012</v>
      </c>
      <c r="D99" t="str">
        <f t="shared" si="9"/>
        <v>"WDPR",</v>
      </c>
    </row>
    <row r="100" spans="1:4" x14ac:dyDescent="0.25">
      <c r="A100" t="s">
        <v>890</v>
      </c>
      <c r="B100" t="s">
        <v>951</v>
      </c>
      <c r="C100" t="s">
        <v>978</v>
      </c>
      <c r="D100" t="str">
        <f t="shared" si="9"/>
        <v>"WHEA",</v>
      </c>
    </row>
    <row r="101" spans="1:4" x14ac:dyDescent="0.25">
      <c r="A101" t="s">
        <v>438</v>
      </c>
      <c r="B101" t="s">
        <v>925</v>
      </c>
      <c r="C101" t="s">
        <v>982</v>
      </c>
      <c r="D101" t="str">
        <f t="shared" si="9"/>
        <v>"WOOD",</v>
      </c>
    </row>
    <row r="102" spans="1:4" x14ac:dyDescent="0.25">
      <c r="A102" t="s">
        <v>891</v>
      </c>
      <c r="B102" t="s">
        <v>943</v>
      </c>
      <c r="C102" t="s">
        <v>994</v>
      </c>
      <c r="D102" t="str">
        <f t="shared" si="9"/>
        <v>"WOOL",</v>
      </c>
    </row>
    <row r="103" spans="1:4" x14ac:dyDescent="0.25">
      <c r="A103" t="s">
        <v>981</v>
      </c>
      <c r="B103" t="s">
        <v>1078</v>
      </c>
      <c r="C103" t="s">
        <v>1071</v>
      </c>
      <c r="D103" t="str">
        <f t="shared" si="9"/>
        <v>"YETI",</v>
      </c>
    </row>
    <row r="104" spans="1:4" x14ac:dyDescent="0.25">
      <c r="A104" t="s">
        <v>1072</v>
      </c>
      <c r="B104" t="s">
        <v>1079</v>
      </c>
      <c r="C104" t="s">
        <v>1071</v>
      </c>
      <c r="D104" t="str">
        <f t="shared" si="9"/>
        <v>"YETY",</v>
      </c>
    </row>
    <row r="105" spans="1:4" x14ac:dyDescent="0.25">
      <c r="A105" t="s">
        <v>909</v>
      </c>
      <c r="B105" t="s">
        <v>962</v>
      </c>
      <c r="C105" t="s">
        <v>982</v>
      </c>
      <c r="D105" t="str">
        <f t="shared" si="9"/>
        <v>"ZINC",</v>
      </c>
    </row>
    <row r="106" spans="1:4" x14ac:dyDescent="0.25">
      <c r="A106" t="s">
        <v>1117</v>
      </c>
      <c r="B106" t="s">
        <v>1116</v>
      </c>
      <c r="C106" t="s">
        <v>1024</v>
      </c>
      <c r="D106" t="str">
        <f t="shared" si="9"/>
        <v>"SOAP",</v>
      </c>
    </row>
    <row r="107" spans="1:4" x14ac:dyDescent="0.25">
      <c r="A107" t="s">
        <v>1118</v>
      </c>
      <c r="B107" t="s">
        <v>1119</v>
      </c>
      <c r="C107" t="s">
        <v>1006</v>
      </c>
      <c r="D107" t="str">
        <f t="shared" si="9"/>
        <v>"NH3_",</v>
      </c>
    </row>
    <row r="108" spans="1:4" x14ac:dyDescent="0.25">
      <c r="A108" t="s">
        <v>1122</v>
      </c>
      <c r="B108" t="s">
        <v>1123</v>
      </c>
      <c r="C108" t="s">
        <v>1006</v>
      </c>
      <c r="D108" t="str">
        <f t="shared" si="9"/>
        <v>"O2__",</v>
      </c>
    </row>
    <row r="109" spans="1:4" x14ac:dyDescent="0.25">
      <c r="A109" t="s">
        <v>1124</v>
      </c>
      <c r="B109" t="s">
        <v>1125</v>
      </c>
      <c r="C109" t="s">
        <v>1024</v>
      </c>
      <c r="D109" t="str">
        <f t="shared" si="9"/>
        <v>"COAT",</v>
      </c>
    </row>
    <row r="110" spans="1:4" x14ac:dyDescent="0.25">
      <c r="A110" t="s">
        <v>1126</v>
      </c>
      <c r="B110" t="s">
        <v>1115</v>
      </c>
      <c r="C110" t="s">
        <v>982</v>
      </c>
      <c r="D110" t="str">
        <f t="shared" si="9"/>
        <v>"RBAR",</v>
      </c>
    </row>
    <row r="111" spans="1:4" x14ac:dyDescent="0.25">
      <c r="A111" t="s">
        <v>1127</v>
      </c>
      <c r="B111" t="s">
        <v>1128</v>
      </c>
      <c r="C111" t="s">
        <v>982</v>
      </c>
      <c r="D111" t="str">
        <f t="shared" si="9"/>
        <v>"STSH",</v>
      </c>
    </row>
    <row r="112" spans="1:4" x14ac:dyDescent="0.25">
      <c r="A112" t="s">
        <v>1129</v>
      </c>
      <c r="B112" t="s">
        <v>1130</v>
      </c>
      <c r="C112" t="s">
        <v>982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2020-11-29T23:25:43Z</dcterms:modified>
</cp:coreProperties>
</file>