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C4C34E64-F946-44E0-9936-429B2BC42282}" xr6:coauthVersionLast="45" xr6:coauthVersionMax="45" xr10:uidLastSave="{00000000-0000-0000-0000-000000000000}"/>
  <bookViews>
    <workbookView xWindow="3240" yWindow="4425" windowWidth="22425" windowHeight="999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Table!$A$1:$BJ$248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Y3" i="1" l="1"/>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 i="1"/>
  <c r="AW3" i="1"/>
  <c r="AW4" i="1"/>
  <c r="AW5" i="1"/>
  <c r="AW6" i="1"/>
  <c r="AW7" i="1"/>
  <c r="AW8" i="1"/>
  <c r="AW9" i="1"/>
  <c r="AW10" i="1"/>
  <c r="AW11" i="1"/>
  <c r="AW12" i="1"/>
  <c r="AW13" i="1"/>
  <c r="AW14" i="1"/>
  <c r="AW15" i="1"/>
  <c r="AW16" i="1"/>
  <c r="AW17" i="1"/>
  <c r="AW18" i="1"/>
  <c r="AW19" i="1"/>
  <c r="AW20" i="1"/>
  <c r="AW21" i="1"/>
  <c r="AW22" i="1"/>
  <c r="AW23" i="1"/>
  <c r="AW24" i="1"/>
  <c r="AW25" i="1"/>
  <c r="AW26" i="1"/>
  <c r="BA26" i="1" s="1"/>
  <c r="AW27" i="1"/>
  <c r="AW28" i="1"/>
  <c r="AW29" i="1"/>
  <c r="AW30" i="1"/>
  <c r="AW31" i="1"/>
  <c r="AW32" i="1"/>
  <c r="AW33" i="1"/>
  <c r="AW34" i="1"/>
  <c r="BA34" i="1" s="1"/>
  <c r="AW35" i="1"/>
  <c r="AW36" i="1"/>
  <c r="AW37" i="1"/>
  <c r="AW38" i="1"/>
  <c r="BA38" i="1" s="1"/>
  <c r="AW39" i="1"/>
  <c r="AW40" i="1"/>
  <c r="AW41" i="1"/>
  <c r="AW42" i="1"/>
  <c r="AW43" i="1"/>
  <c r="AW44" i="1"/>
  <c r="AW45" i="1"/>
  <c r="AW46" i="1"/>
  <c r="AW47" i="1"/>
  <c r="AW48" i="1"/>
  <c r="AW49" i="1"/>
  <c r="AW50" i="1"/>
  <c r="BA50" i="1" s="1"/>
  <c r="AW51" i="1"/>
  <c r="AW52" i="1"/>
  <c r="AW53" i="1"/>
  <c r="AW54" i="1"/>
  <c r="AW55" i="1"/>
  <c r="AW56" i="1"/>
  <c r="AW57" i="1"/>
  <c r="AW58" i="1"/>
  <c r="AW59" i="1"/>
  <c r="AW60" i="1"/>
  <c r="AW61" i="1"/>
  <c r="AW62" i="1"/>
  <c r="AW63" i="1"/>
  <c r="AW64" i="1"/>
  <c r="AW65" i="1"/>
  <c r="AW66" i="1"/>
  <c r="AW67" i="1"/>
  <c r="AW68" i="1"/>
  <c r="AW69" i="1"/>
  <c r="AW70" i="1"/>
  <c r="AW71" i="1"/>
  <c r="AW72" i="1"/>
  <c r="AW73" i="1"/>
  <c r="AW74" i="1"/>
  <c r="BA74" i="1" s="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BA114" i="1" s="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BA138" i="1" s="1"/>
  <c r="AW139" i="1"/>
  <c r="AW140" i="1"/>
  <c r="AW141" i="1"/>
  <c r="AW142" i="1"/>
  <c r="AW143" i="1"/>
  <c r="AW144" i="1"/>
  <c r="AW145" i="1"/>
  <c r="AW146" i="1"/>
  <c r="AW147" i="1"/>
  <c r="AW148" i="1"/>
  <c r="AW149" i="1"/>
  <c r="AW150" i="1"/>
  <c r="AW151" i="1"/>
  <c r="AW152" i="1"/>
  <c r="AW153" i="1"/>
  <c r="AW154" i="1"/>
  <c r="BA154" i="1" s="1"/>
  <c r="AW155" i="1"/>
  <c r="AW156" i="1"/>
  <c r="AW157" i="1"/>
  <c r="AW158" i="1"/>
  <c r="AW159" i="1"/>
  <c r="AW160" i="1"/>
  <c r="AW161" i="1"/>
  <c r="AW162" i="1"/>
  <c r="AW163" i="1"/>
  <c r="AW164" i="1"/>
  <c r="AW165" i="1"/>
  <c r="AW166" i="1"/>
  <c r="BA166" i="1" s="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Z3" i="1"/>
  <c r="AW2" i="1"/>
  <c r="AV3" i="1"/>
  <c r="AV4" i="1"/>
  <c r="AV5" i="1"/>
  <c r="AV6" i="1"/>
  <c r="AV7" i="1"/>
  <c r="AV8" i="1"/>
  <c r="AV9" i="1"/>
  <c r="AV10" i="1"/>
  <c r="AV11" i="1"/>
  <c r="AV12" i="1"/>
  <c r="AV13" i="1"/>
  <c r="AV14" i="1"/>
  <c r="BA14" i="1" s="1"/>
  <c r="AV15" i="1"/>
  <c r="AV16" i="1"/>
  <c r="AV17" i="1"/>
  <c r="AV18" i="1"/>
  <c r="BA18" i="1" s="1"/>
  <c r="AV19" i="1"/>
  <c r="AV20" i="1"/>
  <c r="AV21" i="1"/>
  <c r="AV22" i="1"/>
  <c r="BA22" i="1" s="1"/>
  <c r="AV23" i="1"/>
  <c r="AV24" i="1"/>
  <c r="AV25" i="1"/>
  <c r="AV26" i="1"/>
  <c r="AV27" i="1"/>
  <c r="AV28" i="1"/>
  <c r="AV29" i="1"/>
  <c r="AV30" i="1"/>
  <c r="BA30" i="1" s="1"/>
  <c r="AV31" i="1"/>
  <c r="AV32" i="1"/>
  <c r="AV33" i="1"/>
  <c r="AV34" i="1"/>
  <c r="AV35" i="1"/>
  <c r="AV36" i="1"/>
  <c r="AV37" i="1"/>
  <c r="AV38" i="1"/>
  <c r="AV39" i="1"/>
  <c r="AV40" i="1"/>
  <c r="AV41" i="1"/>
  <c r="AV42" i="1"/>
  <c r="BA42" i="1" s="1"/>
  <c r="AV43" i="1"/>
  <c r="AV44" i="1"/>
  <c r="AV45" i="1"/>
  <c r="AV46" i="1"/>
  <c r="BA46" i="1" s="1"/>
  <c r="AV47" i="1"/>
  <c r="AV48" i="1"/>
  <c r="AV49" i="1"/>
  <c r="AV50" i="1"/>
  <c r="AV51" i="1"/>
  <c r="AV52" i="1"/>
  <c r="AV53" i="1"/>
  <c r="AV54" i="1"/>
  <c r="BA54" i="1" s="1"/>
  <c r="AV55" i="1"/>
  <c r="AV56" i="1"/>
  <c r="AV57" i="1"/>
  <c r="AV58" i="1"/>
  <c r="BA58" i="1" s="1"/>
  <c r="AV59" i="1"/>
  <c r="AV60" i="1"/>
  <c r="AV61" i="1"/>
  <c r="AV62" i="1"/>
  <c r="BA62" i="1" s="1"/>
  <c r="AV63" i="1"/>
  <c r="AV64" i="1"/>
  <c r="AV65" i="1"/>
  <c r="AV66" i="1"/>
  <c r="BA66" i="1" s="1"/>
  <c r="AV67" i="1"/>
  <c r="AV68" i="1"/>
  <c r="AV69" i="1"/>
  <c r="AV70" i="1"/>
  <c r="BA70" i="1" s="1"/>
  <c r="AV71" i="1"/>
  <c r="AV72" i="1"/>
  <c r="AV73" i="1"/>
  <c r="AV74" i="1"/>
  <c r="AV75" i="1"/>
  <c r="AV76" i="1"/>
  <c r="AV77" i="1"/>
  <c r="AV78" i="1"/>
  <c r="BA78" i="1" s="1"/>
  <c r="AV79" i="1"/>
  <c r="AV80" i="1"/>
  <c r="AV81" i="1"/>
  <c r="AV82" i="1"/>
  <c r="BA82" i="1" s="1"/>
  <c r="AV83" i="1"/>
  <c r="AV84" i="1"/>
  <c r="AV85" i="1"/>
  <c r="AV86" i="1"/>
  <c r="BA86" i="1" s="1"/>
  <c r="AV87" i="1"/>
  <c r="AV88" i="1"/>
  <c r="AV89" i="1"/>
  <c r="AV90" i="1"/>
  <c r="AV91" i="1"/>
  <c r="AV92" i="1"/>
  <c r="AV93" i="1"/>
  <c r="AV94" i="1"/>
  <c r="BA94" i="1" s="1"/>
  <c r="AV95" i="1"/>
  <c r="AV96" i="1"/>
  <c r="AV97" i="1"/>
  <c r="AV98" i="1"/>
  <c r="BA98" i="1" s="1"/>
  <c r="AV99" i="1"/>
  <c r="AV100" i="1"/>
  <c r="AV101" i="1"/>
  <c r="AV102" i="1"/>
  <c r="BA102" i="1" s="1"/>
  <c r="AV103" i="1"/>
  <c r="AV104" i="1"/>
  <c r="AV105" i="1"/>
  <c r="AV106" i="1"/>
  <c r="BA106" i="1" s="1"/>
  <c r="AV107" i="1"/>
  <c r="AV108" i="1"/>
  <c r="AV109" i="1"/>
  <c r="AV110" i="1"/>
  <c r="BA110" i="1" s="1"/>
  <c r="AV111" i="1"/>
  <c r="AV112" i="1"/>
  <c r="AV113" i="1"/>
  <c r="AV114" i="1"/>
  <c r="AV115" i="1"/>
  <c r="AV116" i="1"/>
  <c r="AV117" i="1"/>
  <c r="AV118" i="1"/>
  <c r="BA118" i="1" s="1"/>
  <c r="AV119" i="1"/>
  <c r="AV120" i="1"/>
  <c r="AV121" i="1"/>
  <c r="AV122" i="1"/>
  <c r="BA122" i="1" s="1"/>
  <c r="AV123" i="1"/>
  <c r="AV124" i="1"/>
  <c r="AV125" i="1"/>
  <c r="AV126" i="1"/>
  <c r="BA126" i="1" s="1"/>
  <c r="AV127" i="1"/>
  <c r="AV128" i="1"/>
  <c r="AV129" i="1"/>
  <c r="AV130" i="1"/>
  <c r="BA130" i="1" s="1"/>
  <c r="AV131" i="1"/>
  <c r="AV132" i="1"/>
  <c r="AV133" i="1"/>
  <c r="AV134" i="1"/>
  <c r="BA134" i="1" s="1"/>
  <c r="AV135" i="1"/>
  <c r="AV136" i="1"/>
  <c r="AV137" i="1"/>
  <c r="AV138" i="1"/>
  <c r="AV139" i="1"/>
  <c r="AV140" i="1"/>
  <c r="AV141" i="1"/>
  <c r="AV142" i="1"/>
  <c r="BA142" i="1" s="1"/>
  <c r="AV143" i="1"/>
  <c r="AV144" i="1"/>
  <c r="AV145" i="1"/>
  <c r="AV146" i="1"/>
  <c r="BA146" i="1" s="1"/>
  <c r="AV147" i="1"/>
  <c r="AV148" i="1"/>
  <c r="AV149" i="1"/>
  <c r="AV150" i="1"/>
  <c r="BA150" i="1" s="1"/>
  <c r="AV151" i="1"/>
  <c r="AV152" i="1"/>
  <c r="AV153" i="1"/>
  <c r="AV154" i="1"/>
  <c r="AV155" i="1"/>
  <c r="AV156" i="1"/>
  <c r="AV157" i="1"/>
  <c r="AV158" i="1"/>
  <c r="BA158" i="1" s="1"/>
  <c r="AV159" i="1"/>
  <c r="AV160" i="1"/>
  <c r="AV161" i="1"/>
  <c r="AV162" i="1"/>
  <c r="AV163" i="1"/>
  <c r="AV164" i="1"/>
  <c r="AV165" i="1"/>
  <c r="AV166" i="1"/>
  <c r="AV167" i="1"/>
  <c r="AV168" i="1"/>
  <c r="AV169" i="1"/>
  <c r="BA169" i="1" s="1"/>
  <c r="AV170" i="1"/>
  <c r="BA170" i="1" s="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BA202" i="1" s="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 i="1"/>
  <c r="BA10" i="1"/>
  <c r="BA90" i="1"/>
  <c r="BA210" i="1"/>
  <c r="AS3" i="1"/>
  <c r="AT3" i="1"/>
  <c r="AU3" i="1"/>
  <c r="BA3" i="1"/>
  <c r="AX3" i="1"/>
  <c r="AS4" i="1"/>
  <c r="AT4" i="1"/>
  <c r="AU4" i="1"/>
  <c r="AX4" i="1"/>
  <c r="AS5" i="1"/>
  <c r="AT5" i="1"/>
  <c r="AU5" i="1"/>
  <c r="AX5" i="1"/>
  <c r="AS6" i="1"/>
  <c r="AT6" i="1"/>
  <c r="AU6" i="1"/>
  <c r="AX6" i="1"/>
  <c r="AS7" i="1"/>
  <c r="AT7" i="1"/>
  <c r="AU7" i="1"/>
  <c r="AX7" i="1"/>
  <c r="AZ7" i="1"/>
  <c r="AS8" i="1"/>
  <c r="AT8" i="1"/>
  <c r="AZ8" i="1" s="1"/>
  <c r="AU8" i="1"/>
  <c r="AX8" i="1"/>
  <c r="AS9" i="1"/>
  <c r="AT9" i="1"/>
  <c r="AU9" i="1"/>
  <c r="AX9" i="1"/>
  <c r="AS10" i="1"/>
  <c r="AT10" i="1"/>
  <c r="AU10" i="1"/>
  <c r="AX10" i="1"/>
  <c r="AS11" i="1"/>
  <c r="AT11" i="1"/>
  <c r="AU11" i="1"/>
  <c r="AX11" i="1"/>
  <c r="AZ11" i="1"/>
  <c r="AS12" i="1"/>
  <c r="AT12" i="1"/>
  <c r="AZ12" i="1" s="1"/>
  <c r="AU12" i="1"/>
  <c r="AX12" i="1"/>
  <c r="AS13" i="1"/>
  <c r="AT13" i="1"/>
  <c r="AU13" i="1"/>
  <c r="AX13" i="1"/>
  <c r="AS14" i="1"/>
  <c r="AT14" i="1"/>
  <c r="AU14" i="1"/>
  <c r="AX14" i="1"/>
  <c r="AS15" i="1"/>
  <c r="AT15" i="1"/>
  <c r="AU15" i="1"/>
  <c r="AX15" i="1"/>
  <c r="AZ15" i="1"/>
  <c r="AS16" i="1"/>
  <c r="AT16" i="1"/>
  <c r="AZ16" i="1" s="1"/>
  <c r="AU16" i="1"/>
  <c r="AX16" i="1"/>
  <c r="AS17" i="1"/>
  <c r="AT17" i="1"/>
  <c r="AU17" i="1"/>
  <c r="AX17" i="1"/>
  <c r="AS18" i="1"/>
  <c r="AT18" i="1"/>
  <c r="AU18" i="1"/>
  <c r="AX18" i="1"/>
  <c r="AS19" i="1"/>
  <c r="AT19" i="1"/>
  <c r="AU19" i="1"/>
  <c r="AX19" i="1"/>
  <c r="AZ19" i="1"/>
  <c r="AS20" i="1"/>
  <c r="AT20" i="1"/>
  <c r="AZ20" i="1" s="1"/>
  <c r="AU20" i="1"/>
  <c r="AX20" i="1"/>
  <c r="AS21" i="1"/>
  <c r="AT21" i="1"/>
  <c r="AU21" i="1"/>
  <c r="AX21" i="1"/>
  <c r="AS22" i="1"/>
  <c r="AT22" i="1"/>
  <c r="AU22" i="1"/>
  <c r="AX22" i="1"/>
  <c r="AS23" i="1"/>
  <c r="AT23" i="1"/>
  <c r="AU23" i="1"/>
  <c r="AX23" i="1"/>
  <c r="AZ23" i="1"/>
  <c r="AS24" i="1"/>
  <c r="AT24" i="1"/>
  <c r="AZ24" i="1" s="1"/>
  <c r="AU24" i="1"/>
  <c r="AX24" i="1"/>
  <c r="AS25" i="1"/>
  <c r="AT25" i="1"/>
  <c r="AU25" i="1"/>
  <c r="AX25" i="1"/>
  <c r="AS26" i="1"/>
  <c r="AT26" i="1"/>
  <c r="AU26" i="1"/>
  <c r="AX26" i="1"/>
  <c r="AS27" i="1"/>
  <c r="AT27" i="1"/>
  <c r="AU27" i="1"/>
  <c r="AX27" i="1"/>
  <c r="AZ27" i="1"/>
  <c r="AS28" i="1"/>
  <c r="AT28" i="1"/>
  <c r="AZ28" i="1" s="1"/>
  <c r="AU28" i="1"/>
  <c r="AX28" i="1"/>
  <c r="AS29" i="1"/>
  <c r="AT29" i="1"/>
  <c r="AU29" i="1"/>
  <c r="AX29" i="1"/>
  <c r="AS30" i="1"/>
  <c r="AT30" i="1"/>
  <c r="AU30" i="1"/>
  <c r="AX30" i="1"/>
  <c r="AS31" i="1"/>
  <c r="AT31" i="1"/>
  <c r="AU31" i="1"/>
  <c r="AX31" i="1"/>
  <c r="AZ31" i="1"/>
  <c r="AS32" i="1"/>
  <c r="AT32" i="1"/>
  <c r="AZ32" i="1" s="1"/>
  <c r="AU32" i="1"/>
  <c r="AX32" i="1"/>
  <c r="AS33" i="1"/>
  <c r="AT33" i="1"/>
  <c r="AU33" i="1"/>
  <c r="AX33" i="1"/>
  <c r="AS34" i="1"/>
  <c r="AT34" i="1"/>
  <c r="AU34" i="1"/>
  <c r="AX34" i="1"/>
  <c r="AS35" i="1"/>
  <c r="AT35" i="1"/>
  <c r="AU35" i="1"/>
  <c r="AX35" i="1"/>
  <c r="AZ35" i="1"/>
  <c r="AS36" i="1"/>
  <c r="AT36" i="1"/>
  <c r="AZ36" i="1" s="1"/>
  <c r="AU36" i="1"/>
  <c r="AX36" i="1"/>
  <c r="AS37" i="1"/>
  <c r="AT37" i="1"/>
  <c r="AU37" i="1"/>
  <c r="AX37" i="1"/>
  <c r="AS38" i="1"/>
  <c r="AT38" i="1"/>
  <c r="AU38" i="1"/>
  <c r="AX38" i="1"/>
  <c r="AS39" i="1"/>
  <c r="AT39" i="1"/>
  <c r="AU39" i="1"/>
  <c r="AX39" i="1"/>
  <c r="AZ39" i="1"/>
  <c r="AS40" i="1"/>
  <c r="AT40" i="1"/>
  <c r="AZ40" i="1" s="1"/>
  <c r="AU40" i="1"/>
  <c r="AX40" i="1"/>
  <c r="AS41" i="1"/>
  <c r="AZ41" i="1" s="1"/>
  <c r="AT41" i="1"/>
  <c r="AU41" i="1"/>
  <c r="AX41" i="1"/>
  <c r="AS42" i="1"/>
  <c r="AT42" i="1"/>
  <c r="AU42" i="1"/>
  <c r="AX42" i="1"/>
  <c r="AS43" i="1"/>
  <c r="AT43" i="1"/>
  <c r="AU43" i="1"/>
  <c r="AX43" i="1"/>
  <c r="AZ43" i="1"/>
  <c r="AS44" i="1"/>
  <c r="AT44" i="1"/>
  <c r="AZ44" i="1" s="1"/>
  <c r="AU44" i="1"/>
  <c r="AX44" i="1"/>
  <c r="AS45" i="1"/>
  <c r="AT45" i="1"/>
  <c r="AU45" i="1"/>
  <c r="AX45" i="1"/>
  <c r="AS46" i="1"/>
  <c r="AT46" i="1"/>
  <c r="AU46" i="1"/>
  <c r="AX46" i="1"/>
  <c r="AS47" i="1"/>
  <c r="AT47" i="1"/>
  <c r="AU47" i="1"/>
  <c r="BA47" i="1" s="1"/>
  <c r="AX47" i="1"/>
  <c r="AZ47" i="1"/>
  <c r="AS48" i="1"/>
  <c r="AT48" i="1"/>
  <c r="AZ48" i="1" s="1"/>
  <c r="AU48" i="1"/>
  <c r="AX48" i="1"/>
  <c r="AS49" i="1"/>
  <c r="AT49" i="1"/>
  <c r="AU49" i="1"/>
  <c r="AX49" i="1"/>
  <c r="AS50" i="1"/>
  <c r="AT50" i="1"/>
  <c r="AU50" i="1"/>
  <c r="AX50" i="1"/>
  <c r="AS51" i="1"/>
  <c r="AT51" i="1"/>
  <c r="AU51" i="1"/>
  <c r="AX51" i="1"/>
  <c r="AZ51" i="1"/>
  <c r="AS52" i="1"/>
  <c r="AT52" i="1"/>
  <c r="AZ52" i="1" s="1"/>
  <c r="AU52" i="1"/>
  <c r="AX52" i="1"/>
  <c r="AS53" i="1"/>
  <c r="AT53" i="1"/>
  <c r="AU53" i="1"/>
  <c r="AX53" i="1"/>
  <c r="AS54" i="1"/>
  <c r="AT54" i="1"/>
  <c r="AU54" i="1"/>
  <c r="AX54" i="1"/>
  <c r="AS55" i="1"/>
  <c r="AT55" i="1"/>
  <c r="AU55" i="1"/>
  <c r="BA55" i="1" s="1"/>
  <c r="AX55" i="1"/>
  <c r="AZ55" i="1"/>
  <c r="AS56" i="1"/>
  <c r="AT56" i="1"/>
  <c r="AZ56" i="1" s="1"/>
  <c r="AU56" i="1"/>
  <c r="AX56" i="1"/>
  <c r="AS57" i="1"/>
  <c r="AZ57" i="1" s="1"/>
  <c r="AT57" i="1"/>
  <c r="AU57" i="1"/>
  <c r="AX57" i="1"/>
  <c r="AS58" i="1"/>
  <c r="AT58" i="1"/>
  <c r="AU58" i="1"/>
  <c r="AX58" i="1"/>
  <c r="AS59" i="1"/>
  <c r="AT59" i="1"/>
  <c r="AU59" i="1"/>
  <c r="AX59" i="1"/>
  <c r="AZ59" i="1"/>
  <c r="AS60" i="1"/>
  <c r="AT60" i="1"/>
  <c r="AZ60" i="1" s="1"/>
  <c r="AU60" i="1"/>
  <c r="AX60" i="1"/>
  <c r="AS61" i="1"/>
  <c r="AT61" i="1"/>
  <c r="AU61" i="1"/>
  <c r="AX61" i="1"/>
  <c r="AS62" i="1"/>
  <c r="AT62" i="1"/>
  <c r="AU62" i="1"/>
  <c r="AX62" i="1"/>
  <c r="AS63" i="1"/>
  <c r="AT63" i="1"/>
  <c r="AU63" i="1"/>
  <c r="BA63" i="1" s="1"/>
  <c r="AX63" i="1"/>
  <c r="AZ63" i="1"/>
  <c r="AS64" i="1"/>
  <c r="AT64" i="1"/>
  <c r="AZ64" i="1" s="1"/>
  <c r="AU64" i="1"/>
  <c r="AX64" i="1"/>
  <c r="AS65" i="1"/>
  <c r="AT65" i="1"/>
  <c r="AU65" i="1"/>
  <c r="AX65" i="1"/>
  <c r="AS66" i="1"/>
  <c r="AT66" i="1"/>
  <c r="AU66" i="1"/>
  <c r="AX66" i="1"/>
  <c r="AS67" i="1"/>
  <c r="AT67" i="1"/>
  <c r="AU67" i="1"/>
  <c r="AX67" i="1"/>
  <c r="AZ67" i="1"/>
  <c r="AS68" i="1"/>
  <c r="AT68" i="1"/>
  <c r="AZ68" i="1" s="1"/>
  <c r="AU68" i="1"/>
  <c r="AX68" i="1"/>
  <c r="AS69" i="1"/>
  <c r="AT69" i="1"/>
  <c r="AU69" i="1"/>
  <c r="AX69" i="1"/>
  <c r="AS70" i="1"/>
  <c r="AT70" i="1"/>
  <c r="AU70" i="1"/>
  <c r="AX70" i="1"/>
  <c r="AS71" i="1"/>
  <c r="AT71" i="1"/>
  <c r="AU71" i="1"/>
  <c r="BA71" i="1" s="1"/>
  <c r="AX71" i="1"/>
  <c r="AZ71" i="1"/>
  <c r="AS72" i="1"/>
  <c r="AT72" i="1"/>
  <c r="AZ72" i="1" s="1"/>
  <c r="AU72" i="1"/>
  <c r="AX72" i="1"/>
  <c r="AS73" i="1"/>
  <c r="AZ73" i="1" s="1"/>
  <c r="AT73" i="1"/>
  <c r="AU73" i="1"/>
  <c r="AX73" i="1"/>
  <c r="AS74" i="1"/>
  <c r="AT74" i="1"/>
  <c r="AU74" i="1"/>
  <c r="AX74" i="1"/>
  <c r="AS75" i="1"/>
  <c r="AT75" i="1"/>
  <c r="AU75" i="1"/>
  <c r="AX75" i="1"/>
  <c r="AZ75" i="1"/>
  <c r="AS76" i="1"/>
  <c r="AT76" i="1"/>
  <c r="AZ76" i="1" s="1"/>
  <c r="AU76" i="1"/>
  <c r="AX76" i="1"/>
  <c r="AS77" i="1"/>
  <c r="AT77" i="1"/>
  <c r="AU77" i="1"/>
  <c r="AX77" i="1"/>
  <c r="AS78" i="1"/>
  <c r="AT78" i="1"/>
  <c r="AU78" i="1"/>
  <c r="AX78" i="1"/>
  <c r="AS79" i="1"/>
  <c r="AT79" i="1"/>
  <c r="AU79" i="1"/>
  <c r="BA79" i="1" s="1"/>
  <c r="AX79" i="1"/>
  <c r="AZ79" i="1"/>
  <c r="AS80" i="1"/>
  <c r="AT80" i="1"/>
  <c r="AZ80" i="1" s="1"/>
  <c r="AU80" i="1"/>
  <c r="AX80" i="1"/>
  <c r="AS81" i="1"/>
  <c r="AT81" i="1"/>
  <c r="AU81" i="1"/>
  <c r="AX81" i="1"/>
  <c r="AS82" i="1"/>
  <c r="AT82" i="1"/>
  <c r="AU82" i="1"/>
  <c r="AX82" i="1"/>
  <c r="AS83" i="1"/>
  <c r="AT83" i="1"/>
  <c r="AU83" i="1"/>
  <c r="AX83" i="1"/>
  <c r="AZ83" i="1"/>
  <c r="AS84" i="1"/>
  <c r="AT84" i="1"/>
  <c r="AZ84" i="1" s="1"/>
  <c r="AU84" i="1"/>
  <c r="AX84" i="1"/>
  <c r="AS85" i="1"/>
  <c r="AT85" i="1"/>
  <c r="AU85" i="1"/>
  <c r="AX85" i="1"/>
  <c r="AS86" i="1"/>
  <c r="AT86" i="1"/>
  <c r="AU86" i="1"/>
  <c r="AX86" i="1"/>
  <c r="AS87" i="1"/>
  <c r="AT87" i="1"/>
  <c r="AU87" i="1"/>
  <c r="BA87" i="1" s="1"/>
  <c r="AX87" i="1"/>
  <c r="AZ87" i="1"/>
  <c r="AS88" i="1"/>
  <c r="AT88" i="1"/>
  <c r="AZ88" i="1" s="1"/>
  <c r="AU88" i="1"/>
  <c r="AX88" i="1"/>
  <c r="AS89" i="1"/>
  <c r="AZ89" i="1" s="1"/>
  <c r="AT89" i="1"/>
  <c r="AU89" i="1"/>
  <c r="AX89" i="1"/>
  <c r="AS90" i="1"/>
  <c r="AT90" i="1"/>
  <c r="AU90" i="1"/>
  <c r="AX90" i="1"/>
  <c r="AS91" i="1"/>
  <c r="AT91" i="1"/>
  <c r="AU91" i="1"/>
  <c r="AX91" i="1"/>
  <c r="AZ91" i="1"/>
  <c r="AS92" i="1"/>
  <c r="AT92" i="1"/>
  <c r="AZ92" i="1" s="1"/>
  <c r="AU92" i="1"/>
  <c r="AX92" i="1"/>
  <c r="AS93" i="1"/>
  <c r="AT93" i="1"/>
  <c r="AU93" i="1"/>
  <c r="AX93" i="1"/>
  <c r="AS94" i="1"/>
  <c r="AT94" i="1"/>
  <c r="AU94" i="1"/>
  <c r="AX94" i="1"/>
  <c r="AS95" i="1"/>
  <c r="AT95" i="1"/>
  <c r="AU95" i="1"/>
  <c r="BA95" i="1" s="1"/>
  <c r="AX95" i="1"/>
  <c r="AZ95" i="1"/>
  <c r="AS96" i="1"/>
  <c r="AT96" i="1"/>
  <c r="AZ96" i="1" s="1"/>
  <c r="AU96" i="1"/>
  <c r="AX96" i="1"/>
  <c r="AS97" i="1"/>
  <c r="AT97" i="1"/>
  <c r="AU97" i="1"/>
  <c r="AX97" i="1"/>
  <c r="AS98" i="1"/>
  <c r="AT98" i="1"/>
  <c r="AU98" i="1"/>
  <c r="AX98" i="1"/>
  <c r="AS99" i="1"/>
  <c r="AT99" i="1"/>
  <c r="AU99" i="1"/>
  <c r="AX99" i="1"/>
  <c r="AZ99" i="1"/>
  <c r="AS100" i="1"/>
  <c r="AT100" i="1"/>
  <c r="AZ100" i="1" s="1"/>
  <c r="AU100" i="1"/>
  <c r="AX100" i="1"/>
  <c r="AS101" i="1"/>
  <c r="AT101" i="1"/>
  <c r="AU101" i="1"/>
  <c r="AX101" i="1"/>
  <c r="AS102" i="1"/>
  <c r="AT102" i="1"/>
  <c r="AU102" i="1"/>
  <c r="AX102" i="1"/>
  <c r="AS103" i="1"/>
  <c r="AT103" i="1"/>
  <c r="AU103" i="1"/>
  <c r="BA103" i="1" s="1"/>
  <c r="AX103" i="1"/>
  <c r="AZ103" i="1"/>
  <c r="AS104" i="1"/>
  <c r="AT104" i="1"/>
  <c r="AZ104" i="1" s="1"/>
  <c r="AU104" i="1"/>
  <c r="AX104" i="1"/>
  <c r="AS105" i="1"/>
  <c r="AT105" i="1"/>
  <c r="AU105" i="1"/>
  <c r="AX105" i="1"/>
  <c r="AS106" i="1"/>
  <c r="AT106" i="1"/>
  <c r="AU106" i="1"/>
  <c r="AX106" i="1"/>
  <c r="AS107" i="1"/>
  <c r="AT107" i="1"/>
  <c r="AU107" i="1"/>
  <c r="AX107" i="1"/>
  <c r="AZ107" i="1"/>
  <c r="AS108" i="1"/>
  <c r="AT108" i="1"/>
  <c r="AZ108" i="1" s="1"/>
  <c r="AU108" i="1"/>
  <c r="AX108" i="1"/>
  <c r="AS109" i="1"/>
  <c r="AT109" i="1"/>
  <c r="AU109" i="1"/>
  <c r="AX109" i="1"/>
  <c r="AS110" i="1"/>
  <c r="AT110" i="1"/>
  <c r="AU110" i="1"/>
  <c r="AX110" i="1"/>
  <c r="AS111" i="1"/>
  <c r="AT111" i="1"/>
  <c r="AU111" i="1"/>
  <c r="BA111" i="1" s="1"/>
  <c r="AX111" i="1"/>
  <c r="AZ111" i="1"/>
  <c r="AS112" i="1"/>
  <c r="AT112" i="1"/>
  <c r="AZ112" i="1" s="1"/>
  <c r="AU112" i="1"/>
  <c r="AX112" i="1"/>
  <c r="AS113" i="1"/>
  <c r="AT113" i="1"/>
  <c r="AU113" i="1"/>
  <c r="AX113" i="1"/>
  <c r="AS114" i="1"/>
  <c r="AT114" i="1"/>
  <c r="AU114" i="1"/>
  <c r="AX114" i="1"/>
  <c r="AS115" i="1"/>
  <c r="AT115" i="1"/>
  <c r="AU115" i="1"/>
  <c r="AX115" i="1"/>
  <c r="AZ115" i="1"/>
  <c r="AS116" i="1"/>
  <c r="AT116" i="1"/>
  <c r="AZ116" i="1" s="1"/>
  <c r="AU116" i="1"/>
  <c r="AX116" i="1"/>
  <c r="AS117" i="1"/>
  <c r="AT117" i="1"/>
  <c r="AU117" i="1"/>
  <c r="AX117" i="1"/>
  <c r="AS118" i="1"/>
  <c r="AT118" i="1"/>
  <c r="AU118" i="1"/>
  <c r="AX118" i="1"/>
  <c r="AS119" i="1"/>
  <c r="AT119" i="1"/>
  <c r="AU119" i="1"/>
  <c r="BA119" i="1" s="1"/>
  <c r="AX119" i="1"/>
  <c r="AZ119" i="1"/>
  <c r="AS120" i="1"/>
  <c r="AT120" i="1"/>
  <c r="AZ120" i="1" s="1"/>
  <c r="AU120" i="1"/>
  <c r="AX120" i="1"/>
  <c r="AS121" i="1"/>
  <c r="AT121" i="1"/>
  <c r="AU121" i="1"/>
  <c r="AX121" i="1"/>
  <c r="AS122" i="1"/>
  <c r="AT122" i="1"/>
  <c r="AU122" i="1"/>
  <c r="AX122" i="1"/>
  <c r="AS123" i="1"/>
  <c r="AT123" i="1"/>
  <c r="AU123" i="1"/>
  <c r="AX123" i="1"/>
  <c r="AZ123" i="1"/>
  <c r="AS124" i="1"/>
  <c r="AT124" i="1"/>
  <c r="AZ124" i="1" s="1"/>
  <c r="AU124" i="1"/>
  <c r="AX124" i="1"/>
  <c r="AS125" i="1"/>
  <c r="AT125" i="1"/>
  <c r="AU125" i="1"/>
  <c r="AX125" i="1"/>
  <c r="AS126" i="1"/>
  <c r="AT126" i="1"/>
  <c r="AU126" i="1"/>
  <c r="AX126" i="1"/>
  <c r="AS127" i="1"/>
  <c r="AT127" i="1"/>
  <c r="AU127" i="1"/>
  <c r="BA127" i="1" s="1"/>
  <c r="AX127" i="1"/>
  <c r="AZ127" i="1"/>
  <c r="AS128" i="1"/>
  <c r="AT128" i="1"/>
  <c r="AZ128" i="1" s="1"/>
  <c r="AU128" i="1"/>
  <c r="AX128" i="1"/>
  <c r="AS129" i="1"/>
  <c r="AT129" i="1"/>
  <c r="AU129" i="1"/>
  <c r="AX129" i="1"/>
  <c r="AS130" i="1"/>
  <c r="AT130" i="1"/>
  <c r="AU130" i="1"/>
  <c r="AX130" i="1"/>
  <c r="AS131" i="1"/>
  <c r="AT131" i="1"/>
  <c r="AU131" i="1"/>
  <c r="AX131" i="1"/>
  <c r="AZ131" i="1"/>
  <c r="AS132" i="1"/>
  <c r="AT132" i="1"/>
  <c r="AZ132" i="1" s="1"/>
  <c r="AU132" i="1"/>
  <c r="AX132" i="1"/>
  <c r="AS133" i="1"/>
  <c r="AT133" i="1"/>
  <c r="AU133" i="1"/>
  <c r="AX133" i="1"/>
  <c r="AS134" i="1"/>
  <c r="AT134" i="1"/>
  <c r="AU134" i="1"/>
  <c r="AX134" i="1"/>
  <c r="AS135" i="1"/>
  <c r="AT135" i="1"/>
  <c r="AU135" i="1"/>
  <c r="BA135" i="1" s="1"/>
  <c r="AX135" i="1"/>
  <c r="AZ135" i="1"/>
  <c r="AS136" i="1"/>
  <c r="AT136" i="1"/>
  <c r="AZ136" i="1" s="1"/>
  <c r="AU136" i="1"/>
  <c r="AX136" i="1"/>
  <c r="AS137" i="1"/>
  <c r="AT137" i="1"/>
  <c r="AU137" i="1"/>
  <c r="AX137" i="1"/>
  <c r="AS138" i="1"/>
  <c r="AT138" i="1"/>
  <c r="AU138" i="1"/>
  <c r="AX138" i="1"/>
  <c r="AS139" i="1"/>
  <c r="AT139" i="1"/>
  <c r="AU139" i="1"/>
  <c r="AX139" i="1"/>
  <c r="AZ139" i="1"/>
  <c r="AS140" i="1"/>
  <c r="AT140" i="1"/>
  <c r="AZ140" i="1" s="1"/>
  <c r="AU140" i="1"/>
  <c r="AX140" i="1"/>
  <c r="AS141" i="1"/>
  <c r="AT141" i="1"/>
  <c r="AU141" i="1"/>
  <c r="AX141" i="1"/>
  <c r="AS142" i="1"/>
  <c r="AT142" i="1"/>
  <c r="AU142" i="1"/>
  <c r="AX142" i="1"/>
  <c r="AS143" i="1"/>
  <c r="AT143" i="1"/>
  <c r="AU143" i="1"/>
  <c r="BA143" i="1" s="1"/>
  <c r="AX143" i="1"/>
  <c r="AZ143" i="1"/>
  <c r="AS144" i="1"/>
  <c r="AT144" i="1"/>
  <c r="AZ144" i="1" s="1"/>
  <c r="AU144" i="1"/>
  <c r="AX144" i="1"/>
  <c r="AS145" i="1"/>
  <c r="AT145" i="1"/>
  <c r="AU145" i="1"/>
  <c r="AX145" i="1"/>
  <c r="AS146" i="1"/>
  <c r="AT146" i="1"/>
  <c r="AU146" i="1"/>
  <c r="AX146" i="1"/>
  <c r="AS147" i="1"/>
  <c r="AT147" i="1"/>
  <c r="AU147" i="1"/>
  <c r="AX147" i="1"/>
  <c r="AZ147" i="1"/>
  <c r="AS148" i="1"/>
  <c r="AT148" i="1"/>
  <c r="AZ148" i="1" s="1"/>
  <c r="AU148" i="1"/>
  <c r="AX148" i="1"/>
  <c r="AS149" i="1"/>
  <c r="AT149" i="1"/>
  <c r="AU149" i="1"/>
  <c r="AX149" i="1"/>
  <c r="AS150" i="1"/>
  <c r="AT150" i="1"/>
  <c r="AU150" i="1"/>
  <c r="AX150" i="1"/>
  <c r="AS151" i="1"/>
  <c r="AT151" i="1"/>
  <c r="AU151" i="1"/>
  <c r="BA151" i="1" s="1"/>
  <c r="AX151" i="1"/>
  <c r="AZ151" i="1"/>
  <c r="AS152" i="1"/>
  <c r="AT152" i="1"/>
  <c r="AZ152" i="1" s="1"/>
  <c r="AU152" i="1"/>
  <c r="AX152" i="1"/>
  <c r="AS153" i="1"/>
  <c r="AT153" i="1"/>
  <c r="AU153" i="1"/>
  <c r="AX153" i="1"/>
  <c r="AS154" i="1"/>
  <c r="AT154" i="1"/>
  <c r="AU154" i="1"/>
  <c r="AX154" i="1"/>
  <c r="AS155" i="1"/>
  <c r="AT155" i="1"/>
  <c r="AU155" i="1"/>
  <c r="AZ155" i="1"/>
  <c r="AX155" i="1"/>
  <c r="AS156" i="1"/>
  <c r="AT156" i="1"/>
  <c r="AZ156" i="1" s="1"/>
  <c r="AU156" i="1"/>
  <c r="AX156" i="1"/>
  <c r="AS157" i="1"/>
  <c r="AT157" i="1"/>
  <c r="AU157" i="1"/>
  <c r="AX157" i="1"/>
  <c r="AS158" i="1"/>
  <c r="AT158" i="1"/>
  <c r="AU158" i="1"/>
  <c r="AX158" i="1"/>
  <c r="AS159" i="1"/>
  <c r="AT159" i="1"/>
  <c r="AU159" i="1"/>
  <c r="BA159" i="1" s="1"/>
  <c r="AX159" i="1"/>
  <c r="AZ159" i="1"/>
  <c r="AS160" i="1"/>
  <c r="AT160" i="1"/>
  <c r="AZ160" i="1" s="1"/>
  <c r="AU160" i="1"/>
  <c r="AX160" i="1"/>
  <c r="AS161" i="1"/>
  <c r="AT161" i="1"/>
  <c r="AU161" i="1"/>
  <c r="AX161" i="1"/>
  <c r="AS162" i="1"/>
  <c r="AT162" i="1"/>
  <c r="AU162" i="1"/>
  <c r="AX162" i="1"/>
  <c r="BA162" i="1"/>
  <c r="AS163" i="1"/>
  <c r="AT163" i="1"/>
  <c r="AU163" i="1"/>
  <c r="AX163" i="1"/>
  <c r="AZ163" i="1"/>
  <c r="AS164" i="1"/>
  <c r="AT164" i="1"/>
  <c r="AZ164" i="1" s="1"/>
  <c r="AU164" i="1"/>
  <c r="AX164" i="1"/>
  <c r="AS165" i="1"/>
  <c r="AT165" i="1"/>
  <c r="AU165" i="1"/>
  <c r="AX165" i="1"/>
  <c r="AS166" i="1"/>
  <c r="AT166" i="1"/>
  <c r="AU166" i="1"/>
  <c r="AX166" i="1"/>
  <c r="AS167" i="1"/>
  <c r="AT167" i="1"/>
  <c r="AU167" i="1"/>
  <c r="AX167" i="1"/>
  <c r="AZ167" i="1"/>
  <c r="AS168" i="1"/>
  <c r="AT168" i="1"/>
  <c r="AU168" i="1"/>
  <c r="AX168" i="1"/>
  <c r="AZ168" i="1"/>
  <c r="AS169" i="1"/>
  <c r="AT169" i="1"/>
  <c r="AU169" i="1"/>
  <c r="AX169" i="1"/>
  <c r="AS170" i="1"/>
  <c r="AT170" i="1"/>
  <c r="AU170" i="1"/>
  <c r="AX170" i="1"/>
  <c r="AS171" i="1"/>
  <c r="AT171" i="1"/>
  <c r="AU171" i="1"/>
  <c r="AX171" i="1"/>
  <c r="AS172" i="1"/>
  <c r="AT172" i="1"/>
  <c r="AU172" i="1"/>
  <c r="AX172" i="1"/>
  <c r="AS173" i="1"/>
  <c r="AT173" i="1"/>
  <c r="AU173" i="1"/>
  <c r="AX173" i="1"/>
  <c r="AS174" i="1"/>
  <c r="AT174" i="1"/>
  <c r="AU174" i="1"/>
  <c r="AX174" i="1"/>
  <c r="AS175" i="1"/>
  <c r="AT175" i="1"/>
  <c r="AU175" i="1"/>
  <c r="BA175" i="1"/>
  <c r="AX175" i="1"/>
  <c r="AZ175" i="1"/>
  <c r="AS176" i="1"/>
  <c r="AT176" i="1"/>
  <c r="AU176" i="1"/>
  <c r="AX176" i="1"/>
  <c r="AS177" i="1"/>
  <c r="AT177" i="1"/>
  <c r="AU177" i="1"/>
  <c r="AX177" i="1"/>
  <c r="AS178" i="1"/>
  <c r="AT178" i="1"/>
  <c r="AU178" i="1"/>
  <c r="AX178" i="1"/>
  <c r="AS179" i="1"/>
  <c r="AZ179" i="1" s="1"/>
  <c r="AT179" i="1"/>
  <c r="AU179" i="1"/>
  <c r="AX179" i="1"/>
  <c r="BA179" i="1"/>
  <c r="AS180" i="1"/>
  <c r="AT180" i="1"/>
  <c r="AU180" i="1"/>
  <c r="AX180" i="1"/>
  <c r="AZ180" i="1"/>
  <c r="AS181" i="1"/>
  <c r="AT181" i="1"/>
  <c r="AU181" i="1"/>
  <c r="AX181" i="1"/>
  <c r="AS182" i="1"/>
  <c r="AT182" i="1"/>
  <c r="AU182" i="1"/>
  <c r="AX182" i="1"/>
  <c r="AS183" i="1"/>
  <c r="AZ183" i="1" s="1"/>
  <c r="AT183" i="1"/>
  <c r="AU183" i="1"/>
  <c r="AX183" i="1"/>
  <c r="BA183" i="1"/>
  <c r="AS184" i="1"/>
  <c r="AT184" i="1"/>
  <c r="AU184" i="1"/>
  <c r="AX184" i="1"/>
  <c r="AZ184" i="1"/>
  <c r="AS185" i="1"/>
  <c r="AT185" i="1"/>
  <c r="AU185" i="1"/>
  <c r="AX185" i="1"/>
  <c r="AS186" i="1"/>
  <c r="AT186" i="1"/>
  <c r="AU186" i="1"/>
  <c r="AX186" i="1"/>
  <c r="AS187" i="1"/>
  <c r="AZ187" i="1" s="1"/>
  <c r="AT187" i="1"/>
  <c r="AU187" i="1"/>
  <c r="AX187" i="1"/>
  <c r="BA187" i="1"/>
  <c r="AS188" i="1"/>
  <c r="AT188" i="1"/>
  <c r="AU188" i="1"/>
  <c r="AX188" i="1"/>
  <c r="AZ188" i="1"/>
  <c r="AS189" i="1"/>
  <c r="AT189" i="1"/>
  <c r="AU189" i="1"/>
  <c r="AX189" i="1"/>
  <c r="AS190" i="1"/>
  <c r="AT190" i="1"/>
  <c r="AU190" i="1"/>
  <c r="AX190" i="1"/>
  <c r="AS191" i="1"/>
  <c r="AZ191" i="1" s="1"/>
  <c r="AT191" i="1"/>
  <c r="AU191" i="1"/>
  <c r="AX191" i="1"/>
  <c r="BA191" i="1"/>
  <c r="AS192" i="1"/>
  <c r="AT192" i="1"/>
  <c r="AU192" i="1"/>
  <c r="AX192" i="1"/>
  <c r="AZ192" i="1"/>
  <c r="AS193" i="1"/>
  <c r="AT193" i="1"/>
  <c r="AU193" i="1"/>
  <c r="AX193" i="1"/>
  <c r="AS194" i="1"/>
  <c r="AT194" i="1"/>
  <c r="AU194" i="1"/>
  <c r="AX194" i="1"/>
  <c r="AS195" i="1"/>
  <c r="AZ195" i="1" s="1"/>
  <c r="AT195" i="1"/>
  <c r="AU195" i="1"/>
  <c r="AX195" i="1"/>
  <c r="BA195" i="1"/>
  <c r="AS196" i="1"/>
  <c r="AT196" i="1"/>
  <c r="AU196" i="1"/>
  <c r="AX196" i="1"/>
  <c r="AZ196" i="1"/>
  <c r="AS197" i="1"/>
  <c r="AT197" i="1"/>
  <c r="AU197" i="1"/>
  <c r="AX197" i="1"/>
  <c r="AS198" i="1"/>
  <c r="AT198" i="1"/>
  <c r="AU198" i="1"/>
  <c r="AX198" i="1"/>
  <c r="AS199" i="1"/>
  <c r="AT199" i="1"/>
  <c r="AZ199" i="1" s="1"/>
  <c r="AU199" i="1"/>
  <c r="AX199" i="1"/>
  <c r="AS200" i="1"/>
  <c r="AZ200" i="1" s="1"/>
  <c r="AT200" i="1"/>
  <c r="AU200" i="1"/>
  <c r="AX200" i="1"/>
  <c r="BA200" i="1"/>
  <c r="AS201" i="1"/>
  <c r="AT201" i="1"/>
  <c r="AU201" i="1"/>
  <c r="AX201" i="1"/>
  <c r="AS202" i="1"/>
  <c r="AT202" i="1"/>
  <c r="AU202" i="1"/>
  <c r="AX202" i="1"/>
  <c r="AS203" i="1"/>
  <c r="AT203" i="1"/>
  <c r="BA203" i="1" s="1"/>
  <c r="AU203" i="1"/>
  <c r="AX203" i="1"/>
  <c r="AZ203" i="1"/>
  <c r="AS204" i="1"/>
  <c r="AZ204" i="1" s="1"/>
  <c r="AT204" i="1"/>
  <c r="AU204" i="1"/>
  <c r="BA204" i="1" s="1"/>
  <c r="AX204" i="1"/>
  <c r="AS205" i="1"/>
  <c r="AT205" i="1"/>
  <c r="AU205" i="1"/>
  <c r="AX205" i="1"/>
  <c r="AS206" i="1"/>
  <c r="AT206" i="1"/>
  <c r="AU206" i="1"/>
  <c r="AX206" i="1"/>
  <c r="AS207" i="1"/>
  <c r="AT207" i="1"/>
  <c r="AZ207" i="1" s="1"/>
  <c r="AU207" i="1"/>
  <c r="AX207" i="1"/>
  <c r="AS208" i="1"/>
  <c r="AZ208" i="1" s="1"/>
  <c r="AT208" i="1"/>
  <c r="AU208" i="1"/>
  <c r="AX208" i="1"/>
  <c r="BA208" i="1"/>
  <c r="AS209" i="1"/>
  <c r="AT209" i="1"/>
  <c r="AU209" i="1"/>
  <c r="AZ209" i="1"/>
  <c r="AX209" i="1"/>
  <c r="AS210" i="1"/>
  <c r="AT210" i="1"/>
  <c r="AU210" i="1"/>
  <c r="AX210" i="1"/>
  <c r="AS211" i="1"/>
  <c r="AT211" i="1"/>
  <c r="BA211" i="1" s="1"/>
  <c r="AU211" i="1"/>
  <c r="AX211" i="1"/>
  <c r="AZ211" i="1"/>
  <c r="AS212" i="1"/>
  <c r="AZ212" i="1" s="1"/>
  <c r="AT212" i="1"/>
  <c r="AU212" i="1"/>
  <c r="BA212" i="1" s="1"/>
  <c r="AX212" i="1"/>
  <c r="AS213" i="1"/>
  <c r="AT213" i="1"/>
  <c r="AU213" i="1"/>
  <c r="AX213" i="1"/>
  <c r="AS214" i="1"/>
  <c r="AT214" i="1"/>
  <c r="AU214" i="1"/>
  <c r="AX214" i="1"/>
  <c r="AS215" i="1"/>
  <c r="AT215" i="1"/>
  <c r="AZ215" i="1" s="1"/>
  <c r="AU215" i="1"/>
  <c r="AX215" i="1"/>
  <c r="AS216" i="1"/>
  <c r="AZ216" i="1" s="1"/>
  <c r="AT216" i="1"/>
  <c r="AU216" i="1"/>
  <c r="BA216" i="1"/>
  <c r="AX216" i="1"/>
  <c r="AS217" i="1"/>
  <c r="AT217" i="1"/>
  <c r="AU217" i="1"/>
  <c r="AX217" i="1"/>
  <c r="AS218" i="1"/>
  <c r="AT218" i="1"/>
  <c r="AU218" i="1"/>
  <c r="AX218" i="1"/>
  <c r="AS219" i="1"/>
  <c r="AT219" i="1"/>
  <c r="AZ219" i="1" s="1"/>
  <c r="AU219" i="1"/>
  <c r="AX219" i="1"/>
  <c r="AS220" i="1"/>
  <c r="AZ220" i="1" s="1"/>
  <c r="AT220" i="1"/>
  <c r="AU220" i="1"/>
  <c r="BA220" i="1"/>
  <c r="AX220" i="1"/>
  <c r="AS221" i="1"/>
  <c r="AT221" i="1"/>
  <c r="AU221" i="1"/>
  <c r="AZ221" i="1"/>
  <c r="AX221" i="1"/>
  <c r="AS222" i="1"/>
  <c r="AT222" i="1"/>
  <c r="AU222" i="1"/>
  <c r="AX222" i="1"/>
  <c r="AS223" i="1"/>
  <c r="AT223" i="1"/>
  <c r="AZ223" i="1" s="1"/>
  <c r="AU223" i="1"/>
  <c r="AX223" i="1"/>
  <c r="AS224" i="1"/>
  <c r="AZ224" i="1" s="1"/>
  <c r="AT224" i="1"/>
  <c r="AU224" i="1"/>
  <c r="BA224" i="1"/>
  <c r="AX224" i="1"/>
  <c r="AS225" i="1"/>
  <c r="AT225" i="1"/>
  <c r="AU225" i="1"/>
  <c r="AX225" i="1"/>
  <c r="AS226" i="1"/>
  <c r="AT226" i="1"/>
  <c r="AU226" i="1"/>
  <c r="AX226" i="1"/>
  <c r="AS227" i="1"/>
  <c r="AT227" i="1"/>
  <c r="AZ227" i="1" s="1"/>
  <c r="AU227" i="1"/>
  <c r="AX227" i="1"/>
  <c r="AS228" i="1"/>
  <c r="AZ228" i="1" s="1"/>
  <c r="AT228" i="1"/>
  <c r="AU228" i="1"/>
  <c r="BA228" i="1"/>
  <c r="AX228" i="1"/>
  <c r="AS229" i="1"/>
  <c r="AT229" i="1"/>
  <c r="AU229" i="1"/>
  <c r="AX229" i="1"/>
  <c r="AS230" i="1"/>
  <c r="AT230" i="1"/>
  <c r="AU230" i="1"/>
  <c r="AX230" i="1"/>
  <c r="AS231" i="1"/>
  <c r="AT231" i="1"/>
  <c r="AZ231" i="1" s="1"/>
  <c r="AU231" i="1"/>
  <c r="AX231" i="1"/>
  <c r="AS232" i="1"/>
  <c r="AZ232" i="1" s="1"/>
  <c r="AT232" i="1"/>
  <c r="AU232" i="1"/>
  <c r="BA232" i="1"/>
  <c r="AX232" i="1"/>
  <c r="AS233" i="1"/>
  <c r="AT233" i="1"/>
  <c r="AU233" i="1"/>
  <c r="AZ233" i="1"/>
  <c r="AX233" i="1"/>
  <c r="AS234" i="1"/>
  <c r="AT234" i="1"/>
  <c r="AU234" i="1"/>
  <c r="AX234" i="1"/>
  <c r="AS235" i="1"/>
  <c r="AT235" i="1"/>
  <c r="AU235" i="1"/>
  <c r="AX235" i="1"/>
  <c r="AS236" i="1"/>
  <c r="AZ236" i="1" s="1"/>
  <c r="AT236" i="1"/>
  <c r="AU236" i="1"/>
  <c r="AX236" i="1"/>
  <c r="BA236" i="1"/>
  <c r="AS237" i="1"/>
  <c r="AT237" i="1"/>
  <c r="BA237" i="1" s="1"/>
  <c r="AU237" i="1"/>
  <c r="AX237" i="1"/>
  <c r="AS238" i="1"/>
  <c r="AT238" i="1"/>
  <c r="AU238" i="1"/>
  <c r="AX238" i="1"/>
  <c r="AS239" i="1"/>
  <c r="AT239" i="1"/>
  <c r="AZ239" i="1" s="1"/>
  <c r="AU239" i="1"/>
  <c r="AX239" i="1"/>
  <c r="AS240" i="1"/>
  <c r="AZ240" i="1" s="1"/>
  <c r="AT240" i="1"/>
  <c r="AU240" i="1"/>
  <c r="BA240" i="1"/>
  <c r="AX240" i="1"/>
  <c r="AS241" i="1"/>
  <c r="AT241" i="1"/>
  <c r="BA241" i="1" s="1"/>
  <c r="AU241" i="1"/>
  <c r="AX241" i="1"/>
  <c r="AS242" i="1"/>
  <c r="AT242" i="1"/>
  <c r="AU242" i="1"/>
  <c r="AX242" i="1"/>
  <c r="AS243" i="1"/>
  <c r="AT243" i="1"/>
  <c r="AZ243" i="1" s="1"/>
  <c r="AU243" i="1"/>
  <c r="AX243" i="1"/>
  <c r="AS244" i="1"/>
  <c r="AZ244" i="1" s="1"/>
  <c r="AT244" i="1"/>
  <c r="AU244" i="1"/>
  <c r="BA244" i="1"/>
  <c r="AX244" i="1"/>
  <c r="AS245" i="1"/>
  <c r="AT245" i="1"/>
  <c r="AU245" i="1"/>
  <c r="AX245" i="1"/>
  <c r="AS246" i="1"/>
  <c r="AT246" i="1"/>
  <c r="AU246" i="1"/>
  <c r="AX246" i="1"/>
  <c r="AS247" i="1"/>
  <c r="AT247" i="1"/>
  <c r="AU247" i="1"/>
  <c r="AX247" i="1"/>
  <c r="AS248" i="1"/>
  <c r="AZ248" i="1" s="1"/>
  <c r="AT248" i="1"/>
  <c r="AU248" i="1"/>
  <c r="BA248" i="1"/>
  <c r="AX248" i="1"/>
  <c r="AU2" i="1"/>
  <c r="AT2" i="1"/>
  <c r="AS2" i="1"/>
  <c r="AX2" i="1"/>
  <c r="AZ161" i="1" l="1"/>
  <c r="AZ145" i="1"/>
  <c r="AZ129" i="1"/>
  <c r="AZ113" i="1"/>
  <c r="AZ33" i="1"/>
  <c r="AZ17" i="1"/>
  <c r="AZ245" i="1"/>
  <c r="AZ241" i="1"/>
  <c r="AZ237" i="1"/>
  <c r="AZ229" i="1"/>
  <c r="AZ225" i="1"/>
  <c r="AZ217" i="1"/>
  <c r="AZ201" i="1"/>
  <c r="AZ235" i="1"/>
  <c r="AZ247" i="1"/>
  <c r="BA6" i="1"/>
  <c r="AZ4" i="1"/>
  <c r="BA225" i="1"/>
  <c r="AZ153" i="1"/>
  <c r="AZ137" i="1"/>
  <c r="AZ97" i="1"/>
  <c r="AZ81" i="1"/>
  <c r="AZ25" i="1"/>
  <c r="AZ9" i="1"/>
  <c r="BA229" i="1"/>
  <c r="AZ121" i="1"/>
  <c r="AZ105" i="1"/>
  <c r="AZ65" i="1"/>
  <c r="AZ49" i="1"/>
  <c r="BA242" i="1"/>
  <c r="AZ222" i="1"/>
  <c r="BA230" i="1"/>
  <c r="BA214" i="1"/>
  <c r="AZ170" i="1"/>
  <c r="AZ234" i="1"/>
  <c r="AZ218" i="1"/>
  <c r="AZ242" i="1"/>
  <c r="AZ230" i="1"/>
  <c r="AZ157" i="1"/>
  <c r="AZ149" i="1"/>
  <c r="AZ141" i="1"/>
  <c r="AZ133" i="1"/>
  <c r="AZ125" i="1"/>
  <c r="AZ117" i="1"/>
  <c r="AZ109" i="1"/>
  <c r="AZ101" i="1"/>
  <c r="AZ93" i="1"/>
  <c r="AZ85" i="1"/>
  <c r="AZ77" i="1"/>
  <c r="AZ69" i="1"/>
  <c r="AZ61" i="1"/>
  <c r="AZ53" i="1"/>
  <c r="AZ45" i="1"/>
  <c r="AZ37" i="1"/>
  <c r="AZ29" i="1"/>
  <c r="AZ21" i="1"/>
  <c r="AZ13" i="1"/>
  <c r="AZ5" i="1"/>
  <c r="AZ246" i="1"/>
  <c r="BA238" i="1"/>
  <c r="BA226" i="1"/>
  <c r="BA206" i="1"/>
  <c r="BA198" i="1"/>
  <c r="BA222" i="1"/>
  <c r="BA221" i="1"/>
  <c r="BA246" i="1"/>
  <c r="BA245" i="1"/>
  <c r="AZ238" i="1"/>
  <c r="BA234" i="1"/>
  <c r="BA233" i="1"/>
  <c r="AZ226" i="1"/>
  <c r="BA218" i="1"/>
  <c r="BA217" i="1"/>
  <c r="AZ213" i="1"/>
  <c r="BA205" i="1"/>
  <c r="BA197" i="1"/>
  <c r="AZ174" i="1"/>
  <c r="BA247" i="1"/>
  <c r="BA243" i="1"/>
  <c r="BA239" i="1"/>
  <c r="BA235" i="1"/>
  <c r="BA231" i="1"/>
  <c r="BA227" i="1"/>
  <c r="BA223" i="1"/>
  <c r="BA219" i="1"/>
  <c r="BA215" i="1"/>
  <c r="AZ214" i="1"/>
  <c r="BA207" i="1"/>
  <c r="AZ206" i="1"/>
  <c r="BA199" i="1"/>
  <c r="AZ198" i="1"/>
  <c r="BA174" i="1"/>
  <c r="BA172" i="1"/>
  <c r="AZ172" i="1"/>
  <c r="AZ166" i="1"/>
  <c r="AZ165" i="1"/>
  <c r="BA165" i="1"/>
  <c r="BA209" i="1"/>
  <c r="AZ205" i="1"/>
  <c r="BA201" i="1"/>
  <c r="AZ197" i="1"/>
  <c r="AZ194" i="1"/>
  <c r="AZ190" i="1"/>
  <c r="AZ186" i="1"/>
  <c r="AZ182" i="1"/>
  <c r="AZ178" i="1"/>
  <c r="AZ176" i="1"/>
  <c r="BA176" i="1"/>
  <c r="AZ173" i="1"/>
  <c r="BA173" i="1"/>
  <c r="BA213" i="1"/>
  <c r="AZ193" i="1"/>
  <c r="BA193" i="1"/>
  <c r="AZ189" i="1"/>
  <c r="BA189" i="1"/>
  <c r="AZ185" i="1"/>
  <c r="BA185" i="1"/>
  <c r="AZ181" i="1"/>
  <c r="BA181" i="1"/>
  <c r="AZ177" i="1"/>
  <c r="BA177" i="1"/>
  <c r="AZ210" i="1"/>
  <c r="AZ202" i="1"/>
  <c r="BA196" i="1"/>
  <c r="BA194" i="1"/>
  <c r="BA192" i="1"/>
  <c r="BA190" i="1"/>
  <c r="BA188" i="1"/>
  <c r="BA186" i="1"/>
  <c r="BA184" i="1"/>
  <c r="BA182" i="1"/>
  <c r="BA180" i="1"/>
  <c r="BA178" i="1"/>
  <c r="AZ171" i="1"/>
  <c r="BA171" i="1"/>
  <c r="BA167" i="1"/>
  <c r="BA163" i="1"/>
  <c r="BA161" i="1"/>
  <c r="AZ158" i="1"/>
  <c r="BA155" i="1"/>
  <c r="BA153" i="1"/>
  <c r="AZ150" i="1"/>
  <c r="BA147" i="1"/>
  <c r="BA145" i="1"/>
  <c r="AZ142" i="1"/>
  <c r="BA139" i="1"/>
  <c r="BA137" i="1"/>
  <c r="AZ134" i="1"/>
  <c r="BA131" i="1"/>
  <c r="BA129" i="1"/>
  <c r="AZ126" i="1"/>
  <c r="BA123" i="1"/>
  <c r="BA121" i="1"/>
  <c r="AZ118" i="1"/>
  <c r="BA115" i="1"/>
  <c r="BA113" i="1"/>
  <c r="AZ110" i="1"/>
  <c r="BA107" i="1"/>
  <c r="BA105" i="1"/>
  <c r="AZ102" i="1"/>
  <c r="BA99" i="1"/>
  <c r="BA97" i="1"/>
  <c r="AZ94" i="1"/>
  <c r="BA91" i="1"/>
  <c r="BA89" i="1"/>
  <c r="AZ86" i="1"/>
  <c r="BA83" i="1"/>
  <c r="BA81" i="1"/>
  <c r="AZ78" i="1"/>
  <c r="BA75" i="1"/>
  <c r="BA73" i="1"/>
  <c r="AZ70" i="1"/>
  <c r="BA67" i="1"/>
  <c r="BA65" i="1"/>
  <c r="AZ62" i="1"/>
  <c r="BA59" i="1"/>
  <c r="BA57" i="1"/>
  <c r="AZ54" i="1"/>
  <c r="BA51" i="1"/>
  <c r="BA49" i="1"/>
  <c r="AZ46" i="1"/>
  <c r="BA43" i="1"/>
  <c r="BA41" i="1"/>
  <c r="AZ38" i="1"/>
  <c r="BA35" i="1"/>
  <c r="BA33" i="1"/>
  <c r="AZ30" i="1"/>
  <c r="BA27" i="1"/>
  <c r="BA25" i="1"/>
  <c r="AZ22" i="1"/>
  <c r="BA19" i="1"/>
  <c r="BA17" i="1"/>
  <c r="AZ14" i="1"/>
  <c r="BA11" i="1"/>
  <c r="BA9" i="1"/>
  <c r="AZ6" i="1"/>
  <c r="BA168" i="1"/>
  <c r="AZ169" i="1"/>
  <c r="AZ162" i="1"/>
  <c r="BA157" i="1"/>
  <c r="AZ154" i="1"/>
  <c r="BA149" i="1"/>
  <c r="AZ146" i="1"/>
  <c r="BA141" i="1"/>
  <c r="AZ138" i="1"/>
  <c r="BA133" i="1"/>
  <c r="AZ130" i="1"/>
  <c r="BA125" i="1"/>
  <c r="AZ122" i="1"/>
  <c r="BA117" i="1"/>
  <c r="AZ114" i="1"/>
  <c r="BA109" i="1"/>
  <c r="AZ106" i="1"/>
  <c r="BA101" i="1"/>
  <c r="AZ98" i="1"/>
  <c r="BA93" i="1"/>
  <c r="AZ90" i="1"/>
  <c r="BA85" i="1"/>
  <c r="AZ82" i="1"/>
  <c r="BA77" i="1"/>
  <c r="AZ74" i="1"/>
  <c r="BA69" i="1"/>
  <c r="AZ66" i="1"/>
  <c r="BA61" i="1"/>
  <c r="AZ58" i="1"/>
  <c r="BA53" i="1"/>
  <c r="AZ50" i="1"/>
  <c r="BA45" i="1"/>
  <c r="AZ42" i="1"/>
  <c r="BA39" i="1"/>
  <c r="BA37" i="1"/>
  <c r="AZ34" i="1"/>
  <c r="BA31" i="1"/>
  <c r="BA29" i="1"/>
  <c r="AZ26" i="1"/>
  <c r="BA23" i="1"/>
  <c r="BA21" i="1"/>
  <c r="AZ18" i="1"/>
  <c r="BA15" i="1"/>
  <c r="BA13" i="1"/>
  <c r="AZ10" i="1"/>
  <c r="BA7" i="1"/>
  <c r="BA5" i="1"/>
  <c r="BA164" i="1"/>
  <c r="BA160" i="1"/>
  <c r="BA156" i="1"/>
  <c r="BA152" i="1"/>
  <c r="BA148" i="1"/>
  <c r="BA144" i="1"/>
  <c r="BA140" i="1"/>
  <c r="BA136" i="1"/>
  <c r="BA132" i="1"/>
  <c r="BA128" i="1"/>
  <c r="BA124" i="1"/>
  <c r="BA120" i="1"/>
  <c r="BA116" i="1"/>
  <c r="BA112" i="1"/>
  <c r="BA108" i="1"/>
  <c r="BA104" i="1"/>
  <c r="BA100" i="1"/>
  <c r="BA96" i="1"/>
  <c r="BA92" i="1"/>
  <c r="BA88" i="1"/>
  <c r="BA84" i="1"/>
  <c r="BA80" i="1"/>
  <c r="BA76" i="1"/>
  <c r="BA72" i="1"/>
  <c r="BA68" i="1"/>
  <c r="BA64" i="1"/>
  <c r="BA60" i="1"/>
  <c r="BA56" i="1"/>
  <c r="BA52" i="1"/>
  <c r="BA48" i="1"/>
  <c r="BA44" i="1"/>
  <c r="BA40" i="1"/>
  <c r="BA36" i="1"/>
  <c r="BA32" i="1"/>
  <c r="BA28" i="1"/>
  <c r="BA24" i="1"/>
  <c r="BA20" i="1"/>
  <c r="BA16" i="1"/>
  <c r="BA12" i="1"/>
  <c r="BA8" i="1"/>
  <c r="BA4" i="1"/>
  <c r="BA2" i="1"/>
  <c r="AZ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G16" i="1" l="1"/>
  <c r="BI16" i="1" s="1"/>
  <c r="AG16" i="1"/>
  <c r="AI16" i="1" s="1"/>
  <c r="X16" i="1"/>
  <c r="AF16" i="1" l="1"/>
  <c r="BG25" i="1"/>
  <c r="BI25" i="1" s="1"/>
  <c r="AG25" i="1"/>
  <c r="AI25" i="1" s="1"/>
  <c r="X25" i="1"/>
  <c r="AF25" i="1" l="1"/>
  <c r="BG24" i="1"/>
  <c r="BI24" i="1" s="1"/>
  <c r="AG24" i="1"/>
  <c r="AI24" i="1" s="1"/>
  <c r="X24" i="1"/>
  <c r="BG18" i="1"/>
  <c r="BI18" i="1" s="1"/>
  <c r="AG18" i="1"/>
  <c r="AI18" i="1" s="1"/>
  <c r="X18" i="1"/>
  <c r="BG43" i="1"/>
  <c r="BI43" i="1" s="1"/>
  <c r="AG43" i="1"/>
  <c r="AI43" i="1" s="1"/>
  <c r="X43" i="1"/>
  <c r="BG9" i="1"/>
  <c r="BI9" i="1" s="1"/>
  <c r="AG9" i="1"/>
  <c r="AI9" i="1" s="1"/>
  <c r="X9" i="1"/>
  <c r="BG51" i="1"/>
  <c r="BI51" i="1" s="1"/>
  <c r="AG51" i="1"/>
  <c r="AI51" i="1" s="1"/>
  <c r="X51" i="1"/>
  <c r="AE30" i="1"/>
  <c r="BG30" i="1"/>
  <c r="BI30" i="1" s="1"/>
  <c r="AG30" i="1"/>
  <c r="AI30" i="1" s="1"/>
  <c r="X30" i="1"/>
  <c r="BG46" i="1"/>
  <c r="BI46" i="1" s="1"/>
  <c r="AG46" i="1"/>
  <c r="AF46" i="1" s="1"/>
  <c r="X46" i="1"/>
  <c r="BG27" i="1"/>
  <c r="BI27" i="1" s="1"/>
  <c r="AG27" i="1"/>
  <c r="AI27" i="1" s="1"/>
  <c r="X27" i="1"/>
  <c r="BG44" i="1"/>
  <c r="BI44" i="1" s="1"/>
  <c r="AG44" i="1"/>
  <c r="AI44" i="1" s="1"/>
  <c r="X44" i="1"/>
  <c r="BG35" i="1"/>
  <c r="BI35" i="1" s="1"/>
  <c r="AG35" i="1"/>
  <c r="AI35" i="1" s="1"/>
  <c r="X35" i="1"/>
  <c r="AI46" i="1" l="1"/>
  <c r="AF51" i="1"/>
  <c r="AF18" i="1"/>
  <c r="AF24" i="1"/>
  <c r="AF43" i="1"/>
  <c r="AF9" i="1"/>
  <c r="AF30" i="1"/>
  <c r="AF27" i="1"/>
  <c r="AF44" i="1"/>
  <c r="AF35" i="1"/>
  <c r="BG52" i="1"/>
  <c r="BI52" i="1" s="1"/>
  <c r="AG52" i="1"/>
  <c r="X52" i="1"/>
  <c r="BG38" i="1"/>
  <c r="BI38" i="1" s="1"/>
  <c r="AG38" i="1"/>
  <c r="X38" i="1"/>
  <c r="BG29" i="1"/>
  <c r="BI29" i="1" s="1"/>
  <c r="AG29" i="1"/>
  <c r="X29" i="1"/>
  <c r="BG22" i="1"/>
  <c r="BI22" i="1" s="1"/>
  <c r="AG22" i="1"/>
  <c r="X22" i="1"/>
  <c r="BG7" i="1"/>
  <c r="BI7" i="1" s="1"/>
  <c r="AG7" i="1"/>
  <c r="X7" i="1"/>
  <c r="BG36" i="1"/>
  <c r="BI36" i="1" s="1"/>
  <c r="AG36" i="1"/>
  <c r="X36" i="1"/>
  <c r="BG47" i="1"/>
  <c r="BI47" i="1" s="1"/>
  <c r="AG47" i="1"/>
  <c r="AI47" i="1" s="1"/>
  <c r="X47" i="1"/>
  <c r="BG42" i="1"/>
  <c r="BI42" i="1" s="1"/>
  <c r="AG42" i="1"/>
  <c r="X42" i="1"/>
  <c r="AF38" i="1" l="1"/>
  <c r="AI38" i="1"/>
  <c r="AF42" i="1"/>
  <c r="AI42" i="1"/>
  <c r="AF22" i="1"/>
  <c r="AI22" i="1"/>
  <c r="AF7" i="1"/>
  <c r="AI7" i="1"/>
  <c r="AF52" i="1"/>
  <c r="AI52" i="1"/>
  <c r="AF36" i="1"/>
  <c r="AI36" i="1"/>
  <c r="AF29" i="1"/>
  <c r="AI29" i="1"/>
  <c r="AF47" i="1"/>
  <c r="BG28" i="1"/>
  <c r="BI28" i="1" s="1"/>
  <c r="BG41" i="1"/>
  <c r="AG28" i="1"/>
  <c r="AG41" i="1"/>
  <c r="BG48" i="1"/>
  <c r="BI48" i="1" s="1"/>
  <c r="AG48" i="1"/>
  <c r="AI48" i="1" s="1"/>
  <c r="X48" i="1"/>
  <c r="AF41" i="1" l="1"/>
  <c r="AI41" i="1"/>
  <c r="AF28" i="1"/>
  <c r="AI28" i="1"/>
  <c r="AF48" i="1"/>
  <c r="BG45" i="1"/>
  <c r="BI45" i="1" s="1"/>
  <c r="BG49" i="1"/>
  <c r="BI49" i="1" s="1"/>
  <c r="BG50" i="1"/>
  <c r="AG45" i="1"/>
  <c r="X45" i="1"/>
  <c r="AF45" i="1" l="1"/>
  <c r="AI45" i="1"/>
  <c r="AG40" i="1"/>
  <c r="X40" i="1"/>
  <c r="BG34" i="1"/>
  <c r="BI34" i="1" s="1"/>
  <c r="BG40" i="1"/>
  <c r="BI40" i="1" s="1"/>
  <c r="BI50" i="1"/>
  <c r="AG34" i="1"/>
  <c r="AI34" i="1" s="1"/>
  <c r="X34" i="1"/>
  <c r="AF40" i="1" l="1"/>
  <c r="AI40" i="1"/>
  <c r="AF34" i="1"/>
  <c r="G21" i="6"/>
  <c r="G22" i="6"/>
  <c r="B25" i="6"/>
  <c r="B24" i="6"/>
  <c r="I21" i="6"/>
  <c r="I22" i="6" s="1"/>
  <c r="H21" i="6"/>
  <c r="H22" i="6" s="1"/>
  <c r="F21" i="6"/>
  <c r="F22" i="6" s="1"/>
  <c r="E21" i="6"/>
  <c r="E22" i="6" s="1"/>
  <c r="D21" i="6"/>
  <c r="D22" i="6" s="1"/>
  <c r="C21" i="6"/>
  <c r="C22" i="6" s="1"/>
  <c r="B21" i="6"/>
  <c r="B22" i="6" s="1"/>
  <c r="T161" i="1"/>
  <c r="BG149" i="1"/>
  <c r="BI149" i="1" s="1"/>
  <c r="AG149" i="1"/>
  <c r="AI149" i="1" s="1"/>
  <c r="X149" i="1"/>
  <c r="AF149"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37" i="1"/>
  <c r="AI137" i="1" s="1"/>
  <c r="BG106" i="1"/>
  <c r="BI106" i="1" s="1"/>
  <c r="BG107" i="1"/>
  <c r="BI107" i="1" s="1"/>
  <c r="BG108" i="1"/>
  <c r="BI108" i="1" s="1"/>
  <c r="BG109" i="1"/>
  <c r="BI109" i="1" s="1"/>
  <c r="BG110" i="1"/>
  <c r="BI110" i="1" s="1"/>
  <c r="BG111" i="1"/>
  <c r="BI111" i="1" s="1"/>
  <c r="AE111" i="1"/>
  <c r="AG106" i="1"/>
  <c r="AG107" i="1"/>
  <c r="AG108" i="1"/>
  <c r="AG109" i="1"/>
  <c r="AG110" i="1"/>
  <c r="AG111" i="1"/>
  <c r="X111" i="1"/>
  <c r="AF111" i="1" l="1"/>
  <c r="AI111" i="1"/>
  <c r="AF110" i="1"/>
  <c r="AI110" i="1"/>
  <c r="AF109" i="1"/>
  <c r="AI109" i="1"/>
  <c r="AF108" i="1"/>
  <c r="AI108" i="1"/>
  <c r="AF107" i="1"/>
  <c r="AI107" i="1"/>
  <c r="AF106" i="1"/>
  <c r="AI106" i="1"/>
  <c r="B15" i="6"/>
  <c r="K155" i="1"/>
  <c r="K160" i="1"/>
  <c r="BG105" i="1"/>
  <c r="BI105" i="1" s="1"/>
  <c r="AG105" i="1"/>
  <c r="AI105" i="1" s="1"/>
  <c r="X105" i="1"/>
  <c r="AF105" i="1" l="1"/>
  <c r="T141" i="1"/>
  <c r="K147" i="1"/>
  <c r="BG65" i="1"/>
  <c r="BI65" i="1" s="1"/>
  <c r="AG65" i="1"/>
  <c r="AI65" i="1" s="1"/>
  <c r="X65" i="1"/>
  <c r="BG145" i="1"/>
  <c r="K145" i="1"/>
  <c r="T145" i="1"/>
  <c r="AF65" i="1" l="1"/>
  <c r="K143" i="1"/>
  <c r="T143" i="1"/>
  <c r="K140" i="1" l="1"/>
  <c r="T140" i="1"/>
  <c r="AA134" i="1" l="1"/>
  <c r="T131" i="1" l="1"/>
  <c r="T129" i="1"/>
  <c r="BG242" i="1"/>
  <c r="BI242" i="1" s="1"/>
  <c r="AG242" i="1"/>
  <c r="X242" i="1"/>
  <c r="AF242" i="1" l="1"/>
  <c r="AI242" i="1"/>
  <c r="K159" i="1"/>
  <c r="BG93" i="1"/>
  <c r="BI93" i="1" s="1"/>
  <c r="AG93" i="1"/>
  <c r="X93" i="1"/>
  <c r="AF93" i="1" l="1"/>
  <c r="AI93" i="1"/>
  <c r="AE152" i="1"/>
  <c r="BG12" i="1" l="1"/>
  <c r="BI12" i="1" s="1"/>
  <c r="AG12" i="1"/>
  <c r="X12" i="1"/>
  <c r="BG240" i="1"/>
  <c r="BI240" i="1" s="1"/>
  <c r="AG240" i="1"/>
  <c r="AI240" i="1" s="1"/>
  <c r="X240" i="1"/>
  <c r="AF12" i="1" l="1"/>
  <c r="AI12" i="1"/>
  <c r="AF240" i="1"/>
  <c r="X138" i="1"/>
  <c r="X136" i="1"/>
  <c r="Q210" i="1" l="1"/>
  <c r="S210" i="1" s="1"/>
  <c r="Q206" i="1" l="1"/>
  <c r="S206" i="1" s="1"/>
  <c r="AB206" i="1"/>
  <c r="AB207" i="1"/>
  <c r="Q207" i="1"/>
  <c r="S207" i="1" s="1"/>
  <c r="AB204" i="1" l="1"/>
  <c r="AG204" i="1" s="1"/>
  <c r="BG64" i="1"/>
  <c r="BI64" i="1" s="1"/>
  <c r="AG64" i="1"/>
  <c r="AI64" i="1" s="1"/>
  <c r="X64" i="1"/>
  <c r="AB202" i="1"/>
  <c r="Q202" i="1"/>
  <c r="S202" i="1" s="1"/>
  <c r="Q201" i="1"/>
  <c r="S201" i="1" s="1"/>
  <c r="AF64" i="1" l="1"/>
  <c r="Q200" i="1"/>
  <c r="S200" i="1" s="1"/>
  <c r="Q199" i="1"/>
  <c r="S199" i="1" s="1"/>
  <c r="Q198" i="1"/>
  <c r="S198" i="1" s="1"/>
  <c r="BG63" i="1"/>
  <c r="BI63" i="1" s="1"/>
  <c r="AG63" i="1"/>
  <c r="AI63" i="1" s="1"/>
  <c r="X63" i="1"/>
  <c r="Q197" i="1"/>
  <c r="S197" i="1" s="1"/>
  <c r="Q174" i="1"/>
  <c r="S174" i="1" s="1"/>
  <c r="Q196" i="1"/>
  <c r="S196" i="1" s="1"/>
  <c r="AF63" i="1" l="1"/>
  <c r="BG62" i="1"/>
  <c r="BI62" i="1" s="1"/>
  <c r="AG62" i="1"/>
  <c r="AI62" i="1" s="1"/>
  <c r="X62" i="1"/>
  <c r="U195" i="1"/>
  <c r="Q195" i="1"/>
  <c r="S195" i="1" s="1"/>
  <c r="AF62" i="1" l="1"/>
  <c r="BG61" i="1"/>
  <c r="BI61" i="1" s="1"/>
  <c r="AG61" i="1"/>
  <c r="AI61" i="1" s="1"/>
  <c r="X61" i="1"/>
  <c r="AB193" i="1"/>
  <c r="Q193" i="1"/>
  <c r="S193" i="1" s="1"/>
  <c r="AE128" i="1"/>
  <c r="AF61" i="1" l="1"/>
  <c r="BG60" i="1"/>
  <c r="BI60" i="1" s="1"/>
  <c r="AG60" i="1"/>
  <c r="AI60" i="1" s="1"/>
  <c r="X60" i="1"/>
  <c r="AB192" i="1"/>
  <c r="AB191" i="1"/>
  <c r="Q191" i="1"/>
  <c r="S191" i="1" s="1"/>
  <c r="AF60" i="1" l="1"/>
  <c r="AB190" i="1"/>
  <c r="Q190" i="1"/>
  <c r="S190" i="1" s="1"/>
  <c r="X191" i="1"/>
  <c r="X192" i="1"/>
  <c r="X127" i="1"/>
  <c r="X128" i="1"/>
  <c r="X113" i="1"/>
  <c r="X193" i="1"/>
  <c r="X194" i="1"/>
  <c r="X89" i="1"/>
  <c r="X195" i="1"/>
  <c r="X196" i="1"/>
  <c r="X197" i="1"/>
  <c r="X198" i="1"/>
  <c r="X199" i="1"/>
  <c r="X200" i="1"/>
  <c r="X201" i="1"/>
  <c r="X202" i="1"/>
  <c r="X203" i="1"/>
  <c r="X204" i="1"/>
  <c r="X205" i="1"/>
  <c r="X206" i="1"/>
  <c r="X207" i="1"/>
  <c r="X208" i="1"/>
  <c r="X209" i="1"/>
  <c r="X210" i="1"/>
  <c r="X211" i="1"/>
  <c r="X11" i="1"/>
  <c r="X212" i="1"/>
  <c r="X213" i="1"/>
  <c r="X214" i="1"/>
  <c r="X215" i="1"/>
  <c r="X216" i="1"/>
  <c r="X217" i="1"/>
  <c r="X218" i="1"/>
  <c r="X220" i="1"/>
  <c r="X221" i="1"/>
  <c r="X114" i="1"/>
  <c r="X222" i="1"/>
  <c r="X223" i="1"/>
  <c r="X224" i="1"/>
  <c r="X132" i="1"/>
  <c r="X133" i="1"/>
  <c r="X115" i="1"/>
  <c r="X225" i="1"/>
  <c r="X226" i="1"/>
  <c r="X227" i="1"/>
  <c r="X219" i="1"/>
  <c r="X228" i="1"/>
  <c r="X229" i="1"/>
  <c r="X230" i="1"/>
  <c r="X231" i="1"/>
  <c r="X232" i="1"/>
  <c r="X233" i="1"/>
  <c r="X116" i="1"/>
  <c r="X117" i="1"/>
  <c r="X234" i="1"/>
  <c r="X118" i="1"/>
  <c r="X235" i="1"/>
  <c r="X13" i="1"/>
  <c r="X236" i="1"/>
  <c r="X120" i="1"/>
  <c r="X237" i="1"/>
  <c r="X119" i="1"/>
  <c r="X238" i="1"/>
  <c r="X239" i="1"/>
  <c r="X142" i="1"/>
  <c r="X241" i="1"/>
  <c r="X148" i="1"/>
  <c r="X124" i="1"/>
  <c r="X243" i="1"/>
  <c r="X123" i="1"/>
  <c r="X244" i="1"/>
  <c r="X245" i="1"/>
  <c r="X246" i="1"/>
  <c r="X152" i="1"/>
  <c r="X156" i="1"/>
  <c r="X92" i="1"/>
  <c r="X247" i="1"/>
  <c r="X121" i="1"/>
  <c r="X122" i="1"/>
  <c r="X248" i="1"/>
  <c r="X151" i="1"/>
  <c r="X159" i="1"/>
  <c r="X157" i="1"/>
  <c r="X158" i="1"/>
  <c r="X139" i="1"/>
  <c r="X146" i="1"/>
  <c r="X129" i="1"/>
  <c r="X131" i="1"/>
  <c r="X135" i="1"/>
  <c r="X134" i="1"/>
  <c r="X140" i="1"/>
  <c r="X143" i="1"/>
  <c r="X145" i="1"/>
  <c r="X147" i="1"/>
  <c r="X141" i="1"/>
  <c r="X160" i="1"/>
  <c r="X150" i="1"/>
  <c r="X137" i="1"/>
  <c r="X153" i="1"/>
  <c r="X154" i="1"/>
  <c r="X155" i="1"/>
  <c r="X144" i="1"/>
  <c r="X161" i="1"/>
  <c r="X98" i="1"/>
  <c r="X99" i="1"/>
  <c r="X100" i="1"/>
  <c r="X101" i="1"/>
  <c r="X102" i="1"/>
  <c r="X103" i="1"/>
  <c r="X95" i="1"/>
  <c r="X96" i="1"/>
  <c r="X4" i="1"/>
  <c r="X97" i="1"/>
  <c r="X14" i="1"/>
  <c r="X2" i="1"/>
  <c r="X6" i="1"/>
  <c r="X94" i="1"/>
  <c r="X41" i="1"/>
  <c r="X33" i="1"/>
  <c r="X31" i="1"/>
  <c r="X49" i="1"/>
  <c r="X50" i="1"/>
  <c r="X23" i="1"/>
  <c r="X32" i="1"/>
  <c r="X104" i="1"/>
  <c r="X26" i="1"/>
  <c r="X8" i="1"/>
  <c r="X37" i="1"/>
  <c r="X39" i="1"/>
  <c r="X106" i="1"/>
  <c r="X107" i="1"/>
  <c r="X108" i="1"/>
  <c r="X109" i="1"/>
  <c r="X10" i="1"/>
  <c r="X66" i="1"/>
  <c r="X67" i="1"/>
  <c r="X68" i="1"/>
  <c r="X69" i="1"/>
  <c r="X70" i="1"/>
  <c r="X71" i="1"/>
  <c r="X72" i="1"/>
  <c r="X73" i="1"/>
  <c r="X74" i="1"/>
  <c r="X75" i="1"/>
  <c r="X76" i="1"/>
  <c r="X15" i="1"/>
  <c r="X77" i="1"/>
  <c r="X78" i="1"/>
  <c r="X80" i="1"/>
  <c r="X81" i="1"/>
  <c r="X82" i="1"/>
  <c r="X83" i="1"/>
  <c r="X84" i="1"/>
  <c r="X85" i="1"/>
  <c r="X86" i="1"/>
  <c r="X53" i="1"/>
  <c r="X54" i="1"/>
  <c r="X59" i="1"/>
  <c r="X55" i="1"/>
  <c r="X112" i="1"/>
  <c r="X162" i="1"/>
  <c r="X163" i="1"/>
  <c r="X19" i="1"/>
  <c r="X164" i="1"/>
  <c r="X165" i="1"/>
  <c r="X17" i="1"/>
  <c r="X21" i="1"/>
  <c r="X20" i="1"/>
  <c r="X5" i="1"/>
  <c r="X3" i="1"/>
  <c r="X166" i="1"/>
  <c r="X167" i="1"/>
  <c r="X168" i="1"/>
  <c r="X169" i="1"/>
  <c r="X170" i="1"/>
  <c r="X171" i="1"/>
  <c r="X125" i="1"/>
  <c r="X87" i="1"/>
  <c r="X88" i="1"/>
  <c r="X173" i="1"/>
  <c r="X174" i="1"/>
  <c r="X175" i="1"/>
  <c r="X56" i="1"/>
  <c r="X57" i="1"/>
  <c r="X58" i="1"/>
  <c r="X176" i="1"/>
  <c r="X177" i="1"/>
  <c r="X178" i="1"/>
  <c r="X179" i="1"/>
  <c r="X180" i="1"/>
  <c r="X181" i="1"/>
  <c r="X182" i="1"/>
  <c r="X183" i="1"/>
  <c r="X184" i="1"/>
  <c r="X126" i="1"/>
  <c r="X185" i="1"/>
  <c r="X186" i="1"/>
  <c r="X187" i="1"/>
  <c r="X188" i="1"/>
  <c r="X189" i="1"/>
  <c r="X190" i="1"/>
  <c r="AB189" i="1"/>
  <c r="AB188" i="1" l="1"/>
  <c r="Q184" i="1" l="1"/>
  <c r="S184" i="1" s="1"/>
  <c r="BG56" i="1"/>
  <c r="BI56" i="1" s="1"/>
  <c r="AG56" i="1"/>
  <c r="AI56" i="1" s="1"/>
  <c r="Q183" i="1"/>
  <c r="S183" i="1" s="1"/>
  <c r="AB183" i="1"/>
  <c r="AF56" i="1" l="1"/>
  <c r="Q182" i="1"/>
  <c r="S182" i="1" s="1"/>
  <c r="BG59" i="1" l="1"/>
  <c r="BI59" i="1" s="1"/>
  <c r="AG59" i="1"/>
  <c r="AI59" i="1" s="1"/>
  <c r="Q181" i="1"/>
  <c r="S181" i="1" s="1"/>
  <c r="AB181" i="1"/>
  <c r="Q180" i="1"/>
  <c r="S180" i="1" s="1"/>
  <c r="AB180" i="1"/>
  <c r="Q179" i="1"/>
  <c r="S179" i="1" s="1"/>
  <c r="AB178" i="1"/>
  <c r="Q178" i="1"/>
  <c r="S178" i="1" s="1"/>
  <c r="AB177" i="1"/>
  <c r="Q177" i="1"/>
  <c r="S177" i="1" s="1"/>
  <c r="Q176" i="1"/>
  <c r="S176" i="1" s="1"/>
  <c r="AB173" i="1"/>
  <c r="BG53" i="1"/>
  <c r="BI53" i="1" s="1"/>
  <c r="AG53" i="1"/>
  <c r="AI53" i="1" s="1"/>
  <c r="Q173" i="1"/>
  <c r="S173" i="1" s="1"/>
  <c r="Q172" i="1"/>
  <c r="S172" i="1" s="1"/>
  <c r="BG17" i="1"/>
  <c r="BI17" i="1" s="1"/>
  <c r="AG17" i="1"/>
  <c r="AI17" i="1" s="1"/>
  <c r="BG21" i="1"/>
  <c r="BI21" i="1" s="1"/>
  <c r="BG20" i="1"/>
  <c r="BI20" i="1" s="1"/>
  <c r="AG21" i="1"/>
  <c r="AI21" i="1" s="1"/>
  <c r="AG20" i="1"/>
  <c r="AI20" i="1" s="1"/>
  <c r="AI204" i="1" l="1"/>
  <c r="AF53" i="1"/>
  <c r="AF59" i="1"/>
  <c r="AF20" i="1"/>
  <c r="AF17" i="1"/>
  <c r="AF21" i="1"/>
  <c r="BG162" i="1"/>
  <c r="BI162" i="1" s="1"/>
  <c r="AG162" i="1"/>
  <c r="AI162" i="1" s="1"/>
  <c r="Q162" i="1"/>
  <c r="S162" i="1" s="1"/>
  <c r="BG5" i="1"/>
  <c r="BI5" i="1" s="1"/>
  <c r="AG5" i="1"/>
  <c r="AI5" i="1" s="1"/>
  <c r="AF162" i="1" l="1"/>
  <c r="AF5" i="1"/>
  <c r="BG55" i="1"/>
  <c r="BI55" i="1" s="1"/>
  <c r="AG55" i="1"/>
  <c r="AI55" i="1" s="1"/>
  <c r="Q169" i="1"/>
  <c r="S169" i="1" s="1"/>
  <c r="Q170" i="1"/>
  <c r="S170" i="1" s="1"/>
  <c r="AF55" i="1" l="1"/>
  <c r="Q168" i="1"/>
  <c r="S168" i="1" s="1"/>
  <c r="Q167" i="1"/>
  <c r="S167" i="1" s="1"/>
  <c r="P163" i="1" l="1"/>
  <c r="Q163" i="1"/>
  <c r="Q166" i="1"/>
  <c r="S166" i="1" s="1"/>
  <c r="Q204" i="1"/>
  <c r="S204" i="1" s="1"/>
  <c r="S163" i="1" l="1"/>
  <c r="B4" i="4"/>
  <c r="B5" i="4"/>
  <c r="B6" i="4"/>
  <c r="B7" i="4"/>
  <c r="B8" i="4"/>
  <c r="B9" i="4"/>
  <c r="B10" i="4"/>
  <c r="B11" i="4"/>
  <c r="B3" i="4"/>
  <c r="BG78" i="1"/>
  <c r="BI78" i="1" s="1"/>
  <c r="BG79" i="1"/>
  <c r="BI79" i="1" s="1"/>
  <c r="BG80" i="1"/>
  <c r="BI80" i="1" s="1"/>
  <c r="BG81" i="1"/>
  <c r="BI81" i="1" s="1"/>
  <c r="BG82" i="1"/>
  <c r="BI82" i="1" s="1"/>
  <c r="BG83" i="1"/>
  <c r="BI83" i="1" s="1"/>
  <c r="BG84" i="1"/>
  <c r="BI84" i="1" s="1"/>
  <c r="BG85" i="1"/>
  <c r="BI85" i="1" s="1"/>
  <c r="BG163" i="1"/>
  <c r="BI163" i="1" s="1"/>
  <c r="BG164" i="1"/>
  <c r="BI164" i="1" s="1"/>
  <c r="BG165" i="1"/>
  <c r="BI165" i="1" s="1"/>
  <c r="BG166" i="1"/>
  <c r="BI166" i="1" s="1"/>
  <c r="BG167" i="1"/>
  <c r="BI167" i="1" s="1"/>
  <c r="BG168" i="1"/>
  <c r="BI168" i="1" s="1"/>
  <c r="BG169" i="1"/>
  <c r="BI169" i="1" s="1"/>
  <c r="BG170" i="1"/>
  <c r="BI170" i="1" s="1"/>
  <c r="BG171" i="1"/>
  <c r="BI171" i="1" s="1"/>
  <c r="BG87" i="1"/>
  <c r="BI87" i="1" s="1"/>
  <c r="BG88" i="1"/>
  <c r="BI88" i="1" s="1"/>
  <c r="BG172" i="1"/>
  <c r="BI172" i="1" s="1"/>
  <c r="BG173" i="1"/>
  <c r="BI173" i="1" s="1"/>
  <c r="BG86" i="1"/>
  <c r="BI86" i="1" s="1"/>
  <c r="BG174" i="1"/>
  <c r="BI174" i="1" s="1"/>
  <c r="BG175" i="1"/>
  <c r="BI175" i="1" s="1"/>
  <c r="BG176" i="1"/>
  <c r="BI176" i="1" s="1"/>
  <c r="BG177" i="1"/>
  <c r="BI177" i="1" s="1"/>
  <c r="BG178" i="1"/>
  <c r="BI178" i="1" s="1"/>
  <c r="BG179" i="1"/>
  <c r="BI179" i="1" s="1"/>
  <c r="BG180" i="1"/>
  <c r="BI180" i="1" s="1"/>
  <c r="BG181" i="1"/>
  <c r="BI181" i="1" s="1"/>
  <c r="BG182" i="1"/>
  <c r="BI182" i="1" s="1"/>
  <c r="BG183" i="1"/>
  <c r="BI183" i="1" s="1"/>
  <c r="BG184" i="1"/>
  <c r="BI184" i="1" s="1"/>
  <c r="BG186" i="1"/>
  <c r="BI186" i="1" s="1"/>
  <c r="BG187" i="1"/>
  <c r="BI187" i="1" s="1"/>
  <c r="BG188" i="1"/>
  <c r="BI188" i="1" s="1"/>
  <c r="BG189" i="1"/>
  <c r="BI189" i="1" s="1"/>
  <c r="BG190" i="1"/>
  <c r="BI190" i="1" s="1"/>
  <c r="BG191" i="1"/>
  <c r="BI191" i="1" s="1"/>
  <c r="BG192" i="1"/>
  <c r="BI192" i="1" s="1"/>
  <c r="BG193" i="1"/>
  <c r="BI193" i="1" s="1"/>
  <c r="BG194" i="1"/>
  <c r="BI194" i="1" s="1"/>
  <c r="BG89" i="1"/>
  <c r="BI89" i="1" s="1"/>
  <c r="BG195" i="1"/>
  <c r="BI195" i="1" s="1"/>
  <c r="BG196" i="1"/>
  <c r="BI196" i="1" s="1"/>
  <c r="BG197" i="1"/>
  <c r="BI197" i="1" s="1"/>
  <c r="BG198" i="1"/>
  <c r="BI198" i="1" s="1"/>
  <c r="BG199" i="1"/>
  <c r="BI199" i="1" s="1"/>
  <c r="BG200" i="1"/>
  <c r="BI200" i="1" s="1"/>
  <c r="BG201" i="1"/>
  <c r="BI201" i="1" s="1"/>
  <c r="BG202" i="1"/>
  <c r="BI202" i="1" s="1"/>
  <c r="BG203" i="1"/>
  <c r="BI203" i="1" s="1"/>
  <c r="BG204" i="1"/>
  <c r="BI204" i="1" s="1"/>
  <c r="BG205" i="1"/>
  <c r="BI205" i="1" s="1"/>
  <c r="BG206" i="1"/>
  <c r="BI206" i="1" s="1"/>
  <c r="BG207" i="1"/>
  <c r="BI207" i="1" s="1"/>
  <c r="BG208" i="1"/>
  <c r="BI208" i="1" s="1"/>
  <c r="BG209" i="1"/>
  <c r="BI209" i="1" s="1"/>
  <c r="BG210" i="1"/>
  <c r="BI210" i="1" s="1"/>
  <c r="BG211" i="1"/>
  <c r="BI211" i="1" s="1"/>
  <c r="BG212" i="1"/>
  <c r="BI212" i="1" s="1"/>
  <c r="BG213" i="1"/>
  <c r="BI213" i="1" s="1"/>
  <c r="BG214" i="1"/>
  <c r="BI214" i="1" s="1"/>
  <c r="BG215" i="1"/>
  <c r="BI215" i="1" s="1"/>
  <c r="BG216" i="1"/>
  <c r="BI216" i="1" s="1"/>
  <c r="BG217" i="1"/>
  <c r="BI217" i="1" s="1"/>
  <c r="BG218" i="1"/>
  <c r="BI218" i="1" s="1"/>
  <c r="BG220" i="1"/>
  <c r="BI220" i="1" s="1"/>
  <c r="BG221" i="1"/>
  <c r="BI221" i="1" s="1"/>
  <c r="BG222" i="1"/>
  <c r="BI222" i="1" s="1"/>
  <c r="BG223" i="1"/>
  <c r="BI223" i="1" s="1"/>
  <c r="BG224" i="1"/>
  <c r="BI224" i="1" s="1"/>
  <c r="BG132" i="1"/>
  <c r="BI132" i="1" s="1"/>
  <c r="BG225" i="1"/>
  <c r="BI225" i="1" s="1"/>
  <c r="BG226" i="1"/>
  <c r="BI226" i="1" s="1"/>
  <c r="BG227" i="1"/>
  <c r="BI227" i="1" s="1"/>
  <c r="BG219" i="1"/>
  <c r="BI219" i="1" s="1"/>
  <c r="BG228" i="1"/>
  <c r="BI228" i="1" s="1"/>
  <c r="BG229" i="1"/>
  <c r="BI229" i="1" s="1"/>
  <c r="BG230" i="1"/>
  <c r="BI230" i="1" s="1"/>
  <c r="BG231" i="1"/>
  <c r="BI231" i="1" s="1"/>
  <c r="BG232" i="1"/>
  <c r="BI232" i="1" s="1"/>
  <c r="BG233" i="1"/>
  <c r="BI233" i="1" s="1"/>
  <c r="BG234" i="1"/>
  <c r="BI234" i="1" s="1"/>
  <c r="BG235" i="1"/>
  <c r="BI235" i="1" s="1"/>
  <c r="BG236" i="1"/>
  <c r="BI236" i="1" s="1"/>
  <c r="BG237" i="1"/>
  <c r="BI237" i="1" s="1"/>
  <c r="BG238" i="1"/>
  <c r="BI238" i="1" s="1"/>
  <c r="BG239" i="1"/>
  <c r="BI239" i="1" s="1"/>
  <c r="BG241" i="1"/>
  <c r="BI241" i="1" s="1"/>
  <c r="BG243" i="1"/>
  <c r="BI243" i="1" s="1"/>
  <c r="BG244" i="1"/>
  <c r="BI244" i="1" s="1"/>
  <c r="BG245" i="1"/>
  <c r="BI245" i="1" s="1"/>
  <c r="BG246" i="1"/>
  <c r="BI246" i="1" s="1"/>
  <c r="BG247" i="1"/>
  <c r="BI247" i="1" s="1"/>
  <c r="BG248" i="1"/>
  <c r="BI248" i="1" s="1"/>
  <c r="BG185" i="1"/>
  <c r="BI185" i="1" s="1"/>
  <c r="BG125" i="1"/>
  <c r="BI125" i="1" s="1"/>
  <c r="BG126" i="1"/>
  <c r="BI126" i="1" s="1"/>
  <c r="BG127" i="1"/>
  <c r="BI127" i="1" s="1"/>
  <c r="BG128" i="1"/>
  <c r="BI128" i="1" s="1"/>
  <c r="BG130" i="1"/>
  <c r="BI130" i="1" s="1"/>
  <c r="BG91" i="1"/>
  <c r="BI91" i="1" s="1"/>
  <c r="BG133" i="1"/>
  <c r="BI133" i="1" s="1"/>
  <c r="BG90" i="1"/>
  <c r="BI90" i="1" s="1"/>
  <c r="BG156" i="1"/>
  <c r="BI156" i="1" s="1"/>
  <c r="BG148" i="1"/>
  <c r="BI148" i="1" s="1"/>
  <c r="BG152" i="1"/>
  <c r="BI152" i="1" s="1"/>
  <c r="BG92" i="1"/>
  <c r="BI92" i="1" s="1"/>
  <c r="BG142" i="1"/>
  <c r="BI142" i="1" s="1"/>
  <c r="BG138" i="1"/>
  <c r="BI138" i="1" s="1"/>
  <c r="BG136" i="1"/>
  <c r="BI136" i="1" s="1"/>
  <c r="BG151" i="1"/>
  <c r="BI151" i="1" s="1"/>
  <c r="BG159" i="1"/>
  <c r="BI159" i="1" s="1"/>
  <c r="BG157" i="1"/>
  <c r="BI157" i="1" s="1"/>
  <c r="BG158" i="1"/>
  <c r="BI158" i="1" s="1"/>
  <c r="BG139" i="1"/>
  <c r="BI139" i="1" s="1"/>
  <c r="BG146" i="1"/>
  <c r="BI146" i="1" s="1"/>
  <c r="BG129" i="1"/>
  <c r="BI129" i="1" s="1"/>
  <c r="BG131" i="1"/>
  <c r="BI131" i="1" s="1"/>
  <c r="BG135" i="1"/>
  <c r="BI135" i="1" s="1"/>
  <c r="BG134" i="1"/>
  <c r="BI134" i="1" s="1"/>
  <c r="BG140" i="1"/>
  <c r="BI140" i="1" s="1"/>
  <c r="BG143" i="1"/>
  <c r="BI143" i="1" s="1"/>
  <c r="BI145" i="1"/>
  <c r="BG147" i="1"/>
  <c r="BI147" i="1" s="1"/>
  <c r="BG141" i="1"/>
  <c r="BI141" i="1" s="1"/>
  <c r="BG160" i="1"/>
  <c r="BI160" i="1" s="1"/>
  <c r="BG150" i="1"/>
  <c r="BI150" i="1" s="1"/>
  <c r="BG137" i="1"/>
  <c r="BI137" i="1" s="1"/>
  <c r="BG153" i="1"/>
  <c r="BI153" i="1" s="1"/>
  <c r="BG154" i="1"/>
  <c r="BI154" i="1" s="1"/>
  <c r="BG155" i="1"/>
  <c r="BI155" i="1" s="1"/>
  <c r="BG144" i="1"/>
  <c r="BI144" i="1" s="1"/>
  <c r="BG161" i="1"/>
  <c r="BI161" i="1" s="1"/>
  <c r="BG98" i="1"/>
  <c r="BI98" i="1" s="1"/>
  <c r="BG112" i="1"/>
  <c r="BI112" i="1" s="1"/>
  <c r="BG99" i="1"/>
  <c r="BI99" i="1" s="1"/>
  <c r="BG100" i="1"/>
  <c r="BI100" i="1" s="1"/>
  <c r="BG101" i="1"/>
  <c r="BI101" i="1" s="1"/>
  <c r="BG102" i="1"/>
  <c r="BI102" i="1" s="1"/>
  <c r="BG103" i="1"/>
  <c r="BI103" i="1" s="1"/>
  <c r="BG113" i="1"/>
  <c r="BI113" i="1" s="1"/>
  <c r="BG114" i="1"/>
  <c r="BI114" i="1" s="1"/>
  <c r="BG115" i="1"/>
  <c r="BI115" i="1" s="1"/>
  <c r="BG116" i="1"/>
  <c r="BI116" i="1" s="1"/>
  <c r="BG117" i="1"/>
  <c r="BI117" i="1" s="1"/>
  <c r="BG118" i="1"/>
  <c r="BI118" i="1" s="1"/>
  <c r="BG120" i="1"/>
  <c r="BI120" i="1" s="1"/>
  <c r="BG119" i="1"/>
  <c r="BI119" i="1" s="1"/>
  <c r="BG124" i="1"/>
  <c r="BI124" i="1" s="1"/>
  <c r="BG123" i="1"/>
  <c r="BI123" i="1" s="1"/>
  <c r="BG121" i="1"/>
  <c r="BI121" i="1" s="1"/>
  <c r="BG122" i="1"/>
  <c r="BI122" i="1" s="1"/>
  <c r="BG95" i="1"/>
  <c r="BI95" i="1" s="1"/>
  <c r="BG96" i="1"/>
  <c r="BI96" i="1" s="1"/>
  <c r="BG4" i="1"/>
  <c r="BI4" i="1" s="1"/>
  <c r="BG3" i="1"/>
  <c r="BI3" i="1" s="1"/>
  <c r="BG97" i="1"/>
  <c r="BI97" i="1" s="1"/>
  <c r="BG14" i="1"/>
  <c r="BI14" i="1" s="1"/>
  <c r="BG11" i="1"/>
  <c r="BI11" i="1" s="1"/>
  <c r="BG13" i="1"/>
  <c r="BI13" i="1" s="1"/>
  <c r="BG2" i="1"/>
  <c r="BI2" i="1" s="1"/>
  <c r="BG6" i="1"/>
  <c r="BI6" i="1" s="1"/>
  <c r="BG94" i="1"/>
  <c r="BI94" i="1" s="1"/>
  <c r="BG15" i="1"/>
  <c r="BI15" i="1" s="1"/>
  <c r="BI41" i="1"/>
  <c r="BG33" i="1"/>
  <c r="BI33" i="1" s="1"/>
  <c r="BG10" i="1"/>
  <c r="BI10" i="1" s="1"/>
  <c r="BG19" i="1"/>
  <c r="BI19" i="1" s="1"/>
  <c r="BG31" i="1"/>
  <c r="BI31" i="1" s="1"/>
  <c r="BG23" i="1"/>
  <c r="BI23" i="1" s="1"/>
  <c r="BG32" i="1"/>
  <c r="BI32" i="1" s="1"/>
  <c r="BG104" i="1"/>
  <c r="BI104" i="1" s="1"/>
  <c r="BG26" i="1"/>
  <c r="BI26" i="1" s="1"/>
  <c r="BG8" i="1"/>
  <c r="BI8" i="1" s="1"/>
  <c r="BG37" i="1"/>
  <c r="BI37" i="1" s="1"/>
  <c r="BG39" i="1"/>
  <c r="BI39" i="1" s="1"/>
  <c r="BG58" i="1"/>
  <c r="BI58" i="1" s="1"/>
  <c r="BG54" i="1"/>
  <c r="BI54" i="1" s="1"/>
  <c r="BG66" i="1"/>
  <c r="BI66" i="1" s="1"/>
  <c r="BG67" i="1"/>
  <c r="BI67" i="1" s="1"/>
  <c r="BG68" i="1"/>
  <c r="BI68" i="1" s="1"/>
  <c r="BG69" i="1"/>
  <c r="BI69" i="1" s="1"/>
  <c r="BG70" i="1"/>
  <c r="BI70" i="1" s="1"/>
  <c r="BG71" i="1"/>
  <c r="BI71" i="1" s="1"/>
  <c r="BG72" i="1"/>
  <c r="BI72" i="1" s="1"/>
  <c r="BG73" i="1"/>
  <c r="BI73" i="1" s="1"/>
  <c r="BG74" i="1"/>
  <c r="BI74" i="1" s="1"/>
  <c r="BG75" i="1"/>
  <c r="BI75" i="1" s="1"/>
  <c r="BG76" i="1"/>
  <c r="BI76" i="1" s="1"/>
  <c r="BG77" i="1"/>
  <c r="BI77" i="1" s="1"/>
  <c r="BG57" i="1"/>
  <c r="BI5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63" i="1"/>
  <c r="AG54" i="1"/>
  <c r="AI54" i="1" l="1"/>
  <c r="C2" i="3"/>
  <c r="B2" i="3" s="1"/>
  <c r="B7" i="3"/>
  <c r="B8" i="3"/>
  <c r="B9" i="3"/>
  <c r="B10" i="3"/>
  <c r="B11" i="3"/>
  <c r="B12" i="3"/>
  <c r="B13" i="3"/>
  <c r="B14" i="3"/>
  <c r="C4" i="3"/>
  <c r="B4" i="3" s="1"/>
  <c r="C5" i="3"/>
  <c r="B5" i="3" s="1"/>
  <c r="C6" i="3"/>
  <c r="B6" i="3" s="1"/>
  <c r="AF54" i="1" s="1"/>
  <c r="C7" i="3"/>
  <c r="C8" i="3"/>
  <c r="C9" i="3"/>
  <c r="C10" i="3"/>
  <c r="C11" i="3"/>
  <c r="C12" i="3"/>
  <c r="C13" i="3"/>
  <c r="C14" i="3"/>
  <c r="C15" i="3"/>
  <c r="C16" i="3"/>
  <c r="B16" i="3" s="1"/>
  <c r="C17" i="3"/>
  <c r="B17" i="3" s="1"/>
  <c r="C18" i="3"/>
  <c r="B18" i="3" s="1"/>
  <c r="C3" i="3"/>
  <c r="B3" i="3" s="1"/>
  <c r="AG209" i="1" l="1"/>
  <c r="AI209" i="1" s="1"/>
  <c r="AG210" i="1"/>
  <c r="AI210" i="1" s="1"/>
  <c r="AG58" i="1"/>
  <c r="AI58" i="1" s="1"/>
  <c r="AG66" i="1"/>
  <c r="AI66"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163" i="1"/>
  <c r="AI163" i="1" s="1"/>
  <c r="AG164" i="1"/>
  <c r="AI164" i="1" s="1"/>
  <c r="AG165" i="1"/>
  <c r="AI165" i="1" s="1"/>
  <c r="AG166" i="1"/>
  <c r="AI166" i="1" s="1"/>
  <c r="AG167" i="1"/>
  <c r="AI167" i="1" s="1"/>
  <c r="AG168" i="1"/>
  <c r="AI168" i="1" s="1"/>
  <c r="AG169" i="1"/>
  <c r="AI169" i="1" s="1"/>
  <c r="AG170" i="1"/>
  <c r="AI170" i="1" s="1"/>
  <c r="AG171" i="1"/>
  <c r="AI171" i="1" s="1"/>
  <c r="AG87" i="1"/>
  <c r="AI87" i="1" s="1"/>
  <c r="AG88" i="1"/>
  <c r="AI88" i="1" s="1"/>
  <c r="AG172" i="1"/>
  <c r="AI172" i="1" s="1"/>
  <c r="AG173" i="1"/>
  <c r="AI173" i="1" s="1"/>
  <c r="AG86" i="1"/>
  <c r="AI86" i="1" s="1"/>
  <c r="AG174" i="1"/>
  <c r="AI174" i="1" s="1"/>
  <c r="AG175" i="1"/>
  <c r="AI175" i="1" s="1"/>
  <c r="AG176" i="1"/>
  <c r="AG177" i="1"/>
  <c r="AI177" i="1" s="1"/>
  <c r="AG178" i="1"/>
  <c r="AI178" i="1" s="1"/>
  <c r="AG179" i="1"/>
  <c r="AI179" i="1" s="1"/>
  <c r="AG180" i="1"/>
  <c r="AI180" i="1" s="1"/>
  <c r="AG181" i="1"/>
  <c r="AI181" i="1" s="1"/>
  <c r="AG182" i="1"/>
  <c r="AI182" i="1" s="1"/>
  <c r="AG183" i="1"/>
  <c r="AI183" i="1" s="1"/>
  <c r="AG184" i="1"/>
  <c r="AI184" i="1" s="1"/>
  <c r="AG186" i="1"/>
  <c r="AG187" i="1"/>
  <c r="AG188" i="1"/>
  <c r="AI188" i="1" s="1"/>
  <c r="AG189" i="1"/>
  <c r="AI189" i="1" s="1"/>
  <c r="AG190" i="1"/>
  <c r="AI190" i="1" s="1"/>
  <c r="AG191" i="1"/>
  <c r="AI191" i="1" s="1"/>
  <c r="AG192" i="1"/>
  <c r="AI192" i="1" s="1"/>
  <c r="AG193" i="1"/>
  <c r="AI193" i="1" s="1"/>
  <c r="AG194" i="1"/>
  <c r="AI194" i="1" s="1"/>
  <c r="AG89" i="1"/>
  <c r="AI89" i="1" s="1"/>
  <c r="AG195" i="1"/>
  <c r="AI195" i="1" s="1"/>
  <c r="AG196" i="1"/>
  <c r="AI196" i="1" s="1"/>
  <c r="AG197" i="1"/>
  <c r="AI197" i="1" s="1"/>
  <c r="AG198" i="1"/>
  <c r="AI198" i="1" s="1"/>
  <c r="AG199" i="1"/>
  <c r="AI199" i="1" s="1"/>
  <c r="AG200" i="1"/>
  <c r="AI200" i="1" s="1"/>
  <c r="AG201" i="1"/>
  <c r="AI201" i="1" s="1"/>
  <c r="AG202" i="1"/>
  <c r="AI202" i="1" s="1"/>
  <c r="AG203" i="1"/>
  <c r="AI203" i="1" s="1"/>
  <c r="AG205" i="1"/>
  <c r="AI205" i="1" s="1"/>
  <c r="AG206" i="1"/>
  <c r="AI206" i="1" s="1"/>
  <c r="AG207" i="1"/>
  <c r="AI207" i="1" s="1"/>
  <c r="AG208" i="1"/>
  <c r="AI208" i="1" s="1"/>
  <c r="AG211" i="1"/>
  <c r="AI211" i="1" s="1"/>
  <c r="AG212" i="1"/>
  <c r="AI212" i="1" s="1"/>
  <c r="AG213" i="1"/>
  <c r="AI213" i="1" s="1"/>
  <c r="AG214" i="1"/>
  <c r="AI214" i="1" s="1"/>
  <c r="AG215" i="1"/>
  <c r="AI215" i="1" s="1"/>
  <c r="AG216" i="1"/>
  <c r="AI216" i="1" s="1"/>
  <c r="AG217" i="1"/>
  <c r="AI217" i="1" s="1"/>
  <c r="AG218" i="1"/>
  <c r="AI218" i="1" s="1"/>
  <c r="AG220" i="1"/>
  <c r="AI220" i="1" s="1"/>
  <c r="AG221" i="1"/>
  <c r="AI221" i="1" s="1"/>
  <c r="AG222" i="1"/>
  <c r="AI222" i="1" s="1"/>
  <c r="AG223" i="1"/>
  <c r="AI223" i="1" s="1"/>
  <c r="AG224" i="1"/>
  <c r="AI224" i="1" s="1"/>
  <c r="AG132" i="1"/>
  <c r="AI132" i="1" s="1"/>
  <c r="AG225" i="1"/>
  <c r="AI225" i="1" s="1"/>
  <c r="AG226" i="1"/>
  <c r="AI226" i="1" s="1"/>
  <c r="AG227" i="1"/>
  <c r="AI227" i="1" s="1"/>
  <c r="AG219" i="1"/>
  <c r="AI219" i="1" s="1"/>
  <c r="AG228" i="1"/>
  <c r="AI228" i="1" s="1"/>
  <c r="AG229" i="1"/>
  <c r="AI229" i="1" s="1"/>
  <c r="AG230" i="1"/>
  <c r="AI230" i="1" s="1"/>
  <c r="AG231" i="1"/>
  <c r="AI231" i="1" s="1"/>
  <c r="AG232" i="1"/>
  <c r="AI232" i="1" s="1"/>
  <c r="AG233" i="1"/>
  <c r="AI233" i="1" s="1"/>
  <c r="AG234" i="1"/>
  <c r="AI234" i="1" s="1"/>
  <c r="AG235" i="1"/>
  <c r="AI235" i="1" s="1"/>
  <c r="AG236" i="1"/>
  <c r="AI236" i="1" s="1"/>
  <c r="AG237" i="1"/>
  <c r="AI237" i="1" s="1"/>
  <c r="AG238" i="1"/>
  <c r="AI238" i="1" s="1"/>
  <c r="AG239" i="1"/>
  <c r="AI239" i="1" s="1"/>
  <c r="AG241" i="1"/>
  <c r="AI241" i="1" s="1"/>
  <c r="AG243" i="1"/>
  <c r="AI243" i="1" s="1"/>
  <c r="AG244" i="1"/>
  <c r="AI244" i="1" s="1"/>
  <c r="AG245" i="1"/>
  <c r="AI245" i="1" s="1"/>
  <c r="AG246" i="1"/>
  <c r="AI246" i="1" s="1"/>
  <c r="AG247" i="1"/>
  <c r="AI247" i="1" s="1"/>
  <c r="AG248" i="1"/>
  <c r="AI248" i="1" s="1"/>
  <c r="AG185" i="1"/>
  <c r="AI185" i="1" s="1"/>
  <c r="AG125" i="1"/>
  <c r="AI125" i="1" s="1"/>
  <c r="AG126" i="1"/>
  <c r="AI126" i="1" s="1"/>
  <c r="AG127" i="1"/>
  <c r="AI127" i="1" s="1"/>
  <c r="AG128" i="1"/>
  <c r="AI128" i="1" s="1"/>
  <c r="AG130" i="1"/>
  <c r="AI130" i="1" s="1"/>
  <c r="AG91" i="1"/>
  <c r="AI91" i="1" s="1"/>
  <c r="AG133" i="1"/>
  <c r="AI133" i="1" s="1"/>
  <c r="AG90" i="1"/>
  <c r="AI90" i="1" s="1"/>
  <c r="AG156" i="1"/>
  <c r="AI156" i="1" s="1"/>
  <c r="AG148" i="1"/>
  <c r="AI148" i="1" s="1"/>
  <c r="AG152" i="1"/>
  <c r="AI152" i="1" s="1"/>
  <c r="AG92" i="1"/>
  <c r="AI92" i="1" s="1"/>
  <c r="AG142" i="1"/>
  <c r="AI142" i="1" s="1"/>
  <c r="AG138" i="1"/>
  <c r="AI138" i="1" s="1"/>
  <c r="AG136" i="1"/>
  <c r="AI136" i="1" s="1"/>
  <c r="AG151" i="1"/>
  <c r="AI151" i="1" s="1"/>
  <c r="AG159" i="1"/>
  <c r="AI159" i="1" s="1"/>
  <c r="AG157" i="1"/>
  <c r="AI157" i="1" s="1"/>
  <c r="AG158" i="1"/>
  <c r="AI158" i="1" s="1"/>
  <c r="AG139" i="1"/>
  <c r="AI139" i="1" s="1"/>
  <c r="AG146" i="1"/>
  <c r="AI146" i="1" s="1"/>
  <c r="AG129" i="1"/>
  <c r="AI129" i="1" s="1"/>
  <c r="AG131" i="1"/>
  <c r="AI131" i="1" s="1"/>
  <c r="AG135" i="1"/>
  <c r="AI135" i="1" s="1"/>
  <c r="AG134" i="1"/>
  <c r="AI134" i="1" s="1"/>
  <c r="AG140" i="1"/>
  <c r="AI140" i="1" s="1"/>
  <c r="AG143" i="1"/>
  <c r="AI143" i="1" s="1"/>
  <c r="AG145" i="1"/>
  <c r="AI145" i="1" s="1"/>
  <c r="AG147" i="1"/>
  <c r="AI147" i="1" s="1"/>
  <c r="AG141" i="1"/>
  <c r="AI141" i="1" s="1"/>
  <c r="AG160" i="1"/>
  <c r="AI160" i="1" s="1"/>
  <c r="AG150" i="1"/>
  <c r="AI150" i="1" s="1"/>
  <c r="AG153" i="1"/>
  <c r="AI153" i="1" s="1"/>
  <c r="AG154" i="1"/>
  <c r="AI154" i="1" s="1"/>
  <c r="AG155" i="1"/>
  <c r="AI155" i="1" s="1"/>
  <c r="AG144" i="1"/>
  <c r="AI144" i="1" s="1"/>
  <c r="AG161" i="1"/>
  <c r="AI161" i="1" s="1"/>
  <c r="AG98" i="1"/>
  <c r="AI98" i="1" s="1"/>
  <c r="AG112" i="1"/>
  <c r="AI112" i="1" s="1"/>
  <c r="AG99" i="1"/>
  <c r="AI99" i="1" s="1"/>
  <c r="AG100" i="1"/>
  <c r="AI100" i="1" s="1"/>
  <c r="AG101" i="1"/>
  <c r="AI101" i="1" s="1"/>
  <c r="AG102" i="1"/>
  <c r="AI102" i="1" s="1"/>
  <c r="AG103" i="1"/>
  <c r="AI103" i="1" s="1"/>
  <c r="AG113" i="1"/>
  <c r="AI113" i="1" s="1"/>
  <c r="AG114" i="1"/>
  <c r="AI114" i="1" s="1"/>
  <c r="AG115" i="1"/>
  <c r="AI115" i="1" s="1"/>
  <c r="AG116" i="1"/>
  <c r="AI116" i="1" s="1"/>
  <c r="AG117" i="1"/>
  <c r="AI117" i="1" s="1"/>
  <c r="AG118" i="1"/>
  <c r="AI118" i="1" s="1"/>
  <c r="AG120" i="1"/>
  <c r="AI120" i="1" s="1"/>
  <c r="AG119" i="1"/>
  <c r="AI119" i="1" s="1"/>
  <c r="AG124" i="1"/>
  <c r="AI124" i="1" s="1"/>
  <c r="AG123" i="1"/>
  <c r="AI123" i="1" s="1"/>
  <c r="AG121" i="1"/>
  <c r="AI121" i="1" s="1"/>
  <c r="AG122" i="1"/>
  <c r="AI122" i="1" s="1"/>
  <c r="AG95" i="1"/>
  <c r="AI95" i="1" s="1"/>
  <c r="AG96" i="1"/>
  <c r="AI96" i="1" s="1"/>
  <c r="AG4" i="1"/>
  <c r="AI4" i="1" s="1"/>
  <c r="AG3" i="1"/>
  <c r="AI3" i="1" s="1"/>
  <c r="AG97" i="1"/>
  <c r="AI97" i="1" s="1"/>
  <c r="AG14" i="1"/>
  <c r="AI14" i="1" s="1"/>
  <c r="AG11" i="1"/>
  <c r="AI11" i="1" s="1"/>
  <c r="AG13" i="1"/>
  <c r="AI13" i="1" s="1"/>
  <c r="AG2" i="1"/>
  <c r="AI2" i="1" s="1"/>
  <c r="AG6" i="1"/>
  <c r="AI6" i="1" s="1"/>
  <c r="AG94" i="1"/>
  <c r="AI94" i="1" s="1"/>
  <c r="AG15" i="1"/>
  <c r="AI15" i="1" s="1"/>
  <c r="AG33" i="1"/>
  <c r="AI33" i="1" s="1"/>
  <c r="AG10" i="1"/>
  <c r="AI10" i="1" s="1"/>
  <c r="AG19" i="1"/>
  <c r="AI19" i="1" s="1"/>
  <c r="AG31" i="1"/>
  <c r="AI31" i="1" s="1"/>
  <c r="AG49" i="1"/>
  <c r="AI49" i="1" s="1"/>
  <c r="AG50" i="1"/>
  <c r="AG23" i="1"/>
  <c r="AI23" i="1" s="1"/>
  <c r="AG32" i="1"/>
  <c r="AI32" i="1" s="1"/>
  <c r="AG104" i="1"/>
  <c r="AI104" i="1" s="1"/>
  <c r="AG26" i="1"/>
  <c r="AI26" i="1" s="1"/>
  <c r="AG8" i="1"/>
  <c r="AI8" i="1" s="1"/>
  <c r="AG37" i="1"/>
  <c r="AI37" i="1" s="1"/>
  <c r="AG39" i="1"/>
  <c r="AI39" i="1" s="1"/>
  <c r="AG57" i="1"/>
  <c r="AI57" i="1" s="1"/>
  <c r="AI187" i="1" s="1"/>
  <c r="AF50" i="1" l="1"/>
  <c r="AI50" i="1"/>
  <c r="AI186" i="1"/>
  <c r="AI176" i="1"/>
  <c r="AF49" i="1"/>
  <c r="AF104" i="1"/>
  <c r="AF176" i="1"/>
  <c r="AF187" i="1"/>
  <c r="AF186" i="1"/>
  <c r="AF57" i="1"/>
  <c r="AF173" i="1"/>
  <c r="AF171" i="1"/>
  <c r="AF167" i="1"/>
  <c r="AF163" i="1"/>
  <c r="AF82" i="1"/>
  <c r="AF78" i="1"/>
  <c r="AF74" i="1"/>
  <c r="AF70" i="1"/>
  <c r="AF66" i="1"/>
  <c r="AF94" i="1"/>
  <c r="AF3" i="1"/>
  <c r="AF119" i="1"/>
  <c r="AF144" i="1"/>
  <c r="AF134" i="1"/>
  <c r="AF142" i="1"/>
  <c r="AF246" i="1"/>
  <c r="AF232" i="1"/>
  <c r="AF222" i="1"/>
  <c r="AF207" i="1"/>
  <c r="AF199" i="1"/>
  <c r="AF189" i="1"/>
  <c r="AF120" i="1"/>
  <c r="AF155" i="1"/>
  <c r="AF135" i="1"/>
  <c r="AF151" i="1"/>
  <c r="AF128" i="1"/>
  <c r="AF239" i="1"/>
  <c r="AF219" i="1"/>
  <c r="AF216" i="1"/>
  <c r="AF206" i="1"/>
  <c r="AF198" i="1"/>
  <c r="AF89" i="1"/>
  <c r="AF188" i="1"/>
  <c r="AF179" i="1"/>
  <c r="AF175" i="1"/>
  <c r="AF172" i="1"/>
  <c r="AF166" i="1"/>
  <c r="AF85" i="1"/>
  <c r="AF81" i="1"/>
  <c r="AF77" i="1"/>
  <c r="AF73" i="1"/>
  <c r="AF69" i="1"/>
  <c r="AF58" i="1"/>
  <c r="AF37" i="1"/>
  <c r="AF33" i="1"/>
  <c r="AF116" i="1"/>
  <c r="AF99" i="1"/>
  <c r="AF147" i="1"/>
  <c r="AF159" i="1"/>
  <c r="AF130" i="1"/>
  <c r="AF241" i="1"/>
  <c r="AF228" i="1"/>
  <c r="AF217" i="1"/>
  <c r="AF203" i="1"/>
  <c r="AF192" i="1"/>
  <c r="AF184" i="1"/>
  <c r="AF31" i="1"/>
  <c r="AF6" i="1"/>
  <c r="AF4" i="1"/>
  <c r="AF115" i="1"/>
  <c r="AF112" i="1"/>
  <c r="AF150" i="1"/>
  <c r="AF139" i="1"/>
  <c r="AF90" i="1"/>
  <c r="AF245" i="1"/>
  <c r="AF235" i="1"/>
  <c r="AF231" i="1"/>
  <c r="AF221" i="1"/>
  <c r="AF212" i="1"/>
  <c r="AF202" i="1"/>
  <c r="AF191" i="1"/>
  <c r="AF183" i="1"/>
  <c r="AF8" i="1"/>
  <c r="AF23" i="1"/>
  <c r="AF14" i="1"/>
  <c r="AF96" i="1"/>
  <c r="AF123" i="1"/>
  <c r="AF118" i="1"/>
  <c r="AF114" i="1"/>
  <c r="AF101" i="1"/>
  <c r="AF98" i="1"/>
  <c r="AF154" i="1"/>
  <c r="AF160" i="1"/>
  <c r="AF143" i="1"/>
  <c r="AF131" i="1"/>
  <c r="AF158" i="1"/>
  <c r="AF136" i="1"/>
  <c r="AF152" i="1"/>
  <c r="AF133" i="1"/>
  <c r="AF127" i="1"/>
  <c r="AF248" i="1"/>
  <c r="AF244" i="1"/>
  <c r="AF238" i="1"/>
  <c r="AF234" i="1"/>
  <c r="AF230" i="1"/>
  <c r="AF227" i="1"/>
  <c r="AF224" i="1"/>
  <c r="AF220" i="1"/>
  <c r="AF215" i="1"/>
  <c r="AF211" i="1"/>
  <c r="AF205" i="1"/>
  <c r="AF201" i="1"/>
  <c r="AF197" i="1"/>
  <c r="AF194" i="1"/>
  <c r="AF190" i="1"/>
  <c r="AF182" i="1"/>
  <c r="AF178" i="1"/>
  <c r="AF174" i="1"/>
  <c r="AF88" i="1"/>
  <c r="AF165" i="1"/>
  <c r="AF84" i="1"/>
  <c r="AF80" i="1"/>
  <c r="AF76" i="1"/>
  <c r="AF72" i="1"/>
  <c r="AF68" i="1"/>
  <c r="AF210" i="1"/>
  <c r="AF13" i="1"/>
  <c r="AF122" i="1"/>
  <c r="AF103" i="1"/>
  <c r="AF137" i="1"/>
  <c r="AF146" i="1"/>
  <c r="AF156" i="1"/>
  <c r="AF125" i="1"/>
  <c r="AF236" i="1"/>
  <c r="AF225" i="1"/>
  <c r="AF213" i="1"/>
  <c r="AF195" i="1"/>
  <c r="AF180" i="1"/>
  <c r="AF32" i="1"/>
  <c r="AF11" i="1"/>
  <c r="AF121" i="1"/>
  <c r="AF102" i="1"/>
  <c r="AF145" i="1"/>
  <c r="AF92" i="1"/>
  <c r="AF185" i="1"/>
  <c r="AF132" i="1"/>
  <c r="AF19" i="1"/>
  <c r="AF2" i="1"/>
  <c r="AF39" i="1"/>
  <c r="AF26" i="1"/>
  <c r="AF10" i="1"/>
  <c r="AF15" i="1"/>
  <c r="AF97" i="1"/>
  <c r="AF95" i="1"/>
  <c r="AF124" i="1"/>
  <c r="AF117" i="1"/>
  <c r="AF113" i="1"/>
  <c r="AF100" i="1"/>
  <c r="AF161" i="1"/>
  <c r="AF153" i="1"/>
  <c r="AF141" i="1"/>
  <c r="AF140" i="1"/>
  <c r="AF129" i="1"/>
  <c r="AF157" i="1"/>
  <c r="AF138" i="1"/>
  <c r="AF148" i="1"/>
  <c r="AF91" i="1"/>
  <c r="AF126" i="1"/>
  <c r="AF247" i="1"/>
  <c r="AF243" i="1"/>
  <c r="AF237" i="1"/>
  <c r="AF233" i="1"/>
  <c r="AF229" i="1"/>
  <c r="AF226" i="1"/>
  <c r="AF223" i="1"/>
  <c r="AF218" i="1"/>
  <c r="AF214" i="1"/>
  <c r="AF208" i="1"/>
  <c r="AF204" i="1"/>
  <c r="AF200" i="1"/>
  <c r="AF196" i="1"/>
  <c r="AF193" i="1"/>
  <c r="AF181" i="1"/>
  <c r="AF177" i="1"/>
  <c r="AF86" i="1"/>
  <c r="AF87" i="1"/>
  <c r="AF168" i="1"/>
  <c r="AF164" i="1"/>
  <c r="AF83" i="1"/>
  <c r="AF79" i="1"/>
  <c r="AF75" i="1"/>
  <c r="AF71" i="1"/>
  <c r="AF67" i="1"/>
  <c r="AF209" i="1"/>
  <c r="AF170" i="1"/>
  <c r="AF169" i="1"/>
  <c r="K142" i="1" l="1"/>
  <c r="K92" i="1"/>
  <c r="T90" i="1"/>
  <c r="X90" i="1" s="1"/>
  <c r="T91" i="1" l="1"/>
  <c r="X91" i="1" s="1"/>
  <c r="T130" i="1"/>
  <c r="X130" i="1" s="1"/>
  <c r="K221" i="1" l="1"/>
  <c r="K215" i="1"/>
  <c r="T172" i="1" l="1"/>
  <c r="X172" i="1" s="1"/>
  <c r="T79" i="1"/>
  <c r="X79" i="1" s="1"/>
</calcChain>
</file>

<file path=xl/sharedStrings.xml><?xml version="1.0" encoding="utf-8"?>
<sst xmlns="http://schemas.openxmlformats.org/spreadsheetml/2006/main" count="2528" uniqueCount="1181">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</sst>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J248"/>
  <sheetViews>
    <sheetView tabSelected="1" workbookViewId="0">
      <pane xSplit="1" ySplit="1" topLeftCell="AT2" activePane="bottomRight" state="frozenSplit"/>
      <selection pane="topRight" activeCell="B1" sqref="B1"/>
      <selection pane="bottomLeft" activeCell="A2" sqref="A2"/>
      <selection pane="bottomRight" activeCell="AY2" sqref="AY2"/>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2" width="9.42578125" customWidth="1"/>
    <col min="43" max="43" width="18.7109375" bestFit="1" customWidth="1"/>
    <col min="44" max="44" width="19.140625" bestFit="1" customWidth="1"/>
    <col min="45" max="45" width="19.7109375" bestFit="1" customWidth="1"/>
    <col min="46" max="46" width="20" bestFit="1" customWidth="1"/>
    <col min="47" max="47" width="16" bestFit="1" customWidth="1"/>
    <col min="48" max="48" width="16" customWidth="1"/>
    <col min="49" max="49" width="16.7109375" bestFit="1" customWidth="1"/>
    <col min="50" max="51" width="16" customWidth="1"/>
    <col min="57" max="57" width="16.85546875" bestFit="1" customWidth="1"/>
    <col min="58" max="58" width="15.5703125" bestFit="1" customWidth="1"/>
    <col min="60" max="60" width="15.7109375" bestFit="1" customWidth="1"/>
    <col min="61" max="61" width="21.7109375" bestFit="1" customWidth="1"/>
  </cols>
  <sheetData>
    <row r="1" spans="1:62" s="1" customFormat="1" x14ac:dyDescent="0.25">
      <c r="A1" s="1" t="s">
        <v>155</v>
      </c>
      <c r="B1" s="1" t="s">
        <v>156</v>
      </c>
      <c r="C1" s="1" t="s">
        <v>785</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1162</v>
      </c>
      <c r="AQ1" s="1" t="s">
        <v>1163</v>
      </c>
      <c r="AR1" s="1" t="s">
        <v>1180</v>
      </c>
      <c r="AS1" s="1" t="s">
        <v>1164</v>
      </c>
      <c r="AT1" s="1" t="s">
        <v>1165</v>
      </c>
      <c r="AU1" s="1" t="s">
        <v>1166</v>
      </c>
      <c r="AV1" s="1" t="s">
        <v>1169</v>
      </c>
      <c r="AW1" s="1" t="s">
        <v>1175</v>
      </c>
      <c r="AX1" s="1" t="s">
        <v>1170</v>
      </c>
      <c r="AY1" s="1" t="s">
        <v>1174</v>
      </c>
      <c r="AZ1" s="1" t="s">
        <v>319</v>
      </c>
      <c r="BA1" s="1" t="s">
        <v>320</v>
      </c>
      <c r="BB1" s="1" t="s">
        <v>349</v>
      </c>
      <c r="BC1" s="1" t="s">
        <v>622</v>
      </c>
      <c r="BD1" s="1" t="s">
        <v>717</v>
      </c>
      <c r="BE1" s="1" t="s">
        <v>1112</v>
      </c>
      <c r="BF1" s="1" t="s">
        <v>324</v>
      </c>
      <c r="BG1" s="1" t="s">
        <v>365</v>
      </c>
      <c r="BH1" s="1" t="s">
        <v>386</v>
      </c>
      <c r="BI1" s="1" t="s">
        <v>388</v>
      </c>
      <c r="BJ1" s="1" t="s">
        <v>389</v>
      </c>
    </row>
    <row r="2" spans="1:62" x14ac:dyDescent="0.25">
      <c r="A2" t="s">
        <v>135</v>
      </c>
      <c r="B2" t="s">
        <v>239</v>
      </c>
      <c r="D2" t="s">
        <v>323</v>
      </c>
      <c r="E2" t="s">
        <v>1178</v>
      </c>
      <c r="F2" t="s">
        <v>316</v>
      </c>
      <c r="G2">
        <v>1894</v>
      </c>
      <c r="I2">
        <v>1970</v>
      </c>
      <c r="T2">
        <v>20</v>
      </c>
      <c r="X2" s="4" t="str">
        <f>IF(AND(T2&gt;0,W2&gt;0),(W2/((T2+U2)*10)),"")</f>
        <v/>
      </c>
      <c r="Y2">
        <v>70</v>
      </c>
      <c r="AA2">
        <v>7.3</v>
      </c>
      <c r="AB2">
        <v>11</v>
      </c>
      <c r="AE2" s="11">
        <v>0</v>
      </c>
      <c r="AF2" t="str">
        <f>CONCATENATE(VLOOKUP(AG2, 'Voxel Sizes'!$A$2:$B$18,2,FALSE),"x",INT(AC2*15), "x", INT(AD2*15))</f>
        <v>102x0x0</v>
      </c>
      <c r="AG2">
        <f>ROUND(15*((AB2*10)/256),0)</f>
        <v>6</v>
      </c>
      <c r="AI2" t="str">
        <f>CONCATENATE(VLOOKUP(AG2,Constants!$A$2:$C$16,IF(AH2&lt;&gt;"", 3, 2), FALSE),IF(AH2&lt;&gt;"",CONCATENATE(",",VLOOKUP(AH2,$B:$AI,34,FALSE)),""))</f>
        <v>2,2,2</v>
      </c>
      <c r="AP2">
        <v>40</v>
      </c>
      <c r="AS2">
        <f>MIN(Y2/150, 1)*30</f>
        <v>14</v>
      </c>
      <c r="AT2">
        <f>MIN(K2/4000, 1)*20</f>
        <v>0</v>
      </c>
      <c r="AU2">
        <f>MIN(W2/400,1)*20</f>
        <v>0</v>
      </c>
      <c r="AV2" s="4">
        <f>IF(D2="WAGON",0.85,MAX(0.5,MIN((G2-1500)/600, 1)))</f>
        <v>0.85</v>
      </c>
      <c r="AW2">
        <f>((MAX($J2,1)*MIN($AE2/300,1)))*IF(D2="Wagon",50,10)</f>
        <v>0</v>
      </c>
      <c r="AX2">
        <f>VLOOKUP($E2,Constants!$I:$K, 2, FALSE)</f>
        <v>1</v>
      </c>
      <c r="AY2">
        <f>VLOOKUP($E2,Constants!$I:$K, 3, FALSE)*IF(AND(D2="multiple_unit",Y2&lt;110),0.75,1)</f>
        <v>0.4</v>
      </c>
      <c r="AZ2">
        <f>INT(((Constants!$G$2+$AR2+$AS2+$AT2+$AU2+$AW2)*$AV2)*$AY2)</f>
        <v>9</v>
      </c>
      <c r="BA2">
        <f>INT(((Constants!$G$1+$AQ2+$AS2+$AT2+$AU2+$AW2)*(1/$AV2))*$AX2)</f>
        <v>57</v>
      </c>
      <c r="BE2" t="s">
        <v>1116</v>
      </c>
      <c r="BF2" t="s">
        <v>764</v>
      </c>
      <c r="BG2" t="str">
        <f>VLOOKUP(G2,Eras!$A$2:$C$10, 2, TRUE)</f>
        <v>vct</v>
      </c>
      <c r="BH2" t="s">
        <v>762</v>
      </c>
      <c r="BI2" t="str">
        <f>CONCATENATE(BG2,"_",BH2)</f>
        <v>vct_Extra</v>
      </c>
      <c r="BJ2" t="s">
        <v>763</v>
      </c>
    </row>
    <row r="3" spans="1:62" x14ac:dyDescent="0.25">
      <c r="A3" t="s">
        <v>129</v>
      </c>
      <c r="B3" t="s">
        <v>498</v>
      </c>
      <c r="D3" t="s">
        <v>323</v>
      </c>
      <c r="E3" t="s">
        <v>1177</v>
      </c>
      <c r="F3" t="s">
        <v>316</v>
      </c>
      <c r="G3">
        <v>1928</v>
      </c>
      <c r="I3">
        <v>1970</v>
      </c>
      <c r="T3">
        <v>40</v>
      </c>
      <c r="V3">
        <v>6</v>
      </c>
      <c r="X3" s="4" t="str">
        <f>IF(AND(T3&gt;0,W3&gt;0),(W3/((T3+U3)*10)),"")</f>
        <v/>
      </c>
      <c r="Y3">
        <v>95</v>
      </c>
      <c r="AA3">
        <v>20</v>
      </c>
      <c r="AB3">
        <v>20</v>
      </c>
      <c r="AE3" s="11">
        <v>48</v>
      </c>
      <c r="AF3" t="str">
        <f>CONCATENATE(VLOOKUP(AG3, 'Voxel Sizes'!$A$2:$B$18,2,FALSE),"x",INT(AC3*15), "x", INT(AD3*15))</f>
        <v>198x0x0</v>
      </c>
      <c r="AG3">
        <f>ROUND(15*((AB3*10)/256),0)</f>
        <v>12</v>
      </c>
      <c r="AI3" t="str">
        <f>CONCATENATE(VLOOKUP(AG3,Constants!$A$2:$C$16,IF(AH3&lt;&gt;"", 3, 2), FALSE),IF(AH3&lt;&gt;"",CONCATENATE(",",VLOOKUP(AH3,$B:$AI,34,FALSE)),""))</f>
        <v>4,4,4</v>
      </c>
      <c r="AP3">
        <v>40</v>
      </c>
      <c r="AS3">
        <f t="shared" ref="AS3:AS66" si="0">MIN(Y3/150, 1)*30</f>
        <v>19</v>
      </c>
      <c r="AT3">
        <f t="shared" ref="AT3:AT66" si="1">MIN(K3/4000, 1)*20</f>
        <v>0</v>
      </c>
      <c r="AU3">
        <f t="shared" ref="AU3:AU66" si="2">MIN(W3/400,1)*20</f>
        <v>0</v>
      </c>
      <c r="AV3" s="4">
        <f t="shared" ref="AV3:AV66" si="3">IF(D3="WAGON",0.85,MAX(0.5,MIN((G3-1500)/600, 1)))</f>
        <v>0.85</v>
      </c>
      <c r="AW3">
        <f t="shared" ref="AW3:AW66" si="4">((MAX($J3,1)*MIN($AE3/300,1)))*IF(D3="Wagon",50,10)</f>
        <v>8</v>
      </c>
      <c r="AX3">
        <f>VLOOKUP($E3,Constants!$I:$K, 2, FALSE)</f>
        <v>1.5</v>
      </c>
      <c r="AY3">
        <f>VLOOKUP($E3,Constants!$I:$K, 3, FALSE)*IF(AND(D3="multiple_unit",Y3&lt;110),0.75,1)</f>
        <v>0.7</v>
      </c>
      <c r="AZ3">
        <f>INT(((Constants!$G$2+$AR3+$AS3+$AT3+$AU3+$AW3)*$AV3)*$AY3)</f>
        <v>24</v>
      </c>
      <c r="BA3">
        <f>INT(((Constants!$G$1+$AQ3+$AS3+$AT3+$AU3+$AW3)*(1/$AV3))*$AX3)</f>
        <v>109</v>
      </c>
      <c r="BE3" t="s">
        <v>944</v>
      </c>
      <c r="BF3" t="s">
        <v>325</v>
      </c>
      <c r="BG3" t="str">
        <f>VLOOKUP(G3,Eras!$A$2:$C$10, 2, TRUE)</f>
        <v>big4</v>
      </c>
      <c r="BH3" t="s">
        <v>377</v>
      </c>
      <c r="BI3" t="str">
        <f>CONCATENATE(BG3,"_",BH3)</f>
        <v>big4_Carriage</v>
      </c>
      <c r="BJ3" t="s">
        <v>499</v>
      </c>
    </row>
    <row r="4" spans="1:62" x14ac:dyDescent="0.25">
      <c r="A4" t="s">
        <v>128</v>
      </c>
      <c r="B4" t="s">
        <v>237</v>
      </c>
      <c r="D4" t="s">
        <v>323</v>
      </c>
      <c r="E4" t="s">
        <v>1176</v>
      </c>
      <c r="F4" t="s">
        <v>316</v>
      </c>
      <c r="G4">
        <v>1892</v>
      </c>
      <c r="I4">
        <v>1935</v>
      </c>
      <c r="T4">
        <v>28</v>
      </c>
      <c r="V4">
        <v>6</v>
      </c>
      <c r="X4" s="4" t="str">
        <f>IF(AND(T4&gt;0,W4&gt;0),(W4/((T4+U4)*10)),"")</f>
        <v/>
      </c>
      <c r="Y4">
        <v>80</v>
      </c>
      <c r="AA4">
        <v>16.2</v>
      </c>
      <c r="AB4">
        <v>16.2</v>
      </c>
      <c r="AC4">
        <v>2.8</v>
      </c>
      <c r="AE4" s="11">
        <v>42</v>
      </c>
      <c r="AF4" t="str">
        <f>CONCATENATE(VLOOKUP(AG4, 'Voxel Sizes'!$A$2:$B$18,2,FALSE),"x",INT(AC4*15), "x", INT(AD4*15))</f>
        <v>152x42x0</v>
      </c>
      <c r="AG4">
        <f>ROUND(15*((AB4*10)/256),0)</f>
        <v>9</v>
      </c>
      <c r="AI4" t="str">
        <f>CONCATENATE(VLOOKUP(AG4,Constants!$A$2:$C$16,IF(AH4&lt;&gt;"", 3, 2), FALSE),IF(AH4&lt;&gt;"",CONCATENATE(",",VLOOKUP(AH4,$B:$AI,34,FALSE)),""))</f>
        <v>2,5,2</v>
      </c>
      <c r="AP4">
        <v>40</v>
      </c>
      <c r="AS4">
        <f t="shared" si="0"/>
        <v>16</v>
      </c>
      <c r="AT4">
        <f t="shared" si="1"/>
        <v>0</v>
      </c>
      <c r="AU4">
        <f t="shared" si="2"/>
        <v>0</v>
      </c>
      <c r="AV4" s="4">
        <f t="shared" si="3"/>
        <v>0.85</v>
      </c>
      <c r="AW4">
        <f t="shared" si="4"/>
        <v>7.0000000000000009</v>
      </c>
      <c r="AX4">
        <f>VLOOKUP($E4,Constants!$I:$K, 2, FALSE)</f>
        <v>1.2</v>
      </c>
      <c r="AY4">
        <f>VLOOKUP($E4,Constants!$I:$K, 3, FALSE)*IF(AND(D4="multiple_unit",Y4&lt;110),0.75,1)</f>
        <v>0.6</v>
      </c>
      <c r="AZ4">
        <f>INT(((Constants!$G$2+$AR4+$AS4+$AT4+$AU4+$AW4)*$AV4)*$AY4)</f>
        <v>19</v>
      </c>
      <c r="BA4">
        <f>INT(((Constants!$G$1+$AQ4+$AS4+$AT4+$AU4+$AW4)*(1/$AV4))*$AX4)</f>
        <v>81</v>
      </c>
      <c r="BE4" t="s">
        <v>944</v>
      </c>
      <c r="BF4" t="s">
        <v>325</v>
      </c>
      <c r="BG4" t="str">
        <f>VLOOKUP(G4,Eras!$A$2:$C$10, 2, TRUE)</f>
        <v>vct</v>
      </c>
      <c r="BH4" t="s">
        <v>377</v>
      </c>
      <c r="BI4" t="str">
        <f>CONCATENATE(BG4,"_",BH4)</f>
        <v>vct_Carriage</v>
      </c>
      <c r="BJ4" t="s">
        <v>778</v>
      </c>
    </row>
    <row r="5" spans="1:62" x14ac:dyDescent="0.25">
      <c r="A5" t="s">
        <v>446</v>
      </c>
      <c r="B5" t="s">
        <v>447</v>
      </c>
      <c r="D5" t="s">
        <v>323</v>
      </c>
      <c r="E5" t="s">
        <v>1176</v>
      </c>
      <c r="F5" t="s">
        <v>316</v>
      </c>
      <c r="G5">
        <v>1904</v>
      </c>
      <c r="I5">
        <v>1955</v>
      </c>
      <c r="T5">
        <v>34</v>
      </c>
      <c r="V5">
        <v>8</v>
      </c>
      <c r="X5" s="4" t="str">
        <f>IF(AND(T5&gt;0,W5&gt;0),(W5/((T5+U5)*10)),"")</f>
        <v/>
      </c>
      <c r="Y5">
        <v>85</v>
      </c>
      <c r="AA5">
        <v>17.7</v>
      </c>
      <c r="AB5">
        <v>17.7</v>
      </c>
      <c r="AC5">
        <v>2.83</v>
      </c>
      <c r="AD5">
        <v>3.79</v>
      </c>
      <c r="AE5" s="11">
        <v>48</v>
      </c>
      <c r="AF5" t="str">
        <f>CONCATENATE(VLOOKUP(AG5, 'Voxel Sizes'!$A$2:$B$18,2,FALSE),"x",INT(AC5*15), "x", INT(AD5*15))</f>
        <v>164x42x56</v>
      </c>
      <c r="AG5">
        <f>ROUND(15*((AB5*10)/256),0)</f>
        <v>10</v>
      </c>
      <c r="AI5" t="str">
        <f>CONCATENATE(VLOOKUP(AG5,Constants!$A$2:$C$16,IF(AH5&lt;&gt;"", 3, 2), FALSE),IF(AH5&lt;&gt;"",CONCATENATE(",",VLOOKUP(AH5,$B:$AI,34,FALSE)),""))</f>
        <v>4,2,4</v>
      </c>
      <c r="AP5">
        <v>40</v>
      </c>
      <c r="AS5">
        <f t="shared" si="0"/>
        <v>17</v>
      </c>
      <c r="AT5">
        <f t="shared" si="1"/>
        <v>0</v>
      </c>
      <c r="AU5">
        <f t="shared" si="2"/>
        <v>0</v>
      </c>
      <c r="AV5" s="4">
        <f t="shared" si="3"/>
        <v>0.85</v>
      </c>
      <c r="AW5">
        <f t="shared" si="4"/>
        <v>8</v>
      </c>
      <c r="AX5">
        <f>VLOOKUP($E5,Constants!$I:$K, 2, FALSE)</f>
        <v>1.2</v>
      </c>
      <c r="AY5">
        <f>VLOOKUP($E5,Constants!$I:$K, 3, FALSE)*IF(AND(D5="multiple_unit",Y5&lt;110),0.75,1)</f>
        <v>0.6</v>
      </c>
      <c r="AZ5">
        <f>INT(((Constants!$G$2+$AR5+$AS5+$AT5+$AU5+$AW5)*$AV5)*$AY5)</f>
        <v>20</v>
      </c>
      <c r="BA5">
        <f>INT(((Constants!$G$1+$AQ5+$AS5+$AT5+$AU5+$AW5)*(1/$AV5))*$AX5)</f>
        <v>84</v>
      </c>
      <c r="BE5" t="s">
        <v>944</v>
      </c>
      <c r="BF5" t="s">
        <v>325</v>
      </c>
      <c r="BG5" t="str">
        <f>VLOOKUP(G5,Eras!$A$2:$C$10, 2, TRUE)</f>
        <v>edw</v>
      </c>
      <c r="BH5" t="s">
        <v>377</v>
      </c>
      <c r="BI5" t="str">
        <f>CONCATENATE(BG5,"_",BH5)</f>
        <v>edw_Carriage</v>
      </c>
      <c r="BJ5" t="s">
        <v>448</v>
      </c>
    </row>
    <row r="6" spans="1:62" x14ac:dyDescent="0.25">
      <c r="A6" t="s">
        <v>136</v>
      </c>
      <c r="B6" t="s">
        <v>240</v>
      </c>
      <c r="D6" t="s">
        <v>323</v>
      </c>
      <c r="E6" t="s">
        <v>1178</v>
      </c>
      <c r="F6" t="s">
        <v>316</v>
      </c>
      <c r="G6">
        <v>1941</v>
      </c>
      <c r="I6">
        <v>1970</v>
      </c>
      <c r="T6">
        <v>20</v>
      </c>
      <c r="X6" s="4" t="str">
        <f>IF(AND(T6&gt;0,W6&gt;0),(W6/((T6+U6)*10)),"")</f>
        <v/>
      </c>
      <c r="Y6">
        <v>70</v>
      </c>
      <c r="AA6">
        <v>7.3</v>
      </c>
      <c r="AB6">
        <v>11</v>
      </c>
      <c r="AE6" s="11">
        <v>0</v>
      </c>
      <c r="AF6" t="str">
        <f>CONCATENATE(VLOOKUP(AG6, 'Voxel Sizes'!$A$2:$B$18,2,FALSE),"x",INT(AC6*15), "x", INT(AD6*15))</f>
        <v>102x0x0</v>
      </c>
      <c r="AG6">
        <f>ROUND(15*((AB6*10)/256),0)</f>
        <v>6</v>
      </c>
      <c r="AI6" t="str">
        <f>CONCATENATE(VLOOKUP(AG6,Constants!$A$2:$C$16,IF(AH6&lt;&gt;"", 3, 2), FALSE),IF(AH6&lt;&gt;"",CONCATENATE(",",VLOOKUP(AH6,$B:$AI,34,FALSE)),""))</f>
        <v>2,2,2</v>
      </c>
      <c r="AP6">
        <v>40</v>
      </c>
      <c r="AS6">
        <f t="shared" si="0"/>
        <v>14</v>
      </c>
      <c r="AT6">
        <f t="shared" si="1"/>
        <v>0</v>
      </c>
      <c r="AU6">
        <f t="shared" si="2"/>
        <v>0</v>
      </c>
      <c r="AV6" s="4">
        <f t="shared" si="3"/>
        <v>0.85</v>
      </c>
      <c r="AW6">
        <f t="shared" si="4"/>
        <v>0</v>
      </c>
      <c r="AX6">
        <f>VLOOKUP($E6,Constants!$I:$K, 2, FALSE)</f>
        <v>1</v>
      </c>
      <c r="AY6">
        <f>VLOOKUP($E6,Constants!$I:$K, 3, FALSE)*IF(AND(D6="multiple_unit",Y6&lt;110),0.75,1)</f>
        <v>0.4</v>
      </c>
      <c r="AZ6">
        <f>INT(((Constants!$G$2+$AR6+$AS6+$AT6+$AU6+$AW6)*$AV6)*$AY6)</f>
        <v>9</v>
      </c>
      <c r="BA6">
        <f>INT(((Constants!$G$1+$AQ6+$AS6+$AT6+$AU6+$AW6)*(1/$AV6))*$AX6)</f>
        <v>57</v>
      </c>
      <c r="BE6" t="s">
        <v>1116</v>
      </c>
      <c r="BF6" t="s">
        <v>764</v>
      </c>
      <c r="BG6" t="str">
        <f>VLOOKUP(G6,Eras!$A$2:$C$10, 2, TRUE)</f>
        <v>big4</v>
      </c>
      <c r="BH6" t="s">
        <v>762</v>
      </c>
      <c r="BI6" t="str">
        <f>CONCATENATE(BG6,"_",BH6)</f>
        <v>big4_Extra</v>
      </c>
      <c r="BJ6" t="s">
        <v>777</v>
      </c>
    </row>
    <row r="7" spans="1:62" x14ac:dyDescent="0.25">
      <c r="A7" t="s">
        <v>818</v>
      </c>
      <c r="B7" t="s">
        <v>819</v>
      </c>
      <c r="D7" t="s">
        <v>323</v>
      </c>
      <c r="E7" t="s">
        <v>323</v>
      </c>
      <c r="F7" t="s">
        <v>316</v>
      </c>
      <c r="G7">
        <v>1850</v>
      </c>
      <c r="I7">
        <v>1930</v>
      </c>
      <c r="T7">
        <v>8</v>
      </c>
      <c r="V7">
        <v>5</v>
      </c>
      <c r="X7" s="4" t="str">
        <f>IF(AND(T7&gt;0,W7&gt;0),(W7/((T7+U7)*10)),"")</f>
        <v/>
      </c>
      <c r="Y7">
        <v>45</v>
      </c>
      <c r="AA7">
        <v>6</v>
      </c>
      <c r="AB7">
        <v>6</v>
      </c>
      <c r="AE7" s="11">
        <v>18</v>
      </c>
      <c r="AF7" t="str">
        <f>CONCATENATE(VLOOKUP(AG7, 'Voxel Sizes'!$A$2:$B$18,2,FALSE),"x",INT(AC7*15), "x", INT(AD7*15))</f>
        <v>60x0x0</v>
      </c>
      <c r="AG7">
        <f>ROUND(15*((AB7*10)/256),0)</f>
        <v>4</v>
      </c>
      <c r="AI7" t="str">
        <f>CONCATENATE(VLOOKUP(AG7,Constants!$A$2:$C$16,IF(AH7&lt;&gt;"", 3, 2), FALSE),IF(AH7&lt;&gt;"",CONCATENATE(",",VLOOKUP(AH7,$B:$AI,34,FALSE)),""))</f>
        <v>1,2,1</v>
      </c>
      <c r="AP7">
        <v>40</v>
      </c>
      <c r="AS7">
        <f t="shared" si="0"/>
        <v>9</v>
      </c>
      <c r="AT7">
        <f t="shared" si="1"/>
        <v>0</v>
      </c>
      <c r="AU7">
        <f t="shared" si="2"/>
        <v>0</v>
      </c>
      <c r="AV7" s="4">
        <f t="shared" si="3"/>
        <v>0.85</v>
      </c>
      <c r="AW7">
        <f t="shared" si="4"/>
        <v>3</v>
      </c>
      <c r="AX7">
        <f>VLOOKUP($E7,Constants!$I:$K, 2, FALSE)</f>
        <v>1</v>
      </c>
      <c r="AY7">
        <f>VLOOKUP($E7,Constants!$I:$K, 3, FALSE)*IF(AND(D7="multiple_unit",Y7&lt;110),0.75,1)</f>
        <v>0.45</v>
      </c>
      <c r="AZ7">
        <f>INT(((Constants!$G$2+$AR7+$AS7+$AT7+$AU7+$AW7)*$AV7)*$AY7)</f>
        <v>10</v>
      </c>
      <c r="BA7">
        <f>INT(((Constants!$G$1+$AQ7+$AS7+$AT7+$AU7+$AW7)*(1/$AV7))*$AX7)</f>
        <v>55</v>
      </c>
      <c r="BE7" t="s">
        <v>384</v>
      </c>
      <c r="BF7" t="s">
        <v>328</v>
      </c>
      <c r="BG7" t="str">
        <f>VLOOKUP(G7,Eras!$A$2:$C$10, 2, TRUE)</f>
        <v>vct</v>
      </c>
      <c r="BH7" t="s">
        <v>384</v>
      </c>
      <c r="BI7" t="str">
        <f>CONCATENATE(BG7,"_",BH7)</f>
        <v>vct_Van</v>
      </c>
      <c r="BJ7" t="s">
        <v>820</v>
      </c>
    </row>
    <row r="8" spans="1:62" x14ac:dyDescent="0.25">
      <c r="A8" t="s">
        <v>873</v>
      </c>
      <c r="B8" t="s">
        <v>246</v>
      </c>
      <c r="D8" t="s">
        <v>323</v>
      </c>
      <c r="E8" t="s">
        <v>323</v>
      </c>
      <c r="F8" t="s">
        <v>316</v>
      </c>
      <c r="G8">
        <v>1850</v>
      </c>
      <c r="I8">
        <v>1925</v>
      </c>
      <c r="T8">
        <v>8</v>
      </c>
      <c r="V8">
        <v>5</v>
      </c>
      <c r="X8" s="4" t="str">
        <f>IF(AND(T8&gt;0,W8&gt;0),(W8/((T8+U8)*10)),"")</f>
        <v/>
      </c>
      <c r="Y8">
        <v>40</v>
      </c>
      <c r="AA8">
        <v>6</v>
      </c>
      <c r="AB8">
        <v>6</v>
      </c>
      <c r="AE8" s="11">
        <v>18</v>
      </c>
      <c r="AF8" t="str">
        <f>CONCATENATE(VLOOKUP(AG8, 'Voxel Sizes'!$A$2:$B$18,2,FALSE),"x",INT(AC8*15), "x", INT(AD8*15))</f>
        <v>60x0x0</v>
      </c>
      <c r="AG8">
        <f>ROUND(15*((AB8*10)/256),0)</f>
        <v>4</v>
      </c>
      <c r="AI8" t="str">
        <f>CONCATENATE(VLOOKUP(AG8,Constants!$A$2:$C$16,IF(AH8&lt;&gt;"", 3, 2), FALSE),IF(AH8&lt;&gt;"",CONCATENATE(",",VLOOKUP(AH8,$B:$AI,34,FALSE)),""))</f>
        <v>1,2,1</v>
      </c>
      <c r="AP8">
        <v>40</v>
      </c>
      <c r="AS8">
        <f t="shared" si="0"/>
        <v>8</v>
      </c>
      <c r="AT8">
        <f t="shared" si="1"/>
        <v>0</v>
      </c>
      <c r="AU8">
        <f t="shared" si="2"/>
        <v>0</v>
      </c>
      <c r="AV8" s="4">
        <f t="shared" si="3"/>
        <v>0.85</v>
      </c>
      <c r="AW8">
        <f t="shared" si="4"/>
        <v>3</v>
      </c>
      <c r="AX8">
        <f>VLOOKUP($E8,Constants!$I:$K, 2, FALSE)</f>
        <v>1</v>
      </c>
      <c r="AY8">
        <f>VLOOKUP($E8,Constants!$I:$K, 3, FALSE)*IF(AND(D8="multiple_unit",Y8&lt;110),0.75,1)</f>
        <v>0.45</v>
      </c>
      <c r="AZ8">
        <f>INT(((Constants!$G$2+$AR8+$AS8+$AT8+$AU8+$AW8)*$AV8)*$AY8)</f>
        <v>9</v>
      </c>
      <c r="BA8">
        <f>INT(((Constants!$G$1+$AQ8+$AS8+$AT8+$AU8+$AW8)*(1/$AV8))*$AX8)</f>
        <v>54</v>
      </c>
      <c r="BE8" t="s">
        <v>975</v>
      </c>
      <c r="BF8" t="s">
        <v>822</v>
      </c>
      <c r="BG8" t="str">
        <f>VLOOKUP(G8,Eras!$A$2:$C$10, 2, TRUE)</f>
        <v>vct</v>
      </c>
      <c r="BH8" t="s">
        <v>384</v>
      </c>
      <c r="BI8" t="str">
        <f>CONCATENATE(BG8,"_",BH8)</f>
        <v>vct_Van</v>
      </c>
      <c r="BJ8" t="s">
        <v>821</v>
      </c>
    </row>
    <row r="9" spans="1:62" x14ac:dyDescent="0.25">
      <c r="A9" t="s">
        <v>849</v>
      </c>
      <c r="B9" t="s">
        <v>851</v>
      </c>
      <c r="D9" t="s">
        <v>323</v>
      </c>
      <c r="E9" t="s">
        <v>323</v>
      </c>
      <c r="F9" t="s">
        <v>316</v>
      </c>
      <c r="G9">
        <v>1850</v>
      </c>
      <c r="I9">
        <v>1924</v>
      </c>
      <c r="T9">
        <v>5</v>
      </c>
      <c r="V9">
        <v>6</v>
      </c>
      <c r="X9" s="4" t="str">
        <f>IF(AND(T9&gt;0,W9&gt;0),(W9/((T9+U9)*10)),"")</f>
        <v/>
      </c>
      <c r="Y9">
        <v>35</v>
      </c>
      <c r="AA9">
        <v>6</v>
      </c>
      <c r="AB9">
        <v>6</v>
      </c>
      <c r="AE9" s="11">
        <v>24</v>
      </c>
      <c r="AF9" t="str">
        <f>CONCATENATE(VLOOKUP(AG9, 'Voxel Sizes'!$A$2:$B$18,2,FALSE),"x",INT(AC9*15), "x", INT(AD9*15))</f>
        <v>60x0x0</v>
      </c>
      <c r="AG9">
        <f>ROUND(15*((AB9*10)/256),0)</f>
        <v>4</v>
      </c>
      <c r="AI9" t="str">
        <f>CONCATENATE(VLOOKUP(AG9,Constants!$A$2:$C$16,IF(AH9&lt;&gt;"", 3, 2), FALSE),IF(AH9&lt;&gt;"",CONCATENATE(",",VLOOKUP(AH9,$B:$AI,34,FALSE)),""))</f>
        <v>1,2,1</v>
      </c>
      <c r="AP9">
        <v>40</v>
      </c>
      <c r="AS9">
        <f t="shared" si="0"/>
        <v>7</v>
      </c>
      <c r="AT9">
        <f t="shared" si="1"/>
        <v>0</v>
      </c>
      <c r="AU9">
        <f t="shared" si="2"/>
        <v>0</v>
      </c>
      <c r="AV9" s="4">
        <f t="shared" si="3"/>
        <v>0.85</v>
      </c>
      <c r="AW9">
        <f t="shared" si="4"/>
        <v>4</v>
      </c>
      <c r="AX9">
        <f>VLOOKUP($E9,Constants!$I:$K, 2, FALSE)</f>
        <v>1</v>
      </c>
      <c r="AY9">
        <f>VLOOKUP($E9,Constants!$I:$K, 3, FALSE)*IF(AND(D9="multiple_unit",Y9&lt;110),0.75,1)</f>
        <v>0.45</v>
      </c>
      <c r="AZ9">
        <f>INT(((Constants!$G$2+$AR9+$AS9+$AT9+$AU9+$AW9)*$AV9)*$AY9)</f>
        <v>9</v>
      </c>
      <c r="BA9">
        <f>INT(((Constants!$G$1+$AQ9+$AS9+$AT9+$AU9+$AW9)*(1/$AV9))*$AX9)</f>
        <v>54</v>
      </c>
      <c r="BE9" t="s">
        <v>1113</v>
      </c>
      <c r="BF9" t="s">
        <v>462</v>
      </c>
      <c r="BG9" t="str">
        <f>VLOOKUP(G9,Eras!$A$2:$C$10, 2, TRUE)</f>
        <v>vct</v>
      </c>
      <c r="BH9" t="s">
        <v>383</v>
      </c>
      <c r="BI9" t="str">
        <f>CONCATENATE(BG9,"_",BH9)</f>
        <v>vct_Flat Wagon</v>
      </c>
      <c r="BJ9" t="s">
        <v>850</v>
      </c>
    </row>
    <row r="10" spans="1:62" x14ac:dyDescent="0.25">
      <c r="A10" t="s">
        <v>139</v>
      </c>
      <c r="B10" t="s">
        <v>297</v>
      </c>
      <c r="D10" t="s">
        <v>323</v>
      </c>
      <c r="E10" t="s">
        <v>323</v>
      </c>
      <c r="F10" t="s">
        <v>316</v>
      </c>
      <c r="G10">
        <v>1850</v>
      </c>
      <c r="I10">
        <v>1920</v>
      </c>
      <c r="T10">
        <v>5</v>
      </c>
      <c r="V10">
        <v>5</v>
      </c>
      <c r="X10" s="4" t="str">
        <f>IF(AND(T10&gt;0,W10&gt;0),(W10/((T10+U10)*10)),"")</f>
        <v/>
      </c>
      <c r="Y10">
        <v>35</v>
      </c>
      <c r="AA10">
        <v>4.9000000000000004</v>
      </c>
      <c r="AB10">
        <v>6</v>
      </c>
      <c r="AE10" s="11">
        <v>15</v>
      </c>
      <c r="AF10" t="str">
        <f>CONCATENATE(VLOOKUP(AG10, 'Voxel Sizes'!$A$2:$B$18,2,FALSE),"x",INT(AC10*15), "x", INT(AD10*15))</f>
        <v>60x0x0</v>
      </c>
      <c r="AG10">
        <f>ROUND(15*((AB10*10)/256),0)</f>
        <v>4</v>
      </c>
      <c r="AI10" t="str">
        <f>CONCATENATE(VLOOKUP(AG10,Constants!$A$2:$C$16,IF(AH10&lt;&gt;"", 3, 2), FALSE),IF(AH10&lt;&gt;"",CONCATENATE(",",VLOOKUP(AH10,$B:$AI,34,FALSE)),""))</f>
        <v>1,2,1</v>
      </c>
      <c r="AP10">
        <v>40</v>
      </c>
      <c r="AS10">
        <f t="shared" si="0"/>
        <v>7</v>
      </c>
      <c r="AT10">
        <f t="shared" si="1"/>
        <v>0</v>
      </c>
      <c r="AU10">
        <f t="shared" si="2"/>
        <v>0</v>
      </c>
      <c r="AV10" s="4">
        <f t="shared" si="3"/>
        <v>0.85</v>
      </c>
      <c r="AW10">
        <f t="shared" si="4"/>
        <v>2.5</v>
      </c>
      <c r="AX10">
        <f>VLOOKUP($E10,Constants!$I:$K, 2, FALSE)</f>
        <v>1</v>
      </c>
      <c r="AY10">
        <f>VLOOKUP($E10,Constants!$I:$K, 3, FALSE)*IF(AND(D10="multiple_unit",Y10&lt;110),0.75,1)</f>
        <v>0.45</v>
      </c>
      <c r="AZ10">
        <f>INT(((Constants!$G$2+$AR10+$AS10+$AT10+$AU10+$AW10)*$AV10)*$AY10)</f>
        <v>9</v>
      </c>
      <c r="BA10">
        <f>INT(((Constants!$G$1+$AQ10+$AS10+$AT10+$AU10+$AW10)*(1/$AV10))*$AX10)</f>
        <v>52</v>
      </c>
      <c r="BE10" t="s">
        <v>1111</v>
      </c>
      <c r="BF10" t="s">
        <v>783</v>
      </c>
      <c r="BG10" t="str">
        <f>VLOOKUP(G10,Eras!$A$2:$C$10, 2, TRUE)</f>
        <v>vct</v>
      </c>
      <c r="BH10" t="s">
        <v>382</v>
      </c>
      <c r="BI10" t="str">
        <f>CONCATENATE(BG10,"_",BH10)</f>
        <v>vct_Open Wagon</v>
      </c>
      <c r="BJ10" t="s">
        <v>406</v>
      </c>
    </row>
    <row r="11" spans="1:62" x14ac:dyDescent="0.25">
      <c r="A11" t="s">
        <v>132</v>
      </c>
      <c r="B11" t="s">
        <v>299</v>
      </c>
      <c r="D11" t="s">
        <v>323</v>
      </c>
      <c r="E11" t="s">
        <v>1176</v>
      </c>
      <c r="F11" t="s">
        <v>316</v>
      </c>
      <c r="G11">
        <v>1956</v>
      </c>
      <c r="T11">
        <v>40</v>
      </c>
      <c r="V11">
        <v>9</v>
      </c>
      <c r="X11" s="4" t="str">
        <f>IF(AND(T11&gt;0,W11&gt;0),(W11/((T11+U11)*10)),"")</f>
        <v/>
      </c>
      <c r="Y11">
        <v>110</v>
      </c>
      <c r="AA11">
        <v>19.66</v>
      </c>
      <c r="AB11">
        <v>19.66</v>
      </c>
      <c r="AC11">
        <v>2.83</v>
      </c>
      <c r="AD11">
        <v>3.79</v>
      </c>
      <c r="AE11" s="11">
        <v>57</v>
      </c>
      <c r="AF11" t="str">
        <f>CONCATENATE(VLOOKUP(AG11, 'Voxel Sizes'!$A$2:$B$18,2,FALSE),"x",INT(AC11*15), "x", INT(AD11*15))</f>
        <v>198x42x56</v>
      </c>
      <c r="AG11">
        <f>ROUND(15*((AB11*10)/256),0)</f>
        <v>12</v>
      </c>
      <c r="AI11" t="str">
        <f>CONCATENATE(VLOOKUP(AG11,Constants!$A$2:$C$16,IF(AH11&lt;&gt;"", 3, 2), FALSE),IF(AH11&lt;&gt;"",CONCATENATE(",",VLOOKUP(AH11,$B:$AI,34,FALSE)),""))</f>
        <v>4,4,4</v>
      </c>
      <c r="AP11">
        <v>40</v>
      </c>
      <c r="AS11">
        <f t="shared" si="0"/>
        <v>22</v>
      </c>
      <c r="AT11">
        <f t="shared" si="1"/>
        <v>0</v>
      </c>
      <c r="AU11">
        <f t="shared" si="2"/>
        <v>0</v>
      </c>
      <c r="AV11" s="4">
        <f t="shared" si="3"/>
        <v>0.85</v>
      </c>
      <c r="AW11">
        <f t="shared" si="4"/>
        <v>9.5</v>
      </c>
      <c r="AX11">
        <f>VLOOKUP($E11,Constants!$I:$K, 2, FALSE)</f>
        <v>1.2</v>
      </c>
      <c r="AY11">
        <f>VLOOKUP($E11,Constants!$I:$K, 3, FALSE)*IF(AND(D11="multiple_unit",Y11&lt;110),0.75,1)</f>
        <v>0.6</v>
      </c>
      <c r="AZ11">
        <f>INT(((Constants!$G$2+$AR11+$AS11+$AT11+$AU11+$AW11)*$AV11)*$AY11)</f>
        <v>23</v>
      </c>
      <c r="BA11">
        <f>INT(((Constants!$G$1+$AQ11+$AS11+$AT11+$AU11+$AW11)*(1/$AV11))*$AX11)</f>
        <v>93</v>
      </c>
      <c r="BE11" t="s">
        <v>944</v>
      </c>
      <c r="BF11" t="s">
        <v>325</v>
      </c>
      <c r="BG11" t="str">
        <f>VLOOKUP(G11,Eras!$A$2:$C$10, 2, TRUE)</f>
        <v>dsl</v>
      </c>
      <c r="BH11" t="s">
        <v>377</v>
      </c>
      <c r="BI11" t="str">
        <f>CONCATENATE(BG11,"_",BH11)</f>
        <v>dsl_Carriage</v>
      </c>
      <c r="BJ11" t="s">
        <v>403</v>
      </c>
    </row>
    <row r="12" spans="1:62" x14ac:dyDescent="0.25">
      <c r="A12" t="s">
        <v>134</v>
      </c>
      <c r="B12" t="s">
        <v>302</v>
      </c>
      <c r="D12" t="s">
        <v>323</v>
      </c>
      <c r="E12" t="s">
        <v>1176</v>
      </c>
      <c r="F12" t="s">
        <v>316</v>
      </c>
      <c r="G12">
        <v>1988</v>
      </c>
      <c r="T12">
        <v>40</v>
      </c>
      <c r="V12">
        <v>9</v>
      </c>
      <c r="X12" s="4" t="str">
        <f>IF(AND(T12&gt;0,W12&gt;0),(W12/((T12+U12)*10)),"")</f>
        <v/>
      </c>
      <c r="Y12">
        <v>140</v>
      </c>
      <c r="AA12">
        <v>23</v>
      </c>
      <c r="AB12">
        <v>23</v>
      </c>
      <c r="AC12">
        <v>2.82</v>
      </c>
      <c r="AD12">
        <v>3.79</v>
      </c>
      <c r="AE12" s="11">
        <v>72</v>
      </c>
      <c r="AF12" t="str">
        <f>CONCATENATE(VLOOKUP(AG12, 'Voxel Sizes'!$A$2:$B$18,2,FALSE),"x",INT(AC12*15), "x", INT(AD12*15))</f>
        <v>214x42x56</v>
      </c>
      <c r="AG12">
        <f>ROUND(15*((AB12*10)/256),0)</f>
        <v>13</v>
      </c>
      <c r="AI12" t="str">
        <f>CONCATENATE(VLOOKUP(AG12,Constants!$A$2:$C$16,IF(AH12&lt;&gt;"", 3, 2), FALSE),IF(AH12&lt;&gt;"",CONCATENATE(",",VLOOKUP(AH12,$B:$AI,34,FALSE)),""))</f>
        <v>4,5,4</v>
      </c>
      <c r="AP12">
        <v>40</v>
      </c>
      <c r="AS12">
        <f t="shared" si="0"/>
        <v>28</v>
      </c>
      <c r="AT12">
        <f t="shared" si="1"/>
        <v>0</v>
      </c>
      <c r="AU12">
        <f t="shared" si="2"/>
        <v>0</v>
      </c>
      <c r="AV12" s="4">
        <f t="shared" si="3"/>
        <v>0.85</v>
      </c>
      <c r="AW12">
        <f t="shared" si="4"/>
        <v>12</v>
      </c>
      <c r="AX12">
        <f>VLOOKUP($E12,Constants!$I:$K, 2, FALSE)</f>
        <v>1.2</v>
      </c>
      <c r="AY12">
        <f>VLOOKUP($E12,Constants!$I:$K, 3, FALSE)*IF(AND(D12="multiple_unit",Y12&lt;110),0.75,1)</f>
        <v>0.6</v>
      </c>
      <c r="AZ12">
        <f>INT(((Constants!$G$2+$AR12+$AS12+$AT12+$AU12+$AW12)*$AV12)*$AY12)</f>
        <v>28</v>
      </c>
      <c r="BA12">
        <f>INT(((Constants!$G$1+$AQ12+$AS12+$AT12+$AU12+$AW12)*(1/$AV12))*$AX12)</f>
        <v>105</v>
      </c>
      <c r="BE12" t="s">
        <v>944</v>
      </c>
      <c r="BF12" t="s">
        <v>325</v>
      </c>
      <c r="BG12" t="str">
        <f>VLOOKUP(G12,Eras!$A$2:$C$10, 2, TRUE)</f>
        <v>lbr</v>
      </c>
      <c r="BH12" t="s">
        <v>377</v>
      </c>
      <c r="BI12" t="str">
        <f>CONCATENATE(BG12,"_",BH12)</f>
        <v>lbr_Carriage</v>
      </c>
      <c r="BJ12" t="s">
        <v>628</v>
      </c>
    </row>
    <row r="13" spans="1:62" x14ac:dyDescent="0.25">
      <c r="A13" t="s">
        <v>133</v>
      </c>
      <c r="B13" t="s">
        <v>301</v>
      </c>
      <c r="D13" t="s">
        <v>323</v>
      </c>
      <c r="E13" t="s">
        <v>1176</v>
      </c>
      <c r="F13" t="s">
        <v>316</v>
      </c>
      <c r="G13">
        <v>1975</v>
      </c>
      <c r="T13">
        <v>34</v>
      </c>
      <c r="V13">
        <v>9</v>
      </c>
      <c r="X13" s="4" t="str">
        <f>IF(AND(T13&gt;0,W13&gt;0),(W13/((T13+U13)*10)),"")</f>
        <v/>
      </c>
      <c r="Y13">
        <v>125</v>
      </c>
      <c r="AA13">
        <v>23</v>
      </c>
      <c r="AB13">
        <v>23</v>
      </c>
      <c r="AC13">
        <v>2.82</v>
      </c>
      <c r="AD13">
        <v>3.79</v>
      </c>
      <c r="AE13" s="11">
        <v>72</v>
      </c>
      <c r="AF13" t="str">
        <f>CONCATENATE(VLOOKUP(AG13, 'Voxel Sizes'!$A$2:$B$18,2,FALSE),"x",INT(AC13*15), "x", INT(AD13*15))</f>
        <v>214x42x56</v>
      </c>
      <c r="AG13">
        <f>ROUND(15*((AB13*10)/256),0)</f>
        <v>13</v>
      </c>
      <c r="AI13" t="str">
        <f>CONCATENATE(VLOOKUP(AG13,Constants!$A$2:$C$16,IF(AH13&lt;&gt;"", 3, 2), FALSE),IF(AH13&lt;&gt;"",CONCATENATE(",",VLOOKUP(AH13,$B:$AI,34,FALSE)),""))</f>
        <v>4,5,4</v>
      </c>
      <c r="AP13">
        <v>40</v>
      </c>
      <c r="AS13">
        <f t="shared" si="0"/>
        <v>25</v>
      </c>
      <c r="AT13">
        <f t="shared" si="1"/>
        <v>0</v>
      </c>
      <c r="AU13">
        <f t="shared" si="2"/>
        <v>0</v>
      </c>
      <c r="AV13" s="4">
        <f t="shared" si="3"/>
        <v>0.85</v>
      </c>
      <c r="AW13">
        <f t="shared" si="4"/>
        <v>12</v>
      </c>
      <c r="AX13">
        <f>VLOOKUP($E13,Constants!$I:$K, 2, FALSE)</f>
        <v>1.2</v>
      </c>
      <c r="AY13">
        <f>VLOOKUP($E13,Constants!$I:$K, 3, FALSE)*IF(AND(D13="multiple_unit",Y13&lt;110),0.75,1)</f>
        <v>0.6</v>
      </c>
      <c r="AZ13">
        <f>INT(((Constants!$G$2+$AR13+$AS13+$AT13+$AU13+$AW13)*$AV13)*$AY13)</f>
        <v>26</v>
      </c>
      <c r="BA13">
        <f>INT(((Constants!$G$1+$AQ13+$AS13+$AT13+$AU13+$AW13)*(1/$AV13))*$AX13)</f>
        <v>101</v>
      </c>
      <c r="BE13" t="s">
        <v>944</v>
      </c>
      <c r="BF13" t="s">
        <v>325</v>
      </c>
      <c r="BG13" t="str">
        <f>VLOOKUP(G13,Eras!$A$2:$C$10, 2, TRUE)</f>
        <v>lbr</v>
      </c>
      <c r="BH13" t="s">
        <v>377</v>
      </c>
      <c r="BI13" t="str">
        <f>CONCATENATE(BG13,"_",BH13)</f>
        <v>lbr_Carriage</v>
      </c>
      <c r="BJ13" t="s">
        <v>404</v>
      </c>
    </row>
    <row r="14" spans="1:62" x14ac:dyDescent="0.25">
      <c r="A14" t="s">
        <v>131</v>
      </c>
      <c r="B14" t="s">
        <v>300</v>
      </c>
      <c r="D14" t="s">
        <v>323</v>
      </c>
      <c r="E14" t="s">
        <v>1176</v>
      </c>
      <c r="F14" t="s">
        <v>316</v>
      </c>
      <c r="G14">
        <v>1951</v>
      </c>
      <c r="H14">
        <v>1963</v>
      </c>
      <c r="I14">
        <v>1974</v>
      </c>
      <c r="T14">
        <v>32.5</v>
      </c>
      <c r="V14">
        <v>9</v>
      </c>
      <c r="X14" s="4" t="str">
        <f>IF(AND(T14&gt;0,W14&gt;0),(W14/((T14+U14)*10)),"")</f>
        <v/>
      </c>
      <c r="Y14">
        <v>100</v>
      </c>
      <c r="AA14">
        <v>19.3</v>
      </c>
      <c r="AB14">
        <v>20</v>
      </c>
      <c r="AE14" s="11">
        <v>54</v>
      </c>
      <c r="AF14" t="str">
        <f>CONCATENATE(VLOOKUP(AG14, 'Voxel Sizes'!$A$2:$B$18,2,FALSE),"x",INT(AC14*15), "x", INT(AD14*15))</f>
        <v>198x0x0</v>
      </c>
      <c r="AG14">
        <f>ROUND(15*((AB14*10)/256),0)</f>
        <v>12</v>
      </c>
      <c r="AI14" t="str">
        <f>CONCATENATE(VLOOKUP(AG14,Constants!$A$2:$C$16,IF(AH14&lt;&gt;"", 3, 2), FALSE),IF(AH14&lt;&gt;"",CONCATENATE(",",VLOOKUP(AH14,$B:$AI,34,FALSE)),""))</f>
        <v>4,4,4</v>
      </c>
      <c r="AP14">
        <v>40</v>
      </c>
      <c r="AS14">
        <f t="shared" si="0"/>
        <v>20</v>
      </c>
      <c r="AT14">
        <f t="shared" si="1"/>
        <v>0</v>
      </c>
      <c r="AU14">
        <f t="shared" si="2"/>
        <v>0</v>
      </c>
      <c r="AV14" s="4">
        <f t="shared" si="3"/>
        <v>0.85</v>
      </c>
      <c r="AW14">
        <f t="shared" si="4"/>
        <v>9</v>
      </c>
      <c r="AX14">
        <f>VLOOKUP($E14,Constants!$I:$K, 2, FALSE)</f>
        <v>1.2</v>
      </c>
      <c r="AY14">
        <f>VLOOKUP($E14,Constants!$I:$K, 3, FALSE)*IF(AND(D14="multiple_unit",Y14&lt;110),0.75,1)</f>
        <v>0.6</v>
      </c>
      <c r="AZ14">
        <f>INT(((Constants!$G$2+$AR14+$AS14+$AT14+$AU14+$AW14)*$AV14)*$AY14)</f>
        <v>22</v>
      </c>
      <c r="BA14">
        <f>INT(((Constants!$G$1+$AQ14+$AS14+$AT14+$AU14+$AW14)*(1/$AV14))*$AX14)</f>
        <v>90</v>
      </c>
      <c r="BE14" t="s">
        <v>944</v>
      </c>
      <c r="BF14" t="s">
        <v>325</v>
      </c>
      <c r="BG14" t="str">
        <f>VLOOKUP(G14,Eras!$A$2:$C$10, 2, TRUE)</f>
        <v>ebr</v>
      </c>
      <c r="BH14" t="s">
        <v>377</v>
      </c>
      <c r="BI14" t="str">
        <f>CONCATENATE(BG14,"_",BH14)</f>
        <v>ebr_Carriage</v>
      </c>
      <c r="BJ14" t="s">
        <v>681</v>
      </c>
    </row>
    <row r="15" spans="1:62" x14ac:dyDescent="0.25">
      <c r="A15" t="s">
        <v>138</v>
      </c>
      <c r="B15" t="s">
        <v>321</v>
      </c>
      <c r="D15" t="s">
        <v>323</v>
      </c>
      <c r="E15" t="s">
        <v>323</v>
      </c>
      <c r="F15" t="s">
        <v>316</v>
      </c>
      <c r="G15">
        <v>1862</v>
      </c>
      <c r="T15">
        <v>5</v>
      </c>
      <c r="V15">
        <v>6</v>
      </c>
      <c r="X15" s="4" t="str">
        <f>IF(AND(T15&gt;0,W15&gt;0),(W15/((T15+U15)*10)),"")</f>
        <v/>
      </c>
      <c r="Y15">
        <v>35</v>
      </c>
      <c r="AA15">
        <v>4.9000000000000004</v>
      </c>
      <c r="AB15">
        <v>6</v>
      </c>
      <c r="AE15" s="11">
        <v>15</v>
      </c>
      <c r="AF15" t="str">
        <f>CONCATENATE(VLOOKUP(AG15, 'Voxel Sizes'!$A$2:$B$18,2,FALSE),"x",INT(AC15*15), "x", INT(AD15*15))</f>
        <v>60x0x0</v>
      </c>
      <c r="AG15">
        <f>ROUND(15*((AB15*10)/256),0)</f>
        <v>4</v>
      </c>
      <c r="AI15" t="str">
        <f>CONCATENATE(VLOOKUP(AG15,Constants!$A$2:$C$16,IF(AH15&lt;&gt;"", 3, 2), FALSE),IF(AH15&lt;&gt;"",CONCATENATE(",",VLOOKUP(AH15,$B:$AI,34,FALSE)),""))</f>
        <v>1,2,1</v>
      </c>
      <c r="AP15">
        <v>40</v>
      </c>
      <c r="AS15">
        <f t="shared" si="0"/>
        <v>7</v>
      </c>
      <c r="AT15">
        <f t="shared" si="1"/>
        <v>0</v>
      </c>
      <c r="AU15">
        <f t="shared" si="2"/>
        <v>0</v>
      </c>
      <c r="AV15" s="4">
        <f t="shared" si="3"/>
        <v>0.85</v>
      </c>
      <c r="AW15">
        <f t="shared" si="4"/>
        <v>2.5</v>
      </c>
      <c r="AX15">
        <f>VLOOKUP($E15,Constants!$I:$K, 2, FALSE)</f>
        <v>1</v>
      </c>
      <c r="AY15">
        <f>VLOOKUP($E15,Constants!$I:$K, 3, FALSE)*IF(AND(D15="multiple_unit",Y15&lt;110),0.75,1)</f>
        <v>0.45</v>
      </c>
      <c r="AZ15">
        <f>INT(((Constants!$G$2+$AR15+$AS15+$AT15+$AU15+$AW15)*$AV15)*$AY15)</f>
        <v>9</v>
      </c>
      <c r="BA15">
        <f>INT(((Constants!$G$1+$AQ15+$AS15+$AT15+$AU15+$AW15)*(1/$AV15))*$AX15)</f>
        <v>52</v>
      </c>
      <c r="BE15" t="s">
        <v>385</v>
      </c>
      <c r="BF15" t="s">
        <v>326</v>
      </c>
      <c r="BG15" t="str">
        <f>VLOOKUP(G15,Eras!$A$2:$C$10, 2, TRUE)</f>
        <v>vct</v>
      </c>
      <c r="BH15" t="s">
        <v>385</v>
      </c>
      <c r="BI15" t="str">
        <f>CONCATENATE(BG15,"_",BH15)</f>
        <v>vct_Tanker</v>
      </c>
      <c r="BJ15" t="s">
        <v>405</v>
      </c>
    </row>
    <row r="16" spans="1:62" x14ac:dyDescent="0.25">
      <c r="A16" t="s">
        <v>879</v>
      </c>
      <c r="B16" t="s">
        <v>878</v>
      </c>
      <c r="D16" t="s">
        <v>323</v>
      </c>
      <c r="E16" t="s">
        <v>323</v>
      </c>
      <c r="F16" t="s">
        <v>316</v>
      </c>
      <c r="G16">
        <v>1913</v>
      </c>
      <c r="H16">
        <v>1955</v>
      </c>
      <c r="I16">
        <v>1965</v>
      </c>
      <c r="T16">
        <v>20</v>
      </c>
      <c r="V16">
        <v>7</v>
      </c>
      <c r="X16" s="4" t="str">
        <f>IF(AND(T16&gt;0,W16&gt;0),(W16/((T16+U16)*10)),"")</f>
        <v/>
      </c>
      <c r="Y16">
        <v>70</v>
      </c>
      <c r="AA16">
        <v>15</v>
      </c>
      <c r="AB16">
        <v>15</v>
      </c>
      <c r="AE16" s="11">
        <v>60</v>
      </c>
      <c r="AF16" t="str">
        <f>CONCATENATE(VLOOKUP(AG16, 'Voxel Sizes'!$A$2:$B$18,2,FALSE),"x",INT(AC16*15), "x", INT(AD16*15))</f>
        <v>152x0x0</v>
      </c>
      <c r="AG16">
        <f>ROUND(15*((AB16*10)/256),0)</f>
        <v>9</v>
      </c>
      <c r="AI16" t="str">
        <f>CONCATENATE(VLOOKUP(AG16,Constants!$A$2:$C$16,IF(AH16&lt;&gt;"", 3, 2), FALSE),IF(AH16&lt;&gt;"",CONCATENATE(",",VLOOKUP(AH16,$B:$AI,34,FALSE)),""))</f>
        <v>2,5,2</v>
      </c>
      <c r="AP16">
        <v>40</v>
      </c>
      <c r="AS16">
        <f t="shared" si="0"/>
        <v>14</v>
      </c>
      <c r="AT16">
        <f t="shared" si="1"/>
        <v>0</v>
      </c>
      <c r="AU16">
        <f t="shared" si="2"/>
        <v>0</v>
      </c>
      <c r="AV16" s="4">
        <f t="shared" si="3"/>
        <v>0.85</v>
      </c>
      <c r="AW16">
        <f t="shared" si="4"/>
        <v>10</v>
      </c>
      <c r="AX16">
        <f>VLOOKUP($E16,Constants!$I:$K, 2, FALSE)</f>
        <v>1</v>
      </c>
      <c r="AY16">
        <f>VLOOKUP($E16,Constants!$I:$K, 3, FALSE)*IF(AND(D16="multiple_unit",Y16&lt;110),0.75,1)</f>
        <v>0.45</v>
      </c>
      <c r="AZ16">
        <f>INT(((Constants!$G$2+$AR16+$AS16+$AT16+$AU16+$AW16)*$AV16)*$AY16)</f>
        <v>14</v>
      </c>
      <c r="BA16">
        <f>INT(((Constants!$G$1+$AQ16+$AS16+$AT16+$AU16+$AW16)*(1/$AV16))*$AX16)</f>
        <v>69</v>
      </c>
      <c r="BE16" t="s">
        <v>1117</v>
      </c>
      <c r="BF16" t="s">
        <v>710</v>
      </c>
      <c r="BG16" t="str">
        <f>VLOOKUP(G16,Eras!$A$2:$C$10, 2, TRUE)</f>
        <v>edw</v>
      </c>
      <c r="BH16" t="s">
        <v>383</v>
      </c>
      <c r="BI16" t="str">
        <f>CONCATENATE(BG16,"_",BH16)</f>
        <v>edw_Flat Wagon</v>
      </c>
      <c r="BJ16" t="s">
        <v>880</v>
      </c>
    </row>
    <row r="17" spans="1:62" x14ac:dyDescent="0.25">
      <c r="A17" t="s">
        <v>465</v>
      </c>
      <c r="B17" t="s">
        <v>466</v>
      </c>
      <c r="D17" t="s">
        <v>323</v>
      </c>
      <c r="E17" t="s">
        <v>323</v>
      </c>
      <c r="F17" t="s">
        <v>316</v>
      </c>
      <c r="G17">
        <v>1902</v>
      </c>
      <c r="I17">
        <v>1960</v>
      </c>
      <c r="T17">
        <v>8</v>
      </c>
      <c r="V17">
        <v>5</v>
      </c>
      <c r="X17" s="4" t="str">
        <f>IF(AND(T17&gt;0,W17&gt;0),(W17/((T17+U17)*10)),"")</f>
        <v/>
      </c>
      <c r="Y17">
        <v>50</v>
      </c>
      <c r="AA17">
        <v>8</v>
      </c>
      <c r="AB17">
        <v>8</v>
      </c>
      <c r="AE17" s="11">
        <v>24</v>
      </c>
      <c r="AF17" t="str">
        <f>CONCATENATE(VLOOKUP(AG17, 'Voxel Sizes'!$A$2:$B$18,2,FALSE),"x",INT(AC17*15), "x", INT(AD17*15))</f>
        <v>82x0x0</v>
      </c>
      <c r="AG17">
        <f>ROUND(15*((AB17*10)/256),0)</f>
        <v>5</v>
      </c>
      <c r="AI17" t="str">
        <f>CONCATENATE(VLOOKUP(AG17,Constants!$A$2:$C$16,IF(AH17&lt;&gt;"", 3, 2), FALSE),IF(AH17&lt;&gt;"",CONCATENATE(",",VLOOKUP(AH17,$B:$AI,34,FALSE)),""))</f>
        <v>2,1,2</v>
      </c>
      <c r="AP17">
        <v>40</v>
      </c>
      <c r="AS17">
        <f t="shared" si="0"/>
        <v>10</v>
      </c>
      <c r="AT17">
        <f t="shared" si="1"/>
        <v>0</v>
      </c>
      <c r="AU17">
        <f t="shared" si="2"/>
        <v>0</v>
      </c>
      <c r="AV17" s="4">
        <f t="shared" si="3"/>
        <v>0.85</v>
      </c>
      <c r="AW17">
        <f t="shared" si="4"/>
        <v>4</v>
      </c>
      <c r="AX17">
        <f>VLOOKUP($E17,Constants!$I:$K, 2, FALSE)</f>
        <v>1</v>
      </c>
      <c r="AY17">
        <f>VLOOKUP($E17,Constants!$I:$K, 3, FALSE)*IF(AND(D17="multiple_unit",Y17&lt;110),0.75,1)</f>
        <v>0.45</v>
      </c>
      <c r="AZ17">
        <f>INT(((Constants!$G$2+$AR17+$AS17+$AT17+$AU17+$AW17)*$AV17)*$AY17)</f>
        <v>11</v>
      </c>
      <c r="BA17">
        <f>INT(((Constants!$G$1+$AQ17+$AS17+$AT17+$AU17+$AW17)*(1/$AV17))*$AX17)</f>
        <v>57</v>
      </c>
      <c r="BE17" t="s">
        <v>384</v>
      </c>
      <c r="BF17" t="s">
        <v>328</v>
      </c>
      <c r="BG17" t="str">
        <f>VLOOKUP(G17,Eras!$A$2:$C$10, 2, TRUE)</f>
        <v>edw</v>
      </c>
      <c r="BH17" t="s">
        <v>384</v>
      </c>
      <c r="BI17" t="str">
        <f>CONCATENATE(BG17,"_",BH17)</f>
        <v>edw_Van</v>
      </c>
      <c r="BJ17" t="s">
        <v>464</v>
      </c>
    </row>
    <row r="18" spans="1:62" x14ac:dyDescent="0.25">
      <c r="A18" t="s">
        <v>860</v>
      </c>
      <c r="B18" t="s">
        <v>857</v>
      </c>
      <c r="D18" t="s">
        <v>323</v>
      </c>
      <c r="E18" t="s">
        <v>323</v>
      </c>
      <c r="F18" t="s">
        <v>316</v>
      </c>
      <c r="G18">
        <v>1958</v>
      </c>
      <c r="T18">
        <v>30</v>
      </c>
      <c r="V18">
        <v>7</v>
      </c>
      <c r="X18" s="4" t="str">
        <f>IF(AND(T18&gt;0,W18&gt;0),(W18/((T18+U18)*10)),"")</f>
        <v/>
      </c>
      <c r="Y18">
        <v>100</v>
      </c>
      <c r="AA18">
        <v>19.3</v>
      </c>
      <c r="AB18">
        <v>20</v>
      </c>
      <c r="AE18" s="11">
        <v>75</v>
      </c>
      <c r="AF18" t="str">
        <f>CONCATENATE(VLOOKUP(AG18, 'Voxel Sizes'!$A$2:$B$18,2,FALSE),"x",INT(AC18*15), "x", INT(AD18*15))</f>
        <v>198x0x0</v>
      </c>
      <c r="AG18">
        <f>ROUND(15*((AB18*10)/256),0)</f>
        <v>12</v>
      </c>
      <c r="AI18" t="str">
        <f>CONCATENATE(VLOOKUP(AG18,Constants!$A$2:$C$16,IF(AH18&lt;&gt;"", 3, 2), FALSE),IF(AH18&lt;&gt;"",CONCATENATE(",",VLOOKUP(AH18,$B:$AI,34,FALSE)),""))</f>
        <v>4,4,4</v>
      </c>
      <c r="AP18">
        <v>40</v>
      </c>
      <c r="AS18">
        <f t="shared" si="0"/>
        <v>20</v>
      </c>
      <c r="AT18">
        <f t="shared" si="1"/>
        <v>0</v>
      </c>
      <c r="AU18">
        <f t="shared" si="2"/>
        <v>0</v>
      </c>
      <c r="AV18" s="4">
        <f t="shared" si="3"/>
        <v>0.85</v>
      </c>
      <c r="AW18">
        <f t="shared" si="4"/>
        <v>12.5</v>
      </c>
      <c r="AX18">
        <f>VLOOKUP($E18,Constants!$I:$K, 2, FALSE)</f>
        <v>1</v>
      </c>
      <c r="AY18">
        <f>VLOOKUP($E18,Constants!$I:$K, 3, FALSE)*IF(AND(D18="multiple_unit",Y18&lt;110),0.75,1)</f>
        <v>0.45</v>
      </c>
      <c r="AZ18">
        <f>INT(((Constants!$G$2+$AR18+$AS18+$AT18+$AU18+$AW18)*$AV18)*$AY18)</f>
        <v>18</v>
      </c>
      <c r="BA18">
        <f>INT(((Constants!$G$1+$AQ18+$AS18+$AT18+$AU18+$AW18)*(1/$AV18))*$AX18)</f>
        <v>79</v>
      </c>
      <c r="BE18" t="s">
        <v>1115</v>
      </c>
      <c r="BF18" t="s">
        <v>710</v>
      </c>
      <c r="BG18" t="str">
        <f>VLOOKUP(G18,Eras!$A$2:$C$10, 2, TRUE)</f>
        <v>dsl</v>
      </c>
      <c r="BH18" t="s">
        <v>378</v>
      </c>
      <c r="BI18" t="str">
        <f>CONCATENATE(BG18,"_",BH18)</f>
        <v>dsl_Mail Carriage</v>
      </c>
      <c r="BJ18" t="s">
        <v>859</v>
      </c>
    </row>
    <row r="19" spans="1:62" x14ac:dyDescent="0.25">
      <c r="A19" t="s">
        <v>140</v>
      </c>
      <c r="B19" t="s">
        <v>298</v>
      </c>
      <c r="D19" t="s">
        <v>323</v>
      </c>
      <c r="E19" t="s">
        <v>323</v>
      </c>
      <c r="F19" t="s">
        <v>316</v>
      </c>
      <c r="G19">
        <v>1902</v>
      </c>
      <c r="I19">
        <v>1965</v>
      </c>
      <c r="T19">
        <v>8</v>
      </c>
      <c r="V19">
        <v>5</v>
      </c>
      <c r="X19" s="4" t="str">
        <f>IF(AND(T19&gt;0,W19&gt;0),(W19/((T19+U19)*10)),"")</f>
        <v/>
      </c>
      <c r="Y19">
        <v>45</v>
      </c>
      <c r="AA19">
        <v>4.9000000000000004</v>
      </c>
      <c r="AB19">
        <v>6</v>
      </c>
      <c r="AE19" s="11">
        <v>21</v>
      </c>
      <c r="AF19" t="str">
        <f>CONCATENATE(VLOOKUP(AG19, 'Voxel Sizes'!$A$2:$B$18,2,FALSE),"x",INT(AC19*15), "x", INT(AD19*15))</f>
        <v>60x0x0</v>
      </c>
      <c r="AG19">
        <f>ROUND(15*((AB19*10)/256),0)</f>
        <v>4</v>
      </c>
      <c r="AI19" t="str">
        <f>CONCATENATE(VLOOKUP(AG19,Constants!$A$2:$C$16,IF(AH19&lt;&gt;"", 3, 2), FALSE),IF(AH19&lt;&gt;"",CONCATENATE(",",VLOOKUP(AH19,$B:$AI,34,FALSE)),""))</f>
        <v>1,2,1</v>
      </c>
      <c r="AP19">
        <v>40</v>
      </c>
      <c r="AS19">
        <f t="shared" si="0"/>
        <v>9</v>
      </c>
      <c r="AT19">
        <f t="shared" si="1"/>
        <v>0</v>
      </c>
      <c r="AU19">
        <f t="shared" si="2"/>
        <v>0</v>
      </c>
      <c r="AV19" s="4">
        <f t="shared" si="3"/>
        <v>0.85</v>
      </c>
      <c r="AW19">
        <f t="shared" si="4"/>
        <v>3.5000000000000004</v>
      </c>
      <c r="AX19">
        <f>VLOOKUP($E19,Constants!$I:$K, 2, FALSE)</f>
        <v>1</v>
      </c>
      <c r="AY19">
        <f>VLOOKUP($E19,Constants!$I:$K, 3, FALSE)*IF(AND(D19="multiple_unit",Y19&lt;110),0.75,1)</f>
        <v>0.45</v>
      </c>
      <c r="AZ19">
        <f>INT(((Constants!$G$2+$AR19+$AS19+$AT19+$AU19+$AW19)*$AV19)*$AY19)</f>
        <v>10</v>
      </c>
      <c r="BA19">
        <f>INT(((Constants!$G$1+$AQ19+$AS19+$AT19+$AU19+$AW19)*(1/$AV19))*$AX19)</f>
        <v>55</v>
      </c>
      <c r="BE19" t="s">
        <v>1111</v>
      </c>
      <c r="BF19" t="s">
        <v>783</v>
      </c>
      <c r="BG19" t="str">
        <f>VLOOKUP(G19,Eras!$A$2:$C$10, 2, TRUE)</f>
        <v>edw</v>
      </c>
      <c r="BH19" t="s">
        <v>382</v>
      </c>
      <c r="BI19" t="str">
        <f>CONCATENATE(BG19,"_",BH19)</f>
        <v>edw_Open Wagon</v>
      </c>
      <c r="BJ19" t="s">
        <v>407</v>
      </c>
    </row>
    <row r="20" spans="1:62" x14ac:dyDescent="0.25">
      <c r="A20" t="s">
        <v>457</v>
      </c>
      <c r="B20" t="s">
        <v>458</v>
      </c>
      <c r="D20" t="s">
        <v>323</v>
      </c>
      <c r="E20" t="s">
        <v>323</v>
      </c>
      <c r="F20" t="s">
        <v>316</v>
      </c>
      <c r="G20">
        <v>1901</v>
      </c>
      <c r="T20">
        <v>10</v>
      </c>
      <c r="V20">
        <v>6</v>
      </c>
      <c r="X20" s="4" t="str">
        <f>IF(AND(T20&gt;0,W20&gt;0),(W20/((T20+U20)*10)),"")</f>
        <v/>
      </c>
      <c r="Y20">
        <v>45</v>
      </c>
      <c r="AA20">
        <v>8</v>
      </c>
      <c r="AB20">
        <v>8</v>
      </c>
      <c r="AE20" s="11">
        <v>21</v>
      </c>
      <c r="AF20" t="str">
        <f>CONCATENATE(VLOOKUP(AG20, 'Voxel Sizes'!$A$2:$B$18,2,FALSE),"x",INT(AC20*15), "x", INT(AD20*15))</f>
        <v>82x0x0</v>
      </c>
      <c r="AG20">
        <f>ROUND(15*((AB20*10)/256),0)</f>
        <v>5</v>
      </c>
      <c r="AI20" t="str">
        <f>CONCATENATE(VLOOKUP(AG20,Constants!$A$2:$C$16,IF(AH20&lt;&gt;"", 3, 2), FALSE),IF(AH20&lt;&gt;"",CONCATENATE(",",VLOOKUP(AH20,$B:$AI,34,FALSE)),""))</f>
        <v>2,1,2</v>
      </c>
      <c r="AP20">
        <v>40</v>
      </c>
      <c r="AS20">
        <f t="shared" si="0"/>
        <v>9</v>
      </c>
      <c r="AT20">
        <f t="shared" si="1"/>
        <v>0</v>
      </c>
      <c r="AU20">
        <f t="shared" si="2"/>
        <v>0</v>
      </c>
      <c r="AV20" s="4">
        <f t="shared" si="3"/>
        <v>0.85</v>
      </c>
      <c r="AW20">
        <f t="shared" si="4"/>
        <v>3.5000000000000004</v>
      </c>
      <c r="AX20">
        <f>VLOOKUP($E20,Constants!$I:$K, 2, FALSE)</f>
        <v>1</v>
      </c>
      <c r="AY20">
        <f>VLOOKUP($E20,Constants!$I:$K, 3, FALSE)*IF(AND(D20="multiple_unit",Y20&lt;110),0.75,1)</f>
        <v>0.45</v>
      </c>
      <c r="AZ20">
        <f>INT(((Constants!$G$2+$AR20+$AS20+$AT20+$AU20+$AW20)*$AV20)*$AY20)</f>
        <v>10</v>
      </c>
      <c r="BA20">
        <f>INT(((Constants!$G$1+$AQ20+$AS20+$AT20+$AU20+$AW20)*(1/$AV20))*$AX20)</f>
        <v>55</v>
      </c>
      <c r="BE20" t="s">
        <v>385</v>
      </c>
      <c r="BF20" t="s">
        <v>326</v>
      </c>
      <c r="BG20" t="str">
        <f>VLOOKUP(G20,Eras!$A$2:$C$10, 2, TRUE)</f>
        <v>edw</v>
      </c>
      <c r="BH20" t="s">
        <v>385</v>
      </c>
      <c r="BI20" t="str">
        <f>CONCATENATE(BG20,"_",BH20)</f>
        <v>edw_Tanker</v>
      </c>
      <c r="BJ20" t="s">
        <v>459</v>
      </c>
    </row>
    <row r="21" spans="1:62" x14ac:dyDescent="0.25">
      <c r="A21" t="s">
        <v>460</v>
      </c>
      <c r="B21" t="s">
        <v>461</v>
      </c>
      <c r="D21" t="s">
        <v>323</v>
      </c>
      <c r="E21" t="s">
        <v>323</v>
      </c>
      <c r="F21" t="s">
        <v>316</v>
      </c>
      <c r="G21">
        <v>1906</v>
      </c>
      <c r="I21">
        <v>1960</v>
      </c>
      <c r="T21">
        <v>7</v>
      </c>
      <c r="V21">
        <v>7</v>
      </c>
      <c r="X21" s="4" t="str">
        <f>IF(AND(T21&gt;0,W21&gt;0),(W21/((T21+U21)*10)),"")</f>
        <v/>
      </c>
      <c r="Y21">
        <v>45</v>
      </c>
      <c r="AA21">
        <v>8</v>
      </c>
      <c r="AB21">
        <v>8</v>
      </c>
      <c r="AE21" s="11">
        <v>24</v>
      </c>
      <c r="AF21" t="str">
        <f>CONCATENATE(VLOOKUP(AG21, 'Voxel Sizes'!$A$2:$B$18,2,FALSE),"x",INT(AC21*15), "x", INT(AD21*15))</f>
        <v>82x0x0</v>
      </c>
      <c r="AG21">
        <f>ROUND(15*((AB21*10)/256),0)</f>
        <v>5</v>
      </c>
      <c r="AI21" t="str">
        <f>CONCATENATE(VLOOKUP(AG21,Constants!$A$2:$C$16,IF(AH21&lt;&gt;"", 3, 2), FALSE),IF(AH21&lt;&gt;"",CONCATENATE(",",VLOOKUP(AH21,$B:$AI,34,FALSE)),""))</f>
        <v>2,1,2</v>
      </c>
      <c r="AP21">
        <v>40</v>
      </c>
      <c r="AS21">
        <f t="shared" si="0"/>
        <v>9</v>
      </c>
      <c r="AT21">
        <f t="shared" si="1"/>
        <v>0</v>
      </c>
      <c r="AU21">
        <f t="shared" si="2"/>
        <v>0</v>
      </c>
      <c r="AV21" s="4">
        <f t="shared" si="3"/>
        <v>0.85</v>
      </c>
      <c r="AW21">
        <f t="shared" si="4"/>
        <v>4</v>
      </c>
      <c r="AX21">
        <f>VLOOKUP($E21,Constants!$I:$K, 2, FALSE)</f>
        <v>1</v>
      </c>
      <c r="AY21">
        <f>VLOOKUP($E21,Constants!$I:$K, 3, FALSE)*IF(AND(D21="multiple_unit",Y21&lt;110),0.75,1)</f>
        <v>0.45</v>
      </c>
      <c r="AZ21">
        <f>INT(((Constants!$G$2+$AR21+$AS21+$AT21+$AU21+$AW21)*$AV21)*$AY21)</f>
        <v>10</v>
      </c>
      <c r="BA21">
        <f>INT(((Constants!$G$1+$AQ21+$AS21+$AT21+$AU21+$AW21)*(1/$AV21))*$AX21)</f>
        <v>56</v>
      </c>
      <c r="BE21" t="s">
        <v>1113</v>
      </c>
      <c r="BF21" t="s">
        <v>462</v>
      </c>
      <c r="BG21" t="str">
        <f>VLOOKUP(G21,Eras!$A$2:$C$10, 2, TRUE)</f>
        <v>edw</v>
      </c>
      <c r="BH21" t="s">
        <v>383</v>
      </c>
      <c r="BI21" t="str">
        <f>CONCATENATE(BG21,"_",BH21)</f>
        <v>edw_Flat Wagon</v>
      </c>
      <c r="BJ21" t="s">
        <v>463</v>
      </c>
    </row>
    <row r="22" spans="1:62" x14ac:dyDescent="0.25">
      <c r="A22" t="s">
        <v>874</v>
      </c>
      <c r="B22" t="s">
        <v>823</v>
      </c>
      <c r="D22" t="s">
        <v>323</v>
      </c>
      <c r="E22" t="s">
        <v>323</v>
      </c>
      <c r="F22" t="s">
        <v>316</v>
      </c>
      <c r="G22">
        <v>1905</v>
      </c>
      <c r="I22">
        <v>1955</v>
      </c>
      <c r="T22">
        <v>10</v>
      </c>
      <c r="V22">
        <v>5</v>
      </c>
      <c r="X22" s="4" t="str">
        <f>IF(AND(T22&gt;0,W22&gt;0),(W22/((T22+U22)*10)),"")</f>
        <v/>
      </c>
      <c r="Y22">
        <v>45</v>
      </c>
      <c r="AA22">
        <v>8.9</v>
      </c>
      <c r="AB22">
        <v>8.9</v>
      </c>
      <c r="AE22" s="11">
        <v>24</v>
      </c>
      <c r="AF22" t="str">
        <f>CONCATENATE(VLOOKUP(AG22, 'Voxel Sizes'!$A$2:$B$18,2,FALSE),"x",INT(AC22*15), "x", INT(AD22*15))</f>
        <v>82x0x0</v>
      </c>
      <c r="AG22">
        <f>ROUND(15*((AB22*10)/256),0)</f>
        <v>5</v>
      </c>
      <c r="AI22" t="str">
        <f>CONCATENATE(VLOOKUP(AG22,Constants!$A$2:$C$16,IF(AH22&lt;&gt;"", 3, 2), FALSE),IF(AH22&lt;&gt;"",CONCATENATE(",",VLOOKUP(AH22,$B:$AI,34,FALSE)),""))</f>
        <v>2,1,2</v>
      </c>
      <c r="AP22">
        <v>40</v>
      </c>
      <c r="AS22">
        <f t="shared" si="0"/>
        <v>9</v>
      </c>
      <c r="AT22">
        <f t="shared" si="1"/>
        <v>0</v>
      </c>
      <c r="AU22">
        <f t="shared" si="2"/>
        <v>0</v>
      </c>
      <c r="AV22" s="4">
        <f t="shared" si="3"/>
        <v>0.85</v>
      </c>
      <c r="AW22">
        <f t="shared" si="4"/>
        <v>4</v>
      </c>
      <c r="AX22">
        <f>VLOOKUP($E22,Constants!$I:$K, 2, FALSE)</f>
        <v>1</v>
      </c>
      <c r="AY22">
        <f>VLOOKUP($E22,Constants!$I:$K, 3, FALSE)*IF(AND(D22="multiple_unit",Y22&lt;110),0.75,1)</f>
        <v>0.45</v>
      </c>
      <c r="AZ22">
        <f>INT(((Constants!$G$2+$AR22+$AS22+$AT22+$AU22+$AW22)*$AV22)*$AY22)</f>
        <v>10</v>
      </c>
      <c r="BA22">
        <f>INT(((Constants!$G$1+$AQ22+$AS22+$AT22+$AU22+$AW22)*(1/$AV22))*$AX22)</f>
        <v>56</v>
      </c>
      <c r="BE22" t="s">
        <v>975</v>
      </c>
      <c r="BF22" t="s">
        <v>822</v>
      </c>
      <c r="BG22" t="str">
        <f>VLOOKUP(G22,Eras!$A$2:$C$10, 2, TRUE)</f>
        <v>edw</v>
      </c>
      <c r="BH22" t="s">
        <v>384</v>
      </c>
      <c r="BI22" t="str">
        <f>CONCATENATE(BG22,"_",BH22)</f>
        <v>edw_Van</v>
      </c>
      <c r="BJ22" t="s">
        <v>825</v>
      </c>
    </row>
    <row r="23" spans="1:62" x14ac:dyDescent="0.25">
      <c r="A23" t="s">
        <v>142</v>
      </c>
      <c r="B23" t="s">
        <v>832</v>
      </c>
      <c r="D23" t="s">
        <v>323</v>
      </c>
      <c r="E23" t="s">
        <v>323</v>
      </c>
      <c r="F23" t="s">
        <v>316</v>
      </c>
      <c r="G23">
        <v>1916</v>
      </c>
      <c r="I23">
        <v>1965</v>
      </c>
      <c r="T23">
        <v>14</v>
      </c>
      <c r="V23">
        <v>7</v>
      </c>
      <c r="X23" s="4" t="str">
        <f>IF(AND(T23&gt;0,W23&gt;0),(W23/((T23+U23)*10)),"")</f>
        <v/>
      </c>
      <c r="Y23">
        <v>45</v>
      </c>
      <c r="AA23">
        <v>15.2</v>
      </c>
      <c r="AB23">
        <v>15.2</v>
      </c>
      <c r="AE23" s="11">
        <v>42</v>
      </c>
      <c r="AF23" t="str">
        <f>CONCATENATE(VLOOKUP(AG23, 'Voxel Sizes'!$A$2:$B$18,2,FALSE),"x",INT(AC23*15), "x", INT(AD23*15))</f>
        <v>152x0x0</v>
      </c>
      <c r="AG23">
        <f>ROUND(15*((AB23*10)/256),0)</f>
        <v>9</v>
      </c>
      <c r="AI23" t="str">
        <f>CONCATENATE(VLOOKUP(AG23,Constants!$A$2:$C$16,IF(AH23&lt;&gt;"", 3, 2), FALSE),IF(AH23&lt;&gt;"",CONCATENATE(",",VLOOKUP(AH23,$B:$AI,34,FALSE)),""))</f>
        <v>2,5,2</v>
      </c>
      <c r="AP23">
        <v>40</v>
      </c>
      <c r="AS23">
        <f t="shared" si="0"/>
        <v>9</v>
      </c>
      <c r="AT23">
        <f t="shared" si="1"/>
        <v>0</v>
      </c>
      <c r="AU23">
        <f t="shared" si="2"/>
        <v>0</v>
      </c>
      <c r="AV23" s="4">
        <f t="shared" si="3"/>
        <v>0.85</v>
      </c>
      <c r="AW23">
        <f t="shared" si="4"/>
        <v>7.0000000000000009</v>
      </c>
      <c r="AX23">
        <f>VLOOKUP($E23,Constants!$I:$K, 2, FALSE)</f>
        <v>1</v>
      </c>
      <c r="AY23">
        <f>VLOOKUP($E23,Constants!$I:$K, 3, FALSE)*IF(AND(D23="multiple_unit",Y23&lt;110),0.75,1)</f>
        <v>0.45</v>
      </c>
      <c r="AZ23">
        <f>INT(((Constants!$G$2+$AR23+$AS23+$AT23+$AU23+$AW23)*$AV23)*$AY23)</f>
        <v>11</v>
      </c>
      <c r="BA23">
        <f>INT(((Constants!$G$1+$AQ23+$AS23+$AT23+$AU23+$AW23)*(1/$AV23))*$AX23)</f>
        <v>60</v>
      </c>
      <c r="BE23" t="s">
        <v>1113</v>
      </c>
      <c r="BF23" t="s">
        <v>462</v>
      </c>
      <c r="BG23" t="str">
        <f>VLOOKUP(G23,Eras!$A$2:$C$10, 2, TRUE)</f>
        <v>edw</v>
      </c>
      <c r="BH23" t="s">
        <v>383</v>
      </c>
      <c r="BI23" t="str">
        <f>CONCATENATE(BG23,"_",BH23)</f>
        <v>edw_Flat Wagon</v>
      </c>
      <c r="BJ23" t="s">
        <v>831</v>
      </c>
    </row>
    <row r="24" spans="1:62" x14ac:dyDescent="0.25">
      <c r="A24" t="s">
        <v>856</v>
      </c>
      <c r="B24" t="s">
        <v>858</v>
      </c>
      <c r="D24" t="s">
        <v>323</v>
      </c>
      <c r="E24" t="s">
        <v>323</v>
      </c>
      <c r="F24" t="s">
        <v>316</v>
      </c>
      <c r="G24">
        <v>1950</v>
      </c>
      <c r="I24">
        <v>1975</v>
      </c>
      <c r="T24">
        <v>18</v>
      </c>
      <c r="V24">
        <v>7</v>
      </c>
      <c r="X24" s="4" t="str">
        <f>IF(AND(T24&gt;0,W24&gt;0),(W24/((T24+U24)*10)),"")</f>
        <v/>
      </c>
      <c r="Y24">
        <v>80</v>
      </c>
      <c r="AA24">
        <v>11.2</v>
      </c>
      <c r="AB24">
        <v>11.2</v>
      </c>
      <c r="AE24" s="11">
        <v>45</v>
      </c>
      <c r="AF24" t="str">
        <f>CONCATENATE(VLOOKUP(AG24, 'Voxel Sizes'!$A$2:$B$18,2,FALSE),"x",INT(AC24*15), "x", INT(AD24*15))</f>
        <v>120x0x0</v>
      </c>
      <c r="AG24">
        <f>ROUND(15*((AB24*10)/256),0)</f>
        <v>7</v>
      </c>
      <c r="AI24" t="str">
        <f>CONCATENATE(VLOOKUP(AG24,Constants!$A$2:$C$16,IF(AH24&lt;&gt;"", 3, 2), FALSE),IF(AH24&lt;&gt;"",CONCATENATE(",",VLOOKUP(AH24,$B:$AI,34,FALSE)),""))</f>
        <v>2,3,2</v>
      </c>
      <c r="AP24">
        <v>40</v>
      </c>
      <c r="AS24">
        <f t="shared" si="0"/>
        <v>16</v>
      </c>
      <c r="AT24">
        <f t="shared" si="1"/>
        <v>0</v>
      </c>
      <c r="AU24">
        <f t="shared" si="2"/>
        <v>0</v>
      </c>
      <c r="AV24" s="4">
        <f t="shared" si="3"/>
        <v>0.85</v>
      </c>
      <c r="AW24">
        <f t="shared" si="4"/>
        <v>7.5</v>
      </c>
      <c r="AX24">
        <f>VLOOKUP($E24,Constants!$I:$K, 2, FALSE)</f>
        <v>1</v>
      </c>
      <c r="AY24">
        <f>VLOOKUP($E24,Constants!$I:$K, 3, FALSE)*IF(AND(D24="multiple_unit",Y24&lt;110),0.75,1)</f>
        <v>0.45</v>
      </c>
      <c r="AZ24">
        <f>INT(((Constants!$G$2+$AR24+$AS24+$AT24+$AU24+$AW24)*$AV24)*$AY24)</f>
        <v>14</v>
      </c>
      <c r="BA24">
        <f>INT(((Constants!$G$1+$AQ24+$AS24+$AT24+$AU24+$AW24)*(1/$AV24))*$AX24)</f>
        <v>68</v>
      </c>
      <c r="BE24" t="s">
        <v>1115</v>
      </c>
      <c r="BF24" t="s">
        <v>710</v>
      </c>
      <c r="BG24" t="str">
        <f>VLOOKUP(G24,Eras!$A$2:$C$10, 2, TRUE)</f>
        <v>ebr</v>
      </c>
      <c r="BH24" t="s">
        <v>378</v>
      </c>
      <c r="BI24" t="str">
        <f>CONCATENATE(BG24,"_",BH24)</f>
        <v>ebr_Mail Carriage</v>
      </c>
      <c r="BJ24" t="s">
        <v>882</v>
      </c>
    </row>
    <row r="25" spans="1:62" x14ac:dyDescent="0.25">
      <c r="A25" t="s">
        <v>864</v>
      </c>
      <c r="B25" t="s">
        <v>865</v>
      </c>
      <c r="D25" t="s">
        <v>323</v>
      </c>
      <c r="E25" t="s">
        <v>323</v>
      </c>
      <c r="F25" t="s">
        <v>316</v>
      </c>
      <c r="G25">
        <v>1930</v>
      </c>
      <c r="I25">
        <v>1970</v>
      </c>
      <c r="T25">
        <v>7</v>
      </c>
      <c r="V25">
        <v>18</v>
      </c>
      <c r="X25" s="4" t="str">
        <f>IF(AND(T25&gt;0,W25&gt;0),(W25/((T25+U25)*10)),"")</f>
        <v/>
      </c>
      <c r="Y25">
        <v>60</v>
      </c>
      <c r="AA25">
        <v>8</v>
      </c>
      <c r="AB25">
        <v>8</v>
      </c>
      <c r="AE25" s="11">
        <v>27</v>
      </c>
      <c r="AF25" t="str">
        <f>CONCATENATE(VLOOKUP(AG25, 'Voxel Sizes'!$A$2:$B$18,2,FALSE),"x",INT(AC25*15), "x", INT(AD25*15))</f>
        <v>82x0x0</v>
      </c>
      <c r="AG25">
        <f>ROUND(15*((AB25*10)/256),0)</f>
        <v>5</v>
      </c>
      <c r="AI25" t="str">
        <f>CONCATENATE(VLOOKUP(AG25,Constants!$A$2:$C$16,IF(AH25&lt;&gt;"", 3, 2), FALSE),IF(AH25&lt;&gt;"",CONCATENATE(",",VLOOKUP(AH25,$B:$AI,34,FALSE)),""))</f>
        <v>2,1,2</v>
      </c>
      <c r="AP25">
        <v>40</v>
      </c>
      <c r="AS25">
        <f t="shared" si="0"/>
        <v>12</v>
      </c>
      <c r="AT25">
        <f t="shared" si="1"/>
        <v>0</v>
      </c>
      <c r="AU25">
        <f t="shared" si="2"/>
        <v>0</v>
      </c>
      <c r="AV25" s="4">
        <f t="shared" si="3"/>
        <v>0.85</v>
      </c>
      <c r="AW25">
        <f t="shared" si="4"/>
        <v>4.5</v>
      </c>
      <c r="AX25">
        <f>VLOOKUP($E25,Constants!$I:$K, 2, FALSE)</f>
        <v>1</v>
      </c>
      <c r="AY25">
        <f>VLOOKUP($E25,Constants!$I:$K, 3, FALSE)*IF(AND(D25="multiple_unit",Y25&lt;110),0.75,1)</f>
        <v>0.45</v>
      </c>
      <c r="AZ25">
        <f>INT(((Constants!$G$2+$AR25+$AS25+$AT25+$AU25+$AW25)*$AV25)*$AY25)</f>
        <v>12</v>
      </c>
      <c r="BA25">
        <f>INT(((Constants!$G$1+$AQ25+$AS25+$AT25+$AU25+$AW25)*(1/$AV25))*$AX25)</f>
        <v>60</v>
      </c>
      <c r="BE25" t="s">
        <v>1114</v>
      </c>
      <c r="BF25" t="s">
        <v>328</v>
      </c>
      <c r="BG25" t="str">
        <f>VLOOKUP(G25,Eras!$A$2:$C$10, 2, TRUE)</f>
        <v>big4</v>
      </c>
      <c r="BH25" t="s">
        <v>762</v>
      </c>
      <c r="BI25" t="str">
        <f>CONCATENATE(BG25,"_",BH25)</f>
        <v>big4_Extra</v>
      </c>
      <c r="BJ25" t="s">
        <v>866</v>
      </c>
    </row>
    <row r="26" spans="1:62" x14ac:dyDescent="0.25">
      <c r="A26" t="s">
        <v>806</v>
      </c>
      <c r="B26" t="s">
        <v>807</v>
      </c>
      <c r="D26" t="s">
        <v>323</v>
      </c>
      <c r="E26" t="s">
        <v>323</v>
      </c>
      <c r="F26" t="s">
        <v>316</v>
      </c>
      <c r="G26">
        <v>1932</v>
      </c>
      <c r="I26">
        <v>1970</v>
      </c>
      <c r="T26">
        <v>8</v>
      </c>
      <c r="V26">
        <v>5</v>
      </c>
      <c r="X26" s="4" t="str">
        <f>IF(AND(T26&gt;0,W26&gt;0),(W26/((T26+U26)*10)),"")</f>
        <v/>
      </c>
      <c r="Y26">
        <v>60</v>
      </c>
      <c r="AA26">
        <v>8</v>
      </c>
      <c r="AB26">
        <v>8</v>
      </c>
      <c r="AE26" s="11">
        <v>27</v>
      </c>
      <c r="AF26" t="str">
        <f>CONCATENATE(VLOOKUP(AG26, 'Voxel Sizes'!$A$2:$B$18,2,FALSE),"x",INT(AC26*15), "x", INT(AD26*15))</f>
        <v>82x0x0</v>
      </c>
      <c r="AG26">
        <f>ROUND(15*((AB26*10)/256),0)</f>
        <v>5</v>
      </c>
      <c r="AI26" t="str">
        <f>CONCATENATE(VLOOKUP(AG26,Constants!$A$2:$C$16,IF(AH26&lt;&gt;"", 3, 2), FALSE),IF(AH26&lt;&gt;"",CONCATENATE(",",VLOOKUP(AH26,$B:$AI,34,FALSE)),""))</f>
        <v>2,1,2</v>
      </c>
      <c r="AP26">
        <v>40</v>
      </c>
      <c r="AS26">
        <f t="shared" si="0"/>
        <v>12</v>
      </c>
      <c r="AT26">
        <f t="shared" si="1"/>
        <v>0</v>
      </c>
      <c r="AU26">
        <f t="shared" si="2"/>
        <v>0</v>
      </c>
      <c r="AV26" s="4">
        <f t="shared" si="3"/>
        <v>0.85</v>
      </c>
      <c r="AW26">
        <f t="shared" si="4"/>
        <v>4.5</v>
      </c>
      <c r="AX26">
        <f>VLOOKUP($E26,Constants!$I:$K, 2, FALSE)</f>
        <v>1</v>
      </c>
      <c r="AY26">
        <f>VLOOKUP($E26,Constants!$I:$K, 3, FALSE)*IF(AND(D26="multiple_unit",Y26&lt;110),0.75,1)</f>
        <v>0.45</v>
      </c>
      <c r="AZ26">
        <f>INT(((Constants!$G$2+$AR26+$AS26+$AT26+$AU26+$AW26)*$AV26)*$AY26)</f>
        <v>12</v>
      </c>
      <c r="BA26">
        <f>INT(((Constants!$G$1+$AQ26+$AS26+$AT26+$AU26+$AW26)*(1/$AV26))*$AX26)</f>
        <v>60</v>
      </c>
      <c r="BE26" t="s">
        <v>384</v>
      </c>
      <c r="BF26" t="s">
        <v>328</v>
      </c>
      <c r="BG26" t="str">
        <f>VLOOKUP(G26,Eras!$A$2:$C$10, 2, TRUE)</f>
        <v>big4</v>
      </c>
      <c r="BH26" t="s">
        <v>384</v>
      </c>
      <c r="BI26" t="str">
        <f>CONCATENATE(BG26,"_",BH26)</f>
        <v>big4_Van</v>
      </c>
      <c r="BJ26" t="s">
        <v>808</v>
      </c>
    </row>
    <row r="27" spans="1:62" x14ac:dyDescent="0.25">
      <c r="A27" t="s">
        <v>837</v>
      </c>
      <c r="B27" t="s">
        <v>838</v>
      </c>
      <c r="D27" t="s">
        <v>323</v>
      </c>
      <c r="E27" t="s">
        <v>323</v>
      </c>
      <c r="F27" t="s">
        <v>316</v>
      </c>
      <c r="G27">
        <v>1925</v>
      </c>
      <c r="I27">
        <v>1970</v>
      </c>
      <c r="T27">
        <v>7</v>
      </c>
      <c r="V27">
        <v>7</v>
      </c>
      <c r="X27" s="4" t="str">
        <f>IF(AND(T27&gt;0,W27&gt;0),(W27/((T27+U27)*10)),"")</f>
        <v/>
      </c>
      <c r="Y27">
        <v>50</v>
      </c>
      <c r="AA27">
        <v>10</v>
      </c>
      <c r="AB27">
        <v>10</v>
      </c>
      <c r="AE27" s="11">
        <v>30</v>
      </c>
      <c r="AF27" t="str">
        <f>CONCATENATE(VLOOKUP(AG27, 'Voxel Sizes'!$A$2:$B$18,2,FALSE),"x",INT(AC27*15), "x", INT(AD27*15))</f>
        <v>102x0x0</v>
      </c>
      <c r="AG27">
        <f>ROUND(15*((AB27*10)/256),0)</f>
        <v>6</v>
      </c>
      <c r="AI27" t="str">
        <f>CONCATENATE(VLOOKUP(AG27,Constants!$A$2:$C$16,IF(AH27&lt;&gt;"", 3, 2), FALSE),IF(AH27&lt;&gt;"",CONCATENATE(",",VLOOKUP(AH27,$B:$AI,34,FALSE)),""))</f>
        <v>2,2,2</v>
      </c>
      <c r="AP27">
        <v>40</v>
      </c>
      <c r="AS27">
        <f t="shared" si="0"/>
        <v>10</v>
      </c>
      <c r="AT27">
        <f t="shared" si="1"/>
        <v>0</v>
      </c>
      <c r="AU27">
        <f t="shared" si="2"/>
        <v>0</v>
      </c>
      <c r="AV27" s="4">
        <f t="shared" si="3"/>
        <v>0.85</v>
      </c>
      <c r="AW27">
        <f t="shared" si="4"/>
        <v>5</v>
      </c>
      <c r="AX27">
        <f>VLOOKUP($E27,Constants!$I:$K, 2, FALSE)</f>
        <v>1</v>
      </c>
      <c r="AY27">
        <f>VLOOKUP($E27,Constants!$I:$K, 3, FALSE)*IF(AND(D27="multiple_unit",Y27&lt;110),0.75,1)</f>
        <v>0.45</v>
      </c>
      <c r="AZ27">
        <f>INT(((Constants!$G$2+$AR27+$AS27+$AT27+$AU27+$AW27)*$AV27)*$AY27)</f>
        <v>11</v>
      </c>
      <c r="BA27">
        <f>INT(((Constants!$G$1+$AQ27+$AS27+$AT27+$AU27+$AW27)*(1/$AV27))*$AX27)</f>
        <v>58</v>
      </c>
      <c r="BE27" t="s">
        <v>1113</v>
      </c>
      <c r="BF27" t="s">
        <v>462</v>
      </c>
      <c r="BG27" t="str">
        <f>VLOOKUP(G27,Eras!$A$2:$C$10, 2, TRUE)</f>
        <v>big4</v>
      </c>
      <c r="BH27" t="s">
        <v>383</v>
      </c>
      <c r="BI27" t="str">
        <f>CONCATENATE(BG27,"_",BH27)</f>
        <v>big4_Flat Wagon</v>
      </c>
      <c r="BJ27" t="s">
        <v>839</v>
      </c>
    </row>
    <row r="28" spans="1:62" x14ac:dyDescent="0.25">
      <c r="A28" t="s">
        <v>804</v>
      </c>
      <c r="B28" t="s">
        <v>322</v>
      </c>
      <c r="D28" t="s">
        <v>323</v>
      </c>
      <c r="E28" t="s">
        <v>323</v>
      </c>
      <c r="F28" t="s">
        <v>316</v>
      </c>
      <c r="G28">
        <v>1928</v>
      </c>
      <c r="I28">
        <v>1975</v>
      </c>
      <c r="T28">
        <v>11</v>
      </c>
      <c r="V28">
        <v>6</v>
      </c>
      <c r="Y28">
        <v>50</v>
      </c>
      <c r="AA28">
        <v>8</v>
      </c>
      <c r="AB28">
        <v>8</v>
      </c>
      <c r="AE28" s="11">
        <v>27</v>
      </c>
      <c r="AF28" t="str">
        <f>CONCATENATE(VLOOKUP(AG28, 'Voxel Sizes'!$A$2:$B$18,2,FALSE),"x",INT(AC28*15), "x", INT(AD28*15))</f>
        <v>82x0x0</v>
      </c>
      <c r="AG28">
        <f>ROUND(15*((AB28*10)/256),0)</f>
        <v>5</v>
      </c>
      <c r="AI28" t="str">
        <f>CONCATENATE(VLOOKUP(AG28,Constants!$A$2:$C$16,IF(AH28&lt;&gt;"", 3, 2), FALSE),IF(AH28&lt;&gt;"",CONCATENATE(",",VLOOKUP(AH28,$B:$AI,34,FALSE)),""))</f>
        <v>2,1,2</v>
      </c>
      <c r="AP28">
        <v>40</v>
      </c>
      <c r="AS28">
        <f t="shared" si="0"/>
        <v>10</v>
      </c>
      <c r="AT28">
        <f t="shared" si="1"/>
        <v>0</v>
      </c>
      <c r="AU28">
        <f t="shared" si="2"/>
        <v>0</v>
      </c>
      <c r="AV28" s="4">
        <f t="shared" si="3"/>
        <v>0.85</v>
      </c>
      <c r="AW28">
        <f t="shared" si="4"/>
        <v>4.5</v>
      </c>
      <c r="AX28">
        <f>VLOOKUP($E28,Constants!$I:$K, 2, FALSE)</f>
        <v>1</v>
      </c>
      <c r="AY28">
        <f>VLOOKUP($E28,Constants!$I:$K, 3, FALSE)*IF(AND(D28="multiple_unit",Y28&lt;110),0.75,1)</f>
        <v>0.45</v>
      </c>
      <c r="AZ28">
        <f>INT(((Constants!$G$2+$AR28+$AS28+$AT28+$AU28+$AW28)*$AV28)*$AY28)</f>
        <v>11</v>
      </c>
      <c r="BA28">
        <f>INT(((Constants!$G$1+$AQ28+$AS28+$AT28+$AU28+$AW28)*(1/$AV28))*$AX28)</f>
        <v>58</v>
      </c>
      <c r="BE28" t="s">
        <v>385</v>
      </c>
      <c r="BF28" t="s">
        <v>326</v>
      </c>
      <c r="BG28" t="str">
        <f>VLOOKUP(G28,Eras!$A$2:$C$10, 2, TRUE)</f>
        <v>big4</v>
      </c>
      <c r="BH28" t="s">
        <v>385</v>
      </c>
      <c r="BI28" t="str">
        <f>CONCATENATE(BG28,"_",BH28)</f>
        <v>big4_Tanker</v>
      </c>
      <c r="BJ28" t="s">
        <v>805</v>
      </c>
    </row>
    <row r="29" spans="1:62" x14ac:dyDescent="0.25">
      <c r="A29" t="s">
        <v>875</v>
      </c>
      <c r="B29" t="s">
        <v>824</v>
      </c>
      <c r="D29" t="s">
        <v>323</v>
      </c>
      <c r="E29" t="s">
        <v>323</v>
      </c>
      <c r="F29" t="s">
        <v>316</v>
      </c>
      <c r="G29">
        <v>1930</v>
      </c>
      <c r="I29">
        <v>1975</v>
      </c>
      <c r="T29">
        <v>10</v>
      </c>
      <c r="V29">
        <v>5</v>
      </c>
      <c r="X29" s="4" t="str">
        <f>IF(AND(T29&gt;0,W29&gt;0),(W29/((T29+U29)*10)),"")</f>
        <v/>
      </c>
      <c r="Y29">
        <v>50</v>
      </c>
      <c r="AA29">
        <v>8.9</v>
      </c>
      <c r="AB29">
        <v>8.9</v>
      </c>
      <c r="AE29" s="11">
        <v>24</v>
      </c>
      <c r="AF29" t="str">
        <f>CONCATENATE(VLOOKUP(AG29, 'Voxel Sizes'!$A$2:$B$18,2,FALSE),"x",INT(AC29*15), "x", INT(AD29*15))</f>
        <v>82x0x0</v>
      </c>
      <c r="AG29">
        <f>ROUND(15*((AB29*10)/256),0)</f>
        <v>5</v>
      </c>
      <c r="AI29" t="str">
        <f>CONCATENATE(VLOOKUP(AG29,Constants!$A$2:$C$16,IF(AH29&lt;&gt;"", 3, 2), FALSE),IF(AH29&lt;&gt;"",CONCATENATE(",",VLOOKUP(AH29,$B:$AI,34,FALSE)),""))</f>
        <v>2,1,2</v>
      </c>
      <c r="AP29">
        <v>40</v>
      </c>
      <c r="AS29">
        <f t="shared" si="0"/>
        <v>10</v>
      </c>
      <c r="AT29">
        <f t="shared" si="1"/>
        <v>0</v>
      </c>
      <c r="AU29">
        <f t="shared" si="2"/>
        <v>0</v>
      </c>
      <c r="AV29" s="4">
        <f t="shared" si="3"/>
        <v>0.85</v>
      </c>
      <c r="AW29">
        <f t="shared" si="4"/>
        <v>4</v>
      </c>
      <c r="AX29">
        <f>VLOOKUP($E29,Constants!$I:$K, 2, FALSE)</f>
        <v>1</v>
      </c>
      <c r="AY29">
        <f>VLOOKUP($E29,Constants!$I:$K, 3, FALSE)*IF(AND(D29="multiple_unit",Y29&lt;110),0.75,1)</f>
        <v>0.45</v>
      </c>
      <c r="AZ29">
        <f>INT(((Constants!$G$2+$AR29+$AS29+$AT29+$AU29+$AW29)*$AV29)*$AY29)</f>
        <v>11</v>
      </c>
      <c r="BA29">
        <f>INT(((Constants!$G$1+$AQ29+$AS29+$AT29+$AU29+$AW29)*(1/$AV29))*$AX29)</f>
        <v>57</v>
      </c>
      <c r="BE29" t="s">
        <v>975</v>
      </c>
      <c r="BF29" t="s">
        <v>822</v>
      </c>
      <c r="BG29" t="str">
        <f>VLOOKUP(G29,Eras!$A$2:$C$10, 2, TRUE)</f>
        <v>big4</v>
      </c>
      <c r="BH29" t="s">
        <v>384</v>
      </c>
      <c r="BI29" t="str">
        <f>CONCATENATE(BG29,"_",BH29)</f>
        <v>big4_Van</v>
      </c>
      <c r="BJ29" t="s">
        <v>826</v>
      </c>
    </row>
    <row r="30" spans="1:62" x14ac:dyDescent="0.25">
      <c r="A30" t="s">
        <v>843</v>
      </c>
      <c r="B30" t="s">
        <v>844</v>
      </c>
      <c r="D30" t="s">
        <v>323</v>
      </c>
      <c r="E30" t="s">
        <v>323</v>
      </c>
      <c r="F30" t="s">
        <v>316</v>
      </c>
      <c r="G30">
        <v>1949</v>
      </c>
      <c r="I30">
        <v>2010</v>
      </c>
      <c r="T30">
        <v>16</v>
      </c>
      <c r="V30">
        <v>7</v>
      </c>
      <c r="X30" s="4" t="str">
        <f>IF(AND(T30&gt;0,W30&gt;0),(W30/((T30+U30)*10)),"")</f>
        <v/>
      </c>
      <c r="Y30">
        <v>60</v>
      </c>
      <c r="AA30">
        <v>15.8</v>
      </c>
      <c r="AB30">
        <v>19.8</v>
      </c>
      <c r="AE30" s="11">
        <f>19*3</f>
        <v>57</v>
      </c>
      <c r="AF30" t="str">
        <f>CONCATENATE(VLOOKUP(AG30, 'Voxel Sizes'!$A$2:$B$18,2,FALSE),"x",INT(AC30*15), "x", INT(AD30*15))</f>
        <v>198x0x0</v>
      </c>
      <c r="AG30">
        <f>ROUND(15*((AB30*10)/256),0)</f>
        <v>12</v>
      </c>
      <c r="AI30" t="str">
        <f>CONCATENATE(VLOOKUP(AG30,Constants!$A$2:$C$16,IF(AH30&lt;&gt;"", 3, 2), FALSE),IF(AH30&lt;&gt;"",CONCATENATE(",",VLOOKUP(AH30,$B:$AI,34,FALSE)),""))</f>
        <v>4,4,4</v>
      </c>
      <c r="AP30">
        <v>40</v>
      </c>
      <c r="AS30">
        <f t="shared" si="0"/>
        <v>12</v>
      </c>
      <c r="AT30">
        <f t="shared" si="1"/>
        <v>0</v>
      </c>
      <c r="AU30">
        <f t="shared" si="2"/>
        <v>0</v>
      </c>
      <c r="AV30" s="4">
        <f t="shared" si="3"/>
        <v>0.85</v>
      </c>
      <c r="AW30">
        <f t="shared" si="4"/>
        <v>9.5</v>
      </c>
      <c r="AX30">
        <f>VLOOKUP($E30,Constants!$I:$K, 2, FALSE)</f>
        <v>1</v>
      </c>
      <c r="AY30">
        <f>VLOOKUP($E30,Constants!$I:$K, 3, FALSE)*IF(AND(D30="multiple_unit",Y30&lt;110),0.75,1)</f>
        <v>0.45</v>
      </c>
      <c r="AZ30">
        <f>INT(((Constants!$G$2+$AR30+$AS30+$AT30+$AU30+$AW30)*$AV30)*$AY30)</f>
        <v>13</v>
      </c>
      <c r="BA30">
        <f>INT(((Constants!$G$1+$AQ30+$AS30+$AT30+$AU30+$AW30)*(1/$AV30))*$AX30)</f>
        <v>66</v>
      </c>
      <c r="BE30" t="s">
        <v>1113</v>
      </c>
      <c r="BF30" t="s">
        <v>462</v>
      </c>
      <c r="BG30" t="str">
        <f>VLOOKUP(G30,Eras!$A$2:$C$10, 2, TRUE)</f>
        <v>ebr</v>
      </c>
      <c r="BH30" t="s">
        <v>383</v>
      </c>
      <c r="BI30" t="str">
        <f>CONCATENATE(BG30,"_",BH30)</f>
        <v>ebr_Flat Wagon</v>
      </c>
      <c r="BJ30" t="s">
        <v>845</v>
      </c>
    </row>
    <row r="31" spans="1:62" x14ac:dyDescent="0.25">
      <c r="A31" t="s">
        <v>141</v>
      </c>
      <c r="B31" t="s">
        <v>242</v>
      </c>
      <c r="D31" t="s">
        <v>323</v>
      </c>
      <c r="E31" t="s">
        <v>323</v>
      </c>
      <c r="F31" t="s">
        <v>316</v>
      </c>
      <c r="G31">
        <v>1935</v>
      </c>
      <c r="I31">
        <v>1970</v>
      </c>
      <c r="T31">
        <v>10</v>
      </c>
      <c r="V31">
        <v>7</v>
      </c>
      <c r="X31" s="4" t="str">
        <f>IF(AND(T31&gt;0,W31&gt;0),(W31/((T31+U31)*10)),"")</f>
        <v/>
      </c>
      <c r="Y31">
        <v>50</v>
      </c>
      <c r="AA31">
        <v>8</v>
      </c>
      <c r="AB31">
        <v>8</v>
      </c>
      <c r="AE31" s="11">
        <v>27</v>
      </c>
      <c r="AF31" t="str">
        <f>CONCATENATE(VLOOKUP(AG31, 'Voxel Sizes'!$A$2:$B$18,2,FALSE),"x",INT(AC31*15), "x", INT(AD31*15))</f>
        <v>82x0x0</v>
      </c>
      <c r="AG31">
        <f>ROUND(15*((AB31*10)/256),0)</f>
        <v>5</v>
      </c>
      <c r="AI31" t="str">
        <f>CONCATENATE(VLOOKUP(AG31,Constants!$A$2:$C$16,IF(AH31&lt;&gt;"", 3, 2), FALSE),IF(AH31&lt;&gt;"",CONCATENATE(",",VLOOKUP(AH31,$B:$AI,34,FALSE)),""))</f>
        <v>2,1,2</v>
      </c>
      <c r="AP31">
        <v>40</v>
      </c>
      <c r="AS31">
        <f t="shared" si="0"/>
        <v>10</v>
      </c>
      <c r="AT31">
        <f t="shared" si="1"/>
        <v>0</v>
      </c>
      <c r="AU31">
        <f t="shared" si="2"/>
        <v>0</v>
      </c>
      <c r="AV31" s="4">
        <f t="shared" si="3"/>
        <v>0.85</v>
      </c>
      <c r="AW31">
        <f t="shared" si="4"/>
        <v>4.5</v>
      </c>
      <c r="AX31">
        <f>VLOOKUP($E31,Constants!$I:$K, 2, FALSE)</f>
        <v>1</v>
      </c>
      <c r="AY31">
        <f>VLOOKUP($E31,Constants!$I:$K, 3, FALSE)*IF(AND(D31="multiple_unit",Y31&lt;110),0.75,1)</f>
        <v>0.45</v>
      </c>
      <c r="AZ31">
        <f>INT(((Constants!$G$2+$AR31+$AS31+$AT31+$AU31+$AW31)*$AV31)*$AY31)</f>
        <v>11</v>
      </c>
      <c r="BA31">
        <f>INT(((Constants!$G$1+$AQ31+$AS31+$AT31+$AU31+$AW31)*(1/$AV31))*$AX31)</f>
        <v>58</v>
      </c>
      <c r="BE31" t="s">
        <v>1111</v>
      </c>
      <c r="BF31" t="s">
        <v>783</v>
      </c>
      <c r="BG31" t="str">
        <f>VLOOKUP(G31,Eras!$A$2:$C$10, 2, TRUE)</f>
        <v>big4</v>
      </c>
      <c r="BH31" t="s">
        <v>382</v>
      </c>
      <c r="BI31" t="str">
        <f>CONCATENATE(BG31,"_",BH31)</f>
        <v>big4_Open Wagon</v>
      </c>
      <c r="BJ31" t="s">
        <v>784</v>
      </c>
    </row>
    <row r="32" spans="1:62" x14ac:dyDescent="0.25">
      <c r="A32" t="s">
        <v>833</v>
      </c>
      <c r="B32" t="s">
        <v>834</v>
      </c>
      <c r="D32" t="s">
        <v>323</v>
      </c>
      <c r="E32" t="s">
        <v>323</v>
      </c>
      <c r="F32" t="s">
        <v>316</v>
      </c>
      <c r="G32">
        <v>1964</v>
      </c>
      <c r="I32">
        <v>1995</v>
      </c>
      <c r="T32">
        <v>17</v>
      </c>
      <c r="V32">
        <v>18</v>
      </c>
      <c r="X32" s="4" t="str">
        <f>IF(AND(T32&gt;0,W32&gt;0),(W32/((T32+U32)*10)),"")</f>
        <v/>
      </c>
      <c r="Y32">
        <v>70</v>
      </c>
      <c r="AA32">
        <v>19.3</v>
      </c>
      <c r="AB32">
        <v>19.3</v>
      </c>
      <c r="AE32" s="11">
        <v>60</v>
      </c>
      <c r="AF32" t="str">
        <f>CONCATENATE(VLOOKUP(AG32, 'Voxel Sizes'!$A$2:$B$18,2,FALSE),"x",INT(AC32*15), "x", INT(AD32*15))</f>
        <v>186x0x0</v>
      </c>
      <c r="AG32">
        <f>ROUND(15*((AB32*10)/256),0)</f>
        <v>11</v>
      </c>
      <c r="AI32" t="str">
        <f>CONCATENATE(VLOOKUP(AG32,Constants!$A$2:$C$16,IF(AH32&lt;&gt;"", 3, 2), FALSE),IF(AH32&lt;&gt;"",CONCATENATE(",",VLOOKUP(AH32,$B:$AI,34,FALSE)),""))</f>
        <v>4,3,4</v>
      </c>
      <c r="AP32">
        <v>40</v>
      </c>
      <c r="AS32">
        <f t="shared" si="0"/>
        <v>14</v>
      </c>
      <c r="AT32">
        <f t="shared" si="1"/>
        <v>0</v>
      </c>
      <c r="AU32">
        <f t="shared" si="2"/>
        <v>0</v>
      </c>
      <c r="AV32" s="4">
        <f t="shared" si="3"/>
        <v>0.85</v>
      </c>
      <c r="AW32">
        <f t="shared" si="4"/>
        <v>10</v>
      </c>
      <c r="AX32">
        <f>VLOOKUP($E32,Constants!$I:$K, 2, FALSE)</f>
        <v>1</v>
      </c>
      <c r="AY32">
        <f>VLOOKUP($E32,Constants!$I:$K, 3, FALSE)*IF(AND(D32="multiple_unit",Y32&lt;110),0.75,1)</f>
        <v>0.45</v>
      </c>
      <c r="AZ32">
        <f>INT(((Constants!$G$2+$AR32+$AS32+$AT32+$AU32+$AW32)*$AV32)*$AY32)</f>
        <v>14</v>
      </c>
      <c r="BA32">
        <f>INT(((Constants!$G$1+$AQ32+$AS32+$AT32+$AU32+$AW32)*(1/$AV32))*$AX32)</f>
        <v>69</v>
      </c>
      <c r="BE32" t="s">
        <v>1114</v>
      </c>
      <c r="BF32" t="s">
        <v>328</v>
      </c>
      <c r="BG32" t="str">
        <f>VLOOKUP(G32,Eras!$A$2:$C$10, 2, TRUE)</f>
        <v>dsl</v>
      </c>
      <c r="BH32" t="s">
        <v>762</v>
      </c>
      <c r="BI32" t="str">
        <f>CONCATENATE(BG32,"_",BH32)</f>
        <v>dsl_Extra</v>
      </c>
      <c r="BJ32" t="s">
        <v>867</v>
      </c>
    </row>
    <row r="33" spans="1:62" x14ac:dyDescent="0.25">
      <c r="A33" t="s">
        <v>803</v>
      </c>
      <c r="B33" t="s">
        <v>782</v>
      </c>
      <c r="D33" t="s">
        <v>323</v>
      </c>
      <c r="E33" t="s">
        <v>323</v>
      </c>
      <c r="F33" t="s">
        <v>316</v>
      </c>
      <c r="G33">
        <v>1970</v>
      </c>
      <c r="T33">
        <v>24</v>
      </c>
      <c r="V33">
        <v>8</v>
      </c>
      <c r="X33" s="4" t="str">
        <f>IF(AND(T33&gt;0,W33&gt;0),(W33/((T33+U33)*10)),"")</f>
        <v/>
      </c>
      <c r="Y33">
        <v>70</v>
      </c>
      <c r="AA33">
        <v>17.7</v>
      </c>
      <c r="AB33">
        <v>17.7</v>
      </c>
      <c r="AE33" s="11">
        <v>78</v>
      </c>
      <c r="AF33" t="str">
        <f>CONCATENATE(VLOOKUP(AG33, 'Voxel Sizes'!$A$2:$B$18,2,FALSE),"x",INT(AC33*15), "x", INT(AD33*15))</f>
        <v>164x0x0</v>
      </c>
      <c r="AG33">
        <f>ROUND(15*((AB33*10)/256),0)</f>
        <v>10</v>
      </c>
      <c r="AI33" t="str">
        <f>CONCATENATE(VLOOKUP(AG33,Constants!$A$2:$C$16,IF(AH33&lt;&gt;"", 3, 2), FALSE),IF(AH33&lt;&gt;"",CONCATENATE(",",VLOOKUP(AH33,$B:$AI,34,FALSE)),""))</f>
        <v>4,2,4</v>
      </c>
      <c r="AP33">
        <v>40</v>
      </c>
      <c r="AS33">
        <f t="shared" si="0"/>
        <v>14</v>
      </c>
      <c r="AT33">
        <f t="shared" si="1"/>
        <v>0</v>
      </c>
      <c r="AU33">
        <f t="shared" si="2"/>
        <v>0</v>
      </c>
      <c r="AV33" s="4">
        <f t="shared" si="3"/>
        <v>0.85</v>
      </c>
      <c r="AW33">
        <f t="shared" si="4"/>
        <v>13</v>
      </c>
      <c r="AX33">
        <f>VLOOKUP($E33,Constants!$I:$K, 2, FALSE)</f>
        <v>1</v>
      </c>
      <c r="AY33">
        <f>VLOOKUP($E33,Constants!$I:$K, 3, FALSE)*IF(AND(D33="multiple_unit",Y33&lt;110),0.75,1)</f>
        <v>0.45</v>
      </c>
      <c r="AZ33">
        <f>INT(((Constants!$G$2+$AR33+$AS33+$AT33+$AU33+$AW33)*$AV33)*$AY33)</f>
        <v>16</v>
      </c>
      <c r="BA33">
        <f>INT(((Constants!$G$1+$AQ33+$AS33+$AT33+$AU33+$AW33)*(1/$AV33))*$AX33)</f>
        <v>72</v>
      </c>
      <c r="BE33" t="s">
        <v>385</v>
      </c>
      <c r="BF33" t="s">
        <v>326</v>
      </c>
      <c r="BG33" t="str">
        <f>VLOOKUP(G33,Eras!$A$2:$C$10, 2, TRUE)</f>
        <v>lbr</v>
      </c>
      <c r="BH33" t="s">
        <v>385</v>
      </c>
      <c r="BI33" t="str">
        <f>CONCATENATE(BG33,"_",BH33)</f>
        <v>lbr_Tanker</v>
      </c>
      <c r="BJ33" t="s">
        <v>780</v>
      </c>
    </row>
    <row r="34" spans="1:62" x14ac:dyDescent="0.25">
      <c r="A34" t="s">
        <v>788</v>
      </c>
      <c r="B34" t="s">
        <v>789</v>
      </c>
      <c r="D34" t="s">
        <v>323</v>
      </c>
      <c r="E34" t="s">
        <v>323</v>
      </c>
      <c r="F34" t="s">
        <v>316</v>
      </c>
      <c r="G34">
        <v>1951</v>
      </c>
      <c r="I34">
        <v>1985</v>
      </c>
      <c r="T34">
        <v>10</v>
      </c>
      <c r="V34">
        <v>7</v>
      </c>
      <c r="X34" s="4" t="str">
        <f>IF(AND(T34&gt;0,W34&gt;0),(W34/((T34+U34)*10)),"")</f>
        <v/>
      </c>
      <c r="Y34">
        <v>60</v>
      </c>
      <c r="AA34">
        <v>8</v>
      </c>
      <c r="AB34">
        <v>8</v>
      </c>
      <c r="AE34" s="11">
        <v>27</v>
      </c>
      <c r="AF34" t="str">
        <f>CONCATENATE(VLOOKUP(AG34, 'Voxel Sizes'!$A$2:$B$18,2,FALSE),"x",INT(AC34*15), "x", INT(AD34*15))</f>
        <v>82x0x0</v>
      </c>
      <c r="AG34">
        <f>ROUND(15*((AB34*10)/256),0)</f>
        <v>5</v>
      </c>
      <c r="AI34" t="str">
        <f>CONCATENATE(VLOOKUP(AG34,Constants!$A$2:$C$16,IF(AH34&lt;&gt;"", 3, 2), FALSE),IF(AH34&lt;&gt;"",CONCATENATE(",",VLOOKUP(AH34,$B:$AI,34,FALSE)),""))</f>
        <v>2,1,2</v>
      </c>
      <c r="AP34">
        <v>40</v>
      </c>
      <c r="AS34">
        <f t="shared" si="0"/>
        <v>12</v>
      </c>
      <c r="AT34">
        <f t="shared" si="1"/>
        <v>0</v>
      </c>
      <c r="AU34">
        <f t="shared" si="2"/>
        <v>0</v>
      </c>
      <c r="AV34" s="4">
        <f t="shared" si="3"/>
        <v>0.85</v>
      </c>
      <c r="AW34">
        <f t="shared" si="4"/>
        <v>4.5</v>
      </c>
      <c r="AX34">
        <f>VLOOKUP($E34,Constants!$I:$K, 2, FALSE)</f>
        <v>1</v>
      </c>
      <c r="AY34">
        <f>VLOOKUP($E34,Constants!$I:$K, 3, FALSE)*IF(AND(D34="multiple_unit",Y34&lt;110),0.75,1)</f>
        <v>0.45</v>
      </c>
      <c r="AZ34">
        <f>INT(((Constants!$G$2+$AR34+$AS34+$AT34+$AU34+$AW34)*$AV34)*$AY34)</f>
        <v>12</v>
      </c>
      <c r="BA34">
        <f>INT(((Constants!$G$1+$AQ34+$AS34+$AT34+$AU34+$AW34)*(1/$AV34))*$AX34)</f>
        <v>60</v>
      </c>
      <c r="BE34" t="s">
        <v>1111</v>
      </c>
      <c r="BF34" t="s">
        <v>783</v>
      </c>
      <c r="BG34" t="str">
        <f>VLOOKUP(G34,Eras!$A$2:$C$10, 2, TRUE)</f>
        <v>ebr</v>
      </c>
      <c r="BH34" t="s">
        <v>382</v>
      </c>
      <c r="BI34" t="str">
        <f>CONCATENATE(BG34,"_",BH34)</f>
        <v>ebr_Open Wagon</v>
      </c>
      <c r="BJ34" t="s">
        <v>790</v>
      </c>
    </row>
    <row r="35" spans="1:62" x14ac:dyDescent="0.25">
      <c r="A35" t="s">
        <v>835</v>
      </c>
      <c r="B35" t="s">
        <v>836</v>
      </c>
      <c r="D35" t="s">
        <v>323</v>
      </c>
      <c r="E35" t="s">
        <v>323</v>
      </c>
      <c r="F35" t="s">
        <v>316</v>
      </c>
      <c r="G35">
        <v>1991</v>
      </c>
      <c r="T35">
        <v>17</v>
      </c>
      <c r="V35">
        <v>18</v>
      </c>
      <c r="X35" s="4" t="str">
        <f>IF(AND(T35&gt;0,W35&gt;0),(W35/((T35+U35)*10)),"")</f>
        <v/>
      </c>
      <c r="Y35">
        <v>90</v>
      </c>
      <c r="AA35">
        <v>19.3</v>
      </c>
      <c r="AB35">
        <v>19.3</v>
      </c>
      <c r="AE35" s="11">
        <v>60</v>
      </c>
      <c r="AF35" t="str">
        <f>CONCATENATE(VLOOKUP(AG35, 'Voxel Sizes'!$A$2:$B$18,2,FALSE),"x",INT(AC35*15), "x", INT(AD35*15))</f>
        <v>186x0x0</v>
      </c>
      <c r="AG35">
        <f>ROUND(15*((AB35*10)/256),0)</f>
        <v>11</v>
      </c>
      <c r="AI35" t="str">
        <f>CONCATENATE(VLOOKUP(AG35,Constants!$A$2:$C$16,IF(AH35&lt;&gt;"", 3, 2), FALSE),IF(AH35&lt;&gt;"",CONCATENATE(",",VLOOKUP(AH35,$B:$AI,34,FALSE)),""))</f>
        <v>4,3,4</v>
      </c>
      <c r="AP35">
        <v>40</v>
      </c>
      <c r="AS35">
        <f t="shared" si="0"/>
        <v>18</v>
      </c>
      <c r="AT35">
        <f t="shared" si="1"/>
        <v>0</v>
      </c>
      <c r="AU35">
        <f t="shared" si="2"/>
        <v>0</v>
      </c>
      <c r="AV35" s="4">
        <f t="shared" si="3"/>
        <v>0.85</v>
      </c>
      <c r="AW35">
        <f t="shared" si="4"/>
        <v>10</v>
      </c>
      <c r="AX35">
        <f>VLOOKUP($E35,Constants!$I:$K, 2, FALSE)</f>
        <v>1</v>
      </c>
      <c r="AY35">
        <f>VLOOKUP($E35,Constants!$I:$K, 3, FALSE)*IF(AND(D35="multiple_unit",Y35&lt;110),0.75,1)</f>
        <v>0.45</v>
      </c>
      <c r="AZ35">
        <f>INT(((Constants!$G$2+$AR35+$AS35+$AT35+$AU35+$AW35)*$AV35)*$AY35)</f>
        <v>16</v>
      </c>
      <c r="BA35">
        <f>INT(((Constants!$G$1+$AQ35+$AS35+$AT35+$AU35+$AW35)*(1/$AV35))*$AX35)</f>
        <v>74</v>
      </c>
      <c r="BE35" t="s">
        <v>1114</v>
      </c>
      <c r="BF35" t="s">
        <v>328</v>
      </c>
      <c r="BG35" t="str">
        <f>VLOOKUP(G35,Eras!$A$2:$C$10, 2, TRUE)</f>
        <v>lbr</v>
      </c>
      <c r="BH35" t="s">
        <v>762</v>
      </c>
      <c r="BI35" t="str">
        <f>CONCATENATE(BG35,"_",BH35)</f>
        <v>lbr_Extra</v>
      </c>
      <c r="BJ35" t="s">
        <v>868</v>
      </c>
    </row>
    <row r="36" spans="1:62" x14ac:dyDescent="0.25">
      <c r="A36" t="s">
        <v>872</v>
      </c>
      <c r="B36" t="s">
        <v>816</v>
      </c>
      <c r="D36" t="s">
        <v>323</v>
      </c>
      <c r="E36" t="s">
        <v>323</v>
      </c>
      <c r="F36" t="s">
        <v>316</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CONCATENATE(VLOOKUP(AG36,Constants!$A$2:$C$16,IF(AH36&lt;&gt;"", 3, 2), FALSE),IF(AH36&lt;&gt;"",CONCATENATE(",",VLOOKUP(AH36,$B:$AI,34,FALSE)),""))</f>
        <v>2,4,2</v>
      </c>
      <c r="AP36">
        <v>40</v>
      </c>
      <c r="AS36">
        <f t="shared" si="0"/>
        <v>17</v>
      </c>
      <c r="AT36">
        <f t="shared" si="1"/>
        <v>0</v>
      </c>
      <c r="AU36">
        <f t="shared" si="2"/>
        <v>0</v>
      </c>
      <c r="AV36" s="4">
        <f t="shared" si="3"/>
        <v>0.85</v>
      </c>
      <c r="AW36">
        <f t="shared" si="4"/>
        <v>7.5</v>
      </c>
      <c r="AX36">
        <f>VLOOKUP($E36,Constants!$I:$K, 2, FALSE)</f>
        <v>1</v>
      </c>
      <c r="AY36">
        <f>VLOOKUP($E36,Constants!$I:$K, 3, FALSE)*IF(AND(D36="multiple_unit",Y36&lt;110),0.75,1)</f>
        <v>0.45</v>
      </c>
      <c r="AZ36">
        <f>INT(((Constants!$G$2+$AR36+$AS36+$AT36+$AU36+$AW36)*$AV36)*$AY36)</f>
        <v>15</v>
      </c>
      <c r="BA36">
        <f>INT(((Constants!$G$1+$AQ36+$AS36+$AT36+$AU36+$AW36)*(1/$AV36))*$AX36)</f>
        <v>70</v>
      </c>
      <c r="BE36" t="s">
        <v>384</v>
      </c>
      <c r="BF36" t="s">
        <v>328</v>
      </c>
      <c r="BG36" t="str">
        <f>VLOOKUP(G36,Eras!$A$2:$C$10, 2, TRUE)</f>
        <v>lbr</v>
      </c>
      <c r="BH36" t="s">
        <v>384</v>
      </c>
      <c r="BI36" t="str">
        <f>CONCATENATE(BG36,"_",BH36)</f>
        <v>lbr_Van</v>
      </c>
      <c r="BJ36" t="s">
        <v>817</v>
      </c>
    </row>
    <row r="37" spans="1:62" x14ac:dyDescent="0.25">
      <c r="A37" t="s">
        <v>871</v>
      </c>
      <c r="B37" t="s">
        <v>247</v>
      </c>
      <c r="D37" t="s">
        <v>323</v>
      </c>
      <c r="E37" t="s">
        <v>323</v>
      </c>
      <c r="F37" t="s">
        <v>316</v>
      </c>
      <c r="G37">
        <v>1969</v>
      </c>
      <c r="I37">
        <v>2010</v>
      </c>
      <c r="T37">
        <v>16</v>
      </c>
      <c r="V37">
        <v>9</v>
      </c>
      <c r="X37" s="4" t="str">
        <f>IF(AND(T37&gt;0,W37&gt;0),(W37/((T37+U37)*10)),"")</f>
        <v/>
      </c>
      <c r="Y37">
        <v>75</v>
      </c>
      <c r="AA37">
        <v>11.2</v>
      </c>
      <c r="AB37">
        <v>11.2</v>
      </c>
      <c r="AE37" s="11">
        <v>39</v>
      </c>
      <c r="AF37" t="str">
        <f>CONCATENATE(VLOOKUP(AG37, 'Voxel Sizes'!$A$2:$B$18,2,FALSE),"x",INT(AC37*15), "x", INT(AD37*15))</f>
        <v>120x0x0</v>
      </c>
      <c r="AG37">
        <f>ROUND(15*((AB37*10)/256),0)</f>
        <v>7</v>
      </c>
      <c r="AI37" t="str">
        <f>CONCATENATE(VLOOKUP(AG37,Constants!$A$2:$C$16,IF(AH37&lt;&gt;"", 3, 2), FALSE),IF(AH37&lt;&gt;"",CONCATENATE(",",VLOOKUP(AH37,$B:$AI,34,FALSE)),""))</f>
        <v>2,3,2</v>
      </c>
      <c r="AP37">
        <v>40</v>
      </c>
      <c r="AS37">
        <f t="shared" si="0"/>
        <v>15</v>
      </c>
      <c r="AT37">
        <f t="shared" si="1"/>
        <v>0</v>
      </c>
      <c r="AU37">
        <f t="shared" si="2"/>
        <v>0</v>
      </c>
      <c r="AV37" s="4">
        <f t="shared" si="3"/>
        <v>0.85</v>
      </c>
      <c r="AW37">
        <f t="shared" si="4"/>
        <v>6.5</v>
      </c>
      <c r="AX37">
        <f>VLOOKUP($E37,Constants!$I:$K, 2, FALSE)</f>
        <v>1</v>
      </c>
      <c r="AY37">
        <f>VLOOKUP($E37,Constants!$I:$K, 3, FALSE)*IF(AND(D37="multiple_unit",Y37&lt;110),0.75,1)</f>
        <v>0.45</v>
      </c>
      <c r="AZ37">
        <f>INT(((Constants!$G$2+$AR37+$AS37+$AT37+$AU37+$AW37)*$AV37)*$AY37)</f>
        <v>13</v>
      </c>
      <c r="BA37">
        <f>INT(((Constants!$G$1+$AQ37+$AS37+$AT37+$AU37+$AW37)*(1/$AV37))*$AX37)</f>
        <v>66</v>
      </c>
      <c r="BE37" t="s">
        <v>384</v>
      </c>
      <c r="BF37" t="s">
        <v>328</v>
      </c>
      <c r="BG37" t="str">
        <f>VLOOKUP(G37,Eras!$A$2:$C$10, 2, TRUE)</f>
        <v>dsl</v>
      </c>
      <c r="BH37" t="s">
        <v>384</v>
      </c>
      <c r="BI37" t="str">
        <f>CONCATENATE(BG37,"_",BH37)</f>
        <v>dsl_Van</v>
      </c>
      <c r="BJ37" t="s">
        <v>815</v>
      </c>
    </row>
    <row r="38" spans="1:62" x14ac:dyDescent="0.25">
      <c r="A38" t="s">
        <v>876</v>
      </c>
      <c r="B38" t="s">
        <v>827</v>
      </c>
      <c r="D38" t="s">
        <v>323</v>
      </c>
      <c r="E38" t="s">
        <v>323</v>
      </c>
      <c r="F38" t="s">
        <v>316</v>
      </c>
      <c r="G38">
        <v>1960</v>
      </c>
      <c r="I38">
        <v>1990</v>
      </c>
      <c r="T38">
        <v>14</v>
      </c>
      <c r="V38">
        <v>5</v>
      </c>
      <c r="X38" s="4" t="str">
        <f>IF(AND(T38&gt;0,W38&gt;0),(W38/((T38+U38)*10)),"")</f>
        <v/>
      </c>
      <c r="Y38">
        <v>65</v>
      </c>
      <c r="AA38">
        <v>10.6</v>
      </c>
      <c r="AB38">
        <v>10.6</v>
      </c>
      <c r="AE38" s="11">
        <v>39</v>
      </c>
      <c r="AF38" t="str">
        <f>CONCATENATE(VLOOKUP(AG38, 'Voxel Sizes'!$A$2:$B$18,2,FALSE),"x",INT(AC38*15), "x", INT(AD38*15))</f>
        <v>102x0x0</v>
      </c>
      <c r="AG38">
        <f>ROUND(15*((AB38*10)/256),0)</f>
        <v>6</v>
      </c>
      <c r="AI38" t="str">
        <f>CONCATENATE(VLOOKUP(AG38,Constants!$A$2:$C$16,IF(AH38&lt;&gt;"", 3, 2), FALSE),IF(AH38&lt;&gt;"",CONCATENATE(",",VLOOKUP(AH38,$B:$AI,34,FALSE)),""))</f>
        <v>2,2,2</v>
      </c>
      <c r="AP38">
        <v>40</v>
      </c>
      <c r="AS38">
        <f t="shared" si="0"/>
        <v>13</v>
      </c>
      <c r="AT38">
        <f t="shared" si="1"/>
        <v>0</v>
      </c>
      <c r="AU38">
        <f t="shared" si="2"/>
        <v>0</v>
      </c>
      <c r="AV38" s="4">
        <f t="shared" si="3"/>
        <v>0.85</v>
      </c>
      <c r="AW38">
        <f t="shared" si="4"/>
        <v>6.5</v>
      </c>
      <c r="AX38">
        <f>VLOOKUP($E38,Constants!$I:$K, 2, FALSE)</f>
        <v>1</v>
      </c>
      <c r="AY38">
        <f>VLOOKUP($E38,Constants!$I:$K, 3, FALSE)*IF(AND(D38="multiple_unit",Y38&lt;110),0.75,1)</f>
        <v>0.45</v>
      </c>
      <c r="AZ38">
        <f>INT(((Constants!$G$2+$AR38+$AS38+$AT38+$AU38+$AW38)*$AV38)*$AY38)</f>
        <v>13</v>
      </c>
      <c r="BA38">
        <f>INT(((Constants!$G$1+$AQ38+$AS38+$AT38+$AU38+$AW38)*(1/$AV38))*$AX38)</f>
        <v>64</v>
      </c>
      <c r="BE38" t="s">
        <v>975</v>
      </c>
      <c r="BF38" t="s">
        <v>822</v>
      </c>
      <c r="BG38" t="str">
        <f>VLOOKUP(G38,Eras!$A$2:$C$10, 2, TRUE)</f>
        <v>dsl</v>
      </c>
      <c r="BH38" t="s">
        <v>384</v>
      </c>
      <c r="BI38" t="str">
        <f>CONCATENATE(BG38,"_",BH38)</f>
        <v>dsl_Van</v>
      </c>
      <c r="BJ38" t="s">
        <v>830</v>
      </c>
    </row>
    <row r="39" spans="1:62" x14ac:dyDescent="0.25">
      <c r="A39" t="s">
        <v>852</v>
      </c>
      <c r="B39" t="s">
        <v>853</v>
      </c>
      <c r="D39" t="s">
        <v>323</v>
      </c>
      <c r="E39" t="s">
        <v>323</v>
      </c>
      <c r="F39" t="s">
        <v>316</v>
      </c>
      <c r="G39">
        <v>1972</v>
      </c>
      <c r="T39">
        <v>17</v>
      </c>
      <c r="V39">
        <v>8</v>
      </c>
      <c r="X39" s="4" t="str">
        <f>IF(AND(T39&gt;0,W39&gt;0),(W39/((T39+U39)*10)),"")</f>
        <v/>
      </c>
      <c r="Y39">
        <v>70</v>
      </c>
      <c r="AA39">
        <v>13.3</v>
      </c>
      <c r="AB39">
        <v>13.3</v>
      </c>
      <c r="AE39" s="11">
        <v>42</v>
      </c>
      <c r="AF39" t="str">
        <f>CONCATENATE(VLOOKUP(AG39, 'Voxel Sizes'!$A$2:$B$18,2,FALSE),"x",INT(AC39*15), "x", INT(AD39*15))</f>
        <v>136x0x0</v>
      </c>
      <c r="AG39">
        <f>ROUND(15*((AB39*10)/256),0)</f>
        <v>8</v>
      </c>
      <c r="AI39" t="str">
        <f>CONCATENATE(VLOOKUP(AG39,Constants!$A$2:$C$16,IF(AH39&lt;&gt;"", 3, 2), FALSE),IF(AH39&lt;&gt;"",CONCATENATE(",",VLOOKUP(AH39,$B:$AI,34,FALSE)),""))</f>
        <v>2,4,2</v>
      </c>
      <c r="AP39">
        <v>40</v>
      </c>
      <c r="AS39">
        <f t="shared" si="0"/>
        <v>14</v>
      </c>
      <c r="AT39">
        <f t="shared" si="1"/>
        <v>0</v>
      </c>
      <c r="AU39">
        <f t="shared" si="2"/>
        <v>0</v>
      </c>
      <c r="AV39" s="4">
        <f t="shared" si="3"/>
        <v>0.85</v>
      </c>
      <c r="AW39">
        <f t="shared" si="4"/>
        <v>7.0000000000000009</v>
      </c>
      <c r="AX39">
        <f>VLOOKUP($E39,Constants!$I:$K, 2, FALSE)</f>
        <v>1</v>
      </c>
      <c r="AY39">
        <f>VLOOKUP($E39,Constants!$I:$K, 3, FALSE)*IF(AND(D39="multiple_unit",Y39&lt;110),0.75,1)</f>
        <v>0.45</v>
      </c>
      <c r="AZ39">
        <f>INT(((Constants!$G$2+$AR39+$AS39+$AT39+$AU39+$AW39)*$AV39)*$AY39)</f>
        <v>13</v>
      </c>
      <c r="BA39">
        <f>INT(((Constants!$G$1+$AQ39+$AS39+$AT39+$AU39+$AW39)*(1/$AV39))*$AX39)</f>
        <v>65</v>
      </c>
      <c r="BE39" t="s">
        <v>959</v>
      </c>
      <c r="BF39" t="s">
        <v>862</v>
      </c>
      <c r="BG39" t="str">
        <f>VLOOKUP(G39,Eras!$A$2:$C$10, 2, TRUE)</f>
        <v>lbr</v>
      </c>
      <c r="BH39" t="s">
        <v>383</v>
      </c>
      <c r="BI39" t="str">
        <f>CONCATENATE(BG39,"_",BH39)</f>
        <v>lbr_Flat Wagon</v>
      </c>
      <c r="BJ39" t="s">
        <v>863</v>
      </c>
    </row>
    <row r="40" spans="1:62" x14ac:dyDescent="0.25">
      <c r="A40" t="s">
        <v>786</v>
      </c>
      <c r="B40" t="s">
        <v>787</v>
      </c>
      <c r="D40" t="s">
        <v>323</v>
      </c>
      <c r="E40" t="s">
        <v>323</v>
      </c>
      <c r="F40" t="s">
        <v>316</v>
      </c>
      <c r="G40">
        <v>1971</v>
      </c>
      <c r="I40">
        <v>2018</v>
      </c>
      <c r="T40">
        <v>14</v>
      </c>
      <c r="V40">
        <v>7</v>
      </c>
      <c r="X40" s="4" t="str">
        <f>IF(AND(T40&gt;0,W40&gt;0),(W40/((T40+U40)*10)),"")</f>
        <v/>
      </c>
      <c r="Y40">
        <v>70</v>
      </c>
      <c r="AA40">
        <v>10</v>
      </c>
      <c r="AB40">
        <v>10</v>
      </c>
      <c r="AE40" s="11">
        <v>33</v>
      </c>
      <c r="AF40" t="str">
        <f>CONCATENATE(VLOOKUP(AG40, 'Voxel Sizes'!$A$2:$B$18,2,FALSE),"x",INT(AC40*15), "x", INT(AD40*15))</f>
        <v>102x0x0</v>
      </c>
      <c r="AG40">
        <f>ROUND(15*((AB40*10)/256),0)</f>
        <v>6</v>
      </c>
      <c r="AI40" t="str">
        <f>CONCATENATE(VLOOKUP(AG40,Constants!$A$2:$C$16,IF(AH40&lt;&gt;"", 3, 2), FALSE),IF(AH40&lt;&gt;"",CONCATENATE(",",VLOOKUP(AH40,$B:$AI,34,FALSE)),""))</f>
        <v>2,2,2</v>
      </c>
      <c r="AP40">
        <v>40</v>
      </c>
      <c r="AS40">
        <f t="shared" si="0"/>
        <v>14</v>
      </c>
      <c r="AT40">
        <f t="shared" si="1"/>
        <v>0</v>
      </c>
      <c r="AU40">
        <f t="shared" si="2"/>
        <v>0</v>
      </c>
      <c r="AV40" s="4">
        <f t="shared" si="3"/>
        <v>0.85</v>
      </c>
      <c r="AW40">
        <f t="shared" si="4"/>
        <v>5.5</v>
      </c>
      <c r="AX40">
        <f>VLOOKUP($E40,Constants!$I:$K, 2, FALSE)</f>
        <v>1</v>
      </c>
      <c r="AY40">
        <f>VLOOKUP($E40,Constants!$I:$K, 3, FALSE)*IF(AND(D40="multiple_unit",Y40&lt;110),0.75,1)</f>
        <v>0.45</v>
      </c>
      <c r="AZ40">
        <f>INT(((Constants!$G$2+$AR40+$AS40+$AT40+$AU40+$AW40)*$AV40)*$AY40)</f>
        <v>13</v>
      </c>
      <c r="BA40">
        <f>INT(((Constants!$G$1+$AQ40+$AS40+$AT40+$AU40+$AW40)*(1/$AV40))*$AX40)</f>
        <v>64</v>
      </c>
      <c r="BE40" t="s">
        <v>1111</v>
      </c>
      <c r="BF40" t="s">
        <v>783</v>
      </c>
      <c r="BG40" t="str">
        <f>VLOOKUP(G40,Eras!$A$2:$C$10, 2, TRUE)</f>
        <v>lbr</v>
      </c>
      <c r="BH40" t="s">
        <v>382</v>
      </c>
      <c r="BI40" t="str">
        <f>CONCATENATE(BG40,"_",BH40)</f>
        <v>lbr_Open Wagon</v>
      </c>
      <c r="BJ40" t="s">
        <v>791</v>
      </c>
    </row>
    <row r="41" spans="1:62" x14ac:dyDescent="0.25">
      <c r="A41" t="s">
        <v>802</v>
      </c>
      <c r="B41" t="s">
        <v>781</v>
      </c>
      <c r="D41" t="s">
        <v>323</v>
      </c>
      <c r="E41" t="s">
        <v>323</v>
      </c>
      <c r="F41" t="s">
        <v>316</v>
      </c>
      <c r="G41">
        <v>1966</v>
      </c>
      <c r="T41">
        <v>12</v>
      </c>
      <c r="V41">
        <v>7</v>
      </c>
      <c r="X41" s="4" t="str">
        <f>IF(AND(T41&gt;0,W41&gt;0),(W41/((T41+U41)*10)),"")</f>
        <v/>
      </c>
      <c r="Y41">
        <v>65</v>
      </c>
      <c r="AA41">
        <v>9.8000000000000007</v>
      </c>
      <c r="AB41">
        <v>9.8000000000000007</v>
      </c>
      <c r="AE41" s="11">
        <v>33</v>
      </c>
      <c r="AF41" t="str">
        <f>CONCATENATE(VLOOKUP(AG41, 'Voxel Sizes'!$A$2:$B$18,2,FALSE),"x",INT(AC41*15), "x", INT(AD41*15))</f>
        <v>102x0x0</v>
      </c>
      <c r="AG41">
        <f>ROUND(15*((AB41*10)/256),0)</f>
        <v>6</v>
      </c>
      <c r="AI41" t="str">
        <f>CONCATENATE(VLOOKUP(AG41,Constants!$A$2:$C$16,IF(AH41&lt;&gt;"", 3, 2), FALSE),IF(AH41&lt;&gt;"",CONCATENATE(",",VLOOKUP(AH41,$B:$AI,34,FALSE)),""))</f>
        <v>2,2,2</v>
      </c>
      <c r="AP41">
        <v>40</v>
      </c>
      <c r="AS41">
        <f t="shared" si="0"/>
        <v>13</v>
      </c>
      <c r="AT41">
        <f t="shared" si="1"/>
        <v>0</v>
      </c>
      <c r="AU41">
        <f t="shared" si="2"/>
        <v>0</v>
      </c>
      <c r="AV41" s="4">
        <f t="shared" si="3"/>
        <v>0.85</v>
      </c>
      <c r="AW41">
        <f t="shared" si="4"/>
        <v>5.5</v>
      </c>
      <c r="AX41">
        <f>VLOOKUP($E41,Constants!$I:$K, 2, FALSE)</f>
        <v>1</v>
      </c>
      <c r="AY41">
        <f>VLOOKUP($E41,Constants!$I:$K, 3, FALSE)*IF(AND(D41="multiple_unit",Y41&lt;110),0.75,1)</f>
        <v>0.45</v>
      </c>
      <c r="AZ41">
        <f>INT(((Constants!$G$2+$AR41+$AS41+$AT41+$AU41+$AW41)*$AV41)*$AY41)</f>
        <v>12</v>
      </c>
      <c r="BA41">
        <f>INT(((Constants!$G$1+$AQ41+$AS41+$AT41+$AU41+$AW41)*(1/$AV41))*$AX41)</f>
        <v>62</v>
      </c>
      <c r="BE41" t="s">
        <v>385</v>
      </c>
      <c r="BF41" t="s">
        <v>326</v>
      </c>
      <c r="BG41" t="str">
        <f>VLOOKUP(G41,Eras!$A$2:$C$10, 2, TRUE)</f>
        <v>dsl</v>
      </c>
      <c r="BH41" t="s">
        <v>385</v>
      </c>
      <c r="BI41" t="str">
        <f>CONCATENATE(BG41,"_",BH41)</f>
        <v>dsl_Tanker</v>
      </c>
      <c r="BJ41" t="s">
        <v>779</v>
      </c>
    </row>
    <row r="42" spans="1:62" x14ac:dyDescent="0.25">
      <c r="A42" t="s">
        <v>809</v>
      </c>
      <c r="B42" t="s">
        <v>810</v>
      </c>
      <c r="D42" t="s">
        <v>323</v>
      </c>
      <c r="E42" t="s">
        <v>323</v>
      </c>
      <c r="F42" t="s">
        <v>316</v>
      </c>
      <c r="G42">
        <v>1962</v>
      </c>
      <c r="I42">
        <v>1985</v>
      </c>
      <c r="T42">
        <v>8</v>
      </c>
      <c r="V42">
        <v>7</v>
      </c>
      <c r="X42" s="4" t="str">
        <f>IF(AND(T42&gt;0,W42&gt;0),(W42/((T42+U42)*10)),"")</f>
        <v/>
      </c>
      <c r="Y42">
        <v>65</v>
      </c>
      <c r="AA42">
        <v>8</v>
      </c>
      <c r="AB42">
        <v>8</v>
      </c>
      <c r="AE42" s="11">
        <v>27</v>
      </c>
      <c r="AF42" t="str">
        <f>CONCATENATE(VLOOKUP(AG42, 'Voxel Sizes'!$A$2:$B$18,2,FALSE),"x",INT(AC42*15), "x", INT(AD42*15))</f>
        <v>82x0x0</v>
      </c>
      <c r="AG42">
        <f>ROUND(15*((AB42*10)/256),0)</f>
        <v>5</v>
      </c>
      <c r="AI42" t="str">
        <f>CONCATENATE(VLOOKUP(AG42,Constants!$A$2:$C$16,IF(AH42&lt;&gt;"", 3, 2), FALSE),IF(AH42&lt;&gt;"",CONCATENATE(",",VLOOKUP(AH42,$B:$AI,34,FALSE)),""))</f>
        <v>2,1,2</v>
      </c>
      <c r="AP42">
        <v>40</v>
      </c>
      <c r="AS42">
        <f t="shared" si="0"/>
        <v>13</v>
      </c>
      <c r="AT42">
        <f t="shared" si="1"/>
        <v>0</v>
      </c>
      <c r="AU42">
        <f t="shared" si="2"/>
        <v>0</v>
      </c>
      <c r="AV42" s="4">
        <f t="shared" si="3"/>
        <v>0.85</v>
      </c>
      <c r="AW42">
        <f t="shared" si="4"/>
        <v>4.5</v>
      </c>
      <c r="AX42">
        <f>VLOOKUP($E42,Constants!$I:$K, 2, FALSE)</f>
        <v>1</v>
      </c>
      <c r="AY42">
        <f>VLOOKUP($E42,Constants!$I:$K, 3, FALSE)*IF(AND(D42="multiple_unit",Y42&lt;110),0.75,1)</f>
        <v>0.45</v>
      </c>
      <c r="AZ42">
        <f>INT(((Constants!$G$2+$AR42+$AS42+$AT42+$AU42+$AW42)*$AV42)*$AY42)</f>
        <v>12</v>
      </c>
      <c r="BA42">
        <f>INT(((Constants!$G$1+$AQ42+$AS42+$AT42+$AU42+$AW42)*(1/$AV42))*$AX42)</f>
        <v>61</v>
      </c>
      <c r="BE42" t="s">
        <v>384</v>
      </c>
      <c r="BF42" t="s">
        <v>328</v>
      </c>
      <c r="BG42" t="str">
        <f>VLOOKUP(G42,Eras!$A$2:$C$10, 2, TRUE)</f>
        <v>dsl</v>
      </c>
      <c r="BH42" t="s">
        <v>384</v>
      </c>
      <c r="BI42" t="str">
        <f>CONCATENATE(BG42,"_",BH42)</f>
        <v>dsl_Van</v>
      </c>
      <c r="BJ42" t="s">
        <v>811</v>
      </c>
    </row>
    <row r="43" spans="1:62" x14ac:dyDescent="0.25">
      <c r="A43" t="s">
        <v>854</v>
      </c>
      <c r="B43" t="s">
        <v>855</v>
      </c>
      <c r="D43" t="s">
        <v>323</v>
      </c>
      <c r="E43" t="s">
        <v>323</v>
      </c>
      <c r="F43" t="s">
        <v>316</v>
      </c>
      <c r="G43">
        <v>1998</v>
      </c>
      <c r="T43">
        <v>24</v>
      </c>
      <c r="X43" s="4" t="str">
        <f>IF(AND(T43&gt;0,W43&gt;0),(W43/((T43+U43)*10)),"")</f>
        <v/>
      </c>
      <c r="Y43">
        <v>85</v>
      </c>
      <c r="AA43">
        <v>18.600000000000001</v>
      </c>
      <c r="AB43">
        <v>18.600000000000001</v>
      </c>
      <c r="AE43" s="11">
        <v>78</v>
      </c>
      <c r="AF43" t="str">
        <f>CONCATENATE(VLOOKUP(AG43, 'Voxel Sizes'!$A$2:$B$18,2,FALSE),"x",INT(AC43*15), "x", INT(AD43*15))</f>
        <v>186x0x0</v>
      </c>
      <c r="AG43">
        <f>ROUND(15*((AB43*10)/256),0)</f>
        <v>11</v>
      </c>
      <c r="AI43" t="str">
        <f>CONCATENATE(VLOOKUP(AG43,Constants!$A$2:$C$16,IF(AH43&lt;&gt;"", 3, 2), FALSE),IF(AH43&lt;&gt;"",CONCATENATE(",",VLOOKUP(AH43,$B:$AI,34,FALSE)),""))</f>
        <v>4,3,4</v>
      </c>
      <c r="AP43">
        <v>40</v>
      </c>
      <c r="AS43">
        <f t="shared" si="0"/>
        <v>17</v>
      </c>
      <c r="AT43">
        <f t="shared" si="1"/>
        <v>0</v>
      </c>
      <c r="AU43">
        <f t="shared" si="2"/>
        <v>0</v>
      </c>
      <c r="AV43" s="4">
        <f t="shared" si="3"/>
        <v>0.85</v>
      </c>
      <c r="AW43">
        <f t="shared" si="4"/>
        <v>13</v>
      </c>
      <c r="AX43">
        <f>VLOOKUP($E43,Constants!$I:$K, 2, FALSE)</f>
        <v>1</v>
      </c>
      <c r="AY43">
        <f>VLOOKUP($E43,Constants!$I:$K, 3, FALSE)*IF(AND(D43="multiple_unit",Y43&lt;110),0.75,1)</f>
        <v>0.45</v>
      </c>
      <c r="AZ43">
        <f>INT(((Constants!$G$2+$AR43+$AS43+$AT43+$AU43+$AW43)*$AV43)*$AY43)</f>
        <v>17</v>
      </c>
      <c r="BA43">
        <f>INT(((Constants!$G$1+$AQ43+$AS43+$AT43+$AU43+$AW43)*(1/$AV43))*$AX43)</f>
        <v>76</v>
      </c>
      <c r="BE43" t="s">
        <v>959</v>
      </c>
      <c r="BF43" t="s">
        <v>862</v>
      </c>
      <c r="BG43" t="str">
        <f>VLOOKUP(G43,Eras!$A$2:$C$10, 2, TRUE)</f>
        <v>prv</v>
      </c>
      <c r="BH43" t="s">
        <v>383</v>
      </c>
      <c r="BI43" t="str">
        <f>CONCATENATE(BG43,"_",BH43)</f>
        <v>prv_Flat Wagon</v>
      </c>
      <c r="BJ43" t="s">
        <v>861</v>
      </c>
    </row>
    <row r="44" spans="1:62" x14ac:dyDescent="0.25">
      <c r="A44" t="s">
        <v>869</v>
      </c>
      <c r="B44" t="s">
        <v>870</v>
      </c>
      <c r="D44" t="s">
        <v>323</v>
      </c>
      <c r="E44" t="s">
        <v>323</v>
      </c>
      <c r="F44" t="s">
        <v>316</v>
      </c>
      <c r="G44">
        <v>1997</v>
      </c>
      <c r="T44">
        <v>23</v>
      </c>
      <c r="V44">
        <v>18</v>
      </c>
      <c r="X44" s="4" t="str">
        <f>IF(AND(T44&gt;0,W44&gt;0),(W44/((T44+U44)*10)),"")</f>
        <v/>
      </c>
      <c r="Y44">
        <v>90</v>
      </c>
      <c r="AA44">
        <v>19.3</v>
      </c>
      <c r="AB44">
        <v>19.3</v>
      </c>
      <c r="AE44" s="11">
        <v>51</v>
      </c>
      <c r="AF44" t="str">
        <f>CONCATENATE(VLOOKUP(AG44, 'Voxel Sizes'!$A$2:$B$18,2,FALSE),"x",INT(AC44*15), "x", INT(AD44*15))</f>
        <v>186x0x0</v>
      </c>
      <c r="AG44">
        <f>ROUND(15*((AB44*10)/256),0)</f>
        <v>11</v>
      </c>
      <c r="AI44" t="str">
        <f>CONCATENATE(VLOOKUP(AG44,Constants!$A$2:$C$16,IF(AH44&lt;&gt;"", 3, 2), FALSE),IF(AH44&lt;&gt;"",CONCATENATE(",",VLOOKUP(AH44,$B:$AI,34,FALSE)),""))</f>
        <v>4,3,4</v>
      </c>
      <c r="AP44">
        <v>40</v>
      </c>
      <c r="AS44">
        <f t="shared" si="0"/>
        <v>18</v>
      </c>
      <c r="AT44">
        <f t="shared" si="1"/>
        <v>0</v>
      </c>
      <c r="AU44">
        <f t="shared" si="2"/>
        <v>0</v>
      </c>
      <c r="AV44" s="4">
        <f t="shared" si="3"/>
        <v>0.85</v>
      </c>
      <c r="AW44">
        <f t="shared" si="4"/>
        <v>8.5</v>
      </c>
      <c r="AX44">
        <f>VLOOKUP($E44,Constants!$I:$K, 2, FALSE)</f>
        <v>1</v>
      </c>
      <c r="AY44">
        <f>VLOOKUP($E44,Constants!$I:$K, 3, FALSE)*IF(AND(D44="multiple_unit",Y44&lt;110),0.75,1)</f>
        <v>0.45</v>
      </c>
      <c r="AZ44">
        <f>INT(((Constants!$G$2+$AR44+$AS44+$AT44+$AU44+$AW44)*$AV44)*$AY44)</f>
        <v>15</v>
      </c>
      <c r="BA44">
        <f>INT(((Constants!$G$1+$AQ44+$AS44+$AT44+$AU44+$AW44)*(1/$AV44))*$AX44)</f>
        <v>72</v>
      </c>
      <c r="BE44" t="s">
        <v>1114</v>
      </c>
      <c r="BF44" t="s">
        <v>328</v>
      </c>
      <c r="BG44" t="str">
        <f>VLOOKUP(G44,Eras!$A$2:$C$10, 2, TRUE)</f>
        <v>prv</v>
      </c>
      <c r="BH44" t="s">
        <v>762</v>
      </c>
      <c r="BI44" t="str">
        <f>CONCATENATE(BG44,"_",BH44)</f>
        <v>prv_Extra</v>
      </c>
      <c r="BJ44" t="s">
        <v>881</v>
      </c>
    </row>
    <row r="45" spans="1:62" x14ac:dyDescent="0.25">
      <c r="A45" t="s">
        <v>792</v>
      </c>
      <c r="B45" t="s">
        <v>794</v>
      </c>
      <c r="D45" t="s">
        <v>323</v>
      </c>
      <c r="E45" t="s">
        <v>323</v>
      </c>
      <c r="F45" t="s">
        <v>316</v>
      </c>
      <c r="G45">
        <v>1989</v>
      </c>
      <c r="T45">
        <v>12</v>
      </c>
      <c r="V45">
        <v>7</v>
      </c>
      <c r="X45" s="4" t="str">
        <f>IF(AND(T45&gt;0,W45&gt;0),(W45/((T45+U45)*10)),"")</f>
        <v/>
      </c>
      <c r="Y45">
        <v>80</v>
      </c>
      <c r="AA45">
        <v>10</v>
      </c>
      <c r="AB45">
        <v>10</v>
      </c>
      <c r="AE45" s="11">
        <v>45</v>
      </c>
      <c r="AF45" t="str">
        <f>CONCATENATE(VLOOKUP(AG45, 'Voxel Sizes'!$A$2:$B$18,2,FALSE),"x",INT(AC45*15), "x", INT(AD45*15))</f>
        <v>102x0x0</v>
      </c>
      <c r="AG45">
        <f>ROUND(15*((AB45*10)/256),0)</f>
        <v>6</v>
      </c>
      <c r="AI45" t="str">
        <f>CONCATENATE(VLOOKUP(AG45,Constants!$A$2:$C$16,IF(AH45&lt;&gt;"", 3, 2), FALSE),IF(AH45&lt;&gt;"",CONCATENATE(",",VLOOKUP(AH45,$B:$AI,34,FALSE)),""))</f>
        <v>2,2,2</v>
      </c>
      <c r="AP45">
        <v>40</v>
      </c>
      <c r="AS45">
        <f t="shared" si="0"/>
        <v>16</v>
      </c>
      <c r="AT45">
        <f t="shared" si="1"/>
        <v>0</v>
      </c>
      <c r="AU45">
        <f t="shared" si="2"/>
        <v>0</v>
      </c>
      <c r="AV45" s="4">
        <f t="shared" si="3"/>
        <v>0.85</v>
      </c>
      <c r="AW45">
        <f t="shared" si="4"/>
        <v>7.5</v>
      </c>
      <c r="AX45">
        <f>VLOOKUP($E45,Constants!$I:$K, 2, FALSE)</f>
        <v>1</v>
      </c>
      <c r="AY45">
        <f>VLOOKUP($E45,Constants!$I:$K, 3, FALSE)*IF(AND(D45="multiple_unit",Y45&lt;110),0.75,1)</f>
        <v>0.45</v>
      </c>
      <c r="AZ45">
        <f>INT(((Constants!$G$2+$AR45+$AS45+$AT45+$AU45+$AW45)*$AV45)*$AY45)</f>
        <v>14</v>
      </c>
      <c r="BA45">
        <f>INT(((Constants!$G$1+$AQ45+$AS45+$AT45+$AU45+$AW45)*(1/$AV45))*$AX45)</f>
        <v>68</v>
      </c>
      <c r="BE45" t="s">
        <v>1111</v>
      </c>
      <c r="BF45" t="s">
        <v>783</v>
      </c>
      <c r="BG45" t="str">
        <f>VLOOKUP(G45,Eras!$A$2:$C$10, 2, TRUE)</f>
        <v>lbr</v>
      </c>
      <c r="BH45" t="s">
        <v>382</v>
      </c>
      <c r="BI45" t="str">
        <f>CONCATENATE(BG45,"_",BH45)</f>
        <v>lbr_Open Wagon</v>
      </c>
      <c r="BJ45" t="s">
        <v>795</v>
      </c>
    </row>
    <row r="46" spans="1:62" x14ac:dyDescent="0.25">
      <c r="A46" t="s">
        <v>840</v>
      </c>
      <c r="B46" t="s">
        <v>841</v>
      </c>
      <c r="D46" t="s">
        <v>323</v>
      </c>
      <c r="E46" t="s">
        <v>323</v>
      </c>
      <c r="F46" t="s">
        <v>316</v>
      </c>
      <c r="G46">
        <v>1975</v>
      </c>
      <c r="T46">
        <v>16</v>
      </c>
      <c r="V46">
        <v>7</v>
      </c>
      <c r="X46" s="4" t="str">
        <f>IF(AND(T46&gt;0,W46&gt;0),(W46/((T46+U46)*10)),"")</f>
        <v/>
      </c>
      <c r="Y46">
        <v>70</v>
      </c>
      <c r="AA46">
        <v>15.8</v>
      </c>
      <c r="AB46">
        <v>15.8</v>
      </c>
      <c r="AE46" s="11">
        <v>45</v>
      </c>
      <c r="AF46" t="str">
        <f>CONCATENATE(VLOOKUP(AG46, 'Voxel Sizes'!$A$2:$B$18,2,FALSE),"x",INT(AC46*15), "x", INT(AD46*15))</f>
        <v>152x0x0</v>
      </c>
      <c r="AG46">
        <f>ROUND(15*((AB46*10)/256),0)</f>
        <v>9</v>
      </c>
      <c r="AI46" t="str">
        <f>CONCATENATE(VLOOKUP(AG46,Constants!$A$2:$C$16,IF(AH46&lt;&gt;"", 3, 2), FALSE),IF(AH46&lt;&gt;"",CONCATENATE(",",VLOOKUP(AH46,$B:$AI,34,FALSE)),""))</f>
        <v>2,5,2</v>
      </c>
      <c r="AP46">
        <v>40</v>
      </c>
      <c r="AS46">
        <f t="shared" si="0"/>
        <v>14</v>
      </c>
      <c r="AT46">
        <f t="shared" si="1"/>
        <v>0</v>
      </c>
      <c r="AU46">
        <f t="shared" si="2"/>
        <v>0</v>
      </c>
      <c r="AV46" s="4">
        <f t="shared" si="3"/>
        <v>0.85</v>
      </c>
      <c r="AW46">
        <f t="shared" si="4"/>
        <v>7.5</v>
      </c>
      <c r="AX46">
        <f>VLOOKUP($E46,Constants!$I:$K, 2, FALSE)</f>
        <v>1</v>
      </c>
      <c r="AY46">
        <f>VLOOKUP($E46,Constants!$I:$K, 3, FALSE)*IF(AND(D46="multiple_unit",Y46&lt;110),0.75,1)</f>
        <v>0.45</v>
      </c>
      <c r="AZ46">
        <f>INT(((Constants!$G$2+$AR46+$AS46+$AT46+$AU46+$AW46)*$AV46)*$AY46)</f>
        <v>13</v>
      </c>
      <c r="BA46">
        <f>INT(((Constants!$G$1+$AQ46+$AS46+$AT46+$AU46+$AW46)*(1/$AV46))*$AX46)</f>
        <v>66</v>
      </c>
      <c r="BE46" t="s">
        <v>1113</v>
      </c>
      <c r="BF46" t="s">
        <v>462</v>
      </c>
      <c r="BG46" t="str">
        <f>VLOOKUP(G46,Eras!$A$2:$C$10, 2, TRUE)</f>
        <v>lbr</v>
      </c>
      <c r="BH46" t="s">
        <v>383</v>
      </c>
      <c r="BI46" t="str">
        <f>CONCATENATE(BG46,"_",BH46)</f>
        <v>lbr_Flat Wagon</v>
      </c>
      <c r="BJ46" t="s">
        <v>842</v>
      </c>
    </row>
    <row r="47" spans="1:62" x14ac:dyDescent="0.25">
      <c r="A47" t="s">
        <v>812</v>
      </c>
      <c r="B47" t="s">
        <v>813</v>
      </c>
      <c r="D47" t="s">
        <v>323</v>
      </c>
      <c r="E47" t="s">
        <v>323</v>
      </c>
      <c r="F47" t="s">
        <v>316</v>
      </c>
      <c r="G47">
        <v>1978</v>
      </c>
      <c r="T47">
        <v>8</v>
      </c>
      <c r="V47">
        <v>7</v>
      </c>
      <c r="X47" s="4" t="str">
        <f>IF(AND(T47&gt;0,W47&gt;0),(W47/((T47+U47)*10)),"")</f>
        <v/>
      </c>
      <c r="Y47">
        <v>75</v>
      </c>
      <c r="AA47">
        <v>8</v>
      </c>
      <c r="AB47">
        <v>8</v>
      </c>
      <c r="AE47" s="11">
        <v>27</v>
      </c>
      <c r="AF47" t="str">
        <f>CONCATENATE(VLOOKUP(AG47, 'Voxel Sizes'!$A$2:$B$18,2,FALSE),"x",INT(AC47*15), "x", INT(AD47*15))</f>
        <v>82x0x0</v>
      </c>
      <c r="AG47">
        <f>ROUND(15*((AB47*10)/256),0)</f>
        <v>5</v>
      </c>
      <c r="AI47" t="str">
        <f>CONCATENATE(VLOOKUP(AG47,Constants!$A$2:$C$16,IF(AH47&lt;&gt;"", 3, 2), FALSE),IF(AH47&lt;&gt;"",CONCATENATE(",",VLOOKUP(AH47,$B:$AI,34,FALSE)),""))</f>
        <v>2,1,2</v>
      </c>
      <c r="AP47">
        <v>40</v>
      </c>
      <c r="AS47">
        <f t="shared" si="0"/>
        <v>15</v>
      </c>
      <c r="AT47">
        <f t="shared" si="1"/>
        <v>0</v>
      </c>
      <c r="AU47">
        <f t="shared" si="2"/>
        <v>0</v>
      </c>
      <c r="AV47" s="4">
        <f t="shared" si="3"/>
        <v>0.85</v>
      </c>
      <c r="AW47">
        <f t="shared" si="4"/>
        <v>4.5</v>
      </c>
      <c r="AX47">
        <f>VLOOKUP($E47,Constants!$I:$K, 2, FALSE)</f>
        <v>1</v>
      </c>
      <c r="AY47">
        <f>VLOOKUP($E47,Constants!$I:$K, 3, FALSE)*IF(AND(D47="multiple_unit",Y47&lt;110),0.75,1)</f>
        <v>0.45</v>
      </c>
      <c r="AZ47">
        <f>INT(((Constants!$G$2+$AR47+$AS47+$AT47+$AU47+$AW47)*$AV47)*$AY47)</f>
        <v>13</v>
      </c>
      <c r="BA47">
        <f>INT(((Constants!$G$1+$AQ47+$AS47+$AT47+$AU47+$AW47)*(1/$AV47))*$AX47)</f>
        <v>64</v>
      </c>
      <c r="BE47" t="s">
        <v>384</v>
      </c>
      <c r="BF47" t="s">
        <v>328</v>
      </c>
      <c r="BG47" t="str">
        <f>VLOOKUP(G47,Eras!$A$2:$C$10, 2, TRUE)</f>
        <v>lbr</v>
      </c>
      <c r="BH47" t="s">
        <v>384</v>
      </c>
      <c r="BI47" t="str">
        <f>CONCATENATE(BG47,"_",BH47)</f>
        <v>lbr_Van</v>
      </c>
      <c r="BJ47" t="s">
        <v>814</v>
      </c>
    </row>
    <row r="48" spans="1:62" x14ac:dyDescent="0.25">
      <c r="A48" t="s">
        <v>798</v>
      </c>
      <c r="B48" t="s">
        <v>800</v>
      </c>
      <c r="D48" t="s">
        <v>323</v>
      </c>
      <c r="E48" t="s">
        <v>323</v>
      </c>
      <c r="F48" t="s">
        <v>316</v>
      </c>
      <c r="G48">
        <v>1968</v>
      </c>
      <c r="I48">
        <v>2010</v>
      </c>
      <c r="T48">
        <v>17</v>
      </c>
      <c r="V48">
        <v>11</v>
      </c>
      <c r="X48" s="4" t="str">
        <f>IF(AND(T48&gt;0,W48&gt;0),(W48/((T48+U48)*10)),"")</f>
        <v/>
      </c>
      <c r="Y48">
        <v>60</v>
      </c>
      <c r="AA48">
        <v>10</v>
      </c>
      <c r="AB48">
        <v>10</v>
      </c>
      <c r="AE48" s="11">
        <v>45</v>
      </c>
      <c r="AF48" t="str">
        <f>CONCATENATE(VLOOKUP(AG48, 'Voxel Sizes'!$A$2:$B$18,2,FALSE),"x",INT(AC48*15), "x", INT(AD48*15))</f>
        <v>102x0x0</v>
      </c>
      <c r="AG48">
        <f>ROUND(15*((AB48*10)/256),0)</f>
        <v>6</v>
      </c>
      <c r="AI48" t="str">
        <f>CONCATENATE(VLOOKUP(AG48,Constants!$A$2:$C$16,IF(AH48&lt;&gt;"", 3, 2), FALSE),IF(AH48&lt;&gt;"",CONCATENATE(",",VLOOKUP(AH48,$B:$AI,34,FALSE)),""))</f>
        <v>2,2,2</v>
      </c>
      <c r="AP48">
        <v>40</v>
      </c>
      <c r="AS48">
        <f t="shared" si="0"/>
        <v>12</v>
      </c>
      <c r="AT48">
        <f t="shared" si="1"/>
        <v>0</v>
      </c>
      <c r="AU48">
        <f t="shared" si="2"/>
        <v>0</v>
      </c>
      <c r="AV48" s="4">
        <f t="shared" si="3"/>
        <v>0.85</v>
      </c>
      <c r="AW48">
        <f t="shared" si="4"/>
        <v>7.5</v>
      </c>
      <c r="AX48">
        <f>VLOOKUP($E48,Constants!$I:$K, 2, FALSE)</f>
        <v>1</v>
      </c>
      <c r="AY48">
        <f>VLOOKUP($E48,Constants!$I:$K, 3, FALSE)*IF(AND(D48="multiple_unit",Y48&lt;110),0.75,1)</f>
        <v>0.45</v>
      </c>
      <c r="AZ48">
        <f>INT(((Constants!$G$2+$AR48+$AS48+$AT48+$AU48+$AW48)*$AV48)*$AY48)</f>
        <v>13</v>
      </c>
      <c r="BA48">
        <f>INT(((Constants!$G$1+$AQ48+$AS48+$AT48+$AU48+$AW48)*(1/$AV48))*$AX48)</f>
        <v>64</v>
      </c>
      <c r="BE48" t="s">
        <v>1111</v>
      </c>
      <c r="BF48" t="s">
        <v>783</v>
      </c>
      <c r="BG48" t="str">
        <f>VLOOKUP(G48,Eras!$A$2:$C$10, 2, TRUE)</f>
        <v>dsl</v>
      </c>
      <c r="BH48" t="s">
        <v>382</v>
      </c>
      <c r="BI48" t="str">
        <f>CONCATENATE(BG48,"_",BH48)</f>
        <v>dsl_Open Wagon</v>
      </c>
      <c r="BJ48" t="s">
        <v>801</v>
      </c>
    </row>
    <row r="49" spans="1:62" x14ac:dyDescent="0.25">
      <c r="A49" t="s">
        <v>793</v>
      </c>
      <c r="B49" t="s">
        <v>243</v>
      </c>
      <c r="D49" t="s">
        <v>323</v>
      </c>
      <c r="E49" t="s">
        <v>323</v>
      </c>
      <c r="F49" t="s">
        <v>316</v>
      </c>
      <c r="G49">
        <v>2015</v>
      </c>
      <c r="T49">
        <v>24</v>
      </c>
      <c r="V49">
        <v>9</v>
      </c>
      <c r="X49" s="4" t="str">
        <f>IF(AND(T49&gt;0,W49&gt;0),(W49/((T49+U49)*10)),"")</f>
        <v/>
      </c>
      <c r="Y49">
        <v>80</v>
      </c>
      <c r="AA49">
        <v>17</v>
      </c>
      <c r="AB49">
        <v>17</v>
      </c>
      <c r="AE49" s="11">
        <v>78</v>
      </c>
      <c r="AF49" t="str">
        <f>CONCATENATE(VLOOKUP(AG49, 'Voxel Sizes'!$A$2:$B$18,2,FALSE),"x",INT(AC49*15), "x", INT(AD49*15))</f>
        <v>164x0x0</v>
      </c>
      <c r="AG49">
        <f>ROUND(15*((AB49*10)/256),0)</f>
        <v>10</v>
      </c>
      <c r="AI49" t="str">
        <f>CONCATENATE(VLOOKUP(AG49,Constants!$A$2:$C$16,IF(AH49&lt;&gt;"", 3, 2), FALSE),IF(AH49&lt;&gt;"",CONCATENATE(",",VLOOKUP(AH49,$B:$AI,34,FALSE)),""))</f>
        <v>4,2,4</v>
      </c>
      <c r="AP49">
        <v>40</v>
      </c>
      <c r="AS49">
        <f t="shared" si="0"/>
        <v>16</v>
      </c>
      <c r="AT49">
        <f t="shared" si="1"/>
        <v>0</v>
      </c>
      <c r="AU49">
        <f t="shared" si="2"/>
        <v>0</v>
      </c>
      <c r="AV49" s="4">
        <f t="shared" si="3"/>
        <v>0.85</v>
      </c>
      <c r="AW49">
        <f t="shared" si="4"/>
        <v>13</v>
      </c>
      <c r="AX49">
        <f>VLOOKUP($E49,Constants!$I:$K, 2, FALSE)</f>
        <v>1</v>
      </c>
      <c r="AY49">
        <f>VLOOKUP($E49,Constants!$I:$K, 3, FALSE)*IF(AND(D49="multiple_unit",Y49&lt;110),0.75,1)</f>
        <v>0.45</v>
      </c>
      <c r="AZ49">
        <f>INT(((Constants!$G$2+$AR49+$AS49+$AT49+$AU49+$AW49)*$AV49)*$AY49)</f>
        <v>16</v>
      </c>
      <c r="BA49">
        <f>INT(((Constants!$G$1+$AQ49+$AS49+$AT49+$AU49+$AW49)*(1/$AV49))*$AX49)</f>
        <v>75</v>
      </c>
      <c r="BE49" t="s">
        <v>1111</v>
      </c>
      <c r="BF49" t="s">
        <v>783</v>
      </c>
      <c r="BG49" t="str">
        <f>VLOOKUP(G49,Eras!$A$2:$C$10, 2, TRUE)</f>
        <v>mod</v>
      </c>
      <c r="BH49" t="s">
        <v>382</v>
      </c>
      <c r="BI49" t="str">
        <f>CONCATENATE(BG49,"_",BH49)</f>
        <v>mod_Open Wagon</v>
      </c>
      <c r="BJ49" t="s">
        <v>796</v>
      </c>
    </row>
    <row r="50" spans="1:62" x14ac:dyDescent="0.25">
      <c r="A50" t="s">
        <v>799</v>
      </c>
      <c r="B50" t="s">
        <v>244</v>
      </c>
      <c r="D50" t="s">
        <v>323</v>
      </c>
      <c r="E50" t="s">
        <v>323</v>
      </c>
      <c r="F50" t="s">
        <v>316</v>
      </c>
      <c r="G50">
        <v>2000</v>
      </c>
      <c r="T50">
        <v>24</v>
      </c>
      <c r="V50">
        <v>11</v>
      </c>
      <c r="X50" s="4" t="str">
        <f>IF(AND(T50&gt;0,W50&gt;0),(W50/((T50+U50)*10)),"")</f>
        <v/>
      </c>
      <c r="Y50">
        <v>80</v>
      </c>
      <c r="AA50">
        <v>19.7</v>
      </c>
      <c r="AB50">
        <v>19.399999999999999</v>
      </c>
      <c r="AE50" s="11">
        <v>78</v>
      </c>
      <c r="AF50" t="str">
        <f>CONCATENATE(VLOOKUP(AG50, 'Voxel Sizes'!$A$2:$B$18,2,FALSE),"x",INT(AC50*15), "x", INT(AD50*15))</f>
        <v>186x0x0</v>
      </c>
      <c r="AG50">
        <f>ROUND(15*((AB50*10)/256),0)</f>
        <v>11</v>
      </c>
      <c r="AI50" t="str">
        <f>CONCATENATE(VLOOKUP(AG50,Constants!$A$2:$C$16,IF(AH50&lt;&gt;"", 3, 2), FALSE),IF(AH50&lt;&gt;"",CONCATENATE(",",VLOOKUP(AH50,$B:$AI,34,FALSE)),""))</f>
        <v>4,3,4</v>
      </c>
      <c r="AP50">
        <v>40</v>
      </c>
      <c r="AS50">
        <f t="shared" si="0"/>
        <v>16</v>
      </c>
      <c r="AT50">
        <f t="shared" si="1"/>
        <v>0</v>
      </c>
      <c r="AU50">
        <f t="shared" si="2"/>
        <v>0</v>
      </c>
      <c r="AV50" s="4">
        <f t="shared" si="3"/>
        <v>0.85</v>
      </c>
      <c r="AW50">
        <f t="shared" si="4"/>
        <v>13</v>
      </c>
      <c r="AX50">
        <f>VLOOKUP($E50,Constants!$I:$K, 2, FALSE)</f>
        <v>1</v>
      </c>
      <c r="AY50">
        <f>VLOOKUP($E50,Constants!$I:$K, 3, FALSE)*IF(AND(D50="multiple_unit",Y50&lt;110),0.75,1)</f>
        <v>0.45</v>
      </c>
      <c r="AZ50">
        <f>INT(((Constants!$G$2+$AR50+$AS50+$AT50+$AU50+$AW50)*$AV50)*$AY50)</f>
        <v>16</v>
      </c>
      <c r="BA50">
        <f>INT(((Constants!$G$1+$AQ50+$AS50+$AT50+$AU50+$AW50)*(1/$AV50))*$AX50)</f>
        <v>75</v>
      </c>
      <c r="BE50" t="s">
        <v>1111</v>
      </c>
      <c r="BF50" t="s">
        <v>783</v>
      </c>
      <c r="BG50" t="str">
        <f>VLOOKUP(G50,Eras!$A$2:$C$10, 2, TRUE)</f>
        <v>prv</v>
      </c>
      <c r="BH50" t="s">
        <v>382</v>
      </c>
      <c r="BI50" t="str">
        <f>CONCATENATE(BG50,"_",BH50)</f>
        <v>prv_Open Wagon</v>
      </c>
      <c r="BJ50" t="s">
        <v>797</v>
      </c>
    </row>
    <row r="51" spans="1:62" x14ac:dyDescent="0.25">
      <c r="A51" t="s">
        <v>846</v>
      </c>
      <c r="B51" t="s">
        <v>847</v>
      </c>
      <c r="D51" t="s">
        <v>323</v>
      </c>
      <c r="E51" t="s">
        <v>323</v>
      </c>
      <c r="F51" t="s">
        <v>316</v>
      </c>
      <c r="G51">
        <v>2009</v>
      </c>
      <c r="T51">
        <v>16</v>
      </c>
      <c r="V51">
        <v>8</v>
      </c>
      <c r="X51" s="4" t="str">
        <f>IF(AND(T51&gt;0,W51&gt;0),(W51/((T51+U51)*10)),"")</f>
        <v/>
      </c>
      <c r="Y51">
        <v>85</v>
      </c>
      <c r="AA51">
        <v>15.8</v>
      </c>
      <c r="AB51">
        <v>19.8</v>
      </c>
      <c r="AE51" s="11">
        <v>60</v>
      </c>
      <c r="AF51" t="str">
        <f>CONCATENATE(VLOOKUP(AG51, 'Voxel Sizes'!$A$2:$B$18,2,FALSE),"x",INT(AC51*15), "x", INT(AD51*15))</f>
        <v>198x0x0</v>
      </c>
      <c r="AG51">
        <f>ROUND(15*((AB51*10)/256),0)</f>
        <v>12</v>
      </c>
      <c r="AI51" t="str">
        <f>CONCATENATE(VLOOKUP(AG51,Constants!$A$2:$C$16,IF(AH51&lt;&gt;"", 3, 2), FALSE),IF(AH51&lt;&gt;"",CONCATENATE(",",VLOOKUP(AH51,$B:$AI,34,FALSE)),""))</f>
        <v>4,4,4</v>
      </c>
      <c r="AP51">
        <v>40</v>
      </c>
      <c r="AS51">
        <f t="shared" si="0"/>
        <v>17</v>
      </c>
      <c r="AT51">
        <f t="shared" si="1"/>
        <v>0</v>
      </c>
      <c r="AU51">
        <f t="shared" si="2"/>
        <v>0</v>
      </c>
      <c r="AV51" s="4">
        <f t="shared" si="3"/>
        <v>0.85</v>
      </c>
      <c r="AW51">
        <f t="shared" si="4"/>
        <v>10</v>
      </c>
      <c r="AX51">
        <f>VLOOKUP($E51,Constants!$I:$K, 2, FALSE)</f>
        <v>1</v>
      </c>
      <c r="AY51">
        <f>VLOOKUP($E51,Constants!$I:$K, 3, FALSE)*IF(AND(D51="multiple_unit",Y51&lt;110),0.75,1)</f>
        <v>0.45</v>
      </c>
      <c r="AZ51">
        <f>INT(((Constants!$G$2+$AR51+$AS51+$AT51+$AU51+$AW51)*$AV51)*$AY51)</f>
        <v>16</v>
      </c>
      <c r="BA51">
        <f>INT(((Constants!$G$1+$AQ51+$AS51+$AT51+$AU51+$AW51)*(1/$AV51))*$AX51)</f>
        <v>72</v>
      </c>
      <c r="BE51" t="s">
        <v>1113</v>
      </c>
      <c r="BF51" t="s">
        <v>462</v>
      </c>
      <c r="BG51" t="str">
        <f>VLOOKUP(G51,Eras!$A$2:$C$10, 2, TRUE)</f>
        <v>mod</v>
      </c>
      <c r="BH51" t="s">
        <v>383</v>
      </c>
      <c r="BI51" t="str">
        <f>CONCATENATE(BG51,"_",BH51)</f>
        <v>mod_Flat Wagon</v>
      </c>
      <c r="BJ51" t="s">
        <v>848</v>
      </c>
    </row>
    <row r="52" spans="1:62" x14ac:dyDescent="0.25">
      <c r="A52" t="s">
        <v>877</v>
      </c>
      <c r="B52" t="s">
        <v>828</v>
      </c>
      <c r="D52" t="s">
        <v>323</v>
      </c>
      <c r="E52" t="s">
        <v>323</v>
      </c>
      <c r="F52" t="s">
        <v>316</v>
      </c>
      <c r="G52">
        <v>1990</v>
      </c>
      <c r="T52">
        <v>16</v>
      </c>
      <c r="V52">
        <v>5</v>
      </c>
      <c r="X52" s="4" t="str">
        <f>IF(AND(T52&gt;0,W52&gt;0),(W52/((T52+U52)*10)),"")</f>
        <v/>
      </c>
      <c r="Y52">
        <v>75</v>
      </c>
      <c r="AA52">
        <v>12.2</v>
      </c>
      <c r="AB52">
        <v>12.2</v>
      </c>
      <c r="AE52" s="11">
        <v>39</v>
      </c>
      <c r="AF52" t="str">
        <f>CONCATENATE(VLOOKUP(AG52, 'Voxel Sizes'!$A$2:$B$18,2,FALSE),"x",INT(AC52*15), "x", INT(AD52*15))</f>
        <v>120x0x0</v>
      </c>
      <c r="AG52">
        <f>ROUND(15*((AB52*10)/256),0)</f>
        <v>7</v>
      </c>
      <c r="AI52" t="str">
        <f>CONCATENATE(VLOOKUP(AG52,Constants!$A$2:$C$16,IF(AH52&lt;&gt;"", 3, 2), FALSE),IF(AH52&lt;&gt;"",CONCATENATE(",",VLOOKUP(AH52,$B:$AI,34,FALSE)),""))</f>
        <v>2,3,2</v>
      </c>
      <c r="AP52">
        <v>40</v>
      </c>
      <c r="AS52">
        <f t="shared" si="0"/>
        <v>15</v>
      </c>
      <c r="AT52">
        <f t="shared" si="1"/>
        <v>0</v>
      </c>
      <c r="AU52">
        <f t="shared" si="2"/>
        <v>0</v>
      </c>
      <c r="AV52" s="4">
        <f t="shared" si="3"/>
        <v>0.85</v>
      </c>
      <c r="AW52">
        <f t="shared" si="4"/>
        <v>6.5</v>
      </c>
      <c r="AX52">
        <f>VLOOKUP($E52,Constants!$I:$K, 2, FALSE)</f>
        <v>1</v>
      </c>
      <c r="AY52">
        <f>VLOOKUP($E52,Constants!$I:$K, 3, FALSE)*IF(AND(D52="multiple_unit",Y52&lt;110),0.75,1)</f>
        <v>0.45</v>
      </c>
      <c r="AZ52">
        <f>INT(((Constants!$G$2+$AR52+$AS52+$AT52+$AU52+$AW52)*$AV52)*$AY52)</f>
        <v>13</v>
      </c>
      <c r="BA52">
        <f>INT(((Constants!$G$1+$AQ52+$AS52+$AT52+$AU52+$AW52)*(1/$AV52))*$AX52)</f>
        <v>66</v>
      </c>
      <c r="BE52" t="s">
        <v>975</v>
      </c>
      <c r="BF52" t="s">
        <v>822</v>
      </c>
      <c r="BG52" t="str">
        <f>VLOOKUP(G52,Eras!$A$2:$C$10, 2, TRUE)</f>
        <v>lbr</v>
      </c>
      <c r="BH52" t="s">
        <v>384</v>
      </c>
      <c r="BI52" t="str">
        <f>CONCATENATE(BG52,"_",BH52)</f>
        <v>lbr_Van</v>
      </c>
      <c r="BJ52" t="s">
        <v>829</v>
      </c>
    </row>
    <row r="53" spans="1:62" x14ac:dyDescent="0.25">
      <c r="A53" t="s">
        <v>471</v>
      </c>
      <c r="B53" t="s">
        <v>472</v>
      </c>
      <c r="C53">
        <v>-1</v>
      </c>
      <c r="D53" t="s">
        <v>333</v>
      </c>
      <c r="E53" t="s">
        <v>333</v>
      </c>
      <c r="F53" t="s">
        <v>316</v>
      </c>
      <c r="G53">
        <v>1900</v>
      </c>
      <c r="T53">
        <v>42</v>
      </c>
      <c r="X53" s="4" t="str">
        <f>IF(AND(T53&gt;0,W53&gt;0),(W53/((T53+U53)*10)),"")</f>
        <v/>
      </c>
      <c r="AA53">
        <v>7.5</v>
      </c>
      <c r="AB53">
        <v>8</v>
      </c>
      <c r="AE53" s="11">
        <v>0</v>
      </c>
      <c r="AF53" t="str">
        <f>CONCATENATE(VLOOKUP(AG53, 'Voxel Sizes'!$A$2:$B$18,2,FALSE),"x",INT(AC53*15), "x", INT(AD53*15))</f>
        <v>82x0x0</v>
      </c>
      <c r="AG53">
        <f>ROUND(15*((AB53*10)/256),0)</f>
        <v>5</v>
      </c>
      <c r="AI53" t="str">
        <f>CONCATENATE(VLOOKUP(AG53,Constants!$A$2:$C$16,IF(AH53&lt;&gt;"", 3, 2), FALSE),IF(AH53&lt;&gt;"",CONCATENATE(",",VLOOKUP(AH53,$B:$AI,34,FALSE)),""))</f>
        <v>2,1,2</v>
      </c>
      <c r="AP53">
        <v>40</v>
      </c>
      <c r="AS53">
        <f t="shared" si="0"/>
        <v>0</v>
      </c>
      <c r="AT53">
        <f t="shared" si="1"/>
        <v>0</v>
      </c>
      <c r="AU53">
        <f t="shared" si="2"/>
        <v>0</v>
      </c>
      <c r="AV53" s="4">
        <f t="shared" si="3"/>
        <v>0.66666666666666663</v>
      </c>
      <c r="AW53">
        <f t="shared" si="4"/>
        <v>0</v>
      </c>
      <c r="AX53">
        <f>VLOOKUP($E53,Constants!$I:$K, 2, FALSE)</f>
        <v>0</v>
      </c>
      <c r="AY53">
        <f>VLOOKUP($E53,Constants!$I:$K, 3, FALSE)*IF(AND(D53="multiple_unit",Y53&lt;110),0.75,1)</f>
        <v>0</v>
      </c>
      <c r="AZ53">
        <f>INT(((Constants!$G$2+$AR53+$AS53+$AT53+$AU53+$AW53)*$AV53)*$AY53)</f>
        <v>0</v>
      </c>
      <c r="BA53">
        <f>INT(((Constants!$G$1+$AQ53+$AS53+$AT53+$AU53+$AW53)*(1/$AV53))*$AX53)</f>
        <v>0</v>
      </c>
      <c r="BG53" t="str">
        <f>VLOOKUP(G53,Eras!$A$2:$C$10, 2, TRUE)</f>
        <v>edw</v>
      </c>
      <c r="BI53" t="str">
        <f>CONCATENATE(BG53,"_",BH53)</f>
        <v>edw_</v>
      </c>
    </row>
    <row r="54" spans="1:62" x14ac:dyDescent="0.25">
      <c r="A54" t="s">
        <v>350</v>
      </c>
      <c r="B54" t="s">
        <v>351</v>
      </c>
      <c r="C54">
        <v>-1</v>
      </c>
      <c r="D54" t="s">
        <v>333</v>
      </c>
      <c r="E54" t="s">
        <v>333</v>
      </c>
      <c r="F54" t="s">
        <v>316</v>
      </c>
      <c r="G54">
        <v>1900</v>
      </c>
      <c r="T54">
        <v>42</v>
      </c>
      <c r="X54" s="4" t="str">
        <f>IF(AND(T54&gt;0,W54&gt;0),(W54/((T54+U54)*10)),"")</f>
        <v/>
      </c>
      <c r="AA54">
        <v>7.5</v>
      </c>
      <c r="AB54">
        <v>8</v>
      </c>
      <c r="AE54" s="11">
        <v>0</v>
      </c>
      <c r="AF54" t="str">
        <f>CONCATENATE(VLOOKUP(AG54, 'Voxel Sizes'!$A$2:$B$18,2,FALSE),"x",INT(AC54*15), "x", INT(AD54*15))</f>
        <v>82x0x0</v>
      </c>
      <c r="AG54">
        <f>ROUND(15*((AB54*10)/256),0)</f>
        <v>5</v>
      </c>
      <c r="AI54" t="str">
        <f>CONCATENATE(VLOOKUP(AG54,Constants!$A$2:$C$16,IF(AH54&lt;&gt;"", 3, 2), FALSE),IF(AH54&lt;&gt;"",CONCATENATE(",",VLOOKUP(AH54,$B:$AI,34,FALSE)),""))</f>
        <v>2,1,2</v>
      </c>
      <c r="AP54">
        <v>40</v>
      </c>
      <c r="AS54">
        <f t="shared" si="0"/>
        <v>0</v>
      </c>
      <c r="AT54">
        <f t="shared" si="1"/>
        <v>0</v>
      </c>
      <c r="AU54">
        <f t="shared" si="2"/>
        <v>0</v>
      </c>
      <c r="AV54" s="4">
        <f t="shared" si="3"/>
        <v>0.66666666666666663</v>
      </c>
      <c r="AW54">
        <f t="shared" si="4"/>
        <v>0</v>
      </c>
      <c r="AX54">
        <f>VLOOKUP($E54,Constants!$I:$K, 2, FALSE)</f>
        <v>0</v>
      </c>
      <c r="AY54">
        <f>VLOOKUP($E54,Constants!$I:$K, 3, FALSE)*IF(AND(D54="multiple_unit",Y54&lt;110),0.75,1)</f>
        <v>0</v>
      </c>
      <c r="AZ54">
        <f>INT(((Constants!$G$2+$AR54+$AS54+$AT54+$AU54+$AW54)*$AV54)*$AY54)</f>
        <v>0</v>
      </c>
      <c r="BA54">
        <f>INT(((Constants!$G$1+$AQ54+$AS54+$AT54+$AU54+$AW54)*(1/$AV54))*$AX54)</f>
        <v>0</v>
      </c>
      <c r="BG54" t="str">
        <f>VLOOKUP(G54,Eras!$A$2:$C$10, 2, TRUE)</f>
        <v>edw</v>
      </c>
      <c r="BI54" t="str">
        <f>CONCATENATE(BG54,"_",BH54)</f>
        <v>edw_</v>
      </c>
    </row>
    <row r="55" spans="1:62" x14ac:dyDescent="0.25">
      <c r="A55" t="s">
        <v>440</v>
      </c>
      <c r="B55" t="s">
        <v>441</v>
      </c>
      <c r="C55">
        <v>-1</v>
      </c>
      <c r="D55" t="s">
        <v>333</v>
      </c>
      <c r="E55" t="s">
        <v>333</v>
      </c>
      <c r="F55" t="s">
        <v>316</v>
      </c>
      <c r="G55">
        <v>1900</v>
      </c>
      <c r="T55">
        <v>42</v>
      </c>
      <c r="X55" s="4" t="str">
        <f>IF(AND(T55&gt;0,W55&gt;0),(W55/((T55+U55)*10)),"")</f>
        <v/>
      </c>
      <c r="AA55">
        <v>7.5</v>
      </c>
      <c r="AB55">
        <v>8</v>
      </c>
      <c r="AE55" s="11">
        <v>0</v>
      </c>
      <c r="AF55" t="str">
        <f>CONCATENATE(VLOOKUP(AG55, 'Voxel Sizes'!$A$2:$B$18,2,FALSE),"x",INT(AC55*15), "x", INT(AD55*15))</f>
        <v>82x0x0</v>
      </c>
      <c r="AG55">
        <f>ROUND(15*((AB55*10)/256),0)</f>
        <v>5</v>
      </c>
      <c r="AI55" t="str">
        <f>CONCATENATE(VLOOKUP(AG55,Constants!$A$2:$C$16,IF(AH55&lt;&gt;"", 3, 2), FALSE),IF(AH55&lt;&gt;"",CONCATENATE(",",VLOOKUP(AH55,$B:$AI,34,FALSE)),""))</f>
        <v>2,1,2</v>
      </c>
      <c r="AP55">
        <v>40</v>
      </c>
      <c r="AS55">
        <f t="shared" si="0"/>
        <v>0</v>
      </c>
      <c r="AT55">
        <f t="shared" si="1"/>
        <v>0</v>
      </c>
      <c r="AU55">
        <f t="shared" si="2"/>
        <v>0</v>
      </c>
      <c r="AV55" s="4">
        <f t="shared" si="3"/>
        <v>0.66666666666666663</v>
      </c>
      <c r="AW55">
        <f t="shared" si="4"/>
        <v>0</v>
      </c>
      <c r="AX55">
        <f>VLOOKUP($E55,Constants!$I:$K, 2, FALSE)</f>
        <v>0</v>
      </c>
      <c r="AY55">
        <f>VLOOKUP($E55,Constants!$I:$K, 3, FALSE)*IF(AND(D55="multiple_unit",Y55&lt;110),0.75,1)</f>
        <v>0</v>
      </c>
      <c r="AZ55">
        <f>INT(((Constants!$G$2+$AR55+$AS55+$AT55+$AU55+$AW55)*$AV55)*$AY55)</f>
        <v>0</v>
      </c>
      <c r="BA55">
        <f>INT(((Constants!$G$1+$AQ55+$AS55+$AT55+$AU55+$AW55)*(1/$AV55))*$AX55)</f>
        <v>0</v>
      </c>
      <c r="BG55" t="str">
        <f>VLOOKUP(G55,Eras!$A$2:$C$10, 2, TRUE)</f>
        <v>edw</v>
      </c>
      <c r="BI55" t="str">
        <f>CONCATENATE(BG55,"_",BH55)</f>
        <v>edw_</v>
      </c>
    </row>
    <row r="56" spans="1:62" x14ac:dyDescent="0.25">
      <c r="A56" t="s">
        <v>491</v>
      </c>
      <c r="B56" t="s">
        <v>492</v>
      </c>
      <c r="C56">
        <v>-1</v>
      </c>
      <c r="D56" t="s">
        <v>333</v>
      </c>
      <c r="E56" t="s">
        <v>333</v>
      </c>
      <c r="F56" t="s">
        <v>316</v>
      </c>
      <c r="G56">
        <v>1925</v>
      </c>
      <c r="T56">
        <v>52</v>
      </c>
      <c r="X56" s="4" t="str">
        <f>IF(AND(T56&gt;0,W56&gt;0),(W56/((T56+U56)*10)),"")</f>
        <v/>
      </c>
      <c r="AA56">
        <v>7.64</v>
      </c>
      <c r="AB56">
        <v>8</v>
      </c>
      <c r="AE56" s="11">
        <v>0</v>
      </c>
      <c r="AF56" t="str">
        <f>CONCATENATE(VLOOKUP(AG56, 'Voxel Sizes'!$A$2:$B$18,2,FALSE),"x",INT(AC56*15), "x", INT(AD56*15))</f>
        <v>82x0x0</v>
      </c>
      <c r="AG56">
        <f>ROUND(15*((AB56*10)/256),0)</f>
        <v>5</v>
      </c>
      <c r="AI56" t="str">
        <f>CONCATENATE(VLOOKUP(AG56,Constants!$A$2:$C$16,IF(AH56&lt;&gt;"", 3, 2), FALSE),IF(AH56&lt;&gt;"",CONCATENATE(",",VLOOKUP(AH56,$B:$AI,34,FALSE)),""))</f>
        <v>2,1,2</v>
      </c>
      <c r="AP56">
        <v>40</v>
      </c>
      <c r="AS56">
        <f t="shared" si="0"/>
        <v>0</v>
      </c>
      <c r="AT56">
        <f t="shared" si="1"/>
        <v>0</v>
      </c>
      <c r="AU56">
        <f t="shared" si="2"/>
        <v>0</v>
      </c>
      <c r="AV56" s="4">
        <f t="shared" si="3"/>
        <v>0.70833333333333337</v>
      </c>
      <c r="AW56">
        <f t="shared" si="4"/>
        <v>0</v>
      </c>
      <c r="AX56">
        <f>VLOOKUP($E56,Constants!$I:$K, 2, FALSE)</f>
        <v>0</v>
      </c>
      <c r="AY56">
        <f>VLOOKUP($E56,Constants!$I:$K, 3, FALSE)*IF(AND(D56="multiple_unit",Y56&lt;110),0.75,1)</f>
        <v>0</v>
      </c>
      <c r="AZ56">
        <f>INT(((Constants!$G$2+$AR56+$AS56+$AT56+$AU56+$AW56)*$AV56)*$AY56)</f>
        <v>0</v>
      </c>
      <c r="BA56">
        <f>INT(((Constants!$G$1+$AQ56+$AS56+$AT56+$AU56+$AW56)*(1/$AV56))*$AX56)</f>
        <v>0</v>
      </c>
      <c r="BG56" t="str">
        <f>VLOOKUP(G56,Eras!$A$2:$C$10, 2, TRUE)</f>
        <v>big4</v>
      </c>
      <c r="BI56" t="str">
        <f>CONCATENATE(BG56,"_",BH56)</f>
        <v>big4_</v>
      </c>
    </row>
    <row r="57" spans="1:62" x14ac:dyDescent="0.25">
      <c r="A57" t="s">
        <v>332</v>
      </c>
      <c r="B57" t="s">
        <v>331</v>
      </c>
      <c r="C57">
        <v>-1</v>
      </c>
      <c r="D57" t="s">
        <v>333</v>
      </c>
      <c r="E57" t="s">
        <v>333</v>
      </c>
      <c r="F57" t="s">
        <v>316</v>
      </c>
      <c r="G57">
        <v>1925</v>
      </c>
      <c r="T57">
        <v>52</v>
      </c>
      <c r="X57" s="4" t="str">
        <f>IF(AND(T57&gt;0,W57&gt;0),(W57/((T57+U57)*10)),"")</f>
        <v/>
      </c>
      <c r="AA57">
        <v>7.64</v>
      </c>
      <c r="AB57">
        <v>8</v>
      </c>
      <c r="AE57" s="11">
        <v>0</v>
      </c>
      <c r="AF57" t="str">
        <f>CONCATENATE(VLOOKUP(AG57, 'Voxel Sizes'!$A$2:$B$18,2,FALSE),"x",INT(AC57*15), "x", INT(AD57*15))</f>
        <v>82x0x0</v>
      </c>
      <c r="AG57">
        <f>ROUND(15*((AB57*10)/256),0)</f>
        <v>5</v>
      </c>
      <c r="AI57" t="str">
        <f>CONCATENATE(VLOOKUP(AG57,Constants!$A$2:$C$16,IF(AH57&lt;&gt;"", 3, 2), FALSE),IF(AH57&lt;&gt;"",CONCATENATE(",",VLOOKUP(AH57,$B:$AI,34,FALSE)),""))</f>
        <v>2,1,2</v>
      </c>
      <c r="AP57">
        <v>40</v>
      </c>
      <c r="AS57">
        <f t="shared" si="0"/>
        <v>0</v>
      </c>
      <c r="AT57">
        <f t="shared" si="1"/>
        <v>0</v>
      </c>
      <c r="AU57">
        <f t="shared" si="2"/>
        <v>0</v>
      </c>
      <c r="AV57" s="4">
        <f t="shared" si="3"/>
        <v>0.70833333333333337</v>
      </c>
      <c r="AW57">
        <f t="shared" si="4"/>
        <v>0</v>
      </c>
      <c r="AX57">
        <f>VLOOKUP($E57,Constants!$I:$K, 2, FALSE)</f>
        <v>0</v>
      </c>
      <c r="AY57">
        <f>VLOOKUP($E57,Constants!$I:$K, 3, FALSE)*IF(AND(D57="multiple_unit",Y57&lt;110),0.75,1)</f>
        <v>0</v>
      </c>
      <c r="AZ57">
        <f>INT(((Constants!$G$2+$AR57+$AS57+$AT57+$AU57+$AW57)*$AV57)*$AY57)</f>
        <v>0</v>
      </c>
      <c r="BA57">
        <f>INT(((Constants!$G$1+$AQ57+$AS57+$AT57+$AU57+$AW57)*(1/$AV57))*$AX57)</f>
        <v>0</v>
      </c>
      <c r="BG57" t="str">
        <f>VLOOKUP(G57,Eras!$A$2:$C$10, 2, TRUE)</f>
        <v>big4</v>
      </c>
      <c r="BI57" t="str">
        <f>CONCATENATE(BG57,"_",BH57)</f>
        <v>big4_</v>
      </c>
    </row>
    <row r="58" spans="1:62" x14ac:dyDescent="0.25">
      <c r="A58" t="s">
        <v>335</v>
      </c>
      <c r="B58" t="s">
        <v>336</v>
      </c>
      <c r="C58">
        <v>-1</v>
      </c>
      <c r="D58" t="s">
        <v>333</v>
      </c>
      <c r="E58" t="s">
        <v>333</v>
      </c>
      <c r="F58" t="s">
        <v>316</v>
      </c>
      <c r="G58">
        <v>1925</v>
      </c>
      <c r="T58">
        <v>52</v>
      </c>
      <c r="X58" s="4" t="str">
        <f>IF(AND(T58&gt;0,W58&gt;0),(W58/((T58+U58)*10)),"")</f>
        <v/>
      </c>
      <c r="AA58">
        <v>7.64</v>
      </c>
      <c r="AB58">
        <v>8</v>
      </c>
      <c r="AE58" s="11">
        <v>0</v>
      </c>
      <c r="AF58" t="str">
        <f>CONCATENATE(VLOOKUP(AG58, 'Voxel Sizes'!$A$2:$B$18,2,FALSE),"x",INT(AC58*15), "x", INT(AD58*15))</f>
        <v>82x0x0</v>
      </c>
      <c r="AG58">
        <f>ROUND(15*((AB58*10)/256),0)</f>
        <v>5</v>
      </c>
      <c r="AI58" t="str">
        <f>CONCATENATE(VLOOKUP(AG58,Constants!$A$2:$C$16,IF(AH58&lt;&gt;"", 3, 2), FALSE),IF(AH58&lt;&gt;"",CONCATENATE(",",VLOOKUP(AH58,$B:$AI,34,FALSE)),""))</f>
        <v>2,1,2</v>
      </c>
      <c r="AP58">
        <v>40</v>
      </c>
      <c r="AS58">
        <f t="shared" si="0"/>
        <v>0</v>
      </c>
      <c r="AT58">
        <f t="shared" si="1"/>
        <v>0</v>
      </c>
      <c r="AU58">
        <f t="shared" si="2"/>
        <v>0</v>
      </c>
      <c r="AV58" s="4">
        <f t="shared" si="3"/>
        <v>0.70833333333333337</v>
      </c>
      <c r="AW58">
        <f t="shared" si="4"/>
        <v>0</v>
      </c>
      <c r="AX58">
        <f>VLOOKUP($E58,Constants!$I:$K, 2, FALSE)</f>
        <v>0</v>
      </c>
      <c r="AY58">
        <f>VLOOKUP($E58,Constants!$I:$K, 3, FALSE)*IF(AND(D58="multiple_unit",Y58&lt;110),0.75,1)</f>
        <v>0</v>
      </c>
      <c r="AZ58">
        <f>INT(((Constants!$G$2+$AR58+$AS58+$AT58+$AU58+$AW58)*$AV58)*$AY58)</f>
        <v>0</v>
      </c>
      <c r="BA58">
        <f>INT(((Constants!$G$1+$AQ58+$AS58+$AT58+$AU58+$AW58)*(1/$AV58))*$AX58)</f>
        <v>0</v>
      </c>
      <c r="BG58" t="str">
        <f>VLOOKUP(G58,Eras!$A$2:$C$10, 2, TRUE)</f>
        <v>big4</v>
      </c>
      <c r="BI58" t="str">
        <f>CONCATENATE(BG58,"_",BH58)</f>
        <v>big4_</v>
      </c>
    </row>
    <row r="59" spans="1:62" x14ac:dyDescent="0.25">
      <c r="A59" t="s">
        <v>486</v>
      </c>
      <c r="B59" t="s">
        <v>487</v>
      </c>
      <c r="C59">
        <v>-1</v>
      </c>
      <c r="D59" t="s">
        <v>333</v>
      </c>
      <c r="E59" t="s">
        <v>333</v>
      </c>
      <c r="F59" t="s">
        <v>316</v>
      </c>
      <c r="G59">
        <v>1927</v>
      </c>
      <c r="T59">
        <v>53</v>
      </c>
      <c r="X59" s="4" t="str">
        <f>IF(AND(T59&gt;0,W59&gt;0),(W59/((T59+U59)*10)),"")</f>
        <v/>
      </c>
      <c r="AA59">
        <v>7.5</v>
      </c>
      <c r="AB59">
        <v>8</v>
      </c>
      <c r="AE59" s="11">
        <v>0</v>
      </c>
      <c r="AF59" t="str">
        <f>CONCATENATE(VLOOKUP(AG59, 'Voxel Sizes'!$A$2:$B$18,2,FALSE),"x",INT(AC59*15), "x", INT(AD59*15))</f>
        <v>82x0x0</v>
      </c>
      <c r="AG59">
        <f>ROUND(15*((AB59*10)/256),0)</f>
        <v>5</v>
      </c>
      <c r="AI59" t="str">
        <f>CONCATENATE(VLOOKUP(AG59,Constants!$A$2:$C$16,IF(AH59&lt;&gt;"", 3, 2), FALSE),IF(AH59&lt;&gt;"",CONCATENATE(",",VLOOKUP(AH59,$B:$AI,34,FALSE)),""))</f>
        <v>2,1,2</v>
      </c>
      <c r="AP59">
        <v>40</v>
      </c>
      <c r="AS59">
        <f t="shared" si="0"/>
        <v>0</v>
      </c>
      <c r="AT59">
        <f t="shared" si="1"/>
        <v>0</v>
      </c>
      <c r="AU59">
        <f t="shared" si="2"/>
        <v>0</v>
      </c>
      <c r="AV59" s="4">
        <f t="shared" si="3"/>
        <v>0.71166666666666667</v>
      </c>
      <c r="AW59">
        <f t="shared" si="4"/>
        <v>0</v>
      </c>
      <c r="AX59">
        <f>VLOOKUP($E59,Constants!$I:$K, 2, FALSE)</f>
        <v>0</v>
      </c>
      <c r="AY59">
        <f>VLOOKUP($E59,Constants!$I:$K, 3, FALSE)*IF(AND(D59="multiple_unit",Y59&lt;110),0.75,1)</f>
        <v>0</v>
      </c>
      <c r="AZ59">
        <f>INT(((Constants!$G$2+$AR59+$AS59+$AT59+$AU59+$AW59)*$AV59)*$AY59)</f>
        <v>0</v>
      </c>
      <c r="BA59">
        <f>INT(((Constants!$G$1+$AQ59+$AS59+$AT59+$AU59+$AW59)*(1/$AV59))*$AX59)</f>
        <v>0</v>
      </c>
      <c r="BG59" t="str">
        <f>VLOOKUP(G59,Eras!$A$2:$C$10, 2, TRUE)</f>
        <v>big4</v>
      </c>
      <c r="BI59" t="str">
        <f>CONCATENATE(BG59,"_",BH59)</f>
        <v>big4_</v>
      </c>
    </row>
    <row r="60" spans="1:62" x14ac:dyDescent="0.25">
      <c r="A60" t="s">
        <v>513</v>
      </c>
      <c r="B60" t="s">
        <v>512</v>
      </c>
      <c r="C60">
        <v>-1</v>
      </c>
      <c r="D60" t="s">
        <v>333</v>
      </c>
      <c r="E60" t="s">
        <v>333</v>
      </c>
      <c r="F60" t="s">
        <v>316</v>
      </c>
      <c r="G60">
        <v>1935</v>
      </c>
      <c r="T60">
        <v>42</v>
      </c>
      <c r="X60" s="4" t="str">
        <f>IF(AND(T60&gt;0,W60&gt;0),(W60/((T60+U60)*10)),"")</f>
        <v/>
      </c>
      <c r="AA60">
        <v>7.5</v>
      </c>
      <c r="AB60">
        <v>8</v>
      </c>
      <c r="AE60" s="11">
        <v>0</v>
      </c>
      <c r="AF60" t="str">
        <f>CONCATENATE(VLOOKUP(AG60, 'Voxel Sizes'!$A$2:$B$18,2,FALSE),"x",INT(AC60*15), "x", INT(AD60*15))</f>
        <v>82x0x0</v>
      </c>
      <c r="AG60">
        <f>ROUND(15*((AB60*10)/256),0)</f>
        <v>5</v>
      </c>
      <c r="AI60" t="str">
        <f>CONCATENATE(VLOOKUP(AG60,Constants!$A$2:$C$16,IF(AH60&lt;&gt;"", 3, 2), FALSE),IF(AH60&lt;&gt;"",CONCATENATE(",",VLOOKUP(AH60,$B:$AI,34,FALSE)),""))</f>
        <v>2,1,2</v>
      </c>
      <c r="AP60">
        <v>40</v>
      </c>
      <c r="AS60">
        <f t="shared" si="0"/>
        <v>0</v>
      </c>
      <c r="AT60">
        <f t="shared" si="1"/>
        <v>0</v>
      </c>
      <c r="AU60">
        <f t="shared" si="2"/>
        <v>0</v>
      </c>
      <c r="AV60" s="4">
        <f t="shared" si="3"/>
        <v>0.72499999999999998</v>
      </c>
      <c r="AW60">
        <f t="shared" si="4"/>
        <v>0</v>
      </c>
      <c r="AX60">
        <f>VLOOKUP($E60,Constants!$I:$K, 2, FALSE)</f>
        <v>0</v>
      </c>
      <c r="AY60">
        <f>VLOOKUP($E60,Constants!$I:$K, 3, FALSE)*IF(AND(D60="multiple_unit",Y60&lt;110),0.75,1)</f>
        <v>0</v>
      </c>
      <c r="AZ60">
        <f>INT(((Constants!$G$2+$AR60+$AS60+$AT60+$AU60+$AW60)*$AV60)*$AY60)</f>
        <v>0</v>
      </c>
      <c r="BA60">
        <f>INT(((Constants!$G$1+$AQ60+$AS60+$AT60+$AU60+$AW60)*(1/$AV60))*$AX60)</f>
        <v>0</v>
      </c>
      <c r="BG60" t="str">
        <f>VLOOKUP(G60,Eras!$A$2:$C$10, 2, TRUE)</f>
        <v>big4</v>
      </c>
      <c r="BI60" t="str">
        <f>CONCATENATE(BG60,"_",BH60)</f>
        <v>big4_</v>
      </c>
    </row>
    <row r="61" spans="1:62" x14ac:dyDescent="0.25">
      <c r="A61" t="s">
        <v>520</v>
      </c>
      <c r="B61" t="s">
        <v>521</v>
      </c>
      <c r="C61">
        <v>-1</v>
      </c>
      <c r="D61" t="s">
        <v>333</v>
      </c>
      <c r="E61" t="s">
        <v>333</v>
      </c>
      <c r="F61" t="s">
        <v>316</v>
      </c>
      <c r="G61">
        <v>1941</v>
      </c>
      <c r="T61">
        <v>52</v>
      </c>
      <c r="X61" s="4" t="str">
        <f>IF(AND(T61&gt;0,W61&gt;0),(W61/((T61+U61)*10)),"")</f>
        <v/>
      </c>
      <c r="AA61">
        <v>7.64</v>
      </c>
      <c r="AB61">
        <v>8</v>
      </c>
      <c r="AE61" s="11">
        <v>0</v>
      </c>
      <c r="AF61" t="str">
        <f>CONCATENATE(VLOOKUP(AG61, 'Voxel Sizes'!$A$2:$B$18,2,FALSE),"x",INT(AC61*15), "x", INT(AD61*15))</f>
        <v>82x0x0</v>
      </c>
      <c r="AG61">
        <f>ROUND(15*((AB61*10)/256),0)</f>
        <v>5</v>
      </c>
      <c r="AI61" t="str">
        <f>CONCATENATE(VLOOKUP(AG61,Constants!$A$2:$C$16,IF(AH61&lt;&gt;"", 3, 2), FALSE),IF(AH61&lt;&gt;"",CONCATENATE(",",VLOOKUP(AH61,$B:$AI,34,FALSE)),""))</f>
        <v>2,1,2</v>
      </c>
      <c r="AP61">
        <v>40</v>
      </c>
      <c r="AS61">
        <f t="shared" si="0"/>
        <v>0</v>
      </c>
      <c r="AT61">
        <f t="shared" si="1"/>
        <v>0</v>
      </c>
      <c r="AU61">
        <f t="shared" si="2"/>
        <v>0</v>
      </c>
      <c r="AV61" s="4">
        <f t="shared" si="3"/>
        <v>0.73499999999999999</v>
      </c>
      <c r="AW61">
        <f t="shared" si="4"/>
        <v>0</v>
      </c>
      <c r="AX61">
        <f>VLOOKUP($E61,Constants!$I:$K, 2, FALSE)</f>
        <v>0</v>
      </c>
      <c r="AY61">
        <f>VLOOKUP($E61,Constants!$I:$K, 3, FALSE)*IF(AND(D61="multiple_unit",Y61&lt;110),0.75,1)</f>
        <v>0</v>
      </c>
      <c r="AZ61">
        <f>INT(((Constants!$G$2+$AR61+$AS61+$AT61+$AU61+$AW61)*$AV61)*$AY61)</f>
        <v>0</v>
      </c>
      <c r="BA61">
        <f>INT(((Constants!$G$1+$AQ61+$AS61+$AT61+$AU61+$AW61)*(1/$AV61))*$AX61)</f>
        <v>0</v>
      </c>
      <c r="BG61" t="str">
        <f>VLOOKUP(G61,Eras!$A$2:$C$10, 2, TRUE)</f>
        <v>big4</v>
      </c>
      <c r="BI61" t="str">
        <f>CONCATENATE(BG61,"_",BH61)</f>
        <v>big4_</v>
      </c>
    </row>
    <row r="62" spans="1:62" x14ac:dyDescent="0.25">
      <c r="A62" t="s">
        <v>528</v>
      </c>
      <c r="B62" t="s">
        <v>527</v>
      </c>
      <c r="C62">
        <v>-1</v>
      </c>
      <c r="D62" t="s">
        <v>333</v>
      </c>
      <c r="E62" t="s">
        <v>333</v>
      </c>
      <c r="F62" t="s">
        <v>316</v>
      </c>
      <c r="G62">
        <v>1942</v>
      </c>
      <c r="T62">
        <v>52</v>
      </c>
      <c r="X62" s="4" t="str">
        <f>IF(AND(T62&gt;0,W62&gt;0),(W62/((T62+U62)*10)),"")</f>
        <v/>
      </c>
      <c r="AA62">
        <v>6</v>
      </c>
      <c r="AB62">
        <v>6</v>
      </c>
      <c r="AE62" s="11">
        <v>0</v>
      </c>
      <c r="AF62" t="str">
        <f>CONCATENATE(VLOOKUP(AG62, 'Voxel Sizes'!$A$2:$B$18,2,FALSE),"x",INT(AC62*15), "x", INT(AD62*15))</f>
        <v>60x0x0</v>
      </c>
      <c r="AG62">
        <f>ROUND(15*((AB62*10)/256),0)</f>
        <v>4</v>
      </c>
      <c r="AI62" t="str">
        <f>CONCATENATE(VLOOKUP(AG62,Constants!$A$2:$C$16,IF(AH62&lt;&gt;"", 3, 2), FALSE),IF(AH62&lt;&gt;"",CONCATENATE(",",VLOOKUP(AH62,$B:$AI,34,FALSE)),""))</f>
        <v>1,2,1</v>
      </c>
      <c r="AP62">
        <v>40</v>
      </c>
      <c r="AS62">
        <f t="shared" si="0"/>
        <v>0</v>
      </c>
      <c r="AT62">
        <f t="shared" si="1"/>
        <v>0</v>
      </c>
      <c r="AU62">
        <f t="shared" si="2"/>
        <v>0</v>
      </c>
      <c r="AV62" s="4">
        <f t="shared" si="3"/>
        <v>0.73666666666666669</v>
      </c>
      <c r="AW62">
        <f t="shared" si="4"/>
        <v>0</v>
      </c>
      <c r="AX62">
        <f>VLOOKUP($E62,Constants!$I:$K, 2, FALSE)</f>
        <v>0</v>
      </c>
      <c r="AY62">
        <f>VLOOKUP($E62,Constants!$I:$K, 3, FALSE)*IF(AND(D62="multiple_unit",Y62&lt;110),0.75,1)</f>
        <v>0</v>
      </c>
      <c r="AZ62">
        <f>INT(((Constants!$G$2+$AR62+$AS62+$AT62+$AU62+$AW62)*$AV62)*$AY62)</f>
        <v>0</v>
      </c>
      <c r="BA62">
        <f>INT(((Constants!$G$1+$AQ62+$AS62+$AT62+$AU62+$AW62)*(1/$AV62))*$AX62)</f>
        <v>0</v>
      </c>
      <c r="BG62" t="str">
        <f>VLOOKUP(G62,Eras!$A$2:$C$10, 2, TRUE)</f>
        <v>big4</v>
      </c>
      <c r="BI62" t="str">
        <f>CONCATENATE(BG62,"_",BH62)</f>
        <v>big4_</v>
      </c>
    </row>
    <row r="63" spans="1:62" x14ac:dyDescent="0.25">
      <c r="A63" t="s">
        <v>533</v>
      </c>
      <c r="B63" t="s">
        <v>534</v>
      </c>
      <c r="C63">
        <v>-1</v>
      </c>
      <c r="D63" t="s">
        <v>333</v>
      </c>
      <c r="E63" t="s">
        <v>333</v>
      </c>
      <c r="F63" t="s">
        <v>316</v>
      </c>
      <c r="G63">
        <v>1943</v>
      </c>
      <c r="T63">
        <v>52</v>
      </c>
      <c r="X63" s="4" t="str">
        <f>IF(AND(T63&gt;0,W63&gt;0),(W63/((T63+U63)*10)),"")</f>
        <v/>
      </c>
      <c r="AA63">
        <v>6</v>
      </c>
      <c r="AB63">
        <v>6</v>
      </c>
      <c r="AE63" s="11">
        <v>0</v>
      </c>
      <c r="AF63" t="str">
        <f>CONCATENATE(VLOOKUP(AG63, 'Voxel Sizes'!$A$2:$B$18,2,FALSE),"x",INT(AC63*15), "x", INT(AD63*15))</f>
        <v>60x0x0</v>
      </c>
      <c r="AG63">
        <f>ROUND(15*((AB63*10)/256),0)</f>
        <v>4</v>
      </c>
      <c r="AI63" t="str">
        <f>CONCATENATE(VLOOKUP(AG63,Constants!$A$2:$C$16,IF(AH63&lt;&gt;"", 3, 2), FALSE),IF(AH63&lt;&gt;"",CONCATENATE(",",VLOOKUP(AH63,$B:$AI,34,FALSE)),""))</f>
        <v>1,2,1</v>
      </c>
      <c r="AP63">
        <v>40</v>
      </c>
      <c r="AS63">
        <f t="shared" si="0"/>
        <v>0</v>
      </c>
      <c r="AT63">
        <f t="shared" si="1"/>
        <v>0</v>
      </c>
      <c r="AU63">
        <f t="shared" si="2"/>
        <v>0</v>
      </c>
      <c r="AV63" s="4">
        <f t="shared" si="3"/>
        <v>0.73833333333333329</v>
      </c>
      <c r="AW63">
        <f t="shared" si="4"/>
        <v>0</v>
      </c>
      <c r="AX63">
        <f>VLOOKUP($E63,Constants!$I:$K, 2, FALSE)</f>
        <v>0</v>
      </c>
      <c r="AY63">
        <f>VLOOKUP($E63,Constants!$I:$K, 3, FALSE)*IF(AND(D63="multiple_unit",Y63&lt;110),0.75,1)</f>
        <v>0</v>
      </c>
      <c r="AZ63">
        <f>INT(((Constants!$G$2+$AR63+$AS63+$AT63+$AU63+$AW63)*$AV63)*$AY63)</f>
        <v>0</v>
      </c>
      <c r="BA63">
        <f>INT(((Constants!$G$1+$AQ63+$AS63+$AT63+$AU63+$AW63)*(1/$AV63))*$AX63)</f>
        <v>0</v>
      </c>
      <c r="BG63" t="str">
        <f>VLOOKUP(G63,Eras!$A$2:$C$10, 2, TRUE)</f>
        <v>big4</v>
      </c>
      <c r="BI63" t="str">
        <f>CONCATENATE(BG63,"_",BH63)</f>
        <v>big4_</v>
      </c>
    </row>
    <row r="64" spans="1:62" x14ac:dyDescent="0.25">
      <c r="A64" t="s">
        <v>548</v>
      </c>
      <c r="B64" t="s">
        <v>547</v>
      </c>
      <c r="C64">
        <v>-1</v>
      </c>
      <c r="D64" t="s">
        <v>333</v>
      </c>
      <c r="E64" t="s">
        <v>333</v>
      </c>
      <c r="F64" t="s">
        <v>316</v>
      </c>
      <c r="G64">
        <v>1946</v>
      </c>
      <c r="T64">
        <v>52</v>
      </c>
      <c r="X64" s="4" t="str">
        <f>IF(AND(T64&gt;0,W64&gt;0),(W64/((T64+U64)*10)),"")</f>
        <v/>
      </c>
      <c r="AA64">
        <v>6</v>
      </c>
      <c r="AB64">
        <v>6</v>
      </c>
      <c r="AE64" s="11">
        <v>0</v>
      </c>
      <c r="AF64" t="str">
        <f>CONCATENATE(VLOOKUP(AG64, 'Voxel Sizes'!$A$2:$B$18,2,FALSE),"x",INT(AC64*15), "x", INT(AD64*15))</f>
        <v>60x0x0</v>
      </c>
      <c r="AG64">
        <f>ROUND(15*((AB64*10)/256),0)</f>
        <v>4</v>
      </c>
      <c r="AI64" t="str">
        <f>CONCATENATE(VLOOKUP(AG64,Constants!$A$2:$C$16,IF(AH64&lt;&gt;"", 3, 2), FALSE),IF(AH64&lt;&gt;"",CONCATENATE(",",VLOOKUP(AH64,$B:$AI,34,FALSE)),""))</f>
        <v>1,2,1</v>
      </c>
      <c r="AP64">
        <v>40</v>
      </c>
      <c r="AS64">
        <f t="shared" si="0"/>
        <v>0</v>
      </c>
      <c r="AT64">
        <f t="shared" si="1"/>
        <v>0</v>
      </c>
      <c r="AU64">
        <f t="shared" si="2"/>
        <v>0</v>
      </c>
      <c r="AV64" s="4">
        <f t="shared" si="3"/>
        <v>0.74333333333333329</v>
      </c>
      <c r="AW64">
        <f t="shared" si="4"/>
        <v>0</v>
      </c>
      <c r="AX64">
        <f>VLOOKUP($E64,Constants!$I:$K, 2, FALSE)</f>
        <v>0</v>
      </c>
      <c r="AY64">
        <f>VLOOKUP($E64,Constants!$I:$K, 3, FALSE)*IF(AND(D64="multiple_unit",Y64&lt;110),0.75,1)</f>
        <v>0</v>
      </c>
      <c r="AZ64">
        <f>INT(((Constants!$G$2+$AR64+$AS64+$AT64+$AU64+$AW64)*$AV64)*$AY64)</f>
        <v>0</v>
      </c>
      <c r="BA64">
        <f>INT(((Constants!$G$1+$AQ64+$AS64+$AT64+$AU64+$AW64)*(1/$AV64))*$AX64)</f>
        <v>0</v>
      </c>
      <c r="BG64" t="str">
        <f>VLOOKUP(G64,Eras!$A$2:$C$10, 2, TRUE)</f>
        <v>big4</v>
      </c>
      <c r="BI64" t="str">
        <f>CONCATENATE(BG64,"_",BH64)</f>
        <v>big4_</v>
      </c>
    </row>
    <row r="65" spans="1:61" x14ac:dyDescent="0.25">
      <c r="A65" t="s">
        <v>691</v>
      </c>
      <c r="B65" t="s">
        <v>692</v>
      </c>
      <c r="C65">
        <v>-1</v>
      </c>
      <c r="D65" t="s">
        <v>333</v>
      </c>
      <c r="E65" t="s">
        <v>333</v>
      </c>
      <c r="F65" t="s">
        <v>316</v>
      </c>
      <c r="G65">
        <v>1958</v>
      </c>
      <c r="T65">
        <v>52</v>
      </c>
      <c r="X65" s="4" t="str">
        <f>IF(AND(T65&gt;0,W65&gt;0),(W65/((T65+U65)*10)),"")</f>
        <v/>
      </c>
      <c r="AA65">
        <v>6</v>
      </c>
      <c r="AB65">
        <v>8</v>
      </c>
      <c r="AE65" s="11">
        <v>0</v>
      </c>
      <c r="AF65" t="str">
        <f>CONCATENATE(VLOOKUP(AG65, 'Voxel Sizes'!$A$2:$B$18,2,FALSE),"x",INT(AC65*15), "x", INT(AD65*15))</f>
        <v>82x0x0</v>
      </c>
      <c r="AG65">
        <f>ROUND(15*((AB65*10)/256),0)</f>
        <v>5</v>
      </c>
      <c r="AI65" t="str">
        <f>CONCATENATE(VLOOKUP(AG65,Constants!$A$2:$C$16,IF(AH65&lt;&gt;"", 3, 2), FALSE),IF(AH65&lt;&gt;"",CONCATENATE(",",VLOOKUP(AH65,$B:$AI,34,FALSE)),""))</f>
        <v>2,1,2</v>
      </c>
      <c r="AP65">
        <v>40</v>
      </c>
      <c r="AS65">
        <f t="shared" si="0"/>
        <v>0</v>
      </c>
      <c r="AT65">
        <f t="shared" si="1"/>
        <v>0</v>
      </c>
      <c r="AU65">
        <f t="shared" si="2"/>
        <v>0</v>
      </c>
      <c r="AV65" s="4">
        <f t="shared" si="3"/>
        <v>0.76333333333333331</v>
      </c>
      <c r="AW65">
        <f t="shared" si="4"/>
        <v>0</v>
      </c>
      <c r="AX65">
        <f>VLOOKUP($E65,Constants!$I:$K, 2, FALSE)</f>
        <v>0</v>
      </c>
      <c r="AY65">
        <f>VLOOKUP($E65,Constants!$I:$K, 3, FALSE)*IF(AND(D65="multiple_unit",Y65&lt;110),0.75,1)</f>
        <v>0</v>
      </c>
      <c r="AZ65">
        <f>INT(((Constants!$G$2+$AR65+$AS65+$AT65+$AU65+$AW65)*$AV65)*$AY65)</f>
        <v>0</v>
      </c>
      <c r="BA65">
        <f>INT(((Constants!$G$1+$AQ65+$AS65+$AT65+$AU65+$AW65)*(1/$AV65))*$AX65)</f>
        <v>0</v>
      </c>
      <c r="BG65" t="str">
        <f>VLOOKUP(G65,Eras!$A$2:$C$10, 2, TRUE)</f>
        <v>dsl</v>
      </c>
      <c r="BI65" t="str">
        <f>CONCATENATE(BG65,"_",BH65)</f>
        <v>dsl_</v>
      </c>
    </row>
    <row r="66" spans="1:61" x14ac:dyDescent="0.25">
      <c r="A66" t="s">
        <v>152</v>
      </c>
      <c r="B66" t="s">
        <v>248</v>
      </c>
      <c r="C66">
        <v>1</v>
      </c>
      <c r="D66" t="s">
        <v>169</v>
      </c>
      <c r="E66" t="s">
        <v>313</v>
      </c>
      <c r="F66" t="s">
        <v>317</v>
      </c>
      <c r="G66">
        <v>1802</v>
      </c>
      <c r="T66">
        <v>5</v>
      </c>
      <c r="X66" s="4" t="str">
        <f>IF(AND(T66&gt;0,W66&gt;0),(W66/((T66+U66)*10)),"")</f>
        <v/>
      </c>
      <c r="Y66">
        <v>5</v>
      </c>
      <c r="AE66" s="11">
        <v>0</v>
      </c>
      <c r="AF66" t="str">
        <f>CONCATENATE(VLOOKUP(AG66, 'Voxel Sizes'!$A$2:$B$18,2,FALSE),"x",INT(AC66*15), "x", INT(AD66*15))</f>
        <v>0x0x0</v>
      </c>
      <c r="AG66">
        <f>ROUND(15*((AB66*10)/256),0)</f>
        <v>0</v>
      </c>
      <c r="AI66" t="str">
        <f>CONCATENATE(VLOOKUP(AG66,Constants!$A$2:$C$16,IF(AH66&lt;&gt;"", 3, 2), FALSE),IF(AH66&lt;&gt;"",CONCATENATE(",",VLOOKUP(AH66,$B:$AI,34,FALSE)),""))</f>
        <v>na</v>
      </c>
      <c r="AP66">
        <v>40</v>
      </c>
      <c r="AS66">
        <f t="shared" si="0"/>
        <v>1</v>
      </c>
      <c r="AT66">
        <f t="shared" si="1"/>
        <v>0</v>
      </c>
      <c r="AU66">
        <f t="shared" si="2"/>
        <v>0</v>
      </c>
      <c r="AV66" s="4">
        <f t="shared" si="3"/>
        <v>0.5033333333333333</v>
      </c>
      <c r="AW66">
        <f t="shared" si="4"/>
        <v>0</v>
      </c>
      <c r="AX66">
        <f>VLOOKUP($E66,Constants!$I:$K, 2, FALSE)</f>
        <v>1.1499999999999999</v>
      </c>
      <c r="AY66">
        <f>VLOOKUP($E66,Constants!$I:$K, 3, FALSE)*IF(AND(D66="multiple_unit",Y66&lt;110),0.75,1)</f>
        <v>1.7</v>
      </c>
      <c r="AZ66">
        <f>INT(((Constants!$G$2+$AR66+$AS66+$AT66+$AU66+$AW66)*$AV66)*$AY66)</f>
        <v>13</v>
      </c>
      <c r="BA66">
        <f>INT(((Constants!$G$1+$AQ66+$AS66+$AT66+$AU66+$AW66)*(1/$AV66))*$AX66)</f>
        <v>82</v>
      </c>
      <c r="BG66" t="str">
        <f>VLOOKUP(G66,Eras!$A$2:$C$10, 2, TRUE)</f>
        <v>early</v>
      </c>
      <c r="BH66" t="s">
        <v>369</v>
      </c>
      <c r="BI66" t="str">
        <f>CONCATENATE(BG66,"_",BH66)</f>
        <v>early_Mixed Traffic</v>
      </c>
    </row>
    <row r="67" spans="1:61" x14ac:dyDescent="0.25">
      <c r="A67" t="s">
        <v>0</v>
      </c>
      <c r="B67" t="s">
        <v>170</v>
      </c>
      <c r="C67">
        <v>2</v>
      </c>
      <c r="D67" t="s">
        <v>169</v>
      </c>
      <c r="E67" t="s">
        <v>313</v>
      </c>
      <c r="F67" t="s">
        <v>316</v>
      </c>
      <c r="G67">
        <v>1812</v>
      </c>
      <c r="T67">
        <v>5</v>
      </c>
      <c r="X67" s="4" t="str">
        <f>IF(AND(T67&gt;0,W67&gt;0),(W67/((T67+U67)*10)),"")</f>
        <v/>
      </c>
      <c r="AE67" s="11">
        <v>0</v>
      </c>
      <c r="AF67" t="str">
        <f>CONCATENATE(VLOOKUP(AG67, 'Voxel Sizes'!$A$2:$B$18,2,FALSE),"x",INT(AC67*15), "x", INT(AD67*15))</f>
        <v>0x0x0</v>
      </c>
      <c r="AG67">
        <f>ROUND(15*((AB67*10)/256),0)</f>
        <v>0</v>
      </c>
      <c r="AI67" t="str">
        <f>CONCATENATE(VLOOKUP(AG67,Constants!$A$2:$C$16,IF(AH67&lt;&gt;"", 3, 2), FALSE),IF(AH67&lt;&gt;"",CONCATENATE(",",VLOOKUP(AH67,$B:$AI,34,FALSE)),""))</f>
        <v>na</v>
      </c>
      <c r="AP67">
        <v>40</v>
      </c>
      <c r="AS67">
        <f t="shared" ref="AS67:AS130" si="5">MIN(Y67/150, 1)*30</f>
        <v>0</v>
      </c>
      <c r="AT67">
        <f t="shared" ref="AT67:AT130" si="6">MIN(K67/4000, 1)*20</f>
        <v>0</v>
      </c>
      <c r="AU67">
        <f t="shared" ref="AU67:AU130" si="7">MIN(W67/400,1)*20</f>
        <v>0</v>
      </c>
      <c r="AV67" s="4">
        <f t="shared" ref="AV67:AV130" si="8">IF(D67="WAGON",0.85,MAX(0.5,MIN((G67-1500)/600, 1)))</f>
        <v>0.52</v>
      </c>
      <c r="AW67">
        <f t="shared" ref="AW67:AW130" si="9">((MAX($J67,1)*MIN($AE67/300,1)))*IF(D67="Wagon",50,10)</f>
        <v>0</v>
      </c>
      <c r="AX67">
        <f>VLOOKUP($E67,Constants!$I:$K, 2, FALSE)</f>
        <v>1.1499999999999999</v>
      </c>
      <c r="AY67">
        <f>VLOOKUP($E67,Constants!$I:$K, 3, FALSE)*IF(AND(D67="multiple_unit",Y67&lt;110),0.75,1)</f>
        <v>1.7</v>
      </c>
      <c r="AZ67">
        <f>INT(((Constants!$G$2+$AR67+$AS67+$AT67+$AU67+$AW67)*$AV67)*$AY67)</f>
        <v>13</v>
      </c>
      <c r="BA67">
        <f>INT(((Constants!$G$1+$AQ67+$AS67+$AT67+$AU67+$AW67)*(1/$AV67))*$AX67)</f>
        <v>77</v>
      </c>
      <c r="BG67" t="str">
        <f>VLOOKUP(G67,Eras!$A$2:$C$10, 2, TRUE)</f>
        <v>early</v>
      </c>
      <c r="BI67" t="str">
        <f>CONCATENATE(BG67,"_",BH67)</f>
        <v>early_</v>
      </c>
    </row>
    <row r="68" spans="1:61" x14ac:dyDescent="0.25">
      <c r="A68" t="s">
        <v>1</v>
      </c>
      <c r="B68" t="s">
        <v>171</v>
      </c>
      <c r="C68">
        <v>3</v>
      </c>
      <c r="D68" t="s">
        <v>169</v>
      </c>
      <c r="E68" t="s">
        <v>313</v>
      </c>
      <c r="F68" t="s">
        <v>316</v>
      </c>
      <c r="G68">
        <v>1825</v>
      </c>
      <c r="T68">
        <v>7</v>
      </c>
      <c r="W68">
        <v>8.5</v>
      </c>
      <c r="X68" s="4">
        <f>IF(AND(T68&gt;0,W68&gt;0),(W68/((T68+U68)*10)),"")</f>
        <v>0.12142857142857143</v>
      </c>
      <c r="Y68">
        <v>15</v>
      </c>
      <c r="AE68" s="11">
        <v>0</v>
      </c>
      <c r="AF68" t="str">
        <f>CONCATENATE(VLOOKUP(AG68, 'Voxel Sizes'!$A$2:$B$18,2,FALSE),"x",INT(AC68*15), "x", INT(AD68*15))</f>
        <v>0x0x0</v>
      </c>
      <c r="AG68">
        <f>ROUND(15*((AB68*10)/256),0)</f>
        <v>0</v>
      </c>
      <c r="AI68" t="str">
        <f>CONCATENATE(VLOOKUP(AG68,Constants!$A$2:$C$16,IF(AH68&lt;&gt;"", 3, 2), FALSE),IF(AH68&lt;&gt;"",CONCATENATE(",",VLOOKUP(AH68,$B:$AI,34,FALSE)),""))</f>
        <v>na</v>
      </c>
      <c r="AP68">
        <v>40</v>
      </c>
      <c r="AS68">
        <f t="shared" si="5"/>
        <v>3</v>
      </c>
      <c r="AT68">
        <f t="shared" si="6"/>
        <v>0</v>
      </c>
      <c r="AU68">
        <f t="shared" si="7"/>
        <v>0.42500000000000004</v>
      </c>
      <c r="AV68" s="4">
        <f t="shared" si="8"/>
        <v>0.54166666666666663</v>
      </c>
      <c r="AW68">
        <f t="shared" si="9"/>
        <v>0</v>
      </c>
      <c r="AX68">
        <f>VLOOKUP($E68,Constants!$I:$K, 2, FALSE)</f>
        <v>1.1499999999999999</v>
      </c>
      <c r="AY68">
        <f>VLOOKUP($E68,Constants!$I:$K, 3, FALSE)*IF(AND(D68="multiple_unit",Y68&lt;110),0.75,1)</f>
        <v>1.7</v>
      </c>
      <c r="AZ68">
        <f>INT(((Constants!$G$2+$AR68+$AS68+$AT68+$AU68+$AW68)*$AV68)*$AY68)</f>
        <v>16</v>
      </c>
      <c r="BA68">
        <f>INT(((Constants!$G$1+$AQ68+$AS68+$AT68+$AU68+$AW68)*(1/$AV68))*$AX68)</f>
        <v>81</v>
      </c>
      <c r="BG68" t="str">
        <f>VLOOKUP(G68,Eras!$A$2:$C$10, 2, TRUE)</f>
        <v>early</v>
      </c>
      <c r="BH68" t="s">
        <v>369</v>
      </c>
      <c r="BI68" t="str">
        <f>CONCATENATE(BG68,"_",BH68)</f>
        <v>early_Mixed Traffic</v>
      </c>
    </row>
    <row r="69" spans="1:61" x14ac:dyDescent="0.25">
      <c r="A69" t="s">
        <v>2</v>
      </c>
      <c r="B69" t="s">
        <v>172</v>
      </c>
      <c r="C69">
        <v>4</v>
      </c>
      <c r="D69" t="s">
        <v>169</v>
      </c>
      <c r="E69" t="s">
        <v>313</v>
      </c>
      <c r="F69" t="s">
        <v>316</v>
      </c>
      <c r="G69">
        <v>1830</v>
      </c>
      <c r="T69">
        <v>4.3</v>
      </c>
      <c r="X69" s="4" t="str">
        <f>IF(AND(T69&gt;0,W69&gt;0),(W69/((T69+U69)*10)),"")</f>
        <v/>
      </c>
      <c r="AE69" s="11">
        <v>0</v>
      </c>
      <c r="AF69" t="str">
        <f>CONCATENATE(VLOOKUP(AG69, 'Voxel Sizes'!$A$2:$B$18,2,FALSE),"x",INT(AC69*15), "x", INT(AD69*15))</f>
        <v>0x0x0</v>
      </c>
      <c r="AG69">
        <f>ROUND(15*((AB69*10)/256),0)</f>
        <v>0</v>
      </c>
      <c r="AI69" t="str">
        <f>CONCATENATE(VLOOKUP(AG69,Constants!$A$2:$C$16,IF(AH69&lt;&gt;"", 3, 2), FALSE),IF(AH69&lt;&gt;"",CONCATENATE(",",VLOOKUP(AH69,$B:$AI,34,FALSE)),""))</f>
        <v>na</v>
      </c>
      <c r="AP69">
        <v>40</v>
      </c>
      <c r="AS69">
        <f t="shared" si="5"/>
        <v>0</v>
      </c>
      <c r="AT69">
        <f t="shared" si="6"/>
        <v>0</v>
      </c>
      <c r="AU69">
        <f t="shared" si="7"/>
        <v>0</v>
      </c>
      <c r="AV69" s="4">
        <f t="shared" si="8"/>
        <v>0.55000000000000004</v>
      </c>
      <c r="AW69">
        <f t="shared" si="9"/>
        <v>0</v>
      </c>
      <c r="AX69">
        <f>VLOOKUP($E69,Constants!$I:$K, 2, FALSE)</f>
        <v>1.1499999999999999</v>
      </c>
      <c r="AY69">
        <f>VLOOKUP($E69,Constants!$I:$K, 3, FALSE)*IF(AND(D69="multiple_unit",Y69&lt;110),0.75,1)</f>
        <v>1.7</v>
      </c>
      <c r="AZ69">
        <f>INT(((Constants!$G$2+$AR69+$AS69+$AT69+$AU69+$AW69)*$AV69)*$AY69)</f>
        <v>14</v>
      </c>
      <c r="BA69">
        <f>INT(((Constants!$G$1+$AQ69+$AS69+$AT69+$AU69+$AW69)*(1/$AV69))*$AX69)</f>
        <v>73</v>
      </c>
      <c r="BG69" t="str">
        <f>VLOOKUP(G69,Eras!$A$2:$C$10, 2, TRUE)</f>
        <v>early</v>
      </c>
      <c r="BH69" t="s">
        <v>369</v>
      </c>
      <c r="BI69" t="str">
        <f>CONCATENATE(BG69,"_",BH69)</f>
        <v>early_Mixed Traffic</v>
      </c>
    </row>
    <row r="70" spans="1:61" x14ac:dyDescent="0.25">
      <c r="A70" t="s">
        <v>144</v>
      </c>
      <c r="B70" t="s">
        <v>249</v>
      </c>
      <c r="C70">
        <v>5</v>
      </c>
      <c r="D70" t="s">
        <v>169</v>
      </c>
      <c r="E70" t="s">
        <v>313</v>
      </c>
      <c r="F70" t="s">
        <v>316</v>
      </c>
      <c r="G70">
        <v>1838</v>
      </c>
      <c r="W70">
        <v>9.6</v>
      </c>
      <c r="X70" s="4" t="str">
        <f>IF(AND(T70&gt;0,W70&gt;0),(W70/((T70+U70)*10)),"")</f>
        <v/>
      </c>
      <c r="Y70">
        <v>45</v>
      </c>
      <c r="AE70" s="11">
        <v>0</v>
      </c>
      <c r="AF70" t="str">
        <f>CONCATENATE(VLOOKUP(AG70, 'Voxel Sizes'!$A$2:$B$18,2,FALSE),"x",INT(AC70*15), "x", INT(AD70*15))</f>
        <v>0x0x0</v>
      </c>
      <c r="AG70">
        <f>ROUND(15*((AB70*10)/256),0)</f>
        <v>0</v>
      </c>
      <c r="AI70" t="str">
        <f>CONCATENATE(VLOOKUP(AG70,Constants!$A$2:$C$16,IF(AH70&lt;&gt;"", 3, 2), FALSE),IF(AH70&lt;&gt;"",CONCATENATE(",",VLOOKUP(AH70,$B:$AI,34,FALSE)),""))</f>
        <v>na</v>
      </c>
      <c r="AP70">
        <v>40</v>
      </c>
      <c r="AS70">
        <f t="shared" si="5"/>
        <v>9</v>
      </c>
      <c r="AT70">
        <f t="shared" si="6"/>
        <v>0</v>
      </c>
      <c r="AU70">
        <f t="shared" si="7"/>
        <v>0.48</v>
      </c>
      <c r="AV70" s="4">
        <f t="shared" si="8"/>
        <v>0.56333333333333335</v>
      </c>
      <c r="AW70">
        <f t="shared" si="9"/>
        <v>0</v>
      </c>
      <c r="AX70">
        <f>VLOOKUP($E70,Constants!$I:$K, 2, FALSE)</f>
        <v>1.1499999999999999</v>
      </c>
      <c r="AY70">
        <f>VLOOKUP($E70,Constants!$I:$K, 3, FALSE)*IF(AND(D70="multiple_unit",Y70&lt;110),0.75,1)</f>
        <v>1.7</v>
      </c>
      <c r="AZ70">
        <f>INT(((Constants!$G$2+$AR70+$AS70+$AT70+$AU70+$AW70)*$AV70)*$AY70)</f>
        <v>23</v>
      </c>
      <c r="BA70">
        <f>INT(((Constants!$G$1+$AQ70+$AS70+$AT70+$AU70+$AW70)*(1/$AV70))*$AX70)</f>
        <v>90</v>
      </c>
      <c r="BG70" t="str">
        <f>VLOOKUP(G70,Eras!$A$2:$C$10, 2, TRUE)</f>
        <v>early</v>
      </c>
      <c r="BH70" t="s">
        <v>369</v>
      </c>
      <c r="BI70" t="str">
        <f>CONCATENATE(BG70,"_",BH70)</f>
        <v>early_Mixed Traffic</v>
      </c>
    </row>
    <row r="71" spans="1:61" x14ac:dyDescent="0.25">
      <c r="A71" t="s">
        <v>145</v>
      </c>
      <c r="B71" t="s">
        <v>250</v>
      </c>
      <c r="C71">
        <v>8</v>
      </c>
      <c r="D71" t="s">
        <v>169</v>
      </c>
      <c r="E71" t="s">
        <v>313</v>
      </c>
      <c r="F71" t="s">
        <v>316</v>
      </c>
      <c r="G71">
        <v>1838</v>
      </c>
      <c r="X71" s="4" t="str">
        <f>IF(AND(T71&gt;0,W71&gt;0),(W71/((T71+U71)*10)),"")</f>
        <v/>
      </c>
      <c r="AE71" s="11">
        <v>0</v>
      </c>
      <c r="AF71" t="str">
        <f>CONCATENATE(VLOOKUP(AG71, 'Voxel Sizes'!$A$2:$B$18,2,FALSE),"x",INT(AC71*15), "x", INT(AD71*15))</f>
        <v>0x0x0</v>
      </c>
      <c r="AG71">
        <f>ROUND(15*((AB71*10)/256),0)</f>
        <v>0</v>
      </c>
      <c r="AI71" t="str">
        <f>CONCATENATE(VLOOKUP(AG71,Constants!$A$2:$C$16,IF(AH71&lt;&gt;"", 3, 2), FALSE),IF(AH71&lt;&gt;"",CONCATENATE(",",VLOOKUP(AH71,$B:$AI,34,FALSE)),""))</f>
        <v>na</v>
      </c>
      <c r="AP71">
        <v>40</v>
      </c>
      <c r="AS71">
        <f t="shared" si="5"/>
        <v>0</v>
      </c>
      <c r="AT71">
        <f t="shared" si="6"/>
        <v>0</v>
      </c>
      <c r="AU71">
        <f t="shared" si="7"/>
        <v>0</v>
      </c>
      <c r="AV71" s="4">
        <f t="shared" si="8"/>
        <v>0.56333333333333335</v>
      </c>
      <c r="AW71">
        <f t="shared" si="9"/>
        <v>0</v>
      </c>
      <c r="AX71">
        <f>VLOOKUP($E71,Constants!$I:$K, 2, FALSE)</f>
        <v>1.1499999999999999</v>
      </c>
      <c r="AY71">
        <f>VLOOKUP($E71,Constants!$I:$K, 3, FALSE)*IF(AND(D71="multiple_unit",Y71&lt;110),0.75,1)</f>
        <v>1.7</v>
      </c>
      <c r="AZ71">
        <f>INT(((Constants!$G$2+$AR71+$AS71+$AT71+$AU71+$AW71)*$AV71)*$AY71)</f>
        <v>14</v>
      </c>
      <c r="BA71">
        <f>INT(((Constants!$G$1+$AQ71+$AS71+$AT71+$AU71+$AW71)*(1/$AV71))*$AX71)</f>
        <v>71</v>
      </c>
      <c r="BG71" t="str">
        <f>VLOOKUP(G71,Eras!$A$2:$C$10, 2, TRUE)</f>
        <v>early</v>
      </c>
      <c r="BH71" t="s">
        <v>370</v>
      </c>
      <c r="BI71" t="str">
        <f>CONCATENATE(BG71,"_",BH71)</f>
        <v>early_Express</v>
      </c>
    </row>
    <row r="72" spans="1:61" x14ac:dyDescent="0.25">
      <c r="A72" t="s">
        <v>3</v>
      </c>
      <c r="B72" t="s">
        <v>173</v>
      </c>
      <c r="C72">
        <v>10</v>
      </c>
      <c r="D72" t="s">
        <v>169</v>
      </c>
      <c r="E72" t="s">
        <v>313</v>
      </c>
      <c r="F72" t="s">
        <v>316</v>
      </c>
      <c r="G72">
        <v>1846</v>
      </c>
      <c r="T72">
        <v>19</v>
      </c>
      <c r="W72">
        <v>34</v>
      </c>
      <c r="X72" s="4">
        <f>IF(AND(T72&gt;0,W72&gt;0),(W72/((T72+U72)*10)),"")</f>
        <v>0.17894736842105263</v>
      </c>
      <c r="AE72" s="11">
        <v>0</v>
      </c>
      <c r="AF72" t="str">
        <f>CONCATENATE(VLOOKUP(AG72, 'Voxel Sizes'!$A$2:$B$18,2,FALSE),"x",INT(AC72*15), "x", INT(AD72*15))</f>
        <v>0x0x0</v>
      </c>
      <c r="AG72">
        <f>ROUND(15*((AB72*10)/256),0)</f>
        <v>0</v>
      </c>
      <c r="AI72" t="str">
        <f>CONCATENATE(VLOOKUP(AG72,Constants!$A$2:$C$16,IF(AH72&lt;&gt;"", 3, 2), FALSE),IF(AH72&lt;&gt;"",CONCATENATE(",",VLOOKUP(AH72,$B:$AI,34,FALSE)),""))</f>
        <v>na</v>
      </c>
      <c r="AP72">
        <v>40</v>
      </c>
      <c r="AS72">
        <f t="shared" si="5"/>
        <v>0</v>
      </c>
      <c r="AT72">
        <f t="shared" si="6"/>
        <v>0</v>
      </c>
      <c r="AU72">
        <f t="shared" si="7"/>
        <v>1.7000000000000002</v>
      </c>
      <c r="AV72" s="4">
        <f t="shared" si="8"/>
        <v>0.57666666666666666</v>
      </c>
      <c r="AW72">
        <f t="shared" si="9"/>
        <v>0</v>
      </c>
      <c r="AX72">
        <f>VLOOKUP($E72,Constants!$I:$K, 2, FALSE)</f>
        <v>1.1499999999999999</v>
      </c>
      <c r="AY72">
        <f>VLOOKUP($E72,Constants!$I:$K, 3, FALSE)*IF(AND(D72="multiple_unit",Y72&lt;110),0.75,1)</f>
        <v>1.7</v>
      </c>
      <c r="AZ72">
        <f>INT(((Constants!$G$2+$AR72+$AS72+$AT72+$AU72+$AW72)*$AV72)*$AY72)</f>
        <v>16</v>
      </c>
      <c r="BA72">
        <f>INT(((Constants!$G$1+$AQ72+$AS72+$AT72+$AU72+$AW72)*(1/$AV72))*$AX72)</f>
        <v>73</v>
      </c>
      <c r="BG72" t="str">
        <f>VLOOKUP(G72,Eras!$A$2:$C$10, 2, TRUE)</f>
        <v>early</v>
      </c>
      <c r="BI72" t="str">
        <f>CONCATENATE(BG72,"_",BH72)</f>
        <v>early_</v>
      </c>
    </row>
    <row r="73" spans="1:61" x14ac:dyDescent="0.25">
      <c r="A73" t="s">
        <v>6</v>
      </c>
      <c r="B73" t="s">
        <v>251</v>
      </c>
      <c r="C73">
        <v>12</v>
      </c>
      <c r="D73" t="s">
        <v>169</v>
      </c>
      <c r="E73" t="s">
        <v>313</v>
      </c>
      <c r="F73" t="s">
        <v>316</v>
      </c>
      <c r="G73">
        <v>1846</v>
      </c>
      <c r="T73">
        <v>42</v>
      </c>
      <c r="X73" s="4" t="str">
        <f>IF(AND(T73&gt;0,W73&gt;0),(W73/((T73+U73)*10)),"")</f>
        <v/>
      </c>
      <c r="AA73">
        <v>6</v>
      </c>
      <c r="AB73">
        <v>6</v>
      </c>
      <c r="AE73" s="11">
        <v>0</v>
      </c>
      <c r="AF73" t="str">
        <f>CONCATENATE(VLOOKUP(AG73, 'Voxel Sizes'!$A$2:$B$18,2,FALSE),"x",INT(AC73*15), "x", INT(AD73*15))</f>
        <v>60x0x0</v>
      </c>
      <c r="AG73">
        <f>ROUND(15*((AB73*10)/256),0)</f>
        <v>4</v>
      </c>
      <c r="AI73" t="str">
        <f>CONCATENATE(VLOOKUP(AG73,Constants!$A$2:$C$16,IF(AH73&lt;&gt;"", 3, 2), FALSE),IF(AH73&lt;&gt;"",CONCATENATE(",",VLOOKUP(AH73,$B:$AI,34,FALSE)),""))</f>
        <v>1,2,1</v>
      </c>
      <c r="AP73">
        <v>40</v>
      </c>
      <c r="AS73">
        <f t="shared" si="5"/>
        <v>0</v>
      </c>
      <c r="AT73">
        <f t="shared" si="6"/>
        <v>0</v>
      </c>
      <c r="AU73">
        <f t="shared" si="7"/>
        <v>0</v>
      </c>
      <c r="AV73" s="4">
        <f t="shared" si="8"/>
        <v>0.57666666666666666</v>
      </c>
      <c r="AW73">
        <f t="shared" si="9"/>
        <v>0</v>
      </c>
      <c r="AX73">
        <f>VLOOKUP($E73,Constants!$I:$K, 2, FALSE)</f>
        <v>1.1499999999999999</v>
      </c>
      <c r="AY73">
        <f>VLOOKUP($E73,Constants!$I:$K, 3, FALSE)*IF(AND(D73="multiple_unit",Y73&lt;110),0.75,1)</f>
        <v>1.7</v>
      </c>
      <c r="AZ73">
        <f>INT(((Constants!$G$2+$AR73+$AS73+$AT73+$AU73+$AW73)*$AV73)*$AY73)</f>
        <v>14</v>
      </c>
      <c r="BA73">
        <f>INT(((Constants!$G$1+$AQ73+$AS73+$AT73+$AU73+$AW73)*(1/$AV73))*$AX73)</f>
        <v>69</v>
      </c>
      <c r="BG73" t="str">
        <f>VLOOKUP(G73,Eras!$A$2:$C$10, 2, TRUE)</f>
        <v>early</v>
      </c>
      <c r="BI73" t="str">
        <f>CONCATENATE(BG73,"_",BH73)</f>
        <v>early_</v>
      </c>
    </row>
    <row r="74" spans="1:61" x14ac:dyDescent="0.25">
      <c r="A74" t="s">
        <v>4</v>
      </c>
      <c r="B74" t="s">
        <v>174</v>
      </c>
      <c r="C74">
        <v>14</v>
      </c>
      <c r="D74" t="s">
        <v>169</v>
      </c>
      <c r="E74" t="s">
        <v>313</v>
      </c>
      <c r="F74" t="s">
        <v>316</v>
      </c>
      <c r="G74">
        <v>1847</v>
      </c>
      <c r="X74" s="4" t="str">
        <f>IF(AND(T74&gt;0,W74&gt;0),(W74/((T74+U74)*10)),"")</f>
        <v/>
      </c>
      <c r="Y74">
        <v>60</v>
      </c>
      <c r="AE74" s="11">
        <v>0</v>
      </c>
      <c r="AF74" t="str">
        <f>CONCATENATE(VLOOKUP(AG74, 'Voxel Sizes'!$A$2:$B$18,2,FALSE),"x",INT(AC74*15), "x", INT(AD74*15))</f>
        <v>0x0x0</v>
      </c>
      <c r="AG74">
        <f>ROUND(15*((AB74*10)/256),0)</f>
        <v>0</v>
      </c>
      <c r="AI74" t="str">
        <f>CONCATENATE(VLOOKUP(AG74,Constants!$A$2:$C$16,IF(AH74&lt;&gt;"", 3, 2), FALSE),IF(AH74&lt;&gt;"",CONCATENATE(",",VLOOKUP(AH74,$B:$AI,34,FALSE)),""))</f>
        <v>na</v>
      </c>
      <c r="AP74">
        <v>40</v>
      </c>
      <c r="AS74">
        <f t="shared" si="5"/>
        <v>12</v>
      </c>
      <c r="AT74">
        <f t="shared" si="6"/>
        <v>0</v>
      </c>
      <c r="AU74">
        <f t="shared" si="7"/>
        <v>0</v>
      </c>
      <c r="AV74" s="4">
        <f t="shared" si="8"/>
        <v>0.57833333333333337</v>
      </c>
      <c r="AW74">
        <f t="shared" si="9"/>
        <v>0</v>
      </c>
      <c r="AX74">
        <f>VLOOKUP($E74,Constants!$I:$K, 2, FALSE)</f>
        <v>1.1499999999999999</v>
      </c>
      <c r="AY74">
        <f>VLOOKUP($E74,Constants!$I:$K, 3, FALSE)*IF(AND(D74="multiple_unit",Y74&lt;110),0.75,1)</f>
        <v>1.7</v>
      </c>
      <c r="AZ74">
        <f>INT(((Constants!$G$2+$AR74+$AS74+$AT74+$AU74+$AW74)*$AV74)*$AY74)</f>
        <v>26</v>
      </c>
      <c r="BA74">
        <f>INT(((Constants!$G$1+$AQ74+$AS74+$AT74+$AU74+$AW74)*(1/$AV74))*$AX74)</f>
        <v>93</v>
      </c>
      <c r="BG74" t="str">
        <f>VLOOKUP(G74,Eras!$A$2:$C$10, 2, TRUE)</f>
        <v>early</v>
      </c>
      <c r="BI74" t="str">
        <f>CONCATENATE(BG74,"_",BH74)</f>
        <v>early_</v>
      </c>
    </row>
    <row r="75" spans="1:61" x14ac:dyDescent="0.25">
      <c r="A75" t="s">
        <v>5</v>
      </c>
      <c r="B75" t="s">
        <v>175</v>
      </c>
      <c r="C75">
        <v>16</v>
      </c>
      <c r="D75" t="s">
        <v>169</v>
      </c>
      <c r="E75" t="s">
        <v>313</v>
      </c>
      <c r="F75" t="s">
        <v>316</v>
      </c>
      <c r="G75">
        <v>1852</v>
      </c>
      <c r="T75">
        <v>64</v>
      </c>
      <c r="W75">
        <v>65</v>
      </c>
      <c r="X75" s="4">
        <f>IF(AND(T75&gt;0,W75&gt;0),(W75/((T75+U75)*10)),"")</f>
        <v>0.1015625</v>
      </c>
      <c r="AE75" s="11">
        <v>0</v>
      </c>
      <c r="AF75" t="str">
        <f>CONCATENATE(VLOOKUP(AG75, 'Voxel Sizes'!$A$2:$B$18,2,FALSE),"x",INT(AC75*15), "x", INT(AD75*15))</f>
        <v>0x0x0</v>
      </c>
      <c r="AG75">
        <f>ROUND(15*((AB75*10)/256),0)</f>
        <v>0</v>
      </c>
      <c r="AI75" t="str">
        <f>CONCATENATE(VLOOKUP(AG75,Constants!$A$2:$C$16,IF(AH75&lt;&gt;"", 3, 2), FALSE),IF(AH75&lt;&gt;"",CONCATENATE(",",VLOOKUP(AH75,$B:$AI,34,FALSE)),""))</f>
        <v>na</v>
      </c>
      <c r="AP75">
        <v>40</v>
      </c>
      <c r="AS75">
        <f t="shared" si="5"/>
        <v>0</v>
      </c>
      <c r="AT75">
        <f t="shared" si="6"/>
        <v>0</v>
      </c>
      <c r="AU75">
        <f t="shared" si="7"/>
        <v>3.25</v>
      </c>
      <c r="AV75" s="4">
        <f t="shared" si="8"/>
        <v>0.58666666666666667</v>
      </c>
      <c r="AW75">
        <f t="shared" si="9"/>
        <v>0</v>
      </c>
      <c r="AX75">
        <f>VLOOKUP($E75,Constants!$I:$K, 2, FALSE)</f>
        <v>1.1499999999999999</v>
      </c>
      <c r="AY75">
        <f>VLOOKUP($E75,Constants!$I:$K, 3, FALSE)*IF(AND(D75="multiple_unit",Y75&lt;110),0.75,1)</f>
        <v>1.7</v>
      </c>
      <c r="AZ75">
        <f>INT(((Constants!$G$2+$AR75+$AS75+$AT75+$AU75+$AW75)*$AV75)*$AY75)</f>
        <v>18</v>
      </c>
      <c r="BA75">
        <f>INT(((Constants!$G$1+$AQ75+$AS75+$AT75+$AU75+$AW75)*(1/$AV75))*$AX75)</f>
        <v>74</v>
      </c>
      <c r="BG75" t="str">
        <f>VLOOKUP(G75,Eras!$A$2:$C$10, 2, TRUE)</f>
        <v>vct</v>
      </c>
      <c r="BI75" t="str">
        <f>CONCATENATE(BG75,"_",BH75)</f>
        <v>vct_</v>
      </c>
    </row>
    <row r="76" spans="1:61" x14ac:dyDescent="0.25">
      <c r="A76" t="s">
        <v>7</v>
      </c>
      <c r="B76" t="s">
        <v>252</v>
      </c>
      <c r="C76">
        <v>18</v>
      </c>
      <c r="D76" t="s">
        <v>169</v>
      </c>
      <c r="E76" t="s">
        <v>313</v>
      </c>
      <c r="F76" t="s">
        <v>316</v>
      </c>
      <c r="G76">
        <v>1859</v>
      </c>
      <c r="T76">
        <v>27.4</v>
      </c>
      <c r="X76" s="4" t="str">
        <f>IF(AND(T76&gt;0,W76&gt;0),(W76/((T76+U76)*10)),"")</f>
        <v/>
      </c>
      <c r="Y76">
        <v>70</v>
      </c>
      <c r="AE76" s="11">
        <v>0</v>
      </c>
      <c r="AF76" t="str">
        <f>CONCATENATE(VLOOKUP(AG76, 'Voxel Sizes'!$A$2:$B$18,2,FALSE),"x",INT(AC76*15), "x", INT(AD76*15))</f>
        <v>0x0x0</v>
      </c>
      <c r="AG76">
        <f>ROUND(15*((AB76*10)/256),0)</f>
        <v>0</v>
      </c>
      <c r="AI76" t="str">
        <f>CONCATENATE(VLOOKUP(AG76,Constants!$A$2:$C$16,IF(AH76&lt;&gt;"", 3, 2), FALSE),IF(AH76&lt;&gt;"",CONCATENATE(",",VLOOKUP(AH76,$B:$AI,34,FALSE)),""))</f>
        <v>na</v>
      </c>
      <c r="AP76">
        <v>40</v>
      </c>
      <c r="AS76">
        <f t="shared" si="5"/>
        <v>14</v>
      </c>
      <c r="AT76">
        <f t="shared" si="6"/>
        <v>0</v>
      </c>
      <c r="AU76">
        <f t="shared" si="7"/>
        <v>0</v>
      </c>
      <c r="AV76" s="4">
        <f t="shared" si="8"/>
        <v>0.59833333333333338</v>
      </c>
      <c r="AW76">
        <f t="shared" si="9"/>
        <v>0</v>
      </c>
      <c r="AX76">
        <f>VLOOKUP($E76,Constants!$I:$K, 2, FALSE)</f>
        <v>1.1499999999999999</v>
      </c>
      <c r="AY76">
        <f>VLOOKUP($E76,Constants!$I:$K, 3, FALSE)*IF(AND(D76="multiple_unit",Y76&lt;110),0.75,1)</f>
        <v>1.7</v>
      </c>
      <c r="AZ76">
        <f>INT(((Constants!$G$2+$AR76+$AS76+$AT76+$AU76+$AW76)*$AV76)*$AY76)</f>
        <v>29</v>
      </c>
      <c r="BA76">
        <f>INT(((Constants!$G$1+$AQ76+$AS76+$AT76+$AU76+$AW76)*(1/$AV76))*$AX76)</f>
        <v>94</v>
      </c>
      <c r="BG76" t="str">
        <f>VLOOKUP(G76,Eras!$A$2:$C$10, 2, TRUE)</f>
        <v>vct</v>
      </c>
      <c r="BI76" t="str">
        <f>CONCATENATE(BG76,"_",BH76)</f>
        <v>vct_</v>
      </c>
    </row>
    <row r="77" spans="1:61" x14ac:dyDescent="0.25">
      <c r="A77" t="s">
        <v>19</v>
      </c>
      <c r="B77" t="s">
        <v>176</v>
      </c>
      <c r="C77">
        <v>20</v>
      </c>
      <c r="D77" t="s">
        <v>169</v>
      </c>
      <c r="E77" t="s">
        <v>313</v>
      </c>
      <c r="F77" t="s">
        <v>316</v>
      </c>
      <c r="G77">
        <v>1868</v>
      </c>
      <c r="T77">
        <v>35.799999999999997</v>
      </c>
      <c r="W77">
        <v>65</v>
      </c>
      <c r="X77" s="4">
        <f>IF(AND(T77&gt;0,W77&gt;0),(W77/((T77+U77)*10)),"")</f>
        <v>0.18156424581005587</v>
      </c>
      <c r="AA77">
        <v>8.65</v>
      </c>
      <c r="AB77">
        <v>8.65</v>
      </c>
      <c r="AD77">
        <v>3.7</v>
      </c>
      <c r="AE77" s="11">
        <v>0</v>
      </c>
      <c r="AF77" t="str">
        <f>CONCATENATE(VLOOKUP(AG77, 'Voxel Sizes'!$A$2:$B$18,2,FALSE),"x",INT(AC77*15), "x", INT(AD77*15))</f>
        <v>82x0x55</v>
      </c>
      <c r="AG77">
        <f>ROUND(15*((AB77*10)/256),0)</f>
        <v>5</v>
      </c>
      <c r="AI77" t="str">
        <f>CONCATENATE(VLOOKUP(AG77,Constants!$A$2:$C$16,IF(AH77&lt;&gt;"", 3, 2), FALSE),IF(AH77&lt;&gt;"",CONCATENATE(",",VLOOKUP(AH77,$B:$AI,34,FALSE)),""))</f>
        <v>2,1,2</v>
      </c>
      <c r="AP77">
        <v>40</v>
      </c>
      <c r="AS77">
        <f t="shared" si="5"/>
        <v>0</v>
      </c>
      <c r="AT77">
        <f t="shared" si="6"/>
        <v>0</v>
      </c>
      <c r="AU77">
        <f t="shared" si="7"/>
        <v>3.25</v>
      </c>
      <c r="AV77" s="4">
        <f t="shared" si="8"/>
        <v>0.61333333333333329</v>
      </c>
      <c r="AW77">
        <f t="shared" si="9"/>
        <v>0</v>
      </c>
      <c r="AX77">
        <f>VLOOKUP($E77,Constants!$I:$K, 2, FALSE)</f>
        <v>1.1499999999999999</v>
      </c>
      <c r="AY77">
        <f>VLOOKUP($E77,Constants!$I:$K, 3, FALSE)*IF(AND(D77="multiple_unit",Y77&lt;110),0.75,1)</f>
        <v>1.7</v>
      </c>
      <c r="AZ77">
        <f>INT(((Constants!$G$2+$AR77+$AS77+$AT77+$AU77+$AW77)*$AV77)*$AY77)</f>
        <v>19</v>
      </c>
      <c r="BA77">
        <f>INT(((Constants!$G$1+$AQ77+$AS77+$AT77+$AU77+$AW77)*(1/$AV77))*$AX77)</f>
        <v>71</v>
      </c>
      <c r="BG77" t="str">
        <f>VLOOKUP(G77,Eras!$A$2:$C$10, 2, TRUE)</f>
        <v>vct</v>
      </c>
      <c r="BI77" t="str">
        <f>CONCATENATE(BG77,"_",BH77)</f>
        <v>vct_</v>
      </c>
    </row>
    <row r="78" spans="1:61" x14ac:dyDescent="0.25">
      <c r="A78" t="s">
        <v>42</v>
      </c>
      <c r="B78" t="s">
        <v>253</v>
      </c>
      <c r="C78">
        <v>22</v>
      </c>
      <c r="D78" t="s">
        <v>169</v>
      </c>
      <c r="E78" t="s">
        <v>313</v>
      </c>
      <c r="F78" t="s">
        <v>316</v>
      </c>
      <c r="G78">
        <v>1872</v>
      </c>
      <c r="H78">
        <v>1880</v>
      </c>
      <c r="T78">
        <v>28</v>
      </c>
      <c r="W78">
        <v>34</v>
      </c>
      <c r="X78" s="4">
        <f>IF(AND(T78&gt;0,W78&gt;0),(W78/((T78+U78)*10)),"")</f>
        <v>0.12142857142857143</v>
      </c>
      <c r="Y78">
        <v>45</v>
      </c>
      <c r="AA78">
        <v>7.94</v>
      </c>
      <c r="AB78">
        <v>7.94</v>
      </c>
      <c r="AE78" s="11">
        <v>0</v>
      </c>
      <c r="AF78" t="str">
        <f>CONCATENATE(VLOOKUP(AG78, 'Voxel Sizes'!$A$2:$B$18,2,FALSE),"x",INT(AC78*15), "x", INT(AD78*15))</f>
        <v>82x0x0</v>
      </c>
      <c r="AG78">
        <f>ROUND(15*((AB78*10)/256),0)</f>
        <v>5</v>
      </c>
      <c r="AI78" t="str">
        <f>CONCATENATE(VLOOKUP(AG78,Constants!$A$2:$C$16,IF(AH78&lt;&gt;"", 3, 2), FALSE),IF(AH78&lt;&gt;"",CONCATENATE(",",VLOOKUP(AH78,$B:$AI,34,FALSE)),""))</f>
        <v>2,1,2</v>
      </c>
      <c r="AP78">
        <v>40</v>
      </c>
      <c r="AS78">
        <f t="shared" si="5"/>
        <v>9</v>
      </c>
      <c r="AT78">
        <f t="shared" si="6"/>
        <v>0</v>
      </c>
      <c r="AU78">
        <f t="shared" si="7"/>
        <v>1.7000000000000002</v>
      </c>
      <c r="AV78" s="4">
        <f t="shared" si="8"/>
        <v>0.62</v>
      </c>
      <c r="AW78">
        <f t="shared" si="9"/>
        <v>0</v>
      </c>
      <c r="AX78">
        <f>VLOOKUP($E78,Constants!$I:$K, 2, FALSE)</f>
        <v>1.1499999999999999</v>
      </c>
      <c r="AY78">
        <f>VLOOKUP($E78,Constants!$I:$K, 3, FALSE)*IF(AND(D78="multiple_unit",Y78&lt;110),0.75,1)</f>
        <v>1.7</v>
      </c>
      <c r="AZ78">
        <f>INT(((Constants!$G$2+$AR78+$AS78+$AT78+$AU78+$AW78)*$AV78)*$AY78)</f>
        <v>27</v>
      </c>
      <c r="BA78">
        <f>INT(((Constants!$G$1+$AQ78+$AS78+$AT78+$AU78+$AW78)*(1/$AV78))*$AX78)</f>
        <v>84</v>
      </c>
      <c r="BG78" t="str">
        <f>VLOOKUP(G78,Eras!$A$2:$C$10, 2, TRUE)</f>
        <v>vct</v>
      </c>
      <c r="BI78" t="str">
        <f>CONCATENATE(BG78,"_",BH78)</f>
        <v>vct_</v>
      </c>
    </row>
    <row r="79" spans="1:61" x14ac:dyDescent="0.25">
      <c r="A79" t="s">
        <v>9</v>
      </c>
      <c r="B79" t="s">
        <v>177</v>
      </c>
      <c r="C79">
        <v>24</v>
      </c>
      <c r="D79" t="s">
        <v>169</v>
      </c>
      <c r="E79" t="s">
        <v>313</v>
      </c>
      <c r="F79" t="s">
        <v>316</v>
      </c>
      <c r="G79">
        <v>1883</v>
      </c>
      <c r="T79">
        <f>41.6+34.3</f>
        <v>75.900000000000006</v>
      </c>
      <c r="W79">
        <v>75.400000000000006</v>
      </c>
      <c r="X79" s="4">
        <f>IF(AND(T79&gt;0,W79&gt;0),(W79/((T79+U79)*10)),"")</f>
        <v>9.9341238471673268E-2</v>
      </c>
      <c r="AE79" s="11">
        <v>0</v>
      </c>
      <c r="AF79" t="str">
        <f>CONCATENATE(VLOOKUP(AG79, 'Voxel Sizes'!$A$2:$B$18,2,FALSE),"x",INT(AC79*15), "x", INT(AD79*15))</f>
        <v>0x0x0</v>
      </c>
      <c r="AG79">
        <f>ROUND(15*((AB79*10)/256),0)</f>
        <v>0</v>
      </c>
      <c r="AI79" t="str">
        <f>CONCATENATE(VLOOKUP(AG79,Constants!$A$2:$C$16,IF(AH79&lt;&gt;"", 3, 2), FALSE),IF(AH79&lt;&gt;"",CONCATENATE(",",VLOOKUP(AH79,$B:$AI,34,FALSE)),""))</f>
        <v>na</v>
      </c>
      <c r="AP79">
        <v>40</v>
      </c>
      <c r="AS79">
        <f t="shared" si="5"/>
        <v>0</v>
      </c>
      <c r="AT79">
        <f t="shared" si="6"/>
        <v>0</v>
      </c>
      <c r="AU79">
        <f t="shared" si="7"/>
        <v>3.77</v>
      </c>
      <c r="AV79" s="4">
        <f t="shared" si="8"/>
        <v>0.63833333333333331</v>
      </c>
      <c r="AW79">
        <f t="shared" si="9"/>
        <v>0</v>
      </c>
      <c r="AX79">
        <f>VLOOKUP($E79,Constants!$I:$K, 2, FALSE)</f>
        <v>1.1499999999999999</v>
      </c>
      <c r="AY79">
        <f>VLOOKUP($E79,Constants!$I:$K, 3, FALSE)*IF(AND(D79="multiple_unit",Y79&lt;110),0.75,1)</f>
        <v>1.7</v>
      </c>
      <c r="AZ79">
        <f>INT(((Constants!$G$2+$AR79+$AS79+$AT79+$AU79+$AW79)*$AV79)*$AY79)</f>
        <v>20</v>
      </c>
      <c r="BA79">
        <f>INT(((Constants!$G$1+$AQ79+$AS79+$AT79+$AU79+$AW79)*(1/$AV79))*$AX79)</f>
        <v>69</v>
      </c>
      <c r="BG79" t="str">
        <f>VLOOKUP(G79,Eras!$A$2:$C$10, 2, TRUE)</f>
        <v>vct</v>
      </c>
      <c r="BI79" t="str">
        <f>CONCATENATE(BG79,"_",BH79)</f>
        <v>vct_</v>
      </c>
    </row>
    <row r="80" spans="1:61" x14ac:dyDescent="0.25">
      <c r="A80" t="s">
        <v>146</v>
      </c>
      <c r="B80" t="s">
        <v>178</v>
      </c>
      <c r="C80">
        <v>26</v>
      </c>
      <c r="D80" t="s">
        <v>169</v>
      </c>
      <c r="E80" t="s">
        <v>313</v>
      </c>
      <c r="F80" t="s">
        <v>316</v>
      </c>
      <c r="G80">
        <v>1883</v>
      </c>
      <c r="T80">
        <v>41.2</v>
      </c>
      <c r="W80">
        <v>76</v>
      </c>
      <c r="X80" s="4">
        <f>IF(AND(T80&gt;0,W80&gt;0),(W80/((T80+U80)*10)),"")</f>
        <v>0.18446601941747573</v>
      </c>
      <c r="AA80">
        <v>14.4</v>
      </c>
      <c r="AB80">
        <v>14.4</v>
      </c>
      <c r="AE80" s="11">
        <v>0</v>
      </c>
      <c r="AF80" t="str">
        <f>CONCATENATE(VLOOKUP(AG80, 'Voxel Sizes'!$A$2:$B$18,2,FALSE),"x",INT(AC80*15), "x", INT(AD80*15))</f>
        <v>136x0x0</v>
      </c>
      <c r="AG80">
        <f>ROUND(15*((AB80*10)/256),0)</f>
        <v>8</v>
      </c>
      <c r="AI80" t="str">
        <f>CONCATENATE(VLOOKUP(AG80,Constants!$A$2:$C$16,IF(AH80&lt;&gt;"", 3, 2), FALSE),IF(AH80&lt;&gt;"",CONCATENATE(",",VLOOKUP(AH80,$B:$AI,34,FALSE)),""))</f>
        <v>2,4,2</v>
      </c>
      <c r="AP80">
        <v>40</v>
      </c>
      <c r="AS80">
        <f t="shared" si="5"/>
        <v>0</v>
      </c>
      <c r="AT80">
        <f t="shared" si="6"/>
        <v>0</v>
      </c>
      <c r="AU80">
        <f t="shared" si="7"/>
        <v>3.8</v>
      </c>
      <c r="AV80" s="4">
        <f t="shared" si="8"/>
        <v>0.63833333333333331</v>
      </c>
      <c r="AW80">
        <f t="shared" si="9"/>
        <v>0</v>
      </c>
      <c r="AX80">
        <f>VLOOKUP($E80,Constants!$I:$K, 2, FALSE)</f>
        <v>1.1499999999999999</v>
      </c>
      <c r="AY80">
        <f>VLOOKUP($E80,Constants!$I:$K, 3, FALSE)*IF(AND(D80="multiple_unit",Y80&lt;110),0.75,1)</f>
        <v>1.7</v>
      </c>
      <c r="AZ80">
        <f>INT(((Constants!$G$2+$AR80+$AS80+$AT80+$AU80+$AW80)*$AV80)*$AY80)</f>
        <v>20</v>
      </c>
      <c r="BA80">
        <f>INT(((Constants!$G$1+$AQ80+$AS80+$AT80+$AU80+$AW80)*(1/$AV80))*$AX80)</f>
        <v>69</v>
      </c>
      <c r="BG80" t="str">
        <f>VLOOKUP(G80,Eras!$A$2:$C$10, 2, TRUE)</f>
        <v>vct</v>
      </c>
      <c r="BI80" t="str">
        <f>CONCATENATE(BG80,"_",BH80)</f>
        <v>vct_</v>
      </c>
    </row>
    <row r="81" spans="1:61" x14ac:dyDescent="0.25">
      <c r="A81" t="s">
        <v>15</v>
      </c>
      <c r="B81" t="s">
        <v>179</v>
      </c>
      <c r="C81">
        <v>28</v>
      </c>
      <c r="D81" t="s">
        <v>169</v>
      </c>
      <c r="E81" t="s">
        <v>313</v>
      </c>
      <c r="F81" t="s">
        <v>316</v>
      </c>
      <c r="G81">
        <v>1888</v>
      </c>
      <c r="T81">
        <v>42.6</v>
      </c>
      <c r="W81">
        <v>88</v>
      </c>
      <c r="X81" s="4">
        <f>IF(AND(T81&gt;0,W81&gt;0),(W81/((T81+U81)*10)),"")</f>
        <v>0.20657276995305165</v>
      </c>
      <c r="AA81">
        <v>14.99</v>
      </c>
      <c r="AB81">
        <v>14.99</v>
      </c>
      <c r="AE81" s="11">
        <v>0</v>
      </c>
      <c r="AF81" t="str">
        <f>CONCATENATE(VLOOKUP(AG81, 'Voxel Sizes'!$A$2:$B$18,2,FALSE),"x",INT(AC81*15), "x", INT(AD81*15))</f>
        <v>152x0x0</v>
      </c>
      <c r="AG81">
        <f>ROUND(15*((AB81*10)/256),0)</f>
        <v>9</v>
      </c>
      <c r="AI81" t="str">
        <f>CONCATENATE(VLOOKUP(AG81,Constants!$A$2:$C$16,IF(AH81&lt;&gt;"", 3, 2), FALSE),IF(AH81&lt;&gt;"",CONCATENATE(",",VLOOKUP(AH81,$B:$AI,34,FALSE)),""))</f>
        <v>2,5,2</v>
      </c>
      <c r="AP81">
        <v>40</v>
      </c>
      <c r="AS81">
        <f t="shared" si="5"/>
        <v>0</v>
      </c>
      <c r="AT81">
        <f t="shared" si="6"/>
        <v>0</v>
      </c>
      <c r="AU81">
        <f t="shared" si="7"/>
        <v>4.4000000000000004</v>
      </c>
      <c r="AV81" s="4">
        <f t="shared" si="8"/>
        <v>0.64666666666666661</v>
      </c>
      <c r="AW81">
        <f t="shared" si="9"/>
        <v>0</v>
      </c>
      <c r="AX81">
        <f>VLOOKUP($E81,Constants!$I:$K, 2, FALSE)</f>
        <v>1.1499999999999999</v>
      </c>
      <c r="AY81">
        <f>VLOOKUP($E81,Constants!$I:$K, 3, FALSE)*IF(AND(D81="multiple_unit",Y81&lt;110),0.75,1)</f>
        <v>1.7</v>
      </c>
      <c r="AZ81">
        <f>INT(((Constants!$G$2+$AR81+$AS81+$AT81+$AU81+$AW81)*$AV81)*$AY81)</f>
        <v>21</v>
      </c>
      <c r="BA81">
        <f>INT(((Constants!$G$1+$AQ81+$AS81+$AT81+$AU81+$AW81)*(1/$AV81))*$AX81)</f>
        <v>70</v>
      </c>
      <c r="BG81" t="str">
        <f>VLOOKUP(G81,Eras!$A$2:$C$10, 2, TRUE)</f>
        <v>vct</v>
      </c>
      <c r="BI81" t="str">
        <f>CONCATENATE(BG81,"_",BH81)</f>
        <v>vct_</v>
      </c>
    </row>
    <row r="82" spans="1:61" x14ac:dyDescent="0.25">
      <c r="A82" t="s">
        <v>8</v>
      </c>
      <c r="B82" t="s">
        <v>180</v>
      </c>
      <c r="C82">
        <v>30</v>
      </c>
      <c r="D82" t="s">
        <v>169</v>
      </c>
      <c r="E82" t="s">
        <v>313</v>
      </c>
      <c r="F82" t="s">
        <v>316</v>
      </c>
      <c r="G82">
        <v>1891</v>
      </c>
      <c r="X82" s="4" t="str">
        <f>IF(AND(T82&gt;0,W82&gt;0),(W82/((T82+U82)*10)),"")</f>
        <v/>
      </c>
      <c r="AE82" s="11">
        <v>0</v>
      </c>
      <c r="AF82" t="str">
        <f>CONCATENATE(VLOOKUP(AG82, 'Voxel Sizes'!$A$2:$B$18,2,FALSE),"x",INT(AC82*15), "x", INT(AD82*15))</f>
        <v>0x0x0</v>
      </c>
      <c r="AG82">
        <f>ROUND(15*((AB82*10)/256),0)</f>
        <v>0</v>
      </c>
      <c r="AI82" t="str">
        <f>CONCATENATE(VLOOKUP(AG82,Constants!$A$2:$C$16,IF(AH82&lt;&gt;"", 3, 2), FALSE),IF(AH82&lt;&gt;"",CONCATENATE(",",VLOOKUP(AH82,$B:$AI,34,FALSE)),""))</f>
        <v>na</v>
      </c>
      <c r="AP82">
        <v>40</v>
      </c>
      <c r="AS82">
        <f t="shared" si="5"/>
        <v>0</v>
      </c>
      <c r="AT82">
        <f t="shared" si="6"/>
        <v>0</v>
      </c>
      <c r="AU82">
        <f t="shared" si="7"/>
        <v>0</v>
      </c>
      <c r="AV82" s="4">
        <f t="shared" si="8"/>
        <v>0.65166666666666662</v>
      </c>
      <c r="AW82">
        <f t="shared" si="9"/>
        <v>0</v>
      </c>
      <c r="AX82">
        <f>VLOOKUP($E82,Constants!$I:$K, 2, FALSE)</f>
        <v>1.1499999999999999</v>
      </c>
      <c r="AY82">
        <f>VLOOKUP($E82,Constants!$I:$K, 3, FALSE)*IF(AND(D82="multiple_unit",Y82&lt;110),0.75,1)</f>
        <v>1.7</v>
      </c>
      <c r="AZ82">
        <f>INT(((Constants!$G$2+$AR82+$AS82+$AT82+$AU82+$AW82)*$AV82)*$AY82)</f>
        <v>16</v>
      </c>
      <c r="BA82">
        <f>INT(((Constants!$G$1+$AQ82+$AS82+$AT82+$AU82+$AW82)*(1/$AV82))*$AX82)</f>
        <v>61</v>
      </c>
      <c r="BG82" t="str">
        <f>VLOOKUP(G82,Eras!$A$2:$C$10, 2, TRUE)</f>
        <v>vct</v>
      </c>
      <c r="BH82" t="s">
        <v>370</v>
      </c>
      <c r="BI82" t="str">
        <f>CONCATENATE(BG82,"_",BH82)</f>
        <v>vct_Express</v>
      </c>
    </row>
    <row r="83" spans="1:61" x14ac:dyDescent="0.25">
      <c r="A83" t="s">
        <v>17</v>
      </c>
      <c r="B83" t="s">
        <v>282</v>
      </c>
      <c r="C83">
        <v>32</v>
      </c>
      <c r="D83" t="s">
        <v>169</v>
      </c>
      <c r="E83" t="s">
        <v>313</v>
      </c>
      <c r="F83" t="s">
        <v>316</v>
      </c>
      <c r="G83">
        <v>1896</v>
      </c>
      <c r="T83">
        <v>48</v>
      </c>
      <c r="W83">
        <v>68</v>
      </c>
      <c r="X83" s="4">
        <f>IF(AND(T83&gt;0,W83&gt;0),(W83/((T83+U83)*10)),"")</f>
        <v>0.14166666666666666</v>
      </c>
      <c r="Y83">
        <v>90</v>
      </c>
      <c r="AE83" s="11">
        <v>0</v>
      </c>
      <c r="AF83" t="str">
        <f>CONCATENATE(VLOOKUP(AG83, 'Voxel Sizes'!$A$2:$B$18,2,FALSE),"x",INT(AC83*15), "x", INT(AD83*15))</f>
        <v>0x0x0</v>
      </c>
      <c r="AG83">
        <f>ROUND(15*((AB83*10)/256),0)</f>
        <v>0</v>
      </c>
      <c r="AI83" t="str">
        <f>CONCATENATE(VLOOKUP(AG83,Constants!$A$2:$C$16,IF(AH83&lt;&gt;"", 3, 2), FALSE),IF(AH83&lt;&gt;"",CONCATENATE(",",VLOOKUP(AH83,$B:$AI,34,FALSE)),""))</f>
        <v>na</v>
      </c>
      <c r="AP83">
        <v>40</v>
      </c>
      <c r="AS83">
        <f t="shared" si="5"/>
        <v>18</v>
      </c>
      <c r="AT83">
        <f t="shared" si="6"/>
        <v>0</v>
      </c>
      <c r="AU83">
        <f t="shared" si="7"/>
        <v>3.4000000000000004</v>
      </c>
      <c r="AV83" s="4">
        <f t="shared" si="8"/>
        <v>0.66</v>
      </c>
      <c r="AW83">
        <f t="shared" si="9"/>
        <v>0</v>
      </c>
      <c r="AX83">
        <f>VLOOKUP($E83,Constants!$I:$K, 2, FALSE)</f>
        <v>1.1499999999999999</v>
      </c>
      <c r="AY83">
        <f>VLOOKUP($E83,Constants!$I:$K, 3, FALSE)*IF(AND(D83="multiple_unit",Y83&lt;110),0.75,1)</f>
        <v>1.7</v>
      </c>
      <c r="AZ83">
        <f>INT(((Constants!$G$2+$AR83+$AS83+$AT83+$AU83+$AW83)*$AV83)*$AY83)</f>
        <v>40</v>
      </c>
      <c r="BA83">
        <f>INT(((Constants!$G$1+$AQ83+$AS83+$AT83+$AU83+$AW83)*(1/$AV83))*$AX83)</f>
        <v>98</v>
      </c>
      <c r="BG83" t="str">
        <f>VLOOKUP(G83,Eras!$A$2:$C$10, 2, TRUE)</f>
        <v>vct</v>
      </c>
      <c r="BI83" t="str">
        <f>CONCATENATE(BG83,"_",BH83)</f>
        <v>vct_</v>
      </c>
    </row>
    <row r="84" spans="1:61" x14ac:dyDescent="0.25">
      <c r="A84" t="s">
        <v>153</v>
      </c>
      <c r="B84" t="s">
        <v>181</v>
      </c>
      <c r="C84">
        <v>34</v>
      </c>
      <c r="D84" t="s">
        <v>169</v>
      </c>
      <c r="E84" t="s">
        <v>313</v>
      </c>
      <c r="F84" t="s">
        <v>316</v>
      </c>
      <c r="G84">
        <v>1897</v>
      </c>
      <c r="H84">
        <v>1911</v>
      </c>
      <c r="W84">
        <v>87</v>
      </c>
      <c r="X84" s="4" t="str">
        <f>IF(AND(T84&gt;0,W84&gt;0),(W84/((T84+U84)*10)),"")</f>
        <v/>
      </c>
      <c r="AA84">
        <v>10.5</v>
      </c>
      <c r="AB84">
        <v>10.5</v>
      </c>
      <c r="AE84" s="11">
        <v>0</v>
      </c>
      <c r="AF84" t="str">
        <f>CONCATENATE(VLOOKUP(AG84, 'Voxel Sizes'!$A$2:$B$18,2,FALSE),"x",INT(AC84*15), "x", INT(AD84*15))</f>
        <v>102x0x0</v>
      </c>
      <c r="AG84">
        <f>ROUND(15*((AB84*10)/256),0)</f>
        <v>6</v>
      </c>
      <c r="AI84" t="str">
        <f>CONCATENATE(VLOOKUP(AG84,Constants!$A$2:$C$16,IF(AH84&lt;&gt;"", 3, 2), FALSE),IF(AH84&lt;&gt;"",CONCATENATE(",",VLOOKUP(AH84,$B:$AI,34,FALSE)),""))</f>
        <v>2,2,2</v>
      </c>
      <c r="AP84">
        <v>40</v>
      </c>
      <c r="AS84">
        <f t="shared" si="5"/>
        <v>0</v>
      </c>
      <c r="AT84">
        <f t="shared" si="6"/>
        <v>0</v>
      </c>
      <c r="AU84">
        <f t="shared" si="7"/>
        <v>4.3499999999999996</v>
      </c>
      <c r="AV84" s="4">
        <f t="shared" si="8"/>
        <v>0.66166666666666663</v>
      </c>
      <c r="AW84">
        <f t="shared" si="9"/>
        <v>0</v>
      </c>
      <c r="AX84">
        <f>VLOOKUP($E84,Constants!$I:$K, 2, FALSE)</f>
        <v>1.1499999999999999</v>
      </c>
      <c r="AY84">
        <f>VLOOKUP($E84,Constants!$I:$K, 3, FALSE)*IF(AND(D84="multiple_unit",Y84&lt;110),0.75,1)</f>
        <v>1.7</v>
      </c>
      <c r="AZ84">
        <f>INT(((Constants!$G$2+$AR84+$AS84+$AT84+$AU84+$AW84)*$AV84)*$AY84)</f>
        <v>21</v>
      </c>
      <c r="BA84">
        <f>INT(((Constants!$G$1+$AQ84+$AS84+$AT84+$AU84+$AW84)*(1/$AV84))*$AX84)</f>
        <v>68</v>
      </c>
      <c r="BG84" t="str">
        <f>VLOOKUP(G84,Eras!$A$2:$C$10, 2, TRUE)</f>
        <v>vct</v>
      </c>
      <c r="BI84" t="str">
        <f>CONCATENATE(BG84,"_",BH84)</f>
        <v>vct_</v>
      </c>
    </row>
    <row r="85" spans="1:61" x14ac:dyDescent="0.25">
      <c r="A85" t="s">
        <v>12</v>
      </c>
      <c r="B85" t="s">
        <v>281</v>
      </c>
      <c r="C85">
        <v>36</v>
      </c>
      <c r="D85" t="s">
        <v>169</v>
      </c>
      <c r="E85" t="s">
        <v>313</v>
      </c>
      <c r="F85" t="s">
        <v>316</v>
      </c>
      <c r="G85">
        <v>1899</v>
      </c>
      <c r="X85" s="4" t="str">
        <f>IF(AND(T85&gt;0,W85&gt;0),(W85/((T85+U85)*10)),"")</f>
        <v/>
      </c>
      <c r="AE85" s="11">
        <v>0</v>
      </c>
      <c r="AF85" t="str">
        <f>CONCATENATE(VLOOKUP(AG85, 'Voxel Sizes'!$A$2:$B$18,2,FALSE),"x",INT(AC85*15), "x", INT(AD85*15))</f>
        <v>0x0x0</v>
      </c>
      <c r="AG85">
        <f>ROUND(15*((AB85*10)/256),0)</f>
        <v>0</v>
      </c>
      <c r="AI85" t="str">
        <f>CONCATENATE(VLOOKUP(AG85,Constants!$A$2:$C$16,IF(AH85&lt;&gt;"", 3, 2), FALSE),IF(AH85&lt;&gt;"",CONCATENATE(",",VLOOKUP(AH85,$B:$AI,34,FALSE)),""))</f>
        <v>na</v>
      </c>
      <c r="AP85">
        <v>40</v>
      </c>
      <c r="AS85">
        <f t="shared" si="5"/>
        <v>0</v>
      </c>
      <c r="AT85">
        <f t="shared" si="6"/>
        <v>0</v>
      </c>
      <c r="AU85">
        <f t="shared" si="7"/>
        <v>0</v>
      </c>
      <c r="AV85" s="4">
        <f t="shared" si="8"/>
        <v>0.66500000000000004</v>
      </c>
      <c r="AW85">
        <f t="shared" si="9"/>
        <v>0</v>
      </c>
      <c r="AX85">
        <f>VLOOKUP($E85,Constants!$I:$K, 2, FALSE)</f>
        <v>1.1499999999999999</v>
      </c>
      <c r="AY85">
        <f>VLOOKUP($E85,Constants!$I:$K, 3, FALSE)*IF(AND(D85="multiple_unit",Y85&lt;110),0.75,1)</f>
        <v>1.7</v>
      </c>
      <c r="AZ85">
        <f>INT(((Constants!$G$2+$AR85+$AS85+$AT85+$AU85+$AW85)*$AV85)*$AY85)</f>
        <v>16</v>
      </c>
      <c r="BA85">
        <f>INT(((Constants!$G$1+$AQ85+$AS85+$AT85+$AU85+$AW85)*(1/$AV85))*$AX85)</f>
        <v>60</v>
      </c>
      <c r="BG85" t="str">
        <f>VLOOKUP(G85,Eras!$A$2:$C$10, 2, TRUE)</f>
        <v>vct</v>
      </c>
      <c r="BI85" t="str">
        <f>CONCATENATE(BG85,"_",BH85)</f>
        <v>vct_</v>
      </c>
    </row>
    <row r="86" spans="1:61" x14ac:dyDescent="0.25">
      <c r="A86" t="s">
        <v>150</v>
      </c>
      <c r="B86" t="s">
        <v>279</v>
      </c>
      <c r="C86">
        <v>38</v>
      </c>
      <c r="D86" t="s">
        <v>169</v>
      </c>
      <c r="E86" t="s">
        <v>313</v>
      </c>
      <c r="F86" t="s">
        <v>316</v>
      </c>
      <c r="G86">
        <v>1899</v>
      </c>
      <c r="H86">
        <v>1902</v>
      </c>
      <c r="T86">
        <v>49.5</v>
      </c>
      <c r="W86">
        <v>92</v>
      </c>
      <c r="X86" s="4">
        <f>IF(AND(T86&gt;0,W86&gt;0),(W86/((T86+U86)*10)),"")</f>
        <v>0.18585858585858586</v>
      </c>
      <c r="AE86" s="11">
        <v>0</v>
      </c>
      <c r="AF86" t="str">
        <f>CONCATENATE(VLOOKUP(AG86, 'Voxel Sizes'!$A$2:$B$18,2,FALSE),"x",INT(AC86*15), "x", INT(AD86*15))</f>
        <v>0x0x0</v>
      </c>
      <c r="AG86">
        <f>ROUND(15*((AB86*10)/256),0)</f>
        <v>0</v>
      </c>
      <c r="AI86" t="str">
        <f>CONCATENATE(VLOOKUP(AG86,Constants!$A$2:$C$16,IF(AH86&lt;&gt;"", 3, 2), FALSE),IF(AH86&lt;&gt;"",CONCATENATE(",",VLOOKUP(AH86,$B:$AI,34,FALSE)),""))</f>
        <v>na</v>
      </c>
      <c r="AP86">
        <v>40</v>
      </c>
      <c r="AS86">
        <f t="shared" si="5"/>
        <v>0</v>
      </c>
      <c r="AT86">
        <f t="shared" si="6"/>
        <v>0</v>
      </c>
      <c r="AU86">
        <f t="shared" si="7"/>
        <v>4.6000000000000005</v>
      </c>
      <c r="AV86" s="4">
        <f t="shared" si="8"/>
        <v>0.66500000000000004</v>
      </c>
      <c r="AW86">
        <f t="shared" si="9"/>
        <v>0</v>
      </c>
      <c r="AX86">
        <f>VLOOKUP($E86,Constants!$I:$K, 2, FALSE)</f>
        <v>1.1499999999999999</v>
      </c>
      <c r="AY86">
        <f>VLOOKUP($E86,Constants!$I:$K, 3, FALSE)*IF(AND(D86="multiple_unit",Y86&lt;110),0.75,1)</f>
        <v>1.7</v>
      </c>
      <c r="AZ86">
        <f>INT(((Constants!$G$2+$AR86+$AS86+$AT86+$AU86+$AW86)*$AV86)*$AY86)</f>
        <v>22</v>
      </c>
      <c r="BA86">
        <f>INT(((Constants!$G$1+$AQ86+$AS86+$AT86+$AU86+$AW86)*(1/$AV86))*$AX86)</f>
        <v>68</v>
      </c>
      <c r="BG86" t="str">
        <f>VLOOKUP(G86,Eras!$A$2:$C$10, 2, TRUE)</f>
        <v>vct</v>
      </c>
      <c r="BI86" t="str">
        <f>CONCATENATE(BG86,"_",BH86)</f>
        <v>vct_</v>
      </c>
    </row>
    <row r="87" spans="1:61" x14ac:dyDescent="0.25">
      <c r="A87" t="s">
        <v>38</v>
      </c>
      <c r="B87" t="s">
        <v>187</v>
      </c>
      <c r="C87">
        <v>67</v>
      </c>
      <c r="D87" t="s">
        <v>169</v>
      </c>
      <c r="E87" t="s">
        <v>313</v>
      </c>
      <c r="F87" t="s">
        <v>316</v>
      </c>
      <c r="G87">
        <v>1921</v>
      </c>
      <c r="H87">
        <v>1922</v>
      </c>
      <c r="T87">
        <v>63</v>
      </c>
      <c r="U87" s="9">
        <v>41</v>
      </c>
      <c r="W87">
        <v>125</v>
      </c>
      <c r="X87" s="4">
        <f>IF(AND(T87&gt;0,W87&gt;0),(W87/((T87+U87)*10)),"")</f>
        <v>0.1201923076923077</v>
      </c>
      <c r="AE87" s="11">
        <v>0</v>
      </c>
      <c r="AF87" t="str">
        <f>CONCATENATE(VLOOKUP(AG87, 'Voxel Sizes'!$A$2:$B$18,2,FALSE),"x",INT(AC87*15), "x", INT(AD87*15))</f>
        <v>0x0x0</v>
      </c>
      <c r="AG87">
        <f>ROUND(15*((AB87*10)/256),0)</f>
        <v>0</v>
      </c>
      <c r="AI87" t="str">
        <f>CONCATENATE(VLOOKUP(AG87,Constants!$A$2:$C$16,IF(AH87&lt;&gt;"", 3, 2), FALSE),IF(AH87&lt;&gt;"",CONCATENATE(",",VLOOKUP(AH87,$B:$AI,34,FALSE)),""))</f>
        <v>na</v>
      </c>
      <c r="AP87">
        <v>40</v>
      </c>
      <c r="AS87">
        <f t="shared" si="5"/>
        <v>0</v>
      </c>
      <c r="AT87">
        <f t="shared" si="6"/>
        <v>0</v>
      </c>
      <c r="AU87">
        <f t="shared" si="7"/>
        <v>6.25</v>
      </c>
      <c r="AV87" s="4">
        <f t="shared" si="8"/>
        <v>0.70166666666666666</v>
      </c>
      <c r="AW87">
        <f t="shared" si="9"/>
        <v>0</v>
      </c>
      <c r="AX87">
        <f>VLOOKUP($E87,Constants!$I:$K, 2, FALSE)</f>
        <v>1.1499999999999999</v>
      </c>
      <c r="AY87">
        <f>VLOOKUP($E87,Constants!$I:$K, 3, FALSE)*IF(AND(D87="multiple_unit",Y87&lt;110),0.75,1)</f>
        <v>1.7</v>
      </c>
      <c r="AZ87">
        <f>INT(((Constants!$G$2+$AR87+$AS87+$AT87+$AU87+$AW87)*$AV87)*$AY87)</f>
        <v>25</v>
      </c>
      <c r="BA87">
        <f>INT(((Constants!$G$1+$AQ87+$AS87+$AT87+$AU87+$AW87)*(1/$AV87))*$AX87)</f>
        <v>67</v>
      </c>
      <c r="BG87" t="str">
        <f>VLOOKUP(G87,Eras!$A$2:$C$10, 2, TRUE)</f>
        <v>edw</v>
      </c>
      <c r="BI87" t="str">
        <f>CONCATENATE(BG87,"_",BH87)</f>
        <v>edw_</v>
      </c>
    </row>
    <row r="88" spans="1:61" x14ac:dyDescent="0.25">
      <c r="A88" t="s">
        <v>24</v>
      </c>
      <c r="B88" t="s">
        <v>188</v>
      </c>
      <c r="C88">
        <v>69</v>
      </c>
      <c r="D88" t="s">
        <v>169</v>
      </c>
      <c r="E88" t="s">
        <v>313</v>
      </c>
      <c r="F88" t="s">
        <v>316</v>
      </c>
      <c r="G88">
        <v>1922</v>
      </c>
      <c r="H88">
        <v>1924</v>
      </c>
      <c r="W88">
        <v>119</v>
      </c>
      <c r="X88" s="4" t="str">
        <f>IF(AND(T88&gt;0,W88&gt;0),(W88/((T88+U88)*10)),"")</f>
        <v/>
      </c>
      <c r="AE88" s="11">
        <v>0</v>
      </c>
      <c r="AF88" t="str">
        <f>CONCATENATE(VLOOKUP(AG88, 'Voxel Sizes'!$A$2:$B$18,2,FALSE),"x",INT(AC88*15), "x", INT(AD88*15))</f>
        <v>0x0x0</v>
      </c>
      <c r="AG88">
        <f>ROUND(15*((AB88*10)/256),0)</f>
        <v>0</v>
      </c>
      <c r="AI88" t="str">
        <f>CONCATENATE(VLOOKUP(AG88,Constants!$A$2:$C$16,IF(AH88&lt;&gt;"", 3, 2), FALSE),IF(AH88&lt;&gt;"",CONCATENATE(",",VLOOKUP(AH88,$B:$AI,34,FALSE)),""))</f>
        <v>na</v>
      </c>
      <c r="AP88">
        <v>40</v>
      </c>
      <c r="AS88">
        <f t="shared" si="5"/>
        <v>0</v>
      </c>
      <c r="AT88">
        <f t="shared" si="6"/>
        <v>0</v>
      </c>
      <c r="AU88">
        <f t="shared" si="7"/>
        <v>5.9499999999999993</v>
      </c>
      <c r="AV88" s="4">
        <f t="shared" si="8"/>
        <v>0.70333333333333337</v>
      </c>
      <c r="AW88">
        <f t="shared" si="9"/>
        <v>0</v>
      </c>
      <c r="AX88">
        <f>VLOOKUP($E88,Constants!$I:$K, 2, FALSE)</f>
        <v>1.1499999999999999</v>
      </c>
      <c r="AY88">
        <f>VLOOKUP($E88,Constants!$I:$K, 3, FALSE)*IF(AND(D88="multiple_unit",Y88&lt;110),0.75,1)</f>
        <v>1.7</v>
      </c>
      <c r="AZ88">
        <f>INT(((Constants!$G$2+$AR88+$AS88+$AT88+$AU88+$AW88)*$AV88)*$AY88)</f>
        <v>25</v>
      </c>
      <c r="BA88">
        <f>INT(((Constants!$G$1+$AQ88+$AS88+$AT88+$AU88+$AW88)*(1/$AV88))*$AX88)</f>
        <v>66</v>
      </c>
      <c r="BG88" t="str">
        <f>VLOOKUP(G88,Eras!$A$2:$C$10, 2, TRUE)</f>
        <v>edw</v>
      </c>
      <c r="BI88" t="str">
        <f>CONCATENATE(BG88,"_",BH88)</f>
        <v>edw_</v>
      </c>
    </row>
    <row r="89" spans="1:61" x14ac:dyDescent="0.25">
      <c r="A89" t="s">
        <v>13</v>
      </c>
      <c r="B89" t="s">
        <v>195</v>
      </c>
      <c r="C89">
        <v>125</v>
      </c>
      <c r="D89" t="s">
        <v>169</v>
      </c>
      <c r="E89" t="s">
        <v>313</v>
      </c>
      <c r="F89" t="s">
        <v>316</v>
      </c>
      <c r="G89">
        <v>1942</v>
      </c>
      <c r="T89">
        <v>72</v>
      </c>
      <c r="W89">
        <v>119</v>
      </c>
      <c r="X89" s="4">
        <f>IF(AND(T89&gt;0,W89&gt;0),(W89/((T89+U89)*10)),"")</f>
        <v>0.16527777777777777</v>
      </c>
      <c r="AE89" s="11">
        <v>0</v>
      </c>
      <c r="AF89" t="str">
        <f>CONCATENATE(VLOOKUP(AG89, 'Voxel Sizes'!$A$2:$B$18,2,FALSE),"x",INT(AC89*15), "x", INT(AD89*15))</f>
        <v>0x0x0</v>
      </c>
      <c r="AG89">
        <f>ROUND(15*((AB89*10)/256),0)</f>
        <v>0</v>
      </c>
      <c r="AI89" t="str">
        <f>CONCATENATE(VLOOKUP(AG89,Constants!$A$2:$C$16,IF(AH89&lt;&gt;"", 3, 2), FALSE),IF(AH89&lt;&gt;"",CONCATENATE(",",VLOOKUP(AH89,$B:$AI,34,FALSE)),""))</f>
        <v>na</v>
      </c>
      <c r="AP89">
        <v>40</v>
      </c>
      <c r="AS89">
        <f t="shared" si="5"/>
        <v>0</v>
      </c>
      <c r="AT89">
        <f t="shared" si="6"/>
        <v>0</v>
      </c>
      <c r="AU89">
        <f t="shared" si="7"/>
        <v>5.9499999999999993</v>
      </c>
      <c r="AV89" s="4">
        <f t="shared" si="8"/>
        <v>0.73666666666666669</v>
      </c>
      <c r="AW89">
        <f t="shared" si="9"/>
        <v>0</v>
      </c>
      <c r="AX89">
        <f>VLOOKUP($E89,Constants!$I:$K, 2, FALSE)</f>
        <v>1.1499999999999999</v>
      </c>
      <c r="AY89">
        <f>VLOOKUP($E89,Constants!$I:$K, 3, FALSE)*IF(AND(D89="multiple_unit",Y89&lt;110),0.75,1)</f>
        <v>1.7</v>
      </c>
      <c r="AZ89">
        <f>INT(((Constants!$G$2+$AR89+$AS89+$AT89+$AU89+$AW89)*$AV89)*$AY89)</f>
        <v>26</v>
      </c>
      <c r="BA89">
        <f>INT(((Constants!$G$1+$AQ89+$AS89+$AT89+$AU89+$AW89)*(1/$AV89))*$AX89)</f>
        <v>63</v>
      </c>
      <c r="BG89" t="str">
        <f>VLOOKUP(G89,Eras!$A$2:$C$10, 2, TRUE)</f>
        <v>big4</v>
      </c>
      <c r="BI89" t="str">
        <f>CONCATENATE(BG89,"_",BH89)</f>
        <v>big4_</v>
      </c>
    </row>
    <row r="90" spans="1:61" ht="14.25" customHeight="1" x14ac:dyDescent="0.25">
      <c r="A90" t="s">
        <v>84</v>
      </c>
      <c r="B90" t="s">
        <v>214</v>
      </c>
      <c r="C90">
        <v>165</v>
      </c>
      <c r="D90" t="s">
        <v>169</v>
      </c>
      <c r="E90" t="s">
        <v>314</v>
      </c>
      <c r="F90" t="s">
        <v>316</v>
      </c>
      <c r="G90">
        <v>1956</v>
      </c>
      <c r="H90">
        <v>1959</v>
      </c>
      <c r="I90">
        <v>1988</v>
      </c>
      <c r="K90">
        <v>300</v>
      </c>
      <c r="T90">
        <f>30.5*2</f>
        <v>61</v>
      </c>
      <c r="X90" s="4" t="str">
        <f>IF(AND(T90&gt;0,W90&gt;0),(W90/((T90+U90)*10)),"")</f>
        <v/>
      </c>
      <c r="Y90">
        <v>70</v>
      </c>
      <c r="AA90">
        <v>17.53</v>
      </c>
      <c r="AB90">
        <v>17.53</v>
      </c>
      <c r="AD90">
        <v>3.84</v>
      </c>
      <c r="AE90" s="11">
        <v>0</v>
      </c>
      <c r="AF90" t="str">
        <f>CONCATENATE(VLOOKUP(AG90, 'Voxel Sizes'!$A$2:$B$18,2,FALSE),"x",INT(AC90*15), "x", INT(AD90*15))</f>
        <v>164x0x57</v>
      </c>
      <c r="AG90">
        <f>ROUND(15*((AB90*10)/256),0)</f>
        <v>10</v>
      </c>
      <c r="AI90" t="str">
        <f>CONCATENATE(VLOOKUP(AG90,Constants!$A$2:$C$16,IF(AH90&lt;&gt;"", 3, 2), FALSE),IF(AH90&lt;&gt;"",CONCATENATE(",",VLOOKUP(AH90,$B:$AI,34,FALSE)),""))</f>
        <v>4,2,4</v>
      </c>
      <c r="AP90">
        <v>55</v>
      </c>
      <c r="AS90">
        <f t="shared" si="5"/>
        <v>14</v>
      </c>
      <c r="AT90">
        <f t="shared" si="6"/>
        <v>1.5</v>
      </c>
      <c r="AU90">
        <f t="shared" si="7"/>
        <v>0</v>
      </c>
      <c r="AV90" s="4">
        <f t="shared" si="8"/>
        <v>0.76</v>
      </c>
      <c r="AW90">
        <f t="shared" si="9"/>
        <v>0</v>
      </c>
      <c r="AX90">
        <f>VLOOKUP($E90,Constants!$I:$K, 2, FALSE)</f>
        <v>1</v>
      </c>
      <c r="AY90">
        <f>VLOOKUP($E90,Constants!$I:$K, 3, FALSE)*IF(AND(D90="multiple_unit",Y90&lt;110),0.75,1)</f>
        <v>2</v>
      </c>
      <c r="AZ90">
        <f>INT(((Constants!$G$2+$AR90+$AS90+$AT90+$AU90+$AW90)*$AV90)*$AY90)</f>
        <v>46</v>
      </c>
      <c r="BA90">
        <f>INT(((Constants!$G$1+$AQ90+$AS90+$AT90+$AU90+$AW90)*(1/$AV90))*$AX90)</f>
        <v>66</v>
      </c>
      <c r="BG90" t="str">
        <f>VLOOKUP(G90,Eras!$A$2:$C$10, 2, TRUE)</f>
        <v>dsl</v>
      </c>
      <c r="BI90" t="str">
        <f>CONCATENATE(BG90,"_",BH90)</f>
        <v>dsl_</v>
      </c>
    </row>
    <row r="91" spans="1:61" x14ac:dyDescent="0.25">
      <c r="A91" t="s">
        <v>575</v>
      </c>
      <c r="B91" t="s">
        <v>576</v>
      </c>
      <c r="C91">
        <v>189</v>
      </c>
      <c r="D91" t="s">
        <v>169</v>
      </c>
      <c r="E91" t="s">
        <v>314</v>
      </c>
      <c r="F91" t="s">
        <v>316</v>
      </c>
      <c r="G91">
        <v>1959</v>
      </c>
      <c r="H91">
        <v>1961</v>
      </c>
      <c r="I91">
        <v>1990</v>
      </c>
      <c r="K91">
        <v>600</v>
      </c>
      <c r="T91">
        <f>36.6+30.5+36.6</f>
        <v>103.69999999999999</v>
      </c>
      <c r="X91" s="4" t="str">
        <f>IF(AND(T91&gt;0,W91&gt;0),(W91/((T91+U91)*10)),"")</f>
        <v/>
      </c>
      <c r="Y91">
        <v>70</v>
      </c>
      <c r="AA91">
        <v>19.510000000000002</v>
      </c>
      <c r="AB91">
        <v>19.510000000000002</v>
      </c>
      <c r="AD91">
        <v>3.87</v>
      </c>
      <c r="AE91" s="11">
        <v>0</v>
      </c>
      <c r="AF91" t="str">
        <f>CONCATENATE(VLOOKUP(AG91, 'Voxel Sizes'!$A$2:$B$18,2,FALSE),"x",INT(AC91*15), "x", INT(AD91*15))</f>
        <v>186x0x58</v>
      </c>
      <c r="AG91">
        <f>ROUND(15*((AB91*10)/256),0)</f>
        <v>11</v>
      </c>
      <c r="AI91" t="str">
        <f>CONCATENATE(VLOOKUP(AG91,Constants!$A$2:$C$16,IF(AH91&lt;&gt;"", 3, 2), FALSE),IF(AH91&lt;&gt;"",CONCATENATE(",",VLOOKUP(AH91,$B:$AI,34,FALSE)),""))</f>
        <v>4,3,4</v>
      </c>
      <c r="AP91">
        <v>49</v>
      </c>
      <c r="AS91">
        <f t="shared" si="5"/>
        <v>14</v>
      </c>
      <c r="AT91">
        <f t="shared" si="6"/>
        <v>3</v>
      </c>
      <c r="AU91">
        <f t="shared" si="7"/>
        <v>0</v>
      </c>
      <c r="AV91" s="4">
        <f t="shared" si="8"/>
        <v>0.76500000000000001</v>
      </c>
      <c r="AW91">
        <f t="shared" si="9"/>
        <v>0</v>
      </c>
      <c r="AX91">
        <f>VLOOKUP($E91,Constants!$I:$K, 2, FALSE)</f>
        <v>1</v>
      </c>
      <c r="AY91">
        <f>VLOOKUP($E91,Constants!$I:$K, 3, FALSE)*IF(AND(D91="multiple_unit",Y91&lt;110),0.75,1)</f>
        <v>2</v>
      </c>
      <c r="AZ91">
        <f>INT(((Constants!$G$2+$AR91+$AS91+$AT91+$AU91+$AW91)*$AV91)*$AY91)</f>
        <v>48</v>
      </c>
      <c r="BA91">
        <f>INT(((Constants!$G$1+$AQ91+$AS91+$AT91+$AU91+$AW91)*(1/$AV91))*$AX91)</f>
        <v>67</v>
      </c>
      <c r="BG91" t="str">
        <f>VLOOKUP(G91,Eras!$A$2:$C$10, 2, TRUE)</f>
        <v>dsl</v>
      </c>
      <c r="BH91" t="s">
        <v>373</v>
      </c>
      <c r="BI91" t="str">
        <f>CONCATENATE(BG91,"_",BH91)</f>
        <v>dsl_DMU</v>
      </c>
    </row>
    <row r="92" spans="1:61" x14ac:dyDescent="0.25">
      <c r="A92" t="s">
        <v>87</v>
      </c>
      <c r="B92" t="s">
        <v>284</v>
      </c>
      <c r="C92">
        <v>292</v>
      </c>
      <c r="D92" t="s">
        <v>169</v>
      </c>
      <c r="E92" t="s">
        <v>338</v>
      </c>
      <c r="F92" t="s">
        <v>316</v>
      </c>
      <c r="G92">
        <v>2007</v>
      </c>
      <c r="H92">
        <v>2009</v>
      </c>
      <c r="K92">
        <f>16*280</f>
        <v>4480</v>
      </c>
      <c r="T92">
        <v>265</v>
      </c>
      <c r="X92" s="4" t="str">
        <f>IF(AND(T92&gt;0,W92&gt;0),(W92/((T92+U92)*10)),"")</f>
        <v/>
      </c>
      <c r="Y92">
        <v>157</v>
      </c>
      <c r="AA92">
        <v>20.88</v>
      </c>
      <c r="AB92">
        <v>20.88</v>
      </c>
      <c r="AD92">
        <v>3.82</v>
      </c>
      <c r="AE92" s="11">
        <v>352</v>
      </c>
      <c r="AF92" t="str">
        <f>CONCATENATE(VLOOKUP(AG92, 'Voxel Sizes'!$A$2:$B$18,2,FALSE),"x",INT(AC92*15), "x", INT(AD92*15))</f>
        <v>198x0x57</v>
      </c>
      <c r="AG92">
        <f>ROUND(15*((AB92*10)/256),0)</f>
        <v>12</v>
      </c>
      <c r="AI92" t="str">
        <f>CONCATENATE(VLOOKUP(AG92,Constants!$A$2:$C$16,IF(AH92&lt;&gt;"", 3, 2), FALSE),IF(AH92&lt;&gt;"",CONCATENATE(",",VLOOKUP(AH92,$B:$AI,34,FALSE)),""))</f>
        <v>4,4,4</v>
      </c>
      <c r="AP92">
        <v>40</v>
      </c>
      <c r="AS92">
        <f t="shared" si="5"/>
        <v>30</v>
      </c>
      <c r="AT92">
        <f t="shared" si="6"/>
        <v>20</v>
      </c>
      <c r="AU92">
        <f t="shared" si="7"/>
        <v>0</v>
      </c>
      <c r="AV92" s="4">
        <f t="shared" si="8"/>
        <v>0.84499999999999997</v>
      </c>
      <c r="AW92">
        <f t="shared" si="9"/>
        <v>10</v>
      </c>
      <c r="AX92">
        <f>VLOOKUP($E92,Constants!$I:$K, 2, FALSE)</f>
        <v>0.85</v>
      </c>
      <c r="AY92">
        <f>VLOOKUP($E92,Constants!$I:$K, 3, FALSE)*IF(AND(D92="multiple_unit",Y92&lt;110),0.75,1)</f>
        <v>2.2999999999999998</v>
      </c>
      <c r="AZ92">
        <f>INT(((Constants!$G$2+$AR92+$AS92+$AT92+$AU92+$AW92)*$AV92)*$AY92)</f>
        <v>145</v>
      </c>
      <c r="BA92">
        <f>INT(((Constants!$G$1+$AQ92+$AS92+$AT92+$AU92+$AW92)*(1/$AV92))*$AX92)</f>
        <v>95</v>
      </c>
      <c r="BG92" t="str">
        <f>VLOOKUP(G92,Eras!$A$2:$C$10, 2, TRUE)</f>
        <v>mod</v>
      </c>
      <c r="BH92" t="s">
        <v>376</v>
      </c>
      <c r="BI92" t="str">
        <f>CONCATENATE(BG92,"_",BH92)</f>
        <v>mod_EMU (Express)</v>
      </c>
    </row>
    <row r="93" spans="1:61" x14ac:dyDescent="0.25">
      <c r="A93" t="s">
        <v>65</v>
      </c>
      <c r="B93" t="s">
        <v>212</v>
      </c>
      <c r="C93">
        <v>300</v>
      </c>
      <c r="D93" t="s">
        <v>169</v>
      </c>
      <c r="E93" t="s">
        <v>596</v>
      </c>
      <c r="F93" t="s">
        <v>316</v>
      </c>
      <c r="G93">
        <v>2015</v>
      </c>
      <c r="H93">
        <v>2016</v>
      </c>
      <c r="K93">
        <v>5400</v>
      </c>
      <c r="L93" s="9">
        <v>940</v>
      </c>
      <c r="T93">
        <v>86</v>
      </c>
      <c r="W93">
        <v>317</v>
      </c>
      <c r="X93" s="4">
        <f>IF(AND(T93&gt;0,W93&gt;0),(W93/((T93+U93)*10)),"")</f>
        <v>0.36860465116279068</v>
      </c>
      <c r="Y93">
        <v>100</v>
      </c>
      <c r="AA93">
        <v>20.5</v>
      </c>
      <c r="AB93">
        <v>20.5</v>
      </c>
      <c r="AE93" s="11">
        <v>0</v>
      </c>
      <c r="AF93" t="str">
        <f>CONCATENATE(VLOOKUP(AG93, 'Voxel Sizes'!$A$2:$B$18,2,FALSE),"x",INT(AC93*15), "x", INT(AD93*15))</f>
        <v>198x0x0</v>
      </c>
      <c r="AG93">
        <f>ROUND(15*((AB93*10)/256),0)</f>
        <v>12</v>
      </c>
      <c r="AI93" t="str">
        <f>CONCATENATE(VLOOKUP(AG93,Constants!$A$2:$C$16,IF(AH93&lt;&gt;"", 3, 2), FALSE),IF(AH93&lt;&gt;"",CONCATENATE(",",VLOOKUP(AH93,$B:$AI,34,FALSE)),""))</f>
        <v>4,4,4</v>
      </c>
      <c r="AP93">
        <v>40</v>
      </c>
      <c r="AS93">
        <f t="shared" si="5"/>
        <v>20</v>
      </c>
      <c r="AT93">
        <f t="shared" si="6"/>
        <v>20</v>
      </c>
      <c r="AU93">
        <f t="shared" si="7"/>
        <v>15.85</v>
      </c>
      <c r="AV93" s="4">
        <f t="shared" si="8"/>
        <v>0.85833333333333328</v>
      </c>
      <c r="AW93">
        <f t="shared" si="9"/>
        <v>0</v>
      </c>
      <c r="AX93">
        <f>VLOOKUP($E93,Constants!$I:$K, 2, FALSE)</f>
        <v>0.9</v>
      </c>
      <c r="AY93">
        <f>VLOOKUP($E93,Constants!$I:$K, 3, FALSE)*IF(AND(D93="multiple_unit",Y93&lt;110),0.75,1)</f>
        <v>2.5</v>
      </c>
      <c r="AZ93">
        <f>INT(((Constants!$G$2+$AR93+$AS93+$AT93+$AU93+$AW93)*$AV93)*$AY93)</f>
        <v>152</v>
      </c>
      <c r="BA93">
        <f>INT(((Constants!$G$1+$AQ93+$AS93+$AT93+$AU93+$AW93)*(1/$AV93))*$AX93)</f>
        <v>95</v>
      </c>
      <c r="BG93" t="str">
        <f>VLOOKUP(G93,Eras!$A$2:$C$10, 2, TRUE)</f>
        <v>mod</v>
      </c>
      <c r="BH93" t="s">
        <v>381</v>
      </c>
      <c r="BI93" t="str">
        <f>CONCATENATE(BG93,"_",BH93)</f>
        <v>mod_Freight (Electric)</v>
      </c>
    </row>
    <row r="94" spans="1:61" x14ac:dyDescent="0.25">
      <c r="A94" t="s">
        <v>137</v>
      </c>
      <c r="B94" t="s">
        <v>241</v>
      </c>
      <c r="D94" t="s">
        <v>169</v>
      </c>
      <c r="E94" t="s">
        <v>1178</v>
      </c>
      <c r="F94" t="s">
        <v>316</v>
      </c>
      <c r="X94" s="4" t="str">
        <f>IF(AND(T94&gt;0,W94&gt;0),(W94/((T94+U94)*10)),"")</f>
        <v/>
      </c>
      <c r="AF94" t="str">
        <f>CONCATENATE(VLOOKUP(AG94, 'Voxel Sizes'!$A$2:$B$18,2,FALSE),"x",INT(AC94*15), "x", INT(AD94*15))</f>
        <v>0x0x0</v>
      </c>
      <c r="AG94">
        <f>ROUND(15*((AB94*10)/256),0)</f>
        <v>0</v>
      </c>
      <c r="AI94" t="str">
        <f>CONCATENATE(VLOOKUP(AG94,Constants!$A$2:$C$16,IF(AH94&lt;&gt;"", 3, 2), FALSE),IF(AH94&lt;&gt;"",CONCATENATE(",",VLOOKUP(AH94,$B:$AI,34,FALSE)),""))</f>
        <v>na</v>
      </c>
      <c r="AP94">
        <v>40</v>
      </c>
      <c r="AS94">
        <f t="shared" si="5"/>
        <v>0</v>
      </c>
      <c r="AT94">
        <f t="shared" si="6"/>
        <v>0</v>
      </c>
      <c r="AU94">
        <f t="shared" si="7"/>
        <v>0</v>
      </c>
      <c r="AV94" s="4">
        <f t="shared" si="8"/>
        <v>0.5</v>
      </c>
      <c r="AW94">
        <f t="shared" si="9"/>
        <v>0</v>
      </c>
      <c r="AX94">
        <f>VLOOKUP($E94,Constants!$I:$K, 2, FALSE)</f>
        <v>1</v>
      </c>
      <c r="AY94">
        <f>VLOOKUP($E94,Constants!$I:$K, 3, FALSE)*IF(AND(D94="multiple_unit",Y94&lt;110),0.75,1)</f>
        <v>0.4</v>
      </c>
      <c r="AZ94">
        <f>INT(((Constants!$G$2+$AR94+$AS94+$AT94+$AU94+$AW94)*$AV94)*$AY94)</f>
        <v>3</v>
      </c>
      <c r="BA94">
        <f>INT(((Constants!$G$1+$AQ94+$AS94+$AT94+$AU94+$AW94)*(1/$AV94))*$AX94)</f>
        <v>70</v>
      </c>
      <c r="BG94" t="e">
        <f>VLOOKUP(G94,Eras!$A$2:$C$10, 2, TRUE)</f>
        <v>#N/A</v>
      </c>
      <c r="BI94" t="e">
        <f>CONCATENATE(BG94,"_",BH94)</f>
        <v>#N/A</v>
      </c>
    </row>
    <row r="95" spans="1:61" x14ac:dyDescent="0.25">
      <c r="A95" t="s">
        <v>126</v>
      </c>
      <c r="B95" t="s">
        <v>295</v>
      </c>
      <c r="D95" t="s">
        <v>169</v>
      </c>
      <c r="E95" t="s">
        <v>1176</v>
      </c>
      <c r="F95" t="s">
        <v>316</v>
      </c>
      <c r="X95" s="4" t="str">
        <f>IF(AND(T95&gt;0,W95&gt;0),(W95/((T95+U95)*10)),"")</f>
        <v/>
      </c>
      <c r="AF95" t="str">
        <f>CONCATENATE(VLOOKUP(AG95, 'Voxel Sizes'!$A$2:$B$18,2,FALSE),"x",INT(AC95*15), "x", INT(AD95*15))</f>
        <v>0x0x0</v>
      </c>
      <c r="AG95">
        <f>ROUND(15*((AB95*10)/256),0)</f>
        <v>0</v>
      </c>
      <c r="AI95" t="str">
        <f>CONCATENATE(VLOOKUP(AG95,Constants!$A$2:$C$16,IF(AH95&lt;&gt;"", 3, 2), FALSE),IF(AH95&lt;&gt;"",CONCATENATE(",",VLOOKUP(AH95,$B:$AI,34,FALSE)),""))</f>
        <v>na</v>
      </c>
      <c r="AP95">
        <v>40</v>
      </c>
      <c r="AS95">
        <f t="shared" si="5"/>
        <v>0</v>
      </c>
      <c r="AT95">
        <f t="shared" si="6"/>
        <v>0</v>
      </c>
      <c r="AU95">
        <f t="shared" si="7"/>
        <v>0</v>
      </c>
      <c r="AV95" s="4">
        <f t="shared" si="8"/>
        <v>0.5</v>
      </c>
      <c r="AW95">
        <f t="shared" si="9"/>
        <v>0</v>
      </c>
      <c r="AX95">
        <f>VLOOKUP($E95,Constants!$I:$K, 2, FALSE)</f>
        <v>1.2</v>
      </c>
      <c r="AY95">
        <f>VLOOKUP($E95,Constants!$I:$K, 3, FALSE)*IF(AND(D95="multiple_unit",Y95&lt;110),0.75,1)</f>
        <v>0.6</v>
      </c>
      <c r="AZ95">
        <f>INT(((Constants!$G$2+$AR95+$AS95+$AT95+$AU95+$AW95)*$AV95)*$AY95)</f>
        <v>4</v>
      </c>
      <c r="BA95">
        <f>INT(((Constants!$G$1+$AQ95+$AS95+$AT95+$AU95+$AW95)*(1/$AV95))*$AX95)</f>
        <v>84</v>
      </c>
      <c r="BG95" t="e">
        <f>VLOOKUP(G95,Eras!$A$2:$C$10, 2, TRUE)</f>
        <v>#N/A</v>
      </c>
      <c r="BI95" t="e">
        <f>CONCATENATE(BG95,"_",BH95)</f>
        <v>#N/A</v>
      </c>
    </row>
    <row r="96" spans="1:61" x14ac:dyDescent="0.25">
      <c r="A96" t="s">
        <v>127</v>
      </c>
      <c r="B96" t="s">
        <v>296</v>
      </c>
      <c r="D96" t="s">
        <v>169</v>
      </c>
      <c r="E96" t="s">
        <v>1176</v>
      </c>
      <c r="F96" t="s">
        <v>316</v>
      </c>
      <c r="X96" s="4" t="str">
        <f>IF(AND(T96&gt;0,W96&gt;0),(W96/((T96+U96)*10)),"")</f>
        <v/>
      </c>
      <c r="AF96" t="str">
        <f>CONCATENATE(VLOOKUP(AG96, 'Voxel Sizes'!$A$2:$B$18,2,FALSE),"x",INT(AC96*15), "x", INT(AD96*15))</f>
        <v>0x0x0</v>
      </c>
      <c r="AG96">
        <f>ROUND(15*((AB96*10)/256),0)</f>
        <v>0</v>
      </c>
      <c r="AI96" t="str">
        <f>CONCATENATE(VLOOKUP(AG96,Constants!$A$2:$C$16,IF(AH96&lt;&gt;"", 3, 2), FALSE),IF(AH96&lt;&gt;"",CONCATENATE(",",VLOOKUP(AH96,$B:$AI,34,FALSE)),""))</f>
        <v>na</v>
      </c>
      <c r="AP96">
        <v>40</v>
      </c>
      <c r="AS96">
        <f t="shared" si="5"/>
        <v>0</v>
      </c>
      <c r="AT96">
        <f t="shared" si="6"/>
        <v>0</v>
      </c>
      <c r="AU96">
        <f t="shared" si="7"/>
        <v>0</v>
      </c>
      <c r="AV96" s="4">
        <f t="shared" si="8"/>
        <v>0.5</v>
      </c>
      <c r="AW96">
        <f t="shared" si="9"/>
        <v>0</v>
      </c>
      <c r="AX96">
        <f>VLOOKUP($E96,Constants!$I:$K, 2, FALSE)</f>
        <v>1.2</v>
      </c>
      <c r="AY96">
        <f>VLOOKUP($E96,Constants!$I:$K, 3, FALSE)*IF(AND(D96="multiple_unit",Y96&lt;110),0.75,1)</f>
        <v>0.6</v>
      </c>
      <c r="AZ96">
        <f>INT(((Constants!$G$2+$AR96+$AS96+$AT96+$AU96+$AW96)*$AV96)*$AY96)</f>
        <v>4</v>
      </c>
      <c r="BA96">
        <f>INT(((Constants!$G$1+$AQ96+$AS96+$AT96+$AU96+$AW96)*(1/$AV96))*$AX96)</f>
        <v>84</v>
      </c>
      <c r="BG96" t="e">
        <f>VLOOKUP(G96,Eras!$A$2:$C$10, 2, TRUE)</f>
        <v>#N/A</v>
      </c>
      <c r="BI96" t="e">
        <f>CONCATENATE(BG96,"_",BH96)</f>
        <v>#N/A</v>
      </c>
    </row>
    <row r="97" spans="1:62" x14ac:dyDescent="0.25">
      <c r="A97" t="s">
        <v>130</v>
      </c>
      <c r="B97" t="s">
        <v>238</v>
      </c>
      <c r="D97" t="s">
        <v>169</v>
      </c>
      <c r="E97" t="s">
        <v>1176</v>
      </c>
      <c r="F97" t="s">
        <v>316</v>
      </c>
      <c r="X97" s="4" t="str">
        <f>IF(AND(T97&gt;0,W97&gt;0),(W97/((T97+U97)*10)),"")</f>
        <v/>
      </c>
      <c r="AF97" t="str">
        <f>CONCATENATE(VLOOKUP(AG97, 'Voxel Sizes'!$A$2:$B$18,2,FALSE),"x",INT(AC97*15), "x", INT(AD97*15))</f>
        <v>0x0x0</v>
      </c>
      <c r="AG97">
        <f>ROUND(15*((AB97*10)/256),0)</f>
        <v>0</v>
      </c>
      <c r="AI97" t="str">
        <f>CONCATENATE(VLOOKUP(AG97,Constants!$A$2:$C$16,IF(AH97&lt;&gt;"", 3, 2), FALSE),IF(AH97&lt;&gt;"",CONCATENATE(",",VLOOKUP(AH97,$B:$AI,34,FALSE)),""))</f>
        <v>na</v>
      </c>
      <c r="AP97">
        <v>40</v>
      </c>
      <c r="AS97">
        <f t="shared" si="5"/>
        <v>0</v>
      </c>
      <c r="AT97">
        <f t="shared" si="6"/>
        <v>0</v>
      </c>
      <c r="AU97">
        <f t="shared" si="7"/>
        <v>0</v>
      </c>
      <c r="AV97" s="4">
        <f t="shared" si="8"/>
        <v>0.5</v>
      </c>
      <c r="AW97">
        <f t="shared" si="9"/>
        <v>0</v>
      </c>
      <c r="AX97">
        <f>VLOOKUP($E97,Constants!$I:$K, 2, FALSE)</f>
        <v>1.2</v>
      </c>
      <c r="AY97">
        <f>VLOOKUP($E97,Constants!$I:$K, 3, FALSE)*IF(AND(D97="multiple_unit",Y97&lt;110),0.75,1)</f>
        <v>0.6</v>
      </c>
      <c r="AZ97">
        <f>INT(((Constants!$G$2+$AR97+$AS97+$AT97+$AU97+$AW97)*$AV97)*$AY97)</f>
        <v>4</v>
      </c>
      <c r="BA97">
        <f>INT(((Constants!$G$1+$AQ97+$AS97+$AT97+$AU97+$AW97)*(1/$AV97))*$AX97)</f>
        <v>84</v>
      </c>
      <c r="BG97" t="e">
        <f>VLOOKUP(G97,Eras!$A$2:$C$10, 2, TRUE)</f>
        <v>#N/A</v>
      </c>
      <c r="BI97" t="e">
        <f>CONCATENATE(BG97,"_",BH97)</f>
        <v>#N/A</v>
      </c>
    </row>
    <row r="98" spans="1:62" x14ac:dyDescent="0.25">
      <c r="A98" t="s">
        <v>107</v>
      </c>
      <c r="B98" t="s">
        <v>269</v>
      </c>
      <c r="D98" t="s">
        <v>169</v>
      </c>
      <c r="E98" t="s">
        <v>1179</v>
      </c>
      <c r="F98" t="s">
        <v>316</v>
      </c>
      <c r="X98" s="4" t="str">
        <f>IF(AND(T98&gt;0,W98&gt;0),(W98/((T98+U98)*10)),"")</f>
        <v/>
      </c>
      <c r="AF98" t="str">
        <f>CONCATENATE(VLOOKUP(AG98, 'Voxel Sizes'!$A$2:$B$18,2,FALSE),"x",INT(AC98*15), "x", INT(AD98*15))</f>
        <v>0x0x0</v>
      </c>
      <c r="AG98">
        <f>ROUND(15*((AB98*10)/256),0)</f>
        <v>0</v>
      </c>
      <c r="AI98" t="str">
        <f>CONCATENATE(VLOOKUP(AG98,Constants!$A$2:$C$16,IF(AH98&lt;&gt;"", 3, 2), FALSE),IF(AH98&lt;&gt;"",CONCATENATE(",",VLOOKUP(AH98,$B:$AI,34,FALSE)),""))</f>
        <v>na</v>
      </c>
      <c r="AP98">
        <v>40</v>
      </c>
      <c r="AS98">
        <f t="shared" si="5"/>
        <v>0</v>
      </c>
      <c r="AT98">
        <f t="shared" si="6"/>
        <v>0</v>
      </c>
      <c r="AU98">
        <f t="shared" si="7"/>
        <v>0</v>
      </c>
      <c r="AV98" s="4">
        <f t="shared" si="8"/>
        <v>0.5</v>
      </c>
      <c r="AW98">
        <f t="shared" si="9"/>
        <v>0</v>
      </c>
      <c r="AX98">
        <f>VLOOKUP($E98,Constants!$I:$K, 2, FALSE)</f>
        <v>1</v>
      </c>
      <c r="AY98">
        <f>VLOOKUP($E98,Constants!$I:$K, 3, FALSE)*IF(AND(D98="multiple_unit",Y98&lt;110),0.75,1)</f>
        <v>1</v>
      </c>
      <c r="AZ98">
        <f>INT(((Constants!$G$2+$AR98+$AS98+$AT98+$AU98+$AW98)*$AV98)*$AY98)</f>
        <v>7</v>
      </c>
      <c r="BA98">
        <f>INT(((Constants!$G$1+$AQ98+$AS98+$AT98+$AU98+$AW98)*(1/$AV98))*$AX98)</f>
        <v>70</v>
      </c>
      <c r="BG98" t="e">
        <f>VLOOKUP(G98,Eras!$A$2:$C$10, 2, TRUE)</f>
        <v>#N/A</v>
      </c>
      <c r="BI98" t="e">
        <f>CONCATENATE(BG98,"_",BH98)</f>
        <v>#N/A</v>
      </c>
    </row>
    <row r="99" spans="1:62" x14ac:dyDescent="0.25">
      <c r="A99" t="s">
        <v>109</v>
      </c>
      <c r="B99" t="s">
        <v>223</v>
      </c>
      <c r="D99" t="s">
        <v>169</v>
      </c>
      <c r="E99" t="s">
        <v>1179</v>
      </c>
      <c r="F99" t="s">
        <v>316</v>
      </c>
      <c r="X99" s="4" t="str">
        <f>IF(AND(T99&gt;0,W99&gt;0),(W99/((T99+U99)*10)),"")</f>
        <v/>
      </c>
      <c r="AF99" t="str">
        <f>CONCATENATE(VLOOKUP(AG99, 'Voxel Sizes'!$A$2:$B$18,2,FALSE),"x",INT(AC99*15), "x", INT(AD99*15))</f>
        <v>0x0x0</v>
      </c>
      <c r="AG99">
        <f>ROUND(15*((AB99*10)/256),0)</f>
        <v>0</v>
      </c>
      <c r="AI99" t="str">
        <f>CONCATENATE(VLOOKUP(AG99,Constants!$A$2:$C$16,IF(AH99&lt;&gt;"", 3, 2), FALSE),IF(AH99&lt;&gt;"",CONCATENATE(",",VLOOKUP(AH99,$B:$AI,34,FALSE)),""))</f>
        <v>na</v>
      </c>
      <c r="AP99">
        <v>40</v>
      </c>
      <c r="AS99">
        <f t="shared" si="5"/>
        <v>0</v>
      </c>
      <c r="AT99">
        <f t="shared" si="6"/>
        <v>0</v>
      </c>
      <c r="AU99">
        <f t="shared" si="7"/>
        <v>0</v>
      </c>
      <c r="AV99" s="4">
        <f t="shared" si="8"/>
        <v>0.5</v>
      </c>
      <c r="AW99">
        <f t="shared" si="9"/>
        <v>0</v>
      </c>
      <c r="AX99">
        <f>VLOOKUP($E99,Constants!$I:$K, 2, FALSE)</f>
        <v>1</v>
      </c>
      <c r="AY99">
        <f>VLOOKUP($E99,Constants!$I:$K, 3, FALSE)*IF(AND(D99="multiple_unit",Y99&lt;110),0.75,1)</f>
        <v>1</v>
      </c>
      <c r="AZ99">
        <f>INT(((Constants!$G$2+$AR99+$AS99+$AT99+$AU99+$AW99)*$AV99)*$AY99)</f>
        <v>7</v>
      </c>
      <c r="BA99">
        <f>INT(((Constants!$G$1+$AQ99+$AS99+$AT99+$AU99+$AW99)*(1/$AV99))*$AX99)</f>
        <v>70</v>
      </c>
      <c r="BG99" t="e">
        <f>VLOOKUP(G99,Eras!$A$2:$C$10, 2, TRUE)</f>
        <v>#N/A</v>
      </c>
      <c r="BI99" t="e">
        <f>CONCATENATE(BG99,"_",BH99)</f>
        <v>#N/A</v>
      </c>
    </row>
    <row r="100" spans="1:62" x14ac:dyDescent="0.25">
      <c r="A100" t="s">
        <v>110</v>
      </c>
      <c r="B100" t="s">
        <v>224</v>
      </c>
      <c r="D100" t="s">
        <v>169</v>
      </c>
      <c r="E100" t="s">
        <v>1179</v>
      </c>
      <c r="F100" t="s">
        <v>316</v>
      </c>
      <c r="X100" s="4" t="str">
        <f>IF(AND(T100&gt;0,W100&gt;0),(W100/((T100+U100)*10)),"")</f>
        <v/>
      </c>
      <c r="AF100" t="str">
        <f>CONCATENATE(VLOOKUP(AG100, 'Voxel Sizes'!$A$2:$B$18,2,FALSE),"x",INT(AC100*15), "x", INT(AD100*15))</f>
        <v>0x0x0</v>
      </c>
      <c r="AG100">
        <f>ROUND(15*((AB100*10)/256),0)</f>
        <v>0</v>
      </c>
      <c r="AI100" t="str">
        <f>CONCATENATE(VLOOKUP(AG100,Constants!$A$2:$C$16,IF(AH100&lt;&gt;"", 3, 2), FALSE),IF(AH100&lt;&gt;"",CONCATENATE(",",VLOOKUP(AH100,$B:$AI,34,FALSE)),""))</f>
        <v>na</v>
      </c>
      <c r="AP100">
        <v>40</v>
      </c>
      <c r="AS100">
        <f t="shared" si="5"/>
        <v>0</v>
      </c>
      <c r="AT100">
        <f t="shared" si="6"/>
        <v>0</v>
      </c>
      <c r="AU100">
        <f t="shared" si="7"/>
        <v>0</v>
      </c>
      <c r="AV100" s="4">
        <f t="shared" si="8"/>
        <v>0.5</v>
      </c>
      <c r="AW100">
        <f t="shared" si="9"/>
        <v>0</v>
      </c>
      <c r="AX100">
        <f>VLOOKUP($E100,Constants!$I:$K, 2, FALSE)</f>
        <v>1</v>
      </c>
      <c r="AY100">
        <f>VLOOKUP($E100,Constants!$I:$K, 3, FALSE)*IF(AND(D100="multiple_unit",Y100&lt;110),0.75,1)</f>
        <v>1</v>
      </c>
      <c r="AZ100">
        <f>INT(((Constants!$G$2+$AR100+$AS100+$AT100+$AU100+$AW100)*$AV100)*$AY100)</f>
        <v>7</v>
      </c>
      <c r="BA100">
        <f>INT(((Constants!$G$1+$AQ100+$AS100+$AT100+$AU100+$AW100)*(1/$AV100))*$AX100)</f>
        <v>70</v>
      </c>
      <c r="BG100" t="e">
        <f>VLOOKUP(G100,Eras!$A$2:$C$10, 2, TRUE)</f>
        <v>#N/A</v>
      </c>
      <c r="BI100" t="e">
        <f>CONCATENATE(BG100,"_",BH100)</f>
        <v>#N/A</v>
      </c>
    </row>
    <row r="101" spans="1:62" x14ac:dyDescent="0.25">
      <c r="A101" t="s">
        <v>111</v>
      </c>
      <c r="B101" t="s">
        <v>267</v>
      </c>
      <c r="D101" t="s">
        <v>169</v>
      </c>
      <c r="E101" t="s">
        <v>1179</v>
      </c>
      <c r="F101" t="s">
        <v>316</v>
      </c>
      <c r="X101" s="4" t="str">
        <f>IF(AND(T101&gt;0,W101&gt;0),(W101/((T101+U101)*10)),"")</f>
        <v/>
      </c>
      <c r="AF101" t="str">
        <f>CONCATENATE(VLOOKUP(AG101, 'Voxel Sizes'!$A$2:$B$18,2,FALSE),"x",INT(AC101*15), "x", INT(AD101*15))</f>
        <v>0x0x0</v>
      </c>
      <c r="AG101">
        <f>ROUND(15*((AB101*10)/256),0)</f>
        <v>0</v>
      </c>
      <c r="AI101" t="str">
        <f>CONCATENATE(VLOOKUP(AG101,Constants!$A$2:$C$16,IF(AH101&lt;&gt;"", 3, 2), FALSE),IF(AH101&lt;&gt;"",CONCATENATE(",",VLOOKUP(AH101,$B:$AI,34,FALSE)),""))</f>
        <v>na</v>
      </c>
      <c r="AP101">
        <v>40</v>
      </c>
      <c r="AS101">
        <f t="shared" si="5"/>
        <v>0</v>
      </c>
      <c r="AT101">
        <f t="shared" si="6"/>
        <v>0</v>
      </c>
      <c r="AU101">
        <f t="shared" si="7"/>
        <v>0</v>
      </c>
      <c r="AV101" s="4">
        <f t="shared" si="8"/>
        <v>0.5</v>
      </c>
      <c r="AW101">
        <f t="shared" si="9"/>
        <v>0</v>
      </c>
      <c r="AX101">
        <f>VLOOKUP($E101,Constants!$I:$K, 2, FALSE)</f>
        <v>1</v>
      </c>
      <c r="AY101">
        <f>VLOOKUP($E101,Constants!$I:$K, 3, FALSE)*IF(AND(D101="multiple_unit",Y101&lt;110),0.75,1)</f>
        <v>1</v>
      </c>
      <c r="AZ101">
        <f>INT(((Constants!$G$2+$AR101+$AS101+$AT101+$AU101+$AW101)*$AV101)*$AY101)</f>
        <v>7</v>
      </c>
      <c r="BA101">
        <f>INT(((Constants!$G$1+$AQ101+$AS101+$AT101+$AU101+$AW101)*(1/$AV101))*$AX101)</f>
        <v>70</v>
      </c>
      <c r="BG101" t="e">
        <f>VLOOKUP(G101,Eras!$A$2:$C$10, 2, TRUE)</f>
        <v>#N/A</v>
      </c>
      <c r="BI101" t="e">
        <f>CONCATENATE(BG101,"_",BH101)</f>
        <v>#N/A</v>
      </c>
    </row>
    <row r="102" spans="1:62" x14ac:dyDescent="0.25">
      <c r="A102" t="s">
        <v>112</v>
      </c>
      <c r="B102" t="s">
        <v>293</v>
      </c>
      <c r="D102" t="s">
        <v>169</v>
      </c>
      <c r="E102" t="s">
        <v>1179</v>
      </c>
      <c r="F102" t="s">
        <v>316</v>
      </c>
      <c r="X102" s="4" t="str">
        <f>IF(AND(T102&gt;0,W102&gt;0),(W102/((T102+U102)*10)),"")</f>
        <v/>
      </c>
      <c r="AF102" t="str">
        <f>CONCATENATE(VLOOKUP(AG102, 'Voxel Sizes'!$A$2:$B$18,2,FALSE),"x",INT(AC102*15), "x", INT(AD102*15))</f>
        <v>0x0x0</v>
      </c>
      <c r="AG102">
        <f>ROUND(15*((AB102*10)/256),0)</f>
        <v>0</v>
      </c>
      <c r="AI102" t="str">
        <f>CONCATENATE(VLOOKUP(AG102,Constants!$A$2:$C$16,IF(AH102&lt;&gt;"", 3, 2), FALSE),IF(AH102&lt;&gt;"",CONCATENATE(",",VLOOKUP(AH102,$B:$AI,34,FALSE)),""))</f>
        <v>na</v>
      </c>
      <c r="AP102">
        <v>40</v>
      </c>
      <c r="AS102">
        <f t="shared" si="5"/>
        <v>0</v>
      </c>
      <c r="AT102">
        <f t="shared" si="6"/>
        <v>0</v>
      </c>
      <c r="AU102">
        <f t="shared" si="7"/>
        <v>0</v>
      </c>
      <c r="AV102" s="4">
        <f t="shared" si="8"/>
        <v>0.5</v>
      </c>
      <c r="AW102">
        <f t="shared" si="9"/>
        <v>0</v>
      </c>
      <c r="AX102">
        <f>VLOOKUP($E102,Constants!$I:$K, 2, FALSE)</f>
        <v>1</v>
      </c>
      <c r="AY102">
        <f>VLOOKUP($E102,Constants!$I:$K, 3, FALSE)*IF(AND(D102="multiple_unit",Y102&lt;110),0.75,1)</f>
        <v>1</v>
      </c>
      <c r="AZ102">
        <f>INT(((Constants!$G$2+$AR102+$AS102+$AT102+$AU102+$AW102)*$AV102)*$AY102)</f>
        <v>7</v>
      </c>
      <c r="BA102">
        <f>INT(((Constants!$G$1+$AQ102+$AS102+$AT102+$AU102+$AW102)*(1/$AV102))*$AX102)</f>
        <v>70</v>
      </c>
      <c r="BG102" t="e">
        <f>VLOOKUP(G102,Eras!$A$2:$C$10, 2, TRUE)</f>
        <v>#N/A</v>
      </c>
      <c r="BH102" t="s">
        <v>387</v>
      </c>
      <c r="BI102" t="e">
        <f>CONCATENATE(BG102,"_",BH102)</f>
        <v>#N/A</v>
      </c>
    </row>
    <row r="103" spans="1:62" x14ac:dyDescent="0.25">
      <c r="A103" t="s">
        <v>113</v>
      </c>
      <c r="B103" t="s">
        <v>225</v>
      </c>
      <c r="D103" t="s">
        <v>169</v>
      </c>
      <c r="E103" t="s">
        <v>1179</v>
      </c>
      <c r="F103" t="s">
        <v>316</v>
      </c>
      <c r="X103" s="4" t="str">
        <f>IF(AND(T103&gt;0,W103&gt;0),(W103/((T103+U103)*10)),"")</f>
        <v/>
      </c>
      <c r="AF103" t="str">
        <f>CONCATENATE(VLOOKUP(AG103, 'Voxel Sizes'!$A$2:$B$18,2,FALSE),"x",INT(AC103*15), "x", INT(AD103*15))</f>
        <v>0x0x0</v>
      </c>
      <c r="AG103">
        <f>ROUND(15*((AB103*10)/256),0)</f>
        <v>0</v>
      </c>
      <c r="AI103" t="str">
        <f>CONCATENATE(VLOOKUP(AG103,Constants!$A$2:$C$16,IF(AH103&lt;&gt;"", 3, 2), FALSE),IF(AH103&lt;&gt;"",CONCATENATE(",",VLOOKUP(AH103,$B:$AI,34,FALSE)),""))</f>
        <v>na</v>
      </c>
      <c r="AP103">
        <v>40</v>
      </c>
      <c r="AS103">
        <f t="shared" si="5"/>
        <v>0</v>
      </c>
      <c r="AT103">
        <f t="shared" si="6"/>
        <v>0</v>
      </c>
      <c r="AU103">
        <f t="shared" si="7"/>
        <v>0</v>
      </c>
      <c r="AV103" s="4">
        <f t="shared" si="8"/>
        <v>0.5</v>
      </c>
      <c r="AW103">
        <f t="shared" si="9"/>
        <v>0</v>
      </c>
      <c r="AX103">
        <f>VLOOKUP($E103,Constants!$I:$K, 2, FALSE)</f>
        <v>1</v>
      </c>
      <c r="AY103">
        <f>VLOOKUP($E103,Constants!$I:$K, 3, FALSE)*IF(AND(D103="multiple_unit",Y103&lt;110),0.75,1)</f>
        <v>1</v>
      </c>
      <c r="AZ103">
        <f>INT(((Constants!$G$2+$AR103+$AS103+$AT103+$AU103+$AW103)*$AV103)*$AY103)</f>
        <v>7</v>
      </c>
      <c r="BA103">
        <f>INT(((Constants!$G$1+$AQ103+$AS103+$AT103+$AU103+$AW103)*(1/$AV103))*$AX103)</f>
        <v>70</v>
      </c>
      <c r="BG103" t="e">
        <f>VLOOKUP(G103,Eras!$A$2:$C$10, 2, TRUE)</f>
        <v>#N/A</v>
      </c>
      <c r="BH103" t="s">
        <v>387</v>
      </c>
      <c r="BI103" t="e">
        <f>CONCATENATE(BG103,"_",BH103)</f>
        <v>#N/A</v>
      </c>
    </row>
    <row r="104" spans="1:62" x14ac:dyDescent="0.25">
      <c r="A104" t="s">
        <v>143</v>
      </c>
      <c r="B104" t="s">
        <v>245</v>
      </c>
      <c r="D104" t="s">
        <v>169</v>
      </c>
      <c r="E104" t="s">
        <v>323</v>
      </c>
      <c r="F104" t="s">
        <v>316</v>
      </c>
      <c r="X104" s="4" t="str">
        <f>IF(AND(T104&gt;0,W104&gt;0),(W104/((T104+U104)*10)),"")</f>
        <v/>
      </c>
      <c r="AE104" s="11">
        <v>0</v>
      </c>
      <c r="AF104" t="str">
        <f>CONCATENATE(VLOOKUP(AG104, 'Voxel Sizes'!$A$2:$B$18,2,FALSE),"x",INT(AC104*15), "x", INT(AD104*15))</f>
        <v>0x0x0</v>
      </c>
      <c r="AG104">
        <f>ROUND(15*((AB104*10)/256),0)</f>
        <v>0</v>
      </c>
      <c r="AI104" t="str">
        <f>CONCATENATE(VLOOKUP(AG104,Constants!$A$2:$C$16,IF(AH104&lt;&gt;"", 3, 2), FALSE),IF(AH104&lt;&gt;"",CONCATENATE(",",VLOOKUP(AH104,$B:$AI,34,FALSE)),""))</f>
        <v>na</v>
      </c>
      <c r="AP104">
        <v>40</v>
      </c>
      <c r="AS104">
        <f t="shared" si="5"/>
        <v>0</v>
      </c>
      <c r="AT104">
        <f t="shared" si="6"/>
        <v>0</v>
      </c>
      <c r="AU104">
        <f t="shared" si="7"/>
        <v>0</v>
      </c>
      <c r="AV104" s="4">
        <f t="shared" si="8"/>
        <v>0.5</v>
      </c>
      <c r="AW104">
        <f t="shared" si="9"/>
        <v>0</v>
      </c>
      <c r="AX104">
        <f>VLOOKUP($E104,Constants!$I:$K, 2, FALSE)</f>
        <v>1</v>
      </c>
      <c r="AY104">
        <f>VLOOKUP($E104,Constants!$I:$K, 3, FALSE)*IF(AND(D104="multiple_unit",Y104&lt;110),0.75,1)</f>
        <v>0.45</v>
      </c>
      <c r="AZ104">
        <f>INT(((Constants!$G$2+$AR104+$AS104+$AT104+$AU104+$AW104)*$AV104)*$AY104)</f>
        <v>3</v>
      </c>
      <c r="BA104">
        <f>INT(((Constants!$G$1+$AQ104+$AS104+$AT104+$AU104+$AW104)*(1/$AV104))*$AX104)</f>
        <v>70</v>
      </c>
      <c r="BG104" t="e">
        <f>VLOOKUP(G104,Eras!$A$2:$C$10, 2, TRUE)</f>
        <v>#N/A</v>
      </c>
      <c r="BI104" t="e">
        <f>CONCATENATE(BG104,"_",BH104)</f>
        <v>#N/A</v>
      </c>
    </row>
    <row r="105" spans="1:62" x14ac:dyDescent="0.25">
      <c r="A105" t="s">
        <v>705</v>
      </c>
      <c r="B105" t="s">
        <v>704</v>
      </c>
      <c r="D105" t="s">
        <v>169</v>
      </c>
      <c r="E105" t="s">
        <v>338</v>
      </c>
      <c r="F105" t="s">
        <v>316</v>
      </c>
      <c r="X105" s="4" t="str">
        <f>IF(AND(T105&gt;0,W105&gt;0),(W105/((T105+U105)*10)),"")</f>
        <v/>
      </c>
      <c r="AF105" t="str">
        <f>CONCATENATE(VLOOKUP(AG105, 'Voxel Sizes'!$A$2:$B$18,2,FALSE),"x",INT(AC105*15), "x", INT(AD105*15))</f>
        <v>0x0x0</v>
      </c>
      <c r="AG105">
        <f>ROUND(15*((AB105*10)/256),0)</f>
        <v>0</v>
      </c>
      <c r="AI105" t="str">
        <f>CONCATENATE(VLOOKUP(AG105,Constants!$A$2:$C$16,IF(AH105&lt;&gt;"", 3, 2), FALSE),IF(AH105&lt;&gt;"",CONCATENATE(",",VLOOKUP(AH105,$B:$AI,34,FALSE)),""))</f>
        <v>na</v>
      </c>
      <c r="AP105">
        <v>40</v>
      </c>
      <c r="AS105">
        <f t="shared" si="5"/>
        <v>0</v>
      </c>
      <c r="AT105">
        <f t="shared" si="6"/>
        <v>0</v>
      </c>
      <c r="AU105">
        <f t="shared" si="7"/>
        <v>0</v>
      </c>
      <c r="AV105" s="4">
        <f t="shared" si="8"/>
        <v>0.5</v>
      </c>
      <c r="AW105">
        <f t="shared" si="9"/>
        <v>0</v>
      </c>
      <c r="AX105">
        <f>VLOOKUP($E105,Constants!$I:$K, 2, FALSE)</f>
        <v>0.85</v>
      </c>
      <c r="AY105">
        <f>VLOOKUP($E105,Constants!$I:$K, 3, FALSE)*IF(AND(D105="multiple_unit",Y105&lt;110),0.75,1)</f>
        <v>2.2999999999999998</v>
      </c>
      <c r="AZ105">
        <f>INT(((Constants!$G$2+$AR105+$AS105+$AT105+$AU105+$AW105)*$AV105)*$AY105)</f>
        <v>17</v>
      </c>
      <c r="BA105">
        <f>INT(((Constants!$G$1+$AQ105+$AS105+$AT105+$AU105+$AW105)*(1/$AV105))*$AX105)</f>
        <v>59</v>
      </c>
      <c r="BG105" t="e">
        <f>VLOOKUP(G105,Eras!$A$2:$C$10, 2, TRUE)</f>
        <v>#N/A</v>
      </c>
      <c r="BI105" t="e">
        <f>CONCATENATE(BG105,"_",BH105)</f>
        <v>#N/A</v>
      </c>
    </row>
    <row r="106" spans="1:62" x14ac:dyDescent="0.25">
      <c r="A106" t="s">
        <v>429</v>
      </c>
      <c r="B106" t="s">
        <v>435</v>
      </c>
      <c r="D106" t="s">
        <v>169</v>
      </c>
      <c r="E106" t="s">
        <v>338</v>
      </c>
      <c r="F106" t="s">
        <v>316</v>
      </c>
      <c r="X106" s="4" t="str">
        <f>IF(AND(T106&gt;0,W106&gt;0),(W106/((T106+U106)*10)),"")</f>
        <v/>
      </c>
      <c r="AF106" t="str">
        <f>CONCATENATE(VLOOKUP(AG106, 'Voxel Sizes'!$A$2:$B$18,2,FALSE),"x",INT(AC106*15), "x", INT(AD106*15))</f>
        <v>0x0x0</v>
      </c>
      <c r="AG106">
        <f>ROUND(15*((AB106*10)/256),0)</f>
        <v>0</v>
      </c>
      <c r="AI106" t="str">
        <f>CONCATENATE(VLOOKUP(AG106,Constants!$A$2:$C$16,IF(AH106&lt;&gt;"", 3, 2), FALSE),IF(AH106&lt;&gt;"",CONCATENATE(",",VLOOKUP(AH106,$B:$AI,34,FALSE)),""))</f>
        <v>na</v>
      </c>
      <c r="AP106">
        <v>40</v>
      </c>
      <c r="AS106">
        <f t="shared" si="5"/>
        <v>0</v>
      </c>
      <c r="AT106">
        <f t="shared" si="6"/>
        <v>0</v>
      </c>
      <c r="AU106">
        <f t="shared" si="7"/>
        <v>0</v>
      </c>
      <c r="AV106" s="4">
        <f t="shared" si="8"/>
        <v>0.5</v>
      </c>
      <c r="AW106">
        <f t="shared" si="9"/>
        <v>0</v>
      </c>
      <c r="AX106">
        <f>VLOOKUP($E106,Constants!$I:$K, 2, FALSE)</f>
        <v>0.85</v>
      </c>
      <c r="AY106">
        <f>VLOOKUP($E106,Constants!$I:$K, 3, FALSE)*IF(AND(D106="multiple_unit",Y106&lt;110),0.75,1)</f>
        <v>2.2999999999999998</v>
      </c>
      <c r="AZ106">
        <f>INT(((Constants!$G$2+$AR106+$AS106+$AT106+$AU106+$AW106)*$AV106)*$AY106)</f>
        <v>17</v>
      </c>
      <c r="BA106">
        <f>INT(((Constants!$G$1+$AQ106+$AS106+$AT106+$AU106+$AW106)*(1/$AV106))*$AX106)</f>
        <v>59</v>
      </c>
      <c r="BG106" t="e">
        <f>VLOOKUP(G106,Eras!$A$2:$C$10, 2, TRUE)</f>
        <v>#N/A</v>
      </c>
      <c r="BI106" t="e">
        <f>CONCATENATE(BG106,"_",BH106)</f>
        <v>#N/A</v>
      </c>
    </row>
    <row r="107" spans="1:62" x14ac:dyDescent="0.25">
      <c r="A107" t="s">
        <v>430</v>
      </c>
      <c r="B107" t="s">
        <v>436</v>
      </c>
      <c r="D107" t="s">
        <v>169</v>
      </c>
      <c r="E107" t="s">
        <v>338</v>
      </c>
      <c r="F107" t="s">
        <v>316</v>
      </c>
      <c r="X107" s="4" t="str">
        <f>IF(AND(T107&gt;0,W107&gt;0),(W107/((T107+U107)*10)),"")</f>
        <v/>
      </c>
      <c r="AF107" t="str">
        <f>CONCATENATE(VLOOKUP(AG107, 'Voxel Sizes'!$A$2:$B$18,2,FALSE),"x",INT(AC107*15), "x", INT(AD107*15))</f>
        <v>0x0x0</v>
      </c>
      <c r="AG107">
        <f>ROUND(15*((AB107*10)/256),0)</f>
        <v>0</v>
      </c>
      <c r="AI107" t="str">
        <f>CONCATENATE(VLOOKUP(AG107,Constants!$A$2:$C$16,IF(AH107&lt;&gt;"", 3, 2), FALSE),IF(AH107&lt;&gt;"",CONCATENATE(",",VLOOKUP(AH107,$B:$AI,34,FALSE)),""))</f>
        <v>na</v>
      </c>
      <c r="AP107">
        <v>40</v>
      </c>
      <c r="AS107">
        <f t="shared" si="5"/>
        <v>0</v>
      </c>
      <c r="AT107">
        <f t="shared" si="6"/>
        <v>0</v>
      </c>
      <c r="AU107">
        <f t="shared" si="7"/>
        <v>0</v>
      </c>
      <c r="AV107" s="4">
        <f t="shared" si="8"/>
        <v>0.5</v>
      </c>
      <c r="AW107">
        <f t="shared" si="9"/>
        <v>0</v>
      </c>
      <c r="AX107">
        <f>VLOOKUP($E107,Constants!$I:$K, 2, FALSE)</f>
        <v>0.85</v>
      </c>
      <c r="AY107">
        <f>VLOOKUP($E107,Constants!$I:$K, 3, FALSE)*IF(AND(D107="multiple_unit",Y107&lt;110),0.75,1)</f>
        <v>2.2999999999999998</v>
      </c>
      <c r="AZ107">
        <f>INT(((Constants!$G$2+$AR107+$AS107+$AT107+$AU107+$AW107)*$AV107)*$AY107)</f>
        <v>17</v>
      </c>
      <c r="BA107">
        <f>INT(((Constants!$G$1+$AQ107+$AS107+$AT107+$AU107+$AW107)*(1/$AV107))*$AX107)</f>
        <v>59</v>
      </c>
      <c r="BG107" t="e">
        <f>VLOOKUP(G107,Eras!$A$2:$C$10, 2, TRUE)</f>
        <v>#N/A</v>
      </c>
      <c r="BI107" t="e">
        <f>CONCATENATE(BG107,"_",BH107)</f>
        <v>#N/A</v>
      </c>
    </row>
    <row r="108" spans="1:62" x14ac:dyDescent="0.25">
      <c r="A108" t="s">
        <v>431</v>
      </c>
      <c r="B108" t="s">
        <v>437</v>
      </c>
      <c r="D108" t="s">
        <v>169</v>
      </c>
      <c r="E108" t="s">
        <v>338</v>
      </c>
      <c r="F108" t="s">
        <v>316</v>
      </c>
      <c r="X108" s="4" t="str">
        <f>IF(AND(T108&gt;0,W108&gt;0),(W108/((T108+U108)*10)),"")</f>
        <v/>
      </c>
      <c r="AF108" t="str">
        <f>CONCATENATE(VLOOKUP(AG108, 'Voxel Sizes'!$A$2:$B$18,2,FALSE),"x",INT(AC108*15), "x", INT(AD108*15))</f>
        <v>0x0x0</v>
      </c>
      <c r="AG108">
        <f>ROUND(15*((AB108*10)/256),0)</f>
        <v>0</v>
      </c>
      <c r="AI108" t="str">
        <f>CONCATENATE(VLOOKUP(AG108,Constants!$A$2:$C$16,IF(AH108&lt;&gt;"", 3, 2), FALSE),IF(AH108&lt;&gt;"",CONCATENATE(",",VLOOKUP(AH108,$B:$AI,34,FALSE)),""))</f>
        <v>na</v>
      </c>
      <c r="AP108">
        <v>40</v>
      </c>
      <c r="AS108">
        <f t="shared" si="5"/>
        <v>0</v>
      </c>
      <c r="AT108">
        <f t="shared" si="6"/>
        <v>0</v>
      </c>
      <c r="AU108">
        <f t="shared" si="7"/>
        <v>0</v>
      </c>
      <c r="AV108" s="4">
        <f t="shared" si="8"/>
        <v>0.5</v>
      </c>
      <c r="AW108">
        <f t="shared" si="9"/>
        <v>0</v>
      </c>
      <c r="AX108">
        <f>VLOOKUP($E108,Constants!$I:$K, 2, FALSE)</f>
        <v>0.85</v>
      </c>
      <c r="AY108">
        <f>VLOOKUP($E108,Constants!$I:$K, 3, FALSE)*IF(AND(D108="multiple_unit",Y108&lt;110),0.75,1)</f>
        <v>2.2999999999999998</v>
      </c>
      <c r="AZ108">
        <f>INT(((Constants!$G$2+$AR108+$AS108+$AT108+$AU108+$AW108)*$AV108)*$AY108)</f>
        <v>17</v>
      </c>
      <c r="BA108">
        <f>INT(((Constants!$G$1+$AQ108+$AS108+$AT108+$AU108+$AW108)*(1/$AV108))*$AX108)</f>
        <v>59</v>
      </c>
      <c r="BG108" t="e">
        <f>VLOOKUP(G108,Eras!$A$2:$C$10, 2, TRUE)</f>
        <v>#N/A</v>
      </c>
      <c r="BI108" t="e">
        <f>CONCATENATE(BG108,"_",BH108)</f>
        <v>#N/A</v>
      </c>
    </row>
    <row r="109" spans="1:62" x14ac:dyDescent="0.25">
      <c r="A109" t="s">
        <v>432</v>
      </c>
      <c r="B109" t="s">
        <v>438</v>
      </c>
      <c r="D109" t="s">
        <v>169</v>
      </c>
      <c r="E109" t="s">
        <v>338</v>
      </c>
      <c r="F109" t="s">
        <v>316</v>
      </c>
      <c r="X109" s="4" t="str">
        <f>IF(AND(T109&gt;0,W109&gt;0),(W109/((T109+U109)*10)),"")</f>
        <v/>
      </c>
      <c r="AF109" t="str">
        <f>CONCATENATE(VLOOKUP(AG109, 'Voxel Sizes'!$A$2:$B$18,2,FALSE),"x",INT(AC109*15), "x", INT(AD109*15))</f>
        <v>0x0x0</v>
      </c>
      <c r="AG109">
        <f>ROUND(15*((AB109*10)/256),0)</f>
        <v>0</v>
      </c>
      <c r="AI109" t="str">
        <f>CONCATENATE(VLOOKUP(AG109,Constants!$A$2:$C$16,IF(AH109&lt;&gt;"", 3, 2), FALSE),IF(AH109&lt;&gt;"",CONCATENATE(",",VLOOKUP(AH109,$B:$AI,34,FALSE)),""))</f>
        <v>na</v>
      </c>
      <c r="AP109">
        <v>40</v>
      </c>
      <c r="AS109">
        <f t="shared" si="5"/>
        <v>0</v>
      </c>
      <c r="AT109">
        <f t="shared" si="6"/>
        <v>0</v>
      </c>
      <c r="AU109">
        <f t="shared" si="7"/>
        <v>0</v>
      </c>
      <c r="AV109" s="4">
        <f t="shared" si="8"/>
        <v>0.5</v>
      </c>
      <c r="AW109">
        <f t="shared" si="9"/>
        <v>0</v>
      </c>
      <c r="AX109">
        <f>VLOOKUP($E109,Constants!$I:$K, 2, FALSE)</f>
        <v>0.85</v>
      </c>
      <c r="AY109">
        <f>VLOOKUP($E109,Constants!$I:$K, 3, FALSE)*IF(AND(D109="multiple_unit",Y109&lt;110),0.75,1)</f>
        <v>2.2999999999999998</v>
      </c>
      <c r="AZ109">
        <f>INT(((Constants!$G$2+$AR109+$AS109+$AT109+$AU109+$AW109)*$AV109)*$AY109)</f>
        <v>17</v>
      </c>
      <c r="BA109">
        <f>INT(((Constants!$G$1+$AQ109+$AS109+$AT109+$AU109+$AW109)*(1/$AV109))*$AX109)</f>
        <v>59</v>
      </c>
      <c r="BG109" t="e">
        <f>VLOOKUP(G109,Eras!$A$2:$C$10, 2, TRUE)</f>
        <v>#N/A</v>
      </c>
      <c r="BI109" t="e">
        <f>CONCATENATE(BG109,"_",BH109)</f>
        <v>#N/A</v>
      </c>
    </row>
    <row r="110" spans="1:62" x14ac:dyDescent="0.25">
      <c r="A110" t="s">
        <v>723</v>
      </c>
      <c r="B110" t="s">
        <v>726</v>
      </c>
      <c r="D110" t="s">
        <v>169</v>
      </c>
      <c r="E110" t="s">
        <v>338</v>
      </c>
      <c r="F110" t="s">
        <v>316</v>
      </c>
      <c r="AF110" t="str">
        <f>CONCATENATE(VLOOKUP(AG110, 'Voxel Sizes'!$A$2:$B$18,2,FALSE),"x",INT(AC110*15), "x", INT(AD110*15))</f>
        <v>0x0x0</v>
      </c>
      <c r="AG110">
        <f>ROUND(15*((AB110*10)/256),0)</f>
        <v>0</v>
      </c>
      <c r="AI110" t="str">
        <f>CONCATENATE(VLOOKUP(AG110,Constants!$A$2:$C$16,IF(AH110&lt;&gt;"", 3, 2), FALSE),IF(AH110&lt;&gt;"",CONCATENATE(",",VLOOKUP(AH110,$B:$AI,34,FALSE)),""))</f>
        <v>na</v>
      </c>
      <c r="AP110">
        <v>40</v>
      </c>
      <c r="AS110">
        <f t="shared" si="5"/>
        <v>0</v>
      </c>
      <c r="AT110">
        <f t="shared" si="6"/>
        <v>0</v>
      </c>
      <c r="AU110">
        <f t="shared" si="7"/>
        <v>0</v>
      </c>
      <c r="AV110" s="4">
        <f t="shared" si="8"/>
        <v>0.5</v>
      </c>
      <c r="AW110">
        <f t="shared" si="9"/>
        <v>0</v>
      </c>
      <c r="AX110">
        <f>VLOOKUP($E110,Constants!$I:$K, 2, FALSE)</f>
        <v>0.85</v>
      </c>
      <c r="AY110">
        <f>VLOOKUP($E110,Constants!$I:$K, 3, FALSE)*IF(AND(D110="multiple_unit",Y110&lt;110),0.75,1)</f>
        <v>2.2999999999999998</v>
      </c>
      <c r="AZ110">
        <f>INT(((Constants!$G$2+$AR110+$AS110+$AT110+$AU110+$AW110)*$AV110)*$AY110)</f>
        <v>17</v>
      </c>
      <c r="BA110">
        <f>INT(((Constants!$G$1+$AQ110+$AS110+$AT110+$AU110+$AW110)*(1/$AV110))*$AX110)</f>
        <v>59</v>
      </c>
      <c r="BG110" t="e">
        <f>VLOOKUP(G110,Eras!$A$2:$C$10, 2, TRUE)</f>
        <v>#N/A</v>
      </c>
      <c r="BI110" t="e">
        <f>CONCATENATE(BG110,"_",BH110)</f>
        <v>#N/A</v>
      </c>
    </row>
    <row r="111" spans="1:62" x14ac:dyDescent="0.25">
      <c r="A111" t="s">
        <v>738</v>
      </c>
      <c r="B111" t="s">
        <v>739</v>
      </c>
      <c r="D111" t="s">
        <v>169</v>
      </c>
      <c r="E111" t="s">
        <v>338</v>
      </c>
      <c r="F111" t="s">
        <v>345</v>
      </c>
      <c r="G111">
        <v>1893</v>
      </c>
      <c r="H111">
        <v>1896</v>
      </c>
      <c r="I111">
        <v>1956</v>
      </c>
      <c r="J111">
        <v>2</v>
      </c>
      <c r="K111">
        <v>120</v>
      </c>
      <c r="T111">
        <v>10</v>
      </c>
      <c r="V111">
        <v>7</v>
      </c>
      <c r="W111">
        <v>30</v>
      </c>
      <c r="X111" s="4">
        <f>IF(AND(T111&gt;0,W111&gt;0),(W111/((T111+U111)*10)),"")</f>
        <v>0.3</v>
      </c>
      <c r="Y111">
        <v>35</v>
      </c>
      <c r="AA111">
        <v>14</v>
      </c>
      <c r="AB111">
        <v>14</v>
      </c>
      <c r="AC111">
        <v>2.59</v>
      </c>
      <c r="AE111" s="11">
        <f>41+16</f>
        <v>57</v>
      </c>
      <c r="AF111" t="str">
        <f>CONCATENATE(VLOOKUP(AG111, 'Voxel Sizes'!$A$2:$B$18,2,FALSE),"x",INT(AC111*15), "x", INT(AD111*15))</f>
        <v>136x38x0</v>
      </c>
      <c r="AG111">
        <f>ROUND(15*((AB111*10)/256),0)</f>
        <v>8</v>
      </c>
      <c r="AI111" t="str">
        <f>CONCATENATE(VLOOKUP(AG111,Constants!$A$2:$C$16,IF(AH111&lt;&gt;"", 3, 2), FALSE),IF(AH111&lt;&gt;"",CONCATENATE(",",VLOOKUP(AH111,$B:$AI,34,FALSE)),""))</f>
        <v>2,4,2</v>
      </c>
      <c r="AK111" t="s">
        <v>740</v>
      </c>
      <c r="AM111" t="s">
        <v>519</v>
      </c>
      <c r="AP111">
        <v>35</v>
      </c>
      <c r="AS111">
        <f t="shared" si="5"/>
        <v>7</v>
      </c>
      <c r="AT111">
        <f t="shared" si="6"/>
        <v>0.6</v>
      </c>
      <c r="AU111">
        <f t="shared" si="7"/>
        <v>1.5</v>
      </c>
      <c r="AV111" s="4">
        <f t="shared" si="8"/>
        <v>0.65500000000000003</v>
      </c>
      <c r="AW111">
        <f t="shared" si="9"/>
        <v>3.8</v>
      </c>
      <c r="AX111">
        <f>VLOOKUP($E111,Constants!$I:$K, 2, FALSE)</f>
        <v>0.85</v>
      </c>
      <c r="AY111">
        <f>VLOOKUP($E111,Constants!$I:$K, 3, FALSE)*IF(AND(D111="multiple_unit",Y111&lt;110),0.75,1)</f>
        <v>2.2999999999999998</v>
      </c>
      <c r="AZ111">
        <f>INT(((Constants!$G$2+$AR111+$AS111+$AT111+$AU111+$AW111)*$AV111)*$AY111)</f>
        <v>42</v>
      </c>
      <c r="BA111">
        <f>INT(((Constants!$G$1+$AQ111+$AS111+$AT111+$AU111+$AW111)*(1/$AV111))*$AX111)</f>
        <v>62</v>
      </c>
      <c r="BF111" t="s">
        <v>325</v>
      </c>
      <c r="BG111" t="str">
        <f>VLOOKUP(G111,Eras!$A$2:$C$10, 2, TRUE)</f>
        <v>vct</v>
      </c>
      <c r="BH111" t="s">
        <v>375</v>
      </c>
      <c r="BI111" t="str">
        <f>CONCATENATE(BG111,"_",BH111)</f>
        <v>vct_EMU</v>
      </c>
      <c r="BJ111" t="s">
        <v>741</v>
      </c>
    </row>
    <row r="112" spans="1:62" x14ac:dyDescent="0.25">
      <c r="A112" t="s">
        <v>108</v>
      </c>
      <c r="B112" t="s">
        <v>222</v>
      </c>
      <c r="D112" t="s">
        <v>169</v>
      </c>
      <c r="E112" t="s">
        <v>1179</v>
      </c>
      <c r="F112" t="s">
        <v>316</v>
      </c>
      <c r="G112">
        <v>1900</v>
      </c>
      <c r="X112" s="4" t="str">
        <f>IF(AND(T112&gt;0,W112&gt;0),(W112/((T112+U112)*10)),"")</f>
        <v/>
      </c>
      <c r="AF112" t="str">
        <f>CONCATENATE(VLOOKUP(AG112, 'Voxel Sizes'!$A$2:$B$18,2,FALSE),"x",INT(AC112*15), "x", INT(AD112*15))</f>
        <v>0x0x0</v>
      </c>
      <c r="AG112">
        <f>ROUND(15*((AB112*10)/256),0)</f>
        <v>0</v>
      </c>
      <c r="AI112" t="str">
        <f>CONCATENATE(VLOOKUP(AG112,Constants!$A$2:$C$16,IF(AH112&lt;&gt;"", 3, 2), FALSE),IF(AH112&lt;&gt;"",CONCATENATE(",",VLOOKUP(AH112,$B:$AI,34,FALSE)),""))</f>
        <v>na</v>
      </c>
      <c r="AP112">
        <v>40</v>
      </c>
      <c r="AS112">
        <f t="shared" si="5"/>
        <v>0</v>
      </c>
      <c r="AT112">
        <f t="shared" si="6"/>
        <v>0</v>
      </c>
      <c r="AU112">
        <f t="shared" si="7"/>
        <v>0</v>
      </c>
      <c r="AV112" s="4">
        <f t="shared" si="8"/>
        <v>0.66666666666666663</v>
      </c>
      <c r="AW112">
        <f t="shared" si="9"/>
        <v>0</v>
      </c>
      <c r="AX112">
        <f>VLOOKUP($E112,Constants!$I:$K, 2, FALSE)</f>
        <v>1</v>
      </c>
      <c r="AY112">
        <f>VLOOKUP($E112,Constants!$I:$K, 3, FALSE)*IF(AND(D112="multiple_unit",Y112&lt;110),0.75,1)</f>
        <v>1</v>
      </c>
      <c r="AZ112">
        <f>INT(((Constants!$G$2+$AR112+$AS112+$AT112+$AU112+$AW112)*$AV112)*$AY112)</f>
        <v>10</v>
      </c>
      <c r="BA112">
        <f>INT(((Constants!$G$1+$AQ112+$AS112+$AT112+$AU112+$AW112)*(1/$AV112))*$AX112)</f>
        <v>52</v>
      </c>
      <c r="BG112" t="str">
        <f>VLOOKUP(G112,Eras!$A$2:$C$10, 2, TRUE)</f>
        <v>edw</v>
      </c>
      <c r="BH112" t="s">
        <v>387</v>
      </c>
      <c r="BI112" t="str">
        <f>CONCATENATE(BG112,"_",BH112)</f>
        <v>edw_LU</v>
      </c>
    </row>
    <row r="113" spans="1:62" x14ac:dyDescent="0.25">
      <c r="A113" t="s">
        <v>114</v>
      </c>
      <c r="B113" t="s">
        <v>226</v>
      </c>
      <c r="D113" t="s">
        <v>169</v>
      </c>
      <c r="E113" t="s">
        <v>1179</v>
      </c>
      <c r="F113" t="s">
        <v>316</v>
      </c>
      <c r="G113">
        <v>1938</v>
      </c>
      <c r="X113" s="4" t="str">
        <f>IF(AND(T113&gt;0,W113&gt;0),(W113/((T113+U113)*10)),"")</f>
        <v/>
      </c>
      <c r="AF113" t="str">
        <f>CONCATENATE(VLOOKUP(AG113, 'Voxel Sizes'!$A$2:$B$18,2,FALSE),"x",INT(AC113*15), "x", INT(AD113*15))</f>
        <v>0x0x0</v>
      </c>
      <c r="AG113">
        <f>ROUND(15*((AB113*10)/256),0)</f>
        <v>0</v>
      </c>
      <c r="AI113" t="str">
        <f>CONCATENATE(VLOOKUP(AG113,Constants!$A$2:$C$16,IF(AH113&lt;&gt;"", 3, 2), FALSE),IF(AH113&lt;&gt;"",CONCATENATE(",",VLOOKUP(AH113,$B:$AI,34,FALSE)),""))</f>
        <v>na</v>
      </c>
      <c r="AP113">
        <v>40</v>
      </c>
      <c r="AS113">
        <f t="shared" si="5"/>
        <v>0</v>
      </c>
      <c r="AT113">
        <f t="shared" si="6"/>
        <v>0</v>
      </c>
      <c r="AU113">
        <f t="shared" si="7"/>
        <v>0</v>
      </c>
      <c r="AV113" s="4">
        <f t="shared" si="8"/>
        <v>0.73</v>
      </c>
      <c r="AW113">
        <f t="shared" si="9"/>
        <v>0</v>
      </c>
      <c r="AX113">
        <f>VLOOKUP($E113,Constants!$I:$K, 2, FALSE)</f>
        <v>1</v>
      </c>
      <c r="AY113">
        <f>VLOOKUP($E113,Constants!$I:$K, 3, FALSE)*IF(AND(D113="multiple_unit",Y113&lt;110),0.75,1)</f>
        <v>1</v>
      </c>
      <c r="AZ113">
        <f>INT(((Constants!$G$2+$AR113+$AS113+$AT113+$AU113+$AW113)*$AV113)*$AY113)</f>
        <v>10</v>
      </c>
      <c r="BA113">
        <f>INT(((Constants!$G$1+$AQ113+$AS113+$AT113+$AU113+$AW113)*(1/$AV113))*$AX113)</f>
        <v>47</v>
      </c>
      <c r="BG113" t="str">
        <f>VLOOKUP(G113,Eras!$A$2:$C$10, 2, TRUE)</f>
        <v>big4</v>
      </c>
      <c r="BH113" t="s">
        <v>387</v>
      </c>
      <c r="BI113" t="str">
        <f>CONCATENATE(BG113,"_",BH113)</f>
        <v>big4_LU</v>
      </c>
    </row>
    <row r="114" spans="1:62" x14ac:dyDescent="0.25">
      <c r="A114" t="s">
        <v>115</v>
      </c>
      <c r="B114" t="s">
        <v>227</v>
      </c>
      <c r="D114" t="s">
        <v>169</v>
      </c>
      <c r="E114" t="s">
        <v>1179</v>
      </c>
      <c r="F114" t="s">
        <v>316</v>
      </c>
      <c r="G114">
        <v>1959</v>
      </c>
      <c r="X114" s="4" t="str">
        <f>IF(AND(T114&gt;0,W114&gt;0),(W114/((T114+U114)*10)),"")</f>
        <v/>
      </c>
      <c r="AF114" t="str">
        <f>CONCATENATE(VLOOKUP(AG114, 'Voxel Sizes'!$A$2:$B$18,2,FALSE),"x",INT(AC114*15), "x", INT(AD114*15))</f>
        <v>0x0x0</v>
      </c>
      <c r="AG114">
        <f>ROUND(15*((AB114*10)/256),0)</f>
        <v>0</v>
      </c>
      <c r="AI114" t="str">
        <f>CONCATENATE(VLOOKUP(AG114,Constants!$A$2:$C$16,IF(AH114&lt;&gt;"", 3, 2), FALSE),IF(AH114&lt;&gt;"",CONCATENATE(",",VLOOKUP(AH114,$B:$AI,34,FALSE)),""))</f>
        <v>na</v>
      </c>
      <c r="AP114">
        <v>40</v>
      </c>
      <c r="AS114">
        <f t="shared" si="5"/>
        <v>0</v>
      </c>
      <c r="AT114">
        <f t="shared" si="6"/>
        <v>0</v>
      </c>
      <c r="AU114">
        <f t="shared" si="7"/>
        <v>0</v>
      </c>
      <c r="AV114" s="4">
        <f t="shared" si="8"/>
        <v>0.76500000000000001</v>
      </c>
      <c r="AW114">
        <f t="shared" si="9"/>
        <v>0</v>
      </c>
      <c r="AX114">
        <f>VLOOKUP($E114,Constants!$I:$K, 2, FALSE)</f>
        <v>1</v>
      </c>
      <c r="AY114">
        <f>VLOOKUP($E114,Constants!$I:$K, 3, FALSE)*IF(AND(D114="multiple_unit",Y114&lt;110),0.75,1)</f>
        <v>1</v>
      </c>
      <c r="AZ114">
        <f>INT(((Constants!$G$2+$AR114+$AS114+$AT114+$AU114+$AW114)*$AV114)*$AY114)</f>
        <v>11</v>
      </c>
      <c r="BA114">
        <f>INT(((Constants!$G$1+$AQ114+$AS114+$AT114+$AU114+$AW114)*(1/$AV114))*$AX114)</f>
        <v>45</v>
      </c>
      <c r="BG114" t="str">
        <f>VLOOKUP(G114,Eras!$A$2:$C$10, 2, TRUE)</f>
        <v>dsl</v>
      </c>
      <c r="BH114" t="s">
        <v>387</v>
      </c>
      <c r="BI114" t="str">
        <f>CONCATENATE(BG114,"_",BH114)</f>
        <v>dsl_LU</v>
      </c>
    </row>
    <row r="115" spans="1:62" x14ac:dyDescent="0.25">
      <c r="A115" t="s">
        <v>116</v>
      </c>
      <c r="B115" t="s">
        <v>228</v>
      </c>
      <c r="D115" t="s">
        <v>169</v>
      </c>
      <c r="E115" t="s">
        <v>1179</v>
      </c>
      <c r="F115" t="s">
        <v>316</v>
      </c>
      <c r="G115">
        <v>1960</v>
      </c>
      <c r="X115" s="4" t="str">
        <f>IF(AND(T115&gt;0,W115&gt;0),(W115/((T115+U115)*10)),"")</f>
        <v/>
      </c>
      <c r="AF115" t="str">
        <f>CONCATENATE(VLOOKUP(AG115, 'Voxel Sizes'!$A$2:$B$18,2,FALSE),"x",INT(AC115*15), "x", INT(AD115*15))</f>
        <v>0x0x0</v>
      </c>
      <c r="AG115">
        <f>ROUND(15*((AB115*10)/256),0)</f>
        <v>0</v>
      </c>
      <c r="AI115" t="str">
        <f>CONCATENATE(VLOOKUP(AG115,Constants!$A$2:$C$16,IF(AH115&lt;&gt;"", 3, 2), FALSE),IF(AH115&lt;&gt;"",CONCATENATE(",",VLOOKUP(AH115,$B:$AI,34,FALSE)),""))</f>
        <v>na</v>
      </c>
      <c r="AP115">
        <v>40</v>
      </c>
      <c r="AS115">
        <f t="shared" si="5"/>
        <v>0</v>
      </c>
      <c r="AT115">
        <f t="shared" si="6"/>
        <v>0</v>
      </c>
      <c r="AU115">
        <f t="shared" si="7"/>
        <v>0</v>
      </c>
      <c r="AV115" s="4">
        <f t="shared" si="8"/>
        <v>0.76666666666666672</v>
      </c>
      <c r="AW115">
        <f t="shared" si="9"/>
        <v>0</v>
      </c>
      <c r="AX115">
        <f>VLOOKUP($E115,Constants!$I:$K, 2, FALSE)</f>
        <v>1</v>
      </c>
      <c r="AY115">
        <f>VLOOKUP($E115,Constants!$I:$K, 3, FALSE)*IF(AND(D115="multiple_unit",Y115&lt;110),0.75,1)</f>
        <v>1</v>
      </c>
      <c r="AZ115">
        <f>INT(((Constants!$G$2+$AR115+$AS115+$AT115+$AU115+$AW115)*$AV115)*$AY115)</f>
        <v>11</v>
      </c>
      <c r="BA115">
        <f>INT(((Constants!$G$1+$AQ115+$AS115+$AT115+$AU115+$AW115)*(1/$AV115))*$AX115)</f>
        <v>45</v>
      </c>
      <c r="BG115" t="str">
        <f>VLOOKUP(G115,Eras!$A$2:$C$10, 2, TRUE)</f>
        <v>dsl</v>
      </c>
      <c r="BH115" t="s">
        <v>387</v>
      </c>
      <c r="BI115" t="str">
        <f>CONCATENATE(BG115,"_",BH115)</f>
        <v>dsl_LU</v>
      </c>
    </row>
    <row r="116" spans="1:62" x14ac:dyDescent="0.25">
      <c r="A116" t="s">
        <v>117</v>
      </c>
      <c r="B116" t="s">
        <v>229</v>
      </c>
      <c r="D116" t="s">
        <v>169</v>
      </c>
      <c r="E116" t="s">
        <v>1179</v>
      </c>
      <c r="F116" t="s">
        <v>316</v>
      </c>
      <c r="G116">
        <v>1967</v>
      </c>
      <c r="X116" s="4" t="str">
        <f>IF(AND(T116&gt;0,W116&gt;0),(W116/((T116+U116)*10)),"")</f>
        <v/>
      </c>
      <c r="AF116" t="str">
        <f>CONCATENATE(VLOOKUP(AG116, 'Voxel Sizes'!$A$2:$B$18,2,FALSE),"x",INT(AC116*15), "x", INT(AD116*15))</f>
        <v>0x0x0</v>
      </c>
      <c r="AG116">
        <f>ROUND(15*((AB116*10)/256),0)</f>
        <v>0</v>
      </c>
      <c r="AI116" t="str">
        <f>CONCATENATE(VLOOKUP(AG116,Constants!$A$2:$C$16,IF(AH116&lt;&gt;"", 3, 2), FALSE),IF(AH116&lt;&gt;"",CONCATENATE(",",VLOOKUP(AH116,$B:$AI,34,FALSE)),""))</f>
        <v>na</v>
      </c>
      <c r="AP116">
        <v>40</v>
      </c>
      <c r="AS116">
        <f t="shared" si="5"/>
        <v>0</v>
      </c>
      <c r="AT116">
        <f t="shared" si="6"/>
        <v>0</v>
      </c>
      <c r="AU116">
        <f t="shared" si="7"/>
        <v>0</v>
      </c>
      <c r="AV116" s="4">
        <f t="shared" si="8"/>
        <v>0.77833333333333332</v>
      </c>
      <c r="AW116">
        <f t="shared" si="9"/>
        <v>0</v>
      </c>
      <c r="AX116">
        <f>VLOOKUP($E116,Constants!$I:$K, 2, FALSE)</f>
        <v>1</v>
      </c>
      <c r="AY116">
        <f>VLOOKUP($E116,Constants!$I:$K, 3, FALSE)*IF(AND(D116="multiple_unit",Y116&lt;110),0.75,1)</f>
        <v>1</v>
      </c>
      <c r="AZ116">
        <f>INT(((Constants!$G$2+$AR116+$AS116+$AT116+$AU116+$AW116)*$AV116)*$AY116)</f>
        <v>11</v>
      </c>
      <c r="BA116">
        <f>INT(((Constants!$G$1+$AQ116+$AS116+$AT116+$AU116+$AW116)*(1/$AV116))*$AX116)</f>
        <v>44</v>
      </c>
      <c r="BG116" t="str">
        <f>VLOOKUP(G116,Eras!$A$2:$C$10, 2, TRUE)</f>
        <v>dsl</v>
      </c>
      <c r="BH116" t="s">
        <v>387</v>
      </c>
      <c r="BI116" t="str">
        <f>CONCATENATE(BG116,"_",BH116)</f>
        <v>dsl_LU</v>
      </c>
    </row>
    <row r="117" spans="1:62" x14ac:dyDescent="0.25">
      <c r="A117" t="s">
        <v>118</v>
      </c>
      <c r="B117" t="s">
        <v>230</v>
      </c>
      <c r="D117" t="s">
        <v>169</v>
      </c>
      <c r="E117" t="s">
        <v>1179</v>
      </c>
      <c r="F117" t="s">
        <v>316</v>
      </c>
      <c r="G117">
        <v>1969</v>
      </c>
      <c r="X117" s="4" t="str">
        <f>IF(AND(T117&gt;0,W117&gt;0),(W117/((T117+U117)*10)),"")</f>
        <v/>
      </c>
      <c r="AF117" t="str">
        <f>CONCATENATE(VLOOKUP(AG117, 'Voxel Sizes'!$A$2:$B$18,2,FALSE),"x",INT(AC117*15), "x", INT(AD117*15))</f>
        <v>0x0x0</v>
      </c>
      <c r="AG117">
        <f>ROUND(15*((AB117*10)/256),0)</f>
        <v>0</v>
      </c>
      <c r="AI117" t="str">
        <f>CONCATENATE(VLOOKUP(AG117,Constants!$A$2:$C$16,IF(AH117&lt;&gt;"", 3, 2), FALSE),IF(AH117&lt;&gt;"",CONCATENATE(",",VLOOKUP(AH117,$B:$AI,34,FALSE)),""))</f>
        <v>na</v>
      </c>
      <c r="AP117">
        <v>40</v>
      </c>
      <c r="AS117">
        <f t="shared" si="5"/>
        <v>0</v>
      </c>
      <c r="AT117">
        <f t="shared" si="6"/>
        <v>0</v>
      </c>
      <c r="AU117">
        <f t="shared" si="7"/>
        <v>0</v>
      </c>
      <c r="AV117" s="4">
        <f t="shared" si="8"/>
        <v>0.78166666666666662</v>
      </c>
      <c r="AW117">
        <f t="shared" si="9"/>
        <v>0</v>
      </c>
      <c r="AX117">
        <f>VLOOKUP($E117,Constants!$I:$K, 2, FALSE)</f>
        <v>1</v>
      </c>
      <c r="AY117">
        <f>VLOOKUP($E117,Constants!$I:$K, 3, FALSE)*IF(AND(D117="multiple_unit",Y117&lt;110),0.75,1)</f>
        <v>1</v>
      </c>
      <c r="AZ117">
        <f>INT(((Constants!$G$2+$AR117+$AS117+$AT117+$AU117+$AW117)*$AV117)*$AY117)</f>
        <v>11</v>
      </c>
      <c r="BA117">
        <f>INT(((Constants!$G$1+$AQ117+$AS117+$AT117+$AU117+$AW117)*(1/$AV117))*$AX117)</f>
        <v>44</v>
      </c>
      <c r="BG117" t="str">
        <f>VLOOKUP(G117,Eras!$A$2:$C$10, 2, TRUE)</f>
        <v>dsl</v>
      </c>
      <c r="BH117" t="s">
        <v>387</v>
      </c>
      <c r="BI117" t="str">
        <f>CONCATENATE(BG117,"_",BH117)</f>
        <v>dsl_LU</v>
      </c>
    </row>
    <row r="118" spans="1:62" x14ac:dyDescent="0.25">
      <c r="A118" t="s">
        <v>119</v>
      </c>
      <c r="B118" t="s">
        <v>231</v>
      </c>
      <c r="D118" t="s">
        <v>169</v>
      </c>
      <c r="E118" t="s">
        <v>1179</v>
      </c>
      <c r="F118" t="s">
        <v>316</v>
      </c>
      <c r="G118">
        <v>1973</v>
      </c>
      <c r="X118" s="4" t="str">
        <f>IF(AND(T118&gt;0,W118&gt;0),(W118/((T118+U118)*10)),"")</f>
        <v/>
      </c>
      <c r="AF118" t="str">
        <f>CONCATENATE(VLOOKUP(AG118, 'Voxel Sizes'!$A$2:$B$18,2,FALSE),"x",INT(AC118*15), "x", INT(AD118*15))</f>
        <v>0x0x0</v>
      </c>
      <c r="AG118">
        <f>ROUND(15*((AB118*10)/256),0)</f>
        <v>0</v>
      </c>
      <c r="AI118" t="str">
        <f>CONCATENATE(VLOOKUP(AG118,Constants!$A$2:$C$16,IF(AH118&lt;&gt;"", 3, 2), FALSE),IF(AH118&lt;&gt;"",CONCATENATE(",",VLOOKUP(AH118,$B:$AI,34,FALSE)),""))</f>
        <v>na</v>
      </c>
      <c r="AP118">
        <v>40</v>
      </c>
      <c r="AS118">
        <f t="shared" si="5"/>
        <v>0</v>
      </c>
      <c r="AT118">
        <f t="shared" si="6"/>
        <v>0</v>
      </c>
      <c r="AU118">
        <f t="shared" si="7"/>
        <v>0</v>
      </c>
      <c r="AV118" s="4">
        <f t="shared" si="8"/>
        <v>0.78833333333333333</v>
      </c>
      <c r="AW118">
        <f t="shared" si="9"/>
        <v>0</v>
      </c>
      <c r="AX118">
        <f>VLOOKUP($E118,Constants!$I:$K, 2, FALSE)</f>
        <v>1</v>
      </c>
      <c r="AY118">
        <f>VLOOKUP($E118,Constants!$I:$K, 3, FALSE)*IF(AND(D118="multiple_unit",Y118&lt;110),0.75,1)</f>
        <v>1</v>
      </c>
      <c r="AZ118">
        <f>INT(((Constants!$G$2+$AR118+$AS118+$AT118+$AU118+$AW118)*$AV118)*$AY118)</f>
        <v>11</v>
      </c>
      <c r="BA118">
        <f>INT(((Constants!$G$1+$AQ118+$AS118+$AT118+$AU118+$AW118)*(1/$AV118))*$AX118)</f>
        <v>44</v>
      </c>
      <c r="BG118" t="str">
        <f>VLOOKUP(G118,Eras!$A$2:$C$10, 2, TRUE)</f>
        <v>lbr</v>
      </c>
      <c r="BH118" t="s">
        <v>387</v>
      </c>
      <c r="BI118" t="str">
        <f>CONCATENATE(BG118,"_",BH118)</f>
        <v>lbr_LU</v>
      </c>
    </row>
    <row r="119" spans="1:62" x14ac:dyDescent="0.25">
      <c r="A119" t="s">
        <v>121</v>
      </c>
      <c r="B119" t="s">
        <v>233</v>
      </c>
      <c r="D119" t="s">
        <v>169</v>
      </c>
      <c r="E119" t="s">
        <v>1179</v>
      </c>
      <c r="F119" t="s">
        <v>316</v>
      </c>
      <c r="G119">
        <v>1983</v>
      </c>
      <c r="X119" s="4" t="str">
        <f>IF(AND(T119&gt;0,W119&gt;0),(W119/((T119+U119)*10)),"")</f>
        <v/>
      </c>
      <c r="AF119" t="str">
        <f>CONCATENATE(VLOOKUP(AG119, 'Voxel Sizes'!$A$2:$B$18,2,FALSE),"x",INT(AC119*15), "x", INT(AD119*15))</f>
        <v>0x0x0</v>
      </c>
      <c r="AG119">
        <f>ROUND(15*((AB119*10)/256),0)</f>
        <v>0</v>
      </c>
      <c r="AI119" t="str">
        <f>CONCATENATE(VLOOKUP(AG119,Constants!$A$2:$C$16,IF(AH119&lt;&gt;"", 3, 2), FALSE),IF(AH119&lt;&gt;"",CONCATENATE(",",VLOOKUP(AH119,$B:$AI,34,FALSE)),""))</f>
        <v>na</v>
      </c>
      <c r="AP119">
        <v>40</v>
      </c>
      <c r="AS119">
        <f t="shared" si="5"/>
        <v>0</v>
      </c>
      <c r="AT119">
        <f t="shared" si="6"/>
        <v>0</v>
      </c>
      <c r="AU119">
        <f t="shared" si="7"/>
        <v>0</v>
      </c>
      <c r="AV119" s="4">
        <f t="shared" si="8"/>
        <v>0.80500000000000005</v>
      </c>
      <c r="AW119">
        <f t="shared" si="9"/>
        <v>0</v>
      </c>
      <c r="AX119">
        <f>VLOOKUP($E119,Constants!$I:$K, 2, FALSE)</f>
        <v>1</v>
      </c>
      <c r="AY119">
        <f>VLOOKUP($E119,Constants!$I:$K, 3, FALSE)*IF(AND(D119="multiple_unit",Y119&lt;110),0.75,1)</f>
        <v>1</v>
      </c>
      <c r="AZ119">
        <f>INT(((Constants!$G$2+$AR119+$AS119+$AT119+$AU119+$AW119)*$AV119)*$AY119)</f>
        <v>12</v>
      </c>
      <c r="BA119">
        <f>INT(((Constants!$G$1+$AQ119+$AS119+$AT119+$AU119+$AW119)*(1/$AV119))*$AX119)</f>
        <v>43</v>
      </c>
      <c r="BG119" t="str">
        <f>VLOOKUP(G119,Eras!$A$2:$C$10, 2, TRUE)</f>
        <v>lbr</v>
      </c>
      <c r="BH119" t="s">
        <v>387</v>
      </c>
      <c r="BI119" t="str">
        <f>CONCATENATE(BG119,"_",BH119)</f>
        <v>lbr_LU</v>
      </c>
    </row>
    <row r="120" spans="1:62" x14ac:dyDescent="0.25">
      <c r="A120" t="s">
        <v>120</v>
      </c>
      <c r="B120" t="s">
        <v>232</v>
      </c>
      <c r="D120" t="s">
        <v>169</v>
      </c>
      <c r="E120" t="s">
        <v>1179</v>
      </c>
      <c r="F120" t="s">
        <v>316</v>
      </c>
      <c r="G120">
        <v>1978</v>
      </c>
      <c r="X120" s="4" t="str">
        <f>IF(AND(T120&gt;0,W120&gt;0),(W120/((T120+U120)*10)),"")</f>
        <v/>
      </c>
      <c r="AF120" t="str">
        <f>CONCATENATE(VLOOKUP(AG120, 'Voxel Sizes'!$A$2:$B$18,2,FALSE),"x",INT(AC120*15), "x", INT(AD120*15))</f>
        <v>0x0x0</v>
      </c>
      <c r="AG120">
        <f>ROUND(15*((AB120*10)/256),0)</f>
        <v>0</v>
      </c>
      <c r="AI120" t="str">
        <f>CONCATENATE(VLOOKUP(AG120,Constants!$A$2:$C$16,IF(AH120&lt;&gt;"", 3, 2), FALSE),IF(AH120&lt;&gt;"",CONCATENATE(",",VLOOKUP(AH120,$B:$AI,34,FALSE)),""))</f>
        <v>na</v>
      </c>
      <c r="AP120">
        <v>40</v>
      </c>
      <c r="AS120">
        <f t="shared" si="5"/>
        <v>0</v>
      </c>
      <c r="AT120">
        <f t="shared" si="6"/>
        <v>0</v>
      </c>
      <c r="AU120">
        <f t="shared" si="7"/>
        <v>0</v>
      </c>
      <c r="AV120" s="4">
        <f t="shared" si="8"/>
        <v>0.79666666666666663</v>
      </c>
      <c r="AW120">
        <f t="shared" si="9"/>
        <v>0</v>
      </c>
      <c r="AX120">
        <f>VLOOKUP($E120,Constants!$I:$K, 2, FALSE)</f>
        <v>1</v>
      </c>
      <c r="AY120">
        <f>VLOOKUP($E120,Constants!$I:$K, 3, FALSE)*IF(AND(D120="multiple_unit",Y120&lt;110),0.75,1)</f>
        <v>1</v>
      </c>
      <c r="AZ120">
        <f>INT(((Constants!$G$2+$AR120+$AS120+$AT120+$AU120+$AW120)*$AV120)*$AY120)</f>
        <v>11</v>
      </c>
      <c r="BA120">
        <f>INT(((Constants!$G$1+$AQ120+$AS120+$AT120+$AU120+$AW120)*(1/$AV120))*$AX120)</f>
        <v>43</v>
      </c>
      <c r="BG120" t="str">
        <f>VLOOKUP(G120,Eras!$A$2:$C$10, 2, TRUE)</f>
        <v>lbr</v>
      </c>
      <c r="BH120" t="s">
        <v>387</v>
      </c>
      <c r="BI120" t="str">
        <f>CONCATENATE(BG120,"_",BH120)</f>
        <v>lbr_LU</v>
      </c>
    </row>
    <row r="121" spans="1:62" x14ac:dyDescent="0.25">
      <c r="A121" t="s">
        <v>124</v>
      </c>
      <c r="B121" t="s">
        <v>235</v>
      </c>
      <c r="D121" t="s">
        <v>169</v>
      </c>
      <c r="E121" t="s">
        <v>1179</v>
      </c>
      <c r="F121" t="s">
        <v>316</v>
      </c>
      <c r="G121">
        <v>2009</v>
      </c>
      <c r="X121" s="4" t="str">
        <f>IF(AND(T121&gt;0,W121&gt;0),(W121/((T121+U121)*10)),"")</f>
        <v/>
      </c>
      <c r="AF121" t="str">
        <f>CONCATENATE(VLOOKUP(AG121, 'Voxel Sizes'!$A$2:$B$18,2,FALSE),"x",INT(AC121*15), "x", INT(AD121*15))</f>
        <v>0x0x0</v>
      </c>
      <c r="AG121">
        <f>ROUND(15*((AB121*10)/256),0)</f>
        <v>0</v>
      </c>
      <c r="AI121" t="str">
        <f>CONCATENATE(VLOOKUP(AG121,Constants!$A$2:$C$16,IF(AH121&lt;&gt;"", 3, 2), FALSE),IF(AH121&lt;&gt;"",CONCATENATE(",",VLOOKUP(AH121,$B:$AI,34,FALSE)),""))</f>
        <v>na</v>
      </c>
      <c r="AP121">
        <v>40</v>
      </c>
      <c r="AS121">
        <f t="shared" si="5"/>
        <v>0</v>
      </c>
      <c r="AT121">
        <f t="shared" si="6"/>
        <v>0</v>
      </c>
      <c r="AU121">
        <f t="shared" si="7"/>
        <v>0</v>
      </c>
      <c r="AV121" s="4">
        <f t="shared" si="8"/>
        <v>0.84833333333333338</v>
      </c>
      <c r="AW121">
        <f t="shared" si="9"/>
        <v>0</v>
      </c>
      <c r="AX121">
        <f>VLOOKUP($E121,Constants!$I:$K, 2, FALSE)</f>
        <v>1</v>
      </c>
      <c r="AY121">
        <f>VLOOKUP($E121,Constants!$I:$K, 3, FALSE)*IF(AND(D121="multiple_unit",Y121&lt;110),0.75,1)</f>
        <v>1</v>
      </c>
      <c r="AZ121">
        <f>INT(((Constants!$G$2+$AR121+$AS121+$AT121+$AU121+$AW121)*$AV121)*$AY121)</f>
        <v>12</v>
      </c>
      <c r="BA121">
        <f>INT(((Constants!$G$1+$AQ121+$AS121+$AT121+$AU121+$AW121)*(1/$AV121))*$AX121)</f>
        <v>41</v>
      </c>
      <c r="BG121" t="str">
        <f>VLOOKUP(G121,Eras!$A$2:$C$10, 2, TRUE)</f>
        <v>mod</v>
      </c>
      <c r="BH121" t="s">
        <v>387</v>
      </c>
      <c r="BI121" t="str">
        <f>CONCATENATE(BG121,"_",BH121)</f>
        <v>mod_LU</v>
      </c>
    </row>
    <row r="122" spans="1:62" x14ac:dyDescent="0.25">
      <c r="A122" t="s">
        <v>125</v>
      </c>
      <c r="B122" t="s">
        <v>236</v>
      </c>
      <c r="D122" t="s">
        <v>169</v>
      </c>
      <c r="E122" t="s">
        <v>1179</v>
      </c>
      <c r="F122" t="s">
        <v>316</v>
      </c>
      <c r="G122">
        <v>2010</v>
      </c>
      <c r="X122" s="4" t="str">
        <f>IF(AND(T122&gt;0,W122&gt;0),(W122/((T122+U122)*10)),"")</f>
        <v/>
      </c>
      <c r="AF122" t="str">
        <f>CONCATENATE(VLOOKUP(AG122, 'Voxel Sizes'!$A$2:$B$18,2,FALSE),"x",INT(AC122*15), "x", INT(AD122*15))</f>
        <v>0x0x0</v>
      </c>
      <c r="AG122">
        <f>ROUND(15*((AB122*10)/256),0)</f>
        <v>0</v>
      </c>
      <c r="AI122" t="str">
        <f>CONCATENATE(VLOOKUP(AG122,Constants!$A$2:$C$16,IF(AH122&lt;&gt;"", 3, 2), FALSE),IF(AH122&lt;&gt;"",CONCATENATE(",",VLOOKUP(AH122,$B:$AI,34,FALSE)),""))</f>
        <v>na</v>
      </c>
      <c r="AP122">
        <v>40</v>
      </c>
      <c r="AS122">
        <f t="shared" si="5"/>
        <v>0</v>
      </c>
      <c r="AT122">
        <f t="shared" si="6"/>
        <v>0</v>
      </c>
      <c r="AU122">
        <f t="shared" si="7"/>
        <v>0</v>
      </c>
      <c r="AV122" s="4">
        <f t="shared" si="8"/>
        <v>0.85</v>
      </c>
      <c r="AW122">
        <f t="shared" si="9"/>
        <v>0</v>
      </c>
      <c r="AX122">
        <f>VLOOKUP($E122,Constants!$I:$K, 2, FALSE)</f>
        <v>1</v>
      </c>
      <c r="AY122">
        <f>VLOOKUP($E122,Constants!$I:$K, 3, FALSE)*IF(AND(D122="multiple_unit",Y122&lt;110),0.75,1)</f>
        <v>1</v>
      </c>
      <c r="AZ122">
        <f>INT(((Constants!$G$2+$AR122+$AS122+$AT122+$AU122+$AW122)*$AV122)*$AY122)</f>
        <v>12</v>
      </c>
      <c r="BA122">
        <f>INT(((Constants!$G$1+$AQ122+$AS122+$AT122+$AU122+$AW122)*(1/$AV122))*$AX122)</f>
        <v>41</v>
      </c>
      <c r="BG122" t="str">
        <f>VLOOKUP(G122,Eras!$A$2:$C$10, 2, TRUE)</f>
        <v>mod</v>
      </c>
      <c r="BH122" t="s">
        <v>387</v>
      </c>
      <c r="BI122" t="str">
        <f>CONCATENATE(BG122,"_",BH122)</f>
        <v>mod_LU</v>
      </c>
    </row>
    <row r="123" spans="1:62" x14ac:dyDescent="0.25">
      <c r="A123" t="s">
        <v>123</v>
      </c>
      <c r="B123" t="s">
        <v>268</v>
      </c>
      <c r="D123" t="s">
        <v>169</v>
      </c>
      <c r="E123" t="s">
        <v>1179</v>
      </c>
      <c r="F123" t="s">
        <v>316</v>
      </c>
      <c r="G123">
        <v>1995</v>
      </c>
      <c r="X123" s="4" t="str">
        <f>IF(AND(T123&gt;0,W123&gt;0),(W123/((T123+U123)*10)),"")</f>
        <v/>
      </c>
      <c r="AF123" t="str">
        <f>CONCATENATE(VLOOKUP(AG123, 'Voxel Sizes'!$A$2:$B$18,2,FALSE),"x",INT(AC123*15), "x", INT(AD123*15))</f>
        <v>0x0x0</v>
      </c>
      <c r="AG123">
        <f>ROUND(15*((AB123*10)/256),0)</f>
        <v>0</v>
      </c>
      <c r="AI123" t="str">
        <f>CONCATENATE(VLOOKUP(AG123,Constants!$A$2:$C$16,IF(AH123&lt;&gt;"", 3, 2), FALSE),IF(AH123&lt;&gt;"",CONCATENATE(",",VLOOKUP(AH123,$B:$AI,34,FALSE)),""))</f>
        <v>na</v>
      </c>
      <c r="AP123">
        <v>40</v>
      </c>
      <c r="AS123">
        <f t="shared" si="5"/>
        <v>0</v>
      </c>
      <c r="AT123">
        <f t="shared" si="6"/>
        <v>0</v>
      </c>
      <c r="AU123">
        <f t="shared" si="7"/>
        <v>0</v>
      </c>
      <c r="AV123" s="4">
        <f t="shared" si="8"/>
        <v>0.82499999999999996</v>
      </c>
      <c r="AW123">
        <f t="shared" si="9"/>
        <v>0</v>
      </c>
      <c r="AX123">
        <f>VLOOKUP($E123,Constants!$I:$K, 2, FALSE)</f>
        <v>1</v>
      </c>
      <c r="AY123">
        <f>VLOOKUP($E123,Constants!$I:$K, 3, FALSE)*IF(AND(D123="multiple_unit",Y123&lt;110),0.75,1)</f>
        <v>1</v>
      </c>
      <c r="AZ123">
        <f>INT(((Constants!$G$2+$AR123+$AS123+$AT123+$AU123+$AW123)*$AV123)*$AY123)</f>
        <v>12</v>
      </c>
      <c r="BA123">
        <f>INT(((Constants!$G$1+$AQ123+$AS123+$AT123+$AU123+$AW123)*(1/$AV123))*$AX123)</f>
        <v>42</v>
      </c>
      <c r="BG123" t="str">
        <f>VLOOKUP(G123,Eras!$A$2:$C$10, 2, TRUE)</f>
        <v>prv</v>
      </c>
      <c r="BH123" t="s">
        <v>387</v>
      </c>
      <c r="BI123" t="str">
        <f>CONCATENATE(BG123,"_",BH123)</f>
        <v>prv_LU</v>
      </c>
    </row>
    <row r="124" spans="1:62" x14ac:dyDescent="0.25">
      <c r="A124" t="s">
        <v>122</v>
      </c>
      <c r="B124" t="s">
        <v>234</v>
      </c>
      <c r="D124" t="s">
        <v>169</v>
      </c>
      <c r="E124" t="s">
        <v>1179</v>
      </c>
      <c r="F124" t="s">
        <v>316</v>
      </c>
      <c r="G124">
        <v>1992</v>
      </c>
      <c r="X124" s="4" t="str">
        <f>IF(AND(T124&gt;0,W124&gt;0),(W124/((T124+U124)*10)),"")</f>
        <v/>
      </c>
      <c r="AF124" t="str">
        <f>CONCATENATE(VLOOKUP(AG124, 'Voxel Sizes'!$A$2:$B$18,2,FALSE),"x",INT(AC124*15), "x", INT(AD124*15))</f>
        <v>0x0x0</v>
      </c>
      <c r="AG124">
        <f>ROUND(15*((AB124*10)/256),0)</f>
        <v>0</v>
      </c>
      <c r="AI124" t="str">
        <f>CONCATENATE(VLOOKUP(AG124,Constants!$A$2:$C$16,IF(AH124&lt;&gt;"", 3, 2), FALSE),IF(AH124&lt;&gt;"",CONCATENATE(",",VLOOKUP(AH124,$B:$AI,34,FALSE)),""))</f>
        <v>na</v>
      </c>
      <c r="AP124">
        <v>40</v>
      </c>
      <c r="AS124">
        <f t="shared" si="5"/>
        <v>0</v>
      </c>
      <c r="AT124">
        <f t="shared" si="6"/>
        <v>0</v>
      </c>
      <c r="AU124">
        <f t="shared" si="7"/>
        <v>0</v>
      </c>
      <c r="AV124" s="4">
        <f t="shared" si="8"/>
        <v>0.82</v>
      </c>
      <c r="AW124">
        <f t="shared" si="9"/>
        <v>0</v>
      </c>
      <c r="AX124">
        <f>VLOOKUP($E124,Constants!$I:$K, 2, FALSE)</f>
        <v>1</v>
      </c>
      <c r="AY124">
        <f>VLOOKUP($E124,Constants!$I:$K, 3, FALSE)*IF(AND(D124="multiple_unit",Y124&lt;110),0.75,1)</f>
        <v>1</v>
      </c>
      <c r="AZ124">
        <f>INT(((Constants!$G$2+$AR124+$AS124+$AT124+$AU124+$AW124)*$AV124)*$AY124)</f>
        <v>12</v>
      </c>
      <c r="BA124">
        <f>INT(((Constants!$G$1+$AQ124+$AS124+$AT124+$AU124+$AW124)*(1/$AV124))*$AX124)</f>
        <v>42</v>
      </c>
      <c r="BG124" t="str">
        <f>VLOOKUP(G124,Eras!$A$2:$C$10, 2, TRUE)</f>
        <v>lbr</v>
      </c>
      <c r="BH124" t="s">
        <v>387</v>
      </c>
      <c r="BI124" t="str">
        <f>CONCATENATE(BG124,"_",BH124)</f>
        <v>lbr_LU</v>
      </c>
    </row>
    <row r="125" spans="1:62" x14ac:dyDescent="0.25">
      <c r="A125" t="s">
        <v>443</v>
      </c>
      <c r="B125" t="s">
        <v>445</v>
      </c>
      <c r="C125">
        <v>65</v>
      </c>
      <c r="D125" t="s">
        <v>455</v>
      </c>
      <c r="E125" t="s">
        <v>338</v>
      </c>
      <c r="F125" t="s">
        <v>345</v>
      </c>
      <c r="G125">
        <v>1914</v>
      </c>
      <c r="I125">
        <v>1960</v>
      </c>
      <c r="J125">
        <v>3</v>
      </c>
      <c r="K125">
        <v>1000</v>
      </c>
      <c r="T125">
        <v>117</v>
      </c>
      <c r="W125">
        <v>112</v>
      </c>
      <c r="X125" s="4">
        <f>IF(AND(T125&gt;0,W125&gt;0),(W125/((T125+U125)*10)),"")</f>
        <v>9.5726495726495733E-2</v>
      </c>
      <c r="Y125">
        <v>60</v>
      </c>
      <c r="AB125">
        <v>17.7</v>
      </c>
      <c r="AE125" s="11">
        <v>45</v>
      </c>
      <c r="AF125" t="str">
        <f>CONCATENATE(VLOOKUP(AG125, 'Voxel Sizes'!$A$2:$B$18,2,FALSE),"x",INT(AC125*15), "x", INT(AD125*15))</f>
        <v>164x0x0</v>
      </c>
      <c r="AG125">
        <f>ROUND(15*((AB125*10)/256),0)</f>
        <v>10</v>
      </c>
      <c r="AI125" t="str">
        <f>CONCATENATE(VLOOKUP(AG125,Constants!$A$2:$C$16,IF(AH125&lt;&gt;"", 3, 2), FALSE),IF(AH125&lt;&gt;"",CONCATENATE(",",VLOOKUP(AH125,$B:$AI,34,FALSE)),""))</f>
        <v>4,2,4</v>
      </c>
      <c r="AK125" t="s">
        <v>456</v>
      </c>
      <c r="AM125" t="s">
        <v>454</v>
      </c>
      <c r="AP125">
        <v>35</v>
      </c>
      <c r="AS125">
        <f t="shared" si="5"/>
        <v>12</v>
      </c>
      <c r="AT125">
        <f t="shared" si="6"/>
        <v>5</v>
      </c>
      <c r="AU125">
        <f t="shared" si="7"/>
        <v>5.6000000000000005</v>
      </c>
      <c r="AV125" s="4">
        <f t="shared" si="8"/>
        <v>0.69</v>
      </c>
      <c r="AW125">
        <f t="shared" si="9"/>
        <v>4.5</v>
      </c>
      <c r="AX125">
        <f>VLOOKUP($E125,Constants!$I:$K, 2, FALSE)</f>
        <v>0.85</v>
      </c>
      <c r="AY125">
        <f>VLOOKUP($E125,Constants!$I:$K, 3, FALSE)*IF(AND(D125="multiple_unit",Y125&lt;110),0.75,1)</f>
        <v>1.7249999999999999</v>
      </c>
      <c r="AZ125">
        <f>INT(((Constants!$G$2+$AR125+$AS125+$AT125+$AU125+$AW125)*$AV125)*$AY125)</f>
        <v>50</v>
      </c>
      <c r="BA125">
        <f>INT(((Constants!$G$1+$AQ125+$AS125+$AT125+$AU125+$AW125)*(1/$AV125))*$AX125)</f>
        <v>76</v>
      </c>
      <c r="BF125" t="s">
        <v>325</v>
      </c>
      <c r="BG125" t="str">
        <f>VLOOKUP(G125,Eras!$A$2:$C$10, 2, TRUE)</f>
        <v>edw</v>
      </c>
      <c r="BH125" t="s">
        <v>375</v>
      </c>
      <c r="BI125" t="str">
        <f>CONCATENATE(BG125,"_",BH125)</f>
        <v>edw_EMU</v>
      </c>
      <c r="BJ125" t="s">
        <v>444</v>
      </c>
    </row>
    <row r="126" spans="1:62" x14ac:dyDescent="0.25">
      <c r="A126" t="s">
        <v>79</v>
      </c>
      <c r="B126" t="s">
        <v>271</v>
      </c>
      <c r="C126">
        <v>99</v>
      </c>
      <c r="D126" t="s">
        <v>455</v>
      </c>
      <c r="E126" t="s">
        <v>338</v>
      </c>
      <c r="F126" t="s">
        <v>345</v>
      </c>
      <c r="G126">
        <v>1932</v>
      </c>
      <c r="I126">
        <v>1972</v>
      </c>
      <c r="J126">
        <v>5</v>
      </c>
      <c r="K126">
        <v>1800</v>
      </c>
      <c r="T126">
        <v>253</v>
      </c>
      <c r="W126">
        <v>145</v>
      </c>
      <c r="X126" s="4">
        <f>IF(AND(T126&gt;0,W126&gt;0),(W126/((T126+U126)*10)),"")</f>
        <v>5.731225296442688E-2</v>
      </c>
      <c r="Y126">
        <v>75</v>
      </c>
      <c r="AA126">
        <v>20.11</v>
      </c>
      <c r="AB126">
        <v>20.11</v>
      </c>
      <c r="AE126" s="11">
        <v>33</v>
      </c>
      <c r="AF126" t="str">
        <f>CONCATENATE(VLOOKUP(AG126, 'Voxel Sizes'!$A$2:$B$18,2,FALSE),"x",INT(AC126*15), "x", INT(AD126*15))</f>
        <v>198x0x0</v>
      </c>
      <c r="AG126">
        <f>ROUND(15*((AB126*10)/256),0)</f>
        <v>12</v>
      </c>
      <c r="AI126" t="str">
        <f>CONCATENATE(VLOOKUP(AG126,Constants!$A$2:$C$16,IF(AH126&lt;&gt;"", 3, 2), FALSE),IF(AH126&lt;&gt;"",CONCATENATE(",",VLOOKUP(AH126,$B:$AI,34,FALSE)),""))</f>
        <v>4,4,4</v>
      </c>
      <c r="AK126" t="s">
        <v>497</v>
      </c>
      <c r="AM126" t="s">
        <v>500</v>
      </c>
      <c r="AP126">
        <v>38</v>
      </c>
      <c r="AS126">
        <f t="shared" si="5"/>
        <v>15</v>
      </c>
      <c r="AT126">
        <f t="shared" si="6"/>
        <v>9</v>
      </c>
      <c r="AU126">
        <f t="shared" si="7"/>
        <v>7.25</v>
      </c>
      <c r="AV126" s="4">
        <f t="shared" si="8"/>
        <v>0.72</v>
      </c>
      <c r="AW126">
        <f t="shared" si="9"/>
        <v>5.5</v>
      </c>
      <c r="AX126">
        <f>VLOOKUP($E126,Constants!$I:$K, 2, FALSE)</f>
        <v>0.85</v>
      </c>
      <c r="AY126">
        <f>VLOOKUP($E126,Constants!$I:$K, 3, FALSE)*IF(AND(D126="multiple_unit",Y126&lt;110),0.75,1)</f>
        <v>1.7249999999999999</v>
      </c>
      <c r="AZ126">
        <f>INT(((Constants!$G$2+$AR126+$AS126+$AT126+$AU126+$AW126)*$AV126)*$AY126)</f>
        <v>64</v>
      </c>
      <c r="BA126">
        <f>INT(((Constants!$G$1+$AQ126+$AS126+$AT126+$AU126+$AW126)*(1/$AV126))*$AX126)</f>
        <v>84</v>
      </c>
      <c r="BF126" t="s">
        <v>325</v>
      </c>
      <c r="BG126" t="str">
        <f>VLOOKUP(G126,Eras!$A$2:$C$10, 2, TRUE)</f>
        <v>big4</v>
      </c>
      <c r="BH126" t="s">
        <v>376</v>
      </c>
      <c r="BI126" t="str">
        <f>CONCATENATE(BG126,"_",BH126)</f>
        <v>big4_EMU (Express)</v>
      </c>
      <c r="BJ126" t="s">
        <v>496</v>
      </c>
    </row>
    <row r="127" spans="1:62" x14ac:dyDescent="0.25">
      <c r="A127" t="s">
        <v>80</v>
      </c>
      <c r="B127" t="s">
        <v>272</v>
      </c>
      <c r="C127">
        <v>117</v>
      </c>
      <c r="D127" t="s">
        <v>455</v>
      </c>
      <c r="E127" t="s">
        <v>338</v>
      </c>
      <c r="F127" t="s">
        <v>345</v>
      </c>
      <c r="G127">
        <v>1937</v>
      </c>
      <c r="H127">
        <v>1938</v>
      </c>
      <c r="I127">
        <v>1972</v>
      </c>
      <c r="J127">
        <v>4</v>
      </c>
      <c r="K127">
        <v>900</v>
      </c>
      <c r="T127">
        <v>160.80000000000001</v>
      </c>
      <c r="V127">
        <v>8</v>
      </c>
      <c r="W127">
        <v>120</v>
      </c>
      <c r="X127" s="4">
        <f>IF(AND(T127&gt;0,W127&gt;0),(W127/((T127+U127)*10)),"")</f>
        <v>7.4626865671641784E-2</v>
      </c>
      <c r="Y127">
        <v>75</v>
      </c>
      <c r="AA127">
        <v>20</v>
      </c>
      <c r="AB127">
        <v>20</v>
      </c>
      <c r="AE127" s="11">
        <v>57</v>
      </c>
      <c r="AF127" t="str">
        <f>CONCATENATE(VLOOKUP(AG127, 'Voxel Sizes'!$A$2:$B$18,2,FALSE),"x",INT(AC127*15), "x", INT(AD127*15))</f>
        <v>198x0x0</v>
      </c>
      <c r="AG127">
        <f>ROUND(15*((AB127*10)/256),0)</f>
        <v>12</v>
      </c>
      <c r="AI127" t="str">
        <f>CONCATENATE(VLOOKUP(AG127,Constants!$A$2:$C$16,IF(AH127&lt;&gt;"", 3, 2), FALSE),IF(AH127&lt;&gt;"",CONCATENATE(",",VLOOKUP(AH127,$B:$AI,34,FALSE)),""))</f>
        <v>4,4,4</v>
      </c>
      <c r="AK127" t="s">
        <v>516</v>
      </c>
      <c r="AM127" t="s">
        <v>517</v>
      </c>
      <c r="AP127">
        <v>46</v>
      </c>
      <c r="AS127">
        <f t="shared" si="5"/>
        <v>15</v>
      </c>
      <c r="AT127">
        <f t="shared" si="6"/>
        <v>4.5</v>
      </c>
      <c r="AU127">
        <f t="shared" si="7"/>
        <v>6</v>
      </c>
      <c r="AV127" s="4">
        <f t="shared" si="8"/>
        <v>0.72833333333333339</v>
      </c>
      <c r="AW127">
        <f t="shared" si="9"/>
        <v>7.6</v>
      </c>
      <c r="AX127">
        <f>VLOOKUP($E127,Constants!$I:$K, 2, FALSE)</f>
        <v>0.85</v>
      </c>
      <c r="AY127">
        <f>VLOOKUP($E127,Constants!$I:$K, 3, FALSE)*IF(AND(D127="multiple_unit",Y127&lt;110),0.75,1)</f>
        <v>1.7249999999999999</v>
      </c>
      <c r="AZ127">
        <f>INT(((Constants!$G$2+$AR127+$AS127+$AT127+$AU127+$AW127)*$AV127)*$AY127)</f>
        <v>60</v>
      </c>
      <c r="BA127">
        <f>INT(((Constants!$G$1+$AQ127+$AS127+$AT127+$AU127+$AW127)*(1/$AV127))*$AX127)</f>
        <v>79</v>
      </c>
      <c r="BF127" t="s">
        <v>325</v>
      </c>
      <c r="BG127" t="str">
        <f>VLOOKUP(G127,Eras!$A$2:$C$10, 2, TRUE)</f>
        <v>big4</v>
      </c>
      <c r="BH127" t="s">
        <v>375</v>
      </c>
      <c r="BI127" t="str">
        <f>CONCATENATE(BG127,"_",BH127)</f>
        <v>big4_EMU</v>
      </c>
      <c r="BJ127" t="s">
        <v>514</v>
      </c>
    </row>
    <row r="128" spans="1:62" x14ac:dyDescent="0.25">
      <c r="A128" t="s">
        <v>81</v>
      </c>
      <c r="B128" t="s">
        <v>273</v>
      </c>
      <c r="C128">
        <v>119</v>
      </c>
      <c r="D128" t="s">
        <v>455</v>
      </c>
      <c r="E128" t="s">
        <v>338</v>
      </c>
      <c r="F128" t="s">
        <v>345</v>
      </c>
      <c r="G128">
        <v>1938</v>
      </c>
      <c r="H128">
        <v>1939</v>
      </c>
      <c r="I128">
        <v>1971</v>
      </c>
      <c r="J128">
        <v>2</v>
      </c>
      <c r="K128">
        <v>550</v>
      </c>
      <c r="T128">
        <v>77</v>
      </c>
      <c r="V128">
        <v>8</v>
      </c>
      <c r="W128">
        <v>120</v>
      </c>
      <c r="X128" s="4">
        <f>IF(AND(T128&gt;0,W128&gt;0),(W128/((T128+U128)*10)),"")</f>
        <v>0.15584415584415584</v>
      </c>
      <c r="Y128">
        <v>75</v>
      </c>
      <c r="AA128">
        <v>20</v>
      </c>
      <c r="AB128">
        <v>20</v>
      </c>
      <c r="AE128" s="11">
        <f>(24+102)/2</f>
        <v>63</v>
      </c>
      <c r="AF128" t="str">
        <f>CONCATENATE(VLOOKUP(AG128, 'Voxel Sizes'!$A$2:$B$18,2,FALSE),"x",INT(AC128*15), "x", INT(AD128*15))</f>
        <v>198x0x0</v>
      </c>
      <c r="AG128">
        <f>ROUND(15*((AB128*10)/256),0)</f>
        <v>12</v>
      </c>
      <c r="AI128" t="str">
        <f>CONCATENATE(VLOOKUP(AG128,Constants!$A$2:$C$16,IF(AH128&lt;&gt;"", 3, 2), FALSE),IF(AH128&lt;&gt;"",CONCATENATE(",",VLOOKUP(AH128,$B:$AI,34,FALSE)),""))</f>
        <v>4,4,4</v>
      </c>
      <c r="AK128" t="s">
        <v>518</v>
      </c>
      <c r="AM128" t="s">
        <v>519</v>
      </c>
      <c r="AP128">
        <v>46</v>
      </c>
      <c r="AS128">
        <f t="shared" si="5"/>
        <v>15</v>
      </c>
      <c r="AT128">
        <f t="shared" si="6"/>
        <v>2.75</v>
      </c>
      <c r="AU128">
        <f t="shared" si="7"/>
        <v>6</v>
      </c>
      <c r="AV128" s="4">
        <f t="shared" si="8"/>
        <v>0.73</v>
      </c>
      <c r="AW128">
        <f t="shared" si="9"/>
        <v>4.2</v>
      </c>
      <c r="AX128">
        <f>VLOOKUP($E128,Constants!$I:$K, 2, FALSE)</f>
        <v>0.85</v>
      </c>
      <c r="AY128">
        <f>VLOOKUP($E128,Constants!$I:$K, 3, FALSE)*IF(AND(D128="multiple_unit",Y128&lt;110),0.75,1)</f>
        <v>1.7249999999999999</v>
      </c>
      <c r="AZ128">
        <f>INT(((Constants!$G$2+$AR128+$AS128+$AT128+$AU128+$AW128)*$AV128)*$AY128)</f>
        <v>54</v>
      </c>
      <c r="BA128">
        <f>INT(((Constants!$G$1+$AQ128+$AS128+$AT128+$AU128+$AW128)*(1/$AV128))*$AX128)</f>
        <v>73</v>
      </c>
      <c r="BF128" t="s">
        <v>325</v>
      </c>
      <c r="BG128" t="str">
        <f>VLOOKUP(G128,Eras!$A$2:$C$10, 2, TRUE)</f>
        <v>big4</v>
      </c>
      <c r="BH128" t="s">
        <v>375</v>
      </c>
      <c r="BI128" t="str">
        <f>CONCATENATE(BG128,"_",BH128)</f>
        <v>big4_EMU</v>
      </c>
      <c r="BJ128" t="s">
        <v>515</v>
      </c>
    </row>
    <row r="129" spans="1:62" x14ac:dyDescent="0.25">
      <c r="A129" t="s">
        <v>97</v>
      </c>
      <c r="B129" t="s">
        <v>220</v>
      </c>
      <c r="C129">
        <v>159</v>
      </c>
      <c r="D129" t="s">
        <v>455</v>
      </c>
      <c r="E129" t="s">
        <v>338</v>
      </c>
      <c r="F129" t="s">
        <v>339</v>
      </c>
      <c r="G129">
        <v>1954</v>
      </c>
      <c r="I129">
        <v>1984</v>
      </c>
      <c r="J129">
        <v>3</v>
      </c>
      <c r="K129">
        <v>740</v>
      </c>
      <c r="T129">
        <f>51.4+26.8+27.9</f>
        <v>106.1</v>
      </c>
      <c r="W129">
        <v>110</v>
      </c>
      <c r="X129" s="4">
        <f>IF(AND(T129&gt;0,W129&gt;0),(W129/((T129+U129)*10)),"")</f>
        <v>0.10367577756833177</v>
      </c>
      <c r="Y129">
        <v>75</v>
      </c>
      <c r="AA129">
        <v>18.100000000000001</v>
      </c>
      <c r="AB129">
        <v>18.100000000000001</v>
      </c>
      <c r="AC129">
        <v>2.82</v>
      </c>
      <c r="AD129">
        <v>3.87</v>
      </c>
      <c r="AE129" s="11">
        <v>57</v>
      </c>
      <c r="AF129" t="str">
        <f>CONCATENATE(VLOOKUP(AG129, 'Voxel Sizes'!$A$2:$B$18,2,FALSE),"x",INT(AC129*15), "x", INT(AD129*15))</f>
        <v>186x42x58</v>
      </c>
      <c r="AG129">
        <f>ROUND(15*((AB129*10)/256),0)</f>
        <v>11</v>
      </c>
      <c r="AI129" t="str">
        <f>CONCATENATE(VLOOKUP(AG129,Constants!$A$2:$C$16,IF(AH129&lt;&gt;"", 3, 2), FALSE),IF(AH129&lt;&gt;"",CONCATENATE(",",VLOOKUP(AH129,$B:$AI,34,FALSE)),""))</f>
        <v>4,3,4</v>
      </c>
      <c r="AK129" t="s">
        <v>669</v>
      </c>
      <c r="AM129" t="s">
        <v>334</v>
      </c>
      <c r="AP129">
        <v>45</v>
      </c>
      <c r="AS129">
        <f t="shared" si="5"/>
        <v>15</v>
      </c>
      <c r="AT129">
        <f t="shared" si="6"/>
        <v>3.7</v>
      </c>
      <c r="AU129">
        <f t="shared" si="7"/>
        <v>5.5</v>
      </c>
      <c r="AV129" s="4">
        <f t="shared" si="8"/>
        <v>0.75666666666666671</v>
      </c>
      <c r="AW129">
        <f t="shared" si="9"/>
        <v>5.7000000000000011</v>
      </c>
      <c r="AX129">
        <f>VLOOKUP($E129,Constants!$I:$K, 2, FALSE)</f>
        <v>0.85</v>
      </c>
      <c r="AY129">
        <f>VLOOKUP($E129,Constants!$I:$K, 3, FALSE)*IF(AND(D129="multiple_unit",Y129&lt;110),0.75,1)</f>
        <v>1.7249999999999999</v>
      </c>
      <c r="AZ129">
        <f>INT(((Constants!$G$2+$AR129+$AS129+$AT129+$AU129+$AW129)*$AV129)*$AY129)</f>
        <v>58</v>
      </c>
      <c r="BA129">
        <f>INT(((Constants!$G$1+$AQ129+$AS129+$AT129+$AU129+$AW129)*(1/$AV129))*$AX129)</f>
        <v>72</v>
      </c>
      <c r="BF129" t="s">
        <v>325</v>
      </c>
      <c r="BG129" t="str">
        <f>VLOOKUP(G129,Eras!$A$2:$C$10, 2, TRUE)</f>
        <v>ebr</v>
      </c>
      <c r="BH129" t="s">
        <v>375</v>
      </c>
      <c r="BI129" t="str">
        <f>CONCATENATE(BG129,"_",BH129)</f>
        <v>ebr_EMU</v>
      </c>
      <c r="BJ129" t="s">
        <v>670</v>
      </c>
    </row>
    <row r="130" spans="1:62" x14ac:dyDescent="0.25">
      <c r="A130" t="s">
        <v>82</v>
      </c>
      <c r="B130" t="s">
        <v>274</v>
      </c>
      <c r="C130">
        <v>163</v>
      </c>
      <c r="D130" t="s">
        <v>455</v>
      </c>
      <c r="E130" t="s">
        <v>314</v>
      </c>
      <c r="F130" t="s">
        <v>316</v>
      </c>
      <c r="G130">
        <v>1956</v>
      </c>
      <c r="H130">
        <v>1960</v>
      </c>
      <c r="I130">
        <v>2003</v>
      </c>
      <c r="J130">
        <v>2</v>
      </c>
      <c r="K130">
        <v>600</v>
      </c>
      <c r="T130">
        <f>32.5+25</f>
        <v>57.5</v>
      </c>
      <c r="W130">
        <v>85</v>
      </c>
      <c r="X130" s="4">
        <f>IF(AND(T130&gt;0,W130&gt;0),(W130/((T130+U130)*10)),"")</f>
        <v>0.14782608695652175</v>
      </c>
      <c r="Y130">
        <v>70</v>
      </c>
      <c r="AA130">
        <v>17.37</v>
      </c>
      <c r="AB130">
        <v>17.37</v>
      </c>
      <c r="AD130">
        <v>3.77</v>
      </c>
      <c r="AE130" s="11">
        <v>51</v>
      </c>
      <c r="AF130" t="str">
        <f>CONCATENATE(VLOOKUP(AG130, 'Voxel Sizes'!$A$2:$B$18,2,FALSE),"x",INT(AC130*15), "x", INT(AD130*15))</f>
        <v>164x0x56</v>
      </c>
      <c r="AG130">
        <f>ROUND(15*((AB130*10)/256),0)</f>
        <v>10</v>
      </c>
      <c r="AI130" t="str">
        <f>CONCATENATE(VLOOKUP(AG130,Constants!$A$2:$C$16,IF(AH130&lt;&gt;"", 3, 2), FALSE),IF(AH130&lt;&gt;"",CONCATENATE(",",VLOOKUP(AH130,$B:$AI,34,FALSE)),""))</f>
        <v>4,2,4</v>
      </c>
      <c r="AK130" t="s">
        <v>566</v>
      </c>
      <c r="AM130" t="s">
        <v>519</v>
      </c>
      <c r="AP130">
        <v>55</v>
      </c>
      <c r="AS130">
        <f t="shared" si="5"/>
        <v>14</v>
      </c>
      <c r="AT130">
        <f t="shared" si="6"/>
        <v>3</v>
      </c>
      <c r="AU130">
        <f t="shared" si="7"/>
        <v>4.25</v>
      </c>
      <c r="AV130" s="4">
        <f t="shared" si="8"/>
        <v>0.76</v>
      </c>
      <c r="AW130">
        <f t="shared" si="9"/>
        <v>3.4000000000000004</v>
      </c>
      <c r="AX130">
        <f>VLOOKUP($E130,Constants!$I:$K, 2, FALSE)</f>
        <v>1</v>
      </c>
      <c r="AY130">
        <f>VLOOKUP($E130,Constants!$I:$K, 3, FALSE)*IF(AND(D130="multiple_unit",Y130&lt;110),0.75,1)</f>
        <v>1.5</v>
      </c>
      <c r="AZ130">
        <f>INT(((Constants!$G$2+$AR130+$AS130+$AT130+$AU130+$AW130)*$AV130)*$AY130)</f>
        <v>45</v>
      </c>
      <c r="BA130">
        <f>INT(((Constants!$G$1+$AQ130+$AS130+$AT130+$AU130+$AW130)*(1/$AV130))*$AX130)</f>
        <v>78</v>
      </c>
      <c r="BF130" t="s">
        <v>325</v>
      </c>
      <c r="BG130" t="str">
        <f>VLOOKUP(G130,Eras!$A$2:$C$10, 2, TRUE)</f>
        <v>dsl</v>
      </c>
      <c r="BH130" t="s">
        <v>373</v>
      </c>
      <c r="BI130" t="str">
        <f>CONCATENATE(BG130,"_",BH130)</f>
        <v>dsl_DMU</v>
      </c>
      <c r="BJ130" t="s">
        <v>565</v>
      </c>
    </row>
    <row r="131" spans="1:62" x14ac:dyDescent="0.25">
      <c r="A131" t="s">
        <v>671</v>
      </c>
      <c r="B131" t="s">
        <v>673</v>
      </c>
      <c r="C131">
        <v>167</v>
      </c>
      <c r="D131" t="s">
        <v>455</v>
      </c>
      <c r="E131" t="s">
        <v>338</v>
      </c>
      <c r="F131" t="s">
        <v>345</v>
      </c>
      <c r="G131">
        <v>1956</v>
      </c>
      <c r="I131">
        <v>1995</v>
      </c>
      <c r="J131">
        <v>2</v>
      </c>
      <c r="K131">
        <v>500</v>
      </c>
      <c r="T131">
        <f>40+32</f>
        <v>72</v>
      </c>
      <c r="W131">
        <v>95</v>
      </c>
      <c r="X131" s="4">
        <f>IF(AND(T131&gt;0,W131&gt;0),(W131/((T131+U131)*10)),"")</f>
        <v>0.13194444444444445</v>
      </c>
      <c r="Y131">
        <v>90</v>
      </c>
      <c r="AA131">
        <v>19.05</v>
      </c>
      <c r="AB131">
        <v>19.05</v>
      </c>
      <c r="AC131">
        <v>2.82</v>
      </c>
      <c r="AD131">
        <v>3.89</v>
      </c>
      <c r="AE131" s="11">
        <v>54</v>
      </c>
      <c r="AF131" t="str">
        <f>CONCATENATE(VLOOKUP(AG131, 'Voxel Sizes'!$A$2:$B$18,2,FALSE),"x",INT(AC131*15), "x", INT(AD131*15))</f>
        <v>186x42x58</v>
      </c>
      <c r="AG131">
        <f>ROUND(15*((AB131*10)/256),0)</f>
        <v>11</v>
      </c>
      <c r="AI131" t="str">
        <f>CONCATENATE(VLOOKUP(AG131,Constants!$A$2:$C$16,IF(AH131&lt;&gt;"", 3, 2), FALSE),IF(AH131&lt;&gt;"",CONCATENATE(",",VLOOKUP(AH131,$B:$AI,34,FALSE)),""))</f>
        <v>4,3,4</v>
      </c>
      <c r="AK131" t="s">
        <v>674</v>
      </c>
      <c r="AM131" t="s">
        <v>519</v>
      </c>
      <c r="AP131">
        <v>43</v>
      </c>
      <c r="AS131">
        <f t="shared" ref="AS131:AS194" si="10">MIN(Y131/150, 1)*30</f>
        <v>18</v>
      </c>
      <c r="AT131">
        <f t="shared" ref="AT131:AT194" si="11">MIN(K131/4000, 1)*20</f>
        <v>2.5</v>
      </c>
      <c r="AU131">
        <f t="shared" ref="AU131:AU194" si="12">MIN(W131/400,1)*20</f>
        <v>4.75</v>
      </c>
      <c r="AV131" s="4">
        <f t="shared" ref="AV131:AV194" si="13">IF(D131="WAGON",0.85,MAX(0.5,MIN((G131-1500)/600, 1)))</f>
        <v>0.76</v>
      </c>
      <c r="AW131">
        <f t="shared" ref="AW131:AW194" si="14">((MAX($J131,1)*MIN($AE131/300,1)))*IF(D131="Wagon",50,10)</f>
        <v>3.5999999999999996</v>
      </c>
      <c r="AX131">
        <f>VLOOKUP($E131,Constants!$I:$K, 2, FALSE)</f>
        <v>0.85</v>
      </c>
      <c r="AY131">
        <f>VLOOKUP($E131,Constants!$I:$K, 3, FALSE)*IF(AND(D131="multiple_unit",Y131&lt;110),0.75,1)</f>
        <v>1.7249999999999999</v>
      </c>
      <c r="AZ131">
        <f>INT(((Constants!$G$2+$AR131+$AS131+$AT131+$AU131+$AW131)*$AV131)*$AY131)</f>
        <v>57</v>
      </c>
      <c r="BA131">
        <f>INT(((Constants!$G$1+$AQ131+$AS131+$AT131+$AU131+$AW131)*(1/$AV131))*$AX131)</f>
        <v>71</v>
      </c>
      <c r="BF131" t="s">
        <v>325</v>
      </c>
      <c r="BG131" t="str">
        <f>VLOOKUP(G131,Eras!$A$2:$C$10, 2, TRUE)</f>
        <v>dsl</v>
      </c>
      <c r="BH131" t="s">
        <v>376</v>
      </c>
      <c r="BI131" t="str">
        <f>CONCATENATE(BG131,"_",BH131)</f>
        <v>dsl_EMU (Express)</v>
      </c>
      <c r="BJ131" t="s">
        <v>675</v>
      </c>
    </row>
    <row r="132" spans="1:62" x14ac:dyDescent="0.25">
      <c r="A132" t="s">
        <v>147</v>
      </c>
      <c r="B132" t="s">
        <v>277</v>
      </c>
      <c r="C132">
        <v>197</v>
      </c>
      <c r="D132" t="s">
        <v>455</v>
      </c>
      <c r="E132" t="s">
        <v>314</v>
      </c>
      <c r="F132" t="s">
        <v>316</v>
      </c>
      <c r="G132">
        <v>1960</v>
      </c>
      <c r="I132">
        <v>1973</v>
      </c>
      <c r="J132">
        <v>6</v>
      </c>
      <c r="K132">
        <v>1000</v>
      </c>
      <c r="T132">
        <v>304</v>
      </c>
      <c r="W132">
        <v>155</v>
      </c>
      <c r="X132" s="4">
        <f>IF(AND(T132&gt;0,W132&gt;0),(W132/((T132+U132)*10)),"")</f>
        <v>5.0986842105263157E-2</v>
      </c>
      <c r="Y132">
        <v>90</v>
      </c>
      <c r="AA132">
        <v>20.260000000000002</v>
      </c>
      <c r="AB132">
        <v>20</v>
      </c>
      <c r="AC132">
        <v>2.9</v>
      </c>
      <c r="AD132">
        <v>3.77</v>
      </c>
      <c r="AE132" s="11">
        <v>0</v>
      </c>
      <c r="AF132" t="str">
        <f>CONCATENATE(VLOOKUP(AG132, 'Voxel Sizes'!$A$2:$B$18,2,FALSE),"x",INT(AC132*15), "x", INT(AD132*15))</f>
        <v>198x43x56</v>
      </c>
      <c r="AG132">
        <f>ROUND(15*((AB132*10)/256),0)</f>
        <v>12</v>
      </c>
      <c r="AI132" t="str">
        <f>CONCATENATE(VLOOKUP(AG132,Constants!$A$2:$C$16,IF(AH132&lt;&gt;"", 3, 2), FALSE),IF(AH132&lt;&gt;"",CONCATENATE(",",VLOOKUP(AH132,$B:$AI,34,FALSE)),""))</f>
        <v>4,4,4</v>
      </c>
      <c r="AK132" t="s">
        <v>581</v>
      </c>
      <c r="AM132" t="s">
        <v>582</v>
      </c>
      <c r="AP132">
        <v>32</v>
      </c>
      <c r="AS132">
        <f t="shared" si="10"/>
        <v>18</v>
      </c>
      <c r="AT132">
        <f t="shared" si="11"/>
        <v>5</v>
      </c>
      <c r="AU132">
        <f t="shared" si="12"/>
        <v>7.75</v>
      </c>
      <c r="AV132" s="4">
        <f t="shared" si="13"/>
        <v>0.76666666666666672</v>
      </c>
      <c r="AW132">
        <f t="shared" si="14"/>
        <v>0</v>
      </c>
      <c r="AX132">
        <f>VLOOKUP($E132,Constants!$I:$K, 2, FALSE)</f>
        <v>1</v>
      </c>
      <c r="AY132">
        <f>VLOOKUP($E132,Constants!$I:$K, 3, FALSE)*IF(AND(D132="multiple_unit",Y132&lt;110),0.75,1)</f>
        <v>1.5</v>
      </c>
      <c r="AZ132">
        <f>INT(((Constants!$G$2+$AR132+$AS132+$AT132+$AU132+$AW132)*$AV132)*$AY132)</f>
        <v>52</v>
      </c>
      <c r="BA132">
        <f>INT(((Constants!$G$1+$AQ132+$AS132+$AT132+$AU132+$AW132)*(1/$AV132))*$AX132)</f>
        <v>85</v>
      </c>
      <c r="BG132" t="str">
        <f>VLOOKUP(G132,Eras!$A$2:$C$10, 2, TRUE)</f>
        <v>dsl</v>
      </c>
      <c r="BH132" t="s">
        <v>374</v>
      </c>
      <c r="BI132" t="str">
        <f>CONCATENATE(BG132,"_",BH132)</f>
        <v>dsl_DMU (Express)</v>
      </c>
      <c r="BJ132" t="s">
        <v>583</v>
      </c>
    </row>
    <row r="133" spans="1:62" x14ac:dyDescent="0.25">
      <c r="A133" t="s">
        <v>83</v>
      </c>
      <c r="B133" t="s">
        <v>257</v>
      </c>
      <c r="C133">
        <v>199</v>
      </c>
      <c r="D133" t="s">
        <v>455</v>
      </c>
      <c r="E133" t="s">
        <v>314</v>
      </c>
      <c r="F133" t="s">
        <v>316</v>
      </c>
      <c r="G133">
        <v>1960</v>
      </c>
      <c r="I133">
        <v>2017</v>
      </c>
      <c r="J133">
        <v>1</v>
      </c>
      <c r="K133">
        <v>300</v>
      </c>
      <c r="T133">
        <v>38</v>
      </c>
      <c r="W133">
        <v>65</v>
      </c>
      <c r="X133" s="4">
        <f>IF(AND(T133&gt;0,W133&gt;0),(W133/((T133+U133)*10)),"")</f>
        <v>0.17105263157894737</v>
      </c>
      <c r="Y133">
        <v>70</v>
      </c>
      <c r="Z133">
        <v>1</v>
      </c>
      <c r="AA133">
        <v>19.66</v>
      </c>
      <c r="AB133">
        <v>19.66</v>
      </c>
      <c r="AD133">
        <v>3.77</v>
      </c>
      <c r="AE133" s="11">
        <v>66</v>
      </c>
      <c r="AF133" t="str">
        <f>CONCATENATE(VLOOKUP(AG133, 'Voxel Sizes'!$A$2:$B$18,2,FALSE),"x",INT(AC133*15), "x", INT(AD133*15))</f>
        <v>198x0x56</v>
      </c>
      <c r="AG133">
        <f>ROUND(15*((AB133*10)/256),0)</f>
        <v>12</v>
      </c>
      <c r="AI133" t="str">
        <f>CONCATENATE(VLOOKUP(AG133,Constants!$A$2:$C$16,IF(AH133&lt;&gt;"", 3, 2), FALSE),IF(AH133&lt;&gt;"",CONCATENATE(",",VLOOKUP(AH133,$B:$AI,34,FALSE)),""))</f>
        <v>4,4,4</v>
      </c>
      <c r="AK133" t="s">
        <v>257</v>
      </c>
      <c r="AM133">
        <v>1</v>
      </c>
      <c r="AP133">
        <v>60</v>
      </c>
      <c r="AS133">
        <f t="shared" si="10"/>
        <v>14</v>
      </c>
      <c r="AT133">
        <f t="shared" si="11"/>
        <v>1.5</v>
      </c>
      <c r="AU133">
        <f t="shared" si="12"/>
        <v>3.25</v>
      </c>
      <c r="AV133" s="4">
        <f t="shared" si="13"/>
        <v>0.76666666666666672</v>
      </c>
      <c r="AW133">
        <f t="shared" si="14"/>
        <v>2.2000000000000002</v>
      </c>
      <c r="AX133">
        <f>VLOOKUP($E133,Constants!$I:$K, 2, FALSE)</f>
        <v>1</v>
      </c>
      <c r="AY133">
        <f>VLOOKUP($E133,Constants!$I:$K, 3, FALSE)*IF(AND(D133="multiple_unit",Y133&lt;110),0.75,1)</f>
        <v>1.5</v>
      </c>
      <c r="AZ133">
        <f>INT(((Constants!$G$2+$AR133+$AS133+$AT133+$AU133+$AW133)*$AV133)*$AY133)</f>
        <v>41</v>
      </c>
      <c r="BA133">
        <f>INT(((Constants!$G$1+$AQ133+$AS133+$AT133+$AU133+$AW133)*(1/$AV133))*$AX133)</f>
        <v>72</v>
      </c>
      <c r="BF133" t="s">
        <v>325</v>
      </c>
      <c r="BG133" t="str">
        <f>VLOOKUP(G133,Eras!$A$2:$C$10, 2, TRUE)</f>
        <v>dsl</v>
      </c>
      <c r="BH133" t="s">
        <v>373</v>
      </c>
      <c r="BI133" t="str">
        <f>CONCATENATE(BG133,"_",BH133)</f>
        <v>dsl_DMU</v>
      </c>
      <c r="BJ133" t="s">
        <v>584</v>
      </c>
    </row>
    <row r="134" spans="1:62" x14ac:dyDescent="0.25">
      <c r="A134" t="s">
        <v>672</v>
      </c>
      <c r="B134" t="s">
        <v>294</v>
      </c>
      <c r="C134">
        <v>213</v>
      </c>
      <c r="D134" t="s">
        <v>455</v>
      </c>
      <c r="E134" t="s">
        <v>338</v>
      </c>
      <c r="F134" t="s">
        <v>345</v>
      </c>
      <c r="G134">
        <v>1964</v>
      </c>
      <c r="H134">
        <v>1972</v>
      </c>
      <c r="I134">
        <v>2005</v>
      </c>
      <c r="J134">
        <v>4</v>
      </c>
      <c r="K134">
        <v>1000</v>
      </c>
      <c r="T134">
        <v>152</v>
      </c>
      <c r="W134">
        <v>125</v>
      </c>
      <c r="X134" s="4">
        <f>IF(AND(T134&gt;0,W134&gt;0),(W134/((T134+U134)*10)),"")</f>
        <v>8.2236842105263164E-2</v>
      </c>
      <c r="Y134">
        <v>90</v>
      </c>
      <c r="AA134">
        <f>80.98/4</f>
        <v>20.245000000000001</v>
      </c>
      <c r="AB134">
        <v>20.239999999999998</v>
      </c>
      <c r="AC134">
        <v>2.82</v>
      </c>
      <c r="AD134">
        <v>3.89</v>
      </c>
      <c r="AE134" s="11">
        <v>54</v>
      </c>
      <c r="AF134" t="str">
        <f>CONCATENATE(VLOOKUP(AG134, 'Voxel Sizes'!$A$2:$B$18,2,FALSE),"x",INT(AC134*15), "x", INT(AD134*15))</f>
        <v>198x42x58</v>
      </c>
      <c r="AG134">
        <f>ROUND(15*((AB134*10)/256),0)</f>
        <v>12</v>
      </c>
      <c r="AI134" t="str">
        <f>CONCATENATE(VLOOKUP(AG134,Constants!$A$2:$C$16,IF(AH134&lt;&gt;"", 3, 2), FALSE),IF(AH134&lt;&gt;"",CONCATENATE(",",VLOOKUP(AH134,$B:$AI,34,FALSE)),""))</f>
        <v>4,4,4</v>
      </c>
      <c r="AK134" t="s">
        <v>682</v>
      </c>
      <c r="AM134" t="s">
        <v>680</v>
      </c>
      <c r="AP134">
        <v>50</v>
      </c>
      <c r="AS134">
        <f t="shared" si="10"/>
        <v>18</v>
      </c>
      <c r="AT134">
        <f t="shared" si="11"/>
        <v>5</v>
      </c>
      <c r="AU134">
        <f t="shared" si="12"/>
        <v>6.25</v>
      </c>
      <c r="AV134" s="4">
        <f t="shared" si="13"/>
        <v>0.77333333333333332</v>
      </c>
      <c r="AW134">
        <f t="shared" si="14"/>
        <v>7.1999999999999993</v>
      </c>
      <c r="AX134">
        <f>VLOOKUP($E134,Constants!$I:$K, 2, FALSE)</f>
        <v>0.85</v>
      </c>
      <c r="AY134">
        <f>VLOOKUP($E134,Constants!$I:$K, 3, FALSE)*IF(AND(D134="multiple_unit",Y134&lt;110),0.75,1)</f>
        <v>1.7249999999999999</v>
      </c>
      <c r="AZ134">
        <f>INT(((Constants!$G$2+$AR134+$AS134+$AT134+$AU134+$AW134)*$AV134)*$AY134)</f>
        <v>68</v>
      </c>
      <c r="BA134">
        <f>INT(((Constants!$G$1+$AQ134+$AS134+$AT134+$AU134+$AW134)*(1/$AV134))*$AX134)</f>
        <v>78</v>
      </c>
      <c r="BF134" t="s">
        <v>325</v>
      </c>
      <c r="BG134" t="str">
        <f>VLOOKUP(G134,Eras!$A$2:$C$10, 2, TRUE)</f>
        <v>dsl</v>
      </c>
      <c r="BH134" t="s">
        <v>376</v>
      </c>
      <c r="BI134" t="str">
        <f>CONCATENATE(BG134,"_",BH134)</f>
        <v>dsl_EMU (Express)</v>
      </c>
      <c r="BJ134" t="s">
        <v>679</v>
      </c>
    </row>
    <row r="135" spans="1:62" x14ac:dyDescent="0.25">
      <c r="A135" t="s">
        <v>98</v>
      </c>
      <c r="B135" t="s">
        <v>676</v>
      </c>
      <c r="C135">
        <v>219</v>
      </c>
      <c r="D135" t="s">
        <v>455</v>
      </c>
      <c r="E135" t="s">
        <v>338</v>
      </c>
      <c r="F135" t="s">
        <v>339</v>
      </c>
      <c r="G135">
        <v>1965</v>
      </c>
      <c r="I135">
        <v>2002</v>
      </c>
      <c r="J135">
        <v>4</v>
      </c>
      <c r="K135">
        <v>1080</v>
      </c>
      <c r="T135">
        <v>158</v>
      </c>
      <c r="W135">
        <v>130</v>
      </c>
      <c r="X135" s="4">
        <f>IF(AND(T135&gt;0,W135&gt;0),(W135/((T135+U135)*10)),"")</f>
        <v>8.2278481012658222E-2</v>
      </c>
      <c r="Y135">
        <v>75</v>
      </c>
      <c r="AA135">
        <v>19.850000000000001</v>
      </c>
      <c r="AB135">
        <v>19.850000000000001</v>
      </c>
      <c r="AC135">
        <v>2.82</v>
      </c>
      <c r="AD135">
        <v>3.97</v>
      </c>
      <c r="AE135" s="11">
        <v>57</v>
      </c>
      <c r="AF135" t="str">
        <f>CONCATENATE(VLOOKUP(AG135, 'Voxel Sizes'!$A$2:$B$18,2,FALSE),"x",INT(AC135*15), "x", INT(AD135*15))</f>
        <v>198x42x59</v>
      </c>
      <c r="AG135">
        <f>ROUND(15*((AB135*10)/256),0)</f>
        <v>12</v>
      </c>
      <c r="AI135" t="str">
        <f>CONCATENATE(VLOOKUP(AG135,Constants!$A$2:$C$16,IF(AH135&lt;&gt;"", 3, 2), FALSE),IF(AH135&lt;&gt;"",CONCATENATE(",",VLOOKUP(AH135,$B:$AI,34,FALSE)),""))</f>
        <v>4,4,4</v>
      </c>
      <c r="AK135" t="s">
        <v>677</v>
      </c>
      <c r="AM135" t="s">
        <v>610</v>
      </c>
      <c r="AP135">
        <v>42</v>
      </c>
      <c r="AS135">
        <f t="shared" si="10"/>
        <v>15</v>
      </c>
      <c r="AT135">
        <f t="shared" si="11"/>
        <v>5.4</v>
      </c>
      <c r="AU135">
        <f t="shared" si="12"/>
        <v>6.5</v>
      </c>
      <c r="AV135" s="4">
        <f t="shared" si="13"/>
        <v>0.77500000000000002</v>
      </c>
      <c r="AW135">
        <f t="shared" si="14"/>
        <v>7.6</v>
      </c>
      <c r="AX135">
        <f>VLOOKUP($E135,Constants!$I:$K, 2, FALSE)</f>
        <v>0.85</v>
      </c>
      <c r="AY135">
        <f>VLOOKUP($E135,Constants!$I:$K, 3, FALSE)*IF(AND(D135="multiple_unit",Y135&lt;110),0.75,1)</f>
        <v>1.7249999999999999</v>
      </c>
      <c r="AZ135">
        <f>INT(((Constants!$G$2+$AR135+$AS135+$AT135+$AU135+$AW135)*$AV135)*$AY135)</f>
        <v>66</v>
      </c>
      <c r="BA135">
        <f>INT(((Constants!$G$1+$AQ135+$AS135+$AT135+$AU135+$AW135)*(1/$AV135))*$AX135)</f>
        <v>76</v>
      </c>
      <c r="BF135" t="s">
        <v>325</v>
      </c>
      <c r="BG135" t="str">
        <f>VLOOKUP(G135,Eras!$A$2:$C$10, 2, TRUE)</f>
        <v>dsl</v>
      </c>
      <c r="BH135" t="s">
        <v>374</v>
      </c>
      <c r="BI135" t="str">
        <f>CONCATENATE(BG135,"_",BH135)</f>
        <v>dsl_DMU (Express)</v>
      </c>
      <c r="BJ135" t="s">
        <v>678</v>
      </c>
    </row>
    <row r="136" spans="1:62" x14ac:dyDescent="0.25">
      <c r="A136" t="s">
        <v>90</v>
      </c>
      <c r="B136" t="s">
        <v>217</v>
      </c>
      <c r="C136">
        <v>229</v>
      </c>
      <c r="D136" t="s">
        <v>455</v>
      </c>
      <c r="E136" t="s">
        <v>607</v>
      </c>
      <c r="F136" t="s">
        <v>606</v>
      </c>
      <c r="G136">
        <v>1976</v>
      </c>
      <c r="H136">
        <v>1977</v>
      </c>
      <c r="J136">
        <v>3</v>
      </c>
      <c r="K136">
        <v>880</v>
      </c>
      <c r="T136">
        <v>104.5</v>
      </c>
      <c r="W136">
        <v>140</v>
      </c>
      <c r="X136" s="4">
        <f>IF(AND(T136&gt;0,W136&gt;0),(W136/((T136+U136)*10)),"")</f>
        <v>0.13397129186602871</v>
      </c>
      <c r="Y136">
        <v>75</v>
      </c>
      <c r="AA136">
        <v>20.329999999999998</v>
      </c>
      <c r="AB136">
        <v>20.329999999999998</v>
      </c>
      <c r="AD136">
        <v>3.58</v>
      </c>
      <c r="AE136" s="11">
        <v>75</v>
      </c>
      <c r="AF136" t="str">
        <f>CONCATENATE(VLOOKUP(AG136, 'Voxel Sizes'!$A$2:$B$18,2,FALSE),"x",INT(AC136*15), "x", INT(AD136*15))</f>
        <v>198x0x53</v>
      </c>
      <c r="AG136">
        <f>ROUND(15*((AB136*10)/256),0)</f>
        <v>12</v>
      </c>
      <c r="AI136" t="str">
        <f>CONCATENATE(VLOOKUP(AG136,Constants!$A$2:$C$16,IF(AH136&lt;&gt;"", 3, 2), FALSE),IF(AH136&lt;&gt;"",CONCATENATE(",",VLOOKUP(AH136,$B:$AI,34,FALSE)),""))</f>
        <v>4,4,4</v>
      </c>
      <c r="AK136" t="s">
        <v>604</v>
      </c>
      <c r="AL136" t="s">
        <v>609</v>
      </c>
      <c r="AM136" t="s">
        <v>334</v>
      </c>
      <c r="AP136">
        <v>45</v>
      </c>
      <c r="AS136">
        <f t="shared" si="10"/>
        <v>15</v>
      </c>
      <c r="AT136">
        <f t="shared" si="11"/>
        <v>4.4000000000000004</v>
      </c>
      <c r="AU136">
        <f t="shared" si="12"/>
        <v>7</v>
      </c>
      <c r="AV136" s="4">
        <f t="shared" si="13"/>
        <v>0.79333333333333333</v>
      </c>
      <c r="AW136">
        <f t="shared" si="14"/>
        <v>7.5</v>
      </c>
      <c r="AX136">
        <f>VLOOKUP($E136,Constants!$I:$K, 2, FALSE)</f>
        <v>0.85</v>
      </c>
      <c r="AY136">
        <f>VLOOKUP($E136,Constants!$I:$K, 3, FALSE)*IF(AND(D136="multiple_unit",Y136&lt;110),0.75,1)</f>
        <v>1.7999999999999998</v>
      </c>
      <c r="AZ136">
        <f>INT(((Constants!$G$2+$AR136+$AS136+$AT136+$AU136+$AW136)*$AV136)*$AY136)</f>
        <v>69</v>
      </c>
      <c r="BA136">
        <f>INT(((Constants!$G$1+$AQ136+$AS136+$AT136+$AU136+$AW136)*(1/$AV136))*$AX136)</f>
        <v>73</v>
      </c>
      <c r="BF136" t="s">
        <v>325</v>
      </c>
      <c r="BG136" t="str">
        <f>VLOOKUP(G136,Eras!$A$2:$C$10, 2, TRUE)</f>
        <v>lbr</v>
      </c>
      <c r="BH136" t="s">
        <v>375</v>
      </c>
      <c r="BI136" t="str">
        <f>CONCATENATE(BG136,"_",BH136)</f>
        <v>lbr_EMU</v>
      </c>
      <c r="BJ136" t="s">
        <v>605</v>
      </c>
    </row>
    <row r="137" spans="1:62" x14ac:dyDescent="0.25">
      <c r="A137" t="s">
        <v>727</v>
      </c>
      <c r="B137" t="s">
        <v>728</v>
      </c>
      <c r="C137">
        <v>231</v>
      </c>
      <c r="D137" t="s">
        <v>455</v>
      </c>
      <c r="E137" t="s">
        <v>338</v>
      </c>
      <c r="F137" t="s">
        <v>339</v>
      </c>
      <c r="G137">
        <v>1979</v>
      </c>
      <c r="H137">
        <v>1986</v>
      </c>
      <c r="J137">
        <v>14</v>
      </c>
      <c r="K137">
        <v>8000</v>
      </c>
      <c r="T137">
        <v>434</v>
      </c>
      <c r="W137">
        <v>210</v>
      </c>
      <c r="X137" s="4">
        <f>IF(AND(T137&gt;0,W137&gt;0),(W137/((T137+U137)*10)),"")</f>
        <v>4.8387096774193547E-2</v>
      </c>
      <c r="Y137">
        <v>155</v>
      </c>
      <c r="AA137">
        <v>20.9</v>
      </c>
      <c r="AB137">
        <v>20.9</v>
      </c>
      <c r="AC137">
        <v>2.7</v>
      </c>
      <c r="AD137">
        <v>3.5</v>
      </c>
      <c r="AE137" s="11">
        <v>39</v>
      </c>
      <c r="AF137" t="str">
        <f>CONCATENATE(VLOOKUP(AG137, 'Voxel Sizes'!$A$2:$B$18,2,FALSE),"x",INT(AC137*15), "x", INT(AD137*15))</f>
        <v>198x40x52</v>
      </c>
      <c r="AG137">
        <f>ROUND(15*((AB137*10)/256),0)</f>
        <v>12</v>
      </c>
      <c r="AI137" t="str">
        <f>CONCATENATE(VLOOKUP(AG137,Constants!$A$2:$C$16,IF(AH137&lt;&gt;"", 3, 2), FALSE),IF(AH137&lt;&gt;"",CONCATENATE(",",VLOOKUP(AH137,$B:$AI,34,FALSE)),""))</f>
        <v>4,4,4</v>
      </c>
      <c r="AK137" t="s">
        <v>730</v>
      </c>
      <c r="AM137" t="s">
        <v>737</v>
      </c>
      <c r="AP137">
        <v>22</v>
      </c>
      <c r="AS137">
        <f t="shared" si="10"/>
        <v>30</v>
      </c>
      <c r="AT137">
        <f t="shared" si="11"/>
        <v>20</v>
      </c>
      <c r="AU137">
        <f t="shared" si="12"/>
        <v>10.5</v>
      </c>
      <c r="AV137" s="4">
        <f t="shared" si="13"/>
        <v>0.79833333333333334</v>
      </c>
      <c r="AW137">
        <f t="shared" si="14"/>
        <v>18.2</v>
      </c>
      <c r="AX137">
        <f>VLOOKUP($E137,Constants!$I:$K, 2, FALSE)</f>
        <v>0.85</v>
      </c>
      <c r="AY137">
        <f>VLOOKUP($E137,Constants!$I:$K, 3, FALSE)*IF(AND(D137="multiple_unit",Y137&lt;110),0.75,1)</f>
        <v>2.2999999999999998</v>
      </c>
      <c r="AZ137">
        <f>INT(((Constants!$G$2+$AR137+$AS137+$AT137+$AU137+$AW137)*$AV137)*$AY137)</f>
        <v>172</v>
      </c>
      <c r="BA137">
        <f>INT(((Constants!$G$1+$AQ137+$AS137+$AT137+$AU137+$AW137)*(1/$AV137))*$AX137)</f>
        <v>121</v>
      </c>
      <c r="BF137" t="s">
        <v>325</v>
      </c>
      <c r="BG137" t="str">
        <f>VLOOKUP(G137,Eras!$A$2:$C$10, 2, TRUE)</f>
        <v>lbr</v>
      </c>
      <c r="BH137" t="s">
        <v>376</v>
      </c>
      <c r="BI137" t="str">
        <f>CONCATENATE(BG137,"_",BH137)</f>
        <v>lbr_EMU (Express)</v>
      </c>
      <c r="BJ137" t="s">
        <v>729</v>
      </c>
    </row>
    <row r="138" spans="1:62" x14ac:dyDescent="0.25">
      <c r="A138" t="s">
        <v>89</v>
      </c>
      <c r="B138" t="s">
        <v>216</v>
      </c>
      <c r="C138">
        <v>233</v>
      </c>
      <c r="D138" t="s">
        <v>455</v>
      </c>
      <c r="E138" t="s">
        <v>338</v>
      </c>
      <c r="F138" t="s">
        <v>339</v>
      </c>
      <c r="G138">
        <v>1980</v>
      </c>
      <c r="H138">
        <v>1981</v>
      </c>
      <c r="J138">
        <v>4</v>
      </c>
      <c r="K138">
        <v>880</v>
      </c>
      <c r="T138">
        <v>127.5</v>
      </c>
      <c r="W138">
        <v>140</v>
      </c>
      <c r="X138" s="4">
        <f>IF(AND(T138&gt;0,W138&gt;0),(W138/((T138+U138)*10)),"")</f>
        <v>0.10980392156862745</v>
      </c>
      <c r="Y138">
        <v>75</v>
      </c>
      <c r="AA138">
        <v>19.8</v>
      </c>
      <c r="AB138">
        <v>19.8</v>
      </c>
      <c r="AD138">
        <v>3.58</v>
      </c>
      <c r="AE138" s="11">
        <v>78</v>
      </c>
      <c r="AF138" t="str">
        <f>CONCATENATE(VLOOKUP(AG138, 'Voxel Sizes'!$A$2:$B$18,2,FALSE),"x",INT(AC138*15), "x", INT(AD138*15))</f>
        <v>198x0x53</v>
      </c>
      <c r="AG138">
        <f>ROUND(15*((AB138*10)/256),0)</f>
        <v>12</v>
      </c>
      <c r="AI138" t="str">
        <f>CONCATENATE(VLOOKUP(AG138,Constants!$A$2:$C$16,IF(AH138&lt;&gt;"", 3, 2), FALSE),IF(AH138&lt;&gt;"",CONCATENATE(",",VLOOKUP(AH138,$B:$AI,34,FALSE)),""))</f>
        <v>4,4,4</v>
      </c>
      <c r="AK138" t="s">
        <v>612</v>
      </c>
      <c r="AM138" t="s">
        <v>610</v>
      </c>
      <c r="AP138">
        <v>45</v>
      </c>
      <c r="AS138">
        <f t="shared" si="10"/>
        <v>15</v>
      </c>
      <c r="AT138">
        <f t="shared" si="11"/>
        <v>4.4000000000000004</v>
      </c>
      <c r="AU138">
        <f t="shared" si="12"/>
        <v>7</v>
      </c>
      <c r="AV138" s="4">
        <f t="shared" si="13"/>
        <v>0.8</v>
      </c>
      <c r="AW138">
        <f t="shared" si="14"/>
        <v>10.4</v>
      </c>
      <c r="AX138">
        <f>VLOOKUP($E138,Constants!$I:$K, 2, FALSE)</f>
        <v>0.85</v>
      </c>
      <c r="AY138">
        <f>VLOOKUP($E138,Constants!$I:$K, 3, FALSE)*IF(AND(D138="multiple_unit",Y138&lt;110),0.75,1)</f>
        <v>1.7249999999999999</v>
      </c>
      <c r="AZ138">
        <f>INT(((Constants!$G$2+$AR138+$AS138+$AT138+$AU138+$AW138)*$AV138)*$AY138)</f>
        <v>71</v>
      </c>
      <c r="BA138">
        <f>INT(((Constants!$G$1+$AQ138+$AS138+$AT138+$AU138+$AW138)*(1/$AV138))*$AX138)</f>
        <v>76</v>
      </c>
      <c r="BF138" t="s">
        <v>325</v>
      </c>
      <c r="BG138" t="str">
        <f>VLOOKUP(G138,Eras!$A$2:$C$10, 2, TRUE)</f>
        <v>lbr</v>
      </c>
      <c r="BH138" t="s">
        <v>375</v>
      </c>
      <c r="BI138" t="str">
        <f>CONCATENATE(BG138,"_",BH138)</f>
        <v>lbr_EMU</v>
      </c>
      <c r="BJ138" t="s">
        <v>611</v>
      </c>
    </row>
    <row r="139" spans="1:62" x14ac:dyDescent="0.25">
      <c r="A139" t="s">
        <v>95</v>
      </c>
      <c r="B139" t="s">
        <v>218</v>
      </c>
      <c r="C139">
        <v>235</v>
      </c>
      <c r="D139" t="s">
        <v>455</v>
      </c>
      <c r="E139" t="s">
        <v>338</v>
      </c>
      <c r="F139" t="s">
        <v>345</v>
      </c>
      <c r="G139">
        <v>1982</v>
      </c>
      <c r="J139">
        <v>4</v>
      </c>
      <c r="K139">
        <v>992</v>
      </c>
      <c r="T139">
        <v>136</v>
      </c>
      <c r="W139">
        <v>150</v>
      </c>
      <c r="X139" s="4">
        <f>IF(AND(T139&gt;0,W139&gt;0),(W139/((T139+U139)*10)),"")</f>
        <v>0.11029411764705882</v>
      </c>
      <c r="Y139">
        <v>75</v>
      </c>
      <c r="AA139">
        <v>19.8</v>
      </c>
      <c r="AB139">
        <v>19.8</v>
      </c>
      <c r="AE139" s="11">
        <v>78</v>
      </c>
      <c r="AF139" t="str">
        <f>CONCATENATE(VLOOKUP(AG139, 'Voxel Sizes'!$A$2:$B$18,2,FALSE),"x",INT(AC139*15), "x", INT(AD139*15))</f>
        <v>198x0x0</v>
      </c>
      <c r="AG139">
        <f>ROUND(15*((AB139*10)/256),0)</f>
        <v>12</v>
      </c>
      <c r="AI139" t="str">
        <f>CONCATENATE(VLOOKUP(AG139,Constants!$A$2:$C$16,IF(AH139&lt;&gt;"", 3, 2), FALSE),IF(AH139&lt;&gt;"",CONCATENATE(",",VLOOKUP(AH139,$B:$AI,34,FALSE)),""))</f>
        <v>4,4,4</v>
      </c>
      <c r="AK139" t="s">
        <v>663</v>
      </c>
      <c r="AM139" t="s">
        <v>517</v>
      </c>
      <c r="AP139">
        <v>45</v>
      </c>
      <c r="AS139">
        <f t="shared" si="10"/>
        <v>15</v>
      </c>
      <c r="AT139">
        <f t="shared" si="11"/>
        <v>4.96</v>
      </c>
      <c r="AU139">
        <f t="shared" si="12"/>
        <v>7.5</v>
      </c>
      <c r="AV139" s="4">
        <f t="shared" si="13"/>
        <v>0.80333333333333334</v>
      </c>
      <c r="AW139">
        <f t="shared" si="14"/>
        <v>10.4</v>
      </c>
      <c r="AX139">
        <f>VLOOKUP($E139,Constants!$I:$K, 2, FALSE)</f>
        <v>0.85</v>
      </c>
      <c r="AY139">
        <f>VLOOKUP($E139,Constants!$I:$K, 3, FALSE)*IF(AND(D139="multiple_unit",Y139&lt;110),0.75,1)</f>
        <v>1.7249999999999999</v>
      </c>
      <c r="AZ139">
        <f>INT(((Constants!$G$2+$AR139+$AS139+$AT139+$AU139+$AW139)*$AV139)*$AY139)</f>
        <v>73</v>
      </c>
      <c r="BA139">
        <f>INT(((Constants!$G$1+$AQ139+$AS139+$AT139+$AU139+$AW139)*(1/$AV139))*$AX139)</f>
        <v>77</v>
      </c>
      <c r="BF139" t="s">
        <v>325</v>
      </c>
      <c r="BG139" t="str">
        <f>VLOOKUP(G139,Eras!$A$2:$C$10, 2, TRUE)</f>
        <v>lbr</v>
      </c>
      <c r="BH139" t="s">
        <v>375</v>
      </c>
      <c r="BI139" t="str">
        <f>CONCATENATE(BG139,"_",BH139)</f>
        <v>lbr_EMU</v>
      </c>
      <c r="BJ139" t="s">
        <v>664</v>
      </c>
    </row>
    <row r="140" spans="1:62" x14ac:dyDescent="0.25">
      <c r="A140" t="s">
        <v>99</v>
      </c>
      <c r="B140" t="s">
        <v>685</v>
      </c>
      <c r="C140">
        <v>239</v>
      </c>
      <c r="D140" t="s">
        <v>455</v>
      </c>
      <c r="E140" t="s">
        <v>314</v>
      </c>
      <c r="F140" t="s">
        <v>316</v>
      </c>
      <c r="G140">
        <v>1984</v>
      </c>
      <c r="H140">
        <v>1987</v>
      </c>
      <c r="J140">
        <v>2</v>
      </c>
      <c r="K140">
        <f>286*2</f>
        <v>572</v>
      </c>
      <c r="T140">
        <f>35.8*2</f>
        <v>71.599999999999994</v>
      </c>
      <c r="W140">
        <v>110</v>
      </c>
      <c r="X140" s="4">
        <f>IF(AND(T140&gt;0,W140&gt;0),(W140/((T140+U140)*10)),"")</f>
        <v>0.15363128491620112</v>
      </c>
      <c r="Y140">
        <v>75</v>
      </c>
      <c r="AA140">
        <v>20</v>
      </c>
      <c r="AB140">
        <v>20</v>
      </c>
      <c r="AC140">
        <v>2.81</v>
      </c>
      <c r="AD140">
        <v>3.7</v>
      </c>
      <c r="AE140" s="11">
        <v>63</v>
      </c>
      <c r="AF140" t="str">
        <f>CONCATENATE(VLOOKUP(AG140, 'Voxel Sizes'!$A$2:$B$18,2,FALSE),"x",INT(AC140*15), "x", INT(AD140*15))</f>
        <v>198x42x55</v>
      </c>
      <c r="AG140">
        <f>ROUND(15*((AB140*10)/256),0)</f>
        <v>12</v>
      </c>
      <c r="AI140" t="str">
        <f>CONCATENATE(VLOOKUP(AG140,Constants!$A$2:$C$16,IF(AH140&lt;&gt;"", 3, 2), FALSE),IF(AH140&lt;&gt;"",CONCATENATE(",",VLOOKUP(AH140,$B:$AI,34,FALSE)),""))</f>
        <v>4,4,4</v>
      </c>
      <c r="AK140" t="s">
        <v>684</v>
      </c>
      <c r="AM140" t="s">
        <v>519</v>
      </c>
      <c r="AP140">
        <v>38</v>
      </c>
      <c r="AS140">
        <f t="shared" si="10"/>
        <v>15</v>
      </c>
      <c r="AT140">
        <f t="shared" si="11"/>
        <v>2.86</v>
      </c>
      <c r="AU140">
        <f t="shared" si="12"/>
        <v>5.5</v>
      </c>
      <c r="AV140" s="4">
        <f t="shared" si="13"/>
        <v>0.80666666666666664</v>
      </c>
      <c r="AW140">
        <f t="shared" si="14"/>
        <v>4.2</v>
      </c>
      <c r="AX140">
        <f>VLOOKUP($E140,Constants!$I:$K, 2, FALSE)</f>
        <v>1</v>
      </c>
      <c r="AY140">
        <f>VLOOKUP($E140,Constants!$I:$K, 3, FALSE)*IF(AND(D140="multiple_unit",Y140&lt;110),0.75,1)</f>
        <v>1.5</v>
      </c>
      <c r="AZ140">
        <f>INT(((Constants!$G$2+$AR140+$AS140+$AT140+$AU140+$AW140)*$AV140)*$AY140)</f>
        <v>51</v>
      </c>
      <c r="BA140">
        <f>INT(((Constants!$G$1+$AQ140+$AS140+$AT140+$AU140+$AW140)*(1/$AV140))*$AX140)</f>
        <v>77</v>
      </c>
      <c r="BF140" t="s">
        <v>325</v>
      </c>
      <c r="BG140" t="str">
        <f>VLOOKUP(G140,Eras!$A$2:$C$10, 2, TRUE)</f>
        <v>lbr</v>
      </c>
      <c r="BH140" t="s">
        <v>373</v>
      </c>
      <c r="BI140" t="str">
        <f>CONCATENATE(BG140,"_",BH140)</f>
        <v>lbr_DMU</v>
      </c>
      <c r="BJ140" t="s">
        <v>683</v>
      </c>
    </row>
    <row r="141" spans="1:62" x14ac:dyDescent="0.25">
      <c r="A141" t="s">
        <v>700</v>
      </c>
      <c r="B141" t="s">
        <v>266</v>
      </c>
      <c r="C141">
        <v>241</v>
      </c>
      <c r="D141" t="s">
        <v>455</v>
      </c>
      <c r="E141" t="s">
        <v>314</v>
      </c>
      <c r="F141" t="s">
        <v>316</v>
      </c>
      <c r="G141">
        <v>1984</v>
      </c>
      <c r="H141">
        <v>1988</v>
      </c>
      <c r="I141">
        <v>2005</v>
      </c>
      <c r="J141">
        <v>2</v>
      </c>
      <c r="K141">
        <v>205</v>
      </c>
      <c r="T141">
        <f>26+26.5</f>
        <v>52.5</v>
      </c>
      <c r="W141">
        <v>70</v>
      </c>
      <c r="X141" s="4">
        <f>IF(AND(T141&gt;0,W141&gt;0),(W141/((T141+U141)*10)),"")</f>
        <v>0.13333333333333333</v>
      </c>
      <c r="Y141">
        <v>75</v>
      </c>
      <c r="AA141">
        <v>15.45</v>
      </c>
      <c r="AB141">
        <v>15.45</v>
      </c>
      <c r="AC141">
        <v>2.5</v>
      </c>
      <c r="AD141">
        <v>3.9</v>
      </c>
      <c r="AE141" s="11">
        <v>46</v>
      </c>
      <c r="AF141" t="str">
        <f>CONCATENATE(VLOOKUP(AG141, 'Voxel Sizes'!$A$2:$B$18,2,FALSE),"x",INT(AC141*15), "x", INT(AD141*15))</f>
        <v>152x37x58</v>
      </c>
      <c r="AG141">
        <f>ROUND(15*((AB141*10)/256),0)</f>
        <v>9</v>
      </c>
      <c r="AI141" t="str">
        <f>CONCATENATE(VLOOKUP(AG141,Constants!$A$2:$C$16,IF(AH141&lt;&gt;"", 3, 2), FALSE),IF(AH141&lt;&gt;"",CONCATENATE(",",VLOOKUP(AH141,$B:$AI,34,FALSE)),""))</f>
        <v>2,5,2</v>
      </c>
      <c r="AK141" t="s">
        <v>695</v>
      </c>
      <c r="AM141" t="s">
        <v>519</v>
      </c>
      <c r="AP141">
        <v>28</v>
      </c>
      <c r="AS141">
        <f t="shared" si="10"/>
        <v>15</v>
      </c>
      <c r="AT141">
        <f t="shared" si="11"/>
        <v>1.0249999999999999</v>
      </c>
      <c r="AU141">
        <f t="shared" si="12"/>
        <v>3.5</v>
      </c>
      <c r="AV141" s="4">
        <f t="shared" si="13"/>
        <v>0.80666666666666664</v>
      </c>
      <c r="AW141">
        <f t="shared" si="14"/>
        <v>3.0666666666666664</v>
      </c>
      <c r="AX141">
        <f>VLOOKUP($E141,Constants!$I:$K, 2, FALSE)</f>
        <v>1</v>
      </c>
      <c r="AY141">
        <f>VLOOKUP($E141,Constants!$I:$K, 3, FALSE)*IF(AND(D141="multiple_unit",Y141&lt;110),0.75,1)</f>
        <v>1.5</v>
      </c>
      <c r="AZ141">
        <f>INT(((Constants!$G$2+$AR141+$AS141+$AT141+$AU141+$AW141)*$AV141)*$AY141)</f>
        <v>45</v>
      </c>
      <c r="BA141">
        <f>INT(((Constants!$G$1+$AQ141+$AS141+$AT141+$AU141+$AW141)*(1/$AV141))*$AX141)</f>
        <v>71</v>
      </c>
      <c r="BF141" t="s">
        <v>325</v>
      </c>
      <c r="BG141" t="str">
        <f>VLOOKUP(G141,Eras!$A$2:$C$10, 2, TRUE)</f>
        <v>lbr</v>
      </c>
      <c r="BH141" t="s">
        <v>372</v>
      </c>
      <c r="BI141" t="str">
        <f>CONCATENATE(BG141,"_",BH141)</f>
        <v>lbr_DMU (Cheap)</v>
      </c>
      <c r="BJ141" t="s">
        <v>701</v>
      </c>
    </row>
    <row r="142" spans="1:62" x14ac:dyDescent="0.25">
      <c r="A142" t="s">
        <v>88</v>
      </c>
      <c r="B142" t="s">
        <v>215</v>
      </c>
      <c r="C142">
        <v>247</v>
      </c>
      <c r="D142" t="s">
        <v>455</v>
      </c>
      <c r="E142" t="s">
        <v>607</v>
      </c>
      <c r="F142" t="s">
        <v>606</v>
      </c>
      <c r="G142">
        <v>1987</v>
      </c>
      <c r="H142">
        <v>1990</v>
      </c>
      <c r="J142">
        <v>4</v>
      </c>
      <c r="K142">
        <f>4*332</f>
        <v>1328</v>
      </c>
      <c r="T142">
        <v>140.30000000000001</v>
      </c>
      <c r="W142">
        <v>160</v>
      </c>
      <c r="X142" s="4">
        <f>IF(AND(T142&gt;0,W142&gt;0),(W142/((T142+U142)*10)),"")</f>
        <v>0.11404133998574484</v>
      </c>
      <c r="Y142">
        <v>100</v>
      </c>
      <c r="AA142">
        <v>19.829999999999998</v>
      </c>
      <c r="AB142">
        <v>19.829999999999998</v>
      </c>
      <c r="AD142">
        <v>3.58</v>
      </c>
      <c r="AE142" s="11">
        <v>78</v>
      </c>
      <c r="AF142" t="str">
        <f>CONCATENATE(VLOOKUP(AG142, 'Voxel Sizes'!$A$2:$B$18,2,FALSE),"x",INT(AC142*15), "x", INT(AD142*15))</f>
        <v>198x0x53</v>
      </c>
      <c r="AG142">
        <f>ROUND(15*((AB142*10)/256),0)</f>
        <v>12</v>
      </c>
      <c r="AI142" t="str">
        <f>CONCATENATE(VLOOKUP(AG142,Constants!$A$2:$C$16,IF(AH142&lt;&gt;"", 3, 2), FALSE),IF(AH142&lt;&gt;"",CONCATENATE(",",VLOOKUP(AH142,$B:$AI,34,FALSE)),""))</f>
        <v>4,4,4</v>
      </c>
      <c r="AK142" t="s">
        <v>620</v>
      </c>
      <c r="AL142" t="s">
        <v>621</v>
      </c>
      <c r="AM142" t="s">
        <v>610</v>
      </c>
      <c r="AP142">
        <v>42</v>
      </c>
      <c r="AS142">
        <f t="shared" si="10"/>
        <v>20</v>
      </c>
      <c r="AT142">
        <f t="shared" si="11"/>
        <v>6.6400000000000006</v>
      </c>
      <c r="AU142">
        <f t="shared" si="12"/>
        <v>8</v>
      </c>
      <c r="AV142" s="4">
        <f t="shared" si="13"/>
        <v>0.81166666666666665</v>
      </c>
      <c r="AW142">
        <f t="shared" si="14"/>
        <v>10.4</v>
      </c>
      <c r="AX142">
        <f>VLOOKUP($E142,Constants!$I:$K, 2, FALSE)</f>
        <v>0.85</v>
      </c>
      <c r="AY142">
        <f>VLOOKUP($E142,Constants!$I:$K, 3, FALSE)*IF(AND(D142="multiple_unit",Y142&lt;110),0.75,1)</f>
        <v>1.7999999999999998</v>
      </c>
      <c r="AZ142">
        <f>INT(((Constants!$G$2+$AR142+$AS142+$AT142+$AU142+$AW142)*$AV142)*$AY142)</f>
        <v>87</v>
      </c>
      <c r="BA142">
        <f>INT(((Constants!$G$1+$AQ142+$AS142+$AT142+$AU142+$AW142)*(1/$AV142))*$AX142)</f>
        <v>83</v>
      </c>
      <c r="BF142" t="s">
        <v>325</v>
      </c>
      <c r="BG142" t="str">
        <f>VLOOKUP(G142,Eras!$A$2:$C$10, 2, TRUE)</f>
        <v>lbr</v>
      </c>
      <c r="BH142" t="s">
        <v>375</v>
      </c>
      <c r="BI142" t="str">
        <f>CONCATENATE(BG142,"_",BH142)</f>
        <v>lbr_EMU</v>
      </c>
      <c r="BJ142" t="s">
        <v>619</v>
      </c>
    </row>
    <row r="143" spans="1:62" x14ac:dyDescent="0.25">
      <c r="A143" t="s">
        <v>686</v>
      </c>
      <c r="B143" t="s">
        <v>263</v>
      </c>
      <c r="C143">
        <v>252</v>
      </c>
      <c r="D143" t="s">
        <v>455</v>
      </c>
      <c r="E143" t="s">
        <v>314</v>
      </c>
      <c r="F143" t="s">
        <v>316</v>
      </c>
      <c r="G143">
        <v>1988</v>
      </c>
      <c r="J143">
        <v>2</v>
      </c>
      <c r="K143">
        <f>285*2</f>
        <v>570</v>
      </c>
      <c r="T143">
        <f>35.5+36.1</f>
        <v>71.599999999999994</v>
      </c>
      <c r="W143">
        <v>110</v>
      </c>
      <c r="X143" s="4">
        <f>IF(AND(T143&gt;0,W143&gt;0),(W143/((T143+U143)*10)),"")</f>
        <v>0.15363128491620112</v>
      </c>
      <c r="Y143">
        <v>75</v>
      </c>
      <c r="AA143">
        <v>23</v>
      </c>
      <c r="AB143">
        <v>23</v>
      </c>
      <c r="AC143">
        <v>2.8</v>
      </c>
      <c r="AD143">
        <v>3.7</v>
      </c>
      <c r="AE143" s="11">
        <v>69</v>
      </c>
      <c r="AF143" t="str">
        <f>CONCATENATE(VLOOKUP(AG143, 'Voxel Sizes'!$A$2:$B$18,2,FALSE),"x",INT(AC143*15), "x", INT(AD143*15))</f>
        <v>214x42x55</v>
      </c>
      <c r="AG143">
        <f>ROUND(15*((AB143*10)/256),0)</f>
        <v>13</v>
      </c>
      <c r="AI143" t="str">
        <f>CONCATENATE(VLOOKUP(AG143,Constants!$A$2:$C$16,IF(AH143&lt;&gt;"", 3, 2), FALSE),IF(AH143&lt;&gt;"",CONCATENATE(",",VLOOKUP(AH143,$B:$AI,34,FALSE)),""))</f>
        <v>4,5,4</v>
      </c>
      <c r="AK143" t="s">
        <v>688</v>
      </c>
      <c r="AM143" t="s">
        <v>519</v>
      </c>
      <c r="AP143">
        <v>43</v>
      </c>
      <c r="AS143">
        <f t="shared" si="10"/>
        <v>15</v>
      </c>
      <c r="AT143">
        <f t="shared" si="11"/>
        <v>2.8499999999999996</v>
      </c>
      <c r="AU143">
        <f t="shared" si="12"/>
        <v>5.5</v>
      </c>
      <c r="AV143" s="4">
        <f t="shared" si="13"/>
        <v>0.81333333333333335</v>
      </c>
      <c r="AW143">
        <f t="shared" si="14"/>
        <v>4.6000000000000005</v>
      </c>
      <c r="AX143">
        <f>VLOOKUP($E143,Constants!$I:$K, 2, FALSE)</f>
        <v>1</v>
      </c>
      <c r="AY143">
        <f>VLOOKUP($E143,Constants!$I:$K, 3, FALSE)*IF(AND(D143="multiple_unit",Y143&lt;110),0.75,1)</f>
        <v>1.5</v>
      </c>
      <c r="AZ143">
        <f>INT(((Constants!$G$2+$AR143+$AS143+$AT143+$AU143+$AW143)*$AV143)*$AY143)</f>
        <v>52</v>
      </c>
      <c r="BA143">
        <f>INT(((Constants!$G$1+$AQ143+$AS143+$AT143+$AU143+$AW143)*(1/$AV143))*$AX143)</f>
        <v>77</v>
      </c>
      <c r="BF143" t="s">
        <v>325</v>
      </c>
      <c r="BG143" t="str">
        <f>VLOOKUP(G143,Eras!$A$2:$C$10, 2, TRUE)</f>
        <v>lbr</v>
      </c>
      <c r="BH143" t="s">
        <v>373</v>
      </c>
      <c r="BI143" t="str">
        <f>CONCATENATE(BG143,"_",BH143)</f>
        <v>lbr_DMU</v>
      </c>
      <c r="BJ143" t="s">
        <v>687</v>
      </c>
    </row>
    <row r="144" spans="1:62" x14ac:dyDescent="0.25">
      <c r="A144" t="s">
        <v>106</v>
      </c>
      <c r="B144" t="s">
        <v>270</v>
      </c>
      <c r="C144">
        <v>254</v>
      </c>
      <c r="D144" t="s">
        <v>455</v>
      </c>
      <c r="E144" t="s">
        <v>338</v>
      </c>
      <c r="F144" t="s">
        <v>345</v>
      </c>
      <c r="G144">
        <v>1988</v>
      </c>
      <c r="J144">
        <v>5</v>
      </c>
      <c r="K144">
        <v>1610</v>
      </c>
      <c r="T144">
        <v>202.8</v>
      </c>
      <c r="W144">
        <v>190</v>
      </c>
      <c r="X144" s="4">
        <f>IF(AND(T144&gt;0,W144&gt;0),(W144/((T144+U144)*10)),"")</f>
        <v>9.3688362919132157E-2</v>
      </c>
      <c r="Y144">
        <v>108</v>
      </c>
      <c r="AA144">
        <v>23</v>
      </c>
      <c r="AB144">
        <v>23</v>
      </c>
      <c r="AC144">
        <v>2.74</v>
      </c>
      <c r="AD144">
        <v>3.81</v>
      </c>
      <c r="AE144" s="11">
        <v>66</v>
      </c>
      <c r="AF144" t="str">
        <f>CONCATENATE(VLOOKUP(AG144, 'Voxel Sizes'!$A$2:$B$18,2,FALSE),"x",INT(AC144*15), "x", INT(AD144*15))</f>
        <v>214x41x57</v>
      </c>
      <c r="AG144">
        <f>ROUND(15*((AB144*10)/256),0)</f>
        <v>13</v>
      </c>
      <c r="AI144" t="str">
        <f>CONCATENATE(VLOOKUP(AG144,Constants!$A$2:$C$16,IF(AH144&lt;&gt;"", 3, 2), FALSE),IF(AH144&lt;&gt;"",CONCATENATE(",",VLOOKUP(AH144,$B:$AI,34,FALSE)),""))</f>
        <v>4,5,4</v>
      </c>
      <c r="AK144" t="s">
        <v>724</v>
      </c>
      <c r="AM144" t="s">
        <v>662</v>
      </c>
      <c r="AP144">
        <v>45</v>
      </c>
      <c r="AS144">
        <f t="shared" si="10"/>
        <v>21.599999999999998</v>
      </c>
      <c r="AT144">
        <f t="shared" si="11"/>
        <v>8.0500000000000007</v>
      </c>
      <c r="AU144">
        <f t="shared" si="12"/>
        <v>9.5</v>
      </c>
      <c r="AV144" s="4">
        <f t="shared" si="13"/>
        <v>0.81333333333333335</v>
      </c>
      <c r="AW144">
        <f t="shared" si="14"/>
        <v>11</v>
      </c>
      <c r="AX144">
        <f>VLOOKUP($E144,Constants!$I:$K, 2, FALSE)</f>
        <v>0.85</v>
      </c>
      <c r="AY144">
        <f>VLOOKUP($E144,Constants!$I:$K, 3, FALSE)*IF(AND(D144="multiple_unit",Y144&lt;110),0.75,1)</f>
        <v>1.7249999999999999</v>
      </c>
      <c r="AZ144">
        <f>INT(((Constants!$G$2+$AR144+$AS144+$AT144+$AU144+$AW144)*$AV144)*$AY144)</f>
        <v>91</v>
      </c>
      <c r="BA144">
        <f>INT(((Constants!$G$1+$AQ144+$AS144+$AT144+$AU144+$AW144)*(1/$AV144))*$AX144)</f>
        <v>88</v>
      </c>
      <c r="BF144" t="s">
        <v>325</v>
      </c>
      <c r="BG144" t="str">
        <f>VLOOKUP(G144,Eras!$A$2:$C$10, 2, TRUE)</f>
        <v>lbr</v>
      </c>
      <c r="BH144" t="s">
        <v>376</v>
      </c>
      <c r="BI144" t="str">
        <f>CONCATENATE(BG144,"_",BH144)</f>
        <v>lbr_EMU (Express)</v>
      </c>
      <c r="BJ144" t="s">
        <v>725</v>
      </c>
    </row>
    <row r="145" spans="1:62" x14ac:dyDescent="0.25">
      <c r="A145" t="s">
        <v>100</v>
      </c>
      <c r="B145" t="s">
        <v>264</v>
      </c>
      <c r="C145">
        <v>258</v>
      </c>
      <c r="D145" t="s">
        <v>455</v>
      </c>
      <c r="E145" t="s">
        <v>314</v>
      </c>
      <c r="F145" t="s">
        <v>316</v>
      </c>
      <c r="G145">
        <v>1989</v>
      </c>
      <c r="H145">
        <v>1992</v>
      </c>
      <c r="J145">
        <v>3</v>
      </c>
      <c r="K145">
        <f>350*3</f>
        <v>1050</v>
      </c>
      <c r="T145">
        <f>37.8*3</f>
        <v>113.39999999999999</v>
      </c>
      <c r="W145">
        <v>120</v>
      </c>
      <c r="X145" s="4">
        <f>IF(AND(T145&gt;0,W145&gt;0),(W145/((T145+U145)*10)),"")</f>
        <v>0.10582010582010581</v>
      </c>
      <c r="Y145">
        <v>90</v>
      </c>
      <c r="AA145">
        <v>23.2</v>
      </c>
      <c r="AB145">
        <v>23</v>
      </c>
      <c r="AC145">
        <v>2.7</v>
      </c>
      <c r="AE145" s="11">
        <v>69</v>
      </c>
      <c r="AF145" t="str">
        <f>CONCATENATE(VLOOKUP(AG145, 'Voxel Sizes'!$A$2:$B$18,2,FALSE),"x",INT(AC145*15), "x", INT(AD145*15))</f>
        <v>214x40x0</v>
      </c>
      <c r="AG145">
        <f>ROUND(15*((AB145*10)/256),0)</f>
        <v>13</v>
      </c>
      <c r="AI145" t="str">
        <f>CONCATENATE(VLOOKUP(AG145,Constants!$A$2:$C$16,IF(AH145&lt;&gt;"", 3, 2), FALSE),IF(AH145&lt;&gt;"",CONCATENATE(",",VLOOKUP(AH145,$B:$AI,34,FALSE)),""))</f>
        <v>4,5,4</v>
      </c>
      <c r="AK145" t="s">
        <v>689</v>
      </c>
      <c r="AM145" t="s">
        <v>334</v>
      </c>
      <c r="AP145">
        <v>43</v>
      </c>
      <c r="AS145">
        <f t="shared" si="10"/>
        <v>18</v>
      </c>
      <c r="AT145">
        <f t="shared" si="11"/>
        <v>5.25</v>
      </c>
      <c r="AU145">
        <f t="shared" si="12"/>
        <v>6</v>
      </c>
      <c r="AV145" s="4">
        <f t="shared" si="13"/>
        <v>0.81499999999999995</v>
      </c>
      <c r="AW145">
        <f t="shared" si="14"/>
        <v>6.9</v>
      </c>
      <c r="AX145">
        <f>VLOOKUP($E145,Constants!$I:$K, 2, FALSE)</f>
        <v>1</v>
      </c>
      <c r="AY145">
        <f>VLOOKUP($E145,Constants!$I:$K, 3, FALSE)*IF(AND(D145="multiple_unit",Y145&lt;110),0.75,1)</f>
        <v>1.5</v>
      </c>
      <c r="AZ145">
        <f>INT(((Constants!$G$2+$AR145+$AS145+$AT145+$AU145+$AW145)*$AV145)*$AY145)</f>
        <v>62</v>
      </c>
      <c r="BA145">
        <f>INT(((Constants!$G$1+$AQ145+$AS145+$AT145+$AU145+$AW145)*(1/$AV145))*$AX145)</f>
        <v>87</v>
      </c>
      <c r="BF145" t="s">
        <v>325</v>
      </c>
      <c r="BG145" t="str">
        <f>VLOOKUP(G145,Eras!$A$2:$C$10, 2, TRUE)</f>
        <v>lbr</v>
      </c>
      <c r="BH145" t="s">
        <v>374</v>
      </c>
      <c r="BI145" t="str">
        <f>CONCATENATE(BG145,"_",BH145)</f>
        <v>lbr_DMU (Express)</v>
      </c>
      <c r="BJ145" t="s">
        <v>690</v>
      </c>
    </row>
    <row r="146" spans="1:62" x14ac:dyDescent="0.25">
      <c r="A146" t="s">
        <v>96</v>
      </c>
      <c r="B146" t="s">
        <v>219</v>
      </c>
      <c r="C146">
        <v>260</v>
      </c>
      <c r="D146" t="s">
        <v>455</v>
      </c>
      <c r="E146" t="s">
        <v>338</v>
      </c>
      <c r="F146" t="s">
        <v>345</v>
      </c>
      <c r="G146">
        <v>1990</v>
      </c>
      <c r="J146">
        <v>2</v>
      </c>
      <c r="K146">
        <v>500</v>
      </c>
      <c r="T146">
        <v>72.5</v>
      </c>
      <c r="W146">
        <v>120</v>
      </c>
      <c r="X146" s="4">
        <f>IF(AND(T146&gt;0,W146&gt;0),(W146/((T146+U146)*10)),"")</f>
        <v>0.16551724137931034</v>
      </c>
      <c r="Y146">
        <v>75</v>
      </c>
      <c r="AA146">
        <v>19.8</v>
      </c>
      <c r="AB146">
        <v>19.8</v>
      </c>
      <c r="AE146" s="11">
        <v>75</v>
      </c>
      <c r="AF146" t="str">
        <f>CONCATENATE(VLOOKUP(AG146, 'Voxel Sizes'!$A$2:$B$18,2,FALSE),"x",INT(AC146*15), "x", INT(AD146*15))</f>
        <v>198x0x0</v>
      </c>
      <c r="AG146">
        <f>ROUND(15*((AB146*10)/256),0)</f>
        <v>12</v>
      </c>
      <c r="AI146" t="str">
        <f>CONCATENATE(VLOOKUP(AG146,Constants!$A$2:$C$16,IF(AH146&lt;&gt;"", 3, 2), FALSE),IF(AH146&lt;&gt;"",CONCATENATE(",",VLOOKUP(AH146,$B:$AI,34,FALSE)),""))</f>
        <v>4,4,4</v>
      </c>
      <c r="AK146" t="s">
        <v>665</v>
      </c>
      <c r="AM146" t="s">
        <v>519</v>
      </c>
      <c r="AP146">
        <v>41</v>
      </c>
      <c r="AS146">
        <f t="shared" si="10"/>
        <v>15</v>
      </c>
      <c r="AT146">
        <f t="shared" si="11"/>
        <v>2.5</v>
      </c>
      <c r="AU146">
        <f t="shared" si="12"/>
        <v>6</v>
      </c>
      <c r="AV146" s="4">
        <f t="shared" si="13"/>
        <v>0.81666666666666665</v>
      </c>
      <c r="AW146">
        <f t="shared" si="14"/>
        <v>5</v>
      </c>
      <c r="AX146">
        <f>VLOOKUP($E146,Constants!$I:$K, 2, FALSE)</f>
        <v>0.85</v>
      </c>
      <c r="AY146">
        <f>VLOOKUP($E146,Constants!$I:$K, 3, FALSE)*IF(AND(D146="multiple_unit",Y146&lt;110),0.75,1)</f>
        <v>1.7249999999999999</v>
      </c>
      <c r="AZ146">
        <f>INT(((Constants!$G$2+$AR146+$AS146+$AT146+$AU146+$AW146)*$AV146)*$AY146)</f>
        <v>61</v>
      </c>
      <c r="BA146">
        <f>INT(((Constants!$G$1+$AQ146+$AS146+$AT146+$AU146+$AW146)*(1/$AV146))*$AX146)</f>
        <v>66</v>
      </c>
      <c r="BF146" t="s">
        <v>325</v>
      </c>
      <c r="BG146" t="str">
        <f>VLOOKUP(G146,Eras!$A$2:$C$10, 2, TRUE)</f>
        <v>lbr</v>
      </c>
      <c r="BH146" t="s">
        <v>375</v>
      </c>
      <c r="BI146" t="str">
        <f>CONCATENATE(BG146,"_",BH146)</f>
        <v>lbr_EMU</v>
      </c>
      <c r="BJ146" t="s">
        <v>666</v>
      </c>
    </row>
    <row r="147" spans="1:62" x14ac:dyDescent="0.25">
      <c r="A147" t="s">
        <v>101</v>
      </c>
      <c r="B147" t="s">
        <v>265</v>
      </c>
      <c r="C147">
        <v>262</v>
      </c>
      <c r="D147" t="s">
        <v>455</v>
      </c>
      <c r="E147" t="s">
        <v>314</v>
      </c>
      <c r="F147" t="s">
        <v>316</v>
      </c>
      <c r="G147">
        <v>1991</v>
      </c>
      <c r="H147">
        <v>1992</v>
      </c>
      <c r="J147">
        <v>2</v>
      </c>
      <c r="K147">
        <f>350*2</f>
        <v>700</v>
      </c>
      <c r="T147">
        <v>74</v>
      </c>
      <c r="W147">
        <v>105</v>
      </c>
      <c r="X147" s="4">
        <f>IF(AND(T147&gt;0,W147&gt;0),(W147/((T147+U147)*10)),"")</f>
        <v>0.14189189189189189</v>
      </c>
      <c r="Y147">
        <v>75</v>
      </c>
      <c r="AA147">
        <v>22.91</v>
      </c>
      <c r="AB147">
        <v>22.9</v>
      </c>
      <c r="AC147">
        <v>2.8</v>
      </c>
      <c r="AD147">
        <v>3.8</v>
      </c>
      <c r="AE147" s="11">
        <v>93</v>
      </c>
      <c r="AF147" t="str">
        <f>CONCATENATE(VLOOKUP(AG147, 'Voxel Sizes'!$A$2:$B$18,2,FALSE),"x",INT(AC147*15), "x", INT(AD147*15))</f>
        <v>214x42x57</v>
      </c>
      <c r="AG147">
        <f>ROUND(15*((AB147*10)/256),0)</f>
        <v>13</v>
      </c>
      <c r="AI147" t="str">
        <f>CONCATENATE(VLOOKUP(AG147,Constants!$A$2:$C$16,IF(AH147&lt;&gt;"", 3, 2), FALSE),IF(AH147&lt;&gt;"",CONCATENATE(",",VLOOKUP(AH147,$B:$AI,34,FALSE)),""))</f>
        <v>4,5,4</v>
      </c>
      <c r="AK147" t="s">
        <v>693</v>
      </c>
      <c r="AM147" t="s">
        <v>519</v>
      </c>
      <c r="AP147">
        <v>42</v>
      </c>
      <c r="AS147">
        <f t="shared" si="10"/>
        <v>15</v>
      </c>
      <c r="AT147">
        <f t="shared" si="11"/>
        <v>3.5</v>
      </c>
      <c r="AU147">
        <f t="shared" si="12"/>
        <v>5.25</v>
      </c>
      <c r="AV147" s="4">
        <f t="shared" si="13"/>
        <v>0.81833333333333336</v>
      </c>
      <c r="AW147">
        <f t="shared" si="14"/>
        <v>6.2</v>
      </c>
      <c r="AX147">
        <f>VLOOKUP($E147,Constants!$I:$K, 2, FALSE)</f>
        <v>1</v>
      </c>
      <c r="AY147">
        <f>VLOOKUP($E147,Constants!$I:$K, 3, FALSE)*IF(AND(D147="multiple_unit",Y147&lt;110),0.75,1)</f>
        <v>1.5</v>
      </c>
      <c r="AZ147">
        <f>INT(((Constants!$G$2+$AR147+$AS147+$AT147+$AU147+$AW147)*$AV147)*$AY147)</f>
        <v>55</v>
      </c>
      <c r="BA147">
        <f>INT(((Constants!$G$1+$AQ147+$AS147+$AT147+$AU147+$AW147)*(1/$AV147))*$AX147)</f>
        <v>79</v>
      </c>
      <c r="BF147" t="s">
        <v>325</v>
      </c>
      <c r="BG147" t="str">
        <f>VLOOKUP(G147,Eras!$A$2:$C$10, 2, TRUE)</f>
        <v>lbr</v>
      </c>
      <c r="BH147" t="s">
        <v>373</v>
      </c>
      <c r="BI147" t="str">
        <f>CONCATENATE(BG147,"_",BH147)</f>
        <v>lbr_DMU</v>
      </c>
      <c r="BJ147" t="s">
        <v>694</v>
      </c>
    </row>
    <row r="148" spans="1:62" x14ac:dyDescent="0.25">
      <c r="A148" t="s">
        <v>86</v>
      </c>
      <c r="B148" t="s">
        <v>283</v>
      </c>
      <c r="C148">
        <v>264</v>
      </c>
      <c r="D148" t="s">
        <v>455</v>
      </c>
      <c r="E148" t="s">
        <v>338</v>
      </c>
      <c r="F148" t="s">
        <v>345</v>
      </c>
      <c r="G148">
        <v>1992</v>
      </c>
      <c r="H148">
        <v>1994</v>
      </c>
      <c r="J148">
        <v>4</v>
      </c>
      <c r="K148">
        <v>1608</v>
      </c>
      <c r="T148">
        <v>136</v>
      </c>
      <c r="W148">
        <v>165</v>
      </c>
      <c r="X148" s="4">
        <f>IF(AND(T148&gt;0,W148&gt;0),(W148/((T148+U148)*10)),"")</f>
        <v>0.12132352941176471</v>
      </c>
      <c r="Y148">
        <v>75</v>
      </c>
      <c r="AA148">
        <v>20.89</v>
      </c>
      <c r="AB148">
        <v>20.89</v>
      </c>
      <c r="AD148">
        <v>3.77</v>
      </c>
      <c r="AE148" s="11">
        <v>81</v>
      </c>
      <c r="AF148" t="str">
        <f>CONCATENATE(VLOOKUP(AG148, 'Voxel Sizes'!$A$2:$B$18,2,FALSE),"x",INT(AC148*15), "x", INT(AD148*15))</f>
        <v>198x0x56</v>
      </c>
      <c r="AG148">
        <f>ROUND(15*((AB148*10)/256),0)</f>
        <v>12</v>
      </c>
      <c r="AI148" t="str">
        <f>CONCATENATE(VLOOKUP(AG148,Constants!$A$2:$C$16,IF(AH148&lt;&gt;"", 3, 2), FALSE),IF(AH148&lt;&gt;"",CONCATENATE(",",VLOOKUP(AH148,$B:$AI,34,FALSE)),""))</f>
        <v>4,4,4</v>
      </c>
      <c r="AK148" t="s">
        <v>629</v>
      </c>
      <c r="AM148" t="s">
        <v>517</v>
      </c>
      <c r="AP148">
        <v>42</v>
      </c>
      <c r="AS148">
        <f t="shared" si="10"/>
        <v>15</v>
      </c>
      <c r="AT148">
        <f t="shared" si="11"/>
        <v>8.0400000000000009</v>
      </c>
      <c r="AU148">
        <f t="shared" si="12"/>
        <v>8.25</v>
      </c>
      <c r="AV148" s="4">
        <f t="shared" si="13"/>
        <v>0.82</v>
      </c>
      <c r="AW148">
        <f t="shared" si="14"/>
        <v>10.8</v>
      </c>
      <c r="AX148">
        <f>VLOOKUP($E148,Constants!$I:$K, 2, FALSE)</f>
        <v>0.85</v>
      </c>
      <c r="AY148">
        <f>VLOOKUP($E148,Constants!$I:$K, 3, FALSE)*IF(AND(D148="multiple_unit",Y148&lt;110),0.75,1)</f>
        <v>1.7249999999999999</v>
      </c>
      <c r="AZ148">
        <f>INT(((Constants!$G$2+$AR148+$AS148+$AT148+$AU148+$AW148)*$AV148)*$AY148)</f>
        <v>80</v>
      </c>
      <c r="BA148">
        <f>INT(((Constants!$G$1+$AQ148+$AS148+$AT148+$AU148+$AW148)*(1/$AV148))*$AX148)</f>
        <v>79</v>
      </c>
      <c r="BF148" t="s">
        <v>325</v>
      </c>
      <c r="BG148" t="str">
        <f>VLOOKUP(G148,Eras!$A$2:$C$10, 2, TRUE)</f>
        <v>lbr</v>
      </c>
      <c r="BH148" t="s">
        <v>375</v>
      </c>
      <c r="BI148" t="str">
        <f>CONCATENATE(BG148,"_",BH148)</f>
        <v>lbr_EMU</v>
      </c>
      <c r="BJ148" t="s">
        <v>630</v>
      </c>
    </row>
    <row r="149" spans="1:62" x14ac:dyDescent="0.25">
      <c r="A149" t="s">
        <v>702</v>
      </c>
      <c r="B149" t="s">
        <v>703</v>
      </c>
      <c r="C149">
        <v>266</v>
      </c>
      <c r="D149" t="s">
        <v>455</v>
      </c>
      <c r="E149" t="s">
        <v>607</v>
      </c>
      <c r="F149" t="s">
        <v>606</v>
      </c>
      <c r="G149">
        <v>1992</v>
      </c>
      <c r="H149">
        <v>1996</v>
      </c>
      <c r="J149">
        <v>20</v>
      </c>
      <c r="K149">
        <v>16400</v>
      </c>
      <c r="L149" s="9">
        <v>4600</v>
      </c>
      <c r="T149">
        <v>752</v>
      </c>
      <c r="W149">
        <v>220</v>
      </c>
      <c r="X149" s="4">
        <f>IF(AND(T149&gt;0,W149&gt;0),(W149/((T149+U149)*10)),"")</f>
        <v>2.9255319148936171E-2</v>
      </c>
      <c r="Y149">
        <v>186</v>
      </c>
      <c r="AA149">
        <v>22.15</v>
      </c>
      <c r="AB149">
        <v>22.15</v>
      </c>
      <c r="AC149">
        <v>2.81</v>
      </c>
      <c r="AE149" s="11">
        <v>39</v>
      </c>
      <c r="AF149" t="str">
        <f>CONCATENATE(VLOOKUP(AG149, 'Voxel Sizes'!$A$2:$B$18,2,FALSE),"x",INT(AC149*15), "x", INT(AD149*15))</f>
        <v>214x42x0</v>
      </c>
      <c r="AG149">
        <f>ROUND(15*((AB149*10)/256),0)</f>
        <v>13</v>
      </c>
      <c r="AI149" t="str">
        <f>CONCATENATE(VLOOKUP(AG149,Constants!$A$2:$C$16,IF(AH149&lt;&gt;"", 3, 2), FALSE),IF(AH149&lt;&gt;"",CONCATENATE(",",VLOOKUP(AH149,$B:$AI,34,FALSE)),""))</f>
        <v>4,5,4</v>
      </c>
      <c r="AJ149" s="13" t="s">
        <v>755</v>
      </c>
      <c r="AK149" t="s">
        <v>753</v>
      </c>
      <c r="AL149" t="s">
        <v>703</v>
      </c>
      <c r="AM149" t="s">
        <v>754</v>
      </c>
      <c r="AP149">
        <v>35</v>
      </c>
      <c r="AS149">
        <f t="shared" si="10"/>
        <v>30</v>
      </c>
      <c r="AT149">
        <f t="shared" si="11"/>
        <v>20</v>
      </c>
      <c r="AU149">
        <f t="shared" si="12"/>
        <v>11</v>
      </c>
      <c r="AV149" s="4">
        <f t="shared" si="13"/>
        <v>0.82</v>
      </c>
      <c r="AW149">
        <f t="shared" si="14"/>
        <v>26</v>
      </c>
      <c r="AX149">
        <f>VLOOKUP($E149,Constants!$I:$K, 2, FALSE)</f>
        <v>0.85</v>
      </c>
      <c r="AY149">
        <f>VLOOKUP($E149,Constants!$I:$K, 3, FALSE)*IF(AND(D149="multiple_unit",Y149&lt;110),0.75,1)</f>
        <v>2.4</v>
      </c>
      <c r="AZ149">
        <f>INT(((Constants!$G$2+$AR149+$AS149+$AT149+$AU149+$AW149)*$AV149)*$AY149)</f>
        <v>200</v>
      </c>
      <c r="BA149">
        <f>INT(((Constants!$G$1+$AQ149+$AS149+$AT149+$AU149+$AW149)*(1/$AV149))*$AX149)</f>
        <v>126</v>
      </c>
      <c r="BF149" t="s">
        <v>325</v>
      </c>
      <c r="BG149" t="str">
        <f>VLOOKUP(G149,Eras!$A$2:$C$10, 2, TRUE)</f>
        <v>lbr</v>
      </c>
      <c r="BH149" t="s">
        <v>376</v>
      </c>
      <c r="BI149" t="str">
        <f>CONCATENATE(BG149,"_",BH149)</f>
        <v>lbr_EMU (Express)</v>
      </c>
      <c r="BJ149" t="s">
        <v>756</v>
      </c>
    </row>
    <row r="150" spans="1:62" x14ac:dyDescent="0.25">
      <c r="A150" t="s">
        <v>103</v>
      </c>
      <c r="B150" t="s">
        <v>221</v>
      </c>
      <c r="C150">
        <v>266</v>
      </c>
      <c r="D150" t="s">
        <v>455</v>
      </c>
      <c r="E150" t="s">
        <v>607</v>
      </c>
      <c r="F150" t="s">
        <v>606</v>
      </c>
      <c r="G150">
        <v>1995</v>
      </c>
      <c r="J150">
        <v>4</v>
      </c>
      <c r="K150">
        <v>1328</v>
      </c>
      <c r="T150">
        <v>138.5</v>
      </c>
      <c r="W150">
        <v>160</v>
      </c>
      <c r="X150" s="4">
        <f>IF(AND(T150&gt;0,W150&gt;0),(W150/((T150+U150)*10)),"")</f>
        <v>0.11552346570397112</v>
      </c>
      <c r="Y150">
        <v>100</v>
      </c>
      <c r="AA150">
        <v>19.829999999999998</v>
      </c>
      <c r="AB150">
        <v>19.8</v>
      </c>
      <c r="AC150">
        <v>2.8</v>
      </c>
      <c r="AD150">
        <v>3.8</v>
      </c>
      <c r="AE150" s="11">
        <v>78</v>
      </c>
      <c r="AF150" t="str">
        <f>CONCATENATE(VLOOKUP(AG150, 'Voxel Sizes'!$A$2:$B$18,2,FALSE),"x",INT(AC150*15), "x", INT(AD150*15))</f>
        <v>198x42x57</v>
      </c>
      <c r="AG150">
        <f>ROUND(15*((AB150*10)/256),0)</f>
        <v>12</v>
      </c>
      <c r="AI150" t="str">
        <f>CONCATENATE(VLOOKUP(AG150,Constants!$A$2:$C$16,IF(AH150&lt;&gt;"", 3, 2), FALSE),IF(AH150&lt;&gt;"",CONCATENATE(",",VLOOKUP(AH150,$B:$AI,34,FALSE)),""))</f>
        <v>4,4,4</v>
      </c>
      <c r="AK150" t="s">
        <v>709</v>
      </c>
      <c r="AL150" t="s">
        <v>712</v>
      </c>
      <c r="AM150" t="s">
        <v>610</v>
      </c>
      <c r="AP150">
        <v>40</v>
      </c>
      <c r="AS150">
        <f t="shared" si="10"/>
        <v>20</v>
      </c>
      <c r="AT150">
        <f t="shared" si="11"/>
        <v>6.6400000000000006</v>
      </c>
      <c r="AU150">
        <f t="shared" si="12"/>
        <v>8</v>
      </c>
      <c r="AV150" s="4">
        <f t="shared" si="13"/>
        <v>0.82499999999999996</v>
      </c>
      <c r="AW150">
        <f t="shared" si="14"/>
        <v>10.4</v>
      </c>
      <c r="AX150">
        <f>VLOOKUP($E150,Constants!$I:$K, 2, FALSE)</f>
        <v>0.85</v>
      </c>
      <c r="AY150">
        <f>VLOOKUP($E150,Constants!$I:$K, 3, FALSE)*IF(AND(D150="multiple_unit",Y150&lt;110),0.75,1)</f>
        <v>1.7999999999999998</v>
      </c>
      <c r="AZ150">
        <f>INT(((Constants!$G$2+$AR150+$AS150+$AT150+$AU150+$AW150)*$AV150)*$AY150)</f>
        <v>89</v>
      </c>
      <c r="BA150">
        <f>INT(((Constants!$G$1+$AQ150+$AS150+$AT150+$AU150+$AW150)*(1/$AV150))*$AX150)</f>
        <v>82</v>
      </c>
      <c r="BF150" t="s">
        <v>710</v>
      </c>
      <c r="BG150" t="str">
        <f>VLOOKUP(G150,Eras!$A$2:$C$10, 2, TRUE)</f>
        <v>prv</v>
      </c>
      <c r="BH150" t="s">
        <v>374</v>
      </c>
      <c r="BI150" t="str">
        <f>CONCATENATE(BG150,"_",BH150)</f>
        <v>prv_DMU (Express)</v>
      </c>
      <c r="BJ150" t="s">
        <v>711</v>
      </c>
    </row>
    <row r="151" spans="1:62" x14ac:dyDescent="0.25">
      <c r="A151" t="s">
        <v>91</v>
      </c>
      <c r="B151" t="s">
        <v>647</v>
      </c>
      <c r="C151">
        <v>274</v>
      </c>
      <c r="D151" t="s">
        <v>455</v>
      </c>
      <c r="E151" t="s">
        <v>314</v>
      </c>
      <c r="F151" t="s">
        <v>316</v>
      </c>
      <c r="G151">
        <v>1998</v>
      </c>
      <c r="H151">
        <v>2005</v>
      </c>
      <c r="J151">
        <v>3</v>
      </c>
      <c r="K151">
        <v>1266</v>
      </c>
      <c r="T151">
        <v>135</v>
      </c>
      <c r="W151">
        <v>180</v>
      </c>
      <c r="X151" s="4">
        <f>IF(AND(T151&gt;0,W151&gt;0),(W151/((T151+U151)*10)),"")</f>
        <v>0.13333333333333333</v>
      </c>
      <c r="Y151">
        <v>100</v>
      </c>
      <c r="AA151">
        <v>23.62</v>
      </c>
      <c r="AB151">
        <v>21</v>
      </c>
      <c r="AC151">
        <v>2.69</v>
      </c>
      <c r="AD151">
        <v>3.77</v>
      </c>
      <c r="AE151" s="11">
        <v>63</v>
      </c>
      <c r="AF151" t="str">
        <f>CONCATENATE(VLOOKUP(AG151, 'Voxel Sizes'!$A$2:$B$18,2,FALSE),"x",INT(AC151*15), "x", INT(AD151*15))</f>
        <v>198x40x56</v>
      </c>
      <c r="AG151">
        <f>ROUND(15*((AB151*10)/256),0)</f>
        <v>12</v>
      </c>
      <c r="AI151" t="str">
        <f>CONCATENATE(VLOOKUP(AG151,Constants!$A$2:$C$16,IF(AH151&lt;&gt;"", 3, 2), FALSE),IF(AH151&lt;&gt;"",CONCATENATE(",",VLOOKUP(AH151,$B:$AI,34,FALSE)),""))</f>
        <v>4,4,4</v>
      </c>
      <c r="AK151" t="s">
        <v>646</v>
      </c>
      <c r="AM151" t="s">
        <v>334</v>
      </c>
      <c r="AP151">
        <v>39</v>
      </c>
      <c r="AS151">
        <f t="shared" si="10"/>
        <v>20</v>
      </c>
      <c r="AT151">
        <f t="shared" si="11"/>
        <v>6.33</v>
      </c>
      <c r="AU151">
        <f t="shared" si="12"/>
        <v>9</v>
      </c>
      <c r="AV151" s="4">
        <f t="shared" si="13"/>
        <v>0.83</v>
      </c>
      <c r="AW151">
        <f t="shared" si="14"/>
        <v>6.3</v>
      </c>
      <c r="AX151">
        <f>VLOOKUP($E151,Constants!$I:$K, 2, FALSE)</f>
        <v>1</v>
      </c>
      <c r="AY151">
        <f>VLOOKUP($E151,Constants!$I:$K, 3, FALSE)*IF(AND(D151="multiple_unit",Y151&lt;110),0.75,1)</f>
        <v>1.5</v>
      </c>
      <c r="AZ151">
        <f>INT(((Constants!$G$2+$AR151+$AS151+$AT151+$AU151+$AW151)*$AV151)*$AY151)</f>
        <v>70</v>
      </c>
      <c r="BA151">
        <f>INT(((Constants!$G$1+$AQ151+$AS151+$AT151+$AU151+$AW151)*(1/$AV151))*$AX151)</f>
        <v>92</v>
      </c>
      <c r="BF151" t="s">
        <v>325</v>
      </c>
      <c r="BG151" t="str">
        <f>VLOOKUP(G151,Eras!$A$2:$C$10, 2, TRUE)</f>
        <v>prv</v>
      </c>
      <c r="BH151" t="s">
        <v>373</v>
      </c>
      <c r="BI151" t="str">
        <f>CONCATENATE(BG151,"_",BH151)</f>
        <v>prv_DMU</v>
      </c>
      <c r="BJ151" t="s">
        <v>645</v>
      </c>
    </row>
    <row r="152" spans="1:62" x14ac:dyDescent="0.25">
      <c r="A152" t="s">
        <v>632</v>
      </c>
      <c r="B152" t="s">
        <v>637</v>
      </c>
      <c r="C152">
        <v>278</v>
      </c>
      <c r="D152" t="s">
        <v>455</v>
      </c>
      <c r="E152" t="s">
        <v>338</v>
      </c>
      <c r="F152" t="s">
        <v>345</v>
      </c>
      <c r="G152">
        <v>2000</v>
      </c>
      <c r="H152">
        <v>2001</v>
      </c>
      <c r="I152">
        <v>2012</v>
      </c>
      <c r="J152">
        <v>8</v>
      </c>
      <c r="K152">
        <v>3620</v>
      </c>
      <c r="T152">
        <v>319</v>
      </c>
      <c r="W152">
        <v>240</v>
      </c>
      <c r="X152" s="4">
        <f>IF(AND(T152&gt;0,W152&gt;0),(W152/((T152+U152)*10)),"")</f>
        <v>7.5235109717868343E-2</v>
      </c>
      <c r="Y152">
        <v>100</v>
      </c>
      <c r="AB152">
        <v>21</v>
      </c>
      <c r="AE152" s="11">
        <f>23*3</f>
        <v>69</v>
      </c>
      <c r="AF152" t="str">
        <f>CONCATENATE(VLOOKUP(AG152, 'Voxel Sizes'!$A$2:$B$18,2,FALSE),"x",INT(AC152*15), "x", INT(AD152*15))</f>
        <v>198x0x0</v>
      </c>
      <c r="AG152">
        <f>ROUND(15*((AB152*10)/256),0)</f>
        <v>12</v>
      </c>
      <c r="AI152" t="str">
        <f>CONCATENATE(VLOOKUP(AG152,Constants!$A$2:$C$16,IF(AH152&lt;&gt;"", 3, 2), FALSE),IF(AH152&lt;&gt;"",CONCATENATE(",",VLOOKUP(AH152,$B:$AI,34,FALSE)),""))</f>
        <v>4,4,4</v>
      </c>
      <c r="AK152" t="s">
        <v>640</v>
      </c>
      <c r="AM152" t="s">
        <v>639</v>
      </c>
      <c r="AP152">
        <v>37</v>
      </c>
      <c r="AS152">
        <f t="shared" si="10"/>
        <v>20</v>
      </c>
      <c r="AT152">
        <f t="shared" si="11"/>
        <v>18.100000000000001</v>
      </c>
      <c r="AU152">
        <f t="shared" si="12"/>
        <v>12</v>
      </c>
      <c r="AV152" s="4">
        <f t="shared" si="13"/>
        <v>0.83333333333333337</v>
      </c>
      <c r="AW152">
        <f t="shared" si="14"/>
        <v>18.400000000000002</v>
      </c>
      <c r="AX152">
        <f>VLOOKUP($E152,Constants!$I:$K, 2, FALSE)</f>
        <v>0.85</v>
      </c>
      <c r="AY152">
        <f>VLOOKUP($E152,Constants!$I:$K, 3, FALSE)*IF(AND(D152="multiple_unit",Y152&lt;110),0.75,1)</f>
        <v>1.7249999999999999</v>
      </c>
      <c r="AZ152">
        <f>INT(((Constants!$G$2+$AR152+$AS152+$AT152+$AU152+$AW152)*$AV152)*$AY152)</f>
        <v>120</v>
      </c>
      <c r="BA152">
        <f>INT(((Constants!$G$1+$AQ152+$AS152+$AT152+$AU152+$AW152)*(1/$AV152))*$AX152)</f>
        <v>105</v>
      </c>
      <c r="BF152" t="s">
        <v>325</v>
      </c>
      <c r="BG152" t="str">
        <f>VLOOKUP(G152,Eras!$A$2:$C$10, 2, TRUE)</f>
        <v>prv</v>
      </c>
      <c r="BH152" t="s">
        <v>376</v>
      </c>
      <c r="BI152" t="str">
        <f>CONCATENATE(BG152,"_",BH152)</f>
        <v>prv_EMU (Express)</v>
      </c>
      <c r="BJ152" t="s">
        <v>638</v>
      </c>
    </row>
    <row r="153" spans="1:62" x14ac:dyDescent="0.25">
      <c r="A153" t="s">
        <v>633</v>
      </c>
      <c r="B153" t="s">
        <v>714</v>
      </c>
      <c r="C153">
        <v>280</v>
      </c>
      <c r="D153" t="s">
        <v>455</v>
      </c>
      <c r="E153" t="s">
        <v>338</v>
      </c>
      <c r="F153" t="s">
        <v>339</v>
      </c>
      <c r="G153">
        <v>2002</v>
      </c>
      <c r="J153">
        <v>8</v>
      </c>
      <c r="K153">
        <v>6840</v>
      </c>
      <c r="T153">
        <v>466</v>
      </c>
      <c r="W153">
        <v>325</v>
      </c>
      <c r="X153" s="4">
        <f>IF(AND(T153&gt;0,W153&gt;0),(W153/((T153+U153)*10)),"")</f>
        <v>6.974248927038626E-2</v>
      </c>
      <c r="Y153">
        <v>140</v>
      </c>
      <c r="AA153">
        <v>23.9</v>
      </c>
      <c r="AB153">
        <v>23.9</v>
      </c>
      <c r="AC153">
        <v>2.73</v>
      </c>
      <c r="AD153">
        <v>3.56</v>
      </c>
      <c r="AE153" s="11">
        <v>60</v>
      </c>
      <c r="AF153" t="str">
        <f>CONCATENATE(VLOOKUP(AG153, 'Voxel Sizes'!$A$2:$B$18,2,FALSE),"x",INT(AC153*15), "x", INT(AD153*15))</f>
        <v>238x40x53</v>
      </c>
      <c r="AG153">
        <f>ROUND(15*((AB153*10)/256),0)</f>
        <v>14</v>
      </c>
      <c r="AI153" t="str">
        <f>CONCATENATE(VLOOKUP(AG153,Constants!$A$2:$C$16,IF(AH153&lt;&gt;"", 3, 2), FALSE),IF(AH153&lt;&gt;"",CONCATENATE(",",VLOOKUP(AH153,$B:$AI,34,FALSE)),""))</f>
        <v>4,6,4</v>
      </c>
      <c r="AK153" t="s">
        <v>713</v>
      </c>
      <c r="AM153" t="s">
        <v>716</v>
      </c>
      <c r="AP153">
        <v>39</v>
      </c>
      <c r="AS153">
        <f t="shared" si="10"/>
        <v>28</v>
      </c>
      <c r="AT153">
        <f t="shared" si="11"/>
        <v>20</v>
      </c>
      <c r="AU153">
        <f t="shared" si="12"/>
        <v>16.25</v>
      </c>
      <c r="AV153" s="4">
        <f t="shared" si="13"/>
        <v>0.83666666666666667</v>
      </c>
      <c r="AW153">
        <f t="shared" si="14"/>
        <v>16</v>
      </c>
      <c r="AX153">
        <f>VLOOKUP($E153,Constants!$I:$K, 2, FALSE)</f>
        <v>0.85</v>
      </c>
      <c r="AY153">
        <f>VLOOKUP($E153,Constants!$I:$K, 3, FALSE)*IF(AND(D153="multiple_unit",Y153&lt;110),0.75,1)</f>
        <v>2.2999999999999998</v>
      </c>
      <c r="AZ153">
        <f>INT(((Constants!$G$2+$AR153+$AS153+$AT153+$AU153+$AW153)*$AV153)*$AY153)</f>
        <v>183</v>
      </c>
      <c r="BA153">
        <f>INT(((Constants!$G$1+$AQ153+$AS153+$AT153+$AU153+$AW153)*(1/$AV153))*$AX153)</f>
        <v>117</v>
      </c>
      <c r="BD153">
        <v>1</v>
      </c>
      <c r="BF153" t="s">
        <v>325</v>
      </c>
      <c r="BG153" t="str">
        <f>VLOOKUP(G153,Eras!$A$2:$C$10, 2, TRUE)</f>
        <v>prv</v>
      </c>
      <c r="BH153" t="s">
        <v>376</v>
      </c>
      <c r="BI153" t="str">
        <f>CONCATENATE(BG153,"_",BH153)</f>
        <v>prv_EMU (Express)</v>
      </c>
      <c r="BJ153" t="s">
        <v>715</v>
      </c>
    </row>
    <row r="154" spans="1:62" x14ac:dyDescent="0.25">
      <c r="A154" t="s">
        <v>104</v>
      </c>
      <c r="B154" t="s">
        <v>262</v>
      </c>
      <c r="C154">
        <v>282</v>
      </c>
      <c r="D154" t="s">
        <v>455</v>
      </c>
      <c r="E154" t="s">
        <v>314</v>
      </c>
      <c r="F154" t="s">
        <v>316</v>
      </c>
      <c r="G154">
        <v>2002</v>
      </c>
      <c r="J154">
        <v>4</v>
      </c>
      <c r="K154">
        <v>3000</v>
      </c>
      <c r="T154">
        <v>185.6</v>
      </c>
      <c r="W154">
        <v>185</v>
      </c>
      <c r="X154" s="4">
        <f>IF(AND(T154&gt;0,W154&gt;0),(W154/((T154+U154)*10)),"")</f>
        <v>9.9676724137931036E-2</v>
      </c>
      <c r="Y154">
        <v>125</v>
      </c>
      <c r="AA154">
        <v>23.8</v>
      </c>
      <c r="AB154">
        <v>23.8</v>
      </c>
      <c r="AC154">
        <v>2.73</v>
      </c>
      <c r="AE154" s="11">
        <v>51</v>
      </c>
      <c r="AF154" t="str">
        <f>CONCATENATE(VLOOKUP(AG154, 'Voxel Sizes'!$A$2:$B$18,2,FALSE),"x",INT(AC154*15), "x", INT(AD154*15))</f>
        <v>238x40x0</v>
      </c>
      <c r="AG154">
        <f>ROUND(15*((AB154*10)/256),0)</f>
        <v>14</v>
      </c>
      <c r="AI154" t="str">
        <f>CONCATENATE(VLOOKUP(AG154,Constants!$A$2:$C$16,IF(AH154&lt;&gt;"", 3, 2), FALSE),IF(AH154&lt;&gt;"",CONCATENATE(",",VLOOKUP(AH154,$B:$AI,34,FALSE)),""))</f>
        <v>4,6,4</v>
      </c>
      <c r="AK154" t="s">
        <v>720</v>
      </c>
      <c r="AM154" t="s">
        <v>517</v>
      </c>
      <c r="AP154">
        <v>39</v>
      </c>
      <c r="AS154">
        <f t="shared" si="10"/>
        <v>25</v>
      </c>
      <c r="AT154">
        <f t="shared" si="11"/>
        <v>15</v>
      </c>
      <c r="AU154">
        <f t="shared" si="12"/>
        <v>9.25</v>
      </c>
      <c r="AV154" s="4">
        <f t="shared" si="13"/>
        <v>0.83666666666666667</v>
      </c>
      <c r="AW154">
        <f t="shared" si="14"/>
        <v>6.8000000000000007</v>
      </c>
      <c r="AX154">
        <f>VLOOKUP($E154,Constants!$I:$K, 2, FALSE)</f>
        <v>1</v>
      </c>
      <c r="AY154">
        <f>VLOOKUP($E154,Constants!$I:$K, 3, FALSE)*IF(AND(D154="multiple_unit",Y154&lt;110),0.75,1)</f>
        <v>2</v>
      </c>
      <c r="AZ154">
        <f>INT(((Constants!$G$2+$AR154+$AS154+$AT154+$AU154+$AW154)*$AV154)*$AY154)</f>
        <v>118</v>
      </c>
      <c r="BA154">
        <f>INT(((Constants!$G$1+$AQ154+$AS154+$AT154+$AU154+$AW154)*(1/$AV154))*$AX154)</f>
        <v>108</v>
      </c>
      <c r="BF154" t="s">
        <v>325</v>
      </c>
      <c r="BG154" t="str">
        <f>VLOOKUP(G154,Eras!$A$2:$C$10, 2, TRUE)</f>
        <v>prv</v>
      </c>
      <c r="BH154" t="s">
        <v>374</v>
      </c>
      <c r="BI154" t="str">
        <f>CONCATENATE(BG154,"_",BH154)</f>
        <v>prv_DMU (Express)</v>
      </c>
      <c r="BJ154" t="s">
        <v>718</v>
      </c>
    </row>
    <row r="155" spans="1:62" x14ac:dyDescent="0.25">
      <c r="A155" t="s">
        <v>105</v>
      </c>
      <c r="B155" t="s">
        <v>261</v>
      </c>
      <c r="C155">
        <v>284</v>
      </c>
      <c r="D155" t="s">
        <v>455</v>
      </c>
      <c r="E155" t="s">
        <v>314</v>
      </c>
      <c r="F155" t="s">
        <v>316</v>
      </c>
      <c r="G155">
        <v>2002</v>
      </c>
      <c r="J155">
        <v>5</v>
      </c>
      <c r="K155">
        <f>750*5</f>
        <v>3750</v>
      </c>
      <c r="T155">
        <v>282</v>
      </c>
      <c r="W155">
        <v>270</v>
      </c>
      <c r="X155" s="4">
        <f>IF(AND(T155&gt;0,W155&gt;0),(W155/((T155+U155)*10)),"")</f>
        <v>9.5744680851063829E-2</v>
      </c>
      <c r="Y155">
        <v>125</v>
      </c>
      <c r="AA155">
        <v>23.8</v>
      </c>
      <c r="AB155">
        <v>23.8</v>
      </c>
      <c r="AC155">
        <v>2.73</v>
      </c>
      <c r="AE155" s="11">
        <v>51</v>
      </c>
      <c r="AF155" t="str">
        <f>CONCATENATE(VLOOKUP(AG155, 'Voxel Sizes'!$A$2:$B$18,2,FALSE),"x",INT(AC155*15), "x", INT(AD155*15))</f>
        <v>238x40x0</v>
      </c>
      <c r="AG155">
        <f>ROUND(15*((AB155*10)/256),0)</f>
        <v>14</v>
      </c>
      <c r="AI155" t="str">
        <f>CONCATENATE(VLOOKUP(AG155,Constants!$A$2:$C$16,IF(AH155&lt;&gt;"", 3, 2), FALSE),IF(AH155&lt;&gt;"",CONCATENATE(",",VLOOKUP(AH155,$B:$AI,34,FALSE)),""))</f>
        <v>4,6,4</v>
      </c>
      <c r="AK155" t="s">
        <v>721</v>
      </c>
      <c r="AM155" t="s">
        <v>722</v>
      </c>
      <c r="AN155" t="s">
        <v>262</v>
      </c>
      <c r="AP155">
        <v>39</v>
      </c>
      <c r="AS155">
        <f t="shared" si="10"/>
        <v>25</v>
      </c>
      <c r="AT155">
        <f t="shared" si="11"/>
        <v>18.75</v>
      </c>
      <c r="AU155">
        <f t="shared" si="12"/>
        <v>13.5</v>
      </c>
      <c r="AV155" s="4">
        <f t="shared" si="13"/>
        <v>0.83666666666666667</v>
      </c>
      <c r="AW155">
        <f t="shared" si="14"/>
        <v>8.5</v>
      </c>
      <c r="AX155">
        <f>VLOOKUP($E155,Constants!$I:$K, 2, FALSE)</f>
        <v>1</v>
      </c>
      <c r="AY155">
        <f>VLOOKUP($E155,Constants!$I:$K, 3, FALSE)*IF(AND(D155="multiple_unit",Y155&lt;110),0.75,1)</f>
        <v>2</v>
      </c>
      <c r="AZ155">
        <f>INT(((Constants!$G$2+$AR155+$AS155+$AT155+$AU155+$AW155)*$AV155)*$AY155)</f>
        <v>135</v>
      </c>
      <c r="BA155">
        <f>INT(((Constants!$G$1+$AQ155+$AS155+$AT155+$AU155+$AW155)*(1/$AV155))*$AX155)</f>
        <v>120</v>
      </c>
      <c r="BD155">
        <v>1</v>
      </c>
      <c r="BF155" t="s">
        <v>325</v>
      </c>
      <c r="BG155" t="str">
        <f>VLOOKUP(G155,Eras!$A$2:$C$10, 2, TRUE)</f>
        <v>prv</v>
      </c>
      <c r="BH155" t="s">
        <v>374</v>
      </c>
      <c r="BI155" t="str">
        <f>CONCATENATE(BG155,"_",BH155)</f>
        <v>prv_DMU (Express)</v>
      </c>
      <c r="BJ155" t="s">
        <v>719</v>
      </c>
    </row>
    <row r="156" spans="1:62" x14ac:dyDescent="0.25">
      <c r="A156" t="s">
        <v>85</v>
      </c>
      <c r="B156" t="s">
        <v>642</v>
      </c>
      <c r="C156">
        <v>286</v>
      </c>
      <c r="D156" t="s">
        <v>455</v>
      </c>
      <c r="E156" t="s">
        <v>607</v>
      </c>
      <c r="F156" t="s">
        <v>606</v>
      </c>
      <c r="G156">
        <v>2003</v>
      </c>
      <c r="J156">
        <v>4</v>
      </c>
      <c r="K156">
        <v>1600</v>
      </c>
      <c r="T156">
        <v>173.6</v>
      </c>
      <c r="W156">
        <v>175</v>
      </c>
      <c r="X156" s="4">
        <f>IF(AND(T156&gt;0,W156&gt;0),(W156/((T156+U156)*10)),"")</f>
        <v>0.10080645161290322</v>
      </c>
      <c r="Y156">
        <v>100</v>
      </c>
      <c r="AA156">
        <v>20.399999999999999</v>
      </c>
      <c r="AB156">
        <v>20.399999999999999</v>
      </c>
      <c r="AD156">
        <v>3.78</v>
      </c>
      <c r="AE156" s="11">
        <v>60</v>
      </c>
      <c r="AF156" t="str">
        <f>CONCATENATE(VLOOKUP(AG156, 'Voxel Sizes'!$A$2:$B$18,2,FALSE),"x",INT(AC156*15), "x", INT(AD156*15))</f>
        <v>198x0x56</v>
      </c>
      <c r="AG156">
        <f>ROUND(15*((AB156*10)/256),0)</f>
        <v>12</v>
      </c>
      <c r="AI156" t="str">
        <f>CONCATENATE(VLOOKUP(AG156,Constants!$A$2:$C$16,IF(AH156&lt;&gt;"", 3, 2), FALSE),IF(AH156&lt;&gt;"",CONCATENATE(",",VLOOKUP(AH156,$B:$AI,34,FALSE)),""))</f>
        <v>4,4,4</v>
      </c>
      <c r="AK156" t="s">
        <v>643</v>
      </c>
      <c r="AL156" t="s">
        <v>644</v>
      </c>
      <c r="AM156" t="s">
        <v>610</v>
      </c>
      <c r="AP156">
        <v>39</v>
      </c>
      <c r="AS156">
        <f t="shared" si="10"/>
        <v>20</v>
      </c>
      <c r="AT156">
        <f t="shared" si="11"/>
        <v>8</v>
      </c>
      <c r="AU156">
        <f t="shared" si="12"/>
        <v>8.75</v>
      </c>
      <c r="AV156" s="4">
        <f t="shared" si="13"/>
        <v>0.83833333333333337</v>
      </c>
      <c r="AW156">
        <f t="shared" si="14"/>
        <v>8</v>
      </c>
      <c r="AX156">
        <f>VLOOKUP($E156,Constants!$I:$K, 2, FALSE)</f>
        <v>0.85</v>
      </c>
      <c r="AY156">
        <f>VLOOKUP($E156,Constants!$I:$K, 3, FALSE)*IF(AND(D156="multiple_unit",Y156&lt;110),0.75,1)</f>
        <v>1.7999999999999998</v>
      </c>
      <c r="AZ156">
        <f>INT(((Constants!$G$2+$AR156+$AS156+$AT156+$AU156+$AW156)*$AV156)*$AY156)</f>
        <v>90</v>
      </c>
      <c r="BA156">
        <f>INT(((Constants!$G$1+$AQ156+$AS156+$AT156+$AU156+$AW156)*(1/$AV156))*$AX156)</f>
        <v>80</v>
      </c>
      <c r="BF156" t="s">
        <v>325</v>
      </c>
      <c r="BG156" t="str">
        <f>VLOOKUP(G156,Eras!$A$2:$C$10, 2, TRUE)</f>
        <v>prv</v>
      </c>
      <c r="BH156" t="s">
        <v>375</v>
      </c>
      <c r="BI156" t="str">
        <f>CONCATENATE(BG156,"_",BH156)</f>
        <v>prv_EMU</v>
      </c>
      <c r="BJ156" t="s">
        <v>641</v>
      </c>
    </row>
    <row r="157" spans="1:62" x14ac:dyDescent="0.25">
      <c r="A157" t="s">
        <v>93</v>
      </c>
      <c r="B157" t="s">
        <v>259</v>
      </c>
      <c r="C157">
        <v>288</v>
      </c>
      <c r="D157" t="s">
        <v>455</v>
      </c>
      <c r="E157" t="s">
        <v>338</v>
      </c>
      <c r="F157" t="s">
        <v>345</v>
      </c>
      <c r="G157">
        <v>2003</v>
      </c>
      <c r="H157">
        <v>2006</v>
      </c>
      <c r="J157">
        <v>4</v>
      </c>
      <c r="K157">
        <v>2010</v>
      </c>
      <c r="T157">
        <v>170</v>
      </c>
      <c r="W157">
        <v>180</v>
      </c>
      <c r="X157" s="4">
        <f>IF(AND(T157&gt;0,W157&gt;0),(W157/((T157+U157)*10)),"")</f>
        <v>0.10588235294117647</v>
      </c>
      <c r="Y157">
        <v>100</v>
      </c>
      <c r="AA157">
        <v>20.399999999999999</v>
      </c>
      <c r="AB157">
        <v>20.399999999999999</v>
      </c>
      <c r="AC157">
        <v>2.8</v>
      </c>
      <c r="AE157" s="11">
        <v>66</v>
      </c>
      <c r="AF157" t="str">
        <f>CONCATENATE(VLOOKUP(AG157, 'Voxel Sizes'!$A$2:$B$18,2,FALSE),"x",INT(AC157*15), "x", INT(AD157*15))</f>
        <v>198x42x0</v>
      </c>
      <c r="AG157">
        <f>ROUND(15*((AB157*10)/256),0)</f>
        <v>12</v>
      </c>
      <c r="AI157" t="str">
        <f>CONCATENATE(VLOOKUP(AG157,Constants!$A$2:$C$16,IF(AH157&lt;&gt;"", 3, 2), FALSE),IF(AH157&lt;&gt;"",CONCATENATE(",",VLOOKUP(AH157,$B:$AI,34,FALSE)),""))</f>
        <v>4,4,4</v>
      </c>
      <c r="AK157" t="s">
        <v>660</v>
      </c>
      <c r="AM157" t="s">
        <v>610</v>
      </c>
      <c r="AP157">
        <v>38</v>
      </c>
      <c r="AS157">
        <f t="shared" si="10"/>
        <v>20</v>
      </c>
      <c r="AT157">
        <f t="shared" si="11"/>
        <v>10.049999999999999</v>
      </c>
      <c r="AU157">
        <f t="shared" si="12"/>
        <v>9</v>
      </c>
      <c r="AV157" s="4">
        <f t="shared" si="13"/>
        <v>0.83833333333333337</v>
      </c>
      <c r="AW157">
        <f t="shared" si="14"/>
        <v>8.8000000000000007</v>
      </c>
      <c r="AX157">
        <f>VLOOKUP($E157,Constants!$I:$K, 2, FALSE)</f>
        <v>0.85</v>
      </c>
      <c r="AY157">
        <f>VLOOKUP($E157,Constants!$I:$K, 3, FALSE)*IF(AND(D157="multiple_unit",Y157&lt;110),0.75,1)</f>
        <v>1.7249999999999999</v>
      </c>
      <c r="AZ157">
        <f>INT(((Constants!$G$2+$AR157+$AS157+$AT157+$AU157+$AW157)*$AV157)*$AY157)</f>
        <v>90</v>
      </c>
      <c r="BA157">
        <f>INT(((Constants!$G$1+$AQ157+$AS157+$AT157+$AU157+$AW157)*(1/$AV157))*$AX157)</f>
        <v>84</v>
      </c>
      <c r="BF157" t="s">
        <v>325</v>
      </c>
      <c r="BG157" t="str">
        <f>VLOOKUP(G157,Eras!$A$2:$C$10, 2, TRUE)</f>
        <v>prv</v>
      </c>
      <c r="BH157" t="s">
        <v>375</v>
      </c>
      <c r="BI157" t="str">
        <f>CONCATENATE(BG157,"_",BH157)</f>
        <v>prv_EMU</v>
      </c>
      <c r="BJ157" t="s">
        <v>658</v>
      </c>
    </row>
    <row r="158" spans="1:62" x14ac:dyDescent="0.25">
      <c r="A158" t="s">
        <v>94</v>
      </c>
      <c r="B158" t="s">
        <v>260</v>
      </c>
      <c r="C158">
        <v>290</v>
      </c>
      <c r="D158" t="s">
        <v>455</v>
      </c>
      <c r="E158" t="s">
        <v>338</v>
      </c>
      <c r="F158" t="s">
        <v>345</v>
      </c>
      <c r="G158">
        <v>2004</v>
      </c>
      <c r="J158">
        <v>5</v>
      </c>
      <c r="K158">
        <v>2680</v>
      </c>
      <c r="T158">
        <v>227</v>
      </c>
      <c r="W158">
        <v>210</v>
      </c>
      <c r="X158" s="4">
        <f>IF(AND(T158&gt;0,W158&gt;0),(W158/((T158+U158)*10)),"")</f>
        <v>9.2511013215859028E-2</v>
      </c>
      <c r="Y158">
        <v>100</v>
      </c>
      <c r="AA158">
        <v>23</v>
      </c>
      <c r="AB158">
        <v>23</v>
      </c>
      <c r="AC158">
        <v>2.8</v>
      </c>
      <c r="AE158" s="11">
        <v>66</v>
      </c>
      <c r="AF158" t="str">
        <f>CONCATENATE(VLOOKUP(AG158, 'Voxel Sizes'!$A$2:$B$18,2,FALSE),"x",INT(AC158*15), "x", INT(AD158*15))</f>
        <v>214x42x0</v>
      </c>
      <c r="AG158">
        <f>ROUND(15*((AB158*10)/256),0)</f>
        <v>13</v>
      </c>
      <c r="AI158" t="str">
        <f>CONCATENATE(VLOOKUP(AG158,Constants!$A$2:$C$16,IF(AH158&lt;&gt;"", 3, 2), FALSE),IF(AH158&lt;&gt;"",CONCATENATE(",",VLOOKUP(AH158,$B:$AI,34,FALSE)),""))</f>
        <v>4,5,4</v>
      </c>
      <c r="AK158" t="s">
        <v>661</v>
      </c>
      <c r="AM158" t="s">
        <v>662</v>
      </c>
      <c r="AP158">
        <v>38</v>
      </c>
      <c r="AS158">
        <f t="shared" si="10"/>
        <v>20</v>
      </c>
      <c r="AT158">
        <f t="shared" si="11"/>
        <v>13.4</v>
      </c>
      <c r="AU158">
        <f t="shared" si="12"/>
        <v>10.5</v>
      </c>
      <c r="AV158" s="4">
        <f t="shared" si="13"/>
        <v>0.84</v>
      </c>
      <c r="AW158">
        <f t="shared" si="14"/>
        <v>11</v>
      </c>
      <c r="AX158">
        <f>VLOOKUP($E158,Constants!$I:$K, 2, FALSE)</f>
        <v>0.85</v>
      </c>
      <c r="AY158">
        <f>VLOOKUP($E158,Constants!$I:$K, 3, FALSE)*IF(AND(D158="multiple_unit",Y158&lt;110),0.75,1)</f>
        <v>1.7249999999999999</v>
      </c>
      <c r="AZ158">
        <f>INT(((Constants!$G$2+$AR158+$AS158+$AT158+$AU158+$AW158)*$AV158)*$AY158)</f>
        <v>101</v>
      </c>
      <c r="BA158">
        <f>INT(((Constants!$G$1+$AQ158+$AS158+$AT158+$AU158+$AW158)*(1/$AV158))*$AX158)</f>
        <v>90</v>
      </c>
      <c r="BF158" t="s">
        <v>325</v>
      </c>
      <c r="BG158" t="str">
        <f>VLOOKUP(G158,Eras!$A$2:$C$10, 2, TRUE)</f>
        <v>prv</v>
      </c>
      <c r="BH158" t="s">
        <v>376</v>
      </c>
      <c r="BI158" t="str">
        <f>CONCATENATE(BG158,"_",BH158)</f>
        <v>prv_EMU (Express)</v>
      </c>
      <c r="BJ158" t="s">
        <v>659</v>
      </c>
    </row>
    <row r="159" spans="1:62" x14ac:dyDescent="0.25">
      <c r="A159" t="s">
        <v>92</v>
      </c>
      <c r="B159" t="s">
        <v>258</v>
      </c>
      <c r="C159">
        <v>296</v>
      </c>
      <c r="D159" t="s">
        <v>455</v>
      </c>
      <c r="E159" t="s">
        <v>607</v>
      </c>
      <c r="F159" t="s">
        <v>606</v>
      </c>
      <c r="G159">
        <v>2009</v>
      </c>
      <c r="J159">
        <v>5</v>
      </c>
      <c r="K159">
        <f>800*2</f>
        <v>1600</v>
      </c>
      <c r="T159">
        <v>212.8</v>
      </c>
      <c r="W159">
        <v>180</v>
      </c>
      <c r="X159" s="4">
        <f>IF(AND(T159&gt;0,W159&gt;0),(W159/((T159+U159)*10)),"")</f>
        <v>8.4586466165413529E-2</v>
      </c>
      <c r="Y159">
        <v>75</v>
      </c>
      <c r="AA159">
        <v>20.399999999999999</v>
      </c>
      <c r="AB159">
        <v>20.399999999999999</v>
      </c>
      <c r="AC159">
        <v>2.8</v>
      </c>
      <c r="AD159">
        <v>3.78</v>
      </c>
      <c r="AE159" s="11">
        <v>90</v>
      </c>
      <c r="AF159" t="str">
        <f>CONCATENATE(VLOOKUP(AG159, 'Voxel Sizes'!$A$2:$B$18,2,FALSE),"x",INT(AC159*15), "x", INT(AD159*15))</f>
        <v>198x42x56</v>
      </c>
      <c r="AG159">
        <f>ROUND(15*((AB159*10)/256),0)</f>
        <v>12</v>
      </c>
      <c r="AI159" t="str">
        <f>CONCATENATE(VLOOKUP(AG159,Constants!$A$2:$C$16,IF(AH159&lt;&gt;"", 3, 2), FALSE),IF(AH159&lt;&gt;"",CONCATENATE(",",VLOOKUP(AH159,$B:$AI,34,FALSE)),""))</f>
        <v>4,4,4</v>
      </c>
      <c r="AK159" t="s">
        <v>655</v>
      </c>
      <c r="AL159" t="s">
        <v>656</v>
      </c>
      <c r="AM159" t="s">
        <v>657</v>
      </c>
      <c r="AP159">
        <v>40</v>
      </c>
      <c r="AS159">
        <f t="shared" si="10"/>
        <v>15</v>
      </c>
      <c r="AT159">
        <f t="shared" si="11"/>
        <v>8</v>
      </c>
      <c r="AU159">
        <f t="shared" si="12"/>
        <v>9</v>
      </c>
      <c r="AV159" s="4">
        <f t="shared" si="13"/>
        <v>0.84833333333333338</v>
      </c>
      <c r="AW159">
        <f t="shared" si="14"/>
        <v>15</v>
      </c>
      <c r="AX159">
        <f>VLOOKUP($E159,Constants!$I:$K, 2, FALSE)</f>
        <v>0.85</v>
      </c>
      <c r="AY159">
        <f>VLOOKUP($E159,Constants!$I:$K, 3, FALSE)*IF(AND(D159="multiple_unit",Y159&lt;110),0.75,1)</f>
        <v>1.7999999999999998</v>
      </c>
      <c r="AZ159">
        <f>INT(((Constants!$G$2+$AR159+$AS159+$AT159+$AU159+$AW159)*$AV159)*$AY159)</f>
        <v>94</v>
      </c>
      <c r="BA159">
        <f>INT(((Constants!$G$1+$AQ159+$AS159+$AT159+$AU159+$AW159)*(1/$AV159))*$AX159)</f>
        <v>82</v>
      </c>
      <c r="BF159" t="s">
        <v>325</v>
      </c>
      <c r="BG159" t="str">
        <f>VLOOKUP(G159,Eras!$A$2:$C$10, 2, TRUE)</f>
        <v>mod</v>
      </c>
      <c r="BH159" t="s">
        <v>375</v>
      </c>
      <c r="BI159" t="str">
        <f>CONCATENATE(BG159,"_",BH159)</f>
        <v>mod_EMU</v>
      </c>
      <c r="BJ159" t="s">
        <v>654</v>
      </c>
    </row>
    <row r="160" spans="1:62" x14ac:dyDescent="0.25">
      <c r="A160" t="s">
        <v>102</v>
      </c>
      <c r="B160" t="s">
        <v>706</v>
      </c>
      <c r="C160">
        <v>302</v>
      </c>
      <c r="D160" t="s">
        <v>455</v>
      </c>
      <c r="E160" t="s">
        <v>314</v>
      </c>
      <c r="F160" t="s">
        <v>316</v>
      </c>
      <c r="G160">
        <v>2019</v>
      </c>
      <c r="J160">
        <v>2</v>
      </c>
      <c r="K160">
        <f>523*2</f>
        <v>1046</v>
      </c>
      <c r="T160">
        <v>80</v>
      </c>
      <c r="W160">
        <v>145</v>
      </c>
      <c r="X160" s="4">
        <f>IF(AND(T160&gt;0,W160&gt;0),(W160/((T160+U160)*10)),"")</f>
        <v>0.18124999999999999</v>
      </c>
      <c r="Y160">
        <v>100</v>
      </c>
      <c r="AA160">
        <v>24</v>
      </c>
      <c r="AB160">
        <v>24</v>
      </c>
      <c r="AC160">
        <v>2.7</v>
      </c>
      <c r="AD160">
        <v>3.85</v>
      </c>
      <c r="AE160" s="11">
        <v>63</v>
      </c>
      <c r="AF160" t="str">
        <f>CONCATENATE(VLOOKUP(AG160, 'Voxel Sizes'!$A$2:$B$18,2,FALSE),"x",INT(AC160*15), "x", INT(AD160*15))</f>
        <v>238x40x57</v>
      </c>
      <c r="AG160">
        <f>ROUND(15*((AB160*10)/256),0)</f>
        <v>14</v>
      </c>
      <c r="AI160" t="str">
        <f>CONCATENATE(VLOOKUP(AG160,Constants!$A$2:$C$16,IF(AH160&lt;&gt;"", 3, 2), FALSE),IF(AH160&lt;&gt;"",CONCATENATE(",",VLOOKUP(AH160,$B:$AI,34,FALSE)),""))</f>
        <v>4,6,4</v>
      </c>
      <c r="AK160" t="s">
        <v>707</v>
      </c>
      <c r="AM160" t="s">
        <v>519</v>
      </c>
      <c r="AP160">
        <v>40</v>
      </c>
      <c r="AS160">
        <f t="shared" si="10"/>
        <v>20</v>
      </c>
      <c r="AT160">
        <f t="shared" si="11"/>
        <v>5.23</v>
      </c>
      <c r="AU160">
        <f t="shared" si="12"/>
        <v>7.25</v>
      </c>
      <c r="AV160" s="4">
        <f t="shared" si="13"/>
        <v>0.86499999999999999</v>
      </c>
      <c r="AW160">
        <f t="shared" si="14"/>
        <v>4.2</v>
      </c>
      <c r="AX160">
        <f>VLOOKUP($E160,Constants!$I:$K, 2, FALSE)</f>
        <v>1</v>
      </c>
      <c r="AY160">
        <f>VLOOKUP($E160,Constants!$I:$K, 3, FALSE)*IF(AND(D160="multiple_unit",Y160&lt;110),0.75,1)</f>
        <v>1.5</v>
      </c>
      <c r="AZ160">
        <f>INT(((Constants!$G$2+$AR160+$AS160+$AT160+$AU160+$AW160)*$AV160)*$AY160)</f>
        <v>67</v>
      </c>
      <c r="BA160">
        <f>INT(((Constants!$G$1+$AQ160+$AS160+$AT160+$AU160+$AW160)*(1/$AV160))*$AX160)</f>
        <v>82</v>
      </c>
      <c r="BF160" t="s">
        <v>325</v>
      </c>
      <c r="BG160" t="str">
        <f>VLOOKUP(G160,Eras!$A$2:$C$10, 2, TRUE)</f>
        <v>mod</v>
      </c>
      <c r="BH160" t="s">
        <v>373</v>
      </c>
      <c r="BI160" t="str">
        <f>CONCATENATE(BG160,"_",BH160)</f>
        <v>mod_DMU</v>
      </c>
      <c r="BJ160" t="s">
        <v>708</v>
      </c>
    </row>
    <row r="161" spans="1:62" x14ac:dyDescent="0.25">
      <c r="A161" t="s">
        <v>702</v>
      </c>
      <c r="B161" t="s">
        <v>757</v>
      </c>
      <c r="D161" t="s">
        <v>455</v>
      </c>
      <c r="E161" t="s">
        <v>607</v>
      </c>
      <c r="F161" t="s">
        <v>606</v>
      </c>
      <c r="G161">
        <v>1992</v>
      </c>
      <c r="H161">
        <v>1996</v>
      </c>
      <c r="J161">
        <v>8</v>
      </c>
      <c r="K161">
        <v>16400</v>
      </c>
      <c r="L161" s="9">
        <v>4600</v>
      </c>
      <c r="T161">
        <f>(752/20)*8</f>
        <v>300.8</v>
      </c>
      <c r="W161">
        <v>220</v>
      </c>
      <c r="X161" s="4">
        <f>IF(AND(T161&gt;0,W161&gt;0),(W161/((T161+U161)*10)),"")</f>
        <v>7.3138297872340427E-2</v>
      </c>
      <c r="Y161">
        <v>186</v>
      </c>
      <c r="AA161">
        <v>22.15</v>
      </c>
      <c r="AB161">
        <v>22.15</v>
      </c>
      <c r="AC161">
        <v>2.81</v>
      </c>
      <c r="AE161" s="11">
        <v>39</v>
      </c>
      <c r="AF161" t="str">
        <f>CONCATENATE(VLOOKUP(AG161, 'Voxel Sizes'!$A$2:$B$18,2,FALSE),"x",INT(AC161*15), "x", INT(AD161*15))</f>
        <v>214x42x0</v>
      </c>
      <c r="AG161">
        <f>ROUND(15*((AB161*10)/256),0)</f>
        <v>13</v>
      </c>
      <c r="AI161" t="str">
        <f>CONCATENATE(VLOOKUP(AG161,Constants!$A$2:$C$16,IF(AH161&lt;&gt;"", 3, 2), FALSE),IF(AH161&lt;&gt;"",CONCATENATE(",",VLOOKUP(AH161,$B:$AI,34,FALSE)),""))</f>
        <v>4,5,4</v>
      </c>
      <c r="AJ161" s="13" t="s">
        <v>761</v>
      </c>
      <c r="AK161" t="s">
        <v>759</v>
      </c>
      <c r="AL161" t="s">
        <v>703</v>
      </c>
      <c r="AM161" t="s">
        <v>760</v>
      </c>
      <c r="AN161" t="s">
        <v>703</v>
      </c>
      <c r="AP161">
        <v>35</v>
      </c>
      <c r="AS161">
        <f t="shared" si="10"/>
        <v>30</v>
      </c>
      <c r="AT161">
        <f t="shared" si="11"/>
        <v>20</v>
      </c>
      <c r="AU161">
        <f t="shared" si="12"/>
        <v>11</v>
      </c>
      <c r="AV161" s="4">
        <f t="shared" si="13"/>
        <v>0.82</v>
      </c>
      <c r="AW161">
        <f t="shared" si="14"/>
        <v>10.4</v>
      </c>
      <c r="AX161">
        <f>VLOOKUP($E161,Constants!$I:$K, 2, FALSE)</f>
        <v>0.85</v>
      </c>
      <c r="AY161">
        <f>VLOOKUP($E161,Constants!$I:$K, 3, FALSE)*IF(AND(D161="multiple_unit",Y161&lt;110),0.75,1)</f>
        <v>2.4</v>
      </c>
      <c r="AZ161">
        <f>INT(((Constants!$G$2+$AR161+$AS161+$AT161+$AU161+$AW161)*$AV161)*$AY161)</f>
        <v>170</v>
      </c>
      <c r="BA161">
        <f>INT(((Constants!$G$1+$AQ161+$AS161+$AT161+$AU161+$AW161)*(1/$AV161))*$AX161)</f>
        <v>110</v>
      </c>
      <c r="BF161" t="s">
        <v>325</v>
      </c>
      <c r="BG161" t="str">
        <f>VLOOKUP(G161,Eras!$A$2:$C$10, 2, TRUE)</f>
        <v>lbr</v>
      </c>
      <c r="BH161" t="s">
        <v>376</v>
      </c>
      <c r="BI161" t="str">
        <f>CONCATENATE(BG161,"_",BH161)</f>
        <v>lbr_EMU (Express)</v>
      </c>
      <c r="BJ161" t="s">
        <v>756</v>
      </c>
    </row>
    <row r="162" spans="1:62" x14ac:dyDescent="0.25">
      <c r="A162" t="s">
        <v>449</v>
      </c>
      <c r="B162" t="s">
        <v>450</v>
      </c>
      <c r="C162">
        <v>45</v>
      </c>
      <c r="D162" t="s">
        <v>304</v>
      </c>
      <c r="E162" t="s">
        <v>313</v>
      </c>
      <c r="F162" t="s">
        <v>316</v>
      </c>
      <c r="G162">
        <v>1901</v>
      </c>
      <c r="H162">
        <v>1914</v>
      </c>
      <c r="I162">
        <v>1955</v>
      </c>
      <c r="K162">
        <v>350</v>
      </c>
      <c r="M162" s="6">
        <v>14</v>
      </c>
      <c r="N162" s="6">
        <v>20</v>
      </c>
      <c r="O162" s="6">
        <v>2</v>
      </c>
      <c r="P162" s="6">
        <v>160</v>
      </c>
      <c r="Q162" s="7">
        <f>((($Y162/2)/60)*5280)/($R162*3.2*PI())</f>
        <v>145.89203116757074</v>
      </c>
      <c r="R162" s="6">
        <v>0.9</v>
      </c>
      <c r="S162" s="6">
        <f>((($M162*$M162/4)*PI())*($N162/12)*$O162*$P162*$Q162)/(33000*1.1)</f>
        <v>329.96632996632997</v>
      </c>
      <c r="T162">
        <v>23</v>
      </c>
      <c r="W162">
        <v>49</v>
      </c>
      <c r="X162" s="4">
        <f>IF(AND(T162&gt;0,W162&gt;0),(W162/((T162+U162)*10)),"")</f>
        <v>0.21304347826086956</v>
      </c>
      <c r="Y162">
        <v>30</v>
      </c>
      <c r="AA162">
        <v>6.12</v>
      </c>
      <c r="AB162">
        <v>6.12</v>
      </c>
      <c r="AE162" s="11">
        <v>0</v>
      </c>
      <c r="AF162" t="str">
        <f>CONCATENATE(VLOOKUP(AG162, 'Voxel Sizes'!$A$2:$B$18,2,FALSE),"x",INT(AC162*15), "x", INT(AD162*15))</f>
        <v>60x0x0</v>
      </c>
      <c r="AG162">
        <f>ROUND(15*((AB162*10)/256),0)</f>
        <v>4</v>
      </c>
      <c r="AI162" t="str">
        <f>CONCATENATE(VLOOKUP(AG162,Constants!$A$2:$C$16,IF(AH162&lt;&gt;"", 3, 2), FALSE),IF(AH162&lt;&gt;"",CONCATENATE(",",VLOOKUP(AH162,$B:$AI,34,FALSE)),""))</f>
        <v>1,2,1</v>
      </c>
      <c r="AO162">
        <v>1</v>
      </c>
      <c r="AP162">
        <v>40</v>
      </c>
      <c r="AS162">
        <f t="shared" si="10"/>
        <v>6</v>
      </c>
      <c r="AT162">
        <f t="shared" si="11"/>
        <v>1.75</v>
      </c>
      <c r="AU162">
        <f t="shared" si="12"/>
        <v>2.4500000000000002</v>
      </c>
      <c r="AV162" s="4">
        <f t="shared" si="13"/>
        <v>0.66833333333333333</v>
      </c>
      <c r="AW162">
        <f t="shared" si="14"/>
        <v>0</v>
      </c>
      <c r="AX162">
        <f>VLOOKUP($E162,Constants!$I:$K, 2, FALSE)</f>
        <v>1.1499999999999999</v>
      </c>
      <c r="AY162">
        <f>VLOOKUP($E162,Constants!$I:$K, 3, FALSE)*IF(AND(D162="multiple_unit",Y162&lt;110),0.75,1)</f>
        <v>1.7</v>
      </c>
      <c r="AZ162">
        <f>INT(((Constants!$G$2+$AR162+$AS162+$AT162+$AU162+$AW162)*$AV162)*$AY162)</f>
        <v>28</v>
      </c>
      <c r="BA162">
        <f>INT(((Constants!$G$1+$AQ162+$AS162+$AT162+$AU162+$AW162)*(1/$AV162))*$AX162)</f>
        <v>77</v>
      </c>
      <c r="BG162" t="str">
        <f>VLOOKUP(G162,Eras!$A$2:$C$10, 2, TRUE)</f>
        <v>edw</v>
      </c>
      <c r="BH162" t="s">
        <v>368</v>
      </c>
      <c r="BI162" t="str">
        <f>CONCATENATE(BG162,"_",BH162)</f>
        <v>edw_Cheap</v>
      </c>
      <c r="BJ162" t="s">
        <v>451</v>
      </c>
    </row>
    <row r="163" spans="1:62" x14ac:dyDescent="0.25">
      <c r="A163" t="s">
        <v>16</v>
      </c>
      <c r="B163" t="s">
        <v>280</v>
      </c>
      <c r="C163">
        <v>47</v>
      </c>
      <c r="D163" t="s">
        <v>304</v>
      </c>
      <c r="E163" t="s">
        <v>313</v>
      </c>
      <c r="F163" t="s">
        <v>316</v>
      </c>
      <c r="G163">
        <v>1902</v>
      </c>
      <c r="K163">
        <v>950</v>
      </c>
      <c r="M163" s="6">
        <v>20.3</v>
      </c>
      <c r="N163" s="6">
        <v>26</v>
      </c>
      <c r="O163" s="6">
        <v>3</v>
      </c>
      <c r="P163" s="6">
        <f>220*0.5</f>
        <v>110</v>
      </c>
      <c r="Q163" s="7">
        <f>((($Y163/2)/60)*5280)/($R163*3.2*PI())</f>
        <v>166.73374990579512</v>
      </c>
      <c r="R163" s="6">
        <v>2.1</v>
      </c>
      <c r="S163" s="6">
        <f>((($M163*$M163/4)*PI())*($N163/12)*$O163*$P163*$Q163)/(33000*1.1)</f>
        <v>1062.9305555555557</v>
      </c>
      <c r="T163">
        <v>62</v>
      </c>
      <c r="U163" s="9">
        <v>42</v>
      </c>
      <c r="W163">
        <v>97</v>
      </c>
      <c r="X163" s="4">
        <f>IF(AND(T163&gt;0,W163&gt;0),(W163/((T163+U163)*10)),"")</f>
        <v>9.3269230769230771E-2</v>
      </c>
      <c r="Y163">
        <v>80</v>
      </c>
      <c r="AA163">
        <v>17.268999999999998</v>
      </c>
      <c r="AB163">
        <f>AA163-7.5</f>
        <v>9.7689999999999984</v>
      </c>
      <c r="AE163" s="11">
        <v>0</v>
      </c>
      <c r="AF163" t="str">
        <f>CONCATENATE(VLOOKUP(AG163, 'Voxel Sizes'!$A$2:$B$18,2,FALSE),"x",INT(AC163*15), "x", INT(AD163*15))</f>
        <v>102x0x0</v>
      </c>
      <c r="AG163">
        <f>ROUND(15*((AB163*10)/256),0)</f>
        <v>6</v>
      </c>
      <c r="AH163" t="s">
        <v>351</v>
      </c>
      <c r="AI163" t="str">
        <f>CONCATENATE(VLOOKUP(AG163,Constants!$A$2:$C$16,IF(AH163&lt;&gt;"", 3, 2), FALSE),IF(AH163&lt;&gt;"",CONCATENATE(",",VLOOKUP(AH163,$B:$AI,34,FALSE)),""))</f>
        <v>2,2,2,2,1,2</v>
      </c>
      <c r="AO163">
        <v>1</v>
      </c>
      <c r="AP163">
        <v>40</v>
      </c>
      <c r="AS163">
        <f t="shared" si="10"/>
        <v>16</v>
      </c>
      <c r="AT163">
        <f t="shared" si="11"/>
        <v>4.75</v>
      </c>
      <c r="AU163">
        <f t="shared" si="12"/>
        <v>4.8499999999999996</v>
      </c>
      <c r="AV163" s="4">
        <f t="shared" si="13"/>
        <v>0.67</v>
      </c>
      <c r="AW163">
        <f t="shared" si="14"/>
        <v>0</v>
      </c>
      <c r="AX163">
        <f>VLOOKUP($E163,Constants!$I:$K, 2, FALSE)</f>
        <v>1.1499999999999999</v>
      </c>
      <c r="AY163">
        <f>VLOOKUP($E163,Constants!$I:$K, 3, FALSE)*IF(AND(D163="multiple_unit",Y163&lt;110),0.75,1)</f>
        <v>1.7</v>
      </c>
      <c r="AZ163">
        <f>INT(((Constants!$G$2+$AR163+$AS163+$AT163+$AU163+$AW163)*$AV163)*$AY163)</f>
        <v>46</v>
      </c>
      <c r="BA163">
        <f>INT(((Constants!$G$1+$AQ163+$AS163+$AT163+$AU163+$AW163)*(1/$AV163))*$AX163)</f>
        <v>104</v>
      </c>
      <c r="BG163" t="str">
        <f>VLOOKUP(G163,Eras!$A$2:$C$10, 2, TRUE)</f>
        <v>edw</v>
      </c>
      <c r="BH163" t="s">
        <v>370</v>
      </c>
      <c r="BI163" t="str">
        <f>CONCATENATE(BG163,"_",BH163)</f>
        <v>edw_Express</v>
      </c>
      <c r="BJ163" t="s">
        <v>390</v>
      </c>
    </row>
    <row r="164" spans="1:62" x14ac:dyDescent="0.25">
      <c r="A164" t="s">
        <v>66</v>
      </c>
      <c r="B164" t="s">
        <v>182</v>
      </c>
      <c r="C164">
        <v>49</v>
      </c>
      <c r="D164" t="s">
        <v>304</v>
      </c>
      <c r="E164" t="s">
        <v>338</v>
      </c>
      <c r="F164" t="s">
        <v>339</v>
      </c>
      <c r="G164">
        <v>1903</v>
      </c>
      <c r="H164">
        <v>1904</v>
      </c>
      <c r="K164">
        <v>640</v>
      </c>
      <c r="T164">
        <v>57</v>
      </c>
      <c r="W164">
        <v>111</v>
      </c>
      <c r="X164" s="4">
        <f>IF(AND(T164&gt;0,W164&gt;0),(W164/((T164+U164)*10)),"")</f>
        <v>0.19473684210526315</v>
      </c>
      <c r="Y164">
        <v>27</v>
      </c>
      <c r="AA164">
        <v>11.56</v>
      </c>
      <c r="AB164">
        <v>11.56</v>
      </c>
      <c r="AD164">
        <v>3.93</v>
      </c>
      <c r="AE164" s="11">
        <v>0</v>
      </c>
      <c r="AF164" t="str">
        <f>CONCATENATE(VLOOKUP(AG164, 'Voxel Sizes'!$A$2:$B$18,2,FALSE),"x",INT(AC164*15), "x", INT(AD164*15))</f>
        <v>120x0x58</v>
      </c>
      <c r="AG164">
        <f>ROUND(15*((AB164*10)/256),0)</f>
        <v>7</v>
      </c>
      <c r="AI164" t="str">
        <f>CONCATENATE(VLOOKUP(AG164,Constants!$A$2:$C$16,IF(AH164&lt;&gt;"", 3, 2), FALSE),IF(AH164&lt;&gt;"",CONCATENATE(",",VLOOKUP(AH164,$B:$AI,34,FALSE)),""))</f>
        <v>2,3,2</v>
      </c>
      <c r="AP164">
        <v>40</v>
      </c>
      <c r="AS164">
        <f t="shared" si="10"/>
        <v>5.3999999999999995</v>
      </c>
      <c r="AT164">
        <f t="shared" si="11"/>
        <v>3.2</v>
      </c>
      <c r="AU164">
        <f t="shared" si="12"/>
        <v>5.5500000000000007</v>
      </c>
      <c r="AV164" s="4">
        <f t="shared" si="13"/>
        <v>0.67166666666666663</v>
      </c>
      <c r="AW164">
        <f t="shared" si="14"/>
        <v>0</v>
      </c>
      <c r="AX164">
        <f>VLOOKUP($E164,Constants!$I:$K, 2, FALSE)</f>
        <v>0.85</v>
      </c>
      <c r="AY164">
        <f>VLOOKUP($E164,Constants!$I:$K, 3, FALSE)*IF(AND(D164="multiple_unit",Y164&lt;110),0.75,1)</f>
        <v>2.2999999999999998</v>
      </c>
      <c r="AZ164">
        <f>INT(((Constants!$G$2+$AR164+$AS164+$AT164+$AU164+$AW164)*$AV164)*$AY164)</f>
        <v>45</v>
      </c>
      <c r="BA164">
        <f>INT(((Constants!$G$1+$AQ164+$AS164+$AT164+$AU164+$AW164)*(1/$AV164))*$AX164)</f>
        <v>62</v>
      </c>
      <c r="BG164" t="str">
        <f>VLOOKUP(G164,Eras!$A$2:$C$10, 2, TRUE)</f>
        <v>edw</v>
      </c>
      <c r="BH164" t="s">
        <v>381</v>
      </c>
      <c r="BI164" t="str">
        <f>CONCATENATE(BG164,"_",BH164)</f>
        <v>edw_Freight (Electric)</v>
      </c>
      <c r="BJ164" t="s">
        <v>392</v>
      </c>
    </row>
    <row r="165" spans="1:62" x14ac:dyDescent="0.25">
      <c r="A165" t="s">
        <v>151</v>
      </c>
      <c r="B165" t="s">
        <v>183</v>
      </c>
      <c r="C165">
        <v>51</v>
      </c>
      <c r="D165" t="s">
        <v>304</v>
      </c>
      <c r="E165" t="s">
        <v>314</v>
      </c>
      <c r="F165" t="s">
        <v>316</v>
      </c>
      <c r="G165">
        <v>1903</v>
      </c>
      <c r="K165">
        <v>85</v>
      </c>
      <c r="T165">
        <v>35</v>
      </c>
      <c r="W165">
        <v>45</v>
      </c>
      <c r="X165" s="4">
        <f>IF(AND(T165&gt;0,W165&gt;0),(W165/((T165+U165)*10)),"")</f>
        <v>0.12857142857142856</v>
      </c>
      <c r="Y165">
        <v>40</v>
      </c>
      <c r="AA165">
        <v>16.7</v>
      </c>
      <c r="AB165">
        <v>16.7</v>
      </c>
      <c r="AC165">
        <v>2.59</v>
      </c>
      <c r="AD165">
        <v>3.98</v>
      </c>
      <c r="AE165" s="11">
        <v>48</v>
      </c>
      <c r="AF165" t="str">
        <f>CONCATENATE(VLOOKUP(AG165, 'Voxel Sizes'!$A$2:$B$18,2,FALSE),"x",INT(AC165*15), "x", INT(AD165*15))</f>
        <v>164x38x59</v>
      </c>
      <c r="AG165">
        <f>ROUND(15*((AB165*10)/256),0)</f>
        <v>10</v>
      </c>
      <c r="AI165" t="str">
        <f>CONCATENATE(VLOOKUP(AG165,Constants!$A$2:$C$16,IF(AH165&lt;&gt;"", 3, 2), FALSE),IF(AH165&lt;&gt;"",CONCATENATE(",",VLOOKUP(AH165,$B:$AI,34,FALSE)),""))</f>
        <v>4,2,4</v>
      </c>
      <c r="AP165">
        <v>27</v>
      </c>
      <c r="AS165">
        <f t="shared" si="10"/>
        <v>8</v>
      </c>
      <c r="AT165">
        <f t="shared" si="11"/>
        <v>0.42500000000000004</v>
      </c>
      <c r="AU165">
        <f t="shared" si="12"/>
        <v>2.25</v>
      </c>
      <c r="AV165" s="4">
        <f t="shared" si="13"/>
        <v>0.67166666666666663</v>
      </c>
      <c r="AW165">
        <f t="shared" si="14"/>
        <v>1.6</v>
      </c>
      <c r="AX165">
        <f>VLOOKUP($E165,Constants!$I:$K, 2, FALSE)</f>
        <v>1</v>
      </c>
      <c r="AY165">
        <f>VLOOKUP($E165,Constants!$I:$K, 3, FALSE)*IF(AND(D165="multiple_unit",Y165&lt;110),0.75,1)</f>
        <v>2</v>
      </c>
      <c r="AZ165">
        <f>INT(((Constants!$G$2+$AR165+$AS165+$AT165+$AU165+$AW165)*$AV165)*$AY165)</f>
        <v>36</v>
      </c>
      <c r="BA165">
        <f>INT(((Constants!$G$1+$AQ165+$AS165+$AT165+$AU165+$AW165)*(1/$AV165))*$AX165)</f>
        <v>70</v>
      </c>
      <c r="BF165" t="s">
        <v>325</v>
      </c>
      <c r="BG165" t="str">
        <f>VLOOKUP(G165,Eras!$A$2:$C$10, 2, TRUE)</f>
        <v>edw</v>
      </c>
      <c r="BH165" t="s">
        <v>372</v>
      </c>
      <c r="BI165" t="str">
        <f>CONCATENATE(BG165,"_",BH165)</f>
        <v>edw_DMU (Cheap)</v>
      </c>
      <c r="BJ165" t="s">
        <v>391</v>
      </c>
    </row>
    <row r="166" spans="1:62" x14ac:dyDescent="0.25">
      <c r="A166" t="s">
        <v>18</v>
      </c>
      <c r="B166" t="s">
        <v>184</v>
      </c>
      <c r="C166">
        <v>53</v>
      </c>
      <c r="D166" t="s">
        <v>304</v>
      </c>
      <c r="E166" t="s">
        <v>313</v>
      </c>
      <c r="F166" t="s">
        <v>316</v>
      </c>
      <c r="G166">
        <v>1904</v>
      </c>
      <c r="I166">
        <v>1962</v>
      </c>
      <c r="K166">
        <v>730</v>
      </c>
      <c r="M166" s="6">
        <v>18</v>
      </c>
      <c r="N166" s="6">
        <v>26</v>
      </c>
      <c r="O166" s="6">
        <v>2</v>
      </c>
      <c r="P166" s="6">
        <v>160</v>
      </c>
      <c r="Q166" s="7">
        <f>((($Y166/2)/60)*5280)/($R166*3.2*PI())</f>
        <v>150.4511571415573</v>
      </c>
      <c r="R166" s="6">
        <v>1.6</v>
      </c>
      <c r="S166" s="6">
        <f>((($M166*$M166/4)*PI())*($N166/12)*$O166*$P166*$Q166)/(33000*1.1)</f>
        <v>731.24999999999977</v>
      </c>
      <c r="T166">
        <v>55</v>
      </c>
      <c r="W166">
        <v>77</v>
      </c>
      <c r="X166" s="4">
        <f>IF(AND(T166&gt;0,W166&gt;0),(W166/((T166+U166)*10)),"")</f>
        <v>0.14000000000000001</v>
      </c>
      <c r="Y166">
        <v>55</v>
      </c>
      <c r="AA166">
        <v>10.02</v>
      </c>
      <c r="AB166">
        <v>10.02</v>
      </c>
      <c r="AE166" s="11">
        <v>0</v>
      </c>
      <c r="AF166" t="str">
        <f>CONCATENATE(VLOOKUP(AG166, 'Voxel Sizes'!$A$2:$B$18,2,FALSE),"x",INT(AC166*15), "x", INT(AD166*15))</f>
        <v>102x0x0</v>
      </c>
      <c r="AG166">
        <f>ROUND(15*((AB166*10)/256),0)</f>
        <v>6</v>
      </c>
      <c r="AI166" t="str">
        <f>CONCATENATE(VLOOKUP(AG166,Constants!$A$2:$C$16,IF(AH166&lt;&gt;"", 3, 2), FALSE),IF(AH166&lt;&gt;"",CONCATENATE(",",VLOOKUP(AH166,$B:$AI,34,FALSE)),""))</f>
        <v>2,2,2</v>
      </c>
      <c r="AO166">
        <v>1</v>
      </c>
      <c r="AP166">
        <v>40</v>
      </c>
      <c r="AS166">
        <f t="shared" si="10"/>
        <v>11</v>
      </c>
      <c r="AT166">
        <f t="shared" si="11"/>
        <v>3.65</v>
      </c>
      <c r="AU166">
        <f t="shared" si="12"/>
        <v>3.85</v>
      </c>
      <c r="AV166" s="4">
        <f t="shared" si="13"/>
        <v>0.67333333333333334</v>
      </c>
      <c r="AW166">
        <f t="shared" si="14"/>
        <v>0</v>
      </c>
      <c r="AX166">
        <f>VLOOKUP($E166,Constants!$I:$K, 2, FALSE)</f>
        <v>1.1499999999999999</v>
      </c>
      <c r="AY166">
        <f>VLOOKUP($E166,Constants!$I:$K, 3, FALSE)*IF(AND(D166="multiple_unit",Y166&lt;110),0.75,1)</f>
        <v>1.7</v>
      </c>
      <c r="AZ166">
        <f>INT(((Constants!$G$2+$AR166+$AS166+$AT166+$AU166+$AW166)*$AV166)*$AY166)</f>
        <v>38</v>
      </c>
      <c r="BA166">
        <f>INT(((Constants!$G$1+$AQ166+$AS166+$AT166+$AU166+$AW166)*(1/$AV166))*$AX166)</f>
        <v>91</v>
      </c>
      <c r="BG166" t="str">
        <f>VLOOKUP(G166,Eras!$A$2:$C$10, 2, TRUE)</f>
        <v>edw</v>
      </c>
      <c r="BH166" t="s">
        <v>419</v>
      </c>
      <c r="BI166" t="str">
        <f>CONCATENATE(BG166,"_",BH166)</f>
        <v>edw_Passenger</v>
      </c>
      <c r="BJ166" t="s">
        <v>411</v>
      </c>
    </row>
    <row r="167" spans="1:62" x14ac:dyDescent="0.25">
      <c r="A167" t="s">
        <v>20</v>
      </c>
      <c r="B167" t="s">
        <v>421</v>
      </c>
      <c r="C167">
        <v>55</v>
      </c>
      <c r="D167" t="s">
        <v>304</v>
      </c>
      <c r="E167" t="s">
        <v>313</v>
      </c>
      <c r="F167" t="s">
        <v>316</v>
      </c>
      <c r="G167">
        <v>1904</v>
      </c>
      <c r="H167">
        <v>1914</v>
      </c>
      <c r="I167">
        <v>1955</v>
      </c>
      <c r="K167">
        <v>850</v>
      </c>
      <c r="M167" s="6">
        <v>17</v>
      </c>
      <c r="N167" s="6">
        <v>24</v>
      </c>
      <c r="O167" s="6">
        <v>2</v>
      </c>
      <c r="P167" s="6">
        <v>180</v>
      </c>
      <c r="Q167" s="7">
        <f>((($Y167/2)/60)*5280)/($R167*3.2*PI())</f>
        <v>192.57748114119337</v>
      </c>
      <c r="R167" s="6">
        <v>1.25</v>
      </c>
      <c r="S167" s="6">
        <f>((($M167*$M167/4)*PI())*($N167/12)*$O167*$P167*$Q167)/(33000*1.1)</f>
        <v>867</v>
      </c>
      <c r="T167">
        <v>63.4</v>
      </c>
      <c r="W167">
        <v>95</v>
      </c>
      <c r="X167" s="4">
        <f>IF(AND(T167&gt;0,W167&gt;0),(W167/((T167+U167)*10)),"")</f>
        <v>0.14984227129337541</v>
      </c>
      <c r="Y167">
        <v>55</v>
      </c>
      <c r="AA167">
        <v>11.5</v>
      </c>
      <c r="AB167">
        <v>11.5</v>
      </c>
      <c r="AE167" s="11">
        <v>0</v>
      </c>
      <c r="AF167" t="str">
        <f>CONCATENATE(VLOOKUP(AG167, 'Voxel Sizes'!$A$2:$B$18,2,FALSE),"x",INT(AC167*15), "x", INT(AD167*15))</f>
        <v>120x0x0</v>
      </c>
      <c r="AG167">
        <f>ROUND(15*((AB167*10)/256),0)</f>
        <v>7</v>
      </c>
      <c r="AI167" t="str">
        <f>CONCATENATE(VLOOKUP(AG167,Constants!$A$2:$C$16,IF(AH167&lt;&gt;"", 3, 2), FALSE),IF(AH167&lt;&gt;"",CONCATENATE(",",VLOOKUP(AH167,$B:$AI,34,FALSE)),""))</f>
        <v>2,3,2</v>
      </c>
      <c r="AO167">
        <v>1</v>
      </c>
      <c r="AP167">
        <v>48</v>
      </c>
      <c r="AS167">
        <f t="shared" si="10"/>
        <v>11</v>
      </c>
      <c r="AT167">
        <f t="shared" si="11"/>
        <v>4.25</v>
      </c>
      <c r="AU167">
        <f t="shared" si="12"/>
        <v>4.75</v>
      </c>
      <c r="AV167" s="4">
        <f t="shared" si="13"/>
        <v>0.67333333333333334</v>
      </c>
      <c r="AW167">
        <f t="shared" si="14"/>
        <v>0</v>
      </c>
      <c r="AX167">
        <f>VLOOKUP($E167,Constants!$I:$K, 2, FALSE)</f>
        <v>1.1499999999999999</v>
      </c>
      <c r="AY167">
        <f>VLOOKUP($E167,Constants!$I:$K, 3, FALSE)*IF(AND(D167="multiple_unit",Y167&lt;110),0.75,1)</f>
        <v>1.7</v>
      </c>
      <c r="AZ167">
        <f>INT(((Constants!$G$2+$AR167+$AS167+$AT167+$AU167+$AW167)*$AV167)*$AY167)</f>
        <v>40</v>
      </c>
      <c r="BA167">
        <f>INT(((Constants!$G$1+$AQ167+$AS167+$AT167+$AU167+$AW167)*(1/$AV167))*$AX167)</f>
        <v>93</v>
      </c>
      <c r="BG167" t="str">
        <f>VLOOKUP(G167,Eras!$A$2:$C$10, 2, TRUE)</f>
        <v>edw</v>
      </c>
      <c r="BH167" t="s">
        <v>369</v>
      </c>
      <c r="BI167" t="str">
        <f>CONCATENATE(BG167,"_",BH167)</f>
        <v>edw_Mixed Traffic</v>
      </c>
      <c r="BJ167" t="s">
        <v>420</v>
      </c>
    </row>
    <row r="168" spans="1:62" x14ac:dyDescent="0.25">
      <c r="A168" t="s">
        <v>28</v>
      </c>
      <c r="B168" t="s">
        <v>185</v>
      </c>
      <c r="C168">
        <v>57</v>
      </c>
      <c r="D168" t="s">
        <v>304</v>
      </c>
      <c r="E168" t="s">
        <v>313</v>
      </c>
      <c r="F168" t="s">
        <v>316</v>
      </c>
      <c r="G168">
        <v>1911</v>
      </c>
      <c r="H168">
        <v>1926</v>
      </c>
      <c r="I168">
        <v>1960</v>
      </c>
      <c r="K168">
        <v>850</v>
      </c>
      <c r="M168" s="6">
        <v>20</v>
      </c>
      <c r="N168" s="6">
        <v>26</v>
      </c>
      <c r="O168" s="6">
        <v>2</v>
      </c>
      <c r="P168" s="6">
        <v>180</v>
      </c>
      <c r="Q168" s="7">
        <f>((($Y168/2)/60)*5280)/($R168*3.2*PI())</f>
        <v>128.72826279491534</v>
      </c>
      <c r="R168" s="6">
        <v>1.7</v>
      </c>
      <c r="S168" s="6">
        <f>((($M168*$M168/4)*PI())*($N168/12)*$O168*$P168*$Q168)/(33000*1.1)</f>
        <v>868.98395721925135</v>
      </c>
      <c r="T168">
        <v>87</v>
      </c>
      <c r="W168">
        <v>106</v>
      </c>
      <c r="X168" s="4">
        <f>IF(AND(T168&gt;0,W168&gt;0),(W168/((T168+U168)*10)),"")</f>
        <v>0.12183908045977011</v>
      </c>
      <c r="Y168">
        <v>50</v>
      </c>
      <c r="AA168">
        <v>13.1</v>
      </c>
      <c r="AB168">
        <v>13.1</v>
      </c>
      <c r="AE168" s="11">
        <v>0</v>
      </c>
      <c r="AF168" t="str">
        <f>CONCATENATE(VLOOKUP(AG168, 'Voxel Sizes'!$A$2:$B$18,2,FALSE),"x",INT(AC168*15), "x", INT(AD168*15))</f>
        <v>136x0x0</v>
      </c>
      <c r="AG168">
        <f>ROUND(15*((AB168*10)/256),0)</f>
        <v>8</v>
      </c>
      <c r="AI168" t="str">
        <f>CONCATENATE(VLOOKUP(AG168,Constants!$A$2:$C$16,IF(AH168&lt;&gt;"", 3, 2), FALSE),IF(AH168&lt;&gt;"",CONCATENATE(",",VLOOKUP(AH168,$B:$AI,34,FALSE)),""))</f>
        <v>2,4,2</v>
      </c>
      <c r="AO168">
        <v>1</v>
      </c>
      <c r="AP168">
        <v>42</v>
      </c>
      <c r="AS168">
        <f t="shared" si="10"/>
        <v>10</v>
      </c>
      <c r="AT168">
        <f t="shared" si="11"/>
        <v>4.25</v>
      </c>
      <c r="AU168">
        <f t="shared" si="12"/>
        <v>5.3000000000000007</v>
      </c>
      <c r="AV168" s="4">
        <f t="shared" si="13"/>
        <v>0.68500000000000005</v>
      </c>
      <c r="AW168">
        <f t="shared" si="14"/>
        <v>0</v>
      </c>
      <c r="AX168">
        <f>VLOOKUP($E168,Constants!$I:$K, 2, FALSE)</f>
        <v>1.1499999999999999</v>
      </c>
      <c r="AY168">
        <f>VLOOKUP($E168,Constants!$I:$K, 3, FALSE)*IF(AND(D168="multiple_unit",Y168&lt;110),0.75,1)</f>
        <v>1.7</v>
      </c>
      <c r="AZ168">
        <f>INT(((Constants!$G$2+$AR168+$AS168+$AT168+$AU168+$AW168)*$AV168)*$AY168)</f>
        <v>40</v>
      </c>
      <c r="BA168">
        <f>INT(((Constants!$G$1+$AQ168+$AS168+$AT168+$AU168+$AW168)*(1/$AV168))*$AX168)</f>
        <v>91</v>
      </c>
      <c r="BG168" t="str">
        <f>VLOOKUP(G168,Eras!$A$2:$C$10, 2, TRUE)</f>
        <v>edw</v>
      </c>
      <c r="BH168" t="s">
        <v>419</v>
      </c>
      <c r="BI168" t="str">
        <f>CONCATENATE(BG168,"_",BH168)</f>
        <v>edw_Passenger</v>
      </c>
      <c r="BJ168" t="s">
        <v>423</v>
      </c>
    </row>
    <row r="169" spans="1:62" x14ac:dyDescent="0.25">
      <c r="A169" t="s">
        <v>29</v>
      </c>
      <c r="B169" t="s">
        <v>427</v>
      </c>
      <c r="C169">
        <v>59</v>
      </c>
      <c r="D169" t="s">
        <v>304</v>
      </c>
      <c r="E169" t="s">
        <v>313</v>
      </c>
      <c r="F169" t="s">
        <v>316</v>
      </c>
      <c r="G169">
        <v>1911</v>
      </c>
      <c r="H169">
        <v>1914</v>
      </c>
      <c r="I169">
        <v>1966</v>
      </c>
      <c r="K169">
        <v>1250</v>
      </c>
      <c r="M169" s="6">
        <v>21</v>
      </c>
      <c r="N169" s="6">
        <v>26</v>
      </c>
      <c r="O169" s="6">
        <v>2</v>
      </c>
      <c r="P169" s="6">
        <v>180</v>
      </c>
      <c r="Q169" s="7">
        <f>((($Y169/2)/60)*5280)/($R169*3.2*PI())</f>
        <v>123.28904042329923</v>
      </c>
      <c r="R169" s="6">
        <v>1.42</v>
      </c>
      <c r="S169" s="6">
        <f>((($M169*$M169/4)*PI())*($N169/12)*$O169*$P169*$Q169)/(33000*1.1)</f>
        <v>917.57362355953899</v>
      </c>
      <c r="T169">
        <v>75</v>
      </c>
      <c r="U169" s="9">
        <v>42</v>
      </c>
      <c r="W169">
        <v>139</v>
      </c>
      <c r="X169" s="4">
        <f>IF(AND(T169&gt;0,W169&gt;0),(W169/((T169+U169)*10)),"")</f>
        <v>0.1188034188034188</v>
      </c>
      <c r="Y169">
        <v>40</v>
      </c>
      <c r="AA169">
        <v>18.809999999999999</v>
      </c>
      <c r="AB169">
        <v>11.31</v>
      </c>
      <c r="AE169" s="11">
        <v>0</v>
      </c>
      <c r="AF169" t="str">
        <f>CONCATENATE(VLOOKUP(AG169, 'Voxel Sizes'!$A$2:$B$18,2,FALSE),"x",INT(AC169*15), "x", INT(AD169*15))</f>
        <v>120x0x0</v>
      </c>
      <c r="AG169">
        <f>ROUND(15*((AB169*10)/256),0)</f>
        <v>7</v>
      </c>
      <c r="AH169" t="s">
        <v>351</v>
      </c>
      <c r="AI169" t="str">
        <f>CONCATENATE(VLOOKUP(AG169,Constants!$A$2:$C$16,IF(AH169&lt;&gt;"", 3, 2), FALSE),IF(AH169&lt;&gt;"",CONCATENATE(",",VLOOKUP(AH169,$B:$AI,34,FALSE)),""))</f>
        <v>2,3,2,2,1,2</v>
      </c>
      <c r="AO169">
        <v>1</v>
      </c>
      <c r="AP169">
        <v>44</v>
      </c>
      <c r="AS169">
        <f t="shared" si="10"/>
        <v>8</v>
      </c>
      <c r="AT169">
        <f t="shared" si="11"/>
        <v>6.25</v>
      </c>
      <c r="AU169">
        <f t="shared" si="12"/>
        <v>6.9499999999999993</v>
      </c>
      <c r="AV169" s="4">
        <f t="shared" si="13"/>
        <v>0.68500000000000005</v>
      </c>
      <c r="AW169">
        <f t="shared" si="14"/>
        <v>0</v>
      </c>
      <c r="AX169">
        <f>VLOOKUP($E169,Constants!$I:$K, 2, FALSE)</f>
        <v>1.1499999999999999</v>
      </c>
      <c r="AY169">
        <f>VLOOKUP($E169,Constants!$I:$K, 3, FALSE)*IF(AND(D169="multiple_unit",Y169&lt;110),0.75,1)</f>
        <v>1.7</v>
      </c>
      <c r="AZ169">
        <f>INT(((Constants!$G$2+$AR169+$AS169+$AT169+$AU169+$AW169)*$AV169)*$AY169)</f>
        <v>42</v>
      </c>
      <c r="BA169">
        <f>INT(((Constants!$G$1+$AQ169+$AS169+$AT169+$AU169+$AW169)*(1/$AV169))*$AX169)</f>
        <v>94</v>
      </c>
      <c r="BG169" t="str">
        <f>VLOOKUP(G169,Eras!$A$2:$C$10, 2, TRUE)</f>
        <v>edw</v>
      </c>
      <c r="BH169" t="s">
        <v>371</v>
      </c>
      <c r="BI169" t="str">
        <f>CONCATENATE(BG169,"_",BH169)</f>
        <v>edw_Freight</v>
      </c>
      <c r="BJ169" t="s">
        <v>428</v>
      </c>
    </row>
    <row r="170" spans="1:62" x14ac:dyDescent="0.25">
      <c r="A170" t="s">
        <v>434</v>
      </c>
      <c r="B170" t="s">
        <v>439</v>
      </c>
      <c r="C170">
        <v>61</v>
      </c>
      <c r="D170" t="s">
        <v>304</v>
      </c>
      <c r="E170" t="s">
        <v>313</v>
      </c>
      <c r="F170" t="s">
        <v>316</v>
      </c>
      <c r="G170">
        <v>1912</v>
      </c>
      <c r="I170">
        <v>1962</v>
      </c>
      <c r="K170">
        <v>1050</v>
      </c>
      <c r="M170" s="6">
        <v>20</v>
      </c>
      <c r="N170" s="6">
        <v>26</v>
      </c>
      <c r="O170" s="6">
        <v>2</v>
      </c>
      <c r="P170" s="6">
        <v>180</v>
      </c>
      <c r="Q170" s="7">
        <f>((($Y170/2)/60)*5280)/($R170*3.2*PI())</f>
        <v>115.85543651542379</v>
      </c>
      <c r="R170" s="6">
        <v>1.7</v>
      </c>
      <c r="S170" s="6">
        <f>((($M170*$M170/4)*PI())*($N170/12)*$O170*$P170*$Q170)/(33000*1.1)</f>
        <v>782.08556149732613</v>
      </c>
      <c r="T170">
        <v>61</v>
      </c>
      <c r="W170">
        <v>104</v>
      </c>
      <c r="X170" s="4">
        <f>IF(AND(T170&gt;0,W170&gt;0),(W170/((T170+U170)*10)),"")</f>
        <v>0.17049180327868851</v>
      </c>
      <c r="Y170">
        <v>45</v>
      </c>
      <c r="AA170">
        <v>14.4</v>
      </c>
      <c r="AB170">
        <v>10</v>
      </c>
      <c r="AE170" s="11">
        <v>0</v>
      </c>
      <c r="AF170" t="str">
        <f>CONCATENATE(VLOOKUP(AG170, 'Voxel Sizes'!$A$2:$B$18,2,FALSE),"x",INT(AC170*15), "x", INT(AD170*15))</f>
        <v>102x0x0</v>
      </c>
      <c r="AG170">
        <f>ROUND(15*((AB170*10)/256),0)</f>
        <v>6</v>
      </c>
      <c r="AH170" t="s">
        <v>441</v>
      </c>
      <c r="AI170" t="str">
        <f>CONCATENATE(VLOOKUP(AG170,Constants!$A$2:$C$16,IF(AH170&lt;&gt;"", 3, 2), FALSE),IF(AH170&lt;&gt;"",CONCATENATE(",",VLOOKUP(AH170,$B:$AI,34,FALSE)),""))</f>
        <v>2,2,2,2,1,2</v>
      </c>
      <c r="AO170">
        <v>1</v>
      </c>
      <c r="AP170">
        <v>40</v>
      </c>
      <c r="AS170">
        <f t="shared" si="10"/>
        <v>9</v>
      </c>
      <c r="AT170">
        <f t="shared" si="11"/>
        <v>5.25</v>
      </c>
      <c r="AU170">
        <f t="shared" si="12"/>
        <v>5.2</v>
      </c>
      <c r="AV170" s="4">
        <f t="shared" si="13"/>
        <v>0.68666666666666665</v>
      </c>
      <c r="AW170">
        <f t="shared" si="14"/>
        <v>0</v>
      </c>
      <c r="AX170">
        <f>VLOOKUP($E170,Constants!$I:$K, 2, FALSE)</f>
        <v>1.1499999999999999</v>
      </c>
      <c r="AY170">
        <f>VLOOKUP($E170,Constants!$I:$K, 3, FALSE)*IF(AND(D170="multiple_unit",Y170&lt;110),0.75,1)</f>
        <v>1.7</v>
      </c>
      <c r="AZ170">
        <f>INT(((Constants!$G$2+$AR170+$AS170+$AT170+$AU170+$AW170)*$AV170)*$AY170)</f>
        <v>40</v>
      </c>
      <c r="BA170">
        <f>INT(((Constants!$G$1+$AQ170+$AS170+$AT170+$AU170+$AW170)*(1/$AV170))*$AX170)</f>
        <v>91</v>
      </c>
      <c r="BG170" t="str">
        <f>VLOOKUP(G170,Eras!$A$2:$C$10, 2, TRUE)</f>
        <v>edw</v>
      </c>
      <c r="BH170" t="s">
        <v>371</v>
      </c>
      <c r="BI170" t="str">
        <f>CONCATENATE(BG170,"_",BH170)</f>
        <v>edw_Freight</v>
      </c>
      <c r="BJ170" t="s">
        <v>433</v>
      </c>
    </row>
    <row r="171" spans="1:62" x14ac:dyDescent="0.25">
      <c r="A171" t="s">
        <v>67</v>
      </c>
      <c r="B171" t="s">
        <v>186</v>
      </c>
      <c r="C171">
        <v>63</v>
      </c>
      <c r="D171" t="s">
        <v>304</v>
      </c>
      <c r="E171" t="s">
        <v>338</v>
      </c>
      <c r="F171" t="s">
        <v>316</v>
      </c>
      <c r="G171">
        <v>1914</v>
      </c>
      <c r="H171">
        <v>1919</v>
      </c>
      <c r="I171">
        <v>1950</v>
      </c>
      <c r="K171">
        <v>1100</v>
      </c>
      <c r="T171">
        <v>76</v>
      </c>
      <c r="W171">
        <v>140</v>
      </c>
      <c r="X171" s="4">
        <f>IF(AND(T171&gt;0,W171&gt;0),(W171/((T171+U171)*10)),"")</f>
        <v>0.18421052631578946</v>
      </c>
      <c r="Y171">
        <v>35</v>
      </c>
      <c r="AA171">
        <v>12</v>
      </c>
      <c r="AB171">
        <v>12</v>
      </c>
      <c r="AE171" s="11">
        <v>0</v>
      </c>
      <c r="AF171" t="str">
        <f>CONCATENATE(VLOOKUP(AG171, 'Voxel Sizes'!$A$2:$B$18,2,FALSE),"x",INT(AC171*15), "x", INT(AD171*15))</f>
        <v>120x0x0</v>
      </c>
      <c r="AG171">
        <f>ROUND(15*((AB171*10)/256),0)</f>
        <v>7</v>
      </c>
      <c r="AI171" t="str">
        <f>CONCATENATE(VLOOKUP(AG171,Constants!$A$2:$C$16,IF(AH171&lt;&gt;"", 3, 2), FALSE),IF(AH171&lt;&gt;"",CONCATENATE(",",VLOOKUP(AH171,$B:$AI,34,FALSE)),""))</f>
        <v>2,3,2</v>
      </c>
      <c r="AP171">
        <v>26</v>
      </c>
      <c r="AS171">
        <f t="shared" si="10"/>
        <v>7</v>
      </c>
      <c r="AT171">
        <f t="shared" si="11"/>
        <v>5.5</v>
      </c>
      <c r="AU171">
        <f t="shared" si="12"/>
        <v>7</v>
      </c>
      <c r="AV171" s="4">
        <f t="shared" si="13"/>
        <v>0.69</v>
      </c>
      <c r="AW171">
        <f t="shared" si="14"/>
        <v>0</v>
      </c>
      <c r="AX171">
        <f>VLOOKUP($E171,Constants!$I:$K, 2, FALSE)</f>
        <v>0.85</v>
      </c>
      <c r="AY171">
        <f>VLOOKUP($E171,Constants!$I:$K, 3, FALSE)*IF(AND(D171="multiple_unit",Y171&lt;110),0.75,1)</f>
        <v>2.2999999999999998</v>
      </c>
      <c r="AZ171">
        <f>INT(((Constants!$G$2+$AR171+$AS171+$AT171+$AU171+$AW171)*$AV171)*$AY171)</f>
        <v>54</v>
      </c>
      <c r="BA171">
        <f>INT(((Constants!$G$1+$AQ171+$AS171+$AT171+$AU171+$AW171)*(1/$AV171))*$AX171)</f>
        <v>67</v>
      </c>
      <c r="BG171" t="str">
        <f>VLOOKUP(G171,Eras!$A$2:$C$10, 2, TRUE)</f>
        <v>edw</v>
      </c>
      <c r="BH171" t="s">
        <v>381</v>
      </c>
      <c r="BI171" t="str">
        <f>CONCATENATE(BG171,"_",BH171)</f>
        <v>edw_Freight (Electric)</v>
      </c>
      <c r="BJ171" t="s">
        <v>442</v>
      </c>
    </row>
    <row r="172" spans="1:62" x14ac:dyDescent="0.25">
      <c r="A172" t="s">
        <v>11</v>
      </c>
      <c r="B172" t="s">
        <v>189</v>
      </c>
      <c r="C172">
        <v>73</v>
      </c>
      <c r="D172" t="s">
        <v>304</v>
      </c>
      <c r="E172" t="s">
        <v>313</v>
      </c>
      <c r="F172" t="s">
        <v>316</v>
      </c>
      <c r="G172">
        <v>1923</v>
      </c>
      <c r="I172">
        <v>1966</v>
      </c>
      <c r="K172">
        <v>950</v>
      </c>
      <c r="M172" s="6">
        <v>20</v>
      </c>
      <c r="N172" s="6">
        <v>26</v>
      </c>
      <c r="O172" s="6">
        <v>2</v>
      </c>
      <c r="P172" s="6">
        <v>175</v>
      </c>
      <c r="Q172" s="7">
        <f>((($Y172/2)/60)*5280)/($R172*3.2*PI())</f>
        <v>150.4511571415573</v>
      </c>
      <c r="R172" s="6">
        <v>1.6</v>
      </c>
      <c r="S172" s="6">
        <f>((($M172*$M172/4)*PI())*($N172/12)*$O172*$P172*$Q172)/(33000*1.1)</f>
        <v>987.41319444444446</v>
      </c>
      <c r="T172">
        <f>49.5+41.8</f>
        <v>91.3</v>
      </c>
      <c r="W172">
        <v>109</v>
      </c>
      <c r="X172" s="4">
        <f>IF(AND(T172&gt;0,W172&gt;0),(W172/((T172+U172)*10)),"")</f>
        <v>0.11938663745892661</v>
      </c>
      <c r="Y172">
        <v>55</v>
      </c>
      <c r="AA172">
        <v>15.8</v>
      </c>
      <c r="AB172">
        <v>10</v>
      </c>
      <c r="AE172" s="11">
        <v>0</v>
      </c>
      <c r="AF172" t="str">
        <f>CONCATENATE(VLOOKUP(AG172, 'Voxel Sizes'!$A$2:$B$18,2,FALSE),"x",INT(AC172*15), "x", INT(AD172*15))</f>
        <v>102x0x0</v>
      </c>
      <c r="AG172">
        <f>ROUND(15*((AB172*10)/256),0)</f>
        <v>6</v>
      </c>
      <c r="AH172" t="s">
        <v>351</v>
      </c>
      <c r="AI172" t="str">
        <f>CONCATENATE(VLOOKUP(AG172,Constants!$A$2:$C$16,IF(AH172&lt;&gt;"", 3, 2), FALSE),IF(AH172&lt;&gt;"",CONCATENATE(",",VLOOKUP(AH172,$B:$AI,34,FALSE)),""))</f>
        <v>2,2,2,2,1,2</v>
      </c>
      <c r="AO172">
        <v>1</v>
      </c>
      <c r="AP172">
        <v>46</v>
      </c>
      <c r="AS172">
        <f t="shared" si="10"/>
        <v>11</v>
      </c>
      <c r="AT172">
        <f t="shared" si="11"/>
        <v>4.75</v>
      </c>
      <c r="AU172">
        <f t="shared" si="12"/>
        <v>5.45</v>
      </c>
      <c r="AV172" s="4">
        <f t="shared" si="13"/>
        <v>0.70499999999999996</v>
      </c>
      <c r="AW172">
        <f t="shared" si="14"/>
        <v>0</v>
      </c>
      <c r="AX172">
        <f>VLOOKUP($E172,Constants!$I:$K, 2, FALSE)</f>
        <v>1.1499999999999999</v>
      </c>
      <c r="AY172">
        <f>VLOOKUP($E172,Constants!$I:$K, 3, FALSE)*IF(AND(D172="multiple_unit",Y172&lt;110),0.75,1)</f>
        <v>1.7</v>
      </c>
      <c r="AZ172">
        <f>INT(((Constants!$G$2+$AR172+$AS172+$AT172+$AU172+$AW172)*$AV172)*$AY172)</f>
        <v>43</v>
      </c>
      <c r="BA172">
        <f>INT(((Constants!$G$1+$AQ172+$AS172+$AT172+$AU172+$AW172)*(1/$AV172))*$AX172)</f>
        <v>91</v>
      </c>
      <c r="BG172" t="str">
        <f>VLOOKUP(G172,Eras!$A$2:$C$10, 2, TRUE)</f>
        <v>big4</v>
      </c>
      <c r="BH172" t="s">
        <v>369</v>
      </c>
      <c r="BI172" t="str">
        <f>CONCATENATE(BG172,"_",BH172)</f>
        <v>big4_Mixed Traffic</v>
      </c>
      <c r="BJ172" t="s">
        <v>468</v>
      </c>
    </row>
    <row r="173" spans="1:62" x14ac:dyDescent="0.25">
      <c r="A173" t="s">
        <v>469</v>
      </c>
      <c r="B173" t="s">
        <v>470</v>
      </c>
      <c r="C173">
        <v>75</v>
      </c>
      <c r="D173" t="s">
        <v>304</v>
      </c>
      <c r="E173" t="s">
        <v>313</v>
      </c>
      <c r="F173" t="s">
        <v>316</v>
      </c>
      <c r="G173">
        <v>1923</v>
      </c>
      <c r="H173">
        <v>1950</v>
      </c>
      <c r="I173">
        <v>1950</v>
      </c>
      <c r="K173">
        <v>1900</v>
      </c>
      <c r="M173" s="6">
        <v>16</v>
      </c>
      <c r="N173" s="6">
        <v>26</v>
      </c>
      <c r="O173" s="6">
        <v>4</v>
      </c>
      <c r="P173" s="6">
        <v>225</v>
      </c>
      <c r="Q173" s="7">
        <f>((($Y173/2)/60)*5280)/($R173*3.2*PI())</f>
        <v>223.21480768638321</v>
      </c>
      <c r="R173" s="6">
        <v>2</v>
      </c>
      <c r="S173" s="6">
        <f>((($M173*$M173/4)*PI())*($N173/12)*$O173*$P173*$Q173)/(33000*1.1)</f>
        <v>2410.9090909090905</v>
      </c>
      <c r="T173">
        <v>81.099999999999994</v>
      </c>
      <c r="U173" s="9">
        <v>48</v>
      </c>
      <c r="W173">
        <v>141</v>
      </c>
      <c r="X173" s="4">
        <f>IF(AND(T173&gt;0,W173&gt;0),(W173/((T173+U173)*10)),"")</f>
        <v>0.10921766072811774</v>
      </c>
      <c r="Y173">
        <v>102</v>
      </c>
      <c r="Z173">
        <v>1</v>
      </c>
      <c r="AA173">
        <v>19.86</v>
      </c>
      <c r="AB173">
        <f>AA173-7.64</f>
        <v>12.219999999999999</v>
      </c>
      <c r="AD173">
        <v>4.07</v>
      </c>
      <c r="AE173" s="11">
        <v>0</v>
      </c>
      <c r="AF173" t="str">
        <f>CONCATENATE(VLOOKUP(AG173, 'Voxel Sizes'!$A$2:$B$18,2,FALSE),"x",INT(AC173*15), "x", INT(AD173*15))</f>
        <v>120x0x61</v>
      </c>
      <c r="AG173">
        <f>ROUND(15*((AB173*10)/256),0)</f>
        <v>7</v>
      </c>
      <c r="AH173" t="s">
        <v>472</v>
      </c>
      <c r="AI173" t="str">
        <f>CONCATENATE(VLOOKUP(AG173,Constants!$A$2:$C$16,IF(AH173&lt;&gt;"", 3, 2), FALSE),IF(AH173&lt;&gt;"",CONCATENATE(",",VLOOKUP(AH173,$B:$AI,34,FALSE)),""))</f>
        <v>2,3,2,2,1,2</v>
      </c>
      <c r="AO173">
        <v>1</v>
      </c>
      <c r="AP173">
        <v>40</v>
      </c>
      <c r="AS173">
        <f t="shared" si="10"/>
        <v>20.400000000000002</v>
      </c>
      <c r="AT173">
        <f t="shared" si="11"/>
        <v>9.5</v>
      </c>
      <c r="AU173">
        <f t="shared" si="12"/>
        <v>7.05</v>
      </c>
      <c r="AV173" s="4">
        <f t="shared" si="13"/>
        <v>0.70499999999999996</v>
      </c>
      <c r="AW173">
        <f t="shared" si="14"/>
        <v>0</v>
      </c>
      <c r="AX173">
        <f>VLOOKUP($E173,Constants!$I:$K, 2, FALSE)</f>
        <v>1.1499999999999999</v>
      </c>
      <c r="AY173">
        <f>VLOOKUP($E173,Constants!$I:$K, 3, FALSE)*IF(AND(D173="multiple_unit",Y173&lt;110),0.75,1)</f>
        <v>1.7</v>
      </c>
      <c r="AZ173">
        <f>INT(((Constants!$G$2+$AR173+$AS173+$AT173+$AU173+$AW173)*$AV173)*$AY173)</f>
        <v>62</v>
      </c>
      <c r="BA173">
        <f>INT(((Constants!$G$1+$AQ173+$AS173+$AT173+$AU173+$AW173)*(1/$AV173))*$AX173)</f>
        <v>117</v>
      </c>
      <c r="BG173" t="str">
        <f>VLOOKUP(G173,Eras!$A$2:$C$10, 2, TRUE)</f>
        <v>big4</v>
      </c>
      <c r="BH173" t="s">
        <v>370</v>
      </c>
      <c r="BI173" t="str">
        <f>CONCATENATE(BG173,"_",BH173)</f>
        <v>big4_Express</v>
      </c>
      <c r="BJ173" t="s">
        <v>473</v>
      </c>
    </row>
    <row r="174" spans="1:62" x14ac:dyDescent="0.25">
      <c r="A174" t="s">
        <v>10</v>
      </c>
      <c r="B174" t="s">
        <v>190</v>
      </c>
      <c r="C174">
        <v>77</v>
      </c>
      <c r="D174" t="s">
        <v>304</v>
      </c>
      <c r="E174" t="s">
        <v>313</v>
      </c>
      <c r="F174" t="s">
        <v>316</v>
      </c>
      <c r="G174">
        <v>1924</v>
      </c>
      <c r="I174">
        <v>1967</v>
      </c>
      <c r="K174">
        <v>650</v>
      </c>
      <c r="M174" s="6">
        <v>18</v>
      </c>
      <c r="N174" s="6">
        <v>26</v>
      </c>
      <c r="O174" s="6">
        <v>2</v>
      </c>
      <c r="P174" s="6">
        <v>160</v>
      </c>
      <c r="Q174" s="7">
        <f>((($Y174/2)/60)*5280)/($R174*3.2*PI())</f>
        <v>140.68160148301465</v>
      </c>
      <c r="R174" s="6">
        <v>1.4</v>
      </c>
      <c r="S174" s="6">
        <f>((($M174*$M174/4)*PI())*($N174/12)*$O174*$P174*$Q174)/(33000*1.1)</f>
        <v>683.76623376623365</v>
      </c>
      <c r="T174">
        <v>50.2</v>
      </c>
      <c r="W174">
        <v>93</v>
      </c>
      <c r="X174" s="4">
        <f>IF(AND(T174&gt;0,W174&gt;0),(W174/((T174+U174)*10)),"")</f>
        <v>0.1852589641434263</v>
      </c>
      <c r="Y174">
        <v>45</v>
      </c>
      <c r="AA174">
        <v>9.57</v>
      </c>
      <c r="AB174">
        <v>9.57</v>
      </c>
      <c r="AE174" s="11">
        <v>0</v>
      </c>
      <c r="AF174" t="str">
        <f>CONCATENATE(VLOOKUP(AG174, 'Voxel Sizes'!$A$2:$B$18,2,FALSE),"x",INT(AC174*15), "x", INT(AD174*15))</f>
        <v>102x0x0</v>
      </c>
      <c r="AG174">
        <f>ROUND(15*((AB174*10)/256),0)</f>
        <v>6</v>
      </c>
      <c r="AI174" t="str">
        <f>CONCATENATE(VLOOKUP(AG174,Constants!$A$2:$C$16,IF(AH174&lt;&gt;"", 3, 2), FALSE),IF(AH174&lt;&gt;"",CONCATENATE(",",VLOOKUP(AH174,$B:$AI,34,FALSE)),""))</f>
        <v>2,2,2</v>
      </c>
      <c r="AO174">
        <v>1</v>
      </c>
      <c r="AP174">
        <v>58</v>
      </c>
      <c r="AS174">
        <f t="shared" si="10"/>
        <v>9</v>
      </c>
      <c r="AT174">
        <f t="shared" si="11"/>
        <v>3.25</v>
      </c>
      <c r="AU174">
        <f t="shared" si="12"/>
        <v>4.6500000000000004</v>
      </c>
      <c r="AV174" s="4">
        <f t="shared" si="13"/>
        <v>0.70666666666666667</v>
      </c>
      <c r="AW174">
        <f t="shared" si="14"/>
        <v>0</v>
      </c>
      <c r="AX174">
        <f>VLOOKUP($E174,Constants!$I:$K, 2, FALSE)</f>
        <v>1.1499999999999999</v>
      </c>
      <c r="AY174">
        <f>VLOOKUP($E174,Constants!$I:$K, 3, FALSE)*IF(AND(D174="multiple_unit",Y174&lt;110),0.75,1)</f>
        <v>1.7</v>
      </c>
      <c r="AZ174">
        <f>INT(((Constants!$G$2+$AR174+$AS174+$AT174+$AU174+$AW174)*$AV174)*$AY174)</f>
        <v>38</v>
      </c>
      <c r="BA174">
        <f>INT(((Constants!$G$1+$AQ174+$AS174+$AT174+$AU174+$AW174)*(1/$AV174))*$AX174)</f>
        <v>84</v>
      </c>
      <c r="BG174" t="str">
        <f>VLOOKUP(G174,Eras!$A$2:$C$10, 2, TRUE)</f>
        <v>big4</v>
      </c>
      <c r="BH174" t="s">
        <v>368</v>
      </c>
      <c r="BI174" t="str">
        <f>CONCATENATE(BG174,"_",BH174)</f>
        <v>big4_Cheap</v>
      </c>
      <c r="BJ174" t="s">
        <v>393</v>
      </c>
    </row>
    <row r="175" spans="1:62" x14ac:dyDescent="0.25">
      <c r="A175" t="s">
        <v>21</v>
      </c>
      <c r="B175" t="s">
        <v>191</v>
      </c>
      <c r="C175">
        <v>79</v>
      </c>
      <c r="D175" t="s">
        <v>304</v>
      </c>
      <c r="E175" t="s">
        <v>313</v>
      </c>
      <c r="F175" t="s">
        <v>316</v>
      </c>
      <c r="G175">
        <v>1924</v>
      </c>
      <c r="H175">
        <v>1928</v>
      </c>
      <c r="I175">
        <v>1965</v>
      </c>
      <c r="K175">
        <v>900</v>
      </c>
      <c r="T175">
        <v>62</v>
      </c>
      <c r="W175">
        <v>115</v>
      </c>
      <c r="X175" s="4">
        <f>IF(AND(T175&gt;0,W175&gt;0),(W175/((T175+U175)*10)),"")</f>
        <v>0.18548387096774194</v>
      </c>
      <c r="Y175">
        <v>50</v>
      </c>
      <c r="AA175">
        <v>11.43</v>
      </c>
      <c r="AB175">
        <v>11.43</v>
      </c>
      <c r="AE175" s="11">
        <v>0</v>
      </c>
      <c r="AF175" t="str">
        <f>CONCATENATE(VLOOKUP(AG175, 'Voxel Sizes'!$A$2:$B$18,2,FALSE),"x",INT(AC175*15), "x", INT(AD175*15))</f>
        <v>120x0x0</v>
      </c>
      <c r="AG175">
        <f>ROUND(15*((AB175*10)/256),0)</f>
        <v>7</v>
      </c>
      <c r="AI175" t="str">
        <f>CONCATENATE(VLOOKUP(AG175,Constants!$A$2:$C$16,IF(AH175&lt;&gt;"", 3, 2), FALSE),IF(AH175&lt;&gt;"",CONCATENATE(",",VLOOKUP(AH175,$B:$AI,34,FALSE)),""))</f>
        <v>2,3,2</v>
      </c>
      <c r="AO175">
        <v>1</v>
      </c>
      <c r="AP175">
        <v>43</v>
      </c>
      <c r="AS175">
        <f t="shared" si="10"/>
        <v>10</v>
      </c>
      <c r="AT175">
        <f t="shared" si="11"/>
        <v>4.5</v>
      </c>
      <c r="AU175">
        <f t="shared" si="12"/>
        <v>5.75</v>
      </c>
      <c r="AV175" s="4">
        <f t="shared" si="13"/>
        <v>0.70666666666666667</v>
      </c>
      <c r="AW175">
        <f t="shared" si="14"/>
        <v>0</v>
      </c>
      <c r="AX175">
        <f>VLOOKUP($E175,Constants!$I:$K, 2, FALSE)</f>
        <v>1.1499999999999999</v>
      </c>
      <c r="AY175">
        <f>VLOOKUP($E175,Constants!$I:$K, 3, FALSE)*IF(AND(D175="multiple_unit",Y175&lt;110),0.75,1)</f>
        <v>1.7</v>
      </c>
      <c r="AZ175">
        <f>INT(((Constants!$G$2+$AR175+$AS175+$AT175+$AU175+$AW175)*$AV175)*$AY175)</f>
        <v>42</v>
      </c>
      <c r="BA175">
        <f>INT(((Constants!$G$1+$AQ175+$AS175+$AT175+$AU175+$AW175)*(1/$AV175))*$AX175)</f>
        <v>89</v>
      </c>
      <c r="BG175" t="str">
        <f>VLOOKUP(G175,Eras!$A$2:$C$10, 2, TRUE)</f>
        <v>big4</v>
      </c>
      <c r="BH175" t="s">
        <v>369</v>
      </c>
      <c r="BI175" t="str">
        <f>CONCATENATE(BG175,"_",BH175)</f>
        <v>big4_Mixed Traffic</v>
      </c>
      <c r="BJ175" t="s">
        <v>394</v>
      </c>
    </row>
    <row r="176" spans="1:62" x14ac:dyDescent="0.25">
      <c r="A176" t="s">
        <v>31</v>
      </c>
      <c r="B176" t="s">
        <v>337</v>
      </c>
      <c r="C176">
        <v>81</v>
      </c>
      <c r="D176" t="s">
        <v>304</v>
      </c>
      <c r="E176" t="s">
        <v>313</v>
      </c>
      <c r="F176" t="s">
        <v>316</v>
      </c>
      <c r="G176">
        <v>1926</v>
      </c>
      <c r="H176">
        <v>1932</v>
      </c>
      <c r="I176">
        <v>1967</v>
      </c>
      <c r="K176">
        <v>1400</v>
      </c>
      <c r="M176" s="6">
        <v>21</v>
      </c>
      <c r="N176" s="6">
        <v>26</v>
      </c>
      <c r="O176" s="6">
        <v>2</v>
      </c>
      <c r="P176" s="6">
        <v>180</v>
      </c>
      <c r="Q176" s="7">
        <f>((($Y176/2)/60)*5280)/($R176*3.2*PI())</f>
        <v>191.48329090743655</v>
      </c>
      <c r="R176" s="6">
        <v>1.6</v>
      </c>
      <c r="S176" s="6">
        <f>((($M176*$M176/4)*PI())*($N176/12)*$O176*$P176*$Q176)/(33000*1.1)</f>
        <v>1425.1065340909088</v>
      </c>
      <c r="T176">
        <v>67</v>
      </c>
      <c r="U176" s="9">
        <v>46</v>
      </c>
      <c r="W176">
        <v>118</v>
      </c>
      <c r="X176" s="4">
        <f>IF(AND(T176&gt;0,W176&gt;0),(W176/((T176+U176)*10)),"")</f>
        <v>0.10442477876106195</v>
      </c>
      <c r="Y176">
        <v>70</v>
      </c>
      <c r="AA176">
        <v>10.44</v>
      </c>
      <c r="AB176">
        <v>10.44</v>
      </c>
      <c r="AE176" s="11">
        <v>0</v>
      </c>
      <c r="AF176" t="str">
        <f>CONCATENATE(VLOOKUP(AG176, 'Voxel Sizes'!$A$2:$B$18,2,FALSE),"x",INT(AC176*15), "x", INT(AD176*15))</f>
        <v>102x0x0</v>
      </c>
      <c r="AG176">
        <f>ROUND(15*((AB176*10)/256),0)</f>
        <v>6</v>
      </c>
      <c r="AH176" t="s">
        <v>331</v>
      </c>
      <c r="AI176" t="str">
        <f>CONCATENATE(VLOOKUP(AG176,Constants!$A$2:$C$16,IF(AH176&lt;&gt;"", 3, 2), FALSE),IF(AH176&lt;&gt;"",CONCATENATE(",",VLOOKUP(AH176,$B:$AI,34,FALSE)),""))</f>
        <v>2,2,2,2,1,2</v>
      </c>
      <c r="AO176">
        <v>1</v>
      </c>
      <c r="AP176">
        <v>38</v>
      </c>
      <c r="AS176">
        <f t="shared" si="10"/>
        <v>14</v>
      </c>
      <c r="AT176">
        <f t="shared" si="11"/>
        <v>7</v>
      </c>
      <c r="AU176">
        <f t="shared" si="12"/>
        <v>5.8999999999999995</v>
      </c>
      <c r="AV176" s="4">
        <f t="shared" si="13"/>
        <v>0.71</v>
      </c>
      <c r="AW176">
        <f t="shared" si="14"/>
        <v>0</v>
      </c>
      <c r="AX176">
        <f>VLOOKUP($E176,Constants!$I:$K, 2, FALSE)</f>
        <v>1.1499999999999999</v>
      </c>
      <c r="AY176">
        <f>VLOOKUP($E176,Constants!$I:$K, 3, FALSE)*IF(AND(D176="multiple_unit",Y176&lt;110),0.75,1)</f>
        <v>1.7</v>
      </c>
      <c r="AZ176">
        <f>INT(((Constants!$G$2+$AR176+$AS176+$AT176+$AU176+$AW176)*$AV176)*$AY176)</f>
        <v>50</v>
      </c>
      <c r="BA176">
        <f>INT(((Constants!$G$1+$AQ176+$AS176+$AT176+$AU176+$AW176)*(1/$AV176))*$AX176)</f>
        <v>100</v>
      </c>
      <c r="BG176" t="str">
        <f>VLOOKUP(G176,Eras!$A$2:$C$10, 2, TRUE)</f>
        <v>big4</v>
      </c>
      <c r="BH176" t="s">
        <v>370</v>
      </c>
      <c r="BI176" t="str">
        <f>CONCATENATE(BG176,"_",BH176)</f>
        <v>big4_Express</v>
      </c>
      <c r="BJ176" t="s">
        <v>395</v>
      </c>
    </row>
    <row r="177" spans="1:62" x14ac:dyDescent="0.25">
      <c r="A177" t="s">
        <v>148</v>
      </c>
      <c r="B177" t="s">
        <v>475</v>
      </c>
      <c r="C177">
        <v>83</v>
      </c>
      <c r="D177" t="s">
        <v>304</v>
      </c>
      <c r="E177" t="s">
        <v>313</v>
      </c>
      <c r="F177" t="s">
        <v>316</v>
      </c>
      <c r="G177">
        <v>1927</v>
      </c>
      <c r="I177">
        <v>1961</v>
      </c>
      <c r="K177">
        <v>1200</v>
      </c>
      <c r="M177" s="6">
        <v>17</v>
      </c>
      <c r="N177" s="6">
        <v>26</v>
      </c>
      <c r="O177" s="6">
        <v>3</v>
      </c>
      <c r="P177" s="6">
        <v>180</v>
      </c>
      <c r="Q177" s="7">
        <f>((($Y177/2)/60)*5280)/($R177*3.2*PI())</f>
        <v>164.12853506351706</v>
      </c>
      <c r="R177" s="6">
        <v>2</v>
      </c>
      <c r="S177" s="6">
        <f>((($M177*$M177/4)*PI())*($N177/12)*$O177*$P177*$Q177)/(33000*1.1)</f>
        <v>1200.7457386363637</v>
      </c>
      <c r="T177">
        <v>66</v>
      </c>
      <c r="U177" s="9">
        <v>53</v>
      </c>
      <c r="W177">
        <v>96</v>
      </c>
      <c r="X177" s="4">
        <f>IF(AND(T177&gt;0,W177&gt;0),(W177/((T177+U177)*10)),"")</f>
        <v>8.067226890756303E-2</v>
      </c>
      <c r="Y177">
        <v>75</v>
      </c>
      <c r="AA177">
        <v>17.899999999999999</v>
      </c>
      <c r="AB177">
        <f>AA177-7.5</f>
        <v>10.399999999999999</v>
      </c>
      <c r="AE177" s="11">
        <v>0</v>
      </c>
      <c r="AF177" t="str">
        <f>CONCATENATE(VLOOKUP(AG177, 'Voxel Sizes'!$A$2:$B$18,2,FALSE),"x",INT(AC177*15), "x", INT(AD177*15))</f>
        <v>102x0x0</v>
      </c>
      <c r="AG177">
        <f>ROUND(15*((AB177*10)/256),0)</f>
        <v>6</v>
      </c>
      <c r="AH177" t="s">
        <v>441</v>
      </c>
      <c r="AI177" t="str">
        <f>CONCATENATE(VLOOKUP(AG177,Constants!$A$2:$C$16,IF(AH177&lt;&gt;"", 3, 2), FALSE),IF(AH177&lt;&gt;"",CONCATENATE(",",VLOOKUP(AH177,$B:$AI,34,FALSE)),""))</f>
        <v>2,2,2,2,1,2</v>
      </c>
      <c r="AO177">
        <v>1</v>
      </c>
      <c r="AP177">
        <v>40</v>
      </c>
      <c r="AS177">
        <f t="shared" si="10"/>
        <v>15</v>
      </c>
      <c r="AT177">
        <f t="shared" si="11"/>
        <v>6</v>
      </c>
      <c r="AU177">
        <f t="shared" si="12"/>
        <v>4.8</v>
      </c>
      <c r="AV177" s="4">
        <f t="shared" si="13"/>
        <v>0.71166666666666667</v>
      </c>
      <c r="AW177">
        <f t="shared" si="14"/>
        <v>0</v>
      </c>
      <c r="AX177">
        <f>VLOOKUP($E177,Constants!$I:$K, 2, FALSE)</f>
        <v>1.1499999999999999</v>
      </c>
      <c r="AY177">
        <f>VLOOKUP($E177,Constants!$I:$K, 3, FALSE)*IF(AND(D177="multiple_unit",Y177&lt;110),0.75,1)</f>
        <v>1.7</v>
      </c>
      <c r="AZ177">
        <f>INT(((Constants!$G$2+$AR177+$AS177+$AT177+$AU177+$AW177)*$AV177)*$AY177)</f>
        <v>49</v>
      </c>
      <c r="BA177">
        <f>INT(((Constants!$G$1+$AQ177+$AS177+$AT177+$AU177+$AW177)*(1/$AV177))*$AX177)</f>
        <v>98</v>
      </c>
      <c r="BG177" t="str">
        <f>VLOOKUP(G177,Eras!$A$2:$C$10, 2, TRUE)</f>
        <v>big4</v>
      </c>
      <c r="BH177" t="s">
        <v>419</v>
      </c>
      <c r="BI177" t="str">
        <f>CONCATENATE(BG177,"_",BH177)</f>
        <v>big4_Passenger</v>
      </c>
      <c r="BJ177" t="s">
        <v>474</v>
      </c>
    </row>
    <row r="178" spans="1:62" x14ac:dyDescent="0.25">
      <c r="A178" t="s">
        <v>477</v>
      </c>
      <c r="B178" t="s">
        <v>476</v>
      </c>
      <c r="C178">
        <v>85</v>
      </c>
      <c r="D178" t="s">
        <v>304</v>
      </c>
      <c r="E178" t="s">
        <v>313</v>
      </c>
      <c r="F178" t="s">
        <v>316</v>
      </c>
      <c r="G178">
        <v>1927</v>
      </c>
      <c r="H178">
        <v>1936</v>
      </c>
      <c r="I178">
        <v>1962</v>
      </c>
      <c r="K178">
        <v>2300</v>
      </c>
      <c r="M178" s="6">
        <v>16.25</v>
      </c>
      <c r="N178" s="6">
        <v>28</v>
      </c>
      <c r="O178" s="6">
        <v>4</v>
      </c>
      <c r="P178" s="6">
        <v>250</v>
      </c>
      <c r="Q178" s="7">
        <f>((($Y178/2)/60)*5280)/($R178*3.2*PI())</f>
        <v>232.10095867568069</v>
      </c>
      <c r="R178" s="6">
        <v>1.98</v>
      </c>
      <c r="S178" s="6">
        <f>((($M178*$M178/4)*PI())*($N178/12)*$O178*$P178*$Q178)/(33000*1.1)</f>
        <v>3094.166690580043</v>
      </c>
      <c r="T178">
        <v>90.4</v>
      </c>
      <c r="W178">
        <v>179</v>
      </c>
      <c r="X178" s="4">
        <f>IF(AND(T178&gt;0,W178&gt;0),(W178/((T178+U178)*10)),"")</f>
        <v>0.19800884955752213</v>
      </c>
      <c r="Y178">
        <v>105</v>
      </c>
      <c r="AA178">
        <v>20.78</v>
      </c>
      <c r="AB178">
        <f>AA178-7.5</f>
        <v>13.280000000000001</v>
      </c>
      <c r="AD178">
        <v>4.08</v>
      </c>
      <c r="AE178" s="11">
        <v>0</v>
      </c>
      <c r="AF178" t="str">
        <f>CONCATENATE(VLOOKUP(AG178, 'Voxel Sizes'!$A$2:$B$18,2,FALSE),"x",INT(AC178*15), "x", INT(AD178*15))</f>
        <v>136x0x61</v>
      </c>
      <c r="AG178">
        <f>ROUND(15*((AB178*10)/256),0)</f>
        <v>8</v>
      </c>
      <c r="AH178" t="s">
        <v>472</v>
      </c>
      <c r="AI178" t="str">
        <f>CONCATENATE(VLOOKUP(AG178,Constants!$A$2:$C$16,IF(AH178&lt;&gt;"", 3, 2), FALSE),IF(AH178&lt;&gt;"",CONCATENATE(",",VLOOKUP(AH178,$B:$AI,34,FALSE)),""))</f>
        <v>2,4,2,2,1,2</v>
      </c>
      <c r="AO178">
        <v>1</v>
      </c>
      <c r="AP178">
        <v>40</v>
      </c>
      <c r="AS178">
        <f t="shared" si="10"/>
        <v>21</v>
      </c>
      <c r="AT178">
        <f t="shared" si="11"/>
        <v>11.5</v>
      </c>
      <c r="AU178">
        <f t="shared" si="12"/>
        <v>8.9499999999999993</v>
      </c>
      <c r="AV178" s="4">
        <f t="shared" si="13"/>
        <v>0.71166666666666667</v>
      </c>
      <c r="AW178">
        <f t="shared" si="14"/>
        <v>0</v>
      </c>
      <c r="AX178">
        <f>VLOOKUP($E178,Constants!$I:$K, 2, FALSE)</f>
        <v>1.1499999999999999</v>
      </c>
      <c r="AY178">
        <f>VLOOKUP($E178,Constants!$I:$K, 3, FALSE)*IF(AND(D178="multiple_unit",Y178&lt;110),0.75,1)</f>
        <v>1.7</v>
      </c>
      <c r="AZ178">
        <f>INT(((Constants!$G$2+$AR178+$AS178+$AT178+$AU178+$AW178)*$AV178)*$AY178)</f>
        <v>68</v>
      </c>
      <c r="BA178">
        <f>INT(((Constants!$G$1+$AQ178+$AS178+$AT178+$AU178+$AW178)*(1/$AV178))*$AX178)</f>
        <v>123</v>
      </c>
      <c r="BG178" t="str">
        <f>VLOOKUP(G178,Eras!$A$2:$C$10, 2, TRUE)</f>
        <v>big4</v>
      </c>
      <c r="BH178" t="s">
        <v>370</v>
      </c>
      <c r="BI178" t="str">
        <f>CONCATENATE(BG178,"_",BH178)</f>
        <v>big4_Express</v>
      </c>
      <c r="BJ178" t="s">
        <v>478</v>
      </c>
    </row>
    <row r="179" spans="1:62" x14ac:dyDescent="0.25">
      <c r="A179" t="s">
        <v>34</v>
      </c>
      <c r="B179" t="s">
        <v>480</v>
      </c>
      <c r="C179">
        <v>87</v>
      </c>
      <c r="D179" t="s">
        <v>304</v>
      </c>
      <c r="E179" t="s">
        <v>313</v>
      </c>
      <c r="F179" t="s">
        <v>316</v>
      </c>
      <c r="G179">
        <v>1927</v>
      </c>
      <c r="H179">
        <v>1934</v>
      </c>
      <c r="I179">
        <v>1966</v>
      </c>
      <c r="K179">
        <v>950</v>
      </c>
      <c r="M179" s="6">
        <v>19</v>
      </c>
      <c r="N179" s="6">
        <v>26</v>
      </c>
      <c r="O179" s="6">
        <v>2</v>
      </c>
      <c r="P179" s="6">
        <v>200</v>
      </c>
      <c r="Q179" s="7">
        <f>((($Y179/2)/60)*5280)/($R179*3.2*PI())</f>
        <v>205.96522047186451</v>
      </c>
      <c r="R179" s="6">
        <v>1.7</v>
      </c>
      <c r="S179" s="6">
        <f>((($M179*$M179/4)*PI())*($N179/12)*$O179*$P179*$Q179)/(33000*1.1)</f>
        <v>1394.2364824717758</v>
      </c>
      <c r="T179">
        <v>87.6</v>
      </c>
      <c r="W179">
        <v>102</v>
      </c>
      <c r="X179" s="4">
        <f>IF(AND(T179&gt;0,W179&gt;0),(W179/((T179+U179)*10)),"")</f>
        <v>0.11643835616438356</v>
      </c>
      <c r="Y179">
        <v>80</v>
      </c>
      <c r="AA179">
        <v>14.4</v>
      </c>
      <c r="AB179">
        <v>14.4</v>
      </c>
      <c r="AE179" s="11">
        <v>0</v>
      </c>
      <c r="AF179" t="str">
        <f>CONCATENATE(VLOOKUP(AG179, 'Voxel Sizes'!$A$2:$B$18,2,FALSE),"x",INT(AC179*15), "x", INT(AD179*15))</f>
        <v>136x0x0</v>
      </c>
      <c r="AG179">
        <f>ROUND(15*((AB179*10)/256),0)</f>
        <v>8</v>
      </c>
      <c r="AI179" t="str">
        <f>CONCATENATE(VLOOKUP(AG179,Constants!$A$2:$C$16,IF(AH179&lt;&gt;"", 3, 2), FALSE),IF(AH179&lt;&gt;"",CONCATENATE(",",VLOOKUP(AH179,$B:$AI,34,FALSE)),""))</f>
        <v>2,4,2</v>
      </c>
      <c r="AO179">
        <v>1</v>
      </c>
      <c r="AP179">
        <v>40</v>
      </c>
      <c r="AS179">
        <f t="shared" si="10"/>
        <v>16</v>
      </c>
      <c r="AT179">
        <f t="shared" si="11"/>
        <v>4.75</v>
      </c>
      <c r="AU179">
        <f t="shared" si="12"/>
        <v>5.0999999999999996</v>
      </c>
      <c r="AV179" s="4">
        <f t="shared" si="13"/>
        <v>0.71166666666666667</v>
      </c>
      <c r="AW179">
        <f t="shared" si="14"/>
        <v>0</v>
      </c>
      <c r="AX179">
        <f>VLOOKUP($E179,Constants!$I:$K, 2, FALSE)</f>
        <v>1.1499999999999999</v>
      </c>
      <c r="AY179">
        <f>VLOOKUP($E179,Constants!$I:$K, 3, FALSE)*IF(AND(D179="multiple_unit",Y179&lt;110),0.75,1)</f>
        <v>1.7</v>
      </c>
      <c r="AZ179">
        <f>INT(((Constants!$G$2+$AR179+$AS179+$AT179+$AU179+$AW179)*$AV179)*$AY179)</f>
        <v>49</v>
      </c>
      <c r="BA179">
        <f>INT(((Constants!$G$1+$AQ179+$AS179+$AT179+$AU179+$AW179)*(1/$AV179))*$AX179)</f>
        <v>98</v>
      </c>
      <c r="BG179" t="str">
        <f>VLOOKUP(G179,Eras!$A$2:$C$10, 2, TRUE)</f>
        <v>big4</v>
      </c>
      <c r="BH179" t="s">
        <v>369</v>
      </c>
      <c r="BI179" t="str">
        <f>CONCATENATE(BG179,"_",BH179)</f>
        <v>big4_Mixed Traffic</v>
      </c>
      <c r="BJ179" t="s">
        <v>479</v>
      </c>
    </row>
    <row r="180" spans="1:62" x14ac:dyDescent="0.25">
      <c r="A180" t="s">
        <v>481</v>
      </c>
      <c r="B180" t="s">
        <v>483</v>
      </c>
      <c r="C180">
        <v>89</v>
      </c>
      <c r="D180" t="s">
        <v>304</v>
      </c>
      <c r="E180" t="s">
        <v>313</v>
      </c>
      <c r="F180" t="s">
        <v>316</v>
      </c>
      <c r="G180">
        <v>1928</v>
      </c>
      <c r="H180">
        <v>1943</v>
      </c>
      <c r="I180">
        <v>1965</v>
      </c>
      <c r="K180">
        <v>1600</v>
      </c>
      <c r="M180" s="6">
        <v>18.5</v>
      </c>
      <c r="N180" s="6">
        <v>30</v>
      </c>
      <c r="O180" s="6">
        <v>2</v>
      </c>
      <c r="P180" s="6">
        <v>225</v>
      </c>
      <c r="Q180" s="7">
        <f>((($Y180/2)/60)*5280)/($R180*3.2*PI())</f>
        <v>194.52270822342763</v>
      </c>
      <c r="R180" s="6">
        <v>1.8</v>
      </c>
      <c r="S180" s="6">
        <f>((($M180*$M180/4)*PI())*($N180/12)*$O180*$P180*$Q180)/(33000*1.1)</f>
        <v>1620.501893939394</v>
      </c>
      <c r="T180">
        <v>76.2</v>
      </c>
      <c r="U180" s="9">
        <v>47</v>
      </c>
      <c r="W180">
        <v>121</v>
      </c>
      <c r="X180" s="4">
        <f>IF(AND(T180&gt;0,W180&gt;0),(W180/((T180+U180)*10)),"")</f>
        <v>9.8214285714285712E-2</v>
      </c>
      <c r="Y180">
        <v>80</v>
      </c>
      <c r="AA180">
        <v>19.2</v>
      </c>
      <c r="AB180">
        <f>AA180-7.5</f>
        <v>11.7</v>
      </c>
      <c r="AD180">
        <v>4.04</v>
      </c>
      <c r="AE180" s="11">
        <v>0</v>
      </c>
      <c r="AF180" t="str">
        <f>CONCATENATE(VLOOKUP(AG180, 'Voxel Sizes'!$A$2:$B$18,2,FALSE),"x",INT(AC180*15), "x", INT(AD180*15))</f>
        <v>120x0x60</v>
      </c>
      <c r="AG180">
        <f>ROUND(15*((AB180*10)/256),0)</f>
        <v>7</v>
      </c>
      <c r="AH180" t="s">
        <v>472</v>
      </c>
      <c r="AI180" t="str">
        <f>CONCATENATE(VLOOKUP(AG180,Constants!$A$2:$C$16,IF(AH180&lt;&gt;"", 3, 2), FALSE),IF(AH180&lt;&gt;"",CONCATENATE(",",VLOOKUP(AH180,$B:$AI,34,FALSE)),""))</f>
        <v>2,3,2,2,1,2</v>
      </c>
      <c r="AO180">
        <v>1</v>
      </c>
      <c r="AP180">
        <v>40</v>
      </c>
      <c r="AS180">
        <f t="shared" si="10"/>
        <v>16</v>
      </c>
      <c r="AT180">
        <f t="shared" si="11"/>
        <v>8</v>
      </c>
      <c r="AU180">
        <f t="shared" si="12"/>
        <v>6.05</v>
      </c>
      <c r="AV180" s="4">
        <f t="shared" si="13"/>
        <v>0.71333333333333337</v>
      </c>
      <c r="AW180">
        <f t="shared" si="14"/>
        <v>0</v>
      </c>
      <c r="AX180">
        <f>VLOOKUP($E180,Constants!$I:$K, 2, FALSE)</f>
        <v>1.1499999999999999</v>
      </c>
      <c r="AY180">
        <f>VLOOKUP($E180,Constants!$I:$K, 3, FALSE)*IF(AND(D180="multiple_unit",Y180&lt;110),0.75,1)</f>
        <v>1.7</v>
      </c>
      <c r="AZ180">
        <f>INT(((Constants!$G$2+$AR180+$AS180+$AT180+$AU180+$AW180)*$AV180)*$AY180)</f>
        <v>54</v>
      </c>
      <c r="BA180">
        <f>INT(((Constants!$G$1+$AQ180+$AS180+$AT180+$AU180+$AW180)*(1/$AV180))*$AX180)</f>
        <v>104</v>
      </c>
      <c r="BG180" t="str">
        <f>VLOOKUP(G180,Eras!$A$2:$C$10, 2, TRUE)</f>
        <v>big4</v>
      </c>
      <c r="BH180" t="s">
        <v>369</v>
      </c>
      <c r="BI180" t="str">
        <f>CONCATENATE(BG180,"_",BH180)</f>
        <v>big4_Mixed Traffic</v>
      </c>
      <c r="BJ180" t="s">
        <v>482</v>
      </c>
    </row>
    <row r="181" spans="1:62" x14ac:dyDescent="0.25">
      <c r="A181" t="s">
        <v>26</v>
      </c>
      <c r="B181" t="s">
        <v>485</v>
      </c>
      <c r="C181">
        <v>91</v>
      </c>
      <c r="D181" t="s">
        <v>304</v>
      </c>
      <c r="E181" t="s">
        <v>313</v>
      </c>
      <c r="F181" t="s">
        <v>316</v>
      </c>
      <c r="G181">
        <v>1928</v>
      </c>
      <c r="H181">
        <v>1935</v>
      </c>
      <c r="I181">
        <v>1966</v>
      </c>
      <c r="K181">
        <v>2100</v>
      </c>
      <c r="M181" s="6">
        <v>19</v>
      </c>
      <c r="N181" s="6">
        <v>26</v>
      </c>
      <c r="O181" s="6">
        <v>3</v>
      </c>
      <c r="P181" s="6">
        <v>220</v>
      </c>
      <c r="Q181" s="7">
        <f>((($Y181/2)/60)*5280)/($R181*3.2*PI())</f>
        <v>236.34509049146459</v>
      </c>
      <c r="R181" s="6">
        <v>2</v>
      </c>
      <c r="S181" s="6">
        <f>((($M181*$M181/4)*PI())*($N181/12)*$O181*$P181*$Q181)/(33000*1.1)</f>
        <v>2639.8124999999995</v>
      </c>
      <c r="T181">
        <v>92.8</v>
      </c>
      <c r="U181" s="9">
        <v>54</v>
      </c>
      <c r="W181">
        <v>146</v>
      </c>
      <c r="X181" s="4">
        <f>IF(AND(T181&gt;0,W181&gt;0),(W181/((T181+U181)*10)),"")</f>
        <v>9.9455040871934602E-2</v>
      </c>
      <c r="Y181">
        <v>108</v>
      </c>
      <c r="Z181">
        <v>1</v>
      </c>
      <c r="AA181">
        <v>21.46</v>
      </c>
      <c r="AB181">
        <f>AA181-7.5</f>
        <v>13.96</v>
      </c>
      <c r="AE181" s="11">
        <v>0</v>
      </c>
      <c r="AF181" t="str">
        <f>CONCATENATE(VLOOKUP(AG181, 'Voxel Sizes'!$A$2:$B$18,2,FALSE),"x",INT(AC181*15), "x", INT(AD181*15))</f>
        <v>136x0x0</v>
      </c>
      <c r="AG181">
        <f>ROUND(15*((AB181*10)/256),0)</f>
        <v>8</v>
      </c>
      <c r="AH181" t="s">
        <v>487</v>
      </c>
      <c r="AI181" t="str">
        <f>CONCATENATE(VLOOKUP(AG181,Constants!$A$2:$C$16,IF(AH181&lt;&gt;"", 3, 2), FALSE),IF(AH181&lt;&gt;"",CONCATENATE(",",VLOOKUP(AH181,$B:$AI,34,FALSE)),""))</f>
        <v>2,4,2,2,1,2</v>
      </c>
      <c r="AO181">
        <v>1</v>
      </c>
      <c r="AP181">
        <v>42</v>
      </c>
      <c r="AS181">
        <f t="shared" si="10"/>
        <v>21.599999999999998</v>
      </c>
      <c r="AT181">
        <f t="shared" si="11"/>
        <v>10.5</v>
      </c>
      <c r="AU181">
        <f t="shared" si="12"/>
        <v>7.3</v>
      </c>
      <c r="AV181" s="4">
        <f t="shared" si="13"/>
        <v>0.71333333333333337</v>
      </c>
      <c r="AW181">
        <f t="shared" si="14"/>
        <v>0</v>
      </c>
      <c r="AX181">
        <f>VLOOKUP($E181,Constants!$I:$K, 2, FALSE)</f>
        <v>1.1499999999999999</v>
      </c>
      <c r="AY181">
        <f>VLOOKUP($E181,Constants!$I:$K, 3, FALSE)*IF(AND(D181="multiple_unit",Y181&lt;110),0.75,1)</f>
        <v>1.7</v>
      </c>
      <c r="AZ181">
        <f>INT(((Constants!$G$2+$AR181+$AS181+$AT181+$AU181+$AW181)*$AV181)*$AY181)</f>
        <v>65</v>
      </c>
      <c r="BA181">
        <f>INT(((Constants!$G$1+$AQ181+$AS181+$AT181+$AU181+$AW181)*(1/$AV181))*$AX181)</f>
        <v>119</v>
      </c>
      <c r="BG181" t="str">
        <f>VLOOKUP(G181,Eras!$A$2:$C$10, 2, TRUE)</f>
        <v>big4</v>
      </c>
      <c r="BH181" t="s">
        <v>370</v>
      </c>
      <c r="BI181" t="str">
        <f>CONCATENATE(BG181,"_",BH181)</f>
        <v>big4_Express</v>
      </c>
      <c r="BJ181" t="s">
        <v>484</v>
      </c>
    </row>
    <row r="182" spans="1:62" x14ac:dyDescent="0.25">
      <c r="A182" t="s">
        <v>22</v>
      </c>
      <c r="B182" t="s">
        <v>489</v>
      </c>
      <c r="C182">
        <v>93</v>
      </c>
      <c r="D182" t="s">
        <v>304</v>
      </c>
      <c r="E182" t="s">
        <v>313</v>
      </c>
      <c r="F182" t="s">
        <v>316</v>
      </c>
      <c r="G182">
        <v>1929</v>
      </c>
      <c r="H182">
        <v>1950</v>
      </c>
      <c r="I182">
        <v>1971</v>
      </c>
      <c r="K182">
        <v>750</v>
      </c>
      <c r="M182" s="6">
        <v>17.5</v>
      </c>
      <c r="N182" s="6">
        <v>24</v>
      </c>
      <c r="O182" s="6">
        <v>2</v>
      </c>
      <c r="P182" s="6">
        <v>200</v>
      </c>
      <c r="Q182" s="7">
        <f>((($Y182/2)/60)*5280)/($R182*3.2*PI())</f>
        <v>187.57546864401954</v>
      </c>
      <c r="R182" s="6">
        <v>1.4</v>
      </c>
      <c r="S182" s="6">
        <f>((($M182*$M182/4)*PI())*($N182/12)*$O182*$P182*$Q182)/(33000*1.1)</f>
        <v>994.31818181818198</v>
      </c>
      <c r="T182">
        <v>48.3</v>
      </c>
      <c r="W182">
        <v>100</v>
      </c>
      <c r="X182" s="4">
        <f>IF(AND(T182&gt;0,W182&gt;0),(W182/((T182+U182)*10)),"")</f>
        <v>0.20703933747412009</v>
      </c>
      <c r="Y182">
        <v>60</v>
      </c>
      <c r="Z182">
        <v>1</v>
      </c>
      <c r="AA182">
        <v>9.5</v>
      </c>
      <c r="AB182">
        <v>9.5</v>
      </c>
      <c r="AD182">
        <v>3.7349999999999999</v>
      </c>
      <c r="AE182" s="11">
        <v>0</v>
      </c>
      <c r="AF182" t="str">
        <f>CONCATENATE(VLOOKUP(AG182, 'Voxel Sizes'!$A$2:$B$18,2,FALSE),"x",INT(AC182*15), "x", INT(AD182*15))</f>
        <v>102x0x56</v>
      </c>
      <c r="AG182">
        <f>ROUND(15*((AB182*10)/256),0)</f>
        <v>6</v>
      </c>
      <c r="AI182" t="str">
        <f>CONCATENATE(VLOOKUP(AG182,Constants!$A$2:$C$16,IF(AH182&lt;&gt;"", 3, 2), FALSE),IF(AH182&lt;&gt;"",CONCATENATE(",",VLOOKUP(AH182,$B:$AI,34,FALSE)),""))</f>
        <v>2,2,2</v>
      </c>
      <c r="AO182">
        <v>1</v>
      </c>
      <c r="AP182">
        <v>47</v>
      </c>
      <c r="AS182">
        <f t="shared" si="10"/>
        <v>12</v>
      </c>
      <c r="AT182">
        <f t="shared" si="11"/>
        <v>3.75</v>
      </c>
      <c r="AU182">
        <f t="shared" si="12"/>
        <v>5</v>
      </c>
      <c r="AV182" s="4">
        <f t="shared" si="13"/>
        <v>0.71499999999999997</v>
      </c>
      <c r="AW182">
        <f t="shared" si="14"/>
        <v>0</v>
      </c>
      <c r="AX182">
        <f>VLOOKUP($E182,Constants!$I:$K, 2, FALSE)</f>
        <v>1.1499999999999999</v>
      </c>
      <c r="AY182">
        <f>VLOOKUP($E182,Constants!$I:$K, 3, FALSE)*IF(AND(D182="multiple_unit",Y182&lt;110),0.75,1)</f>
        <v>1.7</v>
      </c>
      <c r="AZ182">
        <f>INT(((Constants!$G$2+$AR182+$AS182+$AT182+$AU182+$AW182)*$AV182)*$AY182)</f>
        <v>43</v>
      </c>
      <c r="BA182">
        <f>INT(((Constants!$G$1+$AQ182+$AS182+$AT182+$AU182+$AW182)*(1/$AV182))*$AX182)</f>
        <v>89</v>
      </c>
      <c r="BG182" t="str">
        <f>VLOOKUP(G182,Eras!$A$2:$C$10, 2, TRUE)</f>
        <v>big4</v>
      </c>
      <c r="BH182" t="s">
        <v>368</v>
      </c>
      <c r="BI182" t="str">
        <f>CONCATENATE(BG182,"_",BH182)</f>
        <v>big4_Cheap</v>
      </c>
      <c r="BJ182" t="s">
        <v>488</v>
      </c>
    </row>
    <row r="183" spans="1:62" x14ac:dyDescent="0.25">
      <c r="A183" t="s">
        <v>35</v>
      </c>
      <c r="B183" t="s">
        <v>192</v>
      </c>
      <c r="C183">
        <v>95</v>
      </c>
      <c r="D183" t="s">
        <v>304</v>
      </c>
      <c r="E183" t="s">
        <v>313</v>
      </c>
      <c r="F183" t="s">
        <v>316</v>
      </c>
      <c r="G183">
        <v>1930</v>
      </c>
      <c r="H183">
        <v>1935</v>
      </c>
      <c r="I183">
        <v>1961</v>
      </c>
      <c r="K183">
        <v>1750</v>
      </c>
      <c r="M183" s="6">
        <v>16.5</v>
      </c>
      <c r="N183" s="6">
        <v>26</v>
      </c>
      <c r="O183" s="6">
        <v>3</v>
      </c>
      <c r="P183" s="6">
        <v>220</v>
      </c>
      <c r="Q183" s="7">
        <f>((($Y183/2)/60)*5280)/($R183*3.2*PI())</f>
        <v>207.89614441378828</v>
      </c>
      <c r="R183" s="6">
        <v>2</v>
      </c>
      <c r="S183" s="6">
        <f>((($M183*$M183/4)*PI())*($N183/12)*$O183*$P183*$Q183)/(33000*1.1)</f>
        <v>1751.19140625</v>
      </c>
      <c r="T183">
        <v>68.2</v>
      </c>
      <c r="U183" s="9">
        <v>43.1</v>
      </c>
      <c r="W183">
        <v>111</v>
      </c>
      <c r="X183" s="4">
        <f>IF(AND(T183&gt;0,W183&gt;0),(W183/((T183+U183)*10)),"")</f>
        <v>9.9730458221024262E-2</v>
      </c>
      <c r="Y183">
        <v>95</v>
      </c>
      <c r="AA183">
        <v>17.93</v>
      </c>
      <c r="AB183">
        <f>AA183-7.5</f>
        <v>10.43</v>
      </c>
      <c r="AD183">
        <v>3.96</v>
      </c>
      <c r="AE183" s="11">
        <v>0</v>
      </c>
      <c r="AF183" t="str">
        <f>CONCATENATE(VLOOKUP(AG183, 'Voxel Sizes'!$A$2:$B$18,2,FALSE),"x",INT(AC183*15), "x", INT(AD183*15))</f>
        <v>102x0x59</v>
      </c>
      <c r="AG183">
        <f>ROUND(15*((AB183*10)/256),0)</f>
        <v>6</v>
      </c>
      <c r="AH183" t="s">
        <v>492</v>
      </c>
      <c r="AI183" t="str">
        <f>CONCATENATE(VLOOKUP(AG183,Constants!$A$2:$C$16,IF(AH183&lt;&gt;"", 3, 2), FALSE),IF(AH183&lt;&gt;"",CONCATENATE(",",VLOOKUP(AH183,$B:$AI,34,FALSE)),""))</f>
        <v>2,2,2,2,1,2</v>
      </c>
      <c r="AO183">
        <v>1</v>
      </c>
      <c r="AP183">
        <v>39</v>
      </c>
      <c r="AS183">
        <f t="shared" si="10"/>
        <v>19</v>
      </c>
      <c r="AT183">
        <f t="shared" si="11"/>
        <v>8.75</v>
      </c>
      <c r="AU183">
        <f t="shared" si="12"/>
        <v>5.5500000000000007</v>
      </c>
      <c r="AV183" s="4">
        <f t="shared" si="13"/>
        <v>0.71666666666666667</v>
      </c>
      <c r="AW183">
        <f t="shared" si="14"/>
        <v>0</v>
      </c>
      <c r="AX183">
        <f>VLOOKUP($E183,Constants!$I:$K, 2, FALSE)</f>
        <v>1.1499999999999999</v>
      </c>
      <c r="AY183">
        <f>VLOOKUP($E183,Constants!$I:$K, 3, FALSE)*IF(AND(D183="multiple_unit",Y183&lt;110),0.75,1)</f>
        <v>1.7</v>
      </c>
      <c r="AZ183">
        <f>INT(((Constants!$G$2+$AR183+$AS183+$AT183+$AU183+$AW183)*$AV183)*$AY183)</f>
        <v>58</v>
      </c>
      <c r="BA183">
        <f>INT(((Constants!$G$1+$AQ183+$AS183+$AT183+$AU183+$AW183)*(1/$AV183))*$AX183)</f>
        <v>109</v>
      </c>
      <c r="BG183" t="str">
        <f>VLOOKUP(G183,Eras!$A$2:$C$10, 2, TRUE)</f>
        <v>big4</v>
      </c>
      <c r="BH183" t="s">
        <v>370</v>
      </c>
      <c r="BI183" t="str">
        <f>CONCATENATE(BG183,"_",BH183)</f>
        <v>big4_Express</v>
      </c>
      <c r="BJ183" t="s">
        <v>490</v>
      </c>
    </row>
    <row r="184" spans="1:62" x14ac:dyDescent="0.25">
      <c r="A184" t="s">
        <v>493</v>
      </c>
      <c r="B184" t="s">
        <v>495</v>
      </c>
      <c r="C184">
        <v>97</v>
      </c>
      <c r="D184" t="s">
        <v>304</v>
      </c>
      <c r="E184" t="s">
        <v>313</v>
      </c>
      <c r="F184" t="s">
        <v>316</v>
      </c>
      <c r="G184">
        <v>1932</v>
      </c>
      <c r="H184">
        <v>1936</v>
      </c>
      <c r="I184">
        <v>1965</v>
      </c>
      <c r="K184">
        <v>600</v>
      </c>
      <c r="M184" s="6">
        <v>16</v>
      </c>
      <c r="N184" s="6">
        <v>24</v>
      </c>
      <c r="O184" s="6">
        <v>2</v>
      </c>
      <c r="P184" s="6">
        <v>165</v>
      </c>
      <c r="Q184" s="7">
        <f>((($Y184/2)/60)*5280)/($R184*3.2*PI())</f>
        <v>218.83804675135607</v>
      </c>
      <c r="R184" s="6">
        <v>1.6</v>
      </c>
      <c r="S184" s="6">
        <f>((($M184*$M184/4)*PI())*($N184/12)*$O184*$P184*$Q184)/(33000*1.1)</f>
        <v>799.99999999999977</v>
      </c>
      <c r="T184">
        <v>43</v>
      </c>
      <c r="W184">
        <v>62</v>
      </c>
      <c r="X184" s="4">
        <f>IF(AND(T184&gt;0,W184&gt;0),(W184/((T184+U184)*10)),"")</f>
        <v>0.14418604651162792</v>
      </c>
      <c r="Y184">
        <v>80</v>
      </c>
      <c r="AA184">
        <v>9.1199999999999992</v>
      </c>
      <c r="AB184">
        <v>9.1199999999999992</v>
      </c>
      <c r="AD184">
        <v>3.82</v>
      </c>
      <c r="AE184" s="11">
        <v>0</v>
      </c>
      <c r="AF184" t="str">
        <f>CONCATENATE(VLOOKUP(AG184, 'Voxel Sizes'!$A$2:$B$18,2,FALSE),"x",INT(AC184*15), "x", INT(AD184*15))</f>
        <v>82x0x57</v>
      </c>
      <c r="AG184">
        <f>ROUND(15*((AB184*10)/256),0)</f>
        <v>5</v>
      </c>
      <c r="AI184" t="str">
        <f>CONCATENATE(VLOOKUP(AG184,Constants!$A$2:$C$16,IF(AH184&lt;&gt;"", 3, 2), FALSE),IF(AH184&lt;&gt;"",CONCATENATE(",",VLOOKUP(AH184,$B:$AI,34,FALSE)),""))</f>
        <v>2,1,2</v>
      </c>
      <c r="AO184">
        <v>1</v>
      </c>
      <c r="AP184">
        <v>46</v>
      </c>
      <c r="AS184">
        <f t="shared" si="10"/>
        <v>16</v>
      </c>
      <c r="AT184">
        <f t="shared" si="11"/>
        <v>3</v>
      </c>
      <c r="AU184">
        <f t="shared" si="12"/>
        <v>3.1</v>
      </c>
      <c r="AV184" s="4">
        <f t="shared" si="13"/>
        <v>0.72</v>
      </c>
      <c r="AW184">
        <f t="shared" si="14"/>
        <v>0</v>
      </c>
      <c r="AX184">
        <f>VLOOKUP($E184,Constants!$I:$K, 2, FALSE)</f>
        <v>1.1499999999999999</v>
      </c>
      <c r="AY184">
        <f>VLOOKUP($E184,Constants!$I:$K, 3, FALSE)*IF(AND(D184="multiple_unit",Y184&lt;110),0.75,1)</f>
        <v>1.7</v>
      </c>
      <c r="AZ184">
        <f>INT(((Constants!$G$2+$AR184+$AS184+$AT184+$AU184+$AW184)*$AV184)*$AY184)</f>
        <v>45</v>
      </c>
      <c r="BA184">
        <f>INT(((Constants!$G$1+$AQ184+$AS184+$AT184+$AU184+$AW184)*(1/$AV184))*$AX184)</f>
        <v>91</v>
      </c>
      <c r="BG184" t="str">
        <f>VLOOKUP(G184,Eras!$A$2:$C$10, 2, TRUE)</f>
        <v>big4</v>
      </c>
      <c r="BH184" t="s">
        <v>368</v>
      </c>
      <c r="BI184" t="str">
        <f>CONCATENATE(BG184,"_",BH184)</f>
        <v>big4_Cheap</v>
      </c>
      <c r="BJ184" t="s">
        <v>494</v>
      </c>
    </row>
    <row r="185" spans="1:62" x14ac:dyDescent="0.25">
      <c r="A185" t="s">
        <v>78</v>
      </c>
      <c r="B185" t="s">
        <v>213</v>
      </c>
      <c r="C185">
        <v>101</v>
      </c>
      <c r="D185" t="s">
        <v>304</v>
      </c>
      <c r="E185" t="s">
        <v>314</v>
      </c>
      <c r="F185" t="s">
        <v>316</v>
      </c>
      <c r="G185">
        <v>1933</v>
      </c>
      <c r="H185">
        <v>1942</v>
      </c>
      <c r="I185">
        <v>1962</v>
      </c>
      <c r="K185">
        <v>260</v>
      </c>
      <c r="T185">
        <v>35</v>
      </c>
      <c r="W185">
        <v>55</v>
      </c>
      <c r="X185" s="4">
        <f>IF(AND(T185&gt;0,W185&gt;0),(W185/((T185+U185)*10)),"")</f>
        <v>0.15714285714285714</v>
      </c>
      <c r="Y185">
        <v>63</v>
      </c>
      <c r="AA185">
        <v>18.399999999999999</v>
      </c>
      <c r="AB185">
        <v>17</v>
      </c>
      <c r="AE185" s="11">
        <v>69</v>
      </c>
      <c r="AF185" t="str">
        <f>CONCATENATE(VLOOKUP(AG185, 'Voxel Sizes'!$A$2:$B$18,2,FALSE),"x",INT(AC185*15), "x", INT(AD185*15))</f>
        <v>164x0x0</v>
      </c>
      <c r="AG185">
        <f>ROUND(15*((AB185*10)/256),0)</f>
        <v>10</v>
      </c>
      <c r="AI185" t="str">
        <f>CONCATENATE(VLOOKUP(AG185,Constants!$A$2:$C$16,IF(AH185&lt;&gt;"", 3, 2), FALSE),IF(AH185&lt;&gt;"",CONCATENATE(",",VLOOKUP(AH185,$B:$AI,34,FALSE)),""))</f>
        <v>4,2,4</v>
      </c>
      <c r="AP185">
        <v>26</v>
      </c>
      <c r="AS185">
        <f t="shared" si="10"/>
        <v>12.6</v>
      </c>
      <c r="AT185">
        <f t="shared" si="11"/>
        <v>1.3</v>
      </c>
      <c r="AU185">
        <f t="shared" si="12"/>
        <v>2.75</v>
      </c>
      <c r="AV185" s="4">
        <f t="shared" si="13"/>
        <v>0.72166666666666668</v>
      </c>
      <c r="AW185">
        <f t="shared" si="14"/>
        <v>2.3000000000000003</v>
      </c>
      <c r="AX185">
        <f>VLOOKUP($E185,Constants!$I:$K, 2, FALSE)</f>
        <v>1</v>
      </c>
      <c r="AY185">
        <f>VLOOKUP($E185,Constants!$I:$K, 3, FALSE)*IF(AND(D185="multiple_unit",Y185&lt;110),0.75,1)</f>
        <v>2</v>
      </c>
      <c r="AZ185">
        <f>INT(((Constants!$G$2+$AR185+$AS185+$AT185+$AU185+$AW185)*$AV185)*$AY185)</f>
        <v>49</v>
      </c>
      <c r="BA185">
        <f>INT(((Constants!$G$1+$AQ185+$AS185+$AT185+$AU185+$AW185)*(1/$AV185))*$AX185)</f>
        <v>74</v>
      </c>
      <c r="BF185" t="s">
        <v>325</v>
      </c>
      <c r="BG185" t="str">
        <f>VLOOKUP(G185,Eras!$A$2:$C$10, 2, TRUE)</f>
        <v>big4</v>
      </c>
      <c r="BH185" t="s">
        <v>372</v>
      </c>
      <c r="BI185" t="str">
        <f>CONCATENATE(BG185,"_",BH185)</f>
        <v>big4_DMU (Cheap)</v>
      </c>
      <c r="BJ185" t="s">
        <v>501</v>
      </c>
    </row>
    <row r="186" spans="1:62" x14ac:dyDescent="0.25">
      <c r="A186" t="s">
        <v>30</v>
      </c>
      <c r="B186" t="s">
        <v>330</v>
      </c>
      <c r="C186">
        <v>103</v>
      </c>
      <c r="D186" t="s">
        <v>304</v>
      </c>
      <c r="E186" t="s">
        <v>313</v>
      </c>
      <c r="F186" t="s">
        <v>316</v>
      </c>
      <c r="G186">
        <v>1934</v>
      </c>
      <c r="H186">
        <v>1951</v>
      </c>
      <c r="I186">
        <v>1967</v>
      </c>
      <c r="K186">
        <v>1250</v>
      </c>
      <c r="T186">
        <v>73.400000000000006</v>
      </c>
      <c r="U186" s="9">
        <v>46</v>
      </c>
      <c r="W186">
        <v>113</v>
      </c>
      <c r="X186" s="4">
        <f>IF(AND(T186&gt;0,W186&gt;0),(W186/((T186+U186)*10)),"")</f>
        <v>9.4639865996649919E-2</v>
      </c>
      <c r="Y186">
        <v>92</v>
      </c>
      <c r="Z186">
        <v>1</v>
      </c>
      <c r="AA186">
        <v>11.76</v>
      </c>
      <c r="AB186">
        <v>11.76</v>
      </c>
      <c r="AE186" s="11">
        <v>0</v>
      </c>
      <c r="AF186" t="str">
        <f>CONCATENATE(VLOOKUP(AG186, 'Voxel Sizes'!$A$2:$B$18,2,FALSE),"x",INT(AC186*15), "x", INT(AD186*15))</f>
        <v>120x0x0</v>
      </c>
      <c r="AG186">
        <f>ROUND(15*((AB186*10)/256),0)</f>
        <v>7</v>
      </c>
      <c r="AH186" t="s">
        <v>336</v>
      </c>
      <c r="AI186" t="str">
        <f>CONCATENATE(VLOOKUP(AG186,Constants!$A$2:$C$16,IF(AH186&lt;&gt;"", 3, 2), FALSE),IF(AH186&lt;&gt;"",CONCATENATE(",",VLOOKUP(AH186,$B:$AI,34,FALSE)),""))</f>
        <v>2,3,2,2,1,2</v>
      </c>
      <c r="AO186">
        <v>1</v>
      </c>
      <c r="AP186">
        <v>44</v>
      </c>
      <c r="AS186">
        <f t="shared" si="10"/>
        <v>18.399999999999999</v>
      </c>
      <c r="AT186">
        <f t="shared" si="11"/>
        <v>6.25</v>
      </c>
      <c r="AU186">
        <f t="shared" si="12"/>
        <v>5.6499999999999995</v>
      </c>
      <c r="AV186" s="4">
        <f t="shared" si="13"/>
        <v>0.72333333333333338</v>
      </c>
      <c r="AW186">
        <f t="shared" si="14"/>
        <v>0</v>
      </c>
      <c r="AX186">
        <f>VLOOKUP($E186,Constants!$I:$K, 2, FALSE)</f>
        <v>1.1499999999999999</v>
      </c>
      <c r="AY186">
        <f>VLOOKUP($E186,Constants!$I:$K, 3, FALSE)*IF(AND(D186="multiple_unit",Y186&lt;110),0.75,1)</f>
        <v>1.7</v>
      </c>
      <c r="AZ186">
        <f>INT(((Constants!$G$2+$AR186+$AS186+$AT186+$AU186+$AW186)*$AV186)*$AY186)</f>
        <v>55</v>
      </c>
      <c r="BA186">
        <f>INT(((Constants!$G$1+$AQ186+$AS186+$AT186+$AU186+$AW186)*(1/$AV186))*$AX186)</f>
        <v>103</v>
      </c>
      <c r="BG186" t="str">
        <f>VLOOKUP(G186,Eras!$A$2:$C$10, 2, TRUE)</f>
        <v>big4</v>
      </c>
      <c r="BH186" t="s">
        <v>369</v>
      </c>
      <c r="BI186" t="str">
        <f>CONCATENATE(BG186,"_",BH186)</f>
        <v>big4_Mixed Traffic</v>
      </c>
      <c r="BJ186" t="s">
        <v>410</v>
      </c>
    </row>
    <row r="187" spans="1:62" x14ac:dyDescent="0.25">
      <c r="A187" t="s">
        <v>32</v>
      </c>
      <c r="B187" t="s">
        <v>329</v>
      </c>
      <c r="C187">
        <v>105</v>
      </c>
      <c r="D187" t="s">
        <v>304</v>
      </c>
      <c r="E187" t="s">
        <v>313</v>
      </c>
      <c r="F187" t="s">
        <v>316</v>
      </c>
      <c r="G187">
        <v>1934</v>
      </c>
      <c r="H187">
        <v>1936</v>
      </c>
      <c r="I187">
        <v>1967</v>
      </c>
      <c r="K187">
        <v>1375</v>
      </c>
      <c r="T187">
        <v>80.8</v>
      </c>
      <c r="U187" s="9">
        <v>52</v>
      </c>
      <c r="W187">
        <v>118</v>
      </c>
      <c r="X187" s="4">
        <f>IF(AND(T187&gt;0,W187&gt;0),(W187/((T187+U187)*10)),"")</f>
        <v>8.8855421686746983E-2</v>
      </c>
      <c r="Y187">
        <v>95</v>
      </c>
      <c r="Z187">
        <v>1</v>
      </c>
      <c r="AA187">
        <v>12.09</v>
      </c>
      <c r="AB187">
        <v>12.09</v>
      </c>
      <c r="AE187" s="11">
        <v>0</v>
      </c>
      <c r="AF187" t="str">
        <f>CONCATENATE(VLOOKUP(AG187, 'Voxel Sizes'!$A$2:$B$18,2,FALSE),"x",INT(AC187*15), "x", INT(AD187*15))</f>
        <v>120x0x0</v>
      </c>
      <c r="AG187">
        <f>ROUND(15*((AB187*10)/256),0)</f>
        <v>7</v>
      </c>
      <c r="AH187" t="s">
        <v>331</v>
      </c>
      <c r="AI187" t="str">
        <f>CONCATENATE(VLOOKUP(AG187,Constants!$A$2:$C$16,IF(AH187&lt;&gt;"", 3, 2), FALSE),IF(AH187&lt;&gt;"",CONCATENATE(",",VLOOKUP(AH187,$B:$AI,34,FALSE)),""))</f>
        <v>2,3,2,2,1,2</v>
      </c>
      <c r="AO187">
        <v>1</v>
      </c>
      <c r="AP187">
        <v>44</v>
      </c>
      <c r="AS187">
        <f t="shared" si="10"/>
        <v>19</v>
      </c>
      <c r="AT187">
        <f t="shared" si="11"/>
        <v>6.875</v>
      </c>
      <c r="AU187">
        <f t="shared" si="12"/>
        <v>5.8999999999999995</v>
      </c>
      <c r="AV187" s="4">
        <f t="shared" si="13"/>
        <v>0.72333333333333338</v>
      </c>
      <c r="AW187">
        <f t="shared" si="14"/>
        <v>0</v>
      </c>
      <c r="AX187">
        <f>VLOOKUP($E187,Constants!$I:$K, 2, FALSE)</f>
        <v>1.1499999999999999</v>
      </c>
      <c r="AY187">
        <f>VLOOKUP($E187,Constants!$I:$K, 3, FALSE)*IF(AND(D187="multiple_unit",Y187&lt;110),0.75,1)</f>
        <v>1.7</v>
      </c>
      <c r="AZ187">
        <f>INT(((Constants!$G$2+$AR187+$AS187+$AT187+$AU187+$AW187)*$AV187)*$AY187)</f>
        <v>57</v>
      </c>
      <c r="BA187">
        <f>INT(((Constants!$G$1+$AQ187+$AS187+$AT187+$AU187+$AW187)*(1/$AV187))*$AX187)</f>
        <v>106</v>
      </c>
      <c r="BG187" t="str">
        <f>VLOOKUP(G187,Eras!$A$2:$C$10, 2, TRUE)</f>
        <v>big4</v>
      </c>
      <c r="BH187" t="s">
        <v>370</v>
      </c>
      <c r="BI187" t="str">
        <f>CONCATENATE(BG187,"_",BH187)</f>
        <v>big4_Express</v>
      </c>
      <c r="BJ187" t="s">
        <v>396</v>
      </c>
    </row>
    <row r="188" spans="1:62" x14ac:dyDescent="0.25">
      <c r="A188" t="s">
        <v>502</v>
      </c>
      <c r="B188" t="s">
        <v>193</v>
      </c>
      <c r="C188">
        <v>107</v>
      </c>
      <c r="D188" t="s">
        <v>304</v>
      </c>
      <c r="E188" t="s">
        <v>313</v>
      </c>
      <c r="F188" t="s">
        <v>316</v>
      </c>
      <c r="G188">
        <v>1935</v>
      </c>
      <c r="I188">
        <v>1968</v>
      </c>
      <c r="K188">
        <v>1300</v>
      </c>
      <c r="T188">
        <v>73</v>
      </c>
      <c r="U188" s="9">
        <v>46</v>
      </c>
      <c r="W188">
        <v>144</v>
      </c>
      <c r="X188" s="4">
        <f>IF(AND(T188&gt;0,W188&gt;0),(W188/((T188+U188)*10)),"")</f>
        <v>0.12100840336134454</v>
      </c>
      <c r="Y188">
        <v>70</v>
      </c>
      <c r="AA188">
        <v>19.22</v>
      </c>
      <c r="AB188">
        <f>19.22-7.46</f>
        <v>11.759999999999998</v>
      </c>
      <c r="AE188" s="11">
        <v>0</v>
      </c>
      <c r="AF188" t="str">
        <f>CONCATENATE(VLOOKUP(AG188, 'Voxel Sizes'!$A$2:$B$18,2,FALSE),"x",INT(AC188*15), "x", INT(AD188*15))</f>
        <v>120x0x0</v>
      </c>
      <c r="AG188">
        <f>ROUND(15*((AB188*10)/256),0)</f>
        <v>7</v>
      </c>
      <c r="AH188" t="s">
        <v>336</v>
      </c>
      <c r="AI188" t="str">
        <f>CONCATENATE(VLOOKUP(AG188,Constants!$A$2:$C$16,IF(AH188&lt;&gt;"", 3, 2), FALSE),IF(AH188&lt;&gt;"",CONCATENATE(",",VLOOKUP(AH188,$B:$AI,34,FALSE)),""))</f>
        <v>2,3,2,2,1,2</v>
      </c>
      <c r="AO188">
        <v>1</v>
      </c>
      <c r="AP188">
        <v>44</v>
      </c>
      <c r="AS188">
        <f t="shared" si="10"/>
        <v>14</v>
      </c>
      <c r="AT188">
        <f t="shared" si="11"/>
        <v>6.5</v>
      </c>
      <c r="AU188">
        <f t="shared" si="12"/>
        <v>7.1999999999999993</v>
      </c>
      <c r="AV188" s="4">
        <f t="shared" si="13"/>
        <v>0.72499999999999998</v>
      </c>
      <c r="AW188">
        <f t="shared" si="14"/>
        <v>0</v>
      </c>
      <c r="AX188">
        <f>VLOOKUP($E188,Constants!$I:$K, 2, FALSE)</f>
        <v>1.1499999999999999</v>
      </c>
      <c r="AY188">
        <f>VLOOKUP($E188,Constants!$I:$K, 3, FALSE)*IF(AND(D188="multiple_unit",Y188&lt;110),0.75,1)</f>
        <v>1.7</v>
      </c>
      <c r="AZ188">
        <f>INT(((Constants!$G$2+$AR188+$AS188+$AT188+$AU188+$AW188)*$AV188)*$AY188)</f>
        <v>52</v>
      </c>
      <c r="BA188">
        <f>INT(((Constants!$G$1+$AQ188+$AS188+$AT188+$AU188+$AW188)*(1/$AV188))*$AX188)</f>
        <v>99</v>
      </c>
      <c r="BG188" t="str">
        <f>VLOOKUP(G188,Eras!$A$2:$C$10, 2, TRUE)</f>
        <v>big4</v>
      </c>
      <c r="BH188" t="s">
        <v>371</v>
      </c>
      <c r="BI188" t="str">
        <f>CONCATENATE(BG188,"_",BH188)</f>
        <v>big4_Freight</v>
      </c>
      <c r="BJ188" t="s">
        <v>503</v>
      </c>
    </row>
    <row r="189" spans="1:62" x14ac:dyDescent="0.25">
      <c r="A189" t="s">
        <v>27</v>
      </c>
      <c r="B189" t="s">
        <v>505</v>
      </c>
      <c r="C189">
        <v>109</v>
      </c>
      <c r="D189" t="s">
        <v>304</v>
      </c>
      <c r="E189" t="s">
        <v>313</v>
      </c>
      <c r="F189" t="s">
        <v>316</v>
      </c>
      <c r="G189">
        <v>1935</v>
      </c>
      <c r="H189">
        <v>1938</v>
      </c>
      <c r="I189">
        <v>1966</v>
      </c>
      <c r="K189">
        <v>2450</v>
      </c>
      <c r="T189">
        <v>104.6</v>
      </c>
      <c r="U189" s="9">
        <v>64</v>
      </c>
      <c r="W189">
        <v>157</v>
      </c>
      <c r="X189" s="4">
        <f>IF(AND(T189&gt;0,W189&gt;0),(W189/((T189+U189)*10)),"")</f>
        <v>9.3119810201660741E-2</v>
      </c>
      <c r="Y189">
        <v>126</v>
      </c>
      <c r="Z189">
        <v>1</v>
      </c>
      <c r="AA189">
        <v>21.65</v>
      </c>
      <c r="AB189">
        <f>AA189-7.5</f>
        <v>14.149999999999999</v>
      </c>
      <c r="AD189">
        <v>3.99</v>
      </c>
      <c r="AE189" s="11">
        <v>0</v>
      </c>
      <c r="AF189" t="str">
        <f>CONCATENATE(VLOOKUP(AG189, 'Voxel Sizes'!$A$2:$B$18,2,FALSE),"x",INT(AC189*15), "x", INT(AD189*15))</f>
        <v>136x0x59</v>
      </c>
      <c r="AG189">
        <f>ROUND(15*((AB189*10)/256),0)</f>
        <v>8</v>
      </c>
      <c r="AH189" t="s">
        <v>487</v>
      </c>
      <c r="AI189" t="str">
        <f>CONCATENATE(VLOOKUP(AG189,Constants!$A$2:$C$16,IF(AH189&lt;&gt;"", 3, 2), FALSE),IF(AH189&lt;&gt;"",CONCATENATE(",",VLOOKUP(AH189,$B:$AI,34,FALSE)),""))</f>
        <v>2,4,2,2,1,2</v>
      </c>
      <c r="AO189">
        <v>1</v>
      </c>
      <c r="AP189">
        <v>38</v>
      </c>
      <c r="AS189">
        <f t="shared" si="10"/>
        <v>25.2</v>
      </c>
      <c r="AT189">
        <f t="shared" si="11"/>
        <v>12.25</v>
      </c>
      <c r="AU189">
        <f t="shared" si="12"/>
        <v>7.8500000000000005</v>
      </c>
      <c r="AV189" s="4">
        <f t="shared" si="13"/>
        <v>0.72499999999999998</v>
      </c>
      <c r="AW189">
        <f t="shared" si="14"/>
        <v>0</v>
      </c>
      <c r="AX189">
        <f>VLOOKUP($E189,Constants!$I:$K, 2, FALSE)</f>
        <v>1.1499999999999999</v>
      </c>
      <c r="AY189">
        <f>VLOOKUP($E189,Constants!$I:$K, 3, FALSE)*IF(AND(D189="multiple_unit",Y189&lt;110),0.75,1)</f>
        <v>1.7</v>
      </c>
      <c r="AZ189">
        <f>INT(((Constants!$G$2+$AR189+$AS189+$AT189+$AU189+$AW189)*$AV189)*$AY189)</f>
        <v>74</v>
      </c>
      <c r="BA189">
        <f>INT(((Constants!$G$1+$AQ189+$AS189+$AT189+$AU189+$AW189)*(1/$AV189))*$AX189)</f>
        <v>127</v>
      </c>
      <c r="BG189" t="str">
        <f>VLOOKUP(G189,Eras!$A$2:$C$10, 2, TRUE)</f>
        <v>big4</v>
      </c>
      <c r="BH189" t="s">
        <v>370</v>
      </c>
      <c r="BI189" t="str">
        <f>CONCATENATE(BG189,"_",BH189)</f>
        <v>big4_Express</v>
      </c>
      <c r="BJ189" t="s">
        <v>504</v>
      </c>
    </row>
    <row r="190" spans="1:62" x14ac:dyDescent="0.25">
      <c r="A190" t="s">
        <v>14</v>
      </c>
      <c r="B190" t="s">
        <v>506</v>
      </c>
      <c r="C190">
        <v>111</v>
      </c>
      <c r="D190" t="s">
        <v>304</v>
      </c>
      <c r="E190" t="s">
        <v>313</v>
      </c>
      <c r="F190" t="s">
        <v>316</v>
      </c>
      <c r="G190">
        <v>1936</v>
      </c>
      <c r="H190">
        <v>1944</v>
      </c>
      <c r="I190">
        <v>1966</v>
      </c>
      <c r="K190">
        <v>1900</v>
      </c>
      <c r="M190" s="6">
        <v>18.5</v>
      </c>
      <c r="N190" s="6">
        <v>26</v>
      </c>
      <c r="O190" s="6">
        <v>3</v>
      </c>
      <c r="P190" s="6">
        <v>220</v>
      </c>
      <c r="Q190" s="7">
        <f>((($Y190/2)/60)*5280)/($R190*3.2*PI())</f>
        <v>216.509982424214</v>
      </c>
      <c r="R190" s="6">
        <v>1.88</v>
      </c>
      <c r="S190" s="6">
        <f>((($M190*$M190/4)*PI())*($N190/12)*$O190*$P190*$Q190)/(33000*1.1)</f>
        <v>2292.6653922872338</v>
      </c>
      <c r="T190">
        <v>91</v>
      </c>
      <c r="U190" s="9">
        <v>54</v>
      </c>
      <c r="W190">
        <v>150</v>
      </c>
      <c r="X190" s="4">
        <f>IF(AND(T190&gt;0,W190&gt;0),(W190/((T190+U190)*10)),"")</f>
        <v>0.10344827586206896</v>
      </c>
      <c r="Y190">
        <v>93</v>
      </c>
      <c r="Z190">
        <v>1</v>
      </c>
      <c r="AA190">
        <v>20.239999999999998</v>
      </c>
      <c r="AB190">
        <f>AA190-7.5</f>
        <v>12.739999999999998</v>
      </c>
      <c r="AE190" s="11">
        <v>0</v>
      </c>
      <c r="AF190" t="str">
        <f>CONCATENATE(VLOOKUP(AG190, 'Voxel Sizes'!$A$2:$B$18,2,FALSE),"x",INT(AC190*15), "x", INT(AD190*15))</f>
        <v>120x0x0</v>
      </c>
      <c r="AG190">
        <f>ROUND(15*((AB190*10)/256),0)</f>
        <v>7</v>
      </c>
      <c r="AH190" t="s">
        <v>487</v>
      </c>
      <c r="AI190" t="str">
        <f>CONCATENATE(VLOOKUP(AG190,Constants!$A$2:$C$16,IF(AH190&lt;&gt;"", 3, 2), FALSE),IF(AH190&lt;&gt;"",CONCATENATE(",",VLOOKUP(AH190,$B:$AI,34,FALSE)),""))</f>
        <v>2,3,2,2,1,2</v>
      </c>
      <c r="AO190">
        <v>1</v>
      </c>
      <c r="AP190">
        <v>42</v>
      </c>
      <c r="AS190">
        <f t="shared" si="10"/>
        <v>18.600000000000001</v>
      </c>
      <c r="AT190">
        <f t="shared" si="11"/>
        <v>9.5</v>
      </c>
      <c r="AU190">
        <f t="shared" si="12"/>
        <v>7.5</v>
      </c>
      <c r="AV190" s="4">
        <f t="shared" si="13"/>
        <v>0.72666666666666668</v>
      </c>
      <c r="AW190">
        <f t="shared" si="14"/>
        <v>0</v>
      </c>
      <c r="AX190">
        <f>VLOOKUP($E190,Constants!$I:$K, 2, FALSE)</f>
        <v>1.1499999999999999</v>
      </c>
      <c r="AY190">
        <f>VLOOKUP($E190,Constants!$I:$K, 3, FALSE)*IF(AND(D190="multiple_unit",Y190&lt;110),0.75,1)</f>
        <v>1.7</v>
      </c>
      <c r="AZ190">
        <f>INT(((Constants!$G$2+$AR190+$AS190+$AT190+$AU190+$AW190)*$AV190)*$AY190)</f>
        <v>62</v>
      </c>
      <c r="BA190">
        <f>INT(((Constants!$G$1+$AQ190+$AS190+$AT190+$AU190+$AW190)*(1/$AV190))*$AX190)</f>
        <v>111</v>
      </c>
      <c r="BG190" t="str">
        <f>VLOOKUP(G190,Eras!$A$2:$C$10, 2, TRUE)</f>
        <v>big4</v>
      </c>
      <c r="BH190" t="s">
        <v>369</v>
      </c>
      <c r="BI190" t="str">
        <f>CONCATENATE(BG190,"_",BH190)</f>
        <v>big4_Mixed Traffic</v>
      </c>
      <c r="BJ190" t="s">
        <v>507</v>
      </c>
    </row>
    <row r="191" spans="1:62" x14ac:dyDescent="0.25">
      <c r="A191" t="s">
        <v>23</v>
      </c>
      <c r="B191" t="s">
        <v>508</v>
      </c>
      <c r="C191">
        <v>113</v>
      </c>
      <c r="D191" t="s">
        <v>304</v>
      </c>
      <c r="E191" t="s">
        <v>313</v>
      </c>
      <c r="F191" t="s">
        <v>316</v>
      </c>
      <c r="G191">
        <v>1936</v>
      </c>
      <c r="H191">
        <v>1939</v>
      </c>
      <c r="I191">
        <v>1965</v>
      </c>
      <c r="K191">
        <v>1600</v>
      </c>
      <c r="M191" s="6">
        <v>18.5</v>
      </c>
      <c r="N191" s="6">
        <v>30</v>
      </c>
      <c r="O191" s="6">
        <v>2</v>
      </c>
      <c r="P191" s="6">
        <v>225</v>
      </c>
      <c r="Q191" s="7">
        <f>((($Y191/2)/60)*5280)/($R191*3.2*PI())</f>
        <v>193.09239419237301</v>
      </c>
      <c r="R191" s="6">
        <v>1.7</v>
      </c>
      <c r="S191" s="6">
        <f>((($M191*$M191/4)*PI())*($N191/12)*$O191*$P191*$Q191)/(33000*1.1)</f>
        <v>1608.5864388368984</v>
      </c>
      <c r="T191">
        <v>75.2</v>
      </c>
      <c r="U191" s="9">
        <v>48</v>
      </c>
      <c r="W191">
        <v>128</v>
      </c>
      <c r="X191" s="4">
        <f>IF(AND(T191&gt;0,W191&gt;0),(W191/((T191+U191)*10)),"")</f>
        <v>0.1038961038961039</v>
      </c>
      <c r="Y191">
        <v>75</v>
      </c>
      <c r="AA191">
        <v>19.21</v>
      </c>
      <c r="AB191">
        <f>AA191-7.5</f>
        <v>11.71</v>
      </c>
      <c r="AD191">
        <v>3.96</v>
      </c>
      <c r="AE191" s="11">
        <v>0</v>
      </c>
      <c r="AF191" t="str">
        <f>CONCATENATE(VLOOKUP(AG191, 'Voxel Sizes'!$A$2:$B$18,2,FALSE),"x",INT(AC191*15), "x", INT(AD191*15))</f>
        <v>120x0x59</v>
      </c>
      <c r="AG191">
        <f>ROUND(15*((AB191*10)/256),0)</f>
        <v>7</v>
      </c>
      <c r="AH191" t="s">
        <v>472</v>
      </c>
      <c r="AI191" t="str">
        <f>CONCATENATE(VLOOKUP(AG191,Constants!$A$2:$C$16,IF(AH191&lt;&gt;"", 3, 2), FALSE),IF(AH191&lt;&gt;"",CONCATENATE(",",VLOOKUP(AH191,$B:$AI,34,FALSE)),""))</f>
        <v>2,3,2,2,1,2</v>
      </c>
      <c r="AO191">
        <v>1</v>
      </c>
      <c r="AP191">
        <v>40</v>
      </c>
      <c r="AS191">
        <f t="shared" si="10"/>
        <v>15</v>
      </c>
      <c r="AT191">
        <f t="shared" si="11"/>
        <v>8</v>
      </c>
      <c r="AU191">
        <f t="shared" si="12"/>
        <v>6.4</v>
      </c>
      <c r="AV191" s="4">
        <f t="shared" si="13"/>
        <v>0.72666666666666668</v>
      </c>
      <c r="AW191">
        <f t="shared" si="14"/>
        <v>0</v>
      </c>
      <c r="AX191">
        <f>VLOOKUP($E191,Constants!$I:$K, 2, FALSE)</f>
        <v>1.1499999999999999</v>
      </c>
      <c r="AY191">
        <f>VLOOKUP($E191,Constants!$I:$K, 3, FALSE)*IF(AND(D191="multiple_unit",Y191&lt;110),0.75,1)</f>
        <v>1.7</v>
      </c>
      <c r="AZ191">
        <f>INT(((Constants!$G$2+$AR191+$AS191+$AT191+$AU191+$AW191)*$AV191)*$AY191)</f>
        <v>54</v>
      </c>
      <c r="BA191">
        <f>INT(((Constants!$G$1+$AQ191+$AS191+$AT191+$AU191+$AW191)*(1/$AV191))*$AX191)</f>
        <v>101</v>
      </c>
      <c r="BG191" t="str">
        <f>VLOOKUP(G191,Eras!$A$2:$C$10, 2, TRUE)</f>
        <v>big4</v>
      </c>
      <c r="BH191" t="s">
        <v>369</v>
      </c>
      <c r="BI191" t="str">
        <f>CONCATENATE(BG191,"_",BH191)</f>
        <v>big4_Mixed Traffic</v>
      </c>
      <c r="BJ191" t="s">
        <v>510</v>
      </c>
    </row>
    <row r="192" spans="1:62" x14ac:dyDescent="0.25">
      <c r="A192" t="s">
        <v>33</v>
      </c>
      <c r="B192" t="s">
        <v>509</v>
      </c>
      <c r="C192">
        <v>115</v>
      </c>
      <c r="D192" t="s">
        <v>304</v>
      </c>
      <c r="E192" t="s">
        <v>313</v>
      </c>
      <c r="F192" t="s">
        <v>316</v>
      </c>
      <c r="G192">
        <v>1937</v>
      </c>
      <c r="H192">
        <v>1948</v>
      </c>
      <c r="I192">
        <v>1964</v>
      </c>
      <c r="K192">
        <v>2500</v>
      </c>
      <c r="T192">
        <v>110</v>
      </c>
      <c r="U192" s="9">
        <v>57</v>
      </c>
      <c r="W192">
        <v>180</v>
      </c>
      <c r="X192" s="4">
        <f>IF(AND(T192&gt;0,W192&gt;0),(W192/((T192+U192)*10)),"")</f>
        <v>0.10778443113772455</v>
      </c>
      <c r="Y192">
        <v>115</v>
      </c>
      <c r="Z192">
        <v>1</v>
      </c>
      <c r="AA192">
        <v>22.49</v>
      </c>
      <c r="AB192">
        <f>AA192-7.5</f>
        <v>14.989999999999998</v>
      </c>
      <c r="AD192">
        <v>4.0389999999999997</v>
      </c>
      <c r="AE192" s="11">
        <v>0</v>
      </c>
      <c r="AF192" t="str">
        <f>CONCATENATE(VLOOKUP(AG192, 'Voxel Sizes'!$A$2:$B$18,2,FALSE),"x",INT(AC192*15), "x", INT(AD192*15))</f>
        <v>152x0x60</v>
      </c>
      <c r="AG192">
        <f>ROUND(15*((AB192*10)/256),0)</f>
        <v>9</v>
      </c>
      <c r="AH192" t="s">
        <v>512</v>
      </c>
      <c r="AI192" t="str">
        <f>CONCATENATE(VLOOKUP(AG192,Constants!$A$2:$C$16,IF(AH192&lt;&gt;"", 3, 2), FALSE),IF(AH192&lt;&gt;"",CONCATENATE(",",VLOOKUP(AH192,$B:$AI,34,FALSE)),""))</f>
        <v>2,5,2,2,1,2</v>
      </c>
      <c r="AO192">
        <v>1</v>
      </c>
      <c r="AP192">
        <v>45</v>
      </c>
      <c r="AS192">
        <f t="shared" si="10"/>
        <v>23</v>
      </c>
      <c r="AT192">
        <f t="shared" si="11"/>
        <v>12.5</v>
      </c>
      <c r="AU192">
        <f t="shared" si="12"/>
        <v>9</v>
      </c>
      <c r="AV192" s="4">
        <f t="shared" si="13"/>
        <v>0.72833333333333339</v>
      </c>
      <c r="AW192">
        <f t="shared" si="14"/>
        <v>0</v>
      </c>
      <c r="AX192">
        <f>VLOOKUP($E192,Constants!$I:$K, 2, FALSE)</f>
        <v>1.1499999999999999</v>
      </c>
      <c r="AY192">
        <f>VLOOKUP($E192,Constants!$I:$K, 3, FALSE)*IF(AND(D192="multiple_unit",Y192&lt;110),0.75,1)</f>
        <v>1.7</v>
      </c>
      <c r="AZ192">
        <f>INT(((Constants!$G$2+$AR192+$AS192+$AT192+$AU192+$AW192)*$AV192)*$AY192)</f>
        <v>73</v>
      </c>
      <c r="BA192">
        <f>INT(((Constants!$G$1+$AQ192+$AS192+$AT192+$AU192+$AW192)*(1/$AV192))*$AX192)</f>
        <v>125</v>
      </c>
      <c r="BG192" t="str">
        <f>VLOOKUP(G192,Eras!$A$2:$C$10, 2, TRUE)</f>
        <v>big4</v>
      </c>
      <c r="BH192" t="s">
        <v>370</v>
      </c>
      <c r="BI192" t="str">
        <f>CONCATENATE(BG192,"_",BH192)</f>
        <v>big4_Express</v>
      </c>
      <c r="BJ192" t="s">
        <v>511</v>
      </c>
    </row>
    <row r="193" spans="1:62" x14ac:dyDescent="0.25">
      <c r="A193" t="s">
        <v>36</v>
      </c>
      <c r="B193" t="s">
        <v>522</v>
      </c>
      <c r="C193">
        <v>121</v>
      </c>
      <c r="D193" t="s">
        <v>304</v>
      </c>
      <c r="E193" t="s">
        <v>313</v>
      </c>
      <c r="F193" t="s">
        <v>316</v>
      </c>
      <c r="G193">
        <v>1941</v>
      </c>
      <c r="H193">
        <v>1949</v>
      </c>
      <c r="I193">
        <v>1967</v>
      </c>
      <c r="K193">
        <v>2100</v>
      </c>
      <c r="M193" s="6">
        <v>18</v>
      </c>
      <c r="N193" s="6">
        <v>24</v>
      </c>
      <c r="O193" s="6">
        <v>3</v>
      </c>
      <c r="P193" s="6">
        <v>250</v>
      </c>
      <c r="Q193" s="7">
        <f>((($Y193/2)/60)*5280)/($R193*3.2*PI())</f>
        <v>241.87363061991991</v>
      </c>
      <c r="R193" s="6">
        <v>1.9</v>
      </c>
      <c r="S193" s="6">
        <f>((($M193*$M193/4)*PI())*($N193/12)*$O193*$P193*$Q193)/(33000*1.1)</f>
        <v>2543.3612440191391</v>
      </c>
      <c r="T193">
        <v>96.3</v>
      </c>
      <c r="U193" s="9">
        <v>52</v>
      </c>
      <c r="W193">
        <v>167</v>
      </c>
      <c r="X193" s="4">
        <f>IF(AND(T193&gt;0,W193&gt;0),(W193/((T193+U193)*10)),"")</f>
        <v>0.11260957518543493</v>
      </c>
      <c r="Y193">
        <v>105</v>
      </c>
      <c r="Z193">
        <v>1</v>
      </c>
      <c r="AA193">
        <v>21.23</v>
      </c>
      <c r="AB193">
        <f>AA193-7.5</f>
        <v>13.73</v>
      </c>
      <c r="AE193" s="11">
        <v>0</v>
      </c>
      <c r="AF193" t="str">
        <f>CONCATENATE(VLOOKUP(AG193, 'Voxel Sizes'!$A$2:$B$18,2,FALSE),"x",INT(AC193*15), "x", INT(AD193*15))</f>
        <v>136x0x0</v>
      </c>
      <c r="AG193">
        <f>ROUND(15*((AB193*10)/256),0)</f>
        <v>8</v>
      </c>
      <c r="AH193" t="s">
        <v>521</v>
      </c>
      <c r="AI193" t="str">
        <f>CONCATENATE(VLOOKUP(AG193,Constants!$A$2:$C$16,IF(AH193&lt;&gt;"", 3, 2), FALSE),IF(AH193&lt;&gt;"",CONCATENATE(",",VLOOKUP(AH193,$B:$AI,34,FALSE)),""))</f>
        <v>2,4,2,2,1,2</v>
      </c>
      <c r="AO193">
        <v>1</v>
      </c>
      <c r="AP193">
        <v>42</v>
      </c>
      <c r="AS193">
        <f t="shared" si="10"/>
        <v>21</v>
      </c>
      <c r="AT193">
        <f t="shared" si="11"/>
        <v>10.5</v>
      </c>
      <c r="AU193">
        <f t="shared" si="12"/>
        <v>8.35</v>
      </c>
      <c r="AV193" s="4">
        <f t="shared" si="13"/>
        <v>0.73499999999999999</v>
      </c>
      <c r="AW193">
        <f t="shared" si="14"/>
        <v>0</v>
      </c>
      <c r="AX193">
        <f>VLOOKUP($E193,Constants!$I:$K, 2, FALSE)</f>
        <v>1.1499999999999999</v>
      </c>
      <c r="AY193">
        <f>VLOOKUP($E193,Constants!$I:$K, 3, FALSE)*IF(AND(D193="multiple_unit",Y193&lt;110),0.75,1)</f>
        <v>1.7</v>
      </c>
      <c r="AZ193">
        <f>INT(((Constants!$G$2+$AR193+$AS193+$AT193+$AU193+$AW193)*$AV193)*$AY193)</f>
        <v>68</v>
      </c>
      <c r="BA193">
        <f>INT(((Constants!$G$1+$AQ193+$AS193+$AT193+$AU193+$AW193)*(1/$AV193))*$AX193)</f>
        <v>117</v>
      </c>
      <c r="BG193" t="str">
        <f>VLOOKUP(G193,Eras!$A$2:$C$10, 2, TRUE)</f>
        <v>big4</v>
      </c>
      <c r="BH193" t="s">
        <v>370</v>
      </c>
      <c r="BI193" t="str">
        <f>CONCATENATE(BG193,"_",BH193)</f>
        <v>big4_Express</v>
      </c>
      <c r="BJ193" t="s">
        <v>523</v>
      </c>
    </row>
    <row r="194" spans="1:62" x14ac:dyDescent="0.25">
      <c r="A194" t="s">
        <v>68</v>
      </c>
      <c r="B194" t="s">
        <v>194</v>
      </c>
      <c r="C194">
        <v>123</v>
      </c>
      <c r="D194" t="s">
        <v>304</v>
      </c>
      <c r="E194" t="s">
        <v>338</v>
      </c>
      <c r="F194" t="s">
        <v>345</v>
      </c>
      <c r="G194">
        <v>1941</v>
      </c>
      <c r="H194">
        <v>1948</v>
      </c>
      <c r="I194">
        <v>1968</v>
      </c>
      <c r="K194">
        <v>1470</v>
      </c>
      <c r="T194">
        <v>101</v>
      </c>
      <c r="W194">
        <v>178</v>
      </c>
      <c r="X194" s="4">
        <f>IF(AND(T194&gt;0,W194&gt;0),(W194/((T194+U194)*10)),"")</f>
        <v>0.17623762376237623</v>
      </c>
      <c r="Y194">
        <v>75</v>
      </c>
      <c r="Z194">
        <v>1</v>
      </c>
      <c r="AA194">
        <v>17</v>
      </c>
      <c r="AB194">
        <v>17</v>
      </c>
      <c r="AE194" s="11">
        <v>0</v>
      </c>
      <c r="AF194" t="str">
        <f>CONCATENATE(VLOOKUP(AG194, 'Voxel Sizes'!$A$2:$B$18,2,FALSE),"x",INT(AC194*15), "x", INT(AD194*15))</f>
        <v>164x0x0</v>
      </c>
      <c r="AG194">
        <f>ROUND(15*((AB194*10)/256),0)</f>
        <v>10</v>
      </c>
      <c r="AI194" t="str">
        <f>CONCATENATE(VLOOKUP(AG194,Constants!$A$2:$C$16,IF(AH194&lt;&gt;"", 3, 2), FALSE),IF(AH194&lt;&gt;"",CONCATENATE(",",VLOOKUP(AH194,$B:$AI,34,FALSE)),""))</f>
        <v>4,2,4</v>
      </c>
      <c r="AP194">
        <v>41</v>
      </c>
      <c r="AS194">
        <f t="shared" si="10"/>
        <v>15</v>
      </c>
      <c r="AT194">
        <f t="shared" si="11"/>
        <v>7.35</v>
      </c>
      <c r="AU194">
        <f t="shared" si="12"/>
        <v>8.9</v>
      </c>
      <c r="AV194" s="4">
        <f t="shared" si="13"/>
        <v>0.73499999999999999</v>
      </c>
      <c r="AW194">
        <f t="shared" si="14"/>
        <v>0</v>
      </c>
      <c r="AX194">
        <f>VLOOKUP($E194,Constants!$I:$K, 2, FALSE)</f>
        <v>0.85</v>
      </c>
      <c r="AY194">
        <f>VLOOKUP($E194,Constants!$I:$K, 3, FALSE)*IF(AND(D194="multiple_unit",Y194&lt;110),0.75,1)</f>
        <v>2.2999999999999998</v>
      </c>
      <c r="AZ194">
        <f>INT(((Constants!$G$2+$AR194+$AS194+$AT194+$AU194+$AW194)*$AV194)*$AY194)</f>
        <v>78</v>
      </c>
      <c r="BA194">
        <f>INT(((Constants!$G$1+$AQ194+$AS194+$AT194+$AU194+$AW194)*(1/$AV194))*$AX194)</f>
        <v>76</v>
      </c>
      <c r="BG194" t="str">
        <f>VLOOKUP(G194,Eras!$A$2:$C$10, 2, TRUE)</f>
        <v>big4</v>
      </c>
      <c r="BH194" t="s">
        <v>379</v>
      </c>
      <c r="BI194" t="str">
        <f>CONCATENATE(BG194,"_",BH194)</f>
        <v>big4_MT (Electric)</v>
      </c>
      <c r="BJ194" t="s">
        <v>524</v>
      </c>
    </row>
    <row r="195" spans="1:62" x14ac:dyDescent="0.25">
      <c r="A195" t="s">
        <v>40</v>
      </c>
      <c r="B195" t="s">
        <v>525</v>
      </c>
      <c r="C195">
        <v>127</v>
      </c>
      <c r="D195" t="s">
        <v>304</v>
      </c>
      <c r="E195" t="s">
        <v>313</v>
      </c>
      <c r="F195" t="s">
        <v>316</v>
      </c>
      <c r="G195">
        <v>1942</v>
      </c>
      <c r="H195">
        <v>1942</v>
      </c>
      <c r="I195">
        <v>1966</v>
      </c>
      <c r="K195">
        <v>1600</v>
      </c>
      <c r="M195" s="6">
        <v>19</v>
      </c>
      <c r="N195" s="6">
        <v>26</v>
      </c>
      <c r="O195" s="6">
        <v>2</v>
      </c>
      <c r="P195" s="6">
        <v>230</v>
      </c>
      <c r="Q195" s="7">
        <f>((($Y195/2)/60)*5280)/($R195*3.2*PI())</f>
        <v>218.83804675135607</v>
      </c>
      <c r="R195" s="6">
        <v>1.5</v>
      </c>
      <c r="S195" s="6">
        <f>((($M195*$M195/4)*PI())*($N195/12)*$O195*$P195*$Q195)/(33000*1.1)</f>
        <v>1703.5827020202014</v>
      </c>
      <c r="T195">
        <v>50.3</v>
      </c>
      <c r="U195" s="9">
        <f>90.7-T195</f>
        <v>40.400000000000006</v>
      </c>
      <c r="W195">
        <v>134</v>
      </c>
      <c r="X195" s="4">
        <f>IF(AND(T195&gt;0,W195&gt;0),(W195/((T195+U195)*10)),"")</f>
        <v>0.14773980154355015</v>
      </c>
      <c r="Y195">
        <v>75</v>
      </c>
      <c r="Z195">
        <v>1</v>
      </c>
      <c r="AA195">
        <v>16.73</v>
      </c>
      <c r="AB195">
        <v>10</v>
      </c>
      <c r="AE195" s="11">
        <v>0</v>
      </c>
      <c r="AF195" t="str">
        <f>CONCATENATE(VLOOKUP(AG195, 'Voxel Sizes'!$A$2:$B$18,2,FALSE),"x",INT(AC195*15), "x", INT(AD195*15))</f>
        <v>102x0x0</v>
      </c>
      <c r="AG195">
        <f>ROUND(15*((AB195*10)/256),0)</f>
        <v>6</v>
      </c>
      <c r="AH195" t="s">
        <v>527</v>
      </c>
      <c r="AI195" t="str">
        <f>CONCATENATE(VLOOKUP(AG195,Constants!$A$2:$C$16,IF(AH195&lt;&gt;"", 3, 2), FALSE),IF(AH195&lt;&gt;"",CONCATENATE(",",VLOOKUP(AH195,$B:$AI,34,FALSE)),""))</f>
        <v>2,2,2,1,2,1</v>
      </c>
      <c r="AO195">
        <v>1</v>
      </c>
      <c r="AP195">
        <v>35</v>
      </c>
      <c r="AS195">
        <f t="shared" ref="AS195:AS248" si="15">MIN(Y195/150, 1)*30</f>
        <v>15</v>
      </c>
      <c r="AT195">
        <f t="shared" ref="AT195:AT248" si="16">MIN(K195/4000, 1)*20</f>
        <v>8</v>
      </c>
      <c r="AU195">
        <f t="shared" ref="AU195:AU248" si="17">MIN(W195/400,1)*20</f>
        <v>6.7</v>
      </c>
      <c r="AV195" s="4">
        <f t="shared" ref="AV195:AV248" si="18">IF(D195="WAGON",0.85,MAX(0.5,MIN((G195-1500)/600, 1)))</f>
        <v>0.73666666666666669</v>
      </c>
      <c r="AW195">
        <f t="shared" ref="AW195:AW248" si="19">((MAX($J195,1)*MIN($AE195/300,1)))*IF(D195="Wagon",50,10)</f>
        <v>0</v>
      </c>
      <c r="AX195">
        <f>VLOOKUP($E195,Constants!$I:$K, 2, FALSE)</f>
        <v>1.1499999999999999</v>
      </c>
      <c r="AY195">
        <f>VLOOKUP($E195,Constants!$I:$K, 3, FALSE)*IF(AND(D195="multiple_unit",Y195&lt;110),0.75,1)</f>
        <v>1.7</v>
      </c>
      <c r="AZ195">
        <f>INT(((Constants!$G$2+$AR195+$AS195+$AT195+$AU195+$AW195)*$AV195)*$AY195)</f>
        <v>55</v>
      </c>
      <c r="BA195">
        <f>INT(((Constants!$G$1+$AQ195+$AS195+$AT195+$AU195+$AW195)*(1/$AV195))*$AX195)</f>
        <v>101</v>
      </c>
      <c r="BG195" t="str">
        <f>VLOOKUP(G195,Eras!$A$2:$C$10, 2, TRUE)</f>
        <v>big4</v>
      </c>
      <c r="BH195" t="s">
        <v>368</v>
      </c>
      <c r="BI195" t="str">
        <f>CONCATENATE(BG195,"_",BH195)</f>
        <v>big4_Cheap</v>
      </c>
      <c r="BJ195" t="s">
        <v>526</v>
      </c>
    </row>
    <row r="196" spans="1:62" x14ac:dyDescent="0.25">
      <c r="A196" t="s">
        <v>529</v>
      </c>
      <c r="B196" t="s">
        <v>254</v>
      </c>
      <c r="C196">
        <v>129</v>
      </c>
      <c r="D196" t="s">
        <v>304</v>
      </c>
      <c r="E196" t="s">
        <v>313</v>
      </c>
      <c r="F196" t="s">
        <v>316</v>
      </c>
      <c r="G196">
        <v>1943</v>
      </c>
      <c r="H196">
        <v>1964</v>
      </c>
      <c r="I196">
        <v>1967</v>
      </c>
      <c r="K196">
        <v>500</v>
      </c>
      <c r="M196" s="6">
        <v>18</v>
      </c>
      <c r="N196" s="6">
        <v>26</v>
      </c>
      <c r="O196" s="6">
        <v>2</v>
      </c>
      <c r="P196" s="6">
        <v>170</v>
      </c>
      <c r="Q196" s="7">
        <f>((($Y196/2)/60)*5280)/($R196*3.2*PI())</f>
        <v>94.268697062122627</v>
      </c>
      <c r="R196" s="6">
        <v>1.3</v>
      </c>
      <c r="S196" s="6">
        <f>((($M196*$M196/4)*PI())*($N196/12)*$O196*$P196*$Q196)/(33000*1.1)</f>
        <v>486.8181818181817</v>
      </c>
      <c r="T196">
        <v>49</v>
      </c>
      <c r="W196">
        <v>106</v>
      </c>
      <c r="X196" s="4">
        <f>IF(AND(T196&gt;0,W196&gt;0),(W196/((T196+U196)*10)),"")</f>
        <v>0.21632653061224491</v>
      </c>
      <c r="Y196">
        <v>28</v>
      </c>
      <c r="Z196">
        <v>1</v>
      </c>
      <c r="AA196">
        <v>9.25</v>
      </c>
      <c r="AB196">
        <v>9.25</v>
      </c>
      <c r="AE196" s="11">
        <v>0</v>
      </c>
      <c r="AF196" t="str">
        <f>CONCATENATE(VLOOKUP(AG196, 'Voxel Sizes'!$A$2:$B$18,2,FALSE),"x",INT(AC196*15), "x", INT(AD196*15))</f>
        <v>82x0x0</v>
      </c>
      <c r="AG196">
        <f>ROUND(15*((AB196*10)/256),0)</f>
        <v>5</v>
      </c>
      <c r="AI196" t="str">
        <f>CONCATENATE(VLOOKUP(AG196,Constants!$A$2:$C$16,IF(AH196&lt;&gt;"", 3, 2), FALSE),IF(AH196&lt;&gt;"",CONCATENATE(",",VLOOKUP(AH196,$B:$AI,34,FALSE)),""))</f>
        <v>2,1,2</v>
      </c>
      <c r="AO196">
        <v>1</v>
      </c>
      <c r="AP196">
        <v>33</v>
      </c>
      <c r="AS196">
        <f t="shared" si="15"/>
        <v>5.6000000000000005</v>
      </c>
      <c r="AT196">
        <f t="shared" si="16"/>
        <v>2.5</v>
      </c>
      <c r="AU196">
        <f t="shared" si="17"/>
        <v>5.3000000000000007</v>
      </c>
      <c r="AV196" s="4">
        <f t="shared" si="18"/>
        <v>0.73833333333333329</v>
      </c>
      <c r="AW196">
        <f t="shared" si="19"/>
        <v>0</v>
      </c>
      <c r="AX196">
        <f>VLOOKUP($E196,Constants!$I:$K, 2, FALSE)</f>
        <v>1.1499999999999999</v>
      </c>
      <c r="AY196">
        <f>VLOOKUP($E196,Constants!$I:$K, 3, FALSE)*IF(AND(D196="multiple_unit",Y196&lt;110),0.75,1)</f>
        <v>1.7</v>
      </c>
      <c r="AZ196">
        <f>INT(((Constants!$G$2+$AR196+$AS196+$AT196+$AU196+$AW196)*$AV196)*$AY196)</f>
        <v>35</v>
      </c>
      <c r="BA196">
        <f>INT(((Constants!$G$1+$AQ196+$AS196+$AT196+$AU196+$AW196)*(1/$AV196))*$AX196)</f>
        <v>75</v>
      </c>
      <c r="BG196" t="str">
        <f>VLOOKUP(G196,Eras!$A$2:$C$10, 2, TRUE)</f>
        <v>big4</v>
      </c>
      <c r="BH196" t="s">
        <v>368</v>
      </c>
      <c r="BI196" t="str">
        <f>CONCATENATE(BG196,"_",BH196)</f>
        <v>big4_Cheap</v>
      </c>
      <c r="BJ196" t="s">
        <v>530</v>
      </c>
    </row>
    <row r="197" spans="1:62" x14ac:dyDescent="0.25">
      <c r="A197" t="s">
        <v>39</v>
      </c>
      <c r="B197" t="s">
        <v>532</v>
      </c>
      <c r="C197">
        <v>131</v>
      </c>
      <c r="D197" t="s">
        <v>304</v>
      </c>
      <c r="E197" t="s">
        <v>313</v>
      </c>
      <c r="F197" t="s">
        <v>316</v>
      </c>
      <c r="G197">
        <v>1943</v>
      </c>
      <c r="H197">
        <v>1945</v>
      </c>
      <c r="I197">
        <v>1962</v>
      </c>
      <c r="K197">
        <v>1200</v>
      </c>
      <c r="M197" s="6">
        <v>19</v>
      </c>
      <c r="N197" s="6">
        <v>28</v>
      </c>
      <c r="O197" s="6">
        <v>2</v>
      </c>
      <c r="P197" s="6">
        <v>225</v>
      </c>
      <c r="Q197" s="7">
        <f>((($Y197/2)/60)*5280)/($R197*3.2*PI())</f>
        <v>212.58553112988881</v>
      </c>
      <c r="R197" s="6">
        <v>1.4</v>
      </c>
      <c r="S197" s="6">
        <f>((($M197*$M197/4)*PI())*($N197/12)*$O197*$P197*$Q197)/(33000*1.1)</f>
        <v>1743.4659090909092</v>
      </c>
      <c r="T197">
        <v>71.400000000000006</v>
      </c>
      <c r="U197" s="9">
        <v>56.4</v>
      </c>
      <c r="W197">
        <v>152</v>
      </c>
      <c r="X197" s="4">
        <f>IF(AND(T197&gt;0,W197&gt;0),(W197/((T197+U197)*10)),"")</f>
        <v>0.1189358372456964</v>
      </c>
      <c r="Y197">
        <v>68</v>
      </c>
      <c r="AA197">
        <v>19.350000000000001</v>
      </c>
      <c r="AB197">
        <v>11.7</v>
      </c>
      <c r="AE197" s="11">
        <v>0</v>
      </c>
      <c r="AF197" t="str">
        <f>CONCATENATE(VLOOKUP(AG197, 'Voxel Sizes'!$A$2:$B$18,2,FALSE),"x",INT(AC197*15), "x", INT(AD197*15))</f>
        <v>120x0x0</v>
      </c>
      <c r="AG197">
        <f>ROUND(15*((AB197*10)/256),0)</f>
        <v>7</v>
      </c>
      <c r="AH197" t="s">
        <v>534</v>
      </c>
      <c r="AI197" t="str">
        <f>CONCATENATE(VLOOKUP(AG197,Constants!$A$2:$C$16,IF(AH197&lt;&gt;"", 3, 2), FALSE),IF(AH197&lt;&gt;"",CONCATENATE(",",VLOOKUP(AH197,$B:$AI,34,FALSE)),""))</f>
        <v>2,3,2,1,2,1</v>
      </c>
      <c r="AO197">
        <v>1</v>
      </c>
      <c r="AP197">
        <v>36</v>
      </c>
      <c r="AS197">
        <f t="shared" si="15"/>
        <v>13.6</v>
      </c>
      <c r="AT197">
        <f t="shared" si="16"/>
        <v>6</v>
      </c>
      <c r="AU197">
        <f t="shared" si="17"/>
        <v>7.6</v>
      </c>
      <c r="AV197" s="4">
        <f t="shared" si="18"/>
        <v>0.73833333333333329</v>
      </c>
      <c r="AW197">
        <f t="shared" si="19"/>
        <v>0</v>
      </c>
      <c r="AX197">
        <f>VLOOKUP($E197,Constants!$I:$K, 2, FALSE)</f>
        <v>1.1499999999999999</v>
      </c>
      <c r="AY197">
        <f>VLOOKUP($E197,Constants!$I:$K, 3, FALSE)*IF(AND(D197="multiple_unit",Y197&lt;110),0.75,1)</f>
        <v>1.7</v>
      </c>
      <c r="AZ197">
        <f>INT(((Constants!$G$2+$AR197+$AS197+$AT197+$AU197+$AW197)*$AV197)*$AY197)</f>
        <v>52</v>
      </c>
      <c r="BA197">
        <f>INT(((Constants!$G$1+$AQ197+$AS197+$AT197+$AU197+$AW197)*(1/$AV197))*$AX197)</f>
        <v>96</v>
      </c>
      <c r="BG197" t="str">
        <f>VLOOKUP(G197,Eras!$A$2:$C$10, 2, TRUE)</f>
        <v>big4</v>
      </c>
      <c r="BH197" t="s">
        <v>371</v>
      </c>
      <c r="BI197" t="str">
        <f>CONCATENATE(BG197,"_",BH197)</f>
        <v>big4_Freight</v>
      </c>
      <c r="BJ197" t="s">
        <v>531</v>
      </c>
    </row>
    <row r="198" spans="1:62" x14ac:dyDescent="0.25">
      <c r="A198" t="s">
        <v>537</v>
      </c>
      <c r="B198" t="s">
        <v>278</v>
      </c>
      <c r="C198">
        <v>133</v>
      </c>
      <c r="D198" t="s">
        <v>304</v>
      </c>
      <c r="E198" t="s">
        <v>313</v>
      </c>
      <c r="F198" t="s">
        <v>316</v>
      </c>
      <c r="G198">
        <v>1944</v>
      </c>
      <c r="H198">
        <v>1950</v>
      </c>
      <c r="I198">
        <v>1965</v>
      </c>
      <c r="K198">
        <v>1700</v>
      </c>
      <c r="M198" s="6">
        <v>18.5</v>
      </c>
      <c r="N198" s="6">
        <v>30</v>
      </c>
      <c r="O198" s="6">
        <v>2</v>
      </c>
      <c r="P198" s="6">
        <v>225</v>
      </c>
      <c r="Q198" s="7">
        <f>((($Y198/2)/60)*5280)/($R198*3.2*PI())</f>
        <v>206.68037748739187</v>
      </c>
      <c r="R198" s="6">
        <v>1.8</v>
      </c>
      <c r="S198" s="6">
        <f>((($M198*$M198/4)*PI())*($N198/12)*$O198*$P198*$Q198)/(33000*1.1)</f>
        <v>1721.7832623106062</v>
      </c>
      <c r="T198">
        <v>77</v>
      </c>
      <c r="U198" s="9">
        <v>48</v>
      </c>
      <c r="W198">
        <v>121</v>
      </c>
      <c r="X198" s="4">
        <f>IF(AND(T198&gt;0,W198&gt;0),(W198/((T198+U198)*10)),"")</f>
        <v>9.6799999999999997E-2</v>
      </c>
      <c r="Y198">
        <v>85</v>
      </c>
      <c r="AA198">
        <v>19.2</v>
      </c>
      <c r="AB198">
        <v>11.7</v>
      </c>
      <c r="AD198">
        <v>4.01</v>
      </c>
      <c r="AE198" s="11">
        <v>0</v>
      </c>
      <c r="AF198" t="str">
        <f>CONCATENATE(VLOOKUP(AG198, 'Voxel Sizes'!$A$2:$B$18,2,FALSE),"x",INT(AC198*15), "x", INT(AD198*15))</f>
        <v>120x0x60</v>
      </c>
      <c r="AG198">
        <f>ROUND(15*((AB198*10)/256),0)</f>
        <v>7</v>
      </c>
      <c r="AH198" t="s">
        <v>472</v>
      </c>
      <c r="AI198" t="str">
        <f>CONCATENATE(VLOOKUP(AG198,Constants!$A$2:$C$16,IF(AH198&lt;&gt;"", 3, 2), FALSE),IF(AH198&lt;&gt;"",CONCATENATE(",",VLOOKUP(AH198,$B:$AI,34,FALSE)),""))</f>
        <v>2,3,2,2,1,2</v>
      </c>
      <c r="AN198" t="s">
        <v>483</v>
      </c>
      <c r="AO198">
        <v>1</v>
      </c>
      <c r="AP198">
        <v>41</v>
      </c>
      <c r="AS198">
        <f t="shared" si="15"/>
        <v>17</v>
      </c>
      <c r="AT198">
        <f t="shared" si="16"/>
        <v>8.5</v>
      </c>
      <c r="AU198">
        <f t="shared" si="17"/>
        <v>6.05</v>
      </c>
      <c r="AV198" s="4">
        <f t="shared" si="18"/>
        <v>0.74</v>
      </c>
      <c r="AW198">
        <f t="shared" si="19"/>
        <v>0</v>
      </c>
      <c r="AX198">
        <f>VLOOKUP($E198,Constants!$I:$K, 2, FALSE)</f>
        <v>1.1499999999999999</v>
      </c>
      <c r="AY198">
        <f>VLOOKUP($E198,Constants!$I:$K, 3, FALSE)*IF(AND(D198="multiple_unit",Y198&lt;110),0.75,1)</f>
        <v>1.7</v>
      </c>
      <c r="AZ198">
        <f>INT(((Constants!$G$2+$AR198+$AS198+$AT198+$AU198+$AW198)*$AV198)*$AY198)</f>
        <v>58</v>
      </c>
      <c r="BA198">
        <f>INT(((Constants!$G$1+$AQ198+$AS198+$AT198+$AU198+$AW198)*(1/$AV198))*$AX198)</f>
        <v>103</v>
      </c>
      <c r="BG198" t="str">
        <f>VLOOKUP(G198,Eras!$A$2:$C$10, 2, TRUE)</f>
        <v>big4</v>
      </c>
      <c r="BH198" t="s">
        <v>369</v>
      </c>
      <c r="BI198" t="str">
        <f>CONCATENATE(BG198,"_",BH198)</f>
        <v>big4_Mixed Traffic</v>
      </c>
      <c r="BJ198" t="s">
        <v>536</v>
      </c>
    </row>
    <row r="199" spans="1:62" x14ac:dyDescent="0.25">
      <c r="A199" t="s">
        <v>538</v>
      </c>
      <c r="B199" t="s">
        <v>539</v>
      </c>
      <c r="C199">
        <v>135</v>
      </c>
      <c r="D199" t="s">
        <v>304</v>
      </c>
      <c r="E199" t="s">
        <v>313</v>
      </c>
      <c r="F199" t="s">
        <v>316</v>
      </c>
      <c r="G199">
        <v>1945</v>
      </c>
      <c r="H199">
        <v>1947</v>
      </c>
      <c r="I199">
        <v>1964</v>
      </c>
      <c r="K199">
        <v>2200</v>
      </c>
      <c r="M199" s="6">
        <v>18.5</v>
      </c>
      <c r="N199" s="6">
        <v>30</v>
      </c>
      <c r="O199" s="6">
        <v>2</v>
      </c>
      <c r="P199" s="6">
        <v>280</v>
      </c>
      <c r="Q199" s="7">
        <f>((($Y199/2)/60)*5280)/($R199*3.2*PI())</f>
        <v>230.35583868563802</v>
      </c>
      <c r="R199" s="6">
        <v>1.9</v>
      </c>
      <c r="S199" s="6">
        <f>((($M199*$M199/4)*PI())*($N199/12)*$O199*$P199*$Q199)/(33000*1.1)</f>
        <v>2388.1080542264754</v>
      </c>
      <c r="T199">
        <v>78.099999999999994</v>
      </c>
      <c r="U199" s="9">
        <v>49.8</v>
      </c>
      <c r="W199">
        <v>145</v>
      </c>
      <c r="X199" s="4">
        <f>IF(AND(T199&gt;0,W199&gt;0),(W199/((T199+U199)*10)),"")</f>
        <v>0.11336982017200939</v>
      </c>
      <c r="Y199">
        <v>100</v>
      </c>
      <c r="AA199">
        <v>19.21</v>
      </c>
      <c r="AB199">
        <v>11.7</v>
      </c>
      <c r="AD199">
        <v>4.08</v>
      </c>
      <c r="AE199" s="11">
        <v>0</v>
      </c>
      <c r="AF199" t="str">
        <f>CONCATENATE(VLOOKUP(AG199, 'Voxel Sizes'!$A$2:$B$18,2,FALSE),"x",INT(AC199*15), "x", INT(AD199*15))</f>
        <v>120x0x61</v>
      </c>
      <c r="AG199">
        <f>ROUND(15*((AB199*10)/256),0)</f>
        <v>7</v>
      </c>
      <c r="AH199" t="s">
        <v>472</v>
      </c>
      <c r="AI199" t="str">
        <f>CONCATENATE(VLOOKUP(AG199,Constants!$A$2:$C$16,IF(AH199&lt;&gt;"", 3, 2), FALSE),IF(AH199&lt;&gt;"",CONCATENATE(",",VLOOKUP(AH199,$B:$AI,34,FALSE)),""))</f>
        <v>2,3,2,2,1,2</v>
      </c>
      <c r="AO199">
        <v>1</v>
      </c>
      <c r="AP199">
        <v>40</v>
      </c>
      <c r="AS199">
        <f t="shared" si="15"/>
        <v>20</v>
      </c>
      <c r="AT199">
        <f t="shared" si="16"/>
        <v>11</v>
      </c>
      <c r="AU199">
        <f t="shared" si="17"/>
        <v>7.25</v>
      </c>
      <c r="AV199" s="4">
        <f t="shared" si="18"/>
        <v>0.7416666666666667</v>
      </c>
      <c r="AW199">
        <f t="shared" si="19"/>
        <v>0</v>
      </c>
      <c r="AX199">
        <f>VLOOKUP($E199,Constants!$I:$K, 2, FALSE)</f>
        <v>1.1499999999999999</v>
      </c>
      <c r="AY199">
        <f>VLOOKUP($E199,Constants!$I:$K, 3, FALSE)*IF(AND(D199="multiple_unit",Y199&lt;110),0.75,1)</f>
        <v>1.7</v>
      </c>
      <c r="AZ199">
        <f>INT(((Constants!$G$2+$AR199+$AS199+$AT199+$AU199+$AW199)*$AV199)*$AY199)</f>
        <v>67</v>
      </c>
      <c r="BA199">
        <f>INT(((Constants!$G$1+$AQ199+$AS199+$AT199+$AU199+$AW199)*(1/$AV199))*$AX199)</f>
        <v>113</v>
      </c>
      <c r="BG199" t="str">
        <f>VLOOKUP(G199,Eras!$A$2:$C$10, 2, TRUE)</f>
        <v>big4</v>
      </c>
      <c r="BH199" t="s">
        <v>370</v>
      </c>
      <c r="BI199" t="str">
        <f>CONCATENATE(BG199,"_",BH199)</f>
        <v>big4_Express</v>
      </c>
      <c r="BJ199" t="s">
        <v>540</v>
      </c>
    </row>
    <row r="200" spans="1:62" x14ac:dyDescent="0.25">
      <c r="A200" t="s">
        <v>37</v>
      </c>
      <c r="B200" t="s">
        <v>542</v>
      </c>
      <c r="C200">
        <v>137</v>
      </c>
      <c r="D200" t="s">
        <v>304</v>
      </c>
      <c r="E200" t="s">
        <v>313</v>
      </c>
      <c r="F200" t="s">
        <v>316</v>
      </c>
      <c r="G200">
        <v>1945</v>
      </c>
      <c r="H200">
        <v>1951</v>
      </c>
      <c r="I200">
        <v>1967</v>
      </c>
      <c r="K200">
        <v>1800</v>
      </c>
      <c r="M200" s="6">
        <v>16.375</v>
      </c>
      <c r="N200" s="6">
        <v>24</v>
      </c>
      <c r="O200" s="6">
        <v>3</v>
      </c>
      <c r="P200" s="6">
        <v>280</v>
      </c>
      <c r="Q200" s="7">
        <f>((($Y200/2)/60)*5280)/($R200*3.2*PI())</f>
        <v>234.96295545935078</v>
      </c>
      <c r="R200" s="6">
        <v>1.9</v>
      </c>
      <c r="S200" s="6">
        <f>((($M200*$M200/4)*PI())*($N200/12)*$O200*$P200*$Q200)/(33000*1.1)</f>
        <v>2290.1005532296649</v>
      </c>
      <c r="T200">
        <v>87.4</v>
      </c>
      <c r="U200" s="9">
        <v>48</v>
      </c>
      <c r="W200">
        <v>138</v>
      </c>
      <c r="X200" s="4">
        <f>IF(AND(T200&gt;0,W200&gt;0),(W200/((T200+U200)*10)),"")</f>
        <v>0.10192023633677991</v>
      </c>
      <c r="Y200">
        <v>102</v>
      </c>
      <c r="AA200">
        <v>20.54</v>
      </c>
      <c r="AB200">
        <v>13</v>
      </c>
      <c r="AE200" s="11">
        <v>0</v>
      </c>
      <c r="AF200" t="str">
        <f>CONCATENATE(VLOOKUP(AG200, 'Voxel Sizes'!$A$2:$B$18,2,FALSE),"x",INT(AC200*15), "x", INT(AD200*15))</f>
        <v>136x0x0</v>
      </c>
      <c r="AG200">
        <f>ROUND(15*((AB200*10)/256),0)</f>
        <v>8</v>
      </c>
      <c r="AH200" t="s">
        <v>521</v>
      </c>
      <c r="AI200" t="str">
        <f>CONCATENATE(VLOOKUP(AG200,Constants!$A$2:$C$16,IF(AH200&lt;&gt;"", 3, 2), FALSE),IF(AH200&lt;&gt;"",CONCATENATE(",",VLOOKUP(AH200,$B:$AI,34,FALSE)),""))</f>
        <v>2,4,2,2,1,2</v>
      </c>
      <c r="AO200">
        <v>1</v>
      </c>
      <c r="AP200">
        <v>40</v>
      </c>
      <c r="AS200">
        <f t="shared" si="15"/>
        <v>20.400000000000002</v>
      </c>
      <c r="AT200">
        <f t="shared" si="16"/>
        <v>9</v>
      </c>
      <c r="AU200">
        <f t="shared" si="17"/>
        <v>6.8999999999999995</v>
      </c>
      <c r="AV200" s="4">
        <f t="shared" si="18"/>
        <v>0.7416666666666667</v>
      </c>
      <c r="AW200">
        <f t="shared" si="19"/>
        <v>0</v>
      </c>
      <c r="AX200">
        <f>VLOOKUP($E200,Constants!$I:$K, 2, FALSE)</f>
        <v>1.1499999999999999</v>
      </c>
      <c r="AY200">
        <f>VLOOKUP($E200,Constants!$I:$K, 3, FALSE)*IF(AND(D200="multiple_unit",Y200&lt;110),0.75,1)</f>
        <v>1.7</v>
      </c>
      <c r="AZ200">
        <f>INT(((Constants!$G$2+$AR200+$AS200+$AT200+$AU200+$AW200)*$AV200)*$AY200)</f>
        <v>64</v>
      </c>
      <c r="BA200">
        <f>INT(((Constants!$G$1+$AQ200+$AS200+$AT200+$AU200+$AW200)*(1/$AV200))*$AX200)</f>
        <v>110</v>
      </c>
      <c r="BG200" t="str">
        <f>VLOOKUP(G200,Eras!$A$2:$C$10, 2, TRUE)</f>
        <v>big4</v>
      </c>
      <c r="BH200" t="s">
        <v>369</v>
      </c>
      <c r="BI200" t="str">
        <f>CONCATENATE(BG200,"_",BH200)</f>
        <v>big4_Mixed Traffic</v>
      </c>
      <c r="BJ200" t="s">
        <v>541</v>
      </c>
    </row>
    <row r="201" spans="1:62" x14ac:dyDescent="0.25">
      <c r="A201" t="s">
        <v>41</v>
      </c>
      <c r="B201" t="s">
        <v>544</v>
      </c>
      <c r="C201">
        <v>139</v>
      </c>
      <c r="D201" t="s">
        <v>304</v>
      </c>
      <c r="E201" t="s">
        <v>313</v>
      </c>
      <c r="F201" t="s">
        <v>316</v>
      </c>
      <c r="G201">
        <v>1946</v>
      </c>
      <c r="H201">
        <v>1949</v>
      </c>
      <c r="I201">
        <v>1951</v>
      </c>
      <c r="K201">
        <v>1800</v>
      </c>
      <c r="M201" s="6">
        <v>12.25</v>
      </c>
      <c r="N201" s="6">
        <v>15</v>
      </c>
      <c r="O201" s="6">
        <v>6</v>
      </c>
      <c r="P201" s="6">
        <v>280</v>
      </c>
      <c r="Q201" s="7">
        <f>((($Y201/2)/60)*5280)/($R201*3.2*PI())</f>
        <v>262.60565610162729</v>
      </c>
      <c r="R201" s="6">
        <v>1.5</v>
      </c>
      <c r="S201" s="6">
        <f>((($M201*$M201/4)*PI())*($N201/12)*$O201*$P201*$Q201)/(33000*1.1)</f>
        <v>1790.518465909091</v>
      </c>
      <c r="T201">
        <v>152</v>
      </c>
      <c r="W201">
        <v>117</v>
      </c>
      <c r="X201" s="4">
        <f>IF(AND(T201&gt;0,W201&gt;0),(W201/((T201+U201)*10)),"")</f>
        <v>7.6973684210526319E-2</v>
      </c>
      <c r="Y201">
        <v>90</v>
      </c>
      <c r="Z201">
        <v>1</v>
      </c>
      <c r="AA201">
        <v>20.420000000000002</v>
      </c>
      <c r="AB201">
        <v>20.420000000000002</v>
      </c>
      <c r="AE201" s="11">
        <v>0</v>
      </c>
      <c r="AF201" t="str">
        <f>CONCATENATE(VLOOKUP(AG201, 'Voxel Sizes'!$A$2:$B$18,2,FALSE),"x",INT(AC201*15), "x", INT(AD201*15))</f>
        <v>198x0x0</v>
      </c>
      <c r="AG201">
        <f>ROUND(15*((AB201*10)/256),0)</f>
        <v>12</v>
      </c>
      <c r="AI201" t="str">
        <f>CONCATENATE(VLOOKUP(AG201,Constants!$A$2:$C$16,IF(AH201&lt;&gt;"", 3, 2), FALSE),IF(AH201&lt;&gt;"",CONCATENATE(",",VLOOKUP(AH201,$B:$AI,34,FALSE)),""))</f>
        <v>4,4,4</v>
      </c>
      <c r="AP201">
        <v>24</v>
      </c>
      <c r="AS201">
        <f t="shared" si="15"/>
        <v>18</v>
      </c>
      <c r="AT201">
        <f t="shared" si="16"/>
        <v>9</v>
      </c>
      <c r="AU201">
        <f t="shared" si="17"/>
        <v>5.85</v>
      </c>
      <c r="AV201" s="4">
        <f t="shared" si="18"/>
        <v>0.74333333333333329</v>
      </c>
      <c r="AW201">
        <f t="shared" si="19"/>
        <v>0</v>
      </c>
      <c r="AX201">
        <f>VLOOKUP($E201,Constants!$I:$K, 2, FALSE)</f>
        <v>1.1499999999999999</v>
      </c>
      <c r="AY201">
        <f>VLOOKUP($E201,Constants!$I:$K, 3, FALSE)*IF(AND(D201="multiple_unit",Y201&lt;110),0.75,1)</f>
        <v>1.7</v>
      </c>
      <c r="AZ201">
        <f>INT(((Constants!$G$2+$AR201+$AS201+$AT201+$AU201+$AW201)*$AV201)*$AY201)</f>
        <v>60</v>
      </c>
      <c r="BA201">
        <f>INT(((Constants!$G$1+$AQ201+$AS201+$AT201+$AU201+$AW201)*(1/$AV201))*$AX201)</f>
        <v>104</v>
      </c>
      <c r="BG201" t="str">
        <f>VLOOKUP(G201,Eras!$A$2:$C$10, 2, TRUE)</f>
        <v>big4</v>
      </c>
      <c r="BH201" t="s">
        <v>369</v>
      </c>
      <c r="BI201" t="str">
        <f>CONCATENATE(BG201,"_",BH201)</f>
        <v>big4_Mixed Traffic</v>
      </c>
      <c r="BJ201" t="s">
        <v>543</v>
      </c>
    </row>
    <row r="202" spans="1:62" x14ac:dyDescent="0.25">
      <c r="A202" t="s">
        <v>545</v>
      </c>
      <c r="B202" t="s">
        <v>546</v>
      </c>
      <c r="C202">
        <v>141</v>
      </c>
      <c r="D202" t="s">
        <v>304</v>
      </c>
      <c r="E202" t="s">
        <v>313</v>
      </c>
      <c r="F202" t="s">
        <v>316</v>
      </c>
      <c r="G202">
        <v>1946</v>
      </c>
      <c r="H202">
        <v>1953</v>
      </c>
      <c r="I202">
        <v>1967</v>
      </c>
      <c r="K202">
        <v>1000</v>
      </c>
      <c r="M202" s="6">
        <v>16</v>
      </c>
      <c r="N202" s="6">
        <v>24</v>
      </c>
      <c r="O202" s="6">
        <v>2</v>
      </c>
      <c r="P202" s="6">
        <v>200</v>
      </c>
      <c r="Q202" s="7">
        <f>((($Y202/2)/60)*5280)/($R202*3.2*PI())</f>
        <v>233.42724986811314</v>
      </c>
      <c r="R202" s="6">
        <v>1.5</v>
      </c>
      <c r="S202" s="6">
        <f>((($M202*$M202/4)*PI())*($N202/12)*$O202*$P202*$Q202)/(33000*1.1)</f>
        <v>1034.3434343434342</v>
      </c>
      <c r="T202">
        <v>47.9</v>
      </c>
      <c r="U202" s="9">
        <v>37.700000000000003</v>
      </c>
      <c r="W202">
        <v>77</v>
      </c>
      <c r="X202" s="4">
        <f>IF(AND(T202&gt;0,W202&gt;0),(W202/((T202+U202)*10)),"")</f>
        <v>8.9953271028037379E-2</v>
      </c>
      <c r="Y202">
        <v>80</v>
      </c>
      <c r="AA202">
        <v>16.2</v>
      </c>
      <c r="AB202">
        <f>AA202-6</f>
        <v>10.199999999999999</v>
      </c>
      <c r="AE202" s="11">
        <v>0</v>
      </c>
      <c r="AF202" t="str">
        <f>CONCATENATE(VLOOKUP(AG202, 'Voxel Sizes'!$A$2:$B$18,2,FALSE),"x",INT(AC202*15), "x", INT(AD202*15))</f>
        <v>102x0x0</v>
      </c>
      <c r="AG202">
        <f>ROUND(15*((AB202*10)/256),0)</f>
        <v>6</v>
      </c>
      <c r="AH202" t="s">
        <v>547</v>
      </c>
      <c r="AI202" t="str">
        <f>CONCATENATE(VLOOKUP(AG202,Constants!$A$2:$C$16,IF(AH202&lt;&gt;"", 3, 2), FALSE),IF(AH202&lt;&gt;"",CONCATENATE(",",VLOOKUP(AH202,$B:$AI,34,FALSE)),""))</f>
        <v>2,2,2,1,2,1</v>
      </c>
      <c r="AO202">
        <v>1</v>
      </c>
      <c r="AP202">
        <v>40</v>
      </c>
      <c r="AS202">
        <f t="shared" si="15"/>
        <v>16</v>
      </c>
      <c r="AT202">
        <f t="shared" si="16"/>
        <v>5</v>
      </c>
      <c r="AU202">
        <f t="shared" si="17"/>
        <v>3.85</v>
      </c>
      <c r="AV202" s="4">
        <f t="shared" si="18"/>
        <v>0.74333333333333329</v>
      </c>
      <c r="AW202">
        <f t="shared" si="19"/>
        <v>0</v>
      </c>
      <c r="AX202">
        <f>VLOOKUP($E202,Constants!$I:$K, 2, FALSE)</f>
        <v>1.1499999999999999</v>
      </c>
      <c r="AY202">
        <f>VLOOKUP($E202,Constants!$I:$K, 3, FALSE)*IF(AND(D202="multiple_unit",Y202&lt;110),0.75,1)</f>
        <v>1.7</v>
      </c>
      <c r="AZ202">
        <f>INT(((Constants!$G$2+$AR202+$AS202+$AT202+$AU202+$AW202)*$AV202)*$AY202)</f>
        <v>50</v>
      </c>
      <c r="BA202">
        <f>INT(((Constants!$G$1+$AQ202+$AS202+$AT202+$AU202+$AW202)*(1/$AV202))*$AX202)</f>
        <v>92</v>
      </c>
      <c r="BG202" t="str">
        <f>VLOOKUP(G202,Eras!$A$2:$C$10, 2, TRUE)</f>
        <v>big4</v>
      </c>
      <c r="BH202" t="s">
        <v>368</v>
      </c>
      <c r="BI202" t="str">
        <f>CONCATENATE(BG202,"_",BH202)</f>
        <v>big4_Cheap</v>
      </c>
      <c r="BJ202" t="s">
        <v>549</v>
      </c>
    </row>
    <row r="203" spans="1:62" x14ac:dyDescent="0.25">
      <c r="A203" t="s">
        <v>69</v>
      </c>
      <c r="B203" t="s">
        <v>196</v>
      </c>
      <c r="C203">
        <v>143</v>
      </c>
      <c r="D203" t="s">
        <v>304</v>
      </c>
      <c r="E203" t="s">
        <v>314</v>
      </c>
      <c r="F203" t="s">
        <v>316</v>
      </c>
      <c r="G203">
        <v>1947</v>
      </c>
      <c r="H203">
        <v>1948</v>
      </c>
      <c r="I203">
        <v>1966</v>
      </c>
      <c r="K203">
        <v>1600</v>
      </c>
      <c r="T203">
        <v>129.69999999999999</v>
      </c>
      <c r="W203">
        <v>184</v>
      </c>
      <c r="X203" s="4">
        <f>IF(AND(T203&gt;0,W203&gt;0),(W203/((T203+U203)*10)),"")</f>
        <v>0.14186584425597532</v>
      </c>
      <c r="Y203">
        <v>93</v>
      </c>
      <c r="AA203">
        <v>18.64</v>
      </c>
      <c r="AB203">
        <v>18.64</v>
      </c>
      <c r="AD203">
        <v>3.95</v>
      </c>
      <c r="AE203" s="11">
        <v>0</v>
      </c>
      <c r="AF203" t="str">
        <f>CONCATENATE(VLOOKUP(AG203, 'Voxel Sizes'!$A$2:$B$18,2,FALSE),"x",INT(AC203*15), "x", INT(AD203*15))</f>
        <v>186x0x59</v>
      </c>
      <c r="AG203">
        <f>ROUND(15*((AB203*10)/256),0)</f>
        <v>11</v>
      </c>
      <c r="AI203" t="str">
        <f>CONCATENATE(VLOOKUP(AG203,Constants!$A$2:$C$16,IF(AH203&lt;&gt;"", 3, 2), FALSE),IF(AH203&lt;&gt;"",CONCATENATE(",",VLOOKUP(AH203,$B:$AI,34,FALSE)),""))</f>
        <v>4,3,4</v>
      </c>
      <c r="AP203">
        <v>35</v>
      </c>
      <c r="AS203">
        <f t="shared" si="15"/>
        <v>18.600000000000001</v>
      </c>
      <c r="AT203">
        <f t="shared" si="16"/>
        <v>8</v>
      </c>
      <c r="AU203">
        <f t="shared" si="17"/>
        <v>9.2000000000000011</v>
      </c>
      <c r="AV203" s="4">
        <f t="shared" si="18"/>
        <v>0.745</v>
      </c>
      <c r="AW203">
        <f t="shared" si="19"/>
        <v>0</v>
      </c>
      <c r="AX203">
        <f>VLOOKUP($E203,Constants!$I:$K, 2, FALSE)</f>
        <v>1</v>
      </c>
      <c r="AY203">
        <f>VLOOKUP($E203,Constants!$I:$K, 3, FALSE)*IF(AND(D203="multiple_unit",Y203&lt;110),0.75,1)</f>
        <v>2</v>
      </c>
      <c r="AZ203">
        <f>INT(((Constants!$G$2+$AR203+$AS203+$AT203+$AU203+$AW203)*$AV203)*$AY203)</f>
        <v>75</v>
      </c>
      <c r="BA203">
        <f>INT(((Constants!$G$1+$AQ203+$AS203+$AT203+$AU203+$AW203)*(1/$AV203))*$AX203)</f>
        <v>95</v>
      </c>
      <c r="BG203" t="str">
        <f>VLOOKUP(G203,Eras!$A$2:$C$10, 2, TRUE)</f>
        <v>big4</v>
      </c>
      <c r="BH203" t="s">
        <v>369</v>
      </c>
      <c r="BI203" t="str">
        <f>CONCATENATE(BG203,"_",BH203)</f>
        <v>big4_Mixed Traffic</v>
      </c>
      <c r="BJ203" t="s">
        <v>550</v>
      </c>
    </row>
    <row r="204" spans="1:62" x14ac:dyDescent="0.25">
      <c r="A204" t="s">
        <v>25</v>
      </c>
      <c r="B204" t="s">
        <v>552</v>
      </c>
      <c r="C204">
        <v>145</v>
      </c>
      <c r="D204" t="s">
        <v>304</v>
      </c>
      <c r="E204" t="s">
        <v>313</v>
      </c>
      <c r="F204" t="s">
        <v>316</v>
      </c>
      <c r="G204">
        <v>1948</v>
      </c>
      <c r="H204">
        <v>1949</v>
      </c>
      <c r="I204">
        <v>1966</v>
      </c>
      <c r="K204">
        <v>2700</v>
      </c>
      <c r="M204" s="6">
        <v>19</v>
      </c>
      <c r="N204" s="6">
        <v>26</v>
      </c>
      <c r="O204" s="6">
        <v>3</v>
      </c>
      <c r="P204" s="6">
        <v>250</v>
      </c>
      <c r="Q204" s="7">
        <f>((($Y204/2)/60)*5280)/($R204*3.2*PI())</f>
        <v>215.60398694714888</v>
      </c>
      <c r="R204" s="6">
        <v>2.0299999999999998</v>
      </c>
      <c r="S204" s="6">
        <f>((($M204*$M204/4)*PI())*($N204/12)*$O204*$P204*$Q204)/(33000*1.1)</f>
        <v>2736.5325048514705</v>
      </c>
      <c r="T204">
        <v>106.9</v>
      </c>
      <c r="U204" s="9">
        <v>61.9</v>
      </c>
      <c r="W204">
        <v>166</v>
      </c>
      <c r="X204" s="4">
        <f>IF(AND(T204&gt;0,W204&gt;0),(W204/((T204+U204)*10)),"")</f>
        <v>9.8341232227488154E-2</v>
      </c>
      <c r="Y204">
        <v>100</v>
      </c>
      <c r="AA204">
        <v>22.24</v>
      </c>
      <c r="AB204">
        <f>AA204-7.5</f>
        <v>14.739999999999998</v>
      </c>
      <c r="AD204">
        <v>3.99</v>
      </c>
      <c r="AE204" s="11">
        <v>0</v>
      </c>
      <c r="AF204" t="str">
        <f>CONCATENATE(VLOOKUP(AG204, 'Voxel Sizes'!$A$2:$B$18,2,FALSE),"x",INT(AC204*15), "x", INT(AD204*15))</f>
        <v>152x0x59</v>
      </c>
      <c r="AG204">
        <f>ROUND(15*((AB204*10)/256),0)</f>
        <v>9</v>
      </c>
      <c r="AH204" t="s">
        <v>487</v>
      </c>
      <c r="AI204" t="str">
        <f>CONCATENATE(VLOOKUP(AG204,Constants!$A$2:$C$16,IF(AH204&lt;&gt;"", 3, 2), FALSE),IF(AH204&lt;&gt;"",CONCATENATE(",",VLOOKUP(AH204,$B:$AI,34,FALSE)),""))</f>
        <v>2,5,2,2,1,2</v>
      </c>
      <c r="AO204">
        <v>1</v>
      </c>
      <c r="AP204">
        <v>42</v>
      </c>
      <c r="AS204">
        <f t="shared" si="15"/>
        <v>20</v>
      </c>
      <c r="AT204">
        <f t="shared" si="16"/>
        <v>13.5</v>
      </c>
      <c r="AU204">
        <f t="shared" si="17"/>
        <v>8.2999999999999989</v>
      </c>
      <c r="AV204" s="4">
        <f t="shared" si="18"/>
        <v>0.7466666666666667</v>
      </c>
      <c r="AW204">
        <f t="shared" si="19"/>
        <v>0</v>
      </c>
      <c r="AX204">
        <f>VLOOKUP($E204,Constants!$I:$K, 2, FALSE)</f>
        <v>1.1499999999999999</v>
      </c>
      <c r="AY204">
        <f>VLOOKUP($E204,Constants!$I:$K, 3, FALSE)*IF(AND(D204="multiple_unit",Y204&lt;110),0.75,1)</f>
        <v>1.7</v>
      </c>
      <c r="AZ204">
        <f>INT(((Constants!$G$2+$AR204+$AS204+$AT204+$AU204+$AW204)*$AV204)*$AY204)</f>
        <v>72</v>
      </c>
      <c r="BA204">
        <f>INT(((Constants!$G$1+$AQ204+$AS204+$AT204+$AU204+$AW204)*(1/$AV204))*$AX204)</f>
        <v>118</v>
      </c>
      <c r="BG204" t="str">
        <f>VLOOKUP(G204,Eras!$A$2:$C$10, 2, TRUE)</f>
        <v>ebr</v>
      </c>
      <c r="BH204" t="s">
        <v>370</v>
      </c>
      <c r="BI204" t="str">
        <f>CONCATENATE(BG204,"_",BH204)</f>
        <v>ebr_Express</v>
      </c>
      <c r="BJ204" t="s">
        <v>551</v>
      </c>
    </row>
    <row r="205" spans="1:62" x14ac:dyDescent="0.25">
      <c r="A205" t="s">
        <v>73</v>
      </c>
      <c r="B205" t="s">
        <v>289</v>
      </c>
      <c r="C205">
        <v>147</v>
      </c>
      <c r="D205" t="s">
        <v>304</v>
      </c>
      <c r="E205" t="s">
        <v>338</v>
      </c>
      <c r="F205" t="s">
        <v>339</v>
      </c>
      <c r="G205">
        <v>1950</v>
      </c>
      <c r="H205">
        <v>1953</v>
      </c>
      <c r="I205">
        <v>1981</v>
      </c>
      <c r="K205">
        <v>1300</v>
      </c>
      <c r="T205">
        <v>89.3</v>
      </c>
      <c r="W205">
        <v>200</v>
      </c>
      <c r="X205" s="4">
        <f>IF(AND(T205&gt;0,W205&gt;0),(W205/((T205+U205)*10)),"")</f>
        <v>0.22396416573348266</v>
      </c>
      <c r="Y205">
        <v>65</v>
      </c>
      <c r="AA205">
        <v>15.34</v>
      </c>
      <c r="AB205">
        <v>15.34</v>
      </c>
      <c r="AE205" s="11">
        <v>0</v>
      </c>
      <c r="AF205" t="str">
        <f>CONCATENATE(VLOOKUP(AG205, 'Voxel Sizes'!$A$2:$B$18,2,FALSE),"x",INT(AC205*15), "x", INT(AD205*15))</f>
        <v>152x0x0</v>
      </c>
      <c r="AG205">
        <f>ROUND(15*((AB205*10)/256),0)</f>
        <v>9</v>
      </c>
      <c r="AI205" t="str">
        <f>CONCATENATE(VLOOKUP(AG205,Constants!$A$2:$C$16,IF(AH205&lt;&gt;"", 3, 2), FALSE),IF(AH205&lt;&gt;"",CONCATENATE(",",VLOOKUP(AH205,$B:$AI,34,FALSE)),""))</f>
        <v>2,5,2</v>
      </c>
      <c r="AP205">
        <v>40</v>
      </c>
      <c r="AS205">
        <f t="shared" si="15"/>
        <v>13</v>
      </c>
      <c r="AT205">
        <f t="shared" si="16"/>
        <v>6.5</v>
      </c>
      <c r="AU205">
        <f t="shared" si="17"/>
        <v>10</v>
      </c>
      <c r="AV205" s="4">
        <f t="shared" si="18"/>
        <v>0.75</v>
      </c>
      <c r="AW205">
        <f t="shared" si="19"/>
        <v>0</v>
      </c>
      <c r="AX205">
        <f>VLOOKUP($E205,Constants!$I:$K, 2, FALSE)</f>
        <v>0.85</v>
      </c>
      <c r="AY205">
        <f>VLOOKUP($E205,Constants!$I:$K, 3, FALSE)*IF(AND(D205="multiple_unit",Y205&lt;110),0.75,1)</f>
        <v>2.2999999999999998</v>
      </c>
      <c r="AZ205">
        <f>INT(((Constants!$G$2+$AR205+$AS205+$AT205+$AU205+$AW205)*$AV205)*$AY205)</f>
        <v>76</v>
      </c>
      <c r="BA205">
        <f>INT(((Constants!$G$1+$AQ205+$AS205+$AT205+$AU205+$AW205)*(1/$AV205))*$AX205)</f>
        <v>73</v>
      </c>
      <c r="BG205" t="str">
        <f>VLOOKUP(G205,Eras!$A$2:$C$10, 2, TRUE)</f>
        <v>ebr</v>
      </c>
      <c r="BH205" t="s">
        <v>381</v>
      </c>
      <c r="BI205" t="str">
        <f>CONCATENATE(BG205,"_",BH205)</f>
        <v>ebr_Freight (Electric)</v>
      </c>
      <c r="BJ205" t="s">
        <v>397</v>
      </c>
    </row>
    <row r="206" spans="1:62" x14ac:dyDescent="0.25">
      <c r="A206" t="s">
        <v>561</v>
      </c>
      <c r="B206" t="s">
        <v>555</v>
      </c>
      <c r="C206">
        <v>149</v>
      </c>
      <c r="D206" t="s">
        <v>304</v>
      </c>
      <c r="E206" t="s">
        <v>313</v>
      </c>
      <c r="F206" t="s">
        <v>316</v>
      </c>
      <c r="G206">
        <v>1951</v>
      </c>
      <c r="H206">
        <v>1952</v>
      </c>
      <c r="I206">
        <v>1966</v>
      </c>
      <c r="K206">
        <v>1500</v>
      </c>
      <c r="M206" s="6">
        <v>19.5</v>
      </c>
      <c r="N206" s="6">
        <v>28</v>
      </c>
      <c r="O206" s="6">
        <v>2</v>
      </c>
      <c r="P206" s="6">
        <v>225</v>
      </c>
      <c r="Q206" s="7">
        <f>((($Y206/2)/60)*5280)/($R206*3.2*PI())</f>
        <v>184.28467094851041</v>
      </c>
      <c r="R206" s="6">
        <v>1.9</v>
      </c>
      <c r="S206" s="6">
        <f>((($M206*$M206/4)*PI())*($N206/12)*$O206*$P206*$Q206)/(33000*1.1)</f>
        <v>1591.9557416267944</v>
      </c>
      <c r="T206">
        <v>89.92</v>
      </c>
      <c r="U206" s="9">
        <v>14.38</v>
      </c>
      <c r="W206">
        <v>122</v>
      </c>
      <c r="X206" s="4">
        <f>IF(AND(T206&gt;0,W206&gt;0),(W206/((T206+U206)*10)),"")</f>
        <v>0.11697027804410355</v>
      </c>
      <c r="Y206">
        <v>80</v>
      </c>
      <c r="AA206">
        <v>20.96</v>
      </c>
      <c r="AB206">
        <f>AA206-7.5</f>
        <v>13.46</v>
      </c>
      <c r="AD206">
        <v>3.98</v>
      </c>
      <c r="AE206" s="11">
        <v>0</v>
      </c>
      <c r="AF206" t="str">
        <f>CONCATENATE(VLOOKUP(AG206, 'Voxel Sizes'!$A$2:$B$18,2,FALSE),"x",INT(AC206*15), "x", INT(AD206*15))</f>
        <v>136x0x59</v>
      </c>
      <c r="AG206">
        <f>ROUND(15*((AB206*10)/256),0)</f>
        <v>8</v>
      </c>
      <c r="AH206" t="s">
        <v>492</v>
      </c>
      <c r="AI206" t="str">
        <f>CONCATENATE(VLOOKUP(AG206,Constants!$A$2:$C$16,IF(AH206&lt;&gt;"", 3, 2), FALSE),IF(AH206&lt;&gt;"",CONCATENATE(",",VLOOKUP(AH206,$B:$AI,34,FALSE)),""))</f>
        <v>2,4,2,2,1,2</v>
      </c>
      <c r="AO206">
        <v>1</v>
      </c>
      <c r="AP206">
        <v>40</v>
      </c>
      <c r="AS206">
        <f t="shared" si="15"/>
        <v>16</v>
      </c>
      <c r="AT206">
        <f t="shared" si="16"/>
        <v>7.5</v>
      </c>
      <c r="AU206">
        <f t="shared" si="17"/>
        <v>6.1</v>
      </c>
      <c r="AV206" s="4">
        <f t="shared" si="18"/>
        <v>0.75166666666666671</v>
      </c>
      <c r="AW206">
        <f t="shared" si="19"/>
        <v>0</v>
      </c>
      <c r="AX206">
        <f>VLOOKUP($E206,Constants!$I:$K, 2, FALSE)</f>
        <v>1.1499999999999999</v>
      </c>
      <c r="AY206">
        <f>VLOOKUP($E206,Constants!$I:$K, 3, FALSE)*IF(AND(D206="multiple_unit",Y206&lt;110),0.75,1)</f>
        <v>1.7</v>
      </c>
      <c r="AZ206">
        <f>INT(((Constants!$G$2+$AR206+$AS206+$AT206+$AU206+$AW206)*$AV206)*$AY206)</f>
        <v>56</v>
      </c>
      <c r="BA206">
        <f>INT(((Constants!$G$1+$AQ206+$AS206+$AT206+$AU206+$AW206)*(1/$AV206))*$AX206)</f>
        <v>98</v>
      </c>
      <c r="BG206" t="str">
        <f>VLOOKUP(G206,Eras!$A$2:$C$10, 2, TRUE)</f>
        <v>ebr</v>
      </c>
      <c r="BH206" t="s">
        <v>369</v>
      </c>
      <c r="BI206" t="str">
        <f>CONCATENATE(BG206,"_",BH206)</f>
        <v>ebr_Mixed Traffic</v>
      </c>
      <c r="BJ206" t="s">
        <v>559</v>
      </c>
    </row>
    <row r="207" spans="1:62" x14ac:dyDescent="0.25">
      <c r="A207" t="s">
        <v>562</v>
      </c>
      <c r="B207" t="s">
        <v>556</v>
      </c>
      <c r="C207">
        <v>151</v>
      </c>
      <c r="D207" t="s">
        <v>304</v>
      </c>
      <c r="E207" t="s">
        <v>313</v>
      </c>
      <c r="F207" t="s">
        <v>316</v>
      </c>
      <c r="G207">
        <v>1951</v>
      </c>
      <c r="H207">
        <v>1954</v>
      </c>
      <c r="I207">
        <v>1968</v>
      </c>
      <c r="K207">
        <v>2000</v>
      </c>
      <c r="M207" s="6">
        <v>20</v>
      </c>
      <c r="N207" s="6">
        <v>28</v>
      </c>
      <c r="O207" s="6">
        <v>2</v>
      </c>
      <c r="P207" s="6">
        <v>250</v>
      </c>
      <c r="Q207" s="7">
        <f>((($Y207/2)/60)*5280)/($R207*3.2*PI())</f>
        <v>207.32025481707421</v>
      </c>
      <c r="R207" s="6">
        <v>1.9</v>
      </c>
      <c r="S207" s="6">
        <f>((($M207*$M207/4)*PI())*($N207/12)*$O207*$P207*$Q207)/(33000*1.1)</f>
        <v>2093.3014354066986</v>
      </c>
      <c r="T207">
        <v>95.5</v>
      </c>
      <c r="U207" s="9">
        <v>50</v>
      </c>
      <c r="W207">
        <v>143</v>
      </c>
      <c r="X207" s="4">
        <f>IF(AND(T207&gt;0,W207&gt;0),(W207/((T207+U207)*10)),"")</f>
        <v>9.8281786941580754E-2</v>
      </c>
      <c r="Y207">
        <v>90</v>
      </c>
      <c r="AA207">
        <v>20.96</v>
      </c>
      <c r="AB207">
        <f>AA207-7.5</f>
        <v>13.46</v>
      </c>
      <c r="AD207">
        <v>3.98</v>
      </c>
      <c r="AE207" s="11">
        <v>0</v>
      </c>
      <c r="AF207" t="str">
        <f>CONCATENATE(VLOOKUP(AG207, 'Voxel Sizes'!$A$2:$B$18,2,FALSE),"x",INT(AC207*15), "x", INT(AD207*15))</f>
        <v>136x0x59</v>
      </c>
      <c r="AG207">
        <f>ROUND(15*((AB207*10)/256),0)</f>
        <v>8</v>
      </c>
      <c r="AH207" t="s">
        <v>492</v>
      </c>
      <c r="AI207" t="str">
        <f>CONCATENATE(VLOOKUP(AG207,Constants!$A$2:$C$16,IF(AH207&lt;&gt;"", 3, 2), FALSE),IF(AH207&lt;&gt;"",CONCATENATE(",",VLOOKUP(AH207,$B:$AI,34,FALSE)),""))</f>
        <v>2,4,2,2,1,2</v>
      </c>
      <c r="AO207">
        <v>1</v>
      </c>
      <c r="AP207">
        <v>40</v>
      </c>
      <c r="AS207">
        <f t="shared" si="15"/>
        <v>18</v>
      </c>
      <c r="AT207">
        <f t="shared" si="16"/>
        <v>10</v>
      </c>
      <c r="AU207">
        <f t="shared" si="17"/>
        <v>7.1499999999999995</v>
      </c>
      <c r="AV207" s="4">
        <f t="shared" si="18"/>
        <v>0.75166666666666671</v>
      </c>
      <c r="AW207">
        <f t="shared" si="19"/>
        <v>0</v>
      </c>
      <c r="AX207">
        <f>VLOOKUP($E207,Constants!$I:$K, 2, FALSE)</f>
        <v>1.1499999999999999</v>
      </c>
      <c r="AY207">
        <f>VLOOKUP($E207,Constants!$I:$K, 3, FALSE)*IF(AND(D207="multiple_unit",Y207&lt;110),0.75,1)</f>
        <v>1.7</v>
      </c>
      <c r="AZ207">
        <f>INT(((Constants!$G$2+$AR207+$AS207+$AT207+$AU207+$AW207)*$AV207)*$AY207)</f>
        <v>64</v>
      </c>
      <c r="BA207">
        <f>INT(((Constants!$G$1+$AQ207+$AS207+$AT207+$AU207+$AW207)*(1/$AV207))*$AX207)</f>
        <v>107</v>
      </c>
      <c r="BG207" t="str">
        <f>VLOOKUP(G207,Eras!$A$2:$C$10, 2, TRUE)</f>
        <v>ebr</v>
      </c>
      <c r="BH207" t="s">
        <v>369</v>
      </c>
      <c r="BI207" t="str">
        <f>CONCATENATE(BG207,"_",BH207)</f>
        <v>ebr_Mixed Traffic</v>
      </c>
      <c r="BJ207" t="s">
        <v>558</v>
      </c>
    </row>
    <row r="208" spans="1:62" x14ac:dyDescent="0.25">
      <c r="A208" t="s">
        <v>77</v>
      </c>
      <c r="B208" t="s">
        <v>197</v>
      </c>
      <c r="C208">
        <v>153</v>
      </c>
      <c r="D208" t="s">
        <v>304</v>
      </c>
      <c r="E208" t="s">
        <v>314</v>
      </c>
      <c r="F208" t="s">
        <v>316</v>
      </c>
      <c r="G208">
        <v>1952</v>
      </c>
      <c r="H208">
        <v>1962</v>
      </c>
      <c r="K208">
        <v>350</v>
      </c>
      <c r="T208">
        <v>49.8</v>
      </c>
      <c r="W208">
        <v>160</v>
      </c>
      <c r="X208" s="4">
        <f>IF(AND(T208&gt;0,W208&gt;0),(W208/((T208+U208)*10)),"")</f>
        <v>0.32128514056224899</v>
      </c>
      <c r="Y208">
        <v>20</v>
      </c>
      <c r="AA208">
        <v>8.92</v>
      </c>
      <c r="AB208">
        <v>9.5</v>
      </c>
      <c r="AC208">
        <v>2.59</v>
      </c>
      <c r="AD208">
        <v>3.87</v>
      </c>
      <c r="AE208" s="11">
        <v>0</v>
      </c>
      <c r="AF208" t="str">
        <f>CONCATENATE(VLOOKUP(AG208, 'Voxel Sizes'!$A$2:$B$18,2,FALSE),"x",INT(AC208*15), "x", INT(AD208*15))</f>
        <v>102x38x58</v>
      </c>
      <c r="AG208">
        <f>ROUND(15*((AB208*10)/256),0)</f>
        <v>6</v>
      </c>
      <c r="AI208" t="str">
        <f>CONCATENATE(VLOOKUP(AG208,Constants!$A$2:$C$16,IF(AH208&lt;&gt;"", 3, 2), FALSE),IF(AH208&lt;&gt;"",CONCATENATE(",",VLOOKUP(AH208,$B:$AI,34,FALSE)),""))</f>
        <v>2,2,2</v>
      </c>
      <c r="AO208">
        <v>1</v>
      </c>
      <c r="AP208">
        <v>52</v>
      </c>
      <c r="AS208">
        <f t="shared" si="15"/>
        <v>4</v>
      </c>
      <c r="AT208">
        <f t="shared" si="16"/>
        <v>1.75</v>
      </c>
      <c r="AU208">
        <f t="shared" si="17"/>
        <v>8</v>
      </c>
      <c r="AV208" s="4">
        <f t="shared" si="18"/>
        <v>0.7533333333333333</v>
      </c>
      <c r="AW208">
        <f t="shared" si="19"/>
        <v>0</v>
      </c>
      <c r="AX208">
        <f>VLOOKUP($E208,Constants!$I:$K, 2, FALSE)</f>
        <v>1</v>
      </c>
      <c r="AY208">
        <f>VLOOKUP($E208,Constants!$I:$K, 3, FALSE)*IF(AND(D208="multiple_unit",Y208&lt;110),0.75,1)</f>
        <v>2</v>
      </c>
      <c r="AZ208">
        <f>INT(((Constants!$G$2+$AR208+$AS208+$AT208+$AU208+$AW208)*$AV208)*$AY208)</f>
        <v>43</v>
      </c>
      <c r="BA208">
        <f>INT(((Constants!$G$1+$AQ208+$AS208+$AT208+$AU208+$AW208)*(1/$AV208))*$AX208)</f>
        <v>64</v>
      </c>
      <c r="BG208" t="str">
        <f>VLOOKUP(G208,Eras!$A$2:$C$10, 2, TRUE)</f>
        <v>ebr</v>
      </c>
      <c r="BH208" t="s">
        <v>368</v>
      </c>
      <c r="BI208" t="str">
        <f>CONCATENATE(BG208,"_",BH208)</f>
        <v>ebr_Cheap</v>
      </c>
      <c r="BJ208" t="s">
        <v>398</v>
      </c>
    </row>
    <row r="209" spans="1:62" x14ac:dyDescent="0.25">
      <c r="A209" t="s">
        <v>74</v>
      </c>
      <c r="B209" t="s">
        <v>290</v>
      </c>
      <c r="C209">
        <v>155</v>
      </c>
      <c r="D209" t="s">
        <v>304</v>
      </c>
      <c r="E209" t="s">
        <v>338</v>
      </c>
      <c r="F209" t="s">
        <v>339</v>
      </c>
      <c r="G209">
        <v>1953</v>
      </c>
      <c r="H209">
        <v>1954</v>
      </c>
      <c r="I209">
        <v>1968</v>
      </c>
      <c r="K209">
        <v>2490</v>
      </c>
      <c r="T209">
        <v>104.1</v>
      </c>
      <c r="W209">
        <v>200</v>
      </c>
      <c r="X209" s="4">
        <f>IF(AND(T209&gt;0,W209&gt;0),(W209/((T209+U209)*10)),"")</f>
        <v>0.19212295869356388</v>
      </c>
      <c r="Y209">
        <v>90</v>
      </c>
      <c r="AA209">
        <v>17.98</v>
      </c>
      <c r="AB209">
        <v>17.98</v>
      </c>
      <c r="AE209" s="11">
        <v>0</v>
      </c>
      <c r="AF209" t="str">
        <f>CONCATENATE(VLOOKUP(AG209, 'Voxel Sizes'!$A$2:$B$18,2,FALSE),"x",INT(AC209*15), "x", INT(AD209*15))</f>
        <v>186x0x0</v>
      </c>
      <c r="AG209">
        <f>ROUND(15*((AB209*10)/256),0)</f>
        <v>11</v>
      </c>
      <c r="AI209" t="str">
        <f>CONCATENATE(VLOOKUP(AG209,Constants!$A$2:$C$16,IF(AH209&lt;&gt;"", 3, 2), FALSE),IF(AH209&lt;&gt;"",CONCATENATE(",",VLOOKUP(AH209,$B:$AI,34,FALSE)),""))</f>
        <v>4,3,4</v>
      </c>
      <c r="AP209">
        <v>40</v>
      </c>
      <c r="AS209">
        <f t="shared" si="15"/>
        <v>18</v>
      </c>
      <c r="AT209">
        <f t="shared" si="16"/>
        <v>12.450000000000001</v>
      </c>
      <c r="AU209">
        <f t="shared" si="17"/>
        <v>10</v>
      </c>
      <c r="AV209" s="4">
        <f t="shared" si="18"/>
        <v>0.755</v>
      </c>
      <c r="AW209">
        <f t="shared" si="19"/>
        <v>0</v>
      </c>
      <c r="AX209">
        <f>VLOOKUP($E209,Constants!$I:$K, 2, FALSE)</f>
        <v>0.85</v>
      </c>
      <c r="AY209">
        <f>VLOOKUP($E209,Constants!$I:$K, 3, FALSE)*IF(AND(D209="multiple_unit",Y209&lt;110),0.75,1)</f>
        <v>2.2999999999999998</v>
      </c>
      <c r="AZ209">
        <f>INT(((Constants!$G$2+$AR209+$AS209+$AT209+$AU209+$AW209)*$AV209)*$AY209)</f>
        <v>96</v>
      </c>
      <c r="BA209">
        <f>INT(((Constants!$G$1+$AQ209+$AS209+$AT209+$AU209+$AW209)*(1/$AV209))*$AX209)</f>
        <v>84</v>
      </c>
      <c r="BG209" t="str">
        <f>VLOOKUP(G209,Eras!$A$2:$C$10, 2, TRUE)</f>
        <v>ebr</v>
      </c>
      <c r="BH209" t="s">
        <v>380</v>
      </c>
      <c r="BI209" t="str">
        <f>CONCATENATE(BG209,"_",BH209)</f>
        <v>ebr_Express (Electric)</v>
      </c>
      <c r="BJ209" t="s">
        <v>560</v>
      </c>
    </row>
    <row r="210" spans="1:62" x14ac:dyDescent="0.25">
      <c r="A210" t="s">
        <v>554</v>
      </c>
      <c r="B210" t="s">
        <v>557</v>
      </c>
      <c r="C210">
        <v>157</v>
      </c>
      <c r="D210" t="s">
        <v>304</v>
      </c>
      <c r="E210" t="s">
        <v>313</v>
      </c>
      <c r="F210" t="s">
        <v>316</v>
      </c>
      <c r="G210">
        <v>1954</v>
      </c>
      <c r="H210">
        <v>1960</v>
      </c>
      <c r="I210">
        <v>1968</v>
      </c>
      <c r="K210">
        <v>2500</v>
      </c>
      <c r="M210" s="6">
        <v>20</v>
      </c>
      <c r="N210" s="6">
        <v>28</v>
      </c>
      <c r="O210" s="6">
        <v>2</v>
      </c>
      <c r="P210" s="6">
        <v>250</v>
      </c>
      <c r="Q210" s="7">
        <f>((($Y210/2)/60)*5280)/($R210*3.2*PI())</f>
        <v>262.60565610162729</v>
      </c>
      <c r="R210" s="6">
        <v>1.5</v>
      </c>
      <c r="S210" s="6">
        <f>((($M210*$M210/4)*PI())*($N210/12)*$O210*$P210*$Q210)/(33000*1.1)</f>
        <v>2651.515151515151</v>
      </c>
      <c r="T210">
        <v>90</v>
      </c>
      <c r="U210" s="9">
        <v>51</v>
      </c>
      <c r="W210">
        <v>176</v>
      </c>
      <c r="X210" s="4">
        <f>IF(AND(T210&gt;0,W210&gt;0),(W210/((T210+U210)*10)),"")</f>
        <v>0.12482269503546099</v>
      </c>
      <c r="Y210">
        <v>90</v>
      </c>
      <c r="AA210">
        <v>20.170000000000002</v>
      </c>
      <c r="AB210">
        <v>15</v>
      </c>
      <c r="AE210" s="11">
        <v>0</v>
      </c>
      <c r="AF210" t="str">
        <f>CONCATENATE(VLOOKUP(AG210, 'Voxel Sizes'!$A$2:$B$18,2,FALSE),"x",INT(AC210*15), "x", INT(AD210*15))</f>
        <v>152x0x0</v>
      </c>
      <c r="AG210">
        <f>ROUND(15*((AB210*10)/256),0)</f>
        <v>9</v>
      </c>
      <c r="AH210" t="s">
        <v>492</v>
      </c>
      <c r="AI210" t="str">
        <f>CONCATENATE(VLOOKUP(AG210,Constants!$A$2:$C$16,IF(AH210&lt;&gt;"", 3, 2), FALSE),IF(AH210&lt;&gt;"",CONCATENATE(",",VLOOKUP(AH210,$B:$AI,34,FALSE)),""))</f>
        <v>2,5,2,2,1,2</v>
      </c>
      <c r="AO210">
        <v>1</v>
      </c>
      <c r="AP210">
        <v>40</v>
      </c>
      <c r="AS210">
        <f t="shared" si="15"/>
        <v>18</v>
      </c>
      <c r="AT210">
        <f t="shared" si="16"/>
        <v>12.5</v>
      </c>
      <c r="AU210">
        <f t="shared" si="17"/>
        <v>8.8000000000000007</v>
      </c>
      <c r="AV210" s="4">
        <f t="shared" si="18"/>
        <v>0.75666666666666671</v>
      </c>
      <c r="AW210">
        <f t="shared" si="19"/>
        <v>0</v>
      </c>
      <c r="AX210">
        <f>VLOOKUP($E210,Constants!$I:$K, 2, FALSE)</f>
        <v>1.1499999999999999</v>
      </c>
      <c r="AY210">
        <f>VLOOKUP($E210,Constants!$I:$K, 3, FALSE)*IF(AND(D210="multiple_unit",Y210&lt;110),0.75,1)</f>
        <v>1.7</v>
      </c>
      <c r="AZ210">
        <f>INT(((Constants!$G$2+$AR210+$AS210+$AT210+$AU210+$AW210)*$AV210)*$AY210)</f>
        <v>69</v>
      </c>
      <c r="BA210">
        <f>INT(((Constants!$G$1+$AQ210+$AS210+$AT210+$AU210+$AW210)*(1/$AV210))*$AX210)</f>
        <v>112</v>
      </c>
      <c r="BG210" t="str">
        <f>VLOOKUP(G210,Eras!$A$2:$C$10, 2, TRUE)</f>
        <v>ebr</v>
      </c>
      <c r="BH210" t="s">
        <v>371</v>
      </c>
      <c r="BI210" t="str">
        <f>CONCATENATE(BG210,"_",BH210)</f>
        <v>ebr_Freight</v>
      </c>
      <c r="BJ210" t="s">
        <v>563</v>
      </c>
    </row>
    <row r="211" spans="1:62" x14ac:dyDescent="0.25">
      <c r="A211" t="s">
        <v>49</v>
      </c>
      <c r="B211" t="s">
        <v>309</v>
      </c>
      <c r="C211">
        <v>161</v>
      </c>
      <c r="D211" t="s">
        <v>304</v>
      </c>
      <c r="E211" t="s">
        <v>314</v>
      </c>
      <c r="F211" t="s">
        <v>316</v>
      </c>
      <c r="G211">
        <v>1955</v>
      </c>
      <c r="H211">
        <v>1962</v>
      </c>
      <c r="I211">
        <v>1982</v>
      </c>
      <c r="K211">
        <v>3300</v>
      </c>
      <c r="T211">
        <v>108</v>
      </c>
      <c r="W211">
        <v>233</v>
      </c>
      <c r="X211" s="4">
        <f>IF(AND(T211&gt;0,W211&gt;0),(W211/((T211+U211)*10)),"")</f>
        <v>0.21574074074074073</v>
      </c>
      <c r="Y211">
        <v>106</v>
      </c>
      <c r="AA211">
        <v>21.18</v>
      </c>
      <c r="AB211">
        <v>21.18</v>
      </c>
      <c r="AD211">
        <v>3.91</v>
      </c>
      <c r="AE211" s="11">
        <v>0</v>
      </c>
      <c r="AF211" t="str">
        <f>CONCATENATE(VLOOKUP(AG211, 'Voxel Sizes'!$A$2:$B$18,2,FALSE),"x",INT(AC211*15), "x", INT(AD211*15))</f>
        <v>198x0x58</v>
      </c>
      <c r="AG211">
        <f>ROUND(15*((AB211*10)/256),0)</f>
        <v>12</v>
      </c>
      <c r="AI211" t="str">
        <f>CONCATENATE(VLOOKUP(AG211,Constants!$A$2:$C$16,IF(AH211&lt;&gt;"", 3, 2), FALSE),IF(AH211&lt;&gt;"",CONCATENATE(",",VLOOKUP(AH211,$B:$AI,34,FALSE)),""))</f>
        <v>4,4,4</v>
      </c>
      <c r="AP211">
        <v>36</v>
      </c>
      <c r="AS211">
        <f t="shared" si="15"/>
        <v>21.2</v>
      </c>
      <c r="AT211">
        <f t="shared" si="16"/>
        <v>16.5</v>
      </c>
      <c r="AU211">
        <f t="shared" si="17"/>
        <v>11.65</v>
      </c>
      <c r="AV211" s="4">
        <f t="shared" si="18"/>
        <v>0.7583333333333333</v>
      </c>
      <c r="AW211">
        <f t="shared" si="19"/>
        <v>0</v>
      </c>
      <c r="AX211">
        <f>VLOOKUP($E211,Constants!$I:$K, 2, FALSE)</f>
        <v>1</v>
      </c>
      <c r="AY211">
        <f>VLOOKUP($E211,Constants!$I:$K, 3, FALSE)*IF(AND(D211="multiple_unit",Y211&lt;110),0.75,1)</f>
        <v>2</v>
      </c>
      <c r="AZ211">
        <f>INT(((Constants!$G$2+$AR211+$AS211+$AT211+$AU211+$AW211)*$AV211)*$AY211)</f>
        <v>97</v>
      </c>
      <c r="BA211">
        <f>INT(((Constants!$G$1+$AQ211+$AS211+$AT211+$AU211+$AW211)*(1/$AV211))*$AX211)</f>
        <v>111</v>
      </c>
      <c r="BG211" t="str">
        <f>VLOOKUP(G211,Eras!$A$2:$C$10, 2, TRUE)</f>
        <v>dsl</v>
      </c>
      <c r="BH211" t="s">
        <v>370</v>
      </c>
      <c r="BI211" t="str">
        <f>CONCATENATE(BG211,"_",BH211)</f>
        <v>dsl_Express</v>
      </c>
      <c r="BJ211" t="s">
        <v>564</v>
      </c>
    </row>
    <row r="212" spans="1:62" x14ac:dyDescent="0.25">
      <c r="A212" t="s">
        <v>568</v>
      </c>
      <c r="B212" t="s">
        <v>198</v>
      </c>
      <c r="C212">
        <v>169</v>
      </c>
      <c r="D212" t="s">
        <v>304</v>
      </c>
      <c r="E212" t="s">
        <v>314</v>
      </c>
      <c r="F212" t="s">
        <v>316</v>
      </c>
      <c r="G212">
        <v>1957</v>
      </c>
      <c r="H212">
        <v>1962</v>
      </c>
      <c r="I212">
        <v>2017</v>
      </c>
      <c r="K212">
        <v>1250</v>
      </c>
      <c r="T212">
        <v>108.4</v>
      </c>
      <c r="W212">
        <v>160</v>
      </c>
      <c r="X212" s="4">
        <f>IF(AND(T212&gt;0,W212&gt;0),(W212/((T212+U212)*10)),"")</f>
        <v>0.14760147601476015</v>
      </c>
      <c r="Y212">
        <v>80</v>
      </c>
      <c r="AA212">
        <v>17.3</v>
      </c>
      <c r="AB212">
        <v>17.3</v>
      </c>
      <c r="AD212">
        <v>3.84</v>
      </c>
      <c r="AE212" s="11">
        <v>0</v>
      </c>
      <c r="AF212" t="str">
        <f>CONCATENATE(VLOOKUP(AG212, 'Voxel Sizes'!$A$2:$B$18,2,FALSE),"x",INT(AC212*15), "x", INT(AD212*15))</f>
        <v>164x0x57</v>
      </c>
      <c r="AG212">
        <f>ROUND(15*((AB212*10)/256),0)</f>
        <v>10</v>
      </c>
      <c r="AI212" t="str">
        <f>CONCATENATE(VLOOKUP(AG212,Constants!$A$2:$C$16,IF(AH212&lt;&gt;"", 3, 2), FALSE),IF(AH212&lt;&gt;"",CONCATENATE(",",VLOOKUP(AH212,$B:$AI,34,FALSE)),""))</f>
        <v>4,2,4</v>
      </c>
      <c r="AP212">
        <v>40</v>
      </c>
      <c r="AS212">
        <f t="shared" si="15"/>
        <v>16</v>
      </c>
      <c r="AT212">
        <f t="shared" si="16"/>
        <v>6.25</v>
      </c>
      <c r="AU212">
        <f t="shared" si="17"/>
        <v>8</v>
      </c>
      <c r="AV212" s="4">
        <f t="shared" si="18"/>
        <v>0.76166666666666671</v>
      </c>
      <c r="AW212">
        <f t="shared" si="19"/>
        <v>0</v>
      </c>
      <c r="AX212">
        <f>VLOOKUP($E212,Constants!$I:$K, 2, FALSE)</f>
        <v>1</v>
      </c>
      <c r="AY212">
        <f>VLOOKUP($E212,Constants!$I:$K, 3, FALSE)*IF(AND(D212="multiple_unit",Y212&lt;110),0.75,1)</f>
        <v>2</v>
      </c>
      <c r="AZ212">
        <f>INT(((Constants!$G$2+$AR212+$AS212+$AT212+$AU212+$AW212)*$AV212)*$AY212)</f>
        <v>68</v>
      </c>
      <c r="BA212">
        <f>INT(((Constants!$G$1+$AQ212+$AS212+$AT212+$AU212+$AW212)*(1/$AV212))*$AX212)</f>
        <v>85</v>
      </c>
      <c r="BG212" t="str">
        <f>VLOOKUP(G212,Eras!$A$2:$C$10, 2, TRUE)</f>
        <v>dsl</v>
      </c>
      <c r="BH212" t="s">
        <v>371</v>
      </c>
      <c r="BI212" t="str">
        <f>CONCATENATE(BG212,"_",BH212)</f>
        <v>dsl_Freight</v>
      </c>
      <c r="BJ212" t="s">
        <v>569</v>
      </c>
    </row>
    <row r="213" spans="1:62" x14ac:dyDescent="0.25">
      <c r="A213" t="s">
        <v>57</v>
      </c>
      <c r="B213" t="s">
        <v>307</v>
      </c>
      <c r="C213">
        <v>171</v>
      </c>
      <c r="D213" t="s">
        <v>304</v>
      </c>
      <c r="E213" t="s">
        <v>314</v>
      </c>
      <c r="F213" t="s">
        <v>316</v>
      </c>
      <c r="G213">
        <v>1957</v>
      </c>
      <c r="H213">
        <v>1968</v>
      </c>
      <c r="K213">
        <v>1000</v>
      </c>
      <c r="T213">
        <v>73</v>
      </c>
      <c r="W213">
        <v>186</v>
      </c>
      <c r="X213" s="4">
        <f>IF(AND(T213&gt;0,W213&gt;0),(W213/((T213+U213)*10)),"")</f>
        <v>0.25479452054794521</v>
      </c>
      <c r="Y213">
        <v>75</v>
      </c>
      <c r="AA213">
        <v>14.25</v>
      </c>
      <c r="AB213">
        <v>14.25</v>
      </c>
      <c r="AC213">
        <v>2.67</v>
      </c>
      <c r="AD213">
        <v>3.85</v>
      </c>
      <c r="AE213" s="11">
        <v>0</v>
      </c>
      <c r="AF213" t="str">
        <f>CONCATENATE(VLOOKUP(AG213, 'Voxel Sizes'!$A$2:$B$18,2,FALSE),"x",INT(AC213*15), "x", INT(AD213*15))</f>
        <v>136x40x57</v>
      </c>
      <c r="AG213">
        <f>ROUND(15*((AB213*10)/256),0)</f>
        <v>8</v>
      </c>
      <c r="AI213" t="str">
        <f>CONCATENATE(VLOOKUP(AG213,Constants!$A$2:$C$16,IF(AH213&lt;&gt;"", 3, 2), FALSE),IF(AH213&lt;&gt;"",CONCATENATE(",",VLOOKUP(AH213,$B:$AI,34,FALSE)),""))</f>
        <v>2,4,2</v>
      </c>
      <c r="AP213">
        <v>43</v>
      </c>
      <c r="AS213">
        <f t="shared" si="15"/>
        <v>15</v>
      </c>
      <c r="AT213">
        <f t="shared" si="16"/>
        <v>5</v>
      </c>
      <c r="AU213">
        <f t="shared" si="17"/>
        <v>9.3000000000000007</v>
      </c>
      <c r="AV213" s="4">
        <f t="shared" si="18"/>
        <v>0.76166666666666671</v>
      </c>
      <c r="AW213">
        <f t="shared" si="19"/>
        <v>0</v>
      </c>
      <c r="AX213">
        <f>VLOOKUP($E213,Constants!$I:$K, 2, FALSE)</f>
        <v>1</v>
      </c>
      <c r="AY213">
        <f>VLOOKUP($E213,Constants!$I:$K, 3, FALSE)*IF(AND(D213="multiple_unit",Y213&lt;110),0.75,1)</f>
        <v>2</v>
      </c>
      <c r="AZ213">
        <f>INT(((Constants!$G$2+$AR213+$AS213+$AT213+$AU213+$AW213)*$AV213)*$AY213)</f>
        <v>67</v>
      </c>
      <c r="BA213">
        <f>INT(((Constants!$G$1+$AQ213+$AS213+$AT213+$AU213+$AW213)*(1/$AV213))*$AX213)</f>
        <v>84</v>
      </c>
      <c r="BG213" t="str">
        <f>VLOOKUP(G213,Eras!$A$2:$C$10, 2, TRUE)</f>
        <v>dsl</v>
      </c>
      <c r="BH213" t="s">
        <v>369</v>
      </c>
      <c r="BI213" t="str">
        <f>CONCATENATE(BG213,"_",BH213)</f>
        <v>dsl_Mixed Traffic</v>
      </c>
      <c r="BJ213" t="s">
        <v>399</v>
      </c>
    </row>
    <row r="214" spans="1:62" x14ac:dyDescent="0.25">
      <c r="A214" t="s">
        <v>43</v>
      </c>
      <c r="B214" t="s">
        <v>199</v>
      </c>
      <c r="C214">
        <v>173</v>
      </c>
      <c r="D214" t="s">
        <v>304</v>
      </c>
      <c r="E214" t="s">
        <v>314</v>
      </c>
      <c r="F214" t="s">
        <v>316</v>
      </c>
      <c r="G214">
        <v>1958</v>
      </c>
      <c r="H214">
        <v>1961</v>
      </c>
      <c r="I214">
        <v>1966</v>
      </c>
      <c r="K214">
        <v>2750</v>
      </c>
      <c r="T214">
        <v>81</v>
      </c>
      <c r="U214" s="9">
        <v>45</v>
      </c>
      <c r="W214">
        <v>169</v>
      </c>
      <c r="X214" s="4">
        <f>IF(AND(T214&gt;0,W214&gt;0),(W214/((T214+U214)*10)),"")</f>
        <v>0.13412698412698412</v>
      </c>
      <c r="Y214">
        <v>90</v>
      </c>
      <c r="AA214">
        <v>20.74</v>
      </c>
      <c r="AB214">
        <v>14</v>
      </c>
      <c r="AE214" s="11">
        <v>0</v>
      </c>
      <c r="AF214" t="str">
        <f>CONCATENATE(VLOOKUP(AG214, 'Voxel Sizes'!$A$2:$B$18,2,FALSE),"x",INT(AC214*15), "x", INT(AD214*15))</f>
        <v>136x0x0</v>
      </c>
      <c r="AG214">
        <f>ROUND(15*((AB214*10)/256),0)</f>
        <v>8</v>
      </c>
      <c r="AH214" t="s">
        <v>692</v>
      </c>
      <c r="AI214" t="str">
        <f>CONCATENATE(VLOOKUP(AG214,Constants!$A$2:$C$16,IF(AH214&lt;&gt;"", 3, 2), FALSE),IF(AH214&lt;&gt;"",CONCATENATE(",",VLOOKUP(AH214,$B:$AI,34,FALSE)),""))</f>
        <v>2,4,2,2,1,2</v>
      </c>
      <c r="AO214">
        <v>1</v>
      </c>
      <c r="AP214">
        <v>19</v>
      </c>
      <c r="AS214">
        <f t="shared" si="15"/>
        <v>18</v>
      </c>
      <c r="AT214">
        <f t="shared" si="16"/>
        <v>13.75</v>
      </c>
      <c r="AU214">
        <f t="shared" si="17"/>
        <v>8.4499999999999993</v>
      </c>
      <c r="AV214" s="4">
        <f t="shared" si="18"/>
        <v>0.76333333333333331</v>
      </c>
      <c r="AW214">
        <f t="shared" si="19"/>
        <v>0</v>
      </c>
      <c r="AX214">
        <f>VLOOKUP($E214,Constants!$I:$K, 2, FALSE)</f>
        <v>1</v>
      </c>
      <c r="AY214">
        <f>VLOOKUP($E214,Constants!$I:$K, 3, FALSE)*IF(AND(D214="multiple_unit",Y214&lt;110),0.75,1)</f>
        <v>2</v>
      </c>
      <c r="AZ214">
        <f>INT(((Constants!$G$2+$AR214+$AS214+$AT214+$AU214+$AW214)*$AV214)*$AY214)</f>
        <v>84</v>
      </c>
      <c r="BA214">
        <f>INT(((Constants!$G$1+$AQ214+$AS214+$AT214+$AU214+$AW214)*(1/$AV214))*$AX214)</f>
        <v>98</v>
      </c>
      <c r="BG214" t="str">
        <f>VLOOKUP(G214,Eras!$A$2:$C$10, 2, TRUE)</f>
        <v>dsl</v>
      </c>
      <c r="BH214" t="s">
        <v>370</v>
      </c>
      <c r="BI214" t="str">
        <f>CONCATENATE(BG214,"_",BH214)</f>
        <v>dsl_Express</v>
      </c>
      <c r="BJ214" t="s">
        <v>567</v>
      </c>
    </row>
    <row r="215" spans="1:62" x14ac:dyDescent="0.25">
      <c r="A215" t="s">
        <v>47</v>
      </c>
      <c r="B215" t="s">
        <v>200</v>
      </c>
      <c r="C215">
        <v>175</v>
      </c>
      <c r="D215" t="s">
        <v>304</v>
      </c>
      <c r="E215" t="s">
        <v>314</v>
      </c>
      <c r="F215" t="s">
        <v>316</v>
      </c>
      <c r="G215">
        <v>1958</v>
      </c>
      <c r="H215">
        <v>1961</v>
      </c>
      <c r="I215">
        <v>1972</v>
      </c>
      <c r="K215">
        <f>1035*2</f>
        <v>2070</v>
      </c>
      <c r="T215">
        <v>79.3</v>
      </c>
      <c r="W215">
        <v>214</v>
      </c>
      <c r="X215" s="4">
        <f>IF(AND(T215&gt;0,W215&gt;0),(W215/((T215+U215)*10)),"")</f>
        <v>0.26986128625472888</v>
      </c>
      <c r="Y215">
        <v>90</v>
      </c>
      <c r="AA215">
        <v>18.29</v>
      </c>
      <c r="AB215">
        <v>18.29</v>
      </c>
      <c r="AD215">
        <v>3.67</v>
      </c>
      <c r="AE215" s="11">
        <v>0</v>
      </c>
      <c r="AF215" t="str">
        <f>CONCATENATE(VLOOKUP(AG215, 'Voxel Sizes'!$A$2:$B$18,2,FALSE),"x",INT(AC215*15), "x", INT(AD215*15))</f>
        <v>186x0x55</v>
      </c>
      <c r="AG215">
        <f>ROUND(15*((AB215*10)/256),0)</f>
        <v>11</v>
      </c>
      <c r="AI215" t="str">
        <f>CONCATENATE(VLOOKUP(AG215,Constants!$A$2:$C$16,IF(AH215&lt;&gt;"", 3, 2), FALSE),IF(AH215&lt;&gt;"",CONCATENATE(",",VLOOKUP(AH215,$B:$AI,34,FALSE)),""))</f>
        <v>4,3,4</v>
      </c>
      <c r="AP215">
        <v>42</v>
      </c>
      <c r="AS215">
        <f t="shared" si="15"/>
        <v>18</v>
      </c>
      <c r="AT215">
        <f t="shared" si="16"/>
        <v>10.35</v>
      </c>
      <c r="AU215">
        <f t="shared" si="17"/>
        <v>10.700000000000001</v>
      </c>
      <c r="AV215" s="4">
        <f t="shared" si="18"/>
        <v>0.76333333333333331</v>
      </c>
      <c r="AW215">
        <f t="shared" si="19"/>
        <v>0</v>
      </c>
      <c r="AX215">
        <f>VLOOKUP($E215,Constants!$I:$K, 2, FALSE)</f>
        <v>1</v>
      </c>
      <c r="AY215">
        <f>VLOOKUP($E215,Constants!$I:$K, 3, FALSE)*IF(AND(D215="multiple_unit",Y215&lt;110),0.75,1)</f>
        <v>2</v>
      </c>
      <c r="AZ215">
        <f>INT(((Constants!$G$2+$AR215+$AS215+$AT215+$AU215+$AW215)*$AV215)*$AY215)</f>
        <v>82</v>
      </c>
      <c r="BA215">
        <f>INT(((Constants!$G$1+$AQ215+$AS215+$AT215+$AU215+$AW215)*(1/$AV215))*$AX215)</f>
        <v>97</v>
      </c>
      <c r="BG215" t="str">
        <f>VLOOKUP(G215,Eras!$A$2:$C$10, 2, TRUE)</f>
        <v>dsl</v>
      </c>
      <c r="BH215" t="s">
        <v>419</v>
      </c>
      <c r="BI215" t="str">
        <f>CONCATENATE(BG215,"_",BH215)</f>
        <v>dsl_Passenger</v>
      </c>
      <c r="BJ215" t="s">
        <v>570</v>
      </c>
    </row>
    <row r="216" spans="1:62" x14ac:dyDescent="0.25">
      <c r="A216" t="s">
        <v>52</v>
      </c>
      <c r="B216" t="s">
        <v>572</v>
      </c>
      <c r="C216">
        <v>177</v>
      </c>
      <c r="D216" t="s">
        <v>304</v>
      </c>
      <c r="E216" t="s">
        <v>314</v>
      </c>
      <c r="F216" t="s">
        <v>316</v>
      </c>
      <c r="G216">
        <v>1958</v>
      </c>
      <c r="H216">
        <v>1962</v>
      </c>
      <c r="I216">
        <v>1985</v>
      </c>
      <c r="K216">
        <v>2000</v>
      </c>
      <c r="T216">
        <v>135</v>
      </c>
      <c r="W216">
        <v>231</v>
      </c>
      <c r="X216" s="4">
        <f>IF(AND(T216&gt;0,W216&gt;0),(W216/((T216+U216)*10)),"")</f>
        <v>0.1711111111111111</v>
      </c>
      <c r="Y216">
        <v>90</v>
      </c>
      <c r="AA216">
        <v>21.18</v>
      </c>
      <c r="AB216">
        <v>21.18</v>
      </c>
      <c r="AD216">
        <v>3.91</v>
      </c>
      <c r="AE216" s="11">
        <v>0</v>
      </c>
      <c r="AF216" t="str">
        <f>CONCATENATE(VLOOKUP(AG216, 'Voxel Sizes'!$A$2:$B$18,2,FALSE),"x",INT(AC216*15), "x", INT(AD216*15))</f>
        <v>198x0x58</v>
      </c>
      <c r="AG216">
        <f>ROUND(15*((AB216*10)/256),0)</f>
        <v>12</v>
      </c>
      <c r="AI216" t="str">
        <f>CONCATENATE(VLOOKUP(AG216,Constants!$A$2:$C$16,IF(AH216&lt;&gt;"", 3, 2), FALSE),IF(AH216&lt;&gt;"",CONCATENATE(",",VLOOKUP(AH216,$B:$AI,34,FALSE)),""))</f>
        <v>4,4,4</v>
      </c>
      <c r="AP216">
        <v>39</v>
      </c>
      <c r="AS216">
        <f t="shared" si="15"/>
        <v>18</v>
      </c>
      <c r="AT216">
        <f t="shared" si="16"/>
        <v>10</v>
      </c>
      <c r="AU216">
        <f t="shared" si="17"/>
        <v>11.55</v>
      </c>
      <c r="AV216" s="4">
        <f t="shared" si="18"/>
        <v>0.76333333333333331</v>
      </c>
      <c r="AW216">
        <f t="shared" si="19"/>
        <v>0</v>
      </c>
      <c r="AX216">
        <f>VLOOKUP($E216,Constants!$I:$K, 2, FALSE)</f>
        <v>1</v>
      </c>
      <c r="AY216">
        <f>VLOOKUP($E216,Constants!$I:$K, 3, FALSE)*IF(AND(D216="multiple_unit",Y216&lt;110),0.75,1)</f>
        <v>2</v>
      </c>
      <c r="AZ216">
        <f>INT(((Constants!$G$2+$AR216+$AS216+$AT216+$AU216+$AW216)*$AV216)*$AY216)</f>
        <v>83</v>
      </c>
      <c r="BA216">
        <f>INT(((Constants!$G$1+$AQ216+$AS216+$AT216+$AU216+$AW216)*(1/$AV216))*$AX216)</f>
        <v>97</v>
      </c>
      <c r="BG216" t="str">
        <f>VLOOKUP(G216,Eras!$A$2:$C$10, 2, TRUE)</f>
        <v>dsl</v>
      </c>
      <c r="BH216" t="s">
        <v>370</v>
      </c>
      <c r="BI216" t="str">
        <f>CONCATENATE(BG216,"_",BH216)</f>
        <v>dsl_Express</v>
      </c>
      <c r="BJ216" t="s">
        <v>571</v>
      </c>
    </row>
    <row r="217" spans="1:62" x14ac:dyDescent="0.25">
      <c r="A217" t="s">
        <v>53</v>
      </c>
      <c r="B217" t="s">
        <v>340</v>
      </c>
      <c r="C217">
        <v>179</v>
      </c>
      <c r="D217" t="s">
        <v>304</v>
      </c>
      <c r="E217" t="s">
        <v>314</v>
      </c>
      <c r="F217" t="s">
        <v>316</v>
      </c>
      <c r="G217">
        <v>1958</v>
      </c>
      <c r="H217">
        <v>1959</v>
      </c>
      <c r="I217">
        <v>1968</v>
      </c>
      <c r="K217">
        <v>1200</v>
      </c>
      <c r="T217">
        <v>98.6</v>
      </c>
      <c r="W217">
        <v>222</v>
      </c>
      <c r="X217" s="4">
        <f>IF(AND(T217&gt;0,W217&gt;0),(W217/((T217+U217)*10)),"")</f>
        <v>0.22515212981744423</v>
      </c>
      <c r="Y217">
        <v>75</v>
      </c>
      <c r="AA217">
        <v>17.260000000000002</v>
      </c>
      <c r="AB217">
        <v>17.260000000000002</v>
      </c>
      <c r="AD217">
        <v>3.7</v>
      </c>
      <c r="AE217" s="11">
        <v>0</v>
      </c>
      <c r="AF217" t="str">
        <f>CONCATENATE(VLOOKUP(AG217, 'Voxel Sizes'!$A$2:$B$18,2,FALSE),"x",INT(AC217*15), "x", INT(AD217*15))</f>
        <v>164x0x55</v>
      </c>
      <c r="AG217">
        <f>ROUND(15*((AB217*10)/256),0)</f>
        <v>10</v>
      </c>
      <c r="AI217" t="str">
        <f>CONCATENATE(VLOOKUP(AG217,Constants!$A$2:$C$16,IF(AH217&lt;&gt;"", 3, 2), FALSE),IF(AH217&lt;&gt;"",CONCATENATE(",",VLOOKUP(AH217,$B:$AI,34,FALSE)),""))</f>
        <v>4,2,4</v>
      </c>
      <c r="AP217">
        <v>31</v>
      </c>
      <c r="AS217">
        <f t="shared" si="15"/>
        <v>15</v>
      </c>
      <c r="AT217">
        <f t="shared" si="16"/>
        <v>6</v>
      </c>
      <c r="AU217">
        <f t="shared" si="17"/>
        <v>11.100000000000001</v>
      </c>
      <c r="AV217" s="4">
        <f t="shared" si="18"/>
        <v>0.76333333333333331</v>
      </c>
      <c r="AW217">
        <f t="shared" si="19"/>
        <v>0</v>
      </c>
      <c r="AX217">
        <f>VLOOKUP($E217,Constants!$I:$K, 2, FALSE)</f>
        <v>1</v>
      </c>
      <c r="AY217">
        <f>VLOOKUP($E217,Constants!$I:$K, 3, FALSE)*IF(AND(D217="multiple_unit",Y217&lt;110),0.75,1)</f>
        <v>2</v>
      </c>
      <c r="AZ217">
        <f>INT(((Constants!$G$2+$AR217+$AS217+$AT217+$AU217+$AW217)*$AV217)*$AY217)</f>
        <v>71</v>
      </c>
      <c r="BA217">
        <f>INT(((Constants!$G$1+$AQ217+$AS217+$AT217+$AU217+$AW217)*(1/$AV217))*$AX217)</f>
        <v>87</v>
      </c>
      <c r="BG217" t="str">
        <f>VLOOKUP(G217,Eras!$A$2:$C$10, 2, TRUE)</f>
        <v>dsl</v>
      </c>
      <c r="BH217" t="s">
        <v>369</v>
      </c>
      <c r="BI217" t="str">
        <f>CONCATENATE(BG217,"_",BH217)</f>
        <v>dsl_Mixed Traffic</v>
      </c>
      <c r="BJ217" t="s">
        <v>400</v>
      </c>
    </row>
    <row r="218" spans="1:62" x14ac:dyDescent="0.25">
      <c r="A218" t="s">
        <v>75</v>
      </c>
      <c r="B218" t="s">
        <v>255</v>
      </c>
      <c r="C218">
        <v>181</v>
      </c>
      <c r="D218" t="s">
        <v>304</v>
      </c>
      <c r="E218" t="s">
        <v>338</v>
      </c>
      <c r="F218" t="s">
        <v>345</v>
      </c>
      <c r="G218">
        <v>1958</v>
      </c>
      <c r="H218">
        <v>1960</v>
      </c>
      <c r="I218">
        <v>1977</v>
      </c>
      <c r="K218">
        <v>2300</v>
      </c>
      <c r="T218">
        <v>78.239999999999995</v>
      </c>
      <c r="W218">
        <v>195</v>
      </c>
      <c r="X218" s="4">
        <f>IF(AND(T218&gt;0,W218&gt;0),(W218/((T218+U218)*10)),"")</f>
        <v>0.24923312883435583</v>
      </c>
      <c r="Y218">
        <v>90</v>
      </c>
      <c r="AA218">
        <v>16.36</v>
      </c>
      <c r="AB218">
        <v>16.36</v>
      </c>
      <c r="AE218" s="11">
        <v>0</v>
      </c>
      <c r="AF218" t="str">
        <f>CONCATENATE(VLOOKUP(AG218, 'Voxel Sizes'!$A$2:$B$18,2,FALSE),"x",INT(AC218*15), "x", INT(AD218*15))</f>
        <v>164x0x0</v>
      </c>
      <c r="AG218">
        <f>ROUND(15*((AB218*10)/256),0)</f>
        <v>10</v>
      </c>
      <c r="AI218" t="str">
        <f>CONCATENATE(VLOOKUP(AG218,Constants!$A$2:$C$16,IF(AH218&lt;&gt;"", 3, 2), FALSE),IF(AH218&lt;&gt;"",CONCATENATE(",",VLOOKUP(AH218,$B:$AI,34,FALSE)),""))</f>
        <v>4,2,4</v>
      </c>
      <c r="AP218">
        <v>42</v>
      </c>
      <c r="AS218">
        <f t="shared" si="15"/>
        <v>18</v>
      </c>
      <c r="AT218">
        <f t="shared" si="16"/>
        <v>11.5</v>
      </c>
      <c r="AU218">
        <f t="shared" si="17"/>
        <v>9.75</v>
      </c>
      <c r="AV218" s="4">
        <f t="shared" si="18"/>
        <v>0.76333333333333331</v>
      </c>
      <c r="AW218">
        <f t="shared" si="19"/>
        <v>0</v>
      </c>
      <c r="AX218">
        <f>VLOOKUP($E218,Constants!$I:$K, 2, FALSE)</f>
        <v>0.85</v>
      </c>
      <c r="AY218">
        <f>VLOOKUP($E218,Constants!$I:$K, 3, FALSE)*IF(AND(D218="multiple_unit",Y218&lt;110),0.75,1)</f>
        <v>2.2999999999999998</v>
      </c>
      <c r="AZ218">
        <f>INT(((Constants!$G$2+$AR218+$AS218+$AT218+$AU218+$AW218)*$AV218)*$AY218)</f>
        <v>95</v>
      </c>
      <c r="BA218">
        <f>INT(((Constants!$G$1+$AQ218+$AS218+$AT218+$AU218+$AW218)*(1/$AV218))*$AX218)</f>
        <v>82</v>
      </c>
      <c r="BG218" t="str">
        <f>VLOOKUP(G218,Eras!$A$2:$C$10, 2, TRUE)</f>
        <v>dsl</v>
      </c>
      <c r="BH218" t="s">
        <v>379</v>
      </c>
      <c r="BI218" t="str">
        <f>CONCATENATE(BG218,"_",BH218)</f>
        <v>dsl_MT (Electric)</v>
      </c>
      <c r="BJ218" t="s">
        <v>401</v>
      </c>
    </row>
    <row r="219" spans="1:62" x14ac:dyDescent="0.25">
      <c r="A219" t="s">
        <v>588</v>
      </c>
      <c r="B219" t="s">
        <v>590</v>
      </c>
      <c r="C219">
        <v>183</v>
      </c>
      <c r="D219" t="s">
        <v>304</v>
      </c>
      <c r="E219" t="s">
        <v>314</v>
      </c>
      <c r="F219" t="s">
        <v>316</v>
      </c>
      <c r="G219">
        <v>1958</v>
      </c>
      <c r="H219">
        <v>1959</v>
      </c>
      <c r="I219">
        <v>1994</v>
      </c>
      <c r="K219">
        <v>1160</v>
      </c>
      <c r="T219">
        <v>78.7</v>
      </c>
      <c r="W219">
        <v>187</v>
      </c>
      <c r="X219" s="4">
        <f>IF(AND(T219&gt;0,W219&gt;0),(W219/((T219+U219)*10)),"")</f>
        <v>0.23761118170266837</v>
      </c>
      <c r="Y219">
        <v>80</v>
      </c>
      <c r="AA219">
        <v>15.47</v>
      </c>
      <c r="AB219">
        <v>15.47</v>
      </c>
      <c r="AD219">
        <v>3.86</v>
      </c>
      <c r="AE219" s="11">
        <v>0</v>
      </c>
      <c r="AF219" t="str">
        <f>CONCATENATE(VLOOKUP(AG219, 'Voxel Sizes'!$A$2:$B$18,2,FALSE),"x",INT(AC219*15), "x", INT(AD219*15))</f>
        <v>152x0x57</v>
      </c>
      <c r="AG219">
        <f>ROUND(15*((AB219*10)/256),0)</f>
        <v>9</v>
      </c>
      <c r="AI219" t="str">
        <f>CONCATENATE(VLOOKUP(AG219,Constants!$A$2:$C$16,IF(AH219&lt;&gt;"", 3, 2), FALSE),IF(AH219&lt;&gt;"",CONCATENATE(",",VLOOKUP(AH219,$B:$AI,34,FALSE)),""))</f>
        <v>2,5,2</v>
      </c>
      <c r="AP219">
        <v>40</v>
      </c>
      <c r="AS219">
        <f t="shared" si="15"/>
        <v>16</v>
      </c>
      <c r="AT219">
        <f t="shared" si="16"/>
        <v>5.8</v>
      </c>
      <c r="AU219">
        <f t="shared" si="17"/>
        <v>9.3500000000000014</v>
      </c>
      <c r="AV219" s="4">
        <f t="shared" si="18"/>
        <v>0.76333333333333331</v>
      </c>
      <c r="AW219">
        <f t="shared" si="19"/>
        <v>0</v>
      </c>
      <c r="AX219">
        <f>VLOOKUP($E219,Constants!$I:$K, 2, FALSE)</f>
        <v>1</v>
      </c>
      <c r="AY219">
        <f>VLOOKUP($E219,Constants!$I:$K, 3, FALSE)*IF(AND(D219="multiple_unit",Y219&lt;110),0.75,1)</f>
        <v>2</v>
      </c>
      <c r="AZ219">
        <f>INT(((Constants!$G$2+$AR219+$AS219+$AT219+$AU219+$AW219)*$AV219)*$AY219)</f>
        <v>70</v>
      </c>
      <c r="BA219">
        <f>INT(((Constants!$G$1+$AQ219+$AS219+$AT219+$AU219+$AW219)*(1/$AV219))*$AX219)</f>
        <v>86</v>
      </c>
      <c r="BG219" t="str">
        <f>VLOOKUP(G219,Eras!$A$2:$C$10, 2, TRUE)</f>
        <v>dsl</v>
      </c>
      <c r="BH219" t="s">
        <v>369</v>
      </c>
      <c r="BI219" t="str">
        <f>CONCATENATE(BG219,"_",BH219)</f>
        <v>dsl_Mixed Traffic</v>
      </c>
      <c r="BJ219" t="s">
        <v>589</v>
      </c>
    </row>
    <row r="220" spans="1:62" x14ac:dyDescent="0.25">
      <c r="A220" t="s">
        <v>50</v>
      </c>
      <c r="B220" t="s">
        <v>308</v>
      </c>
      <c r="C220">
        <v>185</v>
      </c>
      <c r="D220" t="s">
        <v>304</v>
      </c>
      <c r="E220" t="s">
        <v>314</v>
      </c>
      <c r="F220" t="s">
        <v>316</v>
      </c>
      <c r="G220">
        <v>1959</v>
      </c>
      <c r="H220">
        <v>1959</v>
      </c>
      <c r="I220">
        <v>1971</v>
      </c>
      <c r="K220">
        <v>1100</v>
      </c>
      <c r="T220">
        <v>75.2</v>
      </c>
      <c r="W220">
        <v>209</v>
      </c>
      <c r="X220" s="4">
        <f>IF(AND(T220&gt;0,W220&gt;0),(W220/((T220+U220)*10)),"")</f>
        <v>0.27792553191489361</v>
      </c>
      <c r="Y220">
        <v>75</v>
      </c>
      <c r="AA220">
        <v>16</v>
      </c>
      <c r="AB220">
        <v>16</v>
      </c>
      <c r="AD220">
        <v>3.86</v>
      </c>
      <c r="AE220" s="11">
        <v>0</v>
      </c>
      <c r="AF220" t="str">
        <f>CONCATENATE(VLOOKUP(AG220, 'Voxel Sizes'!$A$2:$B$18,2,FALSE),"x",INT(AC220*15), "x", INT(AD220*15))</f>
        <v>152x0x57</v>
      </c>
      <c r="AG220">
        <f>ROUND(15*((AB220*10)/256),0)</f>
        <v>9</v>
      </c>
      <c r="AI220" t="str">
        <f>CONCATENATE(VLOOKUP(AG220,Constants!$A$2:$C$16,IF(AH220&lt;&gt;"", 3, 2), FALSE),IF(AH220&lt;&gt;"",CONCATENATE(",",VLOOKUP(AH220,$B:$AI,34,FALSE)),""))</f>
        <v>2,5,2</v>
      </c>
      <c r="AP220">
        <v>36</v>
      </c>
      <c r="AS220">
        <f t="shared" si="15"/>
        <v>15</v>
      </c>
      <c r="AT220">
        <f t="shared" si="16"/>
        <v>5.5</v>
      </c>
      <c r="AU220">
        <f t="shared" si="17"/>
        <v>10.45</v>
      </c>
      <c r="AV220" s="4">
        <f t="shared" si="18"/>
        <v>0.76500000000000001</v>
      </c>
      <c r="AW220">
        <f t="shared" si="19"/>
        <v>0</v>
      </c>
      <c r="AX220">
        <f>VLOOKUP($E220,Constants!$I:$K, 2, FALSE)</f>
        <v>1</v>
      </c>
      <c r="AY220">
        <f>VLOOKUP($E220,Constants!$I:$K, 3, FALSE)*IF(AND(D220="multiple_unit",Y220&lt;110),0.75,1)</f>
        <v>2</v>
      </c>
      <c r="AZ220">
        <f>INT(((Constants!$G$2+$AR220+$AS220+$AT220+$AU220+$AW220)*$AV220)*$AY220)</f>
        <v>70</v>
      </c>
      <c r="BA220">
        <f>INT(((Constants!$G$1+$AQ220+$AS220+$AT220+$AU220+$AW220)*(1/$AV220))*$AX220)</f>
        <v>86</v>
      </c>
      <c r="BG220" t="str">
        <f>VLOOKUP(G220,Eras!$A$2:$C$10, 2, TRUE)</f>
        <v>dsl</v>
      </c>
      <c r="BH220" t="s">
        <v>369</v>
      </c>
      <c r="BI220" t="str">
        <f>CONCATENATE(BG220,"_",BH220)</f>
        <v>dsl_Mixed Traffic</v>
      </c>
      <c r="BJ220" t="s">
        <v>409</v>
      </c>
    </row>
    <row r="221" spans="1:62" x14ac:dyDescent="0.25">
      <c r="A221" t="s">
        <v>70</v>
      </c>
      <c r="B221" t="s">
        <v>256</v>
      </c>
      <c r="C221">
        <v>187</v>
      </c>
      <c r="D221" t="s">
        <v>304</v>
      </c>
      <c r="E221" t="s">
        <v>338</v>
      </c>
      <c r="F221" t="s">
        <v>339</v>
      </c>
      <c r="G221">
        <v>1959</v>
      </c>
      <c r="H221">
        <v>1964</v>
      </c>
      <c r="I221">
        <v>1991</v>
      </c>
      <c r="K221">
        <f>4*847</f>
        <v>3388</v>
      </c>
      <c r="T221">
        <v>80.900000000000006</v>
      </c>
      <c r="W221">
        <v>222</v>
      </c>
      <c r="X221" s="4">
        <f>IF(AND(T221&gt;0,W221&gt;0),(W221/((T221+U221)*10)),"")</f>
        <v>0.27441285537700866</v>
      </c>
      <c r="Y221">
        <v>100</v>
      </c>
      <c r="AA221">
        <v>17.22</v>
      </c>
      <c r="AB221">
        <v>17.22</v>
      </c>
      <c r="AD221">
        <v>3.77</v>
      </c>
      <c r="AE221" s="11">
        <v>0</v>
      </c>
      <c r="AF221" t="str">
        <f>CONCATENATE(VLOOKUP(AG221, 'Voxel Sizes'!$A$2:$B$18,2,FALSE),"x",INT(AC221*15), "x", INT(AD221*15))</f>
        <v>164x0x56</v>
      </c>
      <c r="AG221">
        <f>ROUND(15*((AB221*10)/256),0)</f>
        <v>10</v>
      </c>
      <c r="AI221" t="str">
        <f>CONCATENATE(VLOOKUP(AG221,Constants!$A$2:$C$16,IF(AH221&lt;&gt;"", 3, 2), FALSE),IF(AH221&lt;&gt;"",CONCATENATE(",",VLOOKUP(AH221,$B:$AI,34,FALSE)),""))</f>
        <v>4,2,4</v>
      </c>
      <c r="AP221">
        <v>37</v>
      </c>
      <c r="AS221">
        <f t="shared" si="15"/>
        <v>20</v>
      </c>
      <c r="AT221">
        <f t="shared" si="16"/>
        <v>16.939999999999998</v>
      </c>
      <c r="AU221">
        <f t="shared" si="17"/>
        <v>11.100000000000001</v>
      </c>
      <c r="AV221" s="4">
        <f t="shared" si="18"/>
        <v>0.76500000000000001</v>
      </c>
      <c r="AW221">
        <f t="shared" si="19"/>
        <v>0</v>
      </c>
      <c r="AX221">
        <f>VLOOKUP($E221,Constants!$I:$K, 2, FALSE)</f>
        <v>0.85</v>
      </c>
      <c r="AY221">
        <f>VLOOKUP($E221,Constants!$I:$K, 3, FALSE)*IF(AND(D221="multiple_unit",Y221&lt;110),0.75,1)</f>
        <v>2.2999999999999998</v>
      </c>
      <c r="AZ221">
        <f>INT(((Constants!$G$2+$AR221+$AS221+$AT221+$AU221+$AW221)*$AV221)*$AY221)</f>
        <v>110</v>
      </c>
      <c r="BA221">
        <f>INT(((Constants!$G$1+$AQ221+$AS221+$AT221+$AU221+$AW221)*(1/$AV221))*$AX221)</f>
        <v>92</v>
      </c>
      <c r="BG221" t="str">
        <f>VLOOKUP(G221,Eras!$A$2:$C$10, 2, TRUE)</f>
        <v>dsl</v>
      </c>
      <c r="BH221" t="s">
        <v>380</v>
      </c>
      <c r="BI221" t="str">
        <f>CONCATENATE(BG221,"_",BH221)</f>
        <v>dsl_Express (Electric)</v>
      </c>
      <c r="BJ221" t="s">
        <v>573</v>
      </c>
    </row>
    <row r="222" spans="1:62" x14ac:dyDescent="0.25">
      <c r="A222" t="s">
        <v>51</v>
      </c>
      <c r="B222" t="s">
        <v>303</v>
      </c>
      <c r="C222">
        <v>191</v>
      </c>
      <c r="D222" t="s">
        <v>304</v>
      </c>
      <c r="E222" t="s">
        <v>314</v>
      </c>
      <c r="F222" t="s">
        <v>316</v>
      </c>
      <c r="G222">
        <v>1960</v>
      </c>
      <c r="H222">
        <v>1965</v>
      </c>
      <c r="K222">
        <v>1750</v>
      </c>
      <c r="T222">
        <v>102</v>
      </c>
      <c r="W222">
        <v>247</v>
      </c>
      <c r="X222" s="4">
        <f>IF(AND(T222&gt;0,W222&gt;0),(W222/((T222+U222)*10)),"")</f>
        <v>0.24215686274509804</v>
      </c>
      <c r="Y222">
        <v>90</v>
      </c>
      <c r="AA222">
        <v>18.75</v>
      </c>
      <c r="AB222">
        <v>18.75</v>
      </c>
      <c r="AC222">
        <v>2.71</v>
      </c>
      <c r="AD222">
        <v>3.89</v>
      </c>
      <c r="AE222" s="11">
        <v>0</v>
      </c>
      <c r="AF222" t="str">
        <f>CONCATENATE(VLOOKUP(AG222, 'Voxel Sizes'!$A$2:$B$18,2,FALSE),"x",INT(AC222*15), "x", INT(AD222*15))</f>
        <v>186x40x58</v>
      </c>
      <c r="AG222">
        <f>ROUND(15*((AB222*10)/256),0)</f>
        <v>11</v>
      </c>
      <c r="AI222" t="str">
        <f>CONCATENATE(VLOOKUP(AG222,Constants!$A$2:$C$16,IF(AH222&lt;&gt;"", 3, 2), FALSE),IF(AH222&lt;&gt;"",CONCATENATE(",",VLOOKUP(AH222,$B:$AI,34,FALSE)),""))</f>
        <v>4,3,4</v>
      </c>
      <c r="AP222">
        <v>52</v>
      </c>
      <c r="AS222">
        <f t="shared" si="15"/>
        <v>18</v>
      </c>
      <c r="AT222">
        <f t="shared" si="16"/>
        <v>8.75</v>
      </c>
      <c r="AU222">
        <f t="shared" si="17"/>
        <v>12.350000000000001</v>
      </c>
      <c r="AV222" s="4">
        <f t="shared" si="18"/>
        <v>0.76666666666666672</v>
      </c>
      <c r="AW222">
        <f t="shared" si="19"/>
        <v>0</v>
      </c>
      <c r="AX222">
        <f>VLOOKUP($E222,Constants!$I:$K, 2, FALSE)</f>
        <v>1</v>
      </c>
      <c r="AY222">
        <f>VLOOKUP($E222,Constants!$I:$K, 3, FALSE)*IF(AND(D222="multiple_unit",Y222&lt;110),0.75,1)</f>
        <v>2</v>
      </c>
      <c r="AZ222">
        <f>INT(((Constants!$G$2+$AR222+$AS222+$AT222+$AU222+$AW222)*$AV222)*$AY222)</f>
        <v>82</v>
      </c>
      <c r="BA222">
        <f>INT(((Constants!$G$1+$AQ222+$AS222+$AT222+$AU222+$AW222)*(1/$AV222))*$AX222)</f>
        <v>96</v>
      </c>
      <c r="BG222" t="str">
        <f>VLOOKUP(G222,Eras!$A$2:$C$10, 2, TRUE)</f>
        <v>dsl</v>
      </c>
      <c r="BH222" t="s">
        <v>371</v>
      </c>
      <c r="BI222" t="str">
        <f>CONCATENATE(BG222,"_",BH222)</f>
        <v>dsl_Freight</v>
      </c>
      <c r="BJ222" t="s">
        <v>402</v>
      </c>
    </row>
    <row r="223" spans="1:62" x14ac:dyDescent="0.25">
      <c r="A223" t="s">
        <v>59</v>
      </c>
      <c r="B223" t="s">
        <v>578</v>
      </c>
      <c r="C223">
        <v>193</v>
      </c>
      <c r="D223" t="s">
        <v>304</v>
      </c>
      <c r="E223" t="s">
        <v>314</v>
      </c>
      <c r="F223" t="s">
        <v>316</v>
      </c>
      <c r="G223">
        <v>1960</v>
      </c>
      <c r="H223">
        <v>1962</v>
      </c>
      <c r="I223">
        <v>1989</v>
      </c>
      <c r="K223">
        <v>2500</v>
      </c>
      <c r="T223">
        <v>135</v>
      </c>
      <c r="W223">
        <v>245</v>
      </c>
      <c r="X223" s="4">
        <f>IF(AND(T223&gt;0,W223&gt;0),(W223/((T223+U223)*10)),"")</f>
        <v>0.18148148148148149</v>
      </c>
      <c r="Y223">
        <v>90</v>
      </c>
      <c r="AA223">
        <v>20.7</v>
      </c>
      <c r="AB223">
        <v>20.7</v>
      </c>
      <c r="AD223">
        <v>3.91</v>
      </c>
      <c r="AE223" s="11">
        <v>0</v>
      </c>
      <c r="AF223" t="str">
        <f>CONCATENATE(VLOOKUP(AG223, 'Voxel Sizes'!$A$2:$B$18,2,FALSE),"x",INT(AC223*15), "x", INT(AD223*15))</f>
        <v>198x0x58</v>
      </c>
      <c r="AG223">
        <f>ROUND(15*((AB223*10)/256),0)</f>
        <v>12</v>
      </c>
      <c r="AI223" t="str">
        <f>CONCATENATE(VLOOKUP(AG223,Constants!$A$2:$C$16,IF(AH223&lt;&gt;"", 3, 2), FALSE),IF(AH223&lt;&gt;"",CONCATENATE(",",VLOOKUP(AH223,$B:$AI,34,FALSE)),""))</f>
        <v>4,4,4</v>
      </c>
      <c r="AP223">
        <v>40</v>
      </c>
      <c r="AS223">
        <f t="shared" si="15"/>
        <v>18</v>
      </c>
      <c r="AT223">
        <f t="shared" si="16"/>
        <v>12.5</v>
      </c>
      <c r="AU223">
        <f t="shared" si="17"/>
        <v>12.25</v>
      </c>
      <c r="AV223" s="4">
        <f t="shared" si="18"/>
        <v>0.76666666666666672</v>
      </c>
      <c r="AW223">
        <f t="shared" si="19"/>
        <v>0</v>
      </c>
      <c r="AX223">
        <f>VLOOKUP($E223,Constants!$I:$K, 2, FALSE)</f>
        <v>1</v>
      </c>
      <c r="AY223">
        <f>VLOOKUP($E223,Constants!$I:$K, 3, FALSE)*IF(AND(D223="multiple_unit",Y223&lt;110),0.75,1)</f>
        <v>2</v>
      </c>
      <c r="AZ223">
        <f>INT(((Constants!$G$2+$AR223+$AS223+$AT223+$AU223+$AW223)*$AV223)*$AY223)</f>
        <v>88</v>
      </c>
      <c r="BA223">
        <f>INT(((Constants!$G$1+$AQ223+$AS223+$AT223+$AU223+$AW223)*(1/$AV223))*$AX223)</f>
        <v>101</v>
      </c>
      <c r="BG223" t="str">
        <f>VLOOKUP(G223,Eras!$A$2:$C$10, 2, TRUE)</f>
        <v>dsl</v>
      </c>
      <c r="BH223" t="s">
        <v>370</v>
      </c>
      <c r="BI223" t="str">
        <f>CONCATENATE(BG223,"_",BH223)</f>
        <v>dsl_Express</v>
      </c>
      <c r="BJ223" t="s">
        <v>577</v>
      </c>
    </row>
    <row r="224" spans="1:62" x14ac:dyDescent="0.25">
      <c r="A224" t="s">
        <v>60</v>
      </c>
      <c r="B224" t="s">
        <v>580</v>
      </c>
      <c r="C224">
        <v>195</v>
      </c>
      <c r="D224" t="s">
        <v>304</v>
      </c>
      <c r="E224" t="s">
        <v>314</v>
      </c>
      <c r="F224" t="s">
        <v>316</v>
      </c>
      <c r="G224">
        <v>1960</v>
      </c>
      <c r="H224">
        <v>1962</v>
      </c>
      <c r="K224">
        <v>1550</v>
      </c>
      <c r="T224">
        <v>74.2</v>
      </c>
      <c r="W224">
        <v>200</v>
      </c>
      <c r="X224" s="4">
        <f>IF(AND(T224&gt;0,W224&gt;0),(W224/((T224+U224)*10)),"")</f>
        <v>0.26954177897574122</v>
      </c>
      <c r="Y224">
        <v>85</v>
      </c>
      <c r="AA224">
        <v>15.47</v>
      </c>
      <c r="AB224">
        <v>15.47</v>
      </c>
      <c r="AD224">
        <v>3.86</v>
      </c>
      <c r="AE224" s="11">
        <v>0</v>
      </c>
      <c r="AF224" t="str">
        <f>CONCATENATE(VLOOKUP(AG224, 'Voxel Sizes'!$A$2:$B$18,2,FALSE),"x",INT(AC224*15), "x", INT(AD224*15))</f>
        <v>152x0x57</v>
      </c>
      <c r="AG224">
        <f>ROUND(15*((AB224*10)/256),0)</f>
        <v>9</v>
      </c>
      <c r="AI224" t="str">
        <f>CONCATENATE(VLOOKUP(AG224,Constants!$A$2:$C$16,IF(AH224&lt;&gt;"", 3, 2), FALSE),IF(AH224&lt;&gt;"",CONCATENATE(",",VLOOKUP(AH224,$B:$AI,34,FALSE)),""))</f>
        <v>2,5,2</v>
      </c>
      <c r="AP224">
        <v>40</v>
      </c>
      <c r="AS224">
        <f t="shared" si="15"/>
        <v>17</v>
      </c>
      <c r="AT224">
        <f t="shared" si="16"/>
        <v>7.75</v>
      </c>
      <c r="AU224">
        <f t="shared" si="17"/>
        <v>10</v>
      </c>
      <c r="AV224" s="4">
        <f t="shared" si="18"/>
        <v>0.76666666666666672</v>
      </c>
      <c r="AW224">
        <f t="shared" si="19"/>
        <v>0</v>
      </c>
      <c r="AX224">
        <f>VLOOKUP($E224,Constants!$I:$K, 2, FALSE)</f>
        <v>1</v>
      </c>
      <c r="AY224">
        <f>VLOOKUP($E224,Constants!$I:$K, 3, FALSE)*IF(AND(D224="multiple_unit",Y224&lt;110),0.75,1)</f>
        <v>2</v>
      </c>
      <c r="AZ224">
        <f>INT(((Constants!$G$2+$AR224+$AS224+$AT224+$AU224+$AW224)*$AV224)*$AY224)</f>
        <v>76</v>
      </c>
      <c r="BA224">
        <f>INT(((Constants!$G$1+$AQ224+$AS224+$AT224+$AU224+$AW224)*(1/$AV224))*$AX224)</f>
        <v>90</v>
      </c>
      <c r="BG224" t="str">
        <f>VLOOKUP(G224,Eras!$A$2:$C$10, 2, TRUE)</f>
        <v>dsl</v>
      </c>
      <c r="BH224" t="s">
        <v>369</v>
      </c>
      <c r="BI224" t="str">
        <f>CONCATENATE(BG224,"_",BH224)</f>
        <v>dsl_Mixed Traffic</v>
      </c>
      <c r="BJ224" t="s">
        <v>579</v>
      </c>
    </row>
    <row r="225" spans="1:62" x14ac:dyDescent="0.25">
      <c r="A225" t="s">
        <v>46</v>
      </c>
      <c r="B225" t="s">
        <v>201</v>
      </c>
      <c r="C225">
        <v>201</v>
      </c>
      <c r="D225" t="s">
        <v>304</v>
      </c>
      <c r="E225" t="s">
        <v>314</v>
      </c>
      <c r="F225" t="s">
        <v>316</v>
      </c>
      <c r="G225">
        <v>1961</v>
      </c>
      <c r="H225">
        <v>1964</v>
      </c>
      <c r="I225">
        <v>1975</v>
      </c>
      <c r="K225">
        <v>1700</v>
      </c>
      <c r="T225">
        <v>76.2</v>
      </c>
      <c r="W225">
        <v>207</v>
      </c>
      <c r="X225" s="4">
        <f>IF(AND(T225&gt;0,W225&gt;0),(W225/((T225+U225)*10)),"")</f>
        <v>0.27165354330708663</v>
      </c>
      <c r="Y225">
        <v>90</v>
      </c>
      <c r="AA225">
        <v>15.76</v>
      </c>
      <c r="AB225">
        <v>15.76</v>
      </c>
      <c r="AD225">
        <v>3.91</v>
      </c>
      <c r="AE225" s="11">
        <v>0</v>
      </c>
      <c r="AF225" t="str">
        <f>CONCATENATE(VLOOKUP(AG225, 'Voxel Sizes'!$A$2:$B$18,2,FALSE),"x",INT(AC225*15), "x", INT(AD225*15))</f>
        <v>152x0x58</v>
      </c>
      <c r="AG225">
        <f>ROUND(15*((AB225*10)/256),0)</f>
        <v>9</v>
      </c>
      <c r="AI225" t="str">
        <f>CONCATENATE(VLOOKUP(AG225,Constants!$A$2:$C$16,IF(AH225&lt;&gt;"", 3, 2), FALSE),IF(AH225&lt;&gt;"",CONCATENATE(",",VLOOKUP(AH225,$B:$AI,34,FALSE)),""))</f>
        <v>2,5,2</v>
      </c>
      <c r="AP225">
        <v>40</v>
      </c>
      <c r="AS225">
        <f t="shared" si="15"/>
        <v>18</v>
      </c>
      <c r="AT225">
        <f t="shared" si="16"/>
        <v>8.5</v>
      </c>
      <c r="AU225">
        <f t="shared" si="17"/>
        <v>10.35</v>
      </c>
      <c r="AV225" s="4">
        <f t="shared" si="18"/>
        <v>0.76833333333333331</v>
      </c>
      <c r="AW225">
        <f t="shared" si="19"/>
        <v>0</v>
      </c>
      <c r="AX225">
        <f>VLOOKUP($E225,Constants!$I:$K, 2, FALSE)</f>
        <v>1</v>
      </c>
      <c r="AY225">
        <f>VLOOKUP($E225,Constants!$I:$K, 3, FALSE)*IF(AND(D225="multiple_unit",Y225&lt;110),0.75,1)</f>
        <v>2</v>
      </c>
      <c r="AZ225">
        <f>INT(((Constants!$G$2+$AR225+$AS225+$AT225+$AU225+$AW225)*$AV225)*$AY225)</f>
        <v>79</v>
      </c>
      <c r="BA225">
        <f>INT(((Constants!$G$1+$AQ225+$AS225+$AT225+$AU225+$AW225)*(1/$AV225))*$AX225)</f>
        <v>93</v>
      </c>
      <c r="BG225" t="str">
        <f>VLOOKUP(G225,Eras!$A$2:$C$10, 2, TRUE)</f>
        <v>dsl</v>
      </c>
      <c r="BH225" t="s">
        <v>369</v>
      </c>
      <c r="BI225" t="str">
        <f>CONCATENATE(BG225,"_",BH225)</f>
        <v>dsl_Mixed Traffic</v>
      </c>
      <c r="BJ225" t="s">
        <v>585</v>
      </c>
    </row>
    <row r="226" spans="1:62" x14ac:dyDescent="0.25">
      <c r="A226" t="s">
        <v>48</v>
      </c>
      <c r="B226" t="s">
        <v>202</v>
      </c>
      <c r="C226">
        <v>203</v>
      </c>
      <c r="D226" t="s">
        <v>304</v>
      </c>
      <c r="E226" t="s">
        <v>314</v>
      </c>
      <c r="F226" t="s">
        <v>316</v>
      </c>
      <c r="G226">
        <v>1961</v>
      </c>
      <c r="H226">
        <v>1964</v>
      </c>
      <c r="I226">
        <v>1977</v>
      </c>
      <c r="K226">
        <v>2000</v>
      </c>
      <c r="T226">
        <v>110</v>
      </c>
      <c r="W226">
        <v>297</v>
      </c>
      <c r="X226" s="4">
        <f>IF(AND(T226&gt;0,W226&gt;0),(W226/((T226+U226)*10)),"")</f>
        <v>0.27</v>
      </c>
      <c r="Y226">
        <v>90</v>
      </c>
      <c r="AA226">
        <v>20.73</v>
      </c>
      <c r="AB226">
        <v>20.73</v>
      </c>
      <c r="AD226">
        <v>3.96</v>
      </c>
      <c r="AE226" s="11">
        <v>0</v>
      </c>
      <c r="AF226" t="str">
        <f>CONCATENATE(VLOOKUP(AG226, 'Voxel Sizes'!$A$2:$B$18,2,FALSE),"x",INT(AC226*15), "x", INT(AD226*15))</f>
        <v>198x0x59</v>
      </c>
      <c r="AG226">
        <f>ROUND(15*((AB226*10)/256),0)</f>
        <v>12</v>
      </c>
      <c r="AI226" t="str">
        <f>CONCATENATE(VLOOKUP(AG226,Constants!$A$2:$C$16,IF(AH226&lt;&gt;"", 3, 2), FALSE),IF(AH226&lt;&gt;"",CONCATENATE(",",VLOOKUP(AH226,$B:$AI,34,FALSE)),""))</f>
        <v>4,4,4</v>
      </c>
      <c r="AP226">
        <v>40</v>
      </c>
      <c r="AS226">
        <f t="shared" si="15"/>
        <v>18</v>
      </c>
      <c r="AT226">
        <f t="shared" si="16"/>
        <v>10</v>
      </c>
      <c r="AU226">
        <f t="shared" si="17"/>
        <v>14.850000000000001</v>
      </c>
      <c r="AV226" s="4">
        <f t="shared" si="18"/>
        <v>0.76833333333333331</v>
      </c>
      <c r="AW226">
        <f t="shared" si="19"/>
        <v>0</v>
      </c>
      <c r="AX226">
        <f>VLOOKUP($E226,Constants!$I:$K, 2, FALSE)</f>
        <v>1</v>
      </c>
      <c r="AY226">
        <f>VLOOKUP($E226,Constants!$I:$K, 3, FALSE)*IF(AND(D226="multiple_unit",Y226&lt;110),0.75,1)</f>
        <v>2</v>
      </c>
      <c r="AZ226">
        <f>INT(((Constants!$G$2+$AR226+$AS226+$AT226+$AU226+$AW226)*$AV226)*$AY226)</f>
        <v>88</v>
      </c>
      <c r="BA226">
        <f>INT(((Constants!$G$1+$AQ226+$AS226+$AT226+$AU226+$AW226)*(1/$AV226))*$AX226)</f>
        <v>101</v>
      </c>
      <c r="BG226" t="str">
        <f>VLOOKUP(G226,Eras!$A$2:$C$10, 2, TRUE)</f>
        <v>dsl</v>
      </c>
      <c r="BH226" t="s">
        <v>369</v>
      </c>
      <c r="BI226" t="str">
        <f>CONCATENATE(BG226,"_",BH226)</f>
        <v>dsl_Mixed Traffic</v>
      </c>
      <c r="BJ226" t="s">
        <v>586</v>
      </c>
    </row>
    <row r="227" spans="1:62" x14ac:dyDescent="0.25">
      <c r="A227" t="s">
        <v>58</v>
      </c>
      <c r="B227" t="s">
        <v>347</v>
      </c>
      <c r="C227">
        <v>205</v>
      </c>
      <c r="D227" t="s">
        <v>304</v>
      </c>
      <c r="E227" t="s">
        <v>314</v>
      </c>
      <c r="F227" t="s">
        <v>316</v>
      </c>
      <c r="G227">
        <v>1961</v>
      </c>
      <c r="H227">
        <v>1967</v>
      </c>
      <c r="I227">
        <v>1987</v>
      </c>
      <c r="K227">
        <v>1250</v>
      </c>
      <c r="T227">
        <v>74.2</v>
      </c>
      <c r="W227">
        <v>170</v>
      </c>
      <c r="X227" s="4">
        <f>IF(AND(T227&gt;0,W227&gt;0),(W227/((T227+U227)*10)),"")</f>
        <v>0.22911051212938005</v>
      </c>
      <c r="Y227">
        <v>90</v>
      </c>
      <c r="AA227">
        <v>15.39</v>
      </c>
      <c r="AB227">
        <v>15.39</v>
      </c>
      <c r="AD227">
        <v>3.86</v>
      </c>
      <c r="AE227" s="11">
        <v>0</v>
      </c>
      <c r="AF227" t="str">
        <f>CONCATENATE(VLOOKUP(AG227, 'Voxel Sizes'!$A$2:$B$18,2,FALSE),"x",INT(AC227*15), "x", INT(AD227*15))</f>
        <v>152x0x57</v>
      </c>
      <c r="AG227">
        <f>ROUND(15*((AB227*10)/256),0)</f>
        <v>9</v>
      </c>
      <c r="AI227" t="str">
        <f>CONCATENATE(VLOOKUP(AG227,Constants!$A$2:$C$16,IF(AH227&lt;&gt;"", 3, 2), FALSE),IF(AH227&lt;&gt;"",CONCATENATE(",",VLOOKUP(AH227,$B:$AI,34,FALSE)),""))</f>
        <v>2,5,2</v>
      </c>
      <c r="AP227">
        <v>50</v>
      </c>
      <c r="AS227">
        <f t="shared" si="15"/>
        <v>18</v>
      </c>
      <c r="AT227">
        <f t="shared" si="16"/>
        <v>6.25</v>
      </c>
      <c r="AU227">
        <f t="shared" si="17"/>
        <v>8.5</v>
      </c>
      <c r="AV227" s="4">
        <f t="shared" si="18"/>
        <v>0.76833333333333331</v>
      </c>
      <c r="AW227">
        <f t="shared" si="19"/>
        <v>0</v>
      </c>
      <c r="AX227">
        <f>VLOOKUP($E227,Constants!$I:$K, 2, FALSE)</f>
        <v>1</v>
      </c>
      <c r="AY227">
        <f>VLOOKUP($E227,Constants!$I:$K, 3, FALSE)*IF(AND(D227="multiple_unit",Y227&lt;110),0.75,1)</f>
        <v>2</v>
      </c>
      <c r="AZ227">
        <f>INT(((Constants!$G$2+$AR227+$AS227+$AT227+$AU227+$AW227)*$AV227)*$AY227)</f>
        <v>73</v>
      </c>
      <c r="BA227">
        <f>INT(((Constants!$G$1+$AQ227+$AS227+$AT227+$AU227+$AW227)*(1/$AV227))*$AX227)</f>
        <v>88</v>
      </c>
      <c r="BG227" t="str">
        <f>VLOOKUP(G227,Eras!$A$2:$C$10, 2, TRUE)</f>
        <v>dsl</v>
      </c>
      <c r="BH227" t="s">
        <v>371</v>
      </c>
      <c r="BI227" t="str">
        <f>CONCATENATE(BG227,"_",BH227)</f>
        <v>dsl_Freight</v>
      </c>
      <c r="BJ227" t="s">
        <v>587</v>
      </c>
    </row>
    <row r="228" spans="1:62" x14ac:dyDescent="0.25">
      <c r="A228" t="s">
        <v>592</v>
      </c>
      <c r="B228" t="s">
        <v>203</v>
      </c>
      <c r="C228">
        <v>207</v>
      </c>
      <c r="D228" t="s">
        <v>304</v>
      </c>
      <c r="E228" t="s">
        <v>314</v>
      </c>
      <c r="F228" t="s">
        <v>316</v>
      </c>
      <c r="G228">
        <v>1962</v>
      </c>
      <c r="H228">
        <v>1968</v>
      </c>
      <c r="K228">
        <v>2750</v>
      </c>
      <c r="T228">
        <v>114</v>
      </c>
      <c r="W228">
        <v>245</v>
      </c>
      <c r="X228" s="4">
        <f>IF(AND(T228&gt;0,W228&gt;0),(W228/((T228+U228)*10)),"")</f>
        <v>0.21491228070175439</v>
      </c>
      <c r="Y228">
        <v>95</v>
      </c>
      <c r="AA228">
        <v>19.38</v>
      </c>
      <c r="AB228">
        <v>19.38</v>
      </c>
      <c r="AD228">
        <v>3.9</v>
      </c>
      <c r="AE228" s="11">
        <v>0</v>
      </c>
      <c r="AF228" t="str">
        <f>CONCATENATE(VLOOKUP(AG228, 'Voxel Sizes'!$A$2:$B$18,2,FALSE),"x",INT(AC228*15), "x", INT(AD228*15))</f>
        <v>186x0x58</v>
      </c>
      <c r="AG228">
        <f>ROUND(15*((AB228*10)/256),0)</f>
        <v>11</v>
      </c>
      <c r="AI228" t="str">
        <f>CONCATENATE(VLOOKUP(AG228,Constants!$A$2:$C$16,IF(AH228&lt;&gt;"", 3, 2), FALSE),IF(AH228&lt;&gt;"",CONCATENATE(",",VLOOKUP(AH228,$B:$AI,34,FALSE)),""))</f>
        <v>4,3,4</v>
      </c>
      <c r="AP228">
        <v>43</v>
      </c>
      <c r="AS228">
        <f t="shared" si="15"/>
        <v>19</v>
      </c>
      <c r="AT228">
        <f t="shared" si="16"/>
        <v>13.75</v>
      </c>
      <c r="AU228">
        <f t="shared" si="17"/>
        <v>12.25</v>
      </c>
      <c r="AV228" s="4">
        <f t="shared" si="18"/>
        <v>0.77</v>
      </c>
      <c r="AW228">
        <f t="shared" si="19"/>
        <v>0</v>
      </c>
      <c r="AX228">
        <f>VLOOKUP($E228,Constants!$I:$K, 2, FALSE)</f>
        <v>1</v>
      </c>
      <c r="AY228">
        <f>VLOOKUP($E228,Constants!$I:$K, 3, FALSE)*IF(AND(D228="multiple_unit",Y228&lt;110),0.75,1)</f>
        <v>2</v>
      </c>
      <c r="AZ228">
        <f>INT(((Constants!$G$2+$AR228+$AS228+$AT228+$AU228+$AW228)*$AV228)*$AY228)</f>
        <v>92</v>
      </c>
      <c r="BA228">
        <f>INT(((Constants!$G$1+$AQ228+$AS228+$AT228+$AU228+$AW228)*(1/$AV228))*$AX228)</f>
        <v>103</v>
      </c>
      <c r="BG228" t="str">
        <f>VLOOKUP(G228,Eras!$A$2:$C$10, 2, TRUE)</f>
        <v>dsl</v>
      </c>
      <c r="BH228" t="s">
        <v>371</v>
      </c>
      <c r="BI228" t="str">
        <f>CONCATENATE(BG228,"_",BH228)</f>
        <v>dsl_Freight</v>
      </c>
      <c r="BJ228" t="s">
        <v>591</v>
      </c>
    </row>
    <row r="229" spans="1:62" x14ac:dyDescent="0.25">
      <c r="A229" t="s">
        <v>63</v>
      </c>
      <c r="B229" t="s">
        <v>204</v>
      </c>
      <c r="C229">
        <v>209</v>
      </c>
      <c r="D229" t="s">
        <v>304</v>
      </c>
      <c r="E229" t="s">
        <v>314</v>
      </c>
      <c r="F229" t="s">
        <v>316</v>
      </c>
      <c r="G229">
        <v>1962</v>
      </c>
      <c r="H229">
        <v>1965</v>
      </c>
      <c r="I229">
        <v>1971</v>
      </c>
      <c r="K229">
        <v>900</v>
      </c>
      <c r="T229">
        <v>69</v>
      </c>
      <c r="W229">
        <v>178</v>
      </c>
      <c r="X229" s="4">
        <f>IF(AND(T229&gt;0,W229&gt;0),(W229/((T229+U229)*10)),"")</f>
        <v>0.25797101449275361</v>
      </c>
      <c r="Y229">
        <v>60</v>
      </c>
      <c r="AA229">
        <v>15.4</v>
      </c>
      <c r="AB229">
        <v>15.4</v>
      </c>
      <c r="AD229">
        <v>3.86</v>
      </c>
      <c r="AE229" s="11">
        <v>0</v>
      </c>
      <c r="AF229" t="str">
        <f>CONCATENATE(VLOOKUP(AG229, 'Voxel Sizes'!$A$2:$B$18,2,FALSE),"x",INT(AC229*15), "x", INT(AD229*15))</f>
        <v>152x0x57</v>
      </c>
      <c r="AG229">
        <f>ROUND(15*((AB229*10)/256),0)</f>
        <v>9</v>
      </c>
      <c r="AI229" t="str">
        <f>CONCATENATE(VLOOKUP(AG229,Constants!$A$2:$C$16,IF(AH229&lt;&gt;"", 3, 2), FALSE),IF(AH229&lt;&gt;"",CONCATENATE(",",VLOOKUP(AH229,$B:$AI,34,FALSE)),""))</f>
        <v>2,5,2</v>
      </c>
      <c r="AP229">
        <v>24</v>
      </c>
      <c r="AS229">
        <f t="shared" si="15"/>
        <v>12</v>
      </c>
      <c r="AT229">
        <f t="shared" si="16"/>
        <v>4.5</v>
      </c>
      <c r="AU229">
        <f t="shared" si="17"/>
        <v>8.9</v>
      </c>
      <c r="AV229" s="4">
        <f t="shared" si="18"/>
        <v>0.77</v>
      </c>
      <c r="AW229">
        <f t="shared" si="19"/>
        <v>0</v>
      </c>
      <c r="AX229">
        <f>VLOOKUP($E229,Constants!$I:$K, 2, FALSE)</f>
        <v>1</v>
      </c>
      <c r="AY229">
        <f>VLOOKUP($E229,Constants!$I:$K, 3, FALSE)*IF(AND(D229="multiple_unit",Y229&lt;110),0.75,1)</f>
        <v>2</v>
      </c>
      <c r="AZ229">
        <f>INT(((Constants!$G$2+$AR229+$AS229+$AT229+$AU229+$AW229)*$AV229)*$AY229)</f>
        <v>62</v>
      </c>
      <c r="BA229">
        <f>INT(((Constants!$G$1+$AQ229+$AS229+$AT229+$AU229+$AW229)*(1/$AV229))*$AX229)</f>
        <v>78</v>
      </c>
      <c r="BG229" t="str">
        <f>VLOOKUP(G229,Eras!$A$2:$C$10, 2, TRUE)</f>
        <v>dsl</v>
      </c>
      <c r="BH229" t="s">
        <v>368</v>
      </c>
      <c r="BI229" t="str">
        <f>CONCATENATE(BG229,"_",BH229)</f>
        <v>dsl_Cheap</v>
      </c>
      <c r="BJ229" t="s">
        <v>593</v>
      </c>
    </row>
    <row r="230" spans="1:62" x14ac:dyDescent="0.25">
      <c r="A230" t="s">
        <v>62</v>
      </c>
      <c r="B230" t="s">
        <v>594</v>
      </c>
      <c r="C230">
        <v>211</v>
      </c>
      <c r="D230" t="s">
        <v>304</v>
      </c>
      <c r="E230" t="s">
        <v>314</v>
      </c>
      <c r="F230" t="s">
        <v>316</v>
      </c>
      <c r="G230">
        <v>1964</v>
      </c>
      <c r="H230">
        <v>1965</v>
      </c>
      <c r="I230">
        <v>1984</v>
      </c>
      <c r="K230">
        <v>650</v>
      </c>
      <c r="T230">
        <v>48.5</v>
      </c>
      <c r="W230">
        <v>137</v>
      </c>
      <c r="X230" s="4">
        <f>IF(AND(T230&gt;0,W230&gt;0),(W230/((T230+U230)*10)),"")</f>
        <v>0.28247422680412371</v>
      </c>
      <c r="Y230">
        <v>40</v>
      </c>
      <c r="AA230">
        <v>10.3</v>
      </c>
      <c r="AB230">
        <v>10.3</v>
      </c>
      <c r="AE230" s="11">
        <v>0</v>
      </c>
      <c r="AF230" t="str">
        <f>CONCATENATE(VLOOKUP(AG230, 'Voxel Sizes'!$A$2:$B$18,2,FALSE),"x",INT(AC230*15), "x", INT(AD230*15))</f>
        <v>102x0x0</v>
      </c>
      <c r="AG230">
        <f>ROUND(15*((AB230*10)/256),0)</f>
        <v>6</v>
      </c>
      <c r="AI230" t="str">
        <f>CONCATENATE(VLOOKUP(AG230,Constants!$A$2:$C$16,IF(AH230&lt;&gt;"", 3, 2), FALSE),IF(AH230&lt;&gt;"",CONCATENATE(",",VLOOKUP(AH230,$B:$AI,34,FALSE)),""))</f>
        <v>2,2,2</v>
      </c>
      <c r="AO230">
        <v>1</v>
      </c>
      <c r="AP230">
        <v>28</v>
      </c>
      <c r="AS230">
        <f t="shared" si="15"/>
        <v>8</v>
      </c>
      <c r="AT230">
        <f t="shared" si="16"/>
        <v>3.25</v>
      </c>
      <c r="AU230">
        <f t="shared" si="17"/>
        <v>6.8500000000000005</v>
      </c>
      <c r="AV230" s="4">
        <f t="shared" si="18"/>
        <v>0.77333333333333332</v>
      </c>
      <c r="AW230">
        <f t="shared" si="19"/>
        <v>0</v>
      </c>
      <c r="AX230">
        <f>VLOOKUP($E230,Constants!$I:$K, 2, FALSE)</f>
        <v>1</v>
      </c>
      <c r="AY230">
        <f>VLOOKUP($E230,Constants!$I:$K, 3, FALSE)*IF(AND(D230="multiple_unit",Y230&lt;110),0.75,1)</f>
        <v>2</v>
      </c>
      <c r="AZ230">
        <f>INT(((Constants!$G$2+$AR230+$AS230+$AT230+$AU230+$AW230)*$AV230)*$AY230)</f>
        <v>51</v>
      </c>
      <c r="BA230">
        <f>INT(((Constants!$G$1+$AQ230+$AS230+$AT230+$AU230+$AW230)*(1/$AV230))*$AX230)</f>
        <v>68</v>
      </c>
      <c r="BG230" t="str">
        <f>VLOOKUP(G230,Eras!$A$2:$C$10, 2, TRUE)</f>
        <v>dsl</v>
      </c>
      <c r="BH230" t="s">
        <v>368</v>
      </c>
      <c r="BI230" t="str">
        <f>CONCATENATE(BG230,"_",BH230)</f>
        <v>dsl_Cheap</v>
      </c>
      <c r="BJ230" t="s">
        <v>595</v>
      </c>
    </row>
    <row r="231" spans="1:62" x14ac:dyDescent="0.25">
      <c r="A231" t="s">
        <v>64</v>
      </c>
      <c r="B231" t="s">
        <v>291</v>
      </c>
      <c r="C231">
        <v>215</v>
      </c>
      <c r="D231" t="s">
        <v>304</v>
      </c>
      <c r="E231" t="s">
        <v>596</v>
      </c>
      <c r="F231" t="s">
        <v>316</v>
      </c>
      <c r="G231">
        <v>1965</v>
      </c>
      <c r="H231">
        <v>1967</v>
      </c>
      <c r="K231">
        <v>1420</v>
      </c>
      <c r="L231" s="9">
        <v>600</v>
      </c>
      <c r="T231">
        <v>76.3</v>
      </c>
      <c r="W231">
        <v>186</v>
      </c>
      <c r="X231" s="4">
        <f>IF(AND(T231&gt;0,W231&gt;0),(W231/((T231+U231)*10)),"")</f>
        <v>0.24377457404980341</v>
      </c>
      <c r="Y231">
        <v>80</v>
      </c>
      <c r="AA231">
        <v>16.36</v>
      </c>
      <c r="AB231">
        <v>16.36</v>
      </c>
      <c r="AE231" s="11">
        <v>0</v>
      </c>
      <c r="AF231" t="str">
        <f>CONCATENATE(VLOOKUP(AG231, 'Voxel Sizes'!$A$2:$B$18,2,FALSE),"x",INT(AC231*15), "x", INT(AD231*15))</f>
        <v>164x0x0</v>
      </c>
      <c r="AG231">
        <f>ROUND(15*((AB231*10)/256),0)</f>
        <v>10</v>
      </c>
      <c r="AI231" t="str">
        <f>CONCATENATE(VLOOKUP(AG231,Constants!$A$2:$C$16,IF(AH231&lt;&gt;"", 3, 2), FALSE),IF(AH231&lt;&gt;"",CONCATENATE(",",VLOOKUP(AH231,$B:$AI,34,FALSE)),""))</f>
        <v>4,2,4</v>
      </c>
      <c r="AP231">
        <v>43</v>
      </c>
      <c r="AS231">
        <f t="shared" si="15"/>
        <v>16</v>
      </c>
      <c r="AT231">
        <f t="shared" si="16"/>
        <v>7.1</v>
      </c>
      <c r="AU231">
        <f t="shared" si="17"/>
        <v>9.3000000000000007</v>
      </c>
      <c r="AV231" s="4">
        <f t="shared" si="18"/>
        <v>0.77500000000000002</v>
      </c>
      <c r="AW231">
        <f t="shared" si="19"/>
        <v>0</v>
      </c>
      <c r="AX231">
        <f>VLOOKUP($E231,Constants!$I:$K, 2, FALSE)</f>
        <v>0.9</v>
      </c>
      <c r="AY231">
        <f>VLOOKUP($E231,Constants!$I:$K, 3, FALSE)*IF(AND(D231="multiple_unit",Y231&lt;110),0.75,1)</f>
        <v>2.5</v>
      </c>
      <c r="AZ231">
        <f>INT(((Constants!$G$2+$AR231+$AS231+$AT231+$AU231+$AW231)*$AV231)*$AY231)</f>
        <v>91</v>
      </c>
      <c r="BA231">
        <f>INT(((Constants!$G$1+$AQ231+$AS231+$AT231+$AU231+$AW231)*(1/$AV231))*$AX231)</f>
        <v>78</v>
      </c>
      <c r="BG231" t="str">
        <f>VLOOKUP(G231,Eras!$A$2:$C$10, 2, TRUE)</f>
        <v>dsl</v>
      </c>
      <c r="BI231" t="str">
        <f>CONCATENATE(BG231,"_",BH231)</f>
        <v>dsl_</v>
      </c>
      <c r="BJ231" t="s">
        <v>598</v>
      </c>
    </row>
    <row r="232" spans="1:62" x14ac:dyDescent="0.25">
      <c r="A232" t="s">
        <v>71</v>
      </c>
      <c r="B232" t="s">
        <v>292</v>
      </c>
      <c r="C232">
        <v>217</v>
      </c>
      <c r="D232" t="s">
        <v>304</v>
      </c>
      <c r="E232" t="s">
        <v>338</v>
      </c>
      <c r="F232" t="s">
        <v>339</v>
      </c>
      <c r="G232">
        <v>1965</v>
      </c>
      <c r="H232">
        <v>1966</v>
      </c>
      <c r="K232">
        <v>3600</v>
      </c>
      <c r="T232">
        <v>82</v>
      </c>
      <c r="W232">
        <v>267</v>
      </c>
      <c r="X232" s="4">
        <f>IF(AND(T232&gt;0,W232&gt;0),(W232/((T232+U232)*10)),"")</f>
        <v>0.32560975609756099</v>
      </c>
      <c r="Y232">
        <v>100</v>
      </c>
      <c r="AA232">
        <v>17.829999999999998</v>
      </c>
      <c r="AB232">
        <v>17.829999999999998</v>
      </c>
      <c r="AD232">
        <v>3.77</v>
      </c>
      <c r="AE232" s="11">
        <v>0</v>
      </c>
      <c r="AF232" t="str">
        <f>CONCATENATE(VLOOKUP(AG232, 'Voxel Sizes'!$A$2:$B$18,2,FALSE),"x",INT(AC232*15), "x", INT(AD232*15))</f>
        <v>164x0x56</v>
      </c>
      <c r="AG232">
        <f>ROUND(15*((AB232*10)/256),0)</f>
        <v>10</v>
      </c>
      <c r="AI232" t="str">
        <f>CONCATENATE(VLOOKUP(AG232,Constants!$A$2:$C$16,IF(AH232&lt;&gt;"", 3, 2), FALSE),IF(AH232&lt;&gt;"",CONCATENATE(",",VLOOKUP(AH232,$B:$AI,34,FALSE)),""))</f>
        <v>4,2,4</v>
      </c>
      <c r="AP232">
        <v>47</v>
      </c>
      <c r="AS232">
        <f t="shared" si="15"/>
        <v>20</v>
      </c>
      <c r="AT232">
        <f t="shared" si="16"/>
        <v>18</v>
      </c>
      <c r="AU232">
        <f t="shared" si="17"/>
        <v>13.35</v>
      </c>
      <c r="AV232" s="4">
        <f t="shared" si="18"/>
        <v>0.77500000000000002</v>
      </c>
      <c r="AW232">
        <f t="shared" si="19"/>
        <v>0</v>
      </c>
      <c r="AX232">
        <f>VLOOKUP($E232,Constants!$I:$K, 2, FALSE)</f>
        <v>0.85</v>
      </c>
      <c r="AY232">
        <f>VLOOKUP($E232,Constants!$I:$K, 3, FALSE)*IF(AND(D232="multiple_unit",Y232&lt;110),0.75,1)</f>
        <v>2.2999999999999998</v>
      </c>
      <c r="AZ232">
        <f>INT(((Constants!$G$2+$AR232+$AS232+$AT232+$AU232+$AW232)*$AV232)*$AY232)</f>
        <v>118</v>
      </c>
      <c r="BA232">
        <f>INT(((Constants!$G$1+$AQ232+$AS232+$AT232+$AU232+$AW232)*(1/$AV232))*$AX232)</f>
        <v>94</v>
      </c>
      <c r="BG232" t="str">
        <f>VLOOKUP(G232,Eras!$A$2:$C$10, 2, TRUE)</f>
        <v>dsl</v>
      </c>
      <c r="BH232" t="s">
        <v>380</v>
      </c>
      <c r="BI232" t="str">
        <f>CONCATENATE(BG232,"_",BH232)</f>
        <v>dsl_Express (Electric)</v>
      </c>
      <c r="BJ232" t="s">
        <v>574</v>
      </c>
    </row>
    <row r="233" spans="1:62" x14ac:dyDescent="0.25">
      <c r="A233" t="s">
        <v>54</v>
      </c>
      <c r="B233" t="s">
        <v>205</v>
      </c>
      <c r="C233">
        <v>221</v>
      </c>
      <c r="D233" t="s">
        <v>304</v>
      </c>
      <c r="E233" t="s">
        <v>314</v>
      </c>
      <c r="F233" t="s">
        <v>316</v>
      </c>
      <c r="G233">
        <v>1967</v>
      </c>
      <c r="H233">
        <v>1968</v>
      </c>
      <c r="I233">
        <v>1994</v>
      </c>
      <c r="K233">
        <v>2700</v>
      </c>
      <c r="T233">
        <v>117</v>
      </c>
      <c r="W233">
        <v>216</v>
      </c>
      <c r="X233" s="4">
        <f>IF(AND(T233&gt;0,W233&gt;0),(W233/((T233+U233)*10)),"")</f>
        <v>0.18461538461538463</v>
      </c>
      <c r="Y233">
        <v>100</v>
      </c>
      <c r="AA233">
        <v>20.88</v>
      </c>
      <c r="AB233">
        <v>20.88</v>
      </c>
      <c r="AD233">
        <v>3.89</v>
      </c>
      <c r="AE233" s="11">
        <v>0</v>
      </c>
      <c r="AF233" t="str">
        <f>CONCATENATE(VLOOKUP(AG233, 'Voxel Sizes'!$A$2:$B$18,2,FALSE),"x",INT(AC233*15), "x", INT(AD233*15))</f>
        <v>198x0x58</v>
      </c>
      <c r="AG233">
        <f>ROUND(15*((AB233*10)/256),0)</f>
        <v>12</v>
      </c>
      <c r="AI233" t="str">
        <f>CONCATENATE(VLOOKUP(AG233,Constants!$A$2:$C$16,IF(AH233&lt;&gt;"", 3, 2), FALSE),IF(AH233&lt;&gt;"",CONCATENATE(",",VLOOKUP(AH233,$B:$AI,34,FALSE)),""))</f>
        <v>4,4,4</v>
      </c>
      <c r="AP233">
        <v>40</v>
      </c>
      <c r="AS233">
        <f t="shared" si="15"/>
        <v>20</v>
      </c>
      <c r="AT233">
        <f t="shared" si="16"/>
        <v>13.5</v>
      </c>
      <c r="AU233">
        <f t="shared" si="17"/>
        <v>10.8</v>
      </c>
      <c r="AV233" s="4">
        <f t="shared" si="18"/>
        <v>0.77833333333333332</v>
      </c>
      <c r="AW233">
        <f t="shared" si="19"/>
        <v>0</v>
      </c>
      <c r="AX233">
        <f>VLOOKUP($E233,Constants!$I:$K, 2, FALSE)</f>
        <v>1</v>
      </c>
      <c r="AY233">
        <f>VLOOKUP($E233,Constants!$I:$K, 3, FALSE)*IF(AND(D233="multiple_unit",Y233&lt;110),0.75,1)</f>
        <v>2</v>
      </c>
      <c r="AZ233">
        <f>INT(((Constants!$G$2+$AR233+$AS233+$AT233+$AU233+$AW233)*$AV233)*$AY233)</f>
        <v>92</v>
      </c>
      <c r="BA233">
        <f>INT(((Constants!$G$1+$AQ233+$AS233+$AT233+$AU233+$AW233)*(1/$AV233))*$AX233)</f>
        <v>101</v>
      </c>
      <c r="BG233" t="str">
        <f>VLOOKUP(G233,Eras!$A$2:$C$10, 2, TRUE)</f>
        <v>dsl</v>
      </c>
      <c r="BH233" t="s">
        <v>370</v>
      </c>
      <c r="BI233" t="str">
        <f>CONCATENATE(BG233,"_",BH233)</f>
        <v>dsl_Express</v>
      </c>
      <c r="BJ233" t="s">
        <v>599</v>
      </c>
    </row>
    <row r="234" spans="1:62" x14ac:dyDescent="0.25">
      <c r="A234" t="s">
        <v>72</v>
      </c>
      <c r="B234" t="s">
        <v>206</v>
      </c>
      <c r="C234">
        <v>223</v>
      </c>
      <c r="D234" t="s">
        <v>304</v>
      </c>
      <c r="E234" t="s">
        <v>338</v>
      </c>
      <c r="F234" t="s">
        <v>316</v>
      </c>
      <c r="G234">
        <v>1973</v>
      </c>
      <c r="H234">
        <v>1975</v>
      </c>
      <c r="I234">
        <v>2006</v>
      </c>
      <c r="K234">
        <v>5000</v>
      </c>
      <c r="T234">
        <v>81</v>
      </c>
      <c r="W234">
        <v>258</v>
      </c>
      <c r="X234" s="4">
        <f>IF(AND(T234&gt;0,W234&gt;0),(W234/((T234+U234)*10)),"")</f>
        <v>0.31851851851851853</v>
      </c>
      <c r="Y234">
        <v>110</v>
      </c>
      <c r="AA234">
        <v>17.829999999999998</v>
      </c>
      <c r="AB234">
        <v>17.829999999999998</v>
      </c>
      <c r="AD234">
        <v>3.77</v>
      </c>
      <c r="AE234" s="11">
        <v>0</v>
      </c>
      <c r="AF234" t="str">
        <f>CONCATENATE(VLOOKUP(AG234, 'Voxel Sizes'!$A$2:$B$18,2,FALSE),"x",INT(AC234*15), "x", INT(AD234*15))</f>
        <v>164x0x56</v>
      </c>
      <c r="AG234">
        <f>ROUND(15*((AB234*10)/256),0)</f>
        <v>10</v>
      </c>
      <c r="AI234" t="str">
        <f>CONCATENATE(VLOOKUP(AG234,Constants!$A$2:$C$16,IF(AH234&lt;&gt;"", 3, 2), FALSE),IF(AH234&lt;&gt;"",CONCATENATE(",",VLOOKUP(AH234,$B:$AI,34,FALSE)),""))</f>
        <v>4,2,4</v>
      </c>
      <c r="AP234">
        <v>40</v>
      </c>
      <c r="AS234">
        <f t="shared" si="15"/>
        <v>22</v>
      </c>
      <c r="AT234">
        <f t="shared" si="16"/>
        <v>20</v>
      </c>
      <c r="AU234">
        <f t="shared" si="17"/>
        <v>12.9</v>
      </c>
      <c r="AV234" s="4">
        <f t="shared" si="18"/>
        <v>0.78833333333333333</v>
      </c>
      <c r="AW234">
        <f t="shared" si="19"/>
        <v>0</v>
      </c>
      <c r="AX234">
        <f>VLOOKUP($E234,Constants!$I:$K, 2, FALSE)</f>
        <v>0.85</v>
      </c>
      <c r="AY234">
        <f>VLOOKUP($E234,Constants!$I:$K, 3, FALSE)*IF(AND(D234="multiple_unit",Y234&lt;110),0.75,1)</f>
        <v>2.2999999999999998</v>
      </c>
      <c r="AZ234">
        <f>INT(((Constants!$G$2+$AR234+$AS234+$AT234+$AU234+$AW234)*$AV234)*$AY234)</f>
        <v>126</v>
      </c>
      <c r="BA234">
        <f>INT(((Constants!$G$1+$AQ234+$AS234+$AT234+$AU234+$AW234)*(1/$AV234))*$AX234)</f>
        <v>96</v>
      </c>
      <c r="BG234" t="str">
        <f>VLOOKUP(G234,Eras!$A$2:$C$10, 2, TRUE)</f>
        <v>lbr</v>
      </c>
      <c r="BH234" t="s">
        <v>380</v>
      </c>
      <c r="BI234" t="str">
        <f>CONCATENATE(BG234,"_",BH234)</f>
        <v>lbr_Express (Electric)</v>
      </c>
      <c r="BJ234" t="s">
        <v>600</v>
      </c>
    </row>
    <row r="235" spans="1:62" x14ac:dyDescent="0.25">
      <c r="A235" t="s">
        <v>45</v>
      </c>
      <c r="B235" t="s">
        <v>348</v>
      </c>
      <c r="C235">
        <v>225</v>
      </c>
      <c r="D235" t="s">
        <v>304</v>
      </c>
      <c r="E235" t="s">
        <v>314</v>
      </c>
      <c r="F235" t="s">
        <v>316</v>
      </c>
      <c r="G235">
        <v>1975</v>
      </c>
      <c r="H235">
        <v>1982</v>
      </c>
      <c r="I235">
        <v>2021</v>
      </c>
      <c r="K235">
        <v>1770</v>
      </c>
      <c r="T235">
        <v>70.25</v>
      </c>
      <c r="W235">
        <v>160</v>
      </c>
      <c r="X235" s="4">
        <f>IF(AND(T235&gt;0,W235&gt;0),(W235/((T235+U235)*10)),"")</f>
        <v>0.22775800711743771</v>
      </c>
      <c r="Y235">
        <v>125</v>
      </c>
      <c r="AA235">
        <v>17.79</v>
      </c>
      <c r="AB235">
        <v>17.79</v>
      </c>
      <c r="AE235" s="11">
        <v>0</v>
      </c>
      <c r="AF235" t="str">
        <f>CONCATENATE(VLOOKUP(AG235, 'Voxel Sizes'!$A$2:$B$18,2,FALSE),"x",INT(AC235*15), "x", INT(AD235*15))</f>
        <v>164x0x0</v>
      </c>
      <c r="AG235">
        <f>ROUND(15*((AB235*10)/256),0)</f>
        <v>10</v>
      </c>
      <c r="AI235" t="str">
        <f>CONCATENATE(VLOOKUP(AG235,Constants!$A$2:$C$16,IF(AH235&lt;&gt;"", 3, 2), FALSE),IF(AH235&lt;&gt;"",CONCATENATE(",",VLOOKUP(AH235,$B:$AI,34,FALSE)),""))</f>
        <v>4,2,4</v>
      </c>
      <c r="AP235">
        <v>45</v>
      </c>
      <c r="AS235">
        <f t="shared" si="15"/>
        <v>25</v>
      </c>
      <c r="AT235">
        <f t="shared" si="16"/>
        <v>8.85</v>
      </c>
      <c r="AU235">
        <f t="shared" si="17"/>
        <v>8</v>
      </c>
      <c r="AV235" s="4">
        <f t="shared" si="18"/>
        <v>0.79166666666666663</v>
      </c>
      <c r="AW235">
        <f t="shared" si="19"/>
        <v>0</v>
      </c>
      <c r="AX235">
        <f>VLOOKUP($E235,Constants!$I:$K, 2, FALSE)</f>
        <v>1</v>
      </c>
      <c r="AY235">
        <f>VLOOKUP($E235,Constants!$I:$K, 3, FALSE)*IF(AND(D235="multiple_unit",Y235&lt;110),0.75,1)</f>
        <v>2</v>
      </c>
      <c r="AZ235">
        <f>INT(((Constants!$G$2+$AR235+$AS235+$AT235+$AU235+$AW235)*$AV235)*$AY235)</f>
        <v>90</v>
      </c>
      <c r="BA235">
        <f>INT(((Constants!$G$1+$AQ235+$AS235+$AT235+$AU235+$AW235)*(1/$AV235))*$AX235)</f>
        <v>97</v>
      </c>
      <c r="BB235">
        <v>1</v>
      </c>
      <c r="BG235" t="str">
        <f>VLOOKUP(G235,Eras!$A$2:$C$10, 2, TRUE)</f>
        <v>lbr</v>
      </c>
      <c r="BH235" t="s">
        <v>370</v>
      </c>
      <c r="BI235" t="str">
        <f>CONCATENATE(BG235,"_",BH235)</f>
        <v>lbr_Express</v>
      </c>
      <c r="BJ235" t="s">
        <v>408</v>
      </c>
    </row>
    <row r="236" spans="1:62" x14ac:dyDescent="0.25">
      <c r="A236" t="s">
        <v>601</v>
      </c>
      <c r="B236" t="s">
        <v>603</v>
      </c>
      <c r="C236">
        <v>227</v>
      </c>
      <c r="D236" t="s">
        <v>304</v>
      </c>
      <c r="E236" t="s">
        <v>314</v>
      </c>
      <c r="F236" t="s">
        <v>316</v>
      </c>
      <c r="G236">
        <v>1976</v>
      </c>
      <c r="H236">
        <v>1984</v>
      </c>
      <c r="K236">
        <v>3250</v>
      </c>
      <c r="T236">
        <v>125</v>
      </c>
      <c r="W236">
        <v>275</v>
      </c>
      <c r="X236" s="4">
        <f>IF(AND(T236&gt;0,W236&gt;0),(W236/((T236+U236)*10)),"")</f>
        <v>0.22</v>
      </c>
      <c r="Y236">
        <v>80</v>
      </c>
      <c r="AA236">
        <v>19.350000000000001</v>
      </c>
      <c r="AB236">
        <v>19.350000000000001</v>
      </c>
      <c r="AD236">
        <v>3.89</v>
      </c>
      <c r="AE236" s="11">
        <v>0</v>
      </c>
      <c r="AF236" t="str">
        <f>CONCATENATE(VLOOKUP(AG236, 'Voxel Sizes'!$A$2:$B$18,2,FALSE),"x",INT(AC236*15), "x", INT(AD236*15))</f>
        <v>186x0x58</v>
      </c>
      <c r="AG236">
        <f>ROUND(15*((AB236*10)/256),0)</f>
        <v>11</v>
      </c>
      <c r="AI236" t="str">
        <f>CONCATENATE(VLOOKUP(AG236,Constants!$A$2:$C$16,IF(AH236&lt;&gt;"", 3, 2), FALSE),IF(AH236&lt;&gt;"",CONCATENATE(",",VLOOKUP(AH236,$B:$AI,34,FALSE)),""))</f>
        <v>4,3,4</v>
      </c>
      <c r="AP236">
        <v>40</v>
      </c>
      <c r="AS236">
        <f t="shared" si="15"/>
        <v>16</v>
      </c>
      <c r="AT236">
        <f t="shared" si="16"/>
        <v>16.25</v>
      </c>
      <c r="AU236">
        <f t="shared" si="17"/>
        <v>13.75</v>
      </c>
      <c r="AV236" s="4">
        <f t="shared" si="18"/>
        <v>0.79333333333333333</v>
      </c>
      <c r="AW236">
        <f t="shared" si="19"/>
        <v>0</v>
      </c>
      <c r="AX236">
        <f>VLOOKUP($E236,Constants!$I:$K, 2, FALSE)</f>
        <v>1</v>
      </c>
      <c r="AY236">
        <f>VLOOKUP($E236,Constants!$I:$K, 3, FALSE)*IF(AND(D236="multiple_unit",Y236&lt;110),0.75,1)</f>
        <v>2</v>
      </c>
      <c r="AZ236">
        <f>INT(((Constants!$G$2+$AR236+$AS236+$AT236+$AU236+$AW236)*$AV236)*$AY236)</f>
        <v>96</v>
      </c>
      <c r="BA236">
        <f>INT(((Constants!$G$1+$AQ236+$AS236+$AT236+$AU236+$AW236)*(1/$AV236))*$AX236)</f>
        <v>102</v>
      </c>
      <c r="BG236" t="str">
        <f>VLOOKUP(G236,Eras!$A$2:$C$10, 2, TRUE)</f>
        <v>lbr</v>
      </c>
      <c r="BH236" t="s">
        <v>371</v>
      </c>
      <c r="BI236" t="str">
        <f>CONCATENATE(BG236,"_",BH236)</f>
        <v>lbr_Freight</v>
      </c>
      <c r="BJ236" t="s">
        <v>602</v>
      </c>
    </row>
    <row r="237" spans="1:62" x14ac:dyDescent="0.25">
      <c r="A237" t="s">
        <v>55</v>
      </c>
      <c r="B237" t="s">
        <v>614</v>
      </c>
      <c r="C237">
        <v>237</v>
      </c>
      <c r="D237" t="s">
        <v>304</v>
      </c>
      <c r="E237" t="s">
        <v>314</v>
      </c>
      <c r="F237" t="s">
        <v>316</v>
      </c>
      <c r="G237">
        <v>1983</v>
      </c>
      <c r="H237">
        <v>1987</v>
      </c>
      <c r="K237">
        <v>3300</v>
      </c>
      <c r="T237">
        <v>130</v>
      </c>
      <c r="W237">
        <v>267</v>
      </c>
      <c r="X237" s="4">
        <f>IF(AND(T237&gt;0,W237&gt;0),(W237/((T237+U237)*10)),"")</f>
        <v>0.20538461538461539</v>
      </c>
      <c r="Y237">
        <v>80</v>
      </c>
      <c r="AA237">
        <v>19.13</v>
      </c>
      <c r="AB237">
        <v>19.13</v>
      </c>
      <c r="AD237">
        <v>3.91</v>
      </c>
      <c r="AE237" s="11">
        <v>0</v>
      </c>
      <c r="AF237" t="str">
        <f>CONCATENATE(VLOOKUP(AG237, 'Voxel Sizes'!$A$2:$B$18,2,FALSE),"x",INT(AC237*15), "x", INT(AD237*15))</f>
        <v>186x0x58</v>
      </c>
      <c r="AG237">
        <f>ROUND(15*((AB237*10)/256),0)</f>
        <v>11</v>
      </c>
      <c r="AI237" t="str">
        <f>CONCATENATE(VLOOKUP(AG237,Constants!$A$2:$C$16,IF(AH237&lt;&gt;"", 3, 2), FALSE),IF(AH237&lt;&gt;"",CONCATENATE(",",VLOOKUP(AH237,$B:$AI,34,FALSE)),""))</f>
        <v>4,3,4</v>
      </c>
      <c r="AP237">
        <v>40</v>
      </c>
      <c r="AS237">
        <f t="shared" si="15"/>
        <v>16</v>
      </c>
      <c r="AT237">
        <f t="shared" si="16"/>
        <v>16.5</v>
      </c>
      <c r="AU237">
        <f t="shared" si="17"/>
        <v>13.35</v>
      </c>
      <c r="AV237" s="4">
        <f t="shared" si="18"/>
        <v>0.80500000000000005</v>
      </c>
      <c r="AW237">
        <f t="shared" si="19"/>
        <v>0</v>
      </c>
      <c r="AX237">
        <f>VLOOKUP($E237,Constants!$I:$K, 2, FALSE)</f>
        <v>1</v>
      </c>
      <c r="AY237">
        <f>VLOOKUP($E237,Constants!$I:$K, 3, FALSE)*IF(AND(D237="multiple_unit",Y237&lt;110),0.75,1)</f>
        <v>2</v>
      </c>
      <c r="AZ237">
        <f>INT(((Constants!$G$2+$AR237+$AS237+$AT237+$AU237+$AW237)*$AV237)*$AY237)</f>
        <v>97</v>
      </c>
      <c r="BA237">
        <f>INT(((Constants!$G$1+$AQ237+$AS237+$AT237+$AU237+$AW237)*(1/$AV237))*$AX237)</f>
        <v>100</v>
      </c>
      <c r="BG237" t="str">
        <f>VLOOKUP(G237,Eras!$A$2:$C$10, 2, TRUE)</f>
        <v>lbr</v>
      </c>
      <c r="BH237" t="s">
        <v>371</v>
      </c>
      <c r="BI237" t="str">
        <f>CONCATENATE(BG237,"_",BH237)</f>
        <v>lbr_Freight</v>
      </c>
      <c r="BJ237" t="s">
        <v>613</v>
      </c>
    </row>
    <row r="238" spans="1:62" x14ac:dyDescent="0.25">
      <c r="A238" t="s">
        <v>44</v>
      </c>
      <c r="B238" t="s">
        <v>207</v>
      </c>
      <c r="C238">
        <v>243</v>
      </c>
      <c r="D238" t="s">
        <v>304</v>
      </c>
      <c r="E238" t="s">
        <v>314</v>
      </c>
      <c r="F238" t="s">
        <v>316</v>
      </c>
      <c r="G238">
        <v>1985</v>
      </c>
      <c r="H238">
        <v>1995</v>
      </c>
      <c r="K238">
        <v>3300</v>
      </c>
      <c r="T238">
        <v>126</v>
      </c>
      <c r="W238">
        <v>290</v>
      </c>
      <c r="X238" s="4">
        <f>IF(AND(T238&gt;0,W238&gt;0),(W238/((T238+U238)*10)),"")</f>
        <v>0.23015873015873015</v>
      </c>
      <c r="Y238">
        <v>75</v>
      </c>
      <c r="AA238">
        <v>21.4</v>
      </c>
      <c r="AB238">
        <v>21.4</v>
      </c>
      <c r="AD238">
        <v>3.91</v>
      </c>
      <c r="AE238" s="11">
        <v>0</v>
      </c>
      <c r="AF238" t="str">
        <f>CONCATENATE(VLOOKUP(AG238, 'Voxel Sizes'!$A$2:$B$18,2,FALSE),"x",INT(AC238*15), "x", INT(AD238*15))</f>
        <v>214x0x58</v>
      </c>
      <c r="AG238">
        <f>ROUND(15*((AB238*10)/256),0)</f>
        <v>13</v>
      </c>
      <c r="AI238" t="str">
        <f>CONCATENATE(VLOOKUP(AG238,Constants!$A$2:$C$16,IF(AH238&lt;&gt;"", 3, 2), FALSE),IF(AH238&lt;&gt;"",CONCATENATE(",",VLOOKUP(AH238,$B:$AI,34,FALSE)),""))</f>
        <v>4,5,4</v>
      </c>
      <c r="AP238">
        <v>40</v>
      </c>
      <c r="AS238">
        <f t="shared" si="15"/>
        <v>15</v>
      </c>
      <c r="AT238">
        <f t="shared" si="16"/>
        <v>16.5</v>
      </c>
      <c r="AU238">
        <f t="shared" si="17"/>
        <v>14.5</v>
      </c>
      <c r="AV238" s="4">
        <f t="shared" si="18"/>
        <v>0.80833333333333335</v>
      </c>
      <c r="AW238">
        <f t="shared" si="19"/>
        <v>0</v>
      </c>
      <c r="AX238">
        <f>VLOOKUP($E238,Constants!$I:$K, 2, FALSE)</f>
        <v>1</v>
      </c>
      <c r="AY238">
        <f>VLOOKUP($E238,Constants!$I:$K, 3, FALSE)*IF(AND(D238="multiple_unit",Y238&lt;110),0.75,1)</f>
        <v>2</v>
      </c>
      <c r="AZ238">
        <f>INT(((Constants!$G$2+$AR238+$AS238+$AT238+$AU238+$AW238)*$AV238)*$AY238)</f>
        <v>98</v>
      </c>
      <c r="BA238">
        <f>INT(((Constants!$G$1+$AQ238+$AS238+$AT238+$AU238+$AW238)*(1/$AV238))*$AX238)</f>
        <v>100</v>
      </c>
      <c r="BG238" t="str">
        <f>VLOOKUP(G238,Eras!$A$2:$C$10, 2, TRUE)</f>
        <v>lbr</v>
      </c>
      <c r="BH238" t="s">
        <v>371</v>
      </c>
      <c r="BI238" t="str">
        <f>CONCATENATE(BG238,"_",BH238)</f>
        <v>lbr_Freight</v>
      </c>
      <c r="BJ238" t="s">
        <v>615</v>
      </c>
    </row>
    <row r="239" spans="1:62" x14ac:dyDescent="0.25">
      <c r="A239" t="s">
        <v>76</v>
      </c>
      <c r="B239" t="s">
        <v>208</v>
      </c>
      <c r="C239">
        <v>245</v>
      </c>
      <c r="D239" t="s">
        <v>304</v>
      </c>
      <c r="E239" t="s">
        <v>338</v>
      </c>
      <c r="F239" t="s">
        <v>316</v>
      </c>
      <c r="G239">
        <v>1987</v>
      </c>
      <c r="H239">
        <v>1990</v>
      </c>
      <c r="K239">
        <v>5000</v>
      </c>
      <c r="T239">
        <v>84.5</v>
      </c>
      <c r="W239">
        <v>258</v>
      </c>
      <c r="X239" s="4">
        <f>IF(AND(T239&gt;0,W239&gt;0),(W239/((T239+U239)*10)),"")</f>
        <v>0.30532544378698223</v>
      </c>
      <c r="Y239">
        <v>110</v>
      </c>
      <c r="AA239">
        <v>18.75</v>
      </c>
      <c r="AB239">
        <v>18.75</v>
      </c>
      <c r="AD239">
        <v>3.96</v>
      </c>
      <c r="AE239" s="11">
        <v>0</v>
      </c>
      <c r="AF239" t="str">
        <f>CONCATENATE(VLOOKUP(AG239, 'Voxel Sizes'!$A$2:$B$18,2,FALSE),"x",INT(AC239*15), "x", INT(AD239*15))</f>
        <v>186x0x59</v>
      </c>
      <c r="AG239">
        <f>ROUND(15*((AB239*10)/256),0)</f>
        <v>11</v>
      </c>
      <c r="AI239" t="str">
        <f>CONCATENATE(VLOOKUP(AG239,Constants!$A$2:$C$16,IF(AH239&lt;&gt;"", 3, 2), FALSE),IF(AH239&lt;&gt;"",CONCATENATE(",",VLOOKUP(AH239,$B:$AI,34,FALSE)),""))</f>
        <v>4,3,4</v>
      </c>
      <c r="AP239">
        <v>40</v>
      </c>
      <c r="AS239">
        <f t="shared" si="15"/>
        <v>22</v>
      </c>
      <c r="AT239">
        <f t="shared" si="16"/>
        <v>20</v>
      </c>
      <c r="AU239">
        <f t="shared" si="17"/>
        <v>12.9</v>
      </c>
      <c r="AV239" s="4">
        <f t="shared" si="18"/>
        <v>0.81166666666666665</v>
      </c>
      <c r="AW239">
        <f t="shared" si="19"/>
        <v>0</v>
      </c>
      <c r="AX239">
        <f>VLOOKUP($E239,Constants!$I:$K, 2, FALSE)</f>
        <v>0.85</v>
      </c>
      <c r="AY239">
        <f>VLOOKUP($E239,Constants!$I:$K, 3, FALSE)*IF(AND(D239="multiple_unit",Y239&lt;110),0.75,1)</f>
        <v>2.2999999999999998</v>
      </c>
      <c r="AZ239">
        <f>INT(((Constants!$G$2+$AR239+$AS239+$AT239+$AU239+$AW239)*$AV239)*$AY239)</f>
        <v>130</v>
      </c>
      <c r="BA239">
        <f>INT(((Constants!$G$1+$AQ239+$AS239+$AT239+$AU239+$AW239)*(1/$AV239))*$AX239)</f>
        <v>94</v>
      </c>
      <c r="BG239" t="str">
        <f>VLOOKUP(G239,Eras!$A$2:$C$10, 2, TRUE)</f>
        <v>lbr</v>
      </c>
      <c r="BH239" t="s">
        <v>370</v>
      </c>
      <c r="BI239" t="str">
        <f>CONCATENATE(BG239,"_",BH239)</f>
        <v>lbr_Express</v>
      </c>
      <c r="BJ239" t="s">
        <v>618</v>
      </c>
    </row>
    <row r="240" spans="1:62" x14ac:dyDescent="0.25">
      <c r="A240" t="s">
        <v>624</v>
      </c>
      <c r="B240" t="s">
        <v>276</v>
      </c>
      <c r="C240">
        <v>249</v>
      </c>
      <c r="D240" t="s">
        <v>304</v>
      </c>
      <c r="E240" t="s">
        <v>338</v>
      </c>
      <c r="F240" t="s">
        <v>339</v>
      </c>
      <c r="G240">
        <v>1988</v>
      </c>
      <c r="H240">
        <v>1991</v>
      </c>
      <c r="K240">
        <v>6480</v>
      </c>
      <c r="T240">
        <v>81.5</v>
      </c>
      <c r="W240">
        <v>190</v>
      </c>
      <c r="X240" s="4">
        <f>IF(AND(T240&gt;0,W240&gt;0),(W240/((T240+U240)*10)),"")</f>
        <v>0.23312883435582821</v>
      </c>
      <c r="Y240">
        <v>140</v>
      </c>
      <c r="AA240">
        <v>19.399999999999999</v>
      </c>
      <c r="AB240">
        <v>19.399999999999999</v>
      </c>
      <c r="AE240" s="11">
        <v>0</v>
      </c>
      <c r="AF240" t="str">
        <f>CONCATENATE(VLOOKUP(AG240, 'Voxel Sizes'!$A$2:$B$18,2,FALSE),"x",INT(AC240*15), "x", INT(AD240*15))</f>
        <v>186x0x0</v>
      </c>
      <c r="AG240">
        <f>ROUND(15*((AB240*10)/256),0)</f>
        <v>11</v>
      </c>
      <c r="AI240" t="str">
        <f>CONCATENATE(VLOOKUP(AG240,Constants!$A$2:$C$16,IF(AH240&lt;&gt;"", 3, 2), FALSE),IF(AH240&lt;&gt;"",CONCATENATE(",",VLOOKUP(AH240,$B:$AI,34,FALSE)),""))</f>
        <v>4,3,4</v>
      </c>
      <c r="AP240">
        <v>37</v>
      </c>
      <c r="AS240">
        <f t="shared" si="15"/>
        <v>28</v>
      </c>
      <c r="AT240">
        <f t="shared" si="16"/>
        <v>20</v>
      </c>
      <c r="AU240">
        <f t="shared" si="17"/>
        <v>9.5</v>
      </c>
      <c r="AV240" s="4">
        <f t="shared" si="18"/>
        <v>0.81333333333333335</v>
      </c>
      <c r="AW240">
        <f t="shared" si="19"/>
        <v>0</v>
      </c>
      <c r="AX240">
        <f>VLOOKUP($E240,Constants!$I:$K, 2, FALSE)</f>
        <v>0.85</v>
      </c>
      <c r="AY240">
        <f>VLOOKUP($E240,Constants!$I:$K, 3, FALSE)*IF(AND(D240="multiple_unit",Y240&lt;110),0.75,1)</f>
        <v>2.2999999999999998</v>
      </c>
      <c r="AZ240">
        <f>INT(((Constants!$G$2+$AR240+$AS240+$AT240+$AU240+$AW240)*$AV240)*$AY240)</f>
        <v>135</v>
      </c>
      <c r="BA240">
        <f>INT(((Constants!$G$1+$AQ240+$AS240+$AT240+$AU240+$AW240)*(1/$AV240))*$AX240)</f>
        <v>96</v>
      </c>
      <c r="BG240" t="str">
        <f>VLOOKUP(G240,Eras!$A$2:$C$10, 2, TRUE)</f>
        <v>lbr</v>
      </c>
      <c r="BH240" t="s">
        <v>380</v>
      </c>
      <c r="BI240" t="str">
        <f>CONCATENATE(BG240,"_",BH240)</f>
        <v>lbr_Express (Electric)</v>
      </c>
      <c r="BJ240" t="s">
        <v>623</v>
      </c>
    </row>
    <row r="241" spans="1:62" x14ac:dyDescent="0.25">
      <c r="A241" t="s">
        <v>625</v>
      </c>
      <c r="B241" t="s">
        <v>627</v>
      </c>
      <c r="C241">
        <v>250</v>
      </c>
      <c r="D241" t="s">
        <v>304</v>
      </c>
      <c r="E241" t="s">
        <v>338</v>
      </c>
      <c r="F241" t="s">
        <v>339</v>
      </c>
      <c r="G241">
        <v>1988</v>
      </c>
      <c r="H241">
        <v>1991</v>
      </c>
      <c r="K241">
        <v>5</v>
      </c>
      <c r="T241">
        <v>40</v>
      </c>
      <c r="W241">
        <v>5</v>
      </c>
      <c r="X241" s="4">
        <f>IF(AND(T241&gt;0,W241&gt;0),(W241/((T241+U241)*10)),"")</f>
        <v>1.2500000000000001E-2</v>
      </c>
      <c r="Y241">
        <v>140</v>
      </c>
      <c r="AA241">
        <v>19.399999999999999</v>
      </c>
      <c r="AB241">
        <v>19.399999999999999</v>
      </c>
      <c r="AE241" s="11">
        <v>0</v>
      </c>
      <c r="AF241" t="str">
        <f>CONCATENATE(VLOOKUP(AG241, 'Voxel Sizes'!$A$2:$B$18,2,FALSE),"x",INT(AC241*15), "x", INT(AD241*15))</f>
        <v>186x0x0</v>
      </c>
      <c r="AG241">
        <f>ROUND(15*((AB241*10)/256),0)</f>
        <v>11</v>
      </c>
      <c r="AI241" t="str">
        <f>CONCATENATE(VLOOKUP(AG241,Constants!$A$2:$C$16,IF(AH241&lt;&gt;"", 3, 2), FALSE),IF(AH241&lt;&gt;"",CONCATENATE(",",VLOOKUP(AH241,$B:$AI,34,FALSE)),""))</f>
        <v>4,3,4</v>
      </c>
      <c r="AP241">
        <v>37</v>
      </c>
      <c r="AS241">
        <f t="shared" si="15"/>
        <v>28</v>
      </c>
      <c r="AT241">
        <f t="shared" si="16"/>
        <v>2.5000000000000001E-2</v>
      </c>
      <c r="AU241">
        <f t="shared" si="17"/>
        <v>0.25</v>
      </c>
      <c r="AV241" s="4">
        <f t="shared" si="18"/>
        <v>0.81333333333333335</v>
      </c>
      <c r="AW241">
        <f t="shared" si="19"/>
        <v>0</v>
      </c>
      <c r="AX241">
        <f>VLOOKUP($E241,Constants!$I:$K, 2, FALSE)</f>
        <v>0.85</v>
      </c>
      <c r="AY241">
        <f>VLOOKUP($E241,Constants!$I:$K, 3, FALSE)*IF(AND(D241="multiple_unit",Y241&lt;110),0.75,1)</f>
        <v>2.2999999999999998</v>
      </c>
      <c r="AZ241">
        <f>INT(((Constants!$G$2+$AR241+$AS241+$AT241+$AU241+$AW241)*$AV241)*$AY241)</f>
        <v>80</v>
      </c>
      <c r="BA241">
        <f>INT(((Constants!$G$1+$AQ241+$AS241+$AT241+$AU241+$AW241)*(1/$AV241))*$AX241)</f>
        <v>66</v>
      </c>
      <c r="BB241">
        <v>1</v>
      </c>
      <c r="BC241">
        <v>1</v>
      </c>
      <c r="BG241" t="str">
        <f>VLOOKUP(G241,Eras!$A$2:$C$10, 2, TRUE)</f>
        <v>lbr</v>
      </c>
      <c r="BH241" t="s">
        <v>380</v>
      </c>
      <c r="BI241" t="str">
        <f>CONCATENATE(BG241,"_",BH241)</f>
        <v>lbr_Express (Electric)</v>
      </c>
      <c r="BJ241" t="s">
        <v>626</v>
      </c>
    </row>
    <row r="242" spans="1:62" x14ac:dyDescent="0.25">
      <c r="A242" t="s">
        <v>667</v>
      </c>
      <c r="B242" t="s">
        <v>631</v>
      </c>
      <c r="C242">
        <v>256</v>
      </c>
      <c r="D242" t="s">
        <v>304</v>
      </c>
      <c r="E242" t="s">
        <v>314</v>
      </c>
      <c r="F242" t="s">
        <v>316</v>
      </c>
      <c r="G242">
        <v>1989</v>
      </c>
      <c r="K242">
        <v>3100</v>
      </c>
      <c r="T242">
        <v>129</v>
      </c>
      <c r="W242">
        <v>474</v>
      </c>
      <c r="X242" s="4">
        <f>IF(AND(T242&gt;0,W242&gt;0),(W242/((T242+U242)*10)),"")</f>
        <v>0.36744186046511629</v>
      </c>
      <c r="Y242">
        <v>60</v>
      </c>
      <c r="AA242">
        <v>21.34</v>
      </c>
      <c r="AB242">
        <v>21.34</v>
      </c>
      <c r="AC242">
        <v>2.64</v>
      </c>
      <c r="AD242">
        <v>3.95</v>
      </c>
      <c r="AE242" s="11">
        <v>0</v>
      </c>
      <c r="AF242" t="str">
        <f>CONCATENATE(VLOOKUP(AG242, 'Voxel Sizes'!$A$2:$B$18,2,FALSE),"x",INT(AC242*15), "x", INT(AD242*15))</f>
        <v>214x39x59</v>
      </c>
      <c r="AG242">
        <f>ROUND(15*((AB242*10)/256),0)</f>
        <v>13</v>
      </c>
      <c r="AI242" t="str">
        <f>CONCATENATE(VLOOKUP(AG242,Constants!$A$2:$C$16,IF(AH242&lt;&gt;"", 3, 2), FALSE),IF(AH242&lt;&gt;"",CONCATENATE(",",VLOOKUP(AH242,$B:$AI,34,FALSE)),""))</f>
        <v>4,5,4</v>
      </c>
      <c r="AP242">
        <v>40</v>
      </c>
      <c r="AS242">
        <f t="shared" si="15"/>
        <v>12</v>
      </c>
      <c r="AT242">
        <f t="shared" si="16"/>
        <v>15.5</v>
      </c>
      <c r="AU242">
        <f t="shared" si="17"/>
        <v>20</v>
      </c>
      <c r="AV242" s="4">
        <f t="shared" si="18"/>
        <v>0.81499999999999995</v>
      </c>
      <c r="AW242">
        <f t="shared" si="19"/>
        <v>0</v>
      </c>
      <c r="AX242">
        <f>VLOOKUP($E242,Constants!$I:$K, 2, FALSE)</f>
        <v>1</v>
      </c>
      <c r="AY242">
        <f>VLOOKUP($E242,Constants!$I:$K, 3, FALSE)*IF(AND(D242="multiple_unit",Y242&lt;110),0.75,1)</f>
        <v>2</v>
      </c>
      <c r="AZ242">
        <f>INT(((Constants!$G$2+$AR242+$AS242+$AT242+$AU242+$AW242)*$AV242)*$AY242)</f>
        <v>101</v>
      </c>
      <c r="BA242">
        <f>INT(((Constants!$G$1+$AQ242+$AS242+$AT242+$AU242+$AW242)*(1/$AV242))*$AX242)</f>
        <v>101</v>
      </c>
      <c r="BG242" t="str">
        <f>VLOOKUP(G242,Eras!$A$2:$C$10, 2, TRUE)</f>
        <v>lbr</v>
      </c>
      <c r="BH242" t="s">
        <v>371</v>
      </c>
      <c r="BI242" t="str">
        <f>CONCATENATE(BG242,"_",BH242)</f>
        <v>lbr_Freight</v>
      </c>
      <c r="BJ242" t="s">
        <v>668</v>
      </c>
    </row>
    <row r="243" spans="1:62" x14ac:dyDescent="0.25">
      <c r="A243" t="s">
        <v>652</v>
      </c>
      <c r="B243" t="s">
        <v>209</v>
      </c>
      <c r="C243">
        <v>268</v>
      </c>
      <c r="D243" t="s">
        <v>304</v>
      </c>
      <c r="E243" t="s">
        <v>607</v>
      </c>
      <c r="F243" t="s">
        <v>606</v>
      </c>
      <c r="G243">
        <v>1993</v>
      </c>
      <c r="H243">
        <v>1996</v>
      </c>
      <c r="K243">
        <v>6760</v>
      </c>
      <c r="L243" s="9">
        <v>5360</v>
      </c>
      <c r="T243">
        <v>126</v>
      </c>
      <c r="W243">
        <v>360</v>
      </c>
      <c r="X243" s="4">
        <f>IF(AND(T243&gt;0,W243&gt;0),(W243/((T243+U243)*10)),"")</f>
        <v>0.2857142857142857</v>
      </c>
      <c r="Y243">
        <v>87</v>
      </c>
      <c r="AA243">
        <v>21.36</v>
      </c>
      <c r="AB243">
        <v>21.36</v>
      </c>
      <c r="AE243" s="11">
        <v>0</v>
      </c>
      <c r="AF243" t="str">
        <f>CONCATENATE(VLOOKUP(AG243, 'Voxel Sizes'!$A$2:$B$18,2,FALSE),"x",INT(AC243*15), "x", INT(AD243*15))</f>
        <v>214x0x0</v>
      </c>
      <c r="AG243">
        <f>ROUND(15*((AB243*10)/256),0)</f>
        <v>13</v>
      </c>
      <c r="AI243" t="str">
        <f>CONCATENATE(VLOOKUP(AG243,Constants!$A$2:$C$16,IF(AH243&lt;&gt;"", 3, 2), FALSE),IF(AH243&lt;&gt;"",CONCATENATE(",",VLOOKUP(AH243,$B:$AI,34,FALSE)),""))</f>
        <v>4,5,4</v>
      </c>
      <c r="AL243" t="s">
        <v>209</v>
      </c>
      <c r="AP243">
        <v>34</v>
      </c>
      <c r="AS243">
        <f t="shared" si="15"/>
        <v>17.399999999999999</v>
      </c>
      <c r="AT243">
        <f t="shared" si="16"/>
        <v>20</v>
      </c>
      <c r="AU243">
        <f t="shared" si="17"/>
        <v>18</v>
      </c>
      <c r="AV243" s="4">
        <f t="shared" si="18"/>
        <v>0.82166666666666666</v>
      </c>
      <c r="AW243">
        <f t="shared" si="19"/>
        <v>0</v>
      </c>
      <c r="AX243">
        <f>VLOOKUP($E243,Constants!$I:$K, 2, FALSE)</f>
        <v>0.85</v>
      </c>
      <c r="AY243">
        <f>VLOOKUP($E243,Constants!$I:$K, 3, FALSE)*IF(AND(D243="multiple_unit",Y243&lt;110),0.75,1)</f>
        <v>2.4</v>
      </c>
      <c r="AZ243">
        <f>INT(((Constants!$G$2+$AR243+$AS243+$AT243+$AU243+$AW243)*$AV243)*$AY243)</f>
        <v>138</v>
      </c>
      <c r="BA243">
        <f>INT(((Constants!$G$1+$AQ243+$AS243+$AT243+$AU243+$AW243)*(1/$AV243))*$AX243)</f>
        <v>93</v>
      </c>
      <c r="BG243" t="str">
        <f>VLOOKUP(G243,Eras!$A$2:$C$10, 2, TRUE)</f>
        <v>lbr</v>
      </c>
      <c r="BH243" t="s">
        <v>371</v>
      </c>
      <c r="BI243" t="str">
        <f>CONCATENATE(BG243,"_",BH243)</f>
        <v>lbr_Freight</v>
      </c>
      <c r="BJ243" t="s">
        <v>636</v>
      </c>
    </row>
    <row r="244" spans="1:62" x14ac:dyDescent="0.25">
      <c r="A244" t="s">
        <v>56</v>
      </c>
      <c r="B244" t="s">
        <v>210</v>
      </c>
      <c r="C244">
        <v>270</v>
      </c>
      <c r="D244" t="s">
        <v>304</v>
      </c>
      <c r="E244" t="s">
        <v>314</v>
      </c>
      <c r="F244" t="s">
        <v>316</v>
      </c>
      <c r="G244">
        <v>1998</v>
      </c>
      <c r="H244">
        <v>2015</v>
      </c>
      <c r="K244">
        <v>3300</v>
      </c>
      <c r="T244">
        <v>129.6</v>
      </c>
      <c r="W244">
        <v>260</v>
      </c>
      <c r="X244" s="4">
        <f>IF(AND(T244&gt;0,W244&gt;0),(W244/((T244+U244)*10)),"")</f>
        <v>0.20061728395061729</v>
      </c>
      <c r="Y244">
        <v>75</v>
      </c>
      <c r="AA244">
        <v>21.4</v>
      </c>
      <c r="AB244">
        <v>21.4</v>
      </c>
      <c r="AD244">
        <v>3.9</v>
      </c>
      <c r="AE244" s="11">
        <v>0</v>
      </c>
      <c r="AF244" t="str">
        <f>CONCATENATE(VLOOKUP(AG244, 'Voxel Sizes'!$A$2:$B$18,2,FALSE),"x",INT(AC244*15), "x", INT(AD244*15))</f>
        <v>214x0x58</v>
      </c>
      <c r="AG244">
        <f>ROUND(15*((AB244*10)/256),0)</f>
        <v>13</v>
      </c>
      <c r="AI244" t="str">
        <f>CONCATENATE(VLOOKUP(AG244,Constants!$A$2:$C$16,IF(AH244&lt;&gt;"", 3, 2), FALSE),IF(AH244&lt;&gt;"",CONCATENATE(",",VLOOKUP(AH244,$B:$AI,34,FALSE)),""))</f>
        <v>4,5,4</v>
      </c>
      <c r="AP244">
        <v>40</v>
      </c>
      <c r="AS244">
        <f t="shared" si="15"/>
        <v>15</v>
      </c>
      <c r="AT244">
        <f t="shared" si="16"/>
        <v>16.5</v>
      </c>
      <c r="AU244">
        <f t="shared" si="17"/>
        <v>13</v>
      </c>
      <c r="AV244" s="4">
        <f t="shared" si="18"/>
        <v>0.83</v>
      </c>
      <c r="AW244">
        <f t="shared" si="19"/>
        <v>0</v>
      </c>
      <c r="AX244">
        <f>VLOOKUP($E244,Constants!$I:$K, 2, FALSE)</f>
        <v>1</v>
      </c>
      <c r="AY244">
        <f>VLOOKUP($E244,Constants!$I:$K, 3, FALSE)*IF(AND(D244="multiple_unit",Y244&lt;110),0.75,1)</f>
        <v>2</v>
      </c>
      <c r="AZ244">
        <f>INT(((Constants!$G$2+$AR244+$AS244+$AT244+$AU244+$AW244)*$AV244)*$AY244)</f>
        <v>98</v>
      </c>
      <c r="BA244">
        <f>INT(((Constants!$G$1+$AQ244+$AS244+$AT244+$AU244+$AW244)*(1/$AV244))*$AX244)</f>
        <v>95</v>
      </c>
      <c r="BG244" t="str">
        <f>VLOOKUP(G244,Eras!$A$2:$C$10, 2, TRUE)</f>
        <v>prv</v>
      </c>
      <c r="BH244" t="s">
        <v>371</v>
      </c>
      <c r="BI244" t="str">
        <f>CONCATENATE(BG244,"_",BH244)</f>
        <v>prv_Freight</v>
      </c>
      <c r="BJ244" t="s">
        <v>616</v>
      </c>
    </row>
    <row r="245" spans="1:62" x14ac:dyDescent="0.25">
      <c r="A245" t="s">
        <v>149</v>
      </c>
      <c r="B245" t="s">
        <v>275</v>
      </c>
      <c r="C245">
        <v>272</v>
      </c>
      <c r="D245" t="s">
        <v>304</v>
      </c>
      <c r="E245" t="s">
        <v>314</v>
      </c>
      <c r="F245" t="s">
        <v>316</v>
      </c>
      <c r="G245">
        <v>1998</v>
      </c>
      <c r="H245">
        <v>2004</v>
      </c>
      <c r="K245">
        <v>3000</v>
      </c>
      <c r="T245">
        <v>120.6</v>
      </c>
      <c r="W245">
        <v>250</v>
      </c>
      <c r="X245" s="4">
        <f>IF(AND(T245&gt;0,W245&gt;0),(W245/((T245+U245)*10)),"")</f>
        <v>0.20729684908789386</v>
      </c>
      <c r="Y245">
        <v>95</v>
      </c>
      <c r="AA245">
        <v>19.38</v>
      </c>
      <c r="AB245">
        <v>19.38</v>
      </c>
      <c r="AD245">
        <v>3.9</v>
      </c>
      <c r="AE245" s="11">
        <v>0</v>
      </c>
      <c r="AF245" t="str">
        <f>CONCATENATE(VLOOKUP(AG245, 'Voxel Sizes'!$A$2:$B$18,2,FALSE),"x",INT(AC245*15), "x", INT(AD245*15))</f>
        <v>186x0x58</v>
      </c>
      <c r="AG245">
        <f>ROUND(15*((AB245*10)/256),0)</f>
        <v>11</v>
      </c>
      <c r="AI245" t="str">
        <f>CONCATENATE(VLOOKUP(AG245,Constants!$A$2:$C$16,IF(AH245&lt;&gt;"", 3, 2), FALSE),IF(AH245&lt;&gt;"",CONCATENATE(",",VLOOKUP(AH245,$B:$AI,34,FALSE)),""))</f>
        <v>4,3,4</v>
      </c>
      <c r="AP245">
        <v>40</v>
      </c>
      <c r="AS245">
        <f t="shared" si="15"/>
        <v>19</v>
      </c>
      <c r="AT245">
        <f t="shared" si="16"/>
        <v>15</v>
      </c>
      <c r="AU245">
        <f t="shared" si="17"/>
        <v>12.5</v>
      </c>
      <c r="AV245" s="4">
        <f t="shared" si="18"/>
        <v>0.83</v>
      </c>
      <c r="AW245">
        <f t="shared" si="19"/>
        <v>0</v>
      </c>
      <c r="AX245">
        <f>VLOOKUP($E245,Constants!$I:$K, 2, FALSE)</f>
        <v>1</v>
      </c>
      <c r="AY245">
        <f>VLOOKUP($E245,Constants!$I:$K, 3, FALSE)*IF(AND(D245="multiple_unit",Y245&lt;110),0.75,1)</f>
        <v>2</v>
      </c>
      <c r="AZ245">
        <f>INT(((Constants!$G$2+$AR245+$AS245+$AT245+$AU245+$AW245)*$AV245)*$AY245)</f>
        <v>102</v>
      </c>
      <c r="BA245">
        <f>INT(((Constants!$G$1+$AQ245+$AS245+$AT245+$AU245+$AW245)*(1/$AV245))*$AX245)</f>
        <v>98</v>
      </c>
      <c r="BG245" t="str">
        <f>VLOOKUP(G245,Eras!$A$2:$C$10, 2, TRUE)</f>
        <v>prv</v>
      </c>
      <c r="BH245" t="s">
        <v>371</v>
      </c>
      <c r="BI245" t="str">
        <f>CONCATENATE(BG245,"_",BH245)</f>
        <v>prv_Freight</v>
      </c>
      <c r="BJ245" t="s">
        <v>617</v>
      </c>
    </row>
    <row r="246" spans="1:62" x14ac:dyDescent="0.25">
      <c r="A246" t="s">
        <v>651</v>
      </c>
      <c r="B246" t="s">
        <v>635</v>
      </c>
      <c r="C246">
        <v>276</v>
      </c>
      <c r="D246" t="s">
        <v>304</v>
      </c>
      <c r="E246" t="s">
        <v>314</v>
      </c>
      <c r="F246" t="s">
        <v>316</v>
      </c>
      <c r="G246">
        <v>1999</v>
      </c>
      <c r="H246">
        <v>2000</v>
      </c>
      <c r="K246">
        <v>3200</v>
      </c>
      <c r="T246">
        <v>88</v>
      </c>
      <c r="W246">
        <v>144</v>
      </c>
      <c r="X246" s="4">
        <f>IF(AND(T246&gt;0,W246&gt;0),(W246/((T246+U246)*10)),"")</f>
        <v>0.16363636363636364</v>
      </c>
      <c r="Y246">
        <v>125</v>
      </c>
      <c r="AA246">
        <v>19.71</v>
      </c>
      <c r="AB246">
        <v>19.71</v>
      </c>
      <c r="AD246">
        <v>3.93</v>
      </c>
      <c r="AE246" s="11">
        <v>0</v>
      </c>
      <c r="AF246" t="str">
        <f>CONCATENATE(VLOOKUP(AG246, 'Voxel Sizes'!$A$2:$B$18,2,FALSE),"x",INT(AC246*15), "x", INT(AD246*15))</f>
        <v>198x0x58</v>
      </c>
      <c r="AG246">
        <f>ROUND(15*((AB246*10)/256),0)</f>
        <v>12</v>
      </c>
      <c r="AI246" t="str">
        <f>CONCATENATE(VLOOKUP(AG246,Constants!$A$2:$C$16,IF(AH246&lt;&gt;"", 3, 2), FALSE),IF(AH246&lt;&gt;"",CONCATENATE(",",VLOOKUP(AH246,$B:$AI,34,FALSE)),""))</f>
        <v>4,4,4</v>
      </c>
      <c r="AP246">
        <v>40</v>
      </c>
      <c r="AS246">
        <f t="shared" si="15"/>
        <v>25</v>
      </c>
      <c r="AT246">
        <f t="shared" si="16"/>
        <v>16</v>
      </c>
      <c r="AU246">
        <f t="shared" si="17"/>
        <v>7.1999999999999993</v>
      </c>
      <c r="AV246" s="4">
        <f t="shared" si="18"/>
        <v>0.83166666666666667</v>
      </c>
      <c r="AW246">
        <f t="shared" si="19"/>
        <v>0</v>
      </c>
      <c r="AX246">
        <f>VLOOKUP($E246,Constants!$I:$K, 2, FALSE)</f>
        <v>1</v>
      </c>
      <c r="AY246">
        <f>VLOOKUP($E246,Constants!$I:$K, 3, FALSE)*IF(AND(D246="multiple_unit",Y246&lt;110),0.75,1)</f>
        <v>2</v>
      </c>
      <c r="AZ246">
        <f>INT(((Constants!$G$2+$AR246+$AS246+$AT246+$AU246+$AW246)*$AV246)*$AY246)</f>
        <v>105</v>
      </c>
      <c r="BA246">
        <f>INT(((Constants!$G$1+$AQ246+$AS246+$AT246+$AU246+$AW246)*(1/$AV246))*$AX246)</f>
        <v>100</v>
      </c>
      <c r="BG246" t="str">
        <f>VLOOKUP(G246,Eras!$A$2:$C$10, 2, TRUE)</f>
        <v>prv</v>
      </c>
      <c r="BH246" t="s">
        <v>371</v>
      </c>
      <c r="BI246" t="str">
        <f>CONCATENATE(BG246,"_",BH246)</f>
        <v>prv_Freight</v>
      </c>
      <c r="BJ246" t="s">
        <v>634</v>
      </c>
    </row>
    <row r="247" spans="1:62" x14ac:dyDescent="0.25">
      <c r="A247" t="s">
        <v>61</v>
      </c>
      <c r="B247" t="s">
        <v>211</v>
      </c>
      <c r="C247">
        <v>294</v>
      </c>
      <c r="D247" t="s">
        <v>304</v>
      </c>
      <c r="E247" t="s">
        <v>314</v>
      </c>
      <c r="F247" t="s">
        <v>316</v>
      </c>
      <c r="G247">
        <v>2008</v>
      </c>
      <c r="H247">
        <v>2017</v>
      </c>
      <c r="K247">
        <v>3690</v>
      </c>
      <c r="T247">
        <v>129</v>
      </c>
      <c r="W247">
        <v>330</v>
      </c>
      <c r="X247" s="4">
        <f>IF(AND(T247&gt;0,W247&gt;0),(W247/((T247+U247)*10)),"")</f>
        <v>0.2558139534883721</v>
      </c>
      <c r="Y247">
        <v>75</v>
      </c>
      <c r="AA247">
        <v>21.27</v>
      </c>
      <c r="AB247">
        <v>21.27</v>
      </c>
      <c r="AD247">
        <v>3.91</v>
      </c>
      <c r="AE247" s="11">
        <v>0</v>
      </c>
      <c r="AF247" t="str">
        <f>CONCATENATE(VLOOKUP(AG247, 'Voxel Sizes'!$A$2:$B$18,2,FALSE),"x",INT(AC247*15), "x", INT(AD247*15))</f>
        <v>198x0x58</v>
      </c>
      <c r="AG247">
        <f>ROUND(15*((AB247*10)/256),0)</f>
        <v>12</v>
      </c>
      <c r="AI247" t="str">
        <f>CONCATENATE(VLOOKUP(AG247,Constants!$A$2:$C$16,IF(AH247&lt;&gt;"", 3, 2), FALSE),IF(AH247&lt;&gt;"",CONCATENATE(",",VLOOKUP(AH247,$B:$AI,34,FALSE)),""))</f>
        <v>4,4,4</v>
      </c>
      <c r="AP247">
        <v>40</v>
      </c>
      <c r="AS247">
        <f t="shared" si="15"/>
        <v>15</v>
      </c>
      <c r="AT247">
        <f t="shared" si="16"/>
        <v>18.45</v>
      </c>
      <c r="AU247">
        <f t="shared" si="17"/>
        <v>16.5</v>
      </c>
      <c r="AV247" s="4">
        <f t="shared" si="18"/>
        <v>0.84666666666666668</v>
      </c>
      <c r="AW247">
        <f t="shared" si="19"/>
        <v>0</v>
      </c>
      <c r="AX247">
        <f>VLOOKUP($E247,Constants!$I:$K, 2, FALSE)</f>
        <v>1</v>
      </c>
      <c r="AY247">
        <f>VLOOKUP($E247,Constants!$I:$K, 3, FALSE)*IF(AND(D247="multiple_unit",Y247&lt;110),0.75,1)</f>
        <v>2</v>
      </c>
      <c r="AZ247">
        <f>INT(((Constants!$G$2+$AR247+$AS247+$AT247+$AU247+$AW247)*$AV247)*$AY247)</f>
        <v>109</v>
      </c>
      <c r="BA247">
        <f>INT(((Constants!$G$1+$AQ247+$AS247+$AT247+$AU247+$AW247)*(1/$AV247))*$AX247)</f>
        <v>100</v>
      </c>
      <c r="BG247" t="str">
        <f>VLOOKUP(G247,Eras!$A$2:$C$10, 2, TRUE)</f>
        <v>mod</v>
      </c>
      <c r="BH247" t="s">
        <v>371</v>
      </c>
      <c r="BI247" t="str">
        <f>CONCATENATE(BG247,"_",BH247)</f>
        <v>mod_Freight</v>
      </c>
      <c r="BJ247" t="s">
        <v>648</v>
      </c>
    </row>
    <row r="248" spans="1:62" x14ac:dyDescent="0.25">
      <c r="A248" t="s">
        <v>650</v>
      </c>
      <c r="B248" t="s">
        <v>649</v>
      </c>
      <c r="C248">
        <v>298</v>
      </c>
      <c r="D248" t="s">
        <v>304</v>
      </c>
      <c r="E248" t="s">
        <v>314</v>
      </c>
      <c r="F248" t="s">
        <v>316</v>
      </c>
      <c r="G248">
        <v>2013</v>
      </c>
      <c r="H248">
        <v>2016</v>
      </c>
      <c r="K248">
        <v>3800</v>
      </c>
      <c r="T248">
        <v>85</v>
      </c>
      <c r="W248">
        <v>317</v>
      </c>
      <c r="X248" s="4">
        <f>IF(AND(T248&gt;0,W248&gt;0),(W248/((T248+U248)*10)),"")</f>
        <v>0.37294117647058822</v>
      </c>
      <c r="Y248">
        <v>100</v>
      </c>
      <c r="AA248">
        <v>20.5</v>
      </c>
      <c r="AB248">
        <v>20.5</v>
      </c>
      <c r="AE248" s="11">
        <v>0</v>
      </c>
      <c r="AF248" t="str">
        <f>CONCATENATE(VLOOKUP(AG248, 'Voxel Sizes'!$A$2:$B$18,2,FALSE),"x",INT(AC248*15), "x", INT(AD248*15))</f>
        <v>198x0x0</v>
      </c>
      <c r="AG248">
        <f>ROUND(15*((AB248*10)/256),0)</f>
        <v>12</v>
      </c>
      <c r="AI248" t="str">
        <f>CONCATENATE(VLOOKUP(AG248,Constants!$A$2:$C$16,IF(AH248&lt;&gt;"", 3, 2), FALSE),IF(AH248&lt;&gt;"",CONCATENATE(",",VLOOKUP(AH248,$B:$AI,34,FALSE)),""))</f>
        <v>4,4,4</v>
      </c>
      <c r="AP248">
        <v>40</v>
      </c>
      <c r="AS248">
        <f t="shared" si="15"/>
        <v>20</v>
      </c>
      <c r="AT248">
        <f t="shared" si="16"/>
        <v>19</v>
      </c>
      <c r="AU248">
        <f t="shared" si="17"/>
        <v>15.85</v>
      </c>
      <c r="AV248" s="4">
        <f t="shared" si="18"/>
        <v>0.85499999999999998</v>
      </c>
      <c r="AW248">
        <f t="shared" si="19"/>
        <v>0</v>
      </c>
      <c r="AX248">
        <f>VLOOKUP($E248,Constants!$I:$K, 2, FALSE)</f>
        <v>1</v>
      </c>
      <c r="AY248">
        <f>VLOOKUP($E248,Constants!$I:$K, 3, FALSE)*IF(AND(D248="multiple_unit",Y248&lt;110),0.75,1)</f>
        <v>2</v>
      </c>
      <c r="AZ248">
        <f>INT(((Constants!$G$2+$AR248+$AS248+$AT248+$AU248+$AW248)*$AV248)*$AY248)</f>
        <v>119</v>
      </c>
      <c r="BA248">
        <f>INT(((Constants!$G$1+$AQ248+$AS248+$AT248+$AU248+$AW248)*(1/$AV248))*$AX248)</f>
        <v>105</v>
      </c>
      <c r="BG248" t="str">
        <f>VLOOKUP(G248,Eras!$A$2:$C$10, 2, TRUE)</f>
        <v>mod</v>
      </c>
      <c r="BH248" t="s">
        <v>369</v>
      </c>
      <c r="BI248" t="str">
        <f>CONCATENATE(BG248,"_",BH248)</f>
        <v>mod_Mixed Traffic</v>
      </c>
      <c r="BJ248" t="s">
        <v>653</v>
      </c>
    </row>
  </sheetData>
  <autoFilter ref="A1:BJ248" xr:uid="{CF2E8555-48EE-4386-A1B1-369F6A2E644F}">
    <sortState xmlns:xlrd2="http://schemas.microsoft.com/office/spreadsheetml/2017/richdata2" ref="A2:BJ248">
      <sortCondition descending="1" ref="D2:D248"/>
      <sortCondition ref="C2:C248"/>
    </sortState>
  </autoFilter>
  <sortState xmlns:xlrd2="http://schemas.microsoft.com/office/spreadsheetml/2017/richdata2" ref="A54:BJ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BH1:BH1048576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762</v>
      </c>
    </row>
    <row r="2" spans="1:23" x14ac:dyDescent="0.25">
      <c r="A2" s="1" t="s">
        <v>366</v>
      </c>
      <c r="B2" s="1" t="s">
        <v>367</v>
      </c>
    </row>
    <row r="3" spans="1:23" x14ac:dyDescent="0.25">
      <c r="A3" t="s">
        <v>359</v>
      </c>
      <c r="B3" t="str">
        <f>VLOOKUP(A3, Eras!$B$2:$C$10, 2, FALSE)</f>
        <v>Early (1800-1850)</v>
      </c>
      <c r="C3">
        <f>COUNTIF(Table!$BI:$BI,CONCATENATE($A3,"_",C$1))</f>
        <v>0</v>
      </c>
      <c r="D3">
        <f>COUNTIF(Table!$BI:$BI,CONCATENATE($A3,"_",D$1))</f>
        <v>4</v>
      </c>
      <c r="E3">
        <f>COUNTIF(Table!$BI:$BI,CONCATENATE($A3,"_",E$1))</f>
        <v>0</v>
      </c>
      <c r="F3">
        <f>COUNTIF(Table!$BI:$BI,CONCATENATE($A3,"_",F$1))</f>
        <v>1</v>
      </c>
      <c r="G3">
        <f>COUNTIF(Table!$BI:$BI,CONCATENATE($A3,"_",G$1))</f>
        <v>0</v>
      </c>
      <c r="H3">
        <f>COUNTIF(Table!$BI:$BI,CONCATENATE($A3,"_",H$1))</f>
        <v>0</v>
      </c>
      <c r="I3">
        <f>COUNTIF(Table!$BI:$BI,CONCATENATE($A3,"_",I$1))</f>
        <v>0</v>
      </c>
      <c r="J3">
        <f>COUNTIF(Table!$BI:$BI,CONCATENATE($A3,"_",J$1))</f>
        <v>0</v>
      </c>
      <c r="K3">
        <f>COUNTIF(Table!$BI:$BI,CONCATENATE($A3,"_",K$1))</f>
        <v>0</v>
      </c>
      <c r="L3">
        <f>COUNTIF(Table!$BI:$BI,CONCATENATE($A3,"_",L$1))</f>
        <v>0</v>
      </c>
      <c r="M3">
        <f>COUNTIF(Table!$BI:$BI,CONCATENATE($A3,"_",M$1))</f>
        <v>0</v>
      </c>
      <c r="N3">
        <f>COUNTIF(Table!$BI:$BI,CONCATENATE($A3,"_",N$1))</f>
        <v>0</v>
      </c>
      <c r="O3">
        <f>COUNTIF(Table!$BI:$BI,CONCATENATE($A3,"_",O$1))</f>
        <v>0</v>
      </c>
      <c r="P3">
        <f>COUNTIF(Table!$BI:$BI,CONCATENATE($A3,"_",P$1))</f>
        <v>0</v>
      </c>
      <c r="Q3">
        <f>COUNTIF(Table!$BI:$BI,CONCATENATE($A3,"_",Q$1))</f>
        <v>0</v>
      </c>
      <c r="R3">
        <f>COUNTIF(Table!$BI:$BI,CONCATENATE($A3,"_",R$1))</f>
        <v>0</v>
      </c>
      <c r="S3">
        <f>COUNTIF(Table!$BI:$BI,CONCATENATE($A3,"_",S$1))</f>
        <v>0</v>
      </c>
      <c r="T3">
        <f>COUNTIF(Table!$BI:$BI,CONCATENATE($A3,"_",T$1))</f>
        <v>0</v>
      </c>
      <c r="U3">
        <f>COUNTIF(Table!$BI:$BI,CONCATENATE($A3,"_",U$1))</f>
        <v>0</v>
      </c>
      <c r="V3">
        <f>COUNTIF(Table!$BI:$BI,CONCATENATE($A3,"_",V$1))</f>
        <v>0</v>
      </c>
      <c r="W3">
        <f>COUNTIF(Table!$BI:$BI,CONCATENATE($A3,"_",W$1))</f>
        <v>0</v>
      </c>
    </row>
    <row r="4" spans="1:23" x14ac:dyDescent="0.25">
      <c r="A4" t="s">
        <v>426</v>
      </c>
      <c r="B4" t="str">
        <f>VLOOKUP(A4, Eras!$B$2:$C$10, 2, FALSE)</f>
        <v>Victorian (1850-1900)</v>
      </c>
      <c r="C4">
        <f>COUNTIF(Table!$BI:$BI,CONCATENATE($A4,"_",C$1))</f>
        <v>0</v>
      </c>
      <c r="D4">
        <f>COUNTIF(Table!$BI:$BI,CONCATENATE($A4,"_",D$1))</f>
        <v>0</v>
      </c>
      <c r="E4">
        <f>COUNTIF(Table!$BI:$BI,CONCATENATE($A4,"_",E$1))</f>
        <v>0</v>
      </c>
      <c r="F4">
        <f>COUNTIF(Table!$BI:$BI,CONCATENATE($A4,"_",F$1))</f>
        <v>1</v>
      </c>
      <c r="G4">
        <f>COUNTIF(Table!$BI:$BI,CONCATENATE($A4,"_",G$1))</f>
        <v>0</v>
      </c>
      <c r="H4">
        <f>COUNTIF(Table!$BI:$BI,CONCATENATE($A4,"_",H$1))</f>
        <v>0</v>
      </c>
      <c r="I4">
        <f>COUNTIF(Table!$BI:$BI,CONCATENATE($A4,"_",I$1))</f>
        <v>0</v>
      </c>
      <c r="J4">
        <f>COUNTIF(Table!$BI:$BI,CONCATENATE($A4,"_",J$1))</f>
        <v>0</v>
      </c>
      <c r="K4">
        <f>COUNTIF(Table!$BI:$BI,CONCATENATE($A4,"_",K$1))</f>
        <v>0</v>
      </c>
      <c r="L4">
        <f>COUNTIF(Table!$BI:$BI,CONCATENATE($A4,"_",L$1))</f>
        <v>0</v>
      </c>
      <c r="M4">
        <f>COUNTIF(Table!$BI:$BI,CONCATENATE($A4,"_",M$1))</f>
        <v>0</v>
      </c>
      <c r="N4">
        <f>COUNTIF(Table!$BI:$BI,CONCATENATE($A4,"_",N$1))</f>
        <v>1</v>
      </c>
      <c r="O4">
        <f>COUNTIF(Table!$BI:$BI,CONCATENATE($A4,"_",O$1))</f>
        <v>0</v>
      </c>
      <c r="P4">
        <f>COUNTIF(Table!$BI:$BI,CONCATENATE($A4,"_",P$1))</f>
        <v>0</v>
      </c>
      <c r="Q4">
        <f>COUNTIF(Table!$BI:$BI,CONCATENATE($A4,"_",Q$1))</f>
        <v>1</v>
      </c>
      <c r="R4">
        <f>COUNTIF(Table!$BI:$BI,CONCATENATE($A4,"_",R$1))</f>
        <v>0</v>
      </c>
      <c r="S4">
        <f>COUNTIF(Table!$BI:$BI,CONCATENATE($A4,"_",S$1))</f>
        <v>1</v>
      </c>
      <c r="T4">
        <f>COUNTIF(Table!$BI:$BI,CONCATENATE($A4,"_",T$1))</f>
        <v>1</v>
      </c>
      <c r="U4">
        <f>COUNTIF(Table!$BI:$BI,CONCATENATE($A4,"_",U$1))</f>
        <v>2</v>
      </c>
      <c r="V4">
        <f>COUNTIF(Table!$BI:$BI,CONCATENATE($A4,"_",V$1))</f>
        <v>1</v>
      </c>
      <c r="W4">
        <f>COUNTIF(Table!$BI:$BI,CONCATENATE($A4,"_",W$1))</f>
        <v>1</v>
      </c>
    </row>
    <row r="5" spans="1:23" x14ac:dyDescent="0.25">
      <c r="A5" t="s">
        <v>360</v>
      </c>
      <c r="B5" t="str">
        <f>VLOOKUP(A5, Eras!$B$2:$C$10, 2, FALSE)</f>
        <v>Edwardian (1900-1920)</v>
      </c>
      <c r="C5">
        <f>COUNTIF(Table!$BI:$BI,CONCATENATE($A5,"_",C$1))</f>
        <v>2</v>
      </c>
      <c r="D5">
        <f>COUNTIF(Table!$BI:$BI,CONCATENATE($A5,"_",D$1))</f>
        <v>1</v>
      </c>
      <c r="E5">
        <f>COUNTIF(Table!$BI:$BI,CONCATENATE($A5,"_",E$1))</f>
        <v>1</v>
      </c>
      <c r="F5">
        <f>COUNTIF(Table!$BI:$BI,CONCATENATE($A5,"_",F$1))</f>
        <v>1</v>
      </c>
      <c r="G5">
        <f>COUNTIF(Table!$BI:$BI,CONCATENATE($A5,"_",G$1))</f>
        <v>2</v>
      </c>
      <c r="H5">
        <f>COUNTIF(Table!$BI:$BI,CONCATENATE($A5,"_",H$1))</f>
        <v>0</v>
      </c>
      <c r="I5">
        <f>COUNTIF(Table!$BI:$BI,CONCATENATE($A5,"_",I$1))</f>
        <v>0</v>
      </c>
      <c r="J5">
        <f>COUNTIF(Table!$BI:$BI,CONCATENATE($A5,"_",J$1))</f>
        <v>2</v>
      </c>
      <c r="K5">
        <f>COUNTIF(Table!$BI:$BI,CONCATENATE($A5,"_",K$1))</f>
        <v>1</v>
      </c>
      <c r="L5">
        <f>COUNTIF(Table!$BI:$BI,CONCATENATE($A5,"_",L$1))</f>
        <v>0</v>
      </c>
      <c r="M5">
        <f>COUNTIF(Table!$BI:$BI,CONCATENATE($A5,"_",M$1))</f>
        <v>0</v>
      </c>
      <c r="N5">
        <f>COUNTIF(Table!$BI:$BI,CONCATENATE($A5,"_",N$1))</f>
        <v>1</v>
      </c>
      <c r="O5">
        <f>COUNTIF(Table!$BI:$BI,CONCATENATE($A5,"_",O$1))</f>
        <v>0</v>
      </c>
      <c r="P5">
        <f>COUNTIF(Table!$BI:$BI,CONCATENATE($A5,"_",P$1))</f>
        <v>1</v>
      </c>
      <c r="Q5">
        <f>COUNTIF(Table!$BI:$BI,CONCATENATE($A5,"_",Q$1))</f>
        <v>1</v>
      </c>
      <c r="R5">
        <f>COUNTIF(Table!$BI:$BI,CONCATENATE($A5,"_",R$1))</f>
        <v>0</v>
      </c>
      <c r="S5">
        <f>COUNTIF(Table!$BI:$BI,CONCATENATE($A5,"_",S$1))</f>
        <v>1</v>
      </c>
      <c r="T5">
        <f>COUNTIF(Table!$BI:$BI,CONCATENATE($A5,"_",T$1))</f>
        <v>3</v>
      </c>
      <c r="U5">
        <f>COUNTIF(Table!$BI:$BI,CONCATENATE($A5,"_",U$1))</f>
        <v>2</v>
      </c>
      <c r="V5">
        <f>COUNTIF(Table!$BI:$BI,CONCATENATE($A5,"_",V$1))</f>
        <v>1</v>
      </c>
      <c r="W5">
        <f>COUNTIF(Table!$BI:$BI,CONCATENATE($A5,"_",W$1))</f>
        <v>0</v>
      </c>
    </row>
    <row r="6" spans="1:23" x14ac:dyDescent="0.25">
      <c r="A6" t="s">
        <v>361</v>
      </c>
      <c r="B6" t="str">
        <f>VLOOKUP(A6, Eras!$B$2:$C$10, 2, FALSE)</f>
        <v>Big Four (1923-1948)</v>
      </c>
      <c r="C6">
        <f>COUNTIF(Table!$BI:$BI,CONCATENATE($A6,"_",C$1))</f>
        <v>1</v>
      </c>
      <c r="D6">
        <f>COUNTIF(Table!$BI:$BI,CONCATENATE($A6,"_",D$1))</f>
        <v>11</v>
      </c>
      <c r="E6">
        <f>COUNTIF(Table!$BI:$BI,CONCATENATE($A6,"_",E$1))</f>
        <v>6</v>
      </c>
      <c r="F6">
        <f>COUNTIF(Table!$BI:$BI,CONCATENATE($A6,"_",F$1))</f>
        <v>10</v>
      </c>
      <c r="G6">
        <f>COUNTIF(Table!$BI:$BI,CONCATENATE($A6,"_",G$1))</f>
        <v>2</v>
      </c>
      <c r="H6">
        <f>COUNTIF(Table!$BI:$BI,CONCATENATE($A6,"_",H$1))</f>
        <v>1</v>
      </c>
      <c r="I6">
        <f>COUNTIF(Table!$BI:$BI,CONCATENATE($A6,"_",I$1))</f>
        <v>0</v>
      </c>
      <c r="J6">
        <f>COUNTIF(Table!$BI:$BI,CONCATENATE($A6,"_",J$1))</f>
        <v>0</v>
      </c>
      <c r="K6">
        <f>COUNTIF(Table!$BI:$BI,CONCATENATE($A6,"_",K$1))</f>
        <v>1</v>
      </c>
      <c r="L6">
        <f>COUNTIF(Table!$BI:$BI,CONCATENATE($A6,"_",L$1))</f>
        <v>0</v>
      </c>
      <c r="M6">
        <f>COUNTIF(Table!$BI:$BI,CONCATENATE($A6,"_",M$1))</f>
        <v>0</v>
      </c>
      <c r="N6">
        <f>COUNTIF(Table!$BI:$BI,CONCATENATE($A6,"_",N$1))</f>
        <v>2</v>
      </c>
      <c r="O6">
        <f>COUNTIF(Table!$BI:$BI,CONCATENATE($A6,"_",O$1))</f>
        <v>1</v>
      </c>
      <c r="P6">
        <f>COUNTIF(Table!$BI:$BI,CONCATENATE($A6,"_",P$1))</f>
        <v>1</v>
      </c>
      <c r="Q6">
        <f>COUNTIF(Table!$BI:$BI,CONCATENATE($A6,"_",Q$1))</f>
        <v>1</v>
      </c>
      <c r="R6">
        <f>COUNTIF(Table!$BI:$BI,CONCATENATE($A6,"_",R$1))</f>
        <v>0</v>
      </c>
      <c r="S6">
        <f>COUNTIF(Table!$BI:$BI,CONCATENATE($A6,"_",S$1))</f>
        <v>1</v>
      </c>
      <c r="T6">
        <f>COUNTIF(Table!$BI:$BI,CONCATENATE($A6,"_",T$1))</f>
        <v>1</v>
      </c>
      <c r="U6">
        <f>COUNTIF(Table!$BI:$BI,CONCATENATE($A6,"_",U$1))</f>
        <v>2</v>
      </c>
      <c r="V6">
        <f>COUNTIF(Table!$BI:$BI,CONCATENATE($A6,"_",V$1))</f>
        <v>1</v>
      </c>
      <c r="W6">
        <f>COUNTIF(Table!$BI:$BI,CONCATENATE($A6,"_",W$1))</f>
        <v>2</v>
      </c>
    </row>
    <row r="7" spans="1:23" x14ac:dyDescent="0.25">
      <c r="A7" t="s">
        <v>696</v>
      </c>
      <c r="B7" t="str">
        <f>VLOOKUP(A7, Eras!$B$2:$C$10, 2, FALSE)</f>
        <v>Early BR (1948-1955)</v>
      </c>
      <c r="C7">
        <f>COUNTIF(Table!$BI:$BI,CONCATENATE($A7,"_",C$1))</f>
        <v>0</v>
      </c>
      <c r="D7">
        <f>COUNTIF(Table!$BI:$BI,CONCATENATE($A7,"_",D$1))</f>
        <v>2</v>
      </c>
      <c r="E7">
        <f>COUNTIF(Table!$BI:$BI,CONCATENATE($A7,"_",E$1))</f>
        <v>1</v>
      </c>
      <c r="F7">
        <f>COUNTIF(Table!$BI:$BI,CONCATENATE($A7,"_",F$1))</f>
        <v>1</v>
      </c>
      <c r="G7">
        <f>COUNTIF(Table!$BI:$BI,CONCATENATE($A7,"_",G$1))</f>
        <v>1</v>
      </c>
      <c r="H7">
        <f>COUNTIF(Table!$BI:$BI,CONCATENATE($A7,"_",H$1))</f>
        <v>0</v>
      </c>
      <c r="I7">
        <f>COUNTIF(Table!$BI:$BI,CONCATENATE($A7,"_",I$1))</f>
        <v>1</v>
      </c>
      <c r="J7">
        <f>COUNTIF(Table!$BI:$BI,CONCATENATE($A7,"_",J$1))</f>
        <v>1</v>
      </c>
      <c r="K7">
        <f>COUNTIF(Table!$BI:$BI,CONCATENATE($A7,"_",K$1))</f>
        <v>0</v>
      </c>
      <c r="L7">
        <f>COUNTIF(Table!$BI:$BI,CONCATENATE($A7,"_",L$1))</f>
        <v>0</v>
      </c>
      <c r="M7">
        <f>COUNTIF(Table!$BI:$BI,CONCATENATE($A7,"_",M$1))</f>
        <v>0</v>
      </c>
      <c r="N7">
        <f>COUNTIF(Table!$BI:$BI,CONCATENATE($A7,"_",N$1))</f>
        <v>1</v>
      </c>
      <c r="O7">
        <f>COUNTIF(Table!$BI:$BI,CONCATENATE($A7,"_",O$1))</f>
        <v>0</v>
      </c>
      <c r="P7">
        <f>COUNTIF(Table!$BI:$BI,CONCATENATE($A7,"_",P$1))</f>
        <v>0</v>
      </c>
      <c r="Q7">
        <f>COUNTIF(Table!$BI:$BI,CONCATENATE($A7,"_",Q$1))</f>
        <v>1</v>
      </c>
      <c r="R7">
        <f>COUNTIF(Table!$BI:$BI,CONCATENATE($A7,"_",R$1))</f>
        <v>1</v>
      </c>
      <c r="S7">
        <f>COUNTIF(Table!$BI:$BI,CONCATENATE($A7,"_",S$1))</f>
        <v>1</v>
      </c>
      <c r="T7">
        <f>COUNTIF(Table!$BI:$BI,CONCATENATE($A7,"_",T$1))</f>
        <v>1</v>
      </c>
      <c r="U7">
        <f>COUNTIF(Table!$BI:$BI,CONCATENATE($A7,"_",U$1))</f>
        <v>0</v>
      </c>
      <c r="V7">
        <f>COUNTIF(Table!$BI:$BI,CONCATENATE($A7,"_",V$1))</f>
        <v>0</v>
      </c>
      <c r="W7">
        <f>COUNTIF(Table!$BI:$BI,CONCATENATE($A7,"_",W$1))</f>
        <v>0</v>
      </c>
    </row>
    <row r="8" spans="1:23" x14ac:dyDescent="0.25">
      <c r="A8" t="s">
        <v>362</v>
      </c>
      <c r="B8" t="str">
        <f>VLOOKUP(A8, Eras!$B$2:$C$10, 2, FALSE)</f>
        <v>Dieselisation (1955-1970)</v>
      </c>
      <c r="C8">
        <f>COUNTIF(Table!$BI:$BI,CONCATENATE($A8,"_",C$1))</f>
        <v>1</v>
      </c>
      <c r="D8">
        <f>COUNTIF(Table!$BI:$BI,CONCATENATE($A8,"_",D$1))</f>
        <v>7</v>
      </c>
      <c r="E8">
        <f>COUNTIF(Table!$BI:$BI,CONCATENATE($A8,"_",E$1))</f>
        <v>2</v>
      </c>
      <c r="F8">
        <f>COUNTIF(Table!$BI:$BI,CONCATENATE($A8,"_",F$1))</f>
        <v>5</v>
      </c>
      <c r="G8">
        <f>COUNTIF(Table!$BI:$BI,CONCATENATE($A8,"_",G$1))</f>
        <v>4</v>
      </c>
      <c r="H8">
        <f>COUNTIF(Table!$BI:$BI,CONCATENATE($A8,"_",H$1))</f>
        <v>1</v>
      </c>
      <c r="I8">
        <f>COUNTIF(Table!$BI:$BI,CONCATENATE($A8,"_",I$1))</f>
        <v>2</v>
      </c>
      <c r="J8">
        <f>COUNTIF(Table!$BI:$BI,CONCATENATE($A8,"_",J$1))</f>
        <v>0</v>
      </c>
      <c r="K8">
        <f>COUNTIF(Table!$BI:$BI,CONCATENATE($A8,"_",K$1))</f>
        <v>0</v>
      </c>
      <c r="L8">
        <f>COUNTIF(Table!$BI:$BI,CONCATENATE($A8,"_",L$1))</f>
        <v>3</v>
      </c>
      <c r="M8">
        <f>COUNTIF(Table!$BI:$BI,CONCATENATE($A8,"_",M$1))</f>
        <v>2</v>
      </c>
      <c r="N8">
        <f>COUNTIF(Table!$BI:$BI,CONCATENATE($A8,"_",N$1))</f>
        <v>0</v>
      </c>
      <c r="O8">
        <f>COUNTIF(Table!$BI:$BI,CONCATENATE($A8,"_",O$1))</f>
        <v>2</v>
      </c>
      <c r="P8">
        <f>COUNTIF(Table!$BI:$BI,CONCATENATE($A8,"_",P$1))</f>
        <v>4</v>
      </c>
      <c r="Q8">
        <f>COUNTIF(Table!$BI:$BI,CONCATENATE($A8,"_",Q$1))</f>
        <v>1</v>
      </c>
      <c r="R8">
        <f>COUNTIF(Table!$BI:$BI,CONCATENATE($A8,"_",R$1))</f>
        <v>1</v>
      </c>
      <c r="S8">
        <f>COUNTIF(Table!$BI:$BI,CONCATENATE($A8,"_",S$1))</f>
        <v>1</v>
      </c>
      <c r="T8">
        <f>COUNTIF(Table!$BI:$BI,CONCATENATE($A8,"_",T$1))</f>
        <v>0</v>
      </c>
      <c r="U8">
        <f>COUNTIF(Table!$BI:$BI,CONCATENATE($A8,"_",U$1))</f>
        <v>3</v>
      </c>
      <c r="V8">
        <f>COUNTIF(Table!$BI:$BI,CONCATENATE($A8,"_",V$1))</f>
        <v>1</v>
      </c>
      <c r="W8">
        <f>COUNTIF(Table!$BI:$BI,CONCATENATE($A8,"_",W$1))</f>
        <v>1</v>
      </c>
    </row>
    <row r="9" spans="1:23" x14ac:dyDescent="0.25">
      <c r="A9" t="s">
        <v>697</v>
      </c>
      <c r="B9" t="str">
        <f>VLOOKUP(A9, Eras!$B$2:$C$10, 2, FALSE)</f>
        <v>Late BR (1970-1995)</v>
      </c>
      <c r="C9">
        <f>COUNTIF(Table!$BI:$BI,CONCATENATE($A9,"_",C$1))</f>
        <v>0</v>
      </c>
      <c r="D9">
        <f>COUNTIF(Table!$BI:$BI,CONCATENATE($A9,"_",D$1))</f>
        <v>0</v>
      </c>
      <c r="E9">
        <f>COUNTIF(Table!$BI:$BI,CONCATENATE($A9,"_",E$1))</f>
        <v>0</v>
      </c>
      <c r="F9">
        <f>COUNTIF(Table!$BI:$BI,CONCATENATE($A9,"_",F$1))</f>
        <v>2</v>
      </c>
      <c r="G9">
        <f>COUNTIF(Table!$BI:$BI,CONCATENATE($A9,"_",G$1))</f>
        <v>5</v>
      </c>
      <c r="H9">
        <f>COUNTIF(Table!$BI:$BI,CONCATENATE($A9,"_",H$1))</f>
        <v>0</v>
      </c>
      <c r="I9">
        <f>COUNTIF(Table!$BI:$BI,CONCATENATE($A9,"_",I$1))</f>
        <v>3</v>
      </c>
      <c r="J9">
        <f>COUNTIF(Table!$BI:$BI,CONCATENATE($A9,"_",J$1))</f>
        <v>0</v>
      </c>
      <c r="K9">
        <f>COUNTIF(Table!$BI:$BI,CONCATENATE($A9,"_",K$1))</f>
        <v>1</v>
      </c>
      <c r="L9">
        <f>COUNTIF(Table!$BI:$BI,CONCATENATE($A9,"_",L$1))</f>
        <v>3</v>
      </c>
      <c r="M9">
        <f>COUNTIF(Table!$BI:$BI,CONCATENATE($A9,"_",M$1))</f>
        <v>1</v>
      </c>
      <c r="N9">
        <f>COUNTIF(Table!$BI:$BI,CONCATENATE($A9,"_",N$1))</f>
        <v>6</v>
      </c>
      <c r="O9">
        <f>COUNTIF(Table!$BI:$BI,CONCATENATE($A9,"_",O$1))</f>
        <v>4</v>
      </c>
      <c r="P9">
        <f>COUNTIF(Table!$BI:$BI,CONCATENATE($A9,"_",P$1))</f>
        <v>4</v>
      </c>
      <c r="Q9">
        <f>COUNTIF(Table!$BI:$BI,CONCATENATE($A9,"_",Q$1))</f>
        <v>2</v>
      </c>
      <c r="R9">
        <f>COUNTIF(Table!$BI:$BI,CONCATENATE($A9,"_",R$1))</f>
        <v>0</v>
      </c>
      <c r="S9">
        <f>COUNTIF(Table!$BI:$BI,CONCATENATE($A9,"_",S$1))</f>
        <v>2</v>
      </c>
      <c r="T9">
        <f>COUNTIF(Table!$BI:$BI,CONCATENATE($A9,"_",T$1))</f>
        <v>2</v>
      </c>
      <c r="U9">
        <f>COUNTIF(Table!$BI:$BI,CONCATENATE($A9,"_",U$1))</f>
        <v>3</v>
      </c>
      <c r="V9">
        <f>COUNTIF(Table!$BI:$BI,CONCATENATE($A9,"_",V$1))</f>
        <v>1</v>
      </c>
      <c r="W9">
        <f>COUNTIF(Table!$BI:$BI,CONCATENATE($A9,"_",W$1))</f>
        <v>1</v>
      </c>
    </row>
    <row r="10" spans="1:23" x14ac:dyDescent="0.25">
      <c r="A10" t="s">
        <v>363</v>
      </c>
      <c r="B10" t="str">
        <f>VLOOKUP(A10, Eras!$B$2:$C$10, 2, FALSE)</f>
        <v>Privatisation (1995-2005)</v>
      </c>
      <c r="C10">
        <f>COUNTIF(Table!$BI:$BI,CONCATENATE($A10,"_",C$1))</f>
        <v>0</v>
      </c>
      <c r="D10">
        <f>COUNTIF(Table!$BI:$BI,CONCATENATE($A10,"_",D$1))</f>
        <v>0</v>
      </c>
      <c r="E10">
        <f>COUNTIF(Table!$BI:$BI,CONCATENATE($A10,"_",E$1))</f>
        <v>0</v>
      </c>
      <c r="F10">
        <f>COUNTIF(Table!$BI:$BI,CONCATENATE($A10,"_",F$1))</f>
        <v>0</v>
      </c>
      <c r="G10">
        <f>COUNTIF(Table!$BI:$BI,CONCATENATE($A10,"_",G$1))</f>
        <v>3</v>
      </c>
      <c r="H10">
        <f>COUNTIF(Table!$BI:$BI,CONCATENATE($A10,"_",H$1))</f>
        <v>0</v>
      </c>
      <c r="I10">
        <f>COUNTIF(Table!$BI:$BI,CONCATENATE($A10,"_",I$1))</f>
        <v>0</v>
      </c>
      <c r="J10">
        <f>COUNTIF(Table!$BI:$BI,CONCATENATE($A10,"_",J$1))</f>
        <v>0</v>
      </c>
      <c r="K10">
        <f>COUNTIF(Table!$BI:$BI,CONCATENATE($A10,"_",K$1))</f>
        <v>0</v>
      </c>
      <c r="L10">
        <f>COUNTIF(Table!$BI:$BI,CONCATENATE($A10,"_",L$1))</f>
        <v>1</v>
      </c>
      <c r="M10">
        <f>COUNTIF(Table!$BI:$BI,CONCATENATE($A10,"_",M$1))</f>
        <v>3</v>
      </c>
      <c r="N10">
        <f>COUNTIF(Table!$BI:$BI,CONCATENATE($A10,"_",N$1))</f>
        <v>2</v>
      </c>
      <c r="O10">
        <f>COUNTIF(Table!$BI:$BI,CONCATENATE($A10,"_",O$1))</f>
        <v>3</v>
      </c>
      <c r="P10">
        <f>COUNTIF(Table!$BI:$BI,CONCATENATE($A10,"_",P$1))</f>
        <v>1</v>
      </c>
      <c r="Q10">
        <f>COUNTIF(Table!$BI:$BI,CONCATENATE($A10,"_",Q$1))</f>
        <v>0</v>
      </c>
      <c r="R10">
        <f>COUNTIF(Table!$BI:$BI,CONCATENATE($A10,"_",R$1))</f>
        <v>0</v>
      </c>
      <c r="S10">
        <f>COUNTIF(Table!$BI:$BI,CONCATENATE($A10,"_",S$1))</f>
        <v>1</v>
      </c>
      <c r="T10">
        <f>COUNTIF(Table!$BI:$BI,CONCATENATE($A10,"_",T$1))</f>
        <v>1</v>
      </c>
      <c r="U10">
        <f>COUNTIF(Table!$BI:$BI,CONCATENATE($A10,"_",U$1))</f>
        <v>0</v>
      </c>
      <c r="V10">
        <f>COUNTIF(Table!$BI:$BI,CONCATENATE($A10,"_",V$1))</f>
        <v>0</v>
      </c>
      <c r="W10">
        <f>COUNTIF(Table!$BI:$BI,CONCATENATE($A10,"_",W$1))</f>
        <v>1</v>
      </c>
    </row>
    <row r="11" spans="1:23" x14ac:dyDescent="0.25">
      <c r="A11" t="s">
        <v>364</v>
      </c>
      <c r="B11" t="str">
        <f>VLOOKUP(A11, Eras!$B$2:$C$10, 2, FALSE)</f>
        <v>Modern (2005-)</v>
      </c>
      <c r="C11">
        <f>COUNTIF(Table!$BI:$BI,CONCATENATE($A11,"_",C$1))</f>
        <v>0</v>
      </c>
      <c r="D11">
        <f>COUNTIF(Table!$BI:$BI,CONCATENATE($A11,"_",D$1))</f>
        <v>1</v>
      </c>
      <c r="E11">
        <f>COUNTIF(Table!$BI:$BI,CONCATENATE($A11,"_",E$1))</f>
        <v>0</v>
      </c>
      <c r="F11">
        <f>COUNTIF(Table!$BI:$BI,CONCATENATE($A11,"_",F$1))</f>
        <v>0</v>
      </c>
      <c r="G11">
        <f>COUNTIF(Table!$BI:$BI,CONCATENATE($A11,"_",G$1))</f>
        <v>1</v>
      </c>
      <c r="H11">
        <f>COUNTIF(Table!$BI:$BI,CONCATENATE($A11,"_",H$1))</f>
        <v>0</v>
      </c>
      <c r="I11">
        <f>COUNTIF(Table!$BI:$BI,CONCATENATE($A11,"_",I$1))</f>
        <v>0</v>
      </c>
      <c r="J11">
        <f>COUNTIF(Table!$BI:$BI,CONCATENATE($A11,"_",J$1))</f>
        <v>1</v>
      </c>
      <c r="K11">
        <f>COUNTIF(Table!$BI:$BI,CONCATENATE($A11,"_",K$1))</f>
        <v>0</v>
      </c>
      <c r="L11">
        <f>COUNTIF(Table!$BI:$BI,CONCATENATE($A11,"_",L$1))</f>
        <v>1</v>
      </c>
      <c r="M11">
        <f>COUNTIF(Table!$BI:$BI,CONCATENATE($A11,"_",M$1))</f>
        <v>0</v>
      </c>
      <c r="N11">
        <f>COUNTIF(Table!$BI:$BI,CONCATENATE($A11,"_",N$1))</f>
        <v>1</v>
      </c>
      <c r="O11">
        <f>COUNTIF(Table!$BI:$BI,CONCATENATE($A11,"_",O$1))</f>
        <v>1</v>
      </c>
      <c r="P11">
        <f>COUNTIF(Table!$BI:$BI,CONCATENATE($A11,"_",P$1))</f>
        <v>2</v>
      </c>
      <c r="Q11">
        <f>COUNTIF(Table!$BI:$BI,CONCATENATE($A11,"_",Q$1))</f>
        <v>0</v>
      </c>
      <c r="R11">
        <f>COUNTIF(Table!$BI:$BI,CONCATENATE($A11,"_",R$1))</f>
        <v>0</v>
      </c>
      <c r="S11">
        <f>COUNTIF(Table!$BI:$BI,CONCATENATE($A11,"_",S$1))</f>
        <v>1</v>
      </c>
      <c r="T11">
        <f>COUNTIF(Table!$BI:$BI,CONCATENATE($A11,"_",T$1))</f>
        <v>1</v>
      </c>
      <c r="U11">
        <f>COUNTIF(Table!$BI:$BI,CONCATENATE($A11,"_",U$1))</f>
        <v>0</v>
      </c>
      <c r="V11">
        <f>COUNTIF(Table!$BI:$BI,CONCATENATE($A11,"_",V$1))</f>
        <v>0</v>
      </c>
      <c r="W11">
        <f>COUNTIF(Table!$BI:$BI,CONCATENATE($A11,"_",W$1))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3" sqref="G3"/>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1167</v>
      </c>
      <c r="G1">
        <v>35</v>
      </c>
      <c r="I1" s="1" t="s">
        <v>1171</v>
      </c>
      <c r="J1" s="1" t="s">
        <v>1172</v>
      </c>
      <c r="K1" s="1" t="s">
        <v>1173</v>
      </c>
    </row>
    <row r="2" spans="1:11" x14ac:dyDescent="0.25">
      <c r="A2" s="2">
        <v>0</v>
      </c>
      <c r="B2" s="2" t="s">
        <v>169</v>
      </c>
      <c r="F2" s="1" t="s">
        <v>1168</v>
      </c>
      <c r="G2">
        <v>15</v>
      </c>
      <c r="I2" t="s">
        <v>314</v>
      </c>
      <c r="J2">
        <v>1</v>
      </c>
      <c r="K2">
        <v>2</v>
      </c>
    </row>
    <row r="3" spans="1:11" x14ac:dyDescent="0.25">
      <c r="A3">
        <v>3</v>
      </c>
      <c r="B3" t="s">
        <v>334</v>
      </c>
      <c r="C3" t="s">
        <v>334</v>
      </c>
      <c r="I3" t="s">
        <v>338</v>
      </c>
      <c r="J3">
        <v>0.85</v>
      </c>
      <c r="K3">
        <v>2.2999999999999998</v>
      </c>
    </row>
    <row r="4" spans="1:11" x14ac:dyDescent="0.25">
      <c r="A4">
        <v>4</v>
      </c>
      <c r="B4" t="s">
        <v>776</v>
      </c>
      <c r="C4" t="s">
        <v>776</v>
      </c>
      <c r="I4" t="s">
        <v>313</v>
      </c>
      <c r="J4">
        <v>1.1499999999999999</v>
      </c>
      <c r="K4">
        <v>1.7</v>
      </c>
    </row>
    <row r="5" spans="1:11" x14ac:dyDescent="0.25">
      <c r="A5">
        <v>5</v>
      </c>
      <c r="B5" t="s">
        <v>771</v>
      </c>
      <c r="C5" t="s">
        <v>771</v>
      </c>
      <c r="I5" t="s">
        <v>596</v>
      </c>
      <c r="J5">
        <v>0.9</v>
      </c>
      <c r="K5">
        <v>2.5</v>
      </c>
    </row>
    <row r="6" spans="1:11" x14ac:dyDescent="0.25">
      <c r="A6">
        <v>6</v>
      </c>
      <c r="B6" t="s">
        <v>346</v>
      </c>
      <c r="C6" t="s">
        <v>346</v>
      </c>
      <c r="I6" t="s">
        <v>607</v>
      </c>
      <c r="J6">
        <v>0.85</v>
      </c>
      <c r="K6">
        <v>2.4</v>
      </c>
    </row>
    <row r="7" spans="1:11" x14ac:dyDescent="0.25">
      <c r="A7">
        <v>7</v>
      </c>
      <c r="B7" t="s">
        <v>769</v>
      </c>
      <c r="C7" t="s">
        <v>769</v>
      </c>
      <c r="I7" t="s">
        <v>1176</v>
      </c>
      <c r="J7">
        <v>1.2</v>
      </c>
      <c r="K7">
        <v>0.6</v>
      </c>
    </row>
    <row r="8" spans="1:11" x14ac:dyDescent="0.25">
      <c r="A8">
        <v>8</v>
      </c>
      <c r="B8" t="s">
        <v>766</v>
      </c>
      <c r="C8" t="s">
        <v>766</v>
      </c>
      <c r="I8" t="s">
        <v>1177</v>
      </c>
      <c r="J8">
        <v>1.5</v>
      </c>
      <c r="K8">
        <v>0.7</v>
      </c>
    </row>
    <row r="9" spans="1:11" x14ac:dyDescent="0.25">
      <c r="A9">
        <v>9</v>
      </c>
      <c r="B9" t="s">
        <v>768</v>
      </c>
      <c r="C9" t="s">
        <v>768</v>
      </c>
      <c r="I9" t="s">
        <v>323</v>
      </c>
      <c r="J9">
        <v>1</v>
      </c>
      <c r="K9">
        <v>0.45</v>
      </c>
    </row>
    <row r="10" spans="1:11" x14ac:dyDescent="0.25">
      <c r="A10">
        <v>10</v>
      </c>
      <c r="B10" t="s">
        <v>770</v>
      </c>
      <c r="C10" t="s">
        <v>770</v>
      </c>
      <c r="I10" t="s">
        <v>1178</v>
      </c>
      <c r="J10">
        <v>1</v>
      </c>
      <c r="K10">
        <v>0.4</v>
      </c>
    </row>
    <row r="11" spans="1:11" x14ac:dyDescent="0.25">
      <c r="A11">
        <v>11</v>
      </c>
      <c r="B11" t="s">
        <v>772</v>
      </c>
      <c r="C11" t="s">
        <v>772</v>
      </c>
      <c r="I11" t="s">
        <v>1179</v>
      </c>
      <c r="J11">
        <v>1</v>
      </c>
      <c r="K11">
        <v>1</v>
      </c>
    </row>
    <row r="12" spans="1:11" x14ac:dyDescent="0.25">
      <c r="A12">
        <v>12</v>
      </c>
      <c r="B12" t="s">
        <v>765</v>
      </c>
      <c r="C12" t="s">
        <v>765</v>
      </c>
      <c r="I12" t="s">
        <v>333</v>
      </c>
      <c r="J12">
        <v>0</v>
      </c>
      <c r="K12">
        <v>0</v>
      </c>
    </row>
    <row r="13" spans="1:11" x14ac:dyDescent="0.25">
      <c r="A13">
        <v>13</v>
      </c>
      <c r="B13" t="s">
        <v>773</v>
      </c>
      <c r="C13" t="s">
        <v>773</v>
      </c>
    </row>
    <row r="14" spans="1:11" x14ac:dyDescent="0.25">
      <c r="A14">
        <v>14</v>
      </c>
      <c r="B14" t="s">
        <v>767</v>
      </c>
      <c r="C14" t="s">
        <v>767</v>
      </c>
    </row>
    <row r="15" spans="1:11" x14ac:dyDescent="0.25">
      <c r="A15">
        <v>15</v>
      </c>
      <c r="B15" t="s">
        <v>774</v>
      </c>
      <c r="C15" t="s">
        <v>774</v>
      </c>
    </row>
    <row r="16" spans="1:11" x14ac:dyDescent="0.25">
      <c r="A16">
        <v>16</v>
      </c>
      <c r="B16" t="s">
        <v>775</v>
      </c>
      <c r="C16" t="s">
        <v>775</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758</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884</v>
      </c>
      <c r="B1" s="1" t="s">
        <v>883</v>
      </c>
      <c r="C1" s="1" t="s">
        <v>1110</v>
      </c>
      <c r="F1" s="1" t="s">
        <v>1118</v>
      </c>
      <c r="G1" s="1" t="s">
        <v>353</v>
      </c>
      <c r="H1" s="1" t="s">
        <v>1120</v>
      </c>
      <c r="J1" s="1" t="s">
        <v>1133</v>
      </c>
      <c r="K1" s="1" t="s">
        <v>1134</v>
      </c>
      <c r="L1" s="1" t="s">
        <v>1135</v>
      </c>
      <c r="M1" s="1" t="s">
        <v>1136</v>
      </c>
      <c r="N1" s="1" t="s">
        <v>1121</v>
      </c>
      <c r="O1" s="1" t="s">
        <v>1129</v>
      </c>
      <c r="P1" s="1" t="s">
        <v>1127</v>
      </c>
      <c r="Q1" s="1" t="s">
        <v>1125</v>
      </c>
      <c r="R1" s="1" t="s">
        <v>1161</v>
      </c>
    </row>
    <row r="2" spans="1:18" ht="15.75" customHeight="1" x14ac:dyDescent="0.25">
      <c r="A2" t="s">
        <v>930</v>
      </c>
      <c r="B2" t="s">
        <v>988</v>
      </c>
      <c r="C2" t="s">
        <v>1036</v>
      </c>
      <c r="D2" t="str">
        <f t="shared" ref="D2:D33" si="0">CONCATENATE("""", A2, """,")</f>
        <v>"ACID",</v>
      </c>
      <c r="F2" t="s">
        <v>1086</v>
      </c>
      <c r="G2" s="14" t="str">
        <f>VLOOKUP(F2,A:B,2, FALSE)</f>
        <v>Batteries</v>
      </c>
      <c r="H2" s="14" t="s">
        <v>1129</v>
      </c>
      <c r="J2" t="s">
        <v>1132</v>
      </c>
      <c r="K2">
        <v>136</v>
      </c>
      <c r="L2">
        <v>38</v>
      </c>
      <c r="M2">
        <v>28</v>
      </c>
      <c r="N2">
        <f>K2/45</f>
        <v>3.0222222222222221</v>
      </c>
      <c r="O2">
        <f>K2/30</f>
        <v>4.5333333333333332</v>
      </c>
      <c r="P2">
        <f>K2/34</f>
        <v>4</v>
      </c>
      <c r="Q2">
        <f>K2/68</f>
        <v>2</v>
      </c>
      <c r="R2">
        <f>K2/60</f>
        <v>2.2666666666666666</v>
      </c>
    </row>
    <row r="3" spans="1:18" x14ac:dyDescent="0.25">
      <c r="A3" t="s">
        <v>889</v>
      </c>
      <c r="B3" t="s">
        <v>951</v>
      </c>
      <c r="C3" t="s">
        <v>1008</v>
      </c>
      <c r="D3" t="str">
        <f t="shared" si="0"/>
        <v>"AORE",</v>
      </c>
      <c r="F3" t="s">
        <v>898</v>
      </c>
      <c r="G3" s="14" t="str">
        <f t="shared" ref="G3:G42" si="1">VLOOKUP(F3,A:B,2, FALSE)</f>
        <v>Bulding Materials</v>
      </c>
      <c r="H3" s="14" t="s">
        <v>1121</v>
      </c>
      <c r="J3" t="s">
        <v>1137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1086</v>
      </c>
      <c r="B4" t="s">
        <v>1087</v>
      </c>
      <c r="C4" t="s">
        <v>1012</v>
      </c>
      <c r="D4" t="str">
        <f t="shared" si="0"/>
        <v>"BATT",</v>
      </c>
      <c r="F4" t="s">
        <v>897</v>
      </c>
      <c r="G4" s="14" t="str">
        <f t="shared" si="1"/>
        <v>Beer</v>
      </c>
      <c r="H4" s="14" t="s">
        <v>1129</v>
      </c>
      <c r="J4" t="s">
        <v>1138</v>
      </c>
      <c r="K4">
        <v>136</v>
      </c>
      <c r="L4">
        <v>38</v>
      </c>
      <c r="M4">
        <v>28</v>
      </c>
      <c r="N4">
        <f t="shared" si="2"/>
        <v>3.0222222222222221</v>
      </c>
      <c r="O4">
        <f t="shared" si="3"/>
        <v>4.5333333333333332</v>
      </c>
      <c r="P4">
        <f t="shared" si="4"/>
        <v>4</v>
      </c>
      <c r="Q4">
        <f t="shared" si="5"/>
        <v>2</v>
      </c>
      <c r="R4">
        <f t="shared" si="6"/>
        <v>2.2666666666666666</v>
      </c>
    </row>
    <row r="5" spans="1:18" x14ac:dyDescent="0.25">
      <c r="A5" t="s">
        <v>898</v>
      </c>
      <c r="B5" t="s">
        <v>963</v>
      </c>
      <c r="C5" t="s">
        <v>1024</v>
      </c>
      <c r="D5" t="str">
        <f t="shared" si="0"/>
        <v>"BDMT",</v>
      </c>
      <c r="F5" t="s">
        <v>1025</v>
      </c>
      <c r="G5" s="14" t="str">
        <f t="shared" si="1"/>
        <v>Explosives</v>
      </c>
      <c r="H5" s="14" t="s">
        <v>1129</v>
      </c>
      <c r="J5" t="s">
        <v>1139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1021</v>
      </c>
      <c r="B6" t="s">
        <v>1022</v>
      </c>
      <c r="C6" t="s">
        <v>1008</v>
      </c>
      <c r="D6" t="str">
        <f t="shared" si="0"/>
        <v>"BEAN",</v>
      </c>
      <c r="F6" t="s">
        <v>927</v>
      </c>
      <c r="G6" s="14" t="str">
        <f t="shared" si="1"/>
        <v>Bricks</v>
      </c>
      <c r="H6" s="14" t="s">
        <v>1121</v>
      </c>
      <c r="J6" t="s">
        <v>1140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897</v>
      </c>
      <c r="B7" t="s">
        <v>962</v>
      </c>
      <c r="C7" t="s">
        <v>1023</v>
      </c>
      <c r="D7" t="str">
        <f t="shared" si="0"/>
        <v>"BEER",</v>
      </c>
      <c r="F7" t="s">
        <v>1088</v>
      </c>
      <c r="G7" s="14" t="str">
        <f t="shared" si="1"/>
        <v>Bubbles</v>
      </c>
      <c r="H7" s="14" t="s">
        <v>1129</v>
      </c>
      <c r="J7" t="s">
        <v>1141</v>
      </c>
      <c r="K7">
        <v>180</v>
      </c>
      <c r="L7">
        <v>38</v>
      </c>
      <c r="M7">
        <v>28</v>
      </c>
      <c r="N7">
        <f t="shared" si="2"/>
        <v>4</v>
      </c>
      <c r="O7">
        <f t="shared" si="3"/>
        <v>6</v>
      </c>
      <c r="P7">
        <f t="shared" si="4"/>
        <v>5.2941176470588234</v>
      </c>
      <c r="Q7">
        <f t="shared" si="5"/>
        <v>2.6470588235294117</v>
      </c>
      <c r="R7">
        <f t="shared" si="6"/>
        <v>3</v>
      </c>
    </row>
    <row r="8" spans="1:18" x14ac:dyDescent="0.25">
      <c r="A8" t="s">
        <v>1025</v>
      </c>
      <c r="B8" t="s">
        <v>1026</v>
      </c>
      <c r="C8" t="s">
        <v>1027</v>
      </c>
      <c r="D8" t="str">
        <f t="shared" si="0"/>
        <v>"BOOM",</v>
      </c>
      <c r="F8" t="s">
        <v>1031</v>
      </c>
      <c r="G8" s="14" t="str">
        <f t="shared" si="1"/>
        <v>Ceramics</v>
      </c>
      <c r="H8" s="14" t="s">
        <v>1129</v>
      </c>
      <c r="J8" t="s">
        <v>1142</v>
      </c>
      <c r="K8">
        <v>180</v>
      </c>
      <c r="L8">
        <v>38</v>
      </c>
      <c r="M8">
        <v>28</v>
      </c>
      <c r="N8">
        <f t="shared" si="2"/>
        <v>4</v>
      </c>
      <c r="O8">
        <f t="shared" si="3"/>
        <v>6</v>
      </c>
      <c r="P8">
        <f t="shared" si="4"/>
        <v>5.2941176470588234</v>
      </c>
      <c r="Q8">
        <f t="shared" si="5"/>
        <v>2.6470588235294117</v>
      </c>
      <c r="R8">
        <f t="shared" si="6"/>
        <v>3</v>
      </c>
    </row>
    <row r="9" spans="1:18" x14ac:dyDescent="0.25">
      <c r="A9" t="s">
        <v>927</v>
      </c>
      <c r="B9" t="s">
        <v>986</v>
      </c>
      <c r="C9" t="s">
        <v>1012</v>
      </c>
      <c r="D9" t="str">
        <f t="shared" si="0"/>
        <v>"BRCK",</v>
      </c>
      <c r="F9" t="s">
        <v>903</v>
      </c>
      <c r="G9" s="14" t="str">
        <f t="shared" si="1"/>
        <v>Copper</v>
      </c>
      <c r="H9" s="14" t="s">
        <v>1126</v>
      </c>
      <c r="J9" t="s">
        <v>1143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1088</v>
      </c>
      <c r="B10" t="s">
        <v>1089</v>
      </c>
      <c r="C10" t="s">
        <v>1012</v>
      </c>
      <c r="D10" t="str">
        <f t="shared" si="0"/>
        <v>"BUBL",</v>
      </c>
      <c r="F10" t="s">
        <v>928</v>
      </c>
      <c r="G10" s="14" t="str">
        <f t="shared" si="1"/>
        <v>Cast Iron</v>
      </c>
      <c r="H10" s="14" t="s">
        <v>1126</v>
      </c>
    </row>
    <row r="11" spans="1:18" x14ac:dyDescent="0.25">
      <c r="A11" t="s">
        <v>942</v>
      </c>
      <c r="B11" t="s">
        <v>999</v>
      </c>
      <c r="C11" t="s">
        <v>1008</v>
      </c>
      <c r="D11" t="str">
        <f t="shared" si="0"/>
        <v>"CASS",</v>
      </c>
      <c r="F11" t="s">
        <v>1093</v>
      </c>
      <c r="G11" s="14" t="str">
        <f t="shared" si="1"/>
        <v>Fizzy Drinks</v>
      </c>
      <c r="H11" s="14" t="s">
        <v>1129</v>
      </c>
    </row>
    <row r="12" spans="1:18" x14ac:dyDescent="0.25">
      <c r="A12" t="s">
        <v>1028</v>
      </c>
      <c r="B12" t="s">
        <v>1029</v>
      </c>
      <c r="C12" t="s">
        <v>1030</v>
      </c>
      <c r="D12" t="str">
        <f t="shared" si="0"/>
        <v>"CBLK",</v>
      </c>
      <c r="F12" t="s">
        <v>934</v>
      </c>
      <c r="G12" s="14" t="str">
        <f t="shared" si="1"/>
        <v>Iron</v>
      </c>
      <c r="H12" s="14" t="s">
        <v>1126</v>
      </c>
    </row>
    <row r="13" spans="1:18" x14ac:dyDescent="0.25">
      <c r="A13" t="s">
        <v>1031</v>
      </c>
      <c r="B13" t="s">
        <v>1032</v>
      </c>
      <c r="C13" t="s">
        <v>1012</v>
      </c>
      <c r="D13" t="str">
        <f t="shared" si="0"/>
        <v>"CERA",</v>
      </c>
      <c r="F13" t="s">
        <v>926</v>
      </c>
      <c r="G13" s="14" t="str">
        <f t="shared" si="1"/>
        <v>Coffee</v>
      </c>
      <c r="H13" s="14" t="s">
        <v>1129</v>
      </c>
    </row>
    <row r="14" spans="1:18" x14ac:dyDescent="0.25">
      <c r="A14" t="s">
        <v>910</v>
      </c>
      <c r="B14" t="s">
        <v>1003</v>
      </c>
      <c r="C14" t="s">
        <v>1033</v>
      </c>
      <c r="D14" t="str">
        <f t="shared" si="0"/>
        <v>"CERE",</v>
      </c>
      <c r="F14" t="s">
        <v>924</v>
      </c>
      <c r="G14" s="14" t="str">
        <f t="shared" si="1"/>
        <v>Metal</v>
      </c>
      <c r="H14" s="14" t="s">
        <v>1126</v>
      </c>
    </row>
    <row r="15" spans="1:18" x14ac:dyDescent="0.25">
      <c r="A15" t="s">
        <v>931</v>
      </c>
      <c r="B15" t="s">
        <v>987</v>
      </c>
      <c r="C15" t="s">
        <v>1036</v>
      </c>
      <c r="D15" t="str">
        <f t="shared" si="0"/>
        <v>"CHLO",</v>
      </c>
      <c r="F15" t="s">
        <v>1069</v>
      </c>
      <c r="G15" s="14" t="str">
        <f t="shared" si="1"/>
        <v>Nuts</v>
      </c>
      <c r="H15" s="14" t="s">
        <v>1129</v>
      </c>
    </row>
    <row r="16" spans="1:18" x14ac:dyDescent="0.25">
      <c r="A16" t="s">
        <v>891</v>
      </c>
      <c r="B16" t="s">
        <v>953</v>
      </c>
      <c r="C16" t="s">
        <v>1034</v>
      </c>
      <c r="D16" t="str">
        <f t="shared" si="0"/>
        <v>"CLAY",</v>
      </c>
      <c r="F16" t="s">
        <v>900</v>
      </c>
      <c r="G16" s="14" t="str">
        <f t="shared" si="1"/>
        <v>Paper</v>
      </c>
      <c r="H16" s="14" t="s">
        <v>1129</v>
      </c>
    </row>
    <row r="17" spans="1:8" x14ac:dyDescent="0.25">
      <c r="A17" t="s">
        <v>933</v>
      </c>
      <c r="B17" t="s">
        <v>994</v>
      </c>
      <c r="C17" t="s">
        <v>1034</v>
      </c>
      <c r="D17" t="str">
        <f t="shared" si="0"/>
        <v>"CMNT",</v>
      </c>
      <c r="F17" t="s">
        <v>1071</v>
      </c>
      <c r="G17" s="14" t="str">
        <f t="shared" si="1"/>
        <v>Pipe</v>
      </c>
      <c r="H17" s="14" t="s">
        <v>1122</v>
      </c>
    </row>
    <row r="18" spans="1:8" x14ac:dyDescent="0.25">
      <c r="A18" t="s">
        <v>783</v>
      </c>
      <c r="B18" t="s">
        <v>947</v>
      </c>
      <c r="C18" t="s">
        <v>1008</v>
      </c>
      <c r="D18" t="str">
        <f t="shared" si="0"/>
        <v>"COAL",</v>
      </c>
      <c r="F18" t="s">
        <v>1073</v>
      </c>
      <c r="G18" s="14" t="str">
        <f t="shared" si="1"/>
        <v>Electrical Equipment</v>
      </c>
      <c r="H18" s="14" t="s">
        <v>1129</v>
      </c>
    </row>
    <row r="19" spans="1:8" x14ac:dyDescent="0.25">
      <c r="A19" t="s">
        <v>932</v>
      </c>
      <c r="B19" t="s">
        <v>989</v>
      </c>
      <c r="C19" t="s">
        <v>1008</v>
      </c>
      <c r="D19" t="str">
        <f t="shared" si="0"/>
        <v>"COKE",</v>
      </c>
      <c r="F19" t="s">
        <v>1075</v>
      </c>
      <c r="G19" s="14" t="str">
        <f t="shared" si="1"/>
        <v>Alloy Steel</v>
      </c>
      <c r="H19" s="14" t="s">
        <v>1126</v>
      </c>
    </row>
    <row r="20" spans="1:8" x14ac:dyDescent="0.25">
      <c r="A20" t="s">
        <v>1090</v>
      </c>
      <c r="B20" t="s">
        <v>1091</v>
      </c>
      <c r="C20" t="s">
        <v>1010</v>
      </c>
      <c r="D20" t="str">
        <f t="shared" si="0"/>
        <v>"COLA",</v>
      </c>
      <c r="F20" t="s">
        <v>1077</v>
      </c>
      <c r="G20" s="14" t="str">
        <f t="shared" si="1"/>
        <v>Carbon Steel</v>
      </c>
      <c r="H20" s="14" t="s">
        <v>1126</v>
      </c>
    </row>
    <row r="21" spans="1:8" x14ac:dyDescent="0.25">
      <c r="A21" t="s">
        <v>903</v>
      </c>
      <c r="B21" t="s">
        <v>1035</v>
      </c>
      <c r="C21" t="s">
        <v>1012</v>
      </c>
      <c r="D21" t="str">
        <f t="shared" si="0"/>
        <v>"COPR",</v>
      </c>
      <c r="F21" t="s">
        <v>862</v>
      </c>
      <c r="G21" s="14" t="str">
        <f t="shared" si="1"/>
        <v>Steel</v>
      </c>
      <c r="H21" s="14" t="s">
        <v>1126</v>
      </c>
    </row>
    <row r="22" spans="1:8" x14ac:dyDescent="0.25">
      <c r="A22" t="s">
        <v>890</v>
      </c>
      <c r="B22" t="s">
        <v>952</v>
      </c>
      <c r="C22" t="s">
        <v>1008</v>
      </c>
      <c r="D22" t="str">
        <f t="shared" si="0"/>
        <v>"CORE",</v>
      </c>
      <c r="F22" t="s">
        <v>1079</v>
      </c>
      <c r="G22" s="14" t="str">
        <f t="shared" si="1"/>
        <v>Stainless Steel</v>
      </c>
      <c r="H22" s="14" t="s">
        <v>1126</v>
      </c>
    </row>
    <row r="23" spans="1:8" x14ac:dyDescent="0.25">
      <c r="A23" t="s">
        <v>928</v>
      </c>
      <c r="B23" t="s">
        <v>1004</v>
      </c>
      <c r="C23" t="s">
        <v>1012</v>
      </c>
      <c r="D23" t="str">
        <f t="shared" si="0"/>
        <v>"CSTI",</v>
      </c>
      <c r="F23" t="s">
        <v>1099</v>
      </c>
      <c r="G23" s="14" t="str">
        <f t="shared" si="1"/>
        <v>Toys</v>
      </c>
      <c r="H23" s="14" t="s">
        <v>1129</v>
      </c>
    </row>
    <row r="24" spans="1:8" x14ac:dyDescent="0.25">
      <c r="A24" t="s">
        <v>929</v>
      </c>
      <c r="B24" t="s">
        <v>1005</v>
      </c>
      <c r="C24" t="s">
        <v>1036</v>
      </c>
      <c r="D24" t="str">
        <f t="shared" si="0"/>
        <v>"CTAR",</v>
      </c>
      <c r="F24" t="s">
        <v>1061</v>
      </c>
      <c r="G24" s="14" t="str">
        <f t="shared" si="1"/>
        <v>Tyres</v>
      </c>
      <c r="H24" s="14" t="s">
        <v>1130</v>
      </c>
    </row>
    <row r="25" spans="1:8" x14ac:dyDescent="0.25">
      <c r="A25" t="s">
        <v>1092</v>
      </c>
      <c r="B25" t="s">
        <v>1106</v>
      </c>
      <c r="C25" t="s">
        <v>1008</v>
      </c>
      <c r="D25" t="str">
        <f t="shared" si="0"/>
        <v>"CTCD",</v>
      </c>
      <c r="F25" t="s">
        <v>1081</v>
      </c>
      <c r="G25" s="14" t="str">
        <f t="shared" si="1"/>
        <v>Vehicle Bodies</v>
      </c>
      <c r="H25" s="14" t="s">
        <v>1131</v>
      </c>
    </row>
    <row r="26" spans="1:8" x14ac:dyDescent="0.25">
      <c r="A26" t="s">
        <v>1019</v>
      </c>
      <c r="B26" t="s">
        <v>1020</v>
      </c>
      <c r="C26" t="s">
        <v>1014</v>
      </c>
      <c r="D26" t="str">
        <f t="shared" si="0"/>
        <v>"DIAM",</v>
      </c>
      <c r="F26" t="s">
        <v>1082</v>
      </c>
      <c r="G26" s="14" t="str">
        <f t="shared" si="1"/>
        <v>Vehicle Engines</v>
      </c>
      <c r="H26" s="14" t="s">
        <v>1129</v>
      </c>
    </row>
    <row r="27" spans="1:8" x14ac:dyDescent="0.25">
      <c r="A27" t="s">
        <v>904</v>
      </c>
      <c r="B27" t="s">
        <v>966</v>
      </c>
      <c r="C27" t="s">
        <v>1037</v>
      </c>
      <c r="D27" t="str">
        <f t="shared" si="0"/>
        <v>"DYES",</v>
      </c>
      <c r="F27" t="s">
        <v>462</v>
      </c>
      <c r="G27" s="14" t="str">
        <f t="shared" si="1"/>
        <v>Wood</v>
      </c>
      <c r="H27" s="14" t="s">
        <v>1123</v>
      </c>
    </row>
    <row r="28" spans="1:8" x14ac:dyDescent="0.25">
      <c r="A28" t="s">
        <v>896</v>
      </c>
      <c r="B28" t="s">
        <v>961</v>
      </c>
      <c r="C28" t="s">
        <v>1027</v>
      </c>
      <c r="D28" t="str">
        <f t="shared" si="0"/>
        <v>"ENSP",</v>
      </c>
      <c r="F28" t="s">
        <v>939</v>
      </c>
      <c r="G28" s="14" t="str">
        <f t="shared" si="1"/>
        <v>Zinc</v>
      </c>
      <c r="H28" s="14" t="s">
        <v>1126</v>
      </c>
    </row>
    <row r="29" spans="1:8" x14ac:dyDescent="0.25">
      <c r="A29" t="s">
        <v>1066</v>
      </c>
      <c r="B29" t="s">
        <v>1067</v>
      </c>
      <c r="C29" t="s">
        <v>1037</v>
      </c>
      <c r="D29" t="str">
        <f t="shared" si="0"/>
        <v>"EOIL",</v>
      </c>
      <c r="F29" t="s">
        <v>896</v>
      </c>
      <c r="G29" s="14" t="str">
        <f t="shared" si="1"/>
        <v>Engineering Supplies</v>
      </c>
      <c r="H29" s="14" t="s">
        <v>1124</v>
      </c>
    </row>
    <row r="30" spans="1:8" x14ac:dyDescent="0.25">
      <c r="A30" t="s">
        <v>1038</v>
      </c>
      <c r="B30" t="s">
        <v>1039</v>
      </c>
      <c r="C30" t="s">
        <v>1008</v>
      </c>
      <c r="D30" t="str">
        <f t="shared" si="0"/>
        <v>"FECR",</v>
      </c>
      <c r="F30" t="s">
        <v>895</v>
      </c>
      <c r="G30" s="14" t="str">
        <f t="shared" si="1"/>
        <v>Farm Supplies</v>
      </c>
      <c r="H30" s="14" t="s">
        <v>1125</v>
      </c>
    </row>
    <row r="31" spans="1:8" x14ac:dyDescent="0.25">
      <c r="A31" t="s">
        <v>1040</v>
      </c>
      <c r="B31" t="s">
        <v>1041</v>
      </c>
      <c r="C31" t="s">
        <v>1042</v>
      </c>
      <c r="D31" t="str">
        <f t="shared" si="0"/>
        <v>"FERT",</v>
      </c>
      <c r="F31" t="s">
        <v>1084</v>
      </c>
      <c r="G31" s="14" t="str">
        <f t="shared" si="1"/>
        <v>Vehicle Parts</v>
      </c>
      <c r="H31" s="14" t="s">
        <v>1129</v>
      </c>
    </row>
    <row r="32" spans="1:8" x14ac:dyDescent="0.25">
      <c r="A32" t="s">
        <v>911</v>
      </c>
      <c r="B32" t="s">
        <v>1000</v>
      </c>
      <c r="C32" t="s">
        <v>1042</v>
      </c>
      <c r="D32" t="str">
        <f t="shared" si="0"/>
        <v>"FICR",</v>
      </c>
      <c r="F32" t="s">
        <v>901</v>
      </c>
      <c r="G32" s="14" t="str">
        <f t="shared" si="1"/>
        <v>Timber</v>
      </c>
      <c r="H32" s="14" t="s">
        <v>1127</v>
      </c>
    </row>
    <row r="33" spans="1:8" x14ac:dyDescent="0.25">
      <c r="A33" t="s">
        <v>909</v>
      </c>
      <c r="B33" t="s">
        <v>971</v>
      </c>
      <c r="C33" t="s">
        <v>1015</v>
      </c>
      <c r="D33" t="str">
        <f t="shared" si="0"/>
        <v>"FISH",</v>
      </c>
      <c r="F33" t="s">
        <v>907</v>
      </c>
      <c r="G33" s="14" t="str">
        <f t="shared" si="1"/>
        <v>Plastics</v>
      </c>
      <c r="H33" s="14" t="s">
        <v>1129</v>
      </c>
    </row>
    <row r="34" spans="1:8" x14ac:dyDescent="0.25">
      <c r="A34" t="s">
        <v>895</v>
      </c>
      <c r="B34" t="s">
        <v>960</v>
      </c>
      <c r="C34" t="s">
        <v>1027</v>
      </c>
      <c r="D34" t="str">
        <f t="shared" ref="D34:D65" si="7">CONCATENATE("""", A34, """,")</f>
        <v>"FMSP",</v>
      </c>
      <c r="F34" t="s">
        <v>904</v>
      </c>
      <c r="G34" s="14" t="str">
        <f t="shared" si="1"/>
        <v>Dyes</v>
      </c>
      <c r="H34" s="14" t="s">
        <v>1129</v>
      </c>
    </row>
    <row r="35" spans="1:8" x14ac:dyDescent="0.25">
      <c r="A35" t="s">
        <v>894</v>
      </c>
      <c r="B35" t="s">
        <v>958</v>
      </c>
      <c r="C35" t="s">
        <v>1015</v>
      </c>
      <c r="D35" t="str">
        <f t="shared" si="7"/>
        <v>"FOOD",</v>
      </c>
      <c r="F35" t="s">
        <v>902</v>
      </c>
      <c r="G35" s="14" t="str">
        <f t="shared" si="1"/>
        <v>Vehicles</v>
      </c>
      <c r="H35" s="14" t="s">
        <v>1128</v>
      </c>
    </row>
    <row r="36" spans="1:8" x14ac:dyDescent="0.25">
      <c r="A36" t="s">
        <v>913</v>
      </c>
      <c r="B36" t="s">
        <v>977</v>
      </c>
      <c r="C36" t="s">
        <v>1018</v>
      </c>
      <c r="D36" t="str">
        <f t="shared" si="7"/>
        <v>"FRUT",</v>
      </c>
      <c r="F36" t="s">
        <v>911</v>
      </c>
      <c r="G36" s="14" t="str">
        <f t="shared" si="1"/>
        <v>Fibre Crops</v>
      </c>
      <c r="H36" s="14" t="s">
        <v>1129</v>
      </c>
    </row>
    <row r="37" spans="1:8" x14ac:dyDescent="0.25">
      <c r="A37" t="s">
        <v>912</v>
      </c>
      <c r="B37" t="s">
        <v>1001</v>
      </c>
      <c r="C37" t="s">
        <v>1103</v>
      </c>
      <c r="D37" t="str">
        <f t="shared" si="7"/>
        <v>"FRVG",</v>
      </c>
      <c r="F37" t="s">
        <v>899</v>
      </c>
      <c r="G37" s="14" t="str">
        <f t="shared" si="1"/>
        <v>Packaging</v>
      </c>
      <c r="H37" s="14" t="s">
        <v>1129</v>
      </c>
    </row>
    <row r="38" spans="1:8" x14ac:dyDescent="0.25">
      <c r="A38" t="s">
        <v>1093</v>
      </c>
      <c r="B38" t="s">
        <v>1094</v>
      </c>
      <c r="C38" t="s">
        <v>1012</v>
      </c>
      <c r="D38" t="str">
        <f t="shared" si="7"/>
        <v>"FZDR",</v>
      </c>
      <c r="F38" t="s">
        <v>1157</v>
      </c>
      <c r="G38" s="14" t="str">
        <f t="shared" si="1"/>
        <v>Steel Sheet</v>
      </c>
      <c r="H38" s="14"/>
    </row>
    <row r="39" spans="1:8" x14ac:dyDescent="0.25">
      <c r="A39" t="s">
        <v>1016</v>
      </c>
      <c r="B39" t="s">
        <v>1017</v>
      </c>
      <c r="C39" t="s">
        <v>1014</v>
      </c>
      <c r="D39" t="str">
        <f t="shared" si="7"/>
        <v>"GOLD",</v>
      </c>
      <c r="F39" t="s">
        <v>1159</v>
      </c>
      <c r="G39" s="14" t="str">
        <f t="shared" si="1"/>
        <v>Steel Wire Rod</v>
      </c>
      <c r="H39" s="14"/>
    </row>
    <row r="40" spans="1:8" x14ac:dyDescent="0.25">
      <c r="A40" t="s">
        <v>328</v>
      </c>
      <c r="B40" t="s">
        <v>957</v>
      </c>
      <c r="C40" t="s">
        <v>1013</v>
      </c>
      <c r="D40" t="str">
        <f t="shared" si="7"/>
        <v>"GOOD",</v>
      </c>
      <c r="F40" t="s">
        <v>1156</v>
      </c>
      <c r="G40" s="14" t="str">
        <f t="shared" si="1"/>
        <v>Rebar</v>
      </c>
      <c r="H40" s="14"/>
    </row>
    <row r="41" spans="1:8" x14ac:dyDescent="0.25">
      <c r="A41" t="s">
        <v>914</v>
      </c>
      <c r="B41" t="s">
        <v>976</v>
      </c>
      <c r="C41" t="s">
        <v>1008</v>
      </c>
      <c r="D41" t="str">
        <f t="shared" si="7"/>
        <v>"GRAI",</v>
      </c>
      <c r="F41" s="14" t="s">
        <v>1147</v>
      </c>
      <c r="G41" s="14" t="str">
        <f t="shared" si="1"/>
        <v>Cleaning Agents</v>
      </c>
      <c r="H41" s="14" t="s">
        <v>1129</v>
      </c>
    </row>
    <row r="42" spans="1:8" x14ac:dyDescent="0.25">
      <c r="A42" t="s">
        <v>887</v>
      </c>
      <c r="B42" t="s">
        <v>949</v>
      </c>
      <c r="C42" t="s">
        <v>1008</v>
      </c>
      <c r="D42" t="str">
        <f t="shared" si="7"/>
        <v>"GRVL",</v>
      </c>
      <c r="F42" s="14" t="s">
        <v>1154</v>
      </c>
      <c r="G42" s="14" t="str">
        <f t="shared" si="1"/>
        <v>Paints and coatings</v>
      </c>
      <c r="H42" s="14" t="s">
        <v>1129</v>
      </c>
    </row>
    <row r="43" spans="1:8" x14ac:dyDescent="0.25">
      <c r="A43" t="s">
        <v>886</v>
      </c>
      <c r="B43" t="s">
        <v>948</v>
      </c>
      <c r="C43" t="s">
        <v>1008</v>
      </c>
      <c r="D43" t="str">
        <f t="shared" si="7"/>
        <v>"IORE",</v>
      </c>
    </row>
    <row r="44" spans="1:8" x14ac:dyDescent="0.25">
      <c r="A44" t="s">
        <v>934</v>
      </c>
      <c r="B44" t="s">
        <v>990</v>
      </c>
      <c r="C44" t="s">
        <v>1012</v>
      </c>
      <c r="D44" t="str">
        <f t="shared" si="7"/>
        <v>"IRON",</v>
      </c>
    </row>
    <row r="45" spans="1:8" x14ac:dyDescent="0.25">
      <c r="A45" t="s">
        <v>926</v>
      </c>
      <c r="B45" t="s">
        <v>985</v>
      </c>
      <c r="C45" t="s">
        <v>1012</v>
      </c>
      <c r="D45" t="str">
        <f t="shared" si="7"/>
        <v>"JAVA",</v>
      </c>
    </row>
    <row r="46" spans="1:8" x14ac:dyDescent="0.25">
      <c r="A46" t="s">
        <v>1044</v>
      </c>
      <c r="B46" t="s">
        <v>1104</v>
      </c>
      <c r="C46" t="s">
        <v>1045</v>
      </c>
      <c r="D46" t="str">
        <f t="shared" si="7"/>
        <v>"KAOL",</v>
      </c>
    </row>
    <row r="47" spans="1:8" x14ac:dyDescent="0.25">
      <c r="A47" t="s">
        <v>893</v>
      </c>
      <c r="B47" t="s">
        <v>956</v>
      </c>
      <c r="C47" t="s">
        <v>1008</v>
      </c>
      <c r="D47" t="str">
        <f t="shared" si="7"/>
        <v>"LIME",</v>
      </c>
    </row>
    <row r="48" spans="1:8" x14ac:dyDescent="0.25">
      <c r="A48" t="s">
        <v>822</v>
      </c>
      <c r="B48" t="s">
        <v>975</v>
      </c>
      <c r="C48" t="s">
        <v>1012</v>
      </c>
      <c r="D48" t="str">
        <f t="shared" si="7"/>
        <v>"LVST",</v>
      </c>
    </row>
    <row r="49" spans="1:4" x14ac:dyDescent="0.25">
      <c r="A49" t="s">
        <v>710</v>
      </c>
      <c r="B49" t="s">
        <v>946</v>
      </c>
      <c r="C49" t="s">
        <v>1009</v>
      </c>
      <c r="D49" t="str">
        <f t="shared" si="7"/>
        <v>"MAIL",</v>
      </c>
    </row>
    <row r="50" spans="1:4" x14ac:dyDescent="0.25">
      <c r="A50" t="s">
        <v>915</v>
      </c>
      <c r="B50" t="s">
        <v>974</v>
      </c>
      <c r="C50" t="s">
        <v>1008</v>
      </c>
      <c r="D50" t="str">
        <f t="shared" si="7"/>
        <v>"MAIZ",</v>
      </c>
    </row>
    <row r="51" spans="1:4" x14ac:dyDescent="0.25">
      <c r="A51" t="s">
        <v>924</v>
      </c>
      <c r="B51" t="s">
        <v>983</v>
      </c>
      <c r="C51" t="s">
        <v>1012</v>
      </c>
      <c r="D51" t="str">
        <f t="shared" si="7"/>
        <v>"METL",</v>
      </c>
    </row>
    <row r="52" spans="1:4" x14ac:dyDescent="0.25">
      <c r="A52" t="s">
        <v>916</v>
      </c>
      <c r="B52" t="s">
        <v>972</v>
      </c>
      <c r="C52" t="s">
        <v>1046</v>
      </c>
      <c r="D52" t="str">
        <f t="shared" si="7"/>
        <v>"MILK",</v>
      </c>
    </row>
    <row r="53" spans="1:4" x14ac:dyDescent="0.25">
      <c r="A53" t="s">
        <v>943</v>
      </c>
      <c r="B53" t="s">
        <v>995</v>
      </c>
      <c r="C53" t="s">
        <v>1008</v>
      </c>
      <c r="D53" t="str">
        <f t="shared" si="7"/>
        <v>"MNO2",</v>
      </c>
    </row>
    <row r="54" spans="1:4" x14ac:dyDescent="0.25">
      <c r="A54" t="s">
        <v>899</v>
      </c>
      <c r="B54" t="s">
        <v>1144</v>
      </c>
      <c r="C54" t="s">
        <v>1068</v>
      </c>
      <c r="D54" t="str">
        <f t="shared" si="7"/>
        <v>"MNSP",</v>
      </c>
    </row>
    <row r="55" spans="1:4" x14ac:dyDescent="0.25">
      <c r="A55" t="s">
        <v>1047</v>
      </c>
      <c r="B55" t="s">
        <v>1048</v>
      </c>
      <c r="C55" t="s">
        <v>1008</v>
      </c>
      <c r="D55" t="str">
        <f t="shared" si="7"/>
        <v>"NITR",</v>
      </c>
    </row>
    <row r="56" spans="1:4" x14ac:dyDescent="0.25">
      <c r="A56" t="s">
        <v>1069</v>
      </c>
      <c r="B56" t="s">
        <v>1070</v>
      </c>
      <c r="C56" t="s">
        <v>1012</v>
      </c>
      <c r="D56" t="str">
        <f t="shared" si="7"/>
        <v>"NUTS",</v>
      </c>
    </row>
    <row r="57" spans="1:4" x14ac:dyDescent="0.25">
      <c r="A57" t="s">
        <v>326</v>
      </c>
      <c r="B57" t="s">
        <v>967</v>
      </c>
      <c r="C57" t="s">
        <v>1010</v>
      </c>
      <c r="D57" t="str">
        <f t="shared" si="7"/>
        <v>"OIL_",</v>
      </c>
    </row>
    <row r="58" spans="1:4" x14ac:dyDescent="0.25">
      <c r="A58" t="s">
        <v>922</v>
      </c>
      <c r="B58" t="s">
        <v>1002</v>
      </c>
      <c r="C58" t="s">
        <v>1033</v>
      </c>
      <c r="D58" t="str">
        <f t="shared" si="7"/>
        <v>"OLSD",</v>
      </c>
    </row>
    <row r="59" spans="1:4" x14ac:dyDescent="0.25">
      <c r="A59" t="s">
        <v>900</v>
      </c>
      <c r="B59" t="s">
        <v>964</v>
      </c>
      <c r="C59" t="s">
        <v>1012</v>
      </c>
      <c r="D59" t="str">
        <f t="shared" si="7"/>
        <v>"PAPR",</v>
      </c>
    </row>
    <row r="60" spans="1:4" x14ac:dyDescent="0.25">
      <c r="A60" t="s">
        <v>325</v>
      </c>
      <c r="B60" t="s">
        <v>944</v>
      </c>
      <c r="C60" t="s">
        <v>1007</v>
      </c>
      <c r="D60" t="str">
        <f t="shared" si="7"/>
        <v>"PASS",</v>
      </c>
    </row>
    <row r="61" spans="1:4" x14ac:dyDescent="0.25">
      <c r="A61" t="s">
        <v>1049</v>
      </c>
      <c r="B61" t="s">
        <v>1050</v>
      </c>
      <c r="C61" t="s">
        <v>1008</v>
      </c>
      <c r="D61" t="str">
        <f t="shared" si="7"/>
        <v>"PEAT",</v>
      </c>
    </row>
    <row r="62" spans="1:4" x14ac:dyDescent="0.25">
      <c r="A62" t="s">
        <v>906</v>
      </c>
      <c r="B62" t="s">
        <v>968</v>
      </c>
      <c r="C62" t="s">
        <v>1010</v>
      </c>
      <c r="D62" t="str">
        <f t="shared" si="7"/>
        <v>"PETR",</v>
      </c>
    </row>
    <row r="63" spans="1:4" x14ac:dyDescent="0.25">
      <c r="A63" t="s">
        <v>1051</v>
      </c>
      <c r="B63" t="s">
        <v>1052</v>
      </c>
      <c r="C63" t="s">
        <v>1008</v>
      </c>
      <c r="D63" t="str">
        <f t="shared" si="7"/>
        <v>"PHOS",</v>
      </c>
    </row>
    <row r="64" spans="1:4" x14ac:dyDescent="0.25">
      <c r="A64" t="s">
        <v>1071</v>
      </c>
      <c r="B64" t="s">
        <v>1072</v>
      </c>
      <c r="C64" t="s">
        <v>1012</v>
      </c>
      <c r="D64" t="str">
        <f t="shared" si="7"/>
        <v>"PIPE",</v>
      </c>
    </row>
    <row r="65" spans="1:4" x14ac:dyDescent="0.25">
      <c r="A65" t="s">
        <v>907</v>
      </c>
      <c r="B65" t="s">
        <v>969</v>
      </c>
      <c r="C65" t="s">
        <v>1054</v>
      </c>
      <c r="D65" t="str">
        <f t="shared" si="7"/>
        <v>"PLAS",</v>
      </c>
    </row>
    <row r="66" spans="1:4" x14ac:dyDescent="0.25">
      <c r="A66" t="s">
        <v>1095</v>
      </c>
      <c r="B66" t="s">
        <v>1053</v>
      </c>
      <c r="C66" t="s">
        <v>1010</v>
      </c>
      <c r="D66" t="str">
        <f t="shared" ref="D66:D97" si="8">CONCATENATE("""", A66, """,")</f>
        <v>"PLST",</v>
      </c>
    </row>
    <row r="67" spans="1:4" x14ac:dyDescent="0.25">
      <c r="A67" t="s">
        <v>1055</v>
      </c>
      <c r="B67" t="s">
        <v>1056</v>
      </c>
      <c r="C67" t="s">
        <v>1008</v>
      </c>
      <c r="D67" t="str">
        <f t="shared" si="8"/>
        <v>"PORE",</v>
      </c>
    </row>
    <row r="68" spans="1:4" x14ac:dyDescent="0.25">
      <c r="A68" t="s">
        <v>1057</v>
      </c>
      <c r="B68" t="s">
        <v>1058</v>
      </c>
      <c r="C68" t="s">
        <v>1033</v>
      </c>
      <c r="D68" t="str">
        <f t="shared" si="8"/>
        <v>"POTA",</v>
      </c>
    </row>
    <row r="69" spans="1:4" x14ac:dyDescent="0.25">
      <c r="A69" t="s">
        <v>1073</v>
      </c>
      <c r="B69" t="s">
        <v>1151</v>
      </c>
      <c r="C69" t="s">
        <v>1012</v>
      </c>
      <c r="D69" t="str">
        <f t="shared" si="8"/>
        <v>"POWR",</v>
      </c>
    </row>
    <row r="70" spans="1:4" x14ac:dyDescent="0.25">
      <c r="A70" t="s">
        <v>935</v>
      </c>
      <c r="B70" t="s">
        <v>996</v>
      </c>
      <c r="C70" t="s">
        <v>1033</v>
      </c>
      <c r="D70" t="str">
        <f t="shared" si="8"/>
        <v>"QLME",</v>
      </c>
    </row>
    <row r="71" spans="1:4" x14ac:dyDescent="0.25">
      <c r="A71" t="s">
        <v>941</v>
      </c>
      <c r="B71" t="s">
        <v>998</v>
      </c>
      <c r="C71" t="s">
        <v>1074</v>
      </c>
      <c r="D71" t="str">
        <f t="shared" si="8"/>
        <v>"RCYC",</v>
      </c>
    </row>
    <row r="72" spans="1:4" x14ac:dyDescent="0.25">
      <c r="A72" t="s">
        <v>905</v>
      </c>
      <c r="B72" t="s">
        <v>1150</v>
      </c>
      <c r="C72" t="s">
        <v>1010</v>
      </c>
      <c r="D72" t="str">
        <f t="shared" si="8"/>
        <v>"RFPR",</v>
      </c>
    </row>
    <row r="73" spans="1:4" x14ac:dyDescent="0.25">
      <c r="A73" t="s">
        <v>917</v>
      </c>
      <c r="B73" t="s">
        <v>978</v>
      </c>
      <c r="C73" t="s">
        <v>1010</v>
      </c>
      <c r="D73" t="str">
        <f t="shared" si="8"/>
        <v>"RUBR",</v>
      </c>
    </row>
    <row r="74" spans="1:4" x14ac:dyDescent="0.25">
      <c r="A74" t="s">
        <v>936</v>
      </c>
      <c r="B74" t="s">
        <v>991</v>
      </c>
      <c r="C74" t="s">
        <v>1008</v>
      </c>
      <c r="D74" t="str">
        <f t="shared" si="8"/>
        <v>"SALT",</v>
      </c>
    </row>
    <row r="75" spans="1:4" x14ac:dyDescent="0.25">
      <c r="A75" t="s">
        <v>888</v>
      </c>
      <c r="B75" t="s">
        <v>950</v>
      </c>
      <c r="C75" t="s">
        <v>1008</v>
      </c>
      <c r="D75" t="str">
        <f t="shared" si="8"/>
        <v>"SAND",</v>
      </c>
    </row>
    <row r="76" spans="1:4" x14ac:dyDescent="0.25">
      <c r="A76" t="s">
        <v>937</v>
      </c>
      <c r="B76" t="s">
        <v>1006</v>
      </c>
      <c r="C76" t="s">
        <v>1033</v>
      </c>
      <c r="D76" t="str">
        <f t="shared" si="8"/>
        <v>"SASH",</v>
      </c>
    </row>
    <row r="77" spans="1:4" x14ac:dyDescent="0.25">
      <c r="A77" t="s">
        <v>892</v>
      </c>
      <c r="B77" t="s">
        <v>954</v>
      </c>
      <c r="C77" t="s">
        <v>1059</v>
      </c>
      <c r="D77" t="str">
        <f t="shared" si="8"/>
        <v>"SCMT",</v>
      </c>
    </row>
    <row r="78" spans="1:4" x14ac:dyDescent="0.25">
      <c r="A78" t="s">
        <v>918</v>
      </c>
      <c r="B78" t="s">
        <v>979</v>
      </c>
      <c r="C78" t="s">
        <v>1008</v>
      </c>
      <c r="D78" t="str">
        <f t="shared" si="8"/>
        <v>"SGBT",</v>
      </c>
    </row>
    <row r="79" spans="1:4" x14ac:dyDescent="0.25">
      <c r="A79" t="s">
        <v>919</v>
      </c>
      <c r="B79" t="s">
        <v>980</v>
      </c>
      <c r="C79" t="s">
        <v>1059</v>
      </c>
      <c r="D79" t="str">
        <f t="shared" si="8"/>
        <v>"SGCN",</v>
      </c>
    </row>
    <row r="80" spans="1:4" x14ac:dyDescent="0.25">
      <c r="A80" t="s">
        <v>940</v>
      </c>
      <c r="B80" t="s">
        <v>993</v>
      </c>
      <c r="C80" t="s">
        <v>1008</v>
      </c>
      <c r="D80" t="str">
        <f t="shared" si="8"/>
        <v>"SLAG",</v>
      </c>
    </row>
    <row r="81" spans="1:4" x14ac:dyDescent="0.25">
      <c r="A81" t="s">
        <v>1075</v>
      </c>
      <c r="B81" t="s">
        <v>1076</v>
      </c>
      <c r="C81" t="s">
        <v>1012</v>
      </c>
      <c r="D81" t="str">
        <f t="shared" si="8"/>
        <v>"STAL",</v>
      </c>
    </row>
    <row r="82" spans="1:4" x14ac:dyDescent="0.25">
      <c r="A82" t="s">
        <v>1077</v>
      </c>
      <c r="B82" t="s">
        <v>1078</v>
      </c>
      <c r="C82" t="s">
        <v>1012</v>
      </c>
      <c r="D82" t="str">
        <f t="shared" si="8"/>
        <v>"STCB",</v>
      </c>
    </row>
    <row r="83" spans="1:4" x14ac:dyDescent="0.25">
      <c r="A83" t="s">
        <v>862</v>
      </c>
      <c r="B83" t="s">
        <v>959</v>
      </c>
      <c r="C83" t="s">
        <v>1012</v>
      </c>
      <c r="D83" t="str">
        <f t="shared" si="8"/>
        <v>"STEL",</v>
      </c>
    </row>
    <row r="84" spans="1:4" x14ac:dyDescent="0.25">
      <c r="A84" t="s">
        <v>1079</v>
      </c>
      <c r="B84" t="s">
        <v>1080</v>
      </c>
      <c r="C84" t="s">
        <v>1012</v>
      </c>
      <c r="D84" t="str">
        <f t="shared" si="8"/>
        <v>"STST",</v>
      </c>
    </row>
    <row r="85" spans="1:4" x14ac:dyDescent="0.25">
      <c r="A85" t="s">
        <v>923</v>
      </c>
      <c r="B85" t="s">
        <v>982</v>
      </c>
      <c r="C85" t="s">
        <v>1008</v>
      </c>
      <c r="D85" t="str">
        <f t="shared" si="8"/>
        <v>"SUGR",</v>
      </c>
    </row>
    <row r="86" spans="1:4" x14ac:dyDescent="0.25">
      <c r="A86" t="s">
        <v>938</v>
      </c>
      <c r="B86" t="s">
        <v>997</v>
      </c>
      <c r="C86" t="s">
        <v>1033</v>
      </c>
      <c r="D86" t="str">
        <f t="shared" si="8"/>
        <v>"SULP",</v>
      </c>
    </row>
    <row r="87" spans="1:4" x14ac:dyDescent="0.25">
      <c r="A87" t="s">
        <v>1096</v>
      </c>
      <c r="B87" t="s">
        <v>1107</v>
      </c>
      <c r="C87" t="s">
        <v>1013</v>
      </c>
      <c r="D87" t="str">
        <f t="shared" si="8"/>
        <v>"SWET",</v>
      </c>
    </row>
    <row r="88" spans="1:4" x14ac:dyDescent="0.25">
      <c r="A88" t="s">
        <v>1097</v>
      </c>
      <c r="B88" t="s">
        <v>1098</v>
      </c>
      <c r="C88" t="s">
        <v>1008</v>
      </c>
      <c r="D88" t="str">
        <f t="shared" si="8"/>
        <v>"TOFF",</v>
      </c>
    </row>
    <row r="89" spans="1:4" x14ac:dyDescent="0.25">
      <c r="A89" t="s">
        <v>885</v>
      </c>
      <c r="B89" t="s">
        <v>945</v>
      </c>
      <c r="C89" t="s">
        <v>1060</v>
      </c>
      <c r="D89" t="str">
        <f t="shared" si="8"/>
        <v>"TOUR",</v>
      </c>
    </row>
    <row r="90" spans="1:4" x14ac:dyDescent="0.25">
      <c r="A90" t="s">
        <v>1099</v>
      </c>
      <c r="B90" t="s">
        <v>1100</v>
      </c>
      <c r="C90" t="s">
        <v>1012</v>
      </c>
      <c r="D90" t="str">
        <f t="shared" si="8"/>
        <v>"TOYS",</v>
      </c>
    </row>
    <row r="91" spans="1:4" x14ac:dyDescent="0.25">
      <c r="A91" t="s">
        <v>1061</v>
      </c>
      <c r="B91" t="s">
        <v>1062</v>
      </c>
      <c r="C91" t="s">
        <v>1012</v>
      </c>
      <c r="D91" t="str">
        <f t="shared" si="8"/>
        <v>"TYRE",</v>
      </c>
    </row>
    <row r="92" spans="1:4" x14ac:dyDescent="0.25">
      <c r="A92" t="s">
        <v>1063</v>
      </c>
      <c r="B92" t="s">
        <v>1064</v>
      </c>
      <c r="C92" t="s">
        <v>1065</v>
      </c>
      <c r="D92" t="str">
        <f t="shared" si="8"/>
        <v>"URAN",</v>
      </c>
    </row>
    <row r="93" spans="1:4" x14ac:dyDescent="0.25">
      <c r="A93" t="s">
        <v>925</v>
      </c>
      <c r="B93" t="s">
        <v>984</v>
      </c>
      <c r="C93" t="s">
        <v>1014</v>
      </c>
      <c r="D93" t="str">
        <f t="shared" si="8"/>
        <v>"VALU",</v>
      </c>
    </row>
    <row r="94" spans="1:4" x14ac:dyDescent="0.25">
      <c r="A94" t="s">
        <v>1081</v>
      </c>
      <c r="B94" t="s">
        <v>1105</v>
      </c>
      <c r="C94" t="s">
        <v>1012</v>
      </c>
      <c r="D94" t="str">
        <f t="shared" si="8"/>
        <v>"VBOD",</v>
      </c>
    </row>
    <row r="95" spans="1:4" x14ac:dyDescent="0.25">
      <c r="A95" t="s">
        <v>902</v>
      </c>
      <c r="B95" t="s">
        <v>965</v>
      </c>
      <c r="C95" t="s">
        <v>1043</v>
      </c>
      <c r="D95" t="str">
        <f t="shared" si="8"/>
        <v>"VEHI",</v>
      </c>
    </row>
    <row r="96" spans="1:4" x14ac:dyDescent="0.25">
      <c r="A96" t="s">
        <v>1082</v>
      </c>
      <c r="B96" t="s">
        <v>1083</v>
      </c>
      <c r="C96" t="s">
        <v>1012</v>
      </c>
      <c r="D96" t="str">
        <f t="shared" si="8"/>
        <v>"VENG",</v>
      </c>
    </row>
    <row r="97" spans="1:4" x14ac:dyDescent="0.25">
      <c r="A97" t="s">
        <v>1084</v>
      </c>
      <c r="B97" t="s">
        <v>1085</v>
      </c>
      <c r="C97" t="s">
        <v>1068</v>
      </c>
      <c r="D97" t="str">
        <f t="shared" si="8"/>
        <v>"VPTS",</v>
      </c>
    </row>
    <row r="98" spans="1:4" x14ac:dyDescent="0.25">
      <c r="A98" t="s">
        <v>908</v>
      </c>
      <c r="B98" t="s">
        <v>970</v>
      </c>
      <c r="C98" t="s">
        <v>1010</v>
      </c>
      <c r="D98" t="str">
        <f t="shared" ref="D98:D112" si="9">CONCATENATE("""", A98, """,")</f>
        <v>"WATR",</v>
      </c>
    </row>
    <row r="99" spans="1:4" x14ac:dyDescent="0.25">
      <c r="A99" t="s">
        <v>901</v>
      </c>
      <c r="B99" t="s">
        <v>1119</v>
      </c>
      <c r="C99" t="s">
        <v>1042</v>
      </c>
      <c r="D99" t="str">
        <f t="shared" si="9"/>
        <v>"WDPR",</v>
      </c>
    </row>
    <row r="100" spans="1:4" x14ac:dyDescent="0.25">
      <c r="A100" t="s">
        <v>920</v>
      </c>
      <c r="B100" t="s">
        <v>981</v>
      </c>
      <c r="C100" t="s">
        <v>1008</v>
      </c>
      <c r="D100" t="str">
        <f t="shared" si="9"/>
        <v>"WHEA",</v>
      </c>
    </row>
    <row r="101" spans="1:4" x14ac:dyDescent="0.25">
      <c r="A101" t="s">
        <v>462</v>
      </c>
      <c r="B101" t="s">
        <v>955</v>
      </c>
      <c r="C101" t="s">
        <v>1012</v>
      </c>
      <c r="D101" t="str">
        <f t="shared" si="9"/>
        <v>"WOOD",</v>
      </c>
    </row>
    <row r="102" spans="1:4" x14ac:dyDescent="0.25">
      <c r="A102" t="s">
        <v>921</v>
      </c>
      <c r="B102" t="s">
        <v>973</v>
      </c>
      <c r="C102" t="s">
        <v>1024</v>
      </c>
      <c r="D102" t="str">
        <f t="shared" si="9"/>
        <v>"WOOL",</v>
      </c>
    </row>
    <row r="103" spans="1:4" x14ac:dyDescent="0.25">
      <c r="A103" t="s">
        <v>1011</v>
      </c>
      <c r="B103" t="s">
        <v>1108</v>
      </c>
      <c r="C103" t="s">
        <v>1101</v>
      </c>
      <c r="D103" t="str">
        <f t="shared" si="9"/>
        <v>"YETI",</v>
      </c>
    </row>
    <row r="104" spans="1:4" x14ac:dyDescent="0.25">
      <c r="A104" t="s">
        <v>1102</v>
      </c>
      <c r="B104" t="s">
        <v>1109</v>
      </c>
      <c r="C104" t="s">
        <v>1101</v>
      </c>
      <c r="D104" t="str">
        <f t="shared" si="9"/>
        <v>"YETY",</v>
      </c>
    </row>
    <row r="105" spans="1:4" x14ac:dyDescent="0.25">
      <c r="A105" t="s">
        <v>939</v>
      </c>
      <c r="B105" t="s">
        <v>992</v>
      </c>
      <c r="C105" t="s">
        <v>1012</v>
      </c>
      <c r="D105" t="str">
        <f t="shared" si="9"/>
        <v>"ZINC",</v>
      </c>
    </row>
    <row r="106" spans="1:4" x14ac:dyDescent="0.25">
      <c r="A106" t="s">
        <v>1147</v>
      </c>
      <c r="B106" t="s">
        <v>1146</v>
      </c>
      <c r="C106" t="s">
        <v>1054</v>
      </c>
      <c r="D106" t="str">
        <f t="shared" si="9"/>
        <v>"SOAP",</v>
      </c>
    </row>
    <row r="107" spans="1:4" x14ac:dyDescent="0.25">
      <c r="A107" t="s">
        <v>1148</v>
      </c>
      <c r="B107" t="s">
        <v>1149</v>
      </c>
      <c r="C107" t="s">
        <v>1036</v>
      </c>
      <c r="D107" t="str">
        <f t="shared" si="9"/>
        <v>"NH3_",</v>
      </c>
    </row>
    <row r="108" spans="1:4" x14ac:dyDescent="0.25">
      <c r="A108" t="s">
        <v>1152</v>
      </c>
      <c r="B108" t="s">
        <v>1153</v>
      </c>
      <c r="C108" t="s">
        <v>1036</v>
      </c>
      <c r="D108" t="str">
        <f t="shared" si="9"/>
        <v>"O2__",</v>
      </c>
    </row>
    <row r="109" spans="1:4" x14ac:dyDescent="0.25">
      <c r="A109" t="s">
        <v>1154</v>
      </c>
      <c r="B109" t="s">
        <v>1155</v>
      </c>
      <c r="C109" t="s">
        <v>1054</v>
      </c>
      <c r="D109" t="str">
        <f t="shared" si="9"/>
        <v>"COAT",</v>
      </c>
    </row>
    <row r="110" spans="1:4" x14ac:dyDescent="0.25">
      <c r="A110" t="s">
        <v>1156</v>
      </c>
      <c r="B110" t="s">
        <v>1145</v>
      </c>
      <c r="C110" t="s">
        <v>1012</v>
      </c>
      <c r="D110" t="str">
        <f t="shared" si="9"/>
        <v>"RBAR",</v>
      </c>
    </row>
    <row r="111" spans="1:4" x14ac:dyDescent="0.25">
      <c r="A111" t="s">
        <v>1157</v>
      </c>
      <c r="B111" t="s">
        <v>1158</v>
      </c>
      <c r="C111" t="s">
        <v>1012</v>
      </c>
      <c r="D111" t="str">
        <f t="shared" si="9"/>
        <v>"STSH",</v>
      </c>
    </row>
    <row r="112" spans="1:4" x14ac:dyDescent="0.25">
      <c r="A112" t="s">
        <v>1159</v>
      </c>
      <c r="B112" t="s">
        <v>1160</v>
      </c>
      <c r="C112" t="s">
        <v>1012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2020-07-18T18:44:25Z</dcterms:modified>
</cp:coreProperties>
</file>