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23448303-9272-41EF-B85C-9BC5891C55CA}" xr6:coauthVersionLast="45" xr6:coauthVersionMax="45" xr10:uidLastSave="{00000000-0000-0000-0000-000000000000}"/>
  <bookViews>
    <workbookView xWindow="75" yWindow="870" windowWidth="25275" windowHeight="11925" firstSheet="4" activeTab="6"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 name="Cargo table" sheetId="7" r:id="rId7"/>
  </sheets>
  <definedNames>
    <definedName name="_xlnm._FilterDatabase" localSheetId="0" hidden="1">Table!$A$1:$AZ$248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2" i="7" l="1"/>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AW49" i="1" l="1"/>
  <c r="AY49" i="1" s="1"/>
  <c r="AG49" i="1"/>
  <c r="AI49" i="1" s="1"/>
  <c r="AF49" i="1"/>
  <c r="X49" i="1"/>
  <c r="AW16" i="1" l="1"/>
  <c r="AY16" i="1" s="1"/>
  <c r="AI16" i="1"/>
  <c r="AF16" i="1"/>
  <c r="AG16" i="1"/>
  <c r="X16" i="1"/>
  <c r="AW50" i="1" l="1"/>
  <c r="AY50" i="1" s="1"/>
  <c r="AG50" i="1"/>
  <c r="AI50" i="1" s="1"/>
  <c r="X50" i="1"/>
  <c r="AW51" i="1"/>
  <c r="AY51" i="1" s="1"/>
  <c r="AG51" i="1"/>
  <c r="AI51" i="1" s="1"/>
  <c r="X51" i="1"/>
  <c r="AW48" i="1"/>
  <c r="AY48" i="1" s="1"/>
  <c r="AG48" i="1"/>
  <c r="AI48" i="1" s="1"/>
  <c r="X48" i="1"/>
  <c r="AW9" i="1"/>
  <c r="AY9" i="1" s="1"/>
  <c r="AG9" i="1"/>
  <c r="AI9" i="1" s="1"/>
  <c r="X9" i="1"/>
  <c r="AI90" i="1"/>
  <c r="AI91" i="1"/>
  <c r="AI92" i="1"/>
  <c r="AI93" i="1"/>
  <c r="AI94" i="1"/>
  <c r="AI97" i="1"/>
  <c r="AI98" i="1"/>
  <c r="AI99" i="1"/>
  <c r="AI100" i="1"/>
  <c r="AI103" i="1"/>
  <c r="AI104" i="1"/>
  <c r="AI108" i="1"/>
  <c r="AI111" i="1"/>
  <c r="AI113" i="1"/>
  <c r="AI114" i="1"/>
  <c r="AI115" i="1"/>
  <c r="AI123" i="1"/>
  <c r="AI124" i="1"/>
  <c r="AI126" i="1"/>
  <c r="AI127" i="1"/>
  <c r="AI129" i="1"/>
  <c r="AI134" i="1"/>
  <c r="AI136" i="1"/>
  <c r="AI138" i="1"/>
  <c r="AI141" i="1"/>
  <c r="AI142"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 i="1"/>
  <c r="AI3" i="1"/>
  <c r="AI4" i="1"/>
  <c r="AI5" i="1"/>
  <c r="AI6" i="1"/>
  <c r="AI7" i="1"/>
  <c r="AI8" i="1"/>
  <c r="AI10" i="1"/>
  <c r="AI11" i="1"/>
  <c r="AI12" i="1"/>
  <c r="AI13" i="1"/>
  <c r="AI14" i="1"/>
  <c r="AI15"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2" i="1"/>
  <c r="AI53" i="1"/>
  <c r="AI54" i="1"/>
  <c r="AI107" i="1" s="1"/>
  <c r="AI55" i="1"/>
  <c r="AI101" i="1" s="1"/>
  <c r="AI56" i="1"/>
  <c r="AI106" i="1" s="1"/>
  <c r="AI57" i="1"/>
  <c r="AI139" i="1" s="1"/>
  <c r="AI58" i="1"/>
  <c r="AI117" i="1" s="1"/>
  <c r="AI59" i="1"/>
  <c r="AI116" i="1" s="1"/>
  <c r="AI60" i="1"/>
  <c r="AI110" i="1" s="1"/>
  <c r="AI61" i="1"/>
  <c r="AI122" i="1" s="1"/>
  <c r="AI62" i="1"/>
  <c r="AI125" i="1" s="1"/>
  <c r="AI63" i="1"/>
  <c r="AI128" i="1" s="1"/>
  <c r="AI64" i="1"/>
  <c r="AI130" i="1" s="1"/>
  <c r="AI65" i="1"/>
  <c r="AI135" i="1" s="1"/>
  <c r="AI66" i="1"/>
  <c r="AI151" i="1" s="1"/>
  <c r="AI67" i="1"/>
  <c r="AI68" i="1"/>
  <c r="AI69" i="1"/>
  <c r="AI70" i="1"/>
  <c r="AI71" i="1"/>
  <c r="AI72" i="1"/>
  <c r="AI73" i="1"/>
  <c r="AI74" i="1"/>
  <c r="AI75" i="1"/>
  <c r="AI76" i="1"/>
  <c r="AI77" i="1"/>
  <c r="AI78" i="1"/>
  <c r="AI79" i="1"/>
  <c r="AI80" i="1"/>
  <c r="AI81" i="1"/>
  <c r="AI82" i="1"/>
  <c r="AI83" i="1"/>
  <c r="AI84" i="1"/>
  <c r="AI85" i="1"/>
  <c r="AI86" i="1"/>
  <c r="AI87" i="1"/>
  <c r="AI88" i="1"/>
  <c r="AW15" i="1"/>
  <c r="AY15" i="1" s="1"/>
  <c r="AG15" i="1"/>
  <c r="AF15" i="1"/>
  <c r="X15" i="1"/>
  <c r="AE13" i="1"/>
  <c r="AW13" i="1"/>
  <c r="AY13" i="1" s="1"/>
  <c r="AG13" i="1"/>
  <c r="X13" i="1"/>
  <c r="AW14" i="1"/>
  <c r="AY14" i="1" s="1"/>
  <c r="AG14" i="1"/>
  <c r="AF14" i="1" s="1"/>
  <c r="X14" i="1"/>
  <c r="AW11" i="1"/>
  <c r="AY11" i="1" s="1"/>
  <c r="AG11" i="1"/>
  <c r="X11" i="1"/>
  <c r="AW19" i="1"/>
  <c r="AY19" i="1" s="1"/>
  <c r="AG19" i="1"/>
  <c r="AI19" i="1" s="1"/>
  <c r="X19" i="1"/>
  <c r="AW18" i="1"/>
  <c r="AY18" i="1" s="1"/>
  <c r="AG18" i="1"/>
  <c r="AI18" i="1" s="1"/>
  <c r="X18" i="1"/>
  <c r="AF51" i="1" l="1"/>
  <c r="AF50" i="1"/>
  <c r="AF48" i="1"/>
  <c r="AI137" i="1"/>
  <c r="AI121" i="1"/>
  <c r="AF9" i="1"/>
  <c r="AI105" i="1"/>
  <c r="AI120" i="1"/>
  <c r="AI112" i="1"/>
  <c r="AI96" i="1"/>
  <c r="AI143" i="1"/>
  <c r="AI119" i="1"/>
  <c r="AI95" i="1"/>
  <c r="AI118" i="1"/>
  <c r="AI102" i="1"/>
  <c r="AI133" i="1"/>
  <c r="AI109" i="1"/>
  <c r="AI140" i="1"/>
  <c r="AI132" i="1"/>
  <c r="AI131" i="1"/>
  <c r="AF13" i="1"/>
  <c r="AF11" i="1"/>
  <c r="AF19" i="1"/>
  <c r="AF18" i="1"/>
  <c r="AW41" i="1"/>
  <c r="AY41" i="1" s="1"/>
  <c r="AG41" i="1"/>
  <c r="AF41" i="1" s="1"/>
  <c r="X41" i="1"/>
  <c r="AW40" i="1"/>
  <c r="AY40" i="1" s="1"/>
  <c r="AG40" i="1"/>
  <c r="AF40" i="1" s="1"/>
  <c r="X40" i="1"/>
  <c r="AW39" i="1"/>
  <c r="AY39" i="1" s="1"/>
  <c r="AG39" i="1"/>
  <c r="AF39" i="1" s="1"/>
  <c r="X39" i="1"/>
  <c r="AW38" i="1"/>
  <c r="AY38" i="1" s="1"/>
  <c r="AG38" i="1"/>
  <c r="AF38" i="1" s="1"/>
  <c r="X38" i="1"/>
  <c r="AW30" i="1"/>
  <c r="AY30" i="1" s="1"/>
  <c r="AG30" i="1"/>
  <c r="AF30" i="1" s="1"/>
  <c r="X30" i="1"/>
  <c r="AW36" i="1"/>
  <c r="AY36" i="1" s="1"/>
  <c r="AG36" i="1"/>
  <c r="AF36" i="1" s="1"/>
  <c r="X36" i="1"/>
  <c r="AW34" i="1"/>
  <c r="AY34" i="1" s="1"/>
  <c r="AG34" i="1"/>
  <c r="X34" i="1"/>
  <c r="AW33" i="1"/>
  <c r="AY33" i="1" s="1"/>
  <c r="AG33" i="1"/>
  <c r="AF33" i="1" s="1"/>
  <c r="X33" i="1"/>
  <c r="AF34" i="1" l="1"/>
  <c r="AW44" i="1"/>
  <c r="AY44" i="1" s="1"/>
  <c r="AW45" i="1"/>
  <c r="AG44" i="1"/>
  <c r="AF44" i="1" s="1"/>
  <c r="AG45" i="1"/>
  <c r="AF45" i="1" s="1"/>
  <c r="AW27" i="1"/>
  <c r="AY27" i="1" s="1"/>
  <c r="AG27" i="1"/>
  <c r="X27" i="1"/>
  <c r="AF27" i="1" l="1"/>
  <c r="AW25" i="1"/>
  <c r="AY25" i="1" s="1"/>
  <c r="AW26" i="1"/>
  <c r="AY26" i="1" s="1"/>
  <c r="AW28" i="1"/>
  <c r="AG25" i="1"/>
  <c r="AF25" i="1" s="1"/>
  <c r="X25" i="1"/>
  <c r="AG24" i="1" l="1"/>
  <c r="AF24" i="1" s="1"/>
  <c r="X24" i="1"/>
  <c r="AW23" i="1"/>
  <c r="AY23" i="1" s="1"/>
  <c r="AW24" i="1"/>
  <c r="AY24" i="1" s="1"/>
  <c r="AY28" i="1"/>
  <c r="AG23" i="1"/>
  <c r="X23" i="1"/>
  <c r="AF23" i="1" l="1"/>
  <c r="G21" i="6"/>
  <c r="G22" i="6"/>
  <c r="B25" i="6"/>
  <c r="B24" i="6"/>
  <c r="I21" i="6"/>
  <c r="I22" i="6" s="1"/>
  <c r="H21" i="6"/>
  <c r="H22" i="6" s="1"/>
  <c r="F21" i="6"/>
  <c r="F22" i="6" s="1"/>
  <c r="E21" i="6"/>
  <c r="E22" i="6" s="1"/>
  <c r="D21" i="6"/>
  <c r="D22" i="6" s="1"/>
  <c r="C21" i="6"/>
  <c r="C22" i="6" s="1"/>
  <c r="B21" i="6"/>
  <c r="B22" i="6" s="1"/>
  <c r="T218" i="1"/>
  <c r="AW198" i="1"/>
  <c r="AY198" i="1" s="1"/>
  <c r="AG198" i="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W244" i="1"/>
  <c r="AY244" i="1" s="1"/>
  <c r="AW245" i="1"/>
  <c r="AY245" i="1" s="1"/>
  <c r="AW246" i="1"/>
  <c r="AY246" i="1" s="1"/>
  <c r="AW247" i="1"/>
  <c r="AY247" i="1" s="1"/>
  <c r="AW248" i="1"/>
  <c r="AY248" i="1" s="1"/>
  <c r="AW219" i="1"/>
  <c r="AY219" i="1" s="1"/>
  <c r="AE219" i="1"/>
  <c r="AG244" i="1"/>
  <c r="AF244" i="1" s="1"/>
  <c r="AG245" i="1"/>
  <c r="AF245" i="1" s="1"/>
  <c r="AG246" i="1"/>
  <c r="AF246" i="1" s="1"/>
  <c r="AG247" i="1"/>
  <c r="AF247" i="1" s="1"/>
  <c r="AG248" i="1"/>
  <c r="AF248" i="1" s="1"/>
  <c r="AG219" i="1"/>
  <c r="AF219" i="1" s="1"/>
  <c r="X219" i="1"/>
  <c r="B15" i="6" l="1"/>
  <c r="K208" i="1"/>
  <c r="K217" i="1"/>
  <c r="AW233" i="1"/>
  <c r="AY233" i="1" s="1"/>
  <c r="AG233" i="1"/>
  <c r="X233" i="1"/>
  <c r="AF233" i="1" l="1"/>
  <c r="T185" i="1"/>
  <c r="K196" i="1"/>
  <c r="AW66" i="1"/>
  <c r="AY66" i="1" s="1"/>
  <c r="AG66" i="1"/>
  <c r="X66" i="1"/>
  <c r="AW194" i="1"/>
  <c r="K194" i="1"/>
  <c r="T194" i="1"/>
  <c r="AF66" i="1" l="1"/>
  <c r="K191" i="1"/>
  <c r="T191" i="1"/>
  <c r="K184" i="1" l="1"/>
  <c r="T184" i="1"/>
  <c r="AA171" i="1" l="1"/>
  <c r="T148" i="1" l="1"/>
  <c r="T144" i="1"/>
  <c r="AW193" i="1"/>
  <c r="AY193" i="1" s="1"/>
  <c r="AG193" i="1"/>
  <c r="AF193" i="1" s="1"/>
  <c r="X193" i="1"/>
  <c r="K214" i="1" l="1"/>
  <c r="AW216" i="1"/>
  <c r="AY216" i="1" s="1"/>
  <c r="AG216" i="1"/>
  <c r="AF216" i="1" s="1"/>
  <c r="X216" i="1"/>
  <c r="AE205" i="1" l="1"/>
  <c r="AW7" i="1" l="1"/>
  <c r="AY7" i="1" s="1"/>
  <c r="AG7" i="1"/>
  <c r="AF7" i="1" s="1"/>
  <c r="X7" i="1"/>
  <c r="AW189" i="1"/>
  <c r="AY189" i="1" s="1"/>
  <c r="AG189" i="1"/>
  <c r="X189" i="1"/>
  <c r="AF189" i="1" l="1"/>
  <c r="X181" i="1"/>
  <c r="X179" i="1"/>
  <c r="Q143" i="1" l="1"/>
  <c r="S143" i="1" s="1"/>
  <c r="Q139" i="1" l="1"/>
  <c r="S139" i="1" s="1"/>
  <c r="AB139" i="1"/>
  <c r="AB140" i="1"/>
  <c r="Q140" i="1"/>
  <c r="S140" i="1" s="1"/>
  <c r="AB137" i="1" l="1"/>
  <c r="AG137" i="1" s="1"/>
  <c r="AW65" i="1"/>
  <c r="AY65" i="1" s="1"/>
  <c r="AG65" i="1"/>
  <c r="X65" i="1"/>
  <c r="AB135" i="1"/>
  <c r="Q135" i="1"/>
  <c r="S135" i="1" s="1"/>
  <c r="Q134" i="1"/>
  <c r="S134" i="1" s="1"/>
  <c r="AF65" i="1" l="1"/>
  <c r="Q133" i="1"/>
  <c r="S133" i="1" s="1"/>
  <c r="Q132" i="1"/>
  <c r="S132" i="1" s="1"/>
  <c r="Q131" i="1"/>
  <c r="S131" i="1" s="1"/>
  <c r="AW64" i="1"/>
  <c r="AY64" i="1" s="1"/>
  <c r="AG64" i="1"/>
  <c r="X64" i="1"/>
  <c r="Q130" i="1"/>
  <c r="S130" i="1" s="1"/>
  <c r="Q103" i="1"/>
  <c r="S103" i="1" s="1"/>
  <c r="Q129" i="1"/>
  <c r="S129" i="1" s="1"/>
  <c r="AF64" i="1" l="1"/>
  <c r="AW63" i="1"/>
  <c r="AY63" i="1" s="1"/>
  <c r="AG63" i="1"/>
  <c r="X63" i="1"/>
  <c r="U128" i="1"/>
  <c r="Q128" i="1"/>
  <c r="S128" i="1" s="1"/>
  <c r="AF63" i="1" l="1"/>
  <c r="AW62" i="1"/>
  <c r="AY62" i="1" s="1"/>
  <c r="AG62" i="1"/>
  <c r="X62" i="1"/>
  <c r="AB125" i="1"/>
  <c r="Q125" i="1"/>
  <c r="S125" i="1" s="1"/>
  <c r="AE124" i="1"/>
  <c r="AF62" i="1" l="1"/>
  <c r="AW61" i="1"/>
  <c r="AY61" i="1" s="1"/>
  <c r="AG61" i="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W57" i="1"/>
  <c r="AY57" i="1" s="1"/>
  <c r="AG57" i="1"/>
  <c r="Q112" i="1"/>
  <c r="S112" i="1" s="1"/>
  <c r="AB112" i="1"/>
  <c r="AF57" i="1" l="1"/>
  <c r="Q111" i="1"/>
  <c r="S111" i="1" s="1"/>
  <c r="AW60" i="1" l="1"/>
  <c r="AY60" i="1" s="1"/>
  <c r="AG60" i="1"/>
  <c r="Q110" i="1"/>
  <c r="S110" i="1" s="1"/>
  <c r="AB110" i="1"/>
  <c r="Q109" i="1"/>
  <c r="S109" i="1" s="1"/>
  <c r="AB109" i="1"/>
  <c r="Q108" i="1"/>
  <c r="S108" i="1" s="1"/>
  <c r="AB107" i="1"/>
  <c r="Q107" i="1"/>
  <c r="S107" i="1" s="1"/>
  <c r="AB106" i="1"/>
  <c r="Q106" i="1"/>
  <c r="S106" i="1" s="1"/>
  <c r="Q105" i="1"/>
  <c r="S105" i="1" s="1"/>
  <c r="AB102" i="1"/>
  <c r="AW54" i="1"/>
  <c r="AY54" i="1" s="1"/>
  <c r="AG54" i="1"/>
  <c r="Q102" i="1"/>
  <c r="S102" i="1" s="1"/>
  <c r="Q101" i="1"/>
  <c r="S101" i="1" s="1"/>
  <c r="AW31" i="1"/>
  <c r="AY31" i="1" s="1"/>
  <c r="AG31" i="1"/>
  <c r="AW10" i="1"/>
  <c r="AY10" i="1" s="1"/>
  <c r="AW43" i="1"/>
  <c r="AY43" i="1" s="1"/>
  <c r="AG10" i="1"/>
  <c r="AG43" i="1"/>
  <c r="AF54" i="1" l="1"/>
  <c r="AF60" i="1"/>
  <c r="AF43" i="1"/>
  <c r="AF31" i="1"/>
  <c r="AF10" i="1"/>
  <c r="AW88" i="1"/>
  <c r="AY88" i="1" s="1"/>
  <c r="AG88" i="1"/>
  <c r="Q88" i="1"/>
  <c r="S88" i="1" s="1"/>
  <c r="AW8" i="1"/>
  <c r="AY8" i="1" s="1"/>
  <c r="AG8" i="1"/>
  <c r="AF88" i="1" l="1"/>
  <c r="AF8" i="1"/>
  <c r="AW56" i="1"/>
  <c r="AY56" i="1" s="1"/>
  <c r="AG56" i="1"/>
  <c r="Q95" i="1"/>
  <c r="S95" i="1" s="1"/>
  <c r="Q96" i="1"/>
  <c r="S96" i="1" s="1"/>
  <c r="AF56" i="1" l="1"/>
  <c r="Q94" i="1"/>
  <c r="S94" i="1" s="1"/>
  <c r="Q93" i="1"/>
  <c r="S93" i="1" s="1"/>
  <c r="P89" i="1" l="1"/>
  <c r="Q89" i="1"/>
  <c r="Q92" i="1"/>
  <c r="S92" i="1" s="1"/>
  <c r="Q137" i="1"/>
  <c r="S137" i="1" s="1"/>
  <c r="S89" i="1" l="1"/>
  <c r="B4" i="4"/>
  <c r="B5" i="4"/>
  <c r="B6" i="4"/>
  <c r="B7" i="4"/>
  <c r="B8" i="4"/>
  <c r="B9" i="4"/>
  <c r="B10" i="4"/>
  <c r="B11" i="4"/>
  <c r="B3" i="4"/>
  <c r="AW79" i="1"/>
  <c r="AY79" i="1" s="1"/>
  <c r="AW80" i="1"/>
  <c r="AY80" i="1" s="1"/>
  <c r="AW81" i="1"/>
  <c r="AY81" i="1" s="1"/>
  <c r="AW82" i="1"/>
  <c r="AY82" i="1" s="1"/>
  <c r="AW83" i="1"/>
  <c r="AY83" i="1" s="1"/>
  <c r="AW84" i="1"/>
  <c r="AY84" i="1" s="1"/>
  <c r="AW85" i="1"/>
  <c r="AY85" i="1" s="1"/>
  <c r="AW86" i="1"/>
  <c r="AY86" i="1" s="1"/>
  <c r="AW89" i="1"/>
  <c r="AY89" i="1" s="1"/>
  <c r="AW90" i="1"/>
  <c r="AY90" i="1" s="1"/>
  <c r="AW91" i="1"/>
  <c r="AY91" i="1" s="1"/>
  <c r="AW92" i="1"/>
  <c r="AY92" i="1" s="1"/>
  <c r="AW93" i="1"/>
  <c r="AY93" i="1" s="1"/>
  <c r="AW94" i="1"/>
  <c r="AY94" i="1" s="1"/>
  <c r="AW95" i="1"/>
  <c r="AY95" i="1" s="1"/>
  <c r="AW96" i="1"/>
  <c r="AY96" i="1" s="1"/>
  <c r="AW97" i="1"/>
  <c r="AY97" i="1" s="1"/>
  <c r="AW99" i="1"/>
  <c r="AY99" i="1" s="1"/>
  <c r="AW100" i="1"/>
  <c r="AY100" i="1" s="1"/>
  <c r="AW101" i="1"/>
  <c r="AY101" i="1" s="1"/>
  <c r="AW102" i="1"/>
  <c r="AY102" i="1" s="1"/>
  <c r="AW87" i="1"/>
  <c r="AY87" i="1" s="1"/>
  <c r="AW103" i="1"/>
  <c r="AY103" i="1" s="1"/>
  <c r="AW104" i="1"/>
  <c r="AY104" i="1" s="1"/>
  <c r="AW105" i="1"/>
  <c r="AY105" i="1" s="1"/>
  <c r="AW106" i="1"/>
  <c r="AY106" i="1" s="1"/>
  <c r="AW107" i="1"/>
  <c r="AY107" i="1" s="1"/>
  <c r="AW108" i="1"/>
  <c r="AY108" i="1" s="1"/>
  <c r="AW109" i="1"/>
  <c r="AY109" i="1" s="1"/>
  <c r="AW110" i="1"/>
  <c r="AY110" i="1" s="1"/>
  <c r="AW111" i="1"/>
  <c r="AY111" i="1" s="1"/>
  <c r="AW112" i="1"/>
  <c r="AY112" i="1" s="1"/>
  <c r="AW113" i="1"/>
  <c r="AY113" i="1" s="1"/>
  <c r="AW116" i="1"/>
  <c r="AY116" i="1" s="1"/>
  <c r="AW117" i="1"/>
  <c r="AY117" i="1" s="1"/>
  <c r="AW118" i="1"/>
  <c r="AY118" i="1" s="1"/>
  <c r="AW119" i="1"/>
  <c r="AY119" i="1" s="1"/>
  <c r="AW120" i="1"/>
  <c r="AY120" i="1" s="1"/>
  <c r="AW121" i="1"/>
  <c r="AY121" i="1" s="1"/>
  <c r="AW122" i="1"/>
  <c r="AY122" i="1" s="1"/>
  <c r="AW125" i="1"/>
  <c r="AY125" i="1" s="1"/>
  <c r="AW126" i="1"/>
  <c r="AY126" i="1" s="1"/>
  <c r="AW127" i="1"/>
  <c r="AY127" i="1" s="1"/>
  <c r="AW128" i="1"/>
  <c r="AY128" i="1" s="1"/>
  <c r="AW129" i="1"/>
  <c r="AY129" i="1" s="1"/>
  <c r="AW130" i="1"/>
  <c r="AY130" i="1" s="1"/>
  <c r="AW131" i="1"/>
  <c r="AY131" i="1" s="1"/>
  <c r="AW132" i="1"/>
  <c r="AY132" i="1" s="1"/>
  <c r="AW133" i="1"/>
  <c r="AY133" i="1" s="1"/>
  <c r="AW134" i="1"/>
  <c r="AY134" i="1" s="1"/>
  <c r="AW135" i="1"/>
  <c r="AY135" i="1" s="1"/>
  <c r="AW136" i="1"/>
  <c r="AY136" i="1" s="1"/>
  <c r="AW137" i="1"/>
  <c r="AY137" i="1" s="1"/>
  <c r="AW138" i="1"/>
  <c r="AY138" i="1" s="1"/>
  <c r="AW139" i="1"/>
  <c r="AY139" i="1" s="1"/>
  <c r="AW140" i="1"/>
  <c r="AY140" i="1" s="1"/>
  <c r="AW141" i="1"/>
  <c r="AY141" i="1" s="1"/>
  <c r="AW142" i="1"/>
  <c r="AY142" i="1" s="1"/>
  <c r="AW143" i="1"/>
  <c r="AY143" i="1" s="1"/>
  <c r="AW145" i="1"/>
  <c r="AY145" i="1" s="1"/>
  <c r="AW149" i="1"/>
  <c r="AY149" i="1" s="1"/>
  <c r="AW150" i="1"/>
  <c r="AY150" i="1" s="1"/>
  <c r="AW151" i="1"/>
  <c r="AY151" i="1" s="1"/>
  <c r="AW152" i="1"/>
  <c r="AY152" i="1" s="1"/>
  <c r="AW153" i="1"/>
  <c r="AY153" i="1" s="1"/>
  <c r="AW154" i="1"/>
  <c r="AY154" i="1" s="1"/>
  <c r="AW155" i="1"/>
  <c r="AY155" i="1" s="1"/>
  <c r="AW157" i="1"/>
  <c r="AY157" i="1" s="1"/>
  <c r="AW158" i="1"/>
  <c r="AY158" i="1" s="1"/>
  <c r="AW160" i="1"/>
  <c r="AY160" i="1" s="1"/>
  <c r="AW161" i="1"/>
  <c r="AY161" i="1" s="1"/>
  <c r="AW162" i="1"/>
  <c r="AY162" i="1" s="1"/>
  <c r="AW163" i="1"/>
  <c r="AY163" i="1" s="1"/>
  <c r="AW165" i="1"/>
  <c r="AY165" i="1" s="1"/>
  <c r="AW166" i="1"/>
  <c r="AY166" i="1" s="1"/>
  <c r="AW167" i="1"/>
  <c r="AY167" i="1" s="1"/>
  <c r="AW156" i="1"/>
  <c r="AY156" i="1" s="1"/>
  <c r="AW168" i="1"/>
  <c r="AY168" i="1" s="1"/>
  <c r="AW169" i="1"/>
  <c r="AY169" i="1" s="1"/>
  <c r="AW170" i="1"/>
  <c r="AY170" i="1" s="1"/>
  <c r="AW172" i="1"/>
  <c r="AY172" i="1" s="1"/>
  <c r="AW173" i="1"/>
  <c r="AY173" i="1" s="1"/>
  <c r="AW175" i="1"/>
  <c r="AY175" i="1" s="1"/>
  <c r="AW176" i="1"/>
  <c r="AY176" i="1" s="1"/>
  <c r="AW177" i="1"/>
  <c r="AY177" i="1" s="1"/>
  <c r="AW178" i="1"/>
  <c r="AY178" i="1" s="1"/>
  <c r="AW183" i="1"/>
  <c r="AY183" i="1" s="1"/>
  <c r="AW186" i="1"/>
  <c r="AY186" i="1" s="1"/>
  <c r="AW187" i="1"/>
  <c r="AY187" i="1" s="1"/>
  <c r="AW190" i="1"/>
  <c r="AY190" i="1" s="1"/>
  <c r="AW200" i="1"/>
  <c r="AY200" i="1" s="1"/>
  <c r="AW201" i="1"/>
  <c r="AY201" i="1" s="1"/>
  <c r="AW202" i="1"/>
  <c r="AY202" i="1" s="1"/>
  <c r="AW204" i="1"/>
  <c r="AY204" i="1" s="1"/>
  <c r="AW213" i="1"/>
  <c r="AY213" i="1" s="1"/>
  <c r="AW215" i="1"/>
  <c r="AY215" i="1" s="1"/>
  <c r="AW115" i="1"/>
  <c r="AY115" i="1" s="1"/>
  <c r="AW98" i="1"/>
  <c r="AY98" i="1" s="1"/>
  <c r="AW114" i="1"/>
  <c r="AY114" i="1" s="1"/>
  <c r="AW123" i="1"/>
  <c r="AY123" i="1" s="1"/>
  <c r="AW124" i="1"/>
  <c r="AY124" i="1" s="1"/>
  <c r="AW146" i="1"/>
  <c r="AY146" i="1" s="1"/>
  <c r="AW159" i="1"/>
  <c r="AY159" i="1" s="1"/>
  <c r="AW164" i="1"/>
  <c r="AY164" i="1" s="1"/>
  <c r="AW147" i="1"/>
  <c r="AY147" i="1" s="1"/>
  <c r="AW209" i="1"/>
  <c r="AY209" i="1" s="1"/>
  <c r="AW197" i="1"/>
  <c r="AY197" i="1" s="1"/>
  <c r="AW205" i="1"/>
  <c r="AY205" i="1" s="1"/>
  <c r="AW212" i="1"/>
  <c r="AY212" i="1" s="1"/>
  <c r="AW188" i="1"/>
  <c r="AY188" i="1" s="1"/>
  <c r="AW181" i="1"/>
  <c r="AY181" i="1" s="1"/>
  <c r="AW179" i="1"/>
  <c r="AY179" i="1" s="1"/>
  <c r="AW203" i="1"/>
  <c r="AY203" i="1" s="1"/>
  <c r="AW214" i="1"/>
  <c r="AY214" i="1" s="1"/>
  <c r="AW210" i="1"/>
  <c r="AY210" i="1" s="1"/>
  <c r="AW211" i="1"/>
  <c r="AY211" i="1" s="1"/>
  <c r="AW182" i="1"/>
  <c r="AY182" i="1" s="1"/>
  <c r="AW195" i="1"/>
  <c r="AY195" i="1" s="1"/>
  <c r="AW144" i="1"/>
  <c r="AY144" i="1" s="1"/>
  <c r="AW148" i="1"/>
  <c r="AY148" i="1" s="1"/>
  <c r="AW174" i="1"/>
  <c r="AY174" i="1" s="1"/>
  <c r="AW171" i="1"/>
  <c r="AY171" i="1" s="1"/>
  <c r="AW184" i="1"/>
  <c r="AY184" i="1" s="1"/>
  <c r="AW191" i="1"/>
  <c r="AY191" i="1" s="1"/>
  <c r="AY194" i="1"/>
  <c r="AW196" i="1"/>
  <c r="AY196" i="1" s="1"/>
  <c r="AW185" i="1"/>
  <c r="AY185" i="1" s="1"/>
  <c r="AW217" i="1"/>
  <c r="AY217" i="1" s="1"/>
  <c r="AW199" i="1"/>
  <c r="AY199" i="1" s="1"/>
  <c r="AW180" i="1"/>
  <c r="AY180" i="1" s="1"/>
  <c r="AW206" i="1"/>
  <c r="AY206" i="1" s="1"/>
  <c r="AW207" i="1"/>
  <c r="AY207" i="1" s="1"/>
  <c r="AW208" i="1"/>
  <c r="AY208" i="1" s="1"/>
  <c r="AW192" i="1"/>
  <c r="AY192" i="1" s="1"/>
  <c r="AW218" i="1"/>
  <c r="AY218" i="1" s="1"/>
  <c r="AW234" i="1"/>
  <c r="AY234" i="1" s="1"/>
  <c r="AW220" i="1"/>
  <c r="AY220" i="1" s="1"/>
  <c r="AW235" i="1"/>
  <c r="AY235" i="1" s="1"/>
  <c r="AW236" i="1"/>
  <c r="AY236" i="1" s="1"/>
  <c r="AW237" i="1"/>
  <c r="AY237" i="1" s="1"/>
  <c r="AW238" i="1"/>
  <c r="AY238" i="1" s="1"/>
  <c r="AW239" i="1"/>
  <c r="AY239" i="1" s="1"/>
  <c r="AW221" i="1"/>
  <c r="AY221" i="1" s="1"/>
  <c r="AW222" i="1"/>
  <c r="AY222" i="1" s="1"/>
  <c r="AW223" i="1"/>
  <c r="AY223" i="1" s="1"/>
  <c r="AW224" i="1"/>
  <c r="AY224" i="1" s="1"/>
  <c r="AW225" i="1"/>
  <c r="AY225" i="1" s="1"/>
  <c r="AW226" i="1"/>
  <c r="AY226" i="1" s="1"/>
  <c r="AW227" i="1"/>
  <c r="AY227" i="1" s="1"/>
  <c r="AW228" i="1"/>
  <c r="AY228" i="1" s="1"/>
  <c r="AW229" i="1"/>
  <c r="AY229" i="1" s="1"/>
  <c r="AW230" i="1"/>
  <c r="AY230" i="1" s="1"/>
  <c r="AW231" i="1"/>
  <c r="AY231" i="1" s="1"/>
  <c r="AW232" i="1"/>
  <c r="AY232" i="1" s="1"/>
  <c r="AW240" i="1"/>
  <c r="AY240" i="1" s="1"/>
  <c r="AW241" i="1"/>
  <c r="AY241" i="1" s="1"/>
  <c r="AW2" i="1"/>
  <c r="AY2" i="1" s="1"/>
  <c r="AW3" i="1"/>
  <c r="AY3" i="1" s="1"/>
  <c r="AW242" i="1"/>
  <c r="AY242" i="1" s="1"/>
  <c r="AW4" i="1"/>
  <c r="AY4" i="1" s="1"/>
  <c r="AW5" i="1"/>
  <c r="AY5" i="1" s="1"/>
  <c r="AW6" i="1"/>
  <c r="AY6" i="1" s="1"/>
  <c r="AW53" i="1"/>
  <c r="AY53" i="1" s="1"/>
  <c r="AW52" i="1"/>
  <c r="AY52" i="1" s="1"/>
  <c r="AW243" i="1"/>
  <c r="AY243" i="1" s="1"/>
  <c r="AW42" i="1"/>
  <c r="AY42" i="1" s="1"/>
  <c r="AY45" i="1"/>
  <c r="AW46" i="1"/>
  <c r="AY46" i="1" s="1"/>
  <c r="AW20" i="1"/>
  <c r="AY20" i="1" s="1"/>
  <c r="AW21" i="1"/>
  <c r="AY21" i="1" s="1"/>
  <c r="AW22" i="1"/>
  <c r="AY22" i="1" s="1"/>
  <c r="AW12" i="1"/>
  <c r="AY12" i="1" s="1"/>
  <c r="AW17" i="1"/>
  <c r="AY17" i="1" s="1"/>
  <c r="AW29" i="1"/>
  <c r="AY29" i="1" s="1"/>
  <c r="AW32" i="1"/>
  <c r="AY32" i="1" s="1"/>
  <c r="AW37" i="1"/>
  <c r="AY37" i="1" s="1"/>
  <c r="AW35" i="1"/>
  <c r="AY35" i="1" s="1"/>
  <c r="AW47" i="1"/>
  <c r="AY47" i="1" s="1"/>
  <c r="AW59" i="1"/>
  <c r="AY59" i="1" s="1"/>
  <c r="AW55" i="1"/>
  <c r="AY55" i="1" s="1"/>
  <c r="AW67" i="1"/>
  <c r="AY67" i="1" s="1"/>
  <c r="AW68" i="1"/>
  <c r="AY68" i="1" s="1"/>
  <c r="AW69" i="1"/>
  <c r="AY69" i="1" s="1"/>
  <c r="AW70" i="1"/>
  <c r="AY70" i="1" s="1"/>
  <c r="AW71" i="1"/>
  <c r="AY71" i="1" s="1"/>
  <c r="AW72" i="1"/>
  <c r="AY72" i="1" s="1"/>
  <c r="AW73" i="1"/>
  <c r="AY73" i="1" s="1"/>
  <c r="AW74" i="1"/>
  <c r="AY74" i="1" s="1"/>
  <c r="AW75" i="1"/>
  <c r="AY75" i="1" s="1"/>
  <c r="AW76" i="1"/>
  <c r="AY76" i="1" s="1"/>
  <c r="AW77" i="1"/>
  <c r="AY77" i="1" s="1"/>
  <c r="AW78" i="1"/>
  <c r="AY78" i="1" s="1"/>
  <c r="AW58" i="1"/>
  <c r="AY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89" i="1" s="1"/>
  <c r="C2" i="3" l="1"/>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G143" i="1"/>
  <c r="AG59" i="1"/>
  <c r="AG67" i="1"/>
  <c r="AG68" i="1"/>
  <c r="AG69" i="1"/>
  <c r="AG70" i="1"/>
  <c r="AG71" i="1"/>
  <c r="AG72" i="1"/>
  <c r="AG73" i="1"/>
  <c r="AG74" i="1"/>
  <c r="AG75" i="1"/>
  <c r="AG76" i="1"/>
  <c r="AG77" i="1"/>
  <c r="AG78" i="1"/>
  <c r="AG79" i="1"/>
  <c r="AG80" i="1"/>
  <c r="AG81" i="1"/>
  <c r="AG82" i="1"/>
  <c r="AG83" i="1"/>
  <c r="AG84" i="1"/>
  <c r="AG85" i="1"/>
  <c r="AG86" i="1"/>
  <c r="AG89" i="1"/>
  <c r="AG90" i="1"/>
  <c r="AG91" i="1"/>
  <c r="AG92" i="1"/>
  <c r="AG93" i="1"/>
  <c r="AG94" i="1"/>
  <c r="AG95" i="1"/>
  <c r="AG96" i="1"/>
  <c r="AG97" i="1"/>
  <c r="AG99" i="1"/>
  <c r="AG100" i="1"/>
  <c r="AG101" i="1"/>
  <c r="AG102" i="1"/>
  <c r="AG87" i="1"/>
  <c r="AG103" i="1"/>
  <c r="AG104" i="1"/>
  <c r="AG105" i="1"/>
  <c r="AG106" i="1"/>
  <c r="AG107" i="1"/>
  <c r="AG108" i="1"/>
  <c r="AG109" i="1"/>
  <c r="AG110" i="1"/>
  <c r="AG111" i="1"/>
  <c r="AG112" i="1"/>
  <c r="AG113" i="1"/>
  <c r="AG116" i="1"/>
  <c r="AG117" i="1"/>
  <c r="AG118" i="1"/>
  <c r="AG119" i="1"/>
  <c r="AG120" i="1"/>
  <c r="AG121" i="1"/>
  <c r="AG122" i="1"/>
  <c r="AG125" i="1"/>
  <c r="AG126" i="1"/>
  <c r="AG127" i="1"/>
  <c r="AG128" i="1"/>
  <c r="AG129" i="1"/>
  <c r="AG130" i="1"/>
  <c r="AG131" i="1"/>
  <c r="AG132" i="1"/>
  <c r="AG133" i="1"/>
  <c r="AG134" i="1"/>
  <c r="AG135" i="1"/>
  <c r="AG136" i="1"/>
  <c r="AG138" i="1"/>
  <c r="AG139" i="1"/>
  <c r="AG140" i="1"/>
  <c r="AG141" i="1"/>
  <c r="AG145" i="1"/>
  <c r="AG149" i="1"/>
  <c r="AG150" i="1"/>
  <c r="AG151" i="1"/>
  <c r="AG152" i="1"/>
  <c r="AG153" i="1"/>
  <c r="AG154" i="1"/>
  <c r="AG155" i="1"/>
  <c r="AG157" i="1"/>
  <c r="AG158" i="1"/>
  <c r="AG160" i="1"/>
  <c r="AG161" i="1"/>
  <c r="AG162" i="1"/>
  <c r="AG163" i="1"/>
  <c r="AG165" i="1"/>
  <c r="AG166" i="1"/>
  <c r="AG167" i="1"/>
  <c r="AG156" i="1"/>
  <c r="AG168" i="1"/>
  <c r="AG169" i="1"/>
  <c r="AG170" i="1"/>
  <c r="AG172" i="1"/>
  <c r="AG173" i="1"/>
  <c r="AG175" i="1"/>
  <c r="AG176" i="1"/>
  <c r="AG177" i="1"/>
  <c r="AG178" i="1"/>
  <c r="AG183" i="1"/>
  <c r="AG186" i="1"/>
  <c r="AG187" i="1"/>
  <c r="AG190" i="1"/>
  <c r="AG200" i="1"/>
  <c r="AG201" i="1"/>
  <c r="AG202" i="1"/>
  <c r="AG204" i="1"/>
  <c r="AG213" i="1"/>
  <c r="AG215" i="1"/>
  <c r="AG115" i="1"/>
  <c r="AG98" i="1"/>
  <c r="AG114" i="1"/>
  <c r="AG123" i="1"/>
  <c r="AG124" i="1"/>
  <c r="AG146" i="1"/>
  <c r="AG159" i="1"/>
  <c r="AG164" i="1"/>
  <c r="AG147" i="1"/>
  <c r="AG209" i="1"/>
  <c r="AG197" i="1"/>
  <c r="AG205" i="1"/>
  <c r="AG212" i="1"/>
  <c r="AG188" i="1"/>
  <c r="AG181" i="1"/>
  <c r="AG179" i="1"/>
  <c r="AG203" i="1"/>
  <c r="AG214" i="1"/>
  <c r="AG210" i="1"/>
  <c r="AG211" i="1"/>
  <c r="AG182" i="1"/>
  <c r="AG195" i="1"/>
  <c r="AG144" i="1"/>
  <c r="AG148" i="1"/>
  <c r="AG174" i="1"/>
  <c r="AG171" i="1"/>
  <c r="AG184" i="1"/>
  <c r="AG191" i="1"/>
  <c r="AG194" i="1"/>
  <c r="AG196" i="1"/>
  <c r="AG185" i="1"/>
  <c r="AG217" i="1"/>
  <c r="AG199" i="1"/>
  <c r="AG206" i="1"/>
  <c r="AG207" i="1"/>
  <c r="AG208" i="1"/>
  <c r="AG192" i="1"/>
  <c r="AG218" i="1"/>
  <c r="AG234" i="1"/>
  <c r="AG220" i="1"/>
  <c r="AG235" i="1"/>
  <c r="AG236" i="1"/>
  <c r="AG237" i="1"/>
  <c r="AG238" i="1"/>
  <c r="AG239" i="1"/>
  <c r="AG221" i="1"/>
  <c r="AG222" i="1"/>
  <c r="AG223" i="1"/>
  <c r="AG224" i="1"/>
  <c r="AG225" i="1"/>
  <c r="AG226" i="1"/>
  <c r="AG227" i="1"/>
  <c r="AG228" i="1"/>
  <c r="AG229" i="1"/>
  <c r="AG230" i="1"/>
  <c r="AG231" i="1"/>
  <c r="AG232" i="1"/>
  <c r="AG240" i="1"/>
  <c r="AG241" i="1"/>
  <c r="AG2" i="1"/>
  <c r="AG3" i="1"/>
  <c r="AG242" i="1"/>
  <c r="AG4" i="1"/>
  <c r="AG5" i="1"/>
  <c r="AG6" i="1"/>
  <c r="AG53" i="1"/>
  <c r="AG52" i="1"/>
  <c r="AG243" i="1"/>
  <c r="AG42" i="1"/>
  <c r="AG46" i="1"/>
  <c r="AG20" i="1"/>
  <c r="AG21" i="1"/>
  <c r="AG22" i="1"/>
  <c r="AG26" i="1"/>
  <c r="AG28" i="1"/>
  <c r="AF28" i="1" s="1"/>
  <c r="AG12" i="1"/>
  <c r="AG17" i="1"/>
  <c r="AI17" i="1" s="1"/>
  <c r="AG29" i="1"/>
  <c r="AG32" i="1"/>
  <c r="AG37" i="1"/>
  <c r="AG35" i="1"/>
  <c r="AG47" i="1"/>
  <c r="AI47" i="1" s="1"/>
  <c r="AG58" i="1"/>
  <c r="AF26" i="1" l="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<sst xmlns="http://schemas.openxmlformats.org/spreadsheetml/2006/main" count="2377" uniqueCount="1163">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</sst>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Z248"/>
  <sheetViews>
    <sheetView workbookViewId="0">
      <pane xSplit="1" ySplit="1" topLeftCell="AB2" activePane="bottomRight" state="frozenSplit"/>
      <selection pane="topRight" activeCell="B1" sqref="B1"/>
      <selection pane="bottomLeft" activeCell="A2" sqref="A2"/>
      <selection pane="bottomRight" activeCell="AG10" sqref="AG10"/>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7" max="47" width="16.85546875" bestFit="1" customWidth="1"/>
    <col min="48" max="48" width="15.5703125" bestFit="1" customWidth="1"/>
    <col min="50" max="50" width="15.7109375" bestFit="1" customWidth="1"/>
    <col min="51" max="51" width="21.7109375" bestFit="1" customWidth="1"/>
  </cols>
  <sheetData>
    <row r="1" spans="1:52" s="1" customFormat="1" x14ac:dyDescent="0.25">
      <c r="A1" s="1" t="s">
        <v>156</v>
      </c>
      <c r="B1" s="1" t="s">
        <v>157</v>
      </c>
      <c r="C1" s="1" t="s">
        <v>786</v>
      </c>
      <c r="D1" s="1" t="s">
        <v>155</v>
      </c>
      <c r="E1" s="1" t="s">
        <v>313</v>
      </c>
      <c r="F1" s="1" t="s">
        <v>316</v>
      </c>
      <c r="G1" s="1" t="s">
        <v>159</v>
      </c>
      <c r="H1" s="1" t="s">
        <v>160</v>
      </c>
      <c r="I1" s="1" t="s">
        <v>161</v>
      </c>
      <c r="J1" s="1" t="s">
        <v>162</v>
      </c>
      <c r="K1" s="1" t="s">
        <v>163</v>
      </c>
      <c r="L1" s="8" t="s">
        <v>598</v>
      </c>
      <c r="M1" s="5" t="s">
        <v>418</v>
      </c>
      <c r="N1" s="5" t="s">
        <v>415</v>
      </c>
      <c r="O1" s="5" t="s">
        <v>416</v>
      </c>
      <c r="P1" s="5" t="s">
        <v>413</v>
      </c>
      <c r="Q1" s="5" t="s">
        <v>414</v>
      </c>
      <c r="R1" s="5" t="s">
        <v>419</v>
      </c>
      <c r="S1" s="5" t="s">
        <v>417</v>
      </c>
      <c r="T1" s="1" t="s">
        <v>164</v>
      </c>
      <c r="U1" s="8" t="s">
        <v>165</v>
      </c>
      <c r="V1" s="1" t="s">
        <v>319</v>
      </c>
      <c r="W1" s="1" t="s">
        <v>166</v>
      </c>
      <c r="X1" s="3" t="s">
        <v>307</v>
      </c>
      <c r="Y1" s="1" t="s">
        <v>167</v>
      </c>
      <c r="Z1" s="1" t="s">
        <v>423</v>
      </c>
      <c r="AA1" s="1" t="s">
        <v>168</v>
      </c>
      <c r="AB1" s="1" t="s">
        <v>328</v>
      </c>
      <c r="AC1" s="1" t="s">
        <v>286</v>
      </c>
      <c r="AD1" s="1" t="s">
        <v>169</v>
      </c>
      <c r="AE1" s="10" t="s">
        <v>306</v>
      </c>
      <c r="AF1" s="1" t="s">
        <v>158</v>
      </c>
      <c r="AG1" s="1" t="s">
        <v>311</v>
      </c>
      <c r="AH1" s="1" t="s">
        <v>334</v>
      </c>
      <c r="AI1" s="1" t="s">
        <v>287</v>
      </c>
      <c r="AJ1" s="12" t="s">
        <v>743</v>
      </c>
      <c r="AK1" s="1" t="s">
        <v>453</v>
      </c>
      <c r="AL1" s="1" t="s">
        <v>609</v>
      </c>
      <c r="AM1" s="1" t="s">
        <v>454</v>
      </c>
      <c r="AN1" s="1" t="s">
        <v>536</v>
      </c>
      <c r="AO1" s="1" t="s">
        <v>312</v>
      </c>
      <c r="AP1" s="1" t="s">
        <v>320</v>
      </c>
      <c r="AQ1" s="1" t="s">
        <v>321</v>
      </c>
      <c r="AR1" s="1" t="s">
        <v>350</v>
      </c>
      <c r="AS1" s="1" t="s">
        <v>623</v>
      </c>
      <c r="AT1" s="1" t="s">
        <v>718</v>
      </c>
      <c r="AU1" s="1" t="s">
        <v>1113</v>
      </c>
      <c r="AV1" s="1" t="s">
        <v>325</v>
      </c>
      <c r="AW1" s="1" t="s">
        <v>366</v>
      </c>
      <c r="AX1" s="1" t="s">
        <v>387</v>
      </c>
      <c r="AY1" s="1" t="s">
        <v>389</v>
      </c>
      <c r="AZ1" s="1" t="s">
        <v>390</v>
      </c>
    </row>
    <row r="2" spans="1:52" x14ac:dyDescent="0.25">
      <c r="A2" t="s">
        <v>128</v>
      </c>
      <c r="B2" t="s">
        <v>238</v>
      </c>
      <c r="D2" t="s">
        <v>324</v>
      </c>
      <c r="F2" t="s">
        <v>317</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10</v>
      </c>
      <c r="AQ2">
        <v>10</v>
      </c>
      <c r="AU2" t="s">
        <v>945</v>
      </c>
      <c r="AV2" t="s">
        <v>326</v>
      </c>
      <c r="AW2" t="str">
        <f>VLOOKUP(G2,Eras!$A$2:$C$10, 2, TRUE)</f>
        <v>vct</v>
      </c>
      <c r="AX2" t="s">
        <v>378</v>
      </c>
      <c r="AY2" t="str">
        <f t="shared" ref="AY2:AY22" si="2">CONCATENATE(AW2,"_",AX2)</f>
        <v>vct_Carriage</v>
      </c>
      <c r="AZ2" t="s">
        <v>779</v>
      </c>
    </row>
    <row r="3" spans="1:52" x14ac:dyDescent="0.25">
      <c r="A3" t="s">
        <v>129</v>
      </c>
      <c r="B3" t="s">
        <v>499</v>
      </c>
      <c r="D3" t="s">
        <v>324</v>
      </c>
      <c r="F3" t="s">
        <v>317</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945</v>
      </c>
      <c r="AV3" t="s">
        <v>326</v>
      </c>
      <c r="AW3" t="str">
        <f>VLOOKUP(G3,Eras!$A$2:$C$10, 2, TRUE)</f>
        <v>big4</v>
      </c>
      <c r="AX3" t="s">
        <v>378</v>
      </c>
      <c r="AY3" t="str">
        <f t="shared" si="2"/>
        <v>big4_Carriage</v>
      </c>
      <c r="AZ3" t="s">
        <v>500</v>
      </c>
    </row>
    <row r="4" spans="1:52" x14ac:dyDescent="0.25">
      <c r="A4" t="s">
        <v>131</v>
      </c>
      <c r="B4" t="s">
        <v>301</v>
      </c>
      <c r="D4" t="s">
        <v>324</v>
      </c>
      <c r="F4" t="s">
        <v>317</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945</v>
      </c>
      <c r="AV4" t="s">
        <v>326</v>
      </c>
      <c r="AW4" t="str">
        <f>VLOOKUP(G4,Eras!$A$2:$C$10, 2, TRUE)</f>
        <v>ebr</v>
      </c>
      <c r="AX4" t="s">
        <v>378</v>
      </c>
      <c r="AY4" t="str">
        <f t="shared" si="2"/>
        <v>ebr_Carriage</v>
      </c>
      <c r="AZ4" t="s">
        <v>682</v>
      </c>
    </row>
    <row r="5" spans="1:52" x14ac:dyDescent="0.25">
      <c r="A5" t="s">
        <v>132</v>
      </c>
      <c r="B5" t="s">
        <v>300</v>
      </c>
      <c r="D5" t="s">
        <v>324</v>
      </c>
      <c r="F5" t="s">
        <v>317</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945</v>
      </c>
      <c r="AV5" t="s">
        <v>326</v>
      </c>
      <c r="AW5" t="str">
        <f>VLOOKUP(G5,Eras!$A$2:$C$10, 2, TRUE)</f>
        <v>dsl</v>
      </c>
      <c r="AX5" t="s">
        <v>378</v>
      </c>
      <c r="AY5" t="str">
        <f t="shared" si="2"/>
        <v>dsl_Carriage</v>
      </c>
      <c r="AZ5" t="s">
        <v>404</v>
      </c>
    </row>
    <row r="6" spans="1:52" x14ac:dyDescent="0.25">
      <c r="A6" t="s">
        <v>133</v>
      </c>
      <c r="B6" t="s">
        <v>302</v>
      </c>
      <c r="D6" t="s">
        <v>324</v>
      </c>
      <c r="F6" t="s">
        <v>317</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945</v>
      </c>
      <c r="AV6" t="s">
        <v>326</v>
      </c>
      <c r="AW6" t="str">
        <f>VLOOKUP(G6,Eras!$A$2:$C$10, 2, TRUE)</f>
        <v>lbr</v>
      </c>
      <c r="AX6" t="s">
        <v>378</v>
      </c>
      <c r="AY6" t="str">
        <f t="shared" si="2"/>
        <v>lbr_Carriage</v>
      </c>
      <c r="AZ6" t="s">
        <v>405</v>
      </c>
    </row>
    <row r="7" spans="1:52" x14ac:dyDescent="0.25">
      <c r="A7" t="s">
        <v>134</v>
      </c>
      <c r="B7" t="s">
        <v>303</v>
      </c>
      <c r="D7" t="s">
        <v>324</v>
      </c>
      <c r="F7" t="s">
        <v>317</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945</v>
      </c>
      <c r="AV7" t="s">
        <v>326</v>
      </c>
      <c r="AW7" t="str">
        <f>VLOOKUP(G7,Eras!$A$2:$C$10, 2, TRUE)</f>
        <v>lbr</v>
      </c>
      <c r="AX7" t="s">
        <v>378</v>
      </c>
      <c r="AY7" t="str">
        <f t="shared" si="2"/>
        <v>lbr_Carriage</v>
      </c>
      <c r="AZ7" t="s">
        <v>629</v>
      </c>
    </row>
    <row r="8" spans="1:52" x14ac:dyDescent="0.25">
      <c r="A8" t="s">
        <v>447</v>
      </c>
      <c r="B8" t="s">
        <v>448</v>
      </c>
      <c r="D8" t="s">
        <v>324</v>
      </c>
      <c r="F8" t="s">
        <v>317</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945</v>
      </c>
      <c r="AV8" t="s">
        <v>326</v>
      </c>
      <c r="AW8" t="str">
        <f>VLOOKUP(G8,Eras!$A$2:$C$10, 2, TRUE)</f>
        <v>edw</v>
      </c>
      <c r="AX8" t="s">
        <v>378</v>
      </c>
      <c r="AY8" t="str">
        <f t="shared" si="2"/>
        <v>edw_Carriage</v>
      </c>
      <c r="AZ8" t="s">
        <v>449</v>
      </c>
    </row>
    <row r="9" spans="1:52" x14ac:dyDescent="0.25">
      <c r="A9" t="s">
        <v>850</v>
      </c>
      <c r="B9" t="s">
        <v>852</v>
      </c>
      <c r="D9" t="s">
        <v>324</v>
      </c>
      <c r="F9" t="s">
        <v>317</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1114</v>
      </c>
      <c r="AV9" t="s">
        <v>463</v>
      </c>
      <c r="AW9" t="str">
        <f>VLOOKUP(G9,Eras!$A$2:$C$10, 2, TRUE)</f>
        <v>vct</v>
      </c>
      <c r="AX9" t="s">
        <v>384</v>
      </c>
      <c r="AY9" t="str">
        <f t="shared" ref="AY9" si="5">CONCATENATE(AW9,"_",AX9)</f>
        <v>vct_Flat Wagon</v>
      </c>
      <c r="AZ9" t="s">
        <v>851</v>
      </c>
    </row>
    <row r="10" spans="1:52" x14ac:dyDescent="0.25">
      <c r="A10" t="s">
        <v>461</v>
      </c>
      <c r="B10" t="s">
        <v>462</v>
      </c>
      <c r="D10" t="s">
        <v>324</v>
      </c>
      <c r="F10" t="s">
        <v>317</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1114</v>
      </c>
      <c r="AV10" t="s">
        <v>463</v>
      </c>
      <c r="AW10" t="str">
        <f>VLOOKUP(G10,Eras!$A$2:$C$10, 2, TRUE)</f>
        <v>edw</v>
      </c>
      <c r="AX10" t="s">
        <v>384</v>
      </c>
      <c r="AY10" t="str">
        <f t="shared" si="2"/>
        <v>edw_Flat Wagon</v>
      </c>
      <c r="AZ10" t="s">
        <v>464</v>
      </c>
    </row>
    <row r="11" spans="1:52" x14ac:dyDescent="0.25">
      <c r="A11" t="s">
        <v>838</v>
      </c>
      <c r="B11" t="s">
        <v>839</v>
      </c>
      <c r="D11" t="s">
        <v>324</v>
      </c>
      <c r="F11" t="s">
        <v>317</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1114</v>
      </c>
      <c r="AV11" t="s">
        <v>463</v>
      </c>
      <c r="AW11" t="str">
        <f>VLOOKUP(G11,Eras!$A$2:$C$10, 2, TRUE)</f>
        <v>big4</v>
      </c>
      <c r="AX11" t="s">
        <v>384</v>
      </c>
      <c r="AY11" t="str">
        <f t="shared" ref="AY11" si="8">CONCATENATE(AW11,"_",AX11)</f>
        <v>big4_Flat Wagon</v>
      </c>
      <c r="AZ11" t="s">
        <v>840</v>
      </c>
    </row>
    <row r="12" spans="1:52" x14ac:dyDescent="0.25">
      <c r="A12" t="s">
        <v>142</v>
      </c>
      <c r="B12" t="s">
        <v>833</v>
      </c>
      <c r="D12" t="s">
        <v>324</v>
      </c>
      <c r="F12" t="s">
        <v>317</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1114</v>
      </c>
      <c r="AV12" t="s">
        <v>463</v>
      </c>
      <c r="AW12" t="str">
        <f>VLOOKUP(G12,Eras!$A$2:$C$10, 2, TRUE)</f>
        <v>edw</v>
      </c>
      <c r="AX12" t="s">
        <v>384</v>
      </c>
      <c r="AY12" t="str">
        <f t="shared" si="2"/>
        <v>edw_Flat Wagon</v>
      </c>
      <c r="AZ12" t="s">
        <v>832</v>
      </c>
    </row>
    <row r="13" spans="1:52" x14ac:dyDescent="0.25">
      <c r="A13" t="s">
        <v>844</v>
      </c>
      <c r="B13" t="s">
        <v>845</v>
      </c>
      <c r="D13" t="s">
        <v>324</v>
      </c>
      <c r="F13" t="s">
        <v>317</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1114</v>
      </c>
      <c r="AV13" t="s">
        <v>463</v>
      </c>
      <c r="AW13" t="str">
        <f>VLOOKUP(G13,Eras!$A$2:$C$10, 2, TRUE)</f>
        <v>ebr</v>
      </c>
      <c r="AX13" t="s">
        <v>384</v>
      </c>
      <c r="AY13" t="str">
        <f t="shared" si="2"/>
        <v>ebr_Flat Wagon</v>
      </c>
      <c r="AZ13" t="s">
        <v>846</v>
      </c>
    </row>
    <row r="14" spans="1:52" x14ac:dyDescent="0.25">
      <c r="A14" t="s">
        <v>841</v>
      </c>
      <c r="B14" t="s">
        <v>842</v>
      </c>
      <c r="D14" t="s">
        <v>324</v>
      </c>
      <c r="F14" t="s">
        <v>317</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1114</v>
      </c>
      <c r="AV14" t="s">
        <v>463</v>
      </c>
      <c r="AW14" t="str">
        <f>VLOOKUP(G14,Eras!$A$2:$C$10, 2, TRUE)</f>
        <v>lbr</v>
      </c>
      <c r="AX14" t="s">
        <v>384</v>
      </c>
      <c r="AY14" t="str">
        <f t="shared" ref="AY14:AY16" si="11">CONCATENATE(AW14,"_",AX14)</f>
        <v>lbr_Flat Wagon</v>
      </c>
      <c r="AZ14" t="s">
        <v>843</v>
      </c>
    </row>
    <row r="15" spans="1:52" x14ac:dyDescent="0.25">
      <c r="A15" t="s">
        <v>847</v>
      </c>
      <c r="B15" t="s">
        <v>848</v>
      </c>
      <c r="D15" t="s">
        <v>324</v>
      </c>
      <c r="F15" t="s">
        <v>317</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1114</v>
      </c>
      <c r="AV15" t="s">
        <v>463</v>
      </c>
      <c r="AW15" t="str">
        <f>VLOOKUP(G15,Eras!$A$2:$C$10, 2, TRUE)</f>
        <v>mod</v>
      </c>
      <c r="AX15" t="s">
        <v>384</v>
      </c>
      <c r="AY15" t="str">
        <f t="shared" si="11"/>
        <v>mod_Flat Wagon</v>
      </c>
      <c r="AZ15" t="s">
        <v>849</v>
      </c>
    </row>
    <row r="16" spans="1:52" x14ac:dyDescent="0.25">
      <c r="A16" t="s">
        <v>865</v>
      </c>
      <c r="B16" t="s">
        <v>866</v>
      </c>
      <c r="D16" t="s">
        <v>324</v>
      </c>
      <c r="F16" t="s">
        <v>317</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1115</v>
      </c>
      <c r="AV16" t="s">
        <v>329</v>
      </c>
      <c r="AW16" t="str">
        <f>VLOOKUP(G16,Eras!$A$2:$C$10, 2, TRUE)</f>
        <v>big4</v>
      </c>
      <c r="AX16" t="s">
        <v>763</v>
      </c>
      <c r="AY16" t="str">
        <f t="shared" si="11"/>
        <v>big4_Extra</v>
      </c>
      <c r="AZ16" t="s">
        <v>867</v>
      </c>
    </row>
    <row r="17" spans="1:52" x14ac:dyDescent="0.25">
      <c r="A17" t="s">
        <v>834</v>
      </c>
      <c r="B17" t="s">
        <v>835</v>
      </c>
      <c r="D17" t="s">
        <v>324</v>
      </c>
      <c r="F17" t="s">
        <v>317</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1115</v>
      </c>
      <c r="AV17" t="s">
        <v>329</v>
      </c>
      <c r="AW17" t="str">
        <f>VLOOKUP(G17,Eras!$A$2:$C$10, 2, TRUE)</f>
        <v>dsl</v>
      </c>
      <c r="AX17" t="s">
        <v>763</v>
      </c>
      <c r="AY17" t="str">
        <f t="shared" si="2"/>
        <v>dsl_Extra</v>
      </c>
      <c r="AZ17" t="s">
        <v>868</v>
      </c>
    </row>
    <row r="18" spans="1:52" x14ac:dyDescent="0.25">
      <c r="A18" t="s">
        <v>836</v>
      </c>
      <c r="B18" t="s">
        <v>837</v>
      </c>
      <c r="D18" t="s">
        <v>324</v>
      </c>
      <c r="F18" t="s">
        <v>317</v>
      </c>
      <c r="G18">
        <v>1991</v>
      </c>
      <c r="T18">
        <v>17</v>
      </c>
      <c r="V18">
        <v>18</v>
      </c>
      <c r="X18" s="4" t="str">
        <f t="shared" ref="X18" si="12">IF(AND(T18&gt;0,W18&gt;0),(W18/((T18+U18)*10)),"")</f>
        <v/>
      </c>
      <c r="Y18">
        <v>90</v>
      </c>
      <c r="AA18">
        <v>19.3</v>
      </c>
      <c r="AB18">
        <v>19.3</v>
      </c>
      <c r="AE18" s="11">
        <v>60</v>
      </c>
      <c r="AF18" t="str">
        <f>CONCATENATE(VLOOKUP(AG18, 'Voxel Sizes'!$A$2:$B$18,2,FALSE),"x",INT(AC18*15), "x", INT(AD18*15))</f>
        <v>186x0x0</v>
      </c>
      <c r="AG18">
        <f t="shared" ref="AG18" si="13">ROUND(15*((AB18*10)/256),0)</f>
        <v>11</v>
      </c>
      <c r="AI18" t="str">
        <f>CONCATENATE(VLOOKUP(AG18,'Articulated Lengths'!$A$2:$C$16,IF(AH18&lt;&gt;"", 3, 2), FALSE),IF(AH18&lt;&gt;"",CONCATENATE(",",VLOOKUP(AH18,$B:$AI,34,FALSE)),""))</f>
        <v>4,3,4</v>
      </c>
      <c r="AP18">
        <v>10</v>
      </c>
      <c r="AQ18">
        <v>10</v>
      </c>
      <c r="AU18" t="s">
        <v>1115</v>
      </c>
      <c r="AV18" t="s">
        <v>329</v>
      </c>
      <c r="AW18" t="str">
        <f>VLOOKUP(G18,Eras!$A$2:$C$10, 2, TRUE)</f>
        <v>lbr</v>
      </c>
      <c r="AX18" t="s">
        <v>763</v>
      </c>
      <c r="AY18" t="str">
        <f t="shared" ref="AY18" si="14">CONCATENATE(AW18,"_",AX18)</f>
        <v>lbr_Extra</v>
      </c>
      <c r="AZ18" t="s">
        <v>869</v>
      </c>
    </row>
    <row r="19" spans="1:52" x14ac:dyDescent="0.25">
      <c r="A19" t="s">
        <v>870</v>
      </c>
      <c r="B19" t="s">
        <v>871</v>
      </c>
      <c r="D19" t="s">
        <v>324</v>
      </c>
      <c r="F19" t="s">
        <v>317</v>
      </c>
      <c r="G19">
        <v>1997</v>
      </c>
      <c r="T19">
        <v>23</v>
      </c>
      <c r="V19">
        <v>18</v>
      </c>
      <c r="X19" s="4" t="str">
        <f t="shared" ref="X19" si="15">IF(AND(T19&gt;0,W19&gt;0),(W19/((T19+U19)*10)),"")</f>
        <v/>
      </c>
      <c r="Y19">
        <v>90</v>
      </c>
      <c r="AA19">
        <v>19.3</v>
      </c>
      <c r="AB19">
        <v>19.3</v>
      </c>
      <c r="AE19" s="11">
        <v>51</v>
      </c>
      <c r="AF19" t="str">
        <f>CONCATENATE(VLOOKUP(AG19, 'Voxel Sizes'!$A$2:$B$18,2,FALSE),"x",INT(AC19*15), "x", INT(AD19*15))</f>
        <v>186x0x0</v>
      </c>
      <c r="AG19">
        <f t="shared" ref="AG19" si="16">ROUND(15*((AB19*10)/256),0)</f>
        <v>11</v>
      </c>
      <c r="AI19" t="str">
        <f>CONCATENATE(VLOOKUP(AG19,'Articulated Lengths'!$A$2:$C$16,IF(AH19&lt;&gt;"", 3, 2), FALSE),IF(AH19&lt;&gt;"",CONCATENATE(",",VLOOKUP(AH19,$B:$AI,34,FALSE)),""))</f>
        <v>4,3,4</v>
      </c>
      <c r="AP19">
        <v>10</v>
      </c>
      <c r="AQ19">
        <v>10</v>
      </c>
      <c r="AU19" t="s">
        <v>1115</v>
      </c>
      <c r="AV19" t="s">
        <v>329</v>
      </c>
      <c r="AW19" t="str">
        <f>VLOOKUP(G19,Eras!$A$2:$C$10, 2, TRUE)</f>
        <v>prv</v>
      </c>
      <c r="AX19" t="s">
        <v>763</v>
      </c>
      <c r="AY19" t="str">
        <f t="shared" ref="AY19" si="17">CONCATENATE(AW19,"_",AX19)</f>
        <v>prv_Extra</v>
      </c>
      <c r="AZ19" t="s">
        <v>882</v>
      </c>
    </row>
    <row r="20" spans="1:52" x14ac:dyDescent="0.25">
      <c r="A20" t="s">
        <v>139</v>
      </c>
      <c r="B20" t="s">
        <v>298</v>
      </c>
      <c r="D20" t="s">
        <v>324</v>
      </c>
      <c r="F20" t="s">
        <v>317</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1112</v>
      </c>
      <c r="AV20" t="s">
        <v>784</v>
      </c>
      <c r="AW20" t="str">
        <f>VLOOKUP(G20,Eras!$A$2:$C$10, 2, TRUE)</f>
        <v>vct</v>
      </c>
      <c r="AX20" t="s">
        <v>383</v>
      </c>
      <c r="AY20" t="str">
        <f t="shared" si="2"/>
        <v>vct_Open Wagon</v>
      </c>
      <c r="AZ20" t="s">
        <v>407</v>
      </c>
    </row>
    <row r="21" spans="1:52" x14ac:dyDescent="0.25">
      <c r="A21" t="s">
        <v>140</v>
      </c>
      <c r="B21" t="s">
        <v>299</v>
      </c>
      <c r="D21" t="s">
        <v>324</v>
      </c>
      <c r="F21" t="s">
        <v>317</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1112</v>
      </c>
      <c r="AV21" t="s">
        <v>784</v>
      </c>
      <c r="AW21" t="str">
        <f>VLOOKUP(G21,Eras!$A$2:$C$10, 2, TRUE)</f>
        <v>edw</v>
      </c>
      <c r="AX21" t="s">
        <v>383</v>
      </c>
      <c r="AY21" t="str">
        <f t="shared" si="2"/>
        <v>edw_Open Wagon</v>
      </c>
      <c r="AZ21" t="s">
        <v>408</v>
      </c>
    </row>
    <row r="22" spans="1:52" x14ac:dyDescent="0.25">
      <c r="A22" t="s">
        <v>141</v>
      </c>
      <c r="B22" t="s">
        <v>243</v>
      </c>
      <c r="D22" t="s">
        <v>324</v>
      </c>
      <c r="F22" t="s">
        <v>317</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1112</v>
      </c>
      <c r="AV22" t="s">
        <v>784</v>
      </c>
      <c r="AW22" t="str">
        <f>VLOOKUP(G22,Eras!$A$2:$C$10, 2, TRUE)</f>
        <v>big4</v>
      </c>
      <c r="AX22" t="s">
        <v>383</v>
      </c>
      <c r="AY22" t="str">
        <f t="shared" si="2"/>
        <v>big4_Open Wagon</v>
      </c>
      <c r="AZ22" t="s">
        <v>785</v>
      </c>
    </row>
    <row r="23" spans="1:52" x14ac:dyDescent="0.25">
      <c r="A23" t="s">
        <v>789</v>
      </c>
      <c r="B23" t="s">
        <v>790</v>
      </c>
      <c r="D23" t="s">
        <v>324</v>
      </c>
      <c r="F23" t="s">
        <v>317</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1112</v>
      </c>
      <c r="AV23" t="s">
        <v>784</v>
      </c>
      <c r="AW23" t="str">
        <f>VLOOKUP(G23,Eras!$A$2:$C$10, 2, TRUE)</f>
        <v>ebr</v>
      </c>
      <c r="AX23" t="s">
        <v>383</v>
      </c>
      <c r="AY23" t="str">
        <f t="shared" ref="AY23:AY28" si="18">CONCATENATE(AW23,"_",AX23)</f>
        <v>ebr_Open Wagon</v>
      </c>
      <c r="AZ23" t="s">
        <v>791</v>
      </c>
    </row>
    <row r="24" spans="1:52" x14ac:dyDescent="0.25">
      <c r="A24" t="s">
        <v>787</v>
      </c>
      <c r="B24" t="s">
        <v>788</v>
      </c>
      <c r="D24" t="s">
        <v>324</v>
      </c>
      <c r="F24" t="s">
        <v>317</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1112</v>
      </c>
      <c r="AV24" t="s">
        <v>784</v>
      </c>
      <c r="AW24" t="str">
        <f>VLOOKUP(G24,Eras!$A$2:$C$10, 2, TRUE)</f>
        <v>lbr</v>
      </c>
      <c r="AX24" t="s">
        <v>383</v>
      </c>
      <c r="AY24" t="str">
        <f t="shared" si="18"/>
        <v>lbr_Open Wagon</v>
      </c>
      <c r="AZ24" t="s">
        <v>792</v>
      </c>
    </row>
    <row r="25" spans="1:52" x14ac:dyDescent="0.25">
      <c r="A25" t="s">
        <v>793</v>
      </c>
      <c r="B25" t="s">
        <v>795</v>
      </c>
      <c r="D25" t="s">
        <v>324</v>
      </c>
      <c r="F25" t="s">
        <v>317</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1112</v>
      </c>
      <c r="AV25" t="s">
        <v>784</v>
      </c>
      <c r="AW25" t="str">
        <f>VLOOKUP(G25,Eras!$A$2:$C$10, 2, TRUE)</f>
        <v>lbr</v>
      </c>
      <c r="AX25" t="s">
        <v>383</v>
      </c>
      <c r="AY25" t="str">
        <f t="shared" si="18"/>
        <v>lbr_Open Wagon</v>
      </c>
      <c r="AZ25" t="s">
        <v>796</v>
      </c>
    </row>
    <row r="26" spans="1:52" x14ac:dyDescent="0.25">
      <c r="A26" t="s">
        <v>794</v>
      </c>
      <c r="B26" t="s">
        <v>244</v>
      </c>
      <c r="D26" t="s">
        <v>324</v>
      </c>
      <c r="F26" t="s">
        <v>317</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1112</v>
      </c>
      <c r="AV26" t="s">
        <v>784</v>
      </c>
      <c r="AW26" t="str">
        <f>VLOOKUP(G26,Eras!$A$2:$C$10, 2, TRUE)</f>
        <v>mod</v>
      </c>
      <c r="AX26" t="s">
        <v>383</v>
      </c>
      <c r="AY26" t="str">
        <f t="shared" si="18"/>
        <v>mod_Open Wagon</v>
      </c>
      <c r="AZ26" t="s">
        <v>797</v>
      </c>
    </row>
    <row r="27" spans="1:52" x14ac:dyDescent="0.25">
      <c r="A27" t="s">
        <v>799</v>
      </c>
      <c r="B27" t="s">
        <v>801</v>
      </c>
      <c r="D27" t="s">
        <v>324</v>
      </c>
      <c r="F27" t="s">
        <v>317</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1112</v>
      </c>
      <c r="AV27" t="s">
        <v>784</v>
      </c>
      <c r="AW27" t="str">
        <f>VLOOKUP(G27,Eras!$A$2:$C$10, 2, TRUE)</f>
        <v>dsl</v>
      </c>
      <c r="AX27" t="s">
        <v>383</v>
      </c>
      <c r="AY27" t="str">
        <f t="shared" ref="AY27" si="21">CONCATENATE(AW27,"_",AX27)</f>
        <v>dsl_Open Wagon</v>
      </c>
      <c r="AZ27" t="s">
        <v>802</v>
      </c>
    </row>
    <row r="28" spans="1:52" x14ac:dyDescent="0.25">
      <c r="A28" t="s">
        <v>800</v>
      </c>
      <c r="B28" t="s">
        <v>245</v>
      </c>
      <c r="D28" t="s">
        <v>324</v>
      </c>
      <c r="F28" t="s">
        <v>317</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1112</v>
      </c>
      <c r="AV28" t="s">
        <v>784</v>
      </c>
      <c r="AW28" t="str">
        <f>VLOOKUP(G28,Eras!$A$2:$C$10, 2, TRUE)</f>
        <v>prv</v>
      </c>
      <c r="AX28" t="s">
        <v>383</v>
      </c>
      <c r="AY28" t="str">
        <f t="shared" si="18"/>
        <v>prv_Open Wagon</v>
      </c>
      <c r="AZ28" t="s">
        <v>798</v>
      </c>
    </row>
    <row r="29" spans="1:52" x14ac:dyDescent="0.25">
      <c r="A29" t="s">
        <v>143</v>
      </c>
      <c r="B29" t="s">
        <v>246</v>
      </c>
      <c r="D29" t="s">
        <v>170</v>
      </c>
      <c r="F29" t="s">
        <v>317</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W29" t="e">
        <f>VLOOKUP(G29,Eras!$A$2:$C$10, 2, TRUE)</f>
        <v>#N/A</v>
      </c>
      <c r="AY29" t="e">
        <f t="shared" ref="AY29:AY104" si="22">CONCATENATE(AW29,"_",AX29)</f>
        <v>#N/A</v>
      </c>
    </row>
    <row r="30" spans="1:52" x14ac:dyDescent="0.25">
      <c r="A30" t="s">
        <v>819</v>
      </c>
      <c r="B30" t="s">
        <v>820</v>
      </c>
      <c r="D30" t="s">
        <v>324</v>
      </c>
      <c r="F30" t="s">
        <v>317</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385</v>
      </c>
      <c r="AV30" t="s">
        <v>329</v>
      </c>
      <c r="AW30" t="str">
        <f>VLOOKUP(G30,Eras!$A$2:$C$10, 2, TRUE)</f>
        <v>vct</v>
      </c>
      <c r="AX30" t="s">
        <v>385</v>
      </c>
      <c r="AY30" t="str">
        <f>CONCATENATE(AW30,"_",AX30)</f>
        <v>vct_Van</v>
      </c>
      <c r="AZ30" t="s">
        <v>821</v>
      </c>
    </row>
    <row r="31" spans="1:52" x14ac:dyDescent="0.25">
      <c r="A31" t="s">
        <v>466</v>
      </c>
      <c r="B31" t="s">
        <v>467</v>
      </c>
      <c r="D31" t="s">
        <v>324</v>
      </c>
      <c r="F31" t="s">
        <v>317</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385</v>
      </c>
      <c r="AV31" t="s">
        <v>329</v>
      </c>
      <c r="AW31" t="str">
        <f>VLOOKUP(G31,Eras!$A$2:$C$10, 2, TRUE)</f>
        <v>edw</v>
      </c>
      <c r="AX31" t="s">
        <v>385</v>
      </c>
      <c r="AY31" t="str">
        <f>CONCATENATE(AW31,"_",AX31)</f>
        <v>edw_Van</v>
      </c>
      <c r="AZ31" t="s">
        <v>465</v>
      </c>
    </row>
    <row r="32" spans="1:52" x14ac:dyDescent="0.25">
      <c r="A32" t="s">
        <v>807</v>
      </c>
      <c r="B32" t="s">
        <v>808</v>
      </c>
      <c r="D32" t="s">
        <v>324</v>
      </c>
      <c r="F32" t="s">
        <v>317</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385</v>
      </c>
      <c r="AV32" t="s">
        <v>329</v>
      </c>
      <c r="AW32" t="str">
        <f>VLOOKUP(G32,Eras!$A$2:$C$10, 2, TRUE)</f>
        <v>big4</v>
      </c>
      <c r="AX32" t="s">
        <v>385</v>
      </c>
      <c r="AY32" t="str">
        <f t="shared" si="22"/>
        <v>big4_Van</v>
      </c>
      <c r="AZ32" t="s">
        <v>809</v>
      </c>
    </row>
    <row r="33" spans="1:52" x14ac:dyDescent="0.25">
      <c r="A33" t="s">
        <v>810</v>
      </c>
      <c r="B33" t="s">
        <v>811</v>
      </c>
      <c r="D33" t="s">
        <v>324</v>
      </c>
      <c r="F33" t="s">
        <v>317</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385</v>
      </c>
      <c r="AV33" t="s">
        <v>329</v>
      </c>
      <c r="AW33" t="str">
        <f>VLOOKUP(G33,Eras!$A$2:$C$10, 2, TRUE)</f>
        <v>dsl</v>
      </c>
      <c r="AX33" t="s">
        <v>385</v>
      </c>
      <c r="AY33" t="str">
        <f t="shared" si="22"/>
        <v>dsl_Van</v>
      </c>
      <c r="AZ33" t="s">
        <v>812</v>
      </c>
    </row>
    <row r="34" spans="1:52" x14ac:dyDescent="0.25">
      <c r="A34" t="s">
        <v>813</v>
      </c>
      <c r="B34" t="s">
        <v>814</v>
      </c>
      <c r="D34" t="s">
        <v>324</v>
      </c>
      <c r="F34" t="s">
        <v>317</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385</v>
      </c>
      <c r="AV34" t="s">
        <v>329</v>
      </c>
      <c r="AW34" t="str">
        <f>VLOOKUP(G34,Eras!$A$2:$C$10, 2, TRUE)</f>
        <v>lbr</v>
      </c>
      <c r="AX34" t="s">
        <v>385</v>
      </c>
      <c r="AY34" t="str">
        <f t="shared" ref="AY34" si="25">CONCATENATE(AW34,"_",AX34)</f>
        <v>lbr_Van</v>
      </c>
      <c r="AZ34" t="s">
        <v>815</v>
      </c>
    </row>
    <row r="35" spans="1:52" x14ac:dyDescent="0.25">
      <c r="A35" t="s">
        <v>872</v>
      </c>
      <c r="B35" t="s">
        <v>248</v>
      </c>
      <c r="D35" t="s">
        <v>324</v>
      </c>
      <c r="F35" t="s">
        <v>317</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385</v>
      </c>
      <c r="AV35" t="s">
        <v>329</v>
      </c>
      <c r="AW35" t="str">
        <f>VLOOKUP(G35,Eras!$A$2:$C$10, 2, TRUE)</f>
        <v>dsl</v>
      </c>
      <c r="AX35" t="s">
        <v>385</v>
      </c>
      <c r="AY35" t="str">
        <f>CONCATENATE(AW35,"_",AX35)</f>
        <v>dsl_Van</v>
      </c>
      <c r="AZ35" t="s">
        <v>816</v>
      </c>
    </row>
    <row r="36" spans="1:52" x14ac:dyDescent="0.25">
      <c r="A36" t="s">
        <v>873</v>
      </c>
      <c r="B36" t="s">
        <v>817</v>
      </c>
      <c r="D36" t="s">
        <v>324</v>
      </c>
      <c r="F36" t="s">
        <v>317</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385</v>
      </c>
      <c r="AV36" t="s">
        <v>329</v>
      </c>
      <c r="AW36" t="str">
        <f>VLOOKUP(G36,Eras!$A$2:$C$10, 2, TRUE)</f>
        <v>lbr</v>
      </c>
      <c r="AX36" t="s">
        <v>385</v>
      </c>
      <c r="AY36" t="str">
        <f>CONCATENATE(AW36,"_",AX36)</f>
        <v>lbr_Van</v>
      </c>
      <c r="AZ36" t="s">
        <v>818</v>
      </c>
    </row>
    <row r="37" spans="1:52" x14ac:dyDescent="0.25">
      <c r="A37" t="s">
        <v>874</v>
      </c>
      <c r="B37" t="s">
        <v>247</v>
      </c>
      <c r="D37" t="s">
        <v>324</v>
      </c>
      <c r="F37" t="s">
        <v>317</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976</v>
      </c>
      <c r="AV37" t="s">
        <v>823</v>
      </c>
      <c r="AW37" t="str">
        <f>VLOOKUP(G37,Eras!$A$2:$C$10, 2, TRUE)</f>
        <v>vct</v>
      </c>
      <c r="AX37" t="s">
        <v>385</v>
      </c>
      <c r="AY37" t="str">
        <f t="shared" si="22"/>
        <v>vct_Van</v>
      </c>
      <c r="AZ37" t="s">
        <v>822</v>
      </c>
    </row>
    <row r="38" spans="1:52" x14ac:dyDescent="0.25">
      <c r="A38" t="s">
        <v>875</v>
      </c>
      <c r="B38" t="s">
        <v>824</v>
      </c>
      <c r="D38" t="s">
        <v>324</v>
      </c>
      <c r="F38" t="s">
        <v>317</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976</v>
      </c>
      <c r="AV38" t="s">
        <v>823</v>
      </c>
      <c r="AW38" t="str">
        <f>VLOOKUP(G38,Eras!$A$2:$C$10, 2, TRUE)</f>
        <v>edw</v>
      </c>
      <c r="AX38" t="s">
        <v>385</v>
      </c>
      <c r="AY38" t="str">
        <f t="shared" ref="AY38:AY39" si="28">CONCATENATE(AW38,"_",AX38)</f>
        <v>edw_Van</v>
      </c>
      <c r="AZ38" t="s">
        <v>826</v>
      </c>
    </row>
    <row r="39" spans="1:52" x14ac:dyDescent="0.25">
      <c r="A39" t="s">
        <v>876</v>
      </c>
      <c r="B39" t="s">
        <v>825</v>
      </c>
      <c r="D39" t="s">
        <v>324</v>
      </c>
      <c r="F39" t="s">
        <v>317</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976</v>
      </c>
      <c r="AV39" t="s">
        <v>823</v>
      </c>
      <c r="AW39" t="str">
        <f>VLOOKUP(G39,Eras!$A$2:$C$10, 2, TRUE)</f>
        <v>big4</v>
      </c>
      <c r="AX39" t="s">
        <v>385</v>
      </c>
      <c r="AY39" t="str">
        <f t="shared" si="28"/>
        <v>big4_Van</v>
      </c>
      <c r="AZ39" t="s">
        <v>827</v>
      </c>
    </row>
    <row r="40" spans="1:52" x14ac:dyDescent="0.25">
      <c r="A40" t="s">
        <v>877</v>
      </c>
      <c r="B40" t="s">
        <v>828</v>
      </c>
      <c r="D40" t="s">
        <v>324</v>
      </c>
      <c r="F40" t="s">
        <v>317</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976</v>
      </c>
      <c r="AV40" t="s">
        <v>823</v>
      </c>
      <c r="AW40" t="str">
        <f>VLOOKUP(G40,Eras!$A$2:$C$10, 2, TRUE)</f>
        <v>dsl</v>
      </c>
      <c r="AX40" t="s">
        <v>385</v>
      </c>
      <c r="AY40" t="str">
        <f t="shared" ref="AY40" si="31">CONCATENATE(AW40,"_",AX40)</f>
        <v>dsl_Van</v>
      </c>
      <c r="AZ40" t="s">
        <v>831</v>
      </c>
    </row>
    <row r="41" spans="1:52" x14ac:dyDescent="0.25">
      <c r="A41" t="s">
        <v>878</v>
      </c>
      <c r="B41" t="s">
        <v>829</v>
      </c>
      <c r="D41" t="s">
        <v>324</v>
      </c>
      <c r="F41" t="s">
        <v>317</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976</v>
      </c>
      <c r="AV41" t="s">
        <v>823</v>
      </c>
      <c r="AW41" t="str">
        <f>VLOOKUP(G41,Eras!$A$2:$C$10, 2, TRUE)</f>
        <v>lbr</v>
      </c>
      <c r="AX41" t="s">
        <v>385</v>
      </c>
      <c r="AY41" t="str">
        <f t="shared" ref="AY41" si="34">CONCATENATE(AW41,"_",AX41)</f>
        <v>lbr_Van</v>
      </c>
      <c r="AZ41" t="s">
        <v>830</v>
      </c>
    </row>
    <row r="42" spans="1:52" x14ac:dyDescent="0.25">
      <c r="A42" t="s">
        <v>138</v>
      </c>
      <c r="B42" t="s">
        <v>322</v>
      </c>
      <c r="D42" t="s">
        <v>324</v>
      </c>
      <c r="F42" t="s">
        <v>317</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386</v>
      </c>
      <c r="AV42" t="s">
        <v>327</v>
      </c>
      <c r="AW42" t="str">
        <f>VLOOKUP(G42,Eras!$A$2:$C$10, 2, TRUE)</f>
        <v>vct</v>
      </c>
      <c r="AX42" t="s">
        <v>386</v>
      </c>
      <c r="AY42" t="str">
        <f t="shared" si="22"/>
        <v>vct_Tanker</v>
      </c>
      <c r="AZ42" t="s">
        <v>406</v>
      </c>
    </row>
    <row r="43" spans="1:52" x14ac:dyDescent="0.25">
      <c r="A43" t="s">
        <v>458</v>
      </c>
      <c r="B43" t="s">
        <v>459</v>
      </c>
      <c r="D43" t="s">
        <v>324</v>
      </c>
      <c r="F43" t="s">
        <v>317</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386</v>
      </c>
      <c r="AV43" t="s">
        <v>327</v>
      </c>
      <c r="AW43" t="str">
        <f>VLOOKUP(G43,Eras!$A$2:$C$10, 2, TRUE)</f>
        <v>edw</v>
      </c>
      <c r="AX43" t="s">
        <v>386</v>
      </c>
      <c r="AY43" t="str">
        <f t="shared" si="22"/>
        <v>edw_Tanker</v>
      </c>
      <c r="AZ43" t="s">
        <v>460</v>
      </c>
    </row>
    <row r="44" spans="1:52" x14ac:dyDescent="0.25">
      <c r="A44" t="s">
        <v>805</v>
      </c>
      <c r="B44" t="s">
        <v>323</v>
      </c>
      <c r="D44" t="s">
        <v>324</v>
      </c>
      <c r="F44" t="s">
        <v>317</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386</v>
      </c>
      <c r="AV44" t="s">
        <v>327</v>
      </c>
      <c r="AW44" t="str">
        <f>VLOOKUP(G44,Eras!$A$2:$C$10, 2, TRUE)</f>
        <v>big4</v>
      </c>
      <c r="AX44" t="s">
        <v>386</v>
      </c>
      <c r="AY44" t="str">
        <f t="shared" si="22"/>
        <v>big4_Tanker</v>
      </c>
      <c r="AZ44" t="s">
        <v>806</v>
      </c>
    </row>
    <row r="45" spans="1:52" x14ac:dyDescent="0.25">
      <c r="A45" t="s">
        <v>803</v>
      </c>
      <c r="B45" t="s">
        <v>782</v>
      </c>
      <c r="D45" t="s">
        <v>324</v>
      </c>
      <c r="F45" t="s">
        <v>317</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386</v>
      </c>
      <c r="AV45" t="s">
        <v>327</v>
      </c>
      <c r="AW45" t="str">
        <f>VLOOKUP(G45,Eras!$A$2:$C$10, 2, TRUE)</f>
        <v>dsl</v>
      </c>
      <c r="AX45" t="s">
        <v>386</v>
      </c>
      <c r="AY45" t="str">
        <f t="shared" si="22"/>
        <v>dsl_Tanker</v>
      </c>
      <c r="AZ45" t="s">
        <v>780</v>
      </c>
    </row>
    <row r="46" spans="1:52" x14ac:dyDescent="0.25">
      <c r="A46" t="s">
        <v>804</v>
      </c>
      <c r="B46" t="s">
        <v>783</v>
      </c>
      <c r="D46" t="s">
        <v>324</v>
      </c>
      <c r="F46" t="s">
        <v>317</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386</v>
      </c>
      <c r="AV46" t="s">
        <v>327</v>
      </c>
      <c r="AW46" t="str">
        <f>VLOOKUP(G46,Eras!$A$2:$C$10, 2, TRUE)</f>
        <v>lbr</v>
      </c>
      <c r="AX46" t="s">
        <v>386</v>
      </c>
      <c r="AY46" t="str">
        <f t="shared" si="22"/>
        <v>lbr_Tanker</v>
      </c>
      <c r="AZ46" t="s">
        <v>781</v>
      </c>
    </row>
    <row r="47" spans="1:52" x14ac:dyDescent="0.25">
      <c r="A47" t="s">
        <v>853</v>
      </c>
      <c r="B47" t="s">
        <v>854</v>
      </c>
      <c r="D47" t="s">
        <v>324</v>
      </c>
      <c r="F47" t="s">
        <v>317</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960</v>
      </c>
      <c r="AV47" t="s">
        <v>863</v>
      </c>
      <c r="AW47" t="str">
        <f>VLOOKUP(G47,Eras!$A$2:$C$10, 2, TRUE)</f>
        <v>lbr</v>
      </c>
      <c r="AX47" t="s">
        <v>384</v>
      </c>
      <c r="AY47" t="str">
        <f t="shared" si="22"/>
        <v>lbr_Flat Wagon</v>
      </c>
      <c r="AZ47" t="s">
        <v>864</v>
      </c>
    </row>
    <row r="48" spans="1:52" x14ac:dyDescent="0.25">
      <c r="A48" t="s">
        <v>855</v>
      </c>
      <c r="B48" t="s">
        <v>856</v>
      </c>
      <c r="D48" t="s">
        <v>324</v>
      </c>
      <c r="F48" t="s">
        <v>317</v>
      </c>
      <c r="G48">
        <v>1998</v>
      </c>
      <c r="T48">
        <v>24</v>
      </c>
      <c r="X48" s="4" t="str">
        <f t="shared" ref="X48:X50" si="35">IF(AND(T48&gt;0,W48&gt;0),(W48/((T48+U48)*10)),"")</f>
        <v/>
      </c>
      <c r="Y48">
        <v>85</v>
      </c>
      <c r="AA48">
        <v>18.600000000000001</v>
      </c>
      <c r="AB48">
        <v>18.600000000000001</v>
      </c>
      <c r="AE48" s="11">
        <v>78</v>
      </c>
      <c r="AF48" t="str">
        <f>CONCATENATE(VLOOKUP(AG48, 'Voxel Sizes'!$A$2:$B$18,2,FALSE),"x",INT(AC48*15), "x", INT(AD48*15))</f>
        <v>186x0x0</v>
      </c>
      <c r="AG48">
        <f t="shared" ref="AG48:AG50" si="36">ROUND(15*((AB48*10)/256),0)</f>
        <v>11</v>
      </c>
      <c r="AI48" t="str">
        <f>CONCATENATE(VLOOKUP(AG48,'Articulated Lengths'!$A$2:$C$16,IF(AH48&lt;&gt;"", 3, 2), FALSE),IF(AH48&lt;&gt;"",CONCATENATE(",",VLOOKUP(AH48,$B:$AI,34,FALSE)),""))</f>
        <v>4,3,4</v>
      </c>
      <c r="AP48">
        <v>10</v>
      </c>
      <c r="AQ48">
        <v>10</v>
      </c>
      <c r="AU48" t="s">
        <v>960</v>
      </c>
      <c r="AV48" t="s">
        <v>863</v>
      </c>
      <c r="AW48" t="str">
        <f>VLOOKUP(G48,Eras!$A$2:$C$10, 2, TRUE)</f>
        <v>prv</v>
      </c>
      <c r="AX48" t="s">
        <v>384</v>
      </c>
      <c r="AY48" t="str">
        <f t="shared" ref="AY48:AY50" si="37">CONCATENATE(AW48,"_",AX48)</f>
        <v>prv_Flat Wagon</v>
      </c>
      <c r="AZ48" t="s">
        <v>862</v>
      </c>
    </row>
    <row r="49" spans="1:52" x14ac:dyDescent="0.25">
      <c r="A49" t="s">
        <v>880</v>
      </c>
      <c r="B49" t="s">
        <v>879</v>
      </c>
      <c r="D49" t="s">
        <v>324</v>
      </c>
      <c r="F49" t="s">
        <v>317</v>
      </c>
      <c r="G49">
        <v>1913</v>
      </c>
      <c r="H49">
        <v>1955</v>
      </c>
      <c r="I49">
        <v>1965</v>
      </c>
      <c r="T49">
        <v>20</v>
      </c>
      <c r="V49">
        <v>7</v>
      </c>
      <c r="X49" s="4" t="str">
        <f t="shared" ref="X49" si="38">IF(AND(T49&gt;0,W49&gt;0),(W49/((T49+U49)*10)),"")</f>
        <v/>
      </c>
      <c r="Y49">
        <v>70</v>
      </c>
      <c r="AA49">
        <v>15</v>
      </c>
      <c r="AB49">
        <v>15</v>
      </c>
      <c r="AE49" s="11">
        <v>60</v>
      </c>
      <c r="AF49" t="str">
        <f>CONCATENATE(VLOOKUP(AG49, 'Voxel Sizes'!$A$2:$B$18,2,FALSE),"x",INT(AC49*15), "x", INT(AD49*15))</f>
        <v>152x0x0</v>
      </c>
      <c r="AG49">
        <f t="shared" ref="AG49" si="39">ROUND(15*((AB49*10)/256),0)</f>
        <v>9</v>
      </c>
      <c r="AI49" t="str">
        <f>CONCATENATE(VLOOKUP(AG49,'Articulated Lengths'!$A$2:$C$16,IF(AH49&lt;&gt;"", 3, 2), FALSE),IF(AH49&lt;&gt;"",CONCATENATE(",",VLOOKUP(AH49,$B:$AI,34,FALSE)),""))</f>
        <v>2,5,2</v>
      </c>
      <c r="AP49">
        <v>10</v>
      </c>
      <c r="AQ49">
        <v>10</v>
      </c>
      <c r="AU49" t="s">
        <v>1118</v>
      </c>
      <c r="AV49" t="s">
        <v>711</v>
      </c>
      <c r="AW49" t="str">
        <f>VLOOKUP(G49,Eras!$A$2:$C$10, 2, TRUE)</f>
        <v>edw</v>
      </c>
      <c r="AX49" t="s">
        <v>384</v>
      </c>
      <c r="AY49" t="str">
        <f t="shared" ref="AY49" si="40">CONCATENATE(AW49,"_",AX49)</f>
        <v>edw_Flat Wagon</v>
      </c>
      <c r="AZ49" t="s">
        <v>881</v>
      </c>
    </row>
    <row r="50" spans="1:52" x14ac:dyDescent="0.25">
      <c r="A50" t="s">
        <v>857</v>
      </c>
      <c r="B50" t="s">
        <v>859</v>
      </c>
      <c r="D50" t="s">
        <v>324</v>
      </c>
      <c r="F50" t="s">
        <v>317</v>
      </c>
      <c r="G50">
        <v>1950</v>
      </c>
      <c r="I50">
        <v>1975</v>
      </c>
      <c r="T50">
        <v>18</v>
      </c>
      <c r="V50">
        <v>7</v>
      </c>
      <c r="X50" s="4" t="str">
        <f t="shared" si="35"/>
        <v/>
      </c>
      <c r="Y50">
        <v>80</v>
      </c>
      <c r="AA50">
        <v>11.2</v>
      </c>
      <c r="AB50">
        <v>11.2</v>
      </c>
      <c r="AE50" s="11">
        <v>45</v>
      </c>
      <c r="AF50" t="str">
        <f>CONCATENATE(VLOOKUP(AG50, 'Voxel Sizes'!$A$2:$B$18,2,FALSE),"x",INT(AC50*15), "x", INT(AD50*15))</f>
        <v>120x0x0</v>
      </c>
      <c r="AG50">
        <f t="shared" si="36"/>
        <v>7</v>
      </c>
      <c r="AI50" t="str">
        <f>CONCATENATE(VLOOKUP(AG50,'Articulated Lengths'!$A$2:$C$16,IF(AH50&lt;&gt;"", 3, 2), FALSE),IF(AH50&lt;&gt;"",CONCATENATE(",",VLOOKUP(AH50,$B:$AI,34,FALSE)),""))</f>
        <v>2,3,2</v>
      </c>
      <c r="AP50">
        <v>10</v>
      </c>
      <c r="AQ50">
        <v>10</v>
      </c>
      <c r="AU50" t="s">
        <v>1116</v>
      </c>
      <c r="AV50" t="s">
        <v>711</v>
      </c>
      <c r="AW50" t="str">
        <f>VLOOKUP(G50,Eras!$A$2:$C$10, 2, TRUE)</f>
        <v>ebr</v>
      </c>
      <c r="AX50" t="s">
        <v>379</v>
      </c>
      <c r="AY50" t="str">
        <f t="shared" si="37"/>
        <v>ebr_Mail Carriage</v>
      </c>
      <c r="AZ50" t="s">
        <v>883</v>
      </c>
    </row>
    <row r="51" spans="1:52" x14ac:dyDescent="0.25">
      <c r="A51" t="s">
        <v>861</v>
      </c>
      <c r="B51" t="s">
        <v>858</v>
      </c>
      <c r="D51" t="s">
        <v>324</v>
      </c>
      <c r="F51" t="s">
        <v>317</v>
      </c>
      <c r="G51">
        <v>1958</v>
      </c>
      <c r="T51">
        <v>30</v>
      </c>
      <c r="V51">
        <v>7</v>
      </c>
      <c r="X51" s="4" t="str">
        <f t="shared" ref="X51" si="41">IF(AND(T51&gt;0,W51&gt;0),(W51/((T51+U51)*10)),"")</f>
        <v/>
      </c>
      <c r="Y51">
        <v>100</v>
      </c>
      <c r="AA51">
        <v>19.3</v>
      </c>
      <c r="AB51">
        <v>20</v>
      </c>
      <c r="AE51" s="11">
        <v>75</v>
      </c>
      <c r="AF51" t="str">
        <f>CONCATENATE(VLOOKUP(AG51, 'Voxel Sizes'!$A$2:$B$18,2,FALSE),"x",INT(AC51*15), "x", INT(AD51*15))</f>
        <v>198x0x0</v>
      </c>
      <c r="AG51">
        <f t="shared" ref="AG51" si="42">ROUND(15*((AB51*10)/256),0)</f>
        <v>12</v>
      </c>
      <c r="AI51" t="str">
        <f>CONCATENATE(VLOOKUP(AG51,'Articulated Lengths'!$A$2:$C$16,IF(AH51&lt;&gt;"", 3, 2), FALSE),IF(AH51&lt;&gt;"",CONCATENATE(",",VLOOKUP(AH51,$B:$AI,34,FALSE)),""))</f>
        <v>4,4,4</v>
      </c>
      <c r="AP51">
        <v>10</v>
      </c>
      <c r="AQ51">
        <v>10</v>
      </c>
      <c r="AU51" t="s">
        <v>1116</v>
      </c>
      <c r="AV51" t="s">
        <v>711</v>
      </c>
      <c r="AW51" t="str">
        <f>VLOOKUP(G51,Eras!$A$2:$C$10, 2, TRUE)</f>
        <v>dsl</v>
      </c>
      <c r="AX51" t="s">
        <v>379</v>
      </c>
      <c r="AY51" t="str">
        <f t="shared" ref="AY51" si="43">CONCATENATE(AW51,"_",AX51)</f>
        <v>dsl_Mail Carriage</v>
      </c>
      <c r="AZ51" t="s">
        <v>860</v>
      </c>
    </row>
    <row r="52" spans="1:52" x14ac:dyDescent="0.25">
      <c r="A52" t="s">
        <v>136</v>
      </c>
      <c r="B52" t="s">
        <v>241</v>
      </c>
      <c r="D52" t="s">
        <v>324</v>
      </c>
      <c r="F52" t="s">
        <v>317</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1117</v>
      </c>
      <c r="AV52" t="s">
        <v>765</v>
      </c>
      <c r="AW52" t="str">
        <f>VLOOKUP(G52,Eras!$A$2:$C$10, 2, TRUE)</f>
        <v>big4</v>
      </c>
      <c r="AX52" t="s">
        <v>763</v>
      </c>
      <c r="AY52" t="str">
        <f t="shared" si="22"/>
        <v>big4_Extra</v>
      </c>
      <c r="AZ52" t="s">
        <v>778</v>
      </c>
    </row>
    <row r="53" spans="1:52" x14ac:dyDescent="0.25">
      <c r="A53" t="s">
        <v>135</v>
      </c>
      <c r="B53" t="s">
        <v>240</v>
      </c>
      <c r="D53" t="s">
        <v>324</v>
      </c>
      <c r="F53" t="s">
        <v>317</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10</v>
      </c>
      <c r="AQ53">
        <v>10</v>
      </c>
      <c r="AU53" t="s">
        <v>1117</v>
      </c>
      <c r="AV53" t="s">
        <v>765</v>
      </c>
      <c r="AW53" t="str">
        <f>VLOOKUP(G53,Eras!$A$2:$C$10, 2, TRUE)</f>
        <v>vct</v>
      </c>
      <c r="AX53" t="s">
        <v>763</v>
      </c>
      <c r="AY53" t="str">
        <f t="shared" si="22"/>
        <v>vct_Extra</v>
      </c>
      <c r="AZ53" t="s">
        <v>764</v>
      </c>
    </row>
    <row r="54" spans="1:52" x14ac:dyDescent="0.25">
      <c r="A54" t="s">
        <v>472</v>
      </c>
      <c r="B54" t="s">
        <v>473</v>
      </c>
      <c r="C54">
        <v>-1</v>
      </c>
      <c r="D54" t="s">
        <v>334</v>
      </c>
      <c r="F54" t="s">
        <v>317</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W54" t="str">
        <f>VLOOKUP(G54,Eras!$A$2:$C$10, 2, TRUE)</f>
        <v>edw</v>
      </c>
      <c r="AY54" t="str">
        <f t="shared" si="22"/>
        <v>edw_</v>
      </c>
    </row>
    <row r="55" spans="1:52" x14ac:dyDescent="0.25">
      <c r="A55" t="s">
        <v>351</v>
      </c>
      <c r="B55" t="s">
        <v>352</v>
      </c>
      <c r="C55">
        <v>-1</v>
      </c>
      <c r="D55" t="s">
        <v>334</v>
      </c>
      <c r="F55" t="s">
        <v>317</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W55" t="str">
        <f>VLOOKUP(G55,Eras!$A$2:$C$10, 2, TRUE)</f>
        <v>edw</v>
      </c>
      <c r="AY55" t="str">
        <f t="shared" si="22"/>
        <v>edw_</v>
      </c>
    </row>
    <row r="56" spans="1:52" x14ac:dyDescent="0.25">
      <c r="A56" t="s">
        <v>441</v>
      </c>
      <c r="B56" t="s">
        <v>442</v>
      </c>
      <c r="C56">
        <v>-1</v>
      </c>
      <c r="D56" t="s">
        <v>334</v>
      </c>
      <c r="F56" t="s">
        <v>317</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10</v>
      </c>
      <c r="AQ56">
        <v>10</v>
      </c>
      <c r="AW56" t="str">
        <f>VLOOKUP(G56,Eras!$A$2:$C$10, 2, TRUE)</f>
        <v>edw</v>
      </c>
      <c r="AY56" t="str">
        <f t="shared" si="22"/>
        <v>edw_</v>
      </c>
    </row>
    <row r="57" spans="1:52" x14ac:dyDescent="0.25">
      <c r="A57" t="s">
        <v>492</v>
      </c>
      <c r="B57" t="s">
        <v>493</v>
      </c>
      <c r="C57">
        <v>-1</v>
      </c>
      <c r="D57" t="s">
        <v>334</v>
      </c>
      <c r="F57" t="s">
        <v>317</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W57" t="str">
        <f>VLOOKUP(G57,Eras!$A$2:$C$10, 2, TRUE)</f>
        <v>big4</v>
      </c>
      <c r="AY57" t="str">
        <f t="shared" si="22"/>
        <v>big4_</v>
      </c>
    </row>
    <row r="58" spans="1:52" x14ac:dyDescent="0.25">
      <c r="A58" t="s">
        <v>333</v>
      </c>
      <c r="B58" t="s">
        <v>332</v>
      </c>
      <c r="C58">
        <v>-1</v>
      </c>
      <c r="D58" t="s">
        <v>334</v>
      </c>
      <c r="F58" t="s">
        <v>317</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W58" t="str">
        <f>VLOOKUP(G58,Eras!$A$2:$C$10, 2, TRUE)</f>
        <v>big4</v>
      </c>
      <c r="AY58" t="str">
        <f t="shared" si="22"/>
        <v>big4_</v>
      </c>
    </row>
    <row r="59" spans="1:52" x14ac:dyDescent="0.25">
      <c r="A59" t="s">
        <v>336</v>
      </c>
      <c r="B59" t="s">
        <v>337</v>
      </c>
      <c r="C59">
        <v>-1</v>
      </c>
      <c r="D59" t="s">
        <v>334</v>
      </c>
      <c r="F59" t="s">
        <v>317</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W59" t="str">
        <f>VLOOKUP(G59,Eras!$A$2:$C$10, 2, TRUE)</f>
        <v>big4</v>
      </c>
      <c r="AY59" t="str">
        <f t="shared" si="22"/>
        <v>big4_</v>
      </c>
    </row>
    <row r="60" spans="1:52" x14ac:dyDescent="0.25">
      <c r="A60" t="s">
        <v>487</v>
      </c>
      <c r="B60" t="s">
        <v>488</v>
      </c>
      <c r="C60">
        <v>-1</v>
      </c>
      <c r="D60" t="s">
        <v>334</v>
      </c>
      <c r="F60" t="s">
        <v>317</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W60" t="str">
        <f>VLOOKUP(G60,Eras!$A$2:$C$10, 2, TRUE)</f>
        <v>big4</v>
      </c>
      <c r="AY60" t="str">
        <f t="shared" si="22"/>
        <v>big4_</v>
      </c>
    </row>
    <row r="61" spans="1:52" x14ac:dyDescent="0.25">
      <c r="A61" t="s">
        <v>514</v>
      </c>
      <c r="B61" t="s">
        <v>513</v>
      </c>
      <c r="C61">
        <v>-1</v>
      </c>
      <c r="D61" t="s">
        <v>334</v>
      </c>
      <c r="F61" t="s">
        <v>317</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10</v>
      </c>
      <c r="AQ61">
        <v>10</v>
      </c>
      <c r="AW61" t="str">
        <f>VLOOKUP(G61,Eras!$A$2:$C$10, 2, TRUE)</f>
        <v>big4</v>
      </c>
      <c r="AY61" t="str">
        <f t="shared" si="22"/>
        <v>big4_</v>
      </c>
    </row>
    <row r="62" spans="1:52" x14ac:dyDescent="0.25">
      <c r="A62" t="s">
        <v>521</v>
      </c>
      <c r="B62" t="s">
        <v>522</v>
      </c>
      <c r="C62">
        <v>-1</v>
      </c>
      <c r="D62" t="s">
        <v>334</v>
      </c>
      <c r="F62" t="s">
        <v>317</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W62" t="str">
        <f>VLOOKUP(G62,Eras!$A$2:$C$10, 2, TRUE)</f>
        <v>big4</v>
      </c>
      <c r="AY62" t="str">
        <f t="shared" si="22"/>
        <v>big4_</v>
      </c>
    </row>
    <row r="63" spans="1:52" x14ac:dyDescent="0.25">
      <c r="A63" t="s">
        <v>529</v>
      </c>
      <c r="B63" t="s">
        <v>528</v>
      </c>
      <c r="C63">
        <v>-1</v>
      </c>
      <c r="D63" t="s">
        <v>334</v>
      </c>
      <c r="F63" t="s">
        <v>317</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W63" t="str">
        <f>VLOOKUP(G63,Eras!$A$2:$C$10, 2, TRUE)</f>
        <v>big4</v>
      </c>
      <c r="AY63" t="str">
        <f t="shared" si="22"/>
        <v>big4_</v>
      </c>
    </row>
    <row r="64" spans="1:52" x14ac:dyDescent="0.25">
      <c r="A64" t="s">
        <v>534</v>
      </c>
      <c r="B64" t="s">
        <v>535</v>
      </c>
      <c r="C64">
        <v>-1</v>
      </c>
      <c r="D64" t="s">
        <v>334</v>
      </c>
      <c r="F64" t="s">
        <v>317</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W64" t="str">
        <f>VLOOKUP(G64,Eras!$A$2:$C$10, 2, TRUE)</f>
        <v>big4</v>
      </c>
      <c r="AY64" t="str">
        <f t="shared" si="22"/>
        <v>big4_</v>
      </c>
    </row>
    <row r="65" spans="1:51" x14ac:dyDescent="0.25">
      <c r="A65" t="s">
        <v>549</v>
      </c>
      <c r="B65" t="s">
        <v>548</v>
      </c>
      <c r="C65">
        <v>-1</v>
      </c>
      <c r="D65" t="s">
        <v>334</v>
      </c>
      <c r="F65" t="s">
        <v>317</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W65" t="str">
        <f>VLOOKUP(G65,Eras!$A$2:$C$10, 2, TRUE)</f>
        <v>big4</v>
      </c>
      <c r="AY65" t="str">
        <f t="shared" si="22"/>
        <v>big4_</v>
      </c>
    </row>
    <row r="66" spans="1:51" x14ac:dyDescent="0.25">
      <c r="A66" t="s">
        <v>692</v>
      </c>
      <c r="B66" t="s">
        <v>693</v>
      </c>
      <c r="C66">
        <v>-1</v>
      </c>
      <c r="D66" t="s">
        <v>334</v>
      </c>
      <c r="F66" t="s">
        <v>317</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W66" t="str">
        <f>VLOOKUP(G66,Eras!$A$2:$C$10, 2, TRUE)</f>
        <v>dsl</v>
      </c>
      <c r="AY66" t="str">
        <f t="shared" si="22"/>
        <v>dsl_</v>
      </c>
    </row>
    <row r="67" spans="1:51" x14ac:dyDescent="0.25">
      <c r="A67" t="s">
        <v>152</v>
      </c>
      <c r="B67" t="s">
        <v>249</v>
      </c>
      <c r="C67">
        <v>1</v>
      </c>
      <c r="D67" t="s">
        <v>170</v>
      </c>
      <c r="F67" t="s">
        <v>318</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W67" t="str">
        <f>VLOOKUP(G67,Eras!$A$2:$C$10, 2, TRUE)</f>
        <v>early</v>
      </c>
      <c r="AX67" t="s">
        <v>370</v>
      </c>
      <c r="AY67" t="str">
        <f t="shared" si="22"/>
        <v>early_Mixed Traffic</v>
      </c>
    </row>
    <row r="68" spans="1:51" x14ac:dyDescent="0.25">
      <c r="A68" t="s">
        <v>0</v>
      </c>
      <c r="B68" t="s">
        <v>171</v>
      </c>
      <c r="C68">
        <v>2</v>
      </c>
      <c r="D68" t="s">
        <v>170</v>
      </c>
      <c r="F68" t="s">
        <v>317</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W68" t="str">
        <f>VLOOKUP(G68,Eras!$A$2:$C$10, 2, TRUE)</f>
        <v>early</v>
      </c>
      <c r="AY68" t="str">
        <f t="shared" si="22"/>
        <v>early_</v>
      </c>
    </row>
    <row r="69" spans="1:51" x14ac:dyDescent="0.25">
      <c r="A69" t="s">
        <v>1</v>
      </c>
      <c r="B69" t="s">
        <v>172</v>
      </c>
      <c r="C69">
        <v>3</v>
      </c>
      <c r="D69" t="s">
        <v>170</v>
      </c>
      <c r="F69" t="s">
        <v>317</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W69" t="str">
        <f>VLOOKUP(G69,Eras!$A$2:$C$10, 2, TRUE)</f>
        <v>early</v>
      </c>
      <c r="AX69" t="s">
        <v>370</v>
      </c>
      <c r="AY69" t="str">
        <f t="shared" si="22"/>
        <v>early_Mixed Traffic</v>
      </c>
    </row>
    <row r="70" spans="1:51" x14ac:dyDescent="0.25">
      <c r="A70" t="s">
        <v>2</v>
      </c>
      <c r="B70" t="s">
        <v>173</v>
      </c>
      <c r="C70">
        <v>4</v>
      </c>
      <c r="D70" t="s">
        <v>170</v>
      </c>
      <c r="F70" t="s">
        <v>317</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W70" t="str">
        <f>VLOOKUP(G70,Eras!$A$2:$C$10, 2, TRUE)</f>
        <v>early</v>
      </c>
      <c r="AX70" t="s">
        <v>370</v>
      </c>
      <c r="AY70" t="str">
        <f t="shared" si="22"/>
        <v>early_Mixed Traffic</v>
      </c>
    </row>
    <row r="71" spans="1:51" x14ac:dyDescent="0.25">
      <c r="A71" t="s">
        <v>144</v>
      </c>
      <c r="B71" t="s">
        <v>250</v>
      </c>
      <c r="C71">
        <v>5</v>
      </c>
      <c r="D71" t="s">
        <v>170</v>
      </c>
      <c r="F71" t="s">
        <v>317</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W71" t="str">
        <f>VLOOKUP(G71,Eras!$A$2:$C$10, 2, TRUE)</f>
        <v>early</v>
      </c>
      <c r="AX71" t="s">
        <v>370</v>
      </c>
      <c r="AY71" t="str">
        <f t="shared" si="22"/>
        <v>early_Mixed Traffic</v>
      </c>
    </row>
    <row r="72" spans="1:51" x14ac:dyDescent="0.25">
      <c r="A72" t="s">
        <v>145</v>
      </c>
      <c r="B72" t="s">
        <v>251</v>
      </c>
      <c r="C72">
        <v>8</v>
      </c>
      <c r="D72" t="s">
        <v>170</v>
      </c>
      <c r="F72" t="s">
        <v>317</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W72" t="str">
        <f>VLOOKUP(G72,Eras!$A$2:$C$10, 2, TRUE)</f>
        <v>early</v>
      </c>
      <c r="AX72" t="s">
        <v>371</v>
      </c>
      <c r="AY72" t="str">
        <f t="shared" si="22"/>
        <v>early_Express</v>
      </c>
    </row>
    <row r="73" spans="1:51" x14ac:dyDescent="0.25">
      <c r="A73" t="s">
        <v>3</v>
      </c>
      <c r="B73" t="s">
        <v>174</v>
      </c>
      <c r="C73">
        <v>10</v>
      </c>
      <c r="D73" t="s">
        <v>170</v>
      </c>
      <c r="F73" t="s">
        <v>317</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W73" t="str">
        <f>VLOOKUP(G73,Eras!$A$2:$C$10, 2, TRUE)</f>
        <v>early</v>
      </c>
      <c r="AY73" t="str">
        <f t="shared" si="22"/>
        <v>early_</v>
      </c>
    </row>
    <row r="74" spans="1:51" x14ac:dyDescent="0.25">
      <c r="A74" t="s">
        <v>6</v>
      </c>
      <c r="B74" t="s">
        <v>252</v>
      </c>
      <c r="C74">
        <v>12</v>
      </c>
      <c r="D74" t="s">
        <v>170</v>
      </c>
      <c r="F74" t="s">
        <v>317</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10</v>
      </c>
      <c r="AQ74">
        <v>10</v>
      </c>
      <c r="AW74" t="str">
        <f>VLOOKUP(G74,Eras!$A$2:$C$10, 2, TRUE)</f>
        <v>early</v>
      </c>
      <c r="AY74" t="str">
        <f t="shared" si="22"/>
        <v>early_</v>
      </c>
    </row>
    <row r="75" spans="1:51" x14ac:dyDescent="0.25">
      <c r="A75" t="s">
        <v>4</v>
      </c>
      <c r="B75" t="s">
        <v>175</v>
      </c>
      <c r="C75">
        <v>14</v>
      </c>
      <c r="D75" t="s">
        <v>170</v>
      </c>
      <c r="F75" t="s">
        <v>317</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W75" t="str">
        <f>VLOOKUP(G75,Eras!$A$2:$C$10, 2, TRUE)</f>
        <v>early</v>
      </c>
      <c r="AY75" t="str">
        <f t="shared" si="22"/>
        <v>early_</v>
      </c>
    </row>
    <row r="76" spans="1:51" x14ac:dyDescent="0.25">
      <c r="A76" t="s">
        <v>5</v>
      </c>
      <c r="B76" t="s">
        <v>176</v>
      </c>
      <c r="C76">
        <v>16</v>
      </c>
      <c r="D76" t="s">
        <v>170</v>
      </c>
      <c r="F76" t="s">
        <v>317</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W76" t="str">
        <f>VLOOKUP(G76,Eras!$A$2:$C$10, 2, TRUE)</f>
        <v>vct</v>
      </c>
      <c r="AY76" t="str">
        <f t="shared" si="22"/>
        <v>vct_</v>
      </c>
    </row>
    <row r="77" spans="1:51" x14ac:dyDescent="0.25">
      <c r="A77" t="s">
        <v>7</v>
      </c>
      <c r="B77" t="s">
        <v>253</v>
      </c>
      <c r="C77">
        <v>18</v>
      </c>
      <c r="D77" t="s">
        <v>170</v>
      </c>
      <c r="F77" t="s">
        <v>317</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10</v>
      </c>
      <c r="AQ77">
        <v>10</v>
      </c>
      <c r="AW77" t="str">
        <f>VLOOKUP(G77,Eras!$A$2:$C$10, 2, TRUE)</f>
        <v>vct</v>
      </c>
      <c r="AY77" t="str">
        <f t="shared" si="22"/>
        <v>vct_</v>
      </c>
    </row>
    <row r="78" spans="1:51" x14ac:dyDescent="0.25">
      <c r="A78" t="s">
        <v>19</v>
      </c>
      <c r="B78" t="s">
        <v>177</v>
      </c>
      <c r="C78">
        <v>20</v>
      </c>
      <c r="D78" t="s">
        <v>170</v>
      </c>
      <c r="F78" t="s">
        <v>317</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10</v>
      </c>
      <c r="AQ78">
        <v>10</v>
      </c>
      <c r="AW78" t="str">
        <f>VLOOKUP(G78,Eras!$A$2:$C$10, 2, TRUE)</f>
        <v>vct</v>
      </c>
      <c r="AY78" t="str">
        <f t="shared" si="22"/>
        <v>vct_</v>
      </c>
    </row>
    <row r="79" spans="1:51" x14ac:dyDescent="0.25">
      <c r="A79" t="s">
        <v>42</v>
      </c>
      <c r="B79" t="s">
        <v>254</v>
      </c>
      <c r="C79">
        <v>22</v>
      </c>
      <c r="D79" t="s">
        <v>170</v>
      </c>
      <c r="F79" t="s">
        <v>317</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10</v>
      </c>
      <c r="AQ79">
        <v>10</v>
      </c>
      <c r="AW79" t="str">
        <f>VLOOKUP(G79,Eras!$A$2:$C$10, 2, TRUE)</f>
        <v>vct</v>
      </c>
      <c r="AY79" t="str">
        <f t="shared" si="22"/>
        <v>vct_</v>
      </c>
    </row>
    <row r="80" spans="1:51" x14ac:dyDescent="0.25">
      <c r="A80" t="s">
        <v>9</v>
      </c>
      <c r="B80" t="s">
        <v>178</v>
      </c>
      <c r="C80">
        <v>24</v>
      </c>
      <c r="D80" t="s">
        <v>170</v>
      </c>
      <c r="F80" t="s">
        <v>317</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10</v>
      </c>
      <c r="AQ80">
        <v>10</v>
      </c>
      <c r="AW80" t="str">
        <f>VLOOKUP(G80,Eras!$A$2:$C$10, 2, TRUE)</f>
        <v>vct</v>
      </c>
      <c r="AY80" t="str">
        <f t="shared" si="22"/>
        <v>vct_</v>
      </c>
    </row>
    <row r="81" spans="1:52" x14ac:dyDescent="0.25">
      <c r="A81" t="s">
        <v>146</v>
      </c>
      <c r="B81" t="s">
        <v>179</v>
      </c>
      <c r="C81">
        <v>26</v>
      </c>
      <c r="D81" t="s">
        <v>170</v>
      </c>
      <c r="F81" t="s">
        <v>317</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10</v>
      </c>
      <c r="AQ81">
        <v>10</v>
      </c>
      <c r="AW81" t="str">
        <f>VLOOKUP(G81,Eras!$A$2:$C$10, 2, TRUE)</f>
        <v>vct</v>
      </c>
      <c r="AY81" t="str">
        <f t="shared" si="22"/>
        <v>vct_</v>
      </c>
    </row>
    <row r="82" spans="1:52" x14ac:dyDescent="0.25">
      <c r="A82" t="s">
        <v>15</v>
      </c>
      <c r="B82" t="s">
        <v>180</v>
      </c>
      <c r="C82">
        <v>28</v>
      </c>
      <c r="D82" t="s">
        <v>170</v>
      </c>
      <c r="F82" t="s">
        <v>317</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10</v>
      </c>
      <c r="AQ82">
        <v>10</v>
      </c>
      <c r="AW82" t="str">
        <f>VLOOKUP(G82,Eras!$A$2:$C$10, 2, TRUE)</f>
        <v>vct</v>
      </c>
      <c r="AY82" t="str">
        <f t="shared" si="22"/>
        <v>vct_</v>
      </c>
    </row>
    <row r="83" spans="1:52" x14ac:dyDescent="0.25">
      <c r="A83" t="s">
        <v>8</v>
      </c>
      <c r="B83" t="s">
        <v>181</v>
      </c>
      <c r="C83">
        <v>30</v>
      </c>
      <c r="D83" t="s">
        <v>170</v>
      </c>
      <c r="F83" t="s">
        <v>317</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W83" t="str">
        <f>VLOOKUP(G83,Eras!$A$2:$C$10, 2, TRUE)</f>
        <v>vct</v>
      </c>
      <c r="AX83" t="s">
        <v>371</v>
      </c>
      <c r="AY83" t="str">
        <f t="shared" si="22"/>
        <v>vct_Express</v>
      </c>
    </row>
    <row r="84" spans="1:52" x14ac:dyDescent="0.25">
      <c r="A84" t="s">
        <v>17</v>
      </c>
      <c r="B84" t="s">
        <v>283</v>
      </c>
      <c r="C84">
        <v>32</v>
      </c>
      <c r="D84" t="s">
        <v>170</v>
      </c>
      <c r="F84" t="s">
        <v>317</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W84" t="str">
        <f>VLOOKUP(G84,Eras!$A$2:$C$10, 2, TRUE)</f>
        <v>vct</v>
      </c>
      <c r="AY84" t="str">
        <f t="shared" si="22"/>
        <v>vct_</v>
      </c>
    </row>
    <row r="85" spans="1:52" x14ac:dyDescent="0.25">
      <c r="A85" t="s">
        <v>154</v>
      </c>
      <c r="B85" t="s">
        <v>182</v>
      </c>
      <c r="C85">
        <v>34</v>
      </c>
      <c r="D85" t="s">
        <v>170</v>
      </c>
      <c r="F85" t="s">
        <v>317</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10</v>
      </c>
      <c r="AQ85">
        <v>10</v>
      </c>
      <c r="AW85" t="str">
        <f>VLOOKUP(G85,Eras!$A$2:$C$10, 2, TRUE)</f>
        <v>vct</v>
      </c>
      <c r="AY85" t="str">
        <f t="shared" si="22"/>
        <v>vct_</v>
      </c>
    </row>
    <row r="86" spans="1:52" x14ac:dyDescent="0.25">
      <c r="A86" t="s">
        <v>12</v>
      </c>
      <c r="B86" t="s">
        <v>282</v>
      </c>
      <c r="C86">
        <v>36</v>
      </c>
      <c r="D86" t="s">
        <v>170</v>
      </c>
      <c r="F86" t="s">
        <v>317</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W86" t="str">
        <f>VLOOKUP(G86,Eras!$A$2:$C$10, 2, TRUE)</f>
        <v>vct</v>
      </c>
      <c r="AY86" t="str">
        <f t="shared" si="22"/>
        <v>vct_</v>
      </c>
    </row>
    <row r="87" spans="1:52" x14ac:dyDescent="0.25">
      <c r="A87" t="s">
        <v>150</v>
      </c>
      <c r="B87" t="s">
        <v>280</v>
      </c>
      <c r="C87">
        <v>38</v>
      </c>
      <c r="D87" t="s">
        <v>170</v>
      </c>
      <c r="F87" t="s">
        <v>317</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10</v>
      </c>
      <c r="AQ87">
        <v>10</v>
      </c>
      <c r="AW87" t="str">
        <f>VLOOKUP(G87,Eras!$A$2:$C$10, 2, TRUE)</f>
        <v>vct</v>
      </c>
      <c r="AY87" t="str">
        <f t="shared" si="22"/>
        <v>vct_</v>
      </c>
    </row>
    <row r="88" spans="1:52" x14ac:dyDescent="0.25">
      <c r="A88" t="s">
        <v>450</v>
      </c>
      <c r="B88" t="s">
        <v>451</v>
      </c>
      <c r="C88">
        <v>45</v>
      </c>
      <c r="D88" t="s">
        <v>305</v>
      </c>
      <c r="E88" t="s">
        <v>314</v>
      </c>
      <c r="F88" t="s">
        <v>317</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4">IF(AND(T88&gt;0,W88&gt;0),(W88/((T88+U88)*10)),"")</f>
        <v>0.21304347826086956</v>
      </c>
      <c r="Y88">
        <v>30</v>
      </c>
      <c r="AA88">
        <v>6.12</v>
      </c>
      <c r="AB88">
        <v>6.12</v>
      </c>
      <c r="AF88" t="str">
        <f>CONCATENATE(VLOOKUP(AG88, 'Voxel Sizes'!$A$2:$B$18,2,FALSE),"x",INT(AC88*15), "x", INT(AD88*15))</f>
        <v>60x0x0</v>
      </c>
      <c r="AG88">
        <f t="shared" ref="AG88:AG150" si="45">ROUND(15*((AB88*10)/256),0)</f>
        <v>4</v>
      </c>
      <c r="AI88" t="str">
        <f>CONCATENATE(VLOOKUP(AG88,'Articulated Lengths'!$A$2:$C$16,IF(AH88&lt;&gt;"", 3, 2), FALSE),IF(AH88&lt;&gt;"",CONCATENATE(",",VLOOKUP(AH88,$B:$AI,34,FALSE)),""))</f>
        <v>1,2,1</v>
      </c>
      <c r="AO88">
        <v>1</v>
      </c>
      <c r="AP88">
        <v>10</v>
      </c>
      <c r="AQ88">
        <v>10</v>
      </c>
      <c r="AW88" t="str">
        <f>VLOOKUP(G88,Eras!$A$2:$C$10, 2, TRUE)</f>
        <v>edw</v>
      </c>
      <c r="AX88" t="s">
        <v>369</v>
      </c>
      <c r="AY88" t="str">
        <f t="shared" si="22"/>
        <v>edw_Cheap</v>
      </c>
      <c r="AZ88" t="s">
        <v>452</v>
      </c>
    </row>
    <row r="89" spans="1:52" x14ac:dyDescent="0.25">
      <c r="A89" t="s">
        <v>16</v>
      </c>
      <c r="B89" t="s">
        <v>281</v>
      </c>
      <c r="C89">
        <v>47</v>
      </c>
      <c r="D89" t="s">
        <v>305</v>
      </c>
      <c r="E89" t="s">
        <v>314</v>
      </c>
      <c r="F89" t="s">
        <v>317</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4"/>
        <v>9.3269230769230771E-2</v>
      </c>
      <c r="Y89">
        <v>80</v>
      </c>
      <c r="AA89">
        <v>17.268999999999998</v>
      </c>
      <c r="AB89">
        <f>AA89-7.5</f>
        <v>9.7689999999999984</v>
      </c>
      <c r="AF89" t="str">
        <f>CONCATENATE(VLOOKUP(AG89, 'Voxel Sizes'!$A$2:$B$18,2,FALSE),"x",INT(AC89*15), "x", INT(AD89*15))</f>
        <v>102x0x0</v>
      </c>
      <c r="AG89">
        <f t="shared" si="45"/>
        <v>6</v>
      </c>
      <c r="AH89" t="s">
        <v>352</v>
      </c>
      <c r="AI89" t="str">
        <f>CONCATENATE(VLOOKUP(AG89,'Articulated Lengths'!$A$2:$C$16,IF(AH89&lt;&gt;"", 3, 2), FALSE),IF(AH89&lt;&gt;"",CONCATENATE(",",VLOOKUP(AH89,$B:$AI,34,FALSE)),""))</f>
        <v>2,2,2,2,1,2</v>
      </c>
      <c r="AO89">
        <v>1</v>
      </c>
      <c r="AP89">
        <v>10</v>
      </c>
      <c r="AQ89">
        <v>10</v>
      </c>
      <c r="AW89" t="str">
        <f>VLOOKUP(G89,Eras!$A$2:$C$10, 2, TRUE)</f>
        <v>edw</v>
      </c>
      <c r="AX89" t="s">
        <v>371</v>
      </c>
      <c r="AY89" t="str">
        <f t="shared" si="22"/>
        <v>edw_Express</v>
      </c>
      <c r="AZ89" t="s">
        <v>391</v>
      </c>
    </row>
    <row r="90" spans="1:52" ht="14.25" customHeight="1" x14ac:dyDescent="0.25">
      <c r="A90" t="s">
        <v>66</v>
      </c>
      <c r="B90" t="s">
        <v>183</v>
      </c>
      <c r="C90">
        <v>49</v>
      </c>
      <c r="D90" t="s">
        <v>305</v>
      </c>
      <c r="E90" t="s">
        <v>339</v>
      </c>
      <c r="F90" t="s">
        <v>340</v>
      </c>
      <c r="G90">
        <v>1903</v>
      </c>
      <c r="H90">
        <v>1904</v>
      </c>
      <c r="K90">
        <v>640</v>
      </c>
      <c r="T90">
        <v>57</v>
      </c>
      <c r="W90">
        <v>111</v>
      </c>
      <c r="X90" s="4">
        <f t="shared" si="44"/>
        <v>0.19473684210526315</v>
      </c>
      <c r="Y90">
        <v>27</v>
      </c>
      <c r="AA90">
        <v>11.56</v>
      </c>
      <c r="AB90">
        <v>11.56</v>
      </c>
      <c r="AD90">
        <v>3.93</v>
      </c>
      <c r="AF90" t="str">
        <f>CONCATENATE(VLOOKUP(AG90, 'Voxel Sizes'!$A$2:$B$18,2,FALSE),"x",INT(AC90*15), "x", INT(AD90*15))</f>
        <v>120x0x58</v>
      </c>
      <c r="AG90">
        <f t="shared" si="45"/>
        <v>7</v>
      </c>
      <c r="AI90" t="str">
        <f>CONCATENATE(VLOOKUP(AG90,'Articulated Lengths'!$A$2:$C$16,IF(AH90&lt;&gt;"", 3, 2), FALSE),IF(AH90&lt;&gt;"",CONCATENATE(",",VLOOKUP(AH90,$B:$AI,34,FALSE)),""))</f>
        <v>2,3,2</v>
      </c>
      <c r="AP90">
        <v>10</v>
      </c>
      <c r="AQ90">
        <v>10</v>
      </c>
      <c r="AW90" t="str">
        <f>VLOOKUP(G90,Eras!$A$2:$C$10, 2, TRUE)</f>
        <v>edw</v>
      </c>
      <c r="AX90" t="s">
        <v>382</v>
      </c>
      <c r="AY90" t="str">
        <f t="shared" si="22"/>
        <v>edw_Freight (Electric)</v>
      </c>
      <c r="AZ90" t="s">
        <v>393</v>
      </c>
    </row>
    <row r="91" spans="1:52" x14ac:dyDescent="0.25">
      <c r="A91" t="s">
        <v>151</v>
      </c>
      <c r="B91" t="s">
        <v>184</v>
      </c>
      <c r="C91">
        <v>51</v>
      </c>
      <c r="D91" t="s">
        <v>305</v>
      </c>
      <c r="E91" t="s">
        <v>315</v>
      </c>
      <c r="F91" t="s">
        <v>317</v>
      </c>
      <c r="G91">
        <v>1903</v>
      </c>
      <c r="K91">
        <v>85</v>
      </c>
      <c r="T91">
        <v>35</v>
      </c>
      <c r="W91">
        <v>45</v>
      </c>
      <c r="X91" s="4">
        <f t="shared" si="44"/>
        <v>0.12857142857142856</v>
      </c>
      <c r="Y91">
        <v>40</v>
      </c>
      <c r="AA91">
        <v>16.7</v>
      </c>
      <c r="AB91">
        <v>16.7</v>
      </c>
      <c r="AC91">
        <v>2.59</v>
      </c>
      <c r="AD91">
        <v>3.98</v>
      </c>
      <c r="AE91" s="11">
        <v>48</v>
      </c>
      <c r="AF91" t="str">
        <f>CONCATENATE(VLOOKUP(AG91, 'Voxel Sizes'!$A$2:$B$18,2,FALSE),"x",INT(AC91*15), "x", INT(AD91*15))</f>
        <v>164x38x59</v>
      </c>
      <c r="AG91">
        <f t="shared" si="45"/>
        <v>10</v>
      </c>
      <c r="AI91" t="str">
        <f>CONCATENATE(VLOOKUP(AG91,'Articulated Lengths'!$A$2:$C$16,IF(AH91&lt;&gt;"", 3, 2), FALSE),IF(AH91&lt;&gt;"",CONCATENATE(",",VLOOKUP(AH91,$B:$AI,34,FALSE)),""))</f>
        <v>4,2,4</v>
      </c>
      <c r="AP91">
        <v>10</v>
      </c>
      <c r="AQ91">
        <v>10</v>
      </c>
      <c r="AV91" t="s">
        <v>326</v>
      </c>
      <c r="AW91" t="str">
        <f>VLOOKUP(G91,Eras!$A$2:$C$10, 2, TRUE)</f>
        <v>edw</v>
      </c>
      <c r="AX91" t="s">
        <v>373</v>
      </c>
      <c r="AY91" t="str">
        <f t="shared" si="22"/>
        <v>edw_DMU (Cheap)</v>
      </c>
      <c r="AZ91" t="s">
        <v>392</v>
      </c>
    </row>
    <row r="92" spans="1:52" x14ac:dyDescent="0.25">
      <c r="A92" t="s">
        <v>18</v>
      </c>
      <c r="B92" t="s">
        <v>185</v>
      </c>
      <c r="C92">
        <v>53</v>
      </c>
      <c r="D92" t="s">
        <v>305</v>
      </c>
      <c r="E92" t="s">
        <v>314</v>
      </c>
      <c r="F92" t="s">
        <v>317</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4"/>
        <v>0.14000000000000001</v>
      </c>
      <c r="Y92">
        <v>55</v>
      </c>
      <c r="AA92">
        <v>10.02</v>
      </c>
      <c r="AB92">
        <v>10.02</v>
      </c>
      <c r="AF92" t="str">
        <f>CONCATENATE(VLOOKUP(AG92, 'Voxel Sizes'!$A$2:$B$18,2,FALSE),"x",INT(AC92*15), "x", INT(AD92*15))</f>
        <v>102x0x0</v>
      </c>
      <c r="AG92">
        <f t="shared" si="45"/>
        <v>6</v>
      </c>
      <c r="AI92" t="str">
        <f>CONCATENATE(VLOOKUP(AG92,'Articulated Lengths'!$A$2:$C$16,IF(AH92&lt;&gt;"", 3, 2), FALSE),IF(AH92&lt;&gt;"",CONCATENATE(",",VLOOKUP(AH92,$B:$AI,34,FALSE)),""))</f>
        <v>2,2,2</v>
      </c>
      <c r="AO92">
        <v>1</v>
      </c>
      <c r="AP92">
        <v>10</v>
      </c>
      <c r="AQ92">
        <v>10</v>
      </c>
      <c r="AW92" t="str">
        <f>VLOOKUP(G92,Eras!$A$2:$C$10, 2, TRUE)</f>
        <v>edw</v>
      </c>
      <c r="AX92" t="s">
        <v>420</v>
      </c>
      <c r="AY92" t="str">
        <f t="shared" si="22"/>
        <v>edw_Passenger</v>
      </c>
      <c r="AZ92" t="s">
        <v>412</v>
      </c>
    </row>
    <row r="93" spans="1:52" x14ac:dyDescent="0.25">
      <c r="A93" t="s">
        <v>20</v>
      </c>
      <c r="B93" t="s">
        <v>422</v>
      </c>
      <c r="C93">
        <v>55</v>
      </c>
      <c r="D93" t="s">
        <v>305</v>
      </c>
      <c r="E93" t="s">
        <v>314</v>
      </c>
      <c r="F93" t="s">
        <v>317</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4"/>
        <v>0.14984227129337541</v>
      </c>
      <c r="Y93">
        <v>55</v>
      </c>
      <c r="AA93">
        <v>11.5</v>
      </c>
      <c r="AB93">
        <v>11.5</v>
      </c>
      <c r="AF93" t="str">
        <f>CONCATENATE(VLOOKUP(AG93, 'Voxel Sizes'!$A$2:$B$18,2,FALSE),"x",INT(AC93*15), "x", INT(AD93*15))</f>
        <v>120x0x0</v>
      </c>
      <c r="AG93">
        <f t="shared" si="45"/>
        <v>7</v>
      </c>
      <c r="AI93" t="str">
        <f>CONCATENATE(VLOOKUP(AG93,'Articulated Lengths'!$A$2:$C$16,IF(AH93&lt;&gt;"", 3, 2), FALSE),IF(AH93&lt;&gt;"",CONCATENATE(",",VLOOKUP(AH93,$B:$AI,34,FALSE)),""))</f>
        <v>2,3,2</v>
      </c>
      <c r="AO93">
        <v>1</v>
      </c>
      <c r="AP93">
        <v>10</v>
      </c>
      <c r="AQ93">
        <v>10</v>
      </c>
      <c r="AW93" t="str">
        <f>VLOOKUP(G93,Eras!$A$2:$C$10, 2, TRUE)</f>
        <v>edw</v>
      </c>
      <c r="AX93" t="s">
        <v>370</v>
      </c>
      <c r="AY93" t="str">
        <f t="shared" si="22"/>
        <v>edw_Mixed Traffic</v>
      </c>
      <c r="AZ93" t="s">
        <v>421</v>
      </c>
    </row>
    <row r="94" spans="1:52" x14ac:dyDescent="0.25">
      <c r="A94" t="s">
        <v>28</v>
      </c>
      <c r="B94" t="s">
        <v>186</v>
      </c>
      <c r="C94">
        <v>57</v>
      </c>
      <c r="D94" t="s">
        <v>305</v>
      </c>
      <c r="E94" t="s">
        <v>314</v>
      </c>
      <c r="F94" t="s">
        <v>317</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4"/>
        <v>0.12183908045977011</v>
      </c>
      <c r="Y94">
        <v>50</v>
      </c>
      <c r="AA94">
        <v>13.1</v>
      </c>
      <c r="AB94">
        <v>13.1</v>
      </c>
      <c r="AF94" t="str">
        <f>CONCATENATE(VLOOKUP(AG94, 'Voxel Sizes'!$A$2:$B$18,2,FALSE),"x",INT(AC94*15), "x", INT(AD94*15))</f>
        <v>136x0x0</v>
      </c>
      <c r="AG94">
        <f t="shared" si="45"/>
        <v>8</v>
      </c>
      <c r="AI94" t="str">
        <f>CONCATENATE(VLOOKUP(AG94,'Articulated Lengths'!$A$2:$C$16,IF(AH94&lt;&gt;"", 3, 2), FALSE),IF(AH94&lt;&gt;"",CONCATENATE(",",VLOOKUP(AH94,$B:$AI,34,FALSE)),""))</f>
        <v>2,4,2</v>
      </c>
      <c r="AO94">
        <v>1</v>
      </c>
      <c r="AP94">
        <v>10</v>
      </c>
      <c r="AQ94">
        <v>10</v>
      </c>
      <c r="AW94" t="str">
        <f>VLOOKUP(G94,Eras!$A$2:$C$10, 2, TRUE)</f>
        <v>edw</v>
      </c>
      <c r="AX94" t="s">
        <v>420</v>
      </c>
      <c r="AY94" t="str">
        <f t="shared" si="22"/>
        <v>edw_Passenger</v>
      </c>
      <c r="AZ94" t="s">
        <v>424</v>
      </c>
    </row>
    <row r="95" spans="1:52" x14ac:dyDescent="0.25">
      <c r="A95" t="s">
        <v>29</v>
      </c>
      <c r="B95" t="s">
        <v>428</v>
      </c>
      <c r="C95">
        <v>59</v>
      </c>
      <c r="D95" t="s">
        <v>305</v>
      </c>
      <c r="E95" t="s">
        <v>314</v>
      </c>
      <c r="F95" t="s">
        <v>317</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4"/>
        <v>0.1188034188034188</v>
      </c>
      <c r="Y95">
        <v>40</v>
      </c>
      <c r="AA95">
        <v>18.809999999999999</v>
      </c>
      <c r="AB95">
        <v>11.31</v>
      </c>
      <c r="AF95" t="str">
        <f>CONCATENATE(VLOOKUP(AG95, 'Voxel Sizes'!$A$2:$B$18,2,FALSE),"x",INT(AC95*15), "x", INT(AD95*15))</f>
        <v>120x0x0</v>
      </c>
      <c r="AG95">
        <f t="shared" si="45"/>
        <v>7</v>
      </c>
      <c r="AH95" t="s">
        <v>352</v>
      </c>
      <c r="AI95" t="str">
        <f>CONCATENATE(VLOOKUP(AG95,'Articulated Lengths'!$A$2:$C$16,IF(AH95&lt;&gt;"", 3, 2), FALSE),IF(AH95&lt;&gt;"",CONCATENATE(",",VLOOKUP(AH95,$B:$AI,34,FALSE)),""))</f>
        <v>2,3,2,2,1,2</v>
      </c>
      <c r="AO95">
        <v>1</v>
      </c>
      <c r="AP95">
        <v>10</v>
      </c>
      <c r="AQ95">
        <v>10</v>
      </c>
      <c r="AW95" t="str">
        <f>VLOOKUP(G95,Eras!$A$2:$C$10, 2, TRUE)</f>
        <v>edw</v>
      </c>
      <c r="AX95" t="s">
        <v>372</v>
      </c>
      <c r="AY95" t="str">
        <f t="shared" si="22"/>
        <v>edw_Freight</v>
      </c>
      <c r="AZ95" t="s">
        <v>429</v>
      </c>
    </row>
    <row r="96" spans="1:52" x14ac:dyDescent="0.25">
      <c r="A96" t="s">
        <v>435</v>
      </c>
      <c r="B96" t="s">
        <v>440</v>
      </c>
      <c r="C96">
        <v>61</v>
      </c>
      <c r="D96" t="s">
        <v>305</v>
      </c>
      <c r="E96" t="s">
        <v>314</v>
      </c>
      <c r="F96" t="s">
        <v>317</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4"/>
        <v>0.17049180327868851</v>
      </c>
      <c r="Y96">
        <v>45</v>
      </c>
      <c r="AA96">
        <v>14.4</v>
      </c>
      <c r="AB96">
        <v>10</v>
      </c>
      <c r="AF96" t="str">
        <f>CONCATENATE(VLOOKUP(AG96, 'Voxel Sizes'!$A$2:$B$18,2,FALSE),"x",INT(AC96*15), "x", INT(AD96*15))</f>
        <v>102x0x0</v>
      </c>
      <c r="AG96">
        <f t="shared" si="45"/>
        <v>6</v>
      </c>
      <c r="AH96" t="s">
        <v>442</v>
      </c>
      <c r="AI96" t="str">
        <f>CONCATENATE(VLOOKUP(AG96,'Articulated Lengths'!$A$2:$C$16,IF(AH96&lt;&gt;"", 3, 2), FALSE),IF(AH96&lt;&gt;"",CONCATENATE(",",VLOOKUP(AH96,$B:$AI,34,FALSE)),""))</f>
        <v>2,2,2,2,1,2</v>
      </c>
      <c r="AO96">
        <v>1</v>
      </c>
      <c r="AP96">
        <v>10</v>
      </c>
      <c r="AQ96">
        <v>10</v>
      </c>
      <c r="AW96" t="str">
        <f>VLOOKUP(G96,Eras!$A$2:$C$10, 2, TRUE)</f>
        <v>edw</v>
      </c>
      <c r="AX96" t="s">
        <v>372</v>
      </c>
      <c r="AY96" t="str">
        <f t="shared" si="22"/>
        <v>edw_Freight</v>
      </c>
      <c r="AZ96" t="s">
        <v>434</v>
      </c>
    </row>
    <row r="97" spans="1:52" x14ac:dyDescent="0.25">
      <c r="A97" t="s">
        <v>67</v>
      </c>
      <c r="B97" t="s">
        <v>187</v>
      </c>
      <c r="C97">
        <v>63</v>
      </c>
      <c r="D97" t="s">
        <v>305</v>
      </c>
      <c r="E97" t="s">
        <v>339</v>
      </c>
      <c r="F97" t="s">
        <v>317</v>
      </c>
      <c r="G97">
        <v>1914</v>
      </c>
      <c r="H97">
        <v>1919</v>
      </c>
      <c r="I97">
        <v>1950</v>
      </c>
      <c r="K97">
        <v>1100</v>
      </c>
      <c r="T97">
        <v>76</v>
      </c>
      <c r="W97">
        <v>140</v>
      </c>
      <c r="X97" s="4">
        <f t="shared" si="44"/>
        <v>0.18421052631578946</v>
      </c>
      <c r="Y97">
        <v>35</v>
      </c>
      <c r="AA97">
        <v>12</v>
      </c>
      <c r="AB97">
        <v>12</v>
      </c>
      <c r="AF97" t="str">
        <f>CONCATENATE(VLOOKUP(AG97, 'Voxel Sizes'!$A$2:$B$18,2,FALSE),"x",INT(AC97*15), "x", INT(AD97*15))</f>
        <v>120x0x0</v>
      </c>
      <c r="AG97">
        <f t="shared" si="45"/>
        <v>7</v>
      </c>
      <c r="AI97" t="str">
        <f>CONCATENATE(VLOOKUP(AG97,'Articulated Lengths'!$A$2:$C$16,IF(AH97&lt;&gt;"", 3, 2), FALSE),IF(AH97&lt;&gt;"",CONCATENATE(",",VLOOKUP(AH97,$B:$AI,34,FALSE)),""))</f>
        <v>2,3,2</v>
      </c>
      <c r="AP97">
        <v>10</v>
      </c>
      <c r="AQ97">
        <v>10</v>
      </c>
      <c r="AW97" t="str">
        <f>VLOOKUP(G97,Eras!$A$2:$C$10, 2, TRUE)</f>
        <v>edw</v>
      </c>
      <c r="AX97" t="s">
        <v>382</v>
      </c>
      <c r="AY97" t="str">
        <f t="shared" si="22"/>
        <v>edw_Freight (Electric)</v>
      </c>
      <c r="AZ97" t="s">
        <v>443</v>
      </c>
    </row>
    <row r="98" spans="1:52" x14ac:dyDescent="0.25">
      <c r="A98" t="s">
        <v>444</v>
      </c>
      <c r="B98" t="s">
        <v>446</v>
      </c>
      <c r="C98">
        <v>65</v>
      </c>
      <c r="D98" t="s">
        <v>456</v>
      </c>
      <c r="E98" t="s">
        <v>339</v>
      </c>
      <c r="F98" t="s">
        <v>346</v>
      </c>
      <c r="G98">
        <v>1914</v>
      </c>
      <c r="I98">
        <v>1960</v>
      </c>
      <c r="J98">
        <v>3</v>
      </c>
      <c r="K98">
        <v>1000</v>
      </c>
      <c r="T98">
        <v>117</v>
      </c>
      <c r="W98">
        <v>112</v>
      </c>
      <c r="X98" s="4">
        <f t="shared" si="44"/>
        <v>9.5726495726495733E-2</v>
      </c>
      <c r="Y98">
        <v>60</v>
      </c>
      <c r="AB98">
        <v>17.7</v>
      </c>
      <c r="AE98" s="11">
        <v>45</v>
      </c>
      <c r="AF98" t="str">
        <f>CONCATENATE(VLOOKUP(AG98, 'Voxel Sizes'!$A$2:$B$18,2,FALSE),"x",INT(AC98*15), "x", INT(AD98*15))</f>
        <v>164x0x0</v>
      </c>
      <c r="AG98">
        <f t="shared" si="45"/>
        <v>10</v>
      </c>
      <c r="AI98" t="str">
        <f>CONCATENATE(VLOOKUP(AG98,'Articulated Lengths'!$A$2:$C$16,IF(AH98&lt;&gt;"", 3, 2), FALSE),IF(AH98&lt;&gt;"",CONCATENATE(",",VLOOKUP(AH98,$B:$AI,34,FALSE)),""))</f>
        <v>4,2,4</v>
      </c>
      <c r="AK98" t="s">
        <v>457</v>
      </c>
      <c r="AM98" t="s">
        <v>455</v>
      </c>
      <c r="AP98">
        <v>10</v>
      </c>
      <c r="AQ98">
        <v>10</v>
      </c>
      <c r="AV98" t="s">
        <v>326</v>
      </c>
      <c r="AW98" t="str">
        <f>VLOOKUP(G98,Eras!$A$2:$C$10, 2, TRUE)</f>
        <v>edw</v>
      </c>
      <c r="AX98" t="s">
        <v>376</v>
      </c>
      <c r="AY98" t="str">
        <f t="shared" si="22"/>
        <v>edw_EMU</v>
      </c>
      <c r="AZ98" t="s">
        <v>445</v>
      </c>
    </row>
    <row r="99" spans="1:52" x14ac:dyDescent="0.25">
      <c r="A99" t="s">
        <v>38</v>
      </c>
      <c r="B99" t="s">
        <v>188</v>
      </c>
      <c r="C99">
        <v>67</v>
      </c>
      <c r="D99" t="s">
        <v>170</v>
      </c>
      <c r="F99" t="s">
        <v>317</v>
      </c>
      <c r="G99">
        <v>1921</v>
      </c>
      <c r="H99">
        <v>1922</v>
      </c>
      <c r="T99">
        <v>63</v>
      </c>
      <c r="U99" s="9">
        <v>41</v>
      </c>
      <c r="W99">
        <v>125</v>
      </c>
      <c r="X99" s="4">
        <f t="shared" si="44"/>
        <v>0.1201923076923077</v>
      </c>
      <c r="AF99" t="str">
        <f>CONCATENATE(VLOOKUP(AG99, 'Voxel Sizes'!$A$2:$B$18,2,FALSE),"x",INT(AC99*15), "x", INT(AD99*15))</f>
        <v>0x0x0</v>
      </c>
      <c r="AG99">
        <f t="shared" si="45"/>
        <v>0</v>
      </c>
      <c r="AI99" t="str">
        <f>CONCATENATE(VLOOKUP(AG99,'Articulated Lengths'!$A$2:$C$16,IF(AH99&lt;&gt;"", 3, 2), FALSE),IF(AH99&lt;&gt;"",CONCATENATE(",",VLOOKUP(AH99,$B:$AI,34,FALSE)),""))</f>
        <v>na</v>
      </c>
      <c r="AP99">
        <v>10</v>
      </c>
      <c r="AQ99">
        <v>10</v>
      </c>
      <c r="AW99" t="str">
        <f>VLOOKUP(G99,Eras!$A$2:$C$10, 2, TRUE)</f>
        <v>edw</v>
      </c>
      <c r="AY99" t="str">
        <f t="shared" si="22"/>
        <v>edw_</v>
      </c>
    </row>
    <row r="100" spans="1:52" x14ac:dyDescent="0.25">
      <c r="A100" t="s">
        <v>24</v>
      </c>
      <c r="B100" t="s">
        <v>189</v>
      </c>
      <c r="C100">
        <v>69</v>
      </c>
      <c r="D100" t="s">
        <v>170</v>
      </c>
      <c r="F100" t="s">
        <v>317</v>
      </c>
      <c r="G100">
        <v>1922</v>
      </c>
      <c r="H100">
        <v>1924</v>
      </c>
      <c r="W100">
        <v>119</v>
      </c>
      <c r="X100" s="4" t="str">
        <f t="shared" si="44"/>
        <v/>
      </c>
      <c r="AF100" t="str">
        <f>CONCATENATE(VLOOKUP(AG100, 'Voxel Sizes'!$A$2:$B$18,2,FALSE),"x",INT(AC100*15), "x", INT(AD100*15))</f>
        <v>0x0x0</v>
      </c>
      <c r="AG100">
        <f t="shared" si="45"/>
        <v>0</v>
      </c>
      <c r="AI100" t="str">
        <f>CONCATENATE(VLOOKUP(AG100,'Articulated Lengths'!$A$2:$C$16,IF(AH100&lt;&gt;"", 3, 2), FALSE),IF(AH100&lt;&gt;"",CONCATENATE(",",VLOOKUP(AH100,$B:$AI,34,FALSE)),""))</f>
        <v>na</v>
      </c>
      <c r="AP100">
        <v>10</v>
      </c>
      <c r="AQ100">
        <v>10</v>
      </c>
      <c r="AW100" t="str">
        <f>VLOOKUP(G100,Eras!$A$2:$C$10, 2, TRUE)</f>
        <v>edw</v>
      </c>
      <c r="AY100" t="str">
        <f t="shared" si="22"/>
        <v>edw_</v>
      </c>
    </row>
    <row r="101" spans="1:52" x14ac:dyDescent="0.25">
      <c r="A101" t="s">
        <v>11</v>
      </c>
      <c r="B101" t="s">
        <v>190</v>
      </c>
      <c r="C101">
        <v>73</v>
      </c>
      <c r="D101" t="s">
        <v>305</v>
      </c>
      <c r="E101" t="s">
        <v>314</v>
      </c>
      <c r="F101" t="s">
        <v>317</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4"/>
        <v>0.11938663745892661</v>
      </c>
      <c r="Y101">
        <v>55</v>
      </c>
      <c r="AA101">
        <v>15.8</v>
      </c>
      <c r="AB101">
        <v>10</v>
      </c>
      <c r="AF101" t="str">
        <f>CONCATENATE(VLOOKUP(AG101, 'Voxel Sizes'!$A$2:$B$18,2,FALSE),"x",INT(AC101*15), "x", INT(AD101*15))</f>
        <v>102x0x0</v>
      </c>
      <c r="AG101">
        <f t="shared" si="45"/>
        <v>6</v>
      </c>
      <c r="AH101" t="s">
        <v>352</v>
      </c>
      <c r="AI101" t="str">
        <f>CONCATENATE(VLOOKUP(AG101,'Articulated Lengths'!$A$2:$C$16,IF(AH101&lt;&gt;"", 3, 2), FALSE),IF(AH101&lt;&gt;"",CONCATENATE(",",VLOOKUP(AH101,$B:$AI,34,FALSE)),""))</f>
        <v>2,2,2,2,1,2</v>
      </c>
      <c r="AO101">
        <v>1</v>
      </c>
      <c r="AP101">
        <v>10</v>
      </c>
      <c r="AQ101">
        <v>10</v>
      </c>
      <c r="AW101" t="str">
        <f>VLOOKUP(G101,Eras!$A$2:$C$10, 2, TRUE)</f>
        <v>big4</v>
      </c>
      <c r="AX101" t="s">
        <v>370</v>
      </c>
      <c r="AY101" t="str">
        <f t="shared" si="22"/>
        <v>big4_Mixed Traffic</v>
      </c>
      <c r="AZ101" t="s">
        <v>469</v>
      </c>
    </row>
    <row r="102" spans="1:52" x14ac:dyDescent="0.25">
      <c r="A102" t="s">
        <v>470</v>
      </c>
      <c r="B102" t="s">
        <v>471</v>
      </c>
      <c r="C102">
        <v>75</v>
      </c>
      <c r="D102" t="s">
        <v>305</v>
      </c>
      <c r="E102" t="s">
        <v>314</v>
      </c>
      <c r="F102" t="s">
        <v>317</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4"/>
        <v>0.10921766072811774</v>
      </c>
      <c r="Y102">
        <v>102</v>
      </c>
      <c r="Z102">
        <v>1</v>
      </c>
      <c r="AA102">
        <v>19.86</v>
      </c>
      <c r="AB102">
        <f>AA102-7.64</f>
        <v>12.219999999999999</v>
      </c>
      <c r="AD102">
        <v>4.07</v>
      </c>
      <c r="AF102" t="str">
        <f>CONCATENATE(VLOOKUP(AG102, 'Voxel Sizes'!$A$2:$B$18,2,FALSE),"x",INT(AC102*15), "x", INT(AD102*15))</f>
        <v>120x0x61</v>
      </c>
      <c r="AG102">
        <f t="shared" si="45"/>
        <v>7</v>
      </c>
      <c r="AH102" t="s">
        <v>473</v>
      </c>
      <c r="AI102" t="str">
        <f>CONCATENATE(VLOOKUP(AG102,'Articulated Lengths'!$A$2:$C$16,IF(AH102&lt;&gt;"", 3, 2), FALSE),IF(AH102&lt;&gt;"",CONCATENATE(",",VLOOKUP(AH102,$B:$AI,34,FALSE)),""))</f>
        <v>2,3,2,2,1,2</v>
      </c>
      <c r="AO102">
        <v>1</v>
      </c>
      <c r="AP102">
        <v>10</v>
      </c>
      <c r="AQ102">
        <v>10</v>
      </c>
      <c r="AW102" t="str">
        <f>VLOOKUP(G102,Eras!$A$2:$C$10, 2, TRUE)</f>
        <v>big4</v>
      </c>
      <c r="AX102" t="s">
        <v>371</v>
      </c>
      <c r="AY102" t="str">
        <f t="shared" si="22"/>
        <v>big4_Express</v>
      </c>
      <c r="AZ102" t="s">
        <v>474</v>
      </c>
    </row>
    <row r="103" spans="1:52" x14ac:dyDescent="0.25">
      <c r="A103" t="s">
        <v>10</v>
      </c>
      <c r="B103" t="s">
        <v>191</v>
      </c>
      <c r="C103">
        <v>77</v>
      </c>
      <c r="D103" t="s">
        <v>305</v>
      </c>
      <c r="E103" t="s">
        <v>314</v>
      </c>
      <c r="F103" t="s">
        <v>317</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4"/>
        <v>0.1852589641434263</v>
      </c>
      <c r="Y103">
        <v>45</v>
      </c>
      <c r="AA103">
        <v>9.57</v>
      </c>
      <c r="AB103">
        <v>9.57</v>
      </c>
      <c r="AF103" t="str">
        <f>CONCATENATE(VLOOKUP(AG103, 'Voxel Sizes'!$A$2:$B$18,2,FALSE),"x",INT(AC103*15), "x", INT(AD103*15))</f>
        <v>102x0x0</v>
      </c>
      <c r="AG103">
        <f t="shared" si="45"/>
        <v>6</v>
      </c>
      <c r="AI103" t="str">
        <f>CONCATENATE(VLOOKUP(AG103,'Articulated Lengths'!$A$2:$C$16,IF(AH103&lt;&gt;"", 3, 2), FALSE),IF(AH103&lt;&gt;"",CONCATENATE(",",VLOOKUP(AH103,$B:$AI,34,FALSE)),""))</f>
        <v>2,2,2</v>
      </c>
      <c r="AO103">
        <v>1</v>
      </c>
      <c r="AP103">
        <v>10</v>
      </c>
      <c r="AQ103">
        <v>10</v>
      </c>
      <c r="AW103" t="str">
        <f>VLOOKUP(G103,Eras!$A$2:$C$10, 2, TRUE)</f>
        <v>big4</v>
      </c>
      <c r="AX103" t="s">
        <v>369</v>
      </c>
      <c r="AY103" t="str">
        <f t="shared" si="22"/>
        <v>big4_Cheap</v>
      </c>
      <c r="AZ103" t="s">
        <v>394</v>
      </c>
    </row>
    <row r="104" spans="1:52" x14ac:dyDescent="0.25">
      <c r="A104" t="s">
        <v>21</v>
      </c>
      <c r="B104" t="s">
        <v>192</v>
      </c>
      <c r="C104">
        <v>79</v>
      </c>
      <c r="D104" t="s">
        <v>305</v>
      </c>
      <c r="E104" t="s">
        <v>314</v>
      </c>
      <c r="F104" t="s">
        <v>317</v>
      </c>
      <c r="G104">
        <v>1924</v>
      </c>
      <c r="H104">
        <v>1928</v>
      </c>
      <c r="I104">
        <v>1965</v>
      </c>
      <c r="K104">
        <v>900</v>
      </c>
      <c r="T104">
        <v>62</v>
      </c>
      <c r="W104">
        <v>115</v>
      </c>
      <c r="X104" s="4">
        <f t="shared" si="44"/>
        <v>0.18548387096774194</v>
      </c>
      <c r="Y104">
        <v>50</v>
      </c>
      <c r="AA104">
        <v>11.43</v>
      </c>
      <c r="AB104">
        <v>11.43</v>
      </c>
      <c r="AF104" t="str">
        <f>CONCATENATE(VLOOKUP(AG104, 'Voxel Sizes'!$A$2:$B$18,2,FALSE),"x",INT(AC104*15), "x", INT(AD104*15))</f>
        <v>120x0x0</v>
      </c>
      <c r="AG104">
        <f t="shared" si="45"/>
        <v>7</v>
      </c>
      <c r="AI104" t="str">
        <f>CONCATENATE(VLOOKUP(AG104,'Articulated Lengths'!$A$2:$C$16,IF(AH104&lt;&gt;"", 3, 2), FALSE),IF(AH104&lt;&gt;"",CONCATENATE(",",VLOOKUP(AH104,$B:$AI,34,FALSE)),""))</f>
        <v>2,3,2</v>
      </c>
      <c r="AO104">
        <v>1</v>
      </c>
      <c r="AP104">
        <v>10</v>
      </c>
      <c r="AQ104">
        <v>10</v>
      </c>
      <c r="AW104" t="str">
        <f>VLOOKUP(G104,Eras!$A$2:$C$10, 2, TRUE)</f>
        <v>big4</v>
      </c>
      <c r="AX104" t="s">
        <v>370</v>
      </c>
      <c r="AY104" t="str">
        <f t="shared" si="22"/>
        <v>big4_Mixed Traffic</v>
      </c>
      <c r="AZ104" t="s">
        <v>395</v>
      </c>
    </row>
    <row r="105" spans="1:52" x14ac:dyDescent="0.25">
      <c r="A105" t="s">
        <v>31</v>
      </c>
      <c r="B105" t="s">
        <v>338</v>
      </c>
      <c r="C105">
        <v>81</v>
      </c>
      <c r="D105" t="s">
        <v>305</v>
      </c>
      <c r="E105" t="s">
        <v>314</v>
      </c>
      <c r="F105" t="s">
        <v>317</v>
      </c>
      <c r="G105">
        <v>1926</v>
      </c>
      <c r="H105">
        <v>1932</v>
      </c>
      <c r="I105">
        <v>1967</v>
      </c>
      <c r="K105">
        <v>1400</v>
      </c>
      <c r="M105" s="6">
        <v>21</v>
      </c>
      <c r="N105" s="6">
        <v>26</v>
      </c>
      <c r="O105" s="6">
        <v>2</v>
      </c>
      <c r="P105" s="6">
        <v>180</v>
      </c>
      <c r="Q105" s="7">
        <f t="shared" ref="Q105:Q113" si="46">((($Y105/2)/60)*5280)/($R105*3.2*PI())</f>
        <v>191.48329090743655</v>
      </c>
      <c r="R105" s="6">
        <v>1.6</v>
      </c>
      <c r="S105" s="6">
        <f t="shared" ref="S105:S113" si="47">((($M105*$M105/4)*PI())*($N105/12)*$O105*$P105*$Q105)/(33000*1.1)</f>
        <v>1425.1065340909088</v>
      </c>
      <c r="T105">
        <v>67</v>
      </c>
      <c r="U105" s="9">
        <v>46</v>
      </c>
      <c r="W105">
        <v>118</v>
      </c>
      <c r="X105" s="4">
        <f t="shared" si="44"/>
        <v>0.10442477876106195</v>
      </c>
      <c r="Y105">
        <v>70</v>
      </c>
      <c r="AA105">
        <v>10.44</v>
      </c>
      <c r="AB105">
        <v>10.44</v>
      </c>
      <c r="AF105" t="str">
        <f>CONCATENATE(VLOOKUP(AG105, 'Voxel Sizes'!$A$2:$B$18,2,FALSE),"x",INT(AC105*15), "x", INT(AD105*15))</f>
        <v>102x0x0</v>
      </c>
      <c r="AG105">
        <f t="shared" si="45"/>
        <v>6</v>
      </c>
      <c r="AH105" t="s">
        <v>332</v>
      </c>
      <c r="AI105" t="str">
        <f>CONCATENATE(VLOOKUP(AG105,'Articulated Lengths'!$A$2:$C$16,IF(AH105&lt;&gt;"", 3, 2), FALSE),IF(AH105&lt;&gt;"",CONCATENATE(",",VLOOKUP(AH105,$B:$AI,34,FALSE)),""))</f>
        <v>2,2,2,2,1,2</v>
      </c>
      <c r="AO105">
        <v>1</v>
      </c>
      <c r="AP105">
        <v>10</v>
      </c>
      <c r="AQ105">
        <v>10</v>
      </c>
      <c r="AW105" t="str">
        <f>VLOOKUP(G105,Eras!$A$2:$C$10, 2, TRUE)</f>
        <v>big4</v>
      </c>
      <c r="AX105" t="s">
        <v>371</v>
      </c>
      <c r="AY105" t="str">
        <f t="shared" ref="AY105:AY168" si="48">CONCATENATE(AW105,"_",AX105)</f>
        <v>big4_Express</v>
      </c>
      <c r="AZ105" t="s">
        <v>396</v>
      </c>
    </row>
    <row r="106" spans="1:52" x14ac:dyDescent="0.25">
      <c r="A106" t="s">
        <v>148</v>
      </c>
      <c r="B106" t="s">
        <v>476</v>
      </c>
      <c r="C106">
        <v>83</v>
      </c>
      <c r="D106" t="s">
        <v>305</v>
      </c>
      <c r="E106" t="s">
        <v>314</v>
      </c>
      <c r="F106" t="s">
        <v>317</v>
      </c>
      <c r="G106">
        <v>1927</v>
      </c>
      <c r="I106">
        <v>1961</v>
      </c>
      <c r="K106">
        <v>1200</v>
      </c>
      <c r="M106" s="6">
        <v>17</v>
      </c>
      <c r="N106" s="6">
        <v>26</v>
      </c>
      <c r="O106" s="6">
        <v>3</v>
      </c>
      <c r="P106" s="6">
        <v>180</v>
      </c>
      <c r="Q106" s="7">
        <f t="shared" si="46"/>
        <v>164.12853506351706</v>
      </c>
      <c r="R106" s="6">
        <v>2</v>
      </c>
      <c r="S106" s="6">
        <f t="shared" si="47"/>
        <v>1200.7457386363637</v>
      </c>
      <c r="T106">
        <v>66</v>
      </c>
      <c r="U106" s="9">
        <v>53</v>
      </c>
      <c r="W106">
        <v>96</v>
      </c>
      <c r="X106" s="4">
        <f t="shared" si="44"/>
        <v>8.067226890756303E-2</v>
      </c>
      <c r="Y106">
        <v>75</v>
      </c>
      <c r="AA106">
        <v>17.899999999999999</v>
      </c>
      <c r="AB106">
        <f>AA106-7.5</f>
        <v>10.399999999999999</v>
      </c>
      <c r="AF106" t="str">
        <f>CONCATENATE(VLOOKUP(AG106, 'Voxel Sizes'!$A$2:$B$18,2,FALSE),"x",INT(AC106*15), "x", INT(AD106*15))</f>
        <v>102x0x0</v>
      </c>
      <c r="AG106">
        <f t="shared" si="45"/>
        <v>6</v>
      </c>
      <c r="AH106" t="s">
        <v>442</v>
      </c>
      <c r="AI106" t="str">
        <f>CONCATENATE(VLOOKUP(AG106,'Articulated Lengths'!$A$2:$C$16,IF(AH106&lt;&gt;"", 3, 2), FALSE),IF(AH106&lt;&gt;"",CONCATENATE(",",VLOOKUP(AH106,$B:$AI,34,FALSE)),""))</f>
        <v>2,2,2,2,1,2</v>
      </c>
      <c r="AO106">
        <v>1</v>
      </c>
      <c r="AP106">
        <v>10</v>
      </c>
      <c r="AQ106">
        <v>10</v>
      </c>
      <c r="AW106" t="str">
        <f>VLOOKUP(G106,Eras!$A$2:$C$10, 2, TRUE)</f>
        <v>big4</v>
      </c>
      <c r="AX106" t="s">
        <v>420</v>
      </c>
      <c r="AY106" t="str">
        <f t="shared" si="48"/>
        <v>big4_Passenger</v>
      </c>
      <c r="AZ106" t="s">
        <v>475</v>
      </c>
    </row>
    <row r="107" spans="1:52" x14ac:dyDescent="0.25">
      <c r="A107" t="s">
        <v>478</v>
      </c>
      <c r="B107" t="s">
        <v>477</v>
      </c>
      <c r="C107">
        <v>85</v>
      </c>
      <c r="D107" t="s">
        <v>305</v>
      </c>
      <c r="E107" t="s">
        <v>314</v>
      </c>
      <c r="F107" t="s">
        <v>317</v>
      </c>
      <c r="G107">
        <v>1927</v>
      </c>
      <c r="H107">
        <v>1936</v>
      </c>
      <c r="I107">
        <v>1962</v>
      </c>
      <c r="K107">
        <v>2300</v>
      </c>
      <c r="M107" s="6">
        <v>16.25</v>
      </c>
      <c r="N107" s="6">
        <v>28</v>
      </c>
      <c r="O107" s="6">
        <v>4</v>
      </c>
      <c r="P107" s="6">
        <v>250</v>
      </c>
      <c r="Q107" s="7">
        <f t="shared" si="46"/>
        <v>232.10095867568069</v>
      </c>
      <c r="R107" s="6">
        <v>1.98</v>
      </c>
      <c r="S107" s="6">
        <f t="shared" si="47"/>
        <v>3094.166690580043</v>
      </c>
      <c r="T107">
        <v>90.4</v>
      </c>
      <c r="W107">
        <v>179</v>
      </c>
      <c r="X107" s="4">
        <f t="shared" si="44"/>
        <v>0.19800884955752213</v>
      </c>
      <c r="Y107">
        <v>105</v>
      </c>
      <c r="AA107">
        <v>20.78</v>
      </c>
      <c r="AB107">
        <f>AA107-7.5</f>
        <v>13.280000000000001</v>
      </c>
      <c r="AD107">
        <v>4.08</v>
      </c>
      <c r="AF107" t="str">
        <f>CONCATENATE(VLOOKUP(AG107, 'Voxel Sizes'!$A$2:$B$18,2,FALSE),"x",INT(AC107*15), "x", INT(AD107*15))</f>
        <v>136x0x61</v>
      </c>
      <c r="AG107">
        <f t="shared" si="45"/>
        <v>8</v>
      </c>
      <c r="AH107" t="s">
        <v>473</v>
      </c>
      <c r="AI107" t="str">
        <f>CONCATENATE(VLOOKUP(AG107,'Articulated Lengths'!$A$2:$C$16,IF(AH107&lt;&gt;"", 3, 2), FALSE),IF(AH107&lt;&gt;"",CONCATENATE(",",VLOOKUP(AH107,$B:$AI,34,FALSE)),""))</f>
        <v>2,4,2,2,1,2</v>
      </c>
      <c r="AO107">
        <v>1</v>
      </c>
      <c r="AP107">
        <v>10</v>
      </c>
      <c r="AQ107">
        <v>10</v>
      </c>
      <c r="AW107" t="str">
        <f>VLOOKUP(G107,Eras!$A$2:$C$10, 2, TRUE)</f>
        <v>big4</v>
      </c>
      <c r="AX107" t="s">
        <v>371</v>
      </c>
      <c r="AY107" t="str">
        <f t="shared" si="48"/>
        <v>big4_Express</v>
      </c>
      <c r="AZ107" t="s">
        <v>479</v>
      </c>
    </row>
    <row r="108" spans="1:52" x14ac:dyDescent="0.25">
      <c r="A108" t="s">
        <v>34</v>
      </c>
      <c r="B108" t="s">
        <v>481</v>
      </c>
      <c r="C108">
        <v>87</v>
      </c>
      <c r="D108" t="s">
        <v>305</v>
      </c>
      <c r="E108" t="s">
        <v>314</v>
      </c>
      <c r="F108" t="s">
        <v>317</v>
      </c>
      <c r="G108">
        <v>1927</v>
      </c>
      <c r="H108">
        <v>1934</v>
      </c>
      <c r="I108">
        <v>1966</v>
      </c>
      <c r="K108">
        <v>950</v>
      </c>
      <c r="M108" s="6">
        <v>19</v>
      </c>
      <c r="N108" s="6">
        <v>26</v>
      </c>
      <c r="O108" s="6">
        <v>2</v>
      </c>
      <c r="P108" s="6">
        <v>200</v>
      </c>
      <c r="Q108" s="7">
        <f t="shared" si="46"/>
        <v>205.96522047186451</v>
      </c>
      <c r="R108" s="6">
        <v>1.7</v>
      </c>
      <c r="S108" s="6">
        <f t="shared" si="47"/>
        <v>1394.2364824717758</v>
      </c>
      <c r="T108">
        <v>87.6</v>
      </c>
      <c r="W108">
        <v>102</v>
      </c>
      <c r="X108" s="4">
        <f t="shared" si="44"/>
        <v>0.11643835616438356</v>
      </c>
      <c r="Y108">
        <v>80</v>
      </c>
      <c r="AA108">
        <v>14.4</v>
      </c>
      <c r="AB108">
        <v>14.4</v>
      </c>
      <c r="AF108" t="str">
        <f>CONCATENATE(VLOOKUP(AG108, 'Voxel Sizes'!$A$2:$B$18,2,FALSE),"x",INT(AC108*15), "x", INT(AD108*15))</f>
        <v>136x0x0</v>
      </c>
      <c r="AG108">
        <f t="shared" si="45"/>
        <v>8</v>
      </c>
      <c r="AI108" t="str">
        <f>CONCATENATE(VLOOKUP(AG108,'Articulated Lengths'!$A$2:$C$16,IF(AH108&lt;&gt;"", 3, 2), FALSE),IF(AH108&lt;&gt;"",CONCATENATE(",",VLOOKUP(AH108,$B:$AI,34,FALSE)),""))</f>
        <v>2,4,2</v>
      </c>
      <c r="AO108">
        <v>1</v>
      </c>
      <c r="AP108">
        <v>10</v>
      </c>
      <c r="AQ108">
        <v>10</v>
      </c>
      <c r="AW108" t="str">
        <f>VLOOKUP(G108,Eras!$A$2:$C$10, 2, TRUE)</f>
        <v>big4</v>
      </c>
      <c r="AX108" t="s">
        <v>370</v>
      </c>
      <c r="AY108" t="str">
        <f t="shared" si="48"/>
        <v>big4_Mixed Traffic</v>
      </c>
      <c r="AZ108" t="s">
        <v>480</v>
      </c>
    </row>
    <row r="109" spans="1:52" x14ac:dyDescent="0.25">
      <c r="A109" t="s">
        <v>482</v>
      </c>
      <c r="B109" t="s">
        <v>484</v>
      </c>
      <c r="C109">
        <v>89</v>
      </c>
      <c r="D109" t="s">
        <v>305</v>
      </c>
      <c r="E109" t="s">
        <v>314</v>
      </c>
      <c r="F109" t="s">
        <v>317</v>
      </c>
      <c r="G109">
        <v>1928</v>
      </c>
      <c r="H109">
        <v>1943</v>
      </c>
      <c r="I109">
        <v>1965</v>
      </c>
      <c r="K109">
        <v>1600</v>
      </c>
      <c r="M109" s="6">
        <v>18.5</v>
      </c>
      <c r="N109" s="6">
        <v>30</v>
      </c>
      <c r="O109" s="6">
        <v>2</v>
      </c>
      <c r="P109" s="6">
        <v>225</v>
      </c>
      <c r="Q109" s="7">
        <f t="shared" si="46"/>
        <v>194.52270822342763</v>
      </c>
      <c r="R109" s="6">
        <v>1.8</v>
      </c>
      <c r="S109" s="6">
        <f t="shared" si="47"/>
        <v>1620.501893939394</v>
      </c>
      <c r="T109">
        <v>76.2</v>
      </c>
      <c r="U109" s="9">
        <v>47</v>
      </c>
      <c r="W109">
        <v>121</v>
      </c>
      <c r="X109" s="4">
        <f t="shared" si="44"/>
        <v>9.8214285714285712E-2</v>
      </c>
      <c r="Y109">
        <v>80</v>
      </c>
      <c r="AA109">
        <v>19.2</v>
      </c>
      <c r="AB109">
        <f>AA109-7.5</f>
        <v>11.7</v>
      </c>
      <c r="AD109">
        <v>4.04</v>
      </c>
      <c r="AF109" t="str">
        <f>CONCATENATE(VLOOKUP(AG109, 'Voxel Sizes'!$A$2:$B$18,2,FALSE),"x",INT(AC109*15), "x", INT(AD109*15))</f>
        <v>120x0x60</v>
      </c>
      <c r="AG109">
        <f t="shared" si="45"/>
        <v>7</v>
      </c>
      <c r="AH109" t="s">
        <v>473</v>
      </c>
      <c r="AI109" t="str">
        <f>CONCATENATE(VLOOKUP(AG109,'Articulated Lengths'!$A$2:$C$16,IF(AH109&lt;&gt;"", 3, 2), FALSE),IF(AH109&lt;&gt;"",CONCATENATE(",",VLOOKUP(AH109,$B:$AI,34,FALSE)),""))</f>
        <v>2,3,2,2,1,2</v>
      </c>
      <c r="AO109">
        <v>1</v>
      </c>
      <c r="AP109">
        <v>10</v>
      </c>
      <c r="AQ109">
        <v>10</v>
      </c>
      <c r="AW109" t="str">
        <f>VLOOKUP(G109,Eras!$A$2:$C$10, 2, TRUE)</f>
        <v>big4</v>
      </c>
      <c r="AX109" t="s">
        <v>370</v>
      </c>
      <c r="AY109" t="str">
        <f t="shared" si="48"/>
        <v>big4_Mixed Traffic</v>
      </c>
      <c r="AZ109" t="s">
        <v>483</v>
      </c>
    </row>
    <row r="110" spans="1:52" x14ac:dyDescent="0.25">
      <c r="A110" t="s">
        <v>26</v>
      </c>
      <c r="B110" t="s">
        <v>486</v>
      </c>
      <c r="C110">
        <v>91</v>
      </c>
      <c r="D110" t="s">
        <v>305</v>
      </c>
      <c r="E110" t="s">
        <v>314</v>
      </c>
      <c r="F110" t="s">
        <v>317</v>
      </c>
      <c r="G110">
        <v>1928</v>
      </c>
      <c r="H110">
        <v>1935</v>
      </c>
      <c r="I110">
        <v>1966</v>
      </c>
      <c r="K110">
        <v>2100</v>
      </c>
      <c r="M110" s="6">
        <v>19</v>
      </c>
      <c r="N110" s="6">
        <v>26</v>
      </c>
      <c r="O110" s="6">
        <v>3</v>
      </c>
      <c r="P110" s="6">
        <v>220</v>
      </c>
      <c r="Q110" s="7">
        <f t="shared" si="46"/>
        <v>236.34509049146459</v>
      </c>
      <c r="R110" s="6">
        <v>2</v>
      </c>
      <c r="S110" s="6">
        <f t="shared" si="47"/>
        <v>2639.8124999999995</v>
      </c>
      <c r="T110">
        <v>92.8</v>
      </c>
      <c r="U110" s="9">
        <v>54</v>
      </c>
      <c r="W110">
        <v>146</v>
      </c>
      <c r="X110" s="4">
        <f t="shared" si="44"/>
        <v>9.9455040871934602E-2</v>
      </c>
      <c r="Y110">
        <v>108</v>
      </c>
      <c r="Z110">
        <v>1</v>
      </c>
      <c r="AA110">
        <v>21.46</v>
      </c>
      <c r="AB110">
        <f>AA110-7.5</f>
        <v>13.96</v>
      </c>
      <c r="AF110" t="str">
        <f>CONCATENATE(VLOOKUP(AG110, 'Voxel Sizes'!$A$2:$B$18,2,FALSE),"x",INT(AC110*15), "x", INT(AD110*15))</f>
        <v>136x0x0</v>
      </c>
      <c r="AG110">
        <f t="shared" si="45"/>
        <v>8</v>
      </c>
      <c r="AH110" t="s">
        <v>488</v>
      </c>
      <c r="AI110" t="str">
        <f>CONCATENATE(VLOOKUP(AG110,'Articulated Lengths'!$A$2:$C$16,IF(AH110&lt;&gt;"", 3, 2), FALSE),IF(AH110&lt;&gt;"",CONCATENATE(",",VLOOKUP(AH110,$B:$AI,34,FALSE)),""))</f>
        <v>2,4,2,2,1,2</v>
      </c>
      <c r="AO110">
        <v>1</v>
      </c>
      <c r="AP110">
        <v>10</v>
      </c>
      <c r="AQ110">
        <v>10</v>
      </c>
      <c r="AW110" t="str">
        <f>VLOOKUP(G110,Eras!$A$2:$C$10, 2, TRUE)</f>
        <v>big4</v>
      </c>
      <c r="AX110" t="s">
        <v>371</v>
      </c>
      <c r="AY110" t="str">
        <f t="shared" si="48"/>
        <v>big4_Express</v>
      </c>
      <c r="AZ110" t="s">
        <v>485</v>
      </c>
    </row>
    <row r="111" spans="1:52" x14ac:dyDescent="0.25">
      <c r="A111" t="s">
        <v>22</v>
      </c>
      <c r="B111" t="s">
        <v>490</v>
      </c>
      <c r="C111">
        <v>93</v>
      </c>
      <c r="D111" t="s">
        <v>305</v>
      </c>
      <c r="E111" t="s">
        <v>314</v>
      </c>
      <c r="F111" t="s">
        <v>317</v>
      </c>
      <c r="G111">
        <v>1929</v>
      </c>
      <c r="H111">
        <v>1950</v>
      </c>
      <c r="I111">
        <v>1971</v>
      </c>
      <c r="K111">
        <v>750</v>
      </c>
      <c r="M111" s="6">
        <v>17.5</v>
      </c>
      <c r="N111" s="6">
        <v>24</v>
      </c>
      <c r="O111" s="6">
        <v>2</v>
      </c>
      <c r="P111" s="6">
        <v>200</v>
      </c>
      <c r="Q111" s="7">
        <f t="shared" si="46"/>
        <v>187.57546864401954</v>
      </c>
      <c r="R111" s="6">
        <v>1.4</v>
      </c>
      <c r="S111" s="6">
        <f t="shared" si="47"/>
        <v>994.31818181818198</v>
      </c>
      <c r="T111">
        <v>48.3</v>
      </c>
      <c r="W111">
        <v>100</v>
      </c>
      <c r="X111" s="4">
        <f t="shared" si="44"/>
        <v>0.20703933747412009</v>
      </c>
      <c r="Y111">
        <v>60</v>
      </c>
      <c r="Z111">
        <v>1</v>
      </c>
      <c r="AA111">
        <v>9.5</v>
      </c>
      <c r="AB111">
        <v>9.5</v>
      </c>
      <c r="AD111">
        <v>3.7349999999999999</v>
      </c>
      <c r="AF111" t="str">
        <f>CONCATENATE(VLOOKUP(AG111, 'Voxel Sizes'!$A$2:$B$18,2,FALSE),"x",INT(AC111*15), "x", INT(AD111*15))</f>
        <v>102x0x56</v>
      </c>
      <c r="AG111">
        <f t="shared" si="45"/>
        <v>6</v>
      </c>
      <c r="AI111" t="str">
        <f>CONCATENATE(VLOOKUP(AG111,'Articulated Lengths'!$A$2:$C$16,IF(AH111&lt;&gt;"", 3, 2), FALSE),IF(AH111&lt;&gt;"",CONCATENATE(",",VLOOKUP(AH111,$B:$AI,34,FALSE)),""))</f>
        <v>2,2,2</v>
      </c>
      <c r="AO111">
        <v>1</v>
      </c>
      <c r="AP111">
        <v>10</v>
      </c>
      <c r="AQ111">
        <v>10</v>
      </c>
      <c r="AW111" t="str">
        <f>VLOOKUP(G111,Eras!$A$2:$C$10, 2, TRUE)</f>
        <v>big4</v>
      </c>
      <c r="AX111" t="s">
        <v>369</v>
      </c>
      <c r="AY111" t="str">
        <f t="shared" si="48"/>
        <v>big4_Cheap</v>
      </c>
      <c r="AZ111" t="s">
        <v>489</v>
      </c>
    </row>
    <row r="112" spans="1:52" x14ac:dyDescent="0.25">
      <c r="A112" t="s">
        <v>35</v>
      </c>
      <c r="B112" t="s">
        <v>193</v>
      </c>
      <c r="C112">
        <v>95</v>
      </c>
      <c r="D112" t="s">
        <v>305</v>
      </c>
      <c r="E112" t="s">
        <v>314</v>
      </c>
      <c r="F112" t="s">
        <v>317</v>
      </c>
      <c r="G112">
        <v>1930</v>
      </c>
      <c r="H112">
        <v>1935</v>
      </c>
      <c r="I112">
        <v>1961</v>
      </c>
      <c r="K112">
        <v>1750</v>
      </c>
      <c r="M112" s="6">
        <v>16.5</v>
      </c>
      <c r="N112" s="6">
        <v>26</v>
      </c>
      <c r="O112" s="6">
        <v>3</v>
      </c>
      <c r="P112" s="6">
        <v>220</v>
      </c>
      <c r="Q112" s="7">
        <f t="shared" si="46"/>
        <v>207.89614441378828</v>
      </c>
      <c r="R112" s="6">
        <v>2</v>
      </c>
      <c r="S112" s="6">
        <f t="shared" si="47"/>
        <v>1751.19140625</v>
      </c>
      <c r="T112">
        <v>68.2</v>
      </c>
      <c r="U112" s="9">
        <v>43.1</v>
      </c>
      <c r="W112">
        <v>111</v>
      </c>
      <c r="X112" s="4">
        <f t="shared" si="44"/>
        <v>9.9730458221024262E-2</v>
      </c>
      <c r="Y112">
        <v>95</v>
      </c>
      <c r="AA112">
        <v>17.93</v>
      </c>
      <c r="AB112">
        <f>AA112-7.5</f>
        <v>10.43</v>
      </c>
      <c r="AD112">
        <v>3.96</v>
      </c>
      <c r="AF112" t="str">
        <f>CONCATENATE(VLOOKUP(AG112, 'Voxel Sizes'!$A$2:$B$18,2,FALSE),"x",INT(AC112*15), "x", INT(AD112*15))</f>
        <v>102x0x59</v>
      </c>
      <c r="AG112">
        <f t="shared" si="45"/>
        <v>6</v>
      </c>
      <c r="AH112" t="s">
        <v>493</v>
      </c>
      <c r="AI112" t="str">
        <f>CONCATENATE(VLOOKUP(AG112,'Articulated Lengths'!$A$2:$C$16,IF(AH112&lt;&gt;"", 3, 2), FALSE),IF(AH112&lt;&gt;"",CONCATENATE(",",VLOOKUP(AH112,$B:$AI,34,FALSE)),""))</f>
        <v>2,2,2,2,1,2</v>
      </c>
      <c r="AO112">
        <v>1</v>
      </c>
      <c r="AP112">
        <v>10</v>
      </c>
      <c r="AQ112">
        <v>10</v>
      </c>
      <c r="AW112" t="str">
        <f>VLOOKUP(G112,Eras!$A$2:$C$10, 2, TRUE)</f>
        <v>big4</v>
      </c>
      <c r="AX112" t="s">
        <v>371</v>
      </c>
      <c r="AY112" t="str">
        <f t="shared" si="48"/>
        <v>big4_Express</v>
      </c>
      <c r="AZ112" t="s">
        <v>491</v>
      </c>
    </row>
    <row r="113" spans="1:52" x14ac:dyDescent="0.25">
      <c r="A113" t="s">
        <v>494</v>
      </c>
      <c r="B113" t="s">
        <v>496</v>
      </c>
      <c r="C113">
        <v>97</v>
      </c>
      <c r="D113" t="s">
        <v>305</v>
      </c>
      <c r="E113" t="s">
        <v>314</v>
      </c>
      <c r="F113" t="s">
        <v>317</v>
      </c>
      <c r="G113">
        <v>1932</v>
      </c>
      <c r="H113">
        <v>1936</v>
      </c>
      <c r="I113">
        <v>1965</v>
      </c>
      <c r="K113">
        <v>600</v>
      </c>
      <c r="M113" s="6">
        <v>16</v>
      </c>
      <c r="N113" s="6">
        <v>24</v>
      </c>
      <c r="O113" s="6">
        <v>2</v>
      </c>
      <c r="P113" s="6">
        <v>165</v>
      </c>
      <c r="Q113" s="7">
        <f t="shared" si="46"/>
        <v>218.83804675135607</v>
      </c>
      <c r="R113" s="6">
        <v>1.6</v>
      </c>
      <c r="S113" s="6">
        <f t="shared" si="47"/>
        <v>799.99999999999977</v>
      </c>
      <c r="T113">
        <v>43</v>
      </c>
      <c r="W113">
        <v>62</v>
      </c>
      <c r="X113" s="4">
        <f t="shared" si="44"/>
        <v>0.14418604651162792</v>
      </c>
      <c r="Y113">
        <v>80</v>
      </c>
      <c r="AA113">
        <v>9.1199999999999992</v>
      </c>
      <c r="AB113">
        <v>9.1199999999999992</v>
      </c>
      <c r="AD113">
        <v>3.82</v>
      </c>
      <c r="AF113" t="str">
        <f>CONCATENATE(VLOOKUP(AG113, 'Voxel Sizes'!$A$2:$B$18,2,FALSE),"x",INT(AC113*15), "x", INT(AD113*15))</f>
        <v>82x0x57</v>
      </c>
      <c r="AG113">
        <f t="shared" si="45"/>
        <v>5</v>
      </c>
      <c r="AI113" t="str">
        <f>CONCATENATE(VLOOKUP(AG113,'Articulated Lengths'!$A$2:$C$16,IF(AH113&lt;&gt;"", 3, 2), FALSE),IF(AH113&lt;&gt;"",CONCATENATE(",",VLOOKUP(AH113,$B:$AI,34,FALSE)),""))</f>
        <v>2,1,2</v>
      </c>
      <c r="AO113">
        <v>1</v>
      </c>
      <c r="AP113">
        <v>10</v>
      </c>
      <c r="AQ113">
        <v>10</v>
      </c>
      <c r="AW113" t="str">
        <f>VLOOKUP(G113,Eras!$A$2:$C$10, 2, TRUE)</f>
        <v>big4</v>
      </c>
      <c r="AX113" t="s">
        <v>369</v>
      </c>
      <c r="AY113" t="str">
        <f t="shared" si="48"/>
        <v>big4_Cheap</v>
      </c>
      <c r="AZ113" t="s">
        <v>495</v>
      </c>
    </row>
    <row r="114" spans="1:52" x14ac:dyDescent="0.25">
      <c r="A114" t="s">
        <v>79</v>
      </c>
      <c r="B114" t="s">
        <v>272</v>
      </c>
      <c r="C114">
        <v>99</v>
      </c>
      <c r="D114" t="s">
        <v>456</v>
      </c>
      <c r="E114" t="s">
        <v>339</v>
      </c>
      <c r="F114" t="s">
        <v>346</v>
      </c>
      <c r="G114">
        <v>1932</v>
      </c>
      <c r="I114">
        <v>1972</v>
      </c>
      <c r="J114">
        <v>5</v>
      </c>
      <c r="K114">
        <v>1800</v>
      </c>
      <c r="T114">
        <v>253</v>
      </c>
      <c r="W114">
        <v>145</v>
      </c>
      <c r="X114" s="4">
        <f t="shared" si="44"/>
        <v>5.731225296442688E-2</v>
      </c>
      <c r="Y114">
        <v>75</v>
      </c>
      <c r="AA114">
        <v>20.11</v>
      </c>
      <c r="AB114">
        <v>20.11</v>
      </c>
      <c r="AE114" s="11">
        <v>33</v>
      </c>
      <c r="AF114" t="str">
        <f>CONCATENATE(VLOOKUP(AG114, 'Voxel Sizes'!$A$2:$B$18,2,FALSE),"x",INT(AC114*15), "x", INT(AD114*15))</f>
        <v>198x0x0</v>
      </c>
      <c r="AG114">
        <f t="shared" si="45"/>
        <v>12</v>
      </c>
      <c r="AI114" t="str">
        <f>CONCATENATE(VLOOKUP(AG114,'Articulated Lengths'!$A$2:$C$16,IF(AH114&lt;&gt;"", 3, 2), FALSE),IF(AH114&lt;&gt;"",CONCATENATE(",",VLOOKUP(AH114,$B:$AI,34,FALSE)),""))</f>
        <v>4,4,4</v>
      </c>
      <c r="AK114" t="s">
        <v>498</v>
      </c>
      <c r="AM114" t="s">
        <v>501</v>
      </c>
      <c r="AP114">
        <v>10</v>
      </c>
      <c r="AQ114">
        <v>10</v>
      </c>
      <c r="AV114" t="s">
        <v>326</v>
      </c>
      <c r="AW114" t="str">
        <f>VLOOKUP(G114,Eras!$A$2:$C$10, 2, TRUE)</f>
        <v>big4</v>
      </c>
      <c r="AX114" t="s">
        <v>377</v>
      </c>
      <c r="AY114" t="str">
        <f t="shared" si="48"/>
        <v>big4_EMU (Express)</v>
      </c>
      <c r="AZ114" t="s">
        <v>497</v>
      </c>
    </row>
    <row r="115" spans="1:52" x14ac:dyDescent="0.25">
      <c r="A115" t="s">
        <v>78</v>
      </c>
      <c r="B115" t="s">
        <v>214</v>
      </c>
      <c r="C115">
        <v>101</v>
      </c>
      <c r="D115" t="s">
        <v>305</v>
      </c>
      <c r="E115" t="s">
        <v>315</v>
      </c>
      <c r="F115" t="s">
        <v>317</v>
      </c>
      <c r="G115">
        <v>1933</v>
      </c>
      <c r="H115">
        <v>1942</v>
      </c>
      <c r="I115">
        <v>1962</v>
      </c>
      <c r="K115">
        <v>260</v>
      </c>
      <c r="T115">
        <v>35</v>
      </c>
      <c r="W115">
        <v>55</v>
      </c>
      <c r="X115" s="4">
        <f t="shared" si="44"/>
        <v>0.15714285714285714</v>
      </c>
      <c r="Y115">
        <v>63</v>
      </c>
      <c r="AA115">
        <v>18.399999999999999</v>
      </c>
      <c r="AB115">
        <v>17</v>
      </c>
      <c r="AE115" s="11">
        <v>69</v>
      </c>
      <c r="AF115" t="str">
        <f>CONCATENATE(VLOOKUP(AG115, 'Voxel Sizes'!$A$2:$B$18,2,FALSE),"x",INT(AC115*15), "x", INT(AD115*15))</f>
        <v>164x0x0</v>
      </c>
      <c r="AG115">
        <f t="shared" si="45"/>
        <v>10</v>
      </c>
      <c r="AI115" t="str">
        <f>CONCATENATE(VLOOKUP(AG115,'Articulated Lengths'!$A$2:$C$16,IF(AH115&lt;&gt;"", 3, 2), FALSE),IF(AH115&lt;&gt;"",CONCATENATE(",",VLOOKUP(AH115,$B:$AI,34,FALSE)),""))</f>
        <v>4,2,4</v>
      </c>
      <c r="AP115">
        <v>10</v>
      </c>
      <c r="AQ115">
        <v>10</v>
      </c>
      <c r="AV115" t="s">
        <v>326</v>
      </c>
      <c r="AW115" t="str">
        <f>VLOOKUP(G115,Eras!$A$2:$C$10, 2, TRUE)</f>
        <v>big4</v>
      </c>
      <c r="AX115" t="s">
        <v>373</v>
      </c>
      <c r="AY115" t="str">
        <f t="shared" si="48"/>
        <v>big4_DMU (Cheap)</v>
      </c>
      <c r="AZ115" t="s">
        <v>502</v>
      </c>
    </row>
    <row r="116" spans="1:52" x14ac:dyDescent="0.25">
      <c r="A116" t="s">
        <v>30</v>
      </c>
      <c r="B116" t="s">
        <v>331</v>
      </c>
      <c r="C116">
        <v>103</v>
      </c>
      <c r="D116" t="s">
        <v>305</v>
      </c>
      <c r="E116" t="s">
        <v>314</v>
      </c>
      <c r="F116" t="s">
        <v>317</v>
      </c>
      <c r="G116">
        <v>1934</v>
      </c>
      <c r="H116">
        <v>1951</v>
      </c>
      <c r="I116">
        <v>1967</v>
      </c>
      <c r="K116">
        <v>1250</v>
      </c>
      <c r="T116">
        <v>73.400000000000006</v>
      </c>
      <c r="U116" s="9">
        <v>46</v>
      </c>
      <c r="W116">
        <v>113</v>
      </c>
      <c r="X116" s="4">
        <f t="shared" si="44"/>
        <v>9.4639865996649919E-2</v>
      </c>
      <c r="Y116">
        <v>92</v>
      </c>
      <c r="Z116">
        <v>1</v>
      </c>
      <c r="AA116">
        <v>11.76</v>
      </c>
      <c r="AB116">
        <v>11.76</v>
      </c>
      <c r="AF116" t="str">
        <f>CONCATENATE(VLOOKUP(AG116, 'Voxel Sizes'!$A$2:$B$18,2,FALSE),"x",INT(AC116*15), "x", INT(AD116*15))</f>
        <v>120x0x0</v>
      </c>
      <c r="AG116">
        <f t="shared" si="45"/>
        <v>7</v>
      </c>
      <c r="AH116" t="s">
        <v>337</v>
      </c>
      <c r="AI116" t="str">
        <f>CONCATENATE(VLOOKUP(AG116,'Articulated Lengths'!$A$2:$C$16,IF(AH116&lt;&gt;"", 3, 2), FALSE),IF(AH116&lt;&gt;"",CONCATENATE(",",VLOOKUP(AH116,$B:$AI,34,FALSE)),""))</f>
        <v>2,3,2,2,1,2</v>
      </c>
      <c r="AO116">
        <v>1</v>
      </c>
      <c r="AP116">
        <v>10</v>
      </c>
      <c r="AQ116">
        <v>10</v>
      </c>
      <c r="AW116" t="str">
        <f>VLOOKUP(G116,Eras!$A$2:$C$10, 2, TRUE)</f>
        <v>big4</v>
      </c>
      <c r="AX116" t="s">
        <v>370</v>
      </c>
      <c r="AY116" t="str">
        <f t="shared" si="48"/>
        <v>big4_Mixed Traffic</v>
      </c>
      <c r="AZ116" t="s">
        <v>411</v>
      </c>
    </row>
    <row r="117" spans="1:52" x14ac:dyDescent="0.25">
      <c r="A117" t="s">
        <v>32</v>
      </c>
      <c r="B117" t="s">
        <v>330</v>
      </c>
      <c r="C117">
        <v>105</v>
      </c>
      <c r="D117" t="s">
        <v>305</v>
      </c>
      <c r="E117" t="s">
        <v>314</v>
      </c>
      <c r="F117" t="s">
        <v>317</v>
      </c>
      <c r="G117">
        <v>1934</v>
      </c>
      <c r="H117">
        <v>1936</v>
      </c>
      <c r="I117">
        <v>1967</v>
      </c>
      <c r="K117">
        <v>1375</v>
      </c>
      <c r="T117">
        <v>80.8</v>
      </c>
      <c r="U117" s="9">
        <v>52</v>
      </c>
      <c r="W117">
        <v>118</v>
      </c>
      <c r="X117" s="4">
        <f t="shared" si="44"/>
        <v>8.8855421686746983E-2</v>
      </c>
      <c r="Y117">
        <v>95</v>
      </c>
      <c r="Z117">
        <v>1</v>
      </c>
      <c r="AA117">
        <v>12.09</v>
      </c>
      <c r="AB117">
        <v>12.09</v>
      </c>
      <c r="AF117" t="str">
        <f>CONCATENATE(VLOOKUP(AG117, 'Voxel Sizes'!$A$2:$B$18,2,FALSE),"x",INT(AC117*15), "x", INT(AD117*15))</f>
        <v>120x0x0</v>
      </c>
      <c r="AG117">
        <f t="shared" si="45"/>
        <v>7</v>
      </c>
      <c r="AH117" t="s">
        <v>332</v>
      </c>
      <c r="AI117" t="str">
        <f>CONCATENATE(VLOOKUP(AG117,'Articulated Lengths'!$A$2:$C$16,IF(AH117&lt;&gt;"", 3, 2), FALSE),IF(AH117&lt;&gt;"",CONCATENATE(",",VLOOKUP(AH117,$B:$AI,34,FALSE)),""))</f>
        <v>2,3,2,2,1,2</v>
      </c>
      <c r="AO117">
        <v>1</v>
      </c>
      <c r="AP117">
        <v>10</v>
      </c>
      <c r="AQ117">
        <v>10</v>
      </c>
      <c r="AW117" t="str">
        <f>VLOOKUP(G117,Eras!$A$2:$C$10, 2, TRUE)</f>
        <v>big4</v>
      </c>
      <c r="AX117" t="s">
        <v>371</v>
      </c>
      <c r="AY117" t="str">
        <f t="shared" si="48"/>
        <v>big4_Express</v>
      </c>
      <c r="AZ117" t="s">
        <v>397</v>
      </c>
    </row>
    <row r="118" spans="1:52" x14ac:dyDescent="0.25">
      <c r="A118" t="s">
        <v>503</v>
      </c>
      <c r="B118" t="s">
        <v>194</v>
      </c>
      <c r="C118">
        <v>107</v>
      </c>
      <c r="D118" t="s">
        <v>305</v>
      </c>
      <c r="E118" t="s">
        <v>314</v>
      </c>
      <c r="F118" t="s">
        <v>317</v>
      </c>
      <c r="G118">
        <v>1935</v>
      </c>
      <c r="I118">
        <v>1968</v>
      </c>
      <c r="K118">
        <v>1300</v>
      </c>
      <c r="T118">
        <v>73</v>
      </c>
      <c r="U118" s="9">
        <v>46</v>
      </c>
      <c r="W118">
        <v>144</v>
      </c>
      <c r="X118" s="4">
        <f t="shared" si="44"/>
        <v>0.12100840336134454</v>
      </c>
      <c r="Y118">
        <v>70</v>
      </c>
      <c r="AA118">
        <v>19.22</v>
      </c>
      <c r="AB118">
        <f>19.22-7.46</f>
        <v>11.759999999999998</v>
      </c>
      <c r="AF118" t="str">
        <f>CONCATENATE(VLOOKUP(AG118, 'Voxel Sizes'!$A$2:$B$18,2,FALSE),"x",INT(AC118*15), "x", INT(AD118*15))</f>
        <v>120x0x0</v>
      </c>
      <c r="AG118">
        <f t="shared" si="45"/>
        <v>7</v>
      </c>
      <c r="AH118" t="s">
        <v>337</v>
      </c>
      <c r="AI118" t="str">
        <f>CONCATENATE(VLOOKUP(AG118,'Articulated Lengths'!$A$2:$C$16,IF(AH118&lt;&gt;"", 3, 2), FALSE),IF(AH118&lt;&gt;"",CONCATENATE(",",VLOOKUP(AH118,$B:$AI,34,FALSE)),""))</f>
        <v>2,3,2,2,1,2</v>
      </c>
      <c r="AO118">
        <v>1</v>
      </c>
      <c r="AP118">
        <v>10</v>
      </c>
      <c r="AQ118">
        <v>10</v>
      </c>
      <c r="AW118" t="str">
        <f>VLOOKUP(G118,Eras!$A$2:$C$10, 2, TRUE)</f>
        <v>big4</v>
      </c>
      <c r="AX118" t="s">
        <v>372</v>
      </c>
      <c r="AY118" t="str">
        <f t="shared" si="48"/>
        <v>big4_Freight</v>
      </c>
      <c r="AZ118" t="s">
        <v>504</v>
      </c>
    </row>
    <row r="119" spans="1:52" x14ac:dyDescent="0.25">
      <c r="A119" t="s">
        <v>27</v>
      </c>
      <c r="B119" t="s">
        <v>506</v>
      </c>
      <c r="C119">
        <v>109</v>
      </c>
      <c r="D119" t="s">
        <v>305</v>
      </c>
      <c r="E119" t="s">
        <v>314</v>
      </c>
      <c r="F119" t="s">
        <v>317</v>
      </c>
      <c r="G119">
        <v>1935</v>
      </c>
      <c r="H119">
        <v>1938</v>
      </c>
      <c r="I119">
        <v>1966</v>
      </c>
      <c r="K119">
        <v>2450</v>
      </c>
      <c r="T119">
        <v>104.6</v>
      </c>
      <c r="U119" s="9">
        <v>64</v>
      </c>
      <c r="W119">
        <v>157</v>
      </c>
      <c r="X119" s="4">
        <f t="shared" si="44"/>
        <v>9.3119810201660741E-2</v>
      </c>
      <c r="Y119">
        <v>126</v>
      </c>
      <c r="Z119">
        <v>1</v>
      </c>
      <c r="AA119">
        <v>21.65</v>
      </c>
      <c r="AB119">
        <f>AA119-7.5</f>
        <v>14.149999999999999</v>
      </c>
      <c r="AD119">
        <v>3.99</v>
      </c>
      <c r="AF119" t="str">
        <f>CONCATENATE(VLOOKUP(AG119, 'Voxel Sizes'!$A$2:$B$18,2,FALSE),"x",INT(AC119*15), "x", INT(AD119*15))</f>
        <v>136x0x59</v>
      </c>
      <c r="AG119">
        <f t="shared" si="45"/>
        <v>8</v>
      </c>
      <c r="AH119" t="s">
        <v>488</v>
      </c>
      <c r="AI119" t="str">
        <f>CONCATENATE(VLOOKUP(AG119,'Articulated Lengths'!$A$2:$C$16,IF(AH119&lt;&gt;"", 3, 2), FALSE),IF(AH119&lt;&gt;"",CONCATENATE(",",VLOOKUP(AH119,$B:$AI,34,FALSE)),""))</f>
        <v>2,4,2,2,1,2</v>
      </c>
      <c r="AO119">
        <v>1</v>
      </c>
      <c r="AP119">
        <v>10</v>
      </c>
      <c r="AQ119">
        <v>10</v>
      </c>
      <c r="AW119" t="str">
        <f>VLOOKUP(G119,Eras!$A$2:$C$10, 2, TRUE)</f>
        <v>big4</v>
      </c>
      <c r="AX119" t="s">
        <v>371</v>
      </c>
      <c r="AY119" t="str">
        <f t="shared" si="48"/>
        <v>big4_Express</v>
      </c>
      <c r="AZ119" t="s">
        <v>505</v>
      </c>
    </row>
    <row r="120" spans="1:52" x14ac:dyDescent="0.25">
      <c r="A120" t="s">
        <v>14</v>
      </c>
      <c r="B120" t="s">
        <v>507</v>
      </c>
      <c r="C120">
        <v>111</v>
      </c>
      <c r="D120" t="s">
        <v>305</v>
      </c>
      <c r="E120" t="s">
        <v>314</v>
      </c>
      <c r="F120" t="s">
        <v>317</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4"/>
        <v>0.10344827586206896</v>
      </c>
      <c r="Y120">
        <v>93</v>
      </c>
      <c r="Z120">
        <v>1</v>
      </c>
      <c r="AA120">
        <v>20.239999999999998</v>
      </c>
      <c r="AB120">
        <f>AA120-7.5</f>
        <v>12.739999999999998</v>
      </c>
      <c r="AF120" t="str">
        <f>CONCATENATE(VLOOKUP(AG120, 'Voxel Sizes'!$A$2:$B$18,2,FALSE),"x",INT(AC120*15), "x", INT(AD120*15))</f>
        <v>120x0x0</v>
      </c>
      <c r="AG120">
        <f t="shared" si="45"/>
        <v>7</v>
      </c>
      <c r="AH120" t="s">
        <v>488</v>
      </c>
      <c r="AI120" t="str">
        <f>CONCATENATE(VLOOKUP(AG120,'Articulated Lengths'!$A$2:$C$16,IF(AH120&lt;&gt;"", 3, 2), FALSE),IF(AH120&lt;&gt;"",CONCATENATE(",",VLOOKUP(AH120,$B:$AI,34,FALSE)),""))</f>
        <v>2,3,2,2,1,2</v>
      </c>
      <c r="AO120">
        <v>1</v>
      </c>
      <c r="AP120">
        <v>10</v>
      </c>
      <c r="AQ120">
        <v>10</v>
      </c>
      <c r="AW120" t="str">
        <f>VLOOKUP(G120,Eras!$A$2:$C$10, 2, TRUE)</f>
        <v>big4</v>
      </c>
      <c r="AX120" t="s">
        <v>370</v>
      </c>
      <c r="AY120" t="str">
        <f t="shared" si="48"/>
        <v>big4_Mixed Traffic</v>
      </c>
      <c r="AZ120" t="s">
        <v>508</v>
      </c>
    </row>
    <row r="121" spans="1:52" x14ac:dyDescent="0.25">
      <c r="A121" t="s">
        <v>23</v>
      </c>
      <c r="B121" t="s">
        <v>509</v>
      </c>
      <c r="C121">
        <v>113</v>
      </c>
      <c r="D121" t="s">
        <v>305</v>
      </c>
      <c r="E121" t="s">
        <v>314</v>
      </c>
      <c r="F121" t="s">
        <v>317</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4"/>
        <v>0.1038961038961039</v>
      </c>
      <c r="Y121">
        <v>75</v>
      </c>
      <c r="AA121">
        <v>19.21</v>
      </c>
      <c r="AB121">
        <f>AA121-7.5</f>
        <v>11.71</v>
      </c>
      <c r="AD121">
        <v>3.96</v>
      </c>
      <c r="AF121" t="str">
        <f>CONCATENATE(VLOOKUP(AG121, 'Voxel Sizes'!$A$2:$B$18,2,FALSE),"x",INT(AC121*15), "x", INT(AD121*15))</f>
        <v>120x0x59</v>
      </c>
      <c r="AG121">
        <f t="shared" si="45"/>
        <v>7</v>
      </c>
      <c r="AH121" t="s">
        <v>473</v>
      </c>
      <c r="AI121" t="str">
        <f>CONCATENATE(VLOOKUP(AG121,'Articulated Lengths'!$A$2:$C$16,IF(AH121&lt;&gt;"", 3, 2), FALSE),IF(AH121&lt;&gt;"",CONCATENATE(",",VLOOKUP(AH121,$B:$AI,34,FALSE)),""))</f>
        <v>2,3,2,2,1,2</v>
      </c>
      <c r="AO121">
        <v>1</v>
      </c>
      <c r="AP121">
        <v>10</v>
      </c>
      <c r="AQ121">
        <v>10</v>
      </c>
      <c r="AW121" t="str">
        <f>VLOOKUP(G121,Eras!$A$2:$C$10, 2, TRUE)</f>
        <v>big4</v>
      </c>
      <c r="AX121" t="s">
        <v>370</v>
      </c>
      <c r="AY121" t="str">
        <f t="shared" si="48"/>
        <v>big4_Mixed Traffic</v>
      </c>
      <c r="AZ121" t="s">
        <v>511</v>
      </c>
    </row>
    <row r="122" spans="1:52" x14ac:dyDescent="0.25">
      <c r="A122" t="s">
        <v>33</v>
      </c>
      <c r="B122" t="s">
        <v>510</v>
      </c>
      <c r="C122">
        <v>115</v>
      </c>
      <c r="D122" t="s">
        <v>305</v>
      </c>
      <c r="E122" t="s">
        <v>314</v>
      </c>
      <c r="F122" t="s">
        <v>317</v>
      </c>
      <c r="G122">
        <v>1937</v>
      </c>
      <c r="H122">
        <v>1948</v>
      </c>
      <c r="I122">
        <v>1964</v>
      </c>
      <c r="K122">
        <v>2500</v>
      </c>
      <c r="T122">
        <v>110</v>
      </c>
      <c r="U122" s="9">
        <v>57</v>
      </c>
      <c r="W122">
        <v>180</v>
      </c>
      <c r="X122" s="4">
        <f t="shared" si="44"/>
        <v>0.10778443113772455</v>
      </c>
      <c r="Y122">
        <v>115</v>
      </c>
      <c r="Z122">
        <v>1</v>
      </c>
      <c r="AA122">
        <v>22.49</v>
      </c>
      <c r="AB122">
        <f>AA122-7.5</f>
        <v>14.989999999999998</v>
      </c>
      <c r="AD122">
        <v>4.0389999999999997</v>
      </c>
      <c r="AF122" t="str">
        <f>CONCATENATE(VLOOKUP(AG122, 'Voxel Sizes'!$A$2:$B$18,2,FALSE),"x",INT(AC122*15), "x", INT(AD122*15))</f>
        <v>152x0x60</v>
      </c>
      <c r="AG122">
        <f t="shared" si="45"/>
        <v>9</v>
      </c>
      <c r="AH122" t="s">
        <v>513</v>
      </c>
      <c r="AI122" t="str">
        <f>CONCATENATE(VLOOKUP(AG122,'Articulated Lengths'!$A$2:$C$16,IF(AH122&lt;&gt;"", 3, 2), FALSE),IF(AH122&lt;&gt;"",CONCATENATE(",",VLOOKUP(AH122,$B:$AI,34,FALSE)),""))</f>
        <v>2,5,2,2,1,2</v>
      </c>
      <c r="AO122">
        <v>1</v>
      </c>
      <c r="AP122">
        <v>10</v>
      </c>
      <c r="AQ122">
        <v>10</v>
      </c>
      <c r="AW122" t="str">
        <f>VLOOKUP(G122,Eras!$A$2:$C$10, 2, TRUE)</f>
        <v>big4</v>
      </c>
      <c r="AX122" t="s">
        <v>371</v>
      </c>
      <c r="AY122" t="str">
        <f t="shared" si="48"/>
        <v>big4_Express</v>
      </c>
      <c r="AZ122" t="s">
        <v>512</v>
      </c>
    </row>
    <row r="123" spans="1:52" x14ac:dyDescent="0.25">
      <c r="A123" t="s">
        <v>80</v>
      </c>
      <c r="B123" t="s">
        <v>273</v>
      </c>
      <c r="C123">
        <v>117</v>
      </c>
      <c r="D123" t="s">
        <v>456</v>
      </c>
      <c r="E123" t="s">
        <v>339</v>
      </c>
      <c r="F123" t="s">
        <v>346</v>
      </c>
      <c r="G123">
        <v>1937</v>
      </c>
      <c r="H123">
        <v>1938</v>
      </c>
      <c r="I123">
        <v>1972</v>
      </c>
      <c r="J123">
        <v>4</v>
      </c>
      <c r="K123">
        <v>900</v>
      </c>
      <c r="T123">
        <v>160.80000000000001</v>
      </c>
      <c r="V123">
        <v>8</v>
      </c>
      <c r="W123">
        <v>120</v>
      </c>
      <c r="X123" s="4">
        <f t="shared" si="44"/>
        <v>7.4626865671641784E-2</v>
      </c>
      <c r="Y123">
        <v>75</v>
      </c>
      <c r="AA123">
        <v>20</v>
      </c>
      <c r="AB123">
        <v>20</v>
      </c>
      <c r="AE123" s="11">
        <v>57</v>
      </c>
      <c r="AF123" t="str">
        <f>CONCATENATE(VLOOKUP(AG123, 'Voxel Sizes'!$A$2:$B$18,2,FALSE),"x",INT(AC123*15), "x", INT(AD123*15))</f>
        <v>198x0x0</v>
      </c>
      <c r="AG123">
        <f t="shared" si="45"/>
        <v>12</v>
      </c>
      <c r="AI123" t="str">
        <f>CONCATENATE(VLOOKUP(AG123,'Articulated Lengths'!$A$2:$C$16,IF(AH123&lt;&gt;"", 3, 2), FALSE),IF(AH123&lt;&gt;"",CONCATENATE(",",VLOOKUP(AH123,$B:$AI,34,FALSE)),""))</f>
        <v>4,4,4</v>
      </c>
      <c r="AK123" t="s">
        <v>517</v>
      </c>
      <c r="AM123" t="s">
        <v>518</v>
      </c>
      <c r="AP123">
        <v>10</v>
      </c>
      <c r="AQ123">
        <v>10</v>
      </c>
      <c r="AV123" t="s">
        <v>326</v>
      </c>
      <c r="AW123" t="str">
        <f>VLOOKUP(G123,Eras!$A$2:$C$10, 2, TRUE)</f>
        <v>big4</v>
      </c>
      <c r="AX123" t="s">
        <v>376</v>
      </c>
      <c r="AY123" t="str">
        <f t="shared" si="48"/>
        <v>big4_EMU</v>
      </c>
      <c r="AZ123" t="s">
        <v>515</v>
      </c>
    </row>
    <row r="124" spans="1:52" x14ac:dyDescent="0.25">
      <c r="A124" t="s">
        <v>81</v>
      </c>
      <c r="B124" t="s">
        <v>274</v>
      </c>
      <c r="C124">
        <v>119</v>
      </c>
      <c r="D124" t="s">
        <v>456</v>
      </c>
      <c r="E124" t="s">
        <v>339</v>
      </c>
      <c r="F124" t="s">
        <v>346</v>
      </c>
      <c r="G124">
        <v>1938</v>
      </c>
      <c r="H124">
        <v>1939</v>
      </c>
      <c r="I124">
        <v>1971</v>
      </c>
      <c r="J124">
        <v>2</v>
      </c>
      <c r="K124">
        <v>550</v>
      </c>
      <c r="T124">
        <v>77</v>
      </c>
      <c r="V124">
        <v>8</v>
      </c>
      <c r="W124">
        <v>120</v>
      </c>
      <c r="X124" s="4">
        <f t="shared" si="44"/>
        <v>0.15584415584415584</v>
      </c>
      <c r="Y124">
        <v>75</v>
      </c>
      <c r="AA124">
        <v>20</v>
      </c>
      <c r="AB124">
        <v>20</v>
      </c>
      <c r="AE124" s="11">
        <f>(24+102)/2</f>
        <v>63</v>
      </c>
      <c r="AF124" t="str">
        <f>CONCATENATE(VLOOKUP(AG124, 'Voxel Sizes'!$A$2:$B$18,2,FALSE),"x",INT(AC124*15), "x", INT(AD124*15))</f>
        <v>198x0x0</v>
      </c>
      <c r="AG124">
        <f t="shared" si="45"/>
        <v>12</v>
      </c>
      <c r="AI124" t="str">
        <f>CONCATENATE(VLOOKUP(AG124,'Articulated Lengths'!$A$2:$C$16,IF(AH124&lt;&gt;"", 3, 2), FALSE),IF(AH124&lt;&gt;"",CONCATENATE(",",VLOOKUP(AH124,$B:$AI,34,FALSE)),""))</f>
        <v>4,4,4</v>
      </c>
      <c r="AK124" t="s">
        <v>519</v>
      </c>
      <c r="AM124" t="s">
        <v>520</v>
      </c>
      <c r="AP124">
        <v>10</v>
      </c>
      <c r="AQ124">
        <v>10</v>
      </c>
      <c r="AV124" t="s">
        <v>326</v>
      </c>
      <c r="AW124" t="str">
        <f>VLOOKUP(G124,Eras!$A$2:$C$10, 2, TRUE)</f>
        <v>big4</v>
      </c>
      <c r="AX124" t="s">
        <v>376</v>
      </c>
      <c r="AY124" t="str">
        <f t="shared" si="48"/>
        <v>big4_EMU</v>
      </c>
      <c r="AZ124" t="s">
        <v>516</v>
      </c>
    </row>
    <row r="125" spans="1:52" x14ac:dyDescent="0.25">
      <c r="A125" t="s">
        <v>36</v>
      </c>
      <c r="B125" t="s">
        <v>523</v>
      </c>
      <c r="C125">
        <v>121</v>
      </c>
      <c r="D125" t="s">
        <v>305</v>
      </c>
      <c r="E125" t="s">
        <v>314</v>
      </c>
      <c r="F125" t="s">
        <v>317</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4"/>
        <v>0.11260957518543493</v>
      </c>
      <c r="Y125">
        <v>105</v>
      </c>
      <c r="Z125">
        <v>1</v>
      </c>
      <c r="AA125">
        <v>21.23</v>
      </c>
      <c r="AB125">
        <f>AA125-7.5</f>
        <v>13.73</v>
      </c>
      <c r="AF125" t="str">
        <f>CONCATENATE(VLOOKUP(AG125, 'Voxel Sizes'!$A$2:$B$18,2,FALSE),"x",INT(AC125*15), "x", INT(AD125*15))</f>
        <v>136x0x0</v>
      </c>
      <c r="AG125">
        <f t="shared" si="45"/>
        <v>8</v>
      </c>
      <c r="AH125" t="s">
        <v>522</v>
      </c>
      <c r="AI125" t="str">
        <f>CONCATENATE(VLOOKUP(AG125,'Articulated Lengths'!$A$2:$C$16,IF(AH125&lt;&gt;"", 3, 2), FALSE),IF(AH125&lt;&gt;"",CONCATENATE(",",VLOOKUP(AH125,$B:$AI,34,FALSE)),""))</f>
        <v>2,4,2,2,1,2</v>
      </c>
      <c r="AO125">
        <v>1</v>
      </c>
      <c r="AP125">
        <v>10</v>
      </c>
      <c r="AQ125">
        <v>10</v>
      </c>
      <c r="AW125" t="str">
        <f>VLOOKUP(G125,Eras!$A$2:$C$10, 2, TRUE)</f>
        <v>big4</v>
      </c>
      <c r="AX125" t="s">
        <v>371</v>
      </c>
      <c r="AY125" t="str">
        <f t="shared" si="48"/>
        <v>big4_Express</v>
      </c>
      <c r="AZ125" t="s">
        <v>524</v>
      </c>
    </row>
    <row r="126" spans="1:52" x14ac:dyDescent="0.25">
      <c r="A126" t="s">
        <v>68</v>
      </c>
      <c r="B126" t="s">
        <v>195</v>
      </c>
      <c r="C126">
        <v>123</v>
      </c>
      <c r="D126" t="s">
        <v>305</v>
      </c>
      <c r="E126" t="s">
        <v>339</v>
      </c>
      <c r="F126" t="s">
        <v>346</v>
      </c>
      <c r="G126">
        <v>1941</v>
      </c>
      <c r="H126">
        <v>1948</v>
      </c>
      <c r="I126">
        <v>1968</v>
      </c>
      <c r="K126">
        <v>1470</v>
      </c>
      <c r="T126">
        <v>101</v>
      </c>
      <c r="W126">
        <v>178</v>
      </c>
      <c r="X126" s="4">
        <f t="shared" si="44"/>
        <v>0.17623762376237623</v>
      </c>
      <c r="Y126">
        <v>75</v>
      </c>
      <c r="Z126">
        <v>1</v>
      </c>
      <c r="AA126">
        <v>17</v>
      </c>
      <c r="AB126">
        <v>17</v>
      </c>
      <c r="AF126" t="str">
        <f>CONCATENATE(VLOOKUP(AG126, 'Voxel Sizes'!$A$2:$B$18,2,FALSE),"x",INT(AC126*15), "x", INT(AD126*15))</f>
        <v>164x0x0</v>
      </c>
      <c r="AG126">
        <f t="shared" si="45"/>
        <v>10</v>
      </c>
      <c r="AI126" t="str">
        <f>CONCATENATE(VLOOKUP(AG126,'Articulated Lengths'!$A$2:$C$16,IF(AH126&lt;&gt;"", 3, 2), FALSE),IF(AH126&lt;&gt;"",CONCATENATE(",",VLOOKUP(AH126,$B:$AI,34,FALSE)),""))</f>
        <v>4,2,4</v>
      </c>
      <c r="AP126">
        <v>10</v>
      </c>
      <c r="AQ126">
        <v>10</v>
      </c>
      <c r="AW126" t="str">
        <f>VLOOKUP(G126,Eras!$A$2:$C$10, 2, TRUE)</f>
        <v>big4</v>
      </c>
      <c r="AX126" t="s">
        <v>380</v>
      </c>
      <c r="AY126" t="str">
        <f t="shared" si="48"/>
        <v>big4_MT (Electric)</v>
      </c>
      <c r="AZ126" t="s">
        <v>525</v>
      </c>
    </row>
    <row r="127" spans="1:52" x14ac:dyDescent="0.25">
      <c r="A127" t="s">
        <v>13</v>
      </c>
      <c r="B127" t="s">
        <v>196</v>
      </c>
      <c r="C127">
        <v>125</v>
      </c>
      <c r="D127" t="s">
        <v>170</v>
      </c>
      <c r="F127" t="s">
        <v>317</v>
      </c>
      <c r="G127">
        <v>1942</v>
      </c>
      <c r="T127">
        <v>72</v>
      </c>
      <c r="W127">
        <v>119</v>
      </c>
      <c r="X127" s="4">
        <f t="shared" si="44"/>
        <v>0.16527777777777777</v>
      </c>
      <c r="AF127" t="str">
        <f>CONCATENATE(VLOOKUP(AG127, 'Voxel Sizes'!$A$2:$B$18,2,FALSE),"x",INT(AC127*15), "x", INT(AD127*15))</f>
        <v>0x0x0</v>
      </c>
      <c r="AG127">
        <f t="shared" si="45"/>
        <v>0</v>
      </c>
      <c r="AI127" t="str">
        <f>CONCATENATE(VLOOKUP(AG127,'Articulated Lengths'!$A$2:$C$16,IF(AH127&lt;&gt;"", 3, 2), FALSE),IF(AH127&lt;&gt;"",CONCATENATE(",",VLOOKUP(AH127,$B:$AI,34,FALSE)),""))</f>
        <v>na</v>
      </c>
      <c r="AP127">
        <v>10</v>
      </c>
      <c r="AQ127">
        <v>10</v>
      </c>
      <c r="AW127" t="str">
        <f>VLOOKUP(G127,Eras!$A$2:$C$10, 2, TRUE)</f>
        <v>big4</v>
      </c>
      <c r="AY127" t="str">
        <f t="shared" si="48"/>
        <v>big4_</v>
      </c>
    </row>
    <row r="128" spans="1:52" x14ac:dyDescent="0.25">
      <c r="A128" t="s">
        <v>40</v>
      </c>
      <c r="B128" t="s">
        <v>526</v>
      </c>
      <c r="C128">
        <v>127</v>
      </c>
      <c r="D128" t="s">
        <v>305</v>
      </c>
      <c r="E128" t="s">
        <v>314</v>
      </c>
      <c r="F128" t="s">
        <v>317</v>
      </c>
      <c r="G128">
        <v>1942</v>
      </c>
      <c r="H128">
        <v>1942</v>
      </c>
      <c r="I128">
        <v>1966</v>
      </c>
      <c r="K128">
        <v>1600</v>
      </c>
      <c r="M128" s="6">
        <v>19</v>
      </c>
      <c r="N128" s="6">
        <v>26</v>
      </c>
      <c r="O128" s="6">
        <v>2</v>
      </c>
      <c r="P128" s="6">
        <v>230</v>
      </c>
      <c r="Q128" s="7">
        <f t="shared" ref="Q128:Q135" si="49">((($Y128/2)/60)*5280)/($R128*3.2*PI())</f>
        <v>218.83804675135607</v>
      </c>
      <c r="R128" s="6">
        <v>1.5</v>
      </c>
      <c r="S128" s="6">
        <f t="shared" ref="S128:S135" si="50">((($M128*$M128/4)*PI())*($N128/12)*$O128*$P128*$Q128)/(33000*1.1)</f>
        <v>1703.5827020202014</v>
      </c>
      <c r="T128">
        <v>50.3</v>
      </c>
      <c r="U128" s="9">
        <f>90.7-T128</f>
        <v>40.400000000000006</v>
      </c>
      <c r="W128">
        <v>134</v>
      </c>
      <c r="X128" s="4">
        <f t="shared" si="44"/>
        <v>0.14773980154355015</v>
      </c>
      <c r="Y128">
        <v>75</v>
      </c>
      <c r="Z128">
        <v>1</v>
      </c>
      <c r="AA128">
        <v>16.73</v>
      </c>
      <c r="AB128">
        <v>10</v>
      </c>
      <c r="AF128" t="str">
        <f>CONCATENATE(VLOOKUP(AG128, 'Voxel Sizes'!$A$2:$B$18,2,FALSE),"x",INT(AC128*15), "x", INT(AD128*15))</f>
        <v>102x0x0</v>
      </c>
      <c r="AG128">
        <f t="shared" si="45"/>
        <v>6</v>
      </c>
      <c r="AH128" t="s">
        <v>528</v>
      </c>
      <c r="AI128" t="str">
        <f>CONCATENATE(VLOOKUP(AG128,'Articulated Lengths'!$A$2:$C$16,IF(AH128&lt;&gt;"", 3, 2), FALSE),IF(AH128&lt;&gt;"",CONCATENATE(",",VLOOKUP(AH128,$B:$AI,34,FALSE)),""))</f>
        <v>2,2,2,1,2,1</v>
      </c>
      <c r="AO128">
        <v>1</v>
      </c>
      <c r="AP128">
        <v>10</v>
      </c>
      <c r="AQ128">
        <v>10</v>
      </c>
      <c r="AW128" t="str">
        <f>VLOOKUP(G128,Eras!$A$2:$C$10, 2, TRUE)</f>
        <v>big4</v>
      </c>
      <c r="AX128" t="s">
        <v>369</v>
      </c>
      <c r="AY128" t="str">
        <f t="shared" si="48"/>
        <v>big4_Cheap</v>
      </c>
      <c r="AZ128" t="s">
        <v>527</v>
      </c>
    </row>
    <row r="129" spans="1:52" x14ac:dyDescent="0.25">
      <c r="A129" t="s">
        <v>530</v>
      </c>
      <c r="B129" t="s">
        <v>255</v>
      </c>
      <c r="C129">
        <v>129</v>
      </c>
      <c r="D129" t="s">
        <v>305</v>
      </c>
      <c r="E129" t="s">
        <v>314</v>
      </c>
      <c r="F129" t="s">
        <v>317</v>
      </c>
      <c r="G129">
        <v>1943</v>
      </c>
      <c r="H129">
        <v>1964</v>
      </c>
      <c r="I129">
        <v>1967</v>
      </c>
      <c r="K129">
        <v>500</v>
      </c>
      <c r="M129" s="6">
        <v>18</v>
      </c>
      <c r="N129" s="6">
        <v>26</v>
      </c>
      <c r="O129" s="6">
        <v>2</v>
      </c>
      <c r="P129" s="6">
        <v>170</v>
      </c>
      <c r="Q129" s="7">
        <f t="shared" si="49"/>
        <v>94.268697062122627</v>
      </c>
      <c r="R129" s="6">
        <v>1.3</v>
      </c>
      <c r="S129" s="6">
        <f t="shared" si="50"/>
        <v>486.8181818181817</v>
      </c>
      <c r="T129">
        <v>49</v>
      </c>
      <c r="W129">
        <v>106</v>
      </c>
      <c r="X129" s="4">
        <f t="shared" si="44"/>
        <v>0.21632653061224491</v>
      </c>
      <c r="Y129">
        <v>28</v>
      </c>
      <c r="Z129">
        <v>1</v>
      </c>
      <c r="AA129">
        <v>9.25</v>
      </c>
      <c r="AB129">
        <v>9.25</v>
      </c>
      <c r="AF129" t="str">
        <f>CONCATENATE(VLOOKUP(AG129, 'Voxel Sizes'!$A$2:$B$18,2,FALSE),"x",INT(AC129*15), "x", INT(AD129*15))</f>
        <v>82x0x0</v>
      </c>
      <c r="AG129">
        <f t="shared" si="45"/>
        <v>5</v>
      </c>
      <c r="AI129" t="str">
        <f>CONCATENATE(VLOOKUP(AG129,'Articulated Lengths'!$A$2:$C$16,IF(AH129&lt;&gt;"", 3, 2), FALSE),IF(AH129&lt;&gt;"",CONCATENATE(",",VLOOKUP(AH129,$B:$AI,34,FALSE)),""))</f>
        <v>2,1,2</v>
      </c>
      <c r="AO129">
        <v>1</v>
      </c>
      <c r="AP129">
        <v>10</v>
      </c>
      <c r="AQ129">
        <v>10</v>
      </c>
      <c r="AW129" t="str">
        <f>VLOOKUP(G129,Eras!$A$2:$C$10, 2, TRUE)</f>
        <v>big4</v>
      </c>
      <c r="AX129" t="s">
        <v>369</v>
      </c>
      <c r="AY129" t="str">
        <f t="shared" si="48"/>
        <v>big4_Cheap</v>
      </c>
      <c r="AZ129" t="s">
        <v>531</v>
      </c>
    </row>
    <row r="130" spans="1:52" x14ac:dyDescent="0.25">
      <c r="A130" t="s">
        <v>39</v>
      </c>
      <c r="B130" t="s">
        <v>533</v>
      </c>
      <c r="C130">
        <v>131</v>
      </c>
      <c r="D130" t="s">
        <v>305</v>
      </c>
      <c r="E130" t="s">
        <v>314</v>
      </c>
      <c r="F130" t="s">
        <v>317</v>
      </c>
      <c r="G130">
        <v>1943</v>
      </c>
      <c r="H130">
        <v>1945</v>
      </c>
      <c r="I130">
        <v>1962</v>
      </c>
      <c r="K130">
        <v>1200</v>
      </c>
      <c r="M130" s="6">
        <v>19</v>
      </c>
      <c r="N130" s="6">
        <v>28</v>
      </c>
      <c r="O130" s="6">
        <v>2</v>
      </c>
      <c r="P130" s="6">
        <v>225</v>
      </c>
      <c r="Q130" s="7">
        <f t="shared" si="49"/>
        <v>212.58553112988881</v>
      </c>
      <c r="R130" s="6">
        <v>1.4</v>
      </c>
      <c r="S130" s="6">
        <f t="shared" si="50"/>
        <v>1743.4659090909092</v>
      </c>
      <c r="T130">
        <v>71.400000000000006</v>
      </c>
      <c r="U130" s="9">
        <v>56.4</v>
      </c>
      <c r="W130">
        <v>152</v>
      </c>
      <c r="X130" s="4">
        <f t="shared" si="44"/>
        <v>0.1189358372456964</v>
      </c>
      <c r="Y130">
        <v>68</v>
      </c>
      <c r="AA130">
        <v>19.350000000000001</v>
      </c>
      <c r="AB130">
        <v>11.7</v>
      </c>
      <c r="AF130" t="str">
        <f>CONCATENATE(VLOOKUP(AG130, 'Voxel Sizes'!$A$2:$B$18,2,FALSE),"x",INT(AC130*15), "x", INT(AD130*15))</f>
        <v>120x0x0</v>
      </c>
      <c r="AG130">
        <f t="shared" si="45"/>
        <v>7</v>
      </c>
      <c r="AH130" t="s">
        <v>535</v>
      </c>
      <c r="AI130" t="str">
        <f>CONCATENATE(VLOOKUP(AG130,'Articulated Lengths'!$A$2:$C$16,IF(AH130&lt;&gt;"", 3, 2), FALSE),IF(AH130&lt;&gt;"",CONCATENATE(",",VLOOKUP(AH130,$B:$AI,34,FALSE)),""))</f>
        <v>2,3,2,1,2,1</v>
      </c>
      <c r="AO130">
        <v>1</v>
      </c>
      <c r="AP130">
        <v>10</v>
      </c>
      <c r="AQ130">
        <v>10</v>
      </c>
      <c r="AW130" t="str">
        <f>VLOOKUP(G130,Eras!$A$2:$C$10, 2, TRUE)</f>
        <v>big4</v>
      </c>
      <c r="AX130" t="s">
        <v>372</v>
      </c>
      <c r="AY130" t="str">
        <f t="shared" si="48"/>
        <v>big4_Freight</v>
      </c>
      <c r="AZ130" t="s">
        <v>532</v>
      </c>
    </row>
    <row r="131" spans="1:52" x14ac:dyDescent="0.25">
      <c r="A131" t="s">
        <v>538</v>
      </c>
      <c r="B131" t="s">
        <v>279</v>
      </c>
      <c r="C131">
        <v>133</v>
      </c>
      <c r="D131" t="s">
        <v>305</v>
      </c>
      <c r="E131" t="s">
        <v>314</v>
      </c>
      <c r="F131" t="s">
        <v>317</v>
      </c>
      <c r="G131">
        <v>1944</v>
      </c>
      <c r="H131">
        <v>1950</v>
      </c>
      <c r="I131">
        <v>1965</v>
      </c>
      <c r="K131">
        <v>1700</v>
      </c>
      <c r="M131" s="6">
        <v>18.5</v>
      </c>
      <c r="N131" s="6">
        <v>30</v>
      </c>
      <c r="O131" s="6">
        <v>2</v>
      </c>
      <c r="P131" s="6">
        <v>225</v>
      </c>
      <c r="Q131" s="7">
        <f t="shared" si="49"/>
        <v>206.68037748739187</v>
      </c>
      <c r="R131" s="6">
        <v>1.8</v>
      </c>
      <c r="S131" s="6">
        <f t="shared" si="50"/>
        <v>1721.7832623106062</v>
      </c>
      <c r="T131">
        <v>77</v>
      </c>
      <c r="U131" s="9">
        <v>48</v>
      </c>
      <c r="W131">
        <v>121</v>
      </c>
      <c r="X131" s="4">
        <f t="shared" si="44"/>
        <v>9.6799999999999997E-2</v>
      </c>
      <c r="Y131">
        <v>85</v>
      </c>
      <c r="AA131">
        <v>19.2</v>
      </c>
      <c r="AB131">
        <v>11.7</v>
      </c>
      <c r="AD131">
        <v>4.01</v>
      </c>
      <c r="AF131" t="str">
        <f>CONCATENATE(VLOOKUP(AG131, 'Voxel Sizes'!$A$2:$B$18,2,FALSE),"x",INT(AC131*15), "x", INT(AD131*15))</f>
        <v>120x0x60</v>
      </c>
      <c r="AG131">
        <f t="shared" si="45"/>
        <v>7</v>
      </c>
      <c r="AH131" t="s">
        <v>473</v>
      </c>
      <c r="AI131" t="str">
        <f>CONCATENATE(VLOOKUP(AG131,'Articulated Lengths'!$A$2:$C$16,IF(AH131&lt;&gt;"", 3, 2), FALSE),IF(AH131&lt;&gt;"",CONCATENATE(",",VLOOKUP(AH131,$B:$AI,34,FALSE)),""))</f>
        <v>2,3,2,2,1,2</v>
      </c>
      <c r="AN131" t="s">
        <v>484</v>
      </c>
      <c r="AO131">
        <v>1</v>
      </c>
      <c r="AP131">
        <v>10</v>
      </c>
      <c r="AQ131">
        <v>10</v>
      </c>
      <c r="AW131" t="str">
        <f>VLOOKUP(G131,Eras!$A$2:$C$10, 2, TRUE)</f>
        <v>big4</v>
      </c>
      <c r="AX131" t="s">
        <v>370</v>
      </c>
      <c r="AY131" t="str">
        <f t="shared" si="48"/>
        <v>big4_Mixed Traffic</v>
      </c>
      <c r="AZ131" t="s">
        <v>537</v>
      </c>
    </row>
    <row r="132" spans="1:52" x14ac:dyDescent="0.25">
      <c r="A132" t="s">
        <v>539</v>
      </c>
      <c r="B132" t="s">
        <v>540</v>
      </c>
      <c r="C132">
        <v>135</v>
      </c>
      <c r="D132" t="s">
        <v>305</v>
      </c>
      <c r="E132" t="s">
        <v>314</v>
      </c>
      <c r="F132" t="s">
        <v>317</v>
      </c>
      <c r="G132">
        <v>1945</v>
      </c>
      <c r="H132">
        <v>1947</v>
      </c>
      <c r="I132">
        <v>1964</v>
      </c>
      <c r="K132">
        <v>2200</v>
      </c>
      <c r="M132" s="6">
        <v>18.5</v>
      </c>
      <c r="N132" s="6">
        <v>30</v>
      </c>
      <c r="O132" s="6">
        <v>2</v>
      </c>
      <c r="P132" s="6">
        <v>280</v>
      </c>
      <c r="Q132" s="7">
        <f t="shared" si="49"/>
        <v>230.35583868563802</v>
      </c>
      <c r="R132" s="6">
        <v>1.9</v>
      </c>
      <c r="S132" s="6">
        <f t="shared" si="50"/>
        <v>2388.1080542264754</v>
      </c>
      <c r="T132">
        <v>78.099999999999994</v>
      </c>
      <c r="U132" s="9">
        <v>49.8</v>
      </c>
      <c r="W132">
        <v>145</v>
      </c>
      <c r="X132" s="4">
        <f t="shared" si="44"/>
        <v>0.11336982017200939</v>
      </c>
      <c r="Y132">
        <v>100</v>
      </c>
      <c r="AA132">
        <v>19.21</v>
      </c>
      <c r="AB132">
        <v>11.7</v>
      </c>
      <c r="AD132">
        <v>4.08</v>
      </c>
      <c r="AF132" t="str">
        <f>CONCATENATE(VLOOKUP(AG132, 'Voxel Sizes'!$A$2:$B$18,2,FALSE),"x",INT(AC132*15), "x", INT(AD132*15))</f>
        <v>120x0x61</v>
      </c>
      <c r="AG132">
        <f t="shared" si="45"/>
        <v>7</v>
      </c>
      <c r="AH132" t="s">
        <v>473</v>
      </c>
      <c r="AI132" t="str">
        <f>CONCATENATE(VLOOKUP(AG132,'Articulated Lengths'!$A$2:$C$16,IF(AH132&lt;&gt;"", 3, 2), FALSE),IF(AH132&lt;&gt;"",CONCATENATE(",",VLOOKUP(AH132,$B:$AI,34,FALSE)),""))</f>
        <v>2,3,2,2,1,2</v>
      </c>
      <c r="AO132">
        <v>1</v>
      </c>
      <c r="AP132">
        <v>10</v>
      </c>
      <c r="AQ132">
        <v>10</v>
      </c>
      <c r="AW132" t="str">
        <f>VLOOKUP(G132,Eras!$A$2:$C$10, 2, TRUE)</f>
        <v>big4</v>
      </c>
      <c r="AX132" t="s">
        <v>371</v>
      </c>
      <c r="AY132" t="str">
        <f t="shared" si="48"/>
        <v>big4_Express</v>
      </c>
      <c r="AZ132" t="s">
        <v>541</v>
      </c>
    </row>
    <row r="133" spans="1:52" x14ac:dyDescent="0.25">
      <c r="A133" t="s">
        <v>37</v>
      </c>
      <c r="B133" t="s">
        <v>543</v>
      </c>
      <c r="C133">
        <v>137</v>
      </c>
      <c r="D133" t="s">
        <v>305</v>
      </c>
      <c r="E133" t="s">
        <v>314</v>
      </c>
      <c r="F133" t="s">
        <v>317</v>
      </c>
      <c r="G133">
        <v>1945</v>
      </c>
      <c r="H133">
        <v>1951</v>
      </c>
      <c r="I133">
        <v>1967</v>
      </c>
      <c r="K133">
        <v>1800</v>
      </c>
      <c r="M133" s="6">
        <v>16.375</v>
      </c>
      <c r="N133" s="6">
        <v>24</v>
      </c>
      <c r="O133" s="6">
        <v>3</v>
      </c>
      <c r="P133" s="6">
        <v>280</v>
      </c>
      <c r="Q133" s="7">
        <f t="shared" si="49"/>
        <v>234.96295545935078</v>
      </c>
      <c r="R133" s="6">
        <v>1.9</v>
      </c>
      <c r="S133" s="6">
        <f t="shared" si="50"/>
        <v>2290.1005532296649</v>
      </c>
      <c r="T133">
        <v>87.4</v>
      </c>
      <c r="U133" s="9">
        <v>48</v>
      </c>
      <c r="W133">
        <v>138</v>
      </c>
      <c r="X133" s="4">
        <f t="shared" si="44"/>
        <v>0.10192023633677991</v>
      </c>
      <c r="Y133">
        <v>102</v>
      </c>
      <c r="AA133">
        <v>20.54</v>
      </c>
      <c r="AB133">
        <v>13</v>
      </c>
      <c r="AF133" t="str">
        <f>CONCATENATE(VLOOKUP(AG133, 'Voxel Sizes'!$A$2:$B$18,2,FALSE),"x",INT(AC133*15), "x", INT(AD133*15))</f>
        <v>136x0x0</v>
      </c>
      <c r="AG133">
        <f t="shared" si="45"/>
        <v>8</v>
      </c>
      <c r="AH133" t="s">
        <v>522</v>
      </c>
      <c r="AI133" t="str">
        <f>CONCATENATE(VLOOKUP(AG133,'Articulated Lengths'!$A$2:$C$16,IF(AH133&lt;&gt;"", 3, 2), FALSE),IF(AH133&lt;&gt;"",CONCATENATE(",",VLOOKUP(AH133,$B:$AI,34,FALSE)),""))</f>
        <v>2,4,2,2,1,2</v>
      </c>
      <c r="AO133">
        <v>1</v>
      </c>
      <c r="AP133">
        <v>10</v>
      </c>
      <c r="AQ133">
        <v>10</v>
      </c>
      <c r="AW133" t="str">
        <f>VLOOKUP(G133,Eras!$A$2:$C$10, 2, TRUE)</f>
        <v>big4</v>
      </c>
      <c r="AX133" t="s">
        <v>370</v>
      </c>
      <c r="AY133" t="str">
        <f t="shared" si="48"/>
        <v>big4_Mixed Traffic</v>
      </c>
      <c r="AZ133" t="s">
        <v>542</v>
      </c>
    </row>
    <row r="134" spans="1:52" x14ac:dyDescent="0.25">
      <c r="A134" t="s">
        <v>41</v>
      </c>
      <c r="B134" t="s">
        <v>545</v>
      </c>
      <c r="C134">
        <v>139</v>
      </c>
      <c r="D134" t="s">
        <v>305</v>
      </c>
      <c r="E134" t="s">
        <v>314</v>
      </c>
      <c r="F134" t="s">
        <v>317</v>
      </c>
      <c r="G134">
        <v>1946</v>
      </c>
      <c r="H134">
        <v>1949</v>
      </c>
      <c r="I134">
        <v>1951</v>
      </c>
      <c r="K134">
        <v>1800</v>
      </c>
      <c r="M134" s="6">
        <v>12.25</v>
      </c>
      <c r="N134" s="6">
        <v>15</v>
      </c>
      <c r="O134" s="6">
        <v>6</v>
      </c>
      <c r="P134" s="6">
        <v>280</v>
      </c>
      <c r="Q134" s="7">
        <f t="shared" si="49"/>
        <v>262.60565610162729</v>
      </c>
      <c r="R134" s="6">
        <v>1.5</v>
      </c>
      <c r="S134" s="6">
        <f t="shared" si="50"/>
        <v>1790.518465909091</v>
      </c>
      <c r="T134">
        <v>152</v>
      </c>
      <c r="W134">
        <v>117</v>
      </c>
      <c r="X134" s="4">
        <f t="shared" si="44"/>
        <v>7.6973684210526319E-2</v>
      </c>
      <c r="Y134">
        <v>90</v>
      </c>
      <c r="Z134">
        <v>1</v>
      </c>
      <c r="AA134">
        <v>20.420000000000002</v>
      </c>
      <c r="AB134">
        <v>20.420000000000002</v>
      </c>
      <c r="AF134" t="str">
        <f>CONCATENATE(VLOOKUP(AG134, 'Voxel Sizes'!$A$2:$B$18,2,FALSE),"x",INT(AC134*15), "x", INT(AD134*15))</f>
        <v>198x0x0</v>
      </c>
      <c r="AG134">
        <f t="shared" si="45"/>
        <v>12</v>
      </c>
      <c r="AI134" t="str">
        <f>CONCATENATE(VLOOKUP(AG134,'Articulated Lengths'!$A$2:$C$16,IF(AH134&lt;&gt;"", 3, 2), FALSE),IF(AH134&lt;&gt;"",CONCATENATE(",",VLOOKUP(AH134,$B:$AI,34,FALSE)),""))</f>
        <v>4,4,4</v>
      </c>
      <c r="AP134">
        <v>10</v>
      </c>
      <c r="AQ134">
        <v>10</v>
      </c>
      <c r="AW134" t="str">
        <f>VLOOKUP(G134,Eras!$A$2:$C$10, 2, TRUE)</f>
        <v>big4</v>
      </c>
      <c r="AX134" t="s">
        <v>370</v>
      </c>
      <c r="AY134" t="str">
        <f t="shared" si="48"/>
        <v>big4_Mixed Traffic</v>
      </c>
      <c r="AZ134" t="s">
        <v>544</v>
      </c>
    </row>
    <row r="135" spans="1:52" x14ac:dyDescent="0.25">
      <c r="A135" t="s">
        <v>546</v>
      </c>
      <c r="B135" t="s">
        <v>547</v>
      </c>
      <c r="C135">
        <v>141</v>
      </c>
      <c r="D135" t="s">
        <v>305</v>
      </c>
      <c r="E135" t="s">
        <v>314</v>
      </c>
      <c r="F135" t="s">
        <v>317</v>
      </c>
      <c r="G135">
        <v>1946</v>
      </c>
      <c r="H135">
        <v>1953</v>
      </c>
      <c r="I135">
        <v>1967</v>
      </c>
      <c r="K135">
        <v>1000</v>
      </c>
      <c r="M135" s="6">
        <v>16</v>
      </c>
      <c r="N135" s="6">
        <v>24</v>
      </c>
      <c r="O135" s="6">
        <v>2</v>
      </c>
      <c r="P135" s="6">
        <v>200</v>
      </c>
      <c r="Q135" s="7">
        <f t="shared" si="49"/>
        <v>233.42724986811314</v>
      </c>
      <c r="R135" s="6">
        <v>1.5</v>
      </c>
      <c r="S135" s="6">
        <f t="shared" si="50"/>
        <v>1034.3434343434342</v>
      </c>
      <c r="T135">
        <v>47.9</v>
      </c>
      <c r="U135" s="9">
        <v>37.700000000000003</v>
      </c>
      <c r="W135">
        <v>77</v>
      </c>
      <c r="X135" s="4">
        <f t="shared" si="44"/>
        <v>8.9953271028037379E-2</v>
      </c>
      <c r="Y135">
        <v>80</v>
      </c>
      <c r="AA135">
        <v>16.2</v>
      </c>
      <c r="AB135">
        <f>AA135-6</f>
        <v>10.199999999999999</v>
      </c>
      <c r="AF135" t="str">
        <f>CONCATENATE(VLOOKUP(AG135, 'Voxel Sizes'!$A$2:$B$18,2,FALSE),"x",INT(AC135*15), "x", INT(AD135*15))</f>
        <v>102x0x0</v>
      </c>
      <c r="AG135">
        <f t="shared" si="45"/>
        <v>6</v>
      </c>
      <c r="AH135" t="s">
        <v>548</v>
      </c>
      <c r="AI135" t="str">
        <f>CONCATENATE(VLOOKUP(AG135,'Articulated Lengths'!$A$2:$C$16,IF(AH135&lt;&gt;"", 3, 2), FALSE),IF(AH135&lt;&gt;"",CONCATENATE(",",VLOOKUP(AH135,$B:$AI,34,FALSE)),""))</f>
        <v>2,2,2,1,2,1</v>
      </c>
      <c r="AO135">
        <v>1</v>
      </c>
      <c r="AP135">
        <v>10</v>
      </c>
      <c r="AQ135">
        <v>10</v>
      </c>
      <c r="AW135" t="str">
        <f>VLOOKUP(G135,Eras!$A$2:$C$10, 2, TRUE)</f>
        <v>big4</v>
      </c>
      <c r="AX135" t="s">
        <v>369</v>
      </c>
      <c r="AY135" t="str">
        <f t="shared" si="48"/>
        <v>big4_Cheap</v>
      </c>
      <c r="AZ135" t="s">
        <v>550</v>
      </c>
    </row>
    <row r="136" spans="1:52" x14ac:dyDescent="0.25">
      <c r="A136" t="s">
        <v>69</v>
      </c>
      <c r="B136" t="s">
        <v>197</v>
      </c>
      <c r="C136">
        <v>143</v>
      </c>
      <c r="D136" t="s">
        <v>305</v>
      </c>
      <c r="E136" t="s">
        <v>315</v>
      </c>
      <c r="F136" t="s">
        <v>317</v>
      </c>
      <c r="G136">
        <v>1947</v>
      </c>
      <c r="H136">
        <v>1948</v>
      </c>
      <c r="I136">
        <v>1966</v>
      </c>
      <c r="K136">
        <v>1600</v>
      </c>
      <c r="T136">
        <v>129.69999999999999</v>
      </c>
      <c r="W136">
        <v>184</v>
      </c>
      <c r="X136" s="4">
        <f t="shared" si="44"/>
        <v>0.14186584425597532</v>
      </c>
      <c r="Y136">
        <v>93</v>
      </c>
      <c r="AA136">
        <v>18.64</v>
      </c>
      <c r="AB136">
        <v>18.64</v>
      </c>
      <c r="AD136">
        <v>3.95</v>
      </c>
      <c r="AF136" t="str">
        <f>CONCATENATE(VLOOKUP(AG136, 'Voxel Sizes'!$A$2:$B$18,2,FALSE),"x",INT(AC136*15), "x", INT(AD136*15))</f>
        <v>186x0x59</v>
      </c>
      <c r="AG136">
        <f t="shared" si="45"/>
        <v>11</v>
      </c>
      <c r="AI136" t="str">
        <f>CONCATENATE(VLOOKUP(AG136,'Articulated Lengths'!$A$2:$C$16,IF(AH136&lt;&gt;"", 3, 2), FALSE),IF(AH136&lt;&gt;"",CONCATENATE(",",VLOOKUP(AH136,$B:$AI,34,FALSE)),""))</f>
        <v>4,3,4</v>
      </c>
      <c r="AP136">
        <v>10</v>
      </c>
      <c r="AQ136">
        <v>10</v>
      </c>
      <c r="AW136" t="str">
        <f>VLOOKUP(G136,Eras!$A$2:$C$10, 2, TRUE)</f>
        <v>big4</v>
      </c>
      <c r="AX136" t="s">
        <v>370</v>
      </c>
      <c r="AY136" t="str">
        <f t="shared" si="48"/>
        <v>big4_Mixed Traffic</v>
      </c>
      <c r="AZ136" t="s">
        <v>551</v>
      </c>
    </row>
    <row r="137" spans="1:52" x14ac:dyDescent="0.25">
      <c r="A137" t="s">
        <v>25</v>
      </c>
      <c r="B137" t="s">
        <v>553</v>
      </c>
      <c r="C137">
        <v>145</v>
      </c>
      <c r="D137" t="s">
        <v>305</v>
      </c>
      <c r="E137" t="s">
        <v>314</v>
      </c>
      <c r="F137" t="s">
        <v>317</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4"/>
        <v>9.8341232227488154E-2</v>
      </c>
      <c r="Y137">
        <v>100</v>
      </c>
      <c r="AA137">
        <v>22.24</v>
      </c>
      <c r="AB137">
        <f>AA137-7.5</f>
        <v>14.739999999999998</v>
      </c>
      <c r="AD137">
        <v>3.99</v>
      </c>
      <c r="AF137" t="str">
        <f>CONCATENATE(VLOOKUP(AG137, 'Voxel Sizes'!$A$2:$B$18,2,FALSE),"x",INT(AC137*15), "x", INT(AD137*15))</f>
        <v>152x0x59</v>
      </c>
      <c r="AG137">
        <f t="shared" si="45"/>
        <v>9</v>
      </c>
      <c r="AH137" t="s">
        <v>488</v>
      </c>
      <c r="AI137" t="str">
        <f>CONCATENATE(VLOOKUP(AG137,'Articulated Lengths'!$A$2:$C$16,IF(AH137&lt;&gt;"", 3, 2), FALSE),IF(AH137&lt;&gt;"",CONCATENATE(",",VLOOKUP(AH137,$B:$AI,34,FALSE)),""))</f>
        <v>2,5,2,2,1,2</v>
      </c>
      <c r="AO137">
        <v>1</v>
      </c>
      <c r="AP137">
        <v>10</v>
      </c>
      <c r="AQ137">
        <v>10</v>
      </c>
      <c r="AW137" t="str">
        <f>VLOOKUP(G137,Eras!$A$2:$C$10, 2, TRUE)</f>
        <v>ebr</v>
      </c>
      <c r="AX137" t="s">
        <v>371</v>
      </c>
      <c r="AY137" t="str">
        <f t="shared" si="48"/>
        <v>ebr_Express</v>
      </c>
      <c r="AZ137" t="s">
        <v>552</v>
      </c>
    </row>
    <row r="138" spans="1:52" x14ac:dyDescent="0.25">
      <c r="A138" t="s">
        <v>73</v>
      </c>
      <c r="B138" t="s">
        <v>290</v>
      </c>
      <c r="C138">
        <v>147</v>
      </c>
      <c r="D138" t="s">
        <v>305</v>
      </c>
      <c r="E138" t="s">
        <v>339</v>
      </c>
      <c r="F138" t="s">
        <v>340</v>
      </c>
      <c r="G138">
        <v>1950</v>
      </c>
      <c r="H138">
        <v>1953</v>
      </c>
      <c r="I138">
        <v>1981</v>
      </c>
      <c r="K138">
        <v>1300</v>
      </c>
      <c r="T138">
        <v>89.3</v>
      </c>
      <c r="W138">
        <v>200</v>
      </c>
      <c r="X138" s="4">
        <f t="shared" si="44"/>
        <v>0.22396416573348266</v>
      </c>
      <c r="Y138">
        <v>65</v>
      </c>
      <c r="AA138">
        <v>15.34</v>
      </c>
      <c r="AB138">
        <v>15.34</v>
      </c>
      <c r="AF138" t="str">
        <f>CONCATENATE(VLOOKUP(AG138, 'Voxel Sizes'!$A$2:$B$18,2,FALSE),"x",INT(AC138*15), "x", INT(AD138*15))</f>
        <v>152x0x0</v>
      </c>
      <c r="AG138">
        <f t="shared" si="45"/>
        <v>9</v>
      </c>
      <c r="AI138" t="str">
        <f>CONCATENATE(VLOOKUP(AG138,'Articulated Lengths'!$A$2:$C$16,IF(AH138&lt;&gt;"", 3, 2), FALSE),IF(AH138&lt;&gt;"",CONCATENATE(",",VLOOKUP(AH138,$B:$AI,34,FALSE)),""))</f>
        <v>2,5,2</v>
      </c>
      <c r="AP138">
        <v>10</v>
      </c>
      <c r="AQ138">
        <v>10</v>
      </c>
      <c r="AW138" t="str">
        <f>VLOOKUP(G138,Eras!$A$2:$C$10, 2, TRUE)</f>
        <v>ebr</v>
      </c>
      <c r="AX138" t="s">
        <v>382</v>
      </c>
      <c r="AY138" t="str">
        <f t="shared" si="48"/>
        <v>ebr_Freight (Electric)</v>
      </c>
      <c r="AZ138" t="s">
        <v>398</v>
      </c>
    </row>
    <row r="139" spans="1:52" x14ac:dyDescent="0.25">
      <c r="A139" t="s">
        <v>562</v>
      </c>
      <c r="B139" t="s">
        <v>556</v>
      </c>
      <c r="C139">
        <v>149</v>
      </c>
      <c r="D139" t="s">
        <v>305</v>
      </c>
      <c r="E139" t="s">
        <v>314</v>
      </c>
      <c r="F139" t="s">
        <v>317</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4"/>
        <v>0.11697027804410355</v>
      </c>
      <c r="Y139">
        <v>80</v>
      </c>
      <c r="AA139">
        <v>20.96</v>
      </c>
      <c r="AB139">
        <f>AA139-7.5</f>
        <v>13.46</v>
      </c>
      <c r="AD139">
        <v>3.98</v>
      </c>
      <c r="AF139" t="str">
        <f>CONCATENATE(VLOOKUP(AG139, 'Voxel Sizes'!$A$2:$B$18,2,FALSE),"x",INT(AC139*15), "x", INT(AD139*15))</f>
        <v>136x0x59</v>
      </c>
      <c r="AG139">
        <f t="shared" si="45"/>
        <v>8</v>
      </c>
      <c r="AH139" t="s">
        <v>493</v>
      </c>
      <c r="AI139" t="str">
        <f>CONCATENATE(VLOOKUP(AG139,'Articulated Lengths'!$A$2:$C$16,IF(AH139&lt;&gt;"", 3, 2), FALSE),IF(AH139&lt;&gt;"",CONCATENATE(",",VLOOKUP(AH139,$B:$AI,34,FALSE)),""))</f>
        <v>2,4,2,2,1,2</v>
      </c>
      <c r="AO139">
        <v>1</v>
      </c>
      <c r="AP139">
        <v>10</v>
      </c>
      <c r="AQ139">
        <v>10</v>
      </c>
      <c r="AW139" t="str">
        <f>VLOOKUP(G139,Eras!$A$2:$C$10, 2, TRUE)</f>
        <v>ebr</v>
      </c>
      <c r="AX139" t="s">
        <v>370</v>
      </c>
      <c r="AY139" t="str">
        <f t="shared" si="48"/>
        <v>ebr_Mixed Traffic</v>
      </c>
      <c r="AZ139" t="s">
        <v>560</v>
      </c>
    </row>
    <row r="140" spans="1:52" x14ac:dyDescent="0.25">
      <c r="A140" t="s">
        <v>563</v>
      </c>
      <c r="B140" t="s">
        <v>557</v>
      </c>
      <c r="C140">
        <v>151</v>
      </c>
      <c r="D140" t="s">
        <v>305</v>
      </c>
      <c r="E140" t="s">
        <v>314</v>
      </c>
      <c r="F140" t="s">
        <v>317</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4"/>
        <v>9.8281786941580754E-2</v>
      </c>
      <c r="Y140">
        <v>90</v>
      </c>
      <c r="AA140">
        <v>20.96</v>
      </c>
      <c r="AB140">
        <f>AA140-7.5</f>
        <v>13.46</v>
      </c>
      <c r="AD140">
        <v>3.98</v>
      </c>
      <c r="AF140" t="str">
        <f>CONCATENATE(VLOOKUP(AG140, 'Voxel Sizes'!$A$2:$B$18,2,FALSE),"x",INT(AC140*15), "x", INT(AD140*15))</f>
        <v>136x0x59</v>
      </c>
      <c r="AG140">
        <f t="shared" si="45"/>
        <v>8</v>
      </c>
      <c r="AH140" t="s">
        <v>493</v>
      </c>
      <c r="AI140" t="str">
        <f>CONCATENATE(VLOOKUP(AG140,'Articulated Lengths'!$A$2:$C$16,IF(AH140&lt;&gt;"", 3, 2), FALSE),IF(AH140&lt;&gt;"",CONCATENATE(",",VLOOKUP(AH140,$B:$AI,34,FALSE)),""))</f>
        <v>2,4,2,2,1,2</v>
      </c>
      <c r="AO140">
        <v>1</v>
      </c>
      <c r="AP140">
        <v>10</v>
      </c>
      <c r="AQ140">
        <v>10</v>
      </c>
      <c r="AW140" t="str">
        <f>VLOOKUP(G140,Eras!$A$2:$C$10, 2, TRUE)</f>
        <v>ebr</v>
      </c>
      <c r="AX140" t="s">
        <v>370</v>
      </c>
      <c r="AY140" t="str">
        <f t="shared" si="48"/>
        <v>ebr_Mixed Traffic</v>
      </c>
      <c r="AZ140" t="s">
        <v>559</v>
      </c>
    </row>
    <row r="141" spans="1:52" x14ac:dyDescent="0.25">
      <c r="A141" t="s">
        <v>77</v>
      </c>
      <c r="B141" t="s">
        <v>198</v>
      </c>
      <c r="C141">
        <v>153</v>
      </c>
      <c r="D141" t="s">
        <v>305</v>
      </c>
      <c r="E141" t="s">
        <v>315</v>
      </c>
      <c r="F141" t="s">
        <v>317</v>
      </c>
      <c r="G141">
        <v>1952</v>
      </c>
      <c r="H141">
        <v>1962</v>
      </c>
      <c r="K141">
        <v>350</v>
      </c>
      <c r="T141">
        <v>49.8</v>
      </c>
      <c r="W141">
        <v>160</v>
      </c>
      <c r="X141" s="4">
        <f t="shared" si="44"/>
        <v>0.32128514056224899</v>
      </c>
      <c r="Y141">
        <v>20</v>
      </c>
      <c r="AA141">
        <v>8.92</v>
      </c>
      <c r="AB141">
        <v>9.5</v>
      </c>
      <c r="AC141">
        <v>2.59</v>
      </c>
      <c r="AD141">
        <v>3.87</v>
      </c>
      <c r="AF141" t="str">
        <f>CONCATENATE(VLOOKUP(AG141, 'Voxel Sizes'!$A$2:$B$18,2,FALSE),"x",INT(AC141*15), "x", INT(AD141*15))</f>
        <v>102x38x58</v>
      </c>
      <c r="AG141">
        <f t="shared" si="45"/>
        <v>6</v>
      </c>
      <c r="AI141" t="str">
        <f>CONCATENATE(VLOOKUP(AG141,'Articulated Lengths'!$A$2:$C$16,IF(AH141&lt;&gt;"", 3, 2), FALSE),IF(AH141&lt;&gt;"",CONCATENATE(",",VLOOKUP(AH141,$B:$AI,34,FALSE)),""))</f>
        <v>2,2,2</v>
      </c>
      <c r="AO141">
        <v>1</v>
      </c>
      <c r="AP141">
        <v>10</v>
      </c>
      <c r="AQ141">
        <v>10</v>
      </c>
      <c r="AW141" t="str">
        <f>VLOOKUP(G141,Eras!$A$2:$C$10, 2, TRUE)</f>
        <v>ebr</v>
      </c>
      <c r="AX141" t="s">
        <v>369</v>
      </c>
      <c r="AY141" t="str">
        <f t="shared" si="48"/>
        <v>ebr_Cheap</v>
      </c>
      <c r="AZ141" t="s">
        <v>399</v>
      </c>
    </row>
    <row r="142" spans="1:52" x14ac:dyDescent="0.25">
      <c r="A142" t="s">
        <v>74</v>
      </c>
      <c r="B142" t="s">
        <v>291</v>
      </c>
      <c r="C142">
        <v>155</v>
      </c>
      <c r="D142" t="s">
        <v>305</v>
      </c>
      <c r="E142" t="s">
        <v>339</v>
      </c>
      <c r="F142" t="s">
        <v>340</v>
      </c>
      <c r="G142">
        <v>1953</v>
      </c>
      <c r="H142">
        <v>1954</v>
      </c>
      <c r="I142">
        <v>1968</v>
      </c>
      <c r="K142">
        <v>2490</v>
      </c>
      <c r="T142">
        <v>104.1</v>
      </c>
      <c r="W142">
        <v>200</v>
      </c>
      <c r="X142" s="4">
        <f t="shared" si="44"/>
        <v>0.19212295869356388</v>
      </c>
      <c r="Y142">
        <v>90</v>
      </c>
      <c r="AA142">
        <v>17.98</v>
      </c>
      <c r="AB142">
        <v>17.98</v>
      </c>
      <c r="AF142" t="str">
        <f>CONCATENATE(VLOOKUP(AG142, 'Voxel Sizes'!$A$2:$B$18,2,FALSE),"x",INT(AC142*15), "x", INT(AD142*15))</f>
        <v>186x0x0</v>
      </c>
      <c r="AG142">
        <f t="shared" si="45"/>
        <v>11</v>
      </c>
      <c r="AI142" t="str">
        <f>CONCATENATE(VLOOKUP(AG142,'Articulated Lengths'!$A$2:$C$16,IF(AH142&lt;&gt;"", 3, 2), FALSE),IF(AH142&lt;&gt;"",CONCATENATE(",",VLOOKUP(AH142,$B:$AI,34,FALSE)),""))</f>
        <v>4,3,4</v>
      </c>
      <c r="AP142">
        <v>10</v>
      </c>
      <c r="AQ142">
        <v>10</v>
      </c>
      <c r="AW142" t="str">
        <f>VLOOKUP(G142,Eras!$A$2:$C$10, 2, TRUE)</f>
        <v>ebr</v>
      </c>
      <c r="AX142" t="s">
        <v>381</v>
      </c>
      <c r="AY142" t="str">
        <f t="shared" si="48"/>
        <v>ebr_Express (Electric)</v>
      </c>
      <c r="AZ142" t="s">
        <v>561</v>
      </c>
    </row>
    <row r="143" spans="1:52" x14ac:dyDescent="0.25">
      <c r="A143" t="s">
        <v>555</v>
      </c>
      <c r="B143" t="s">
        <v>558</v>
      </c>
      <c r="C143">
        <v>157</v>
      </c>
      <c r="D143" t="s">
        <v>305</v>
      </c>
      <c r="E143" t="s">
        <v>314</v>
      </c>
      <c r="F143" t="s">
        <v>317</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4"/>
        <v>0.12482269503546099</v>
      </c>
      <c r="Y143">
        <v>90</v>
      </c>
      <c r="AA143">
        <v>20.170000000000002</v>
      </c>
      <c r="AB143">
        <v>15</v>
      </c>
      <c r="AF143" t="str">
        <f>CONCATENATE(VLOOKUP(AG143, 'Voxel Sizes'!$A$2:$B$18,2,FALSE),"x",INT(AC143*15), "x", INT(AD143*15))</f>
        <v>152x0x0</v>
      </c>
      <c r="AG143">
        <f t="shared" si="45"/>
        <v>9</v>
      </c>
      <c r="AH143" t="s">
        <v>493</v>
      </c>
      <c r="AI143" t="str">
        <f>CONCATENATE(VLOOKUP(AG143,'Articulated Lengths'!$A$2:$C$16,IF(AH143&lt;&gt;"", 3, 2), FALSE),IF(AH143&lt;&gt;"",CONCATENATE(",",VLOOKUP(AH143,$B:$AI,34,FALSE)),""))</f>
        <v>2,5,2,2,1,2</v>
      </c>
      <c r="AO143">
        <v>1</v>
      </c>
      <c r="AP143">
        <v>10</v>
      </c>
      <c r="AQ143">
        <v>10</v>
      </c>
      <c r="AW143" t="str">
        <f>VLOOKUP(G143,Eras!$A$2:$C$10, 2, TRUE)</f>
        <v>ebr</v>
      </c>
      <c r="AX143" t="s">
        <v>372</v>
      </c>
      <c r="AY143" t="str">
        <f t="shared" si="48"/>
        <v>ebr_Freight</v>
      </c>
      <c r="AZ143" t="s">
        <v>564</v>
      </c>
    </row>
    <row r="144" spans="1:52" x14ac:dyDescent="0.25">
      <c r="A144" t="s">
        <v>97</v>
      </c>
      <c r="B144" t="s">
        <v>221</v>
      </c>
      <c r="C144">
        <v>159</v>
      </c>
      <c r="D144" t="s">
        <v>456</v>
      </c>
      <c r="E144" t="s">
        <v>339</v>
      </c>
      <c r="F144" t="s">
        <v>340</v>
      </c>
      <c r="G144">
        <v>1954</v>
      </c>
      <c r="I144">
        <v>1984</v>
      </c>
      <c r="J144">
        <v>3</v>
      </c>
      <c r="K144">
        <v>740</v>
      </c>
      <c r="T144">
        <f>51.4+26.8+27.9</f>
        <v>106.1</v>
      </c>
      <c r="W144">
        <v>110</v>
      </c>
      <c r="X144" s="4">
        <f t="shared" si="44"/>
        <v>0.10367577756833177</v>
      </c>
      <c r="Y144">
        <v>75</v>
      </c>
      <c r="AA144">
        <v>18.100000000000001</v>
      </c>
      <c r="AB144">
        <v>18.100000000000001</v>
      </c>
      <c r="AC144">
        <v>2.82</v>
      </c>
      <c r="AD144">
        <v>3.87</v>
      </c>
      <c r="AE144" s="11">
        <v>57</v>
      </c>
      <c r="AF144" t="str">
        <f>CONCATENATE(VLOOKUP(AG144, 'Voxel Sizes'!$A$2:$B$18,2,FALSE),"x",INT(AC144*15), "x", INT(AD144*15))</f>
        <v>186x42x58</v>
      </c>
      <c r="AG144">
        <f t="shared" si="45"/>
        <v>11</v>
      </c>
      <c r="AI144" t="str">
        <f>CONCATENATE(VLOOKUP(AG144,'Articulated Lengths'!$A$2:$C$16,IF(AH144&lt;&gt;"", 3, 2), FALSE),IF(AH144&lt;&gt;"",CONCATENATE(",",VLOOKUP(AH144,$B:$AI,34,FALSE)),""))</f>
        <v>4,3,4</v>
      </c>
      <c r="AK144" t="s">
        <v>670</v>
      </c>
      <c r="AM144" t="s">
        <v>335</v>
      </c>
      <c r="AP144">
        <v>10</v>
      </c>
      <c r="AQ144">
        <v>10</v>
      </c>
      <c r="AV144" t="s">
        <v>326</v>
      </c>
      <c r="AW144" t="str">
        <f>VLOOKUP(G144,Eras!$A$2:$C$10, 2, TRUE)</f>
        <v>ebr</v>
      </c>
      <c r="AX144" t="s">
        <v>376</v>
      </c>
      <c r="AY144" t="str">
        <f t="shared" si="48"/>
        <v>ebr_EMU</v>
      </c>
      <c r="AZ144" t="s">
        <v>671</v>
      </c>
    </row>
    <row r="145" spans="1:52" x14ac:dyDescent="0.25">
      <c r="A145" t="s">
        <v>49</v>
      </c>
      <c r="B145" t="s">
        <v>310</v>
      </c>
      <c r="C145">
        <v>161</v>
      </c>
      <c r="D145" t="s">
        <v>305</v>
      </c>
      <c r="E145" t="s">
        <v>315</v>
      </c>
      <c r="F145" t="s">
        <v>317</v>
      </c>
      <c r="G145">
        <v>1955</v>
      </c>
      <c r="H145">
        <v>1962</v>
      </c>
      <c r="I145">
        <v>1982</v>
      </c>
      <c r="K145">
        <v>3300</v>
      </c>
      <c r="T145">
        <v>108</v>
      </c>
      <c r="W145">
        <v>233</v>
      </c>
      <c r="X145" s="4">
        <f t="shared" si="44"/>
        <v>0.21574074074074073</v>
      </c>
      <c r="Y145">
        <v>106</v>
      </c>
      <c r="AA145">
        <v>21.18</v>
      </c>
      <c r="AB145">
        <v>21.18</v>
      </c>
      <c r="AD145">
        <v>3.91</v>
      </c>
      <c r="AF145" t="str">
        <f>CONCATENATE(VLOOKUP(AG145, 'Voxel Sizes'!$A$2:$B$18,2,FALSE),"x",INT(AC145*15), "x", INT(AD145*15))</f>
        <v>198x0x58</v>
      </c>
      <c r="AG145">
        <f t="shared" si="45"/>
        <v>12</v>
      </c>
      <c r="AI145" t="str">
        <f>CONCATENATE(VLOOKUP(AG145,'Articulated Lengths'!$A$2:$C$16,IF(AH145&lt;&gt;"", 3, 2), FALSE),IF(AH145&lt;&gt;"",CONCATENATE(",",VLOOKUP(AH145,$B:$AI,34,FALSE)),""))</f>
        <v>4,4,4</v>
      </c>
      <c r="AP145">
        <v>10</v>
      </c>
      <c r="AQ145">
        <v>10</v>
      </c>
      <c r="AW145" t="str">
        <f>VLOOKUP(G145,Eras!$A$2:$C$10, 2, TRUE)</f>
        <v>dsl</v>
      </c>
      <c r="AX145" t="s">
        <v>371</v>
      </c>
      <c r="AY145" t="str">
        <f t="shared" si="48"/>
        <v>dsl_Express</v>
      </c>
      <c r="AZ145" t="s">
        <v>565</v>
      </c>
    </row>
    <row r="146" spans="1:52" x14ac:dyDescent="0.25">
      <c r="A146" t="s">
        <v>82</v>
      </c>
      <c r="B146" t="s">
        <v>275</v>
      </c>
      <c r="C146">
        <v>163</v>
      </c>
      <c r="D146" t="s">
        <v>456</v>
      </c>
      <c r="E146" t="s">
        <v>315</v>
      </c>
      <c r="F146" t="s">
        <v>317</v>
      </c>
      <c r="G146">
        <v>1956</v>
      </c>
      <c r="H146">
        <v>1960</v>
      </c>
      <c r="I146">
        <v>2003</v>
      </c>
      <c r="J146">
        <v>2</v>
      </c>
      <c r="K146">
        <v>600</v>
      </c>
      <c r="T146">
        <f>32.5+25</f>
        <v>57.5</v>
      </c>
      <c r="W146">
        <v>85</v>
      </c>
      <c r="X146" s="4">
        <f t="shared" si="44"/>
        <v>0.14782608695652175</v>
      </c>
      <c r="Y146">
        <v>70</v>
      </c>
      <c r="AA146">
        <v>17.37</v>
      </c>
      <c r="AB146">
        <v>17.37</v>
      </c>
      <c r="AD146">
        <v>3.77</v>
      </c>
      <c r="AE146" s="11">
        <v>51</v>
      </c>
      <c r="AF146" t="str">
        <f>CONCATENATE(VLOOKUP(AG146, 'Voxel Sizes'!$A$2:$B$18,2,FALSE),"x",INT(AC146*15), "x", INT(AD146*15))</f>
        <v>164x0x56</v>
      </c>
      <c r="AG146">
        <f t="shared" si="45"/>
        <v>10</v>
      </c>
      <c r="AI146" t="str">
        <f>CONCATENATE(VLOOKUP(AG146,'Articulated Lengths'!$A$2:$C$16,IF(AH146&lt;&gt;"", 3, 2), FALSE),IF(AH146&lt;&gt;"",CONCATENATE(",",VLOOKUP(AH146,$B:$AI,34,FALSE)),""))</f>
        <v>4,2,4</v>
      </c>
      <c r="AK146" t="s">
        <v>567</v>
      </c>
      <c r="AM146" t="s">
        <v>520</v>
      </c>
      <c r="AP146">
        <v>10</v>
      </c>
      <c r="AQ146">
        <v>10</v>
      </c>
      <c r="AV146" t="s">
        <v>326</v>
      </c>
      <c r="AW146" t="str">
        <f>VLOOKUP(G146,Eras!$A$2:$C$10, 2, TRUE)</f>
        <v>dsl</v>
      </c>
      <c r="AX146" t="s">
        <v>374</v>
      </c>
      <c r="AY146" t="str">
        <f t="shared" si="48"/>
        <v>dsl_DMU</v>
      </c>
      <c r="AZ146" t="s">
        <v>566</v>
      </c>
    </row>
    <row r="147" spans="1:52" x14ac:dyDescent="0.25">
      <c r="A147" t="s">
        <v>84</v>
      </c>
      <c r="B147" t="s">
        <v>215</v>
      </c>
      <c r="C147">
        <v>165</v>
      </c>
      <c r="D147" t="s">
        <v>170</v>
      </c>
      <c r="F147" t="s">
        <v>317</v>
      </c>
      <c r="G147">
        <v>1956</v>
      </c>
      <c r="H147">
        <v>1959</v>
      </c>
      <c r="I147">
        <v>1988</v>
      </c>
      <c r="K147">
        <v>300</v>
      </c>
      <c r="T147">
        <f>30.5*2</f>
        <v>61</v>
      </c>
      <c r="X147" s="4" t="str">
        <f t="shared" si="44"/>
        <v/>
      </c>
      <c r="Y147">
        <v>70</v>
      </c>
      <c r="AA147">
        <v>17.53</v>
      </c>
      <c r="AB147">
        <v>17.53</v>
      </c>
      <c r="AD147">
        <v>3.84</v>
      </c>
      <c r="AF147" t="str">
        <f>CONCATENATE(VLOOKUP(AG147, 'Voxel Sizes'!$A$2:$B$18,2,FALSE),"x",INT(AC147*15), "x", INT(AD147*15))</f>
        <v>164x0x57</v>
      </c>
      <c r="AG147">
        <f t="shared" si="45"/>
        <v>10</v>
      </c>
      <c r="AI147" t="str">
        <f>CONCATENATE(VLOOKUP(AG147,'Articulated Lengths'!$A$2:$C$16,IF(AH147&lt;&gt;"", 3, 2), FALSE),IF(AH147&lt;&gt;"",CONCATENATE(",",VLOOKUP(AH147,$B:$AI,34,FALSE)),""))</f>
        <v>4,2,4</v>
      </c>
      <c r="AP147">
        <v>10</v>
      </c>
      <c r="AQ147">
        <v>10</v>
      </c>
      <c r="AW147" t="str">
        <f>VLOOKUP(G147,Eras!$A$2:$C$10, 2, TRUE)</f>
        <v>dsl</v>
      </c>
      <c r="AY147" t="str">
        <f t="shared" si="48"/>
        <v>dsl_</v>
      </c>
    </row>
    <row r="148" spans="1:52" x14ac:dyDescent="0.25">
      <c r="A148" t="s">
        <v>672</v>
      </c>
      <c r="B148" t="s">
        <v>674</v>
      </c>
      <c r="C148">
        <v>167</v>
      </c>
      <c r="D148" t="s">
        <v>456</v>
      </c>
      <c r="E148" t="s">
        <v>339</v>
      </c>
      <c r="F148" t="s">
        <v>346</v>
      </c>
      <c r="G148">
        <v>1956</v>
      </c>
      <c r="I148">
        <v>1995</v>
      </c>
      <c r="J148">
        <v>2</v>
      </c>
      <c r="K148">
        <v>500</v>
      </c>
      <c r="T148">
        <f>40+32</f>
        <v>72</v>
      </c>
      <c r="W148">
        <v>95</v>
      </c>
      <c r="X148" s="4">
        <f t="shared" si="44"/>
        <v>0.13194444444444445</v>
      </c>
      <c r="Y148">
        <v>90</v>
      </c>
      <c r="AA148">
        <v>19.05</v>
      </c>
      <c r="AB148">
        <v>19.05</v>
      </c>
      <c r="AC148">
        <v>2.82</v>
      </c>
      <c r="AD148">
        <v>3.89</v>
      </c>
      <c r="AE148" s="11">
        <v>54</v>
      </c>
      <c r="AF148" t="str">
        <f>CONCATENATE(VLOOKUP(AG148, 'Voxel Sizes'!$A$2:$B$18,2,FALSE),"x",INT(AC148*15), "x", INT(AD148*15))</f>
        <v>186x42x58</v>
      </c>
      <c r="AG148">
        <f t="shared" si="45"/>
        <v>11</v>
      </c>
      <c r="AI148" t="str">
        <f>CONCATENATE(VLOOKUP(AG148,'Articulated Lengths'!$A$2:$C$16,IF(AH148&lt;&gt;"", 3, 2), FALSE),IF(AH148&lt;&gt;"",CONCATENATE(",",VLOOKUP(AH148,$B:$AI,34,FALSE)),""))</f>
        <v>4,3,4</v>
      </c>
      <c r="AK148" t="s">
        <v>675</v>
      </c>
      <c r="AM148" t="s">
        <v>520</v>
      </c>
      <c r="AP148">
        <v>10</v>
      </c>
      <c r="AQ148">
        <v>10</v>
      </c>
      <c r="AV148" t="s">
        <v>326</v>
      </c>
      <c r="AW148" t="str">
        <f>VLOOKUP(G148,Eras!$A$2:$C$10, 2, TRUE)</f>
        <v>dsl</v>
      </c>
      <c r="AX148" t="s">
        <v>377</v>
      </c>
      <c r="AY148" t="str">
        <f t="shared" si="48"/>
        <v>dsl_EMU (Express)</v>
      </c>
      <c r="AZ148" t="s">
        <v>676</v>
      </c>
    </row>
    <row r="149" spans="1:52" x14ac:dyDescent="0.25">
      <c r="A149" t="s">
        <v>569</v>
      </c>
      <c r="B149" t="s">
        <v>199</v>
      </c>
      <c r="C149">
        <v>169</v>
      </c>
      <c r="D149" t="s">
        <v>305</v>
      </c>
      <c r="E149" t="s">
        <v>315</v>
      </c>
      <c r="F149" t="s">
        <v>317</v>
      </c>
      <c r="G149">
        <v>1957</v>
      </c>
      <c r="H149">
        <v>1962</v>
      </c>
      <c r="I149">
        <v>2017</v>
      </c>
      <c r="K149">
        <v>1250</v>
      </c>
      <c r="T149">
        <v>108.4</v>
      </c>
      <c r="W149">
        <v>160</v>
      </c>
      <c r="X149" s="4">
        <f t="shared" si="44"/>
        <v>0.14760147601476015</v>
      </c>
      <c r="Y149">
        <v>80</v>
      </c>
      <c r="AA149">
        <v>17.3</v>
      </c>
      <c r="AB149">
        <v>17.3</v>
      </c>
      <c r="AD149">
        <v>3.84</v>
      </c>
      <c r="AF149" t="str">
        <f>CONCATENATE(VLOOKUP(AG149, 'Voxel Sizes'!$A$2:$B$18,2,FALSE),"x",INT(AC149*15), "x", INT(AD149*15))</f>
        <v>164x0x57</v>
      </c>
      <c r="AG149">
        <f t="shared" si="45"/>
        <v>10</v>
      </c>
      <c r="AI149" t="str">
        <f>CONCATENATE(VLOOKUP(AG149,'Articulated Lengths'!$A$2:$C$16,IF(AH149&lt;&gt;"", 3, 2), FALSE),IF(AH149&lt;&gt;"",CONCATENATE(",",VLOOKUP(AH149,$B:$AI,34,FALSE)),""))</f>
        <v>4,2,4</v>
      </c>
      <c r="AP149">
        <v>10</v>
      </c>
      <c r="AQ149">
        <v>10</v>
      </c>
      <c r="AW149" t="str">
        <f>VLOOKUP(G149,Eras!$A$2:$C$10, 2, TRUE)</f>
        <v>dsl</v>
      </c>
      <c r="AX149" t="s">
        <v>372</v>
      </c>
      <c r="AY149" t="str">
        <f t="shared" si="48"/>
        <v>dsl_Freight</v>
      </c>
      <c r="AZ149" t="s">
        <v>570</v>
      </c>
    </row>
    <row r="150" spans="1:52" x14ac:dyDescent="0.25">
      <c r="A150" t="s">
        <v>57</v>
      </c>
      <c r="B150" t="s">
        <v>308</v>
      </c>
      <c r="C150">
        <v>171</v>
      </c>
      <c r="D150" t="s">
        <v>305</v>
      </c>
      <c r="E150" t="s">
        <v>315</v>
      </c>
      <c r="F150" t="s">
        <v>317</v>
      </c>
      <c r="G150">
        <v>1957</v>
      </c>
      <c r="H150">
        <v>1968</v>
      </c>
      <c r="K150">
        <v>1000</v>
      </c>
      <c r="T150">
        <v>73</v>
      </c>
      <c r="W150">
        <v>186</v>
      </c>
      <c r="X150" s="4">
        <f t="shared" si="44"/>
        <v>0.25479452054794521</v>
      </c>
      <c r="Y150">
        <v>75</v>
      </c>
      <c r="AA150">
        <v>14.25</v>
      </c>
      <c r="AB150">
        <v>14.25</v>
      </c>
      <c r="AC150">
        <v>2.67</v>
      </c>
      <c r="AD150">
        <v>3.85</v>
      </c>
      <c r="AF150" t="str">
        <f>CONCATENATE(VLOOKUP(AG150, 'Voxel Sizes'!$A$2:$B$18,2,FALSE),"x",INT(AC150*15), "x", INT(AD150*15))</f>
        <v>136x40x57</v>
      </c>
      <c r="AG150">
        <f t="shared" si="45"/>
        <v>8</v>
      </c>
      <c r="AI150" t="str">
        <f>CONCATENATE(VLOOKUP(AG150,'Articulated Lengths'!$A$2:$C$16,IF(AH150&lt;&gt;"", 3, 2), FALSE),IF(AH150&lt;&gt;"",CONCATENATE(",",VLOOKUP(AH150,$B:$AI,34,FALSE)),""))</f>
        <v>2,4,2</v>
      </c>
      <c r="AP150">
        <v>10</v>
      </c>
      <c r="AQ150">
        <v>10</v>
      </c>
      <c r="AW150" t="str">
        <f>VLOOKUP(G150,Eras!$A$2:$C$10, 2, TRUE)</f>
        <v>dsl</v>
      </c>
      <c r="AX150" t="s">
        <v>370</v>
      </c>
      <c r="AY150" t="str">
        <f t="shared" si="48"/>
        <v>dsl_Mixed Traffic</v>
      </c>
      <c r="AZ150" t="s">
        <v>400</v>
      </c>
    </row>
    <row r="151" spans="1:52" x14ac:dyDescent="0.25">
      <c r="A151" t="s">
        <v>43</v>
      </c>
      <c r="B151" t="s">
        <v>200</v>
      </c>
      <c r="C151">
        <v>173</v>
      </c>
      <c r="D151" t="s">
        <v>305</v>
      </c>
      <c r="E151" t="s">
        <v>315</v>
      </c>
      <c r="F151" t="s">
        <v>317</v>
      </c>
      <c r="G151">
        <v>1958</v>
      </c>
      <c r="H151">
        <v>1961</v>
      </c>
      <c r="I151">
        <v>1966</v>
      </c>
      <c r="K151">
        <v>2750</v>
      </c>
      <c r="T151">
        <v>81</v>
      </c>
      <c r="U151" s="9">
        <v>45</v>
      </c>
      <c r="W151">
        <v>169</v>
      </c>
      <c r="X151" s="4">
        <f t="shared" ref="X151:X214" si="51">IF(AND(T151&gt;0,W151&gt;0),(W151/((T151+U151)*10)),"")</f>
        <v>0.13412698412698412</v>
      </c>
      <c r="Y151">
        <v>90</v>
      </c>
      <c r="AA151">
        <v>20.74</v>
      </c>
      <c r="AB151">
        <v>14</v>
      </c>
      <c r="AF151" t="str">
        <f>CONCATENATE(VLOOKUP(AG151, 'Voxel Sizes'!$A$2:$B$18,2,FALSE),"x",INT(AC151*15), "x", INT(AD151*15))</f>
        <v>136x0x0</v>
      </c>
      <c r="AG151">
        <f t="shared" ref="AG151:AG214" si="52">ROUND(15*((AB151*10)/256),0)</f>
        <v>8</v>
      </c>
      <c r="AH151" t="s">
        <v>693</v>
      </c>
      <c r="AI151" t="str">
        <f>CONCATENATE(VLOOKUP(AG151,'Articulated Lengths'!$A$2:$C$16,IF(AH151&lt;&gt;"", 3, 2), FALSE),IF(AH151&lt;&gt;"",CONCATENATE(",",VLOOKUP(AH151,$B:$AI,34,FALSE)),""))</f>
        <v>2,4,2,2,1,2</v>
      </c>
      <c r="AO151">
        <v>1</v>
      </c>
      <c r="AP151">
        <v>10</v>
      </c>
      <c r="AQ151">
        <v>10</v>
      </c>
      <c r="AW151" t="str">
        <f>VLOOKUP(G151,Eras!$A$2:$C$10, 2, TRUE)</f>
        <v>dsl</v>
      </c>
      <c r="AX151" t="s">
        <v>371</v>
      </c>
      <c r="AY151" t="str">
        <f t="shared" si="48"/>
        <v>dsl_Express</v>
      </c>
      <c r="AZ151" t="s">
        <v>568</v>
      </c>
    </row>
    <row r="152" spans="1:52" x14ac:dyDescent="0.25">
      <c r="A152" t="s">
        <v>47</v>
      </c>
      <c r="B152" t="s">
        <v>201</v>
      </c>
      <c r="C152">
        <v>175</v>
      </c>
      <c r="D152" t="s">
        <v>305</v>
      </c>
      <c r="E152" t="s">
        <v>315</v>
      </c>
      <c r="F152" t="s">
        <v>317</v>
      </c>
      <c r="G152">
        <v>1958</v>
      </c>
      <c r="H152">
        <v>1961</v>
      </c>
      <c r="I152">
        <v>1972</v>
      </c>
      <c r="K152">
        <f>1035*2</f>
        <v>2070</v>
      </c>
      <c r="T152">
        <v>79.3</v>
      </c>
      <c r="W152">
        <v>214</v>
      </c>
      <c r="X152" s="4">
        <f t="shared" si="51"/>
        <v>0.26986128625472888</v>
      </c>
      <c r="Y152">
        <v>90</v>
      </c>
      <c r="AA152">
        <v>18.29</v>
      </c>
      <c r="AB152">
        <v>18.29</v>
      </c>
      <c r="AD152">
        <v>3.67</v>
      </c>
      <c r="AF152" t="str">
        <f>CONCATENATE(VLOOKUP(AG152, 'Voxel Sizes'!$A$2:$B$18,2,FALSE),"x",INT(AC152*15), "x", INT(AD152*15))</f>
        <v>186x0x55</v>
      </c>
      <c r="AG152">
        <f t="shared" si="52"/>
        <v>11</v>
      </c>
      <c r="AI152" t="str">
        <f>CONCATENATE(VLOOKUP(AG152,'Articulated Lengths'!$A$2:$C$16,IF(AH152&lt;&gt;"", 3, 2), FALSE),IF(AH152&lt;&gt;"",CONCATENATE(",",VLOOKUP(AH152,$B:$AI,34,FALSE)),""))</f>
        <v>4,3,4</v>
      </c>
      <c r="AP152">
        <v>10</v>
      </c>
      <c r="AQ152">
        <v>10</v>
      </c>
      <c r="AW152" t="str">
        <f>VLOOKUP(G152,Eras!$A$2:$C$10, 2, TRUE)</f>
        <v>dsl</v>
      </c>
      <c r="AX152" t="s">
        <v>420</v>
      </c>
      <c r="AY152" t="str">
        <f t="shared" si="48"/>
        <v>dsl_Passenger</v>
      </c>
      <c r="AZ152" t="s">
        <v>571</v>
      </c>
    </row>
    <row r="153" spans="1:52" x14ac:dyDescent="0.25">
      <c r="A153" t="s">
        <v>52</v>
      </c>
      <c r="B153" t="s">
        <v>573</v>
      </c>
      <c r="C153">
        <v>177</v>
      </c>
      <c r="D153" t="s">
        <v>305</v>
      </c>
      <c r="E153" t="s">
        <v>315</v>
      </c>
      <c r="F153" t="s">
        <v>317</v>
      </c>
      <c r="G153">
        <v>1958</v>
      </c>
      <c r="H153">
        <v>1962</v>
      </c>
      <c r="I153">
        <v>1985</v>
      </c>
      <c r="K153">
        <v>2000</v>
      </c>
      <c r="T153">
        <v>135</v>
      </c>
      <c r="W153">
        <v>231</v>
      </c>
      <c r="X153" s="4">
        <f t="shared" si="51"/>
        <v>0.1711111111111111</v>
      </c>
      <c r="Y153">
        <v>90</v>
      </c>
      <c r="AA153">
        <v>21.18</v>
      </c>
      <c r="AB153">
        <v>21.18</v>
      </c>
      <c r="AD153">
        <v>3.91</v>
      </c>
      <c r="AF153" t="str">
        <f>CONCATENATE(VLOOKUP(AG153, 'Voxel Sizes'!$A$2:$B$18,2,FALSE),"x",INT(AC153*15), "x", INT(AD153*15))</f>
        <v>198x0x58</v>
      </c>
      <c r="AG153">
        <f t="shared" si="52"/>
        <v>12</v>
      </c>
      <c r="AI153" t="str">
        <f>CONCATENATE(VLOOKUP(AG153,'Articulated Lengths'!$A$2:$C$16,IF(AH153&lt;&gt;"", 3, 2), FALSE),IF(AH153&lt;&gt;"",CONCATENATE(",",VLOOKUP(AH153,$B:$AI,34,FALSE)),""))</f>
        <v>4,4,4</v>
      </c>
      <c r="AP153">
        <v>10</v>
      </c>
      <c r="AQ153">
        <v>10</v>
      </c>
      <c r="AW153" t="str">
        <f>VLOOKUP(G153,Eras!$A$2:$C$10, 2, TRUE)</f>
        <v>dsl</v>
      </c>
      <c r="AX153" t="s">
        <v>371</v>
      </c>
      <c r="AY153" t="str">
        <f t="shared" si="48"/>
        <v>dsl_Express</v>
      </c>
      <c r="AZ153" t="s">
        <v>572</v>
      </c>
    </row>
    <row r="154" spans="1:52" x14ac:dyDescent="0.25">
      <c r="A154" t="s">
        <v>53</v>
      </c>
      <c r="B154" t="s">
        <v>341</v>
      </c>
      <c r="C154">
        <v>179</v>
      </c>
      <c r="D154" t="s">
        <v>305</v>
      </c>
      <c r="E154" t="s">
        <v>315</v>
      </c>
      <c r="F154" t="s">
        <v>317</v>
      </c>
      <c r="G154">
        <v>1958</v>
      </c>
      <c r="H154">
        <v>1959</v>
      </c>
      <c r="I154">
        <v>1968</v>
      </c>
      <c r="K154">
        <v>1200</v>
      </c>
      <c r="T154">
        <v>98.6</v>
      </c>
      <c r="W154">
        <v>222</v>
      </c>
      <c r="X154" s="4">
        <f t="shared" si="51"/>
        <v>0.22515212981744423</v>
      </c>
      <c r="Y154">
        <v>75</v>
      </c>
      <c r="AA154">
        <v>17.260000000000002</v>
      </c>
      <c r="AB154">
        <v>17.260000000000002</v>
      </c>
      <c r="AD154">
        <v>3.7</v>
      </c>
      <c r="AF154" t="str">
        <f>CONCATENATE(VLOOKUP(AG154, 'Voxel Sizes'!$A$2:$B$18,2,FALSE),"x",INT(AC154*15), "x", INT(AD154*15))</f>
        <v>164x0x55</v>
      </c>
      <c r="AG154">
        <f t="shared" si="52"/>
        <v>10</v>
      </c>
      <c r="AI154" t="str">
        <f>CONCATENATE(VLOOKUP(AG154,'Articulated Lengths'!$A$2:$C$16,IF(AH154&lt;&gt;"", 3, 2), FALSE),IF(AH154&lt;&gt;"",CONCATENATE(",",VLOOKUP(AH154,$B:$AI,34,FALSE)),""))</f>
        <v>4,2,4</v>
      </c>
      <c r="AP154">
        <v>10</v>
      </c>
      <c r="AQ154">
        <v>10</v>
      </c>
      <c r="AW154" t="str">
        <f>VLOOKUP(G154,Eras!$A$2:$C$10, 2, TRUE)</f>
        <v>dsl</v>
      </c>
      <c r="AX154" t="s">
        <v>370</v>
      </c>
      <c r="AY154" t="str">
        <f t="shared" si="48"/>
        <v>dsl_Mixed Traffic</v>
      </c>
      <c r="AZ154" t="s">
        <v>401</v>
      </c>
    </row>
    <row r="155" spans="1:52" x14ac:dyDescent="0.25">
      <c r="A155" t="s">
        <v>75</v>
      </c>
      <c r="B155" t="s">
        <v>256</v>
      </c>
      <c r="C155">
        <v>181</v>
      </c>
      <c r="D155" t="s">
        <v>305</v>
      </c>
      <c r="E155" t="s">
        <v>339</v>
      </c>
      <c r="F155" t="s">
        <v>346</v>
      </c>
      <c r="G155">
        <v>1958</v>
      </c>
      <c r="H155">
        <v>1960</v>
      </c>
      <c r="I155">
        <v>1977</v>
      </c>
      <c r="K155">
        <v>2300</v>
      </c>
      <c r="T155">
        <v>78.239999999999995</v>
      </c>
      <c r="W155">
        <v>195</v>
      </c>
      <c r="X155" s="4">
        <f t="shared" si="51"/>
        <v>0.24923312883435583</v>
      </c>
      <c r="Y155">
        <v>90</v>
      </c>
      <c r="AA155">
        <v>16.36</v>
      </c>
      <c r="AB155">
        <v>16.36</v>
      </c>
      <c r="AF155" t="str">
        <f>CONCATENATE(VLOOKUP(AG155, 'Voxel Sizes'!$A$2:$B$18,2,FALSE),"x",INT(AC155*15), "x", INT(AD155*15))</f>
        <v>164x0x0</v>
      </c>
      <c r="AG155">
        <f t="shared" si="52"/>
        <v>10</v>
      </c>
      <c r="AI155" t="str">
        <f>CONCATENATE(VLOOKUP(AG155,'Articulated Lengths'!$A$2:$C$16,IF(AH155&lt;&gt;"", 3, 2), FALSE),IF(AH155&lt;&gt;"",CONCATENATE(",",VLOOKUP(AH155,$B:$AI,34,FALSE)),""))</f>
        <v>4,2,4</v>
      </c>
      <c r="AP155">
        <v>10</v>
      </c>
      <c r="AQ155">
        <v>10</v>
      </c>
      <c r="AW155" t="str">
        <f>VLOOKUP(G155,Eras!$A$2:$C$10, 2, TRUE)</f>
        <v>dsl</v>
      </c>
      <c r="AX155" t="s">
        <v>380</v>
      </c>
      <c r="AY155" t="str">
        <f t="shared" si="48"/>
        <v>dsl_MT (Electric)</v>
      </c>
      <c r="AZ155" t="s">
        <v>402</v>
      </c>
    </row>
    <row r="156" spans="1:52" x14ac:dyDescent="0.25">
      <c r="A156" t="s">
        <v>589</v>
      </c>
      <c r="B156" t="s">
        <v>591</v>
      </c>
      <c r="C156">
        <v>183</v>
      </c>
      <c r="D156" t="s">
        <v>305</v>
      </c>
      <c r="E156" t="s">
        <v>315</v>
      </c>
      <c r="F156" t="s">
        <v>317</v>
      </c>
      <c r="G156">
        <v>1958</v>
      </c>
      <c r="H156">
        <v>1959</v>
      </c>
      <c r="I156">
        <v>1994</v>
      </c>
      <c r="K156">
        <v>1160</v>
      </c>
      <c r="T156">
        <v>78.7</v>
      </c>
      <c r="W156">
        <v>187</v>
      </c>
      <c r="X156" s="4">
        <f t="shared" si="51"/>
        <v>0.23761118170266837</v>
      </c>
      <c r="Y156">
        <v>80</v>
      </c>
      <c r="AA156">
        <v>15.47</v>
      </c>
      <c r="AB156">
        <v>15.47</v>
      </c>
      <c r="AD156">
        <v>3.86</v>
      </c>
      <c r="AF156" t="str">
        <f>CONCATENATE(VLOOKUP(AG156, 'Voxel Sizes'!$A$2:$B$18,2,FALSE),"x",INT(AC156*15), "x", INT(AD156*15))</f>
        <v>152x0x57</v>
      </c>
      <c r="AG156">
        <f t="shared" si="52"/>
        <v>9</v>
      </c>
      <c r="AI156" t="str">
        <f>CONCATENATE(VLOOKUP(AG156,'Articulated Lengths'!$A$2:$C$16,IF(AH156&lt;&gt;"", 3, 2), FALSE),IF(AH156&lt;&gt;"",CONCATENATE(",",VLOOKUP(AH156,$B:$AI,34,FALSE)),""))</f>
        <v>2,5,2</v>
      </c>
      <c r="AP156">
        <v>10</v>
      </c>
      <c r="AQ156">
        <v>10</v>
      </c>
      <c r="AW156" t="str">
        <f>VLOOKUP(G156,Eras!$A$2:$C$10, 2, TRUE)</f>
        <v>dsl</v>
      </c>
      <c r="AX156" t="s">
        <v>370</v>
      </c>
      <c r="AY156" t="str">
        <f t="shared" si="48"/>
        <v>dsl_Mixed Traffic</v>
      </c>
      <c r="AZ156" t="s">
        <v>590</v>
      </c>
    </row>
    <row r="157" spans="1:52" x14ac:dyDescent="0.25">
      <c r="A157" t="s">
        <v>50</v>
      </c>
      <c r="B157" t="s">
        <v>309</v>
      </c>
      <c r="C157">
        <v>185</v>
      </c>
      <c r="D157" t="s">
        <v>305</v>
      </c>
      <c r="E157" t="s">
        <v>315</v>
      </c>
      <c r="F157" t="s">
        <v>317</v>
      </c>
      <c r="G157">
        <v>1959</v>
      </c>
      <c r="H157">
        <v>1959</v>
      </c>
      <c r="I157">
        <v>1971</v>
      </c>
      <c r="K157">
        <v>1100</v>
      </c>
      <c r="T157">
        <v>75.2</v>
      </c>
      <c r="W157">
        <v>209</v>
      </c>
      <c r="X157" s="4">
        <f t="shared" si="51"/>
        <v>0.27792553191489361</v>
      </c>
      <c r="Y157">
        <v>75</v>
      </c>
      <c r="AA157">
        <v>16</v>
      </c>
      <c r="AB157">
        <v>16</v>
      </c>
      <c r="AD157">
        <v>3.86</v>
      </c>
      <c r="AF157" t="str">
        <f>CONCATENATE(VLOOKUP(AG157, 'Voxel Sizes'!$A$2:$B$18,2,FALSE),"x",INT(AC157*15), "x", INT(AD157*15))</f>
        <v>152x0x57</v>
      </c>
      <c r="AG157">
        <f t="shared" si="52"/>
        <v>9</v>
      </c>
      <c r="AI157" t="str">
        <f>CONCATENATE(VLOOKUP(AG157,'Articulated Lengths'!$A$2:$C$16,IF(AH157&lt;&gt;"", 3, 2), FALSE),IF(AH157&lt;&gt;"",CONCATENATE(",",VLOOKUP(AH157,$B:$AI,34,FALSE)),""))</f>
        <v>2,5,2</v>
      </c>
      <c r="AP157">
        <v>10</v>
      </c>
      <c r="AQ157">
        <v>10</v>
      </c>
      <c r="AW157" t="str">
        <f>VLOOKUP(G157,Eras!$A$2:$C$10, 2, TRUE)</f>
        <v>dsl</v>
      </c>
      <c r="AX157" t="s">
        <v>370</v>
      </c>
      <c r="AY157" t="str">
        <f t="shared" si="48"/>
        <v>dsl_Mixed Traffic</v>
      </c>
      <c r="AZ157" t="s">
        <v>410</v>
      </c>
    </row>
    <row r="158" spans="1:52" x14ac:dyDescent="0.25">
      <c r="A158" t="s">
        <v>70</v>
      </c>
      <c r="B158" t="s">
        <v>257</v>
      </c>
      <c r="C158">
        <v>187</v>
      </c>
      <c r="D158" t="s">
        <v>305</v>
      </c>
      <c r="E158" t="s">
        <v>339</v>
      </c>
      <c r="F158" t="s">
        <v>340</v>
      </c>
      <c r="G158">
        <v>1959</v>
      </c>
      <c r="H158">
        <v>1964</v>
      </c>
      <c r="I158">
        <v>1991</v>
      </c>
      <c r="K158">
        <f>4*847</f>
        <v>3388</v>
      </c>
      <c r="T158">
        <v>80.900000000000006</v>
      </c>
      <c r="W158">
        <v>222</v>
      </c>
      <c r="X158" s="4">
        <f t="shared" si="51"/>
        <v>0.27441285537700866</v>
      </c>
      <c r="Y158">
        <v>100</v>
      </c>
      <c r="AA158">
        <v>17.22</v>
      </c>
      <c r="AB158">
        <v>17.22</v>
      </c>
      <c r="AD158">
        <v>3.77</v>
      </c>
      <c r="AF158" t="str">
        <f>CONCATENATE(VLOOKUP(AG158, 'Voxel Sizes'!$A$2:$B$18,2,FALSE),"x",INT(AC158*15), "x", INT(AD158*15))</f>
        <v>164x0x56</v>
      </c>
      <c r="AG158">
        <f t="shared" si="52"/>
        <v>10</v>
      </c>
      <c r="AI158" t="str">
        <f>CONCATENATE(VLOOKUP(AG158,'Articulated Lengths'!$A$2:$C$16,IF(AH158&lt;&gt;"", 3, 2), FALSE),IF(AH158&lt;&gt;"",CONCATENATE(",",VLOOKUP(AH158,$B:$AI,34,FALSE)),""))</f>
        <v>4,2,4</v>
      </c>
      <c r="AP158">
        <v>10</v>
      </c>
      <c r="AQ158">
        <v>10</v>
      </c>
      <c r="AW158" t="str">
        <f>VLOOKUP(G158,Eras!$A$2:$C$10, 2, TRUE)</f>
        <v>dsl</v>
      </c>
      <c r="AX158" t="s">
        <v>381</v>
      </c>
      <c r="AY158" t="str">
        <f t="shared" si="48"/>
        <v>dsl_Express (Electric)</v>
      </c>
      <c r="AZ158" t="s">
        <v>574</v>
      </c>
    </row>
    <row r="159" spans="1:52" x14ac:dyDescent="0.25">
      <c r="A159" t="s">
        <v>576</v>
      </c>
      <c r="B159" t="s">
        <v>577</v>
      </c>
      <c r="C159">
        <v>189</v>
      </c>
      <c r="D159" t="s">
        <v>170</v>
      </c>
      <c r="F159" t="s">
        <v>317</v>
      </c>
      <c r="G159">
        <v>1959</v>
      </c>
      <c r="H159">
        <v>1961</v>
      </c>
      <c r="I159">
        <v>1990</v>
      </c>
      <c r="K159">
        <v>600</v>
      </c>
      <c r="T159">
        <f>36.6+30.5+36.6</f>
        <v>103.69999999999999</v>
      </c>
      <c r="X159" s="4" t="str">
        <f t="shared" si="51"/>
        <v/>
      </c>
      <c r="Y159">
        <v>70</v>
      </c>
      <c r="AA159">
        <v>19.510000000000002</v>
      </c>
      <c r="AB159">
        <v>19.510000000000002</v>
      </c>
      <c r="AD159">
        <v>3.87</v>
      </c>
      <c r="AF159" t="str">
        <f>CONCATENATE(VLOOKUP(AG159, 'Voxel Sizes'!$A$2:$B$18,2,FALSE),"x",INT(AC159*15), "x", INT(AD159*15))</f>
        <v>186x0x58</v>
      </c>
      <c r="AG159">
        <f t="shared" si="52"/>
        <v>11</v>
      </c>
      <c r="AI159" t="str">
        <f>CONCATENATE(VLOOKUP(AG159,'Articulated Lengths'!$A$2:$C$16,IF(AH159&lt;&gt;"", 3, 2), FALSE),IF(AH159&lt;&gt;"",CONCATENATE(",",VLOOKUP(AH159,$B:$AI,34,FALSE)),""))</f>
        <v>4,3,4</v>
      </c>
      <c r="AP159">
        <v>10</v>
      </c>
      <c r="AQ159">
        <v>10</v>
      </c>
      <c r="AW159" t="str">
        <f>VLOOKUP(G159,Eras!$A$2:$C$10, 2, TRUE)</f>
        <v>dsl</v>
      </c>
      <c r="AX159" t="s">
        <v>374</v>
      </c>
      <c r="AY159" t="str">
        <f t="shared" si="48"/>
        <v>dsl_DMU</v>
      </c>
    </row>
    <row r="160" spans="1:52" x14ac:dyDescent="0.25">
      <c r="A160" t="s">
        <v>51</v>
      </c>
      <c r="B160" t="s">
        <v>304</v>
      </c>
      <c r="C160">
        <v>191</v>
      </c>
      <c r="D160" t="s">
        <v>305</v>
      </c>
      <c r="E160" t="s">
        <v>315</v>
      </c>
      <c r="F160" t="s">
        <v>317</v>
      </c>
      <c r="G160">
        <v>1960</v>
      </c>
      <c r="H160">
        <v>1965</v>
      </c>
      <c r="K160">
        <v>1750</v>
      </c>
      <c r="T160">
        <v>102</v>
      </c>
      <c r="W160">
        <v>247</v>
      </c>
      <c r="X160" s="4">
        <f t="shared" si="51"/>
        <v>0.24215686274509804</v>
      </c>
      <c r="Y160">
        <v>90</v>
      </c>
      <c r="AA160">
        <v>18.75</v>
      </c>
      <c r="AB160">
        <v>18.75</v>
      </c>
      <c r="AC160">
        <v>2.71</v>
      </c>
      <c r="AD160">
        <v>3.89</v>
      </c>
      <c r="AF160" t="str">
        <f>CONCATENATE(VLOOKUP(AG160, 'Voxel Sizes'!$A$2:$B$18,2,FALSE),"x",INT(AC160*15), "x", INT(AD160*15))</f>
        <v>186x40x58</v>
      </c>
      <c r="AG160">
        <f t="shared" si="52"/>
        <v>11</v>
      </c>
      <c r="AI160" t="str">
        <f>CONCATENATE(VLOOKUP(AG160,'Articulated Lengths'!$A$2:$C$16,IF(AH160&lt;&gt;"", 3, 2), FALSE),IF(AH160&lt;&gt;"",CONCATENATE(",",VLOOKUP(AH160,$B:$AI,34,FALSE)),""))</f>
        <v>4,3,4</v>
      </c>
      <c r="AP160">
        <v>10</v>
      </c>
      <c r="AQ160">
        <v>10</v>
      </c>
      <c r="AW160" t="str">
        <f>VLOOKUP(G160,Eras!$A$2:$C$10, 2, TRUE)</f>
        <v>dsl</v>
      </c>
      <c r="AX160" t="s">
        <v>372</v>
      </c>
      <c r="AY160" t="str">
        <f t="shared" si="48"/>
        <v>dsl_Freight</v>
      </c>
      <c r="AZ160" t="s">
        <v>403</v>
      </c>
    </row>
    <row r="161" spans="1:52" x14ac:dyDescent="0.25">
      <c r="A161" t="s">
        <v>59</v>
      </c>
      <c r="B161" t="s">
        <v>579</v>
      </c>
      <c r="C161">
        <v>193</v>
      </c>
      <c r="D161" t="s">
        <v>305</v>
      </c>
      <c r="E161" t="s">
        <v>315</v>
      </c>
      <c r="F161" t="s">
        <v>317</v>
      </c>
      <c r="G161">
        <v>1960</v>
      </c>
      <c r="H161">
        <v>1962</v>
      </c>
      <c r="I161">
        <v>1989</v>
      </c>
      <c r="K161">
        <v>2500</v>
      </c>
      <c r="T161">
        <v>135</v>
      </c>
      <c r="W161">
        <v>245</v>
      </c>
      <c r="X161" s="4">
        <f t="shared" si="51"/>
        <v>0.18148148148148149</v>
      </c>
      <c r="Y161">
        <v>90</v>
      </c>
      <c r="AA161">
        <v>20.7</v>
      </c>
      <c r="AB161">
        <v>20.7</v>
      </c>
      <c r="AD161">
        <v>3.91</v>
      </c>
      <c r="AF161" t="str">
        <f>CONCATENATE(VLOOKUP(AG161, 'Voxel Sizes'!$A$2:$B$18,2,FALSE),"x",INT(AC161*15), "x", INT(AD161*15))</f>
        <v>198x0x58</v>
      </c>
      <c r="AG161">
        <f t="shared" si="52"/>
        <v>12</v>
      </c>
      <c r="AI161" t="str">
        <f>CONCATENATE(VLOOKUP(AG161,'Articulated Lengths'!$A$2:$C$16,IF(AH161&lt;&gt;"", 3, 2), FALSE),IF(AH161&lt;&gt;"",CONCATENATE(",",VLOOKUP(AH161,$B:$AI,34,FALSE)),""))</f>
        <v>4,4,4</v>
      </c>
      <c r="AP161">
        <v>10</v>
      </c>
      <c r="AQ161">
        <v>10</v>
      </c>
      <c r="AW161" t="str">
        <f>VLOOKUP(G161,Eras!$A$2:$C$10, 2, TRUE)</f>
        <v>dsl</v>
      </c>
      <c r="AX161" t="s">
        <v>371</v>
      </c>
      <c r="AY161" t="str">
        <f t="shared" si="48"/>
        <v>dsl_Express</v>
      </c>
      <c r="AZ161" t="s">
        <v>578</v>
      </c>
    </row>
    <row r="162" spans="1:52" x14ac:dyDescent="0.25">
      <c r="A162" t="s">
        <v>60</v>
      </c>
      <c r="B162" t="s">
        <v>581</v>
      </c>
      <c r="C162">
        <v>195</v>
      </c>
      <c r="D162" t="s">
        <v>305</v>
      </c>
      <c r="E162" t="s">
        <v>315</v>
      </c>
      <c r="F162" t="s">
        <v>317</v>
      </c>
      <c r="G162">
        <v>1960</v>
      </c>
      <c r="H162">
        <v>1962</v>
      </c>
      <c r="K162">
        <v>1550</v>
      </c>
      <c r="T162">
        <v>74.2</v>
      </c>
      <c r="W162">
        <v>200</v>
      </c>
      <c r="X162" s="4">
        <f t="shared" si="51"/>
        <v>0.26954177897574122</v>
      </c>
      <c r="Y162">
        <v>85</v>
      </c>
      <c r="AA162">
        <v>15.47</v>
      </c>
      <c r="AB162">
        <v>15.47</v>
      </c>
      <c r="AD162">
        <v>3.86</v>
      </c>
      <c r="AF162" t="str">
        <f>CONCATENATE(VLOOKUP(AG162, 'Voxel Sizes'!$A$2:$B$18,2,FALSE),"x",INT(AC162*15), "x", INT(AD162*15))</f>
        <v>152x0x57</v>
      </c>
      <c r="AG162">
        <f t="shared" si="52"/>
        <v>9</v>
      </c>
      <c r="AI162" t="str">
        <f>CONCATENATE(VLOOKUP(AG162,'Articulated Lengths'!$A$2:$C$16,IF(AH162&lt;&gt;"", 3, 2), FALSE),IF(AH162&lt;&gt;"",CONCATENATE(",",VLOOKUP(AH162,$B:$AI,34,FALSE)),""))</f>
        <v>2,5,2</v>
      </c>
      <c r="AP162">
        <v>10</v>
      </c>
      <c r="AQ162">
        <v>10</v>
      </c>
      <c r="AW162" t="str">
        <f>VLOOKUP(G162,Eras!$A$2:$C$10, 2, TRUE)</f>
        <v>dsl</v>
      </c>
      <c r="AX162" t="s">
        <v>370</v>
      </c>
      <c r="AY162" t="str">
        <f t="shared" si="48"/>
        <v>dsl_Mixed Traffic</v>
      </c>
      <c r="AZ162" t="s">
        <v>580</v>
      </c>
    </row>
    <row r="163" spans="1:52" x14ac:dyDescent="0.25">
      <c r="A163" t="s">
        <v>147</v>
      </c>
      <c r="B163" t="s">
        <v>278</v>
      </c>
      <c r="C163">
        <v>197</v>
      </c>
      <c r="D163" t="s">
        <v>456</v>
      </c>
      <c r="E163" t="s">
        <v>315</v>
      </c>
      <c r="F163" t="s">
        <v>317</v>
      </c>
      <c r="G163">
        <v>1960</v>
      </c>
      <c r="I163">
        <v>1973</v>
      </c>
      <c r="J163">
        <v>6</v>
      </c>
      <c r="K163">
        <v>1000</v>
      </c>
      <c r="T163">
        <v>304</v>
      </c>
      <c r="W163">
        <v>155</v>
      </c>
      <c r="X163" s="4">
        <f t="shared" si="51"/>
        <v>5.0986842105263157E-2</v>
      </c>
      <c r="Y163">
        <v>90</v>
      </c>
      <c r="AA163">
        <v>20.260000000000002</v>
      </c>
      <c r="AB163">
        <v>20</v>
      </c>
      <c r="AC163">
        <v>2.9</v>
      </c>
      <c r="AD163">
        <v>3.77</v>
      </c>
      <c r="AF163" t="str">
        <f>CONCATENATE(VLOOKUP(AG163, 'Voxel Sizes'!$A$2:$B$18,2,FALSE),"x",INT(AC163*15), "x", INT(AD163*15))</f>
        <v>198x43x56</v>
      </c>
      <c r="AG163">
        <f t="shared" si="52"/>
        <v>12</v>
      </c>
      <c r="AI163" t="str">
        <f>CONCATENATE(VLOOKUP(AG163,'Articulated Lengths'!$A$2:$C$16,IF(AH163&lt;&gt;"", 3, 2), FALSE),IF(AH163&lt;&gt;"",CONCATENATE(",",VLOOKUP(AH163,$B:$AI,34,FALSE)),""))</f>
        <v>4,4,4</v>
      </c>
      <c r="AK163" t="s">
        <v>582</v>
      </c>
      <c r="AM163" t="s">
        <v>583</v>
      </c>
      <c r="AP163">
        <v>10</v>
      </c>
      <c r="AQ163">
        <v>10</v>
      </c>
      <c r="AW163" t="str">
        <f>VLOOKUP(G163,Eras!$A$2:$C$10, 2, TRUE)</f>
        <v>dsl</v>
      </c>
      <c r="AX163" t="s">
        <v>375</v>
      </c>
      <c r="AY163" t="str">
        <f t="shared" si="48"/>
        <v>dsl_DMU (Express)</v>
      </c>
      <c r="AZ163" t="s">
        <v>584</v>
      </c>
    </row>
    <row r="164" spans="1:52" x14ac:dyDescent="0.25">
      <c r="A164" t="s">
        <v>83</v>
      </c>
      <c r="B164" t="s">
        <v>258</v>
      </c>
      <c r="C164">
        <v>199</v>
      </c>
      <c r="D164" t="s">
        <v>456</v>
      </c>
      <c r="E164" t="s">
        <v>315</v>
      </c>
      <c r="F164" t="s">
        <v>317</v>
      </c>
      <c r="G164">
        <v>1960</v>
      </c>
      <c r="I164">
        <v>2017</v>
      </c>
      <c r="J164">
        <v>1</v>
      </c>
      <c r="K164">
        <v>300</v>
      </c>
      <c r="T164">
        <v>38</v>
      </c>
      <c r="W164">
        <v>65</v>
      </c>
      <c r="X164" s="4">
        <f t="shared" si="51"/>
        <v>0.17105263157894737</v>
      </c>
      <c r="Y164">
        <v>70</v>
      </c>
      <c r="Z164">
        <v>1</v>
      </c>
      <c r="AA164">
        <v>19.66</v>
      </c>
      <c r="AB164">
        <v>19.66</v>
      </c>
      <c r="AD164">
        <v>3.77</v>
      </c>
      <c r="AE164" s="11">
        <v>66</v>
      </c>
      <c r="AF164" t="str">
        <f>CONCATENATE(VLOOKUP(AG164, 'Voxel Sizes'!$A$2:$B$18,2,FALSE),"x",INT(AC164*15), "x", INT(AD164*15))</f>
        <v>198x0x56</v>
      </c>
      <c r="AG164">
        <f t="shared" si="52"/>
        <v>12</v>
      </c>
      <c r="AI164" t="str">
        <f>CONCATENATE(VLOOKUP(AG164,'Articulated Lengths'!$A$2:$C$16,IF(AH164&lt;&gt;"", 3, 2), FALSE),IF(AH164&lt;&gt;"",CONCATENATE(",",VLOOKUP(AH164,$B:$AI,34,FALSE)),""))</f>
        <v>4,4,4</v>
      </c>
      <c r="AK164" t="s">
        <v>258</v>
      </c>
      <c r="AM164">
        <v>1</v>
      </c>
      <c r="AP164">
        <v>10</v>
      </c>
      <c r="AQ164">
        <v>10</v>
      </c>
      <c r="AV164" t="s">
        <v>326</v>
      </c>
      <c r="AW164" t="str">
        <f>VLOOKUP(G164,Eras!$A$2:$C$10, 2, TRUE)</f>
        <v>dsl</v>
      </c>
      <c r="AX164" t="s">
        <v>374</v>
      </c>
      <c r="AY164" t="str">
        <f t="shared" si="48"/>
        <v>dsl_DMU</v>
      </c>
      <c r="AZ164" t="s">
        <v>585</v>
      </c>
    </row>
    <row r="165" spans="1:52" x14ac:dyDescent="0.25">
      <c r="A165" t="s">
        <v>46</v>
      </c>
      <c r="B165" t="s">
        <v>202</v>
      </c>
      <c r="C165">
        <v>201</v>
      </c>
      <c r="D165" t="s">
        <v>305</v>
      </c>
      <c r="E165" t="s">
        <v>315</v>
      </c>
      <c r="F165" t="s">
        <v>317</v>
      </c>
      <c r="G165">
        <v>1961</v>
      </c>
      <c r="H165">
        <v>1964</v>
      </c>
      <c r="I165">
        <v>1975</v>
      </c>
      <c r="K165">
        <v>1700</v>
      </c>
      <c r="T165">
        <v>76.2</v>
      </c>
      <c r="W165">
        <v>207</v>
      </c>
      <c r="X165" s="4">
        <f t="shared" si="51"/>
        <v>0.27165354330708663</v>
      </c>
      <c r="Y165">
        <v>90</v>
      </c>
      <c r="AA165">
        <v>15.76</v>
      </c>
      <c r="AB165">
        <v>15.76</v>
      </c>
      <c r="AD165">
        <v>3.91</v>
      </c>
      <c r="AF165" t="str">
        <f>CONCATENATE(VLOOKUP(AG165, 'Voxel Sizes'!$A$2:$B$18,2,FALSE),"x",INT(AC165*15), "x", INT(AD165*15))</f>
        <v>152x0x58</v>
      </c>
      <c r="AG165">
        <f t="shared" si="52"/>
        <v>9</v>
      </c>
      <c r="AI165" t="str">
        <f>CONCATENATE(VLOOKUP(AG165,'Articulated Lengths'!$A$2:$C$16,IF(AH165&lt;&gt;"", 3, 2), FALSE),IF(AH165&lt;&gt;"",CONCATENATE(",",VLOOKUP(AH165,$B:$AI,34,FALSE)),""))</f>
        <v>2,5,2</v>
      </c>
      <c r="AP165">
        <v>10</v>
      </c>
      <c r="AQ165">
        <v>10</v>
      </c>
      <c r="AW165" t="str">
        <f>VLOOKUP(G165,Eras!$A$2:$C$10, 2, TRUE)</f>
        <v>dsl</v>
      </c>
      <c r="AX165" t="s">
        <v>370</v>
      </c>
      <c r="AY165" t="str">
        <f t="shared" si="48"/>
        <v>dsl_Mixed Traffic</v>
      </c>
      <c r="AZ165" t="s">
        <v>586</v>
      </c>
    </row>
    <row r="166" spans="1:52" x14ac:dyDescent="0.25">
      <c r="A166" t="s">
        <v>48</v>
      </c>
      <c r="B166" t="s">
        <v>203</v>
      </c>
      <c r="C166">
        <v>203</v>
      </c>
      <c r="D166" t="s">
        <v>305</v>
      </c>
      <c r="E166" t="s">
        <v>315</v>
      </c>
      <c r="F166" t="s">
        <v>317</v>
      </c>
      <c r="G166">
        <v>1961</v>
      </c>
      <c r="H166">
        <v>1964</v>
      </c>
      <c r="I166">
        <v>1977</v>
      </c>
      <c r="K166">
        <v>2000</v>
      </c>
      <c r="T166">
        <v>110</v>
      </c>
      <c r="W166">
        <v>297</v>
      </c>
      <c r="X166" s="4">
        <f t="shared" si="51"/>
        <v>0.27</v>
      </c>
      <c r="Y166">
        <v>90</v>
      </c>
      <c r="AA166">
        <v>20.73</v>
      </c>
      <c r="AB166">
        <v>20.73</v>
      </c>
      <c r="AD166">
        <v>3.96</v>
      </c>
      <c r="AF166" t="str">
        <f>CONCATENATE(VLOOKUP(AG166, 'Voxel Sizes'!$A$2:$B$18,2,FALSE),"x",INT(AC166*15), "x", INT(AD166*15))</f>
        <v>198x0x59</v>
      </c>
      <c r="AG166">
        <f t="shared" si="52"/>
        <v>12</v>
      </c>
      <c r="AI166" t="str">
        <f>CONCATENATE(VLOOKUP(AG166,'Articulated Lengths'!$A$2:$C$16,IF(AH166&lt;&gt;"", 3, 2), FALSE),IF(AH166&lt;&gt;"",CONCATENATE(",",VLOOKUP(AH166,$B:$AI,34,FALSE)),""))</f>
        <v>4,4,4</v>
      </c>
      <c r="AP166">
        <v>10</v>
      </c>
      <c r="AQ166">
        <v>10</v>
      </c>
      <c r="AW166" t="str">
        <f>VLOOKUP(G166,Eras!$A$2:$C$10, 2, TRUE)</f>
        <v>dsl</v>
      </c>
      <c r="AX166" t="s">
        <v>370</v>
      </c>
      <c r="AY166" t="str">
        <f t="shared" si="48"/>
        <v>dsl_Mixed Traffic</v>
      </c>
      <c r="AZ166" t="s">
        <v>587</v>
      </c>
    </row>
    <row r="167" spans="1:52" x14ac:dyDescent="0.25">
      <c r="A167" t="s">
        <v>58</v>
      </c>
      <c r="B167" t="s">
        <v>348</v>
      </c>
      <c r="C167">
        <v>205</v>
      </c>
      <c r="D167" t="s">
        <v>305</v>
      </c>
      <c r="E167" t="s">
        <v>315</v>
      </c>
      <c r="F167" t="s">
        <v>317</v>
      </c>
      <c r="G167">
        <v>1961</v>
      </c>
      <c r="H167">
        <v>1967</v>
      </c>
      <c r="I167">
        <v>1987</v>
      </c>
      <c r="K167">
        <v>1250</v>
      </c>
      <c r="T167">
        <v>74.2</v>
      </c>
      <c r="W167">
        <v>170</v>
      </c>
      <c r="X167" s="4">
        <f t="shared" si="51"/>
        <v>0.22911051212938005</v>
      </c>
      <c r="Y167">
        <v>90</v>
      </c>
      <c r="AA167">
        <v>15.39</v>
      </c>
      <c r="AB167">
        <v>15.39</v>
      </c>
      <c r="AD167">
        <v>3.86</v>
      </c>
      <c r="AF167" t="str">
        <f>CONCATENATE(VLOOKUP(AG167, 'Voxel Sizes'!$A$2:$B$18,2,FALSE),"x",INT(AC167*15), "x", INT(AD167*15))</f>
        <v>152x0x57</v>
      </c>
      <c r="AG167">
        <f t="shared" si="52"/>
        <v>9</v>
      </c>
      <c r="AI167" t="str">
        <f>CONCATENATE(VLOOKUP(AG167,'Articulated Lengths'!$A$2:$C$16,IF(AH167&lt;&gt;"", 3, 2), FALSE),IF(AH167&lt;&gt;"",CONCATENATE(",",VLOOKUP(AH167,$B:$AI,34,FALSE)),""))</f>
        <v>2,5,2</v>
      </c>
      <c r="AP167">
        <v>10</v>
      </c>
      <c r="AQ167">
        <v>10</v>
      </c>
      <c r="AW167" t="str">
        <f>VLOOKUP(G167,Eras!$A$2:$C$10, 2, TRUE)</f>
        <v>dsl</v>
      </c>
      <c r="AX167" t="s">
        <v>372</v>
      </c>
      <c r="AY167" t="str">
        <f t="shared" si="48"/>
        <v>dsl_Freight</v>
      </c>
      <c r="AZ167" t="s">
        <v>588</v>
      </c>
    </row>
    <row r="168" spans="1:52" x14ac:dyDescent="0.25">
      <c r="A168" t="s">
        <v>593</v>
      </c>
      <c r="B168" t="s">
        <v>204</v>
      </c>
      <c r="C168">
        <v>207</v>
      </c>
      <c r="D168" t="s">
        <v>305</v>
      </c>
      <c r="E168" t="s">
        <v>315</v>
      </c>
      <c r="F168" t="s">
        <v>317</v>
      </c>
      <c r="G168">
        <v>1962</v>
      </c>
      <c r="H168">
        <v>1968</v>
      </c>
      <c r="K168">
        <v>2750</v>
      </c>
      <c r="T168">
        <v>114</v>
      </c>
      <c r="W168">
        <v>245</v>
      </c>
      <c r="X168" s="4">
        <f t="shared" si="51"/>
        <v>0.21491228070175439</v>
      </c>
      <c r="Y168">
        <v>95</v>
      </c>
      <c r="AA168">
        <v>19.38</v>
      </c>
      <c r="AB168">
        <v>19.38</v>
      </c>
      <c r="AD168">
        <v>3.9</v>
      </c>
      <c r="AF168" t="str">
        <f>CONCATENATE(VLOOKUP(AG168, 'Voxel Sizes'!$A$2:$B$18,2,FALSE),"x",INT(AC168*15), "x", INT(AD168*15))</f>
        <v>186x0x58</v>
      </c>
      <c r="AG168">
        <f t="shared" si="52"/>
        <v>11</v>
      </c>
      <c r="AI168" t="str">
        <f>CONCATENATE(VLOOKUP(AG168,'Articulated Lengths'!$A$2:$C$16,IF(AH168&lt;&gt;"", 3, 2), FALSE),IF(AH168&lt;&gt;"",CONCATENATE(",",VLOOKUP(AH168,$B:$AI,34,FALSE)),""))</f>
        <v>4,3,4</v>
      </c>
      <c r="AP168">
        <v>10</v>
      </c>
      <c r="AQ168">
        <v>10</v>
      </c>
      <c r="AW168" t="str">
        <f>VLOOKUP(G168,Eras!$A$2:$C$10, 2, TRUE)</f>
        <v>dsl</v>
      </c>
      <c r="AX168" t="s">
        <v>372</v>
      </c>
      <c r="AY168" t="str">
        <f t="shared" si="48"/>
        <v>dsl_Freight</v>
      </c>
      <c r="AZ168" t="s">
        <v>592</v>
      </c>
    </row>
    <row r="169" spans="1:52" x14ac:dyDescent="0.25">
      <c r="A169" t="s">
        <v>63</v>
      </c>
      <c r="B169" t="s">
        <v>205</v>
      </c>
      <c r="C169">
        <v>209</v>
      </c>
      <c r="D169" t="s">
        <v>305</v>
      </c>
      <c r="E169" t="s">
        <v>315</v>
      </c>
      <c r="F169" t="s">
        <v>317</v>
      </c>
      <c r="G169">
        <v>1962</v>
      </c>
      <c r="H169">
        <v>1965</v>
      </c>
      <c r="I169">
        <v>1971</v>
      </c>
      <c r="K169">
        <v>900</v>
      </c>
      <c r="T169">
        <v>69</v>
      </c>
      <c r="W169">
        <v>178</v>
      </c>
      <c r="X169" s="4">
        <f t="shared" si="51"/>
        <v>0.25797101449275361</v>
      </c>
      <c r="Y169">
        <v>60</v>
      </c>
      <c r="AA169">
        <v>15.4</v>
      </c>
      <c r="AB169">
        <v>15.4</v>
      </c>
      <c r="AD169">
        <v>3.86</v>
      </c>
      <c r="AF169" t="str">
        <f>CONCATENATE(VLOOKUP(AG169, 'Voxel Sizes'!$A$2:$B$18,2,FALSE),"x",INT(AC169*15), "x", INT(AD169*15))</f>
        <v>152x0x57</v>
      </c>
      <c r="AG169">
        <f t="shared" si="52"/>
        <v>9</v>
      </c>
      <c r="AI169" t="str">
        <f>CONCATENATE(VLOOKUP(AG169,'Articulated Lengths'!$A$2:$C$16,IF(AH169&lt;&gt;"", 3, 2), FALSE),IF(AH169&lt;&gt;"",CONCATENATE(",",VLOOKUP(AH169,$B:$AI,34,FALSE)),""))</f>
        <v>2,5,2</v>
      </c>
      <c r="AP169">
        <v>10</v>
      </c>
      <c r="AQ169">
        <v>10</v>
      </c>
      <c r="AW169" t="str">
        <f>VLOOKUP(G169,Eras!$A$2:$C$10, 2, TRUE)</f>
        <v>dsl</v>
      </c>
      <c r="AX169" t="s">
        <v>369</v>
      </c>
      <c r="AY169" t="str">
        <f t="shared" ref="AY169:AY232" si="53">CONCATENATE(AW169,"_",AX169)</f>
        <v>dsl_Cheap</v>
      </c>
      <c r="AZ169" t="s">
        <v>594</v>
      </c>
    </row>
    <row r="170" spans="1:52" x14ac:dyDescent="0.25">
      <c r="A170" t="s">
        <v>62</v>
      </c>
      <c r="B170" t="s">
        <v>595</v>
      </c>
      <c r="C170">
        <v>211</v>
      </c>
      <c r="D170" t="s">
        <v>305</v>
      </c>
      <c r="E170" t="s">
        <v>315</v>
      </c>
      <c r="F170" t="s">
        <v>317</v>
      </c>
      <c r="G170">
        <v>1964</v>
      </c>
      <c r="H170">
        <v>1965</v>
      </c>
      <c r="I170">
        <v>1984</v>
      </c>
      <c r="K170">
        <v>650</v>
      </c>
      <c r="T170">
        <v>48.5</v>
      </c>
      <c r="W170">
        <v>137</v>
      </c>
      <c r="X170" s="4">
        <f t="shared" si="51"/>
        <v>0.28247422680412371</v>
      </c>
      <c r="Y170">
        <v>40</v>
      </c>
      <c r="AA170">
        <v>10.3</v>
      </c>
      <c r="AB170">
        <v>10.3</v>
      </c>
      <c r="AF170" t="str">
        <f>CONCATENATE(VLOOKUP(AG170, 'Voxel Sizes'!$A$2:$B$18,2,FALSE),"x",INT(AC170*15), "x", INT(AD170*15))</f>
        <v>102x0x0</v>
      </c>
      <c r="AG170">
        <f t="shared" si="52"/>
        <v>6</v>
      </c>
      <c r="AI170" t="str">
        <f>CONCATENATE(VLOOKUP(AG170,'Articulated Lengths'!$A$2:$C$16,IF(AH170&lt;&gt;"", 3, 2), FALSE),IF(AH170&lt;&gt;"",CONCATENATE(",",VLOOKUP(AH170,$B:$AI,34,FALSE)),""))</f>
        <v>2,2,2</v>
      </c>
      <c r="AO170">
        <v>1</v>
      </c>
      <c r="AP170">
        <v>10</v>
      </c>
      <c r="AQ170">
        <v>10</v>
      </c>
      <c r="AW170" t="str">
        <f>VLOOKUP(G170,Eras!$A$2:$C$10, 2, TRUE)</f>
        <v>dsl</v>
      </c>
      <c r="AX170" t="s">
        <v>369</v>
      </c>
      <c r="AY170" t="str">
        <f t="shared" si="53"/>
        <v>dsl_Cheap</v>
      </c>
      <c r="AZ170" t="s">
        <v>596</v>
      </c>
    </row>
    <row r="171" spans="1:52" x14ac:dyDescent="0.25">
      <c r="A171" t="s">
        <v>673</v>
      </c>
      <c r="B171" t="s">
        <v>295</v>
      </c>
      <c r="C171">
        <v>213</v>
      </c>
      <c r="D171" t="s">
        <v>456</v>
      </c>
      <c r="E171" t="s">
        <v>339</v>
      </c>
      <c r="F171" t="s">
        <v>346</v>
      </c>
      <c r="G171">
        <v>1964</v>
      </c>
      <c r="H171">
        <v>1972</v>
      </c>
      <c r="I171">
        <v>2005</v>
      </c>
      <c r="J171">
        <v>4</v>
      </c>
      <c r="K171">
        <v>1000</v>
      </c>
      <c r="T171">
        <v>152</v>
      </c>
      <c r="W171">
        <v>125</v>
      </c>
      <c r="X171" s="4">
        <f t="shared" si="51"/>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2"/>
        <v>12</v>
      </c>
      <c r="AI171" t="str">
        <f>CONCATENATE(VLOOKUP(AG171,'Articulated Lengths'!$A$2:$C$16,IF(AH171&lt;&gt;"", 3, 2), FALSE),IF(AH171&lt;&gt;"",CONCATENATE(",",VLOOKUP(AH171,$B:$AI,34,FALSE)),""))</f>
        <v>4,4,4</v>
      </c>
      <c r="AK171" t="s">
        <v>683</v>
      </c>
      <c r="AM171" t="s">
        <v>681</v>
      </c>
      <c r="AP171">
        <v>10</v>
      </c>
      <c r="AQ171">
        <v>10</v>
      </c>
      <c r="AV171" t="s">
        <v>326</v>
      </c>
      <c r="AW171" t="str">
        <f>VLOOKUP(G171,Eras!$A$2:$C$10, 2, TRUE)</f>
        <v>dsl</v>
      </c>
      <c r="AX171" t="s">
        <v>377</v>
      </c>
      <c r="AY171" t="str">
        <f t="shared" si="53"/>
        <v>dsl_EMU (Express)</v>
      </c>
      <c r="AZ171" t="s">
        <v>680</v>
      </c>
    </row>
    <row r="172" spans="1:52" x14ac:dyDescent="0.25">
      <c r="A172" t="s">
        <v>64</v>
      </c>
      <c r="B172" t="s">
        <v>292</v>
      </c>
      <c r="C172">
        <v>215</v>
      </c>
      <c r="D172" t="s">
        <v>305</v>
      </c>
      <c r="E172" t="s">
        <v>597</v>
      </c>
      <c r="F172" t="s">
        <v>317</v>
      </c>
      <c r="G172">
        <v>1965</v>
      </c>
      <c r="H172">
        <v>1967</v>
      </c>
      <c r="K172">
        <v>1420</v>
      </c>
      <c r="L172" s="9">
        <v>600</v>
      </c>
      <c r="T172">
        <v>76.3</v>
      </c>
      <c r="W172">
        <v>186</v>
      </c>
      <c r="X172" s="4">
        <f t="shared" si="51"/>
        <v>0.24377457404980341</v>
      </c>
      <c r="Y172">
        <v>80</v>
      </c>
      <c r="AA172">
        <v>16.36</v>
      </c>
      <c r="AB172">
        <v>16.36</v>
      </c>
      <c r="AF172" t="str">
        <f>CONCATENATE(VLOOKUP(AG172, 'Voxel Sizes'!$A$2:$B$18,2,FALSE),"x",INT(AC172*15), "x", INT(AD172*15))</f>
        <v>164x0x0</v>
      </c>
      <c r="AG172">
        <f t="shared" si="52"/>
        <v>10</v>
      </c>
      <c r="AI172" t="str">
        <f>CONCATENATE(VLOOKUP(AG172,'Articulated Lengths'!$A$2:$C$16,IF(AH172&lt;&gt;"", 3, 2), FALSE),IF(AH172&lt;&gt;"",CONCATENATE(",",VLOOKUP(AH172,$B:$AI,34,FALSE)),""))</f>
        <v>4,2,4</v>
      </c>
      <c r="AP172">
        <v>10</v>
      </c>
      <c r="AQ172">
        <v>10</v>
      </c>
      <c r="AW172" t="str">
        <f>VLOOKUP(G172,Eras!$A$2:$C$10, 2, TRUE)</f>
        <v>dsl</v>
      </c>
      <c r="AY172" t="str">
        <f t="shared" si="53"/>
        <v>dsl_</v>
      </c>
      <c r="AZ172" t="s">
        <v>599</v>
      </c>
    </row>
    <row r="173" spans="1:52" x14ac:dyDescent="0.25">
      <c r="A173" t="s">
        <v>71</v>
      </c>
      <c r="B173" t="s">
        <v>293</v>
      </c>
      <c r="C173">
        <v>217</v>
      </c>
      <c r="D173" t="s">
        <v>305</v>
      </c>
      <c r="E173" t="s">
        <v>339</v>
      </c>
      <c r="F173" t="s">
        <v>340</v>
      </c>
      <c r="G173">
        <v>1965</v>
      </c>
      <c r="H173">
        <v>1966</v>
      </c>
      <c r="K173">
        <v>3600</v>
      </c>
      <c r="T173">
        <v>82</v>
      </c>
      <c r="W173">
        <v>267</v>
      </c>
      <c r="X173" s="4">
        <f t="shared" si="51"/>
        <v>0.32560975609756099</v>
      </c>
      <c r="Y173">
        <v>100</v>
      </c>
      <c r="AA173">
        <v>17.829999999999998</v>
      </c>
      <c r="AB173">
        <v>17.829999999999998</v>
      </c>
      <c r="AD173">
        <v>3.77</v>
      </c>
      <c r="AF173" t="str">
        <f>CONCATENATE(VLOOKUP(AG173, 'Voxel Sizes'!$A$2:$B$18,2,FALSE),"x",INT(AC173*15), "x", INT(AD173*15))</f>
        <v>164x0x56</v>
      </c>
      <c r="AG173">
        <f t="shared" si="52"/>
        <v>10</v>
      </c>
      <c r="AI173" t="str">
        <f>CONCATENATE(VLOOKUP(AG173,'Articulated Lengths'!$A$2:$C$16,IF(AH173&lt;&gt;"", 3, 2), FALSE),IF(AH173&lt;&gt;"",CONCATENATE(",",VLOOKUP(AH173,$B:$AI,34,FALSE)),""))</f>
        <v>4,2,4</v>
      </c>
      <c r="AP173">
        <v>10</v>
      </c>
      <c r="AQ173">
        <v>10</v>
      </c>
      <c r="AW173" t="str">
        <f>VLOOKUP(G173,Eras!$A$2:$C$10, 2, TRUE)</f>
        <v>dsl</v>
      </c>
      <c r="AX173" t="s">
        <v>381</v>
      </c>
      <c r="AY173" t="str">
        <f t="shared" si="53"/>
        <v>dsl_Express (Electric)</v>
      </c>
      <c r="AZ173" t="s">
        <v>575</v>
      </c>
    </row>
    <row r="174" spans="1:52" x14ac:dyDescent="0.25">
      <c r="A174" t="s">
        <v>98</v>
      </c>
      <c r="B174" t="s">
        <v>677</v>
      </c>
      <c r="C174">
        <v>219</v>
      </c>
      <c r="D174" t="s">
        <v>456</v>
      </c>
      <c r="E174" t="s">
        <v>339</v>
      </c>
      <c r="F174" t="s">
        <v>340</v>
      </c>
      <c r="G174">
        <v>1965</v>
      </c>
      <c r="I174">
        <v>2002</v>
      </c>
      <c r="J174">
        <v>4</v>
      </c>
      <c r="K174">
        <v>1080</v>
      </c>
      <c r="T174">
        <v>158</v>
      </c>
      <c r="W174">
        <v>130</v>
      </c>
      <c r="X174" s="4">
        <f t="shared" si="51"/>
        <v>8.2278481012658222E-2</v>
      </c>
      <c r="Y174">
        <v>75</v>
      </c>
      <c r="AA174">
        <v>19.850000000000001</v>
      </c>
      <c r="AB174">
        <v>19.850000000000001</v>
      </c>
      <c r="AC174">
        <v>2.82</v>
      </c>
      <c r="AD174">
        <v>3.97</v>
      </c>
      <c r="AE174" s="11">
        <v>57</v>
      </c>
      <c r="AF174" t="str">
        <f>CONCATENATE(VLOOKUP(AG174, 'Voxel Sizes'!$A$2:$B$18,2,FALSE),"x",INT(AC174*15), "x", INT(AD174*15))</f>
        <v>198x42x59</v>
      </c>
      <c r="AG174">
        <f t="shared" si="52"/>
        <v>12</v>
      </c>
      <c r="AI174" t="str">
        <f>CONCATENATE(VLOOKUP(AG174,'Articulated Lengths'!$A$2:$C$16,IF(AH174&lt;&gt;"", 3, 2), FALSE),IF(AH174&lt;&gt;"",CONCATENATE(",",VLOOKUP(AH174,$B:$AI,34,FALSE)),""))</f>
        <v>4,4,4</v>
      </c>
      <c r="AK174" t="s">
        <v>678</v>
      </c>
      <c r="AM174" t="s">
        <v>611</v>
      </c>
      <c r="AP174">
        <v>10</v>
      </c>
      <c r="AQ174">
        <v>10</v>
      </c>
      <c r="AV174" t="s">
        <v>326</v>
      </c>
      <c r="AW174" t="str">
        <f>VLOOKUP(G174,Eras!$A$2:$C$10, 2, TRUE)</f>
        <v>dsl</v>
      </c>
      <c r="AX174" t="s">
        <v>375</v>
      </c>
      <c r="AY174" t="str">
        <f t="shared" si="53"/>
        <v>dsl_DMU (Express)</v>
      </c>
      <c r="AZ174" t="s">
        <v>679</v>
      </c>
    </row>
    <row r="175" spans="1:52" x14ac:dyDescent="0.25">
      <c r="A175" t="s">
        <v>54</v>
      </c>
      <c r="B175" t="s">
        <v>206</v>
      </c>
      <c r="C175">
        <v>221</v>
      </c>
      <c r="D175" t="s">
        <v>305</v>
      </c>
      <c r="E175" t="s">
        <v>315</v>
      </c>
      <c r="F175" t="s">
        <v>317</v>
      </c>
      <c r="G175">
        <v>1967</v>
      </c>
      <c r="H175">
        <v>1968</v>
      </c>
      <c r="I175">
        <v>1994</v>
      </c>
      <c r="K175">
        <v>2700</v>
      </c>
      <c r="T175">
        <v>117</v>
      </c>
      <c r="W175">
        <v>216</v>
      </c>
      <c r="X175" s="4">
        <f t="shared" si="51"/>
        <v>0.18461538461538463</v>
      </c>
      <c r="Y175">
        <v>100</v>
      </c>
      <c r="AA175">
        <v>20.88</v>
      </c>
      <c r="AB175">
        <v>20.88</v>
      </c>
      <c r="AD175">
        <v>3.89</v>
      </c>
      <c r="AF175" t="str">
        <f>CONCATENATE(VLOOKUP(AG175, 'Voxel Sizes'!$A$2:$B$18,2,FALSE),"x",INT(AC175*15), "x", INT(AD175*15))</f>
        <v>198x0x58</v>
      </c>
      <c r="AG175">
        <f t="shared" si="52"/>
        <v>12</v>
      </c>
      <c r="AI175" t="str">
        <f>CONCATENATE(VLOOKUP(AG175,'Articulated Lengths'!$A$2:$C$16,IF(AH175&lt;&gt;"", 3, 2), FALSE),IF(AH175&lt;&gt;"",CONCATENATE(",",VLOOKUP(AH175,$B:$AI,34,FALSE)),""))</f>
        <v>4,4,4</v>
      </c>
      <c r="AP175">
        <v>10</v>
      </c>
      <c r="AQ175">
        <v>10</v>
      </c>
      <c r="AW175" t="str">
        <f>VLOOKUP(G175,Eras!$A$2:$C$10, 2, TRUE)</f>
        <v>dsl</v>
      </c>
      <c r="AX175" t="s">
        <v>371</v>
      </c>
      <c r="AY175" t="str">
        <f t="shared" si="53"/>
        <v>dsl_Express</v>
      </c>
      <c r="AZ175" t="s">
        <v>600</v>
      </c>
    </row>
    <row r="176" spans="1:52" x14ac:dyDescent="0.25">
      <c r="A176" t="s">
        <v>72</v>
      </c>
      <c r="B176" t="s">
        <v>207</v>
      </c>
      <c r="C176">
        <v>223</v>
      </c>
      <c r="D176" t="s">
        <v>305</v>
      </c>
      <c r="E176" t="s">
        <v>339</v>
      </c>
      <c r="F176" t="s">
        <v>317</v>
      </c>
      <c r="G176">
        <v>1973</v>
      </c>
      <c r="H176">
        <v>1975</v>
      </c>
      <c r="I176">
        <v>2006</v>
      </c>
      <c r="K176">
        <v>5000</v>
      </c>
      <c r="T176">
        <v>81</v>
      </c>
      <c r="W176">
        <v>258</v>
      </c>
      <c r="X176" s="4">
        <f t="shared" si="51"/>
        <v>0.31851851851851853</v>
      </c>
      <c r="Y176">
        <v>110</v>
      </c>
      <c r="AA176">
        <v>17.829999999999998</v>
      </c>
      <c r="AB176">
        <v>17.829999999999998</v>
      </c>
      <c r="AD176">
        <v>3.77</v>
      </c>
      <c r="AF176" t="str">
        <f>CONCATENATE(VLOOKUP(AG176, 'Voxel Sizes'!$A$2:$B$18,2,FALSE),"x",INT(AC176*15), "x", INT(AD176*15))</f>
        <v>164x0x56</v>
      </c>
      <c r="AG176">
        <f t="shared" si="52"/>
        <v>10</v>
      </c>
      <c r="AI176" t="str">
        <f>CONCATENATE(VLOOKUP(AG176,'Articulated Lengths'!$A$2:$C$16,IF(AH176&lt;&gt;"", 3, 2), FALSE),IF(AH176&lt;&gt;"",CONCATENATE(",",VLOOKUP(AH176,$B:$AI,34,FALSE)),""))</f>
        <v>4,2,4</v>
      </c>
      <c r="AP176">
        <v>10</v>
      </c>
      <c r="AQ176">
        <v>10</v>
      </c>
      <c r="AW176" t="str">
        <f>VLOOKUP(G176,Eras!$A$2:$C$10, 2, TRUE)</f>
        <v>lbr</v>
      </c>
      <c r="AX176" t="s">
        <v>381</v>
      </c>
      <c r="AY176" t="str">
        <f t="shared" si="53"/>
        <v>lbr_Express (Electric)</v>
      </c>
      <c r="AZ176" t="s">
        <v>601</v>
      </c>
    </row>
    <row r="177" spans="1:52" x14ac:dyDescent="0.25">
      <c r="A177" t="s">
        <v>45</v>
      </c>
      <c r="B177" t="s">
        <v>349</v>
      </c>
      <c r="C177">
        <v>225</v>
      </c>
      <c r="D177" t="s">
        <v>305</v>
      </c>
      <c r="E177" t="s">
        <v>315</v>
      </c>
      <c r="F177" t="s">
        <v>317</v>
      </c>
      <c r="G177">
        <v>1975</v>
      </c>
      <c r="H177">
        <v>1982</v>
      </c>
      <c r="I177">
        <v>2021</v>
      </c>
      <c r="K177">
        <v>1770</v>
      </c>
      <c r="T177">
        <v>70.25</v>
      </c>
      <c r="W177">
        <v>160</v>
      </c>
      <c r="X177" s="4">
        <f t="shared" si="51"/>
        <v>0.22775800711743771</v>
      </c>
      <c r="Y177">
        <v>125</v>
      </c>
      <c r="AA177">
        <v>17.79</v>
      </c>
      <c r="AB177">
        <v>17.79</v>
      </c>
      <c r="AF177" t="str">
        <f>CONCATENATE(VLOOKUP(AG177, 'Voxel Sizes'!$A$2:$B$18,2,FALSE),"x",INT(AC177*15), "x", INT(AD177*15))</f>
        <v>164x0x0</v>
      </c>
      <c r="AG177">
        <f t="shared" si="52"/>
        <v>10</v>
      </c>
      <c r="AI177" t="str">
        <f>CONCATENATE(VLOOKUP(AG177,'Articulated Lengths'!$A$2:$C$16,IF(AH177&lt;&gt;"", 3, 2), FALSE),IF(AH177&lt;&gt;"",CONCATENATE(",",VLOOKUP(AH177,$B:$AI,34,FALSE)),""))</f>
        <v>4,2,4</v>
      </c>
      <c r="AP177">
        <v>10</v>
      </c>
      <c r="AQ177">
        <v>10</v>
      </c>
      <c r="AR177">
        <v>1</v>
      </c>
      <c r="AW177" t="str">
        <f>VLOOKUP(G177,Eras!$A$2:$C$10, 2, TRUE)</f>
        <v>lbr</v>
      </c>
      <c r="AX177" t="s">
        <v>371</v>
      </c>
      <c r="AY177" t="str">
        <f t="shared" si="53"/>
        <v>lbr_Express</v>
      </c>
      <c r="AZ177" t="s">
        <v>409</v>
      </c>
    </row>
    <row r="178" spans="1:52" x14ac:dyDescent="0.25">
      <c r="A178" t="s">
        <v>602</v>
      </c>
      <c r="B178" t="s">
        <v>604</v>
      </c>
      <c r="C178">
        <v>227</v>
      </c>
      <c r="D178" t="s">
        <v>305</v>
      </c>
      <c r="E178" t="s">
        <v>315</v>
      </c>
      <c r="F178" t="s">
        <v>317</v>
      </c>
      <c r="G178">
        <v>1976</v>
      </c>
      <c r="H178">
        <v>1984</v>
      </c>
      <c r="K178">
        <v>3250</v>
      </c>
      <c r="T178">
        <v>125</v>
      </c>
      <c r="W178">
        <v>275</v>
      </c>
      <c r="X178" s="4">
        <f t="shared" si="51"/>
        <v>0.22</v>
      </c>
      <c r="Y178">
        <v>80</v>
      </c>
      <c r="AA178">
        <v>19.350000000000001</v>
      </c>
      <c r="AB178">
        <v>19.350000000000001</v>
      </c>
      <c r="AD178">
        <v>3.89</v>
      </c>
      <c r="AF178" t="str">
        <f>CONCATENATE(VLOOKUP(AG178, 'Voxel Sizes'!$A$2:$B$18,2,FALSE),"x",INT(AC178*15), "x", INT(AD178*15))</f>
        <v>186x0x58</v>
      </c>
      <c r="AG178">
        <f t="shared" si="52"/>
        <v>11</v>
      </c>
      <c r="AI178" t="str">
        <f>CONCATENATE(VLOOKUP(AG178,'Articulated Lengths'!$A$2:$C$16,IF(AH178&lt;&gt;"", 3, 2), FALSE),IF(AH178&lt;&gt;"",CONCATENATE(",",VLOOKUP(AH178,$B:$AI,34,FALSE)),""))</f>
        <v>4,3,4</v>
      </c>
      <c r="AP178">
        <v>10</v>
      </c>
      <c r="AQ178">
        <v>10</v>
      </c>
      <c r="AW178" t="str">
        <f>VLOOKUP(G178,Eras!$A$2:$C$10, 2, TRUE)</f>
        <v>lbr</v>
      </c>
      <c r="AX178" t="s">
        <v>372</v>
      </c>
      <c r="AY178" t="str">
        <f t="shared" si="53"/>
        <v>lbr_Freight</v>
      </c>
      <c r="AZ178" t="s">
        <v>603</v>
      </c>
    </row>
    <row r="179" spans="1:52" x14ac:dyDescent="0.25">
      <c r="A179" t="s">
        <v>90</v>
      </c>
      <c r="B179" t="s">
        <v>218</v>
      </c>
      <c r="C179">
        <v>229</v>
      </c>
      <c r="D179" t="s">
        <v>456</v>
      </c>
      <c r="E179" t="s">
        <v>608</v>
      </c>
      <c r="F179" t="s">
        <v>607</v>
      </c>
      <c r="G179">
        <v>1976</v>
      </c>
      <c r="H179">
        <v>1977</v>
      </c>
      <c r="J179">
        <v>3</v>
      </c>
      <c r="K179">
        <v>880</v>
      </c>
      <c r="T179">
        <v>104.5</v>
      </c>
      <c r="W179">
        <v>140</v>
      </c>
      <c r="X179" s="4">
        <f t="shared" si="51"/>
        <v>0.13397129186602871</v>
      </c>
      <c r="Y179">
        <v>75</v>
      </c>
      <c r="AA179">
        <v>20.329999999999998</v>
      </c>
      <c r="AB179">
        <v>20.329999999999998</v>
      </c>
      <c r="AD179">
        <v>3.58</v>
      </c>
      <c r="AE179" s="11">
        <v>75</v>
      </c>
      <c r="AF179" t="str">
        <f>CONCATENATE(VLOOKUP(AG179, 'Voxel Sizes'!$A$2:$B$18,2,FALSE),"x",INT(AC179*15), "x", INT(AD179*15))</f>
        <v>198x0x53</v>
      </c>
      <c r="AG179">
        <f t="shared" si="52"/>
        <v>12</v>
      </c>
      <c r="AI179" t="str">
        <f>CONCATENATE(VLOOKUP(AG179,'Articulated Lengths'!$A$2:$C$16,IF(AH179&lt;&gt;"", 3, 2), FALSE),IF(AH179&lt;&gt;"",CONCATENATE(",",VLOOKUP(AH179,$B:$AI,34,FALSE)),""))</f>
        <v>4,4,4</v>
      </c>
      <c r="AK179" t="s">
        <v>605</v>
      </c>
      <c r="AL179" t="s">
        <v>610</v>
      </c>
      <c r="AM179" t="s">
        <v>335</v>
      </c>
      <c r="AP179">
        <v>10</v>
      </c>
      <c r="AQ179">
        <v>10</v>
      </c>
      <c r="AV179" t="s">
        <v>326</v>
      </c>
      <c r="AW179" t="str">
        <f>VLOOKUP(G179,Eras!$A$2:$C$10, 2, TRUE)</f>
        <v>lbr</v>
      </c>
      <c r="AX179" t="s">
        <v>376</v>
      </c>
      <c r="AY179" t="str">
        <f t="shared" si="53"/>
        <v>lbr_EMU</v>
      </c>
      <c r="AZ179" t="s">
        <v>606</v>
      </c>
    </row>
    <row r="180" spans="1:52" x14ac:dyDescent="0.25">
      <c r="A180" t="s">
        <v>728</v>
      </c>
      <c r="B180" t="s">
        <v>729</v>
      </c>
      <c r="C180">
        <v>231</v>
      </c>
      <c r="D180" t="s">
        <v>456</v>
      </c>
      <c r="E180" t="s">
        <v>339</v>
      </c>
      <c r="F180" t="s">
        <v>340</v>
      </c>
      <c r="G180">
        <v>1979</v>
      </c>
      <c r="H180">
        <v>1986</v>
      </c>
      <c r="J180">
        <v>14</v>
      </c>
      <c r="K180">
        <v>8000</v>
      </c>
      <c r="T180">
        <v>434</v>
      </c>
      <c r="W180">
        <v>210</v>
      </c>
      <c r="X180" s="4">
        <f t="shared" si="51"/>
        <v>4.8387096774193547E-2</v>
      </c>
      <c r="Y180">
        <v>155</v>
      </c>
      <c r="AA180">
        <v>20.9</v>
      </c>
      <c r="AB180">
        <v>20.9</v>
      </c>
      <c r="AC180">
        <v>2.7</v>
      </c>
      <c r="AD180">
        <v>3.5</v>
      </c>
      <c r="AE180" s="11">
        <v>39</v>
      </c>
      <c r="AF180" t="str">
        <f>CONCATENATE(VLOOKUP(AG180, 'Voxel Sizes'!$A$2:$B$18,2,FALSE),"x",INT(AC180*15), "x", INT(AD180*15))</f>
        <v>198x40x52</v>
      </c>
      <c r="AG180">
        <f t="shared" si="52"/>
        <v>12</v>
      </c>
      <c r="AI180" t="str">
        <f>CONCATENATE(VLOOKUP(AG180,'Articulated Lengths'!$A$2:$C$16,IF(AH180&lt;&gt;"", 3, 2), FALSE),IF(AH180&lt;&gt;"",CONCATENATE(",",VLOOKUP(AH180,$B:$AI,34,FALSE)),""))</f>
        <v>4,4,4</v>
      </c>
      <c r="AK180" t="s">
        <v>731</v>
      </c>
      <c r="AM180" t="s">
        <v>738</v>
      </c>
      <c r="AP180">
        <v>10</v>
      </c>
      <c r="AQ180">
        <v>10</v>
      </c>
      <c r="AV180" t="s">
        <v>326</v>
      </c>
      <c r="AW180" t="str">
        <f>VLOOKUP(G180,Eras!$A$2:$C$10, 2, TRUE)</f>
        <v>lbr</v>
      </c>
      <c r="AX180" t="s">
        <v>377</v>
      </c>
      <c r="AY180" t="str">
        <f t="shared" si="53"/>
        <v>lbr_EMU (Express)</v>
      </c>
      <c r="AZ180" t="s">
        <v>730</v>
      </c>
    </row>
    <row r="181" spans="1:52" x14ac:dyDescent="0.25">
      <c r="A181" t="s">
        <v>89</v>
      </c>
      <c r="B181" t="s">
        <v>217</v>
      </c>
      <c r="C181">
        <v>233</v>
      </c>
      <c r="D181" t="s">
        <v>456</v>
      </c>
      <c r="E181" t="s">
        <v>339</v>
      </c>
      <c r="F181" t="s">
        <v>340</v>
      </c>
      <c r="G181">
        <v>1980</v>
      </c>
      <c r="H181">
        <v>1981</v>
      </c>
      <c r="J181">
        <v>4</v>
      </c>
      <c r="K181">
        <v>880</v>
      </c>
      <c r="T181">
        <v>127.5</v>
      </c>
      <c r="W181">
        <v>140</v>
      </c>
      <c r="X181" s="4">
        <f t="shared" si="51"/>
        <v>0.10980392156862745</v>
      </c>
      <c r="Y181">
        <v>75</v>
      </c>
      <c r="AA181">
        <v>19.8</v>
      </c>
      <c r="AB181">
        <v>19.8</v>
      </c>
      <c r="AD181">
        <v>3.58</v>
      </c>
      <c r="AE181" s="11">
        <v>78</v>
      </c>
      <c r="AF181" t="str">
        <f>CONCATENATE(VLOOKUP(AG181, 'Voxel Sizes'!$A$2:$B$18,2,FALSE),"x",INT(AC181*15), "x", INT(AD181*15))</f>
        <v>198x0x53</v>
      </c>
      <c r="AG181">
        <f t="shared" si="52"/>
        <v>12</v>
      </c>
      <c r="AI181" t="str">
        <f>CONCATENATE(VLOOKUP(AG181,'Articulated Lengths'!$A$2:$C$16,IF(AH181&lt;&gt;"", 3, 2), FALSE),IF(AH181&lt;&gt;"",CONCATENATE(",",VLOOKUP(AH181,$B:$AI,34,FALSE)),""))</f>
        <v>4,4,4</v>
      </c>
      <c r="AK181" t="s">
        <v>613</v>
      </c>
      <c r="AM181" t="s">
        <v>611</v>
      </c>
      <c r="AP181">
        <v>10</v>
      </c>
      <c r="AQ181">
        <v>10</v>
      </c>
      <c r="AV181" t="s">
        <v>326</v>
      </c>
      <c r="AW181" t="str">
        <f>VLOOKUP(G181,Eras!$A$2:$C$10, 2, TRUE)</f>
        <v>lbr</v>
      </c>
      <c r="AX181" t="s">
        <v>376</v>
      </c>
      <c r="AY181" t="str">
        <f t="shared" si="53"/>
        <v>lbr_EMU</v>
      </c>
      <c r="AZ181" t="s">
        <v>612</v>
      </c>
    </row>
    <row r="182" spans="1:52" x14ac:dyDescent="0.25">
      <c r="A182" t="s">
        <v>95</v>
      </c>
      <c r="B182" t="s">
        <v>219</v>
      </c>
      <c r="C182">
        <v>235</v>
      </c>
      <c r="D182" t="s">
        <v>456</v>
      </c>
      <c r="E182" t="s">
        <v>339</v>
      </c>
      <c r="F182" t="s">
        <v>346</v>
      </c>
      <c r="G182">
        <v>1982</v>
      </c>
      <c r="J182">
        <v>4</v>
      </c>
      <c r="K182">
        <v>992</v>
      </c>
      <c r="T182">
        <v>136</v>
      </c>
      <c r="W182">
        <v>150</v>
      </c>
      <c r="X182" s="4">
        <f t="shared" si="51"/>
        <v>0.11029411764705882</v>
      </c>
      <c r="Y182">
        <v>75</v>
      </c>
      <c r="AA182">
        <v>19.8</v>
      </c>
      <c r="AB182">
        <v>19.8</v>
      </c>
      <c r="AE182" s="11">
        <v>78</v>
      </c>
      <c r="AF182" t="str">
        <f>CONCATENATE(VLOOKUP(AG182, 'Voxel Sizes'!$A$2:$B$18,2,FALSE),"x",INT(AC182*15), "x", INT(AD182*15))</f>
        <v>198x0x0</v>
      </c>
      <c r="AG182">
        <f t="shared" si="52"/>
        <v>12</v>
      </c>
      <c r="AI182" t="str">
        <f>CONCATENATE(VLOOKUP(AG182,'Articulated Lengths'!$A$2:$C$16,IF(AH182&lt;&gt;"", 3, 2), FALSE),IF(AH182&lt;&gt;"",CONCATENATE(",",VLOOKUP(AH182,$B:$AI,34,FALSE)),""))</f>
        <v>4,4,4</v>
      </c>
      <c r="AK182" t="s">
        <v>664</v>
      </c>
      <c r="AM182" t="s">
        <v>518</v>
      </c>
      <c r="AP182">
        <v>10</v>
      </c>
      <c r="AQ182">
        <v>10</v>
      </c>
      <c r="AV182" t="s">
        <v>326</v>
      </c>
      <c r="AW182" t="str">
        <f>VLOOKUP(G182,Eras!$A$2:$C$10, 2, TRUE)</f>
        <v>lbr</v>
      </c>
      <c r="AX182" t="s">
        <v>376</v>
      </c>
      <c r="AY182" t="str">
        <f t="shared" si="53"/>
        <v>lbr_EMU</v>
      </c>
      <c r="AZ182" t="s">
        <v>665</v>
      </c>
    </row>
    <row r="183" spans="1:52" x14ac:dyDescent="0.25">
      <c r="A183" t="s">
        <v>55</v>
      </c>
      <c r="B183" t="s">
        <v>615</v>
      </c>
      <c r="C183">
        <v>237</v>
      </c>
      <c r="D183" t="s">
        <v>305</v>
      </c>
      <c r="E183" t="s">
        <v>315</v>
      </c>
      <c r="F183" t="s">
        <v>317</v>
      </c>
      <c r="G183">
        <v>1983</v>
      </c>
      <c r="H183">
        <v>1987</v>
      </c>
      <c r="K183">
        <v>3300</v>
      </c>
      <c r="T183">
        <v>130</v>
      </c>
      <c r="W183">
        <v>267</v>
      </c>
      <c r="X183" s="4">
        <f t="shared" si="51"/>
        <v>0.20538461538461539</v>
      </c>
      <c r="Y183">
        <v>80</v>
      </c>
      <c r="AA183">
        <v>19.13</v>
      </c>
      <c r="AB183">
        <v>19.13</v>
      </c>
      <c r="AD183">
        <v>3.91</v>
      </c>
      <c r="AF183" t="str">
        <f>CONCATENATE(VLOOKUP(AG183, 'Voxel Sizes'!$A$2:$B$18,2,FALSE),"x",INT(AC183*15), "x", INT(AD183*15))</f>
        <v>186x0x58</v>
      </c>
      <c r="AG183">
        <f t="shared" si="52"/>
        <v>11</v>
      </c>
      <c r="AI183" t="str">
        <f>CONCATENATE(VLOOKUP(AG183,'Articulated Lengths'!$A$2:$C$16,IF(AH183&lt;&gt;"", 3, 2), FALSE),IF(AH183&lt;&gt;"",CONCATENATE(",",VLOOKUP(AH183,$B:$AI,34,FALSE)),""))</f>
        <v>4,3,4</v>
      </c>
      <c r="AP183">
        <v>10</v>
      </c>
      <c r="AQ183">
        <v>10</v>
      </c>
      <c r="AW183" t="str">
        <f>VLOOKUP(G183,Eras!$A$2:$C$10, 2, TRUE)</f>
        <v>lbr</v>
      </c>
      <c r="AX183" t="s">
        <v>372</v>
      </c>
      <c r="AY183" t="str">
        <f t="shared" si="53"/>
        <v>lbr_Freight</v>
      </c>
      <c r="AZ183" t="s">
        <v>614</v>
      </c>
    </row>
    <row r="184" spans="1:52" x14ac:dyDescent="0.25">
      <c r="A184" t="s">
        <v>99</v>
      </c>
      <c r="B184" t="s">
        <v>686</v>
      </c>
      <c r="C184">
        <v>239</v>
      </c>
      <c r="D184" t="s">
        <v>456</v>
      </c>
      <c r="E184" t="s">
        <v>315</v>
      </c>
      <c r="F184" t="s">
        <v>317</v>
      </c>
      <c r="G184">
        <v>1984</v>
      </c>
      <c r="H184">
        <v>1987</v>
      </c>
      <c r="J184">
        <v>2</v>
      </c>
      <c r="K184">
        <f>286*2</f>
        <v>572</v>
      </c>
      <c r="T184">
        <f>35.8*2</f>
        <v>71.599999999999994</v>
      </c>
      <c r="W184">
        <v>110</v>
      </c>
      <c r="X184" s="4">
        <f t="shared" si="51"/>
        <v>0.15363128491620112</v>
      </c>
      <c r="Y184">
        <v>75</v>
      </c>
      <c r="AA184">
        <v>20</v>
      </c>
      <c r="AB184">
        <v>20</v>
      </c>
      <c r="AC184">
        <v>2.81</v>
      </c>
      <c r="AD184">
        <v>3.7</v>
      </c>
      <c r="AE184" s="11">
        <v>63</v>
      </c>
      <c r="AF184" t="str">
        <f>CONCATENATE(VLOOKUP(AG184, 'Voxel Sizes'!$A$2:$B$18,2,FALSE),"x",INT(AC184*15), "x", INT(AD184*15))</f>
        <v>198x42x55</v>
      </c>
      <c r="AG184">
        <f t="shared" si="52"/>
        <v>12</v>
      </c>
      <c r="AI184" t="str">
        <f>CONCATENATE(VLOOKUP(AG184,'Articulated Lengths'!$A$2:$C$16,IF(AH184&lt;&gt;"", 3, 2), FALSE),IF(AH184&lt;&gt;"",CONCATENATE(",",VLOOKUP(AH184,$B:$AI,34,FALSE)),""))</f>
        <v>4,4,4</v>
      </c>
      <c r="AK184" t="s">
        <v>685</v>
      </c>
      <c r="AM184" t="s">
        <v>520</v>
      </c>
      <c r="AP184">
        <v>10</v>
      </c>
      <c r="AQ184">
        <v>10</v>
      </c>
      <c r="AV184" t="s">
        <v>326</v>
      </c>
      <c r="AW184" t="str">
        <f>VLOOKUP(G184,Eras!$A$2:$C$10, 2, TRUE)</f>
        <v>lbr</v>
      </c>
      <c r="AX184" t="s">
        <v>374</v>
      </c>
      <c r="AY184" t="str">
        <f t="shared" si="53"/>
        <v>lbr_DMU</v>
      </c>
      <c r="AZ184" t="s">
        <v>684</v>
      </c>
    </row>
    <row r="185" spans="1:52" x14ac:dyDescent="0.25">
      <c r="A185" t="s">
        <v>701</v>
      </c>
      <c r="B185" t="s">
        <v>267</v>
      </c>
      <c r="C185">
        <v>241</v>
      </c>
      <c r="D185" t="s">
        <v>456</v>
      </c>
      <c r="E185" t="s">
        <v>315</v>
      </c>
      <c r="F185" t="s">
        <v>317</v>
      </c>
      <c r="G185">
        <v>1984</v>
      </c>
      <c r="H185">
        <v>1988</v>
      </c>
      <c r="I185">
        <v>2005</v>
      </c>
      <c r="J185">
        <v>2</v>
      </c>
      <c r="K185">
        <v>205</v>
      </c>
      <c r="T185">
        <f>26+26.5</f>
        <v>52.5</v>
      </c>
      <c r="W185">
        <v>70</v>
      </c>
      <c r="X185" s="4">
        <f t="shared" si="51"/>
        <v>0.13333333333333333</v>
      </c>
      <c r="Y185">
        <v>75</v>
      </c>
      <c r="AA185">
        <v>15.45</v>
      </c>
      <c r="AB185">
        <v>15.45</v>
      </c>
      <c r="AC185">
        <v>2.5</v>
      </c>
      <c r="AD185">
        <v>3.9</v>
      </c>
      <c r="AE185" s="11">
        <v>46</v>
      </c>
      <c r="AF185" t="str">
        <f>CONCATENATE(VLOOKUP(AG185, 'Voxel Sizes'!$A$2:$B$18,2,FALSE),"x",INT(AC185*15), "x", INT(AD185*15))</f>
        <v>152x37x58</v>
      </c>
      <c r="AG185">
        <f t="shared" si="52"/>
        <v>9</v>
      </c>
      <c r="AI185" t="str">
        <f>CONCATENATE(VLOOKUP(AG185,'Articulated Lengths'!$A$2:$C$16,IF(AH185&lt;&gt;"", 3, 2), FALSE),IF(AH185&lt;&gt;"",CONCATENATE(",",VLOOKUP(AH185,$B:$AI,34,FALSE)),""))</f>
        <v>2,5,2</v>
      </c>
      <c r="AK185" t="s">
        <v>696</v>
      </c>
      <c r="AM185" t="s">
        <v>520</v>
      </c>
      <c r="AP185">
        <v>10</v>
      </c>
      <c r="AQ185">
        <v>10</v>
      </c>
      <c r="AV185" t="s">
        <v>326</v>
      </c>
      <c r="AW185" t="str">
        <f>VLOOKUP(G185,Eras!$A$2:$C$10, 2, TRUE)</f>
        <v>lbr</v>
      </c>
      <c r="AX185" t="s">
        <v>373</v>
      </c>
      <c r="AY185" t="str">
        <f t="shared" si="53"/>
        <v>lbr_DMU (Cheap)</v>
      </c>
      <c r="AZ185" t="s">
        <v>702</v>
      </c>
    </row>
    <row r="186" spans="1:52" x14ac:dyDescent="0.25">
      <c r="A186" t="s">
        <v>44</v>
      </c>
      <c r="B186" t="s">
        <v>208</v>
      </c>
      <c r="C186">
        <v>243</v>
      </c>
      <c r="D186" t="s">
        <v>305</v>
      </c>
      <c r="E186" t="s">
        <v>315</v>
      </c>
      <c r="F186" t="s">
        <v>317</v>
      </c>
      <c r="G186">
        <v>1985</v>
      </c>
      <c r="H186">
        <v>1995</v>
      </c>
      <c r="K186">
        <v>3300</v>
      </c>
      <c r="T186">
        <v>126</v>
      </c>
      <c r="W186">
        <v>290</v>
      </c>
      <c r="X186" s="4">
        <f t="shared" si="51"/>
        <v>0.23015873015873015</v>
      </c>
      <c r="Y186">
        <v>75</v>
      </c>
      <c r="AA186">
        <v>21.4</v>
      </c>
      <c r="AB186">
        <v>21.4</v>
      </c>
      <c r="AD186">
        <v>3.91</v>
      </c>
      <c r="AF186" t="str">
        <f>CONCATENATE(VLOOKUP(AG186, 'Voxel Sizes'!$A$2:$B$18,2,FALSE),"x",INT(AC186*15), "x", INT(AD186*15))</f>
        <v>214x0x58</v>
      </c>
      <c r="AG186">
        <f t="shared" si="52"/>
        <v>13</v>
      </c>
      <c r="AI186" t="str">
        <f>CONCATENATE(VLOOKUP(AG186,'Articulated Lengths'!$A$2:$C$16,IF(AH186&lt;&gt;"", 3, 2), FALSE),IF(AH186&lt;&gt;"",CONCATENATE(",",VLOOKUP(AH186,$B:$AI,34,FALSE)),""))</f>
        <v>4,5,4</v>
      </c>
      <c r="AP186">
        <v>10</v>
      </c>
      <c r="AQ186">
        <v>10</v>
      </c>
      <c r="AW186" t="str">
        <f>VLOOKUP(G186,Eras!$A$2:$C$10, 2, TRUE)</f>
        <v>lbr</v>
      </c>
      <c r="AX186" t="s">
        <v>372</v>
      </c>
      <c r="AY186" t="str">
        <f t="shared" si="53"/>
        <v>lbr_Freight</v>
      </c>
      <c r="AZ186" t="s">
        <v>616</v>
      </c>
    </row>
    <row r="187" spans="1:52" x14ac:dyDescent="0.25">
      <c r="A187" t="s">
        <v>76</v>
      </c>
      <c r="B187" t="s">
        <v>209</v>
      </c>
      <c r="C187">
        <v>245</v>
      </c>
      <c r="D187" t="s">
        <v>305</v>
      </c>
      <c r="E187" t="s">
        <v>339</v>
      </c>
      <c r="F187" t="s">
        <v>317</v>
      </c>
      <c r="G187">
        <v>1987</v>
      </c>
      <c r="H187">
        <v>1990</v>
      </c>
      <c r="K187">
        <v>5000</v>
      </c>
      <c r="T187">
        <v>84.5</v>
      </c>
      <c r="W187">
        <v>258</v>
      </c>
      <c r="X187" s="4">
        <f t="shared" si="51"/>
        <v>0.30532544378698223</v>
      </c>
      <c r="Y187">
        <v>110</v>
      </c>
      <c r="AA187">
        <v>18.75</v>
      </c>
      <c r="AB187">
        <v>18.75</v>
      </c>
      <c r="AD187">
        <v>3.96</v>
      </c>
      <c r="AF187" t="str">
        <f>CONCATENATE(VLOOKUP(AG187, 'Voxel Sizes'!$A$2:$B$18,2,FALSE),"x",INT(AC187*15), "x", INT(AD187*15))</f>
        <v>186x0x59</v>
      </c>
      <c r="AG187">
        <f t="shared" si="52"/>
        <v>11</v>
      </c>
      <c r="AI187" t="str">
        <f>CONCATENATE(VLOOKUP(AG187,'Articulated Lengths'!$A$2:$C$16,IF(AH187&lt;&gt;"", 3, 2), FALSE),IF(AH187&lt;&gt;"",CONCATENATE(",",VLOOKUP(AH187,$B:$AI,34,FALSE)),""))</f>
        <v>4,3,4</v>
      </c>
      <c r="AP187">
        <v>10</v>
      </c>
      <c r="AQ187">
        <v>10</v>
      </c>
      <c r="AW187" t="str">
        <f>VLOOKUP(G187,Eras!$A$2:$C$10, 2, TRUE)</f>
        <v>lbr</v>
      </c>
      <c r="AX187" t="s">
        <v>371</v>
      </c>
      <c r="AY187" t="str">
        <f t="shared" si="53"/>
        <v>lbr_Express</v>
      </c>
      <c r="AZ187" t="s">
        <v>619</v>
      </c>
    </row>
    <row r="188" spans="1:52" x14ac:dyDescent="0.25">
      <c r="A188" t="s">
        <v>88</v>
      </c>
      <c r="B188" t="s">
        <v>216</v>
      </c>
      <c r="C188">
        <v>247</v>
      </c>
      <c r="D188" t="s">
        <v>456</v>
      </c>
      <c r="E188" t="s">
        <v>608</v>
      </c>
      <c r="F188" t="s">
        <v>607</v>
      </c>
      <c r="G188">
        <v>1987</v>
      </c>
      <c r="H188">
        <v>1990</v>
      </c>
      <c r="J188">
        <v>4</v>
      </c>
      <c r="K188">
        <f>4*332</f>
        <v>1328</v>
      </c>
      <c r="T188">
        <v>140.30000000000001</v>
      </c>
      <c r="W188">
        <v>160</v>
      </c>
      <c r="X188" s="4">
        <f t="shared" si="51"/>
        <v>0.11404133998574484</v>
      </c>
      <c r="Y188">
        <v>100</v>
      </c>
      <c r="AA188">
        <v>19.829999999999998</v>
      </c>
      <c r="AB188">
        <v>19.829999999999998</v>
      </c>
      <c r="AD188">
        <v>3.58</v>
      </c>
      <c r="AE188" s="11">
        <v>78</v>
      </c>
      <c r="AF188" t="str">
        <f>CONCATENATE(VLOOKUP(AG188, 'Voxel Sizes'!$A$2:$B$18,2,FALSE),"x",INT(AC188*15), "x", INT(AD188*15))</f>
        <v>198x0x53</v>
      </c>
      <c r="AG188">
        <f t="shared" si="52"/>
        <v>12</v>
      </c>
      <c r="AI188" t="str">
        <f>CONCATENATE(VLOOKUP(AG188,'Articulated Lengths'!$A$2:$C$16,IF(AH188&lt;&gt;"", 3, 2), FALSE),IF(AH188&lt;&gt;"",CONCATENATE(",",VLOOKUP(AH188,$B:$AI,34,FALSE)),""))</f>
        <v>4,4,4</v>
      </c>
      <c r="AK188" t="s">
        <v>621</v>
      </c>
      <c r="AL188" t="s">
        <v>622</v>
      </c>
      <c r="AM188" t="s">
        <v>611</v>
      </c>
      <c r="AP188">
        <v>10</v>
      </c>
      <c r="AQ188">
        <v>10</v>
      </c>
      <c r="AV188" t="s">
        <v>326</v>
      </c>
      <c r="AW188" t="str">
        <f>VLOOKUP(G188,Eras!$A$2:$C$10, 2, TRUE)</f>
        <v>lbr</v>
      </c>
      <c r="AX188" t="s">
        <v>376</v>
      </c>
      <c r="AY188" t="str">
        <f t="shared" si="53"/>
        <v>lbr_EMU</v>
      </c>
      <c r="AZ188" t="s">
        <v>620</v>
      </c>
    </row>
    <row r="189" spans="1:52" x14ac:dyDescent="0.25">
      <c r="A189" t="s">
        <v>625</v>
      </c>
      <c r="B189" t="s">
        <v>277</v>
      </c>
      <c r="C189">
        <v>249</v>
      </c>
      <c r="D189" t="s">
        <v>305</v>
      </c>
      <c r="E189" t="s">
        <v>339</v>
      </c>
      <c r="F189" t="s">
        <v>340</v>
      </c>
      <c r="G189">
        <v>1988</v>
      </c>
      <c r="H189">
        <v>1991</v>
      </c>
      <c r="K189">
        <v>6480</v>
      </c>
      <c r="T189">
        <v>81.5</v>
      </c>
      <c r="W189">
        <v>190</v>
      </c>
      <c r="X189" s="4">
        <f t="shared" si="51"/>
        <v>0.23312883435582821</v>
      </c>
      <c r="Y189">
        <v>140</v>
      </c>
      <c r="AA189">
        <v>19.399999999999999</v>
      </c>
      <c r="AB189">
        <v>19.399999999999999</v>
      </c>
      <c r="AF189" t="str">
        <f>CONCATENATE(VLOOKUP(AG189, 'Voxel Sizes'!$A$2:$B$18,2,FALSE),"x",INT(AC189*15), "x", INT(AD189*15))</f>
        <v>186x0x0</v>
      </c>
      <c r="AG189">
        <f t="shared" si="52"/>
        <v>11</v>
      </c>
      <c r="AI189" t="str">
        <f>CONCATENATE(VLOOKUP(AG189,'Articulated Lengths'!$A$2:$C$16,IF(AH189&lt;&gt;"", 3, 2), FALSE),IF(AH189&lt;&gt;"",CONCATENATE(",",VLOOKUP(AH189,$B:$AI,34,FALSE)),""))</f>
        <v>4,3,4</v>
      </c>
      <c r="AP189">
        <v>10</v>
      </c>
      <c r="AQ189">
        <v>10</v>
      </c>
      <c r="AW189" t="str">
        <f>VLOOKUP(G189,Eras!$A$2:$C$10, 2, TRUE)</f>
        <v>lbr</v>
      </c>
      <c r="AX189" t="s">
        <v>381</v>
      </c>
      <c r="AY189" t="str">
        <f t="shared" si="53"/>
        <v>lbr_Express (Electric)</v>
      </c>
      <c r="AZ189" t="s">
        <v>624</v>
      </c>
    </row>
    <row r="190" spans="1:52" x14ac:dyDescent="0.25">
      <c r="A190" t="s">
        <v>626</v>
      </c>
      <c r="B190" t="s">
        <v>628</v>
      </c>
      <c r="C190">
        <v>250</v>
      </c>
      <c r="D190" t="s">
        <v>305</v>
      </c>
      <c r="E190" t="s">
        <v>339</v>
      </c>
      <c r="F190" t="s">
        <v>340</v>
      </c>
      <c r="G190">
        <v>1988</v>
      </c>
      <c r="H190">
        <v>1991</v>
      </c>
      <c r="K190">
        <v>5</v>
      </c>
      <c r="T190">
        <v>40</v>
      </c>
      <c r="W190">
        <v>5</v>
      </c>
      <c r="X190" s="4">
        <f t="shared" si="51"/>
        <v>1.2500000000000001E-2</v>
      </c>
      <c r="Y190">
        <v>140</v>
      </c>
      <c r="AA190">
        <v>19.399999999999999</v>
      </c>
      <c r="AB190">
        <v>19.399999999999999</v>
      </c>
      <c r="AF190" t="str">
        <f>CONCATENATE(VLOOKUP(AG190, 'Voxel Sizes'!$A$2:$B$18,2,FALSE),"x",INT(AC190*15), "x", INT(AD190*15))</f>
        <v>186x0x0</v>
      </c>
      <c r="AG190">
        <f t="shared" si="52"/>
        <v>11</v>
      </c>
      <c r="AI190" t="str">
        <f>CONCATENATE(VLOOKUP(AG190,'Articulated Lengths'!$A$2:$C$16,IF(AH190&lt;&gt;"", 3, 2), FALSE),IF(AH190&lt;&gt;"",CONCATENATE(",",VLOOKUP(AH190,$B:$AI,34,FALSE)),""))</f>
        <v>4,3,4</v>
      </c>
      <c r="AP190">
        <v>10</v>
      </c>
      <c r="AQ190">
        <v>10</v>
      </c>
      <c r="AR190">
        <v>1</v>
      </c>
      <c r="AS190">
        <v>1</v>
      </c>
      <c r="AW190" t="str">
        <f>VLOOKUP(G190,Eras!$A$2:$C$10, 2, TRUE)</f>
        <v>lbr</v>
      </c>
      <c r="AX190" t="s">
        <v>381</v>
      </c>
      <c r="AY190" t="str">
        <f t="shared" si="53"/>
        <v>lbr_Express (Electric)</v>
      </c>
      <c r="AZ190" t="s">
        <v>627</v>
      </c>
    </row>
    <row r="191" spans="1:52" x14ac:dyDescent="0.25">
      <c r="A191" t="s">
        <v>687</v>
      </c>
      <c r="B191" t="s">
        <v>264</v>
      </c>
      <c r="C191">
        <v>252</v>
      </c>
      <c r="D191" t="s">
        <v>456</v>
      </c>
      <c r="E191" t="s">
        <v>315</v>
      </c>
      <c r="F191" t="s">
        <v>317</v>
      </c>
      <c r="G191">
        <v>1988</v>
      </c>
      <c r="J191">
        <v>2</v>
      </c>
      <c r="K191">
        <f>285*2</f>
        <v>570</v>
      </c>
      <c r="T191">
        <f>35.5+36.1</f>
        <v>71.599999999999994</v>
      </c>
      <c r="W191">
        <v>110</v>
      </c>
      <c r="X191" s="4">
        <f t="shared" si="51"/>
        <v>0.15363128491620112</v>
      </c>
      <c r="Y191">
        <v>75</v>
      </c>
      <c r="AA191">
        <v>23</v>
      </c>
      <c r="AB191">
        <v>23</v>
      </c>
      <c r="AC191">
        <v>2.8</v>
      </c>
      <c r="AD191">
        <v>3.7</v>
      </c>
      <c r="AE191" s="11">
        <v>69</v>
      </c>
      <c r="AF191" t="str">
        <f>CONCATENATE(VLOOKUP(AG191, 'Voxel Sizes'!$A$2:$B$18,2,FALSE),"x",INT(AC191*15), "x", INT(AD191*15))</f>
        <v>214x42x55</v>
      </c>
      <c r="AG191">
        <f t="shared" si="52"/>
        <v>13</v>
      </c>
      <c r="AI191" t="str">
        <f>CONCATENATE(VLOOKUP(AG191,'Articulated Lengths'!$A$2:$C$16,IF(AH191&lt;&gt;"", 3, 2), FALSE),IF(AH191&lt;&gt;"",CONCATENATE(",",VLOOKUP(AH191,$B:$AI,34,FALSE)),""))</f>
        <v>4,5,4</v>
      </c>
      <c r="AK191" t="s">
        <v>689</v>
      </c>
      <c r="AM191" t="s">
        <v>520</v>
      </c>
      <c r="AP191">
        <v>10</v>
      </c>
      <c r="AQ191">
        <v>10</v>
      </c>
      <c r="AV191" t="s">
        <v>326</v>
      </c>
      <c r="AW191" t="str">
        <f>VLOOKUP(G191,Eras!$A$2:$C$10, 2, TRUE)</f>
        <v>lbr</v>
      </c>
      <c r="AX191" t="s">
        <v>374</v>
      </c>
      <c r="AY191" t="str">
        <f t="shared" si="53"/>
        <v>lbr_DMU</v>
      </c>
      <c r="AZ191" t="s">
        <v>688</v>
      </c>
    </row>
    <row r="192" spans="1:52" x14ac:dyDescent="0.25">
      <c r="A192" t="s">
        <v>106</v>
      </c>
      <c r="B192" t="s">
        <v>271</v>
      </c>
      <c r="C192">
        <v>254</v>
      </c>
      <c r="D192" t="s">
        <v>456</v>
      </c>
      <c r="E192" t="s">
        <v>339</v>
      </c>
      <c r="F192" t="s">
        <v>346</v>
      </c>
      <c r="G192">
        <v>1988</v>
      </c>
      <c r="J192">
        <v>5</v>
      </c>
      <c r="K192">
        <v>1610</v>
      </c>
      <c r="T192">
        <v>202.8</v>
      </c>
      <c r="W192">
        <v>190</v>
      </c>
      <c r="X192" s="4">
        <f t="shared" si="51"/>
        <v>9.3688362919132157E-2</v>
      </c>
      <c r="Y192">
        <v>108</v>
      </c>
      <c r="AA192">
        <v>23</v>
      </c>
      <c r="AB192">
        <v>23</v>
      </c>
      <c r="AC192">
        <v>2.74</v>
      </c>
      <c r="AD192">
        <v>3.81</v>
      </c>
      <c r="AE192" s="11">
        <v>66</v>
      </c>
      <c r="AF192" t="str">
        <f>CONCATENATE(VLOOKUP(AG192, 'Voxel Sizes'!$A$2:$B$18,2,FALSE),"x",INT(AC192*15), "x", INT(AD192*15))</f>
        <v>214x41x57</v>
      </c>
      <c r="AG192">
        <f t="shared" si="52"/>
        <v>13</v>
      </c>
      <c r="AI192" t="str">
        <f>CONCATENATE(VLOOKUP(AG192,'Articulated Lengths'!$A$2:$C$16,IF(AH192&lt;&gt;"", 3, 2), FALSE),IF(AH192&lt;&gt;"",CONCATENATE(",",VLOOKUP(AH192,$B:$AI,34,FALSE)),""))</f>
        <v>4,5,4</v>
      </c>
      <c r="AK192" t="s">
        <v>725</v>
      </c>
      <c r="AM192" t="s">
        <v>663</v>
      </c>
      <c r="AP192">
        <v>10</v>
      </c>
      <c r="AQ192">
        <v>10</v>
      </c>
      <c r="AV192" t="s">
        <v>326</v>
      </c>
      <c r="AW192" t="str">
        <f>VLOOKUP(G192,Eras!$A$2:$C$10, 2, TRUE)</f>
        <v>lbr</v>
      </c>
      <c r="AX192" t="s">
        <v>377</v>
      </c>
      <c r="AY192" t="str">
        <f t="shared" si="53"/>
        <v>lbr_EMU (Express)</v>
      </c>
      <c r="AZ192" t="s">
        <v>726</v>
      </c>
    </row>
    <row r="193" spans="1:52" x14ac:dyDescent="0.25">
      <c r="A193" t="s">
        <v>668</v>
      </c>
      <c r="B193" t="s">
        <v>632</v>
      </c>
      <c r="C193">
        <v>256</v>
      </c>
      <c r="D193" t="s">
        <v>305</v>
      </c>
      <c r="E193" t="s">
        <v>315</v>
      </c>
      <c r="F193" t="s">
        <v>317</v>
      </c>
      <c r="G193">
        <v>1989</v>
      </c>
      <c r="K193">
        <v>3100</v>
      </c>
      <c r="T193">
        <v>129</v>
      </c>
      <c r="W193">
        <v>474</v>
      </c>
      <c r="X193" s="4">
        <f t="shared" si="51"/>
        <v>0.36744186046511629</v>
      </c>
      <c r="Y193">
        <v>60</v>
      </c>
      <c r="AA193">
        <v>21.34</v>
      </c>
      <c r="AB193">
        <v>21.34</v>
      </c>
      <c r="AC193">
        <v>2.64</v>
      </c>
      <c r="AD193">
        <v>3.95</v>
      </c>
      <c r="AF193" t="str">
        <f>CONCATENATE(VLOOKUP(AG193, 'Voxel Sizes'!$A$2:$B$18,2,FALSE),"x",INT(AC193*15), "x", INT(AD193*15))</f>
        <v>214x39x59</v>
      </c>
      <c r="AG193">
        <f t="shared" si="52"/>
        <v>13</v>
      </c>
      <c r="AI193" t="str">
        <f>CONCATENATE(VLOOKUP(AG193,'Articulated Lengths'!$A$2:$C$16,IF(AH193&lt;&gt;"", 3, 2), FALSE),IF(AH193&lt;&gt;"",CONCATENATE(",",VLOOKUP(AH193,$B:$AI,34,FALSE)),""))</f>
        <v>4,5,4</v>
      </c>
      <c r="AP193">
        <v>10</v>
      </c>
      <c r="AQ193">
        <v>10</v>
      </c>
      <c r="AW193" t="str">
        <f>VLOOKUP(G193,Eras!$A$2:$C$10, 2, TRUE)</f>
        <v>lbr</v>
      </c>
      <c r="AX193" t="s">
        <v>372</v>
      </c>
      <c r="AY193" t="str">
        <f t="shared" si="53"/>
        <v>lbr_Freight</v>
      </c>
      <c r="AZ193" t="s">
        <v>669</v>
      </c>
    </row>
    <row r="194" spans="1:52" x14ac:dyDescent="0.25">
      <c r="A194" t="s">
        <v>100</v>
      </c>
      <c r="B194" t="s">
        <v>265</v>
      </c>
      <c r="C194">
        <v>258</v>
      </c>
      <c r="D194" t="s">
        <v>456</v>
      </c>
      <c r="E194" t="s">
        <v>315</v>
      </c>
      <c r="F194" t="s">
        <v>317</v>
      </c>
      <c r="G194">
        <v>1989</v>
      </c>
      <c r="H194">
        <v>1992</v>
      </c>
      <c r="J194">
        <v>3</v>
      </c>
      <c r="K194">
        <f>350*3</f>
        <v>1050</v>
      </c>
      <c r="T194">
        <f>37.8*3</f>
        <v>113.39999999999999</v>
      </c>
      <c r="W194">
        <v>120</v>
      </c>
      <c r="X194" s="4">
        <f t="shared" si="51"/>
        <v>0.10582010582010581</v>
      </c>
      <c r="Y194">
        <v>90</v>
      </c>
      <c r="AA194">
        <v>23.2</v>
      </c>
      <c r="AB194">
        <v>23</v>
      </c>
      <c r="AC194">
        <v>2.7</v>
      </c>
      <c r="AE194" s="11">
        <v>69</v>
      </c>
      <c r="AF194" t="str">
        <f>CONCATENATE(VLOOKUP(AG194, 'Voxel Sizes'!$A$2:$B$18,2,FALSE),"x",INT(AC194*15), "x", INT(AD194*15))</f>
        <v>214x40x0</v>
      </c>
      <c r="AG194">
        <f t="shared" si="52"/>
        <v>13</v>
      </c>
      <c r="AI194" t="str">
        <f>CONCATENATE(VLOOKUP(AG194,'Articulated Lengths'!$A$2:$C$16,IF(AH194&lt;&gt;"", 3, 2), FALSE),IF(AH194&lt;&gt;"",CONCATENATE(",",VLOOKUP(AH194,$B:$AI,34,FALSE)),""))</f>
        <v>4,5,4</v>
      </c>
      <c r="AK194" t="s">
        <v>690</v>
      </c>
      <c r="AM194" t="s">
        <v>335</v>
      </c>
      <c r="AP194">
        <v>10</v>
      </c>
      <c r="AQ194">
        <v>10</v>
      </c>
      <c r="AV194" t="s">
        <v>326</v>
      </c>
      <c r="AW194" t="str">
        <f>VLOOKUP(G194,Eras!$A$2:$C$10, 2, TRUE)</f>
        <v>lbr</v>
      </c>
      <c r="AX194" t="s">
        <v>375</v>
      </c>
      <c r="AY194" t="str">
        <f t="shared" si="53"/>
        <v>lbr_DMU (Express)</v>
      </c>
      <c r="AZ194" t="s">
        <v>691</v>
      </c>
    </row>
    <row r="195" spans="1:52" x14ac:dyDescent="0.25">
      <c r="A195" t="s">
        <v>96</v>
      </c>
      <c r="B195" t="s">
        <v>220</v>
      </c>
      <c r="C195">
        <v>260</v>
      </c>
      <c r="D195" t="s">
        <v>456</v>
      </c>
      <c r="E195" t="s">
        <v>339</v>
      </c>
      <c r="F195" t="s">
        <v>346</v>
      </c>
      <c r="G195">
        <v>1990</v>
      </c>
      <c r="J195">
        <v>2</v>
      </c>
      <c r="K195">
        <v>500</v>
      </c>
      <c r="T195">
        <v>72.5</v>
      </c>
      <c r="W195">
        <v>120</v>
      </c>
      <c r="X195" s="4">
        <f t="shared" si="51"/>
        <v>0.16551724137931034</v>
      </c>
      <c r="Y195">
        <v>75</v>
      </c>
      <c r="AA195">
        <v>19.8</v>
      </c>
      <c r="AB195">
        <v>19.8</v>
      </c>
      <c r="AE195" s="11">
        <v>75</v>
      </c>
      <c r="AF195" t="str">
        <f>CONCATENATE(VLOOKUP(AG195, 'Voxel Sizes'!$A$2:$B$18,2,FALSE),"x",INT(AC195*15), "x", INT(AD195*15))</f>
        <v>198x0x0</v>
      </c>
      <c r="AG195">
        <f t="shared" si="52"/>
        <v>12</v>
      </c>
      <c r="AI195" t="str">
        <f>CONCATENATE(VLOOKUP(AG195,'Articulated Lengths'!$A$2:$C$16,IF(AH195&lt;&gt;"", 3, 2), FALSE),IF(AH195&lt;&gt;"",CONCATENATE(",",VLOOKUP(AH195,$B:$AI,34,FALSE)),""))</f>
        <v>4,4,4</v>
      </c>
      <c r="AK195" t="s">
        <v>666</v>
      </c>
      <c r="AM195" t="s">
        <v>520</v>
      </c>
      <c r="AP195">
        <v>10</v>
      </c>
      <c r="AQ195">
        <v>10</v>
      </c>
      <c r="AV195" t="s">
        <v>326</v>
      </c>
      <c r="AW195" t="str">
        <f>VLOOKUP(G195,Eras!$A$2:$C$10, 2, TRUE)</f>
        <v>lbr</v>
      </c>
      <c r="AX195" t="s">
        <v>376</v>
      </c>
      <c r="AY195" t="str">
        <f t="shared" si="53"/>
        <v>lbr_EMU</v>
      </c>
      <c r="AZ195" t="s">
        <v>667</v>
      </c>
    </row>
    <row r="196" spans="1:52" x14ac:dyDescent="0.25">
      <c r="A196" t="s">
        <v>101</v>
      </c>
      <c r="B196" t="s">
        <v>266</v>
      </c>
      <c r="C196">
        <v>262</v>
      </c>
      <c r="D196" t="s">
        <v>456</v>
      </c>
      <c r="E196" t="s">
        <v>315</v>
      </c>
      <c r="F196" t="s">
        <v>317</v>
      </c>
      <c r="G196">
        <v>1991</v>
      </c>
      <c r="H196">
        <v>1992</v>
      </c>
      <c r="J196">
        <v>2</v>
      </c>
      <c r="K196">
        <f>350*2</f>
        <v>700</v>
      </c>
      <c r="T196">
        <v>74</v>
      </c>
      <c r="W196">
        <v>105</v>
      </c>
      <c r="X196" s="4">
        <f t="shared" si="51"/>
        <v>0.14189189189189189</v>
      </c>
      <c r="Y196">
        <v>75</v>
      </c>
      <c r="AA196">
        <v>22.91</v>
      </c>
      <c r="AB196">
        <v>22.9</v>
      </c>
      <c r="AC196">
        <v>2.8</v>
      </c>
      <c r="AD196">
        <v>3.8</v>
      </c>
      <c r="AE196" s="11">
        <v>93</v>
      </c>
      <c r="AF196" t="str">
        <f>CONCATENATE(VLOOKUP(AG196, 'Voxel Sizes'!$A$2:$B$18,2,FALSE),"x",INT(AC196*15), "x", INT(AD196*15))</f>
        <v>214x42x57</v>
      </c>
      <c r="AG196">
        <f t="shared" si="52"/>
        <v>13</v>
      </c>
      <c r="AI196" t="str">
        <f>CONCATENATE(VLOOKUP(AG196,'Articulated Lengths'!$A$2:$C$16,IF(AH196&lt;&gt;"", 3, 2), FALSE),IF(AH196&lt;&gt;"",CONCATENATE(",",VLOOKUP(AH196,$B:$AI,34,FALSE)),""))</f>
        <v>4,5,4</v>
      </c>
      <c r="AK196" t="s">
        <v>694</v>
      </c>
      <c r="AM196" t="s">
        <v>520</v>
      </c>
      <c r="AP196">
        <v>10</v>
      </c>
      <c r="AQ196">
        <v>10</v>
      </c>
      <c r="AV196" t="s">
        <v>326</v>
      </c>
      <c r="AW196" t="str">
        <f>VLOOKUP(G196,Eras!$A$2:$C$10, 2, TRUE)</f>
        <v>lbr</v>
      </c>
      <c r="AX196" t="s">
        <v>374</v>
      </c>
      <c r="AY196" t="str">
        <f t="shared" si="53"/>
        <v>lbr_DMU</v>
      </c>
      <c r="AZ196" t="s">
        <v>695</v>
      </c>
    </row>
    <row r="197" spans="1:52" x14ac:dyDescent="0.25">
      <c r="A197" t="s">
        <v>86</v>
      </c>
      <c r="B197" t="s">
        <v>284</v>
      </c>
      <c r="C197">
        <v>264</v>
      </c>
      <c r="D197" t="s">
        <v>456</v>
      </c>
      <c r="E197" t="s">
        <v>339</v>
      </c>
      <c r="F197" t="s">
        <v>346</v>
      </c>
      <c r="G197">
        <v>1992</v>
      </c>
      <c r="H197">
        <v>1994</v>
      </c>
      <c r="I197" t="s">
        <v>153</v>
      </c>
      <c r="J197">
        <v>4</v>
      </c>
      <c r="K197">
        <v>1608</v>
      </c>
      <c r="T197">
        <v>136</v>
      </c>
      <c r="W197">
        <v>165</v>
      </c>
      <c r="X197" s="4">
        <f t="shared" si="51"/>
        <v>0.12132352941176471</v>
      </c>
      <c r="Y197">
        <v>75</v>
      </c>
      <c r="AA197">
        <v>20.89</v>
      </c>
      <c r="AB197">
        <v>20.89</v>
      </c>
      <c r="AD197">
        <v>3.77</v>
      </c>
      <c r="AE197" s="11">
        <v>81</v>
      </c>
      <c r="AF197" t="str">
        <f>CONCATENATE(VLOOKUP(AG197, 'Voxel Sizes'!$A$2:$B$18,2,FALSE),"x",INT(AC197*15), "x", INT(AD197*15))</f>
        <v>198x0x56</v>
      </c>
      <c r="AG197">
        <f t="shared" si="52"/>
        <v>12</v>
      </c>
      <c r="AI197" t="str">
        <f>CONCATENATE(VLOOKUP(AG197,'Articulated Lengths'!$A$2:$C$16,IF(AH197&lt;&gt;"", 3, 2), FALSE),IF(AH197&lt;&gt;"",CONCATENATE(",",VLOOKUP(AH197,$B:$AI,34,FALSE)),""))</f>
        <v>4,4,4</v>
      </c>
      <c r="AK197" t="s">
        <v>630</v>
      </c>
      <c r="AM197" t="s">
        <v>518</v>
      </c>
      <c r="AP197">
        <v>10</v>
      </c>
      <c r="AQ197">
        <v>10</v>
      </c>
      <c r="AV197" t="s">
        <v>326</v>
      </c>
      <c r="AW197" t="str">
        <f>VLOOKUP(G197,Eras!$A$2:$C$10, 2, TRUE)</f>
        <v>lbr</v>
      </c>
      <c r="AX197" t="s">
        <v>376</v>
      </c>
      <c r="AY197" t="str">
        <f t="shared" si="53"/>
        <v>lbr_EMU</v>
      </c>
      <c r="AZ197" t="s">
        <v>631</v>
      </c>
    </row>
    <row r="198" spans="1:52" x14ac:dyDescent="0.25">
      <c r="A198" t="s">
        <v>703</v>
      </c>
      <c r="B198" t="s">
        <v>704</v>
      </c>
      <c r="C198">
        <v>266</v>
      </c>
      <c r="D198" t="s">
        <v>456</v>
      </c>
      <c r="E198" t="s">
        <v>608</v>
      </c>
      <c r="F198" t="s">
        <v>607</v>
      </c>
      <c r="G198">
        <v>1992</v>
      </c>
      <c r="H198">
        <v>1996</v>
      </c>
      <c r="J198">
        <v>20</v>
      </c>
      <c r="K198">
        <v>16400</v>
      </c>
      <c r="L198" s="9">
        <v>4600</v>
      </c>
      <c r="T198">
        <v>752</v>
      </c>
      <c r="W198">
        <v>220</v>
      </c>
      <c r="X198" s="4">
        <f t="shared" si="51"/>
        <v>2.9255319148936171E-2</v>
      </c>
      <c r="Y198">
        <v>186</v>
      </c>
      <c r="AA198">
        <v>22.15</v>
      </c>
      <c r="AB198">
        <v>22.15</v>
      </c>
      <c r="AC198">
        <v>2.81</v>
      </c>
      <c r="AE198" s="11">
        <v>39</v>
      </c>
      <c r="AF198" t="str">
        <f>CONCATENATE(VLOOKUP(AG198, 'Voxel Sizes'!$A$2:$B$18,2,FALSE),"x",INT(AC198*15), "x", INT(AD198*15))</f>
        <v>214x42x0</v>
      </c>
      <c r="AG198">
        <f t="shared" si="52"/>
        <v>13</v>
      </c>
      <c r="AI198" t="str">
        <f>CONCATENATE(VLOOKUP(AG198,'Articulated Lengths'!$A$2:$C$16,IF(AH198&lt;&gt;"", 3, 2), FALSE),IF(AH198&lt;&gt;"",CONCATENATE(",",VLOOKUP(AH198,$B:$AI,34,FALSE)),""))</f>
        <v>4,5,4</v>
      </c>
      <c r="AJ198" s="13" t="s">
        <v>756</v>
      </c>
      <c r="AK198" t="s">
        <v>754</v>
      </c>
      <c r="AL198" t="s">
        <v>704</v>
      </c>
      <c r="AM198" t="s">
        <v>755</v>
      </c>
      <c r="AP198">
        <v>10</v>
      </c>
      <c r="AQ198">
        <v>10</v>
      </c>
      <c r="AV198" t="s">
        <v>326</v>
      </c>
      <c r="AW198" t="str">
        <f>VLOOKUP(G198,Eras!$A$2:$C$10, 2, TRUE)</f>
        <v>lbr</v>
      </c>
      <c r="AX198" t="s">
        <v>377</v>
      </c>
      <c r="AY198" t="str">
        <f t="shared" si="53"/>
        <v>lbr_EMU (Express)</v>
      </c>
      <c r="AZ198" t="s">
        <v>757</v>
      </c>
    </row>
    <row r="199" spans="1:52" x14ac:dyDescent="0.25">
      <c r="A199" t="s">
        <v>103</v>
      </c>
      <c r="B199" t="s">
        <v>222</v>
      </c>
      <c r="C199">
        <v>266</v>
      </c>
      <c r="D199" t="s">
        <v>456</v>
      </c>
      <c r="E199" t="s">
        <v>608</v>
      </c>
      <c r="F199" t="s">
        <v>607</v>
      </c>
      <c r="G199">
        <v>1995</v>
      </c>
      <c r="J199">
        <v>4</v>
      </c>
      <c r="K199">
        <v>1328</v>
      </c>
      <c r="T199">
        <v>138.5</v>
      </c>
      <c r="W199">
        <v>160</v>
      </c>
      <c r="X199" s="4">
        <f t="shared" si="51"/>
        <v>0.11552346570397112</v>
      </c>
      <c r="Y199">
        <v>100</v>
      </c>
      <c r="AA199">
        <v>19.829999999999998</v>
      </c>
      <c r="AB199">
        <v>19.8</v>
      </c>
      <c r="AC199">
        <v>2.8</v>
      </c>
      <c r="AD199">
        <v>3.8</v>
      </c>
      <c r="AE199" s="11">
        <v>78</v>
      </c>
      <c r="AF199" t="str">
        <f>CONCATENATE(VLOOKUP(AG199, 'Voxel Sizes'!$A$2:$B$18,2,FALSE),"x",INT(AC199*15), "x", INT(AD199*15))</f>
        <v>198x42x57</v>
      </c>
      <c r="AG199">
        <f t="shared" si="52"/>
        <v>12</v>
      </c>
      <c r="AI199" t="str">
        <f>CONCATENATE(VLOOKUP(AG199,'Articulated Lengths'!$A$2:$C$16,IF(AH199&lt;&gt;"", 3, 2), FALSE),IF(AH199&lt;&gt;"",CONCATENATE(",",VLOOKUP(AH199,$B:$AI,34,FALSE)),""))</f>
        <v>4,4,4</v>
      </c>
      <c r="AK199" t="s">
        <v>710</v>
      </c>
      <c r="AL199" t="s">
        <v>713</v>
      </c>
      <c r="AM199" t="s">
        <v>611</v>
      </c>
      <c r="AP199">
        <v>10</v>
      </c>
      <c r="AQ199">
        <v>10</v>
      </c>
      <c r="AV199" t="s">
        <v>711</v>
      </c>
      <c r="AW199" t="str">
        <f>VLOOKUP(G199,Eras!$A$2:$C$10, 2, TRUE)</f>
        <v>prv</v>
      </c>
      <c r="AX199" t="s">
        <v>375</v>
      </c>
      <c r="AY199" t="str">
        <f t="shared" si="53"/>
        <v>prv_DMU (Express)</v>
      </c>
      <c r="AZ199" t="s">
        <v>712</v>
      </c>
    </row>
    <row r="200" spans="1:52" x14ac:dyDescent="0.25">
      <c r="A200" t="s">
        <v>653</v>
      </c>
      <c r="B200" t="s">
        <v>210</v>
      </c>
      <c r="C200">
        <v>268</v>
      </c>
      <c r="D200" t="s">
        <v>305</v>
      </c>
      <c r="E200" t="s">
        <v>608</v>
      </c>
      <c r="F200" t="s">
        <v>607</v>
      </c>
      <c r="G200">
        <v>1993</v>
      </c>
      <c r="H200">
        <v>1996</v>
      </c>
      <c r="K200">
        <v>6760</v>
      </c>
      <c r="L200" s="9">
        <v>5360</v>
      </c>
      <c r="T200">
        <v>126</v>
      </c>
      <c r="W200">
        <v>360</v>
      </c>
      <c r="X200" s="4">
        <f t="shared" si="51"/>
        <v>0.2857142857142857</v>
      </c>
      <c r="Y200">
        <v>87</v>
      </c>
      <c r="AA200">
        <v>21.36</v>
      </c>
      <c r="AB200">
        <v>21.36</v>
      </c>
      <c r="AF200" t="str">
        <f>CONCATENATE(VLOOKUP(AG200, 'Voxel Sizes'!$A$2:$B$18,2,FALSE),"x",INT(AC200*15), "x", INT(AD200*15))</f>
        <v>214x0x0</v>
      </c>
      <c r="AG200">
        <f t="shared" si="52"/>
        <v>13</v>
      </c>
      <c r="AI200" t="str">
        <f>CONCATENATE(VLOOKUP(AG200,'Articulated Lengths'!$A$2:$C$16,IF(AH200&lt;&gt;"", 3, 2), FALSE),IF(AH200&lt;&gt;"",CONCATENATE(",",VLOOKUP(AH200,$B:$AI,34,FALSE)),""))</f>
        <v>4,5,4</v>
      </c>
      <c r="AL200" t="s">
        <v>210</v>
      </c>
      <c r="AP200">
        <v>10</v>
      </c>
      <c r="AQ200">
        <v>10</v>
      </c>
      <c r="AW200" t="str">
        <f>VLOOKUP(G200,Eras!$A$2:$C$10, 2, TRUE)</f>
        <v>lbr</v>
      </c>
      <c r="AX200" t="s">
        <v>372</v>
      </c>
      <c r="AY200" t="str">
        <f t="shared" si="53"/>
        <v>lbr_Freight</v>
      </c>
      <c r="AZ200" t="s">
        <v>637</v>
      </c>
    </row>
    <row r="201" spans="1:52" x14ac:dyDescent="0.25">
      <c r="A201" t="s">
        <v>56</v>
      </c>
      <c r="B201" t="s">
        <v>211</v>
      </c>
      <c r="C201">
        <v>270</v>
      </c>
      <c r="D201" t="s">
        <v>305</v>
      </c>
      <c r="E201" t="s">
        <v>315</v>
      </c>
      <c r="F201" t="s">
        <v>317</v>
      </c>
      <c r="G201">
        <v>1998</v>
      </c>
      <c r="H201">
        <v>2015</v>
      </c>
      <c r="K201">
        <v>3300</v>
      </c>
      <c r="T201">
        <v>129.6</v>
      </c>
      <c r="W201">
        <v>260</v>
      </c>
      <c r="X201" s="4">
        <f t="shared" si="51"/>
        <v>0.20061728395061729</v>
      </c>
      <c r="Y201">
        <v>75</v>
      </c>
      <c r="AA201">
        <v>21.4</v>
      </c>
      <c r="AB201">
        <v>21.4</v>
      </c>
      <c r="AD201">
        <v>3.9</v>
      </c>
      <c r="AF201" t="str">
        <f>CONCATENATE(VLOOKUP(AG201, 'Voxel Sizes'!$A$2:$B$18,2,FALSE),"x",INT(AC201*15), "x", INT(AD201*15))</f>
        <v>214x0x58</v>
      </c>
      <c r="AG201">
        <f t="shared" si="52"/>
        <v>13</v>
      </c>
      <c r="AI201" t="str">
        <f>CONCATENATE(VLOOKUP(AG201,'Articulated Lengths'!$A$2:$C$16,IF(AH201&lt;&gt;"", 3, 2), FALSE),IF(AH201&lt;&gt;"",CONCATENATE(",",VLOOKUP(AH201,$B:$AI,34,FALSE)),""))</f>
        <v>4,5,4</v>
      </c>
      <c r="AP201">
        <v>10</v>
      </c>
      <c r="AQ201">
        <v>10</v>
      </c>
      <c r="AW201" t="str">
        <f>VLOOKUP(G201,Eras!$A$2:$C$10, 2, TRUE)</f>
        <v>prv</v>
      </c>
      <c r="AX201" t="s">
        <v>372</v>
      </c>
      <c r="AY201" t="str">
        <f t="shared" si="53"/>
        <v>prv_Freight</v>
      </c>
      <c r="AZ201" t="s">
        <v>617</v>
      </c>
    </row>
    <row r="202" spans="1:52" x14ac:dyDescent="0.25">
      <c r="A202" t="s">
        <v>149</v>
      </c>
      <c r="B202" t="s">
        <v>276</v>
      </c>
      <c r="C202">
        <v>272</v>
      </c>
      <c r="D202" t="s">
        <v>305</v>
      </c>
      <c r="E202" t="s">
        <v>315</v>
      </c>
      <c r="F202" t="s">
        <v>317</v>
      </c>
      <c r="G202">
        <v>1998</v>
      </c>
      <c r="H202">
        <v>2004</v>
      </c>
      <c r="K202">
        <v>3000</v>
      </c>
      <c r="T202">
        <v>120.6</v>
      </c>
      <c r="W202">
        <v>250</v>
      </c>
      <c r="X202" s="4">
        <f t="shared" si="51"/>
        <v>0.20729684908789386</v>
      </c>
      <c r="Y202">
        <v>95</v>
      </c>
      <c r="AA202">
        <v>19.38</v>
      </c>
      <c r="AB202">
        <v>19.38</v>
      </c>
      <c r="AD202">
        <v>3.9</v>
      </c>
      <c r="AF202" t="str">
        <f>CONCATENATE(VLOOKUP(AG202, 'Voxel Sizes'!$A$2:$B$18,2,FALSE),"x",INT(AC202*15), "x", INT(AD202*15))</f>
        <v>186x0x58</v>
      </c>
      <c r="AG202">
        <f t="shared" si="52"/>
        <v>11</v>
      </c>
      <c r="AI202" t="str">
        <f>CONCATENATE(VLOOKUP(AG202,'Articulated Lengths'!$A$2:$C$16,IF(AH202&lt;&gt;"", 3, 2), FALSE),IF(AH202&lt;&gt;"",CONCATENATE(",",VLOOKUP(AH202,$B:$AI,34,FALSE)),""))</f>
        <v>4,3,4</v>
      </c>
      <c r="AP202">
        <v>10</v>
      </c>
      <c r="AQ202">
        <v>10</v>
      </c>
      <c r="AW202" t="str">
        <f>VLOOKUP(G202,Eras!$A$2:$C$10, 2, TRUE)</f>
        <v>prv</v>
      </c>
      <c r="AX202" t="s">
        <v>372</v>
      </c>
      <c r="AY202" t="str">
        <f t="shared" si="53"/>
        <v>prv_Freight</v>
      </c>
      <c r="AZ202" t="s">
        <v>618</v>
      </c>
    </row>
    <row r="203" spans="1:52" x14ac:dyDescent="0.25">
      <c r="A203" t="s">
        <v>91</v>
      </c>
      <c r="B203" t="s">
        <v>648</v>
      </c>
      <c r="C203">
        <v>274</v>
      </c>
      <c r="D203" t="s">
        <v>456</v>
      </c>
      <c r="E203" t="s">
        <v>315</v>
      </c>
      <c r="F203" t="s">
        <v>317</v>
      </c>
      <c r="G203">
        <v>1998</v>
      </c>
      <c r="H203">
        <v>2005</v>
      </c>
      <c r="J203">
        <v>3</v>
      </c>
      <c r="K203">
        <v>1266</v>
      </c>
      <c r="T203">
        <v>135</v>
      </c>
      <c r="W203">
        <v>180</v>
      </c>
      <c r="X203" s="4">
        <f t="shared" si="51"/>
        <v>0.13333333333333333</v>
      </c>
      <c r="Y203">
        <v>100</v>
      </c>
      <c r="AA203">
        <v>23.62</v>
      </c>
      <c r="AB203">
        <v>21</v>
      </c>
      <c r="AC203">
        <v>2.69</v>
      </c>
      <c r="AD203">
        <v>3.77</v>
      </c>
      <c r="AE203" s="11">
        <v>63</v>
      </c>
      <c r="AF203" t="str">
        <f>CONCATENATE(VLOOKUP(AG203, 'Voxel Sizes'!$A$2:$B$18,2,FALSE),"x",INT(AC203*15), "x", INT(AD203*15))</f>
        <v>198x40x56</v>
      </c>
      <c r="AG203">
        <f t="shared" si="52"/>
        <v>12</v>
      </c>
      <c r="AI203" t="str">
        <f>CONCATENATE(VLOOKUP(AG203,'Articulated Lengths'!$A$2:$C$16,IF(AH203&lt;&gt;"", 3, 2), FALSE),IF(AH203&lt;&gt;"",CONCATENATE(",",VLOOKUP(AH203,$B:$AI,34,FALSE)),""))</f>
        <v>4,4,4</v>
      </c>
      <c r="AK203" t="s">
        <v>647</v>
      </c>
      <c r="AM203" t="s">
        <v>335</v>
      </c>
      <c r="AP203">
        <v>10</v>
      </c>
      <c r="AQ203">
        <v>10</v>
      </c>
      <c r="AV203" t="s">
        <v>326</v>
      </c>
      <c r="AW203" t="str">
        <f>VLOOKUP(G203,Eras!$A$2:$C$10, 2, TRUE)</f>
        <v>prv</v>
      </c>
      <c r="AX203" t="s">
        <v>374</v>
      </c>
      <c r="AY203" t="str">
        <f t="shared" si="53"/>
        <v>prv_DMU</v>
      </c>
      <c r="AZ203" t="s">
        <v>646</v>
      </c>
    </row>
    <row r="204" spans="1:52" x14ac:dyDescent="0.25">
      <c r="A204" t="s">
        <v>652</v>
      </c>
      <c r="B204" t="s">
        <v>636</v>
      </c>
      <c r="C204">
        <v>276</v>
      </c>
      <c r="D204" t="s">
        <v>305</v>
      </c>
      <c r="E204" t="s">
        <v>315</v>
      </c>
      <c r="F204" t="s">
        <v>317</v>
      </c>
      <c r="G204">
        <v>1999</v>
      </c>
      <c r="H204">
        <v>2000</v>
      </c>
      <c r="K204">
        <v>3200</v>
      </c>
      <c r="T204">
        <v>88</v>
      </c>
      <c r="W204">
        <v>144</v>
      </c>
      <c r="X204" s="4">
        <f t="shared" si="51"/>
        <v>0.16363636363636364</v>
      </c>
      <c r="Y204">
        <v>125</v>
      </c>
      <c r="AA204">
        <v>19.71</v>
      </c>
      <c r="AB204">
        <v>19.71</v>
      </c>
      <c r="AD204">
        <v>3.93</v>
      </c>
      <c r="AF204" t="str">
        <f>CONCATENATE(VLOOKUP(AG204, 'Voxel Sizes'!$A$2:$B$18,2,FALSE),"x",INT(AC204*15), "x", INT(AD204*15))</f>
        <v>198x0x58</v>
      </c>
      <c r="AG204">
        <f t="shared" si="52"/>
        <v>12</v>
      </c>
      <c r="AI204" t="str">
        <f>CONCATENATE(VLOOKUP(AG204,'Articulated Lengths'!$A$2:$C$16,IF(AH204&lt;&gt;"", 3, 2), FALSE),IF(AH204&lt;&gt;"",CONCATENATE(",",VLOOKUP(AH204,$B:$AI,34,FALSE)),""))</f>
        <v>4,4,4</v>
      </c>
      <c r="AP204">
        <v>10</v>
      </c>
      <c r="AQ204">
        <v>10</v>
      </c>
      <c r="AW204" t="str">
        <f>VLOOKUP(G204,Eras!$A$2:$C$10, 2, TRUE)</f>
        <v>prv</v>
      </c>
      <c r="AX204" t="s">
        <v>372</v>
      </c>
      <c r="AY204" t="str">
        <f t="shared" si="53"/>
        <v>prv_Freight</v>
      </c>
      <c r="AZ204" t="s">
        <v>635</v>
      </c>
    </row>
    <row r="205" spans="1:52" x14ac:dyDescent="0.25">
      <c r="A205" t="s">
        <v>633</v>
      </c>
      <c r="B205" t="s">
        <v>638</v>
      </c>
      <c r="C205">
        <v>278</v>
      </c>
      <c r="D205" t="s">
        <v>456</v>
      </c>
      <c r="E205" t="s">
        <v>339</v>
      </c>
      <c r="F205" t="s">
        <v>346</v>
      </c>
      <c r="G205">
        <v>2000</v>
      </c>
      <c r="H205">
        <v>2001</v>
      </c>
      <c r="I205">
        <v>2012</v>
      </c>
      <c r="J205">
        <v>8</v>
      </c>
      <c r="K205">
        <v>3620</v>
      </c>
      <c r="T205">
        <v>319</v>
      </c>
      <c r="W205">
        <v>240</v>
      </c>
      <c r="X205" s="4">
        <f t="shared" si="51"/>
        <v>7.5235109717868343E-2</v>
      </c>
      <c r="Y205">
        <v>100</v>
      </c>
      <c r="AB205">
        <v>21</v>
      </c>
      <c r="AE205" s="11">
        <f>23*3</f>
        <v>69</v>
      </c>
      <c r="AF205" t="str">
        <f>CONCATENATE(VLOOKUP(AG205, 'Voxel Sizes'!$A$2:$B$18,2,FALSE),"x",INT(AC205*15), "x", INT(AD205*15))</f>
        <v>198x0x0</v>
      </c>
      <c r="AG205">
        <f t="shared" si="52"/>
        <v>12</v>
      </c>
      <c r="AI205" t="str">
        <f>CONCATENATE(VLOOKUP(AG205,'Articulated Lengths'!$A$2:$C$16,IF(AH205&lt;&gt;"", 3, 2), FALSE),IF(AH205&lt;&gt;"",CONCATENATE(",",VLOOKUP(AH205,$B:$AI,34,FALSE)),""))</f>
        <v>4,4,4</v>
      </c>
      <c r="AK205" t="s">
        <v>641</v>
      </c>
      <c r="AM205" t="s">
        <v>640</v>
      </c>
      <c r="AP205">
        <v>10</v>
      </c>
      <c r="AQ205">
        <v>10</v>
      </c>
      <c r="AV205" t="s">
        <v>326</v>
      </c>
      <c r="AW205" t="str">
        <f>VLOOKUP(G205,Eras!$A$2:$C$10, 2, TRUE)</f>
        <v>prv</v>
      </c>
      <c r="AX205" t="s">
        <v>377</v>
      </c>
      <c r="AY205" t="str">
        <f t="shared" si="53"/>
        <v>prv_EMU (Express)</v>
      </c>
      <c r="AZ205" t="s">
        <v>639</v>
      </c>
    </row>
    <row r="206" spans="1:52" x14ac:dyDescent="0.25">
      <c r="A206" t="s">
        <v>634</v>
      </c>
      <c r="B206" t="s">
        <v>715</v>
      </c>
      <c r="C206">
        <v>280</v>
      </c>
      <c r="D206" t="s">
        <v>456</v>
      </c>
      <c r="E206" t="s">
        <v>339</v>
      </c>
      <c r="F206" t="s">
        <v>340</v>
      </c>
      <c r="G206">
        <v>2002</v>
      </c>
      <c r="J206">
        <v>8</v>
      </c>
      <c r="K206">
        <v>6840</v>
      </c>
      <c r="T206">
        <v>466</v>
      </c>
      <c r="W206">
        <v>325</v>
      </c>
      <c r="X206" s="4">
        <f t="shared" si="51"/>
        <v>6.974248927038626E-2</v>
      </c>
      <c r="Y206">
        <v>140</v>
      </c>
      <c r="AA206">
        <v>23.9</v>
      </c>
      <c r="AB206">
        <v>23.9</v>
      </c>
      <c r="AC206">
        <v>2.73</v>
      </c>
      <c r="AD206">
        <v>3.56</v>
      </c>
      <c r="AE206" s="11">
        <v>60</v>
      </c>
      <c r="AF206" t="str">
        <f>CONCATENATE(VLOOKUP(AG206, 'Voxel Sizes'!$A$2:$B$18,2,FALSE),"x",INT(AC206*15), "x", INT(AD206*15))</f>
        <v>238x40x53</v>
      </c>
      <c r="AG206">
        <f t="shared" si="52"/>
        <v>14</v>
      </c>
      <c r="AI206" t="str">
        <f>CONCATENATE(VLOOKUP(AG206,'Articulated Lengths'!$A$2:$C$16,IF(AH206&lt;&gt;"", 3, 2), FALSE),IF(AH206&lt;&gt;"",CONCATENATE(",",VLOOKUP(AH206,$B:$AI,34,FALSE)),""))</f>
        <v>4,6,4</v>
      </c>
      <c r="AK206" t="s">
        <v>714</v>
      </c>
      <c r="AM206" t="s">
        <v>717</v>
      </c>
      <c r="AP206">
        <v>10</v>
      </c>
      <c r="AQ206">
        <v>10</v>
      </c>
      <c r="AT206">
        <v>1</v>
      </c>
      <c r="AV206" t="s">
        <v>326</v>
      </c>
      <c r="AW206" t="str">
        <f>VLOOKUP(G206,Eras!$A$2:$C$10, 2, TRUE)</f>
        <v>prv</v>
      </c>
      <c r="AX206" t="s">
        <v>377</v>
      </c>
      <c r="AY206" t="str">
        <f t="shared" si="53"/>
        <v>prv_EMU (Express)</v>
      </c>
      <c r="AZ206" t="s">
        <v>716</v>
      </c>
    </row>
    <row r="207" spans="1:52" x14ac:dyDescent="0.25">
      <c r="A207" t="s">
        <v>104</v>
      </c>
      <c r="B207" t="s">
        <v>263</v>
      </c>
      <c r="C207">
        <v>282</v>
      </c>
      <c r="D207" t="s">
        <v>456</v>
      </c>
      <c r="E207" t="s">
        <v>315</v>
      </c>
      <c r="F207" t="s">
        <v>317</v>
      </c>
      <c r="G207">
        <v>2002</v>
      </c>
      <c r="J207">
        <v>4</v>
      </c>
      <c r="K207">
        <v>3000</v>
      </c>
      <c r="T207">
        <v>185.6</v>
      </c>
      <c r="W207">
        <v>185</v>
      </c>
      <c r="X207" s="4">
        <f t="shared" si="51"/>
        <v>9.9676724137931036E-2</v>
      </c>
      <c r="Y207">
        <v>125</v>
      </c>
      <c r="AA207">
        <v>23.8</v>
      </c>
      <c r="AB207">
        <v>23.8</v>
      </c>
      <c r="AC207">
        <v>2.73</v>
      </c>
      <c r="AE207" s="11">
        <v>51</v>
      </c>
      <c r="AF207" t="str">
        <f>CONCATENATE(VLOOKUP(AG207, 'Voxel Sizes'!$A$2:$B$18,2,FALSE),"x",INT(AC207*15), "x", INT(AD207*15))</f>
        <v>238x40x0</v>
      </c>
      <c r="AG207">
        <f t="shared" si="52"/>
        <v>14</v>
      </c>
      <c r="AI207" t="str">
        <f>CONCATENATE(VLOOKUP(AG207,'Articulated Lengths'!$A$2:$C$16,IF(AH207&lt;&gt;"", 3, 2), FALSE),IF(AH207&lt;&gt;"",CONCATENATE(",",VLOOKUP(AH207,$B:$AI,34,FALSE)),""))</f>
        <v>4,6,4</v>
      </c>
      <c r="AK207" t="s">
        <v>721</v>
      </c>
      <c r="AM207" t="s">
        <v>518</v>
      </c>
      <c r="AP207">
        <v>10</v>
      </c>
      <c r="AQ207">
        <v>10</v>
      </c>
      <c r="AV207" t="s">
        <v>326</v>
      </c>
      <c r="AW207" t="str">
        <f>VLOOKUP(G207,Eras!$A$2:$C$10, 2, TRUE)</f>
        <v>prv</v>
      </c>
      <c r="AX207" t="s">
        <v>375</v>
      </c>
      <c r="AY207" t="str">
        <f t="shared" si="53"/>
        <v>prv_DMU (Express)</v>
      </c>
      <c r="AZ207" t="s">
        <v>719</v>
      </c>
    </row>
    <row r="208" spans="1:52" x14ac:dyDescent="0.25">
      <c r="A208" t="s">
        <v>105</v>
      </c>
      <c r="B208" t="s">
        <v>262</v>
      </c>
      <c r="C208">
        <v>284</v>
      </c>
      <c r="D208" t="s">
        <v>456</v>
      </c>
      <c r="E208" t="s">
        <v>315</v>
      </c>
      <c r="F208" t="s">
        <v>317</v>
      </c>
      <c r="G208">
        <v>2002</v>
      </c>
      <c r="J208">
        <v>5</v>
      </c>
      <c r="K208">
        <f>750*5</f>
        <v>3750</v>
      </c>
      <c r="T208">
        <v>282</v>
      </c>
      <c r="W208">
        <v>270</v>
      </c>
      <c r="X208" s="4">
        <f t="shared" si="51"/>
        <v>9.5744680851063829E-2</v>
      </c>
      <c r="Y208">
        <v>125</v>
      </c>
      <c r="AA208">
        <v>23.8</v>
      </c>
      <c r="AB208">
        <v>23.8</v>
      </c>
      <c r="AC208">
        <v>2.73</v>
      </c>
      <c r="AE208" s="11">
        <v>51</v>
      </c>
      <c r="AF208" t="str">
        <f>CONCATENATE(VLOOKUP(AG208, 'Voxel Sizes'!$A$2:$B$18,2,FALSE),"x",INT(AC208*15), "x", INT(AD208*15))</f>
        <v>238x40x0</v>
      </c>
      <c r="AG208">
        <f t="shared" si="52"/>
        <v>14</v>
      </c>
      <c r="AI208" t="str">
        <f>CONCATENATE(VLOOKUP(AG208,'Articulated Lengths'!$A$2:$C$16,IF(AH208&lt;&gt;"", 3, 2), FALSE),IF(AH208&lt;&gt;"",CONCATENATE(",",VLOOKUP(AH208,$B:$AI,34,FALSE)),""))</f>
        <v>4,6,4</v>
      </c>
      <c r="AK208" t="s">
        <v>722</v>
      </c>
      <c r="AM208" t="s">
        <v>723</v>
      </c>
      <c r="AN208" t="s">
        <v>263</v>
      </c>
      <c r="AP208">
        <v>10</v>
      </c>
      <c r="AQ208">
        <v>10</v>
      </c>
      <c r="AT208">
        <v>1</v>
      </c>
      <c r="AV208" t="s">
        <v>326</v>
      </c>
      <c r="AW208" t="str">
        <f>VLOOKUP(G208,Eras!$A$2:$C$10, 2, TRUE)</f>
        <v>prv</v>
      </c>
      <c r="AX208" t="s">
        <v>375</v>
      </c>
      <c r="AY208" t="str">
        <f t="shared" si="53"/>
        <v>prv_DMU (Express)</v>
      </c>
      <c r="AZ208" t="s">
        <v>720</v>
      </c>
    </row>
    <row r="209" spans="1:52" x14ac:dyDescent="0.25">
      <c r="A209" t="s">
        <v>85</v>
      </c>
      <c r="B209" t="s">
        <v>643</v>
      </c>
      <c r="C209">
        <v>286</v>
      </c>
      <c r="D209" t="s">
        <v>456</v>
      </c>
      <c r="E209" t="s">
        <v>608</v>
      </c>
      <c r="F209" t="s">
        <v>607</v>
      </c>
      <c r="G209">
        <v>2003</v>
      </c>
      <c r="J209">
        <v>4</v>
      </c>
      <c r="K209">
        <v>1600</v>
      </c>
      <c r="T209">
        <v>173.6</v>
      </c>
      <c r="W209">
        <v>175</v>
      </c>
      <c r="X209" s="4">
        <f t="shared" si="51"/>
        <v>0.10080645161290322</v>
      </c>
      <c r="Y209">
        <v>100</v>
      </c>
      <c r="AA209">
        <v>20.399999999999999</v>
      </c>
      <c r="AB209">
        <v>20.399999999999999</v>
      </c>
      <c r="AD209">
        <v>3.78</v>
      </c>
      <c r="AE209" s="11">
        <v>60</v>
      </c>
      <c r="AF209" t="str">
        <f>CONCATENATE(VLOOKUP(AG209, 'Voxel Sizes'!$A$2:$B$18,2,FALSE),"x",INT(AC209*15), "x", INT(AD209*15))</f>
        <v>198x0x56</v>
      </c>
      <c r="AG209">
        <f t="shared" si="52"/>
        <v>12</v>
      </c>
      <c r="AI209" t="str">
        <f>CONCATENATE(VLOOKUP(AG209,'Articulated Lengths'!$A$2:$C$16,IF(AH209&lt;&gt;"", 3, 2), FALSE),IF(AH209&lt;&gt;"",CONCATENATE(",",VLOOKUP(AH209,$B:$AI,34,FALSE)),""))</f>
        <v>4,4,4</v>
      </c>
      <c r="AK209" t="s">
        <v>644</v>
      </c>
      <c r="AL209" t="s">
        <v>645</v>
      </c>
      <c r="AM209" t="s">
        <v>611</v>
      </c>
      <c r="AP209">
        <v>10</v>
      </c>
      <c r="AQ209">
        <v>10</v>
      </c>
      <c r="AV209" t="s">
        <v>326</v>
      </c>
      <c r="AW209" t="str">
        <f>VLOOKUP(G209,Eras!$A$2:$C$10, 2, TRUE)</f>
        <v>prv</v>
      </c>
      <c r="AX209" t="s">
        <v>376</v>
      </c>
      <c r="AY209" t="str">
        <f t="shared" si="53"/>
        <v>prv_EMU</v>
      </c>
      <c r="AZ209" t="s">
        <v>642</v>
      </c>
    </row>
    <row r="210" spans="1:52" x14ac:dyDescent="0.25">
      <c r="A210" t="s">
        <v>93</v>
      </c>
      <c r="B210" t="s">
        <v>260</v>
      </c>
      <c r="C210">
        <v>288</v>
      </c>
      <c r="D210" t="s">
        <v>456</v>
      </c>
      <c r="E210" t="s">
        <v>339</v>
      </c>
      <c r="F210" t="s">
        <v>346</v>
      </c>
      <c r="G210">
        <v>2003</v>
      </c>
      <c r="H210">
        <v>2006</v>
      </c>
      <c r="J210">
        <v>4</v>
      </c>
      <c r="K210">
        <v>2010</v>
      </c>
      <c r="T210">
        <v>170</v>
      </c>
      <c r="W210">
        <v>180</v>
      </c>
      <c r="X210" s="4">
        <f t="shared" si="51"/>
        <v>0.10588235294117647</v>
      </c>
      <c r="Y210">
        <v>100</v>
      </c>
      <c r="AA210">
        <v>20.399999999999999</v>
      </c>
      <c r="AB210">
        <v>20.399999999999999</v>
      </c>
      <c r="AC210">
        <v>2.8</v>
      </c>
      <c r="AE210" s="11">
        <v>66</v>
      </c>
      <c r="AF210" t="str">
        <f>CONCATENATE(VLOOKUP(AG210, 'Voxel Sizes'!$A$2:$B$18,2,FALSE),"x",INT(AC210*15), "x", INT(AD210*15))</f>
        <v>198x42x0</v>
      </c>
      <c r="AG210">
        <f t="shared" si="52"/>
        <v>12</v>
      </c>
      <c r="AI210" t="str">
        <f>CONCATENATE(VLOOKUP(AG210,'Articulated Lengths'!$A$2:$C$16,IF(AH210&lt;&gt;"", 3, 2), FALSE),IF(AH210&lt;&gt;"",CONCATENATE(",",VLOOKUP(AH210,$B:$AI,34,FALSE)),""))</f>
        <v>4,4,4</v>
      </c>
      <c r="AK210" t="s">
        <v>661</v>
      </c>
      <c r="AM210" t="s">
        <v>611</v>
      </c>
      <c r="AP210">
        <v>10</v>
      </c>
      <c r="AQ210">
        <v>10</v>
      </c>
      <c r="AV210" t="s">
        <v>326</v>
      </c>
      <c r="AW210" t="str">
        <f>VLOOKUP(G210,Eras!$A$2:$C$10, 2, TRUE)</f>
        <v>prv</v>
      </c>
      <c r="AX210" t="s">
        <v>376</v>
      </c>
      <c r="AY210" t="str">
        <f t="shared" si="53"/>
        <v>prv_EMU</v>
      </c>
      <c r="AZ210" t="s">
        <v>659</v>
      </c>
    </row>
    <row r="211" spans="1:52" x14ac:dyDescent="0.25">
      <c r="A211" t="s">
        <v>94</v>
      </c>
      <c r="B211" t="s">
        <v>261</v>
      </c>
      <c r="C211">
        <v>290</v>
      </c>
      <c r="D211" t="s">
        <v>456</v>
      </c>
      <c r="E211" t="s">
        <v>339</v>
      </c>
      <c r="F211" t="s">
        <v>346</v>
      </c>
      <c r="G211">
        <v>2004</v>
      </c>
      <c r="J211">
        <v>5</v>
      </c>
      <c r="K211">
        <v>2680</v>
      </c>
      <c r="T211">
        <v>227</v>
      </c>
      <c r="W211">
        <v>210</v>
      </c>
      <c r="X211" s="4">
        <f t="shared" si="51"/>
        <v>9.2511013215859028E-2</v>
      </c>
      <c r="Y211">
        <v>100</v>
      </c>
      <c r="AA211">
        <v>23</v>
      </c>
      <c r="AB211">
        <v>23</v>
      </c>
      <c r="AC211">
        <v>2.8</v>
      </c>
      <c r="AE211" s="11">
        <v>66</v>
      </c>
      <c r="AF211" t="str">
        <f>CONCATENATE(VLOOKUP(AG211, 'Voxel Sizes'!$A$2:$B$18,2,FALSE),"x",INT(AC211*15), "x", INT(AD211*15))</f>
        <v>214x42x0</v>
      </c>
      <c r="AG211">
        <f t="shared" si="52"/>
        <v>13</v>
      </c>
      <c r="AI211" t="str">
        <f>CONCATENATE(VLOOKUP(AG211,'Articulated Lengths'!$A$2:$C$16,IF(AH211&lt;&gt;"", 3, 2), FALSE),IF(AH211&lt;&gt;"",CONCATENATE(",",VLOOKUP(AH211,$B:$AI,34,FALSE)),""))</f>
        <v>4,5,4</v>
      </c>
      <c r="AK211" t="s">
        <v>662</v>
      </c>
      <c r="AM211" t="s">
        <v>663</v>
      </c>
      <c r="AP211">
        <v>10</v>
      </c>
      <c r="AQ211">
        <v>10</v>
      </c>
      <c r="AV211" t="s">
        <v>326</v>
      </c>
      <c r="AW211" t="str">
        <f>VLOOKUP(G211,Eras!$A$2:$C$10, 2, TRUE)</f>
        <v>prv</v>
      </c>
      <c r="AX211" t="s">
        <v>377</v>
      </c>
      <c r="AY211" t="str">
        <f t="shared" si="53"/>
        <v>prv_EMU (Express)</v>
      </c>
      <c r="AZ211" t="s">
        <v>660</v>
      </c>
    </row>
    <row r="212" spans="1:52" x14ac:dyDescent="0.25">
      <c r="A212" t="s">
        <v>87</v>
      </c>
      <c r="B212" t="s">
        <v>285</v>
      </c>
      <c r="C212">
        <v>292</v>
      </c>
      <c r="D212" t="s">
        <v>170</v>
      </c>
      <c r="F212" t="s">
        <v>317</v>
      </c>
      <c r="G212">
        <v>2007</v>
      </c>
      <c r="H212">
        <v>2009</v>
      </c>
      <c r="I212" t="s">
        <v>153</v>
      </c>
      <c r="K212">
        <f>16*280</f>
        <v>4480</v>
      </c>
      <c r="T212">
        <v>265</v>
      </c>
      <c r="X212" s="4" t="str">
        <f t="shared" si="51"/>
        <v/>
      </c>
      <c r="Y212">
        <v>157</v>
      </c>
      <c r="AA212">
        <v>20.88</v>
      </c>
      <c r="AB212">
        <v>20.88</v>
      </c>
      <c r="AD212">
        <v>3.82</v>
      </c>
      <c r="AE212" s="11">
        <v>352</v>
      </c>
      <c r="AF212" t="str">
        <f>CONCATENATE(VLOOKUP(AG212, 'Voxel Sizes'!$A$2:$B$18,2,FALSE),"x",INT(AC212*15), "x", INT(AD212*15))</f>
        <v>198x0x57</v>
      </c>
      <c r="AG212">
        <f t="shared" si="52"/>
        <v>12</v>
      </c>
      <c r="AI212" t="str">
        <f>CONCATENATE(VLOOKUP(AG212,'Articulated Lengths'!$A$2:$C$16,IF(AH212&lt;&gt;"", 3, 2), FALSE),IF(AH212&lt;&gt;"",CONCATENATE(",",VLOOKUP(AH212,$B:$AI,34,FALSE)),""))</f>
        <v>4,4,4</v>
      </c>
      <c r="AP212">
        <v>10</v>
      </c>
      <c r="AQ212">
        <v>10</v>
      </c>
      <c r="AW212" t="str">
        <f>VLOOKUP(G212,Eras!$A$2:$C$10, 2, TRUE)</f>
        <v>mod</v>
      </c>
      <c r="AX212" t="s">
        <v>377</v>
      </c>
      <c r="AY212" t="str">
        <f t="shared" si="53"/>
        <v>mod_EMU (Express)</v>
      </c>
    </row>
    <row r="213" spans="1:52" x14ac:dyDescent="0.25">
      <c r="A213" t="s">
        <v>61</v>
      </c>
      <c r="B213" t="s">
        <v>212</v>
      </c>
      <c r="C213">
        <v>294</v>
      </c>
      <c r="D213" t="s">
        <v>305</v>
      </c>
      <c r="E213" t="s">
        <v>315</v>
      </c>
      <c r="F213" t="s">
        <v>317</v>
      </c>
      <c r="G213">
        <v>2008</v>
      </c>
      <c r="H213">
        <v>2017</v>
      </c>
      <c r="K213">
        <v>3690</v>
      </c>
      <c r="T213">
        <v>129</v>
      </c>
      <c r="W213">
        <v>330</v>
      </c>
      <c r="X213" s="4">
        <f t="shared" si="51"/>
        <v>0.2558139534883721</v>
      </c>
      <c r="Y213">
        <v>75</v>
      </c>
      <c r="AA213">
        <v>21.27</v>
      </c>
      <c r="AB213">
        <v>21.27</v>
      </c>
      <c r="AD213">
        <v>3.91</v>
      </c>
      <c r="AF213" t="str">
        <f>CONCATENATE(VLOOKUP(AG213, 'Voxel Sizes'!$A$2:$B$18,2,FALSE),"x",INT(AC213*15), "x", INT(AD213*15))</f>
        <v>198x0x58</v>
      </c>
      <c r="AG213">
        <f t="shared" si="52"/>
        <v>12</v>
      </c>
      <c r="AI213" t="str">
        <f>CONCATENATE(VLOOKUP(AG213,'Articulated Lengths'!$A$2:$C$16,IF(AH213&lt;&gt;"", 3, 2), FALSE),IF(AH213&lt;&gt;"",CONCATENATE(",",VLOOKUP(AH213,$B:$AI,34,FALSE)),""))</f>
        <v>4,4,4</v>
      </c>
      <c r="AP213">
        <v>10</v>
      </c>
      <c r="AQ213">
        <v>10</v>
      </c>
      <c r="AW213" t="str">
        <f>VLOOKUP(G213,Eras!$A$2:$C$10, 2, TRUE)</f>
        <v>mod</v>
      </c>
      <c r="AX213" t="s">
        <v>372</v>
      </c>
      <c r="AY213" t="str">
        <f t="shared" si="53"/>
        <v>mod_Freight</v>
      </c>
      <c r="AZ213" t="s">
        <v>649</v>
      </c>
    </row>
    <row r="214" spans="1:52" x14ac:dyDescent="0.25">
      <c r="A214" t="s">
        <v>92</v>
      </c>
      <c r="B214" t="s">
        <v>259</v>
      </c>
      <c r="C214">
        <v>296</v>
      </c>
      <c r="D214" t="s">
        <v>456</v>
      </c>
      <c r="E214" t="s">
        <v>608</v>
      </c>
      <c r="F214" t="s">
        <v>607</v>
      </c>
      <c r="G214">
        <v>2009</v>
      </c>
      <c r="J214">
        <v>5</v>
      </c>
      <c r="K214">
        <f>800*2</f>
        <v>1600</v>
      </c>
      <c r="T214">
        <v>212.8</v>
      </c>
      <c r="W214">
        <v>180</v>
      </c>
      <c r="X214" s="4">
        <f t="shared" si="51"/>
        <v>8.4586466165413529E-2</v>
      </c>
      <c r="Y214">
        <v>75</v>
      </c>
      <c r="AA214">
        <v>20.399999999999999</v>
      </c>
      <c r="AB214">
        <v>20.399999999999999</v>
      </c>
      <c r="AC214">
        <v>2.8</v>
      </c>
      <c r="AD214">
        <v>3.78</v>
      </c>
      <c r="AE214" s="11">
        <v>90</v>
      </c>
      <c r="AF214" t="str">
        <f>CONCATENATE(VLOOKUP(AG214, 'Voxel Sizes'!$A$2:$B$18,2,FALSE),"x",INT(AC214*15), "x", INT(AD214*15))</f>
        <v>198x42x56</v>
      </c>
      <c r="AG214">
        <f t="shared" si="52"/>
        <v>12</v>
      </c>
      <c r="AI214" t="str">
        <f>CONCATENATE(VLOOKUP(AG214,'Articulated Lengths'!$A$2:$C$16,IF(AH214&lt;&gt;"", 3, 2), FALSE),IF(AH214&lt;&gt;"",CONCATENATE(",",VLOOKUP(AH214,$B:$AI,34,FALSE)),""))</f>
        <v>4,4,4</v>
      </c>
      <c r="AK214" t="s">
        <v>656</v>
      </c>
      <c r="AL214" t="s">
        <v>657</v>
      </c>
      <c r="AM214" t="s">
        <v>658</v>
      </c>
      <c r="AP214">
        <v>10</v>
      </c>
      <c r="AQ214">
        <v>10</v>
      </c>
      <c r="AV214" t="s">
        <v>326</v>
      </c>
      <c r="AW214" t="str">
        <f>VLOOKUP(G214,Eras!$A$2:$C$10, 2, TRUE)</f>
        <v>mod</v>
      </c>
      <c r="AX214" t="s">
        <v>376</v>
      </c>
      <c r="AY214" t="str">
        <f t="shared" si="53"/>
        <v>mod_EMU</v>
      </c>
      <c r="AZ214" t="s">
        <v>655</v>
      </c>
    </row>
    <row r="215" spans="1:52" x14ac:dyDescent="0.25">
      <c r="A215" t="s">
        <v>651</v>
      </c>
      <c r="B215" t="s">
        <v>650</v>
      </c>
      <c r="C215">
        <v>298</v>
      </c>
      <c r="D215" t="s">
        <v>305</v>
      </c>
      <c r="E215" t="s">
        <v>315</v>
      </c>
      <c r="F215" t="s">
        <v>317</v>
      </c>
      <c r="G215">
        <v>2013</v>
      </c>
      <c r="H215">
        <v>2016</v>
      </c>
      <c r="K215">
        <v>3800</v>
      </c>
      <c r="T215">
        <v>85</v>
      </c>
      <c r="W215">
        <v>317</v>
      </c>
      <c r="X215" s="4">
        <f t="shared" ref="X215:X247" si="54">IF(AND(T215&gt;0,W215&gt;0),(W215/((T215+U215)*10)),"")</f>
        <v>0.37294117647058822</v>
      </c>
      <c r="Y215">
        <v>100</v>
      </c>
      <c r="AA215">
        <v>20.5</v>
      </c>
      <c r="AB215">
        <v>20.5</v>
      </c>
      <c r="AF215" t="str">
        <f>CONCATENATE(VLOOKUP(AG215, 'Voxel Sizes'!$A$2:$B$18,2,FALSE),"x",INT(AC215*15), "x", INT(AD215*15))</f>
        <v>198x0x0</v>
      </c>
      <c r="AG215">
        <f t="shared" ref="AG215:AG248" si="55">ROUND(15*((AB215*10)/256),0)</f>
        <v>12</v>
      </c>
      <c r="AI215" t="str">
        <f>CONCATENATE(VLOOKUP(AG215,'Articulated Lengths'!$A$2:$C$16,IF(AH215&lt;&gt;"", 3, 2), FALSE),IF(AH215&lt;&gt;"",CONCATENATE(",",VLOOKUP(AH215,$B:$AI,34,FALSE)),""))</f>
        <v>4,4,4</v>
      </c>
      <c r="AP215">
        <v>10</v>
      </c>
      <c r="AQ215">
        <v>10</v>
      </c>
      <c r="AW215" t="str">
        <f>VLOOKUP(G215,Eras!$A$2:$C$10, 2, TRUE)</f>
        <v>mod</v>
      </c>
      <c r="AX215" t="s">
        <v>370</v>
      </c>
      <c r="AY215" t="str">
        <f t="shared" si="53"/>
        <v>mod_Mixed Traffic</v>
      </c>
      <c r="AZ215" t="s">
        <v>654</v>
      </c>
    </row>
    <row r="216" spans="1:52" x14ac:dyDescent="0.25">
      <c r="A216" t="s">
        <v>65</v>
      </c>
      <c r="B216" t="s">
        <v>213</v>
      </c>
      <c r="C216">
        <v>300</v>
      </c>
      <c r="D216" t="s">
        <v>170</v>
      </c>
      <c r="F216" t="s">
        <v>317</v>
      </c>
      <c r="G216">
        <v>2015</v>
      </c>
      <c r="H216">
        <v>2016</v>
      </c>
      <c r="K216">
        <v>5400</v>
      </c>
      <c r="L216" s="9">
        <v>940</v>
      </c>
      <c r="T216">
        <v>86</v>
      </c>
      <c r="W216">
        <v>317</v>
      </c>
      <c r="X216" s="4">
        <f t="shared" si="54"/>
        <v>0.36860465116279068</v>
      </c>
      <c r="Y216">
        <v>100</v>
      </c>
      <c r="AA216">
        <v>20.5</v>
      </c>
      <c r="AB216">
        <v>20.5</v>
      </c>
      <c r="AF216" t="str">
        <f>CONCATENATE(VLOOKUP(AG216, 'Voxel Sizes'!$A$2:$B$18,2,FALSE),"x",INT(AC216*15), "x", INT(AD216*15))</f>
        <v>198x0x0</v>
      </c>
      <c r="AG216">
        <f t="shared" si="55"/>
        <v>12</v>
      </c>
      <c r="AI216" t="str">
        <f>CONCATENATE(VLOOKUP(AG216,'Articulated Lengths'!$A$2:$C$16,IF(AH216&lt;&gt;"", 3, 2), FALSE),IF(AH216&lt;&gt;"",CONCATENATE(",",VLOOKUP(AH216,$B:$AI,34,FALSE)),""))</f>
        <v>4,4,4</v>
      </c>
      <c r="AP216">
        <v>10</v>
      </c>
      <c r="AQ216">
        <v>10</v>
      </c>
      <c r="AW216" t="str">
        <f>VLOOKUP(G216,Eras!$A$2:$C$10, 2, TRUE)</f>
        <v>mod</v>
      </c>
      <c r="AX216" t="s">
        <v>382</v>
      </c>
      <c r="AY216" t="str">
        <f t="shared" si="53"/>
        <v>mod_Freight (Electric)</v>
      </c>
    </row>
    <row r="217" spans="1:52" x14ac:dyDescent="0.25">
      <c r="A217" t="s">
        <v>102</v>
      </c>
      <c r="B217" t="s">
        <v>707</v>
      </c>
      <c r="C217">
        <v>302</v>
      </c>
      <c r="D217" t="s">
        <v>456</v>
      </c>
      <c r="E217" t="s">
        <v>315</v>
      </c>
      <c r="F217" t="s">
        <v>317</v>
      </c>
      <c r="G217">
        <v>2019</v>
      </c>
      <c r="J217">
        <v>2</v>
      </c>
      <c r="K217">
        <f>523*2</f>
        <v>1046</v>
      </c>
      <c r="T217">
        <v>80</v>
      </c>
      <c r="W217">
        <v>145</v>
      </c>
      <c r="X217" s="4">
        <f t="shared" si="54"/>
        <v>0.18124999999999999</v>
      </c>
      <c r="Y217">
        <v>100</v>
      </c>
      <c r="AA217">
        <v>24</v>
      </c>
      <c r="AB217">
        <v>24</v>
      </c>
      <c r="AC217">
        <v>2.7</v>
      </c>
      <c r="AD217">
        <v>3.85</v>
      </c>
      <c r="AE217" s="11">
        <v>63</v>
      </c>
      <c r="AF217" t="str">
        <f>CONCATENATE(VLOOKUP(AG217, 'Voxel Sizes'!$A$2:$B$18,2,FALSE),"x",INT(AC217*15), "x", INT(AD217*15))</f>
        <v>238x40x57</v>
      </c>
      <c r="AG217">
        <f t="shared" si="55"/>
        <v>14</v>
      </c>
      <c r="AI217" t="str">
        <f>CONCATENATE(VLOOKUP(AG217,'Articulated Lengths'!$A$2:$C$16,IF(AH217&lt;&gt;"", 3, 2), FALSE),IF(AH217&lt;&gt;"",CONCATENATE(",",VLOOKUP(AH217,$B:$AI,34,FALSE)),""))</f>
        <v>4,6,4</v>
      </c>
      <c r="AK217" t="s">
        <v>708</v>
      </c>
      <c r="AM217" t="s">
        <v>520</v>
      </c>
      <c r="AP217">
        <v>10</v>
      </c>
      <c r="AQ217">
        <v>10</v>
      </c>
      <c r="AV217" t="s">
        <v>326</v>
      </c>
      <c r="AW217" t="str">
        <f>VLOOKUP(G217,Eras!$A$2:$C$10, 2, TRUE)</f>
        <v>mod</v>
      </c>
      <c r="AX217" t="s">
        <v>374</v>
      </c>
      <c r="AY217" t="str">
        <f t="shared" si="53"/>
        <v>mod_DMU</v>
      </c>
      <c r="AZ217" t="s">
        <v>709</v>
      </c>
    </row>
    <row r="218" spans="1:52" x14ac:dyDescent="0.25">
      <c r="A218" t="s">
        <v>703</v>
      </c>
      <c r="B218" t="s">
        <v>758</v>
      </c>
      <c r="D218" t="s">
        <v>456</v>
      </c>
      <c r="E218" t="s">
        <v>608</v>
      </c>
      <c r="F218" t="s">
        <v>607</v>
      </c>
      <c r="G218">
        <v>1992</v>
      </c>
      <c r="H218">
        <v>1996</v>
      </c>
      <c r="J218">
        <v>8</v>
      </c>
      <c r="K218">
        <v>16400</v>
      </c>
      <c r="L218" s="9">
        <v>4600</v>
      </c>
      <c r="T218">
        <f>(752/20)*8</f>
        <v>300.8</v>
      </c>
      <c r="W218">
        <v>220</v>
      </c>
      <c r="X218" s="4">
        <f t="shared" si="54"/>
        <v>7.3138297872340427E-2</v>
      </c>
      <c r="Y218">
        <v>186</v>
      </c>
      <c r="AA218">
        <v>22.15</v>
      </c>
      <c r="AB218">
        <v>22.15</v>
      </c>
      <c r="AC218">
        <v>2.81</v>
      </c>
      <c r="AE218" s="11">
        <v>39</v>
      </c>
      <c r="AF218" t="str">
        <f>CONCATENATE(VLOOKUP(AG218, 'Voxel Sizes'!$A$2:$B$18,2,FALSE),"x",INT(AC218*15), "x", INT(AD218*15))</f>
        <v>214x42x0</v>
      </c>
      <c r="AG218">
        <f t="shared" si="55"/>
        <v>13</v>
      </c>
      <c r="AI218" t="str">
        <f>CONCATENATE(VLOOKUP(AG218,'Articulated Lengths'!$A$2:$C$16,IF(AH218&lt;&gt;"", 3, 2), FALSE),IF(AH218&lt;&gt;"",CONCATENATE(",",VLOOKUP(AH218,$B:$AI,34,FALSE)),""))</f>
        <v>4,5,4</v>
      </c>
      <c r="AJ218" s="13" t="s">
        <v>762</v>
      </c>
      <c r="AK218" t="s">
        <v>760</v>
      </c>
      <c r="AL218" t="s">
        <v>704</v>
      </c>
      <c r="AM218" t="s">
        <v>761</v>
      </c>
      <c r="AN218" t="s">
        <v>704</v>
      </c>
      <c r="AP218">
        <v>10</v>
      </c>
      <c r="AQ218">
        <v>10</v>
      </c>
      <c r="AV218" t="s">
        <v>326</v>
      </c>
      <c r="AW218" t="str">
        <f>VLOOKUP(G218,Eras!$A$2:$C$10, 2, TRUE)</f>
        <v>lbr</v>
      </c>
      <c r="AX218" t="s">
        <v>377</v>
      </c>
      <c r="AY218" t="str">
        <f t="shared" si="53"/>
        <v>lbr_EMU (Express)</v>
      </c>
      <c r="AZ218" t="s">
        <v>757</v>
      </c>
    </row>
    <row r="219" spans="1:52" x14ac:dyDescent="0.25">
      <c r="A219" t="s">
        <v>739</v>
      </c>
      <c r="B219" t="s">
        <v>740</v>
      </c>
      <c r="D219" t="s">
        <v>170</v>
      </c>
      <c r="E219" t="s">
        <v>339</v>
      </c>
      <c r="F219" t="s">
        <v>346</v>
      </c>
      <c r="G219">
        <v>1893</v>
      </c>
      <c r="H219">
        <v>1896</v>
      </c>
      <c r="I219">
        <v>1956</v>
      </c>
      <c r="J219">
        <v>2</v>
      </c>
      <c r="K219">
        <v>120</v>
      </c>
      <c r="T219">
        <v>10</v>
      </c>
      <c r="V219">
        <v>7</v>
      </c>
      <c r="W219">
        <v>30</v>
      </c>
      <c r="X219" s="4">
        <f t="shared" si="54"/>
        <v>0.3</v>
      </c>
      <c r="Y219">
        <v>35</v>
      </c>
      <c r="AA219">
        <v>14</v>
      </c>
      <c r="AB219">
        <v>14</v>
      </c>
      <c r="AC219">
        <v>2.59</v>
      </c>
      <c r="AE219" s="11">
        <f>41+16</f>
        <v>57</v>
      </c>
      <c r="AF219" t="str">
        <f>CONCATENATE(VLOOKUP(AG219, 'Voxel Sizes'!$A$2:$B$18,2,FALSE),"x",INT(AC219*15), "x", INT(AD219*15))</f>
        <v>136x38x0</v>
      </c>
      <c r="AG219">
        <f t="shared" si="55"/>
        <v>8</v>
      </c>
      <c r="AI219" t="str">
        <f>CONCATENATE(VLOOKUP(AG219,'Articulated Lengths'!$A$2:$C$16,IF(AH219&lt;&gt;"", 3, 2), FALSE),IF(AH219&lt;&gt;"",CONCATENATE(",",VLOOKUP(AH219,$B:$AI,34,FALSE)),""))</f>
        <v>2,4,2</v>
      </c>
      <c r="AK219" t="s">
        <v>741</v>
      </c>
      <c r="AM219" t="s">
        <v>520</v>
      </c>
      <c r="AP219">
        <v>10</v>
      </c>
      <c r="AQ219">
        <v>10</v>
      </c>
      <c r="AV219" t="s">
        <v>326</v>
      </c>
      <c r="AW219" t="str">
        <f>VLOOKUP(G219,Eras!$A$2:$C$10, 2, TRUE)</f>
        <v>vct</v>
      </c>
      <c r="AX219" t="s">
        <v>376</v>
      </c>
      <c r="AY219" t="str">
        <f t="shared" si="53"/>
        <v>vct_EMU</v>
      </c>
      <c r="AZ219" t="s">
        <v>742</v>
      </c>
    </row>
    <row r="220" spans="1:52" x14ac:dyDescent="0.25">
      <c r="A220" t="s">
        <v>108</v>
      </c>
      <c r="B220" t="s">
        <v>223</v>
      </c>
      <c r="D220" t="s">
        <v>170</v>
      </c>
      <c r="F220" t="s">
        <v>317</v>
      </c>
      <c r="G220">
        <v>1900</v>
      </c>
      <c r="X220" s="4" t="str">
        <f t="shared" si="54"/>
        <v/>
      </c>
      <c r="AF220" t="str">
        <f>CONCATENATE(VLOOKUP(AG220, 'Voxel Sizes'!$A$2:$B$18,2,FALSE),"x",INT(AC220*15), "x", INT(AD220*15))</f>
        <v>0x0x0</v>
      </c>
      <c r="AG220">
        <f t="shared" si="55"/>
        <v>0</v>
      </c>
      <c r="AI220" t="str">
        <f>CONCATENATE(VLOOKUP(AG220,'Articulated Lengths'!$A$2:$C$16,IF(AH220&lt;&gt;"", 3, 2), FALSE),IF(AH220&lt;&gt;"",CONCATENATE(",",VLOOKUP(AH220,$B:$AI,34,FALSE)),""))</f>
        <v>na</v>
      </c>
      <c r="AP220">
        <v>10</v>
      </c>
      <c r="AQ220">
        <v>10</v>
      </c>
      <c r="AW220" t="str">
        <f>VLOOKUP(G220,Eras!$A$2:$C$10, 2, TRUE)</f>
        <v>edw</v>
      </c>
      <c r="AX220" t="s">
        <v>388</v>
      </c>
      <c r="AY220" t="str">
        <f t="shared" si="53"/>
        <v>edw_LU</v>
      </c>
    </row>
    <row r="221" spans="1:52" x14ac:dyDescent="0.25">
      <c r="A221" t="s">
        <v>114</v>
      </c>
      <c r="B221" t="s">
        <v>227</v>
      </c>
      <c r="D221" t="s">
        <v>170</v>
      </c>
      <c r="F221" t="s">
        <v>317</v>
      </c>
      <c r="G221">
        <v>1938</v>
      </c>
      <c r="X221" s="4" t="str">
        <f t="shared" si="54"/>
        <v/>
      </c>
      <c r="AF221" t="str">
        <f>CONCATENATE(VLOOKUP(AG221, 'Voxel Sizes'!$A$2:$B$18,2,FALSE),"x",INT(AC221*15), "x", INT(AD221*15))</f>
        <v>0x0x0</v>
      </c>
      <c r="AG221">
        <f t="shared" si="55"/>
        <v>0</v>
      </c>
      <c r="AI221" t="str">
        <f>CONCATENATE(VLOOKUP(AG221,'Articulated Lengths'!$A$2:$C$16,IF(AH221&lt;&gt;"", 3, 2), FALSE),IF(AH221&lt;&gt;"",CONCATENATE(",",VLOOKUP(AH221,$B:$AI,34,FALSE)),""))</f>
        <v>na</v>
      </c>
      <c r="AP221">
        <v>10</v>
      </c>
      <c r="AQ221">
        <v>10</v>
      </c>
      <c r="AW221" t="str">
        <f>VLOOKUP(G221,Eras!$A$2:$C$10, 2, TRUE)</f>
        <v>big4</v>
      </c>
      <c r="AX221" t="s">
        <v>388</v>
      </c>
      <c r="AY221" t="str">
        <f t="shared" si="53"/>
        <v>big4_LU</v>
      </c>
    </row>
    <row r="222" spans="1:52" x14ac:dyDescent="0.25">
      <c r="A222" t="s">
        <v>115</v>
      </c>
      <c r="B222" t="s">
        <v>228</v>
      </c>
      <c r="D222" t="s">
        <v>170</v>
      </c>
      <c r="F222" t="s">
        <v>317</v>
      </c>
      <c r="G222">
        <v>1959</v>
      </c>
      <c r="X222" s="4" t="str">
        <f t="shared" si="54"/>
        <v/>
      </c>
      <c r="AF222" t="str">
        <f>CONCATENATE(VLOOKUP(AG222, 'Voxel Sizes'!$A$2:$B$18,2,FALSE),"x",INT(AC222*15), "x", INT(AD222*15))</f>
        <v>0x0x0</v>
      </c>
      <c r="AG222">
        <f t="shared" si="55"/>
        <v>0</v>
      </c>
      <c r="AI222" t="str">
        <f>CONCATENATE(VLOOKUP(AG222,'Articulated Lengths'!$A$2:$C$16,IF(AH222&lt;&gt;"", 3, 2), FALSE),IF(AH222&lt;&gt;"",CONCATENATE(",",VLOOKUP(AH222,$B:$AI,34,FALSE)),""))</f>
        <v>na</v>
      </c>
      <c r="AP222">
        <v>10</v>
      </c>
      <c r="AQ222">
        <v>10</v>
      </c>
      <c r="AW222" t="str">
        <f>VLOOKUP(G222,Eras!$A$2:$C$10, 2, TRUE)</f>
        <v>dsl</v>
      </c>
      <c r="AX222" t="s">
        <v>388</v>
      </c>
      <c r="AY222" t="str">
        <f t="shared" si="53"/>
        <v>dsl_LU</v>
      </c>
    </row>
    <row r="223" spans="1:52" x14ac:dyDescent="0.25">
      <c r="A223" t="s">
        <v>116</v>
      </c>
      <c r="B223" t="s">
        <v>229</v>
      </c>
      <c r="D223" t="s">
        <v>170</v>
      </c>
      <c r="F223" t="s">
        <v>317</v>
      </c>
      <c r="G223">
        <v>1960</v>
      </c>
      <c r="X223" s="4" t="str">
        <f t="shared" si="54"/>
        <v/>
      </c>
      <c r="AF223" t="str">
        <f>CONCATENATE(VLOOKUP(AG223, 'Voxel Sizes'!$A$2:$B$18,2,FALSE),"x",INT(AC223*15), "x", INT(AD223*15))</f>
        <v>0x0x0</v>
      </c>
      <c r="AG223">
        <f t="shared" si="55"/>
        <v>0</v>
      </c>
      <c r="AI223" t="str">
        <f>CONCATENATE(VLOOKUP(AG223,'Articulated Lengths'!$A$2:$C$16,IF(AH223&lt;&gt;"", 3, 2), FALSE),IF(AH223&lt;&gt;"",CONCATENATE(",",VLOOKUP(AH223,$B:$AI,34,FALSE)),""))</f>
        <v>na</v>
      </c>
      <c r="AP223">
        <v>10</v>
      </c>
      <c r="AQ223">
        <v>10</v>
      </c>
      <c r="AW223" t="str">
        <f>VLOOKUP(G223,Eras!$A$2:$C$10, 2, TRUE)</f>
        <v>dsl</v>
      </c>
      <c r="AX223" t="s">
        <v>388</v>
      </c>
      <c r="AY223" t="str">
        <f t="shared" si="53"/>
        <v>dsl_LU</v>
      </c>
    </row>
    <row r="224" spans="1:52" x14ac:dyDescent="0.25">
      <c r="A224" t="s">
        <v>117</v>
      </c>
      <c r="B224" t="s">
        <v>230</v>
      </c>
      <c r="D224" t="s">
        <v>170</v>
      </c>
      <c r="F224" t="s">
        <v>317</v>
      </c>
      <c r="G224">
        <v>1967</v>
      </c>
      <c r="X224" s="4" t="str">
        <f t="shared" si="54"/>
        <v/>
      </c>
      <c r="AF224" t="str">
        <f>CONCATENATE(VLOOKUP(AG224, 'Voxel Sizes'!$A$2:$B$18,2,FALSE),"x",INT(AC224*15), "x", INT(AD224*15))</f>
        <v>0x0x0</v>
      </c>
      <c r="AG224">
        <f t="shared" si="55"/>
        <v>0</v>
      </c>
      <c r="AI224" t="str">
        <f>CONCATENATE(VLOOKUP(AG224,'Articulated Lengths'!$A$2:$C$16,IF(AH224&lt;&gt;"", 3, 2), FALSE),IF(AH224&lt;&gt;"",CONCATENATE(",",VLOOKUP(AH224,$B:$AI,34,FALSE)),""))</f>
        <v>na</v>
      </c>
      <c r="AP224">
        <v>10</v>
      </c>
      <c r="AQ224">
        <v>10</v>
      </c>
      <c r="AW224" t="str">
        <f>VLOOKUP(G224,Eras!$A$2:$C$10, 2, TRUE)</f>
        <v>dsl</v>
      </c>
      <c r="AX224" t="s">
        <v>388</v>
      </c>
      <c r="AY224" t="str">
        <f t="shared" si="53"/>
        <v>dsl_LU</v>
      </c>
    </row>
    <row r="225" spans="1:51" x14ac:dyDescent="0.25">
      <c r="A225" t="s">
        <v>118</v>
      </c>
      <c r="B225" t="s">
        <v>231</v>
      </c>
      <c r="D225" t="s">
        <v>170</v>
      </c>
      <c r="F225" t="s">
        <v>317</v>
      </c>
      <c r="G225">
        <v>1969</v>
      </c>
      <c r="X225" s="4" t="str">
        <f t="shared" si="54"/>
        <v/>
      </c>
      <c r="AF225" t="str">
        <f>CONCATENATE(VLOOKUP(AG225, 'Voxel Sizes'!$A$2:$B$18,2,FALSE),"x",INT(AC225*15), "x", INT(AD225*15))</f>
        <v>0x0x0</v>
      </c>
      <c r="AG225">
        <f t="shared" si="55"/>
        <v>0</v>
      </c>
      <c r="AI225" t="str">
        <f>CONCATENATE(VLOOKUP(AG225,'Articulated Lengths'!$A$2:$C$16,IF(AH225&lt;&gt;"", 3, 2), FALSE),IF(AH225&lt;&gt;"",CONCATENATE(",",VLOOKUP(AH225,$B:$AI,34,FALSE)),""))</f>
        <v>na</v>
      </c>
      <c r="AP225">
        <v>10</v>
      </c>
      <c r="AQ225">
        <v>10</v>
      </c>
      <c r="AW225" t="str">
        <f>VLOOKUP(G225,Eras!$A$2:$C$10, 2, TRUE)</f>
        <v>dsl</v>
      </c>
      <c r="AX225" t="s">
        <v>388</v>
      </c>
      <c r="AY225" t="str">
        <f t="shared" si="53"/>
        <v>dsl_LU</v>
      </c>
    </row>
    <row r="226" spans="1:51" x14ac:dyDescent="0.25">
      <c r="A226" t="s">
        <v>119</v>
      </c>
      <c r="B226" t="s">
        <v>232</v>
      </c>
      <c r="D226" t="s">
        <v>170</v>
      </c>
      <c r="F226" t="s">
        <v>317</v>
      </c>
      <c r="G226">
        <v>1973</v>
      </c>
      <c r="X226" s="4" t="str">
        <f t="shared" si="54"/>
        <v/>
      </c>
      <c r="AF226" t="str">
        <f>CONCATENATE(VLOOKUP(AG226, 'Voxel Sizes'!$A$2:$B$18,2,FALSE),"x",INT(AC226*15), "x", INT(AD226*15))</f>
        <v>0x0x0</v>
      </c>
      <c r="AG226">
        <f t="shared" si="55"/>
        <v>0</v>
      </c>
      <c r="AI226" t="str">
        <f>CONCATENATE(VLOOKUP(AG226,'Articulated Lengths'!$A$2:$C$16,IF(AH226&lt;&gt;"", 3, 2), FALSE),IF(AH226&lt;&gt;"",CONCATENATE(",",VLOOKUP(AH226,$B:$AI,34,FALSE)),""))</f>
        <v>na</v>
      </c>
      <c r="AP226">
        <v>10</v>
      </c>
      <c r="AQ226">
        <v>10</v>
      </c>
      <c r="AW226" t="str">
        <f>VLOOKUP(G226,Eras!$A$2:$C$10, 2, TRUE)</f>
        <v>lbr</v>
      </c>
      <c r="AX226" t="s">
        <v>388</v>
      </c>
      <c r="AY226" t="str">
        <f t="shared" si="53"/>
        <v>lbr_LU</v>
      </c>
    </row>
    <row r="227" spans="1:51" x14ac:dyDescent="0.25">
      <c r="A227" t="s">
        <v>120</v>
      </c>
      <c r="B227" t="s">
        <v>233</v>
      </c>
      <c r="D227" t="s">
        <v>170</v>
      </c>
      <c r="F227" t="s">
        <v>317</v>
      </c>
      <c r="G227">
        <v>1978</v>
      </c>
      <c r="X227" s="4" t="str">
        <f t="shared" si="54"/>
        <v/>
      </c>
      <c r="AF227" t="str">
        <f>CONCATENATE(VLOOKUP(AG227, 'Voxel Sizes'!$A$2:$B$18,2,FALSE),"x",INT(AC227*15), "x", INT(AD227*15))</f>
        <v>0x0x0</v>
      </c>
      <c r="AG227">
        <f t="shared" si="55"/>
        <v>0</v>
      </c>
      <c r="AI227" t="str">
        <f>CONCATENATE(VLOOKUP(AG227,'Articulated Lengths'!$A$2:$C$16,IF(AH227&lt;&gt;"", 3, 2), FALSE),IF(AH227&lt;&gt;"",CONCATENATE(",",VLOOKUP(AH227,$B:$AI,34,FALSE)),""))</f>
        <v>na</v>
      </c>
      <c r="AP227">
        <v>10</v>
      </c>
      <c r="AQ227">
        <v>10</v>
      </c>
      <c r="AW227" t="str">
        <f>VLOOKUP(G227,Eras!$A$2:$C$10, 2, TRUE)</f>
        <v>lbr</v>
      </c>
      <c r="AX227" t="s">
        <v>388</v>
      </c>
      <c r="AY227" t="str">
        <f t="shared" si="53"/>
        <v>lbr_LU</v>
      </c>
    </row>
    <row r="228" spans="1:51" x14ac:dyDescent="0.25">
      <c r="A228" t="s">
        <v>121</v>
      </c>
      <c r="B228" t="s">
        <v>234</v>
      </c>
      <c r="D228" t="s">
        <v>170</v>
      </c>
      <c r="F228" t="s">
        <v>317</v>
      </c>
      <c r="G228">
        <v>1983</v>
      </c>
      <c r="X228" s="4" t="str">
        <f t="shared" si="54"/>
        <v/>
      </c>
      <c r="AF228" t="str">
        <f>CONCATENATE(VLOOKUP(AG228, 'Voxel Sizes'!$A$2:$B$18,2,FALSE),"x",INT(AC228*15), "x", INT(AD228*15))</f>
        <v>0x0x0</v>
      </c>
      <c r="AG228">
        <f t="shared" si="55"/>
        <v>0</v>
      </c>
      <c r="AI228" t="str">
        <f>CONCATENATE(VLOOKUP(AG228,'Articulated Lengths'!$A$2:$C$16,IF(AH228&lt;&gt;"", 3, 2), FALSE),IF(AH228&lt;&gt;"",CONCATENATE(",",VLOOKUP(AH228,$B:$AI,34,FALSE)),""))</f>
        <v>na</v>
      </c>
      <c r="AP228">
        <v>10</v>
      </c>
      <c r="AQ228">
        <v>10</v>
      </c>
      <c r="AW228" t="str">
        <f>VLOOKUP(G228,Eras!$A$2:$C$10, 2, TRUE)</f>
        <v>lbr</v>
      </c>
      <c r="AX228" t="s">
        <v>388</v>
      </c>
      <c r="AY228" t="str">
        <f t="shared" si="53"/>
        <v>lbr_LU</v>
      </c>
    </row>
    <row r="229" spans="1:51" x14ac:dyDescent="0.25">
      <c r="A229" t="s">
        <v>122</v>
      </c>
      <c r="B229" t="s">
        <v>235</v>
      </c>
      <c r="D229" t="s">
        <v>170</v>
      </c>
      <c r="F229" t="s">
        <v>317</v>
      </c>
      <c r="G229">
        <v>1992</v>
      </c>
      <c r="X229" s="4" t="str">
        <f t="shared" si="54"/>
        <v/>
      </c>
      <c r="AF229" t="str">
        <f>CONCATENATE(VLOOKUP(AG229, 'Voxel Sizes'!$A$2:$B$18,2,FALSE),"x",INT(AC229*15), "x", INT(AD229*15))</f>
        <v>0x0x0</v>
      </c>
      <c r="AG229">
        <f t="shared" si="55"/>
        <v>0</v>
      </c>
      <c r="AI229" t="str">
        <f>CONCATENATE(VLOOKUP(AG229,'Articulated Lengths'!$A$2:$C$16,IF(AH229&lt;&gt;"", 3, 2), FALSE),IF(AH229&lt;&gt;"",CONCATENATE(",",VLOOKUP(AH229,$B:$AI,34,FALSE)),""))</f>
        <v>na</v>
      </c>
      <c r="AP229">
        <v>10</v>
      </c>
      <c r="AQ229">
        <v>10</v>
      </c>
      <c r="AW229" t="str">
        <f>VLOOKUP(G229,Eras!$A$2:$C$10, 2, TRUE)</f>
        <v>lbr</v>
      </c>
      <c r="AX229" t="s">
        <v>388</v>
      </c>
      <c r="AY229" t="str">
        <f t="shared" si="53"/>
        <v>lbr_LU</v>
      </c>
    </row>
    <row r="230" spans="1:51" x14ac:dyDescent="0.25">
      <c r="A230" t="s">
        <v>123</v>
      </c>
      <c r="B230" t="s">
        <v>269</v>
      </c>
      <c r="D230" t="s">
        <v>170</v>
      </c>
      <c r="F230" t="s">
        <v>317</v>
      </c>
      <c r="G230">
        <v>1995</v>
      </c>
      <c r="X230" s="4" t="str">
        <f t="shared" si="54"/>
        <v/>
      </c>
      <c r="AF230" t="str">
        <f>CONCATENATE(VLOOKUP(AG230, 'Voxel Sizes'!$A$2:$B$18,2,FALSE),"x",INT(AC230*15), "x", INT(AD230*15))</f>
        <v>0x0x0</v>
      </c>
      <c r="AG230">
        <f t="shared" si="55"/>
        <v>0</v>
      </c>
      <c r="AI230" t="str">
        <f>CONCATENATE(VLOOKUP(AG230,'Articulated Lengths'!$A$2:$C$16,IF(AH230&lt;&gt;"", 3, 2), FALSE),IF(AH230&lt;&gt;"",CONCATENATE(",",VLOOKUP(AH230,$B:$AI,34,FALSE)),""))</f>
        <v>na</v>
      </c>
      <c r="AP230">
        <v>10</v>
      </c>
      <c r="AQ230">
        <v>10</v>
      </c>
      <c r="AW230" t="str">
        <f>VLOOKUP(G230,Eras!$A$2:$C$10, 2, TRUE)</f>
        <v>prv</v>
      </c>
      <c r="AX230" t="s">
        <v>388</v>
      </c>
      <c r="AY230" t="str">
        <f t="shared" si="53"/>
        <v>prv_LU</v>
      </c>
    </row>
    <row r="231" spans="1:51" x14ac:dyDescent="0.25">
      <c r="A231" t="s">
        <v>124</v>
      </c>
      <c r="B231" t="s">
        <v>236</v>
      </c>
      <c r="D231" t="s">
        <v>170</v>
      </c>
      <c r="F231" t="s">
        <v>317</v>
      </c>
      <c r="G231">
        <v>2009</v>
      </c>
      <c r="X231" s="4" t="str">
        <f t="shared" si="54"/>
        <v/>
      </c>
      <c r="AF231" t="str">
        <f>CONCATENATE(VLOOKUP(AG231, 'Voxel Sizes'!$A$2:$B$18,2,FALSE),"x",INT(AC231*15), "x", INT(AD231*15))</f>
        <v>0x0x0</v>
      </c>
      <c r="AG231">
        <f t="shared" si="55"/>
        <v>0</v>
      </c>
      <c r="AI231" t="str">
        <f>CONCATENATE(VLOOKUP(AG231,'Articulated Lengths'!$A$2:$C$16,IF(AH231&lt;&gt;"", 3, 2), FALSE),IF(AH231&lt;&gt;"",CONCATENATE(",",VLOOKUP(AH231,$B:$AI,34,FALSE)),""))</f>
        <v>na</v>
      </c>
      <c r="AP231">
        <v>10</v>
      </c>
      <c r="AQ231">
        <v>10</v>
      </c>
      <c r="AW231" t="str">
        <f>VLOOKUP(G231,Eras!$A$2:$C$10, 2, TRUE)</f>
        <v>mod</v>
      </c>
      <c r="AX231" t="s">
        <v>388</v>
      </c>
      <c r="AY231" t="str">
        <f t="shared" si="53"/>
        <v>mod_LU</v>
      </c>
    </row>
    <row r="232" spans="1:51" x14ac:dyDescent="0.25">
      <c r="A232" t="s">
        <v>125</v>
      </c>
      <c r="B232" t="s">
        <v>237</v>
      </c>
      <c r="D232" t="s">
        <v>170</v>
      </c>
      <c r="F232" t="s">
        <v>317</v>
      </c>
      <c r="G232">
        <v>2010</v>
      </c>
      <c r="X232" s="4" t="str">
        <f t="shared" si="54"/>
        <v/>
      </c>
      <c r="AF232" t="str">
        <f>CONCATENATE(VLOOKUP(AG232, 'Voxel Sizes'!$A$2:$B$18,2,FALSE),"x",INT(AC232*15), "x", INT(AD232*15))</f>
        <v>0x0x0</v>
      </c>
      <c r="AG232">
        <f t="shared" si="55"/>
        <v>0</v>
      </c>
      <c r="AI232" t="str">
        <f>CONCATENATE(VLOOKUP(AG232,'Articulated Lengths'!$A$2:$C$16,IF(AH232&lt;&gt;"", 3, 2), FALSE),IF(AH232&lt;&gt;"",CONCATENATE(",",VLOOKUP(AH232,$B:$AI,34,FALSE)),""))</f>
        <v>na</v>
      </c>
      <c r="AP232">
        <v>10</v>
      </c>
      <c r="AQ232">
        <v>10</v>
      </c>
      <c r="AW232" t="str">
        <f>VLOOKUP(G232,Eras!$A$2:$C$10, 2, TRUE)</f>
        <v>mod</v>
      </c>
      <c r="AX232" t="s">
        <v>388</v>
      </c>
      <c r="AY232" t="str">
        <f t="shared" si="53"/>
        <v>mod_LU</v>
      </c>
    </row>
    <row r="233" spans="1:51" x14ac:dyDescent="0.25">
      <c r="A233" t="s">
        <v>706</v>
      </c>
      <c r="B233" t="s">
        <v>705</v>
      </c>
      <c r="D233" t="s">
        <v>170</v>
      </c>
      <c r="F233" t="s">
        <v>317</v>
      </c>
      <c r="X233" s="4" t="str">
        <f t="shared" si="54"/>
        <v/>
      </c>
      <c r="AF233" t="str">
        <f>CONCATENATE(VLOOKUP(AG233, 'Voxel Sizes'!$A$2:$B$18,2,FALSE),"x",INT(AC233*15), "x", INT(AD233*15))</f>
        <v>0x0x0</v>
      </c>
      <c r="AG233">
        <f t="shared" si="55"/>
        <v>0</v>
      </c>
      <c r="AI233" t="str">
        <f>CONCATENATE(VLOOKUP(AG233,'Articulated Lengths'!$A$2:$C$16,IF(AH233&lt;&gt;"", 3, 2), FALSE),IF(AH233&lt;&gt;"",CONCATENATE(",",VLOOKUP(AH233,$B:$AI,34,FALSE)),""))</f>
        <v>na</v>
      </c>
      <c r="AP233">
        <v>10</v>
      </c>
      <c r="AQ233">
        <v>10</v>
      </c>
      <c r="AW233" t="e">
        <f>VLOOKUP(G233,Eras!$A$2:$C$10, 2, TRUE)</f>
        <v>#N/A</v>
      </c>
      <c r="AY233" t="e">
        <f t="shared" ref="AY233:AY248" si="56">CONCATENATE(AW233,"_",AX233)</f>
        <v>#N/A</v>
      </c>
    </row>
    <row r="234" spans="1:51" x14ac:dyDescent="0.25">
      <c r="A234" t="s">
        <v>107</v>
      </c>
      <c r="B234" t="s">
        <v>270</v>
      </c>
      <c r="D234" t="s">
        <v>170</v>
      </c>
      <c r="F234" t="s">
        <v>317</v>
      </c>
      <c r="X234" s="4" t="str">
        <f t="shared" si="54"/>
        <v/>
      </c>
      <c r="AF234" t="str">
        <f>CONCATENATE(VLOOKUP(AG234, 'Voxel Sizes'!$A$2:$B$18,2,FALSE),"x",INT(AC234*15), "x", INT(AD234*15))</f>
        <v>0x0x0</v>
      </c>
      <c r="AG234">
        <f t="shared" si="55"/>
        <v>0</v>
      </c>
      <c r="AI234" t="str">
        <f>CONCATENATE(VLOOKUP(AG234,'Articulated Lengths'!$A$2:$C$16,IF(AH234&lt;&gt;"", 3, 2), FALSE),IF(AH234&lt;&gt;"",CONCATENATE(",",VLOOKUP(AH234,$B:$AI,34,FALSE)),""))</f>
        <v>na</v>
      </c>
      <c r="AP234">
        <v>10</v>
      </c>
      <c r="AQ234">
        <v>10</v>
      </c>
      <c r="AW234" t="e">
        <f>VLOOKUP(G234,Eras!$A$2:$C$10, 2, TRUE)</f>
        <v>#N/A</v>
      </c>
      <c r="AY234" t="e">
        <f t="shared" si="56"/>
        <v>#N/A</v>
      </c>
    </row>
    <row r="235" spans="1:51" x14ac:dyDescent="0.25">
      <c r="A235" t="s">
        <v>109</v>
      </c>
      <c r="B235" t="s">
        <v>224</v>
      </c>
      <c r="D235" t="s">
        <v>170</v>
      </c>
      <c r="F235" t="s">
        <v>317</v>
      </c>
      <c r="X235" s="4" t="str">
        <f t="shared" si="54"/>
        <v/>
      </c>
      <c r="AF235" t="str">
        <f>CONCATENATE(VLOOKUP(AG235, 'Voxel Sizes'!$A$2:$B$18,2,FALSE),"x",INT(AC235*15), "x", INT(AD235*15))</f>
        <v>0x0x0</v>
      </c>
      <c r="AG235">
        <f t="shared" si="55"/>
        <v>0</v>
      </c>
      <c r="AI235" t="str">
        <f>CONCATENATE(VLOOKUP(AG235,'Articulated Lengths'!$A$2:$C$16,IF(AH235&lt;&gt;"", 3, 2), FALSE),IF(AH235&lt;&gt;"",CONCATENATE(",",VLOOKUP(AH235,$B:$AI,34,FALSE)),""))</f>
        <v>na</v>
      </c>
      <c r="AP235">
        <v>10</v>
      </c>
      <c r="AQ235">
        <v>10</v>
      </c>
      <c r="AW235" t="e">
        <f>VLOOKUP(G235,Eras!$A$2:$C$10, 2, TRUE)</f>
        <v>#N/A</v>
      </c>
      <c r="AY235" t="e">
        <f t="shared" si="56"/>
        <v>#N/A</v>
      </c>
    </row>
    <row r="236" spans="1:51" x14ac:dyDescent="0.25">
      <c r="A236" t="s">
        <v>110</v>
      </c>
      <c r="B236" t="s">
        <v>225</v>
      </c>
      <c r="D236" t="s">
        <v>170</v>
      </c>
      <c r="F236" t="s">
        <v>317</v>
      </c>
      <c r="X236" s="4" t="str">
        <f t="shared" si="54"/>
        <v/>
      </c>
      <c r="AF236" t="str">
        <f>CONCATENATE(VLOOKUP(AG236, 'Voxel Sizes'!$A$2:$B$18,2,FALSE),"x",INT(AC236*15), "x", INT(AD236*15))</f>
        <v>0x0x0</v>
      </c>
      <c r="AG236">
        <f t="shared" si="55"/>
        <v>0</v>
      </c>
      <c r="AI236" t="str">
        <f>CONCATENATE(VLOOKUP(AG236,'Articulated Lengths'!$A$2:$C$16,IF(AH236&lt;&gt;"", 3, 2), FALSE),IF(AH236&lt;&gt;"",CONCATENATE(",",VLOOKUP(AH236,$B:$AI,34,FALSE)),""))</f>
        <v>na</v>
      </c>
      <c r="AP236">
        <v>10</v>
      </c>
      <c r="AQ236">
        <v>10</v>
      </c>
      <c r="AW236" t="e">
        <f>VLOOKUP(G236,Eras!$A$2:$C$10, 2, TRUE)</f>
        <v>#N/A</v>
      </c>
      <c r="AY236" t="e">
        <f t="shared" si="56"/>
        <v>#N/A</v>
      </c>
    </row>
    <row r="237" spans="1:51" x14ac:dyDescent="0.25">
      <c r="A237" t="s">
        <v>111</v>
      </c>
      <c r="B237" t="s">
        <v>268</v>
      </c>
      <c r="D237" t="s">
        <v>170</v>
      </c>
      <c r="F237" t="s">
        <v>317</v>
      </c>
      <c r="X237" s="4" t="str">
        <f t="shared" si="54"/>
        <v/>
      </c>
      <c r="AF237" t="str">
        <f>CONCATENATE(VLOOKUP(AG237, 'Voxel Sizes'!$A$2:$B$18,2,FALSE),"x",INT(AC237*15), "x", INT(AD237*15))</f>
        <v>0x0x0</v>
      </c>
      <c r="AG237">
        <f t="shared" si="55"/>
        <v>0</v>
      </c>
      <c r="AI237" t="str">
        <f>CONCATENATE(VLOOKUP(AG237,'Articulated Lengths'!$A$2:$C$16,IF(AH237&lt;&gt;"", 3, 2), FALSE),IF(AH237&lt;&gt;"",CONCATENATE(",",VLOOKUP(AH237,$B:$AI,34,FALSE)),""))</f>
        <v>na</v>
      </c>
      <c r="AP237">
        <v>10</v>
      </c>
      <c r="AQ237">
        <v>10</v>
      </c>
      <c r="AW237" t="e">
        <f>VLOOKUP(G237,Eras!$A$2:$C$10, 2, TRUE)</f>
        <v>#N/A</v>
      </c>
      <c r="AY237" t="e">
        <f t="shared" si="56"/>
        <v>#N/A</v>
      </c>
    </row>
    <row r="238" spans="1:51" x14ac:dyDescent="0.25">
      <c r="A238" t="s">
        <v>112</v>
      </c>
      <c r="B238" t="s">
        <v>294</v>
      </c>
      <c r="D238" t="s">
        <v>170</v>
      </c>
      <c r="F238" t="s">
        <v>317</v>
      </c>
      <c r="X238" s="4" t="str">
        <f t="shared" si="54"/>
        <v/>
      </c>
      <c r="AF238" t="str">
        <f>CONCATENATE(VLOOKUP(AG238, 'Voxel Sizes'!$A$2:$B$18,2,FALSE),"x",INT(AC238*15), "x", INT(AD238*15))</f>
        <v>0x0x0</v>
      </c>
      <c r="AG238">
        <f t="shared" si="55"/>
        <v>0</v>
      </c>
      <c r="AI238" t="str">
        <f>CONCATENATE(VLOOKUP(AG238,'Articulated Lengths'!$A$2:$C$16,IF(AH238&lt;&gt;"", 3, 2), FALSE),IF(AH238&lt;&gt;"",CONCATENATE(",",VLOOKUP(AH238,$B:$AI,34,FALSE)),""))</f>
        <v>na</v>
      </c>
      <c r="AP238">
        <v>10</v>
      </c>
      <c r="AQ238">
        <v>10</v>
      </c>
      <c r="AW238" t="e">
        <f>VLOOKUP(G238,Eras!$A$2:$C$10, 2, TRUE)</f>
        <v>#N/A</v>
      </c>
      <c r="AX238" t="s">
        <v>388</v>
      </c>
      <c r="AY238" t="e">
        <f t="shared" si="56"/>
        <v>#N/A</v>
      </c>
    </row>
    <row r="239" spans="1:51" x14ac:dyDescent="0.25">
      <c r="A239" t="s">
        <v>113</v>
      </c>
      <c r="B239" t="s">
        <v>226</v>
      </c>
      <c r="D239" t="s">
        <v>170</v>
      </c>
      <c r="F239" t="s">
        <v>317</v>
      </c>
      <c r="X239" s="4" t="str">
        <f t="shared" si="54"/>
        <v/>
      </c>
      <c r="AF239" t="str">
        <f>CONCATENATE(VLOOKUP(AG239, 'Voxel Sizes'!$A$2:$B$18,2,FALSE),"x",INT(AC239*15), "x", INT(AD239*15))</f>
        <v>0x0x0</v>
      </c>
      <c r="AG239">
        <f t="shared" si="55"/>
        <v>0</v>
      </c>
      <c r="AI239" t="str">
        <f>CONCATENATE(VLOOKUP(AG239,'Articulated Lengths'!$A$2:$C$16,IF(AH239&lt;&gt;"", 3, 2), FALSE),IF(AH239&lt;&gt;"",CONCATENATE(",",VLOOKUP(AH239,$B:$AI,34,FALSE)),""))</f>
        <v>na</v>
      </c>
      <c r="AP239">
        <v>10</v>
      </c>
      <c r="AQ239">
        <v>10</v>
      </c>
      <c r="AW239" t="e">
        <f>VLOOKUP(G239,Eras!$A$2:$C$10, 2, TRUE)</f>
        <v>#N/A</v>
      </c>
      <c r="AX239" t="s">
        <v>388</v>
      </c>
      <c r="AY239" t="e">
        <f t="shared" si="56"/>
        <v>#N/A</v>
      </c>
    </row>
    <row r="240" spans="1:51" x14ac:dyDescent="0.25">
      <c r="A240" t="s">
        <v>126</v>
      </c>
      <c r="B240" t="s">
        <v>296</v>
      </c>
      <c r="D240" t="s">
        <v>170</v>
      </c>
      <c r="F240" t="s">
        <v>317</v>
      </c>
      <c r="X240" s="4" t="str">
        <f t="shared" si="54"/>
        <v/>
      </c>
      <c r="AF240" t="str">
        <f>CONCATENATE(VLOOKUP(AG240, 'Voxel Sizes'!$A$2:$B$18,2,FALSE),"x",INT(AC240*15), "x", INT(AD240*15))</f>
        <v>0x0x0</v>
      </c>
      <c r="AG240">
        <f t="shared" si="55"/>
        <v>0</v>
      </c>
      <c r="AI240" t="str">
        <f>CONCATENATE(VLOOKUP(AG240,'Articulated Lengths'!$A$2:$C$16,IF(AH240&lt;&gt;"", 3, 2), FALSE),IF(AH240&lt;&gt;"",CONCATENATE(",",VLOOKUP(AH240,$B:$AI,34,FALSE)),""))</f>
        <v>na</v>
      </c>
      <c r="AP240">
        <v>10</v>
      </c>
      <c r="AQ240">
        <v>10</v>
      </c>
      <c r="AW240" t="e">
        <f>VLOOKUP(G240,Eras!$A$2:$C$10, 2, TRUE)</f>
        <v>#N/A</v>
      </c>
      <c r="AY240" t="e">
        <f t="shared" si="56"/>
        <v>#N/A</v>
      </c>
    </row>
    <row r="241" spans="1:51" x14ac:dyDescent="0.25">
      <c r="A241" t="s">
        <v>127</v>
      </c>
      <c r="B241" t="s">
        <v>297</v>
      </c>
      <c r="D241" t="s">
        <v>170</v>
      </c>
      <c r="F241" t="s">
        <v>317</v>
      </c>
      <c r="X241" s="4" t="str">
        <f t="shared" si="54"/>
        <v/>
      </c>
      <c r="AF241" t="str">
        <f>CONCATENATE(VLOOKUP(AG241, 'Voxel Sizes'!$A$2:$B$18,2,FALSE),"x",INT(AC241*15), "x", INT(AD241*15))</f>
        <v>0x0x0</v>
      </c>
      <c r="AG241">
        <f t="shared" si="55"/>
        <v>0</v>
      </c>
      <c r="AI241" t="str">
        <f>CONCATENATE(VLOOKUP(AG241,'Articulated Lengths'!$A$2:$C$16,IF(AH241&lt;&gt;"", 3, 2), FALSE),IF(AH241&lt;&gt;"",CONCATENATE(",",VLOOKUP(AH241,$B:$AI,34,FALSE)),""))</f>
        <v>na</v>
      </c>
      <c r="AP241">
        <v>10</v>
      </c>
      <c r="AQ241">
        <v>10</v>
      </c>
      <c r="AW241" t="e">
        <f>VLOOKUP(G241,Eras!$A$2:$C$10, 2, TRUE)</f>
        <v>#N/A</v>
      </c>
      <c r="AY241" t="e">
        <f t="shared" si="56"/>
        <v>#N/A</v>
      </c>
    </row>
    <row r="242" spans="1:51" x14ac:dyDescent="0.25">
      <c r="A242" t="s">
        <v>130</v>
      </c>
      <c r="B242" t="s">
        <v>239</v>
      </c>
      <c r="D242" t="s">
        <v>170</v>
      </c>
      <c r="F242" t="s">
        <v>317</v>
      </c>
      <c r="X242" s="4" t="str">
        <f t="shared" si="54"/>
        <v/>
      </c>
      <c r="AF242" t="str">
        <f>CONCATENATE(VLOOKUP(AG242, 'Voxel Sizes'!$A$2:$B$18,2,FALSE),"x",INT(AC242*15), "x", INT(AD242*15))</f>
        <v>0x0x0</v>
      </c>
      <c r="AG242">
        <f t="shared" si="55"/>
        <v>0</v>
      </c>
      <c r="AI242" t="str">
        <f>CONCATENATE(VLOOKUP(AG242,'Articulated Lengths'!$A$2:$C$16,IF(AH242&lt;&gt;"", 3, 2), FALSE),IF(AH242&lt;&gt;"",CONCATENATE(",",VLOOKUP(AH242,$B:$AI,34,FALSE)),""))</f>
        <v>na</v>
      </c>
      <c r="AP242">
        <v>10</v>
      </c>
      <c r="AQ242">
        <v>10</v>
      </c>
      <c r="AW242" t="e">
        <f>VLOOKUP(G242,Eras!$A$2:$C$10, 2, TRUE)</f>
        <v>#N/A</v>
      </c>
      <c r="AY242" t="e">
        <f t="shared" si="56"/>
        <v>#N/A</v>
      </c>
    </row>
    <row r="243" spans="1:51" x14ac:dyDescent="0.25">
      <c r="A243" t="s">
        <v>137</v>
      </c>
      <c r="B243" t="s">
        <v>242</v>
      </c>
      <c r="D243" t="s">
        <v>170</v>
      </c>
      <c r="F243" t="s">
        <v>317</v>
      </c>
      <c r="X243" s="4" t="str">
        <f t="shared" si="54"/>
        <v/>
      </c>
      <c r="AF243" t="str">
        <f>CONCATENATE(VLOOKUP(AG243, 'Voxel Sizes'!$A$2:$B$18,2,FALSE),"x",INT(AC243*15), "x", INT(AD243*15))</f>
        <v>0x0x0</v>
      </c>
      <c r="AG243">
        <f t="shared" si="55"/>
        <v>0</v>
      </c>
      <c r="AI243" t="str">
        <f>CONCATENATE(VLOOKUP(AG243,'Articulated Lengths'!$A$2:$C$16,IF(AH243&lt;&gt;"", 3, 2), FALSE),IF(AH243&lt;&gt;"",CONCATENATE(",",VLOOKUP(AH243,$B:$AI,34,FALSE)),""))</f>
        <v>na</v>
      </c>
      <c r="AP243">
        <v>10</v>
      </c>
      <c r="AQ243">
        <v>10</v>
      </c>
      <c r="AW243" t="e">
        <f>VLOOKUP(G243,Eras!$A$2:$C$10, 2, TRUE)</f>
        <v>#N/A</v>
      </c>
      <c r="AY243" t="e">
        <f t="shared" si="56"/>
        <v>#N/A</v>
      </c>
    </row>
    <row r="244" spans="1:51" x14ac:dyDescent="0.25">
      <c r="A244" t="s">
        <v>430</v>
      </c>
      <c r="B244" t="s">
        <v>436</v>
      </c>
      <c r="D244" t="s">
        <v>170</v>
      </c>
      <c r="X244" s="4" t="str">
        <f t="shared" si="54"/>
        <v/>
      </c>
      <c r="AF244" t="str">
        <f>CONCATENATE(VLOOKUP(AG244, 'Voxel Sizes'!$A$2:$B$18,2,FALSE),"x",INT(AC244*15), "x", INT(AD244*15))</f>
        <v>0x0x0</v>
      </c>
      <c r="AG244">
        <f t="shared" si="55"/>
        <v>0</v>
      </c>
      <c r="AI244" t="str">
        <f>CONCATENATE(VLOOKUP(AG244,'Articulated Lengths'!$A$2:$C$16,IF(AH244&lt;&gt;"", 3, 2), FALSE),IF(AH244&lt;&gt;"",CONCATENATE(",",VLOOKUP(AH244,$B:$AI,34,FALSE)),""))</f>
        <v>na</v>
      </c>
      <c r="AP244">
        <v>10</v>
      </c>
      <c r="AQ244">
        <v>10</v>
      </c>
      <c r="AW244" t="e">
        <f>VLOOKUP(G244,Eras!$A$2:$C$10, 2, TRUE)</f>
        <v>#N/A</v>
      </c>
      <c r="AY244" t="e">
        <f t="shared" si="56"/>
        <v>#N/A</v>
      </c>
    </row>
    <row r="245" spans="1:51" x14ac:dyDescent="0.25">
      <c r="A245" t="s">
        <v>431</v>
      </c>
      <c r="B245" t="s">
        <v>437</v>
      </c>
      <c r="D245" t="s">
        <v>170</v>
      </c>
      <c r="X245" s="4" t="str">
        <f t="shared" si="54"/>
        <v/>
      </c>
      <c r="AF245" t="str">
        <f>CONCATENATE(VLOOKUP(AG245, 'Voxel Sizes'!$A$2:$B$18,2,FALSE),"x",INT(AC245*15), "x", INT(AD245*15))</f>
        <v>0x0x0</v>
      </c>
      <c r="AG245">
        <f t="shared" si="55"/>
        <v>0</v>
      </c>
      <c r="AI245" t="str">
        <f>CONCATENATE(VLOOKUP(AG245,'Articulated Lengths'!$A$2:$C$16,IF(AH245&lt;&gt;"", 3, 2), FALSE),IF(AH245&lt;&gt;"",CONCATENATE(",",VLOOKUP(AH245,$B:$AI,34,FALSE)),""))</f>
        <v>na</v>
      </c>
      <c r="AP245">
        <v>10</v>
      </c>
      <c r="AQ245">
        <v>10</v>
      </c>
      <c r="AW245" t="e">
        <f>VLOOKUP(G245,Eras!$A$2:$C$10, 2, TRUE)</f>
        <v>#N/A</v>
      </c>
      <c r="AY245" t="e">
        <f t="shared" si="56"/>
        <v>#N/A</v>
      </c>
    </row>
    <row r="246" spans="1:51" x14ac:dyDescent="0.25">
      <c r="A246" t="s">
        <v>432</v>
      </c>
      <c r="B246" t="s">
        <v>438</v>
      </c>
      <c r="D246" t="s">
        <v>170</v>
      </c>
      <c r="X246" s="4" t="str">
        <f t="shared" si="54"/>
        <v/>
      </c>
      <c r="AF246" t="str">
        <f>CONCATENATE(VLOOKUP(AG246, 'Voxel Sizes'!$A$2:$B$18,2,FALSE),"x",INT(AC246*15), "x", INT(AD246*15))</f>
        <v>0x0x0</v>
      </c>
      <c r="AG246">
        <f t="shared" si="55"/>
        <v>0</v>
      </c>
      <c r="AI246" t="str">
        <f>CONCATENATE(VLOOKUP(AG246,'Articulated Lengths'!$A$2:$C$16,IF(AH246&lt;&gt;"", 3, 2), FALSE),IF(AH246&lt;&gt;"",CONCATENATE(",",VLOOKUP(AH246,$B:$AI,34,FALSE)),""))</f>
        <v>na</v>
      </c>
      <c r="AP246">
        <v>10</v>
      </c>
      <c r="AQ246">
        <v>10</v>
      </c>
      <c r="AW246" t="e">
        <f>VLOOKUP(G246,Eras!$A$2:$C$10, 2, TRUE)</f>
        <v>#N/A</v>
      </c>
      <c r="AY246" t="e">
        <f t="shared" si="56"/>
        <v>#N/A</v>
      </c>
    </row>
    <row r="247" spans="1:51" x14ac:dyDescent="0.25">
      <c r="A247" t="s">
        <v>433</v>
      </c>
      <c r="B247" t="s">
        <v>439</v>
      </c>
      <c r="D247" t="s">
        <v>170</v>
      </c>
      <c r="X247" s="4" t="str">
        <f t="shared" si="54"/>
        <v/>
      </c>
      <c r="AF247" t="str">
        <f>CONCATENATE(VLOOKUP(AG247, 'Voxel Sizes'!$A$2:$B$18,2,FALSE),"x",INT(AC247*15), "x", INT(AD247*15))</f>
        <v>0x0x0</v>
      </c>
      <c r="AG247">
        <f t="shared" si="55"/>
        <v>0</v>
      </c>
      <c r="AI247" t="str">
        <f>CONCATENATE(VLOOKUP(AG247,'Articulated Lengths'!$A$2:$C$16,IF(AH247&lt;&gt;"", 3, 2), FALSE),IF(AH247&lt;&gt;"",CONCATENATE(",",VLOOKUP(AH247,$B:$AI,34,FALSE)),""))</f>
        <v>na</v>
      </c>
      <c r="AP247">
        <v>10</v>
      </c>
      <c r="AQ247">
        <v>10</v>
      </c>
      <c r="AW247" t="e">
        <f>VLOOKUP(G247,Eras!$A$2:$C$10, 2, TRUE)</f>
        <v>#N/A</v>
      </c>
      <c r="AY247" t="e">
        <f t="shared" si="56"/>
        <v>#N/A</v>
      </c>
    </row>
    <row r="248" spans="1:51" x14ac:dyDescent="0.25">
      <c r="A248" t="s">
        <v>724</v>
      </c>
      <c r="B248" t="s">
        <v>727</v>
      </c>
      <c r="D248" t="s">
        <v>170</v>
      </c>
      <c r="AF248" t="str">
        <f>CONCATENATE(VLOOKUP(AG248, 'Voxel Sizes'!$A$2:$B$18,2,FALSE),"x",INT(AC248*15), "x", INT(AD248*15))</f>
        <v>0x0x0</v>
      </c>
      <c r="AG248">
        <f t="shared" si="55"/>
        <v>0</v>
      </c>
      <c r="AI248" t="str">
        <f>CONCATENATE(VLOOKUP(AG248,'Articulated Lengths'!$A$2:$C$16,IF(AH248&lt;&gt;"", 3, 2), FALSE),IF(AH248&lt;&gt;"",CONCATENATE(",",VLOOKUP(AH248,$B:$AI,34,FALSE)),""))</f>
        <v>na</v>
      </c>
      <c r="AP248">
        <v>10</v>
      </c>
      <c r="AQ248">
        <v>10</v>
      </c>
      <c r="AW248" t="e">
        <f>VLOOKUP(G248,Eras!$A$2:$C$10, 2, TRUE)</f>
        <v>#N/A</v>
      </c>
      <c r="AY248" t="e">
        <f t="shared" si="56"/>
        <v>#N/A</v>
      </c>
    </row>
  </sheetData>
  <autoFilter ref="A1:AZ248" xr:uid="{CF2E8555-48EE-4386-A1B1-369F6A2E644F}">
    <sortState xmlns:xlrd2="http://schemas.microsoft.com/office/spreadsheetml/2017/richdata2" ref="A2:AZ248">
      <sortCondition ref="C178"/>
    </sortState>
  </autoFilter>
  <sortState xmlns:xlrd2="http://schemas.microsoft.com/office/spreadsheetml/2017/richdata2" ref="A54:AZ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AX1:AX1048576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420</v>
      </c>
      <c r="D1" s="1" t="s">
        <v>370</v>
      </c>
      <c r="E1" s="1" t="s">
        <v>369</v>
      </c>
      <c r="F1" s="1" t="s">
        <v>371</v>
      </c>
      <c r="G1" s="1" t="s">
        <v>372</v>
      </c>
      <c r="H1" s="1" t="s">
        <v>380</v>
      </c>
      <c r="I1" s="1" t="s">
        <v>381</v>
      </c>
      <c r="J1" s="1" t="s">
        <v>382</v>
      </c>
      <c r="K1" s="1" t="s">
        <v>373</v>
      </c>
      <c r="L1" s="1" t="s">
        <v>374</v>
      </c>
      <c r="M1" s="1" t="s">
        <v>375</v>
      </c>
      <c r="N1" s="1" t="s">
        <v>376</v>
      </c>
      <c r="O1" s="1" t="s">
        <v>377</v>
      </c>
      <c r="P1" s="1" t="s">
        <v>388</v>
      </c>
      <c r="Q1" s="1" t="s">
        <v>378</v>
      </c>
      <c r="R1" s="1" t="s">
        <v>379</v>
      </c>
      <c r="S1" s="1" t="s">
        <v>383</v>
      </c>
      <c r="T1" s="1" t="s">
        <v>384</v>
      </c>
      <c r="U1" s="1" t="s">
        <v>385</v>
      </c>
      <c r="V1" s="1" t="s">
        <v>386</v>
      </c>
      <c r="W1" s="1" t="s">
        <v>763</v>
      </c>
    </row>
    <row r="2" spans="1:23" x14ac:dyDescent="0.25">
      <c r="A2" s="1" t="s">
        <v>367</v>
      </c>
      <c r="B2" s="1" t="s">
        <v>368</v>
      </c>
    </row>
    <row r="3" spans="1:23" x14ac:dyDescent="0.25">
      <c r="A3" t="s">
        <v>360</v>
      </c>
      <c r="B3" t="str">
        <f>VLOOKUP(A3, Eras!$B$2:$C$10, 2, FALSE)</f>
        <v>Early (1800-1850)</v>
      </c>
      <c r="C3">
        <f>COUNTIF(Table!$AY:$AY,CONCATENATE($A3,"_",C$1))</f>
        <v>0</v>
      </c>
      <c r="D3">
        <f>COUNTIF(Table!$AY:$AY,CONCATENATE($A3,"_",D$1))</f>
        <v>4</v>
      </c>
      <c r="E3">
        <f>COUNTIF(Table!$AY:$AY,CONCATENATE($A3,"_",E$1))</f>
        <v>0</v>
      </c>
      <c r="F3">
        <f>COUNTIF(Table!$AY:$AY,CONCATENATE($A3,"_",F$1))</f>
        <v>1</v>
      </c>
      <c r="G3">
        <f>COUNTIF(Table!$AY:$AY,CONCATENATE($A3,"_",G$1))</f>
        <v>0</v>
      </c>
      <c r="H3">
        <f>COUNTIF(Table!$AY:$AY,CONCATENATE($A3,"_",H$1))</f>
        <v>0</v>
      </c>
      <c r="I3">
        <f>COUNTIF(Table!$AY:$AY,CONCATENATE($A3,"_",I$1))</f>
        <v>0</v>
      </c>
      <c r="J3">
        <f>COUNTIF(Table!$AY:$AY,CONCATENATE($A3,"_",J$1))</f>
        <v>0</v>
      </c>
      <c r="K3">
        <f>COUNTIF(Table!$AY:$AY,CONCATENATE($A3,"_",K$1))</f>
        <v>0</v>
      </c>
      <c r="L3">
        <f>COUNTIF(Table!$AY:$AY,CONCATENATE($A3,"_",L$1))</f>
        <v>0</v>
      </c>
      <c r="M3">
        <f>COUNTIF(Table!$AY:$AY,CONCATENATE($A3,"_",M$1))</f>
        <v>0</v>
      </c>
      <c r="N3">
        <f>COUNTIF(Table!$AY:$AY,CONCATENATE($A3,"_",N$1))</f>
        <v>0</v>
      </c>
      <c r="O3">
        <f>COUNTIF(Table!$AY:$AY,CONCATENATE($A3,"_",O$1))</f>
        <v>0</v>
      </c>
      <c r="P3">
        <f>COUNTIF(Table!$AY:$AY,CONCATENATE($A3,"_",P$1))</f>
        <v>0</v>
      </c>
      <c r="Q3">
        <f>COUNTIF(Table!$AY:$AY,CONCATENATE($A3,"_",Q$1))</f>
        <v>0</v>
      </c>
      <c r="R3">
        <f>COUNTIF(Table!$AY:$AY,CONCATENATE($A3,"_",R$1))</f>
        <v>0</v>
      </c>
      <c r="S3">
        <f>COUNTIF(Table!$AY:$AY,CONCATENATE($A3,"_",S$1))</f>
        <v>0</v>
      </c>
      <c r="T3">
        <f>COUNTIF(Table!$AY:$AY,CONCATENATE($A3,"_",T$1))</f>
        <v>0</v>
      </c>
      <c r="U3">
        <f>COUNTIF(Table!$AY:$AY,CONCATENATE($A3,"_",U$1))</f>
        <v>0</v>
      </c>
      <c r="V3">
        <f>COUNTIF(Table!$AY:$AY,CONCATENATE($A3,"_",V$1))</f>
        <v>0</v>
      </c>
      <c r="W3">
        <f>COUNTIF(Table!$AY:$AY,CONCATENATE($A3,"_",W$1))</f>
        <v>0</v>
      </c>
    </row>
    <row r="4" spans="1:23" x14ac:dyDescent="0.25">
      <c r="A4" t="s">
        <v>427</v>
      </c>
      <c r="B4" t="str">
        <f>VLOOKUP(A4, Eras!$B$2:$C$10, 2, FALSE)</f>
        <v>Victorian (1850-1900)</v>
      </c>
      <c r="C4">
        <f>COUNTIF(Table!$AY:$AY,CONCATENATE($A4,"_",C$1))</f>
        <v>0</v>
      </c>
      <c r="D4">
        <f>COUNTIF(Table!$AY:$AY,CONCATENATE($A4,"_",D$1))</f>
        <v>0</v>
      </c>
      <c r="E4">
        <f>COUNTIF(Table!$AY:$AY,CONCATENATE($A4,"_",E$1))</f>
        <v>0</v>
      </c>
      <c r="F4">
        <f>COUNTIF(Table!$AY:$AY,CONCATENATE($A4,"_",F$1))</f>
        <v>1</v>
      </c>
      <c r="G4">
        <f>COUNTIF(Table!$AY:$AY,CONCATENATE($A4,"_",G$1))</f>
        <v>0</v>
      </c>
      <c r="H4">
        <f>COUNTIF(Table!$AY:$AY,CONCATENATE($A4,"_",H$1))</f>
        <v>0</v>
      </c>
      <c r="I4">
        <f>COUNTIF(Table!$AY:$AY,CONCATENATE($A4,"_",I$1))</f>
        <v>0</v>
      </c>
      <c r="J4">
        <f>COUNTIF(Table!$AY:$AY,CONCATENATE($A4,"_",J$1))</f>
        <v>0</v>
      </c>
      <c r="K4">
        <f>COUNTIF(Table!$AY:$AY,CONCATENATE($A4,"_",K$1))</f>
        <v>0</v>
      </c>
      <c r="L4">
        <f>COUNTIF(Table!$AY:$AY,CONCATENATE($A4,"_",L$1))</f>
        <v>0</v>
      </c>
      <c r="M4">
        <f>COUNTIF(Table!$AY:$AY,CONCATENATE($A4,"_",M$1))</f>
        <v>0</v>
      </c>
      <c r="N4">
        <f>COUNTIF(Table!$AY:$AY,CONCATENATE($A4,"_",N$1))</f>
        <v>1</v>
      </c>
      <c r="O4">
        <f>COUNTIF(Table!$AY:$AY,CONCATENATE($A4,"_",O$1))</f>
        <v>0</v>
      </c>
      <c r="P4">
        <f>COUNTIF(Table!$AY:$AY,CONCATENATE($A4,"_",P$1))</f>
        <v>0</v>
      </c>
      <c r="Q4">
        <f>COUNTIF(Table!$AY:$AY,CONCATENATE($A4,"_",Q$1))</f>
        <v>1</v>
      </c>
      <c r="R4">
        <f>COUNTIF(Table!$AY:$AY,CONCATENATE($A4,"_",R$1))</f>
        <v>0</v>
      </c>
      <c r="S4">
        <f>COUNTIF(Table!$AY:$AY,CONCATENATE($A4,"_",S$1))</f>
        <v>1</v>
      </c>
      <c r="T4">
        <f>COUNTIF(Table!$AY:$AY,CONCATENATE($A4,"_",T$1))</f>
        <v>1</v>
      </c>
      <c r="U4">
        <f>COUNTIF(Table!$AY:$AY,CONCATENATE($A4,"_",U$1))</f>
        <v>2</v>
      </c>
      <c r="V4">
        <f>COUNTIF(Table!$AY:$AY,CONCATENATE($A4,"_",V$1))</f>
        <v>1</v>
      </c>
      <c r="W4">
        <f>COUNTIF(Table!$AY:$AY,CONCATENATE($A4,"_",W$1))</f>
        <v>1</v>
      </c>
    </row>
    <row r="5" spans="1:23" x14ac:dyDescent="0.25">
      <c r="A5" t="s">
        <v>361</v>
      </c>
      <c r="B5" t="str">
        <f>VLOOKUP(A5, Eras!$B$2:$C$10, 2, FALSE)</f>
        <v>Edwardian (1900-1920)</v>
      </c>
      <c r="C5">
        <f>COUNTIF(Table!$AY:$AY,CONCATENATE($A5,"_",C$1))</f>
        <v>2</v>
      </c>
      <c r="D5">
        <f>COUNTIF(Table!$AY:$AY,CONCATENATE($A5,"_",D$1))</f>
        <v>1</v>
      </c>
      <c r="E5">
        <f>COUNTIF(Table!$AY:$AY,CONCATENATE($A5,"_",E$1))</f>
        <v>1</v>
      </c>
      <c r="F5">
        <f>COUNTIF(Table!$AY:$AY,CONCATENATE($A5,"_",F$1))</f>
        <v>1</v>
      </c>
      <c r="G5">
        <f>COUNTIF(Table!$AY:$AY,CONCATENATE($A5,"_",G$1))</f>
        <v>2</v>
      </c>
      <c r="H5">
        <f>COUNTIF(Table!$AY:$AY,CONCATENATE($A5,"_",H$1))</f>
        <v>0</v>
      </c>
      <c r="I5">
        <f>COUNTIF(Table!$AY:$AY,CONCATENATE($A5,"_",I$1))</f>
        <v>0</v>
      </c>
      <c r="J5">
        <f>COUNTIF(Table!$AY:$AY,CONCATENATE($A5,"_",J$1))</f>
        <v>2</v>
      </c>
      <c r="K5">
        <f>COUNTIF(Table!$AY:$AY,CONCATENATE($A5,"_",K$1))</f>
        <v>1</v>
      </c>
      <c r="L5">
        <f>COUNTIF(Table!$AY:$AY,CONCATENATE($A5,"_",L$1))</f>
        <v>0</v>
      </c>
      <c r="M5">
        <f>COUNTIF(Table!$AY:$AY,CONCATENATE($A5,"_",M$1))</f>
        <v>0</v>
      </c>
      <c r="N5">
        <f>COUNTIF(Table!$AY:$AY,CONCATENATE($A5,"_",N$1))</f>
        <v>1</v>
      </c>
      <c r="O5">
        <f>COUNTIF(Table!$AY:$AY,CONCATENATE($A5,"_",O$1))</f>
        <v>0</v>
      </c>
      <c r="P5">
        <f>COUNTIF(Table!$AY:$AY,CONCATENATE($A5,"_",P$1))</f>
        <v>1</v>
      </c>
      <c r="Q5">
        <f>COUNTIF(Table!$AY:$AY,CONCATENATE($A5,"_",Q$1))</f>
        <v>1</v>
      </c>
      <c r="R5">
        <f>COUNTIF(Table!$AY:$AY,CONCATENATE($A5,"_",R$1))</f>
        <v>0</v>
      </c>
      <c r="S5">
        <f>COUNTIF(Table!$AY:$AY,CONCATENATE($A5,"_",S$1))</f>
        <v>1</v>
      </c>
      <c r="T5">
        <f>COUNTIF(Table!$AY:$AY,CONCATENATE($A5,"_",T$1))</f>
        <v>3</v>
      </c>
      <c r="U5">
        <f>COUNTIF(Table!$AY:$AY,CONCATENATE($A5,"_",U$1))</f>
        <v>2</v>
      </c>
      <c r="V5">
        <f>COUNTIF(Table!$AY:$AY,CONCATENATE($A5,"_",V$1))</f>
        <v>1</v>
      </c>
      <c r="W5">
        <f>COUNTIF(Table!$AY:$AY,CONCATENATE($A5,"_",W$1))</f>
        <v>0</v>
      </c>
    </row>
    <row r="6" spans="1:23" x14ac:dyDescent="0.25">
      <c r="A6" t="s">
        <v>362</v>
      </c>
      <c r="B6" t="str">
        <f>VLOOKUP(A6, Eras!$B$2:$C$10, 2, FALSE)</f>
        <v>Big Four (1923-1948)</v>
      </c>
      <c r="C6">
        <f>COUNTIF(Table!$AY:$AY,CONCATENATE($A6,"_",C$1))</f>
        <v>1</v>
      </c>
      <c r="D6">
        <f>COUNTIF(Table!$AY:$AY,CONCATENATE($A6,"_",D$1))</f>
        <v>11</v>
      </c>
      <c r="E6">
        <f>COUNTIF(Table!$AY:$AY,CONCATENATE($A6,"_",E$1))</f>
        <v>6</v>
      </c>
      <c r="F6">
        <f>COUNTIF(Table!$AY:$AY,CONCATENATE($A6,"_",F$1))</f>
        <v>10</v>
      </c>
      <c r="G6">
        <f>COUNTIF(Table!$AY:$AY,CONCATENATE($A6,"_",G$1))</f>
        <v>2</v>
      </c>
      <c r="H6">
        <f>COUNTIF(Table!$AY:$AY,CONCATENATE($A6,"_",H$1))</f>
        <v>1</v>
      </c>
      <c r="I6">
        <f>COUNTIF(Table!$AY:$AY,CONCATENATE($A6,"_",I$1))</f>
        <v>0</v>
      </c>
      <c r="J6">
        <f>COUNTIF(Table!$AY:$AY,CONCATENATE($A6,"_",J$1))</f>
        <v>0</v>
      </c>
      <c r="K6">
        <f>COUNTIF(Table!$AY:$AY,CONCATENATE($A6,"_",K$1))</f>
        <v>1</v>
      </c>
      <c r="L6">
        <f>COUNTIF(Table!$AY:$AY,CONCATENATE($A6,"_",L$1))</f>
        <v>0</v>
      </c>
      <c r="M6">
        <f>COUNTIF(Table!$AY:$AY,CONCATENATE($A6,"_",M$1))</f>
        <v>0</v>
      </c>
      <c r="N6">
        <f>COUNTIF(Table!$AY:$AY,CONCATENATE($A6,"_",N$1))</f>
        <v>2</v>
      </c>
      <c r="O6">
        <f>COUNTIF(Table!$AY:$AY,CONCATENATE($A6,"_",O$1))</f>
        <v>1</v>
      </c>
      <c r="P6">
        <f>COUNTIF(Table!$AY:$AY,CONCATENATE($A6,"_",P$1))</f>
        <v>1</v>
      </c>
      <c r="Q6">
        <f>COUNTIF(Table!$AY:$AY,CONCATENATE($A6,"_",Q$1))</f>
        <v>1</v>
      </c>
      <c r="R6">
        <f>COUNTIF(Table!$AY:$AY,CONCATENATE($A6,"_",R$1))</f>
        <v>0</v>
      </c>
      <c r="S6">
        <f>COUNTIF(Table!$AY:$AY,CONCATENATE($A6,"_",S$1))</f>
        <v>1</v>
      </c>
      <c r="T6">
        <f>COUNTIF(Table!$AY:$AY,CONCATENATE($A6,"_",T$1))</f>
        <v>1</v>
      </c>
      <c r="U6">
        <f>COUNTIF(Table!$AY:$AY,CONCATENATE($A6,"_",U$1))</f>
        <v>2</v>
      </c>
      <c r="V6">
        <f>COUNTIF(Table!$AY:$AY,CONCATENATE($A6,"_",V$1))</f>
        <v>1</v>
      </c>
      <c r="W6">
        <f>COUNTIF(Table!$AY:$AY,CONCATENATE($A6,"_",W$1))</f>
        <v>2</v>
      </c>
    </row>
    <row r="7" spans="1:23" x14ac:dyDescent="0.25">
      <c r="A7" t="s">
        <v>697</v>
      </c>
      <c r="B7" t="str">
        <f>VLOOKUP(A7, Eras!$B$2:$C$10, 2, FALSE)</f>
        <v>Early BR (1948-1955)</v>
      </c>
      <c r="C7">
        <f>COUNTIF(Table!$AY:$AY,CONCATENATE($A7,"_",C$1))</f>
        <v>0</v>
      </c>
      <c r="D7">
        <f>COUNTIF(Table!$AY:$AY,CONCATENATE($A7,"_",D$1))</f>
        <v>2</v>
      </c>
      <c r="E7">
        <f>COUNTIF(Table!$AY:$AY,CONCATENATE($A7,"_",E$1))</f>
        <v>1</v>
      </c>
      <c r="F7">
        <f>COUNTIF(Table!$AY:$AY,CONCATENATE($A7,"_",F$1))</f>
        <v>1</v>
      </c>
      <c r="G7">
        <f>COUNTIF(Table!$AY:$AY,CONCATENATE($A7,"_",G$1))</f>
        <v>1</v>
      </c>
      <c r="H7">
        <f>COUNTIF(Table!$AY:$AY,CONCATENATE($A7,"_",H$1))</f>
        <v>0</v>
      </c>
      <c r="I7">
        <f>COUNTIF(Table!$AY:$AY,CONCATENATE($A7,"_",I$1))</f>
        <v>1</v>
      </c>
      <c r="J7">
        <f>COUNTIF(Table!$AY:$AY,CONCATENATE($A7,"_",J$1))</f>
        <v>1</v>
      </c>
      <c r="K7">
        <f>COUNTIF(Table!$AY:$AY,CONCATENATE($A7,"_",K$1))</f>
        <v>0</v>
      </c>
      <c r="L7">
        <f>COUNTIF(Table!$AY:$AY,CONCATENATE($A7,"_",L$1))</f>
        <v>0</v>
      </c>
      <c r="M7">
        <f>COUNTIF(Table!$AY:$AY,CONCATENATE($A7,"_",M$1))</f>
        <v>0</v>
      </c>
      <c r="N7">
        <f>COUNTIF(Table!$AY:$AY,CONCATENATE($A7,"_",N$1))</f>
        <v>1</v>
      </c>
      <c r="O7">
        <f>COUNTIF(Table!$AY:$AY,CONCATENATE($A7,"_",O$1))</f>
        <v>0</v>
      </c>
      <c r="P7">
        <f>COUNTIF(Table!$AY:$AY,CONCATENATE($A7,"_",P$1))</f>
        <v>0</v>
      </c>
      <c r="Q7">
        <f>COUNTIF(Table!$AY:$AY,CONCATENATE($A7,"_",Q$1))</f>
        <v>1</v>
      </c>
      <c r="R7">
        <f>COUNTIF(Table!$AY:$AY,CONCATENATE($A7,"_",R$1))</f>
        <v>1</v>
      </c>
      <c r="S7">
        <f>COUNTIF(Table!$AY:$AY,CONCATENATE($A7,"_",S$1))</f>
        <v>1</v>
      </c>
      <c r="T7">
        <f>COUNTIF(Table!$AY:$AY,CONCATENATE($A7,"_",T$1))</f>
        <v>1</v>
      </c>
      <c r="U7">
        <f>COUNTIF(Table!$AY:$AY,CONCATENATE($A7,"_",U$1))</f>
        <v>0</v>
      </c>
      <c r="V7">
        <f>COUNTIF(Table!$AY:$AY,CONCATENATE($A7,"_",V$1))</f>
        <v>0</v>
      </c>
      <c r="W7">
        <f>COUNTIF(Table!$AY:$AY,CONCATENATE($A7,"_",W$1))</f>
        <v>0</v>
      </c>
    </row>
    <row r="8" spans="1:23" x14ac:dyDescent="0.25">
      <c r="A8" t="s">
        <v>363</v>
      </c>
      <c r="B8" t="str">
        <f>VLOOKUP(A8, Eras!$B$2:$C$10, 2, FALSE)</f>
        <v>Dieselisation (1955-1970)</v>
      </c>
      <c r="C8">
        <f>COUNTIF(Table!$AY:$AY,CONCATENATE($A8,"_",C$1))</f>
        <v>1</v>
      </c>
      <c r="D8">
        <f>COUNTIF(Table!$AY:$AY,CONCATENATE($A8,"_",D$1))</f>
        <v>7</v>
      </c>
      <c r="E8">
        <f>COUNTIF(Table!$AY:$AY,CONCATENATE($A8,"_",E$1))</f>
        <v>2</v>
      </c>
      <c r="F8">
        <f>COUNTIF(Table!$AY:$AY,CONCATENATE($A8,"_",F$1))</f>
        <v>5</v>
      </c>
      <c r="G8">
        <f>COUNTIF(Table!$AY:$AY,CONCATENATE($A8,"_",G$1))</f>
        <v>4</v>
      </c>
      <c r="H8">
        <f>COUNTIF(Table!$AY:$AY,CONCATENATE($A8,"_",H$1))</f>
        <v>1</v>
      </c>
      <c r="I8">
        <f>COUNTIF(Table!$AY:$AY,CONCATENATE($A8,"_",I$1))</f>
        <v>2</v>
      </c>
      <c r="J8">
        <f>COUNTIF(Table!$AY:$AY,CONCATENATE($A8,"_",J$1))</f>
        <v>0</v>
      </c>
      <c r="K8">
        <f>COUNTIF(Table!$AY:$AY,CONCATENATE($A8,"_",K$1))</f>
        <v>0</v>
      </c>
      <c r="L8">
        <f>COUNTIF(Table!$AY:$AY,CONCATENATE($A8,"_",L$1))</f>
        <v>3</v>
      </c>
      <c r="M8">
        <f>COUNTIF(Table!$AY:$AY,CONCATENATE($A8,"_",M$1))</f>
        <v>2</v>
      </c>
      <c r="N8">
        <f>COUNTIF(Table!$AY:$AY,CONCATENATE($A8,"_",N$1))</f>
        <v>0</v>
      </c>
      <c r="O8">
        <f>COUNTIF(Table!$AY:$AY,CONCATENATE($A8,"_",O$1))</f>
        <v>2</v>
      </c>
      <c r="P8">
        <f>COUNTIF(Table!$AY:$AY,CONCATENATE($A8,"_",P$1))</f>
        <v>4</v>
      </c>
      <c r="Q8">
        <f>COUNTIF(Table!$AY:$AY,CONCATENATE($A8,"_",Q$1))</f>
        <v>1</v>
      </c>
      <c r="R8">
        <f>COUNTIF(Table!$AY:$AY,CONCATENATE($A8,"_",R$1))</f>
        <v>1</v>
      </c>
      <c r="S8">
        <f>COUNTIF(Table!$AY:$AY,CONCATENATE($A8,"_",S$1))</f>
        <v>1</v>
      </c>
      <c r="T8">
        <f>COUNTIF(Table!$AY:$AY,CONCATENATE($A8,"_",T$1))</f>
        <v>0</v>
      </c>
      <c r="U8">
        <f>COUNTIF(Table!$AY:$AY,CONCATENATE($A8,"_",U$1))</f>
        <v>3</v>
      </c>
      <c r="V8">
        <f>COUNTIF(Table!$AY:$AY,CONCATENATE($A8,"_",V$1))</f>
        <v>1</v>
      </c>
      <c r="W8">
        <f>COUNTIF(Table!$AY:$AY,CONCATENATE($A8,"_",W$1))</f>
        <v>1</v>
      </c>
    </row>
    <row r="9" spans="1:23" x14ac:dyDescent="0.25">
      <c r="A9" t="s">
        <v>698</v>
      </c>
      <c r="B9" t="str">
        <f>VLOOKUP(A9, Eras!$B$2:$C$10, 2, FALSE)</f>
        <v>Late BR (1970-1995)</v>
      </c>
      <c r="C9">
        <f>COUNTIF(Table!$AY:$AY,CONCATENATE($A9,"_",C$1))</f>
        <v>0</v>
      </c>
      <c r="D9">
        <f>COUNTIF(Table!$AY:$AY,CONCATENATE($A9,"_",D$1))</f>
        <v>0</v>
      </c>
      <c r="E9">
        <f>COUNTIF(Table!$AY:$AY,CONCATENATE($A9,"_",E$1))</f>
        <v>0</v>
      </c>
      <c r="F9">
        <f>COUNTIF(Table!$AY:$AY,CONCATENATE($A9,"_",F$1))</f>
        <v>2</v>
      </c>
      <c r="G9">
        <f>COUNTIF(Table!$AY:$AY,CONCATENATE($A9,"_",G$1))</f>
        <v>5</v>
      </c>
      <c r="H9">
        <f>COUNTIF(Table!$AY:$AY,CONCATENATE($A9,"_",H$1))</f>
        <v>0</v>
      </c>
      <c r="I9">
        <f>COUNTIF(Table!$AY:$AY,CONCATENATE($A9,"_",I$1))</f>
        <v>3</v>
      </c>
      <c r="J9">
        <f>COUNTIF(Table!$AY:$AY,CONCATENATE($A9,"_",J$1))</f>
        <v>0</v>
      </c>
      <c r="K9">
        <f>COUNTIF(Table!$AY:$AY,CONCATENATE($A9,"_",K$1))</f>
        <v>1</v>
      </c>
      <c r="L9">
        <f>COUNTIF(Table!$AY:$AY,CONCATENATE($A9,"_",L$1))</f>
        <v>3</v>
      </c>
      <c r="M9">
        <f>COUNTIF(Table!$AY:$AY,CONCATENATE($A9,"_",M$1))</f>
        <v>1</v>
      </c>
      <c r="N9">
        <f>COUNTIF(Table!$AY:$AY,CONCATENATE($A9,"_",N$1))</f>
        <v>6</v>
      </c>
      <c r="O9">
        <f>COUNTIF(Table!$AY:$AY,CONCATENATE($A9,"_",O$1))</f>
        <v>4</v>
      </c>
      <c r="P9">
        <f>COUNTIF(Table!$AY:$AY,CONCATENATE($A9,"_",P$1))</f>
        <v>4</v>
      </c>
      <c r="Q9">
        <f>COUNTIF(Table!$AY:$AY,CONCATENATE($A9,"_",Q$1))</f>
        <v>2</v>
      </c>
      <c r="R9">
        <f>COUNTIF(Table!$AY:$AY,CONCATENATE($A9,"_",R$1))</f>
        <v>0</v>
      </c>
      <c r="S9">
        <f>COUNTIF(Table!$AY:$AY,CONCATENATE($A9,"_",S$1))</f>
        <v>2</v>
      </c>
      <c r="T9">
        <f>COUNTIF(Table!$AY:$AY,CONCATENATE($A9,"_",T$1))</f>
        <v>2</v>
      </c>
      <c r="U9">
        <f>COUNTIF(Table!$AY:$AY,CONCATENATE($A9,"_",U$1))</f>
        <v>3</v>
      </c>
      <c r="V9">
        <f>COUNTIF(Table!$AY:$AY,CONCATENATE($A9,"_",V$1))</f>
        <v>1</v>
      </c>
      <c r="W9">
        <f>COUNTIF(Table!$AY:$AY,CONCATENATE($A9,"_",W$1))</f>
        <v>1</v>
      </c>
    </row>
    <row r="10" spans="1:23" x14ac:dyDescent="0.25">
      <c r="A10" t="s">
        <v>364</v>
      </c>
      <c r="B10" t="str">
        <f>VLOOKUP(A10, Eras!$B$2:$C$10, 2, FALSE)</f>
        <v>Privatisation (1995-2005)</v>
      </c>
      <c r="C10">
        <f>COUNTIF(Table!$AY:$AY,CONCATENATE($A10,"_",C$1))</f>
        <v>0</v>
      </c>
      <c r="D10">
        <f>COUNTIF(Table!$AY:$AY,CONCATENATE($A10,"_",D$1))</f>
        <v>0</v>
      </c>
      <c r="E10">
        <f>COUNTIF(Table!$AY:$AY,CONCATENATE($A10,"_",E$1))</f>
        <v>0</v>
      </c>
      <c r="F10">
        <f>COUNTIF(Table!$AY:$AY,CONCATENATE($A10,"_",F$1))</f>
        <v>0</v>
      </c>
      <c r="G10">
        <f>COUNTIF(Table!$AY:$AY,CONCATENATE($A10,"_",G$1))</f>
        <v>3</v>
      </c>
      <c r="H10">
        <f>COUNTIF(Table!$AY:$AY,CONCATENATE($A10,"_",H$1))</f>
        <v>0</v>
      </c>
      <c r="I10">
        <f>COUNTIF(Table!$AY:$AY,CONCATENATE($A10,"_",I$1))</f>
        <v>0</v>
      </c>
      <c r="J10">
        <f>COUNTIF(Table!$AY:$AY,CONCATENATE($A10,"_",J$1))</f>
        <v>0</v>
      </c>
      <c r="K10">
        <f>COUNTIF(Table!$AY:$AY,CONCATENATE($A10,"_",K$1))</f>
        <v>0</v>
      </c>
      <c r="L10">
        <f>COUNTIF(Table!$AY:$AY,CONCATENATE($A10,"_",L$1))</f>
        <v>1</v>
      </c>
      <c r="M10">
        <f>COUNTIF(Table!$AY:$AY,CONCATENATE($A10,"_",M$1))</f>
        <v>3</v>
      </c>
      <c r="N10">
        <f>COUNTIF(Table!$AY:$AY,CONCATENATE($A10,"_",N$1))</f>
        <v>2</v>
      </c>
      <c r="O10">
        <f>COUNTIF(Table!$AY:$AY,CONCATENATE($A10,"_",O$1))</f>
        <v>3</v>
      </c>
      <c r="P10">
        <f>COUNTIF(Table!$AY:$AY,CONCATENATE($A10,"_",P$1))</f>
        <v>1</v>
      </c>
      <c r="Q10">
        <f>COUNTIF(Table!$AY:$AY,CONCATENATE($A10,"_",Q$1))</f>
        <v>0</v>
      </c>
      <c r="R10">
        <f>COUNTIF(Table!$AY:$AY,CONCATENATE($A10,"_",R$1))</f>
        <v>0</v>
      </c>
      <c r="S10">
        <f>COUNTIF(Table!$AY:$AY,CONCATENATE($A10,"_",S$1))</f>
        <v>1</v>
      </c>
      <c r="T10">
        <f>COUNTIF(Table!$AY:$AY,CONCATENATE($A10,"_",T$1))</f>
        <v>1</v>
      </c>
      <c r="U10">
        <f>COUNTIF(Table!$AY:$AY,CONCATENATE($A10,"_",U$1))</f>
        <v>0</v>
      </c>
      <c r="V10">
        <f>COUNTIF(Table!$AY:$AY,CONCATENATE($A10,"_",V$1))</f>
        <v>0</v>
      </c>
      <c r="W10">
        <f>COUNTIF(Table!$AY:$AY,CONCATENATE($A10,"_",W$1))</f>
        <v>1</v>
      </c>
    </row>
    <row r="11" spans="1:23" x14ac:dyDescent="0.25">
      <c r="A11" t="s">
        <v>365</v>
      </c>
      <c r="B11" t="str">
        <f>VLOOKUP(A11, Eras!$B$2:$C$10, 2, FALSE)</f>
        <v>Modern (2005-)</v>
      </c>
      <c r="C11">
        <f>COUNTIF(Table!$AY:$AY,CONCATENATE($A11,"_",C$1))</f>
        <v>0</v>
      </c>
      <c r="D11">
        <f>COUNTIF(Table!$AY:$AY,CONCATENATE($A11,"_",D$1))</f>
        <v>1</v>
      </c>
      <c r="E11">
        <f>COUNTIF(Table!$AY:$AY,CONCATENATE($A11,"_",E$1))</f>
        <v>0</v>
      </c>
      <c r="F11">
        <f>COUNTIF(Table!$AY:$AY,CONCATENATE($A11,"_",F$1))</f>
        <v>0</v>
      </c>
      <c r="G11">
        <f>COUNTIF(Table!$AY:$AY,CONCATENATE($A11,"_",G$1))</f>
        <v>1</v>
      </c>
      <c r="H11">
        <f>COUNTIF(Table!$AY:$AY,CONCATENATE($A11,"_",H$1))</f>
        <v>0</v>
      </c>
      <c r="I11">
        <f>COUNTIF(Table!$AY:$AY,CONCATENATE($A11,"_",I$1))</f>
        <v>0</v>
      </c>
      <c r="J11">
        <f>COUNTIF(Table!$AY:$AY,CONCATENATE($A11,"_",J$1))</f>
        <v>1</v>
      </c>
      <c r="K11">
        <f>COUNTIF(Table!$AY:$AY,CONCATENATE($A11,"_",K$1))</f>
        <v>0</v>
      </c>
      <c r="L11">
        <f>COUNTIF(Table!$AY:$AY,CONCATENATE($A11,"_",L$1))</f>
        <v>1</v>
      </c>
      <c r="M11">
        <f>COUNTIF(Table!$AY:$AY,CONCATENATE($A11,"_",M$1))</f>
        <v>0</v>
      </c>
      <c r="N11">
        <f>COUNTIF(Table!$AY:$AY,CONCATENATE($A11,"_",N$1))</f>
        <v>1</v>
      </c>
      <c r="O11">
        <f>COUNTIF(Table!$AY:$AY,CONCATENATE($A11,"_",O$1))</f>
        <v>1</v>
      </c>
      <c r="P11">
        <f>COUNTIF(Table!$AY:$AY,CONCATENATE($A11,"_",P$1))</f>
        <v>2</v>
      </c>
      <c r="Q11">
        <f>COUNTIF(Table!$AY:$AY,CONCATENATE($A11,"_",Q$1))</f>
        <v>0</v>
      </c>
      <c r="R11">
        <f>COUNTIF(Table!$AY:$AY,CONCATENATE($A11,"_",R$1))</f>
        <v>0</v>
      </c>
      <c r="S11">
        <f>COUNTIF(Table!$AY:$AY,CONCATENATE($A11,"_",S$1))</f>
        <v>1</v>
      </c>
      <c r="T11">
        <f>COUNTIF(Table!$AY:$AY,CONCATENATE($A11,"_",T$1))</f>
        <v>1</v>
      </c>
      <c r="U11">
        <f>COUNTIF(Table!$AY:$AY,CONCATENATE($A11,"_",U$1))</f>
        <v>0</v>
      </c>
      <c r="V11">
        <f>COUNTIF(Table!$AY:$AY,CONCATENATE($A11,"_",V$1))</f>
        <v>0</v>
      </c>
      <c r="W11">
        <f>COUNTIF(Table!$AY:$AY,CONCATENATE($A11,"_",W$1))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353</v>
      </c>
      <c r="B1" s="1" t="s">
        <v>359</v>
      </c>
      <c r="C1" s="1" t="s">
        <v>354</v>
      </c>
    </row>
    <row r="2" spans="1:3" x14ac:dyDescent="0.25">
      <c r="A2">
        <v>1800</v>
      </c>
      <c r="B2" t="s">
        <v>360</v>
      </c>
      <c r="C2" t="s">
        <v>426</v>
      </c>
    </row>
    <row r="3" spans="1:3" x14ac:dyDescent="0.25">
      <c r="A3">
        <v>1850</v>
      </c>
      <c r="B3" t="s">
        <v>427</v>
      </c>
      <c r="C3" t="s">
        <v>425</v>
      </c>
    </row>
    <row r="4" spans="1:3" x14ac:dyDescent="0.25">
      <c r="A4">
        <v>1900</v>
      </c>
      <c r="B4" t="s">
        <v>361</v>
      </c>
      <c r="C4" t="s">
        <v>355</v>
      </c>
    </row>
    <row r="5" spans="1:3" x14ac:dyDescent="0.25">
      <c r="A5">
        <v>1923</v>
      </c>
      <c r="B5" t="s">
        <v>362</v>
      </c>
      <c r="C5" t="s">
        <v>468</v>
      </c>
    </row>
    <row r="6" spans="1:3" x14ac:dyDescent="0.25">
      <c r="A6">
        <v>1948</v>
      </c>
      <c r="B6" t="s">
        <v>697</v>
      </c>
      <c r="C6" t="s">
        <v>356</v>
      </c>
    </row>
    <row r="7" spans="1:3" x14ac:dyDescent="0.25">
      <c r="A7">
        <v>1955</v>
      </c>
      <c r="B7" t="s">
        <v>363</v>
      </c>
      <c r="C7" t="s">
        <v>700</v>
      </c>
    </row>
    <row r="8" spans="1:3" x14ac:dyDescent="0.25">
      <c r="A8">
        <v>1970</v>
      </c>
      <c r="B8" t="s">
        <v>698</v>
      </c>
      <c r="C8" t="s">
        <v>699</v>
      </c>
    </row>
    <row r="9" spans="1:3" x14ac:dyDescent="0.25">
      <c r="A9">
        <v>1995</v>
      </c>
      <c r="B9" t="s">
        <v>364</v>
      </c>
      <c r="C9" t="s">
        <v>357</v>
      </c>
    </row>
    <row r="10" spans="1:3" x14ac:dyDescent="0.25">
      <c r="A10">
        <v>2005</v>
      </c>
      <c r="B10" t="s">
        <v>365</v>
      </c>
      <c r="C10" t="s">
        <v>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288</v>
      </c>
      <c r="B1" s="1" t="s">
        <v>289</v>
      </c>
      <c r="C1" s="1" t="s">
        <v>554</v>
      </c>
    </row>
    <row r="2" spans="1:3" x14ac:dyDescent="0.25">
      <c r="A2" s="2">
        <v>0</v>
      </c>
      <c r="B2" s="2" t="s">
        <v>170</v>
      </c>
    </row>
    <row r="3" spans="1:3" x14ac:dyDescent="0.25">
      <c r="A3">
        <v>3</v>
      </c>
      <c r="B3" t="s">
        <v>335</v>
      </c>
      <c r="C3" t="s">
        <v>335</v>
      </c>
    </row>
    <row r="4" spans="1:3" x14ac:dyDescent="0.25">
      <c r="A4">
        <v>4</v>
      </c>
      <c r="B4" t="s">
        <v>777</v>
      </c>
      <c r="C4" t="s">
        <v>777</v>
      </c>
    </row>
    <row r="5" spans="1:3" x14ac:dyDescent="0.25">
      <c r="A5">
        <v>5</v>
      </c>
      <c r="B5" t="s">
        <v>772</v>
      </c>
      <c r="C5" t="s">
        <v>772</v>
      </c>
    </row>
    <row r="6" spans="1:3" x14ac:dyDescent="0.25">
      <c r="A6">
        <v>6</v>
      </c>
      <c r="B6" t="s">
        <v>347</v>
      </c>
      <c r="C6" t="s">
        <v>347</v>
      </c>
    </row>
    <row r="7" spans="1:3" x14ac:dyDescent="0.25">
      <c r="A7">
        <v>7</v>
      </c>
      <c r="B7" t="s">
        <v>770</v>
      </c>
      <c r="C7" t="s">
        <v>770</v>
      </c>
    </row>
    <row r="8" spans="1:3" x14ac:dyDescent="0.25">
      <c r="A8">
        <v>8</v>
      </c>
      <c r="B8" t="s">
        <v>767</v>
      </c>
      <c r="C8" t="s">
        <v>767</v>
      </c>
    </row>
    <row r="9" spans="1:3" x14ac:dyDescent="0.25">
      <c r="A9">
        <v>9</v>
      </c>
      <c r="B9" t="s">
        <v>769</v>
      </c>
      <c r="C9" t="s">
        <v>769</v>
      </c>
    </row>
    <row r="10" spans="1:3" x14ac:dyDescent="0.25">
      <c r="A10">
        <v>10</v>
      </c>
      <c r="B10" t="s">
        <v>771</v>
      </c>
      <c r="C10" t="s">
        <v>771</v>
      </c>
    </row>
    <row r="11" spans="1:3" x14ac:dyDescent="0.25">
      <c r="A11">
        <v>11</v>
      </c>
      <c r="B11" t="s">
        <v>773</v>
      </c>
      <c r="C11" t="s">
        <v>773</v>
      </c>
    </row>
    <row r="12" spans="1:3" x14ac:dyDescent="0.25">
      <c r="A12">
        <v>12</v>
      </c>
      <c r="B12" t="s">
        <v>766</v>
      </c>
      <c r="C12" t="s">
        <v>766</v>
      </c>
    </row>
    <row r="13" spans="1:3" x14ac:dyDescent="0.25">
      <c r="A13">
        <v>13</v>
      </c>
      <c r="B13" t="s">
        <v>774</v>
      </c>
      <c r="C13" t="s">
        <v>774</v>
      </c>
    </row>
    <row r="14" spans="1:3" x14ac:dyDescent="0.25">
      <c r="A14">
        <v>14</v>
      </c>
      <c r="B14" t="s">
        <v>768</v>
      </c>
      <c r="C14" t="s">
        <v>768</v>
      </c>
    </row>
    <row r="15" spans="1:3" x14ac:dyDescent="0.25">
      <c r="A15">
        <v>15</v>
      </c>
      <c r="B15" t="s">
        <v>775</v>
      </c>
      <c r="C15" t="s">
        <v>775</v>
      </c>
    </row>
    <row r="16" spans="1:3" x14ac:dyDescent="0.25">
      <c r="A16">
        <v>16</v>
      </c>
      <c r="B16" t="s">
        <v>776</v>
      </c>
      <c r="C16" t="s">
        <v>776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342</v>
      </c>
      <c r="B1" s="1" t="s">
        <v>343</v>
      </c>
      <c r="C1" s="1" t="s">
        <v>344</v>
      </c>
      <c r="D1" s="1" t="s">
        <v>345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733</v>
      </c>
    </row>
    <row r="3" spans="1:21" x14ac:dyDescent="0.25">
      <c r="A3" t="s">
        <v>745</v>
      </c>
      <c r="B3" t="s">
        <v>729</v>
      </c>
      <c r="C3" t="s">
        <v>732</v>
      </c>
      <c r="D3" t="s">
        <v>732</v>
      </c>
      <c r="E3" t="s">
        <v>732</v>
      </c>
      <c r="F3" t="s">
        <v>732</v>
      </c>
      <c r="G3" t="s">
        <v>736</v>
      </c>
      <c r="H3" t="s">
        <v>735</v>
      </c>
      <c r="I3" t="s">
        <v>735</v>
      </c>
      <c r="J3" t="s">
        <v>737</v>
      </c>
      <c r="K3" t="s">
        <v>732</v>
      </c>
      <c r="L3" t="s">
        <v>732</v>
      </c>
      <c r="M3" t="s">
        <v>732</v>
      </c>
      <c r="N3" t="s">
        <v>732</v>
      </c>
      <c r="O3" t="s">
        <v>734</v>
      </c>
    </row>
    <row r="4" spans="1:21" x14ac:dyDescent="0.25">
      <c r="A4" t="s">
        <v>746</v>
      </c>
      <c r="B4">
        <v>1</v>
      </c>
      <c r="C4">
        <v>1</v>
      </c>
      <c r="D4">
        <v>0</v>
      </c>
      <c r="E4">
        <v>0</v>
      </c>
      <c r="F4">
        <v>0</v>
      </c>
      <c r="G4">
        <v>1</v>
      </c>
      <c r="H4">
        <v>1</v>
      </c>
      <c r="I4">
        <v>0</v>
      </c>
      <c r="J4">
        <v>1</v>
      </c>
      <c r="K4">
        <v>0</v>
      </c>
      <c r="L4">
        <v>0</v>
      </c>
      <c r="M4">
        <v>0</v>
      </c>
      <c r="N4">
        <v>0</v>
      </c>
      <c r="O4">
        <v>1</v>
      </c>
    </row>
    <row r="6" spans="1:21" ht="14.25" customHeight="1" x14ac:dyDescent="0.25">
      <c r="B6" t="s">
        <v>744</v>
      </c>
    </row>
    <row r="7" spans="1:21" x14ac:dyDescent="0.25">
      <c r="A7" t="s">
        <v>745</v>
      </c>
      <c r="B7" t="s">
        <v>704</v>
      </c>
      <c r="C7" t="s">
        <v>750</v>
      </c>
      <c r="D7" t="s">
        <v>749</v>
      </c>
      <c r="E7" t="s">
        <v>749</v>
      </c>
      <c r="F7" t="s">
        <v>749</v>
      </c>
      <c r="G7" t="s">
        <v>749</v>
      </c>
      <c r="H7" t="s">
        <v>751</v>
      </c>
      <c r="I7" t="s">
        <v>749</v>
      </c>
      <c r="J7" t="s">
        <v>749</v>
      </c>
      <c r="K7" t="s">
        <v>749</v>
      </c>
      <c r="L7" t="s">
        <v>749</v>
      </c>
      <c r="M7" t="s">
        <v>749</v>
      </c>
      <c r="N7" t="s">
        <v>749</v>
      </c>
      <c r="O7" t="s">
        <v>751</v>
      </c>
      <c r="P7" t="s">
        <v>749</v>
      </c>
      <c r="Q7" t="s">
        <v>749</v>
      </c>
      <c r="R7" t="s">
        <v>749</v>
      </c>
      <c r="S7" t="s">
        <v>749</v>
      </c>
      <c r="T7" t="s">
        <v>752</v>
      </c>
      <c r="U7" t="s">
        <v>753</v>
      </c>
    </row>
    <row r="8" spans="1:21" x14ac:dyDescent="0.25">
      <c r="A8" t="s">
        <v>746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759</v>
      </c>
    </row>
    <row r="18" spans="1:9" x14ac:dyDescent="0.25">
      <c r="A18" t="s">
        <v>745</v>
      </c>
      <c r="B18" t="s">
        <v>704</v>
      </c>
      <c r="C18" t="s">
        <v>750</v>
      </c>
      <c r="D18" t="s">
        <v>749</v>
      </c>
      <c r="E18" t="s">
        <v>751</v>
      </c>
      <c r="F18" t="s">
        <v>749</v>
      </c>
      <c r="G18" t="s">
        <v>751</v>
      </c>
      <c r="H18" t="s">
        <v>752</v>
      </c>
      <c r="I18" t="s">
        <v>753</v>
      </c>
    </row>
    <row r="19" spans="1:9" x14ac:dyDescent="0.25">
      <c r="A19" t="s">
        <v>746</v>
      </c>
      <c r="B19">
        <v>0</v>
      </c>
      <c r="C19">
        <v>0</v>
      </c>
      <c r="D19">
        <v>0</v>
      </c>
      <c r="E19">
        <v>0</v>
      </c>
      <c r="F19">
        <v>0</v>
      </c>
      <c r="G19">
        <v>0</v>
      </c>
      <c r="H19">
        <v>0</v>
      </c>
      <c r="I19">
        <v>0</v>
      </c>
    </row>
    <row r="20" spans="1:9" x14ac:dyDescent="0.25">
      <c r="A20" t="s">
        <v>288</v>
      </c>
      <c r="B20">
        <v>22.15</v>
      </c>
      <c r="C20">
        <v>21.84</v>
      </c>
      <c r="D20">
        <v>18.7</v>
      </c>
      <c r="E20">
        <v>18.7</v>
      </c>
      <c r="F20">
        <v>18.7</v>
      </c>
      <c r="G20">
        <v>18.7</v>
      </c>
      <c r="H20">
        <v>21.84</v>
      </c>
      <c r="I20">
        <v>22.15</v>
      </c>
    </row>
    <row r="21" spans="1:9" x14ac:dyDescent="0.25">
      <c r="A21" t="s">
        <v>747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tabSelected="1" topLeftCell="D25" workbookViewId="0">
      <selection activeCell="L38" sqref="L38"/>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885</v>
      </c>
      <c r="B1" s="1" t="s">
        <v>884</v>
      </c>
      <c r="C1" s="1" t="s">
        <v>1111</v>
      </c>
      <c r="F1" s="1" t="s">
        <v>1119</v>
      </c>
      <c r="G1" s="1" t="s">
        <v>354</v>
      </c>
      <c r="H1" s="1" t="s">
        <v>1121</v>
      </c>
      <c r="J1" s="1" t="s">
        <v>1134</v>
      </c>
      <c r="K1" s="1" t="s">
        <v>1135</v>
      </c>
      <c r="L1" s="1" t="s">
        <v>1136</v>
      </c>
      <c r="M1" s="1" t="s">
        <v>1137</v>
      </c>
      <c r="N1" s="1" t="s">
        <v>1122</v>
      </c>
      <c r="O1" s="1" t="s">
        <v>1130</v>
      </c>
      <c r="P1" s="1" t="s">
        <v>1128</v>
      </c>
      <c r="Q1" s="1" t="s">
        <v>1126</v>
      </c>
      <c r="R1" s="1" t="s">
        <v>1162</v>
      </c>
    </row>
    <row r="2" spans="1:18" ht="15.75" customHeight="1" x14ac:dyDescent="0.25">
      <c r="A2" t="s">
        <v>931</v>
      </c>
      <c r="B2" t="s">
        <v>989</v>
      </c>
      <c r="C2" t="s">
        <v>1037</v>
      </c>
      <c r="D2" t="str">
        <f t="shared" ref="D2:D33" si="0">CONCATENATE("""", A2, """,")</f>
        <v>"ACID",</v>
      </c>
      <c r="F2" t="s">
        <v>1087</v>
      </c>
      <c r="G2" s="14" t="str">
        <f>VLOOKUP(F2,A:B,2, FALSE)</f>
        <v>Batteries</v>
      </c>
      <c r="H2" s="14" t="s">
        <v>1130</v>
      </c>
      <c r="J2" t="s">
        <v>1133</v>
      </c>
      <c r="K2">
        <v>136</v>
      </c>
      <c r="L2">
        <v>38</v>
      </c>
      <c r="M2">
        <v>28</v>
      </c>
      <c r="N2">
        <f>K2/45</f>
        <v>3.0222222222222221</v>
      </c>
      <c r="O2">
        <f>K2/30</f>
        <v>4.5333333333333332</v>
      </c>
      <c r="P2">
        <f>K2/34</f>
        <v>4</v>
      </c>
      <c r="Q2">
        <f>K2/68</f>
        <v>2</v>
      </c>
      <c r="R2">
        <f>K2/60</f>
        <v>2.2666666666666666</v>
      </c>
    </row>
    <row r="3" spans="1:18" x14ac:dyDescent="0.25">
      <c r="A3" t="s">
        <v>890</v>
      </c>
      <c r="B3" t="s">
        <v>952</v>
      </c>
      <c r="C3" t="s">
        <v>1009</v>
      </c>
      <c r="D3" t="str">
        <f t="shared" si="0"/>
        <v>"AORE",</v>
      </c>
      <c r="F3" t="s">
        <v>899</v>
      </c>
      <c r="G3" s="14" t="str">
        <f t="shared" ref="G3:G42" si="1">VLOOKUP(F3,A:B,2, FALSE)</f>
        <v>Bulding Materials</v>
      </c>
      <c r="H3" s="14" t="s">
        <v>1122</v>
      </c>
      <c r="J3" t="s">
        <v>1138</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1087</v>
      </c>
      <c r="B4" t="s">
        <v>1088</v>
      </c>
      <c r="C4" t="s">
        <v>1013</v>
      </c>
      <c r="D4" t="str">
        <f t="shared" si="0"/>
        <v>"BATT",</v>
      </c>
      <c r="F4" t="s">
        <v>898</v>
      </c>
      <c r="G4" s="14" t="str">
        <f t="shared" si="1"/>
        <v>Beer</v>
      </c>
      <c r="H4" s="14" t="s">
        <v>1130</v>
      </c>
      <c r="J4" t="s">
        <v>1139</v>
      </c>
      <c r="K4">
        <v>136</v>
      </c>
      <c r="L4">
        <v>38</v>
      </c>
      <c r="M4">
        <v>28</v>
      </c>
      <c r="N4">
        <f t="shared" si="2"/>
        <v>3.0222222222222221</v>
      </c>
      <c r="O4">
        <f t="shared" si="3"/>
        <v>4.5333333333333332</v>
      </c>
      <c r="P4">
        <f t="shared" si="4"/>
        <v>4</v>
      </c>
      <c r="Q4">
        <f t="shared" si="5"/>
        <v>2</v>
      </c>
      <c r="R4">
        <f t="shared" si="6"/>
        <v>2.2666666666666666</v>
      </c>
    </row>
    <row r="5" spans="1:18" x14ac:dyDescent="0.25">
      <c r="A5" t="s">
        <v>899</v>
      </c>
      <c r="B5" t="s">
        <v>964</v>
      </c>
      <c r="C5" t="s">
        <v>1025</v>
      </c>
      <c r="D5" t="str">
        <f t="shared" si="0"/>
        <v>"BDMT",</v>
      </c>
      <c r="F5" t="s">
        <v>1026</v>
      </c>
      <c r="G5" s="14" t="str">
        <f t="shared" si="1"/>
        <v>Explosives</v>
      </c>
      <c r="H5" s="14" t="s">
        <v>1130</v>
      </c>
      <c r="J5" t="s">
        <v>1140</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1022</v>
      </c>
      <c r="B6" t="s">
        <v>1023</v>
      </c>
      <c r="C6" t="s">
        <v>1009</v>
      </c>
      <c r="D6" t="str">
        <f t="shared" si="0"/>
        <v>"BEAN",</v>
      </c>
      <c r="F6" t="s">
        <v>928</v>
      </c>
      <c r="G6" s="14" t="str">
        <f t="shared" si="1"/>
        <v>Bricks</v>
      </c>
      <c r="H6" s="14" t="s">
        <v>1122</v>
      </c>
      <c r="J6" t="s">
        <v>1141</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898</v>
      </c>
      <c r="B7" t="s">
        <v>963</v>
      </c>
      <c r="C7" t="s">
        <v>1024</v>
      </c>
      <c r="D7" t="str">
        <f t="shared" si="0"/>
        <v>"BEER",</v>
      </c>
      <c r="F7" t="s">
        <v>1089</v>
      </c>
      <c r="G7" s="14" t="str">
        <f t="shared" si="1"/>
        <v>Bubbles</v>
      </c>
      <c r="H7" s="14" t="s">
        <v>1130</v>
      </c>
      <c r="J7" t="s">
        <v>1142</v>
      </c>
      <c r="K7">
        <v>180</v>
      </c>
      <c r="L7">
        <v>38</v>
      </c>
      <c r="M7">
        <v>28</v>
      </c>
      <c r="N7">
        <f t="shared" si="2"/>
        <v>4</v>
      </c>
      <c r="O7">
        <f t="shared" si="3"/>
        <v>6</v>
      </c>
      <c r="P7">
        <f t="shared" si="4"/>
        <v>5.2941176470588234</v>
      </c>
      <c r="Q7">
        <f t="shared" si="5"/>
        <v>2.6470588235294117</v>
      </c>
      <c r="R7">
        <f t="shared" si="6"/>
        <v>3</v>
      </c>
    </row>
    <row r="8" spans="1:18" x14ac:dyDescent="0.25">
      <c r="A8" t="s">
        <v>1026</v>
      </c>
      <c r="B8" t="s">
        <v>1027</v>
      </c>
      <c r="C8" t="s">
        <v>1028</v>
      </c>
      <c r="D8" t="str">
        <f t="shared" si="0"/>
        <v>"BOOM",</v>
      </c>
      <c r="F8" t="s">
        <v>1032</v>
      </c>
      <c r="G8" s="14" t="str">
        <f t="shared" si="1"/>
        <v>Ceramics</v>
      </c>
      <c r="H8" s="14" t="s">
        <v>1130</v>
      </c>
      <c r="J8" t="s">
        <v>1143</v>
      </c>
      <c r="K8">
        <v>180</v>
      </c>
      <c r="L8">
        <v>38</v>
      </c>
      <c r="M8">
        <v>28</v>
      </c>
      <c r="N8">
        <f t="shared" si="2"/>
        <v>4</v>
      </c>
      <c r="O8">
        <f t="shared" si="3"/>
        <v>6</v>
      </c>
      <c r="P8">
        <f t="shared" si="4"/>
        <v>5.2941176470588234</v>
      </c>
      <c r="Q8">
        <f t="shared" si="5"/>
        <v>2.6470588235294117</v>
      </c>
      <c r="R8">
        <f t="shared" si="6"/>
        <v>3</v>
      </c>
    </row>
    <row r="9" spans="1:18" x14ac:dyDescent="0.25">
      <c r="A9" t="s">
        <v>928</v>
      </c>
      <c r="B9" t="s">
        <v>987</v>
      </c>
      <c r="C9" t="s">
        <v>1013</v>
      </c>
      <c r="D9" t="str">
        <f t="shared" si="0"/>
        <v>"BRCK",</v>
      </c>
      <c r="F9" t="s">
        <v>904</v>
      </c>
      <c r="G9" s="14" t="str">
        <f t="shared" si="1"/>
        <v>Copper</v>
      </c>
      <c r="H9" s="14" t="s">
        <v>1127</v>
      </c>
      <c r="J9" t="s">
        <v>1144</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1089</v>
      </c>
      <c r="B10" t="s">
        <v>1090</v>
      </c>
      <c r="C10" t="s">
        <v>1013</v>
      </c>
      <c r="D10" t="str">
        <f t="shared" si="0"/>
        <v>"BUBL",</v>
      </c>
      <c r="F10" t="s">
        <v>929</v>
      </c>
      <c r="G10" s="14" t="str">
        <f t="shared" si="1"/>
        <v>Cast Iron</v>
      </c>
      <c r="H10" s="14" t="s">
        <v>1127</v>
      </c>
    </row>
    <row r="11" spans="1:18" x14ac:dyDescent="0.25">
      <c r="A11" t="s">
        <v>943</v>
      </c>
      <c r="B11" t="s">
        <v>1000</v>
      </c>
      <c r="C11" t="s">
        <v>1009</v>
      </c>
      <c r="D11" t="str">
        <f t="shared" si="0"/>
        <v>"CASS",</v>
      </c>
      <c r="F11" t="s">
        <v>1094</v>
      </c>
      <c r="G11" s="14" t="str">
        <f t="shared" si="1"/>
        <v>Fizzy Drinks</v>
      </c>
      <c r="H11" s="14" t="s">
        <v>1130</v>
      </c>
    </row>
    <row r="12" spans="1:18" x14ac:dyDescent="0.25">
      <c r="A12" t="s">
        <v>1029</v>
      </c>
      <c r="B12" t="s">
        <v>1030</v>
      </c>
      <c r="C12" t="s">
        <v>1031</v>
      </c>
      <c r="D12" t="str">
        <f t="shared" si="0"/>
        <v>"CBLK",</v>
      </c>
      <c r="F12" t="s">
        <v>935</v>
      </c>
      <c r="G12" s="14" t="str">
        <f t="shared" si="1"/>
        <v>Iron</v>
      </c>
      <c r="H12" s="14" t="s">
        <v>1127</v>
      </c>
    </row>
    <row r="13" spans="1:18" x14ac:dyDescent="0.25">
      <c r="A13" t="s">
        <v>1032</v>
      </c>
      <c r="B13" t="s">
        <v>1033</v>
      </c>
      <c r="C13" t="s">
        <v>1013</v>
      </c>
      <c r="D13" t="str">
        <f t="shared" si="0"/>
        <v>"CERA",</v>
      </c>
      <c r="F13" t="s">
        <v>927</v>
      </c>
      <c r="G13" s="14" t="str">
        <f t="shared" si="1"/>
        <v>Coffee</v>
      </c>
      <c r="H13" s="14" t="s">
        <v>1130</v>
      </c>
    </row>
    <row r="14" spans="1:18" x14ac:dyDescent="0.25">
      <c r="A14" t="s">
        <v>911</v>
      </c>
      <c r="B14" t="s">
        <v>1004</v>
      </c>
      <c r="C14" t="s">
        <v>1034</v>
      </c>
      <c r="D14" t="str">
        <f t="shared" si="0"/>
        <v>"CERE",</v>
      </c>
      <c r="F14" t="s">
        <v>925</v>
      </c>
      <c r="G14" s="14" t="str">
        <f t="shared" si="1"/>
        <v>Metal</v>
      </c>
      <c r="H14" s="14" t="s">
        <v>1127</v>
      </c>
    </row>
    <row r="15" spans="1:18" x14ac:dyDescent="0.25">
      <c r="A15" t="s">
        <v>932</v>
      </c>
      <c r="B15" t="s">
        <v>988</v>
      </c>
      <c r="C15" t="s">
        <v>1037</v>
      </c>
      <c r="D15" t="str">
        <f t="shared" si="0"/>
        <v>"CHLO",</v>
      </c>
      <c r="F15" t="s">
        <v>1070</v>
      </c>
      <c r="G15" s="14" t="str">
        <f t="shared" si="1"/>
        <v>Nuts</v>
      </c>
      <c r="H15" s="14" t="s">
        <v>1130</v>
      </c>
    </row>
    <row r="16" spans="1:18" x14ac:dyDescent="0.25">
      <c r="A16" t="s">
        <v>892</v>
      </c>
      <c r="B16" t="s">
        <v>954</v>
      </c>
      <c r="C16" t="s">
        <v>1035</v>
      </c>
      <c r="D16" t="str">
        <f t="shared" si="0"/>
        <v>"CLAY",</v>
      </c>
      <c r="F16" t="s">
        <v>901</v>
      </c>
      <c r="G16" s="14" t="str">
        <f t="shared" si="1"/>
        <v>Paper</v>
      </c>
      <c r="H16" s="14" t="s">
        <v>1130</v>
      </c>
    </row>
    <row r="17" spans="1:8" x14ac:dyDescent="0.25">
      <c r="A17" t="s">
        <v>934</v>
      </c>
      <c r="B17" t="s">
        <v>995</v>
      </c>
      <c r="C17" t="s">
        <v>1035</v>
      </c>
      <c r="D17" t="str">
        <f t="shared" si="0"/>
        <v>"CMNT",</v>
      </c>
      <c r="F17" t="s">
        <v>1072</v>
      </c>
      <c r="G17" s="14" t="str">
        <f t="shared" si="1"/>
        <v>Pipe</v>
      </c>
      <c r="H17" s="14" t="s">
        <v>1123</v>
      </c>
    </row>
    <row r="18" spans="1:8" x14ac:dyDescent="0.25">
      <c r="A18" t="s">
        <v>784</v>
      </c>
      <c r="B18" t="s">
        <v>948</v>
      </c>
      <c r="C18" t="s">
        <v>1009</v>
      </c>
      <c r="D18" t="str">
        <f t="shared" si="0"/>
        <v>"COAL",</v>
      </c>
      <c r="F18" t="s">
        <v>1074</v>
      </c>
      <c r="G18" s="14" t="str">
        <f t="shared" si="1"/>
        <v>Electrical Equipment</v>
      </c>
      <c r="H18" s="14" t="s">
        <v>1130</v>
      </c>
    </row>
    <row r="19" spans="1:8" x14ac:dyDescent="0.25">
      <c r="A19" t="s">
        <v>933</v>
      </c>
      <c r="B19" t="s">
        <v>990</v>
      </c>
      <c r="C19" t="s">
        <v>1009</v>
      </c>
      <c r="D19" t="str">
        <f t="shared" si="0"/>
        <v>"COKE",</v>
      </c>
      <c r="F19" t="s">
        <v>1076</v>
      </c>
      <c r="G19" s="14" t="str">
        <f t="shared" si="1"/>
        <v>Alloy Steel</v>
      </c>
      <c r="H19" s="14" t="s">
        <v>1127</v>
      </c>
    </row>
    <row r="20" spans="1:8" x14ac:dyDescent="0.25">
      <c r="A20" t="s">
        <v>1091</v>
      </c>
      <c r="B20" t="s">
        <v>1092</v>
      </c>
      <c r="C20" t="s">
        <v>1011</v>
      </c>
      <c r="D20" t="str">
        <f t="shared" si="0"/>
        <v>"COLA",</v>
      </c>
      <c r="F20" t="s">
        <v>1078</v>
      </c>
      <c r="G20" s="14" t="str">
        <f t="shared" si="1"/>
        <v>Carbon Steel</v>
      </c>
      <c r="H20" s="14" t="s">
        <v>1127</v>
      </c>
    </row>
    <row r="21" spans="1:8" x14ac:dyDescent="0.25">
      <c r="A21" t="s">
        <v>904</v>
      </c>
      <c r="B21" t="s">
        <v>1036</v>
      </c>
      <c r="C21" t="s">
        <v>1013</v>
      </c>
      <c r="D21" t="str">
        <f t="shared" si="0"/>
        <v>"COPR",</v>
      </c>
      <c r="F21" t="s">
        <v>863</v>
      </c>
      <c r="G21" s="14" t="str">
        <f t="shared" si="1"/>
        <v>Steel</v>
      </c>
      <c r="H21" s="14" t="s">
        <v>1127</v>
      </c>
    </row>
    <row r="22" spans="1:8" x14ac:dyDescent="0.25">
      <c r="A22" t="s">
        <v>891</v>
      </c>
      <c r="B22" t="s">
        <v>953</v>
      </c>
      <c r="C22" t="s">
        <v>1009</v>
      </c>
      <c r="D22" t="str">
        <f t="shared" si="0"/>
        <v>"CORE",</v>
      </c>
      <c r="F22" t="s">
        <v>1080</v>
      </c>
      <c r="G22" s="14" t="str">
        <f t="shared" si="1"/>
        <v>Stainless Steel</v>
      </c>
      <c r="H22" s="14" t="s">
        <v>1127</v>
      </c>
    </row>
    <row r="23" spans="1:8" x14ac:dyDescent="0.25">
      <c r="A23" t="s">
        <v>929</v>
      </c>
      <c r="B23" t="s">
        <v>1005</v>
      </c>
      <c r="C23" t="s">
        <v>1013</v>
      </c>
      <c r="D23" t="str">
        <f t="shared" si="0"/>
        <v>"CSTI",</v>
      </c>
      <c r="F23" t="s">
        <v>1100</v>
      </c>
      <c r="G23" s="14" t="str">
        <f t="shared" si="1"/>
        <v>Toys</v>
      </c>
      <c r="H23" s="14" t="s">
        <v>1130</v>
      </c>
    </row>
    <row r="24" spans="1:8" x14ac:dyDescent="0.25">
      <c r="A24" t="s">
        <v>930</v>
      </c>
      <c r="B24" t="s">
        <v>1006</v>
      </c>
      <c r="C24" t="s">
        <v>1037</v>
      </c>
      <c r="D24" t="str">
        <f t="shared" si="0"/>
        <v>"CTAR",</v>
      </c>
      <c r="F24" t="s">
        <v>1062</v>
      </c>
      <c r="G24" s="14" t="str">
        <f t="shared" si="1"/>
        <v>Tyres</v>
      </c>
      <c r="H24" s="14" t="s">
        <v>1131</v>
      </c>
    </row>
    <row r="25" spans="1:8" x14ac:dyDescent="0.25">
      <c r="A25" t="s">
        <v>1093</v>
      </c>
      <c r="B25" t="s">
        <v>1107</v>
      </c>
      <c r="C25" t="s">
        <v>1009</v>
      </c>
      <c r="D25" t="str">
        <f t="shared" si="0"/>
        <v>"CTCD",</v>
      </c>
      <c r="F25" t="s">
        <v>1082</v>
      </c>
      <c r="G25" s="14" t="str">
        <f t="shared" si="1"/>
        <v>Vehicle Bodies</v>
      </c>
      <c r="H25" s="14" t="s">
        <v>1132</v>
      </c>
    </row>
    <row r="26" spans="1:8" x14ac:dyDescent="0.25">
      <c r="A26" t="s">
        <v>1020</v>
      </c>
      <c r="B26" t="s">
        <v>1021</v>
      </c>
      <c r="C26" t="s">
        <v>1015</v>
      </c>
      <c r="D26" t="str">
        <f t="shared" si="0"/>
        <v>"DIAM",</v>
      </c>
      <c r="F26" t="s">
        <v>1083</v>
      </c>
      <c r="G26" s="14" t="str">
        <f t="shared" si="1"/>
        <v>Vehicle Engines</v>
      </c>
      <c r="H26" s="14" t="s">
        <v>1130</v>
      </c>
    </row>
    <row r="27" spans="1:8" x14ac:dyDescent="0.25">
      <c r="A27" t="s">
        <v>905</v>
      </c>
      <c r="B27" t="s">
        <v>967</v>
      </c>
      <c r="C27" t="s">
        <v>1038</v>
      </c>
      <c r="D27" t="str">
        <f t="shared" si="0"/>
        <v>"DYES",</v>
      </c>
      <c r="F27" t="s">
        <v>463</v>
      </c>
      <c r="G27" s="14" t="str">
        <f t="shared" si="1"/>
        <v>Wood</v>
      </c>
      <c r="H27" s="14" t="s">
        <v>1124</v>
      </c>
    </row>
    <row r="28" spans="1:8" x14ac:dyDescent="0.25">
      <c r="A28" t="s">
        <v>897</v>
      </c>
      <c r="B28" t="s">
        <v>962</v>
      </c>
      <c r="C28" t="s">
        <v>1028</v>
      </c>
      <c r="D28" t="str">
        <f t="shared" si="0"/>
        <v>"ENSP",</v>
      </c>
      <c r="F28" t="s">
        <v>940</v>
      </c>
      <c r="G28" s="14" t="str">
        <f t="shared" si="1"/>
        <v>Zinc</v>
      </c>
      <c r="H28" s="14" t="s">
        <v>1127</v>
      </c>
    </row>
    <row r="29" spans="1:8" x14ac:dyDescent="0.25">
      <c r="A29" t="s">
        <v>1067</v>
      </c>
      <c r="B29" t="s">
        <v>1068</v>
      </c>
      <c r="C29" t="s">
        <v>1038</v>
      </c>
      <c r="D29" t="str">
        <f t="shared" si="0"/>
        <v>"EOIL",</v>
      </c>
      <c r="F29" t="s">
        <v>897</v>
      </c>
      <c r="G29" s="14" t="str">
        <f t="shared" si="1"/>
        <v>Engineering Supplies</v>
      </c>
      <c r="H29" s="14" t="s">
        <v>1125</v>
      </c>
    </row>
    <row r="30" spans="1:8" x14ac:dyDescent="0.25">
      <c r="A30" t="s">
        <v>1039</v>
      </c>
      <c r="B30" t="s">
        <v>1040</v>
      </c>
      <c r="C30" t="s">
        <v>1009</v>
      </c>
      <c r="D30" t="str">
        <f t="shared" si="0"/>
        <v>"FECR",</v>
      </c>
      <c r="F30" t="s">
        <v>896</v>
      </c>
      <c r="G30" s="14" t="str">
        <f t="shared" si="1"/>
        <v>Farm Supplies</v>
      </c>
      <c r="H30" s="14" t="s">
        <v>1126</v>
      </c>
    </row>
    <row r="31" spans="1:8" x14ac:dyDescent="0.25">
      <c r="A31" t="s">
        <v>1041</v>
      </c>
      <c r="B31" t="s">
        <v>1042</v>
      </c>
      <c r="C31" t="s">
        <v>1043</v>
      </c>
      <c r="D31" t="str">
        <f t="shared" si="0"/>
        <v>"FERT",</v>
      </c>
      <c r="F31" t="s">
        <v>1085</v>
      </c>
      <c r="G31" s="14" t="str">
        <f t="shared" si="1"/>
        <v>Vehicle Parts</v>
      </c>
      <c r="H31" s="14" t="s">
        <v>1130</v>
      </c>
    </row>
    <row r="32" spans="1:8" x14ac:dyDescent="0.25">
      <c r="A32" t="s">
        <v>912</v>
      </c>
      <c r="B32" t="s">
        <v>1001</v>
      </c>
      <c r="C32" t="s">
        <v>1043</v>
      </c>
      <c r="D32" t="str">
        <f t="shared" si="0"/>
        <v>"FICR",</v>
      </c>
      <c r="F32" t="s">
        <v>902</v>
      </c>
      <c r="G32" s="14" t="str">
        <f t="shared" si="1"/>
        <v>Timber</v>
      </c>
      <c r="H32" s="14" t="s">
        <v>1128</v>
      </c>
    </row>
    <row r="33" spans="1:8" x14ac:dyDescent="0.25">
      <c r="A33" t="s">
        <v>910</v>
      </c>
      <c r="B33" t="s">
        <v>972</v>
      </c>
      <c r="C33" t="s">
        <v>1016</v>
      </c>
      <c r="D33" t="str">
        <f t="shared" si="0"/>
        <v>"FISH",</v>
      </c>
      <c r="F33" t="s">
        <v>908</v>
      </c>
      <c r="G33" s="14" t="str">
        <f t="shared" si="1"/>
        <v>Plastics</v>
      </c>
      <c r="H33" s="14" t="s">
        <v>1130</v>
      </c>
    </row>
    <row r="34" spans="1:8" x14ac:dyDescent="0.25">
      <c r="A34" t="s">
        <v>896</v>
      </c>
      <c r="B34" t="s">
        <v>961</v>
      </c>
      <c r="C34" t="s">
        <v>1028</v>
      </c>
      <c r="D34" t="str">
        <f t="shared" ref="D34:D65" si="7">CONCATENATE("""", A34, """,")</f>
        <v>"FMSP",</v>
      </c>
      <c r="F34" t="s">
        <v>905</v>
      </c>
      <c r="G34" s="14" t="str">
        <f t="shared" si="1"/>
        <v>Dyes</v>
      </c>
      <c r="H34" s="14" t="s">
        <v>1130</v>
      </c>
    </row>
    <row r="35" spans="1:8" x14ac:dyDescent="0.25">
      <c r="A35" t="s">
        <v>895</v>
      </c>
      <c r="B35" t="s">
        <v>959</v>
      </c>
      <c r="C35" t="s">
        <v>1016</v>
      </c>
      <c r="D35" t="str">
        <f t="shared" si="7"/>
        <v>"FOOD",</v>
      </c>
      <c r="F35" t="s">
        <v>903</v>
      </c>
      <c r="G35" s="14" t="str">
        <f t="shared" si="1"/>
        <v>Vehicles</v>
      </c>
      <c r="H35" s="14" t="s">
        <v>1129</v>
      </c>
    </row>
    <row r="36" spans="1:8" x14ac:dyDescent="0.25">
      <c r="A36" t="s">
        <v>914</v>
      </c>
      <c r="B36" t="s">
        <v>978</v>
      </c>
      <c r="C36" t="s">
        <v>1019</v>
      </c>
      <c r="D36" t="str">
        <f t="shared" si="7"/>
        <v>"FRUT",</v>
      </c>
      <c r="F36" t="s">
        <v>912</v>
      </c>
      <c r="G36" s="14" t="str">
        <f t="shared" si="1"/>
        <v>Fibre Crops</v>
      </c>
      <c r="H36" s="14" t="s">
        <v>1130</v>
      </c>
    </row>
    <row r="37" spans="1:8" x14ac:dyDescent="0.25">
      <c r="A37" t="s">
        <v>913</v>
      </c>
      <c r="B37" t="s">
        <v>1002</v>
      </c>
      <c r="C37" t="s">
        <v>1104</v>
      </c>
      <c r="D37" t="str">
        <f t="shared" si="7"/>
        <v>"FRVG",</v>
      </c>
      <c r="F37" t="s">
        <v>900</v>
      </c>
      <c r="G37" s="14" t="str">
        <f t="shared" si="1"/>
        <v>Packaging</v>
      </c>
      <c r="H37" s="14" t="s">
        <v>1130</v>
      </c>
    </row>
    <row r="38" spans="1:8" x14ac:dyDescent="0.25">
      <c r="A38" t="s">
        <v>1094</v>
      </c>
      <c r="B38" t="s">
        <v>1095</v>
      </c>
      <c r="C38" t="s">
        <v>1013</v>
      </c>
      <c r="D38" t="str">
        <f t="shared" si="7"/>
        <v>"FZDR",</v>
      </c>
      <c r="F38" t="s">
        <v>1158</v>
      </c>
      <c r="G38" s="14" t="str">
        <f t="shared" si="1"/>
        <v>Steel Sheet</v>
      </c>
      <c r="H38" s="14"/>
    </row>
    <row r="39" spans="1:8" x14ac:dyDescent="0.25">
      <c r="A39" t="s">
        <v>1017</v>
      </c>
      <c r="B39" t="s">
        <v>1018</v>
      </c>
      <c r="C39" t="s">
        <v>1015</v>
      </c>
      <c r="D39" t="str">
        <f t="shared" si="7"/>
        <v>"GOLD",</v>
      </c>
      <c r="F39" t="s">
        <v>1160</v>
      </c>
      <c r="G39" s="14" t="str">
        <f t="shared" si="1"/>
        <v>Steel Wire Rod</v>
      </c>
      <c r="H39" s="14"/>
    </row>
    <row r="40" spans="1:8" x14ac:dyDescent="0.25">
      <c r="A40" t="s">
        <v>329</v>
      </c>
      <c r="B40" t="s">
        <v>958</v>
      </c>
      <c r="C40" t="s">
        <v>1014</v>
      </c>
      <c r="D40" t="str">
        <f t="shared" si="7"/>
        <v>"GOOD",</v>
      </c>
      <c r="F40" t="s">
        <v>1157</v>
      </c>
      <c r="G40" t="str">
        <f t="shared" si="1"/>
        <v>Rebar</v>
      </c>
    </row>
    <row r="41" spans="1:8" x14ac:dyDescent="0.25">
      <c r="A41" t="s">
        <v>915</v>
      </c>
      <c r="B41" t="s">
        <v>977</v>
      </c>
      <c r="C41" t="s">
        <v>1009</v>
      </c>
      <c r="D41" t="str">
        <f t="shared" si="7"/>
        <v>"GRAI",</v>
      </c>
      <c r="F41" s="14" t="s">
        <v>1148</v>
      </c>
      <c r="G41" s="14" t="str">
        <f t="shared" si="1"/>
        <v>Cleaning Agents</v>
      </c>
      <c r="H41" s="14" t="s">
        <v>1130</v>
      </c>
    </row>
    <row r="42" spans="1:8" x14ac:dyDescent="0.25">
      <c r="A42" t="s">
        <v>888</v>
      </c>
      <c r="B42" t="s">
        <v>950</v>
      </c>
      <c r="C42" t="s">
        <v>1009</v>
      </c>
      <c r="D42" t="str">
        <f t="shared" si="7"/>
        <v>"GRVL",</v>
      </c>
      <c r="F42" s="14" t="s">
        <v>1155</v>
      </c>
      <c r="G42" s="14" t="str">
        <f t="shared" si="1"/>
        <v>Paints and coatings</v>
      </c>
      <c r="H42" s="14" t="s">
        <v>1130</v>
      </c>
    </row>
    <row r="43" spans="1:8" x14ac:dyDescent="0.25">
      <c r="A43" t="s">
        <v>887</v>
      </c>
      <c r="B43" t="s">
        <v>949</v>
      </c>
      <c r="C43" t="s">
        <v>1009</v>
      </c>
      <c r="D43" t="str">
        <f t="shared" si="7"/>
        <v>"IORE",</v>
      </c>
    </row>
    <row r="44" spans="1:8" x14ac:dyDescent="0.25">
      <c r="A44" t="s">
        <v>935</v>
      </c>
      <c r="B44" t="s">
        <v>991</v>
      </c>
      <c r="C44" t="s">
        <v>1013</v>
      </c>
      <c r="D44" t="str">
        <f t="shared" si="7"/>
        <v>"IRON",</v>
      </c>
    </row>
    <row r="45" spans="1:8" x14ac:dyDescent="0.25">
      <c r="A45" t="s">
        <v>927</v>
      </c>
      <c r="B45" t="s">
        <v>986</v>
      </c>
      <c r="C45" t="s">
        <v>1013</v>
      </c>
      <c r="D45" t="str">
        <f t="shared" si="7"/>
        <v>"JAVA",</v>
      </c>
    </row>
    <row r="46" spans="1:8" x14ac:dyDescent="0.25">
      <c r="A46" t="s">
        <v>1045</v>
      </c>
      <c r="B46" t="s">
        <v>1105</v>
      </c>
      <c r="C46" t="s">
        <v>1046</v>
      </c>
      <c r="D46" t="str">
        <f t="shared" si="7"/>
        <v>"KAOL",</v>
      </c>
    </row>
    <row r="47" spans="1:8" x14ac:dyDescent="0.25">
      <c r="A47" t="s">
        <v>894</v>
      </c>
      <c r="B47" t="s">
        <v>957</v>
      </c>
      <c r="C47" t="s">
        <v>1009</v>
      </c>
      <c r="D47" t="str">
        <f t="shared" si="7"/>
        <v>"LIME",</v>
      </c>
    </row>
    <row r="48" spans="1:8" x14ac:dyDescent="0.25">
      <c r="A48" t="s">
        <v>823</v>
      </c>
      <c r="B48" t="s">
        <v>976</v>
      </c>
      <c r="C48" t="s">
        <v>1013</v>
      </c>
      <c r="D48" t="str">
        <f t="shared" si="7"/>
        <v>"LVST",</v>
      </c>
    </row>
    <row r="49" spans="1:4" x14ac:dyDescent="0.25">
      <c r="A49" t="s">
        <v>711</v>
      </c>
      <c r="B49" t="s">
        <v>947</v>
      </c>
      <c r="C49" t="s">
        <v>1010</v>
      </c>
      <c r="D49" t="str">
        <f t="shared" si="7"/>
        <v>"MAIL",</v>
      </c>
    </row>
    <row r="50" spans="1:4" x14ac:dyDescent="0.25">
      <c r="A50" t="s">
        <v>916</v>
      </c>
      <c r="B50" t="s">
        <v>975</v>
      </c>
      <c r="C50" t="s">
        <v>1009</v>
      </c>
      <c r="D50" t="str">
        <f t="shared" si="7"/>
        <v>"MAIZ",</v>
      </c>
    </row>
    <row r="51" spans="1:4" x14ac:dyDescent="0.25">
      <c r="A51" t="s">
        <v>925</v>
      </c>
      <c r="B51" t="s">
        <v>984</v>
      </c>
      <c r="C51" t="s">
        <v>1013</v>
      </c>
      <c r="D51" t="str">
        <f t="shared" si="7"/>
        <v>"METL",</v>
      </c>
    </row>
    <row r="52" spans="1:4" x14ac:dyDescent="0.25">
      <c r="A52" t="s">
        <v>917</v>
      </c>
      <c r="B52" t="s">
        <v>973</v>
      </c>
      <c r="C52" t="s">
        <v>1047</v>
      </c>
      <c r="D52" t="str">
        <f t="shared" si="7"/>
        <v>"MILK",</v>
      </c>
    </row>
    <row r="53" spans="1:4" x14ac:dyDescent="0.25">
      <c r="A53" t="s">
        <v>944</v>
      </c>
      <c r="B53" t="s">
        <v>996</v>
      </c>
      <c r="C53" t="s">
        <v>1009</v>
      </c>
      <c r="D53" t="str">
        <f t="shared" si="7"/>
        <v>"MNO2",</v>
      </c>
    </row>
    <row r="54" spans="1:4" x14ac:dyDescent="0.25">
      <c r="A54" t="s">
        <v>900</v>
      </c>
      <c r="B54" t="s">
        <v>1145</v>
      </c>
      <c r="C54" t="s">
        <v>1069</v>
      </c>
      <c r="D54" t="str">
        <f t="shared" si="7"/>
        <v>"MNSP",</v>
      </c>
    </row>
    <row r="55" spans="1:4" x14ac:dyDescent="0.25">
      <c r="A55" t="s">
        <v>1048</v>
      </c>
      <c r="B55" t="s">
        <v>1049</v>
      </c>
      <c r="C55" t="s">
        <v>1009</v>
      </c>
      <c r="D55" t="str">
        <f t="shared" si="7"/>
        <v>"NITR",</v>
      </c>
    </row>
    <row r="56" spans="1:4" x14ac:dyDescent="0.25">
      <c r="A56" t="s">
        <v>1070</v>
      </c>
      <c r="B56" t="s">
        <v>1071</v>
      </c>
      <c r="C56" t="s">
        <v>1013</v>
      </c>
      <c r="D56" t="str">
        <f t="shared" si="7"/>
        <v>"NUTS",</v>
      </c>
    </row>
    <row r="57" spans="1:4" x14ac:dyDescent="0.25">
      <c r="A57" t="s">
        <v>327</v>
      </c>
      <c r="B57" t="s">
        <v>968</v>
      </c>
      <c r="C57" t="s">
        <v>1011</v>
      </c>
      <c r="D57" t="str">
        <f t="shared" si="7"/>
        <v>"OIL_",</v>
      </c>
    </row>
    <row r="58" spans="1:4" x14ac:dyDescent="0.25">
      <c r="A58" t="s">
        <v>923</v>
      </c>
      <c r="B58" t="s">
        <v>1003</v>
      </c>
      <c r="C58" t="s">
        <v>1034</v>
      </c>
      <c r="D58" t="str">
        <f t="shared" si="7"/>
        <v>"OLSD",</v>
      </c>
    </row>
    <row r="59" spans="1:4" x14ac:dyDescent="0.25">
      <c r="A59" t="s">
        <v>901</v>
      </c>
      <c r="B59" t="s">
        <v>965</v>
      </c>
      <c r="C59" t="s">
        <v>1013</v>
      </c>
      <c r="D59" t="str">
        <f t="shared" si="7"/>
        <v>"PAPR",</v>
      </c>
    </row>
    <row r="60" spans="1:4" x14ac:dyDescent="0.25">
      <c r="A60" t="s">
        <v>326</v>
      </c>
      <c r="B60" t="s">
        <v>945</v>
      </c>
      <c r="C60" t="s">
        <v>1008</v>
      </c>
      <c r="D60" t="str">
        <f t="shared" si="7"/>
        <v>"PASS",</v>
      </c>
    </row>
    <row r="61" spans="1:4" x14ac:dyDescent="0.25">
      <c r="A61" t="s">
        <v>1050</v>
      </c>
      <c r="B61" t="s">
        <v>1051</v>
      </c>
      <c r="C61" t="s">
        <v>1009</v>
      </c>
      <c r="D61" t="str">
        <f t="shared" si="7"/>
        <v>"PEAT",</v>
      </c>
    </row>
    <row r="62" spans="1:4" x14ac:dyDescent="0.25">
      <c r="A62" t="s">
        <v>907</v>
      </c>
      <c r="B62" t="s">
        <v>969</v>
      </c>
      <c r="C62" t="s">
        <v>1011</v>
      </c>
      <c r="D62" t="str">
        <f t="shared" si="7"/>
        <v>"PETR",</v>
      </c>
    </row>
    <row r="63" spans="1:4" x14ac:dyDescent="0.25">
      <c r="A63" t="s">
        <v>1052</v>
      </c>
      <c r="B63" t="s">
        <v>1053</v>
      </c>
      <c r="C63" t="s">
        <v>1009</v>
      </c>
      <c r="D63" t="str">
        <f t="shared" si="7"/>
        <v>"PHOS",</v>
      </c>
    </row>
    <row r="64" spans="1:4" x14ac:dyDescent="0.25">
      <c r="A64" t="s">
        <v>1072</v>
      </c>
      <c r="B64" t="s">
        <v>1073</v>
      </c>
      <c r="C64" t="s">
        <v>1013</v>
      </c>
      <c r="D64" t="str">
        <f t="shared" si="7"/>
        <v>"PIPE",</v>
      </c>
    </row>
    <row r="65" spans="1:4" x14ac:dyDescent="0.25">
      <c r="A65" t="s">
        <v>908</v>
      </c>
      <c r="B65" t="s">
        <v>970</v>
      </c>
      <c r="C65" t="s">
        <v>1055</v>
      </c>
      <c r="D65" t="str">
        <f t="shared" si="7"/>
        <v>"PLAS",</v>
      </c>
    </row>
    <row r="66" spans="1:4" x14ac:dyDescent="0.25">
      <c r="A66" t="s">
        <v>1096</v>
      </c>
      <c r="B66" t="s">
        <v>1054</v>
      </c>
      <c r="C66" t="s">
        <v>1011</v>
      </c>
      <c r="D66" t="str">
        <f t="shared" ref="D66:D97" si="8">CONCATENATE("""", A66, """,")</f>
        <v>"PLST",</v>
      </c>
    </row>
    <row r="67" spans="1:4" x14ac:dyDescent="0.25">
      <c r="A67" t="s">
        <v>1056</v>
      </c>
      <c r="B67" t="s">
        <v>1057</v>
      </c>
      <c r="C67" t="s">
        <v>1009</v>
      </c>
      <c r="D67" t="str">
        <f t="shared" si="8"/>
        <v>"PORE",</v>
      </c>
    </row>
    <row r="68" spans="1:4" x14ac:dyDescent="0.25">
      <c r="A68" t="s">
        <v>1058</v>
      </c>
      <c r="B68" t="s">
        <v>1059</v>
      </c>
      <c r="C68" t="s">
        <v>1034</v>
      </c>
      <c r="D68" t="str">
        <f t="shared" si="8"/>
        <v>"POTA",</v>
      </c>
    </row>
    <row r="69" spans="1:4" x14ac:dyDescent="0.25">
      <c r="A69" t="s">
        <v>1074</v>
      </c>
      <c r="B69" t="s">
        <v>1152</v>
      </c>
      <c r="C69" t="s">
        <v>1013</v>
      </c>
      <c r="D69" t="str">
        <f t="shared" si="8"/>
        <v>"POWR",</v>
      </c>
    </row>
    <row r="70" spans="1:4" x14ac:dyDescent="0.25">
      <c r="A70" t="s">
        <v>936</v>
      </c>
      <c r="B70" t="s">
        <v>997</v>
      </c>
      <c r="C70" t="s">
        <v>1034</v>
      </c>
      <c r="D70" t="str">
        <f t="shared" si="8"/>
        <v>"QLME",</v>
      </c>
    </row>
    <row r="71" spans="1:4" x14ac:dyDescent="0.25">
      <c r="A71" t="s">
        <v>942</v>
      </c>
      <c r="B71" t="s">
        <v>999</v>
      </c>
      <c r="C71" t="s">
        <v>1075</v>
      </c>
      <c r="D71" t="str">
        <f t="shared" si="8"/>
        <v>"RCYC",</v>
      </c>
    </row>
    <row r="72" spans="1:4" x14ac:dyDescent="0.25">
      <c r="A72" t="s">
        <v>906</v>
      </c>
      <c r="B72" t="s">
        <v>1151</v>
      </c>
      <c r="C72" t="s">
        <v>1011</v>
      </c>
      <c r="D72" t="str">
        <f t="shared" si="8"/>
        <v>"RFPR",</v>
      </c>
    </row>
    <row r="73" spans="1:4" x14ac:dyDescent="0.25">
      <c r="A73" t="s">
        <v>918</v>
      </c>
      <c r="B73" t="s">
        <v>979</v>
      </c>
      <c r="C73" t="s">
        <v>1011</v>
      </c>
      <c r="D73" t="str">
        <f t="shared" si="8"/>
        <v>"RUBR",</v>
      </c>
    </row>
    <row r="74" spans="1:4" x14ac:dyDescent="0.25">
      <c r="A74" t="s">
        <v>937</v>
      </c>
      <c r="B74" t="s">
        <v>992</v>
      </c>
      <c r="C74" t="s">
        <v>1009</v>
      </c>
      <c r="D74" t="str">
        <f t="shared" si="8"/>
        <v>"SALT",</v>
      </c>
    </row>
    <row r="75" spans="1:4" x14ac:dyDescent="0.25">
      <c r="A75" t="s">
        <v>889</v>
      </c>
      <c r="B75" t="s">
        <v>951</v>
      </c>
      <c r="C75" t="s">
        <v>1009</v>
      </c>
      <c r="D75" t="str">
        <f t="shared" si="8"/>
        <v>"SAND",</v>
      </c>
    </row>
    <row r="76" spans="1:4" x14ac:dyDescent="0.25">
      <c r="A76" t="s">
        <v>938</v>
      </c>
      <c r="B76" t="s">
        <v>1007</v>
      </c>
      <c r="C76" t="s">
        <v>1034</v>
      </c>
      <c r="D76" t="str">
        <f t="shared" si="8"/>
        <v>"SASH",</v>
      </c>
    </row>
    <row r="77" spans="1:4" x14ac:dyDescent="0.25">
      <c r="A77" t="s">
        <v>893</v>
      </c>
      <c r="B77" t="s">
        <v>955</v>
      </c>
      <c r="C77" t="s">
        <v>1060</v>
      </c>
      <c r="D77" t="str">
        <f t="shared" si="8"/>
        <v>"SCMT",</v>
      </c>
    </row>
    <row r="78" spans="1:4" x14ac:dyDescent="0.25">
      <c r="A78" t="s">
        <v>919</v>
      </c>
      <c r="B78" t="s">
        <v>980</v>
      </c>
      <c r="C78" t="s">
        <v>1009</v>
      </c>
      <c r="D78" t="str">
        <f t="shared" si="8"/>
        <v>"SGBT",</v>
      </c>
    </row>
    <row r="79" spans="1:4" x14ac:dyDescent="0.25">
      <c r="A79" t="s">
        <v>920</v>
      </c>
      <c r="B79" t="s">
        <v>981</v>
      </c>
      <c r="C79" t="s">
        <v>1060</v>
      </c>
      <c r="D79" t="str">
        <f t="shared" si="8"/>
        <v>"SGCN",</v>
      </c>
    </row>
    <row r="80" spans="1:4" x14ac:dyDescent="0.25">
      <c r="A80" t="s">
        <v>941</v>
      </c>
      <c r="B80" t="s">
        <v>994</v>
      </c>
      <c r="C80" t="s">
        <v>1009</v>
      </c>
      <c r="D80" t="str">
        <f t="shared" si="8"/>
        <v>"SLAG",</v>
      </c>
    </row>
    <row r="81" spans="1:4" x14ac:dyDescent="0.25">
      <c r="A81" t="s">
        <v>1076</v>
      </c>
      <c r="B81" t="s">
        <v>1077</v>
      </c>
      <c r="C81" t="s">
        <v>1013</v>
      </c>
      <c r="D81" t="str">
        <f t="shared" si="8"/>
        <v>"STAL",</v>
      </c>
    </row>
    <row r="82" spans="1:4" x14ac:dyDescent="0.25">
      <c r="A82" t="s">
        <v>1078</v>
      </c>
      <c r="B82" t="s">
        <v>1079</v>
      </c>
      <c r="C82" t="s">
        <v>1013</v>
      </c>
      <c r="D82" t="str">
        <f t="shared" si="8"/>
        <v>"STCB",</v>
      </c>
    </row>
    <row r="83" spans="1:4" x14ac:dyDescent="0.25">
      <c r="A83" t="s">
        <v>863</v>
      </c>
      <c r="B83" t="s">
        <v>960</v>
      </c>
      <c r="C83" t="s">
        <v>1013</v>
      </c>
      <c r="D83" t="str">
        <f t="shared" si="8"/>
        <v>"STEL",</v>
      </c>
    </row>
    <row r="84" spans="1:4" x14ac:dyDescent="0.25">
      <c r="A84" t="s">
        <v>1080</v>
      </c>
      <c r="B84" t="s">
        <v>1081</v>
      </c>
      <c r="C84" t="s">
        <v>1013</v>
      </c>
      <c r="D84" t="str">
        <f t="shared" si="8"/>
        <v>"STST",</v>
      </c>
    </row>
    <row r="85" spans="1:4" x14ac:dyDescent="0.25">
      <c r="A85" t="s">
        <v>924</v>
      </c>
      <c r="B85" t="s">
        <v>983</v>
      </c>
      <c r="C85" t="s">
        <v>1009</v>
      </c>
      <c r="D85" t="str">
        <f t="shared" si="8"/>
        <v>"SUGR",</v>
      </c>
    </row>
    <row r="86" spans="1:4" x14ac:dyDescent="0.25">
      <c r="A86" t="s">
        <v>939</v>
      </c>
      <c r="B86" t="s">
        <v>998</v>
      </c>
      <c r="C86" t="s">
        <v>1034</v>
      </c>
      <c r="D86" t="str">
        <f t="shared" si="8"/>
        <v>"SULP",</v>
      </c>
    </row>
    <row r="87" spans="1:4" x14ac:dyDescent="0.25">
      <c r="A87" t="s">
        <v>1097</v>
      </c>
      <c r="B87" t="s">
        <v>1108</v>
      </c>
      <c r="C87" t="s">
        <v>1014</v>
      </c>
      <c r="D87" t="str">
        <f t="shared" si="8"/>
        <v>"SWET",</v>
      </c>
    </row>
    <row r="88" spans="1:4" x14ac:dyDescent="0.25">
      <c r="A88" t="s">
        <v>1098</v>
      </c>
      <c r="B88" t="s">
        <v>1099</v>
      </c>
      <c r="C88" t="s">
        <v>1009</v>
      </c>
      <c r="D88" t="str">
        <f t="shared" si="8"/>
        <v>"TOFF",</v>
      </c>
    </row>
    <row r="89" spans="1:4" x14ac:dyDescent="0.25">
      <c r="A89" t="s">
        <v>886</v>
      </c>
      <c r="B89" t="s">
        <v>946</v>
      </c>
      <c r="C89" t="s">
        <v>1061</v>
      </c>
      <c r="D89" t="str">
        <f t="shared" si="8"/>
        <v>"TOUR",</v>
      </c>
    </row>
    <row r="90" spans="1:4" x14ac:dyDescent="0.25">
      <c r="A90" t="s">
        <v>1100</v>
      </c>
      <c r="B90" t="s">
        <v>1101</v>
      </c>
      <c r="C90" t="s">
        <v>1013</v>
      </c>
      <c r="D90" t="str">
        <f t="shared" si="8"/>
        <v>"TOYS",</v>
      </c>
    </row>
    <row r="91" spans="1:4" x14ac:dyDescent="0.25">
      <c r="A91" t="s">
        <v>1062</v>
      </c>
      <c r="B91" t="s">
        <v>1063</v>
      </c>
      <c r="C91" t="s">
        <v>1013</v>
      </c>
      <c r="D91" t="str">
        <f t="shared" si="8"/>
        <v>"TYRE",</v>
      </c>
    </row>
    <row r="92" spans="1:4" x14ac:dyDescent="0.25">
      <c r="A92" t="s">
        <v>1064</v>
      </c>
      <c r="B92" t="s">
        <v>1065</v>
      </c>
      <c r="C92" t="s">
        <v>1066</v>
      </c>
      <c r="D92" t="str">
        <f t="shared" si="8"/>
        <v>"URAN",</v>
      </c>
    </row>
    <row r="93" spans="1:4" x14ac:dyDescent="0.25">
      <c r="A93" t="s">
        <v>926</v>
      </c>
      <c r="B93" t="s">
        <v>985</v>
      </c>
      <c r="C93" t="s">
        <v>1015</v>
      </c>
      <c r="D93" t="str">
        <f t="shared" si="8"/>
        <v>"VALU",</v>
      </c>
    </row>
    <row r="94" spans="1:4" x14ac:dyDescent="0.25">
      <c r="A94" t="s">
        <v>1082</v>
      </c>
      <c r="B94" t="s">
        <v>1106</v>
      </c>
      <c r="C94" t="s">
        <v>1013</v>
      </c>
      <c r="D94" t="str">
        <f t="shared" si="8"/>
        <v>"VBOD",</v>
      </c>
    </row>
    <row r="95" spans="1:4" x14ac:dyDescent="0.25">
      <c r="A95" t="s">
        <v>903</v>
      </c>
      <c r="B95" t="s">
        <v>966</v>
      </c>
      <c r="C95" t="s">
        <v>1044</v>
      </c>
      <c r="D95" t="str">
        <f t="shared" si="8"/>
        <v>"VEHI",</v>
      </c>
    </row>
    <row r="96" spans="1:4" x14ac:dyDescent="0.25">
      <c r="A96" t="s">
        <v>1083</v>
      </c>
      <c r="B96" t="s">
        <v>1084</v>
      </c>
      <c r="C96" t="s">
        <v>1013</v>
      </c>
      <c r="D96" t="str">
        <f t="shared" si="8"/>
        <v>"VENG",</v>
      </c>
    </row>
    <row r="97" spans="1:4" x14ac:dyDescent="0.25">
      <c r="A97" t="s">
        <v>1085</v>
      </c>
      <c r="B97" t="s">
        <v>1086</v>
      </c>
      <c r="C97" t="s">
        <v>1069</v>
      </c>
      <c r="D97" t="str">
        <f t="shared" si="8"/>
        <v>"VPTS",</v>
      </c>
    </row>
    <row r="98" spans="1:4" x14ac:dyDescent="0.25">
      <c r="A98" t="s">
        <v>909</v>
      </c>
      <c r="B98" t="s">
        <v>971</v>
      </c>
      <c r="C98" t="s">
        <v>1011</v>
      </c>
      <c r="D98" t="str">
        <f t="shared" ref="D98:D112" si="9">CONCATENATE("""", A98, """,")</f>
        <v>"WATR",</v>
      </c>
    </row>
    <row r="99" spans="1:4" x14ac:dyDescent="0.25">
      <c r="A99" t="s">
        <v>902</v>
      </c>
      <c r="B99" t="s">
        <v>1120</v>
      </c>
      <c r="C99" t="s">
        <v>1043</v>
      </c>
      <c r="D99" t="str">
        <f t="shared" si="9"/>
        <v>"WDPR",</v>
      </c>
    </row>
    <row r="100" spans="1:4" x14ac:dyDescent="0.25">
      <c r="A100" t="s">
        <v>921</v>
      </c>
      <c r="B100" t="s">
        <v>982</v>
      </c>
      <c r="C100" t="s">
        <v>1009</v>
      </c>
      <c r="D100" t="str">
        <f t="shared" si="9"/>
        <v>"WHEA",</v>
      </c>
    </row>
    <row r="101" spans="1:4" x14ac:dyDescent="0.25">
      <c r="A101" t="s">
        <v>463</v>
      </c>
      <c r="B101" t="s">
        <v>956</v>
      </c>
      <c r="C101" t="s">
        <v>1013</v>
      </c>
      <c r="D101" t="str">
        <f t="shared" si="9"/>
        <v>"WOOD",</v>
      </c>
    </row>
    <row r="102" spans="1:4" x14ac:dyDescent="0.25">
      <c r="A102" t="s">
        <v>922</v>
      </c>
      <c r="B102" t="s">
        <v>974</v>
      </c>
      <c r="C102" t="s">
        <v>1025</v>
      </c>
      <c r="D102" t="str">
        <f t="shared" si="9"/>
        <v>"WOOL",</v>
      </c>
    </row>
    <row r="103" spans="1:4" x14ac:dyDescent="0.25">
      <c r="A103" t="s">
        <v>1012</v>
      </c>
      <c r="B103" t="s">
        <v>1109</v>
      </c>
      <c r="C103" t="s">
        <v>1102</v>
      </c>
      <c r="D103" t="str">
        <f t="shared" si="9"/>
        <v>"YETI",</v>
      </c>
    </row>
    <row r="104" spans="1:4" x14ac:dyDescent="0.25">
      <c r="A104" t="s">
        <v>1103</v>
      </c>
      <c r="B104" t="s">
        <v>1110</v>
      </c>
      <c r="C104" t="s">
        <v>1102</v>
      </c>
      <c r="D104" t="str">
        <f t="shared" si="9"/>
        <v>"YETY",</v>
      </c>
    </row>
    <row r="105" spans="1:4" x14ac:dyDescent="0.25">
      <c r="A105" t="s">
        <v>940</v>
      </c>
      <c r="B105" t="s">
        <v>993</v>
      </c>
      <c r="C105" t="s">
        <v>1013</v>
      </c>
      <c r="D105" t="str">
        <f t="shared" si="9"/>
        <v>"ZINC",</v>
      </c>
    </row>
    <row r="106" spans="1:4" x14ac:dyDescent="0.25">
      <c r="A106" t="s">
        <v>1148</v>
      </c>
      <c r="B106" t="s">
        <v>1147</v>
      </c>
      <c r="C106" t="s">
        <v>1055</v>
      </c>
      <c r="D106" t="str">
        <f t="shared" si="9"/>
        <v>"SOAP",</v>
      </c>
    </row>
    <row r="107" spans="1:4" x14ac:dyDescent="0.25">
      <c r="A107" t="s">
        <v>1149</v>
      </c>
      <c r="B107" t="s">
        <v>1150</v>
      </c>
      <c r="C107" t="s">
        <v>1037</v>
      </c>
      <c r="D107" t="str">
        <f t="shared" si="9"/>
        <v>"NH3_",</v>
      </c>
    </row>
    <row r="108" spans="1:4" x14ac:dyDescent="0.25">
      <c r="A108" t="s">
        <v>1153</v>
      </c>
      <c r="B108" t="s">
        <v>1154</v>
      </c>
      <c r="C108" t="s">
        <v>1037</v>
      </c>
      <c r="D108" t="str">
        <f t="shared" si="9"/>
        <v>"O2__",</v>
      </c>
    </row>
    <row r="109" spans="1:4" x14ac:dyDescent="0.25">
      <c r="A109" t="s">
        <v>1155</v>
      </c>
      <c r="B109" t="s">
        <v>1156</v>
      </c>
      <c r="C109" t="s">
        <v>1055</v>
      </c>
      <c r="D109" t="str">
        <f t="shared" si="9"/>
        <v>"COAT",</v>
      </c>
    </row>
    <row r="110" spans="1:4" x14ac:dyDescent="0.25">
      <c r="A110" t="s">
        <v>1157</v>
      </c>
      <c r="B110" t="s">
        <v>1146</v>
      </c>
      <c r="C110" t="s">
        <v>1013</v>
      </c>
      <c r="D110" t="str">
        <f t="shared" si="9"/>
        <v>"RBAR",</v>
      </c>
    </row>
    <row r="111" spans="1:4" x14ac:dyDescent="0.25">
      <c r="A111" t="s">
        <v>1158</v>
      </c>
      <c r="B111" t="s">
        <v>1159</v>
      </c>
      <c r="C111" t="s">
        <v>1013</v>
      </c>
      <c r="D111" t="str">
        <f t="shared" si="9"/>
        <v>"STSH",</v>
      </c>
    </row>
    <row r="112" spans="1:4" x14ac:dyDescent="0.25">
      <c r="A112" t="s">
        <v>1160</v>
      </c>
      <c r="B112" t="s">
        <v>1161</v>
      </c>
      <c r="C112" t="s">
        <v>1013</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Articulated Lengths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2020-07-15T23:03:03Z</dcterms:modified>
</cp:coreProperties>
</file>