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mberwolfs_trains\"/>
    </mc:Choice>
  </mc:AlternateContent>
  <xr:revisionPtr revIDLastSave="0" documentId="13_ncr:1_{E78D7C4F-AA2F-410E-8709-E05DB997AB5B}" xr6:coauthVersionLast="45" xr6:coauthVersionMax="45" xr10:uidLastSave="{00000000-0000-0000-0000-000000000000}"/>
  <bookViews>
    <workbookView xWindow="7695" yWindow="1560" windowWidth="20880" windowHeight="12840" xr2:uid="{F6BD1511-EB94-45B5-99E9-5A8B1986E383}"/>
  </bookViews>
  <sheets>
    <sheet name="Table" sheetId="1" r:id="rId1"/>
    <sheet name="Articulated Lengths" sheetId="2" r:id="rId2"/>
    <sheet name="Voxel Sizes" sheetId="3" r:id="rId3"/>
  </sheets>
  <definedNames>
    <definedName name="_xlnm._FilterDatabase" localSheetId="0" hidden="1">Table!$C$1:$C$200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3" l="1"/>
  <c r="B2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3" i="3"/>
  <c r="W75" i="1" l="1"/>
  <c r="V75" i="1" s="1"/>
  <c r="W76" i="1"/>
  <c r="V76" i="1" s="1"/>
  <c r="W3" i="1"/>
  <c r="V3" i="1" s="1"/>
  <c r="W4" i="1"/>
  <c r="V4" i="1" s="1"/>
  <c r="W5" i="1"/>
  <c r="V5" i="1" s="1"/>
  <c r="W6" i="1"/>
  <c r="V6" i="1" s="1"/>
  <c r="W7" i="1"/>
  <c r="V7" i="1" s="1"/>
  <c r="W8" i="1"/>
  <c r="V8" i="1" s="1"/>
  <c r="W9" i="1"/>
  <c r="V9" i="1" s="1"/>
  <c r="W10" i="1"/>
  <c r="V10" i="1" s="1"/>
  <c r="W11" i="1"/>
  <c r="V11" i="1" s="1"/>
  <c r="W12" i="1"/>
  <c r="V12" i="1" s="1"/>
  <c r="W13" i="1"/>
  <c r="V13" i="1" s="1"/>
  <c r="W14" i="1"/>
  <c r="V14" i="1" s="1"/>
  <c r="W15" i="1"/>
  <c r="V15" i="1" s="1"/>
  <c r="W16" i="1"/>
  <c r="V16" i="1" s="1"/>
  <c r="W17" i="1"/>
  <c r="V17" i="1" s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V25" i="1" s="1"/>
  <c r="W26" i="1"/>
  <c r="V26" i="1" s="1"/>
  <c r="W27" i="1"/>
  <c r="V27" i="1" s="1"/>
  <c r="W28" i="1"/>
  <c r="V28" i="1" s="1"/>
  <c r="W29" i="1"/>
  <c r="V29" i="1" s="1"/>
  <c r="W30" i="1"/>
  <c r="V30" i="1" s="1"/>
  <c r="W31" i="1"/>
  <c r="V31" i="1" s="1"/>
  <c r="W32" i="1"/>
  <c r="V32" i="1" s="1"/>
  <c r="W33" i="1"/>
  <c r="V33" i="1" s="1"/>
  <c r="W34" i="1"/>
  <c r="V34" i="1" s="1"/>
  <c r="W35" i="1"/>
  <c r="V35" i="1" s="1"/>
  <c r="W36" i="1"/>
  <c r="V36" i="1" s="1"/>
  <c r="W37" i="1"/>
  <c r="V37" i="1" s="1"/>
  <c r="W38" i="1"/>
  <c r="V38" i="1" s="1"/>
  <c r="W39" i="1"/>
  <c r="V39" i="1" s="1"/>
  <c r="W40" i="1"/>
  <c r="V40" i="1" s="1"/>
  <c r="W41" i="1"/>
  <c r="V41" i="1" s="1"/>
  <c r="W42" i="1"/>
  <c r="V42" i="1" s="1"/>
  <c r="W43" i="1"/>
  <c r="V43" i="1" s="1"/>
  <c r="W44" i="1"/>
  <c r="V44" i="1" s="1"/>
  <c r="W45" i="1"/>
  <c r="V45" i="1" s="1"/>
  <c r="W46" i="1"/>
  <c r="V46" i="1" s="1"/>
  <c r="W47" i="1"/>
  <c r="V47" i="1" s="1"/>
  <c r="W48" i="1"/>
  <c r="V48" i="1" s="1"/>
  <c r="W49" i="1"/>
  <c r="V49" i="1" s="1"/>
  <c r="W50" i="1"/>
  <c r="V50" i="1" s="1"/>
  <c r="W51" i="1"/>
  <c r="V51" i="1" s="1"/>
  <c r="W52" i="1"/>
  <c r="V52" i="1" s="1"/>
  <c r="W53" i="1"/>
  <c r="V53" i="1" s="1"/>
  <c r="W54" i="1"/>
  <c r="V54" i="1" s="1"/>
  <c r="W55" i="1"/>
  <c r="V55" i="1" s="1"/>
  <c r="W56" i="1"/>
  <c r="V56" i="1" s="1"/>
  <c r="W57" i="1"/>
  <c r="V57" i="1" s="1"/>
  <c r="W58" i="1"/>
  <c r="V58" i="1" s="1"/>
  <c r="W59" i="1"/>
  <c r="V59" i="1" s="1"/>
  <c r="W60" i="1"/>
  <c r="V60" i="1" s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V72" i="1" s="1"/>
  <c r="W73" i="1"/>
  <c r="V73" i="1" s="1"/>
  <c r="W74" i="1"/>
  <c r="V74" i="1" s="1"/>
  <c r="W77" i="1"/>
  <c r="V77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V84" i="1" s="1"/>
  <c r="W85" i="1"/>
  <c r="V85" i="1" s="1"/>
  <c r="W86" i="1"/>
  <c r="V86" i="1" s="1"/>
  <c r="W87" i="1"/>
  <c r="V87" i="1" s="1"/>
  <c r="W88" i="1"/>
  <c r="V88" i="1" s="1"/>
  <c r="W89" i="1"/>
  <c r="V89" i="1" s="1"/>
  <c r="W90" i="1"/>
  <c r="V90" i="1" s="1"/>
  <c r="W91" i="1"/>
  <c r="V91" i="1" s="1"/>
  <c r="W92" i="1"/>
  <c r="V92" i="1" s="1"/>
  <c r="W93" i="1"/>
  <c r="V93" i="1" s="1"/>
  <c r="W94" i="1"/>
  <c r="V94" i="1" s="1"/>
  <c r="W95" i="1"/>
  <c r="V95" i="1" s="1"/>
  <c r="W96" i="1"/>
  <c r="V96" i="1" s="1"/>
  <c r="W97" i="1"/>
  <c r="V97" i="1" s="1"/>
  <c r="W98" i="1"/>
  <c r="V98" i="1" s="1"/>
  <c r="W99" i="1"/>
  <c r="V99" i="1" s="1"/>
  <c r="W100" i="1"/>
  <c r="V100" i="1" s="1"/>
  <c r="W101" i="1"/>
  <c r="V101" i="1" s="1"/>
  <c r="W102" i="1"/>
  <c r="V102" i="1" s="1"/>
  <c r="W103" i="1"/>
  <c r="V103" i="1" s="1"/>
  <c r="W104" i="1"/>
  <c r="V104" i="1" s="1"/>
  <c r="W105" i="1"/>
  <c r="V105" i="1" s="1"/>
  <c r="W106" i="1"/>
  <c r="V106" i="1" s="1"/>
  <c r="W107" i="1"/>
  <c r="V107" i="1" s="1"/>
  <c r="W108" i="1"/>
  <c r="V108" i="1" s="1"/>
  <c r="W109" i="1"/>
  <c r="V109" i="1" s="1"/>
  <c r="W110" i="1"/>
  <c r="V110" i="1" s="1"/>
  <c r="W111" i="1"/>
  <c r="V111" i="1" s="1"/>
  <c r="W112" i="1"/>
  <c r="V112" i="1" s="1"/>
  <c r="W113" i="1"/>
  <c r="V113" i="1" s="1"/>
  <c r="W114" i="1"/>
  <c r="V114" i="1" s="1"/>
  <c r="W115" i="1"/>
  <c r="V115" i="1" s="1"/>
  <c r="W116" i="1"/>
  <c r="V116" i="1" s="1"/>
  <c r="W117" i="1"/>
  <c r="V117" i="1" s="1"/>
  <c r="W118" i="1"/>
  <c r="V118" i="1" s="1"/>
  <c r="W119" i="1"/>
  <c r="V119" i="1" s="1"/>
  <c r="W120" i="1"/>
  <c r="V120" i="1" s="1"/>
  <c r="W121" i="1"/>
  <c r="V121" i="1" s="1"/>
  <c r="W122" i="1"/>
  <c r="V122" i="1" s="1"/>
  <c r="W123" i="1"/>
  <c r="V123" i="1" s="1"/>
  <c r="W124" i="1"/>
  <c r="V124" i="1" s="1"/>
  <c r="W125" i="1"/>
  <c r="V125" i="1" s="1"/>
  <c r="W126" i="1"/>
  <c r="V126" i="1" s="1"/>
  <c r="W127" i="1"/>
  <c r="V127" i="1" s="1"/>
  <c r="W128" i="1"/>
  <c r="V128" i="1" s="1"/>
  <c r="W129" i="1"/>
  <c r="V129" i="1" s="1"/>
  <c r="W130" i="1"/>
  <c r="V130" i="1" s="1"/>
  <c r="W131" i="1"/>
  <c r="V131" i="1" s="1"/>
  <c r="W132" i="1"/>
  <c r="V132" i="1" s="1"/>
  <c r="W133" i="1"/>
  <c r="V133" i="1" s="1"/>
  <c r="W134" i="1"/>
  <c r="V134" i="1" s="1"/>
  <c r="W135" i="1"/>
  <c r="V135" i="1" s="1"/>
  <c r="W136" i="1"/>
  <c r="V136" i="1" s="1"/>
  <c r="W137" i="1"/>
  <c r="V137" i="1" s="1"/>
  <c r="W138" i="1"/>
  <c r="V138" i="1" s="1"/>
  <c r="W139" i="1"/>
  <c r="V139" i="1" s="1"/>
  <c r="W140" i="1"/>
  <c r="V140" i="1" s="1"/>
  <c r="W141" i="1"/>
  <c r="V141" i="1" s="1"/>
  <c r="W142" i="1"/>
  <c r="V142" i="1" s="1"/>
  <c r="W143" i="1"/>
  <c r="V143" i="1" s="1"/>
  <c r="W144" i="1"/>
  <c r="V144" i="1" s="1"/>
  <c r="W145" i="1"/>
  <c r="V145" i="1" s="1"/>
  <c r="W146" i="1"/>
  <c r="V146" i="1" s="1"/>
  <c r="W147" i="1"/>
  <c r="V147" i="1" s="1"/>
  <c r="W148" i="1"/>
  <c r="V148" i="1" s="1"/>
  <c r="W149" i="1"/>
  <c r="V149" i="1" s="1"/>
  <c r="W150" i="1"/>
  <c r="V150" i="1" s="1"/>
  <c r="W151" i="1"/>
  <c r="V151" i="1" s="1"/>
  <c r="W152" i="1"/>
  <c r="V152" i="1" s="1"/>
  <c r="W153" i="1"/>
  <c r="V153" i="1" s="1"/>
  <c r="W154" i="1"/>
  <c r="V154" i="1" s="1"/>
  <c r="W155" i="1"/>
  <c r="V155" i="1" s="1"/>
  <c r="W156" i="1"/>
  <c r="V156" i="1" s="1"/>
  <c r="W157" i="1"/>
  <c r="V157" i="1" s="1"/>
  <c r="W158" i="1"/>
  <c r="V158" i="1" s="1"/>
  <c r="W159" i="1"/>
  <c r="V159" i="1" s="1"/>
  <c r="W160" i="1"/>
  <c r="V160" i="1" s="1"/>
  <c r="W161" i="1"/>
  <c r="V161" i="1" s="1"/>
  <c r="W162" i="1"/>
  <c r="V162" i="1" s="1"/>
  <c r="W163" i="1"/>
  <c r="V163" i="1" s="1"/>
  <c r="W164" i="1"/>
  <c r="V164" i="1" s="1"/>
  <c r="W165" i="1"/>
  <c r="V165" i="1" s="1"/>
  <c r="W166" i="1"/>
  <c r="V166" i="1" s="1"/>
  <c r="W167" i="1"/>
  <c r="V167" i="1" s="1"/>
  <c r="W168" i="1"/>
  <c r="V168" i="1" s="1"/>
  <c r="W169" i="1"/>
  <c r="V169" i="1" s="1"/>
  <c r="W170" i="1"/>
  <c r="V170" i="1" s="1"/>
  <c r="W171" i="1"/>
  <c r="V171" i="1" s="1"/>
  <c r="W172" i="1"/>
  <c r="V172" i="1" s="1"/>
  <c r="W173" i="1"/>
  <c r="V173" i="1" s="1"/>
  <c r="W174" i="1"/>
  <c r="V174" i="1" s="1"/>
  <c r="W175" i="1"/>
  <c r="V175" i="1" s="1"/>
  <c r="W176" i="1"/>
  <c r="V176" i="1" s="1"/>
  <c r="W177" i="1"/>
  <c r="V177" i="1" s="1"/>
  <c r="W178" i="1"/>
  <c r="V178" i="1" s="1"/>
  <c r="W179" i="1"/>
  <c r="V179" i="1" s="1"/>
  <c r="W180" i="1"/>
  <c r="V180" i="1" s="1"/>
  <c r="W181" i="1"/>
  <c r="V181" i="1" s="1"/>
  <c r="W182" i="1"/>
  <c r="V182" i="1" s="1"/>
  <c r="W183" i="1"/>
  <c r="V183" i="1" s="1"/>
  <c r="W184" i="1"/>
  <c r="V184" i="1" s="1"/>
  <c r="W185" i="1"/>
  <c r="V185" i="1" s="1"/>
  <c r="W186" i="1"/>
  <c r="V186" i="1" s="1"/>
  <c r="W187" i="1"/>
  <c r="V187" i="1" s="1"/>
  <c r="W188" i="1"/>
  <c r="V188" i="1" s="1"/>
  <c r="W189" i="1"/>
  <c r="V189" i="1" s="1"/>
  <c r="W190" i="1"/>
  <c r="V190" i="1" s="1"/>
  <c r="W191" i="1"/>
  <c r="V191" i="1" s="1"/>
  <c r="W192" i="1"/>
  <c r="V192" i="1" s="1"/>
  <c r="W193" i="1"/>
  <c r="V193" i="1" s="1"/>
  <c r="W194" i="1"/>
  <c r="V194" i="1" s="1"/>
  <c r="W195" i="1"/>
  <c r="V195" i="1" s="1"/>
  <c r="W196" i="1"/>
  <c r="V196" i="1" s="1"/>
  <c r="W197" i="1"/>
  <c r="V197" i="1" s="1"/>
  <c r="W198" i="1"/>
  <c r="V198" i="1" s="1"/>
  <c r="W199" i="1"/>
  <c r="V199" i="1" s="1"/>
  <c r="W200" i="1"/>
  <c r="V200" i="1" s="1"/>
  <c r="W2" i="1"/>
  <c r="V2" i="1" s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Y40" i="1"/>
  <c r="Y41" i="1"/>
  <c r="Y71" i="1"/>
  <c r="Y178" i="1"/>
  <c r="Y189" i="1"/>
  <c r="O13" i="1" l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<sst xmlns="http://schemas.openxmlformats.org/spreadsheetml/2006/main" count="871" uniqueCount="463">
  <si>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</si>
  <si>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</si>
  <si>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</si>
  <si>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</si>
  <si>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</si>
  <si>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</si>
  <si>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</si>
  <si>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</si>
  <si>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</si>
  <si>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</si>
  <si>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</si>
  <si>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</si>
  <si>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</si>
  <si>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</si>
  <si>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</si>
  <si>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</si>
  <si>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</si>
  <si>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</si>
  <si>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</si>
  <si>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</si>
  <si>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</si>
  <si>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</si>
  <si>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</si>
  <si>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</si>
  <si>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</si>
  <si>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</si>
  <si>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</si>
  <si>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</si>
  <si>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</si>
  <si>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</si>
  <si>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</si>
  <si>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</si>
  <si>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</si>
  <si>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</si>
  <si>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</si>
  <si>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</si>
  <si>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</si>
  <si>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</si>
  <si>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</si>
  <si>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</si>
  <si>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</si>
  <si>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</si>
  <si>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</si>
  <si>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</si>
  <si>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</si>
  <si>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</si>
  <si>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</si>
  <si>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</si>
  <si>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</si>
  <si>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</si>
  <si>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</si>
  <si>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</si>
  <si>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</si>
  <si>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</si>
  <si>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</si>
  <si>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</si>
  <si>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</si>
  <si>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</si>
  <si>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</si>
  <si>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</si>
  <si>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</si>
  <si>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</si>
  <si>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</si>
  <si>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</si>
  <si>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</si>
  <si>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</si>
  <si>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</si>
  <si>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</si>
  <si>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</si>
  <si>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</si>
  <si>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</si>
  <si>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</si>
  <si>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</si>
  <si>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</si>
  <si>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</si>
  <si>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</si>
  <si>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</si>
  <si>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</si>
  <si>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</si>
  <si>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</si>
  <si>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</si>
  <si>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</si>
  <si>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</si>
  <si>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</si>
  <si>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</si>
  <si>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</si>
  <si>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</si>
  <si>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</si>
  <si>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</si>
  <si>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</si>
  <si>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</si>
  <si>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</si>
  <si>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</si>
  <si>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</si>
  <si>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</si>
  <si>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</si>
  <si>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</si>
  <si>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</si>
  <si>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</si>
  <si>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</si>
  <si>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</si>
  <si>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</si>
  <si>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</si>
  <si>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</si>
  <si>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</si>
  <si>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</si>
  <si>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</si>
  <si>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</si>
  <si>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</si>
  <si>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</si>
  <si>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</si>
  <si>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</si>
  <si>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</si>
  <si>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</si>
  <si>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</si>
  <si>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</si>
  <si>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</si>
  <si>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</si>
  <si>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</si>
  <si>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</si>
  <si>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</si>
  <si>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</si>
  <si>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</si>
  <si>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</si>
  <si>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</si>
  <si>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</si>
  <si>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</si>
  <si>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</si>
  <si>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</si>
  <si>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</si>
  <si>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</si>
  <si>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</si>
  <si>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</si>
  <si>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</si>
  <si>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</si>
  <si>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</si>
  <si>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</si>
  <si>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</si>
  <si>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</si>
  <si>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</si>
  <si>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</si>
  <si>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</si>
  <si>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</si>
  <si>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</si>
  <si>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</si>
  <si>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</si>
  <si>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</si>
  <si>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</si>
  <si>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</si>
  <si>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</si>
  <si>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</si>
  <si>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</si>
  <si>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</si>
  <si>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</si>
  <si>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</si>
  <si>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</si>
  <si>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</si>
  <si>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</si>
  <si>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</si>
  <si>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</si>
  <si>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</si>
  <si>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</si>
  <si>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</si>
  <si>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</si>
  <si>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</si>
  <si>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</si>
  <si>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</si>
  <si>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</si>
  <si>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</si>
  <si>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</si>
  <si>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</si>
  <si>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</si>
  <si>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</si>
  <si>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</si>
  <si>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</si>
  <si>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</si>
  <si>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</si>
  <si>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</si>
  <si>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</si>
  <si>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</si>
  <si>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</si>
  <si>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</si>
  <si>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</si>
  <si>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</si>
  <si>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</si>
  <si>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</si>
  <si>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</si>
  <si>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</si>
  <si>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</si>
  <si>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</si>
  <si>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</si>
  <si>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</si>
  <si>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</si>
  <si>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</si>
  <si>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</si>
  <si>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</si>
  <si>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</si>
  <si>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</si>
  <si>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</si>
  <si>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</si>
  <si>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</si>
  <si>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</si>
  <si>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</si>
  <si>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</si>
  <si>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</si>
  <si>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</si>
  <si>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</si>
  <si>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</si>
  <si>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</si>
  <si>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</si>
  <si>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</si>
  <si>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</si>
  <si>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</si>
  <si>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</si>
  <si>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</si>
  <si>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</si>
  <si>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</si>
  <si>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</si>
  <si>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</si>
  <si>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</si>
  <si>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</si>
  <si>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</si>
  <si>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</si>
  <si>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</si>
  <si>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</si>
  <si>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</si>
  <si>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</si>
  <si>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</si>
  <si>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</si>
  <si>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</si>
  <si>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</si>
  <si>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</si>
  <si>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</si>
  <si>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</si>
  <si>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</si>
  <si>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</si>
  <si>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</si>
  <si>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</si>
  <si>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</si>
  <si>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</si>
  <si>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</si>
  <si>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</si>
  <si>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</si>
  <si>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</si>
  <si>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</si>
  <si>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</si>
  <si>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</si>
  <si>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</si>
  <si>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</si>
  <si>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</si>
  <si>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</si>
  <si>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</si>
  <si>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</si>
  <si>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</si>
  <si>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</si>
  <si>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</si>
  <si>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</si>
  <si>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</si>
  <si>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</si>
  <si>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</si>
  <si>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</si>
  <si>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</si>
  <si>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</si>
  <si>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</si>
  <si>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</si>
  <si>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</si>
  <si>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</si>
  <si>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</si>
  <si>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sulzer_class_45_peak</t>
  </si>
  <si>
    <t>brcw_class_33_crompton</t>
  </si>
  <si>
    <t>br_class_35_hymek</t>
  </si>
  <si>
    <t>br_class_52_western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</si>
  <si>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</si>
  <si>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</si>
  <si>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</si>
  <si>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</si>
  <si>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</si>
  <si>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</si>
  <si>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</si>
  <si>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</si>
  <si>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</si>
  <si>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</si>
  <si>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</si>
  <si>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</si>
  <si>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</si>
  <si>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</si>
  <si>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</si>
  <si>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</si>
  <si>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</si>
  <si>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</si>
  <si>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</si>
  <si>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</si>
  <si>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</si>
  <si>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</si>
  <si>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</si>
  <si>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</si>
  <si>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</si>
  <si>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</si>
  <si>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</si>
  <si>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</si>
  <si>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</si>
  <si>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</si>
  <si>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</si>
  <si>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</si>
  <si>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</si>
  <si>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</si>
  <si>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</si>
  <si>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</si>
  <si>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</si>
  <si>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</si>
  <si>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</si>
  <si>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</si>
  <si>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</si>
  <si>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</si>
  <si>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</si>
  <si>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</si>
  <si>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</si>
  <si>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</si>
  <si>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</si>
  <si>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</si>
  <si>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</si>
  <si>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</si>
  <si>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</si>
  <si>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</si>
  <si>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</si>
  <si>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</si>
  <si>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</si>
  <si>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</si>
  <si>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</si>
  <si>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</si>
  <si>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</si>
  <si>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</si>
  <si>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</si>
  <si>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</si>
  <si>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</si>
  <si>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</si>
  <si>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</si>
  <si>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</si>
  <si>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</si>
  <si>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</si>
  <si>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</si>
  <si>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</si>
  <si>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</si>
  <si>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</si>
  <si>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</si>
  <si>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</si>
  <si>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</si>
  <si>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</si>
  <si>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</si>
  <si>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</si>
  <si>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</si>
  <si>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</si>
  <si>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</si>
  <si>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</si>
  <si>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</si>
  <si>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</si>
  <si>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</si>
  <si>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</si>
  <si>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</si>
  <si>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</si>
  <si>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</si>
  <si>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</si>
  <si>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</si>
  <si>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</si>
  <si>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</si>
  <si>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</si>
  <si>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</si>
  <si>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</si>
  <si>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</si>
  <si>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</si>
  <si>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</si>
  <si>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</si>
  <si>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</si>
  <si>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</si>
  <si>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</si>
  <si>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</si>
  <si>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</si>
  <si>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</si>
  <si>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</si>
  <si>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</si>
  <si>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</si>
  <si>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</si>
  <si>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</si>
  <si>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</si>
  <si>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</si>
  <si>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</si>
  <si>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</si>
  <si>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</si>
  <si>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</si>
  <si>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</si>
  <si>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</si>
  <si>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</si>
  <si>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</si>
  <si>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</si>
  <si>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</si>
  <si>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</si>
  <si>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</si>
  <si>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</si>
  <si>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</si>
  <si>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</si>
  <si>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</si>
  <si>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</si>
  <si>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</si>
  <si>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</si>
  <si>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</si>
  <si>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</si>
  <si>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</si>
  <si>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</si>
  <si>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</si>
  <si>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</si>
  <si>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</si>
  <si>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</si>
  <si>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</si>
  <si>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</si>
  <si>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</si>
  <si>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</si>
  <si>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</si>
  <si>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</si>
  <si>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</si>
  <si>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</si>
  <si>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</si>
  <si>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</si>
  <si>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</si>
  <si>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</si>
  <si>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</si>
  <si>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</si>
  <si>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</si>
  <si>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</si>
  <si>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</si>
  <si>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</si>
  <si>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</si>
  <si>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</si>
  <si>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</si>
  <si>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</si>
  <si>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</si>
  <si>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</si>
  <si>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</si>
  <si>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</si>
  <si>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</si>
  <si>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</si>
  <si>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</si>
  <si>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</si>
  <si>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</si>
  <si>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</si>
  <si>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</si>
  <si>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</si>
  <si>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</si>
  <si>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</si>
  <si>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</si>
  <si>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</si>
  <si>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</si>
  <si>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</si>
  <si>
    <t>br_class_28</t>
  </si>
  <si>
    <t>TTD Length</t>
  </si>
  <si>
    <t>Voxel Size</t>
  </si>
  <si>
    <t>Padded Object Size</t>
  </si>
  <si>
    <t>Voxel Size (calculated)</t>
  </si>
  <si>
    <t>Voxel size (observed)</t>
  </si>
  <si>
    <t>PLATEWAY</t>
  </si>
  <si>
    <t>THIRD_RAIL</t>
  </si>
  <si>
    <t>2,2,2</t>
  </si>
  <si>
    <t>sulzer_class_25</t>
  </si>
  <si>
    <t>br_class_43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</si>
</sst>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B84" activePane="bottomRight" state="frozenSplit"/>
      <selection pane="topRight" activeCell="B1" sqref="B1"/>
      <selection pane="bottomLeft" activeCell="A2" sqref="A2"/>
      <selection pane="bottomRight" activeCell="B103" sqref="B103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424</v>
      </c>
      <c r="E1" s="1" t="s">
        <v>427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430</v>
      </c>
      <c r="N1" s="1" t="s">
        <v>209</v>
      </c>
      <c r="O1" s="3" t="s">
        <v>418</v>
      </c>
      <c r="P1" s="1" t="s">
        <v>210</v>
      </c>
      <c r="Q1" s="1" t="s">
        <v>211</v>
      </c>
      <c r="R1" s="1" t="s">
        <v>439</v>
      </c>
      <c r="S1" s="1" t="s">
        <v>380</v>
      </c>
      <c r="T1" s="1" t="s">
        <v>212</v>
      </c>
      <c r="U1" s="1" t="s">
        <v>417</v>
      </c>
      <c r="V1" s="1" t="s">
        <v>201</v>
      </c>
      <c r="W1" s="1" t="s">
        <v>422</v>
      </c>
      <c r="X1" s="1" t="s">
        <v>445</v>
      </c>
      <c r="Y1" s="1" t="s">
        <v>381</v>
      </c>
      <c r="Z1" s="1" t="s">
        <v>423</v>
      </c>
      <c r="AA1" s="1" t="s">
        <v>431</v>
      </c>
      <c r="AB1" s="1" t="s">
        <v>432</v>
      </c>
      <c r="AC1" s="1" t="s">
        <v>436</v>
      </c>
    </row>
    <row r="2" spans="1:29" x14ac:dyDescent="0.25">
      <c r="A2" t="s">
        <v>444</v>
      </c>
      <c r="B2" t="s">
        <v>443</v>
      </c>
      <c r="C2" t="s">
        <v>445</v>
      </c>
      <c r="E2" t="s">
        <v>428</v>
      </c>
      <c r="K2">
        <v>52</v>
      </c>
      <c r="Q2">
        <v>7.64</v>
      </c>
      <c r="R2">
        <v>8</v>
      </c>
      <c r="V2" t="str">
        <f>CONCATENATE(VLOOKUP(W2, 'Voxel Sizes'!$A$2:$B$18,2,FALSE),"x",INT(S2*15), "x", INT(T2*15))</f>
        <v>92x0x0</v>
      </c>
      <c r="W2">
        <f>ROUND(15*((R2*10)/256),0)</f>
        <v>5</v>
      </c>
      <c r="Y2" t="str">
        <f>CONCATENATE(VLOOKUP(W2,'Articulated Lengths'!$A$2:$B$16, 2, FALSE),IF(X2&lt;&gt;"",CONCATENATE(",",VLOOKUP(X2,$B$2:$Y$200,24,FALSE)),""))</f>
        <v>1,3,1</v>
      </c>
    </row>
    <row r="3" spans="1:29" x14ac:dyDescent="0.25">
      <c r="A3" t="s">
        <v>447</v>
      </c>
      <c r="B3" t="s">
        <v>448</v>
      </c>
      <c r="C3" t="s">
        <v>445</v>
      </c>
      <c r="E3" t="s">
        <v>428</v>
      </c>
      <c r="K3">
        <v>52</v>
      </c>
      <c r="Q3">
        <v>7.64</v>
      </c>
      <c r="R3">
        <v>8</v>
      </c>
      <c r="V3" t="str">
        <f>CONCATENATE(VLOOKUP(W3, 'Voxel Sizes'!$A$2:$B$18,2,FALSE),"x",INT(S3*15), "x", INT(T3*15))</f>
        <v>92x0x0</v>
      </c>
      <c r="W3">
        <f t="shared" ref="W3:W66" si="0">ROUND(15*((R3*10)/256),0)</f>
        <v>5</v>
      </c>
      <c r="Y3" t="str">
        <f>CONCATENATE(VLOOKUP(W3,'Articulated Lengths'!$A$2:$B$16, 2, FALSE),IF(X3&lt;&gt;"",CONCATENATE(",",VLOOKUP(X3,$B$2:$Y$200,24,FALSE)),""))</f>
        <v>1,3,1</v>
      </c>
    </row>
    <row r="4" spans="1:29" x14ac:dyDescent="0.25">
      <c r="A4" t="s">
        <v>195</v>
      </c>
      <c r="B4" t="s">
        <v>334</v>
      </c>
      <c r="C4" t="s">
        <v>213</v>
      </c>
      <c r="E4" t="s">
        <v>429</v>
      </c>
      <c r="F4">
        <v>1802</v>
      </c>
      <c r="K4">
        <v>5</v>
      </c>
      <c r="O4" s="4" t="str">
        <f t="shared" ref="O4:O11" si="1">IF(AND(K4&gt;0,N4&gt;0),(N4/(K4*10)),"")</f>
        <v/>
      </c>
      <c r="P4">
        <v>5</v>
      </c>
      <c r="V4" t="str">
        <f>CONCATENATE(VLOOKUP(W4, 'Voxel Sizes'!$A$2:$B$18,2,FALSE),"x",INT(S4*15), "x", INT(T4*15))</f>
        <v>0x0x0</v>
      </c>
      <c r="W4">
        <f t="shared" si="0"/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428</v>
      </c>
      <c r="F5">
        <v>1812</v>
      </c>
      <c r="K5">
        <v>5</v>
      </c>
      <c r="O5" s="4" t="str">
        <f t="shared" si="1"/>
        <v/>
      </c>
      <c r="V5" t="str">
        <f>CONCATENATE(VLOOKUP(W5, 'Voxel Sizes'!$A$2:$B$18,2,FALSE),"x",INT(S5*15), "x", INT(T5*15))</f>
        <v>0x0x0</v>
      </c>
      <c r="W5">
        <f t="shared" si="0"/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428</v>
      </c>
      <c r="F6">
        <v>1825</v>
      </c>
      <c r="K6">
        <v>7</v>
      </c>
      <c r="N6">
        <v>8.5</v>
      </c>
      <c r="O6" s="4">
        <f t="shared" si="1"/>
        <v>0.12142857142857143</v>
      </c>
      <c r="P6">
        <v>15</v>
      </c>
      <c r="V6" t="str">
        <f>CONCATENATE(VLOOKUP(W6, 'Voxel Sizes'!$A$2:$B$18,2,FALSE),"x",INT(S6*15), "x", INT(T6*15))</f>
        <v>0x0x0</v>
      </c>
      <c r="W6">
        <f t="shared" si="0"/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428</v>
      </c>
      <c r="F7">
        <v>1830</v>
      </c>
      <c r="K7">
        <v>4.3</v>
      </c>
      <c r="O7" s="4" t="str">
        <f t="shared" si="1"/>
        <v/>
      </c>
      <c r="V7" t="str">
        <f>CONCATENATE(VLOOKUP(W7, 'Voxel Sizes'!$A$2:$B$18,2,FALSE),"x",INT(S7*15), "x", INT(T7*15))</f>
        <v>0x0x0</v>
      </c>
      <c r="W7">
        <f t="shared" si="0"/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335</v>
      </c>
      <c r="C8" t="s">
        <v>213</v>
      </c>
      <c r="E8" t="s">
        <v>428</v>
      </c>
      <c r="F8">
        <v>1838</v>
      </c>
      <c r="N8">
        <v>9.6</v>
      </c>
      <c r="O8" s="4" t="str">
        <f t="shared" si="1"/>
        <v/>
      </c>
      <c r="P8">
        <v>45</v>
      </c>
      <c r="V8" t="str">
        <f>CONCATENATE(VLOOKUP(W8, 'Voxel Sizes'!$A$2:$B$18,2,FALSE),"x",INT(S8*15), "x", INT(T8*15))</f>
        <v>0x0x0</v>
      </c>
      <c r="W8">
        <f t="shared" si="0"/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336</v>
      </c>
      <c r="C9" t="s">
        <v>213</v>
      </c>
      <c r="E9" t="s">
        <v>428</v>
      </c>
      <c r="F9">
        <v>1838</v>
      </c>
      <c r="O9" s="4" t="str">
        <f t="shared" si="1"/>
        <v/>
      </c>
      <c r="V9" t="str">
        <f>CONCATENATE(VLOOKUP(W9, 'Voxel Sizes'!$A$2:$B$18,2,FALSE),"x",INT(S9*15), "x", INT(T9*15))</f>
        <v>0x0x0</v>
      </c>
      <c r="W9">
        <f t="shared" si="0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428</v>
      </c>
      <c r="F10">
        <v>1846</v>
      </c>
      <c r="K10">
        <v>19</v>
      </c>
      <c r="N10">
        <v>34</v>
      </c>
      <c r="O10" s="4">
        <f t="shared" si="1"/>
        <v>0.17894736842105263</v>
      </c>
      <c r="V10" t="str">
        <f>CONCATENATE(VLOOKUP(W10, 'Voxel Sizes'!$A$2:$B$18,2,FALSE),"x",INT(S10*15), "x", INT(T10*15))</f>
        <v>0x0x0</v>
      </c>
      <c r="W10">
        <f t="shared" si="0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337</v>
      </c>
      <c r="C11" t="s">
        <v>213</v>
      </c>
      <c r="E11" t="s">
        <v>428</v>
      </c>
      <c r="F11">
        <v>1846</v>
      </c>
      <c r="K11">
        <v>42</v>
      </c>
      <c r="O11" s="4" t="str">
        <f t="shared" si="1"/>
        <v/>
      </c>
      <c r="Q11">
        <v>6</v>
      </c>
      <c r="R11">
        <v>6</v>
      </c>
      <c r="V11" t="str">
        <f>CONCATENATE(VLOOKUP(W11, 'Voxel Sizes'!$A$2:$B$18,2,FALSE),"x",INT(S11*15), "x", INT(T11*15))</f>
        <v>68x0x0</v>
      </c>
      <c r="W11">
        <f t="shared" si="0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428</v>
      </c>
      <c r="F12">
        <v>1847</v>
      </c>
      <c r="O12" s="4" t="str">
        <f>IF(AND(K12&gt;0,N12&gt;0),(N12/(K12*10)),"")</f>
        <v/>
      </c>
      <c r="P12">
        <v>60</v>
      </c>
      <c r="V12" t="str">
        <f>CONCATENATE(VLOOKUP(W12, 'Voxel Sizes'!$A$2:$B$18,2,FALSE),"x",INT(S12*15), "x", INT(T12*15))</f>
        <v>0x0x0</v>
      </c>
      <c r="W12">
        <f t="shared" si="0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428</v>
      </c>
      <c r="F13">
        <v>1852</v>
      </c>
      <c r="K13">
        <v>64</v>
      </c>
      <c r="N13">
        <v>65</v>
      </c>
      <c r="O13" s="4">
        <f t="shared" ref="O13:O76" si="2">IF(AND(K13&gt;0,N13&gt;0),(N13/(K13*10)),"")</f>
        <v>0.1015625</v>
      </c>
      <c r="V13" t="str">
        <f>CONCATENATE(VLOOKUP(W13, 'Voxel Sizes'!$A$2:$B$18,2,FALSE),"x",INT(S13*15), "x", INT(T13*15))</f>
        <v>0x0x0</v>
      </c>
      <c r="W13">
        <f t="shared" si="0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338</v>
      </c>
      <c r="C14" t="s">
        <v>213</v>
      </c>
      <c r="E14" t="s">
        <v>428</v>
      </c>
      <c r="F14">
        <v>1859</v>
      </c>
      <c r="K14">
        <v>27.4</v>
      </c>
      <c r="O14" s="4" t="str">
        <f t="shared" si="2"/>
        <v/>
      </c>
      <c r="P14">
        <v>70</v>
      </c>
      <c r="V14" t="str">
        <f>CONCATENATE(VLOOKUP(W14, 'Voxel Sizes'!$A$2:$B$18,2,FALSE),"x",INT(S14*15), "x", INT(T14*15))</f>
        <v>0x0x0</v>
      </c>
      <c r="W14">
        <f t="shared" si="0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428</v>
      </c>
      <c r="F15">
        <v>1868</v>
      </c>
      <c r="K15">
        <v>35.799999999999997</v>
      </c>
      <c r="N15">
        <v>65</v>
      </c>
      <c r="O15" s="4">
        <f t="shared" si="2"/>
        <v>0.18156424581005587</v>
      </c>
      <c r="Q15">
        <v>8.65</v>
      </c>
      <c r="R15">
        <v>8.65</v>
      </c>
      <c r="T15">
        <v>3.7</v>
      </c>
      <c r="V15" t="str">
        <f>CONCATENATE(VLOOKUP(W15, 'Voxel Sizes'!$A$2:$B$18,2,FALSE),"x",INT(S15*15), "x", INT(T15*15))</f>
        <v>92x0x55</v>
      </c>
      <c r="W15">
        <f t="shared" si="0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339</v>
      </c>
      <c r="C16" t="s">
        <v>213</v>
      </c>
      <c r="E16" t="s">
        <v>428</v>
      </c>
      <c r="F16">
        <v>1872</v>
      </c>
      <c r="G16">
        <v>1880</v>
      </c>
      <c r="K16">
        <v>28</v>
      </c>
      <c r="N16">
        <v>34</v>
      </c>
      <c r="O16" s="4">
        <f t="shared" si="2"/>
        <v>0.12142857142857143</v>
      </c>
      <c r="P16">
        <v>45</v>
      </c>
      <c r="Q16">
        <v>7.94</v>
      </c>
      <c r="R16">
        <v>7.94</v>
      </c>
      <c r="V16" t="str">
        <f>CONCATENATE(VLOOKUP(W16, 'Voxel Sizes'!$A$2:$B$18,2,FALSE),"x",INT(S16*15), "x", INT(T16*15))</f>
        <v>92x0x0</v>
      </c>
      <c r="W16">
        <f t="shared" si="0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428</v>
      </c>
      <c r="F17">
        <v>1883</v>
      </c>
      <c r="K17">
        <f>41.6+34.3</f>
        <v>75.900000000000006</v>
      </c>
      <c r="N17">
        <v>75.400000000000006</v>
      </c>
      <c r="O17" s="4">
        <f t="shared" si="2"/>
        <v>9.9341238471673268E-2</v>
      </c>
      <c r="V17" t="str">
        <f>CONCATENATE(VLOOKUP(W17, 'Voxel Sizes'!$A$2:$B$18,2,FALSE),"x",INT(S17*15), "x", INT(T17*15))</f>
        <v>0x0x0</v>
      </c>
      <c r="W17">
        <f t="shared" si="0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428</v>
      </c>
      <c r="F18">
        <v>1883</v>
      </c>
      <c r="K18">
        <v>41.2</v>
      </c>
      <c r="N18">
        <v>76</v>
      </c>
      <c r="O18" s="4">
        <f t="shared" si="2"/>
        <v>0.18446601941747573</v>
      </c>
      <c r="Q18">
        <v>14.4</v>
      </c>
      <c r="R18">
        <v>14.4</v>
      </c>
      <c r="V18" t="str">
        <f>CONCATENATE(VLOOKUP(W18, 'Voxel Sizes'!$A$2:$B$18,2,FALSE),"x",INT(S18*15), "x", INT(T18*15))</f>
        <v>136x0x0</v>
      </c>
      <c r="W18">
        <f t="shared" si="0"/>
        <v>8</v>
      </c>
      <c r="Y18" t="str">
        <f>CONCATENATE(VLOOKUP(W18,'Articulated Lengths'!$A$2:$B$16, 2, FALSE),IF(X18&lt;&gt;"",CONCATENATE(",",VLOOKUP(X18,$B$2:$Y$200,24,FALSE)),""))</f>
        <v>2,4,2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428</v>
      </c>
      <c r="F19">
        <v>1888</v>
      </c>
      <c r="K19">
        <v>42.6</v>
      </c>
      <c r="N19">
        <v>88</v>
      </c>
      <c r="O19" s="4">
        <f t="shared" si="2"/>
        <v>0.20657276995305165</v>
      </c>
      <c r="Q19">
        <v>14.99</v>
      </c>
      <c r="R19">
        <v>14.99</v>
      </c>
      <c r="V19" t="str">
        <f>CONCATENATE(VLOOKUP(W19, 'Voxel Sizes'!$A$2:$B$18,2,FALSE),"x",INT(S19*15), "x", INT(T19*15))</f>
        <v>152x0x0</v>
      </c>
      <c r="W19">
        <f t="shared" si="0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428</v>
      </c>
      <c r="F20">
        <v>1891</v>
      </c>
      <c r="O20" s="4" t="str">
        <f t="shared" si="2"/>
        <v/>
      </c>
      <c r="V20" t="str">
        <f>CONCATENATE(VLOOKUP(W20, 'Voxel Sizes'!$A$2:$B$18,2,FALSE),"x",INT(S20*15), "x", INT(T20*15))</f>
        <v>0x0x0</v>
      </c>
      <c r="W20">
        <f t="shared" si="0"/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375</v>
      </c>
      <c r="C21" t="s">
        <v>213</v>
      </c>
      <c r="E21" t="s">
        <v>428</v>
      </c>
      <c r="F21">
        <v>1896</v>
      </c>
      <c r="K21">
        <v>48</v>
      </c>
      <c r="N21">
        <v>68</v>
      </c>
      <c r="O21" s="4">
        <f t="shared" si="2"/>
        <v>0.14166666666666666</v>
      </c>
      <c r="P21">
        <v>90</v>
      </c>
      <c r="V21" t="str">
        <f>CONCATENATE(VLOOKUP(W21, 'Voxel Sizes'!$A$2:$B$18,2,FALSE),"x",INT(S21*15), "x", INT(T21*15))</f>
        <v>0x0x0</v>
      </c>
      <c r="W21">
        <f t="shared" si="0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428</v>
      </c>
      <c r="F22">
        <v>1897</v>
      </c>
      <c r="G22">
        <v>1911</v>
      </c>
      <c r="N22">
        <v>87</v>
      </c>
      <c r="O22" s="4" t="str">
        <f t="shared" si="2"/>
        <v/>
      </c>
      <c r="Q22">
        <v>10.5</v>
      </c>
      <c r="R22">
        <v>10.5</v>
      </c>
      <c r="V22" t="str">
        <f>CONCATENATE(VLOOKUP(W22, 'Voxel Sizes'!$A$2:$B$18,2,FALSE),"x",INT(S22*15), "x", INT(T22*15))</f>
        <v>106x0x0</v>
      </c>
      <c r="W22">
        <f t="shared" si="0"/>
        <v>6</v>
      </c>
      <c r="Y22" t="str">
        <f>CONCATENATE(VLOOKUP(W22,'Articulated Lengths'!$A$2:$B$16, 2, FALSE),IF(X22&lt;&gt;"",CONCATENATE(",",VLOOKUP(X22,$B$2:$Y$200,24,FALSE)),""))</f>
        <v>2,2,2</v>
      </c>
      <c r="AA22">
        <v>10</v>
      </c>
      <c r="AB22">
        <v>10</v>
      </c>
    </row>
    <row r="23" spans="1:28" x14ac:dyDescent="0.25">
      <c r="A23" t="s">
        <v>13</v>
      </c>
      <c r="B23" t="s">
        <v>374</v>
      </c>
      <c r="C23" t="s">
        <v>213</v>
      </c>
      <c r="E23" t="s">
        <v>428</v>
      </c>
      <c r="F23">
        <v>1899</v>
      </c>
      <c r="O23" s="4" t="str">
        <f t="shared" si="2"/>
        <v/>
      </c>
      <c r="V23" t="str">
        <f>CONCATENATE(VLOOKUP(W23, 'Voxel Sizes'!$A$2:$B$18,2,FALSE),"x",INT(S23*15), "x", INT(T23*15))</f>
        <v>0x0x0</v>
      </c>
      <c r="W23">
        <f t="shared" si="0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373</v>
      </c>
      <c r="C24" t="s">
        <v>213</v>
      </c>
      <c r="E24" t="s">
        <v>428</v>
      </c>
      <c r="F24">
        <v>1902</v>
      </c>
      <c r="N24">
        <v>97</v>
      </c>
      <c r="O24" s="4" t="str">
        <f t="shared" si="2"/>
        <v/>
      </c>
      <c r="V24" t="str">
        <f>CONCATENATE(VLOOKUP(W24, 'Voxel Sizes'!$A$2:$B$18,2,FALSE),"x",INT(S24*15), "x", INT(T24*15))</f>
        <v>0x0x0</v>
      </c>
      <c r="W24">
        <f t="shared" si="0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428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2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>CONCATENATE(VLOOKUP(W25, 'Voxel Sizes'!$A$2:$B$18,2,FALSE),"x",INT(S25*15), "x", INT(T25*15))</f>
        <v>120x0x58</v>
      </c>
      <c r="W25">
        <f t="shared" si="0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428</v>
      </c>
      <c r="F26">
        <v>1903</v>
      </c>
      <c r="O26" s="4" t="str">
        <f t="shared" si="2"/>
        <v/>
      </c>
      <c r="V26" t="str">
        <f>CONCATENATE(VLOOKUP(W26, 'Voxel Sizes'!$A$2:$B$18,2,FALSE),"x",INT(S26*15), "x", INT(T26*15))</f>
        <v>0x0x0</v>
      </c>
      <c r="W26">
        <f t="shared" si="0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428</v>
      </c>
      <c r="F27">
        <v>1904</v>
      </c>
      <c r="K27">
        <v>55</v>
      </c>
      <c r="N27">
        <v>77</v>
      </c>
      <c r="O27" s="4">
        <f t="shared" si="2"/>
        <v>0.14000000000000001</v>
      </c>
      <c r="Q27">
        <v>10.02</v>
      </c>
      <c r="R27">
        <v>10.02</v>
      </c>
      <c r="V27" t="str">
        <f>CONCATENATE(VLOOKUP(W27, 'Voxel Sizes'!$A$2:$B$18,2,FALSE),"x",INT(S27*15), "x", INT(T27*15))</f>
        <v>106x0x0</v>
      </c>
      <c r="W27">
        <f t="shared" si="0"/>
        <v>6</v>
      </c>
      <c r="Y27" t="str">
        <f>CONCATENATE(VLOOKUP(W27,'Articulated Lengths'!$A$2:$B$16, 2, FALSE),IF(X27&lt;&gt;"",CONCATENATE(",",VLOOKUP(X27,$B$2:$Y$200,24,FALSE)),""))</f>
        <v>2,2,2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428</v>
      </c>
      <c r="F28">
        <v>1904</v>
      </c>
      <c r="G28">
        <v>1914</v>
      </c>
      <c r="K28">
        <v>63.4</v>
      </c>
      <c r="N28">
        <v>95</v>
      </c>
      <c r="O28" s="4">
        <f t="shared" si="2"/>
        <v>0.14984227129337541</v>
      </c>
      <c r="V28" t="str">
        <f>CONCATENATE(VLOOKUP(W28, 'Voxel Sizes'!$A$2:$B$18,2,FALSE),"x",INT(S28*15), "x", INT(T28*15))</f>
        <v>0x0x0</v>
      </c>
      <c r="W28">
        <f t="shared" si="0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428</v>
      </c>
      <c r="F29">
        <v>1911</v>
      </c>
      <c r="K29">
        <v>74</v>
      </c>
      <c r="N29">
        <v>139</v>
      </c>
      <c r="O29" s="4">
        <f t="shared" si="2"/>
        <v>0.18783783783783783</v>
      </c>
      <c r="Q29">
        <v>18.8</v>
      </c>
      <c r="R29">
        <v>18.8</v>
      </c>
      <c r="V29" t="str">
        <f>CONCATENATE(VLOOKUP(W29, 'Voxel Sizes'!$A$2:$B$18,2,FALSE),"x",INT(S29*15), "x", INT(T29*15))</f>
        <v>186x0x0</v>
      </c>
      <c r="W29">
        <f t="shared" si="0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428</v>
      </c>
      <c r="F30">
        <v>1911</v>
      </c>
      <c r="G30">
        <v>1926</v>
      </c>
      <c r="K30">
        <v>87</v>
      </c>
      <c r="N30">
        <v>106</v>
      </c>
      <c r="O30" s="4">
        <f t="shared" si="2"/>
        <v>0.12183908045977011</v>
      </c>
      <c r="Q30">
        <v>13.1</v>
      </c>
      <c r="R30">
        <v>13.1</v>
      </c>
      <c r="V30" t="str">
        <f>CONCATENATE(VLOOKUP(W30, 'Voxel Sizes'!$A$2:$B$18,2,FALSE),"x",INT(S30*15), "x", INT(T30*15))</f>
        <v>136x0x0</v>
      </c>
      <c r="W30">
        <f t="shared" si="0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428</v>
      </c>
      <c r="F31">
        <v>1911</v>
      </c>
      <c r="G31">
        <v>1914</v>
      </c>
      <c r="K31">
        <v>75</v>
      </c>
      <c r="N31">
        <v>139</v>
      </c>
      <c r="O31" s="4">
        <f t="shared" si="2"/>
        <v>0.18533333333333332</v>
      </c>
      <c r="Q31">
        <v>18.809999999999999</v>
      </c>
      <c r="R31">
        <v>18.809999999999999</v>
      </c>
      <c r="V31" t="str">
        <f>CONCATENATE(VLOOKUP(W31, 'Voxel Sizes'!$A$2:$B$18,2,FALSE),"x",INT(S31*15), "x", INT(T31*15))</f>
        <v>186x0x0</v>
      </c>
      <c r="W31">
        <f t="shared" si="0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428</v>
      </c>
      <c r="F32">
        <v>1912</v>
      </c>
      <c r="K32">
        <v>61</v>
      </c>
      <c r="N32">
        <v>104</v>
      </c>
      <c r="O32" s="4">
        <f t="shared" si="2"/>
        <v>0.17049180327868851</v>
      </c>
      <c r="P32">
        <v>60</v>
      </c>
      <c r="V32" t="str">
        <f>CONCATENATE(VLOOKUP(W32, 'Voxel Sizes'!$A$2:$B$18,2,FALSE),"x",INT(S32*15), "x", INT(T32*15))</f>
        <v>0x0x0</v>
      </c>
      <c r="W32">
        <f t="shared" si="0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428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2"/>
        <v>0.18421052631578946</v>
      </c>
      <c r="P33">
        <v>35</v>
      </c>
      <c r="Q33">
        <v>12</v>
      </c>
      <c r="R33">
        <v>12</v>
      </c>
      <c r="V33" t="str">
        <f>CONCATENATE(VLOOKUP(W33, 'Voxel Sizes'!$A$2:$B$18,2,FALSE),"x",INT(S33*15), "x", INT(T33*15))</f>
        <v>120x0x0</v>
      </c>
      <c r="W33">
        <f t="shared" si="0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428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2"/>
        <v>0.1984126984126984</v>
      </c>
      <c r="V34" t="str">
        <f>CONCATENATE(VLOOKUP(W34, 'Voxel Sizes'!$A$2:$B$18,2,FALSE),"x",INT(S34*15), "x", INT(T34*15))</f>
        <v>0x0x0</v>
      </c>
      <c r="W34">
        <f t="shared" si="0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428</v>
      </c>
      <c r="F35">
        <v>1922</v>
      </c>
      <c r="G35">
        <v>1924</v>
      </c>
      <c r="N35">
        <v>119</v>
      </c>
      <c r="O35" s="4" t="str">
        <f t="shared" si="2"/>
        <v/>
      </c>
      <c r="V35" t="str">
        <f>CONCATENATE(VLOOKUP(W35, 'Voxel Sizes'!$A$2:$B$18,2,FALSE),"x",INT(S35*15), "x", INT(T35*15))</f>
        <v>0x0x0</v>
      </c>
      <c r="W35">
        <f t="shared" si="0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428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2"/>
        <v>0.11938663745892661</v>
      </c>
      <c r="Q36">
        <v>15.8</v>
      </c>
      <c r="R36">
        <v>15.8</v>
      </c>
      <c r="V36" t="str">
        <f>CONCATENATE(VLOOKUP(W36, 'Voxel Sizes'!$A$2:$B$18,2,FALSE),"x",INT(S36*15), "x", INT(T36*15))</f>
        <v>152x0x0</v>
      </c>
      <c r="W36">
        <f t="shared" si="0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428</v>
      </c>
      <c r="F37">
        <v>1923</v>
      </c>
      <c r="G37">
        <v>1950</v>
      </c>
      <c r="K37">
        <v>81.099999999999994</v>
      </c>
      <c r="N37">
        <v>141</v>
      </c>
      <c r="O37" s="4">
        <f t="shared" si="2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>CONCATENATE(VLOOKUP(W37, 'Voxel Sizes'!$A$2:$B$18,2,FALSE),"x",INT(S37*15), "x", INT(T37*15))</f>
        <v>198x0x61</v>
      </c>
      <c r="W37">
        <f t="shared" si="0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372</v>
      </c>
      <c r="C38" t="s">
        <v>213</v>
      </c>
      <c r="E38" t="s">
        <v>428</v>
      </c>
      <c r="F38">
        <v>1899</v>
      </c>
      <c r="G38">
        <v>1902</v>
      </c>
      <c r="K38">
        <v>49.5</v>
      </c>
      <c r="N38">
        <v>92</v>
      </c>
      <c r="O38" s="4">
        <f t="shared" si="2"/>
        <v>0.18585858585858586</v>
      </c>
      <c r="V38" t="str">
        <f>CONCATENATE(VLOOKUP(W38, 'Voxel Sizes'!$A$2:$B$18,2,FALSE),"x",INT(S38*15), "x", INT(T38*15))</f>
        <v>0x0x0</v>
      </c>
      <c r="W38">
        <f t="shared" si="0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416</v>
      </c>
      <c r="D39" t="s">
        <v>425</v>
      </c>
      <c r="E39" t="s">
        <v>428</v>
      </c>
      <c r="F39">
        <v>1924</v>
      </c>
      <c r="J39">
        <v>700</v>
      </c>
      <c r="K39">
        <v>50.2</v>
      </c>
      <c r="N39">
        <v>93</v>
      </c>
      <c r="O39" s="4">
        <f t="shared" si="2"/>
        <v>0.1852589641434263</v>
      </c>
      <c r="P39">
        <v>45</v>
      </c>
      <c r="Q39">
        <v>9.57</v>
      </c>
      <c r="R39">
        <v>9.57</v>
      </c>
      <c r="V39" t="str">
        <f>CONCATENATE(VLOOKUP(W39, 'Voxel Sizes'!$A$2:$B$18,2,FALSE),"x",INT(S39*15), "x", INT(T39*15))</f>
        <v>106x0x0</v>
      </c>
      <c r="W39">
        <f t="shared" si="0"/>
        <v>6</v>
      </c>
      <c r="Y39" t="str">
        <f>CONCATENATE(VLOOKUP(W39,'Articulated Lengths'!$A$2:$B$16, 2, FALSE),IF(X39&lt;&gt;"",CONCATENATE(",",VLOOKUP(X39,$B$2:$Y$200,24,FALSE)),""))</f>
        <v>2,2,2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416</v>
      </c>
      <c r="D40" t="s">
        <v>425</v>
      </c>
      <c r="E40" t="s">
        <v>428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2"/>
        <v>0.18548387096774194</v>
      </c>
      <c r="P40">
        <v>60</v>
      </c>
      <c r="Q40">
        <v>11.43</v>
      </c>
      <c r="R40">
        <v>11.43</v>
      </c>
      <c r="V40" t="str">
        <f>CONCATENATE(VLOOKUP(W40, 'Voxel Sizes'!$A$2:$B$18,2,FALSE),"x",INT(S40*15), "x", INT(T40*15))</f>
        <v>120x0x0</v>
      </c>
      <c r="W40">
        <f t="shared" si="0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449</v>
      </c>
      <c r="C41" t="s">
        <v>416</v>
      </c>
      <c r="D41" t="s">
        <v>425</v>
      </c>
      <c r="E41" t="s">
        <v>428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2"/>
        <v>0.17611940298507461</v>
      </c>
      <c r="P41">
        <v>70</v>
      </c>
      <c r="Q41">
        <v>10.44</v>
      </c>
      <c r="R41">
        <v>10.44</v>
      </c>
      <c r="V41" t="str">
        <f>CONCATENATE(VLOOKUP(W41, 'Voxel Sizes'!$A$2:$B$18,2,FALSE),"x",INT(S41*15), "x", INT(T41*15))</f>
        <v>106x0x0</v>
      </c>
      <c r="W41">
        <f t="shared" si="0"/>
        <v>6</v>
      </c>
      <c r="X41" t="s">
        <v>443</v>
      </c>
      <c r="Y41" t="str">
        <f>CONCATENATE(VLOOKUP(W41,'Articulated Lengths'!$A$2:$B$16, 2, FALSE),IF(X41&lt;&gt;"",CONCATENATE(",",VLOOKUP(X41,$B$2:$Y$200,24,FALSE)),""))</f>
        <v>2,2,2,1,3,1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428</v>
      </c>
      <c r="F42">
        <v>1927</v>
      </c>
      <c r="K42">
        <v>66</v>
      </c>
      <c r="N42">
        <v>96</v>
      </c>
      <c r="O42" s="4">
        <f t="shared" si="2"/>
        <v>0.14545454545454545</v>
      </c>
      <c r="Q42">
        <v>17.899999999999999</v>
      </c>
      <c r="R42">
        <v>17.899999999999999</v>
      </c>
      <c r="V42" t="str">
        <f>CONCATENATE(VLOOKUP(W42, 'Voxel Sizes'!$A$2:$B$18,2,FALSE),"x",INT(S42*15), "x", INT(T42*15))</f>
        <v>164x0x0</v>
      </c>
      <c r="W42">
        <f t="shared" si="0"/>
        <v>10</v>
      </c>
      <c r="Y42" t="str">
        <f>CONCATENATE(VLOOKUP(W42,'Articulated Lengths'!$A$2:$B$16, 2, FALSE),IF(X42&lt;&gt;"",CONCATENATE(",",VLOOKUP(X42,$B$2:$Y$200,24,FALSE)),""))</f>
        <v>3,4,3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428</v>
      </c>
      <c r="F43">
        <v>1927</v>
      </c>
      <c r="G43">
        <v>1936</v>
      </c>
      <c r="K43">
        <v>90.4</v>
      </c>
      <c r="N43">
        <v>179</v>
      </c>
      <c r="O43" s="4">
        <f t="shared" si="2"/>
        <v>0.19800884955752213</v>
      </c>
      <c r="Q43">
        <v>20.78</v>
      </c>
      <c r="R43">
        <v>20.78</v>
      </c>
      <c r="T43">
        <v>4.08</v>
      </c>
      <c r="V43" t="str">
        <f>CONCATENATE(VLOOKUP(W43, 'Voxel Sizes'!$A$2:$B$18,2,FALSE),"x",INT(S43*15), "x", INT(T43*15))</f>
        <v>198x0x61</v>
      </c>
      <c r="W43">
        <f t="shared" si="0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396</v>
      </c>
      <c r="C44" t="s">
        <v>213</v>
      </c>
      <c r="E44" t="s">
        <v>428</v>
      </c>
      <c r="F44">
        <v>1927</v>
      </c>
      <c r="G44">
        <v>1934</v>
      </c>
      <c r="K44">
        <v>87.6</v>
      </c>
      <c r="N44">
        <v>102</v>
      </c>
      <c r="O44" s="4">
        <f t="shared" si="2"/>
        <v>0.11643835616438356</v>
      </c>
      <c r="Q44">
        <v>14.4</v>
      </c>
      <c r="R44">
        <v>14.4</v>
      </c>
      <c r="V44" t="str">
        <f>CONCATENATE(VLOOKUP(W44, 'Voxel Sizes'!$A$2:$B$18,2,FALSE),"x",INT(S44*15), "x", INT(T44*15))</f>
        <v>136x0x0</v>
      </c>
      <c r="W44">
        <f t="shared" si="0"/>
        <v>8</v>
      </c>
      <c r="Y44" t="str">
        <f>CONCATENATE(VLOOKUP(W44,'Articulated Lengths'!$A$2:$B$16, 2, FALSE),IF(X44&lt;&gt;"",CONCATENATE(",",VLOOKUP(X44,$B$2:$Y$200,24,FALSE)),""))</f>
        <v>2,4,2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428</v>
      </c>
      <c r="F45">
        <v>1928</v>
      </c>
      <c r="G45">
        <v>1943</v>
      </c>
      <c r="K45">
        <v>76.2</v>
      </c>
      <c r="N45">
        <v>121</v>
      </c>
      <c r="O45" s="4">
        <f t="shared" si="2"/>
        <v>0.15879265091863518</v>
      </c>
      <c r="Q45">
        <v>19.2</v>
      </c>
      <c r="R45">
        <v>19.2</v>
      </c>
      <c r="T45">
        <v>4.04</v>
      </c>
      <c r="V45" t="str">
        <f>CONCATENATE(VLOOKUP(W45, 'Voxel Sizes'!$A$2:$B$18,2,FALSE),"x",INT(S45*15), "x", INT(T45*15))</f>
        <v>186x0x60</v>
      </c>
      <c r="W45">
        <f t="shared" si="0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428</v>
      </c>
      <c r="F46">
        <v>1928</v>
      </c>
      <c r="G46">
        <v>1935</v>
      </c>
      <c r="K46">
        <v>92.8</v>
      </c>
      <c r="N46">
        <v>146</v>
      </c>
      <c r="O46" s="4">
        <f t="shared" si="2"/>
        <v>0.15732758620689655</v>
      </c>
      <c r="P46">
        <v>108</v>
      </c>
      <c r="Q46">
        <v>21.46</v>
      </c>
      <c r="R46">
        <v>21.46</v>
      </c>
      <c r="V46" t="str">
        <f>CONCATENATE(VLOOKUP(W46, 'Voxel Sizes'!$A$2:$B$18,2,FALSE),"x",INT(S46*15), "x", INT(T46*15))</f>
        <v>221x0x0</v>
      </c>
      <c r="W46">
        <f t="shared" si="0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428</v>
      </c>
      <c r="F47">
        <v>1929</v>
      </c>
      <c r="G47">
        <v>1950</v>
      </c>
      <c r="K47">
        <v>48.3</v>
      </c>
      <c r="N47">
        <v>100</v>
      </c>
      <c r="O47" s="4">
        <f t="shared" si="2"/>
        <v>0.20703933747412009</v>
      </c>
      <c r="Q47">
        <v>9.5</v>
      </c>
      <c r="R47">
        <v>9.5</v>
      </c>
      <c r="T47">
        <v>3.7349999999999999</v>
      </c>
      <c r="V47" t="str">
        <f>CONCATENATE(VLOOKUP(W47, 'Voxel Sizes'!$A$2:$B$18,2,FALSE),"x",INT(S47*15), "x", INT(T47*15))</f>
        <v>106x0x56</v>
      </c>
      <c r="W47">
        <f t="shared" si="0"/>
        <v>6</v>
      </c>
      <c r="Y47" t="str">
        <f>CONCATENATE(VLOOKUP(W47,'Articulated Lengths'!$A$2:$B$16, 2, FALSE),IF(X47&lt;&gt;"",CONCATENATE(",",VLOOKUP(X47,$B$2:$Y$200,24,FALSE)),""))</f>
        <v>2,2,2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428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2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>CONCATENATE(VLOOKUP(W48, 'Voxel Sizes'!$A$2:$B$18,2,FALSE),"x",INT(S48*15), "x", INT(T48*15))</f>
        <v>186x0x59</v>
      </c>
      <c r="W48">
        <f t="shared" si="0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428</v>
      </c>
      <c r="F49">
        <v>1932</v>
      </c>
      <c r="K49">
        <v>43</v>
      </c>
      <c r="N49">
        <v>62</v>
      </c>
      <c r="O49" s="4">
        <f t="shared" si="2"/>
        <v>0.14418604651162792</v>
      </c>
      <c r="Q49">
        <v>9.1199999999999992</v>
      </c>
      <c r="R49">
        <v>9.1199999999999992</v>
      </c>
      <c r="T49">
        <v>3.82</v>
      </c>
      <c r="V49" t="str">
        <f>CONCATENATE(VLOOKUP(W49, 'Voxel Sizes'!$A$2:$B$18,2,FALSE),"x",INT(S49*15), "x", INT(T49*15))</f>
        <v>92x0x57</v>
      </c>
      <c r="W49">
        <f t="shared" si="0"/>
        <v>5</v>
      </c>
      <c r="Y49" t="str">
        <f>CONCATENATE(VLOOKUP(W49,'Articulated Lengths'!$A$2:$B$16, 2, FALSE),IF(X49&lt;&gt;"",CONCATENATE(",",VLOOKUP(X49,$B$2:$Y$200,24,FALSE)),""))</f>
        <v>1,3,1</v>
      </c>
      <c r="AA49">
        <v>10</v>
      </c>
      <c r="AB49">
        <v>10</v>
      </c>
    </row>
    <row r="50" spans="1:28" x14ac:dyDescent="0.25">
      <c r="A50" t="s">
        <v>39</v>
      </c>
      <c r="B50" t="s">
        <v>442</v>
      </c>
      <c r="C50" t="s">
        <v>416</v>
      </c>
      <c r="D50" t="s">
        <v>425</v>
      </c>
      <c r="E50" t="s">
        <v>428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2"/>
        <v>0.15395095367847411</v>
      </c>
      <c r="P50">
        <v>85</v>
      </c>
      <c r="Q50">
        <v>11.76</v>
      </c>
      <c r="R50">
        <v>11.76</v>
      </c>
      <c r="V50" t="str">
        <f>CONCATENATE(VLOOKUP(W50, 'Voxel Sizes'!$A$2:$B$18,2,FALSE),"x",INT(S50*15), "x", INT(T50*15))</f>
        <v>120x0x0</v>
      </c>
      <c r="W50">
        <f t="shared" si="0"/>
        <v>7</v>
      </c>
      <c r="X50" t="s">
        <v>448</v>
      </c>
      <c r="Y50" t="str">
        <f>CONCATENATE(VLOOKUP(W50,'Articulated Lengths'!$A$2:$B$16, 2, FALSE),IF(X50&lt;&gt;"",CONCATENATE(",",VLOOKUP(X50,$B$2:$Y$200,24,FALSE)),""))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441</v>
      </c>
      <c r="C51" t="s">
        <v>416</v>
      </c>
      <c r="D51" t="s">
        <v>425</v>
      </c>
      <c r="E51" t="s">
        <v>428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2"/>
        <v>0.14603960396039603</v>
      </c>
      <c r="P51">
        <v>80</v>
      </c>
      <c r="Q51">
        <v>12.09</v>
      </c>
      <c r="R51">
        <v>12.09</v>
      </c>
      <c r="V51" t="str">
        <f>CONCATENATE(VLOOKUP(W51, 'Voxel Sizes'!$A$2:$B$18,2,FALSE),"x",INT(S51*15), "x", INT(T51*15))</f>
        <v>120x0x0</v>
      </c>
      <c r="W51">
        <f t="shared" si="0"/>
        <v>7</v>
      </c>
      <c r="X51" t="s">
        <v>443</v>
      </c>
      <c r="Y51" t="str">
        <f>CONCATENATE(VLOOKUP(W51,'Articulated Lengths'!$A$2:$B$16, 2, FALSE),IF(X51&lt;&gt;"",CONCATENATE(",",VLOOKUP(X51,$B$2:$Y$200,24,FALSE)),""))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428</v>
      </c>
      <c r="F52">
        <v>1935</v>
      </c>
      <c r="J52">
        <v>1300</v>
      </c>
      <c r="K52">
        <v>73</v>
      </c>
      <c r="N52">
        <v>144</v>
      </c>
      <c r="O52" s="4">
        <f t="shared" si="2"/>
        <v>0.19726027397260273</v>
      </c>
      <c r="Q52">
        <v>19.22</v>
      </c>
      <c r="R52">
        <v>19.22</v>
      </c>
      <c r="V52" t="str">
        <f>CONCATENATE(VLOOKUP(W52, 'Voxel Sizes'!$A$2:$B$18,2,FALSE),"x",INT(S52*15), "x", INT(T52*15))</f>
        <v>186x0x0</v>
      </c>
      <c r="W52">
        <f t="shared" si="0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428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2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>CONCATENATE(VLOOKUP(W53, 'Voxel Sizes'!$A$2:$B$18,2,FALSE),"x",INT(S53*15), "x", INT(T53*15))</f>
        <v>221x0x59</v>
      </c>
      <c r="W53">
        <f t="shared" si="0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397</v>
      </c>
      <c r="C54" t="s">
        <v>213</v>
      </c>
      <c r="E54" t="s">
        <v>428</v>
      </c>
      <c r="F54">
        <v>1935</v>
      </c>
      <c r="G54">
        <v>1943</v>
      </c>
      <c r="K54">
        <v>89.2</v>
      </c>
      <c r="N54">
        <v>110</v>
      </c>
      <c r="O54" s="4">
        <f t="shared" si="2"/>
        <v>0.12331838565022421</v>
      </c>
      <c r="Q54">
        <v>14.4</v>
      </c>
      <c r="R54">
        <v>14.4</v>
      </c>
      <c r="V54" t="str">
        <f>CONCATENATE(VLOOKUP(W54, 'Voxel Sizes'!$A$2:$B$18,2,FALSE),"x",INT(S54*15), "x", INT(T54*15))</f>
        <v>136x0x0</v>
      </c>
      <c r="W54">
        <f t="shared" si="0"/>
        <v>8</v>
      </c>
      <c r="Y54" t="str">
        <f>CONCATENATE(VLOOKUP(W54,'Articulated Lengths'!$A$2:$B$16, 2, FALSE),IF(X54&lt;&gt;"",CONCATENATE(",",VLOOKUP(X54,$B$2:$Y$200,24,FALSE)),""))</f>
        <v>2,4,2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428</v>
      </c>
      <c r="F55">
        <v>1936</v>
      </c>
      <c r="N55">
        <v>150</v>
      </c>
      <c r="O55" s="4" t="str">
        <f t="shared" si="2"/>
        <v/>
      </c>
      <c r="Q55">
        <v>20.239999999999998</v>
      </c>
      <c r="R55">
        <v>20.239999999999998</v>
      </c>
      <c r="V55" t="str">
        <f>CONCATENATE(VLOOKUP(W55, 'Voxel Sizes'!$A$2:$B$18,2,FALSE),"x",INT(S55*15), "x", INT(T55*15))</f>
        <v>198x0x0</v>
      </c>
      <c r="W55">
        <f t="shared" si="0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428</v>
      </c>
      <c r="F56">
        <v>1936</v>
      </c>
      <c r="G56">
        <v>1939</v>
      </c>
      <c r="K56">
        <v>75.2</v>
      </c>
      <c r="N56">
        <v>128</v>
      </c>
      <c r="O56" s="4">
        <f t="shared" si="2"/>
        <v>0.1702127659574468</v>
      </c>
      <c r="Q56">
        <v>19.21</v>
      </c>
      <c r="R56">
        <v>19.21</v>
      </c>
      <c r="T56">
        <v>3.96</v>
      </c>
      <c r="V56" t="str">
        <f>CONCATENATE(VLOOKUP(W56, 'Voxel Sizes'!$A$2:$B$18,2,FALSE),"x",INT(S56*15), "x", INT(T56*15))</f>
        <v>186x0x59</v>
      </c>
      <c r="W56">
        <f t="shared" si="0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340</v>
      </c>
      <c r="C57" t="s">
        <v>213</v>
      </c>
      <c r="E57" t="s">
        <v>428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2"/>
        <v>0.16363636363636364</v>
      </c>
      <c r="Q57">
        <v>22.49</v>
      </c>
      <c r="R57">
        <v>22.49</v>
      </c>
      <c r="T57">
        <v>4.0389999999999997</v>
      </c>
      <c r="V57" t="str">
        <f>CONCATENATE(VLOOKUP(W57, 'Voxel Sizes'!$A$2:$B$18,2,FALSE),"x",INT(S57*15), "x", INT(T57*15))</f>
        <v>221x0x60</v>
      </c>
      <c r="W57">
        <f t="shared" si="0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428</v>
      </c>
      <c r="F58">
        <v>1941</v>
      </c>
      <c r="G58">
        <v>1949</v>
      </c>
      <c r="K58">
        <v>96.3</v>
      </c>
      <c r="N58">
        <v>167</v>
      </c>
      <c r="O58" s="4">
        <f t="shared" si="2"/>
        <v>0.17341640706126688</v>
      </c>
      <c r="P58">
        <v>105</v>
      </c>
      <c r="Q58">
        <v>21.23</v>
      </c>
      <c r="R58">
        <v>21.23</v>
      </c>
      <c r="V58" t="str">
        <f>CONCATENATE(VLOOKUP(W58, 'Voxel Sizes'!$A$2:$B$18,2,FALSE),"x",INT(S58*15), "x", INT(T58*15))</f>
        <v>198x0x0</v>
      </c>
      <c r="W58">
        <f t="shared" si="0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428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2"/>
        <v>0.17623762376237623</v>
      </c>
      <c r="P59">
        <v>75</v>
      </c>
      <c r="V59" t="str">
        <f>CONCATENATE(VLOOKUP(W59, 'Voxel Sizes'!$A$2:$B$18,2,FALSE),"x",INT(S59*15), "x", INT(T59*15))</f>
        <v>0x0x0</v>
      </c>
      <c r="W59">
        <f t="shared" si="0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428</v>
      </c>
      <c r="F60">
        <v>1942</v>
      </c>
      <c r="K60">
        <v>72</v>
      </c>
      <c r="N60">
        <v>119</v>
      </c>
      <c r="O60" s="4">
        <f t="shared" si="2"/>
        <v>0.16527777777777777</v>
      </c>
      <c r="V60" t="str">
        <f>CONCATENATE(VLOOKUP(W60, 'Voxel Sizes'!$A$2:$B$18,2,FALSE),"x",INT(S60*15), "x", INT(T60*15))</f>
        <v>0x0x0</v>
      </c>
      <c r="W60">
        <f t="shared" si="0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428</v>
      </c>
      <c r="F61">
        <v>1942</v>
      </c>
      <c r="G61">
        <v>1942</v>
      </c>
      <c r="K61">
        <v>90.7</v>
      </c>
      <c r="N61">
        <v>134</v>
      </c>
      <c r="O61" s="4">
        <f t="shared" si="2"/>
        <v>0.14773980154355015</v>
      </c>
      <c r="Q61">
        <v>16.73</v>
      </c>
      <c r="R61">
        <v>16.73</v>
      </c>
      <c r="V61" t="str">
        <f>CONCATENATE(VLOOKUP(W61, 'Voxel Sizes'!$A$2:$B$18,2,FALSE),"x",INT(S61*15), "x", INT(T61*15))</f>
        <v>164x0x0</v>
      </c>
      <c r="W61">
        <f t="shared" si="0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341</v>
      </c>
      <c r="C62" t="s">
        <v>213</v>
      </c>
      <c r="E62" t="s">
        <v>428</v>
      </c>
      <c r="F62">
        <v>1943</v>
      </c>
      <c r="G62">
        <v>1964</v>
      </c>
      <c r="K62">
        <v>49</v>
      </c>
      <c r="N62">
        <v>106</v>
      </c>
      <c r="O62" s="4">
        <f t="shared" si="2"/>
        <v>0.21632653061224491</v>
      </c>
      <c r="Q62">
        <v>9.25</v>
      </c>
      <c r="R62">
        <v>9.25</v>
      </c>
      <c r="V62" t="str">
        <f>CONCATENATE(VLOOKUP(W62, 'Voxel Sizes'!$A$2:$B$18,2,FALSE),"x",INT(S62*15), "x", INT(T62*15))</f>
        <v>92x0x0</v>
      </c>
      <c r="W62">
        <f t="shared" si="0"/>
        <v>5</v>
      </c>
      <c r="Y62" t="str">
        <f>CONCATENATE(VLOOKUP(W62,'Articulated Lengths'!$A$2:$B$16, 2, FALSE),IF(X62&lt;&gt;"",CONCATENATE(",",VLOOKUP(X62,$B$2:$Y$200,24,FALSE)),""))</f>
        <v>1,3,1</v>
      </c>
      <c r="AA62">
        <v>10</v>
      </c>
      <c r="AB62">
        <v>10</v>
      </c>
    </row>
    <row r="63" spans="1:28" x14ac:dyDescent="0.25">
      <c r="A63" t="s">
        <v>53</v>
      </c>
      <c r="B63" t="s">
        <v>398</v>
      </c>
      <c r="C63" t="s">
        <v>213</v>
      </c>
      <c r="E63" t="s">
        <v>428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2"/>
        <v>0.21288515406162464</v>
      </c>
      <c r="Q63">
        <v>19.350000000000001</v>
      </c>
      <c r="R63">
        <v>19.350000000000001</v>
      </c>
      <c r="V63" t="str">
        <f>CONCATENATE(VLOOKUP(W63, 'Voxel Sizes'!$A$2:$B$18,2,FALSE),"x",INT(S63*15), "x", INT(T63*15))</f>
        <v>186x0x0</v>
      </c>
      <c r="W63">
        <f t="shared" si="0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371</v>
      </c>
      <c r="C64" t="s">
        <v>213</v>
      </c>
      <c r="E64" t="s">
        <v>428</v>
      </c>
      <c r="F64">
        <v>1944</v>
      </c>
      <c r="G64">
        <v>1950</v>
      </c>
      <c r="K64">
        <v>77</v>
      </c>
      <c r="N64">
        <v>121</v>
      </c>
      <c r="O64" s="4">
        <f t="shared" si="2"/>
        <v>0.15714285714285714</v>
      </c>
      <c r="Q64">
        <v>19.2</v>
      </c>
      <c r="R64">
        <v>19.2</v>
      </c>
      <c r="T64">
        <v>4.01</v>
      </c>
      <c r="V64" t="str">
        <f>CONCATENATE(VLOOKUP(W64, 'Voxel Sizes'!$A$2:$B$18,2,FALSE),"x",INT(S64*15), "x", INT(T64*15))</f>
        <v>186x0x60</v>
      </c>
      <c r="W64">
        <f t="shared" si="0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428</v>
      </c>
      <c r="F65">
        <v>1945</v>
      </c>
      <c r="K65">
        <v>78.099999999999994</v>
      </c>
      <c r="N65">
        <v>145</v>
      </c>
      <c r="O65" s="4">
        <f t="shared" si="2"/>
        <v>0.1856594110115237</v>
      </c>
      <c r="Q65">
        <v>19.21</v>
      </c>
      <c r="R65">
        <v>19.21</v>
      </c>
      <c r="T65">
        <v>4.08</v>
      </c>
      <c r="V65" t="str">
        <f>CONCATENATE(VLOOKUP(W65, 'Voxel Sizes'!$A$2:$B$18,2,FALSE),"x",INT(S65*15), "x", INT(T65*15))</f>
        <v>186x0x61</v>
      </c>
      <c r="W65">
        <f t="shared" si="0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428</v>
      </c>
      <c r="F66">
        <v>1945</v>
      </c>
      <c r="G66">
        <v>1951</v>
      </c>
      <c r="K66">
        <v>87.4</v>
      </c>
      <c r="N66">
        <v>138</v>
      </c>
      <c r="O66" s="4">
        <f t="shared" si="2"/>
        <v>0.15789473684210525</v>
      </c>
      <c r="Q66">
        <v>20.54</v>
      </c>
      <c r="R66">
        <v>20.54</v>
      </c>
      <c r="V66" t="str">
        <f>CONCATENATE(VLOOKUP(W66, 'Voxel Sizes'!$A$2:$B$18,2,FALSE),"x",INT(S66*15), "x", INT(T66*15))</f>
        <v>198x0x0</v>
      </c>
      <c r="W66">
        <f t="shared" si="0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428</v>
      </c>
      <c r="F67">
        <v>1946</v>
      </c>
      <c r="G67">
        <v>1949</v>
      </c>
      <c r="K67">
        <v>152</v>
      </c>
      <c r="N67">
        <v>117</v>
      </c>
      <c r="O67" s="4">
        <f t="shared" si="2"/>
        <v>7.6973684210526319E-2</v>
      </c>
      <c r="Q67">
        <v>20.420000000000002</v>
      </c>
      <c r="R67">
        <v>20.420000000000002</v>
      </c>
      <c r="V67" t="str">
        <f>CONCATENATE(VLOOKUP(W67, 'Voxel Sizes'!$A$2:$B$18,2,FALSE),"x",INT(S67*15), "x", INT(T67*15))</f>
        <v>198x0x0</v>
      </c>
      <c r="W67">
        <f t="shared" ref="W67:W130" si="3">ROUND(15*((R67*10)/256),0)</f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428</v>
      </c>
      <c r="F68">
        <v>1946</v>
      </c>
      <c r="G68">
        <v>1953</v>
      </c>
      <c r="K68">
        <v>48</v>
      </c>
      <c r="N68">
        <v>77</v>
      </c>
      <c r="O68" s="4">
        <f t="shared" si="2"/>
        <v>0.16041666666666668</v>
      </c>
      <c r="Q68">
        <v>16.2</v>
      </c>
      <c r="R68">
        <v>16.2</v>
      </c>
      <c r="V68" t="str">
        <f>CONCATENATE(VLOOKUP(W68, 'Voxel Sizes'!$A$2:$B$18,2,FALSE),"x",INT(S68*15), "x", INT(T68*15))</f>
        <v>152x0x0</v>
      </c>
      <c r="W68">
        <f t="shared" si="3"/>
        <v>9</v>
      </c>
      <c r="Y68" t="str">
        <f>CONCATENATE(VLOOKUP(W68,'Articulated Lengths'!$A$2:$B$16, 2, FALSE),IF(X68&lt;&gt;"",CONCATENATE(",",VLOOKUP(X68,$B$2:$Y$200,24,FALSE)),""))</f>
        <v>2,5,2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428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2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>CONCATENATE(VLOOKUP(W69, 'Voxel Sizes'!$A$2:$B$18,2,FALSE),"x",INT(S69*15), "x", INT(T69*15))</f>
        <v>186x0x59</v>
      </c>
      <c r="W69">
        <f t="shared" si="3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428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2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>CONCATENATE(VLOOKUP(W70, 'Voxel Sizes'!$A$2:$B$18,2,FALSE),"x",INT(S70*15), "x", INT(T70*15))</f>
        <v>221x0x59</v>
      </c>
      <c r="W70">
        <f t="shared" si="3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399</v>
      </c>
      <c r="C71" t="s">
        <v>416</v>
      </c>
      <c r="D71" t="s">
        <v>450</v>
      </c>
      <c r="E71" t="s">
        <v>451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2"/>
        <v>0.22396416573348266</v>
      </c>
      <c r="P71">
        <v>65</v>
      </c>
      <c r="Q71">
        <v>15.34</v>
      </c>
      <c r="R71">
        <v>15.34</v>
      </c>
      <c r="V71" t="str">
        <f>CONCATENATE(VLOOKUP(W71, 'Voxel Sizes'!$A$2:$B$18,2,FALSE),"x",INT(S71*15), "x", INT(T71*15))</f>
        <v>152x0x0</v>
      </c>
      <c r="W71">
        <f t="shared" si="3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342</v>
      </c>
      <c r="C72" t="s">
        <v>213</v>
      </c>
      <c r="E72" t="s">
        <v>428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2"/>
        <v>0.13567615658362989</v>
      </c>
      <c r="Q72">
        <v>20.96</v>
      </c>
      <c r="R72">
        <v>20.96</v>
      </c>
      <c r="T72">
        <v>3.98</v>
      </c>
      <c r="V72" t="str">
        <f>CONCATENATE(VLOOKUP(W72, 'Voxel Sizes'!$A$2:$B$18,2,FALSE),"x",INT(S72*15), "x", INT(T72*15))</f>
        <v>198x0x59</v>
      </c>
      <c r="W72">
        <f t="shared" si="3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343</v>
      </c>
      <c r="C73" t="s">
        <v>213</v>
      </c>
      <c r="E73" t="s">
        <v>428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2"/>
        <v>0.14973821989528796</v>
      </c>
      <c r="Q73">
        <v>20.96</v>
      </c>
      <c r="R73">
        <v>20.96</v>
      </c>
      <c r="T73">
        <v>3.98</v>
      </c>
      <c r="V73" t="str">
        <f>CONCATENATE(VLOOKUP(W73, 'Voxel Sizes'!$A$2:$B$18,2,FALSE),"x",INT(S73*15), "x", INT(T73*15))</f>
        <v>198x0x59</v>
      </c>
      <c r="W73">
        <f t="shared" si="3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416</v>
      </c>
      <c r="D74" t="s">
        <v>426</v>
      </c>
      <c r="E74" t="s">
        <v>428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2"/>
        <v>0.32128514056224899</v>
      </c>
      <c r="P74">
        <v>20</v>
      </c>
      <c r="Q74">
        <v>8.92</v>
      </c>
      <c r="R74">
        <v>9.5</v>
      </c>
      <c r="S74">
        <v>2.59</v>
      </c>
      <c r="T74">
        <v>3.87</v>
      </c>
      <c r="V74" t="str">
        <f>CONCATENATE(VLOOKUP(W74, 'Voxel Sizes'!$A$2:$B$18,2,FALSE),"x",INT(S74*15), "x", INT(T74*15))</f>
        <v>106x38x58</v>
      </c>
      <c r="W74">
        <f t="shared" si="3"/>
        <v>6</v>
      </c>
      <c r="Y74" t="str">
        <f>CONCATENATE(VLOOKUP(W74,'Articulated Lengths'!$A$2:$B$16, 2, FALSE),IF(X74&lt;&gt;"",CONCATENATE(",",VLOOKUP(X74,$B$2:$Y$200,24,FALSE)),""))</f>
        <v>2,2,2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400</v>
      </c>
      <c r="C75" t="s">
        <v>213</v>
      </c>
      <c r="E75" t="s">
        <v>428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2"/>
        <v>0.19212295869356388</v>
      </c>
      <c r="P75">
        <v>90</v>
      </c>
      <c r="Q75">
        <v>17.98</v>
      </c>
      <c r="R75">
        <v>17.98</v>
      </c>
      <c r="V75" t="str">
        <f>CONCATENATE(VLOOKUP(W75, 'Voxel Sizes'!$A$2:$B$18,2,FALSE),"x",INT(S75*15), "x", INT(T75*15))</f>
        <v>186x0x0</v>
      </c>
      <c r="W75">
        <f t="shared" si="3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428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2"/>
        <v>0.19555555555555557</v>
      </c>
      <c r="P76">
        <v>90</v>
      </c>
      <c r="Q76">
        <v>20.170000000000002</v>
      </c>
      <c r="R76">
        <v>20.170000000000002</v>
      </c>
      <c r="V76" t="str">
        <f>CONCATENATE(VLOOKUP(W76, 'Voxel Sizes'!$A$2:$B$18,2,FALSE),"x",INT(S76*15), "x", INT(T76*15))</f>
        <v>198x0x0</v>
      </c>
      <c r="W76">
        <f t="shared" si="3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421</v>
      </c>
      <c r="C77" t="s">
        <v>213</v>
      </c>
      <c r="E77" t="s">
        <v>428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4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>CONCATENATE(VLOOKUP(W77, 'Voxel Sizes'!$A$2:$B$18,2,FALSE),"x",INT(S77*15), "x", INT(T77*15))</f>
        <v>198x0x58</v>
      </c>
      <c r="W77">
        <f t="shared" si="3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428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4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>CONCATENATE(VLOOKUP(W78, 'Voxel Sizes'!$A$2:$B$18,2,FALSE),"x",INT(S78*15), "x", INT(T78*15))</f>
        <v>164x0x57</v>
      </c>
      <c r="W78">
        <f t="shared" si="3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419</v>
      </c>
      <c r="C79" t="s">
        <v>416</v>
      </c>
      <c r="D79" t="s">
        <v>426</v>
      </c>
      <c r="E79" t="s">
        <v>428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4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>CONCATENATE(VLOOKUP(W79, 'Voxel Sizes'!$A$2:$B$18,2,FALSE),"x",INT(S79*15), "x", INT(T79*15))</f>
        <v>136x40x57</v>
      </c>
      <c r="W79">
        <f t="shared" si="3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428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4"/>
        <v>0.37555555555555553</v>
      </c>
      <c r="P80">
        <v>90</v>
      </c>
      <c r="Q80">
        <v>20.74</v>
      </c>
      <c r="R80">
        <v>20.74</v>
      </c>
      <c r="V80" t="str">
        <f>CONCATENATE(VLOOKUP(W80, 'Voxel Sizes'!$A$2:$B$18,2,FALSE),"x",INT(S80*15), "x", INT(T80*15))</f>
        <v>198x0x0</v>
      </c>
      <c r="W80">
        <f t="shared" si="3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428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4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>CONCATENATE(VLOOKUP(W81, 'Voxel Sizes'!$A$2:$B$18,2,FALSE),"x",INT(S81*15), "x", INT(T81*15))</f>
        <v>186x0x55</v>
      </c>
      <c r="W81">
        <f t="shared" si="3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428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4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>CONCATENATE(VLOOKUP(W82, 'Voxel Sizes'!$A$2:$B$18,2,FALSE),"x",INT(S82*15), "x", INT(T82*15))</f>
        <v>198x0x58</v>
      </c>
      <c r="W82">
        <f t="shared" si="3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452</v>
      </c>
      <c r="C83" t="s">
        <v>416</v>
      </c>
      <c r="D83" t="s">
        <v>426</v>
      </c>
      <c r="E83" t="s">
        <v>428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4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>CONCATENATE(VLOOKUP(W83, 'Voxel Sizes'!$A$2:$B$18,2,FALSE),"x",INT(S83*15), "x", INT(T83*15))</f>
        <v>164x0x55</v>
      </c>
      <c r="W83">
        <f t="shared" si="3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344</v>
      </c>
      <c r="C84" t="s">
        <v>416</v>
      </c>
      <c r="D84" t="s">
        <v>450</v>
      </c>
      <c r="E84" t="s">
        <v>459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4"/>
        <v>0.24923312883435583</v>
      </c>
      <c r="P84">
        <v>90</v>
      </c>
      <c r="Q84">
        <v>16.36</v>
      </c>
      <c r="R84">
        <v>16.36</v>
      </c>
      <c r="V84" t="str">
        <f>CONCATENATE(VLOOKUP(W84, 'Voxel Sizes'!$A$2:$B$18,2,FALSE),"x",INT(S84*15), "x", INT(T84*15))</f>
        <v>164x0x0</v>
      </c>
      <c r="W84">
        <f t="shared" si="3"/>
        <v>10</v>
      </c>
      <c r="Y84" t="str">
        <f>CONCATENATE(VLOOKUP(W84,'Articulated Lengths'!$A$2:$B$16, 2, FALSE),IF(X84&lt;&gt;"",CONCATENATE(",",VLOOKUP(X84,$B$2:$Y$200,24,FALSE)),""))</f>
        <v>3,4,3</v>
      </c>
      <c r="AA84">
        <v>10</v>
      </c>
      <c r="AB84">
        <v>10</v>
      </c>
    </row>
    <row r="85" spans="1:28" x14ac:dyDescent="0.25">
      <c r="A85" t="s">
        <v>65</v>
      </c>
      <c r="B85" t="s">
        <v>420</v>
      </c>
      <c r="C85" t="s">
        <v>416</v>
      </c>
      <c r="D85" t="s">
        <v>426</v>
      </c>
      <c r="E85" t="s">
        <v>428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4"/>
        <v>0.27792553191489361</v>
      </c>
      <c r="P85">
        <v>75</v>
      </c>
      <c r="Q85">
        <v>16</v>
      </c>
      <c r="R85">
        <v>16</v>
      </c>
      <c r="T85">
        <v>3.86</v>
      </c>
      <c r="V85" t="str">
        <f>CONCATENATE(VLOOKUP(W85, 'Voxel Sizes'!$A$2:$B$18,2,FALSE),"x",INT(S85*15), "x", INT(T85*15))</f>
        <v>152x0x57</v>
      </c>
      <c r="W85">
        <f t="shared" si="3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345</v>
      </c>
      <c r="C86" t="s">
        <v>213</v>
      </c>
      <c r="E86" t="s">
        <v>451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4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>CONCATENATE(VLOOKUP(W86, 'Voxel Sizes'!$A$2:$B$18,2,FALSE),"x",INT(S86*15), "x", INT(T86*15))</f>
        <v>164x0x56</v>
      </c>
      <c r="W86">
        <f t="shared" si="3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415</v>
      </c>
      <c r="C87" t="s">
        <v>416</v>
      </c>
      <c r="D87" t="s">
        <v>426</v>
      </c>
      <c r="E87" t="s">
        <v>428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4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>CONCATENATE(VLOOKUP(W87, 'Voxel Sizes'!$A$2:$B$18,2,FALSE),"x",INT(S87*15), "x", INT(T87*15))</f>
        <v>186x40x58</v>
      </c>
      <c r="W87">
        <f t="shared" si="3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268</v>
      </c>
      <c r="C88" t="s">
        <v>213</v>
      </c>
      <c r="E88" t="s">
        <v>428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4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>CONCATENATE(VLOOKUP(W88, 'Voxel Sizes'!$A$2:$B$18,2,FALSE),"x",INT(S88*15), "x", INT(T88*15))</f>
        <v>198x0x58</v>
      </c>
      <c r="W88">
        <f t="shared" si="3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269</v>
      </c>
      <c r="C89" t="s">
        <v>213</v>
      </c>
      <c r="E89" t="s">
        <v>428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4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>CONCATENATE(VLOOKUP(W89, 'Voxel Sizes'!$A$2:$B$18,2,FALSE),"x",INT(S89*15), "x", INT(T89*15))</f>
        <v>152x0x57</v>
      </c>
      <c r="W89">
        <f t="shared" si="3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370</v>
      </c>
      <c r="C90" t="s">
        <v>213</v>
      </c>
      <c r="E90" t="s">
        <v>428</v>
      </c>
      <c r="F90">
        <v>1960</v>
      </c>
      <c r="J90">
        <v>1000</v>
      </c>
      <c r="K90">
        <v>304</v>
      </c>
      <c r="O90" s="4" t="str">
        <f t="shared" si="4"/>
        <v/>
      </c>
      <c r="P90">
        <v>90</v>
      </c>
      <c r="V90" t="str">
        <f>CONCATENATE(VLOOKUP(W90, 'Voxel Sizes'!$A$2:$B$18,2,FALSE),"x",INT(S90*15), "x", INT(T90*15))</f>
        <v>0x0x0</v>
      </c>
      <c r="W90">
        <f t="shared" si="3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270</v>
      </c>
      <c r="C91" t="s">
        <v>213</v>
      </c>
      <c r="E91" t="s">
        <v>428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4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>CONCATENATE(VLOOKUP(W91, 'Voxel Sizes'!$A$2:$B$18,2,FALSE),"x",INT(S91*15), "x", INT(T91*15))</f>
        <v>152x0x58</v>
      </c>
      <c r="W91">
        <f t="shared" si="3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271</v>
      </c>
      <c r="C92" t="s">
        <v>213</v>
      </c>
      <c r="E92" t="s">
        <v>428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4"/>
        <v>0.27</v>
      </c>
      <c r="P92">
        <v>90</v>
      </c>
      <c r="Q92">
        <v>20.73</v>
      </c>
      <c r="R92">
        <v>20.73</v>
      </c>
      <c r="T92">
        <v>3.96</v>
      </c>
      <c r="V92" t="str">
        <f>CONCATENATE(VLOOKUP(W92, 'Voxel Sizes'!$A$2:$B$18,2,FALSE),"x",INT(S92*15), "x", INT(T92*15))</f>
        <v>198x0x59</v>
      </c>
      <c r="W92">
        <f t="shared" si="3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461</v>
      </c>
      <c r="C93" t="s">
        <v>213</v>
      </c>
      <c r="E93" t="s">
        <v>428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4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>CONCATENATE(VLOOKUP(W93, 'Voxel Sizes'!$A$2:$B$18,2,FALSE),"x",INT(S93*15), "x", INT(T93*15))</f>
        <v>152x0x57</v>
      </c>
      <c r="W93">
        <f t="shared" si="3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272</v>
      </c>
      <c r="C94" t="s">
        <v>213</v>
      </c>
      <c r="E94" t="s">
        <v>428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4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>CONCATENATE(VLOOKUP(W94, 'Voxel Sizes'!$A$2:$B$18,2,FALSE),"x",INT(S94*15), "x", INT(T94*15))</f>
        <v>152x0x57</v>
      </c>
      <c r="W94">
        <f t="shared" si="3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273</v>
      </c>
      <c r="C95" t="s">
        <v>213</v>
      </c>
      <c r="E95" t="s">
        <v>428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4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>CONCATENATE(VLOOKUP(W95, 'Voxel Sizes'!$A$2:$B$18,2,FALSE),"x",INT(S95*15), "x", INT(T95*15))</f>
        <v>186x0x58</v>
      </c>
      <c r="W95">
        <f t="shared" si="3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274</v>
      </c>
      <c r="C96" t="s">
        <v>213</v>
      </c>
      <c r="E96" t="s">
        <v>428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4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>CONCATENATE(VLOOKUP(W96, 'Voxel Sizes'!$A$2:$B$18,2,FALSE),"x",INT(S96*15), "x", INT(T96*15))</f>
        <v>152x0x57</v>
      </c>
      <c r="W96">
        <f t="shared" si="3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275</v>
      </c>
      <c r="C97" t="s">
        <v>213</v>
      </c>
      <c r="E97" t="s">
        <v>428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4"/>
        <v>0.28247422680412371</v>
      </c>
      <c r="P97">
        <v>40</v>
      </c>
      <c r="Q97">
        <v>10.3</v>
      </c>
      <c r="R97">
        <v>10.3</v>
      </c>
      <c r="V97" t="str">
        <f>CONCATENATE(VLOOKUP(W97, 'Voxel Sizes'!$A$2:$B$18,2,FALSE),"x",INT(S97*15), "x", INT(T97*15))</f>
        <v>106x0x0</v>
      </c>
      <c r="W97">
        <f t="shared" si="3"/>
        <v>6</v>
      </c>
      <c r="Y97" t="str">
        <f>CONCATENATE(VLOOKUP(W97,'Articulated Lengths'!$A$2:$B$16, 2, FALSE),IF(X97&lt;&gt;"",CONCATENATE(",",VLOOKUP(X97,$B$2:$Y$200,24,FALSE)),""))</f>
        <v>2,2,2</v>
      </c>
      <c r="AA97">
        <v>10</v>
      </c>
      <c r="AB97">
        <v>10</v>
      </c>
    </row>
    <row r="98" spans="1:28" x14ac:dyDescent="0.25">
      <c r="A98" t="s">
        <v>83</v>
      </c>
      <c r="B98" t="s">
        <v>401</v>
      </c>
      <c r="C98" t="s">
        <v>213</v>
      </c>
      <c r="E98" t="s">
        <v>428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4"/>
        <v>0.24377457404980341</v>
      </c>
      <c r="P98">
        <v>80</v>
      </c>
      <c r="Q98">
        <v>16.36</v>
      </c>
      <c r="R98">
        <v>16.36</v>
      </c>
      <c r="V98" t="str">
        <f>CONCATENATE(VLOOKUP(W98, 'Voxel Sizes'!$A$2:$B$18,2,FALSE),"x",INT(S98*15), "x", INT(T98*15))</f>
        <v>164x0x0</v>
      </c>
      <c r="W98">
        <f t="shared" si="3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402</v>
      </c>
      <c r="C99" t="s">
        <v>213</v>
      </c>
      <c r="E99" t="s">
        <v>428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4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>CONCATENATE(VLOOKUP(W99, 'Voxel Sizes'!$A$2:$B$18,2,FALSE),"x",INT(S99*15), "x", INT(T99*15))</f>
        <v>164x0x56</v>
      </c>
      <c r="W99">
        <f t="shared" si="3"/>
        <v>10</v>
      </c>
      <c r="Y99" t="str">
        <f>CONCATENATE(VLOOKUP(W99,'Articulated Lengths'!$A$2:$B$16, 2, FALSE),IF(X99&lt;&gt;"",CONCATENATE(",",VLOOKUP(X99,$B$2:$Y$200,24,FALSE)),""))</f>
        <v>3,4,3</v>
      </c>
      <c r="AA99">
        <v>10</v>
      </c>
      <c r="AB99">
        <v>10</v>
      </c>
    </row>
    <row r="100" spans="1:28" x14ac:dyDescent="0.25">
      <c r="A100" t="s">
        <v>69</v>
      </c>
      <c r="B100" t="s">
        <v>276</v>
      </c>
      <c r="C100" t="s">
        <v>213</v>
      </c>
      <c r="E100" t="s">
        <v>428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4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>CONCATENATE(VLOOKUP(W100, 'Voxel Sizes'!$A$2:$B$18,2,FALSE),"x",INT(S100*15), "x", INT(T100*15))</f>
        <v>198x0x58</v>
      </c>
      <c r="W100">
        <f t="shared" si="3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277</v>
      </c>
      <c r="C101" t="s">
        <v>213</v>
      </c>
      <c r="E101" t="s">
        <v>428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4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>CONCATENATE(VLOOKUP(W101, 'Voxel Sizes'!$A$2:$B$18,2,FALSE),"x",INT(S101*15), "x", INT(T101*15))</f>
        <v>164x0x56</v>
      </c>
      <c r="W101">
        <f t="shared" si="3"/>
        <v>10</v>
      </c>
      <c r="Y101" t="str">
        <f>CONCATENATE(VLOOKUP(W101,'Articulated Lengths'!$A$2:$B$16, 2, FALSE),IF(X101&lt;&gt;"",CONCATENATE(",",VLOOKUP(X101,$B$2:$Y$200,24,FALSE)),""))</f>
        <v>3,4,3</v>
      </c>
      <c r="AA101">
        <v>10</v>
      </c>
      <c r="AB101">
        <v>10</v>
      </c>
    </row>
    <row r="102" spans="1:28" x14ac:dyDescent="0.25">
      <c r="A102" t="s">
        <v>60</v>
      </c>
      <c r="B102" t="s">
        <v>462</v>
      </c>
      <c r="C102" t="s">
        <v>416</v>
      </c>
      <c r="D102" t="s">
        <v>426</v>
      </c>
      <c r="E102" t="s">
        <v>428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4"/>
        <v>0.22775800711743771</v>
      </c>
      <c r="P102">
        <v>125</v>
      </c>
      <c r="Q102">
        <v>17.79</v>
      </c>
      <c r="R102">
        <v>17.79</v>
      </c>
      <c r="V102" t="str">
        <f>CONCATENATE(VLOOKUP(W102, 'Voxel Sizes'!$A$2:$B$18,2,FALSE),"x",INT(S102*15), "x", INT(T102*15))</f>
        <v>164x0x0</v>
      </c>
      <c r="W102">
        <f t="shared" si="3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278</v>
      </c>
      <c r="C103" t="s">
        <v>213</v>
      </c>
      <c r="E103" t="s">
        <v>428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4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>CONCATENATE(VLOOKUP(W103, 'Voxel Sizes'!$A$2:$B$18,2,FALSE),"x",INT(S103*15), "x", INT(T103*15))</f>
        <v>186x0x58</v>
      </c>
      <c r="W103">
        <f t="shared" si="3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279</v>
      </c>
      <c r="C104" t="s">
        <v>213</v>
      </c>
      <c r="E104" t="s">
        <v>428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4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>CONCATENATE(VLOOKUP(W104, 'Voxel Sizes'!$A$2:$B$18,2,FALSE),"x",INT(S104*15), "x", INT(T104*15))</f>
        <v>186x0x58</v>
      </c>
      <c r="W104">
        <f t="shared" si="3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280</v>
      </c>
      <c r="C105" t="s">
        <v>213</v>
      </c>
      <c r="E105" t="s">
        <v>428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4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>CONCATENATE(VLOOKUP(W105, 'Voxel Sizes'!$A$2:$B$18,2,FALSE),"x",INT(S105*15), "x", INT(T105*15))</f>
        <v>221x0x58</v>
      </c>
      <c r="W105">
        <f t="shared" si="3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281</v>
      </c>
      <c r="C106" t="s">
        <v>213</v>
      </c>
      <c r="E106" t="s">
        <v>428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4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>CONCATENATE(VLOOKUP(W106, 'Voxel Sizes'!$A$2:$B$18,2,FALSE),"x",INT(S106*15), "x", INT(T106*15))</f>
        <v>186x0x59</v>
      </c>
      <c r="W106">
        <f t="shared" si="3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369</v>
      </c>
      <c r="C107" t="s">
        <v>213</v>
      </c>
      <c r="E107" t="s">
        <v>428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4"/>
        <v>0.23312883435582821</v>
      </c>
      <c r="P107">
        <v>140</v>
      </c>
      <c r="Q107">
        <v>19.399999999999999</v>
      </c>
      <c r="R107">
        <v>19.399999999999999</v>
      </c>
      <c r="V107" t="str">
        <f>CONCATENATE(VLOOKUP(W107, 'Voxel Sizes'!$A$2:$B$18,2,FALSE),"x",INT(S107*15), "x", INT(T107*15))</f>
        <v>186x0x0</v>
      </c>
      <c r="W107">
        <f t="shared" si="3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282</v>
      </c>
      <c r="C108" t="s">
        <v>213</v>
      </c>
      <c r="E108" t="s">
        <v>428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4"/>
        <v>0.2857142857142857</v>
      </c>
      <c r="P108">
        <v>87</v>
      </c>
      <c r="Q108">
        <v>21.36</v>
      </c>
      <c r="R108">
        <v>21.36</v>
      </c>
      <c r="V108" t="str">
        <f>CONCATENATE(VLOOKUP(W108, 'Voxel Sizes'!$A$2:$B$18,2,FALSE),"x",INT(S108*15), "x", INT(T108*15))</f>
        <v>221x0x0</v>
      </c>
      <c r="W108">
        <f t="shared" si="3"/>
        <v>13</v>
      </c>
      <c r="Y108" t="str">
        <f>CONCATENATE(VLOOKUP(W108,'Articulated Lengths'!$A$2:$B$16, 2, FALSE),IF(X108&lt;&gt;"",CONCATENATE(",",VLOOKUP(X108,$B$2:$Y$200,24,FALSE)),""))</f>
        <v>4,5,4</v>
      </c>
      <c r="AA108">
        <v>10</v>
      </c>
      <c r="AB108">
        <v>10</v>
      </c>
    </row>
    <row r="109" spans="1:28" x14ac:dyDescent="0.25">
      <c r="A109" t="s">
        <v>73</v>
      </c>
      <c r="B109" t="s">
        <v>283</v>
      </c>
      <c r="C109" t="s">
        <v>213</v>
      </c>
      <c r="E109" t="s">
        <v>428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4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>CONCATENATE(VLOOKUP(W109, 'Voxel Sizes'!$A$2:$B$18,2,FALSE),"x",INT(S109*15), "x", INT(T109*15))</f>
        <v>221x0x58</v>
      </c>
      <c r="W109">
        <f t="shared" si="3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368</v>
      </c>
      <c r="C110" t="s">
        <v>213</v>
      </c>
      <c r="E110" t="s">
        <v>428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4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>CONCATENATE(VLOOKUP(W110, 'Voxel Sizes'!$A$2:$B$18,2,FALSE),"x",INT(S110*15), "x", INT(T110*15))</f>
        <v>186x0x58</v>
      </c>
      <c r="W110">
        <f t="shared" si="3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284</v>
      </c>
      <c r="C111" t="s">
        <v>213</v>
      </c>
      <c r="E111" t="s">
        <v>428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4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>CONCATENATE(VLOOKUP(W111, 'Voxel Sizes'!$A$2:$B$18,2,FALSE),"x",INT(S111*15), "x", INT(T111*15))</f>
        <v>198x0x58</v>
      </c>
      <c r="W111">
        <f t="shared" si="3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285</v>
      </c>
      <c r="C112" t="s">
        <v>213</v>
      </c>
      <c r="E112" t="s">
        <v>428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4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>CONCATENATE(VLOOKUP(W112, 'Voxel Sizes'!$A$2:$B$18,2,FALSE),"x",INT(S112*15), "x", INT(T112*15))</f>
        <v>198x0x58</v>
      </c>
      <c r="W112">
        <f t="shared" si="3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286</v>
      </c>
      <c r="C113" t="s">
        <v>213</v>
      </c>
      <c r="E113" t="s">
        <v>428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4"/>
        <v>0.36860465116279068</v>
      </c>
      <c r="P113">
        <v>100</v>
      </c>
      <c r="V113" t="str">
        <f>CONCATENATE(VLOOKUP(W113, 'Voxel Sizes'!$A$2:$B$18,2,FALSE),"x",INT(S113*15), "x", INT(T113*15))</f>
        <v>0x0x0</v>
      </c>
      <c r="W113">
        <f t="shared" si="3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287</v>
      </c>
      <c r="C114" t="s">
        <v>213</v>
      </c>
      <c r="E114" t="s">
        <v>428</v>
      </c>
      <c r="F114">
        <v>1933</v>
      </c>
      <c r="G114">
        <v>1942</v>
      </c>
      <c r="J114">
        <v>260</v>
      </c>
      <c r="O114" s="4" t="str">
        <f t="shared" si="4"/>
        <v/>
      </c>
      <c r="V114" t="str">
        <f>CONCATENATE(VLOOKUP(W114, 'Voxel Sizes'!$A$2:$B$18,2,FALSE),"x",INT(S114*15), "x", INT(T114*15))</f>
        <v>0x0x0</v>
      </c>
      <c r="W114">
        <f t="shared" si="3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376</v>
      </c>
      <c r="C115" t="s">
        <v>213</v>
      </c>
      <c r="E115" t="s">
        <v>428</v>
      </c>
      <c r="F115">
        <v>1914</v>
      </c>
      <c r="J115">
        <v>1000</v>
      </c>
      <c r="O115" s="4" t="str">
        <f t="shared" si="4"/>
        <v/>
      </c>
      <c r="V115" t="str">
        <f>CONCATENATE(VLOOKUP(W115, 'Voxel Sizes'!$A$2:$B$18,2,FALSE),"x",INT(S115*15), "x", INT(T115*15))</f>
        <v>0x0x0</v>
      </c>
      <c r="W115">
        <f t="shared" si="3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363</v>
      </c>
      <c r="C116" t="s">
        <v>213</v>
      </c>
      <c r="E116" t="s">
        <v>428</v>
      </c>
      <c r="F116">
        <v>1932</v>
      </c>
      <c r="H116">
        <v>1972</v>
      </c>
      <c r="J116">
        <v>1800</v>
      </c>
      <c r="K116">
        <v>253</v>
      </c>
      <c r="O116" s="4" t="str">
        <f t="shared" si="4"/>
        <v/>
      </c>
      <c r="P116">
        <v>75</v>
      </c>
      <c r="U116">
        <f>40+132</f>
        <v>172</v>
      </c>
      <c r="V116" t="str">
        <f>CONCATENATE(VLOOKUP(W116, 'Voxel Sizes'!$A$2:$B$18,2,FALSE),"x",INT(S116*15), "x", INT(T116*15))</f>
        <v>0x0x0</v>
      </c>
      <c r="W116">
        <f t="shared" si="3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364</v>
      </c>
      <c r="C117" t="s">
        <v>213</v>
      </c>
      <c r="E117" t="s">
        <v>428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4"/>
        <v/>
      </c>
      <c r="P117">
        <v>75</v>
      </c>
      <c r="V117" t="str">
        <f>CONCATENATE(VLOOKUP(W117, 'Voxel Sizes'!$A$2:$B$18,2,FALSE),"x",INT(S117*15), "x", INT(T117*15))</f>
        <v>0x0x0</v>
      </c>
      <c r="W117">
        <f t="shared" si="3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365</v>
      </c>
      <c r="C118" t="s">
        <v>213</v>
      </c>
      <c r="E118" t="s">
        <v>428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4"/>
        <v/>
      </c>
      <c r="U118">
        <f>32+102</f>
        <v>134</v>
      </c>
      <c r="V118" t="str">
        <f>CONCATENATE(VLOOKUP(W118, 'Voxel Sizes'!$A$2:$B$18,2,FALSE),"x",INT(S118*15), "x", INT(T118*15))</f>
        <v>0x0x0</v>
      </c>
      <c r="W118">
        <f t="shared" si="3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366</v>
      </c>
      <c r="C119" t="s">
        <v>213</v>
      </c>
      <c r="E119" t="s">
        <v>428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4"/>
        <v/>
      </c>
      <c r="P119">
        <v>70</v>
      </c>
      <c r="Q119">
        <v>17.37</v>
      </c>
      <c r="R119">
        <v>17.37</v>
      </c>
      <c r="T119">
        <v>3.77</v>
      </c>
      <c r="V119" t="str">
        <f>CONCATENATE(VLOOKUP(W119, 'Voxel Sizes'!$A$2:$B$18,2,FALSE),"x",INT(S119*15), "x", INT(T119*15))</f>
        <v>164x0x56</v>
      </c>
      <c r="W119">
        <f t="shared" si="3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367</v>
      </c>
      <c r="C120" t="s">
        <v>213</v>
      </c>
      <c r="E120" t="s">
        <v>428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4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>CONCATENATE(VLOOKUP(W120, 'Voxel Sizes'!$A$2:$B$18,2,FALSE),"x",INT(S120*15), "x", INT(T120*15))</f>
        <v>186x0x58</v>
      </c>
      <c r="W120">
        <f t="shared" si="3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346</v>
      </c>
      <c r="C121" t="s">
        <v>213</v>
      </c>
      <c r="E121" t="s">
        <v>428</v>
      </c>
      <c r="F121">
        <v>1960</v>
      </c>
      <c r="H121">
        <v>2017</v>
      </c>
      <c r="J121">
        <v>300</v>
      </c>
      <c r="K121">
        <v>38</v>
      </c>
      <c r="O121" s="4" t="str">
        <f t="shared" si="4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>CONCATENATE(VLOOKUP(W121, 'Voxel Sizes'!$A$2:$B$18,2,FALSE),"x",INT(S121*15), "x", INT(T121*15))</f>
        <v>198x0x56</v>
      </c>
      <c r="W121">
        <f t="shared" si="3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288</v>
      </c>
      <c r="C122" t="s">
        <v>213</v>
      </c>
      <c r="E122" t="s">
        <v>428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4"/>
        <v/>
      </c>
      <c r="P122">
        <v>70</v>
      </c>
      <c r="Q122">
        <v>17.53</v>
      </c>
      <c r="R122">
        <v>17.53</v>
      </c>
      <c r="T122">
        <v>3.84</v>
      </c>
      <c r="V122" t="str">
        <f>CONCATENATE(VLOOKUP(W122, 'Voxel Sizes'!$A$2:$B$18,2,FALSE),"x",INT(S122*15), "x", INT(T122*15))</f>
        <v>164x0x57</v>
      </c>
      <c r="W122">
        <f t="shared" si="3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347</v>
      </c>
      <c r="C123" t="s">
        <v>213</v>
      </c>
      <c r="E123" t="s">
        <v>428</v>
      </c>
      <c r="F123">
        <v>2003</v>
      </c>
      <c r="J123">
        <v>1600</v>
      </c>
      <c r="K123">
        <v>173.6</v>
      </c>
      <c r="O123" s="4" t="str">
        <f t="shared" si="4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>CONCATENATE(VLOOKUP(W123, 'Voxel Sizes'!$A$2:$B$18,2,FALSE),"x",INT(S123*15), "x", INT(T123*15))</f>
        <v>198x0x56</v>
      </c>
      <c r="W123">
        <f t="shared" si="3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377</v>
      </c>
      <c r="C124" t="s">
        <v>213</v>
      </c>
      <c r="E124" t="s">
        <v>428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4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>CONCATENATE(VLOOKUP(W124, 'Voxel Sizes'!$A$2:$B$18,2,FALSE),"x",INT(S124*15), "x", INT(T124*15))</f>
        <v>198x0x56</v>
      </c>
      <c r="W124">
        <f t="shared" si="3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378</v>
      </c>
      <c r="C125" t="s">
        <v>213</v>
      </c>
      <c r="E125" t="s">
        <v>428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4"/>
        <v/>
      </c>
      <c r="P125">
        <v>100</v>
      </c>
      <c r="V125" t="str">
        <f>CONCATENATE(VLOOKUP(W125, 'Voxel Sizes'!$A$2:$B$18,2,FALSE),"x",INT(S125*15), "x", INT(T125*15))</f>
        <v>0x0x0</v>
      </c>
      <c r="W125">
        <f t="shared" si="3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379</v>
      </c>
      <c r="C126" t="s">
        <v>213</v>
      </c>
      <c r="E126" t="s">
        <v>428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4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>CONCATENATE(VLOOKUP(W126, 'Voxel Sizes'!$A$2:$B$18,2,FALSE),"x",INT(S126*15), "x", INT(T126*15))</f>
        <v>198x0x57</v>
      </c>
      <c r="W126">
        <f t="shared" si="3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289</v>
      </c>
      <c r="C127" t="s">
        <v>213</v>
      </c>
      <c r="E127" t="s">
        <v>428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4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>CONCATENATE(VLOOKUP(W127, 'Voxel Sizes'!$A$2:$B$18,2,FALSE),"x",INT(S127*15), "x", INT(T127*15))</f>
        <v>198x0x53</v>
      </c>
      <c r="W127">
        <f t="shared" si="3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290</v>
      </c>
      <c r="C128" t="s">
        <v>213</v>
      </c>
      <c r="E128" t="s">
        <v>428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4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>CONCATENATE(VLOOKUP(W128, 'Voxel Sizes'!$A$2:$B$18,2,FALSE),"x",INT(S128*15), "x", INT(T128*15))</f>
        <v>198x0x53</v>
      </c>
      <c r="W128">
        <f t="shared" si="3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291</v>
      </c>
      <c r="C129" t="s">
        <v>213</v>
      </c>
      <c r="E129" t="s">
        <v>428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4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>CONCATENATE(VLOOKUP(W129, 'Voxel Sizes'!$A$2:$B$18,2,FALSE),"x",INT(S129*15), "x", INT(T129*15))</f>
        <v>198x0x53</v>
      </c>
      <c r="W129">
        <f t="shared" si="3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348</v>
      </c>
      <c r="C130" t="s">
        <v>213</v>
      </c>
      <c r="E130" t="s">
        <v>428</v>
      </c>
      <c r="O130" s="4" t="str">
        <f t="shared" si="4"/>
        <v/>
      </c>
      <c r="V130" t="str">
        <f>CONCATENATE(VLOOKUP(W130, 'Voxel Sizes'!$A$2:$B$18,2,FALSE),"x",INT(S130*15), "x", INT(T130*15))</f>
        <v>0x0x0</v>
      </c>
      <c r="W130">
        <f t="shared" si="3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349</v>
      </c>
      <c r="C131" t="s">
        <v>213</v>
      </c>
      <c r="E131" t="s">
        <v>428</v>
      </c>
      <c r="O131" s="4" t="str">
        <f t="shared" si="4"/>
        <v/>
      </c>
      <c r="V131" t="str">
        <f>CONCATENATE(VLOOKUP(W131, 'Voxel Sizes'!$A$2:$B$18,2,FALSE),"x",INT(S131*15), "x", INT(T131*15))</f>
        <v>0x0x0</v>
      </c>
      <c r="W131">
        <f t="shared" ref="W131:W194" si="5">ROUND(15*((R131*10)/256),0)</f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350</v>
      </c>
      <c r="C132" t="s">
        <v>213</v>
      </c>
      <c r="E132" t="s">
        <v>428</v>
      </c>
      <c r="O132" s="4" t="str">
        <f t="shared" si="4"/>
        <v/>
      </c>
      <c r="V132" t="str">
        <f>CONCATENATE(VLOOKUP(W132, 'Voxel Sizes'!$A$2:$B$18,2,FALSE),"x",INT(S132*15), "x", INT(T132*15))</f>
        <v>0x0x0</v>
      </c>
      <c r="W132">
        <f t="shared" si="5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351</v>
      </c>
      <c r="C133" t="s">
        <v>213</v>
      </c>
      <c r="E133" t="s">
        <v>428</v>
      </c>
      <c r="O133" s="4" t="str">
        <f t="shared" si="4"/>
        <v/>
      </c>
      <c r="V133" t="str">
        <f>CONCATENATE(VLOOKUP(W133, 'Voxel Sizes'!$A$2:$B$18,2,FALSE),"x",INT(S133*15), "x", INT(T133*15))</f>
        <v>0x0x0</v>
      </c>
      <c r="W133">
        <f t="shared" si="5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292</v>
      </c>
      <c r="C134" t="s">
        <v>213</v>
      </c>
      <c r="E134" t="s">
        <v>428</v>
      </c>
      <c r="O134" s="4" t="str">
        <f t="shared" si="4"/>
        <v/>
      </c>
      <c r="V134" t="str">
        <f>CONCATENATE(VLOOKUP(W134, 'Voxel Sizes'!$A$2:$B$18,2,FALSE),"x",INT(S134*15), "x", INT(T134*15))</f>
        <v>0x0x0</v>
      </c>
      <c r="W134">
        <f t="shared" si="5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293</v>
      </c>
      <c r="C135" t="s">
        <v>213</v>
      </c>
      <c r="E135" t="s">
        <v>428</v>
      </c>
      <c r="O135" s="4" t="str">
        <f t="shared" si="4"/>
        <v/>
      </c>
      <c r="V135" t="str">
        <f>CONCATENATE(VLOOKUP(W135, 'Voxel Sizes'!$A$2:$B$18,2,FALSE),"x",INT(S135*15), "x", INT(T135*15))</f>
        <v>0x0x0</v>
      </c>
      <c r="W135">
        <f t="shared" si="5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294</v>
      </c>
      <c r="C136" t="s">
        <v>213</v>
      </c>
      <c r="E136" t="s">
        <v>428</v>
      </c>
      <c r="O136" s="4" t="str">
        <f t="shared" si="4"/>
        <v/>
      </c>
      <c r="V136" t="str">
        <f>CONCATENATE(VLOOKUP(W136, 'Voxel Sizes'!$A$2:$B$18,2,FALSE),"x",INT(S136*15), "x", INT(T136*15))</f>
        <v>0x0x0</v>
      </c>
      <c r="W136">
        <f t="shared" si="5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403</v>
      </c>
      <c r="C137" t="s">
        <v>213</v>
      </c>
      <c r="E137" t="s">
        <v>428</v>
      </c>
      <c r="O137" s="4" t="str">
        <f t="shared" si="4"/>
        <v/>
      </c>
      <c r="V137" t="str">
        <f>CONCATENATE(VLOOKUP(W137, 'Voxel Sizes'!$A$2:$B$18,2,FALSE),"x",INT(S137*15), "x", INT(T137*15))</f>
        <v>0x0x0</v>
      </c>
      <c r="W137">
        <f t="shared" si="5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295</v>
      </c>
      <c r="C138" t="s">
        <v>213</v>
      </c>
      <c r="E138" t="s">
        <v>428</v>
      </c>
      <c r="O138" s="4" t="str">
        <f t="shared" si="4"/>
        <v/>
      </c>
      <c r="V138" t="str">
        <f>CONCATENATE(VLOOKUP(W138, 'Voxel Sizes'!$A$2:$B$18,2,FALSE),"x",INT(S138*15), "x", INT(T138*15))</f>
        <v>0x0x0</v>
      </c>
      <c r="W138">
        <f t="shared" si="5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405</v>
      </c>
      <c r="C139" t="s">
        <v>213</v>
      </c>
      <c r="E139" t="s">
        <v>428</v>
      </c>
      <c r="O139" s="4" t="str">
        <f t="shared" si="4"/>
        <v/>
      </c>
      <c r="V139" t="str">
        <f>CONCATENATE(VLOOKUP(W139, 'Voxel Sizes'!$A$2:$B$18,2,FALSE),"x",INT(S139*15), "x", INT(T139*15))</f>
        <v>0x0x0</v>
      </c>
      <c r="W139">
        <f t="shared" si="5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296</v>
      </c>
      <c r="C140" t="s">
        <v>213</v>
      </c>
      <c r="E140" t="s">
        <v>428</v>
      </c>
      <c r="O140" s="4" t="str">
        <f t="shared" si="4"/>
        <v/>
      </c>
      <c r="V140" t="str">
        <f>CONCATENATE(VLOOKUP(W140, 'Voxel Sizes'!$A$2:$B$18,2,FALSE),"x",INT(S140*15), "x", INT(T140*15))</f>
        <v>0x0x0</v>
      </c>
      <c r="W140">
        <f t="shared" si="5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354</v>
      </c>
      <c r="C141" t="s">
        <v>213</v>
      </c>
      <c r="E141" t="s">
        <v>428</v>
      </c>
      <c r="O141" s="4" t="str">
        <f t="shared" ref="O141:O200" si="6">IF(AND(K141&gt;0,N141&gt;0),(N141/(K141*10)),"")</f>
        <v/>
      </c>
      <c r="V141" t="str">
        <f>CONCATENATE(VLOOKUP(W141, 'Voxel Sizes'!$A$2:$B$18,2,FALSE),"x",INT(S141*15), "x", INT(T141*15))</f>
        <v>0x0x0</v>
      </c>
      <c r="W141">
        <f t="shared" si="5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355</v>
      </c>
      <c r="C142" t="s">
        <v>213</v>
      </c>
      <c r="E142" t="s">
        <v>428</v>
      </c>
      <c r="O142" s="4" t="str">
        <f t="shared" si="6"/>
        <v/>
      </c>
      <c r="V142" t="str">
        <f>CONCATENATE(VLOOKUP(W142, 'Voxel Sizes'!$A$2:$B$18,2,FALSE),"x",INT(S142*15), "x", INT(T142*15))</f>
        <v>0x0x0</v>
      </c>
      <c r="W142">
        <f t="shared" si="5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356</v>
      </c>
      <c r="C143" t="s">
        <v>213</v>
      </c>
      <c r="E143" t="s">
        <v>428</v>
      </c>
      <c r="O143" s="4" t="str">
        <f t="shared" si="6"/>
        <v/>
      </c>
      <c r="V143" t="str">
        <f>CONCATENATE(VLOOKUP(W143, 'Voxel Sizes'!$A$2:$B$18,2,FALSE),"x",INT(S143*15), "x", INT(T143*15))</f>
        <v>0x0x0</v>
      </c>
      <c r="W143">
        <f t="shared" si="5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357</v>
      </c>
      <c r="C144" t="s">
        <v>213</v>
      </c>
      <c r="E144" t="s">
        <v>428</v>
      </c>
      <c r="O144" s="4" t="str">
        <f t="shared" si="6"/>
        <v/>
      </c>
      <c r="V144" t="str">
        <f>CONCATENATE(VLOOKUP(W144, 'Voxel Sizes'!$A$2:$B$18,2,FALSE),"x",INT(S144*15), "x", INT(T144*15))</f>
        <v>0x0x0</v>
      </c>
      <c r="W144">
        <f t="shared" si="5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297</v>
      </c>
      <c r="C145" t="s">
        <v>213</v>
      </c>
      <c r="E145" t="s">
        <v>428</v>
      </c>
      <c r="O145" s="4" t="str">
        <f t="shared" si="6"/>
        <v/>
      </c>
      <c r="V145" t="str">
        <f>CONCATENATE(VLOOKUP(W145, 'Voxel Sizes'!$A$2:$B$18,2,FALSE),"x",INT(S145*15), "x", INT(T145*15))</f>
        <v>0x0x0</v>
      </c>
      <c r="W145">
        <f t="shared" si="5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298</v>
      </c>
      <c r="C146" t="s">
        <v>213</v>
      </c>
      <c r="E146" t="s">
        <v>428</v>
      </c>
      <c r="O146" s="4" t="str">
        <f t="shared" si="6"/>
        <v/>
      </c>
      <c r="V146" t="str">
        <f>CONCATENATE(VLOOKUP(W146, 'Voxel Sizes'!$A$2:$B$18,2,FALSE),"x",INT(S146*15), "x", INT(T146*15))</f>
        <v>0x0x0</v>
      </c>
      <c r="W146">
        <f t="shared" si="5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299</v>
      </c>
      <c r="C147" t="s">
        <v>213</v>
      </c>
      <c r="E147" t="s">
        <v>428</v>
      </c>
      <c r="O147" s="4" t="str">
        <f t="shared" si="6"/>
        <v/>
      </c>
      <c r="V147" t="str">
        <f>CONCATENATE(VLOOKUP(W147, 'Voxel Sizes'!$A$2:$B$18,2,FALSE),"x",INT(S147*15), "x", INT(T147*15))</f>
        <v>0x0x0</v>
      </c>
      <c r="W147">
        <f t="shared" si="5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358</v>
      </c>
      <c r="C148" t="s">
        <v>213</v>
      </c>
      <c r="E148" t="s">
        <v>428</v>
      </c>
      <c r="O148" s="4" t="str">
        <f t="shared" si="6"/>
        <v/>
      </c>
      <c r="V148" t="str">
        <f>CONCATENATE(VLOOKUP(W148, 'Voxel Sizes'!$A$2:$B$18,2,FALSE),"x",INT(S148*15), "x", INT(T148*15))</f>
        <v>0x0x0</v>
      </c>
      <c r="W148">
        <f t="shared" si="5"/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353</v>
      </c>
      <c r="C149" t="s">
        <v>213</v>
      </c>
      <c r="E149" t="s">
        <v>428</v>
      </c>
      <c r="O149" s="4" t="str">
        <f t="shared" si="6"/>
        <v/>
      </c>
      <c r="V149" t="str">
        <f>CONCATENATE(VLOOKUP(W149, 'Voxel Sizes'!$A$2:$B$18,2,FALSE),"x",INT(S149*15), "x", INT(T149*15))</f>
        <v>0x0x0</v>
      </c>
      <c r="W149">
        <f t="shared" si="5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352</v>
      </c>
      <c r="C150" t="s">
        <v>213</v>
      </c>
      <c r="E150" t="s">
        <v>428</v>
      </c>
      <c r="O150" s="4" t="str">
        <f t="shared" si="6"/>
        <v/>
      </c>
      <c r="V150" t="str">
        <f>CONCATENATE(VLOOKUP(W150, 'Voxel Sizes'!$A$2:$B$18,2,FALSE),"x",INT(S150*15), "x", INT(T150*15))</f>
        <v>0x0x0</v>
      </c>
      <c r="W150">
        <f t="shared" si="5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362</v>
      </c>
      <c r="C151" t="s">
        <v>213</v>
      </c>
      <c r="E151" t="s">
        <v>428</v>
      </c>
      <c r="O151" s="4" t="str">
        <f t="shared" si="6"/>
        <v/>
      </c>
      <c r="V151" t="str">
        <f>CONCATENATE(VLOOKUP(W151, 'Voxel Sizes'!$A$2:$B$18,2,FALSE),"x",INT(S151*15), "x", INT(T151*15))</f>
        <v>0x0x0</v>
      </c>
      <c r="W151">
        <f t="shared" si="5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406</v>
      </c>
      <c r="C152" t="s">
        <v>213</v>
      </c>
      <c r="E152" t="s">
        <v>428</v>
      </c>
      <c r="O152" s="4" t="str">
        <f t="shared" si="6"/>
        <v/>
      </c>
      <c r="V152" t="str">
        <f>CONCATENATE(VLOOKUP(W152, 'Voxel Sizes'!$A$2:$B$18,2,FALSE),"x",INT(S152*15), "x", INT(T152*15))</f>
        <v>0x0x0</v>
      </c>
      <c r="W152">
        <f t="shared" si="5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361</v>
      </c>
      <c r="C153" t="s">
        <v>213</v>
      </c>
      <c r="E153" t="s">
        <v>428</v>
      </c>
      <c r="O153" s="4" t="str">
        <f t="shared" si="6"/>
        <v/>
      </c>
      <c r="V153" t="str">
        <f>CONCATENATE(VLOOKUP(W153, 'Voxel Sizes'!$A$2:$B$18,2,FALSE),"x",INT(S153*15), "x", INT(T153*15))</f>
        <v>0x0x0</v>
      </c>
      <c r="W153">
        <f t="shared" si="5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300</v>
      </c>
      <c r="C154" t="s">
        <v>213</v>
      </c>
      <c r="E154" t="s">
        <v>428</v>
      </c>
      <c r="O154" s="4" t="str">
        <f t="shared" si="6"/>
        <v/>
      </c>
      <c r="V154" t="str">
        <f>CONCATENATE(VLOOKUP(W154, 'Voxel Sizes'!$A$2:$B$18,2,FALSE),"x",INT(S154*15), "x", INT(T154*15))</f>
        <v>0x0x0</v>
      </c>
      <c r="W154">
        <f t="shared" si="5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301</v>
      </c>
      <c r="C155" t="s">
        <v>213</v>
      </c>
      <c r="E155" t="s">
        <v>428</v>
      </c>
      <c r="O155" s="4" t="str">
        <f t="shared" si="6"/>
        <v/>
      </c>
      <c r="V155" t="str">
        <f>CONCATENATE(VLOOKUP(W155, 'Voxel Sizes'!$A$2:$B$18,2,FALSE),"x",INT(S155*15), "x", INT(T155*15))</f>
        <v>0x0x0</v>
      </c>
      <c r="W155">
        <f t="shared" si="5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302</v>
      </c>
      <c r="C156" t="s">
        <v>213</v>
      </c>
      <c r="E156" t="s">
        <v>428</v>
      </c>
      <c r="O156" s="4" t="str">
        <f t="shared" si="6"/>
        <v/>
      </c>
      <c r="V156" t="str">
        <f>CONCATENATE(VLOOKUP(W156, 'Voxel Sizes'!$A$2:$B$18,2,FALSE),"x",INT(S156*15), "x", INT(T156*15))</f>
        <v>0x0x0</v>
      </c>
      <c r="W156">
        <f t="shared" si="5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359</v>
      </c>
      <c r="C157" t="s">
        <v>213</v>
      </c>
      <c r="E157" t="s">
        <v>428</v>
      </c>
      <c r="O157" s="4" t="str">
        <f t="shared" si="6"/>
        <v/>
      </c>
      <c r="V157" t="str">
        <f>CONCATENATE(VLOOKUP(W157, 'Voxel Sizes'!$A$2:$B$18,2,FALSE),"x",INT(S157*15), "x", INT(T157*15))</f>
        <v>0x0x0</v>
      </c>
      <c r="W157">
        <f t="shared" si="5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404</v>
      </c>
      <c r="C158" t="s">
        <v>213</v>
      </c>
      <c r="E158" t="s">
        <v>428</v>
      </c>
      <c r="O158" s="4" t="str">
        <f t="shared" si="6"/>
        <v/>
      </c>
      <c r="V158" t="str">
        <f>CONCATENATE(VLOOKUP(W158, 'Voxel Sizes'!$A$2:$B$18,2,FALSE),"x",INT(S158*15), "x", INT(T158*15))</f>
        <v>0x0x0</v>
      </c>
      <c r="W158">
        <f t="shared" si="5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303</v>
      </c>
      <c r="C159" t="s">
        <v>213</v>
      </c>
      <c r="E159" t="s">
        <v>428</v>
      </c>
      <c r="O159" s="4" t="str">
        <f t="shared" si="6"/>
        <v/>
      </c>
      <c r="V159" t="str">
        <f>CONCATENATE(VLOOKUP(W159, 'Voxel Sizes'!$A$2:$B$18,2,FALSE),"x",INT(S159*15), "x", INT(T159*15))</f>
        <v>0x0x0</v>
      </c>
      <c r="W159">
        <f t="shared" si="5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304</v>
      </c>
      <c r="C160" t="s">
        <v>213</v>
      </c>
      <c r="E160" t="s">
        <v>428</v>
      </c>
      <c r="O160" s="4" t="str">
        <f t="shared" si="6"/>
        <v/>
      </c>
      <c r="V160" t="str">
        <f>CONCATENATE(VLOOKUP(W160, 'Voxel Sizes'!$A$2:$B$18,2,FALSE),"x",INT(S160*15), "x", INT(T160*15))</f>
        <v>0x0x0</v>
      </c>
      <c r="W160">
        <f t="shared" si="5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305</v>
      </c>
      <c r="C161" t="s">
        <v>213</v>
      </c>
      <c r="E161" t="s">
        <v>428</v>
      </c>
      <c r="O161" s="4" t="str">
        <f t="shared" si="6"/>
        <v/>
      </c>
      <c r="V161" t="str">
        <f>CONCATENATE(VLOOKUP(W161, 'Voxel Sizes'!$A$2:$B$18,2,FALSE),"x",INT(S161*15), "x", INT(T161*15))</f>
        <v>0x0x0</v>
      </c>
      <c r="W161">
        <f t="shared" si="5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306</v>
      </c>
      <c r="C162" t="s">
        <v>213</v>
      </c>
      <c r="E162" t="s">
        <v>428</v>
      </c>
      <c r="O162" s="4" t="str">
        <f t="shared" si="6"/>
        <v/>
      </c>
      <c r="V162" t="str">
        <f>CONCATENATE(VLOOKUP(W162, 'Voxel Sizes'!$A$2:$B$18,2,FALSE),"x",INT(S162*15), "x", INT(T162*15))</f>
        <v>0x0x0</v>
      </c>
      <c r="W162">
        <f t="shared" si="5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307</v>
      </c>
      <c r="C163" t="s">
        <v>213</v>
      </c>
      <c r="E163" t="s">
        <v>428</v>
      </c>
      <c r="O163" s="4" t="str">
        <f t="shared" si="6"/>
        <v/>
      </c>
      <c r="V163" t="str">
        <f>CONCATENATE(VLOOKUP(W163, 'Voxel Sizes'!$A$2:$B$18,2,FALSE),"x",INT(S163*15), "x", INT(T163*15))</f>
        <v>0x0x0</v>
      </c>
      <c r="W163">
        <f t="shared" si="5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308</v>
      </c>
      <c r="C164" t="s">
        <v>213</v>
      </c>
      <c r="E164" t="s">
        <v>428</v>
      </c>
      <c r="O164" s="4" t="str">
        <f t="shared" si="6"/>
        <v/>
      </c>
      <c r="V164" t="str">
        <f>CONCATENATE(VLOOKUP(W164, 'Voxel Sizes'!$A$2:$B$18,2,FALSE),"x",INT(S164*15), "x", INT(T164*15))</f>
        <v>0x0x0</v>
      </c>
      <c r="W164">
        <f t="shared" si="5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309</v>
      </c>
      <c r="C165" t="s">
        <v>213</v>
      </c>
      <c r="E165" t="s">
        <v>428</v>
      </c>
      <c r="O165" s="4" t="str">
        <f t="shared" si="6"/>
        <v/>
      </c>
      <c r="V165" t="str">
        <f>CONCATENATE(VLOOKUP(W165, 'Voxel Sizes'!$A$2:$B$18,2,FALSE),"x",INT(S165*15), "x", INT(T165*15))</f>
        <v>0x0x0</v>
      </c>
      <c r="W165">
        <f t="shared" si="5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310</v>
      </c>
      <c r="C166" t="s">
        <v>213</v>
      </c>
      <c r="E166" t="s">
        <v>428</v>
      </c>
      <c r="O166" s="4" t="str">
        <f t="shared" si="6"/>
        <v/>
      </c>
      <c r="V166" t="str">
        <f>CONCATENATE(VLOOKUP(W166, 'Voxel Sizes'!$A$2:$B$18,2,FALSE),"x",INT(S166*15), "x", INT(T166*15))</f>
        <v>0x0x0</v>
      </c>
      <c r="W166">
        <f t="shared" si="5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311</v>
      </c>
      <c r="C167" t="s">
        <v>213</v>
      </c>
      <c r="E167" t="s">
        <v>428</v>
      </c>
      <c r="O167" s="4" t="str">
        <f t="shared" si="6"/>
        <v/>
      </c>
      <c r="V167" t="str">
        <f>CONCATENATE(VLOOKUP(W167, 'Voxel Sizes'!$A$2:$B$18,2,FALSE),"x",INT(S167*15), "x", INT(T167*15))</f>
        <v>0x0x0</v>
      </c>
      <c r="W167">
        <f t="shared" si="5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312</v>
      </c>
      <c r="C168" t="s">
        <v>213</v>
      </c>
      <c r="E168" t="s">
        <v>428</v>
      </c>
      <c r="O168" s="4" t="str">
        <f t="shared" si="6"/>
        <v/>
      </c>
      <c r="V168" t="str">
        <f>CONCATENATE(VLOOKUP(W168, 'Voxel Sizes'!$A$2:$B$18,2,FALSE),"x",INT(S168*15), "x", INT(T168*15))</f>
        <v>0x0x0</v>
      </c>
      <c r="W168">
        <f t="shared" si="5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360</v>
      </c>
      <c r="C169" t="s">
        <v>213</v>
      </c>
      <c r="E169" t="s">
        <v>428</v>
      </c>
      <c r="O169" s="4" t="str">
        <f t="shared" si="6"/>
        <v/>
      </c>
      <c r="V169" t="str">
        <f>CONCATENATE(VLOOKUP(W169, 'Voxel Sizes'!$A$2:$B$18,2,FALSE),"x",INT(S169*15), "x", INT(T169*15))</f>
        <v>0x0x0</v>
      </c>
      <c r="W169">
        <f t="shared" si="5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313</v>
      </c>
      <c r="C170" t="s">
        <v>213</v>
      </c>
      <c r="E170" t="s">
        <v>428</v>
      </c>
      <c r="O170" s="4" t="str">
        <f t="shared" si="6"/>
        <v/>
      </c>
      <c r="V170" t="str">
        <f>CONCATENATE(VLOOKUP(W170, 'Voxel Sizes'!$A$2:$B$18,2,FALSE),"x",INT(S170*15), "x", INT(T170*15))</f>
        <v>0x0x0</v>
      </c>
      <c r="W170">
        <f t="shared" si="5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314</v>
      </c>
      <c r="C171" t="s">
        <v>213</v>
      </c>
      <c r="E171" t="s">
        <v>428</v>
      </c>
      <c r="O171" s="4" t="str">
        <f t="shared" si="6"/>
        <v/>
      </c>
      <c r="V171" t="str">
        <f>CONCATENATE(VLOOKUP(W171, 'Voxel Sizes'!$A$2:$B$18,2,FALSE),"x",INT(S171*15), "x", INT(T171*15))</f>
        <v>0x0x0</v>
      </c>
      <c r="W171">
        <f t="shared" si="5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407</v>
      </c>
      <c r="C172" t="s">
        <v>213</v>
      </c>
      <c r="E172" t="s">
        <v>428</v>
      </c>
      <c r="O172" s="4" t="str">
        <f t="shared" si="6"/>
        <v/>
      </c>
      <c r="V172" t="str">
        <f>CONCATENATE(VLOOKUP(W172, 'Voxel Sizes'!$A$2:$B$18,2,FALSE),"x",INT(S172*15), "x", INT(T172*15))</f>
        <v>0x0x0</v>
      </c>
      <c r="W172">
        <f t="shared" si="5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408</v>
      </c>
      <c r="C173" t="s">
        <v>213</v>
      </c>
      <c r="E173" t="s">
        <v>428</v>
      </c>
      <c r="O173" s="4" t="str">
        <f t="shared" si="6"/>
        <v/>
      </c>
      <c r="V173" t="str">
        <f>CONCATENATE(VLOOKUP(W173, 'Voxel Sizes'!$A$2:$B$18,2,FALSE),"x",INT(S173*15), "x", INT(T173*15))</f>
        <v>0x0x0</v>
      </c>
      <c r="W173">
        <f t="shared" si="5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315</v>
      </c>
      <c r="C174" t="s">
        <v>213</v>
      </c>
      <c r="E174" t="s">
        <v>428</v>
      </c>
      <c r="O174" s="4" t="str">
        <f t="shared" si="6"/>
        <v/>
      </c>
      <c r="V174" t="str">
        <f>CONCATENATE(VLOOKUP(W174, 'Voxel Sizes'!$A$2:$B$18,2,FALSE),"x",INT(S174*15), "x", INT(T174*15))</f>
        <v>0x0x0</v>
      </c>
      <c r="W174">
        <f t="shared" si="5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316</v>
      </c>
      <c r="C175" t="s">
        <v>213</v>
      </c>
      <c r="E175" t="s">
        <v>428</v>
      </c>
      <c r="O175" s="4" t="str">
        <f t="shared" si="6"/>
        <v/>
      </c>
      <c r="V175" t="str">
        <f>CONCATENATE(VLOOKUP(W175, 'Voxel Sizes'!$A$2:$B$18,2,FALSE),"x",INT(S175*15), "x", INT(T175*15))</f>
        <v>0x0x0</v>
      </c>
      <c r="W175">
        <f t="shared" si="5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317</v>
      </c>
      <c r="C176" t="s">
        <v>213</v>
      </c>
      <c r="E176" t="s">
        <v>428</v>
      </c>
      <c r="O176" s="4" t="str">
        <f t="shared" si="6"/>
        <v/>
      </c>
      <c r="V176" t="str">
        <f>CONCATENATE(VLOOKUP(W176, 'Voxel Sizes'!$A$2:$B$18,2,FALSE),"x",INT(S176*15), "x", INT(T176*15))</f>
        <v>0x0x0</v>
      </c>
      <c r="W176">
        <f t="shared" si="5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412</v>
      </c>
      <c r="C177" t="s">
        <v>213</v>
      </c>
      <c r="E177" t="s">
        <v>428</v>
      </c>
      <c r="M177">
        <v>9</v>
      </c>
      <c r="O177" s="4" t="str">
        <f t="shared" si="6"/>
        <v/>
      </c>
      <c r="V177" t="str">
        <f>CONCATENATE(VLOOKUP(W177, 'Voxel Sizes'!$A$2:$B$18,2,FALSE),"x",INT(S177*15), "x", INT(T177*15))</f>
        <v>0x0x0</v>
      </c>
      <c r="W177">
        <f t="shared" si="5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411</v>
      </c>
      <c r="C178" t="s">
        <v>435</v>
      </c>
      <c r="E178" t="s">
        <v>428</v>
      </c>
      <c r="F178">
        <v>1956</v>
      </c>
      <c r="K178">
        <v>40</v>
      </c>
      <c r="M178">
        <v>9</v>
      </c>
      <c r="O178" s="4" t="str">
        <f t="shared" si="6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>CONCATENATE(VLOOKUP(W178, 'Voxel Sizes'!$A$2:$B$18,2,FALSE),"x",INT(S178*15), "x", INT(T178*15))</f>
        <v>198x42x56</v>
      </c>
      <c r="W178">
        <f t="shared" si="5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437</v>
      </c>
    </row>
    <row r="179" spans="1:29" x14ac:dyDescent="0.25">
      <c r="A179" t="s">
        <v>164</v>
      </c>
      <c r="B179" t="s">
        <v>413</v>
      </c>
      <c r="C179" t="s">
        <v>213</v>
      </c>
      <c r="E179" t="s">
        <v>428</v>
      </c>
      <c r="O179" s="4" t="str">
        <f t="shared" si="6"/>
        <v/>
      </c>
      <c r="V179" t="str">
        <f>CONCATENATE(VLOOKUP(W179, 'Voxel Sizes'!$A$2:$B$18,2,FALSE),"x",INT(S179*15), "x", INT(T179*15))</f>
        <v>0x0x0</v>
      </c>
      <c r="W179">
        <f t="shared" si="5"/>
        <v>0</v>
      </c>
      <c r="Y179" t="str">
        <f>CONCATENATE(VLOOKUP(W179,'Articulated Lengths'!$A$2:$B$16, 2, FALSE),IF(X179&lt;&gt;"",CONCATENATE(",",VLOOKUP(X179,$B$2:$Y$200,24,FALSE)),""))</f>
        <v>na</v>
      </c>
      <c r="AA179">
        <v>10</v>
      </c>
      <c r="AB179">
        <v>10</v>
      </c>
    </row>
    <row r="180" spans="1:29" x14ac:dyDescent="0.25">
      <c r="A180" t="s">
        <v>165</v>
      </c>
      <c r="B180" t="s">
        <v>414</v>
      </c>
      <c r="C180" t="s">
        <v>213</v>
      </c>
      <c r="E180" t="s">
        <v>428</v>
      </c>
      <c r="O180" s="4" t="str">
        <f t="shared" si="6"/>
        <v/>
      </c>
      <c r="V180" t="str">
        <f>CONCATENATE(VLOOKUP(W180, 'Voxel Sizes'!$A$2:$B$18,2,FALSE),"x",INT(S180*15), "x", INT(T180*15))</f>
        <v>0x0x0</v>
      </c>
      <c r="W180">
        <f t="shared" si="5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318</v>
      </c>
      <c r="C181" t="s">
        <v>213</v>
      </c>
      <c r="E181" t="s">
        <v>428</v>
      </c>
      <c r="O181" s="4" t="str">
        <f t="shared" si="6"/>
        <v/>
      </c>
      <c r="V181" t="str">
        <f>CONCATENATE(VLOOKUP(W181, 'Voxel Sizes'!$A$2:$B$18,2,FALSE),"x",INT(S181*15), "x", INT(T181*15))</f>
        <v>0x0x0</v>
      </c>
      <c r="W181">
        <f t="shared" si="5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319</v>
      </c>
      <c r="C182" t="s">
        <v>213</v>
      </c>
      <c r="E182" t="s">
        <v>428</v>
      </c>
      <c r="O182" s="4" t="str">
        <f t="shared" si="6"/>
        <v/>
      </c>
      <c r="V182" t="str">
        <f>CONCATENATE(VLOOKUP(W182, 'Voxel Sizes'!$A$2:$B$18,2,FALSE),"x",INT(S182*15), "x", INT(T182*15))</f>
        <v>0x0x0</v>
      </c>
      <c r="W182">
        <f t="shared" si="5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320</v>
      </c>
      <c r="C183" t="s">
        <v>213</v>
      </c>
      <c r="E183" t="s">
        <v>428</v>
      </c>
      <c r="O183" s="4" t="str">
        <f t="shared" si="6"/>
        <v/>
      </c>
      <c r="V183" t="str">
        <f>CONCATENATE(VLOOKUP(W183, 'Voxel Sizes'!$A$2:$B$18,2,FALSE),"x",INT(S183*15), "x", INT(T183*15))</f>
        <v>0x0x0</v>
      </c>
      <c r="W183">
        <f t="shared" si="5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433</v>
      </c>
      <c r="C184" t="s">
        <v>435</v>
      </c>
      <c r="E184" t="s">
        <v>458</v>
      </c>
      <c r="F184">
        <v>1800</v>
      </c>
      <c r="K184">
        <v>5</v>
      </c>
      <c r="M184">
        <v>5</v>
      </c>
      <c r="O184" s="4" t="str">
        <f t="shared" si="6"/>
        <v/>
      </c>
      <c r="P184">
        <v>35</v>
      </c>
      <c r="Q184">
        <v>4.9000000000000004</v>
      </c>
      <c r="R184">
        <v>6</v>
      </c>
      <c r="U184">
        <v>21</v>
      </c>
      <c r="V184" t="str">
        <f>CONCATENATE(VLOOKUP(W184, 'Voxel Sizes'!$A$2:$B$18,2,FALSE),"x",INT(S184*15), "x", INT(T184*15))</f>
        <v>68x0x0</v>
      </c>
      <c r="W184">
        <f t="shared" si="5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438</v>
      </c>
    </row>
    <row r="185" spans="1:29" x14ac:dyDescent="0.25">
      <c r="A185" t="s">
        <v>170</v>
      </c>
      <c r="B185" t="s">
        <v>434</v>
      </c>
      <c r="C185" t="s">
        <v>213</v>
      </c>
      <c r="E185" t="s">
        <v>428</v>
      </c>
      <c r="O185" s="4" t="str">
        <f t="shared" si="6"/>
        <v/>
      </c>
      <c r="V185" t="str">
        <f>CONCATENATE(VLOOKUP(W185, 'Voxel Sizes'!$A$2:$B$18,2,FALSE),"x",INT(S185*15), "x", INT(T185*15))</f>
        <v>0x0x0</v>
      </c>
      <c r="W185">
        <f t="shared" si="5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321</v>
      </c>
      <c r="C186" t="s">
        <v>213</v>
      </c>
      <c r="E186" t="s">
        <v>428</v>
      </c>
      <c r="O186" s="4" t="str">
        <f t="shared" si="6"/>
        <v/>
      </c>
      <c r="V186" t="str">
        <f>CONCATENATE(VLOOKUP(W186, 'Voxel Sizes'!$A$2:$B$18,2,FALSE),"x",INT(S186*15), "x", INT(T186*15))</f>
        <v>0x0x0</v>
      </c>
      <c r="W186">
        <f t="shared" si="5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322</v>
      </c>
      <c r="C187" t="s">
        <v>213</v>
      </c>
      <c r="E187" t="s">
        <v>428</v>
      </c>
      <c r="O187" s="4" t="str">
        <f t="shared" si="6"/>
        <v/>
      </c>
      <c r="V187" t="str">
        <f>CONCATENATE(VLOOKUP(W187, 'Voxel Sizes'!$A$2:$B$18,2,FALSE),"x",INT(S187*15), "x", INT(T187*15))</f>
        <v>0x0x0</v>
      </c>
      <c r="W187">
        <f t="shared" si="5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409</v>
      </c>
      <c r="C188" t="s">
        <v>435</v>
      </c>
      <c r="E188" t="s">
        <v>458</v>
      </c>
      <c r="F188">
        <v>1800</v>
      </c>
      <c r="K188">
        <v>5</v>
      </c>
      <c r="M188">
        <v>5</v>
      </c>
      <c r="O188" s="4" t="str">
        <f t="shared" si="6"/>
        <v/>
      </c>
      <c r="P188">
        <v>35</v>
      </c>
      <c r="Q188">
        <v>4.9000000000000004</v>
      </c>
      <c r="R188">
        <v>6</v>
      </c>
      <c r="U188">
        <v>21</v>
      </c>
      <c r="V188" t="str">
        <f>CONCATENATE(VLOOKUP(W188, 'Voxel Sizes'!$A$2:$B$18,2,FALSE),"x",INT(S188*15), "x", INT(T188*15))</f>
        <v>68x0x0</v>
      </c>
      <c r="W188">
        <f t="shared" si="5"/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440</v>
      </c>
    </row>
    <row r="189" spans="1:29" x14ac:dyDescent="0.25">
      <c r="A189" t="s">
        <v>174</v>
      </c>
      <c r="B189" t="s">
        <v>410</v>
      </c>
      <c r="C189" t="s">
        <v>435</v>
      </c>
      <c r="E189" t="s">
        <v>428</v>
      </c>
      <c r="F189">
        <v>1902</v>
      </c>
      <c r="K189">
        <v>5</v>
      </c>
      <c r="M189">
        <v>5</v>
      </c>
      <c r="O189" s="4" t="str">
        <f t="shared" si="6"/>
        <v/>
      </c>
      <c r="P189">
        <v>55</v>
      </c>
      <c r="Q189">
        <v>4.9000000000000004</v>
      </c>
      <c r="R189">
        <v>6</v>
      </c>
      <c r="U189">
        <v>27</v>
      </c>
      <c r="V189" t="str">
        <f>CONCATENATE(VLOOKUP(W189, 'Voxel Sizes'!$A$2:$B$18,2,FALSE),"x",INT(S189*15), "x", INT(T189*15))</f>
        <v>68x0x0</v>
      </c>
      <c r="W189">
        <f t="shared" si="5"/>
        <v>4</v>
      </c>
      <c r="Y189" t="str">
        <f>CONCATENATE(VLOOKUP(W189,'Articulated Lengths'!$A$2:$B$16, 2, FALSE),IF(X189&lt;&gt;"",CONCATENATE(",",VLOOKUP(X189,$B$2:$Y$200,24,FALSE)),""))</f>
        <v>1,2,1</v>
      </c>
      <c r="AA189">
        <v>10</v>
      </c>
      <c r="AB189">
        <v>10</v>
      </c>
      <c r="AC189" t="s">
        <v>440</v>
      </c>
    </row>
    <row r="190" spans="1:29" x14ac:dyDescent="0.25">
      <c r="A190" t="s">
        <v>175</v>
      </c>
      <c r="B190" t="s">
        <v>323</v>
      </c>
      <c r="C190" t="s">
        <v>213</v>
      </c>
      <c r="E190" t="s">
        <v>428</v>
      </c>
      <c r="O190" s="4" t="str">
        <f t="shared" si="6"/>
        <v/>
      </c>
      <c r="V190" t="str">
        <f>CONCATENATE(VLOOKUP(W190, 'Voxel Sizes'!$A$2:$B$18,2,FALSE),"x",INT(S190*15), "x", INT(T190*15))</f>
        <v>0x0x0</v>
      </c>
      <c r="W190">
        <f t="shared" si="5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324</v>
      </c>
      <c r="C191" t="s">
        <v>213</v>
      </c>
      <c r="E191" t="s">
        <v>428</v>
      </c>
      <c r="O191" s="4" t="str">
        <f t="shared" si="6"/>
        <v/>
      </c>
      <c r="V191" t="str">
        <f>CONCATENATE(VLOOKUP(W191, 'Voxel Sizes'!$A$2:$B$18,2,FALSE),"x",INT(S191*15), "x", INT(T191*15))</f>
        <v>0x0x0</v>
      </c>
      <c r="W191">
        <f t="shared" si="5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325</v>
      </c>
      <c r="C192" t="s">
        <v>213</v>
      </c>
      <c r="E192" t="s">
        <v>428</v>
      </c>
      <c r="O192" s="4" t="str">
        <f t="shared" si="6"/>
        <v/>
      </c>
      <c r="V192" t="str">
        <f>CONCATENATE(VLOOKUP(W192, 'Voxel Sizes'!$A$2:$B$18,2,FALSE),"x",INT(S192*15), "x", INT(T192*15))</f>
        <v>0x0x0</v>
      </c>
      <c r="W192">
        <f t="shared" si="5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326</v>
      </c>
      <c r="C193" t="s">
        <v>213</v>
      </c>
      <c r="E193" t="s">
        <v>428</v>
      </c>
      <c r="O193" s="4" t="str">
        <f t="shared" si="6"/>
        <v/>
      </c>
      <c r="V193" t="str">
        <f>CONCATENATE(VLOOKUP(W193, 'Voxel Sizes'!$A$2:$B$18,2,FALSE),"x",INT(S193*15), "x", INT(T193*15))</f>
        <v>0x0x0</v>
      </c>
      <c r="W193">
        <f t="shared" si="5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327</v>
      </c>
      <c r="C194" t="s">
        <v>213</v>
      </c>
      <c r="E194" t="s">
        <v>428</v>
      </c>
      <c r="O194" s="4" t="str">
        <f t="shared" si="6"/>
        <v/>
      </c>
      <c r="V194" t="str">
        <f>CONCATENATE(VLOOKUP(W194, 'Voxel Sizes'!$A$2:$B$18,2,FALSE),"x",INT(S194*15), "x", INT(T194*15))</f>
        <v>0x0x0</v>
      </c>
      <c r="W194">
        <f t="shared" si="5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328</v>
      </c>
      <c r="C195" t="s">
        <v>213</v>
      </c>
      <c r="E195" t="s">
        <v>428</v>
      </c>
      <c r="O195" s="4" t="str">
        <f t="shared" si="6"/>
        <v/>
      </c>
      <c r="V195" t="str">
        <f>CONCATENATE(VLOOKUP(W195, 'Voxel Sizes'!$A$2:$B$18,2,FALSE),"x",INT(S195*15), "x", INT(T195*15))</f>
        <v>0x0x0</v>
      </c>
      <c r="W195">
        <f t="shared" ref="W195:W200" si="7">ROUND(15*((R195*10)/256),0)</f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329</v>
      </c>
      <c r="C196" t="s">
        <v>213</v>
      </c>
      <c r="E196" t="s">
        <v>428</v>
      </c>
      <c r="O196" s="4" t="str">
        <f t="shared" si="6"/>
        <v/>
      </c>
      <c r="V196" t="str">
        <f>CONCATENATE(VLOOKUP(W196, 'Voxel Sizes'!$A$2:$B$18,2,FALSE),"x",INT(S196*15), "x", INT(T196*15))</f>
        <v>0x0x0</v>
      </c>
      <c r="W196">
        <f t="shared" si="7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330</v>
      </c>
      <c r="C197" t="s">
        <v>213</v>
      </c>
      <c r="E197" t="s">
        <v>428</v>
      </c>
      <c r="O197" s="4" t="str">
        <f t="shared" si="6"/>
        <v/>
      </c>
      <c r="V197" t="str">
        <f>CONCATENATE(VLOOKUP(W197, 'Voxel Sizes'!$A$2:$B$18,2,FALSE),"x",INT(S197*15), "x", INT(T197*15))</f>
        <v>0x0x0</v>
      </c>
      <c r="W197">
        <f t="shared" si="7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331</v>
      </c>
      <c r="C198" t="s">
        <v>213</v>
      </c>
      <c r="E198" t="s">
        <v>428</v>
      </c>
      <c r="O198" s="4" t="str">
        <f t="shared" si="6"/>
        <v/>
      </c>
      <c r="V198" t="str">
        <f>CONCATENATE(VLOOKUP(W198, 'Voxel Sizes'!$A$2:$B$18,2,FALSE),"x",INT(S198*15), "x", INT(T198*15))</f>
        <v>0x0x0</v>
      </c>
      <c r="W198">
        <f t="shared" si="7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332</v>
      </c>
      <c r="C199" t="s">
        <v>213</v>
      </c>
      <c r="E199" t="s">
        <v>428</v>
      </c>
      <c r="O199" s="4" t="str">
        <f t="shared" si="6"/>
        <v/>
      </c>
      <c r="V199" t="str">
        <f>CONCATENATE(VLOOKUP(W199, 'Voxel Sizes'!$A$2:$B$18,2,FALSE),"x",INT(S199*15), "x", INT(T199*15))</f>
        <v>0x0x0</v>
      </c>
      <c r="W199">
        <f t="shared" si="7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333</v>
      </c>
      <c r="C200" t="s">
        <v>213</v>
      </c>
      <c r="E200" t="s">
        <v>428</v>
      </c>
      <c r="O200" s="4" t="str">
        <f t="shared" si="6"/>
        <v/>
      </c>
      <c r="V200" t="str">
        <f>CONCATENATE(VLOOKUP(W200, 'Voxel Sizes'!$A$2:$B$18,2,FALSE),"x",INT(S200*15), "x", INT(T200*15))</f>
        <v>0x0x0</v>
      </c>
      <c r="W200">
        <f t="shared" si="7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autoFilter ref="C1:C200" xr:uid="{D34CCCC1-AB37-4E0B-B050-DEA7C9B2F128}"/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/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382</v>
      </c>
      <c r="B1" s="1" t="s">
        <v>383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446</v>
      </c>
    </row>
    <row r="4" spans="1:2" x14ac:dyDescent="0.25">
      <c r="A4">
        <v>4</v>
      </c>
      <c r="B4" t="s">
        <v>384</v>
      </c>
    </row>
    <row r="5" spans="1:2" x14ac:dyDescent="0.25">
      <c r="A5">
        <v>5</v>
      </c>
      <c r="B5" t="s">
        <v>385</v>
      </c>
    </row>
    <row r="6" spans="1:2" x14ac:dyDescent="0.25">
      <c r="A6">
        <v>6</v>
      </c>
      <c r="B6" t="s">
        <v>460</v>
      </c>
    </row>
    <row r="7" spans="1:2" x14ac:dyDescent="0.25">
      <c r="A7">
        <v>7</v>
      </c>
      <c r="B7" t="s">
        <v>386</v>
      </c>
    </row>
    <row r="8" spans="1:2" x14ac:dyDescent="0.25">
      <c r="A8">
        <v>8</v>
      </c>
      <c r="B8" t="s">
        <v>387</v>
      </c>
    </row>
    <row r="9" spans="1:2" x14ac:dyDescent="0.25">
      <c r="A9">
        <v>9</v>
      </c>
      <c r="B9" t="s">
        <v>390</v>
      </c>
    </row>
    <row r="10" spans="1:2" x14ac:dyDescent="0.25">
      <c r="A10">
        <v>10</v>
      </c>
      <c r="B10" t="s">
        <v>388</v>
      </c>
    </row>
    <row r="11" spans="1:2" x14ac:dyDescent="0.25">
      <c r="A11">
        <v>11</v>
      </c>
      <c r="B11" t="s">
        <v>389</v>
      </c>
    </row>
    <row r="12" spans="1:2" x14ac:dyDescent="0.25">
      <c r="A12">
        <v>12</v>
      </c>
      <c r="B12" t="s">
        <v>391</v>
      </c>
    </row>
    <row r="13" spans="1:2" x14ac:dyDescent="0.25">
      <c r="A13">
        <v>13</v>
      </c>
      <c r="B13" t="s">
        <v>392</v>
      </c>
    </row>
    <row r="14" spans="1:2" x14ac:dyDescent="0.25">
      <c r="A14">
        <v>14</v>
      </c>
      <c r="B14" t="s">
        <v>393</v>
      </c>
    </row>
    <row r="15" spans="1:2" x14ac:dyDescent="0.25">
      <c r="A15">
        <v>15</v>
      </c>
      <c r="B15" t="s">
        <v>394</v>
      </c>
    </row>
    <row r="16" spans="1:2" x14ac:dyDescent="0.25">
      <c r="A16">
        <v>16</v>
      </c>
      <c r="B16" t="s">
        <v>395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dimension ref="A1:E18"/>
  <sheetViews>
    <sheetView workbookViewId="0">
      <selection activeCell="E14" sqref="E14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  <col min="5" max="5" width="18.28515625" bestFit="1" customWidth="1"/>
  </cols>
  <sheetData>
    <row r="1" spans="1:5" x14ac:dyDescent="0.25">
      <c r="A1" s="1" t="s">
        <v>453</v>
      </c>
      <c r="B1" s="1" t="s">
        <v>454</v>
      </c>
      <c r="C1" s="1" t="s">
        <v>456</v>
      </c>
      <c r="D1" s="1" t="s">
        <v>457</v>
      </c>
      <c r="E1" s="1" t="s">
        <v>455</v>
      </c>
    </row>
    <row r="2" spans="1:5" x14ac:dyDescent="0.25">
      <c r="A2">
        <v>0</v>
      </c>
      <c r="B2">
        <f>IF(D2,D2,C2)</f>
        <v>0</v>
      </c>
      <c r="C2">
        <f>INT(A2*(256/15))</f>
        <v>0</v>
      </c>
      <c r="D2" s="1"/>
      <c r="E2" s="1"/>
    </row>
    <row r="3" spans="1:5" x14ac:dyDescent="0.25">
      <c r="A3">
        <v>1</v>
      </c>
      <c r="B3">
        <f>IF(D3,D3,C3)</f>
        <v>17</v>
      </c>
      <c r="C3">
        <f>INT(A3*(256/15))</f>
        <v>17</v>
      </c>
    </row>
    <row r="4" spans="1:5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5" x14ac:dyDescent="0.25">
      <c r="A5">
        <v>3</v>
      </c>
      <c r="B5">
        <f t="shared" si="0"/>
        <v>51</v>
      </c>
      <c r="C5">
        <f t="shared" si="1"/>
        <v>51</v>
      </c>
    </row>
    <row r="6" spans="1:5" x14ac:dyDescent="0.25">
      <c r="A6">
        <v>4</v>
      </c>
      <c r="B6">
        <f t="shared" si="0"/>
        <v>68</v>
      </c>
      <c r="C6">
        <f t="shared" si="1"/>
        <v>68</v>
      </c>
    </row>
    <row r="7" spans="1:5" x14ac:dyDescent="0.25">
      <c r="A7">
        <v>5</v>
      </c>
      <c r="B7">
        <f t="shared" si="0"/>
        <v>92</v>
      </c>
      <c r="C7">
        <f t="shared" si="1"/>
        <v>85</v>
      </c>
      <c r="D7">
        <v>92</v>
      </c>
      <c r="E7">
        <v>148</v>
      </c>
    </row>
    <row r="8" spans="1:5" x14ac:dyDescent="0.25">
      <c r="A8">
        <v>6</v>
      </c>
      <c r="B8">
        <f t="shared" si="0"/>
        <v>106</v>
      </c>
      <c r="C8">
        <f t="shared" si="1"/>
        <v>102</v>
      </c>
      <c r="D8">
        <v>106</v>
      </c>
      <c r="E8">
        <v>132</v>
      </c>
    </row>
    <row r="9" spans="1:5" x14ac:dyDescent="0.25">
      <c r="A9">
        <v>7</v>
      </c>
      <c r="B9">
        <f t="shared" si="0"/>
        <v>120</v>
      </c>
      <c r="C9">
        <f t="shared" si="1"/>
        <v>119</v>
      </c>
      <c r="D9">
        <v>120</v>
      </c>
      <c r="E9">
        <v>154</v>
      </c>
    </row>
    <row r="10" spans="1:5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  <c r="E10">
        <v>168</v>
      </c>
    </row>
    <row r="11" spans="1:5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  <c r="E11">
        <v>186</v>
      </c>
    </row>
    <row r="12" spans="1:5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  <c r="E12">
        <v>172</v>
      </c>
    </row>
    <row r="13" spans="1:5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5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5" x14ac:dyDescent="0.25">
      <c r="A15">
        <v>13</v>
      </c>
      <c r="B15">
        <f t="shared" si="0"/>
        <v>221</v>
      </c>
      <c r="C15">
        <f t="shared" si="1"/>
        <v>221</v>
      </c>
    </row>
    <row r="16" spans="1:5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Articulated Lengths</vt:lpstr>
      <vt:lpstr>Voxel 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 Kimber</cp:lastModifiedBy>
  <dcterms:created xsi:type="dcterms:W3CDTF">2018-09-29T15:27:54Z</dcterms:created>
  <dcterms:modified xsi:type="dcterms:W3CDTF">2020-06-09T18:45:51Z</dcterms:modified>
</cp:coreProperties>
</file>