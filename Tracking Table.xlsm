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4C0FD8D2-D67C-465E-B7F4-DF43EA1477F3}" xr6:coauthVersionLast="45" xr6:coauthVersionMax="45" xr10:uidLastSave="{00000000-0000-0000-0000-000000000000}"/>
  <bookViews>
    <workbookView xWindow="-120" yWindow="-120" windowWidth="29040" windowHeight="15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5" i="1" l="1"/>
  <c r="O25" i="1"/>
  <c r="Q25" i="1" s="1"/>
  <c r="O42" i="1"/>
  <c r="Q42" i="1" s="1"/>
  <c r="Q28" i="1"/>
  <c r="O28" i="1"/>
  <c r="Q71" i="1"/>
  <c r="O71" i="1"/>
  <c r="B4" i="4" l="1"/>
  <c r="B5" i="4"/>
  <c r="B6" i="4"/>
  <c r="B7" i="4"/>
  <c r="B8" i="4"/>
  <c r="B9" i="4"/>
  <c r="B10" i="4"/>
  <c r="B11" i="4"/>
  <c r="B12" i="4"/>
  <c r="B13" i="4"/>
  <c r="B14" i="4"/>
  <c r="B15" i="4"/>
  <c r="B3" i="4"/>
  <c r="AL17" i="1"/>
  <c r="AN17" i="1" s="1"/>
  <c r="AL18" i="1"/>
  <c r="AN18" i="1" s="1"/>
  <c r="AL19" i="1"/>
  <c r="AN19" i="1" s="1"/>
  <c r="AL20" i="1"/>
  <c r="AN20" i="1" s="1"/>
  <c r="AL21" i="1"/>
  <c r="AN21" i="1" s="1"/>
  <c r="AL22" i="1"/>
  <c r="AN22" i="1" s="1"/>
  <c r="AL23" i="1"/>
  <c r="AN23" i="1" s="1"/>
  <c r="AL24" i="1"/>
  <c r="AN24" i="1" s="1"/>
  <c r="AL25" i="1"/>
  <c r="AN25" i="1" s="1"/>
  <c r="AL26" i="1"/>
  <c r="AN26" i="1" s="1"/>
  <c r="AL27" i="1"/>
  <c r="AN27" i="1" s="1"/>
  <c r="AL28" i="1"/>
  <c r="AN28" i="1" s="1"/>
  <c r="AL29" i="1"/>
  <c r="AN29" i="1" s="1"/>
  <c r="AL30" i="1"/>
  <c r="AN30" i="1" s="1"/>
  <c r="AL31" i="1"/>
  <c r="AN31" i="1" s="1"/>
  <c r="AL32" i="1"/>
  <c r="AN32" i="1" s="1"/>
  <c r="AL33" i="1"/>
  <c r="AN33" i="1" s="1"/>
  <c r="AL34" i="1"/>
  <c r="AN34" i="1" s="1"/>
  <c r="AL35" i="1"/>
  <c r="AN35" i="1" s="1"/>
  <c r="AL36" i="1"/>
  <c r="AN36" i="1" s="1"/>
  <c r="AL37" i="1"/>
  <c r="AN37" i="1" s="1"/>
  <c r="AL38" i="1"/>
  <c r="AN38" i="1" s="1"/>
  <c r="AL39" i="1"/>
  <c r="AN39" i="1" s="1"/>
  <c r="AL40" i="1"/>
  <c r="AN40" i="1" s="1"/>
  <c r="AL41" i="1"/>
  <c r="AN41" i="1" s="1"/>
  <c r="AL42" i="1"/>
  <c r="AN42" i="1" s="1"/>
  <c r="AL43" i="1"/>
  <c r="AN43" i="1" s="1"/>
  <c r="AL44" i="1"/>
  <c r="AN44" i="1" s="1"/>
  <c r="AL45" i="1"/>
  <c r="AN45" i="1" s="1"/>
  <c r="AL46" i="1"/>
  <c r="AN46" i="1" s="1"/>
  <c r="AL47" i="1"/>
  <c r="AN47" i="1" s="1"/>
  <c r="AL48" i="1"/>
  <c r="AN48" i="1" s="1"/>
  <c r="AL49" i="1"/>
  <c r="AN49" i="1" s="1"/>
  <c r="AL50" i="1"/>
  <c r="AN50" i="1" s="1"/>
  <c r="AL51" i="1"/>
  <c r="AN51" i="1" s="1"/>
  <c r="AL52" i="1"/>
  <c r="AN52" i="1" s="1"/>
  <c r="AL53" i="1"/>
  <c r="AN53" i="1" s="1"/>
  <c r="AL54" i="1"/>
  <c r="AN54" i="1" s="1"/>
  <c r="AL55" i="1"/>
  <c r="AN55" i="1" s="1"/>
  <c r="AL56" i="1"/>
  <c r="AN56" i="1" s="1"/>
  <c r="AL57" i="1"/>
  <c r="AN57" i="1" s="1"/>
  <c r="AL58" i="1"/>
  <c r="AN58" i="1" s="1"/>
  <c r="AL59" i="1"/>
  <c r="AN59" i="1" s="1"/>
  <c r="AL60" i="1"/>
  <c r="AN60" i="1" s="1"/>
  <c r="AL61" i="1"/>
  <c r="AN61" i="1" s="1"/>
  <c r="AL62" i="1"/>
  <c r="AN62" i="1" s="1"/>
  <c r="AL63" i="1"/>
  <c r="AN63" i="1" s="1"/>
  <c r="AL64" i="1"/>
  <c r="AN64" i="1" s="1"/>
  <c r="AL65" i="1"/>
  <c r="AN65" i="1" s="1"/>
  <c r="AL66" i="1"/>
  <c r="AN66" i="1" s="1"/>
  <c r="AL67" i="1"/>
  <c r="AN67" i="1" s="1"/>
  <c r="AL68" i="1"/>
  <c r="AN68" i="1" s="1"/>
  <c r="AL69" i="1"/>
  <c r="AN69" i="1" s="1"/>
  <c r="AL70" i="1"/>
  <c r="AN70" i="1" s="1"/>
  <c r="AL71" i="1"/>
  <c r="AN71" i="1" s="1"/>
  <c r="AL72" i="1"/>
  <c r="AN72" i="1" s="1"/>
  <c r="AL73" i="1"/>
  <c r="AN73" i="1" s="1"/>
  <c r="AL74" i="1"/>
  <c r="AN74" i="1" s="1"/>
  <c r="AL75" i="1"/>
  <c r="AN75" i="1" s="1"/>
  <c r="AL76" i="1"/>
  <c r="AN76" i="1" s="1"/>
  <c r="AL77" i="1"/>
  <c r="AN77" i="1" s="1"/>
  <c r="AL78" i="1"/>
  <c r="AN78" i="1" s="1"/>
  <c r="AL79" i="1"/>
  <c r="AN79" i="1" s="1"/>
  <c r="AL80" i="1"/>
  <c r="AN80" i="1" s="1"/>
  <c r="AL81" i="1"/>
  <c r="AN81" i="1" s="1"/>
  <c r="AL82" i="1"/>
  <c r="AN82" i="1" s="1"/>
  <c r="AL83" i="1"/>
  <c r="AN83" i="1" s="1"/>
  <c r="AL84" i="1"/>
  <c r="AN84" i="1" s="1"/>
  <c r="AL85" i="1"/>
  <c r="AN85" i="1" s="1"/>
  <c r="AL86" i="1"/>
  <c r="AN86" i="1" s="1"/>
  <c r="AL87" i="1"/>
  <c r="AN87" i="1" s="1"/>
  <c r="AL88" i="1"/>
  <c r="AN88" i="1" s="1"/>
  <c r="AL89" i="1"/>
  <c r="AN89" i="1" s="1"/>
  <c r="AL90" i="1"/>
  <c r="AN90" i="1" s="1"/>
  <c r="AL91" i="1"/>
  <c r="AN91" i="1" s="1"/>
  <c r="AL92" i="1"/>
  <c r="AN92" i="1" s="1"/>
  <c r="AL93" i="1"/>
  <c r="AN93" i="1" s="1"/>
  <c r="AL94" i="1"/>
  <c r="AN94" i="1" s="1"/>
  <c r="AL95" i="1"/>
  <c r="AN95" i="1" s="1"/>
  <c r="AL96" i="1"/>
  <c r="AN96" i="1" s="1"/>
  <c r="AL97" i="1"/>
  <c r="AN97" i="1" s="1"/>
  <c r="AL98" i="1"/>
  <c r="AN98" i="1" s="1"/>
  <c r="AL99" i="1"/>
  <c r="AN99" i="1" s="1"/>
  <c r="AL100" i="1"/>
  <c r="AN100" i="1" s="1"/>
  <c r="AL101" i="1"/>
  <c r="AN101" i="1" s="1"/>
  <c r="AL102" i="1"/>
  <c r="AN102" i="1" s="1"/>
  <c r="AL103" i="1"/>
  <c r="AN103" i="1" s="1"/>
  <c r="AL104" i="1"/>
  <c r="AN104" i="1" s="1"/>
  <c r="AL105" i="1"/>
  <c r="AN105" i="1" s="1"/>
  <c r="AL106" i="1"/>
  <c r="AN106" i="1" s="1"/>
  <c r="AL107" i="1"/>
  <c r="AN107" i="1" s="1"/>
  <c r="AL108" i="1"/>
  <c r="AN108" i="1" s="1"/>
  <c r="AL109" i="1"/>
  <c r="AN109" i="1" s="1"/>
  <c r="AL110" i="1"/>
  <c r="AN110" i="1" s="1"/>
  <c r="AL111" i="1"/>
  <c r="AN111" i="1" s="1"/>
  <c r="AL112" i="1"/>
  <c r="AN112" i="1" s="1"/>
  <c r="AL113" i="1"/>
  <c r="AN113" i="1" s="1"/>
  <c r="AL114" i="1"/>
  <c r="AN114" i="1" s="1"/>
  <c r="AL115" i="1"/>
  <c r="AN115" i="1" s="1"/>
  <c r="AL116" i="1"/>
  <c r="AN116" i="1" s="1"/>
  <c r="AL117" i="1"/>
  <c r="AN117" i="1" s="1"/>
  <c r="AL118" i="1"/>
  <c r="AN118" i="1" s="1"/>
  <c r="AL119" i="1"/>
  <c r="AN119" i="1" s="1"/>
  <c r="AL120" i="1"/>
  <c r="AN120" i="1" s="1"/>
  <c r="AL121" i="1"/>
  <c r="AN121" i="1" s="1"/>
  <c r="AL122" i="1"/>
  <c r="AN122" i="1" s="1"/>
  <c r="AL123" i="1"/>
  <c r="AN123" i="1" s="1"/>
  <c r="AL124" i="1"/>
  <c r="AN124" i="1" s="1"/>
  <c r="AL125" i="1"/>
  <c r="AN125" i="1" s="1"/>
  <c r="AL126" i="1"/>
  <c r="AN126" i="1" s="1"/>
  <c r="AL127" i="1"/>
  <c r="AN127" i="1" s="1"/>
  <c r="AL128" i="1"/>
  <c r="AN128" i="1" s="1"/>
  <c r="AL129" i="1"/>
  <c r="AN129" i="1" s="1"/>
  <c r="AL130" i="1"/>
  <c r="AN130" i="1" s="1"/>
  <c r="AL131" i="1"/>
  <c r="AN131" i="1" s="1"/>
  <c r="AL132" i="1"/>
  <c r="AN132" i="1" s="1"/>
  <c r="AL133" i="1"/>
  <c r="AN133" i="1" s="1"/>
  <c r="AL134" i="1"/>
  <c r="AN134" i="1" s="1"/>
  <c r="AL135" i="1"/>
  <c r="AN135" i="1" s="1"/>
  <c r="AL136" i="1"/>
  <c r="AN136" i="1" s="1"/>
  <c r="AL137" i="1"/>
  <c r="AN137" i="1" s="1"/>
  <c r="AL138" i="1"/>
  <c r="AN138" i="1" s="1"/>
  <c r="AL139" i="1"/>
  <c r="AN139" i="1" s="1"/>
  <c r="AL140" i="1"/>
  <c r="AN140" i="1" s="1"/>
  <c r="AL141" i="1"/>
  <c r="AN141" i="1" s="1"/>
  <c r="AL142" i="1"/>
  <c r="AN142" i="1" s="1"/>
  <c r="AL143" i="1"/>
  <c r="AN143" i="1" s="1"/>
  <c r="AL144" i="1"/>
  <c r="AN144" i="1" s="1"/>
  <c r="AL145" i="1"/>
  <c r="AN145" i="1" s="1"/>
  <c r="AL146" i="1"/>
  <c r="AN146" i="1" s="1"/>
  <c r="AL147" i="1"/>
  <c r="AN147" i="1" s="1"/>
  <c r="AL148" i="1"/>
  <c r="AN148" i="1" s="1"/>
  <c r="AL149" i="1"/>
  <c r="AN149" i="1" s="1"/>
  <c r="AL150" i="1"/>
  <c r="AN150" i="1" s="1"/>
  <c r="AL151" i="1"/>
  <c r="AN151" i="1" s="1"/>
  <c r="AL152" i="1"/>
  <c r="AN152" i="1" s="1"/>
  <c r="AL153" i="1"/>
  <c r="AN153" i="1" s="1"/>
  <c r="AL154" i="1"/>
  <c r="AN154" i="1" s="1"/>
  <c r="AL155" i="1"/>
  <c r="AN155" i="1" s="1"/>
  <c r="AL156" i="1"/>
  <c r="AN156" i="1" s="1"/>
  <c r="AL157" i="1"/>
  <c r="AN157" i="1" s="1"/>
  <c r="AL158" i="1"/>
  <c r="AN158" i="1" s="1"/>
  <c r="AL159" i="1"/>
  <c r="AN159" i="1" s="1"/>
  <c r="AL160" i="1"/>
  <c r="AN160" i="1" s="1"/>
  <c r="AL161" i="1"/>
  <c r="AN161" i="1" s="1"/>
  <c r="AL162" i="1"/>
  <c r="AN162" i="1" s="1"/>
  <c r="AL163" i="1"/>
  <c r="AN163" i="1" s="1"/>
  <c r="AL164" i="1"/>
  <c r="AN164" i="1" s="1"/>
  <c r="AL165" i="1"/>
  <c r="AN165" i="1" s="1"/>
  <c r="AL166" i="1"/>
  <c r="AN166" i="1" s="1"/>
  <c r="AL167" i="1"/>
  <c r="AN167" i="1" s="1"/>
  <c r="AL168" i="1"/>
  <c r="AN168" i="1" s="1"/>
  <c r="AL169" i="1"/>
  <c r="AN169" i="1" s="1"/>
  <c r="AL170" i="1"/>
  <c r="AN170" i="1" s="1"/>
  <c r="AL171" i="1"/>
  <c r="AN171" i="1" s="1"/>
  <c r="AL172" i="1"/>
  <c r="AN172" i="1" s="1"/>
  <c r="AL173" i="1"/>
  <c r="AN173" i="1" s="1"/>
  <c r="AL174" i="1"/>
  <c r="AN174" i="1" s="1"/>
  <c r="AL175" i="1"/>
  <c r="AN175" i="1" s="1"/>
  <c r="AL176" i="1"/>
  <c r="AN176" i="1" s="1"/>
  <c r="AL177" i="1"/>
  <c r="AN177" i="1" s="1"/>
  <c r="AL178" i="1"/>
  <c r="AN178" i="1" s="1"/>
  <c r="AL179" i="1"/>
  <c r="AN179" i="1" s="1"/>
  <c r="AL180" i="1"/>
  <c r="AN180" i="1" s="1"/>
  <c r="AL181" i="1"/>
  <c r="AN181" i="1" s="1"/>
  <c r="AL182" i="1"/>
  <c r="AN182" i="1" s="1"/>
  <c r="AL183" i="1"/>
  <c r="AN183" i="1" s="1"/>
  <c r="AL184" i="1"/>
  <c r="AN184" i="1" s="1"/>
  <c r="AL185" i="1"/>
  <c r="AN185" i="1" s="1"/>
  <c r="AL186" i="1"/>
  <c r="AN186" i="1" s="1"/>
  <c r="AL187" i="1"/>
  <c r="AN187" i="1" s="1"/>
  <c r="AL188" i="1"/>
  <c r="AN188" i="1" s="1"/>
  <c r="AL189" i="1"/>
  <c r="AN189" i="1" s="1"/>
  <c r="AL190" i="1"/>
  <c r="AN190" i="1" s="1"/>
  <c r="AL191" i="1"/>
  <c r="AN191" i="1" s="1"/>
  <c r="AL192" i="1"/>
  <c r="AN192" i="1" s="1"/>
  <c r="AL193" i="1"/>
  <c r="AN193" i="1" s="1"/>
  <c r="AL194" i="1"/>
  <c r="AN194" i="1" s="1"/>
  <c r="AL195" i="1"/>
  <c r="AN195" i="1" s="1"/>
  <c r="AL196" i="1"/>
  <c r="AN196" i="1" s="1"/>
  <c r="AL197" i="1"/>
  <c r="AN197" i="1" s="1"/>
  <c r="AL198" i="1"/>
  <c r="AN198" i="1" s="1"/>
  <c r="AL199" i="1"/>
  <c r="AN199" i="1" s="1"/>
  <c r="AL200" i="1"/>
  <c r="AN200" i="1" s="1"/>
  <c r="AL201" i="1"/>
  <c r="AN201" i="1" s="1"/>
  <c r="AL3" i="1"/>
  <c r="AN3" i="1" s="1"/>
  <c r="AL4" i="1"/>
  <c r="AN4" i="1" s="1"/>
  <c r="AL5" i="1"/>
  <c r="AN5" i="1" s="1"/>
  <c r="AL6" i="1"/>
  <c r="AN6" i="1" s="1"/>
  <c r="AL7" i="1"/>
  <c r="AN7" i="1" s="1"/>
  <c r="AL8" i="1"/>
  <c r="AN8" i="1" s="1"/>
  <c r="AL9" i="1"/>
  <c r="AN9" i="1" s="1"/>
  <c r="AL10" i="1"/>
  <c r="AN10" i="1" s="1"/>
  <c r="AL11" i="1"/>
  <c r="AN11" i="1" s="1"/>
  <c r="AL12" i="1"/>
  <c r="AN12" i="1" s="1"/>
  <c r="AL13" i="1"/>
  <c r="AN13" i="1" s="1"/>
  <c r="AL14" i="1"/>
  <c r="AN14" i="1" s="1"/>
  <c r="AL15" i="1"/>
  <c r="AN15" i="1" s="1"/>
  <c r="AL16" i="1"/>
  <c r="AN16" i="1" s="1"/>
  <c r="AL2" i="1"/>
  <c r="AN2" i="1" s="1"/>
  <c r="D15" i="4" l="1"/>
  <c r="D11" i="4"/>
  <c r="D7" i="4"/>
  <c r="D3" i="4"/>
  <c r="D14" i="4"/>
  <c r="D10" i="4"/>
  <c r="D6" i="4"/>
  <c r="D9" i="4"/>
  <c r="D5" i="4"/>
  <c r="D12" i="4"/>
  <c r="D4" i="4"/>
  <c r="D13" i="4"/>
  <c r="D8" i="4"/>
  <c r="C4" i="4"/>
  <c r="H4" i="4"/>
  <c r="L4" i="4"/>
  <c r="P4" i="4"/>
  <c r="T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F14" i="4"/>
  <c r="J14" i="4"/>
  <c r="N14" i="4"/>
  <c r="R14" i="4"/>
  <c r="V14" i="4"/>
  <c r="G15" i="4"/>
  <c r="K15" i="4"/>
  <c r="O15" i="4"/>
  <c r="S15" i="4"/>
  <c r="E3" i="4"/>
  <c r="I3" i="4"/>
  <c r="M3" i="4"/>
  <c r="Q3" i="4"/>
  <c r="U3" i="4"/>
  <c r="E4" i="4"/>
  <c r="I4" i="4"/>
  <c r="M4" i="4"/>
  <c r="Q4" i="4"/>
  <c r="U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G14" i="4"/>
  <c r="K14" i="4"/>
  <c r="O14" i="4"/>
  <c r="S14" i="4"/>
  <c r="C15" i="4"/>
  <c r="H15" i="4"/>
  <c r="L15" i="4"/>
  <c r="P15" i="4"/>
  <c r="T15" i="4"/>
  <c r="F3" i="4"/>
  <c r="J3" i="4"/>
  <c r="N3" i="4"/>
  <c r="R3" i="4"/>
  <c r="V3" i="4"/>
  <c r="F4" i="4"/>
  <c r="J4" i="4"/>
  <c r="N4" i="4"/>
  <c r="R4" i="4"/>
  <c r="V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C14" i="4"/>
  <c r="H14" i="4"/>
  <c r="L14" i="4"/>
  <c r="P14" i="4"/>
  <c r="T14" i="4"/>
  <c r="E15" i="4"/>
  <c r="I15" i="4"/>
  <c r="M15" i="4"/>
  <c r="Q15" i="4"/>
  <c r="U15" i="4"/>
  <c r="G3" i="4"/>
  <c r="K3" i="4"/>
  <c r="O3" i="4"/>
  <c r="S3" i="4"/>
  <c r="C3" i="4"/>
  <c r="G4" i="4"/>
  <c r="K4" i="4"/>
  <c r="O4" i="4"/>
  <c r="S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E14" i="4"/>
  <c r="I14" i="4"/>
  <c r="M14" i="4"/>
  <c r="Q14" i="4"/>
  <c r="U14" i="4"/>
  <c r="F15" i="4"/>
  <c r="J15" i="4"/>
  <c r="N15" i="4"/>
  <c r="R15" i="4"/>
  <c r="V15" i="4"/>
  <c r="T3" i="4"/>
  <c r="H3" i="4"/>
  <c r="L3" i="4"/>
  <c r="P3" i="4"/>
  <c r="Y25" i="1"/>
  <c r="AD4" i="1"/>
  <c r="AF4" i="1" l="1"/>
  <c r="C2" i="3"/>
  <c r="B2" i="3" s="1"/>
  <c r="B7" i="3"/>
  <c r="B8" i="3"/>
  <c r="B9" i="3"/>
  <c r="B10" i="3"/>
  <c r="B11" i="3"/>
  <c r="B12" i="3"/>
  <c r="B13" i="3"/>
  <c r="B14" i="3"/>
  <c r="C4" i="3"/>
  <c r="B4" i="3" s="1"/>
  <c r="C5" i="3"/>
  <c r="B5" i="3" s="1"/>
  <c r="C6" i="3"/>
  <c r="B6" i="3" s="1"/>
  <c r="AC4" i="1" s="1"/>
  <c r="C7" i="3"/>
  <c r="C8" i="3"/>
  <c r="C9" i="3"/>
  <c r="C10" i="3"/>
  <c r="C11" i="3"/>
  <c r="C12" i="3"/>
  <c r="C13" i="3"/>
  <c r="C14" i="3"/>
  <c r="C15" i="3"/>
  <c r="B15" i="3" s="1"/>
  <c r="C16" i="3"/>
  <c r="B16" i="3" s="1"/>
  <c r="C17" i="3"/>
  <c r="B17" i="3" s="1"/>
  <c r="C18" i="3"/>
  <c r="B18" i="3" s="1"/>
  <c r="C3" i="3"/>
  <c r="B3" i="3" s="1"/>
  <c r="AD76" i="1" l="1"/>
  <c r="AC76" i="1" s="1"/>
  <c r="AD77" i="1"/>
  <c r="AC77" i="1" s="1"/>
  <c r="AD3" i="1"/>
  <c r="AC3" i="1" s="1"/>
  <c r="AD5" i="1"/>
  <c r="AC5" i="1" s="1"/>
  <c r="AD6" i="1"/>
  <c r="AC6" i="1" s="1"/>
  <c r="AD7" i="1"/>
  <c r="AC7" i="1" s="1"/>
  <c r="AD8" i="1"/>
  <c r="AC8" i="1" s="1"/>
  <c r="AD9" i="1"/>
  <c r="AC9" i="1" s="1"/>
  <c r="AD10" i="1"/>
  <c r="AC10" i="1" s="1"/>
  <c r="AD11" i="1"/>
  <c r="AC11" i="1" s="1"/>
  <c r="AD12" i="1"/>
  <c r="AC12" i="1" s="1"/>
  <c r="AD13" i="1"/>
  <c r="AC13" i="1" s="1"/>
  <c r="AD14" i="1"/>
  <c r="AC14" i="1" s="1"/>
  <c r="AD15" i="1"/>
  <c r="AC15" i="1" s="1"/>
  <c r="AD16" i="1"/>
  <c r="AC16" i="1" s="1"/>
  <c r="AD17" i="1"/>
  <c r="AC17" i="1" s="1"/>
  <c r="AD18" i="1"/>
  <c r="AC18" i="1" s="1"/>
  <c r="AD19" i="1"/>
  <c r="AC19" i="1" s="1"/>
  <c r="AD20" i="1"/>
  <c r="AC20" i="1" s="1"/>
  <c r="AD21" i="1"/>
  <c r="AC21" i="1" s="1"/>
  <c r="AD22" i="1"/>
  <c r="AC22" i="1" s="1"/>
  <c r="AD23" i="1"/>
  <c r="AC23" i="1" s="1"/>
  <c r="AD24" i="1"/>
  <c r="AC24" i="1" s="1"/>
  <c r="AD25" i="1"/>
  <c r="AC25" i="1" s="1"/>
  <c r="AD26" i="1"/>
  <c r="AC26" i="1" s="1"/>
  <c r="AD27" i="1"/>
  <c r="AC27" i="1" s="1"/>
  <c r="AD28" i="1"/>
  <c r="AC28" i="1" s="1"/>
  <c r="AD29" i="1"/>
  <c r="AC29" i="1" s="1"/>
  <c r="AD30" i="1"/>
  <c r="AC30" i="1" s="1"/>
  <c r="AD31" i="1"/>
  <c r="AC31" i="1" s="1"/>
  <c r="AD32" i="1"/>
  <c r="AC32" i="1" s="1"/>
  <c r="AD33" i="1"/>
  <c r="AC33" i="1" s="1"/>
  <c r="AD34" i="1"/>
  <c r="AC34" i="1" s="1"/>
  <c r="AD35" i="1"/>
  <c r="AC35" i="1" s="1"/>
  <c r="AD36" i="1"/>
  <c r="AC36" i="1" s="1"/>
  <c r="AD37" i="1"/>
  <c r="AC37" i="1" s="1"/>
  <c r="AD38" i="1"/>
  <c r="AC38" i="1" s="1"/>
  <c r="AD39" i="1"/>
  <c r="AC39" i="1" s="1"/>
  <c r="AD40" i="1"/>
  <c r="AC40" i="1" s="1"/>
  <c r="AD41" i="1"/>
  <c r="AC41" i="1" s="1"/>
  <c r="AD42" i="1"/>
  <c r="AC42" i="1" s="1"/>
  <c r="AD43" i="1"/>
  <c r="AC43" i="1" s="1"/>
  <c r="AD44" i="1"/>
  <c r="AC44" i="1" s="1"/>
  <c r="AD45" i="1"/>
  <c r="AC45" i="1" s="1"/>
  <c r="AD46" i="1"/>
  <c r="AC46" i="1" s="1"/>
  <c r="AD47" i="1"/>
  <c r="AC47" i="1" s="1"/>
  <c r="AD48" i="1"/>
  <c r="AC48" i="1" s="1"/>
  <c r="AD49" i="1"/>
  <c r="AC49" i="1" s="1"/>
  <c r="AD50" i="1"/>
  <c r="AC50" i="1" s="1"/>
  <c r="AD51" i="1"/>
  <c r="AC51" i="1" s="1"/>
  <c r="AD52" i="1"/>
  <c r="AC52" i="1" s="1"/>
  <c r="AD53" i="1"/>
  <c r="AC53" i="1" s="1"/>
  <c r="AD54" i="1"/>
  <c r="AC54" i="1" s="1"/>
  <c r="AD55" i="1"/>
  <c r="AC55" i="1" s="1"/>
  <c r="AD56" i="1"/>
  <c r="AC56" i="1" s="1"/>
  <c r="AD57" i="1"/>
  <c r="AC57" i="1" s="1"/>
  <c r="AD58" i="1"/>
  <c r="AC58" i="1" s="1"/>
  <c r="AD59" i="1"/>
  <c r="AC59" i="1" s="1"/>
  <c r="AD60" i="1"/>
  <c r="AC60" i="1" s="1"/>
  <c r="AD61" i="1"/>
  <c r="AC61" i="1" s="1"/>
  <c r="AD62" i="1"/>
  <c r="AC62" i="1" s="1"/>
  <c r="AD63" i="1"/>
  <c r="AC63" i="1" s="1"/>
  <c r="AD64" i="1"/>
  <c r="AC64" i="1" s="1"/>
  <c r="AD65" i="1"/>
  <c r="AC65" i="1" s="1"/>
  <c r="AD66" i="1"/>
  <c r="AC66" i="1" s="1"/>
  <c r="AD67" i="1"/>
  <c r="AC67" i="1" s="1"/>
  <c r="AD68" i="1"/>
  <c r="AC68" i="1" s="1"/>
  <c r="AD69" i="1"/>
  <c r="AC69" i="1" s="1"/>
  <c r="AD70" i="1"/>
  <c r="AC70" i="1" s="1"/>
  <c r="AD71" i="1"/>
  <c r="AC71" i="1" s="1"/>
  <c r="AD72" i="1"/>
  <c r="AC72" i="1" s="1"/>
  <c r="AD73" i="1"/>
  <c r="AC73" i="1" s="1"/>
  <c r="AD74" i="1"/>
  <c r="AC74" i="1" s="1"/>
  <c r="AD75" i="1"/>
  <c r="AC75" i="1" s="1"/>
  <c r="AD78" i="1"/>
  <c r="AC78" i="1" s="1"/>
  <c r="AD79" i="1"/>
  <c r="AC79" i="1" s="1"/>
  <c r="AD80" i="1"/>
  <c r="AC80" i="1" s="1"/>
  <c r="AD81" i="1"/>
  <c r="AC81" i="1" s="1"/>
  <c r="AD82" i="1"/>
  <c r="AC82" i="1" s="1"/>
  <c r="AD83" i="1"/>
  <c r="AC83" i="1" s="1"/>
  <c r="AD84" i="1"/>
  <c r="AC84" i="1" s="1"/>
  <c r="AD85" i="1"/>
  <c r="AC85" i="1" s="1"/>
  <c r="AD86" i="1"/>
  <c r="AC86" i="1" s="1"/>
  <c r="AD87" i="1"/>
  <c r="AC87" i="1" s="1"/>
  <c r="AD88" i="1"/>
  <c r="AC88" i="1" s="1"/>
  <c r="AD89" i="1"/>
  <c r="AC89" i="1" s="1"/>
  <c r="AD90" i="1"/>
  <c r="AC90" i="1" s="1"/>
  <c r="AD91" i="1"/>
  <c r="AC91" i="1" s="1"/>
  <c r="AD92" i="1"/>
  <c r="AC92" i="1" s="1"/>
  <c r="AD93" i="1"/>
  <c r="AC93" i="1" s="1"/>
  <c r="AD94" i="1"/>
  <c r="AC94" i="1" s="1"/>
  <c r="AD95" i="1"/>
  <c r="AC95" i="1" s="1"/>
  <c r="AD96" i="1"/>
  <c r="AC96" i="1" s="1"/>
  <c r="AD97" i="1"/>
  <c r="AC97" i="1" s="1"/>
  <c r="AD98" i="1"/>
  <c r="AC98" i="1" s="1"/>
  <c r="AD99" i="1"/>
  <c r="AC99" i="1" s="1"/>
  <c r="AD100" i="1"/>
  <c r="AC100" i="1" s="1"/>
  <c r="AD101" i="1"/>
  <c r="AC101" i="1" s="1"/>
  <c r="AD102" i="1"/>
  <c r="AC102" i="1" s="1"/>
  <c r="AD103" i="1"/>
  <c r="AC103" i="1" s="1"/>
  <c r="AD104" i="1"/>
  <c r="AC104" i="1" s="1"/>
  <c r="AD105" i="1"/>
  <c r="AC105" i="1" s="1"/>
  <c r="AD106" i="1"/>
  <c r="AC106" i="1" s="1"/>
  <c r="AD107" i="1"/>
  <c r="AC107" i="1" s="1"/>
  <c r="AD108" i="1"/>
  <c r="AC108" i="1" s="1"/>
  <c r="AD109" i="1"/>
  <c r="AC109" i="1" s="1"/>
  <c r="AD110" i="1"/>
  <c r="AC110" i="1" s="1"/>
  <c r="AD111" i="1"/>
  <c r="AC111" i="1" s="1"/>
  <c r="AD112" i="1"/>
  <c r="AC112" i="1" s="1"/>
  <c r="AD113" i="1"/>
  <c r="AC113" i="1" s="1"/>
  <c r="AD114" i="1"/>
  <c r="AC114" i="1" s="1"/>
  <c r="AD115" i="1"/>
  <c r="AC115" i="1" s="1"/>
  <c r="AD116" i="1"/>
  <c r="AC116" i="1" s="1"/>
  <c r="AD117" i="1"/>
  <c r="AC117" i="1" s="1"/>
  <c r="AD118" i="1"/>
  <c r="AC118" i="1" s="1"/>
  <c r="AD119" i="1"/>
  <c r="AC119" i="1" s="1"/>
  <c r="AD120" i="1"/>
  <c r="AC120" i="1" s="1"/>
  <c r="AD121" i="1"/>
  <c r="AC121" i="1" s="1"/>
  <c r="AD122" i="1"/>
  <c r="AC122" i="1" s="1"/>
  <c r="AD123" i="1"/>
  <c r="AC123" i="1" s="1"/>
  <c r="AD124" i="1"/>
  <c r="AC124" i="1" s="1"/>
  <c r="AD125" i="1"/>
  <c r="AC125" i="1" s="1"/>
  <c r="AD126" i="1"/>
  <c r="AC126" i="1" s="1"/>
  <c r="AD127" i="1"/>
  <c r="AC127" i="1" s="1"/>
  <c r="AD128" i="1"/>
  <c r="AC128" i="1" s="1"/>
  <c r="AD129" i="1"/>
  <c r="AC129" i="1" s="1"/>
  <c r="AD130" i="1"/>
  <c r="AC130" i="1" s="1"/>
  <c r="AD131" i="1"/>
  <c r="AC131" i="1" s="1"/>
  <c r="AD132" i="1"/>
  <c r="AC132" i="1" s="1"/>
  <c r="AD133" i="1"/>
  <c r="AC133" i="1" s="1"/>
  <c r="AD134" i="1"/>
  <c r="AC134" i="1" s="1"/>
  <c r="AD135" i="1"/>
  <c r="AC135" i="1" s="1"/>
  <c r="AD136" i="1"/>
  <c r="AC136" i="1" s="1"/>
  <c r="AD137" i="1"/>
  <c r="AC137" i="1" s="1"/>
  <c r="AD138" i="1"/>
  <c r="AC138" i="1" s="1"/>
  <c r="AD139" i="1"/>
  <c r="AC139" i="1" s="1"/>
  <c r="AD140" i="1"/>
  <c r="AC140" i="1" s="1"/>
  <c r="AD141" i="1"/>
  <c r="AC141" i="1" s="1"/>
  <c r="AD142" i="1"/>
  <c r="AC142" i="1" s="1"/>
  <c r="AD143" i="1"/>
  <c r="AC143" i="1" s="1"/>
  <c r="AD144" i="1"/>
  <c r="AC144" i="1" s="1"/>
  <c r="AD145" i="1"/>
  <c r="AC145" i="1" s="1"/>
  <c r="AD146" i="1"/>
  <c r="AC146" i="1" s="1"/>
  <c r="AD147" i="1"/>
  <c r="AC147" i="1" s="1"/>
  <c r="AD148" i="1"/>
  <c r="AC148" i="1" s="1"/>
  <c r="AD149" i="1"/>
  <c r="AC149" i="1" s="1"/>
  <c r="AD150" i="1"/>
  <c r="AC150" i="1" s="1"/>
  <c r="AD151" i="1"/>
  <c r="AC151" i="1" s="1"/>
  <c r="AD152" i="1"/>
  <c r="AC152" i="1" s="1"/>
  <c r="AD153" i="1"/>
  <c r="AC153" i="1" s="1"/>
  <c r="AD154" i="1"/>
  <c r="AC154" i="1" s="1"/>
  <c r="AD155" i="1"/>
  <c r="AC155" i="1" s="1"/>
  <c r="AD156" i="1"/>
  <c r="AC156" i="1" s="1"/>
  <c r="AD157" i="1"/>
  <c r="AC157" i="1" s="1"/>
  <c r="AD158" i="1"/>
  <c r="AC158" i="1" s="1"/>
  <c r="AD159" i="1"/>
  <c r="AC159" i="1" s="1"/>
  <c r="AD160" i="1"/>
  <c r="AC160" i="1" s="1"/>
  <c r="AD161" i="1"/>
  <c r="AC161" i="1" s="1"/>
  <c r="AD162" i="1"/>
  <c r="AC162" i="1" s="1"/>
  <c r="AD163" i="1"/>
  <c r="AC163" i="1" s="1"/>
  <c r="AD164" i="1"/>
  <c r="AC164" i="1" s="1"/>
  <c r="AD165" i="1"/>
  <c r="AC165" i="1" s="1"/>
  <c r="AD166" i="1"/>
  <c r="AC166" i="1" s="1"/>
  <c r="AD167" i="1"/>
  <c r="AC167" i="1" s="1"/>
  <c r="AD168" i="1"/>
  <c r="AC168" i="1" s="1"/>
  <c r="AD169" i="1"/>
  <c r="AC169" i="1" s="1"/>
  <c r="AD170" i="1"/>
  <c r="AC170" i="1" s="1"/>
  <c r="AD171" i="1"/>
  <c r="AC171" i="1" s="1"/>
  <c r="AD172" i="1"/>
  <c r="AC172" i="1" s="1"/>
  <c r="AD173" i="1"/>
  <c r="AC173" i="1" s="1"/>
  <c r="AD174" i="1"/>
  <c r="AC174" i="1" s="1"/>
  <c r="AD175" i="1"/>
  <c r="AC175" i="1" s="1"/>
  <c r="AD176" i="1"/>
  <c r="AC176" i="1" s="1"/>
  <c r="AD177" i="1"/>
  <c r="AC177" i="1" s="1"/>
  <c r="AD178" i="1"/>
  <c r="AC178" i="1" s="1"/>
  <c r="AD179" i="1"/>
  <c r="AC179" i="1" s="1"/>
  <c r="AD180" i="1"/>
  <c r="AC180" i="1" s="1"/>
  <c r="AD181" i="1"/>
  <c r="AC181" i="1" s="1"/>
  <c r="AD182" i="1"/>
  <c r="AC182" i="1" s="1"/>
  <c r="AD183" i="1"/>
  <c r="AC183" i="1" s="1"/>
  <c r="AD184" i="1"/>
  <c r="AC184" i="1" s="1"/>
  <c r="AD185" i="1"/>
  <c r="AC185" i="1" s="1"/>
  <c r="AD186" i="1"/>
  <c r="AC186" i="1" s="1"/>
  <c r="AD187" i="1"/>
  <c r="AC187" i="1" s="1"/>
  <c r="AD188" i="1"/>
  <c r="AC188" i="1" s="1"/>
  <c r="AD189" i="1"/>
  <c r="AC189" i="1" s="1"/>
  <c r="AD190" i="1"/>
  <c r="AC190" i="1" s="1"/>
  <c r="AD191" i="1"/>
  <c r="AC191" i="1" s="1"/>
  <c r="AD192" i="1"/>
  <c r="AC192" i="1" s="1"/>
  <c r="AD193" i="1"/>
  <c r="AC193" i="1" s="1"/>
  <c r="AD194" i="1"/>
  <c r="AC194" i="1" s="1"/>
  <c r="AD195" i="1"/>
  <c r="AC195" i="1" s="1"/>
  <c r="AD196" i="1"/>
  <c r="AC196" i="1" s="1"/>
  <c r="AD197" i="1"/>
  <c r="AC197" i="1" s="1"/>
  <c r="AD198" i="1"/>
  <c r="AC198" i="1" s="1"/>
  <c r="AD199" i="1"/>
  <c r="AC199" i="1" s="1"/>
  <c r="AD200" i="1"/>
  <c r="AC200" i="1" s="1"/>
  <c r="AD201" i="1"/>
  <c r="AC201" i="1" s="1"/>
  <c r="AD2" i="1"/>
  <c r="AC2" i="1" s="1"/>
  <c r="AF5" i="1" l="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3" i="1"/>
  <c r="AF44" i="1"/>
  <c r="AF45" i="1"/>
  <c r="AF46" i="1"/>
  <c r="AF47" i="1"/>
  <c r="AF48" i="1"/>
  <c r="AF49" i="1"/>
  <c r="AF50" i="1"/>
  <c r="AF53" i="1"/>
  <c r="AF54" i="1"/>
  <c r="AF55" i="1"/>
  <c r="AF56" i="1"/>
  <c r="AF57" i="1"/>
  <c r="AF58" i="1"/>
  <c r="AF59" i="1"/>
  <c r="AF60" i="1"/>
  <c r="AF61" i="1"/>
  <c r="AF62" i="1"/>
  <c r="AF63" i="1"/>
  <c r="AF64" i="1"/>
  <c r="AF65" i="1"/>
  <c r="AF66" i="1"/>
  <c r="AF67" i="1"/>
  <c r="AF68" i="1"/>
  <c r="AF69" i="1"/>
  <c r="AF70" i="1"/>
  <c r="AF71"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80" i="1"/>
  <c r="AF181" i="1"/>
  <c r="AF182" i="1"/>
  <c r="AF183" i="1"/>
  <c r="AF184" i="1"/>
  <c r="AF185" i="1"/>
  <c r="AF186" i="1"/>
  <c r="AF187" i="1"/>
  <c r="AF188" i="1"/>
  <c r="AF189" i="1"/>
  <c r="AF191" i="1"/>
  <c r="AF192" i="1"/>
  <c r="AF193" i="1"/>
  <c r="AF194" i="1"/>
  <c r="AF195" i="1"/>
  <c r="AF196" i="1"/>
  <c r="AF197" i="1"/>
  <c r="AF198" i="1"/>
  <c r="AF199" i="1"/>
  <c r="AF200" i="1"/>
  <c r="AF201" i="1"/>
  <c r="AF2" i="1"/>
  <c r="AF52" i="1" s="1"/>
  <c r="AF3" i="1" l="1"/>
  <c r="AF51" i="1" s="1"/>
  <c r="AF41" i="1"/>
  <c r="AF42" i="1"/>
  <c r="AF72" i="1"/>
  <c r="AF179" i="1"/>
  <c r="AF190" i="1"/>
  <c r="V14" i="1" l="1"/>
  <c r="V15" i="1"/>
  <c r="V16" i="1"/>
  <c r="V17" i="1"/>
  <c r="V19" i="1"/>
  <c r="V20" i="1"/>
  <c r="V21" i="1"/>
  <c r="V22" i="1"/>
  <c r="V23" i="1"/>
  <c r="V24" i="1"/>
  <c r="V25" i="1"/>
  <c r="V26" i="1"/>
  <c r="V27" i="1"/>
  <c r="V28" i="1"/>
  <c r="V29" i="1"/>
  <c r="V30" i="1"/>
  <c r="V31" i="1"/>
  <c r="V32" i="1"/>
  <c r="V33" i="1"/>
  <c r="V34" i="1"/>
  <c r="V35" i="1"/>
  <c r="V36"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2"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5" i="1"/>
  <c r="V6" i="1"/>
  <c r="V7" i="1"/>
  <c r="V8" i="1"/>
  <c r="V9" i="1"/>
  <c r="V10" i="1"/>
  <c r="V11" i="1"/>
  <c r="V12" i="1"/>
  <c r="V13" i="1"/>
  <c r="J128" i="1" l="1"/>
  <c r="J127" i="1"/>
  <c r="R123" i="1"/>
  <c r="V123" i="1" s="1"/>
  <c r="R121" i="1" l="1"/>
  <c r="V121" i="1" s="1"/>
  <c r="R120" i="1"/>
  <c r="V120" i="1" s="1"/>
  <c r="AB119" i="1"/>
  <c r="AB117" i="1"/>
  <c r="J87" i="1" l="1"/>
  <c r="J82" i="1"/>
  <c r="R37" i="1" l="1"/>
  <c r="V37" i="1" s="1"/>
  <c r="R18" i="1"/>
  <c r="V18" i="1" s="1"/>
</calcChain>
</file>

<file path=xl/sharedStrings.xml><?xml version="1.0" encoding="utf-8"?>
<sst xmlns="http://schemas.openxmlformats.org/spreadsheetml/2006/main" count="1043" uniqueCount="549">
  <si>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</si>
  <si>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</si>
  <si>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</si>
  <si>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</si>
  <si>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</si>
  <si>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</si>
  <si>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</si>
  <si>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</si>
  <si>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</si>
  <si>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</si>
  <si>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</si>
  <si>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</si>
  <si>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</si>
  <si>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</si>
  <si>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Robinson O4</t>
  </si>
  <si>
    <t>LNER Thompson B1</t>
  </si>
  <si>
    <t>LNER Gresley V2</t>
  </si>
  <si>
    <t>LNER NBR J36</t>
  </si>
  <si>
    <t>Midland Railway 1000 Class</t>
  </si>
  <si>
    <t>Midland Railway 115 Class</t>
  </si>
  <si>
    <t>SECR H Class</t>
  </si>
  <si>
    <t>GWR 1000 County Class</t>
  </si>
  <si>
    <t>GWR Collett 14xx</t>
  </si>
  <si>
    <t>GWR 517 Class</t>
  </si>
  <si>
    <t>GWR 4073 Castle Class</t>
  </si>
  <si>
    <t>GWR 4400 Prairie Tank</t>
  </si>
  <si>
    <t>GWR 5600 Class</t>
  </si>
  <si>
    <t>GWR 5700 Pannier Tank</t>
  </si>
  <si>
    <t>GWR 6000 King Class</t>
  </si>
  <si>
    <t>GWR 4900 Hall Class</t>
  </si>
  <si>
    <t>GWR 6800 Grange Class</t>
  </si>
  <si>
    <t>GWR 6959 Modified Hall Class</t>
  </si>
  <si>
    <t>LNER Raven A2</t>
  </si>
  <si>
    <t>LNER Peppercorn A1</t>
  </si>
  <si>
    <t>LNER Gresley A3</t>
  </si>
  <si>
    <t>LNER Gresley A4</t>
  </si>
  <si>
    <t>LNER Gresley K2</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</si>
  <si>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</si>
  <si>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</si>
  <si>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</si>
  <si>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</si>
  <si>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</si>
  <si>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</si>
  <si>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</si>
  <si>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</si>
  <si>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</si>
  <si>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</si>
  <si>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</si>
  <si>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</si>
  <si>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</si>
  <si>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</si>
  <si>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</si>
  <si>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</si>
  <si>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</si>
  <si>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</si>
  <si>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</si>
  <si>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</si>
  <si>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</si>
  <si>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</si>
  <si>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</si>
  <si>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</si>
  <si>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</si>
  <si>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</si>
  <si>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</si>
  <si>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</si>
  <si>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</si>
  <si>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</si>
  <si>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</si>
  <si>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</si>
  <si>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</si>
  <si>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</si>
  <si>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</si>
  <si>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</si>
  <si>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</si>
  <si>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</si>
  <si>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</si>
  <si>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</si>
  <si>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</si>
  <si>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</si>
  <si>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</si>
  <si>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</si>
  <si>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</si>
  <si>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</si>
  <si>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</si>
  <si>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</si>
  <si>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</si>
  <si>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</si>
  <si>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</si>
  <si>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</si>
  <si>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</si>
  <si>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</si>
  <si>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</si>
  <si>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</si>
  <si>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</si>
  <si>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</si>
  <si>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</si>
  <si>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</si>
  <si>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</si>
  <si>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</si>
  <si>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</si>
  <si>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LNWR Metro-Cammell EMU</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</si>
  <si>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</si>
  <si>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</si>
  <si>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</si>
  <si>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</si>
  <si>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</si>
  <si>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</si>
  <si>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</si>
  <si>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</si>
  <si>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</si>
  <si>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</si>
  <si>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</si>
  <si>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</si>
  <si>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</si>
  <si>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</si>
  <si>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</si>
  <si>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</si>
  <si>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</si>
  <si>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</si>
  <si>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</si>
  <si>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</si>
  <si>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</si>
  <si>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</si>
  <si>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</si>
  <si>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</si>
  <si>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</si>
  <si>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</si>
  <si>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</si>
  <si>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</si>
  <si>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</si>
  <si>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</si>
  <si>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</si>
  <si>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</si>
  <si>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</si>
  <si>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</si>
  <si>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</si>
  <si>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</si>
  <si>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</si>
  <si>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</si>
  <si>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</si>
  <si>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</si>
  <si>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</si>
  <si>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</si>
  <si>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</si>
  <si>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</si>
  <si>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</si>
  <si>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</si>
  <si>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</si>
  <si>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</si>
  <si>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</si>
  <si>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</si>
  <si>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</si>
  <si>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</si>
  <si>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</si>
  <si>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</si>
  <si>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</si>
  <si>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</si>
  <si>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</si>
  <si>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</si>
  <si>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</si>
  <si>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</si>
  <si>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</si>
  <si>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</si>
  <si>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</si>
  <si>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</si>
  <si>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</si>
  <si>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</si>
  <si>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</si>
  <si>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</si>
  <si>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</si>
  <si>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</si>
  <si>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</si>
  <si>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</si>
  <si>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</si>
  <si>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</si>
  <si>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</si>
  <si>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</si>
  <si>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</si>
  <si>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</si>
  <si>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</si>
  <si>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</si>
  <si>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</si>
  <si>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</si>
  <si>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</si>
  <si>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</si>
  <si>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</si>
  <si>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</si>
  <si>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</si>
  <si>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</si>
  <si>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</si>
  <si>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</si>
  <si>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</si>
  <si>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</si>
  <si>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</si>
  <si>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</si>
  <si>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</si>
  <si>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</si>
  <si>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</si>
  <si>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</si>
  <si>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</si>
  <si>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</si>
  <si>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</si>
  <si>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</si>
  <si>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</si>
  <si>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</si>
  <si>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</si>
  <si>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</si>
  <si>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</si>
  <si>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</si>
  <si>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</si>
  <si>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</si>
  <si>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</si>
  <si>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</si>
  <si>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</si>
  <si>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</si>
  <si>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</si>
  <si>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</si>
  <si>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</si>
  <si>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</si>
  <si>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</si>
  <si>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</si>
  <si>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</si>
  <si>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</si>
  <si>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</si>
  <si>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</si>
  <si>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</si>
  <si>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</si>
  <si>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</si>
  <si>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</si>
  <si>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gwr_4400_prairie_tank</t>
  </si>
  <si>
    <t>lner_robinson_o4</t>
  </si>
  <si>
    <t>gcr_class_9n</t>
  </si>
  <si>
    <t>gcr_robinson_class_8k</t>
  </si>
  <si>
    <t>lner_gresley_k2</t>
  </si>
  <si>
    <t>lner_raven_ef1</t>
  </si>
  <si>
    <t>lnwr_class_g2</t>
  </si>
  <si>
    <t>lner_raven_a2</t>
  </si>
  <si>
    <t>fowler_4f</t>
  </si>
  <si>
    <t>gwr_4073_castle_class</t>
  </si>
  <si>
    <t>fowler_3f_jinty</t>
  </si>
  <si>
    <t>gwr_5600_class</t>
  </si>
  <si>
    <t>lner_gresley_d49</t>
  </si>
  <si>
    <t>gwr_6000_king_class</t>
  </si>
  <si>
    <t>gwr_4900_hall_class</t>
  </si>
  <si>
    <t>lner_gresley_a3</t>
  </si>
  <si>
    <t>gwr_5700_pannier_tank</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</si>
  <si>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</si>
  <si>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</si>
  <si>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</si>
  <si>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</si>
  <si>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</si>
  <si>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</si>
  <si>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</si>
  <si>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</si>
  <si>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</si>
  <si>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</si>
  <si>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</si>
  <si>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</si>
  <si>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</si>
  <si>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</si>
  <si>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</si>
  <si>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</si>
  <si>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</si>
  <si>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</si>
  <si>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</si>
  <si>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</si>
  <si>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</si>
  <si>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</si>
  <si>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</si>
  <si>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</si>
  <si>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</si>
  <si>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</si>
  <si>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</si>
  <si>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</si>
  <si>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</si>
  <si>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</si>
  <si>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</si>
  <si>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</si>
  <si>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</si>
  <si>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</si>
  <si>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</si>
  <si>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</si>
  <si>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</si>
  <si>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</si>
  <si>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</si>
  <si>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</si>
  <si>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</si>
  <si>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</si>
  <si>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</si>
  <si>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</si>
  <si>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</si>
  <si>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</si>
  <si>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</si>
  <si>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</si>
  <si>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</si>
  <si>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</si>
  <si>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</si>
  <si>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</si>
  <si>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</si>
  <si>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</si>
  <si>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</si>
  <si>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</si>
  <si>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</si>
  <si>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</si>
  <si>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</si>
  <si>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</si>
  <si>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</si>
  <si>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</si>
  <si>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</si>
  <si>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</si>
  <si>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</si>
  <si>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</si>
  <si>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</si>
  <si>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</si>
  <si>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</si>
  <si>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</si>
  <si>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</si>
  <si>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</si>
  <si>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</si>
  <si>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</si>
  <si>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</si>
  <si>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</si>
  <si>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</si>
  <si>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</si>
  <si>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</si>
  <si>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</si>
  <si>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</si>
  <si>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</si>
  <si>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</si>
  <si>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</si>
  <si>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</si>
  <si>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</si>
  <si>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</si>
  <si>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</si>
  <si>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</si>
  <si>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</si>
  <si>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</si>
  <si>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</si>
  <si>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</si>
  <si>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</si>
  <si>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</si>
  <si>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</si>
  <si>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</si>
  <si>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</si>
  <si>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</si>
  <si>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</si>
  <si>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</si>
  <si>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</si>
  <si>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</si>
  <si>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</si>
  <si>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</si>
  <si>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</si>
  <si>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</si>
  <si>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</si>
  <si>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</si>
  <si>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</si>
  <si>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</si>
  <si>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</si>
  <si>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</si>
  <si>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</si>
  <si>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</si>
  <si>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</si>
  <si>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</si>
  <si>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</si>
  <si>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</si>
  <si>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</si>
  <si>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</si>
  <si>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</si>
  <si>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</si>
  <si>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</si>
  <si>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</si>
  <si>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</si>
  <si>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</si>
  <si>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</si>
  <si>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</si>
  <si>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</si>
  <si>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metro_cammell_emu</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</si>
  <si>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</si>
  <si>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</si>
  <si>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</si>
  <si>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</si>
  <si>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</si>
  <si>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</si>
  <si>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</si>
  <si>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</si>
  <si>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</si>
  <si>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</si>
  <si>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</si>
  <si>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</si>
  <si>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</si>
  <si>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</si>
  <si>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</si>
  <si>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</si>
  <si>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</si>
  <si>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</si>
  <si>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</si>
  <si>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lms_fowler_264t</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</si>
  <si>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</si>
  <si>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</si>
  <si>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</si>
  <si>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</si>
  <si>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</si>
  <si>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</si>
  <si>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</si>
  <si>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</si>
  <si>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</si>
  <si>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</si>
  <si>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</si>
  <si>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</si>
  <si>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</si>
  <si>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</si>
  <si>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</si>
  <si>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</si>
  <si>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</si>
  <si>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</si>
  <si>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</si>
  <si>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</si>
  <si>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</si>
  <si>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</si>
  <si>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</si>
  <si>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</si>
  <si>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</si>
  <si>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</si>
  <si>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</si>
  <si>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</si>
  <si>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</si>
  <si>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</si>
  <si>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</si>
  <si>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</si>
  <si>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</si>
  <si>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</si>
  <si>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</si>
  <si>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</si>
  <si>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</si>
  <si>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</si>
  <si>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</si>
  <si>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</si>
  <si>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</si>
  <si>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</si>
  <si>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</si>
  <si>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</si>
  <si>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</si>
  <si>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</si>
  <si>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</si>
  <si>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</si>
  <si>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</si>
  <si>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</si>
  <si>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</si>
  <si>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</si>
  <si>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</si>
  <si>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</si>
  <si>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</si>
  <si>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</si>
  <si>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</si>
  <si>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</si>
  <si>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</si>
  <si>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</si>
  <si>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</si>
  <si>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</si>
  <si>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</si>
  <si>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</si>
  <si>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</si>
  <si>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</si>
  <si>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</si>
  <si>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</si>
  <si>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</si>
  <si>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</si>
  <si>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Early (1800-1830)</t>
  </si>
  <si>
    <t>Late Victorian (1860-1900)</t>
  </si>
  <si>
    <t>Edwardian (1900-1920)</t>
  </si>
  <si>
    <t>Big Four (1920-1948)</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</si>
  <si>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</si>
  <si>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</si>
  <si>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</si>
  <si>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</si>
  <si>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</si>
  <si>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</si>
  <si>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</si>
  <si>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</si>
  <si>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</si>
  <si>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</si>
  <si>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</si>
  <si>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</si>
  <si>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</si>
  <si>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</si>
  <si>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</si>
  <si>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</si>
  <si>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</si>
  <si>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</si>
  <si>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</si>
  <si>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</si>
  <si>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vct1</t>
  </si>
  <si>
    <t>vct2</t>
  </si>
  <si>
    <t>vct3</t>
  </si>
  <si>
    <t>Victorian (1860-1880)</t>
  </si>
  <si>
    <t>Early Victorian (1830-1860)</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</si>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</sst>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O201"/>
  <sheetViews>
    <sheetView tabSelected="1" workbookViewId="0">
      <pane xSplit="1" ySplit="1" topLeftCell="AD8" activePane="bottomRight" state="frozenSplit"/>
      <selection pane="topRight" activeCell="B1" sqref="B1"/>
      <selection pane="bottomLeft" activeCell="A2" sqref="A2"/>
      <selection pane="bottomRight" activeCell="AG27" sqref="AG27"/>
    </sheetView>
  </sheetViews>
  <sheetFormatPr defaultRowHeight="15" x14ac:dyDescent="0.25"/>
  <cols>
    <col min="1" max="1" width="37.140625" bestFit="1" customWidth="1"/>
    <col min="2" max="2" width="23.42578125" bestFit="1" customWidth="1"/>
    <col min="3" max="3" width="11"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0.5703125" bestFit="1" customWidth="1"/>
    <col min="25" max="25" width="9.28515625" bestFit="1" customWidth="1"/>
    <col min="26" max="26" width="10.5703125" customWidth="1"/>
    <col min="27" max="27" width="10.42578125" bestFit="1" customWidth="1"/>
    <col min="29" max="29" width="10.28515625" bestFit="1" customWidth="1"/>
    <col min="30" max="30" width="10.28515625" customWidth="1"/>
    <col min="31" max="31" width="14.28515625" bestFit="1" customWidth="1"/>
    <col min="32" max="32" width="18.42578125" bestFit="1" customWidth="1"/>
    <col min="33" max="33" width="18.42578125" customWidth="1"/>
    <col min="39" max="39" width="15.7109375" bestFit="1" customWidth="1"/>
  </cols>
  <sheetData>
    <row r="1" spans="1:41" s="1" customFormat="1" x14ac:dyDescent="0.25">
      <c r="A1" s="1" t="s">
        <v>199</v>
      </c>
      <c r="B1" s="1" t="s">
        <v>200</v>
      </c>
      <c r="C1" s="1" t="s">
        <v>198</v>
      </c>
      <c r="D1" s="1" t="s">
        <v>424</v>
      </c>
      <c r="E1" s="1" t="s">
        <v>427</v>
      </c>
      <c r="F1" s="1" t="s">
        <v>202</v>
      </c>
      <c r="G1" s="1" t="s">
        <v>203</v>
      </c>
      <c r="H1" s="1" t="s">
        <v>204</v>
      </c>
      <c r="I1" s="1" t="s">
        <v>205</v>
      </c>
      <c r="J1" s="1" t="s">
        <v>206</v>
      </c>
      <c r="K1" s="1" t="s">
        <v>546</v>
      </c>
      <c r="L1" s="1" t="s">
        <v>543</v>
      </c>
      <c r="M1" s="1" t="s">
        <v>544</v>
      </c>
      <c r="N1" s="1" t="s">
        <v>541</v>
      </c>
      <c r="O1" s="1" t="s">
        <v>542</v>
      </c>
      <c r="P1" s="1" t="s">
        <v>547</v>
      </c>
      <c r="Q1" s="1" t="s">
        <v>545</v>
      </c>
      <c r="R1" s="1" t="s">
        <v>207</v>
      </c>
      <c r="S1" s="1" t="s">
        <v>208</v>
      </c>
      <c r="T1" s="1" t="s">
        <v>430</v>
      </c>
      <c r="U1" s="1" t="s">
        <v>209</v>
      </c>
      <c r="V1" s="3" t="s">
        <v>418</v>
      </c>
      <c r="W1" s="1" t="s">
        <v>210</v>
      </c>
      <c r="X1" s="1" t="s">
        <v>211</v>
      </c>
      <c r="Y1" s="1" t="s">
        <v>439</v>
      </c>
      <c r="Z1" s="1" t="s">
        <v>380</v>
      </c>
      <c r="AA1" s="1" t="s">
        <v>212</v>
      </c>
      <c r="AB1" s="1" t="s">
        <v>417</v>
      </c>
      <c r="AC1" s="1" t="s">
        <v>201</v>
      </c>
      <c r="AD1" s="1" t="s">
        <v>422</v>
      </c>
      <c r="AE1" s="1" t="s">
        <v>445</v>
      </c>
      <c r="AF1" s="1" t="s">
        <v>381</v>
      </c>
      <c r="AG1" s="1" t="s">
        <v>423</v>
      </c>
      <c r="AH1" s="1" t="s">
        <v>431</v>
      </c>
      <c r="AI1" s="1" t="s">
        <v>432</v>
      </c>
      <c r="AJ1" s="1" t="s">
        <v>462</v>
      </c>
      <c r="AK1" s="1" t="s">
        <v>436</v>
      </c>
      <c r="AL1" s="1" t="s">
        <v>489</v>
      </c>
      <c r="AM1" s="1" t="s">
        <v>515</v>
      </c>
      <c r="AN1" s="1" t="s">
        <v>517</v>
      </c>
      <c r="AO1" s="1" t="s">
        <v>518</v>
      </c>
    </row>
    <row r="2" spans="1:41" x14ac:dyDescent="0.25">
      <c r="A2" t="s">
        <v>444</v>
      </c>
      <c r="B2" t="s">
        <v>443</v>
      </c>
      <c r="C2" t="s">
        <v>445</v>
      </c>
      <c r="E2" t="s">
        <v>428</v>
      </c>
      <c r="F2">
        <v>1925</v>
      </c>
      <c r="R2">
        <v>52</v>
      </c>
      <c r="X2">
        <v>7.64</v>
      </c>
      <c r="Y2">
        <v>8</v>
      </c>
      <c r="AC2" t="str">
        <f>CONCATENATE(VLOOKUP(AD2, 'Voxel Sizes'!$A$2:$B$18,2,FALSE),"x",INT(Z2*15), "x", INT(AA2*15))</f>
        <v>82x0x0</v>
      </c>
      <c r="AD2">
        <f>ROUND(15*((Y2*10)/256),0)</f>
        <v>5</v>
      </c>
      <c r="AF2" t="str">
        <f>CONCATENATE(VLOOKUP(AD2,'Articulated Lengths'!$A$2:$B$16, 2, FALSE),IF(AE2&lt;&gt;"",CONCATENATE(",",VLOOKUP(AE2,$B$2:$AF$201,24,FALSE)),""))</f>
        <v>1,3,1</v>
      </c>
      <c r="AL2" t="str">
        <f>VLOOKUP(F2,Eras!$A$2:$C$14, 2, TRUE)</f>
        <v>big4</v>
      </c>
      <c r="AN2" t="str">
        <f>CONCATENATE(AL2,"_",AM2)</f>
        <v>big4_</v>
      </c>
    </row>
    <row r="3" spans="1:41" x14ac:dyDescent="0.25">
      <c r="A3" t="s">
        <v>447</v>
      </c>
      <c r="B3" t="s">
        <v>448</v>
      </c>
      <c r="C3" t="s">
        <v>445</v>
      </c>
      <c r="E3" t="s">
        <v>428</v>
      </c>
      <c r="F3">
        <v>1925</v>
      </c>
      <c r="R3">
        <v>52</v>
      </c>
      <c r="X3">
        <v>7.64</v>
      </c>
      <c r="Y3">
        <v>8</v>
      </c>
      <c r="AC3" t="str">
        <f>CONCATENATE(VLOOKUP(AD3, 'Voxel Sizes'!$A$2:$B$18,2,FALSE),"x",INT(Z3*15), "x", INT(AA3*15))</f>
        <v>82x0x0</v>
      </c>
      <c r="AD3">
        <f t="shared" ref="AD3:AD67" si="0">ROUND(15*((Y3*10)/256),0)</f>
        <v>5</v>
      </c>
      <c r="AF3" t="str">
        <f>CONCATENATE(VLOOKUP(AD3,'Articulated Lengths'!$A$2:$B$16, 2, FALSE),IF(AE3&lt;&gt;"",CONCATENATE(",",VLOOKUP(AE3,$B$2:$AF$201,24,FALSE)),""))</f>
        <v>1,3,1</v>
      </c>
      <c r="AL3" t="str">
        <f>VLOOKUP(F3,Eras!$A$2:$C$14, 2, TRUE)</f>
        <v>big4</v>
      </c>
      <c r="AN3" t="str">
        <f t="shared" ref="AN3:AN66" si="1">CONCATENATE(AL3,"_",AM3)</f>
        <v>big4_</v>
      </c>
    </row>
    <row r="4" spans="1:41" x14ac:dyDescent="0.25">
      <c r="A4" t="s">
        <v>463</v>
      </c>
      <c r="B4" t="s">
        <v>464</v>
      </c>
      <c r="C4" t="s">
        <v>445</v>
      </c>
      <c r="E4" t="s">
        <v>428</v>
      </c>
      <c r="F4">
        <v>1900</v>
      </c>
      <c r="R4">
        <v>42</v>
      </c>
      <c r="X4">
        <v>7.5</v>
      </c>
      <c r="Y4">
        <v>8</v>
      </c>
      <c r="AC4" t="str">
        <f>CONCATENATE(VLOOKUP(AD4, 'Voxel Sizes'!$A$2:$B$18,2,FALSE),"x",INT(Z4*15), "x", INT(AA4*15))</f>
        <v>82x0x0</v>
      </c>
      <c r="AD4">
        <f t="shared" si="0"/>
        <v>5</v>
      </c>
      <c r="AF4" t="str">
        <f>CONCATENATE(VLOOKUP(AD4,'Articulated Lengths'!$A$2:$B$16, 2, FALSE),IF(AE4&lt;&gt;"",CONCATENATE(",",VLOOKUP(AE4,$B$2:$AF$201,24,FALSE)),""))</f>
        <v>1,3,1</v>
      </c>
      <c r="AL4" t="str">
        <f>VLOOKUP(F4,Eras!$A$2:$C$14, 2, TRUE)</f>
        <v>edw</v>
      </c>
      <c r="AN4" t="str">
        <f t="shared" si="1"/>
        <v>edw_</v>
      </c>
    </row>
    <row r="5" spans="1:41" x14ac:dyDescent="0.25">
      <c r="A5" t="s">
        <v>195</v>
      </c>
      <c r="B5" t="s">
        <v>334</v>
      </c>
      <c r="C5" t="s">
        <v>213</v>
      </c>
      <c r="E5" t="s">
        <v>429</v>
      </c>
      <c r="F5">
        <v>1802</v>
      </c>
      <c r="R5">
        <v>5</v>
      </c>
      <c r="V5" s="4" t="str">
        <f t="shared" ref="V5:V12" si="2">IF(AND(R5&gt;0,U5&gt;0),(U5/(R5*10)),"")</f>
        <v/>
      </c>
      <c r="W5">
        <v>5</v>
      </c>
      <c r="AC5" t="str">
        <f>CONCATENATE(VLOOKUP(AD5, 'Voxel Sizes'!$A$2:$B$18,2,FALSE),"x",INT(Z5*15), "x", INT(AA5*15))</f>
        <v>0x0x0</v>
      </c>
      <c r="AD5">
        <f t="shared" si="0"/>
        <v>0</v>
      </c>
      <c r="AF5" t="str">
        <f>CONCATENATE(VLOOKUP(AD5,'Articulated Lengths'!$A$2:$B$16, 2, FALSE),IF(AE5&lt;&gt;"",CONCATENATE(",",VLOOKUP(AE5,$B$2:$AF$201,24,FALSE)),""))</f>
        <v>na</v>
      </c>
      <c r="AH5">
        <v>10</v>
      </c>
      <c r="AI5">
        <v>10</v>
      </c>
      <c r="AL5" t="str">
        <f>VLOOKUP(F5,Eras!$A$2:$C$14, 2, TRUE)</f>
        <v>early</v>
      </c>
      <c r="AM5" t="s">
        <v>498</v>
      </c>
      <c r="AN5" t="str">
        <f t="shared" si="1"/>
        <v>early_Mixed Traffic</v>
      </c>
    </row>
    <row r="6" spans="1:41" x14ac:dyDescent="0.25">
      <c r="A6" t="s">
        <v>0</v>
      </c>
      <c r="B6" t="s">
        <v>214</v>
      </c>
      <c r="C6" t="s">
        <v>213</v>
      </c>
      <c r="E6" t="s">
        <v>428</v>
      </c>
      <c r="F6">
        <v>1812</v>
      </c>
      <c r="R6">
        <v>5</v>
      </c>
      <c r="V6" s="4" t="str">
        <f t="shared" si="2"/>
        <v/>
      </c>
      <c r="AC6" t="str">
        <f>CONCATENATE(VLOOKUP(AD6, 'Voxel Sizes'!$A$2:$B$18,2,FALSE),"x",INT(Z6*15), "x", INT(AA6*15))</f>
        <v>0x0x0</v>
      </c>
      <c r="AD6">
        <f t="shared" si="0"/>
        <v>0</v>
      </c>
      <c r="AF6" t="str">
        <f>CONCATENATE(VLOOKUP(AD6,'Articulated Lengths'!$A$2:$B$16, 2, FALSE),IF(AE6&lt;&gt;"",CONCATENATE(",",VLOOKUP(AE6,$B$2:$AF$201,24,FALSE)),""))</f>
        <v>na</v>
      </c>
      <c r="AH6">
        <v>10</v>
      </c>
      <c r="AI6">
        <v>10</v>
      </c>
      <c r="AL6" t="str">
        <f>VLOOKUP(F6,Eras!$A$2:$C$14, 2, TRUE)</f>
        <v>early</v>
      </c>
      <c r="AN6" t="str">
        <f t="shared" si="1"/>
        <v>early_</v>
      </c>
    </row>
    <row r="7" spans="1:41" x14ac:dyDescent="0.25">
      <c r="A7" t="s">
        <v>1</v>
      </c>
      <c r="B7" t="s">
        <v>215</v>
      </c>
      <c r="C7" t="s">
        <v>213</v>
      </c>
      <c r="E7" t="s">
        <v>428</v>
      </c>
      <c r="F7">
        <v>1825</v>
      </c>
      <c r="R7">
        <v>7</v>
      </c>
      <c r="U7">
        <v>8.5</v>
      </c>
      <c r="V7" s="4">
        <f t="shared" si="2"/>
        <v>0.12142857142857143</v>
      </c>
      <c r="W7">
        <v>15</v>
      </c>
      <c r="AC7" t="str">
        <f>CONCATENATE(VLOOKUP(AD7, 'Voxel Sizes'!$A$2:$B$18,2,FALSE),"x",INT(Z7*15), "x", INT(AA7*15))</f>
        <v>0x0x0</v>
      </c>
      <c r="AD7">
        <f t="shared" si="0"/>
        <v>0</v>
      </c>
      <c r="AF7" t="str">
        <f>CONCATENATE(VLOOKUP(AD7,'Articulated Lengths'!$A$2:$B$16, 2, FALSE),IF(AE7&lt;&gt;"",CONCATENATE(",",VLOOKUP(AE7,$B$2:$AF$201,24,FALSE)),""))</f>
        <v>na</v>
      </c>
      <c r="AH7">
        <v>10</v>
      </c>
      <c r="AI7">
        <v>10</v>
      </c>
      <c r="AL7" t="str">
        <f>VLOOKUP(F7,Eras!$A$2:$C$14, 2, TRUE)</f>
        <v>early</v>
      </c>
      <c r="AM7" t="s">
        <v>498</v>
      </c>
      <c r="AN7" t="str">
        <f t="shared" si="1"/>
        <v>early_Mixed Traffic</v>
      </c>
    </row>
    <row r="8" spans="1:41" x14ac:dyDescent="0.25">
      <c r="A8" t="s">
        <v>2</v>
      </c>
      <c r="B8" t="s">
        <v>216</v>
      </c>
      <c r="C8" t="s">
        <v>213</v>
      </c>
      <c r="E8" t="s">
        <v>428</v>
      </c>
      <c r="F8">
        <v>1830</v>
      </c>
      <c r="R8">
        <v>4.3</v>
      </c>
      <c r="V8" s="4" t="str">
        <f t="shared" si="2"/>
        <v/>
      </c>
      <c r="AC8" t="str">
        <f>CONCATENATE(VLOOKUP(AD8, 'Voxel Sizes'!$A$2:$B$18,2,FALSE),"x",INT(Z8*15), "x", INT(AA8*15))</f>
        <v>0x0x0</v>
      </c>
      <c r="AD8">
        <f t="shared" si="0"/>
        <v>0</v>
      </c>
      <c r="AF8" t="str">
        <f>CONCATENATE(VLOOKUP(AD8,'Articulated Lengths'!$A$2:$B$16, 2, FALSE),IF(AE8&lt;&gt;"",CONCATENATE(",",VLOOKUP(AE8,$B$2:$AF$201,24,FALSE)),""))</f>
        <v>na</v>
      </c>
      <c r="AH8">
        <v>10</v>
      </c>
      <c r="AI8">
        <v>10</v>
      </c>
      <c r="AL8" t="str">
        <f>VLOOKUP(F8,Eras!$A$2:$C$14, 2, TRUE)</f>
        <v>vct1</v>
      </c>
      <c r="AM8" t="s">
        <v>498</v>
      </c>
      <c r="AN8" t="str">
        <f t="shared" si="1"/>
        <v>vct1_Mixed Traffic</v>
      </c>
    </row>
    <row r="9" spans="1:41" x14ac:dyDescent="0.25">
      <c r="A9" t="s">
        <v>187</v>
      </c>
      <c r="B9" t="s">
        <v>335</v>
      </c>
      <c r="C9" t="s">
        <v>213</v>
      </c>
      <c r="E9" t="s">
        <v>428</v>
      </c>
      <c r="F9">
        <v>1838</v>
      </c>
      <c r="U9">
        <v>9.6</v>
      </c>
      <c r="V9" s="4" t="str">
        <f t="shared" si="2"/>
        <v/>
      </c>
      <c r="W9">
        <v>45</v>
      </c>
      <c r="AC9" t="str">
        <f>CONCATENATE(VLOOKUP(AD9, 'Voxel Sizes'!$A$2:$B$18,2,FALSE),"x",INT(Z9*15), "x", INT(AA9*15))</f>
        <v>0x0x0</v>
      </c>
      <c r="AD9">
        <f t="shared" si="0"/>
        <v>0</v>
      </c>
      <c r="AF9" t="str">
        <f>CONCATENATE(VLOOKUP(AD9,'Articulated Lengths'!$A$2:$B$16, 2, FALSE),IF(AE9&lt;&gt;"",CONCATENATE(",",VLOOKUP(AE9,$B$2:$AF$201,24,FALSE)),""))</f>
        <v>na</v>
      </c>
      <c r="AH9">
        <v>10</v>
      </c>
      <c r="AI9">
        <v>10</v>
      </c>
      <c r="AL9" t="str">
        <f>VLOOKUP(F9,Eras!$A$2:$C$14, 2, TRUE)</f>
        <v>vct1</v>
      </c>
      <c r="AM9" t="s">
        <v>498</v>
      </c>
      <c r="AN9" t="str">
        <f t="shared" si="1"/>
        <v>vct1_Mixed Traffic</v>
      </c>
    </row>
    <row r="10" spans="1:41" x14ac:dyDescent="0.25">
      <c r="A10" t="s">
        <v>188</v>
      </c>
      <c r="B10" t="s">
        <v>336</v>
      </c>
      <c r="C10" t="s">
        <v>213</v>
      </c>
      <c r="E10" t="s">
        <v>428</v>
      </c>
      <c r="F10">
        <v>1838</v>
      </c>
      <c r="V10" s="4" t="str">
        <f t="shared" si="2"/>
        <v/>
      </c>
      <c r="AC10" t="str">
        <f>CONCATENATE(VLOOKUP(AD10, 'Voxel Sizes'!$A$2:$B$18,2,FALSE),"x",INT(Z10*15), "x", INT(AA10*15))</f>
        <v>0x0x0</v>
      </c>
      <c r="AD10">
        <f t="shared" si="0"/>
        <v>0</v>
      </c>
      <c r="AF10" t="str">
        <f>CONCATENATE(VLOOKUP(AD10,'Articulated Lengths'!$A$2:$B$16, 2, FALSE),IF(AE10&lt;&gt;"",CONCATENATE(",",VLOOKUP(AE10,$B$2:$AF$201,24,FALSE)),""))</f>
        <v>na</v>
      </c>
      <c r="AH10">
        <v>10</v>
      </c>
      <c r="AI10">
        <v>10</v>
      </c>
      <c r="AL10" t="str">
        <f>VLOOKUP(F10,Eras!$A$2:$C$14, 2, TRUE)</f>
        <v>vct1</v>
      </c>
      <c r="AM10" t="s">
        <v>499</v>
      </c>
      <c r="AN10" t="str">
        <f t="shared" si="1"/>
        <v>vct1_Express</v>
      </c>
    </row>
    <row r="11" spans="1:41" x14ac:dyDescent="0.25">
      <c r="A11" t="s">
        <v>3</v>
      </c>
      <c r="B11" t="s">
        <v>217</v>
      </c>
      <c r="C11" t="s">
        <v>213</v>
      </c>
      <c r="E11" t="s">
        <v>428</v>
      </c>
      <c r="F11">
        <v>1846</v>
      </c>
      <c r="R11">
        <v>19</v>
      </c>
      <c r="U11">
        <v>34</v>
      </c>
      <c r="V11" s="4">
        <f t="shared" si="2"/>
        <v>0.17894736842105263</v>
      </c>
      <c r="AC11" t="str">
        <f>CONCATENATE(VLOOKUP(AD11, 'Voxel Sizes'!$A$2:$B$18,2,FALSE),"x",INT(Z11*15), "x", INT(AA11*15))</f>
        <v>0x0x0</v>
      </c>
      <c r="AD11">
        <f t="shared" si="0"/>
        <v>0</v>
      </c>
      <c r="AF11" t="str">
        <f>CONCATENATE(VLOOKUP(AD11,'Articulated Lengths'!$A$2:$B$16, 2, FALSE),IF(AE11&lt;&gt;"",CONCATENATE(",",VLOOKUP(AE11,$B$2:$AF$201,24,FALSE)),""))</f>
        <v>na</v>
      </c>
      <c r="AH11">
        <v>10</v>
      </c>
      <c r="AI11">
        <v>10</v>
      </c>
      <c r="AL11" t="str">
        <f>VLOOKUP(F11,Eras!$A$2:$C$14, 2, TRUE)</f>
        <v>vct1</v>
      </c>
      <c r="AN11" t="str">
        <f t="shared" si="1"/>
        <v>vct1_</v>
      </c>
    </row>
    <row r="12" spans="1:41" x14ac:dyDescent="0.25">
      <c r="A12" t="s">
        <v>6</v>
      </c>
      <c r="B12" t="s">
        <v>337</v>
      </c>
      <c r="C12" t="s">
        <v>213</v>
      </c>
      <c r="E12" t="s">
        <v>428</v>
      </c>
      <c r="F12">
        <v>1846</v>
      </c>
      <c r="R12">
        <v>42</v>
      </c>
      <c r="V12" s="4" t="str">
        <f t="shared" si="2"/>
        <v/>
      </c>
      <c r="X12">
        <v>6</v>
      </c>
      <c r="Y12">
        <v>6</v>
      </c>
      <c r="AC12" t="str">
        <f>CONCATENATE(VLOOKUP(AD12, 'Voxel Sizes'!$A$2:$B$18,2,FALSE),"x",INT(Z12*15), "x", INT(AA12*15))</f>
        <v>60x0x0</v>
      </c>
      <c r="AD12">
        <f t="shared" si="0"/>
        <v>4</v>
      </c>
      <c r="AF12" t="str">
        <f>CONCATENATE(VLOOKUP(AD12,'Articulated Lengths'!$A$2:$B$16, 2, FALSE),IF(AE12&lt;&gt;"",CONCATENATE(",",VLOOKUP(AE12,$B$2:$AF$201,24,FALSE)),""))</f>
        <v>1,2,1</v>
      </c>
      <c r="AH12">
        <v>10</v>
      </c>
      <c r="AI12">
        <v>10</v>
      </c>
      <c r="AL12" t="str">
        <f>VLOOKUP(F12,Eras!$A$2:$C$14, 2, TRUE)</f>
        <v>vct1</v>
      </c>
      <c r="AN12" t="str">
        <f t="shared" si="1"/>
        <v>vct1_</v>
      </c>
    </row>
    <row r="13" spans="1:41" x14ac:dyDescent="0.25">
      <c r="A13" t="s">
        <v>4</v>
      </c>
      <c r="B13" t="s">
        <v>218</v>
      </c>
      <c r="C13" t="s">
        <v>213</v>
      </c>
      <c r="E13" t="s">
        <v>428</v>
      </c>
      <c r="F13">
        <v>1847</v>
      </c>
      <c r="V13" s="4" t="str">
        <f>IF(AND(R13&gt;0,U13&gt;0),(U13/(R13*10)),"")</f>
        <v/>
      </c>
      <c r="W13">
        <v>60</v>
      </c>
      <c r="AC13" t="str">
        <f>CONCATENATE(VLOOKUP(AD13, 'Voxel Sizes'!$A$2:$B$18,2,FALSE),"x",INT(Z13*15), "x", INT(AA13*15))</f>
        <v>0x0x0</v>
      </c>
      <c r="AD13">
        <f t="shared" si="0"/>
        <v>0</v>
      </c>
      <c r="AF13" t="str">
        <f>CONCATENATE(VLOOKUP(AD13,'Articulated Lengths'!$A$2:$B$16, 2, FALSE),IF(AE13&lt;&gt;"",CONCATENATE(",",VLOOKUP(AE13,$B$2:$AF$201,24,FALSE)),""))</f>
        <v>na</v>
      </c>
      <c r="AH13">
        <v>10</v>
      </c>
      <c r="AI13">
        <v>10</v>
      </c>
      <c r="AL13" t="str">
        <f>VLOOKUP(F13,Eras!$A$2:$C$14, 2, TRUE)</f>
        <v>vct1</v>
      </c>
      <c r="AN13" t="str">
        <f t="shared" si="1"/>
        <v>vct1_</v>
      </c>
    </row>
    <row r="14" spans="1:41" x14ac:dyDescent="0.25">
      <c r="A14" t="s">
        <v>5</v>
      </c>
      <c r="B14" t="s">
        <v>219</v>
      </c>
      <c r="C14" t="s">
        <v>213</v>
      </c>
      <c r="E14" t="s">
        <v>428</v>
      </c>
      <c r="F14">
        <v>1852</v>
      </c>
      <c r="R14">
        <v>64</v>
      </c>
      <c r="U14">
        <v>65</v>
      </c>
      <c r="V14" s="4">
        <f t="shared" ref="V14:V77" si="3">IF(AND(R14&gt;0,U14&gt;0),(U14/(R14*10)),"")</f>
        <v>0.1015625</v>
      </c>
      <c r="AC14" t="str">
        <f>CONCATENATE(VLOOKUP(AD14, 'Voxel Sizes'!$A$2:$B$18,2,FALSE),"x",INT(Z14*15), "x", INT(AA14*15))</f>
        <v>0x0x0</v>
      </c>
      <c r="AD14">
        <f t="shared" si="0"/>
        <v>0</v>
      </c>
      <c r="AF14" t="str">
        <f>CONCATENATE(VLOOKUP(AD14,'Articulated Lengths'!$A$2:$B$16, 2, FALSE),IF(AE14&lt;&gt;"",CONCATENATE(",",VLOOKUP(AE14,$B$2:$AF$201,24,FALSE)),""))</f>
        <v>na</v>
      </c>
      <c r="AH14">
        <v>10</v>
      </c>
      <c r="AI14">
        <v>10</v>
      </c>
      <c r="AL14" t="str">
        <f>VLOOKUP(F14,Eras!$A$2:$C$14, 2, TRUE)</f>
        <v>vct1</v>
      </c>
      <c r="AN14" t="str">
        <f t="shared" si="1"/>
        <v>vct1_</v>
      </c>
    </row>
    <row r="15" spans="1:41" x14ac:dyDescent="0.25">
      <c r="A15" t="s">
        <v>7</v>
      </c>
      <c r="B15" t="s">
        <v>338</v>
      </c>
      <c r="C15" t="s">
        <v>213</v>
      </c>
      <c r="E15" t="s">
        <v>428</v>
      </c>
      <c r="F15">
        <v>1859</v>
      </c>
      <c r="R15">
        <v>27.4</v>
      </c>
      <c r="V15" s="4" t="str">
        <f t="shared" si="3"/>
        <v/>
      </c>
      <c r="W15">
        <v>70</v>
      </c>
      <c r="AC15" t="str">
        <f>CONCATENATE(VLOOKUP(AD15, 'Voxel Sizes'!$A$2:$B$18,2,FALSE),"x",INT(Z15*15), "x", INT(AA15*15))</f>
        <v>0x0x0</v>
      </c>
      <c r="AD15">
        <f t="shared" si="0"/>
        <v>0</v>
      </c>
      <c r="AF15" t="str">
        <f>CONCATENATE(VLOOKUP(AD15,'Articulated Lengths'!$A$2:$B$16, 2, FALSE),IF(AE15&lt;&gt;"",CONCATENATE(",",VLOOKUP(AE15,$B$2:$AF$201,24,FALSE)),""))</f>
        <v>na</v>
      </c>
      <c r="AH15">
        <v>10</v>
      </c>
      <c r="AI15">
        <v>10</v>
      </c>
      <c r="AL15" t="str">
        <f>VLOOKUP(F15,Eras!$A$2:$C$14, 2, TRUE)</f>
        <v>vct1</v>
      </c>
      <c r="AN15" t="str">
        <f t="shared" si="1"/>
        <v>vct1_</v>
      </c>
    </row>
    <row r="16" spans="1:41" x14ac:dyDescent="0.25">
      <c r="A16" t="s">
        <v>23</v>
      </c>
      <c r="B16" t="s">
        <v>220</v>
      </c>
      <c r="C16" t="s">
        <v>213</v>
      </c>
      <c r="E16" t="s">
        <v>428</v>
      </c>
      <c r="F16">
        <v>1868</v>
      </c>
      <c r="R16">
        <v>35.799999999999997</v>
      </c>
      <c r="U16">
        <v>65</v>
      </c>
      <c r="V16" s="4">
        <f t="shared" si="3"/>
        <v>0.18156424581005587</v>
      </c>
      <c r="X16">
        <v>8.65</v>
      </c>
      <c r="Y16">
        <v>8.65</v>
      </c>
      <c r="AA16">
        <v>3.7</v>
      </c>
      <c r="AC16" t="str">
        <f>CONCATENATE(VLOOKUP(AD16, 'Voxel Sizes'!$A$2:$B$18,2,FALSE),"x",INT(Z16*15), "x", INT(AA16*15))</f>
        <v>82x0x55</v>
      </c>
      <c r="AD16">
        <f t="shared" si="0"/>
        <v>5</v>
      </c>
      <c r="AF16" t="str">
        <f>CONCATENATE(VLOOKUP(AD16,'Articulated Lengths'!$A$2:$B$16, 2, FALSE),IF(AE16&lt;&gt;"",CONCATENATE(",",VLOOKUP(AE16,$B$2:$AF$201,24,FALSE)),""))</f>
        <v>1,3,1</v>
      </c>
      <c r="AH16">
        <v>10</v>
      </c>
      <c r="AI16">
        <v>10</v>
      </c>
      <c r="AL16" t="str">
        <f>VLOOKUP(F16,Eras!$A$2:$C$14, 2, TRUE)</f>
        <v>vct2</v>
      </c>
      <c r="AN16" t="str">
        <f t="shared" si="1"/>
        <v>vct2_</v>
      </c>
    </row>
    <row r="17" spans="1:41" x14ac:dyDescent="0.25">
      <c r="A17" t="s">
        <v>56</v>
      </c>
      <c r="B17" t="s">
        <v>339</v>
      </c>
      <c r="C17" t="s">
        <v>213</v>
      </c>
      <c r="E17" t="s">
        <v>428</v>
      </c>
      <c r="F17">
        <v>1872</v>
      </c>
      <c r="G17">
        <v>1880</v>
      </c>
      <c r="R17">
        <v>28</v>
      </c>
      <c r="U17">
        <v>34</v>
      </c>
      <c r="V17" s="4">
        <f t="shared" si="3"/>
        <v>0.12142857142857143</v>
      </c>
      <c r="W17">
        <v>45</v>
      </c>
      <c r="X17">
        <v>7.94</v>
      </c>
      <c r="Y17">
        <v>7.94</v>
      </c>
      <c r="AC17" t="str">
        <f>CONCATENATE(VLOOKUP(AD17, 'Voxel Sizes'!$A$2:$B$18,2,FALSE),"x",INT(Z17*15), "x", INT(AA17*15))</f>
        <v>82x0x0</v>
      </c>
      <c r="AD17">
        <f t="shared" si="0"/>
        <v>5</v>
      </c>
      <c r="AF17" t="str">
        <f>CONCATENATE(VLOOKUP(AD17,'Articulated Lengths'!$A$2:$B$16, 2, FALSE),IF(AE17&lt;&gt;"",CONCATENATE(",",VLOOKUP(AE17,$B$2:$AF$201,24,FALSE)),""))</f>
        <v>1,3,1</v>
      </c>
      <c r="AH17">
        <v>10</v>
      </c>
      <c r="AI17">
        <v>10</v>
      </c>
      <c r="AL17" t="str">
        <f>VLOOKUP(F17,Eras!$A$2:$C$14, 2, TRUE)</f>
        <v>vct2</v>
      </c>
      <c r="AN17" t="str">
        <f t="shared" si="1"/>
        <v>vct2_</v>
      </c>
    </row>
    <row r="18" spans="1:41" x14ac:dyDescent="0.25">
      <c r="A18" t="s">
        <v>9</v>
      </c>
      <c r="B18" t="s">
        <v>221</v>
      </c>
      <c r="C18" t="s">
        <v>213</v>
      </c>
      <c r="E18" t="s">
        <v>428</v>
      </c>
      <c r="F18">
        <v>1883</v>
      </c>
      <c r="R18">
        <f>41.6+34.3</f>
        <v>75.900000000000006</v>
      </c>
      <c r="U18">
        <v>75.400000000000006</v>
      </c>
      <c r="V18" s="4">
        <f t="shared" si="3"/>
        <v>9.9341238471673268E-2</v>
      </c>
      <c r="AC18" t="str">
        <f>CONCATENATE(VLOOKUP(AD18, 'Voxel Sizes'!$A$2:$B$18,2,FALSE),"x",INT(Z18*15), "x", INT(AA18*15))</f>
        <v>0x0x0</v>
      </c>
      <c r="AD18">
        <f t="shared" si="0"/>
        <v>0</v>
      </c>
      <c r="AF18" t="str">
        <f>CONCATENATE(VLOOKUP(AD18,'Articulated Lengths'!$A$2:$B$16, 2, FALSE),IF(AE18&lt;&gt;"",CONCATENATE(",",VLOOKUP(AE18,$B$2:$AF$201,24,FALSE)),""))</f>
        <v>na</v>
      </c>
      <c r="AH18">
        <v>10</v>
      </c>
      <c r="AI18">
        <v>10</v>
      </c>
      <c r="AL18" t="str">
        <f>VLOOKUP(F18,Eras!$A$2:$C$14, 2, TRUE)</f>
        <v>vct3</v>
      </c>
      <c r="AN18" t="str">
        <f t="shared" si="1"/>
        <v>vct3_</v>
      </c>
    </row>
    <row r="19" spans="1:41" x14ac:dyDescent="0.25">
      <c r="A19" t="s">
        <v>189</v>
      </c>
      <c r="B19" t="s">
        <v>222</v>
      </c>
      <c r="C19" t="s">
        <v>213</v>
      </c>
      <c r="E19" t="s">
        <v>428</v>
      </c>
      <c r="F19">
        <v>1883</v>
      </c>
      <c r="R19">
        <v>41.2</v>
      </c>
      <c r="U19">
        <v>76</v>
      </c>
      <c r="V19" s="4">
        <f t="shared" si="3"/>
        <v>0.18446601941747573</v>
      </c>
      <c r="X19">
        <v>14.4</v>
      </c>
      <c r="Y19">
        <v>14.4</v>
      </c>
      <c r="AC19" t="str">
        <f>CONCATENATE(VLOOKUP(AD19, 'Voxel Sizes'!$A$2:$B$18,2,FALSE),"x",INT(Z19*15), "x", INT(AA19*15))</f>
        <v>136x0x0</v>
      </c>
      <c r="AD19">
        <f t="shared" si="0"/>
        <v>8</v>
      </c>
      <c r="AF19" t="str">
        <f>CONCATENATE(VLOOKUP(AD19,'Articulated Lengths'!$A$2:$B$16, 2, FALSE),IF(AE19&lt;&gt;"",CONCATENATE(",",VLOOKUP(AE19,$B$2:$AF$201,24,FALSE)),""))</f>
        <v>2,4,2</v>
      </c>
      <c r="AH19">
        <v>10</v>
      </c>
      <c r="AI19">
        <v>10</v>
      </c>
      <c r="AL19" t="str">
        <f>VLOOKUP(F19,Eras!$A$2:$C$14, 2, TRUE)</f>
        <v>vct3</v>
      </c>
      <c r="AN19" t="str">
        <f t="shared" si="1"/>
        <v>vct3_</v>
      </c>
    </row>
    <row r="20" spans="1:41" x14ac:dyDescent="0.25">
      <c r="A20" t="s">
        <v>17</v>
      </c>
      <c r="B20" t="s">
        <v>223</v>
      </c>
      <c r="C20" t="s">
        <v>213</v>
      </c>
      <c r="E20" t="s">
        <v>428</v>
      </c>
      <c r="F20">
        <v>1888</v>
      </c>
      <c r="R20">
        <v>42.6</v>
      </c>
      <c r="U20">
        <v>88</v>
      </c>
      <c r="V20" s="4">
        <f t="shared" si="3"/>
        <v>0.20657276995305165</v>
      </c>
      <c r="X20">
        <v>14.99</v>
      </c>
      <c r="Y20">
        <v>14.99</v>
      </c>
      <c r="AC20" t="str">
        <f>CONCATENATE(VLOOKUP(AD20, 'Voxel Sizes'!$A$2:$B$18,2,FALSE),"x",INT(Z20*15), "x", INT(AA20*15))</f>
        <v>152x0x0</v>
      </c>
      <c r="AD20">
        <f t="shared" si="0"/>
        <v>9</v>
      </c>
      <c r="AF20" t="str">
        <f>CONCATENATE(VLOOKUP(AD20,'Articulated Lengths'!$A$2:$B$16, 2, FALSE),IF(AE20&lt;&gt;"",CONCATENATE(",",VLOOKUP(AE20,$B$2:$AF$201,24,FALSE)),""))</f>
        <v>2,5,2</v>
      </c>
      <c r="AH20">
        <v>10</v>
      </c>
      <c r="AI20">
        <v>10</v>
      </c>
      <c r="AL20" t="str">
        <f>VLOOKUP(F20,Eras!$A$2:$C$14, 2, TRUE)</f>
        <v>vct3</v>
      </c>
      <c r="AN20" t="str">
        <f t="shared" si="1"/>
        <v>vct3_</v>
      </c>
    </row>
    <row r="21" spans="1:41" x14ac:dyDescent="0.25">
      <c r="A21" t="s">
        <v>8</v>
      </c>
      <c r="B21" t="s">
        <v>224</v>
      </c>
      <c r="C21" t="s">
        <v>213</v>
      </c>
      <c r="E21" t="s">
        <v>428</v>
      </c>
      <c r="F21">
        <v>1891</v>
      </c>
      <c r="V21" s="4" t="str">
        <f t="shared" si="3"/>
        <v/>
      </c>
      <c r="AC21" t="str">
        <f>CONCATENATE(VLOOKUP(AD21, 'Voxel Sizes'!$A$2:$B$18,2,FALSE),"x",INT(Z21*15), "x", INT(AA21*15))</f>
        <v>0x0x0</v>
      </c>
      <c r="AD21">
        <f t="shared" si="0"/>
        <v>0</v>
      </c>
      <c r="AF21" t="str">
        <f>CONCATENATE(VLOOKUP(AD21,'Articulated Lengths'!$A$2:$B$16, 2, FALSE),IF(AE21&lt;&gt;"",CONCATENATE(",",VLOOKUP(AE21,$B$2:$AF$201,24,FALSE)),""))</f>
        <v>na</v>
      </c>
      <c r="AH21">
        <v>10</v>
      </c>
      <c r="AI21">
        <v>10</v>
      </c>
      <c r="AL21" t="str">
        <f>VLOOKUP(F21,Eras!$A$2:$C$14, 2, TRUE)</f>
        <v>vct3</v>
      </c>
      <c r="AM21" t="s">
        <v>499</v>
      </c>
      <c r="AN21" t="str">
        <f t="shared" si="1"/>
        <v>vct3_Express</v>
      </c>
    </row>
    <row r="22" spans="1:41" x14ac:dyDescent="0.25">
      <c r="A22" t="s">
        <v>19</v>
      </c>
      <c r="B22" t="s">
        <v>375</v>
      </c>
      <c r="C22" t="s">
        <v>213</v>
      </c>
      <c r="E22" t="s">
        <v>428</v>
      </c>
      <c r="F22">
        <v>1896</v>
      </c>
      <c r="R22">
        <v>48</v>
      </c>
      <c r="U22">
        <v>68</v>
      </c>
      <c r="V22" s="4">
        <f t="shared" si="3"/>
        <v>0.14166666666666666</v>
      </c>
      <c r="W22">
        <v>90</v>
      </c>
      <c r="AC22" t="str">
        <f>CONCATENATE(VLOOKUP(AD22, 'Voxel Sizes'!$A$2:$B$18,2,FALSE),"x",INT(Z22*15), "x", INT(AA22*15))</f>
        <v>0x0x0</v>
      </c>
      <c r="AD22">
        <f t="shared" si="0"/>
        <v>0</v>
      </c>
      <c r="AF22" t="str">
        <f>CONCATENATE(VLOOKUP(AD22,'Articulated Lengths'!$A$2:$B$16, 2, FALSE),IF(AE22&lt;&gt;"",CONCATENATE(",",VLOOKUP(AE22,$B$2:$AF$201,24,FALSE)),""))</f>
        <v>na</v>
      </c>
      <c r="AH22">
        <v>10</v>
      </c>
      <c r="AI22">
        <v>10</v>
      </c>
      <c r="AL22" t="str">
        <f>VLOOKUP(F22,Eras!$A$2:$C$14, 2, TRUE)</f>
        <v>vct3</v>
      </c>
      <c r="AN22" t="str">
        <f t="shared" si="1"/>
        <v>vct3_</v>
      </c>
    </row>
    <row r="23" spans="1:41" x14ac:dyDescent="0.25">
      <c r="A23" t="s">
        <v>197</v>
      </c>
      <c r="B23" t="s">
        <v>225</v>
      </c>
      <c r="C23" t="s">
        <v>213</v>
      </c>
      <c r="E23" t="s">
        <v>428</v>
      </c>
      <c r="F23">
        <v>1897</v>
      </c>
      <c r="G23">
        <v>1911</v>
      </c>
      <c r="U23">
        <v>87</v>
      </c>
      <c r="V23" s="4" t="str">
        <f t="shared" si="3"/>
        <v/>
      </c>
      <c r="X23">
        <v>10.5</v>
      </c>
      <c r="Y23">
        <v>10.5</v>
      </c>
      <c r="AC23" t="str">
        <f>CONCATENATE(VLOOKUP(AD23, 'Voxel Sizes'!$A$2:$B$18,2,FALSE),"x",INT(Z23*15), "x", INT(AA23*15))</f>
        <v>102x0x0</v>
      </c>
      <c r="AD23">
        <f t="shared" si="0"/>
        <v>6</v>
      </c>
      <c r="AF23" t="str">
        <f>CONCATENATE(VLOOKUP(AD23,'Articulated Lengths'!$A$2:$B$16, 2, FALSE),IF(AE23&lt;&gt;"",CONCATENATE(",",VLOOKUP(AE23,$B$2:$AF$201,24,FALSE)),""))</f>
        <v>2,2,2</v>
      </c>
      <c r="AH23">
        <v>10</v>
      </c>
      <c r="AI23">
        <v>10</v>
      </c>
      <c r="AL23" t="str">
        <f>VLOOKUP(F23,Eras!$A$2:$C$14, 2, TRUE)</f>
        <v>vct3</v>
      </c>
      <c r="AN23" t="str">
        <f t="shared" si="1"/>
        <v>vct3_</v>
      </c>
    </row>
    <row r="24" spans="1:41" x14ac:dyDescent="0.25">
      <c r="A24" t="s">
        <v>13</v>
      </c>
      <c r="B24" t="s">
        <v>374</v>
      </c>
      <c r="C24" t="s">
        <v>213</v>
      </c>
      <c r="E24" t="s">
        <v>428</v>
      </c>
      <c r="F24">
        <v>1899</v>
      </c>
      <c r="V24" s="4" t="str">
        <f t="shared" si="3"/>
        <v/>
      </c>
      <c r="AC24" t="str">
        <f>CONCATENATE(VLOOKUP(AD24, 'Voxel Sizes'!$A$2:$B$18,2,FALSE),"x",INT(Z24*15), "x", INT(AA24*15))</f>
        <v>0x0x0</v>
      </c>
      <c r="AD24">
        <f t="shared" si="0"/>
        <v>0</v>
      </c>
      <c r="AF24" t="str">
        <f>CONCATENATE(VLOOKUP(AD24,'Articulated Lengths'!$A$2:$B$16, 2, FALSE),IF(AE24&lt;&gt;"",CONCATENATE(",",VLOOKUP(AE24,$B$2:$AF$201,24,FALSE)),""))</f>
        <v>na</v>
      </c>
      <c r="AH24">
        <v>10</v>
      </c>
      <c r="AI24">
        <v>10</v>
      </c>
      <c r="AL24" t="str">
        <f>VLOOKUP(F24,Eras!$A$2:$C$14, 2, TRUE)</f>
        <v>vct3</v>
      </c>
      <c r="AN24" t="str">
        <f t="shared" si="1"/>
        <v>vct3_</v>
      </c>
    </row>
    <row r="25" spans="1:41" x14ac:dyDescent="0.25">
      <c r="A25" t="s">
        <v>18</v>
      </c>
      <c r="B25" t="s">
        <v>373</v>
      </c>
      <c r="C25" t="s">
        <v>416</v>
      </c>
      <c r="D25" t="s">
        <v>425</v>
      </c>
      <c r="E25" t="s">
        <v>428</v>
      </c>
      <c r="F25">
        <v>1902</v>
      </c>
      <c r="J25">
        <v>950</v>
      </c>
      <c r="K25">
        <v>20.3</v>
      </c>
      <c r="L25">
        <v>26</v>
      </c>
      <c r="M25">
        <v>3</v>
      </c>
      <c r="N25">
        <f>220*0.5</f>
        <v>110</v>
      </c>
      <c r="O25" s="5">
        <f>((($W25/2)/60)*5280)/($P25*3.2*PI())</f>
        <v>166.73374990579512</v>
      </c>
      <c r="P25">
        <v>2.1</v>
      </c>
      <c r="Q25">
        <f>((($K25*$K25/4)*PI())*($L25/12)*$M25*$N25*$O25)/(33000*1.1)</f>
        <v>1062.9305555555557</v>
      </c>
      <c r="R25">
        <v>62</v>
      </c>
      <c r="S25">
        <v>42</v>
      </c>
      <c r="U25">
        <v>97</v>
      </c>
      <c r="V25" s="4">
        <f t="shared" si="3"/>
        <v>0.15645161290322582</v>
      </c>
      <c r="W25">
        <v>80</v>
      </c>
      <c r="X25">
        <v>17.268999999999998</v>
      </c>
      <c r="Y25">
        <f>X25-7.5</f>
        <v>9.7689999999999984</v>
      </c>
      <c r="AC25" t="str">
        <f>CONCATENATE(VLOOKUP(AD25, 'Voxel Sizes'!$A$2:$B$18,2,FALSE),"x",INT(Z25*15), "x", INT(AA25*15))</f>
        <v>102x0x0</v>
      </c>
      <c r="AD25">
        <f t="shared" si="0"/>
        <v>6</v>
      </c>
      <c r="AE25" t="s">
        <v>464</v>
      </c>
      <c r="AF25" t="str">
        <f>CONCATENATE(VLOOKUP(AD25,'Articulated Lengths'!$A$2:$B$16, 2, FALSE),IF(AE25&lt;&gt;"",CONCATENATE(",",VLOOKUP(AE25,$B$2:$AF$201,24,FALSE)),""))</f>
        <v>2,2,2,8</v>
      </c>
      <c r="AG25">
        <v>1</v>
      </c>
      <c r="AH25">
        <v>10</v>
      </c>
      <c r="AI25">
        <v>10</v>
      </c>
      <c r="AL25" t="str">
        <f>VLOOKUP(F25,Eras!$A$2:$C$14, 2, TRUE)</f>
        <v>edw</v>
      </c>
      <c r="AM25" t="s">
        <v>499</v>
      </c>
      <c r="AN25" t="str">
        <f t="shared" si="1"/>
        <v>edw_Express</v>
      </c>
      <c r="AO25" t="s">
        <v>519</v>
      </c>
    </row>
    <row r="26" spans="1:41" x14ac:dyDescent="0.25">
      <c r="A26" t="s">
        <v>85</v>
      </c>
      <c r="B26" t="s">
        <v>226</v>
      </c>
      <c r="C26" t="s">
        <v>416</v>
      </c>
      <c r="D26" t="s">
        <v>450</v>
      </c>
      <c r="E26" t="s">
        <v>451</v>
      </c>
      <c r="F26">
        <v>1903</v>
      </c>
      <c r="G26">
        <v>1904</v>
      </c>
      <c r="J26">
        <v>640</v>
      </c>
      <c r="R26">
        <v>57</v>
      </c>
      <c r="U26">
        <v>111</v>
      </c>
      <c r="V26" s="4">
        <f t="shared" si="3"/>
        <v>0.19473684210526315</v>
      </c>
      <c r="W26">
        <v>27</v>
      </c>
      <c r="X26">
        <v>11.56</v>
      </c>
      <c r="Y26">
        <v>11.56</v>
      </c>
      <c r="AA26">
        <v>3.93</v>
      </c>
      <c r="AC26" t="str">
        <f>CONCATENATE(VLOOKUP(AD26, 'Voxel Sizes'!$A$2:$B$18,2,FALSE),"x",INT(Z26*15), "x", INT(AA26*15))</f>
        <v>120x0x58</v>
      </c>
      <c r="AD26">
        <f t="shared" si="0"/>
        <v>7</v>
      </c>
      <c r="AF26" t="str">
        <f>CONCATENATE(VLOOKUP(AD26,'Articulated Lengths'!$A$2:$B$16, 2, FALSE),IF(AE26&lt;&gt;"",CONCATENATE(",",VLOOKUP(AE26,$B$2:$AF$201,24,FALSE)),""))</f>
        <v>2,3,2</v>
      </c>
      <c r="AH26">
        <v>10</v>
      </c>
      <c r="AI26">
        <v>10</v>
      </c>
      <c r="AL26" t="str">
        <f>VLOOKUP(F26,Eras!$A$2:$C$14, 2, TRUE)</f>
        <v>edw</v>
      </c>
      <c r="AM26" t="s">
        <v>510</v>
      </c>
      <c r="AN26" t="str">
        <f t="shared" si="1"/>
        <v>edw_Freight (Electric)</v>
      </c>
      <c r="AO26" t="s">
        <v>521</v>
      </c>
    </row>
    <row r="27" spans="1:41" x14ac:dyDescent="0.25">
      <c r="A27" t="s">
        <v>194</v>
      </c>
      <c r="B27" t="s">
        <v>227</v>
      </c>
      <c r="C27" t="s">
        <v>416</v>
      </c>
      <c r="D27" t="s">
        <v>426</v>
      </c>
      <c r="E27" t="s">
        <v>428</v>
      </c>
      <c r="F27">
        <v>1903</v>
      </c>
      <c r="J27">
        <v>85</v>
      </c>
      <c r="R27">
        <v>35</v>
      </c>
      <c r="U27">
        <v>45</v>
      </c>
      <c r="V27" s="4">
        <f t="shared" si="3"/>
        <v>0.12857142857142856</v>
      </c>
      <c r="W27">
        <v>40</v>
      </c>
      <c r="X27">
        <v>16.7</v>
      </c>
      <c r="Y27">
        <v>16.7</v>
      </c>
      <c r="Z27">
        <v>2.59</v>
      </c>
      <c r="AA27">
        <v>3.98</v>
      </c>
      <c r="AB27">
        <v>48</v>
      </c>
      <c r="AC27" t="str">
        <f>CONCATENATE(VLOOKUP(AD27, 'Voxel Sizes'!$A$2:$B$18,2,FALSE),"x",INT(Z27*15), "x", INT(AA27*15))</f>
        <v>164x38x59</v>
      </c>
      <c r="AD27">
        <f t="shared" si="0"/>
        <v>10</v>
      </c>
      <c r="AF27" t="str">
        <f>CONCATENATE(VLOOKUP(AD27,'Articulated Lengths'!$A$2:$B$16, 2, FALSE),IF(AE27&lt;&gt;"",CONCATENATE(",",VLOOKUP(AE27,$B$2:$AF$201,24,FALSE)),""))</f>
        <v>3,4,3</v>
      </c>
      <c r="AH27">
        <v>10</v>
      </c>
      <c r="AI27">
        <v>10</v>
      </c>
      <c r="AK27" t="s">
        <v>437</v>
      </c>
      <c r="AL27" t="str">
        <f>VLOOKUP(F27,Eras!$A$2:$C$14, 2, TRUE)</f>
        <v>edw</v>
      </c>
      <c r="AM27" t="s">
        <v>501</v>
      </c>
      <c r="AN27" t="str">
        <f t="shared" si="1"/>
        <v>edw_DMU (Cheap)</v>
      </c>
      <c r="AO27" t="s">
        <v>520</v>
      </c>
    </row>
    <row r="28" spans="1:41" x14ac:dyDescent="0.25">
      <c r="A28" t="s">
        <v>20</v>
      </c>
      <c r="B28" t="s">
        <v>228</v>
      </c>
      <c r="C28" t="s">
        <v>416</v>
      </c>
      <c r="D28" t="s">
        <v>425</v>
      </c>
      <c r="E28" t="s">
        <v>428</v>
      </c>
      <c r="F28">
        <v>1904</v>
      </c>
      <c r="H28">
        <v>1962</v>
      </c>
      <c r="J28">
        <v>730</v>
      </c>
      <c r="K28">
        <v>18</v>
      </c>
      <c r="L28">
        <v>26</v>
      </c>
      <c r="M28">
        <v>2</v>
      </c>
      <c r="N28">
        <v>160</v>
      </c>
      <c r="O28" s="5">
        <f>((($W28/2)/60)*5280)/($P28*3.2*PI())</f>
        <v>150.4511571415573</v>
      </c>
      <c r="P28">
        <v>1.6</v>
      </c>
      <c r="Q28">
        <f>((($K28*$K28/4)*PI())*($L28/12)*$M28*$N28*$O28)/(33000*1.1)</f>
        <v>731.24999999999977</v>
      </c>
      <c r="R28">
        <v>55</v>
      </c>
      <c r="U28">
        <v>77</v>
      </c>
      <c r="V28" s="4">
        <f t="shared" si="3"/>
        <v>0.14000000000000001</v>
      </c>
      <c r="W28">
        <v>55</v>
      </c>
      <c r="X28">
        <v>10.02</v>
      </c>
      <c r="Y28">
        <v>10.02</v>
      </c>
      <c r="AC28" t="str">
        <f>CONCATENATE(VLOOKUP(AD28, 'Voxel Sizes'!$A$2:$B$18,2,FALSE),"x",INT(Z28*15), "x", INT(AA28*15))</f>
        <v>102x0x0</v>
      </c>
      <c r="AD28">
        <f t="shared" si="0"/>
        <v>6</v>
      </c>
      <c r="AF28" t="str">
        <f>CONCATENATE(VLOOKUP(AD28,'Articulated Lengths'!$A$2:$B$16, 2, FALSE),IF(AE28&lt;&gt;"",CONCATENATE(",",VLOOKUP(AE28,$B$2:$AF$201,24,FALSE)),""))</f>
        <v>2,2,2</v>
      </c>
      <c r="AG28">
        <v>1</v>
      </c>
      <c r="AH28">
        <v>10</v>
      </c>
      <c r="AI28">
        <v>10</v>
      </c>
      <c r="AL28" t="str">
        <f>VLOOKUP(F28,Eras!$A$2:$C$14, 2, TRUE)</f>
        <v>edw</v>
      </c>
      <c r="AM28" t="s">
        <v>548</v>
      </c>
      <c r="AN28" t="str">
        <f t="shared" si="1"/>
        <v>edw_Passenger</v>
      </c>
      <c r="AO28" t="s">
        <v>540</v>
      </c>
    </row>
    <row r="29" spans="1:41" x14ac:dyDescent="0.25">
      <c r="A29" t="s">
        <v>25</v>
      </c>
      <c r="B29" t="s">
        <v>229</v>
      </c>
      <c r="C29" t="s">
        <v>213</v>
      </c>
      <c r="E29" t="s">
        <v>428</v>
      </c>
      <c r="F29">
        <v>1904</v>
      </c>
      <c r="G29">
        <v>1914</v>
      </c>
      <c r="R29">
        <v>63.4</v>
      </c>
      <c r="U29">
        <v>95</v>
      </c>
      <c r="V29" s="4">
        <f t="shared" si="3"/>
        <v>0.14984227129337541</v>
      </c>
      <c r="AC29" t="str">
        <f>CONCATENATE(VLOOKUP(AD29, 'Voxel Sizes'!$A$2:$B$18,2,FALSE),"x",INT(Z29*15), "x", INT(AA29*15))</f>
        <v>0x0x0</v>
      </c>
      <c r="AD29">
        <f t="shared" si="0"/>
        <v>0</v>
      </c>
      <c r="AF29" t="str">
        <f>CONCATENATE(VLOOKUP(AD29,'Articulated Lengths'!$A$2:$B$16, 2, FALSE),IF(AE29&lt;&gt;"",CONCATENATE(",",VLOOKUP(AE29,$B$2:$AF$201,24,FALSE)),""))</f>
        <v>na</v>
      </c>
      <c r="AH29">
        <v>10</v>
      </c>
      <c r="AI29">
        <v>10</v>
      </c>
      <c r="AL29" t="str">
        <f>VLOOKUP(F29,Eras!$A$2:$C$14, 2, TRUE)</f>
        <v>edw</v>
      </c>
      <c r="AN29" t="str">
        <f t="shared" si="1"/>
        <v>edw_</v>
      </c>
    </row>
    <row r="30" spans="1:41" x14ac:dyDescent="0.25">
      <c r="A30" t="s">
        <v>14</v>
      </c>
      <c r="B30" t="s">
        <v>230</v>
      </c>
      <c r="C30" t="s">
        <v>213</v>
      </c>
      <c r="E30" t="s">
        <v>428</v>
      </c>
      <c r="F30">
        <v>1911</v>
      </c>
      <c r="R30">
        <v>74</v>
      </c>
      <c r="U30">
        <v>139</v>
      </c>
      <c r="V30" s="4">
        <f t="shared" si="3"/>
        <v>0.18783783783783783</v>
      </c>
      <c r="X30">
        <v>18.8</v>
      </c>
      <c r="Y30">
        <v>18.8</v>
      </c>
      <c r="AC30" t="str">
        <f>CONCATENATE(VLOOKUP(AD30, 'Voxel Sizes'!$A$2:$B$18,2,FALSE),"x",INT(Z30*15), "x", INT(AA30*15))</f>
        <v>186x0x0</v>
      </c>
      <c r="AD30">
        <f t="shared" si="0"/>
        <v>11</v>
      </c>
      <c r="AF30" t="str">
        <f>CONCATENATE(VLOOKUP(AD30,'Articulated Lengths'!$A$2:$B$16, 2, FALSE),IF(AE30&lt;&gt;"",CONCATENATE(",",VLOOKUP(AE30,$B$2:$AF$201,24,FALSE)),""))</f>
        <v>3,5,3</v>
      </c>
      <c r="AH30">
        <v>10</v>
      </c>
      <c r="AI30">
        <v>10</v>
      </c>
      <c r="AL30" t="str">
        <f>VLOOKUP(F30,Eras!$A$2:$C$14, 2, TRUE)</f>
        <v>edw</v>
      </c>
      <c r="AN30" t="str">
        <f t="shared" si="1"/>
        <v>edw_</v>
      </c>
    </row>
    <row r="31" spans="1:41" x14ac:dyDescent="0.25">
      <c r="A31" t="s">
        <v>37</v>
      </c>
      <c r="B31" t="s">
        <v>231</v>
      </c>
      <c r="C31" t="s">
        <v>213</v>
      </c>
      <c r="E31" t="s">
        <v>428</v>
      </c>
      <c r="F31">
        <v>1911</v>
      </c>
      <c r="G31">
        <v>1926</v>
      </c>
      <c r="R31">
        <v>87</v>
      </c>
      <c r="U31">
        <v>106</v>
      </c>
      <c r="V31" s="4">
        <f t="shared" si="3"/>
        <v>0.12183908045977011</v>
      </c>
      <c r="X31">
        <v>13.1</v>
      </c>
      <c r="Y31">
        <v>13.1</v>
      </c>
      <c r="AC31" t="str">
        <f>CONCATENATE(VLOOKUP(AD31, 'Voxel Sizes'!$A$2:$B$18,2,FALSE),"x",INT(Z31*15), "x", INT(AA31*15))</f>
        <v>136x0x0</v>
      </c>
      <c r="AD31">
        <f t="shared" si="0"/>
        <v>8</v>
      </c>
      <c r="AF31" t="str">
        <f>CONCATENATE(VLOOKUP(AD31,'Articulated Lengths'!$A$2:$B$16, 2, FALSE),IF(AE31&lt;&gt;"",CONCATENATE(",",VLOOKUP(AE31,$B$2:$AF$201,24,FALSE)),""))</f>
        <v>2,4,2</v>
      </c>
      <c r="AH31">
        <v>10</v>
      </c>
      <c r="AI31">
        <v>10</v>
      </c>
      <c r="AL31" t="str">
        <f>VLOOKUP(F31,Eras!$A$2:$C$14, 2, TRUE)</f>
        <v>edw</v>
      </c>
      <c r="AN31" t="str">
        <f t="shared" si="1"/>
        <v>edw_</v>
      </c>
    </row>
    <row r="32" spans="1:41" x14ac:dyDescent="0.25">
      <c r="A32" t="s">
        <v>38</v>
      </c>
      <c r="B32" t="s">
        <v>232</v>
      </c>
      <c r="C32" t="s">
        <v>213</v>
      </c>
      <c r="E32" t="s">
        <v>428</v>
      </c>
      <c r="F32">
        <v>1911</v>
      </c>
      <c r="G32">
        <v>1914</v>
      </c>
      <c r="R32">
        <v>75</v>
      </c>
      <c r="U32">
        <v>139</v>
      </c>
      <c r="V32" s="4">
        <f t="shared" si="3"/>
        <v>0.18533333333333332</v>
      </c>
      <c r="X32">
        <v>18.809999999999999</v>
      </c>
      <c r="Y32">
        <v>18.809999999999999</v>
      </c>
      <c r="AC32" t="str">
        <f>CONCATENATE(VLOOKUP(AD32, 'Voxel Sizes'!$A$2:$B$18,2,FALSE),"x",INT(Z32*15), "x", INT(AA32*15))</f>
        <v>186x0x0</v>
      </c>
      <c r="AD32">
        <f t="shared" si="0"/>
        <v>11</v>
      </c>
      <c r="AF32" t="str">
        <f>CONCATENATE(VLOOKUP(AD32,'Articulated Lengths'!$A$2:$B$16, 2, FALSE),IF(AE32&lt;&gt;"",CONCATENATE(",",VLOOKUP(AE32,$B$2:$AF$201,24,FALSE)),""))</f>
        <v>3,5,3</v>
      </c>
      <c r="AH32">
        <v>10</v>
      </c>
      <c r="AI32">
        <v>10</v>
      </c>
      <c r="AL32" t="str">
        <f>VLOOKUP(F32,Eras!$A$2:$C$14, 2, TRUE)</f>
        <v>edw</v>
      </c>
      <c r="AN32" t="str">
        <f t="shared" si="1"/>
        <v>edw_</v>
      </c>
    </row>
    <row r="33" spans="1:41" x14ac:dyDescent="0.25">
      <c r="A33" t="s">
        <v>36</v>
      </c>
      <c r="B33" t="s">
        <v>233</v>
      </c>
      <c r="C33" t="s">
        <v>213</v>
      </c>
      <c r="E33" t="s">
        <v>428</v>
      </c>
      <c r="F33">
        <v>1912</v>
      </c>
      <c r="R33">
        <v>61</v>
      </c>
      <c r="U33">
        <v>104</v>
      </c>
      <c r="V33" s="4">
        <f t="shared" si="3"/>
        <v>0.17049180327868851</v>
      </c>
      <c r="W33">
        <v>60</v>
      </c>
      <c r="AC33" t="str">
        <f>CONCATENATE(VLOOKUP(AD33, 'Voxel Sizes'!$A$2:$B$18,2,FALSE),"x",INT(Z33*15), "x", INT(AA33*15))</f>
        <v>0x0x0</v>
      </c>
      <c r="AD33">
        <f t="shared" si="0"/>
        <v>0</v>
      </c>
      <c r="AF33" t="str">
        <f>CONCATENATE(VLOOKUP(AD33,'Articulated Lengths'!$A$2:$B$16, 2, FALSE),IF(AE33&lt;&gt;"",CONCATENATE(",",VLOOKUP(AE33,$B$2:$AF$201,24,FALSE)),""))</f>
        <v>na</v>
      </c>
      <c r="AH33">
        <v>10</v>
      </c>
      <c r="AI33">
        <v>10</v>
      </c>
      <c r="AL33" t="str">
        <f>VLOOKUP(F33,Eras!$A$2:$C$14, 2, TRUE)</f>
        <v>edw</v>
      </c>
      <c r="AN33" t="str">
        <f t="shared" si="1"/>
        <v>edw_</v>
      </c>
    </row>
    <row r="34" spans="1:41" x14ac:dyDescent="0.25">
      <c r="A34" t="s">
        <v>86</v>
      </c>
      <c r="B34" t="s">
        <v>234</v>
      </c>
      <c r="C34" t="s">
        <v>213</v>
      </c>
      <c r="E34" t="s">
        <v>428</v>
      </c>
      <c r="F34">
        <v>1914</v>
      </c>
      <c r="G34">
        <v>1919</v>
      </c>
      <c r="J34">
        <v>1100</v>
      </c>
      <c r="R34">
        <v>76</v>
      </c>
      <c r="U34">
        <v>140</v>
      </c>
      <c r="V34" s="4">
        <f t="shared" si="3"/>
        <v>0.18421052631578946</v>
      </c>
      <c r="W34">
        <v>35</v>
      </c>
      <c r="X34">
        <v>12</v>
      </c>
      <c r="Y34">
        <v>12</v>
      </c>
      <c r="AC34" t="str">
        <f>CONCATENATE(VLOOKUP(AD34, 'Voxel Sizes'!$A$2:$B$18,2,FALSE),"x",INT(Z34*15), "x", INT(AA34*15))</f>
        <v>120x0x0</v>
      </c>
      <c r="AD34">
        <f t="shared" si="0"/>
        <v>7</v>
      </c>
      <c r="AF34" t="str">
        <f>CONCATENATE(VLOOKUP(AD34,'Articulated Lengths'!$A$2:$B$16, 2, FALSE),IF(AE34&lt;&gt;"",CONCATENATE(",",VLOOKUP(AE34,$B$2:$AF$201,24,FALSE)),""))</f>
        <v>2,3,2</v>
      </c>
      <c r="AH34">
        <v>10</v>
      </c>
      <c r="AI34">
        <v>10</v>
      </c>
      <c r="AL34" t="str">
        <f>VLOOKUP(F34,Eras!$A$2:$C$14, 2, TRUE)</f>
        <v>edw</v>
      </c>
      <c r="AN34" t="str">
        <f t="shared" si="1"/>
        <v>edw_</v>
      </c>
    </row>
    <row r="35" spans="1:41" x14ac:dyDescent="0.25">
      <c r="A35" t="s">
        <v>51</v>
      </c>
      <c r="B35" t="s">
        <v>235</v>
      </c>
      <c r="C35" t="s">
        <v>213</v>
      </c>
      <c r="E35" t="s">
        <v>428</v>
      </c>
      <c r="F35">
        <v>1921</v>
      </c>
      <c r="G35">
        <v>1922</v>
      </c>
      <c r="R35">
        <v>63</v>
      </c>
      <c r="S35">
        <v>41</v>
      </c>
      <c r="U35">
        <v>125</v>
      </c>
      <c r="V35" s="4">
        <f t="shared" si="3"/>
        <v>0.1984126984126984</v>
      </c>
      <c r="AC35" t="str">
        <f>CONCATENATE(VLOOKUP(AD35, 'Voxel Sizes'!$A$2:$B$18,2,FALSE),"x",INT(Z35*15), "x", INT(AA35*15))</f>
        <v>0x0x0</v>
      </c>
      <c r="AD35">
        <f t="shared" si="0"/>
        <v>0</v>
      </c>
      <c r="AF35" t="str">
        <f>CONCATENATE(VLOOKUP(AD35,'Articulated Lengths'!$A$2:$B$16, 2, FALSE),IF(AE35&lt;&gt;"",CONCATENATE(",",VLOOKUP(AE35,$B$2:$AF$201,24,FALSE)),""))</f>
        <v>na</v>
      </c>
      <c r="AH35">
        <v>10</v>
      </c>
      <c r="AI35">
        <v>10</v>
      </c>
      <c r="AL35" t="str">
        <f>VLOOKUP(F35,Eras!$A$2:$C$14, 2, TRUE)</f>
        <v>big4</v>
      </c>
      <c r="AN35" t="str">
        <f t="shared" si="1"/>
        <v>big4_</v>
      </c>
    </row>
    <row r="36" spans="1:41" x14ac:dyDescent="0.25">
      <c r="A36" t="s">
        <v>32</v>
      </c>
      <c r="B36" t="s">
        <v>236</v>
      </c>
      <c r="C36" t="s">
        <v>213</v>
      </c>
      <c r="E36" t="s">
        <v>428</v>
      </c>
      <c r="F36">
        <v>1922</v>
      </c>
      <c r="G36">
        <v>1924</v>
      </c>
      <c r="U36">
        <v>119</v>
      </c>
      <c r="V36" s="4" t="str">
        <f t="shared" si="3"/>
        <v/>
      </c>
      <c r="AC36" t="str">
        <f>CONCATENATE(VLOOKUP(AD36, 'Voxel Sizes'!$A$2:$B$18,2,FALSE),"x",INT(Z36*15), "x", INT(AA36*15))</f>
        <v>0x0x0</v>
      </c>
      <c r="AD36">
        <f t="shared" si="0"/>
        <v>0</v>
      </c>
      <c r="AF36" t="str">
        <f>CONCATENATE(VLOOKUP(AD36,'Articulated Lengths'!$A$2:$B$16, 2, FALSE),IF(AE36&lt;&gt;"",CONCATENATE(",",VLOOKUP(AE36,$B$2:$AF$201,24,FALSE)),""))</f>
        <v>na</v>
      </c>
      <c r="AH36">
        <v>10</v>
      </c>
      <c r="AI36">
        <v>10</v>
      </c>
      <c r="AL36" t="str">
        <f>VLOOKUP(F36,Eras!$A$2:$C$14, 2, TRUE)</f>
        <v>big4</v>
      </c>
      <c r="AN36" t="str">
        <f t="shared" si="1"/>
        <v>big4_</v>
      </c>
    </row>
    <row r="37" spans="1:41" x14ac:dyDescent="0.25">
      <c r="A37" t="s">
        <v>11</v>
      </c>
      <c r="B37" t="s">
        <v>237</v>
      </c>
      <c r="C37" t="s">
        <v>213</v>
      </c>
      <c r="E37" t="s">
        <v>428</v>
      </c>
      <c r="F37">
        <v>1923</v>
      </c>
      <c r="J37">
        <v>800</v>
      </c>
      <c r="R37">
        <f>49.5+41.8</f>
        <v>91.3</v>
      </c>
      <c r="U37">
        <v>109</v>
      </c>
      <c r="V37" s="4">
        <f t="shared" si="3"/>
        <v>0.11938663745892661</v>
      </c>
      <c r="X37">
        <v>15.8</v>
      </c>
      <c r="Y37">
        <v>15.8</v>
      </c>
      <c r="AC37" t="str">
        <f>CONCATENATE(VLOOKUP(AD37, 'Voxel Sizes'!$A$2:$B$18,2,FALSE),"x",INT(Z37*15), "x", INT(AA37*15))</f>
        <v>152x0x0</v>
      </c>
      <c r="AD37">
        <f t="shared" si="0"/>
        <v>9</v>
      </c>
      <c r="AF37" t="str">
        <f>CONCATENATE(VLOOKUP(AD37,'Articulated Lengths'!$A$2:$B$16, 2, FALSE),IF(AE37&lt;&gt;"",CONCATENATE(",",VLOOKUP(AE37,$B$2:$AF$201,24,FALSE)),""))</f>
        <v>2,5,2</v>
      </c>
      <c r="AH37">
        <v>10</v>
      </c>
      <c r="AI37">
        <v>10</v>
      </c>
      <c r="AL37" t="str">
        <f>VLOOKUP(F37,Eras!$A$2:$C$14, 2, TRUE)</f>
        <v>big4</v>
      </c>
      <c r="AM37" t="s">
        <v>498</v>
      </c>
      <c r="AN37" t="str">
        <f t="shared" si="1"/>
        <v>big4_Mixed Traffic</v>
      </c>
    </row>
    <row r="38" spans="1:41" x14ac:dyDescent="0.25">
      <c r="A38" t="s">
        <v>24</v>
      </c>
      <c r="B38" t="s">
        <v>238</v>
      </c>
      <c r="C38" t="s">
        <v>213</v>
      </c>
      <c r="E38" t="s">
        <v>428</v>
      </c>
      <c r="F38">
        <v>1923</v>
      </c>
      <c r="G38">
        <v>1950</v>
      </c>
      <c r="R38">
        <v>81.099999999999994</v>
      </c>
      <c r="U38">
        <v>141</v>
      </c>
      <c r="V38" s="4">
        <f t="shared" si="3"/>
        <v>0.17385943279901356</v>
      </c>
      <c r="W38">
        <v>102</v>
      </c>
      <c r="X38">
        <v>19.86</v>
      </c>
      <c r="Y38">
        <v>19.86</v>
      </c>
      <c r="AA38">
        <v>4.07</v>
      </c>
      <c r="AC38" t="str">
        <f>CONCATENATE(VLOOKUP(AD38, 'Voxel Sizes'!$A$2:$B$18,2,FALSE),"x",INT(Z38*15), "x", INT(AA38*15))</f>
        <v>198x0x61</v>
      </c>
      <c r="AD38">
        <f t="shared" si="0"/>
        <v>12</v>
      </c>
      <c r="AF38" t="str">
        <f>CONCATENATE(VLOOKUP(AD38,'Articulated Lengths'!$A$2:$B$16, 2, FALSE),IF(AE38&lt;&gt;"",CONCATENATE(",",VLOOKUP(AE38,$B$2:$AF$201,24,FALSE)),""))</f>
        <v>3,6,3</v>
      </c>
      <c r="AH38">
        <v>10</v>
      </c>
      <c r="AI38">
        <v>10</v>
      </c>
      <c r="AL38" t="str">
        <f>VLOOKUP(F38,Eras!$A$2:$C$14, 2, TRUE)</f>
        <v>big4</v>
      </c>
      <c r="AN38" t="str">
        <f t="shared" si="1"/>
        <v>big4_</v>
      </c>
    </row>
    <row r="39" spans="1:41" x14ac:dyDescent="0.25">
      <c r="A39" t="s">
        <v>193</v>
      </c>
      <c r="B39" t="s">
        <v>372</v>
      </c>
      <c r="C39" t="s">
        <v>213</v>
      </c>
      <c r="E39" t="s">
        <v>428</v>
      </c>
      <c r="F39">
        <v>1899</v>
      </c>
      <c r="G39">
        <v>1902</v>
      </c>
      <c r="R39">
        <v>49.5</v>
      </c>
      <c r="U39">
        <v>92</v>
      </c>
      <c r="V39" s="4">
        <f t="shared" si="3"/>
        <v>0.18585858585858586</v>
      </c>
      <c r="AC39" t="str">
        <f>CONCATENATE(VLOOKUP(AD39, 'Voxel Sizes'!$A$2:$B$18,2,FALSE),"x",INT(Z39*15), "x", INT(AA39*15))</f>
        <v>0x0x0</v>
      </c>
      <c r="AD39">
        <f t="shared" si="0"/>
        <v>0</v>
      </c>
      <c r="AF39" t="str">
        <f>CONCATENATE(VLOOKUP(AD39,'Articulated Lengths'!$A$2:$B$16, 2, FALSE),IF(AE39&lt;&gt;"",CONCATENATE(",",VLOOKUP(AE39,$B$2:$AF$201,24,FALSE)),""))</f>
        <v>na</v>
      </c>
      <c r="AH39">
        <v>10</v>
      </c>
      <c r="AI39">
        <v>10</v>
      </c>
      <c r="AL39" t="str">
        <f>VLOOKUP(F39,Eras!$A$2:$C$14, 2, TRUE)</f>
        <v>vct3</v>
      </c>
      <c r="AN39" t="str">
        <f t="shared" si="1"/>
        <v>vct3_</v>
      </c>
    </row>
    <row r="40" spans="1:41" x14ac:dyDescent="0.25">
      <c r="A40" t="s">
        <v>10</v>
      </c>
      <c r="B40" t="s">
        <v>239</v>
      </c>
      <c r="C40" t="s">
        <v>416</v>
      </c>
      <c r="D40" t="s">
        <v>425</v>
      </c>
      <c r="E40" t="s">
        <v>428</v>
      </c>
      <c r="F40">
        <v>1924</v>
      </c>
      <c r="J40">
        <v>700</v>
      </c>
      <c r="R40">
        <v>50.2</v>
      </c>
      <c r="U40">
        <v>93</v>
      </c>
      <c r="V40" s="4">
        <f t="shared" si="3"/>
        <v>0.1852589641434263</v>
      </c>
      <c r="W40">
        <v>45</v>
      </c>
      <c r="X40">
        <v>9.57</v>
      </c>
      <c r="Y40">
        <v>9.57</v>
      </c>
      <c r="AC40" t="str">
        <f>CONCATENATE(VLOOKUP(AD40, 'Voxel Sizes'!$A$2:$B$18,2,FALSE),"x",INT(Z40*15), "x", INT(AA40*15))</f>
        <v>102x0x0</v>
      </c>
      <c r="AD40">
        <f t="shared" si="0"/>
        <v>6</v>
      </c>
      <c r="AF40" t="str">
        <f>CONCATENATE(VLOOKUP(AD40,'Articulated Lengths'!$A$2:$B$16, 2, FALSE),IF(AE40&lt;&gt;"",CONCATENATE(",",VLOOKUP(AE40,$B$2:$AF$201,24,FALSE)),""))</f>
        <v>2,2,2</v>
      </c>
      <c r="AG40">
        <v>1</v>
      </c>
      <c r="AH40">
        <v>10</v>
      </c>
      <c r="AI40">
        <v>10</v>
      </c>
      <c r="AL40" t="str">
        <f>VLOOKUP(F40,Eras!$A$2:$C$14, 2, TRUE)</f>
        <v>big4</v>
      </c>
      <c r="AM40" t="s">
        <v>497</v>
      </c>
      <c r="AN40" t="str">
        <f t="shared" si="1"/>
        <v>big4_Cheap</v>
      </c>
      <c r="AO40" t="s">
        <v>522</v>
      </c>
    </row>
    <row r="41" spans="1:41" x14ac:dyDescent="0.25">
      <c r="A41" t="s">
        <v>26</v>
      </c>
      <c r="B41" t="s">
        <v>240</v>
      </c>
      <c r="C41" t="s">
        <v>416</v>
      </c>
      <c r="D41" t="s">
        <v>425</v>
      </c>
      <c r="E41" t="s">
        <v>428</v>
      </c>
      <c r="F41">
        <v>1924</v>
      </c>
      <c r="G41">
        <v>1928</v>
      </c>
      <c r="J41">
        <v>900</v>
      </c>
      <c r="R41">
        <v>62</v>
      </c>
      <c r="U41">
        <v>115</v>
      </c>
      <c r="V41" s="4">
        <f t="shared" si="3"/>
        <v>0.18548387096774194</v>
      </c>
      <c r="W41">
        <v>60</v>
      </c>
      <c r="X41">
        <v>11.43</v>
      </c>
      <c r="Y41">
        <v>11.43</v>
      </c>
      <c r="AC41" t="str">
        <f>CONCATENATE(VLOOKUP(AD41, 'Voxel Sizes'!$A$2:$B$18,2,FALSE),"x",INT(Z41*15), "x", INT(AA41*15))</f>
        <v>120x0x0</v>
      </c>
      <c r="AD41">
        <f t="shared" si="0"/>
        <v>7</v>
      </c>
      <c r="AF41" t="str">
        <f>CONCATENATE(VLOOKUP(AD41,'Articulated Lengths'!$A$2:$B$16, 2, FALSE),IF(AE41&lt;&gt;"",CONCATENATE(",",VLOOKUP(AE41,$B$2:$AF$201,24,FALSE)),""))</f>
        <v>2,3,2</v>
      </c>
      <c r="AG41">
        <v>1</v>
      </c>
      <c r="AH41">
        <v>10</v>
      </c>
      <c r="AI41">
        <v>10</v>
      </c>
      <c r="AL41" t="str">
        <f>VLOOKUP(F41,Eras!$A$2:$C$14, 2, TRUE)</f>
        <v>big4</v>
      </c>
      <c r="AM41" t="s">
        <v>498</v>
      </c>
      <c r="AN41" t="str">
        <f t="shared" si="1"/>
        <v>big4_Mixed Traffic</v>
      </c>
      <c r="AO41" t="s">
        <v>523</v>
      </c>
    </row>
    <row r="42" spans="1:41" x14ac:dyDescent="0.25">
      <c r="A42" t="s">
        <v>40</v>
      </c>
      <c r="B42" t="s">
        <v>449</v>
      </c>
      <c r="C42" t="s">
        <v>416</v>
      </c>
      <c r="D42" t="s">
        <v>425</v>
      </c>
      <c r="E42" t="s">
        <v>428</v>
      </c>
      <c r="F42">
        <v>1926</v>
      </c>
      <c r="G42">
        <v>1932</v>
      </c>
      <c r="J42">
        <v>1290</v>
      </c>
      <c r="K42">
        <v>21</v>
      </c>
      <c r="L42">
        <v>26</v>
      </c>
      <c r="M42">
        <v>2</v>
      </c>
      <c r="N42">
        <v>180</v>
      </c>
      <c r="O42" s="5">
        <f>((($W41/2)/60)*5280)/($P42*3.2*PI())</f>
        <v>164.12853506351706</v>
      </c>
      <c r="P42">
        <v>1.6</v>
      </c>
      <c r="Q42">
        <f>((($K42*$K42/4)*PI())*($L42/12)*$M42*$N42*$O42)/(33000*1.1)</f>
        <v>1221.5198863636363</v>
      </c>
      <c r="R42">
        <v>67</v>
      </c>
      <c r="S42">
        <v>46</v>
      </c>
      <c r="U42">
        <v>118</v>
      </c>
      <c r="V42" s="4">
        <f t="shared" si="3"/>
        <v>0.17611940298507461</v>
      </c>
      <c r="W42">
        <v>70</v>
      </c>
      <c r="X42">
        <v>10.44</v>
      </c>
      <c r="Y42">
        <v>10.44</v>
      </c>
      <c r="AC42" t="str">
        <f>CONCATENATE(VLOOKUP(AD42, 'Voxel Sizes'!$A$2:$B$18,2,FALSE),"x",INT(Z42*15), "x", INT(AA42*15))</f>
        <v>102x0x0</v>
      </c>
      <c r="AD42">
        <f t="shared" si="0"/>
        <v>6</v>
      </c>
      <c r="AE42" t="s">
        <v>443</v>
      </c>
      <c r="AF42" t="str">
        <f>CONCATENATE(VLOOKUP(AD42,'Articulated Lengths'!$A$2:$B$16, 2, FALSE),IF(AE42&lt;&gt;"",CONCATENATE(",",VLOOKUP(AE42,$B$2:$AF$201,24,FALSE)),""))</f>
        <v>2,2,2,8</v>
      </c>
      <c r="AG42">
        <v>1</v>
      </c>
      <c r="AH42">
        <v>10</v>
      </c>
      <c r="AI42">
        <v>10</v>
      </c>
      <c r="AL42" t="str">
        <f>VLOOKUP(F42,Eras!$A$2:$C$14, 2, TRUE)</f>
        <v>big4</v>
      </c>
      <c r="AM42" t="s">
        <v>499</v>
      </c>
      <c r="AN42" t="str">
        <f t="shared" si="1"/>
        <v>big4_Express</v>
      </c>
      <c r="AO42" t="s">
        <v>524</v>
      </c>
    </row>
    <row r="43" spans="1:41" x14ac:dyDescent="0.25">
      <c r="A43" t="s">
        <v>191</v>
      </c>
      <c r="B43" t="s">
        <v>241</v>
      </c>
      <c r="C43" t="s">
        <v>213</v>
      </c>
      <c r="E43" t="s">
        <v>428</v>
      </c>
      <c r="F43">
        <v>1927</v>
      </c>
      <c r="R43">
        <v>66</v>
      </c>
      <c r="U43">
        <v>96</v>
      </c>
      <c r="V43" s="4">
        <f t="shared" si="3"/>
        <v>0.14545454545454545</v>
      </c>
      <c r="X43">
        <v>17.899999999999999</v>
      </c>
      <c r="Y43">
        <v>17.899999999999999</v>
      </c>
      <c r="AC43" t="str">
        <f>CONCATENATE(VLOOKUP(AD43, 'Voxel Sizes'!$A$2:$B$18,2,FALSE),"x",INT(Z43*15), "x", INT(AA43*15))</f>
        <v>164x0x0</v>
      </c>
      <c r="AD43">
        <f t="shared" si="0"/>
        <v>10</v>
      </c>
      <c r="AF43" t="str">
        <f>CONCATENATE(VLOOKUP(AD43,'Articulated Lengths'!$A$2:$B$16, 2, FALSE),IF(AE43&lt;&gt;"",CONCATENATE(",",VLOOKUP(AE43,$B$2:$AF$201,24,FALSE)),""))</f>
        <v>3,4,3</v>
      </c>
      <c r="AH43">
        <v>10</v>
      </c>
      <c r="AI43">
        <v>10</v>
      </c>
      <c r="AL43" t="str">
        <f>VLOOKUP(F43,Eras!$A$2:$C$14, 2, TRUE)</f>
        <v>big4</v>
      </c>
      <c r="AN43" t="str">
        <f t="shared" si="1"/>
        <v>big4_</v>
      </c>
    </row>
    <row r="44" spans="1:41" x14ac:dyDescent="0.25">
      <c r="A44" t="s">
        <v>28</v>
      </c>
      <c r="B44" t="s">
        <v>242</v>
      </c>
      <c r="C44" t="s">
        <v>213</v>
      </c>
      <c r="E44" t="s">
        <v>428</v>
      </c>
      <c r="F44">
        <v>1927</v>
      </c>
      <c r="G44">
        <v>1936</v>
      </c>
      <c r="R44">
        <v>90.4</v>
      </c>
      <c r="U44">
        <v>179</v>
      </c>
      <c r="V44" s="4">
        <f t="shared" si="3"/>
        <v>0.19800884955752213</v>
      </c>
      <c r="X44">
        <v>20.78</v>
      </c>
      <c r="Y44">
        <v>20.78</v>
      </c>
      <c r="AA44">
        <v>4.08</v>
      </c>
      <c r="AC44" t="str">
        <f>CONCATENATE(VLOOKUP(AD44, 'Voxel Sizes'!$A$2:$B$18,2,FALSE),"x",INT(Z44*15), "x", INT(AA44*15))</f>
        <v>198x0x61</v>
      </c>
      <c r="AD44">
        <f t="shared" si="0"/>
        <v>12</v>
      </c>
      <c r="AF44" t="str">
        <f>CONCATENATE(VLOOKUP(AD44,'Articulated Lengths'!$A$2:$B$16, 2, FALSE),IF(AE44&lt;&gt;"",CONCATENATE(",",VLOOKUP(AE44,$B$2:$AF$201,24,FALSE)),""))</f>
        <v>3,6,3</v>
      </c>
      <c r="AH44">
        <v>10</v>
      </c>
      <c r="AI44">
        <v>10</v>
      </c>
      <c r="AL44" t="str">
        <f>VLOOKUP(F44,Eras!$A$2:$C$14, 2, TRUE)</f>
        <v>big4</v>
      </c>
      <c r="AN44" t="str">
        <f t="shared" si="1"/>
        <v>big4_</v>
      </c>
    </row>
    <row r="45" spans="1:41" x14ac:dyDescent="0.25">
      <c r="A45" t="s">
        <v>43</v>
      </c>
      <c r="B45" t="s">
        <v>396</v>
      </c>
      <c r="C45" t="s">
        <v>213</v>
      </c>
      <c r="E45" t="s">
        <v>428</v>
      </c>
      <c r="F45">
        <v>1927</v>
      </c>
      <c r="G45">
        <v>1934</v>
      </c>
      <c r="R45">
        <v>87.6</v>
      </c>
      <c r="U45">
        <v>102</v>
      </c>
      <c r="V45" s="4">
        <f t="shared" si="3"/>
        <v>0.11643835616438356</v>
      </c>
      <c r="X45">
        <v>14.4</v>
      </c>
      <c r="Y45">
        <v>14.4</v>
      </c>
      <c r="AC45" t="str">
        <f>CONCATENATE(VLOOKUP(AD45, 'Voxel Sizes'!$A$2:$B$18,2,FALSE),"x",INT(Z45*15), "x", INT(AA45*15))</f>
        <v>136x0x0</v>
      </c>
      <c r="AD45">
        <f t="shared" si="0"/>
        <v>8</v>
      </c>
      <c r="AF45" t="str">
        <f>CONCATENATE(VLOOKUP(AD45,'Articulated Lengths'!$A$2:$B$16, 2, FALSE),IF(AE45&lt;&gt;"",CONCATENATE(",",VLOOKUP(AE45,$B$2:$AF$201,24,FALSE)),""))</f>
        <v>2,4,2</v>
      </c>
      <c r="AH45">
        <v>10</v>
      </c>
      <c r="AI45">
        <v>10</v>
      </c>
      <c r="AL45" t="str">
        <f>VLOOKUP(F45,Eras!$A$2:$C$14, 2, TRUE)</f>
        <v>big4</v>
      </c>
      <c r="AN45" t="str">
        <f t="shared" si="1"/>
        <v>big4_</v>
      </c>
    </row>
    <row r="46" spans="1:41" x14ac:dyDescent="0.25">
      <c r="A46" t="s">
        <v>29</v>
      </c>
      <c r="B46" t="s">
        <v>243</v>
      </c>
      <c r="C46" t="s">
        <v>213</v>
      </c>
      <c r="E46" t="s">
        <v>428</v>
      </c>
      <c r="F46">
        <v>1928</v>
      </c>
      <c r="G46">
        <v>1943</v>
      </c>
      <c r="R46">
        <v>76.2</v>
      </c>
      <c r="U46">
        <v>121</v>
      </c>
      <c r="V46" s="4">
        <f t="shared" si="3"/>
        <v>0.15879265091863518</v>
      </c>
      <c r="X46">
        <v>19.2</v>
      </c>
      <c r="Y46">
        <v>19.2</v>
      </c>
      <c r="AA46">
        <v>4.04</v>
      </c>
      <c r="AC46" t="str">
        <f>CONCATENATE(VLOOKUP(AD46, 'Voxel Sizes'!$A$2:$B$18,2,FALSE),"x",INT(Z46*15), "x", INT(AA46*15))</f>
        <v>186x0x60</v>
      </c>
      <c r="AD46">
        <f t="shared" si="0"/>
        <v>11</v>
      </c>
      <c r="AF46" t="str">
        <f>CONCATENATE(VLOOKUP(AD46,'Articulated Lengths'!$A$2:$B$16, 2, FALSE),IF(AE46&lt;&gt;"",CONCATENATE(",",VLOOKUP(AE46,$B$2:$AF$201,24,FALSE)),""))</f>
        <v>3,5,3</v>
      </c>
      <c r="AH46">
        <v>10</v>
      </c>
      <c r="AI46">
        <v>10</v>
      </c>
      <c r="AL46" t="str">
        <f>VLOOKUP(F46,Eras!$A$2:$C$14, 2, TRUE)</f>
        <v>big4</v>
      </c>
      <c r="AN46" t="str">
        <f t="shared" si="1"/>
        <v>big4_</v>
      </c>
    </row>
    <row r="47" spans="1:41" x14ac:dyDescent="0.25">
      <c r="A47" t="s">
        <v>34</v>
      </c>
      <c r="B47" t="s">
        <v>244</v>
      </c>
      <c r="C47" t="s">
        <v>213</v>
      </c>
      <c r="E47" t="s">
        <v>428</v>
      </c>
      <c r="F47">
        <v>1928</v>
      </c>
      <c r="G47">
        <v>1935</v>
      </c>
      <c r="R47">
        <v>92.8</v>
      </c>
      <c r="U47">
        <v>146</v>
      </c>
      <c r="V47" s="4">
        <f t="shared" si="3"/>
        <v>0.15732758620689655</v>
      </c>
      <c r="W47">
        <v>108</v>
      </c>
      <c r="X47">
        <v>21.46</v>
      </c>
      <c r="Y47">
        <v>21.46</v>
      </c>
      <c r="AC47" t="str">
        <f>CONCATENATE(VLOOKUP(AD47, 'Voxel Sizes'!$A$2:$B$18,2,FALSE),"x",INT(Z47*15), "x", INT(AA47*15))</f>
        <v>221x0x0</v>
      </c>
      <c r="AD47">
        <f t="shared" si="0"/>
        <v>13</v>
      </c>
      <c r="AF47" t="str">
        <f>CONCATENATE(VLOOKUP(AD47,'Articulated Lengths'!$A$2:$B$16, 2, FALSE),IF(AE47&lt;&gt;"",CONCATENATE(",",VLOOKUP(AE47,$B$2:$AF$201,24,FALSE)),""))</f>
        <v>4,5,4</v>
      </c>
      <c r="AH47">
        <v>10</v>
      </c>
      <c r="AI47">
        <v>10</v>
      </c>
      <c r="AL47" t="str">
        <f>VLOOKUP(F47,Eras!$A$2:$C$14, 2, TRUE)</f>
        <v>big4</v>
      </c>
      <c r="AM47" t="s">
        <v>499</v>
      </c>
      <c r="AN47" t="str">
        <f t="shared" si="1"/>
        <v>big4_Express</v>
      </c>
    </row>
    <row r="48" spans="1:41" x14ac:dyDescent="0.25">
      <c r="A48" t="s">
        <v>27</v>
      </c>
      <c r="B48" t="s">
        <v>245</v>
      </c>
      <c r="C48" t="s">
        <v>213</v>
      </c>
      <c r="E48" t="s">
        <v>428</v>
      </c>
      <c r="F48">
        <v>1929</v>
      </c>
      <c r="G48">
        <v>1950</v>
      </c>
      <c r="R48">
        <v>48.3</v>
      </c>
      <c r="U48">
        <v>100</v>
      </c>
      <c r="V48" s="4">
        <f t="shared" si="3"/>
        <v>0.20703933747412009</v>
      </c>
      <c r="X48">
        <v>9.5</v>
      </c>
      <c r="Y48">
        <v>9.5</v>
      </c>
      <c r="AA48">
        <v>3.7349999999999999</v>
      </c>
      <c r="AC48" t="str">
        <f>CONCATENATE(VLOOKUP(AD48, 'Voxel Sizes'!$A$2:$B$18,2,FALSE),"x",INT(Z48*15), "x", INT(AA48*15))</f>
        <v>102x0x56</v>
      </c>
      <c r="AD48">
        <f t="shared" si="0"/>
        <v>6</v>
      </c>
      <c r="AF48" t="str">
        <f>CONCATENATE(VLOOKUP(AD48,'Articulated Lengths'!$A$2:$B$16, 2, FALSE),IF(AE48&lt;&gt;"",CONCATENATE(",",VLOOKUP(AE48,$B$2:$AF$201,24,FALSE)),""))</f>
        <v>2,2,2</v>
      </c>
      <c r="AH48">
        <v>10</v>
      </c>
      <c r="AI48">
        <v>10</v>
      </c>
      <c r="AL48" t="str">
        <f>VLOOKUP(F48,Eras!$A$2:$C$14, 2, TRUE)</f>
        <v>big4</v>
      </c>
      <c r="AN48" t="str">
        <f t="shared" si="1"/>
        <v>big4_</v>
      </c>
    </row>
    <row r="49" spans="1:41" x14ac:dyDescent="0.25">
      <c r="A49" t="s">
        <v>46</v>
      </c>
      <c r="B49" t="s">
        <v>246</v>
      </c>
      <c r="C49" t="s">
        <v>213</v>
      </c>
      <c r="E49" t="s">
        <v>428</v>
      </c>
      <c r="F49">
        <v>1930</v>
      </c>
      <c r="G49">
        <v>1935</v>
      </c>
      <c r="R49">
        <v>68.2</v>
      </c>
      <c r="S49">
        <v>43.1</v>
      </c>
      <c r="U49">
        <v>111</v>
      </c>
      <c r="V49" s="4">
        <f t="shared" si="3"/>
        <v>0.1627565982404692</v>
      </c>
      <c r="W49">
        <v>95</v>
      </c>
      <c r="X49">
        <v>17.93</v>
      </c>
      <c r="Y49">
        <v>17.93</v>
      </c>
      <c r="AA49">
        <v>3.96</v>
      </c>
      <c r="AC49" t="str">
        <f>CONCATENATE(VLOOKUP(AD49, 'Voxel Sizes'!$A$2:$B$18,2,FALSE),"x",INT(Z49*15), "x", INT(AA49*15))</f>
        <v>186x0x59</v>
      </c>
      <c r="AD49">
        <f t="shared" si="0"/>
        <v>11</v>
      </c>
      <c r="AF49" t="str">
        <f>CONCATENATE(VLOOKUP(AD49,'Articulated Lengths'!$A$2:$B$16, 2, FALSE),IF(AE49&lt;&gt;"",CONCATENATE(",",VLOOKUP(AE49,$B$2:$AF$201,24,FALSE)),""))</f>
        <v>3,5,3</v>
      </c>
      <c r="AH49">
        <v>10</v>
      </c>
      <c r="AI49">
        <v>10</v>
      </c>
      <c r="AL49" t="str">
        <f>VLOOKUP(F49,Eras!$A$2:$C$14, 2, TRUE)</f>
        <v>big4</v>
      </c>
      <c r="AN49" t="str">
        <f t="shared" si="1"/>
        <v>big4_</v>
      </c>
    </row>
    <row r="50" spans="1:41" x14ac:dyDescent="0.25">
      <c r="A50" t="s">
        <v>22</v>
      </c>
      <c r="B50" t="s">
        <v>247</v>
      </c>
      <c r="C50" t="s">
        <v>213</v>
      </c>
      <c r="E50" t="s">
        <v>428</v>
      </c>
      <c r="F50">
        <v>1932</v>
      </c>
      <c r="R50">
        <v>43</v>
      </c>
      <c r="U50">
        <v>62</v>
      </c>
      <c r="V50" s="4">
        <f t="shared" si="3"/>
        <v>0.14418604651162792</v>
      </c>
      <c r="X50">
        <v>9.1199999999999992</v>
      </c>
      <c r="Y50">
        <v>9.1199999999999992</v>
      </c>
      <c r="AA50">
        <v>3.82</v>
      </c>
      <c r="AC50" t="str">
        <f>CONCATENATE(VLOOKUP(AD50, 'Voxel Sizes'!$A$2:$B$18,2,FALSE),"x",INT(Z50*15), "x", INT(AA50*15))</f>
        <v>82x0x57</v>
      </c>
      <c r="AD50">
        <f t="shared" si="0"/>
        <v>5</v>
      </c>
      <c r="AF50" t="str">
        <f>CONCATENATE(VLOOKUP(AD50,'Articulated Lengths'!$A$2:$B$16, 2, FALSE),IF(AE50&lt;&gt;"",CONCATENATE(",",VLOOKUP(AE50,$B$2:$AF$201,24,FALSE)),""))</f>
        <v>1,3,1</v>
      </c>
      <c r="AH50">
        <v>10</v>
      </c>
      <c r="AI50">
        <v>10</v>
      </c>
      <c r="AL50" t="str">
        <f>VLOOKUP(F50,Eras!$A$2:$C$14, 2, TRUE)</f>
        <v>big4</v>
      </c>
      <c r="AN50" t="str">
        <f t="shared" si="1"/>
        <v>big4_</v>
      </c>
    </row>
    <row r="51" spans="1:41" x14ac:dyDescent="0.25">
      <c r="A51" t="s">
        <v>39</v>
      </c>
      <c r="B51" t="s">
        <v>442</v>
      </c>
      <c r="C51" t="s">
        <v>416</v>
      </c>
      <c r="D51" t="s">
        <v>425</v>
      </c>
      <c r="E51" t="s">
        <v>428</v>
      </c>
      <c r="F51">
        <v>1934</v>
      </c>
      <c r="G51">
        <v>1951</v>
      </c>
      <c r="J51">
        <v>1250</v>
      </c>
      <c r="R51">
        <v>73.400000000000006</v>
      </c>
      <c r="S51">
        <v>46</v>
      </c>
      <c r="U51">
        <v>113</v>
      </c>
      <c r="V51" s="4">
        <f t="shared" si="3"/>
        <v>0.15395095367847411</v>
      </c>
      <c r="W51">
        <v>92</v>
      </c>
      <c r="X51">
        <v>11.76</v>
      </c>
      <c r="Y51">
        <v>11.76</v>
      </c>
      <c r="AC51" t="str">
        <f>CONCATENATE(VLOOKUP(AD51, 'Voxel Sizes'!$A$2:$B$18,2,FALSE),"x",INT(Z51*15), "x", INT(AA51*15))</f>
        <v>120x0x0</v>
      </c>
      <c r="AD51">
        <f t="shared" si="0"/>
        <v>7</v>
      </c>
      <c r="AE51" t="s">
        <v>448</v>
      </c>
      <c r="AF51" t="str">
        <f>CONCATENATE(VLOOKUP(AD51,'Articulated Lengths'!$A$2:$B$16, 2, FALSE),IF(AE51&lt;&gt;"",CONCATENATE(",",VLOOKUP(AE51,$B$2:$AF$201,24,FALSE)),""))</f>
        <v>2,3,2,8</v>
      </c>
      <c r="AG51">
        <v>1</v>
      </c>
      <c r="AH51">
        <v>10</v>
      </c>
      <c r="AI51">
        <v>10</v>
      </c>
      <c r="AL51" t="str">
        <f>VLOOKUP(F51,Eras!$A$2:$C$14, 2, TRUE)</f>
        <v>big4</v>
      </c>
      <c r="AM51" t="s">
        <v>498</v>
      </c>
      <c r="AN51" t="str">
        <f t="shared" si="1"/>
        <v>big4_Mixed Traffic</v>
      </c>
      <c r="AO51" t="s">
        <v>539</v>
      </c>
    </row>
    <row r="52" spans="1:41" x14ac:dyDescent="0.25">
      <c r="A52" t="s">
        <v>41</v>
      </c>
      <c r="B52" t="s">
        <v>441</v>
      </c>
      <c r="C52" t="s">
        <v>416</v>
      </c>
      <c r="D52" t="s">
        <v>425</v>
      </c>
      <c r="E52" t="s">
        <v>428</v>
      </c>
      <c r="F52">
        <v>1934</v>
      </c>
      <c r="G52">
        <v>1936</v>
      </c>
      <c r="J52">
        <v>1375</v>
      </c>
      <c r="R52">
        <v>80.8</v>
      </c>
      <c r="S52">
        <v>52</v>
      </c>
      <c r="U52">
        <v>118</v>
      </c>
      <c r="V52" s="4">
        <f t="shared" si="3"/>
        <v>0.14603960396039603</v>
      </c>
      <c r="W52">
        <v>95</v>
      </c>
      <c r="X52">
        <v>12.09</v>
      </c>
      <c r="Y52">
        <v>12.09</v>
      </c>
      <c r="AC52" t="str">
        <f>CONCATENATE(VLOOKUP(AD52, 'Voxel Sizes'!$A$2:$B$18,2,FALSE),"x",INT(Z52*15), "x", INT(AA52*15))</f>
        <v>120x0x0</v>
      </c>
      <c r="AD52">
        <f t="shared" si="0"/>
        <v>7</v>
      </c>
      <c r="AE52" t="s">
        <v>443</v>
      </c>
      <c r="AF52" t="str">
        <f>CONCATENATE(VLOOKUP(AD52,'Articulated Lengths'!$A$2:$B$16, 2, FALSE),IF(AE52&lt;&gt;"",CONCATENATE(",",VLOOKUP(AE52,$B$2:$AF$201,24,FALSE)),""))</f>
        <v>2,3,2,8</v>
      </c>
      <c r="AG52">
        <v>1</v>
      </c>
      <c r="AH52">
        <v>10</v>
      </c>
      <c r="AI52">
        <v>10</v>
      </c>
      <c r="AL52" t="str">
        <f>VLOOKUP(F52,Eras!$A$2:$C$14, 2, TRUE)</f>
        <v>big4</v>
      </c>
      <c r="AM52" t="s">
        <v>499</v>
      </c>
      <c r="AN52" t="str">
        <f t="shared" si="1"/>
        <v>big4_Express</v>
      </c>
      <c r="AO52" t="s">
        <v>525</v>
      </c>
    </row>
    <row r="53" spans="1:41" x14ac:dyDescent="0.25">
      <c r="A53" t="s">
        <v>12</v>
      </c>
      <c r="B53" t="s">
        <v>248</v>
      </c>
      <c r="C53" t="s">
        <v>213</v>
      </c>
      <c r="E53" t="s">
        <v>428</v>
      </c>
      <c r="F53">
        <v>1935</v>
      </c>
      <c r="J53">
        <v>1300</v>
      </c>
      <c r="R53">
        <v>73</v>
      </c>
      <c r="U53">
        <v>144</v>
      </c>
      <c r="V53" s="4">
        <f t="shared" si="3"/>
        <v>0.19726027397260273</v>
      </c>
      <c r="X53">
        <v>19.22</v>
      </c>
      <c r="Y53">
        <v>19.22</v>
      </c>
      <c r="AC53" t="str">
        <f>CONCATENATE(VLOOKUP(AD53, 'Voxel Sizes'!$A$2:$B$18,2,FALSE),"x",INT(Z53*15), "x", INT(AA53*15))</f>
        <v>186x0x0</v>
      </c>
      <c r="AD53">
        <f t="shared" si="0"/>
        <v>11</v>
      </c>
      <c r="AF53" t="str">
        <f>CONCATENATE(VLOOKUP(AD53,'Articulated Lengths'!$A$2:$B$16, 2, FALSE),IF(AE53&lt;&gt;"",CONCATENATE(",",VLOOKUP(AE53,$B$2:$AF$201,24,FALSE)),""))</f>
        <v>3,5,3</v>
      </c>
      <c r="AH53">
        <v>10</v>
      </c>
      <c r="AI53">
        <v>10</v>
      </c>
      <c r="AL53" t="str">
        <f>VLOOKUP(F53,Eras!$A$2:$C$14, 2, TRUE)</f>
        <v>big4</v>
      </c>
      <c r="AM53" t="s">
        <v>500</v>
      </c>
      <c r="AN53" t="str">
        <f t="shared" si="1"/>
        <v>big4_Freight</v>
      </c>
    </row>
    <row r="54" spans="1:41" x14ac:dyDescent="0.25">
      <c r="A54" t="s">
        <v>35</v>
      </c>
      <c r="B54" t="s">
        <v>249</v>
      </c>
      <c r="C54" t="s">
        <v>213</v>
      </c>
      <c r="E54" t="s">
        <v>428</v>
      </c>
      <c r="F54">
        <v>1935</v>
      </c>
      <c r="G54">
        <v>1938</v>
      </c>
      <c r="J54">
        <v>1850</v>
      </c>
      <c r="R54">
        <v>104.6</v>
      </c>
      <c r="U54">
        <v>157</v>
      </c>
      <c r="V54" s="4">
        <f t="shared" si="3"/>
        <v>0.15009560229445507</v>
      </c>
      <c r="W54">
        <v>125</v>
      </c>
      <c r="X54">
        <v>21.65</v>
      </c>
      <c r="Y54">
        <v>21.65</v>
      </c>
      <c r="AA54">
        <v>3.99</v>
      </c>
      <c r="AC54" t="str">
        <f>CONCATENATE(VLOOKUP(AD54, 'Voxel Sizes'!$A$2:$B$18,2,FALSE),"x",INT(Z54*15), "x", INT(AA54*15))</f>
        <v>221x0x59</v>
      </c>
      <c r="AD54">
        <f t="shared" si="0"/>
        <v>13</v>
      </c>
      <c r="AF54" t="str">
        <f>CONCATENATE(VLOOKUP(AD54,'Articulated Lengths'!$A$2:$B$16, 2, FALSE),IF(AE54&lt;&gt;"",CONCATENATE(",",VLOOKUP(AE54,$B$2:$AF$201,24,FALSE)),""))</f>
        <v>4,5,4</v>
      </c>
      <c r="AH54">
        <v>10</v>
      </c>
      <c r="AI54">
        <v>10</v>
      </c>
      <c r="AL54" t="str">
        <f>VLOOKUP(F54,Eras!$A$2:$C$14, 2, TRUE)</f>
        <v>big4</v>
      </c>
      <c r="AN54" t="str">
        <f t="shared" si="1"/>
        <v>big4_</v>
      </c>
    </row>
    <row r="55" spans="1:41" x14ac:dyDescent="0.25">
      <c r="A55" t="s">
        <v>44</v>
      </c>
      <c r="B55" t="s">
        <v>397</v>
      </c>
      <c r="C55" t="s">
        <v>213</v>
      </c>
      <c r="E55" t="s">
        <v>428</v>
      </c>
      <c r="F55">
        <v>1935</v>
      </c>
      <c r="G55">
        <v>1943</v>
      </c>
      <c r="R55">
        <v>89.2</v>
      </c>
      <c r="U55">
        <v>110</v>
      </c>
      <c r="V55" s="4">
        <f t="shared" si="3"/>
        <v>0.12331838565022421</v>
      </c>
      <c r="X55">
        <v>14.4</v>
      </c>
      <c r="Y55">
        <v>14.4</v>
      </c>
      <c r="AC55" t="str">
        <f>CONCATENATE(VLOOKUP(AD55, 'Voxel Sizes'!$A$2:$B$18,2,FALSE),"x",INT(Z55*15), "x", INT(AA55*15))</f>
        <v>136x0x0</v>
      </c>
      <c r="AD55">
        <f t="shared" si="0"/>
        <v>8</v>
      </c>
      <c r="AF55" t="str">
        <f>CONCATENATE(VLOOKUP(AD55,'Articulated Lengths'!$A$2:$B$16, 2, FALSE),IF(AE55&lt;&gt;"",CONCATENATE(",",VLOOKUP(AE55,$B$2:$AF$201,24,FALSE)),""))</f>
        <v>2,4,2</v>
      </c>
      <c r="AH55">
        <v>10</v>
      </c>
      <c r="AI55">
        <v>10</v>
      </c>
      <c r="AL55" t="str">
        <f>VLOOKUP(F55,Eras!$A$2:$C$14, 2, TRUE)</f>
        <v>big4</v>
      </c>
      <c r="AN55" t="str">
        <f t="shared" si="1"/>
        <v>big4_</v>
      </c>
    </row>
    <row r="56" spans="1:41" x14ac:dyDescent="0.25">
      <c r="A56" t="s">
        <v>16</v>
      </c>
      <c r="B56" t="s">
        <v>250</v>
      </c>
      <c r="C56" t="s">
        <v>213</v>
      </c>
      <c r="E56" t="s">
        <v>428</v>
      </c>
      <c r="F56">
        <v>1936</v>
      </c>
      <c r="U56">
        <v>150</v>
      </c>
      <c r="V56" s="4" t="str">
        <f t="shared" si="3"/>
        <v/>
      </c>
      <c r="X56">
        <v>20.239999999999998</v>
      </c>
      <c r="Y56">
        <v>20.239999999999998</v>
      </c>
      <c r="AC56" t="str">
        <f>CONCATENATE(VLOOKUP(AD56, 'Voxel Sizes'!$A$2:$B$18,2,FALSE),"x",INT(Z56*15), "x", INT(AA56*15))</f>
        <v>198x0x0</v>
      </c>
      <c r="AD56">
        <f t="shared" si="0"/>
        <v>12</v>
      </c>
      <c r="AF56" t="str">
        <f>CONCATENATE(VLOOKUP(AD56,'Articulated Lengths'!$A$2:$B$16, 2, FALSE),IF(AE56&lt;&gt;"",CONCATENATE(",",VLOOKUP(AE56,$B$2:$AF$201,24,FALSE)),""))</f>
        <v>3,6,3</v>
      </c>
      <c r="AH56">
        <v>10</v>
      </c>
      <c r="AI56">
        <v>10</v>
      </c>
      <c r="AL56" t="str">
        <f>VLOOKUP(F56,Eras!$A$2:$C$14, 2, TRUE)</f>
        <v>big4</v>
      </c>
      <c r="AN56" t="str">
        <f t="shared" si="1"/>
        <v>big4_</v>
      </c>
    </row>
    <row r="57" spans="1:41" x14ac:dyDescent="0.25">
      <c r="A57" t="s">
        <v>30</v>
      </c>
      <c r="B57" t="s">
        <v>251</v>
      </c>
      <c r="C57" t="s">
        <v>213</v>
      </c>
      <c r="E57" t="s">
        <v>428</v>
      </c>
      <c r="F57">
        <v>1936</v>
      </c>
      <c r="G57">
        <v>1939</v>
      </c>
      <c r="R57">
        <v>75.2</v>
      </c>
      <c r="U57">
        <v>128</v>
      </c>
      <c r="V57" s="4">
        <f t="shared" si="3"/>
        <v>0.1702127659574468</v>
      </c>
      <c r="X57">
        <v>19.21</v>
      </c>
      <c r="Y57">
        <v>19.21</v>
      </c>
      <c r="AA57">
        <v>3.96</v>
      </c>
      <c r="AC57" t="str">
        <f>CONCATENATE(VLOOKUP(AD57, 'Voxel Sizes'!$A$2:$B$18,2,FALSE),"x",INT(Z57*15), "x", INT(AA57*15))</f>
        <v>186x0x59</v>
      </c>
      <c r="AD57">
        <f t="shared" si="0"/>
        <v>11</v>
      </c>
      <c r="AF57" t="str">
        <f>CONCATENATE(VLOOKUP(AD57,'Articulated Lengths'!$A$2:$B$16, 2, FALSE),IF(AE57&lt;&gt;"",CONCATENATE(",",VLOOKUP(AE57,$B$2:$AF$201,24,FALSE)),""))</f>
        <v>3,5,3</v>
      </c>
      <c r="AH57">
        <v>10</v>
      </c>
      <c r="AI57">
        <v>10</v>
      </c>
      <c r="AL57" t="str">
        <f>VLOOKUP(F57,Eras!$A$2:$C$14, 2, TRUE)</f>
        <v>big4</v>
      </c>
      <c r="AN57" t="str">
        <f t="shared" si="1"/>
        <v>big4_</v>
      </c>
    </row>
    <row r="58" spans="1:41" x14ac:dyDescent="0.25">
      <c r="A58" t="s">
        <v>42</v>
      </c>
      <c r="B58" t="s">
        <v>340</v>
      </c>
      <c r="C58" t="s">
        <v>213</v>
      </c>
      <c r="E58" t="s">
        <v>428</v>
      </c>
      <c r="F58">
        <v>1937</v>
      </c>
      <c r="G58">
        <v>1948</v>
      </c>
      <c r="J58">
        <v>3300</v>
      </c>
      <c r="R58">
        <v>110</v>
      </c>
      <c r="U58">
        <v>180</v>
      </c>
      <c r="V58" s="4">
        <f t="shared" si="3"/>
        <v>0.16363636363636364</v>
      </c>
      <c r="X58">
        <v>22.49</v>
      </c>
      <c r="Y58">
        <v>22.49</v>
      </c>
      <c r="AA58">
        <v>4.0389999999999997</v>
      </c>
      <c r="AC58" t="str">
        <f>CONCATENATE(VLOOKUP(AD58, 'Voxel Sizes'!$A$2:$B$18,2,FALSE),"x",INT(Z58*15), "x", INT(AA58*15))</f>
        <v>221x0x60</v>
      </c>
      <c r="AD58">
        <f t="shared" si="0"/>
        <v>13</v>
      </c>
      <c r="AF58" t="str">
        <f>CONCATENATE(VLOOKUP(AD58,'Articulated Lengths'!$A$2:$B$16, 2, FALSE),IF(AE58&lt;&gt;"",CONCATENATE(",",VLOOKUP(AE58,$B$2:$AF$201,24,FALSE)),""))</f>
        <v>4,5,4</v>
      </c>
      <c r="AH58">
        <v>10</v>
      </c>
      <c r="AI58">
        <v>10</v>
      </c>
      <c r="AL58" t="str">
        <f>VLOOKUP(F58,Eras!$A$2:$C$14, 2, TRUE)</f>
        <v>big4</v>
      </c>
      <c r="AN58" t="str">
        <f t="shared" si="1"/>
        <v>big4_</v>
      </c>
    </row>
    <row r="59" spans="1:41" x14ac:dyDescent="0.25">
      <c r="A59" t="s">
        <v>47</v>
      </c>
      <c r="B59" t="s">
        <v>252</v>
      </c>
      <c r="C59" t="s">
        <v>213</v>
      </c>
      <c r="E59" t="s">
        <v>428</v>
      </c>
      <c r="F59">
        <v>1941</v>
      </c>
      <c r="G59">
        <v>1949</v>
      </c>
      <c r="R59">
        <v>96.3</v>
      </c>
      <c r="U59">
        <v>167</v>
      </c>
      <c r="V59" s="4">
        <f t="shared" si="3"/>
        <v>0.17341640706126688</v>
      </c>
      <c r="W59">
        <v>105</v>
      </c>
      <c r="X59">
        <v>21.23</v>
      </c>
      <c r="Y59">
        <v>21.23</v>
      </c>
      <c r="AC59" t="str">
        <f>CONCATENATE(VLOOKUP(AD59, 'Voxel Sizes'!$A$2:$B$18,2,FALSE),"x",INT(Z59*15), "x", INT(AA59*15))</f>
        <v>198x0x0</v>
      </c>
      <c r="AD59">
        <f t="shared" si="0"/>
        <v>12</v>
      </c>
      <c r="AF59" t="str">
        <f>CONCATENATE(VLOOKUP(AD59,'Articulated Lengths'!$A$2:$B$16, 2, FALSE),IF(AE59&lt;&gt;"",CONCATENATE(",",VLOOKUP(AE59,$B$2:$AF$201,24,FALSE)),""))</f>
        <v>3,6,3</v>
      </c>
      <c r="AH59">
        <v>10</v>
      </c>
      <c r="AI59">
        <v>10</v>
      </c>
      <c r="AL59" t="str">
        <f>VLOOKUP(F59,Eras!$A$2:$C$14, 2, TRUE)</f>
        <v>big4</v>
      </c>
      <c r="AM59" t="s">
        <v>499</v>
      </c>
      <c r="AN59" t="str">
        <f t="shared" si="1"/>
        <v>big4_Express</v>
      </c>
    </row>
    <row r="60" spans="1:41" x14ac:dyDescent="0.25">
      <c r="A60" t="s">
        <v>87</v>
      </c>
      <c r="B60" t="s">
        <v>253</v>
      </c>
      <c r="C60" t="s">
        <v>213</v>
      </c>
      <c r="E60" t="s">
        <v>428</v>
      </c>
      <c r="F60">
        <v>1941</v>
      </c>
      <c r="G60">
        <v>1948</v>
      </c>
      <c r="J60">
        <v>1470</v>
      </c>
      <c r="R60">
        <v>101</v>
      </c>
      <c r="U60">
        <v>178</v>
      </c>
      <c r="V60" s="4">
        <f t="shared" si="3"/>
        <v>0.17623762376237623</v>
      </c>
      <c r="W60">
        <v>75</v>
      </c>
      <c r="AC60" t="str">
        <f>CONCATENATE(VLOOKUP(AD60, 'Voxel Sizes'!$A$2:$B$18,2,FALSE),"x",INT(Z60*15), "x", INT(AA60*15))</f>
        <v>0x0x0</v>
      </c>
      <c r="AD60">
        <f t="shared" si="0"/>
        <v>0</v>
      </c>
      <c r="AF60" t="str">
        <f>CONCATENATE(VLOOKUP(AD60,'Articulated Lengths'!$A$2:$B$16, 2, FALSE),IF(AE60&lt;&gt;"",CONCATENATE(",",VLOOKUP(AE60,$B$2:$AF$201,24,FALSE)),""))</f>
        <v>na</v>
      </c>
      <c r="AH60">
        <v>10</v>
      </c>
      <c r="AI60">
        <v>10</v>
      </c>
      <c r="AL60" t="str">
        <f>VLOOKUP(F60,Eras!$A$2:$C$14, 2, TRUE)</f>
        <v>big4</v>
      </c>
      <c r="AN60" t="str">
        <f t="shared" si="1"/>
        <v>big4_</v>
      </c>
    </row>
    <row r="61" spans="1:41" x14ac:dyDescent="0.25">
      <c r="A61" t="s">
        <v>15</v>
      </c>
      <c r="B61" t="s">
        <v>254</v>
      </c>
      <c r="C61" t="s">
        <v>213</v>
      </c>
      <c r="E61" t="s">
        <v>428</v>
      </c>
      <c r="F61">
        <v>1942</v>
      </c>
      <c r="R61">
        <v>72</v>
      </c>
      <c r="U61">
        <v>119</v>
      </c>
      <c r="V61" s="4">
        <f t="shared" si="3"/>
        <v>0.16527777777777777</v>
      </c>
      <c r="AC61" t="str">
        <f>CONCATENATE(VLOOKUP(AD61, 'Voxel Sizes'!$A$2:$B$18,2,FALSE),"x",INT(Z61*15), "x", INT(AA61*15))</f>
        <v>0x0x0</v>
      </c>
      <c r="AD61">
        <f t="shared" si="0"/>
        <v>0</v>
      </c>
      <c r="AF61" t="str">
        <f>CONCATENATE(VLOOKUP(AD61,'Articulated Lengths'!$A$2:$B$16, 2, FALSE),IF(AE61&lt;&gt;"",CONCATENATE(",",VLOOKUP(AE61,$B$2:$AF$201,24,FALSE)),""))</f>
        <v>na</v>
      </c>
      <c r="AH61">
        <v>10</v>
      </c>
      <c r="AI61">
        <v>10</v>
      </c>
      <c r="AL61" t="str">
        <f>VLOOKUP(F61,Eras!$A$2:$C$14, 2, TRUE)</f>
        <v>big4</v>
      </c>
      <c r="AN61" t="str">
        <f t="shared" si="1"/>
        <v>big4_</v>
      </c>
    </row>
    <row r="62" spans="1:41" x14ac:dyDescent="0.25">
      <c r="A62" t="s">
        <v>54</v>
      </c>
      <c r="B62" t="s">
        <v>255</v>
      </c>
      <c r="C62" t="s">
        <v>213</v>
      </c>
      <c r="E62" t="s">
        <v>428</v>
      </c>
      <c r="F62">
        <v>1942</v>
      </c>
      <c r="G62">
        <v>1942</v>
      </c>
      <c r="R62">
        <v>90.7</v>
      </c>
      <c r="U62">
        <v>134</v>
      </c>
      <c r="V62" s="4">
        <f t="shared" si="3"/>
        <v>0.14773980154355015</v>
      </c>
      <c r="X62">
        <v>16.73</v>
      </c>
      <c r="Y62">
        <v>16.73</v>
      </c>
      <c r="AC62" t="str">
        <f>CONCATENATE(VLOOKUP(AD62, 'Voxel Sizes'!$A$2:$B$18,2,FALSE),"x",INT(Z62*15), "x", INT(AA62*15))</f>
        <v>164x0x0</v>
      </c>
      <c r="AD62">
        <f t="shared" si="0"/>
        <v>10</v>
      </c>
      <c r="AF62" t="str">
        <f>CONCATENATE(VLOOKUP(AD62,'Articulated Lengths'!$A$2:$B$16, 2, FALSE),IF(AE62&lt;&gt;"",CONCATENATE(",",VLOOKUP(AE62,$B$2:$AF$201,24,FALSE)),""))</f>
        <v>3,4,3</v>
      </c>
      <c r="AH62">
        <v>10</v>
      </c>
      <c r="AI62">
        <v>10</v>
      </c>
      <c r="AL62" t="str">
        <f>VLOOKUP(F62,Eras!$A$2:$C$14, 2, TRUE)</f>
        <v>big4</v>
      </c>
      <c r="AN62" t="str">
        <f t="shared" si="1"/>
        <v>big4_</v>
      </c>
    </row>
    <row r="63" spans="1:41" x14ac:dyDescent="0.25">
      <c r="A63" t="s">
        <v>52</v>
      </c>
      <c r="B63" t="s">
        <v>341</v>
      </c>
      <c r="C63" t="s">
        <v>213</v>
      </c>
      <c r="E63" t="s">
        <v>428</v>
      </c>
      <c r="F63">
        <v>1943</v>
      </c>
      <c r="G63">
        <v>1964</v>
      </c>
      <c r="R63">
        <v>49</v>
      </c>
      <c r="U63">
        <v>106</v>
      </c>
      <c r="V63" s="4">
        <f t="shared" si="3"/>
        <v>0.21632653061224491</v>
      </c>
      <c r="X63">
        <v>9.25</v>
      </c>
      <c r="Y63">
        <v>9.25</v>
      </c>
      <c r="AC63" t="str">
        <f>CONCATENATE(VLOOKUP(AD63, 'Voxel Sizes'!$A$2:$B$18,2,FALSE),"x",INT(Z63*15), "x", INT(AA63*15))</f>
        <v>82x0x0</v>
      </c>
      <c r="AD63">
        <f t="shared" si="0"/>
        <v>5</v>
      </c>
      <c r="AF63" t="str">
        <f>CONCATENATE(VLOOKUP(AD63,'Articulated Lengths'!$A$2:$B$16, 2, FALSE),IF(AE63&lt;&gt;"",CONCATENATE(",",VLOOKUP(AE63,$B$2:$AF$201,24,FALSE)),""))</f>
        <v>1,3,1</v>
      </c>
      <c r="AH63">
        <v>10</v>
      </c>
      <c r="AI63">
        <v>10</v>
      </c>
      <c r="AL63" t="str">
        <f>VLOOKUP(F63,Eras!$A$2:$C$14, 2, TRUE)</f>
        <v>big4</v>
      </c>
      <c r="AM63" t="s">
        <v>497</v>
      </c>
      <c r="AN63" t="str">
        <f t="shared" si="1"/>
        <v>big4_Cheap</v>
      </c>
    </row>
    <row r="64" spans="1:41" x14ac:dyDescent="0.25">
      <c r="A64" t="s">
        <v>53</v>
      </c>
      <c r="B64" t="s">
        <v>398</v>
      </c>
      <c r="C64" t="s">
        <v>213</v>
      </c>
      <c r="E64" t="s">
        <v>428</v>
      </c>
      <c r="F64">
        <v>1943</v>
      </c>
      <c r="G64">
        <v>1945</v>
      </c>
      <c r="R64">
        <v>71.400000000000006</v>
      </c>
      <c r="S64">
        <v>56.4</v>
      </c>
      <c r="U64">
        <v>152</v>
      </c>
      <c r="V64" s="4">
        <f t="shared" si="3"/>
        <v>0.21288515406162464</v>
      </c>
      <c r="X64">
        <v>19.350000000000001</v>
      </c>
      <c r="Y64">
        <v>19.350000000000001</v>
      </c>
      <c r="AC64" t="str">
        <f>CONCATENATE(VLOOKUP(AD64, 'Voxel Sizes'!$A$2:$B$18,2,FALSE),"x",INT(Z64*15), "x", INT(AA64*15))</f>
        <v>186x0x0</v>
      </c>
      <c r="AD64">
        <f t="shared" si="0"/>
        <v>11</v>
      </c>
      <c r="AF64" t="str">
        <f>CONCATENATE(VLOOKUP(AD64,'Articulated Lengths'!$A$2:$B$16, 2, FALSE),IF(AE64&lt;&gt;"",CONCATENATE(",",VLOOKUP(AE64,$B$2:$AF$201,24,FALSE)),""))</f>
        <v>3,5,3</v>
      </c>
      <c r="AH64">
        <v>10</v>
      </c>
      <c r="AI64">
        <v>10</v>
      </c>
      <c r="AL64" t="str">
        <f>VLOOKUP(F64,Eras!$A$2:$C$14, 2, TRUE)</f>
        <v>big4</v>
      </c>
      <c r="AN64" t="str">
        <f t="shared" si="1"/>
        <v>big4_</v>
      </c>
    </row>
    <row r="65" spans="1:41" x14ac:dyDescent="0.25">
      <c r="A65" t="s">
        <v>31</v>
      </c>
      <c r="B65" t="s">
        <v>371</v>
      </c>
      <c r="C65" t="s">
        <v>213</v>
      </c>
      <c r="E65" t="s">
        <v>428</v>
      </c>
      <c r="F65">
        <v>1944</v>
      </c>
      <c r="G65">
        <v>1950</v>
      </c>
      <c r="R65">
        <v>77</v>
      </c>
      <c r="U65">
        <v>121</v>
      </c>
      <c r="V65" s="4">
        <f t="shared" si="3"/>
        <v>0.15714285714285714</v>
      </c>
      <c r="X65">
        <v>19.2</v>
      </c>
      <c r="Y65">
        <v>19.2</v>
      </c>
      <c r="AA65">
        <v>4.01</v>
      </c>
      <c r="AC65" t="str">
        <f>CONCATENATE(VLOOKUP(AD65, 'Voxel Sizes'!$A$2:$B$18,2,FALSE),"x",INT(Z65*15), "x", INT(AA65*15))</f>
        <v>186x0x60</v>
      </c>
      <c r="AD65">
        <f t="shared" si="0"/>
        <v>11</v>
      </c>
      <c r="AF65" t="str">
        <f>CONCATENATE(VLOOKUP(AD65,'Articulated Lengths'!$A$2:$B$16, 2, FALSE),IF(AE65&lt;&gt;"",CONCATENATE(",",VLOOKUP(AE65,$B$2:$AF$201,24,FALSE)),""))</f>
        <v>3,5,3</v>
      </c>
      <c r="AH65">
        <v>10</v>
      </c>
      <c r="AI65">
        <v>10</v>
      </c>
      <c r="AL65" t="str">
        <f>VLOOKUP(F65,Eras!$A$2:$C$14, 2, TRUE)</f>
        <v>big4</v>
      </c>
      <c r="AN65" t="str">
        <f t="shared" si="1"/>
        <v>big4_</v>
      </c>
    </row>
    <row r="66" spans="1:41" x14ac:dyDescent="0.25">
      <c r="A66" t="s">
        <v>21</v>
      </c>
      <c r="B66" t="s">
        <v>256</v>
      </c>
      <c r="C66" t="s">
        <v>213</v>
      </c>
      <c r="E66" t="s">
        <v>428</v>
      </c>
      <c r="F66">
        <v>1945</v>
      </c>
      <c r="R66">
        <v>78.099999999999994</v>
      </c>
      <c r="U66">
        <v>145</v>
      </c>
      <c r="V66" s="4">
        <f t="shared" si="3"/>
        <v>0.1856594110115237</v>
      </c>
      <c r="X66">
        <v>19.21</v>
      </c>
      <c r="Y66">
        <v>19.21</v>
      </c>
      <c r="AA66">
        <v>4.08</v>
      </c>
      <c r="AC66" t="str">
        <f>CONCATENATE(VLOOKUP(AD66, 'Voxel Sizes'!$A$2:$B$18,2,FALSE),"x",INT(Z66*15), "x", INT(AA66*15))</f>
        <v>186x0x61</v>
      </c>
      <c r="AD66">
        <f t="shared" si="0"/>
        <v>11</v>
      </c>
      <c r="AF66" t="str">
        <f>CONCATENATE(VLOOKUP(AD66,'Articulated Lengths'!$A$2:$B$16, 2, FALSE),IF(AE66&lt;&gt;"",CONCATENATE(",",VLOOKUP(AE66,$B$2:$AF$201,24,FALSE)),""))</f>
        <v>3,5,3</v>
      </c>
      <c r="AH66">
        <v>10</v>
      </c>
      <c r="AI66">
        <v>10</v>
      </c>
      <c r="AL66" t="str">
        <f>VLOOKUP(F66,Eras!$A$2:$C$14, 2, TRUE)</f>
        <v>big4</v>
      </c>
      <c r="AN66" t="str">
        <f t="shared" si="1"/>
        <v>big4_</v>
      </c>
    </row>
    <row r="67" spans="1:41" x14ac:dyDescent="0.25">
      <c r="A67" t="s">
        <v>48</v>
      </c>
      <c r="B67" t="s">
        <v>257</v>
      </c>
      <c r="C67" t="s">
        <v>213</v>
      </c>
      <c r="E67" t="s">
        <v>428</v>
      </c>
      <c r="F67">
        <v>1945</v>
      </c>
      <c r="G67">
        <v>1951</v>
      </c>
      <c r="R67">
        <v>87.4</v>
      </c>
      <c r="U67">
        <v>138</v>
      </c>
      <c r="V67" s="4">
        <f t="shared" si="3"/>
        <v>0.15789473684210525</v>
      </c>
      <c r="X67">
        <v>20.54</v>
      </c>
      <c r="Y67">
        <v>20.54</v>
      </c>
      <c r="AC67" t="str">
        <f>CONCATENATE(VLOOKUP(AD67, 'Voxel Sizes'!$A$2:$B$18,2,FALSE),"x",INT(Z67*15), "x", INT(AA67*15))</f>
        <v>198x0x0</v>
      </c>
      <c r="AD67">
        <f t="shared" si="0"/>
        <v>12</v>
      </c>
      <c r="AF67" t="str">
        <f>CONCATENATE(VLOOKUP(AD67,'Articulated Lengths'!$A$2:$B$16, 2, FALSE),IF(AE67&lt;&gt;"",CONCATENATE(",",VLOOKUP(AE67,$B$2:$AF$201,24,FALSE)),""))</f>
        <v>3,6,3</v>
      </c>
      <c r="AH67">
        <v>10</v>
      </c>
      <c r="AI67">
        <v>10</v>
      </c>
      <c r="AL67" t="str">
        <f>VLOOKUP(F67,Eras!$A$2:$C$14, 2, TRUE)</f>
        <v>big4</v>
      </c>
      <c r="AN67" t="str">
        <f t="shared" ref="AN67:AN130" si="4">CONCATENATE(AL67,"_",AM67)</f>
        <v>big4_</v>
      </c>
    </row>
    <row r="68" spans="1:41" x14ac:dyDescent="0.25">
      <c r="A68" t="s">
        <v>55</v>
      </c>
      <c r="B68" t="s">
        <v>258</v>
      </c>
      <c r="C68" t="s">
        <v>213</v>
      </c>
      <c r="E68" t="s">
        <v>428</v>
      </c>
      <c r="F68">
        <v>1946</v>
      </c>
      <c r="G68">
        <v>1949</v>
      </c>
      <c r="R68">
        <v>152</v>
      </c>
      <c r="U68">
        <v>117</v>
      </c>
      <c r="V68" s="4">
        <f t="shared" si="3"/>
        <v>7.6973684210526319E-2</v>
      </c>
      <c r="X68">
        <v>20.420000000000002</v>
      </c>
      <c r="Y68">
        <v>20.420000000000002</v>
      </c>
      <c r="AC68" t="str">
        <f>CONCATENATE(VLOOKUP(AD68, 'Voxel Sizes'!$A$2:$B$18,2,FALSE),"x",INT(Z68*15), "x", INT(AA68*15))</f>
        <v>198x0x0</v>
      </c>
      <c r="AD68">
        <f t="shared" ref="AD68:AD131" si="5">ROUND(15*((Y68*10)/256),0)</f>
        <v>12</v>
      </c>
      <c r="AF68" t="str">
        <f>CONCATENATE(VLOOKUP(AD68,'Articulated Lengths'!$A$2:$B$16, 2, FALSE),IF(AE68&lt;&gt;"",CONCATENATE(",",VLOOKUP(AE68,$B$2:$AF$201,24,FALSE)),""))</f>
        <v>3,6,3</v>
      </c>
      <c r="AH68">
        <v>10</v>
      </c>
      <c r="AI68">
        <v>10</v>
      </c>
      <c r="AL68" t="str">
        <f>VLOOKUP(F68,Eras!$A$2:$C$14, 2, TRUE)</f>
        <v>big4</v>
      </c>
      <c r="AN68" t="str">
        <f t="shared" si="4"/>
        <v>big4_</v>
      </c>
    </row>
    <row r="69" spans="1:41" x14ac:dyDescent="0.25">
      <c r="A69" t="s">
        <v>57</v>
      </c>
      <c r="B69" t="s">
        <v>259</v>
      </c>
      <c r="C69" t="s">
        <v>213</v>
      </c>
      <c r="E69" t="s">
        <v>428</v>
      </c>
      <c r="F69">
        <v>1946</v>
      </c>
      <c r="G69">
        <v>1953</v>
      </c>
      <c r="R69">
        <v>48</v>
      </c>
      <c r="U69">
        <v>77</v>
      </c>
      <c r="V69" s="4">
        <f t="shared" si="3"/>
        <v>0.16041666666666668</v>
      </c>
      <c r="X69">
        <v>16.2</v>
      </c>
      <c r="Y69">
        <v>16.2</v>
      </c>
      <c r="AC69" t="str">
        <f>CONCATENATE(VLOOKUP(AD69, 'Voxel Sizes'!$A$2:$B$18,2,FALSE),"x",INT(Z69*15), "x", INT(AA69*15))</f>
        <v>152x0x0</v>
      </c>
      <c r="AD69">
        <f t="shared" si="5"/>
        <v>9</v>
      </c>
      <c r="AF69" t="str">
        <f>CONCATENATE(VLOOKUP(AD69,'Articulated Lengths'!$A$2:$B$16, 2, FALSE),IF(AE69&lt;&gt;"",CONCATENATE(",",VLOOKUP(AE69,$B$2:$AF$201,24,FALSE)),""))</f>
        <v>2,5,2</v>
      </c>
      <c r="AH69">
        <v>10</v>
      </c>
      <c r="AI69">
        <v>10</v>
      </c>
      <c r="AL69" t="str">
        <f>VLOOKUP(F69,Eras!$A$2:$C$14, 2, TRUE)</f>
        <v>big4</v>
      </c>
      <c r="AN69" t="str">
        <f t="shared" si="4"/>
        <v>big4_</v>
      </c>
    </row>
    <row r="70" spans="1:41" x14ac:dyDescent="0.25">
      <c r="A70" t="s">
        <v>88</v>
      </c>
      <c r="B70" t="s">
        <v>260</v>
      </c>
      <c r="C70" t="s">
        <v>213</v>
      </c>
      <c r="E70" t="s">
        <v>428</v>
      </c>
      <c r="F70">
        <v>1947</v>
      </c>
      <c r="G70">
        <v>1948</v>
      </c>
      <c r="J70">
        <v>1600</v>
      </c>
      <c r="R70">
        <v>129.69999999999999</v>
      </c>
      <c r="U70">
        <v>184</v>
      </c>
      <c r="V70" s="4">
        <f t="shared" si="3"/>
        <v>0.14186584425597532</v>
      </c>
      <c r="W70">
        <v>93</v>
      </c>
      <c r="X70">
        <v>18.64</v>
      </c>
      <c r="Y70">
        <v>18.64</v>
      </c>
      <c r="AA70">
        <v>3.95</v>
      </c>
      <c r="AC70" t="str">
        <f>CONCATENATE(VLOOKUP(AD70, 'Voxel Sizes'!$A$2:$B$18,2,FALSE),"x",INT(Z70*15), "x", INT(AA70*15))</f>
        <v>186x0x59</v>
      </c>
      <c r="AD70">
        <f t="shared" si="5"/>
        <v>11</v>
      </c>
      <c r="AF70" t="str">
        <f>CONCATENATE(VLOOKUP(AD70,'Articulated Lengths'!$A$2:$B$16, 2, FALSE),IF(AE70&lt;&gt;"",CONCATENATE(",",VLOOKUP(AE70,$B$2:$AF$201,24,FALSE)),""))</f>
        <v>3,5,3</v>
      </c>
      <c r="AH70">
        <v>10</v>
      </c>
      <c r="AI70">
        <v>10</v>
      </c>
      <c r="AL70" t="str">
        <f>VLOOKUP(F70,Eras!$A$2:$C$14, 2, TRUE)</f>
        <v>big4</v>
      </c>
      <c r="AM70" t="s">
        <v>498</v>
      </c>
      <c r="AN70" t="str">
        <f t="shared" si="4"/>
        <v>big4_Mixed Traffic</v>
      </c>
    </row>
    <row r="71" spans="1:41" x14ac:dyDescent="0.25">
      <c r="A71" t="s">
        <v>33</v>
      </c>
      <c r="B71" t="s">
        <v>261</v>
      </c>
      <c r="C71" t="s">
        <v>213</v>
      </c>
      <c r="E71" t="s">
        <v>428</v>
      </c>
      <c r="F71">
        <v>1948</v>
      </c>
      <c r="G71">
        <v>1949</v>
      </c>
      <c r="J71">
        <v>2700</v>
      </c>
      <c r="K71">
        <v>19</v>
      </c>
      <c r="L71">
        <v>26</v>
      </c>
      <c r="M71">
        <v>3</v>
      </c>
      <c r="N71">
        <v>250</v>
      </c>
      <c r="O71" s="5">
        <f>((($W71/2)/60)*5280)/($P71*3.2*PI())</f>
        <v>215.60398694714888</v>
      </c>
      <c r="P71">
        <v>2.0299999999999998</v>
      </c>
      <c r="Q71">
        <f>((($K71*$K71/4)*PI())*($L71/12)*$M71*$N71*$O71)/(33000*1.1)</f>
        <v>2736.5325048514705</v>
      </c>
      <c r="R71">
        <v>106.9</v>
      </c>
      <c r="U71">
        <v>166</v>
      </c>
      <c r="V71" s="4">
        <f t="shared" si="3"/>
        <v>0.15528531337698784</v>
      </c>
      <c r="W71">
        <v>100</v>
      </c>
      <c r="X71">
        <v>22.24</v>
      </c>
      <c r="Y71">
        <v>22.24</v>
      </c>
      <c r="AA71">
        <v>3.99</v>
      </c>
      <c r="AC71" t="str">
        <f>CONCATENATE(VLOOKUP(AD71, 'Voxel Sizes'!$A$2:$B$18,2,FALSE),"x",INT(Z71*15), "x", INT(AA71*15))</f>
        <v>221x0x59</v>
      </c>
      <c r="AD71">
        <f t="shared" si="5"/>
        <v>13</v>
      </c>
      <c r="AF71" t="str">
        <f>CONCATENATE(VLOOKUP(AD71,'Articulated Lengths'!$A$2:$B$16, 2, FALSE),IF(AE71&lt;&gt;"",CONCATENATE(",",VLOOKUP(AE71,$B$2:$AF$201,24,FALSE)),""))</f>
        <v>4,5,4</v>
      </c>
      <c r="AH71">
        <v>10</v>
      </c>
      <c r="AI71">
        <v>10</v>
      </c>
      <c r="AL71" t="str">
        <f>VLOOKUP(F71,Eras!$A$2:$C$14, 2, TRUE)</f>
        <v>br</v>
      </c>
      <c r="AM71" t="s">
        <v>499</v>
      </c>
      <c r="AN71" t="str">
        <f t="shared" si="4"/>
        <v>br_Express</v>
      </c>
    </row>
    <row r="72" spans="1:41" x14ac:dyDescent="0.25">
      <c r="A72" t="s">
        <v>92</v>
      </c>
      <c r="B72" t="s">
        <v>399</v>
      </c>
      <c r="C72" t="s">
        <v>416</v>
      </c>
      <c r="D72" t="s">
        <v>450</v>
      </c>
      <c r="E72" t="s">
        <v>451</v>
      </c>
      <c r="F72">
        <v>1950</v>
      </c>
      <c r="G72">
        <v>1953</v>
      </c>
      <c r="J72">
        <v>1300</v>
      </c>
      <c r="R72">
        <v>89.3</v>
      </c>
      <c r="U72">
        <v>200</v>
      </c>
      <c r="V72" s="4">
        <f t="shared" si="3"/>
        <v>0.22396416573348266</v>
      </c>
      <c r="W72">
        <v>65</v>
      </c>
      <c r="X72">
        <v>15.34</v>
      </c>
      <c r="Y72">
        <v>15.34</v>
      </c>
      <c r="AC72" t="str">
        <f>CONCATENATE(VLOOKUP(AD72, 'Voxel Sizes'!$A$2:$B$18,2,FALSE),"x",INT(Z72*15), "x", INT(AA72*15))</f>
        <v>152x0x0</v>
      </c>
      <c r="AD72">
        <f t="shared" si="5"/>
        <v>9</v>
      </c>
      <c r="AF72" t="str">
        <f>CONCATENATE(VLOOKUP(AD72,'Articulated Lengths'!$A$2:$B$16, 2, FALSE),IF(AE72&lt;&gt;"",CONCATENATE(",",VLOOKUP(AE72,$B$2:$AF$201,24,FALSE)),""))</f>
        <v>2,5,2</v>
      </c>
      <c r="AH72">
        <v>10</v>
      </c>
      <c r="AI72">
        <v>10</v>
      </c>
      <c r="AL72" t="str">
        <f>VLOOKUP(F72,Eras!$A$2:$C$14, 2, TRUE)</f>
        <v>br</v>
      </c>
      <c r="AM72" t="s">
        <v>510</v>
      </c>
      <c r="AN72" t="str">
        <f t="shared" si="4"/>
        <v>br_Freight (Electric)</v>
      </c>
      <c r="AO72" t="s">
        <v>526</v>
      </c>
    </row>
    <row r="73" spans="1:41" x14ac:dyDescent="0.25">
      <c r="A73" t="s">
        <v>45</v>
      </c>
      <c r="B73" t="s">
        <v>342</v>
      </c>
      <c r="C73" t="s">
        <v>213</v>
      </c>
      <c r="E73" t="s">
        <v>428</v>
      </c>
      <c r="F73">
        <v>1951</v>
      </c>
      <c r="G73">
        <v>1952</v>
      </c>
      <c r="R73">
        <v>89.92</v>
      </c>
      <c r="S73">
        <v>14.38</v>
      </c>
      <c r="U73">
        <v>122</v>
      </c>
      <c r="V73" s="4">
        <f t="shared" si="3"/>
        <v>0.13567615658362989</v>
      </c>
      <c r="X73">
        <v>20.96</v>
      </c>
      <c r="Y73">
        <v>20.96</v>
      </c>
      <c r="AA73">
        <v>3.98</v>
      </c>
      <c r="AC73" t="str">
        <f>CONCATENATE(VLOOKUP(AD73, 'Voxel Sizes'!$A$2:$B$18,2,FALSE),"x",INT(Z73*15), "x", INT(AA73*15))</f>
        <v>198x0x59</v>
      </c>
      <c r="AD73">
        <f t="shared" si="5"/>
        <v>12</v>
      </c>
      <c r="AF73" t="str">
        <f>CONCATENATE(VLOOKUP(AD73,'Articulated Lengths'!$A$2:$B$16, 2, FALSE),IF(AE73&lt;&gt;"",CONCATENATE(",",VLOOKUP(AE73,$B$2:$AF$201,24,FALSE)),""))</f>
        <v>3,6,3</v>
      </c>
      <c r="AH73">
        <v>10</v>
      </c>
      <c r="AI73">
        <v>10</v>
      </c>
      <c r="AL73" t="str">
        <f>VLOOKUP(F73,Eras!$A$2:$C$14, 2, TRUE)</f>
        <v>br</v>
      </c>
      <c r="AN73" t="str">
        <f t="shared" si="4"/>
        <v>br_</v>
      </c>
    </row>
    <row r="74" spans="1:41" x14ac:dyDescent="0.25">
      <c r="A74" t="s">
        <v>49</v>
      </c>
      <c r="B74" t="s">
        <v>343</v>
      </c>
      <c r="C74" t="s">
        <v>213</v>
      </c>
      <c r="E74" t="s">
        <v>428</v>
      </c>
      <c r="F74">
        <v>1951</v>
      </c>
      <c r="G74">
        <v>1954</v>
      </c>
      <c r="R74">
        <v>95.5</v>
      </c>
      <c r="S74">
        <v>50</v>
      </c>
      <c r="U74">
        <v>143</v>
      </c>
      <c r="V74" s="4">
        <f t="shared" si="3"/>
        <v>0.14973821989528796</v>
      </c>
      <c r="X74">
        <v>20.96</v>
      </c>
      <c r="Y74">
        <v>20.96</v>
      </c>
      <c r="AA74">
        <v>3.98</v>
      </c>
      <c r="AC74" t="str">
        <f>CONCATENATE(VLOOKUP(AD74, 'Voxel Sizes'!$A$2:$B$18,2,FALSE),"x",INT(Z74*15), "x", INT(AA74*15))</f>
        <v>198x0x59</v>
      </c>
      <c r="AD74">
        <f t="shared" si="5"/>
        <v>12</v>
      </c>
      <c r="AF74" t="str">
        <f>CONCATENATE(VLOOKUP(AD74,'Articulated Lengths'!$A$2:$B$16, 2, FALSE),IF(AE74&lt;&gt;"",CONCATENATE(",",VLOOKUP(AE74,$B$2:$AF$201,24,FALSE)),""))</f>
        <v>3,6,3</v>
      </c>
      <c r="AH74">
        <v>10</v>
      </c>
      <c r="AI74">
        <v>10</v>
      </c>
      <c r="AL74" t="str">
        <f>VLOOKUP(F74,Eras!$A$2:$C$14, 2, TRUE)</f>
        <v>br</v>
      </c>
      <c r="AN74" t="str">
        <f t="shared" si="4"/>
        <v>br_</v>
      </c>
    </row>
    <row r="75" spans="1:41" x14ac:dyDescent="0.25">
      <c r="A75" t="s">
        <v>98</v>
      </c>
      <c r="B75" t="s">
        <v>262</v>
      </c>
      <c r="C75" t="s">
        <v>416</v>
      </c>
      <c r="D75" t="s">
        <v>426</v>
      </c>
      <c r="E75" t="s">
        <v>428</v>
      </c>
      <c r="F75">
        <v>1952</v>
      </c>
      <c r="G75">
        <v>1962</v>
      </c>
      <c r="J75">
        <v>350</v>
      </c>
      <c r="R75">
        <v>49.8</v>
      </c>
      <c r="U75">
        <v>160</v>
      </c>
      <c r="V75" s="4">
        <f t="shared" si="3"/>
        <v>0.32128514056224899</v>
      </c>
      <c r="W75">
        <v>20</v>
      </c>
      <c r="X75">
        <v>8.92</v>
      </c>
      <c r="Y75">
        <v>9.5</v>
      </c>
      <c r="Z75">
        <v>2.59</v>
      </c>
      <c r="AA75">
        <v>3.87</v>
      </c>
      <c r="AC75" t="str">
        <f>CONCATENATE(VLOOKUP(AD75, 'Voxel Sizes'!$A$2:$B$18,2,FALSE),"x",INT(Z75*15), "x", INT(AA75*15))</f>
        <v>102x38x58</v>
      </c>
      <c r="AD75">
        <f t="shared" si="5"/>
        <v>6</v>
      </c>
      <c r="AF75" t="str">
        <f>CONCATENATE(VLOOKUP(AD75,'Articulated Lengths'!$A$2:$B$16, 2, FALSE),IF(AE75&lt;&gt;"",CONCATENATE(",",VLOOKUP(AE75,$B$2:$AF$201,24,FALSE)),""))</f>
        <v>2,2,2</v>
      </c>
      <c r="AG75">
        <v>1</v>
      </c>
      <c r="AH75">
        <v>10</v>
      </c>
      <c r="AI75">
        <v>10</v>
      </c>
      <c r="AL75" t="str">
        <f>VLOOKUP(F75,Eras!$A$2:$C$14, 2, TRUE)</f>
        <v>br</v>
      </c>
      <c r="AM75" t="s">
        <v>497</v>
      </c>
      <c r="AN75" t="str">
        <f t="shared" si="4"/>
        <v>br_Cheap</v>
      </c>
      <c r="AO75" t="s">
        <v>527</v>
      </c>
    </row>
    <row r="76" spans="1:41" x14ac:dyDescent="0.25">
      <c r="A76" t="s">
        <v>93</v>
      </c>
      <c r="B76" t="s">
        <v>400</v>
      </c>
      <c r="C76" t="s">
        <v>213</v>
      </c>
      <c r="E76" t="s">
        <v>428</v>
      </c>
      <c r="F76">
        <v>1953</v>
      </c>
      <c r="G76">
        <v>1954</v>
      </c>
      <c r="J76">
        <v>2490</v>
      </c>
      <c r="R76">
        <v>104.1</v>
      </c>
      <c r="U76">
        <v>200</v>
      </c>
      <c r="V76" s="4">
        <f t="shared" si="3"/>
        <v>0.19212295869356388</v>
      </c>
      <c r="W76">
        <v>90</v>
      </c>
      <c r="X76">
        <v>17.98</v>
      </c>
      <c r="Y76">
        <v>17.98</v>
      </c>
      <c r="AC76" t="str">
        <f>CONCATENATE(VLOOKUP(AD76, 'Voxel Sizes'!$A$2:$B$18,2,FALSE),"x",INT(Z76*15), "x", INT(AA76*15))</f>
        <v>186x0x0</v>
      </c>
      <c r="AD76">
        <f t="shared" si="5"/>
        <v>11</v>
      </c>
      <c r="AF76" t="str">
        <f>CONCATENATE(VLOOKUP(AD76,'Articulated Lengths'!$A$2:$B$16, 2, FALSE),IF(AE76&lt;&gt;"",CONCATENATE(",",VLOOKUP(AE76,$B$2:$AF$201,24,FALSE)),""))</f>
        <v>3,5,3</v>
      </c>
      <c r="AH76">
        <v>10</v>
      </c>
      <c r="AI76">
        <v>10</v>
      </c>
      <c r="AL76" t="str">
        <f>VLOOKUP(F76,Eras!$A$2:$C$14, 2, TRUE)</f>
        <v>br</v>
      </c>
      <c r="AN76" t="str">
        <f t="shared" si="4"/>
        <v>br_</v>
      </c>
    </row>
    <row r="77" spans="1:41" x14ac:dyDescent="0.25">
      <c r="A77" t="s">
        <v>50</v>
      </c>
      <c r="B77" t="s">
        <v>263</v>
      </c>
      <c r="C77" t="s">
        <v>213</v>
      </c>
      <c r="E77" t="s">
        <v>428</v>
      </c>
      <c r="F77">
        <v>1954</v>
      </c>
      <c r="G77">
        <v>1960</v>
      </c>
      <c r="R77">
        <v>90</v>
      </c>
      <c r="S77">
        <v>51</v>
      </c>
      <c r="U77">
        <v>176</v>
      </c>
      <c r="V77" s="4">
        <f t="shared" si="3"/>
        <v>0.19555555555555557</v>
      </c>
      <c r="W77">
        <v>90</v>
      </c>
      <c r="X77">
        <v>20.170000000000002</v>
      </c>
      <c r="Y77">
        <v>20.170000000000002</v>
      </c>
      <c r="AC77" t="str">
        <f>CONCATENATE(VLOOKUP(AD77, 'Voxel Sizes'!$A$2:$B$18,2,FALSE),"x",INT(Z77*15), "x", INT(AA77*15))</f>
        <v>198x0x0</v>
      </c>
      <c r="AD77">
        <f t="shared" si="5"/>
        <v>12</v>
      </c>
      <c r="AF77" t="str">
        <f>CONCATENATE(VLOOKUP(AD77,'Articulated Lengths'!$A$2:$B$16, 2, FALSE),IF(AE77&lt;&gt;"",CONCATENATE(",",VLOOKUP(AE77,$B$2:$AF$201,24,FALSE)),""))</f>
        <v>3,6,3</v>
      </c>
      <c r="AH77">
        <v>10</v>
      </c>
      <c r="AI77">
        <v>10</v>
      </c>
      <c r="AL77" t="str">
        <f>VLOOKUP(F77,Eras!$A$2:$C$14, 2, TRUE)</f>
        <v>br</v>
      </c>
      <c r="AN77" t="str">
        <f t="shared" si="4"/>
        <v>br_</v>
      </c>
    </row>
    <row r="78" spans="1:41" x14ac:dyDescent="0.25">
      <c r="A78" t="s">
        <v>64</v>
      </c>
      <c r="B78" t="s">
        <v>421</v>
      </c>
      <c r="C78" t="s">
        <v>213</v>
      </c>
      <c r="E78" t="s">
        <v>428</v>
      </c>
      <c r="F78">
        <v>1955</v>
      </c>
      <c r="G78">
        <v>1962</v>
      </c>
      <c r="J78">
        <v>3300</v>
      </c>
      <c r="R78">
        <v>108</v>
      </c>
      <c r="U78">
        <v>233</v>
      </c>
      <c r="V78" s="4">
        <f t="shared" ref="V78:V141" si="6">IF(AND(R78&gt;0,U78&gt;0),(U78/(R78*10)),"")</f>
        <v>0.21574074074074073</v>
      </c>
      <c r="W78">
        <v>106</v>
      </c>
      <c r="X78">
        <v>21.18</v>
      </c>
      <c r="Y78">
        <v>21.18</v>
      </c>
      <c r="AA78">
        <v>3.91</v>
      </c>
      <c r="AC78" t="str">
        <f>CONCATENATE(VLOOKUP(AD78, 'Voxel Sizes'!$A$2:$B$18,2,FALSE),"x",INT(Z78*15), "x", INT(AA78*15))</f>
        <v>198x0x58</v>
      </c>
      <c r="AD78">
        <f t="shared" si="5"/>
        <v>12</v>
      </c>
      <c r="AF78" t="str">
        <f>CONCATENATE(VLOOKUP(AD78,'Articulated Lengths'!$A$2:$B$16, 2, FALSE),IF(AE78&lt;&gt;"",CONCATENATE(",",VLOOKUP(AE78,$B$2:$AF$201,24,FALSE)),""))</f>
        <v>3,6,3</v>
      </c>
      <c r="AH78">
        <v>10</v>
      </c>
      <c r="AI78">
        <v>10</v>
      </c>
      <c r="AL78" t="str">
        <f>VLOOKUP(F78,Eras!$A$2:$C$14, 2, TRUE)</f>
        <v>dsl</v>
      </c>
      <c r="AM78" t="s">
        <v>499</v>
      </c>
      <c r="AN78" t="str">
        <f t="shared" si="4"/>
        <v>dsl_Express</v>
      </c>
    </row>
    <row r="79" spans="1:41" x14ac:dyDescent="0.25">
      <c r="A79" t="s">
        <v>71</v>
      </c>
      <c r="B79" t="s">
        <v>264</v>
      </c>
      <c r="C79" t="s">
        <v>213</v>
      </c>
      <c r="E79" t="s">
        <v>428</v>
      </c>
      <c r="F79">
        <v>1957</v>
      </c>
      <c r="G79">
        <v>1962</v>
      </c>
      <c r="J79">
        <v>1250</v>
      </c>
      <c r="R79">
        <v>108.4</v>
      </c>
      <c r="U79">
        <v>160</v>
      </c>
      <c r="V79" s="4">
        <f t="shared" si="6"/>
        <v>0.14760147601476015</v>
      </c>
      <c r="W79">
        <v>80</v>
      </c>
      <c r="X79">
        <v>17.3</v>
      </c>
      <c r="Y79">
        <v>17.3</v>
      </c>
      <c r="AA79">
        <v>3.84</v>
      </c>
      <c r="AC79" t="str">
        <f>CONCATENATE(VLOOKUP(AD79, 'Voxel Sizes'!$A$2:$B$18,2,FALSE),"x",INT(Z79*15), "x", INT(AA79*15))</f>
        <v>164x0x57</v>
      </c>
      <c r="AD79">
        <f t="shared" si="5"/>
        <v>10</v>
      </c>
      <c r="AF79" t="str">
        <f>CONCATENATE(VLOOKUP(AD79,'Articulated Lengths'!$A$2:$B$16, 2, FALSE),IF(AE79&lt;&gt;"",CONCATENATE(",",VLOOKUP(AE79,$B$2:$AF$201,24,FALSE)),""))</f>
        <v>3,4,3</v>
      </c>
      <c r="AH79">
        <v>10</v>
      </c>
      <c r="AI79">
        <v>10</v>
      </c>
      <c r="AL79" t="str">
        <f>VLOOKUP(F79,Eras!$A$2:$C$14, 2, TRUE)</f>
        <v>dsl</v>
      </c>
      <c r="AN79" t="str">
        <f t="shared" si="4"/>
        <v>dsl_</v>
      </c>
    </row>
    <row r="80" spans="1:41" x14ac:dyDescent="0.25">
      <c r="A80" t="s">
        <v>75</v>
      </c>
      <c r="B80" t="s">
        <v>419</v>
      </c>
      <c r="C80" t="s">
        <v>416</v>
      </c>
      <c r="D80" t="s">
        <v>426</v>
      </c>
      <c r="E80" t="s">
        <v>428</v>
      </c>
      <c r="F80">
        <v>1957</v>
      </c>
      <c r="G80">
        <v>1968</v>
      </c>
      <c r="J80">
        <v>1000</v>
      </c>
      <c r="R80">
        <v>73</v>
      </c>
      <c r="U80">
        <v>186</v>
      </c>
      <c r="V80" s="4">
        <f t="shared" si="6"/>
        <v>0.25479452054794521</v>
      </c>
      <c r="W80">
        <v>75</v>
      </c>
      <c r="X80">
        <v>14.25</v>
      </c>
      <c r="Y80">
        <v>14.25</v>
      </c>
      <c r="Z80">
        <v>2.67</v>
      </c>
      <c r="AA80">
        <v>3.85</v>
      </c>
      <c r="AC80" t="str">
        <f>CONCATENATE(VLOOKUP(AD80, 'Voxel Sizes'!$A$2:$B$18,2,FALSE),"x",INT(Z80*15), "x", INT(AA80*15))</f>
        <v>136x40x57</v>
      </c>
      <c r="AD80">
        <f t="shared" si="5"/>
        <v>8</v>
      </c>
      <c r="AF80" t="str">
        <f>CONCATENATE(VLOOKUP(AD80,'Articulated Lengths'!$A$2:$B$16, 2, FALSE),IF(AE80&lt;&gt;"",CONCATENATE(",",VLOOKUP(AE80,$B$2:$AF$201,24,FALSE)),""))</f>
        <v>2,4,2</v>
      </c>
      <c r="AH80">
        <v>10</v>
      </c>
      <c r="AI80">
        <v>10</v>
      </c>
      <c r="AL80" t="str">
        <f>VLOOKUP(F80,Eras!$A$2:$C$14, 2, TRUE)</f>
        <v>dsl</v>
      </c>
      <c r="AM80" t="s">
        <v>498</v>
      </c>
      <c r="AN80" t="str">
        <f t="shared" si="4"/>
        <v>dsl_Mixed Traffic</v>
      </c>
      <c r="AO80" t="s">
        <v>528</v>
      </c>
    </row>
    <row r="81" spans="1:41" x14ac:dyDescent="0.25">
      <c r="A81" t="s">
        <v>58</v>
      </c>
      <c r="B81" t="s">
        <v>265</v>
      </c>
      <c r="C81" t="s">
        <v>213</v>
      </c>
      <c r="E81" t="s">
        <v>428</v>
      </c>
      <c r="F81">
        <v>1958</v>
      </c>
      <c r="G81">
        <v>1961</v>
      </c>
      <c r="J81">
        <v>2750</v>
      </c>
      <c r="R81">
        <v>45</v>
      </c>
      <c r="U81">
        <v>169</v>
      </c>
      <c r="V81" s="4">
        <f t="shared" si="6"/>
        <v>0.37555555555555553</v>
      </c>
      <c r="W81">
        <v>90</v>
      </c>
      <c r="X81">
        <v>20.74</v>
      </c>
      <c r="Y81">
        <v>20.74</v>
      </c>
      <c r="AC81" t="str">
        <f>CONCATENATE(VLOOKUP(AD81, 'Voxel Sizes'!$A$2:$B$18,2,FALSE),"x",INT(Z81*15), "x", INT(AA81*15))</f>
        <v>198x0x0</v>
      </c>
      <c r="AD81">
        <f t="shared" si="5"/>
        <v>12</v>
      </c>
      <c r="AF81" t="str">
        <f>CONCATENATE(VLOOKUP(AD81,'Articulated Lengths'!$A$2:$B$16, 2, FALSE),IF(AE81&lt;&gt;"",CONCATENATE(",",VLOOKUP(AE81,$B$2:$AF$201,24,FALSE)),""))</f>
        <v>3,6,3</v>
      </c>
      <c r="AH81">
        <v>10</v>
      </c>
      <c r="AI81">
        <v>10</v>
      </c>
      <c r="AL81" t="str">
        <f>VLOOKUP(F81,Eras!$A$2:$C$14, 2, TRUE)</f>
        <v>dsl</v>
      </c>
      <c r="AN81" t="str">
        <f t="shared" si="4"/>
        <v>dsl_</v>
      </c>
    </row>
    <row r="82" spans="1:41" x14ac:dyDescent="0.25">
      <c r="A82" t="s">
        <v>62</v>
      </c>
      <c r="B82" t="s">
        <v>266</v>
      </c>
      <c r="C82" t="s">
        <v>213</v>
      </c>
      <c r="E82" t="s">
        <v>428</v>
      </c>
      <c r="F82">
        <v>1958</v>
      </c>
      <c r="G82">
        <v>1961</v>
      </c>
      <c r="J82">
        <f>1035*2</f>
        <v>2070</v>
      </c>
      <c r="R82">
        <v>79.3</v>
      </c>
      <c r="U82">
        <v>214</v>
      </c>
      <c r="V82" s="4">
        <f t="shared" si="6"/>
        <v>0.26986128625472888</v>
      </c>
      <c r="W82">
        <v>90</v>
      </c>
      <c r="X82">
        <v>18.29</v>
      </c>
      <c r="Y82">
        <v>18.29</v>
      </c>
      <c r="AA82">
        <v>3.67</v>
      </c>
      <c r="AC82" t="str">
        <f>CONCATENATE(VLOOKUP(AD82, 'Voxel Sizes'!$A$2:$B$18,2,FALSE),"x",INT(Z82*15), "x", INT(AA82*15))</f>
        <v>186x0x55</v>
      </c>
      <c r="AD82">
        <f t="shared" si="5"/>
        <v>11</v>
      </c>
      <c r="AF82" t="str">
        <f>CONCATENATE(VLOOKUP(AD82,'Articulated Lengths'!$A$2:$B$16, 2, FALSE),IF(AE82&lt;&gt;"",CONCATENATE(",",VLOOKUP(AE82,$B$2:$AF$201,24,FALSE)),""))</f>
        <v>3,5,3</v>
      </c>
      <c r="AH82">
        <v>10</v>
      </c>
      <c r="AI82">
        <v>10</v>
      </c>
      <c r="AL82" t="str">
        <f>VLOOKUP(F82,Eras!$A$2:$C$14, 2, TRUE)</f>
        <v>dsl</v>
      </c>
      <c r="AN82" t="str">
        <f t="shared" si="4"/>
        <v>dsl_</v>
      </c>
    </row>
    <row r="83" spans="1:41" x14ac:dyDescent="0.25">
      <c r="A83" t="s">
        <v>67</v>
      </c>
      <c r="B83" t="s">
        <v>267</v>
      </c>
      <c r="C83" t="s">
        <v>213</v>
      </c>
      <c r="E83" t="s">
        <v>428</v>
      </c>
      <c r="F83">
        <v>1958</v>
      </c>
      <c r="G83">
        <v>1962</v>
      </c>
      <c r="J83">
        <v>2000</v>
      </c>
      <c r="R83">
        <v>135</v>
      </c>
      <c r="U83">
        <v>231</v>
      </c>
      <c r="V83" s="4">
        <f t="shared" si="6"/>
        <v>0.1711111111111111</v>
      </c>
      <c r="W83">
        <v>90</v>
      </c>
      <c r="X83">
        <v>21.18</v>
      </c>
      <c r="Y83">
        <v>21.18</v>
      </c>
      <c r="AA83">
        <v>3.91</v>
      </c>
      <c r="AC83" t="str">
        <f>CONCATENATE(VLOOKUP(AD83, 'Voxel Sizes'!$A$2:$B$18,2,FALSE),"x",INT(Z83*15), "x", INT(AA83*15))</f>
        <v>198x0x58</v>
      </c>
      <c r="AD83">
        <f t="shared" si="5"/>
        <v>12</v>
      </c>
      <c r="AF83" t="str">
        <f>CONCATENATE(VLOOKUP(AD83,'Articulated Lengths'!$A$2:$B$16, 2, FALSE),IF(AE83&lt;&gt;"",CONCATENATE(",",VLOOKUP(AE83,$B$2:$AF$201,24,FALSE)),""))</f>
        <v>3,6,3</v>
      </c>
      <c r="AH83">
        <v>10</v>
      </c>
      <c r="AI83">
        <v>10</v>
      </c>
      <c r="AL83" t="str">
        <f>VLOOKUP(F83,Eras!$A$2:$C$14, 2, TRUE)</f>
        <v>dsl</v>
      </c>
      <c r="AN83" t="str">
        <f t="shared" si="4"/>
        <v>dsl_</v>
      </c>
    </row>
    <row r="84" spans="1:41" x14ac:dyDescent="0.25">
      <c r="A84" t="s">
        <v>68</v>
      </c>
      <c r="B84" t="s">
        <v>452</v>
      </c>
      <c r="C84" t="s">
        <v>416</v>
      </c>
      <c r="D84" t="s">
        <v>426</v>
      </c>
      <c r="E84" t="s">
        <v>428</v>
      </c>
      <c r="F84">
        <v>1958</v>
      </c>
      <c r="G84">
        <v>1959</v>
      </c>
      <c r="J84">
        <v>1200</v>
      </c>
      <c r="R84">
        <v>98.6</v>
      </c>
      <c r="U84">
        <v>222</v>
      </c>
      <c r="V84" s="4">
        <f t="shared" si="6"/>
        <v>0.22515212981744423</v>
      </c>
      <c r="W84">
        <v>75</v>
      </c>
      <c r="X84">
        <v>17.260000000000002</v>
      </c>
      <c r="Y84">
        <v>17.260000000000002</v>
      </c>
      <c r="AA84">
        <v>3.7</v>
      </c>
      <c r="AC84" t="str">
        <f>CONCATENATE(VLOOKUP(AD84, 'Voxel Sizes'!$A$2:$B$18,2,FALSE),"x",INT(Z84*15), "x", INT(AA84*15))</f>
        <v>164x0x55</v>
      </c>
      <c r="AD84">
        <f t="shared" si="5"/>
        <v>10</v>
      </c>
      <c r="AF84" t="str">
        <f>CONCATENATE(VLOOKUP(AD84,'Articulated Lengths'!$A$2:$B$16, 2, FALSE),IF(AE84&lt;&gt;"",CONCATENATE(",",VLOOKUP(AE84,$B$2:$AF$201,24,FALSE)),""))</f>
        <v>3,4,3</v>
      </c>
      <c r="AH84">
        <v>10</v>
      </c>
      <c r="AI84">
        <v>10</v>
      </c>
      <c r="AL84" t="str">
        <f>VLOOKUP(F84,Eras!$A$2:$C$14, 2, TRUE)</f>
        <v>dsl</v>
      </c>
      <c r="AM84" t="s">
        <v>498</v>
      </c>
      <c r="AN84" t="str">
        <f t="shared" si="4"/>
        <v>dsl_Mixed Traffic</v>
      </c>
      <c r="AO84" t="s">
        <v>529</v>
      </c>
    </row>
    <row r="85" spans="1:41" x14ac:dyDescent="0.25">
      <c r="A85" t="s">
        <v>94</v>
      </c>
      <c r="B85" t="s">
        <v>344</v>
      </c>
      <c r="C85" t="s">
        <v>416</v>
      </c>
      <c r="D85" t="s">
        <v>450</v>
      </c>
      <c r="E85" t="s">
        <v>458</v>
      </c>
      <c r="F85">
        <v>1958</v>
      </c>
      <c r="G85">
        <v>1960</v>
      </c>
      <c r="J85">
        <v>2300</v>
      </c>
      <c r="R85">
        <v>78.239999999999995</v>
      </c>
      <c r="U85">
        <v>195</v>
      </c>
      <c r="V85" s="4">
        <f t="shared" si="6"/>
        <v>0.24923312883435583</v>
      </c>
      <c r="W85">
        <v>90</v>
      </c>
      <c r="X85">
        <v>16.36</v>
      </c>
      <c r="Y85">
        <v>16.36</v>
      </c>
      <c r="AC85" t="str">
        <f>CONCATENATE(VLOOKUP(AD85, 'Voxel Sizes'!$A$2:$B$18,2,FALSE),"x",INT(Z85*15), "x", INT(AA85*15))</f>
        <v>164x0x0</v>
      </c>
      <c r="AD85">
        <f t="shared" si="5"/>
        <v>10</v>
      </c>
      <c r="AF85" t="str">
        <f>CONCATENATE(VLOOKUP(AD85,'Articulated Lengths'!$A$2:$B$16, 2, FALSE),IF(AE85&lt;&gt;"",CONCATENATE(",",VLOOKUP(AE85,$B$2:$AF$201,24,FALSE)),""))</f>
        <v>3,4,3</v>
      </c>
      <c r="AH85">
        <v>10</v>
      </c>
      <c r="AI85">
        <v>10</v>
      </c>
      <c r="AL85" t="str">
        <f>VLOOKUP(F85,Eras!$A$2:$C$14, 2, TRUE)</f>
        <v>dsl</v>
      </c>
      <c r="AM85" t="s">
        <v>508</v>
      </c>
      <c r="AN85" t="str">
        <f t="shared" si="4"/>
        <v>dsl_MT (Electric)</v>
      </c>
      <c r="AO85" t="s">
        <v>530</v>
      </c>
    </row>
    <row r="86" spans="1:41" x14ac:dyDescent="0.25">
      <c r="A86" t="s">
        <v>65</v>
      </c>
      <c r="B86" t="s">
        <v>420</v>
      </c>
      <c r="C86" t="s">
        <v>416</v>
      </c>
      <c r="D86" t="s">
        <v>426</v>
      </c>
      <c r="E86" t="s">
        <v>428</v>
      </c>
      <c r="F86">
        <v>1959</v>
      </c>
      <c r="G86">
        <v>1959</v>
      </c>
      <c r="J86">
        <v>1100</v>
      </c>
      <c r="R86">
        <v>75.2</v>
      </c>
      <c r="U86">
        <v>209</v>
      </c>
      <c r="V86" s="4">
        <f t="shared" si="6"/>
        <v>0.27792553191489361</v>
      </c>
      <c r="W86">
        <v>75</v>
      </c>
      <c r="X86">
        <v>16</v>
      </c>
      <c r="Y86">
        <v>16</v>
      </c>
      <c r="AA86">
        <v>3.86</v>
      </c>
      <c r="AC86" t="str">
        <f>CONCATENATE(VLOOKUP(AD86, 'Voxel Sizes'!$A$2:$B$18,2,FALSE),"x",INT(Z86*15), "x", INT(AA86*15))</f>
        <v>152x0x57</v>
      </c>
      <c r="AD86">
        <f t="shared" si="5"/>
        <v>9</v>
      </c>
      <c r="AF86" t="str">
        <f>CONCATENATE(VLOOKUP(AD86,'Articulated Lengths'!$A$2:$B$16, 2, FALSE),IF(AE86&lt;&gt;"",CONCATENATE(",",VLOOKUP(AE86,$B$2:$AF$201,24,FALSE)),""))</f>
        <v>2,5,2</v>
      </c>
      <c r="AH86">
        <v>10</v>
      </c>
      <c r="AI86">
        <v>10</v>
      </c>
      <c r="AL86" t="str">
        <f>VLOOKUP(F86,Eras!$A$2:$C$14, 2, TRUE)</f>
        <v>dsl</v>
      </c>
      <c r="AM86" t="s">
        <v>498</v>
      </c>
      <c r="AN86" t="str">
        <f t="shared" si="4"/>
        <v>dsl_Mixed Traffic</v>
      </c>
      <c r="AO86" t="s">
        <v>538</v>
      </c>
    </row>
    <row r="87" spans="1:41" x14ac:dyDescent="0.25">
      <c r="A87" t="s">
        <v>89</v>
      </c>
      <c r="B87" t="s">
        <v>345</v>
      </c>
      <c r="C87" t="s">
        <v>213</v>
      </c>
      <c r="E87" t="s">
        <v>451</v>
      </c>
      <c r="F87">
        <v>1959</v>
      </c>
      <c r="G87">
        <v>1964</v>
      </c>
      <c r="J87">
        <f>4*847</f>
        <v>3388</v>
      </c>
      <c r="R87">
        <v>80.900000000000006</v>
      </c>
      <c r="U87">
        <v>222</v>
      </c>
      <c r="V87" s="4">
        <f t="shared" si="6"/>
        <v>0.27441285537700866</v>
      </c>
      <c r="W87">
        <v>100</v>
      </c>
      <c r="X87">
        <v>17.22</v>
      </c>
      <c r="Y87">
        <v>17.22</v>
      </c>
      <c r="AA87">
        <v>3.77</v>
      </c>
      <c r="AC87" t="str">
        <f>CONCATENATE(VLOOKUP(AD87, 'Voxel Sizes'!$A$2:$B$18,2,FALSE),"x",INT(Z87*15), "x", INT(AA87*15))</f>
        <v>164x0x56</v>
      </c>
      <c r="AD87">
        <f t="shared" si="5"/>
        <v>10</v>
      </c>
      <c r="AF87" t="str">
        <f>CONCATENATE(VLOOKUP(AD87,'Articulated Lengths'!$A$2:$B$16, 2, FALSE),IF(AE87&lt;&gt;"",CONCATENATE(",",VLOOKUP(AE87,$B$2:$AF$201,24,FALSE)),""))</f>
        <v>3,4,3</v>
      </c>
      <c r="AH87">
        <v>10</v>
      </c>
      <c r="AI87">
        <v>10</v>
      </c>
      <c r="AL87" t="str">
        <f>VLOOKUP(F87,Eras!$A$2:$C$14, 2, TRUE)</f>
        <v>dsl</v>
      </c>
      <c r="AM87" t="s">
        <v>509</v>
      </c>
      <c r="AN87" t="str">
        <f t="shared" si="4"/>
        <v>dsl_Express (Electric)</v>
      </c>
    </row>
    <row r="88" spans="1:41" x14ac:dyDescent="0.25">
      <c r="A88" t="s">
        <v>66</v>
      </c>
      <c r="B88" t="s">
        <v>415</v>
      </c>
      <c r="C88" t="s">
        <v>416</v>
      </c>
      <c r="D88" t="s">
        <v>426</v>
      </c>
      <c r="E88" t="s">
        <v>428</v>
      </c>
      <c r="F88">
        <v>1960</v>
      </c>
      <c r="G88">
        <v>1965</v>
      </c>
      <c r="J88">
        <v>1750</v>
      </c>
      <c r="R88">
        <v>102</v>
      </c>
      <c r="U88">
        <v>247</v>
      </c>
      <c r="V88" s="4">
        <f t="shared" si="6"/>
        <v>0.24215686274509804</v>
      </c>
      <c r="W88">
        <v>90</v>
      </c>
      <c r="X88">
        <v>18.75</v>
      </c>
      <c r="Y88">
        <v>18.75</v>
      </c>
      <c r="Z88">
        <v>2.71</v>
      </c>
      <c r="AA88">
        <v>3.89</v>
      </c>
      <c r="AC88" t="str">
        <f>CONCATENATE(VLOOKUP(AD88, 'Voxel Sizes'!$A$2:$B$18,2,FALSE),"x",INT(Z88*15), "x", INT(AA88*15))</f>
        <v>186x40x58</v>
      </c>
      <c r="AD88">
        <f t="shared" si="5"/>
        <v>11</v>
      </c>
      <c r="AF88" t="str">
        <f>CONCATENATE(VLOOKUP(AD88,'Articulated Lengths'!$A$2:$B$16, 2, FALSE),IF(AE88&lt;&gt;"",CONCATENATE(",",VLOOKUP(AE88,$B$2:$AF$201,24,FALSE)),""))</f>
        <v>3,5,3</v>
      </c>
      <c r="AH88">
        <v>10</v>
      </c>
      <c r="AI88">
        <v>10</v>
      </c>
      <c r="AL88" t="str">
        <f>VLOOKUP(F88,Eras!$A$2:$C$14, 2, TRUE)</f>
        <v>dsl</v>
      </c>
      <c r="AM88" t="s">
        <v>498</v>
      </c>
      <c r="AN88" t="str">
        <f t="shared" si="4"/>
        <v>dsl_Mixed Traffic</v>
      </c>
      <c r="AO88" t="s">
        <v>531</v>
      </c>
    </row>
    <row r="89" spans="1:41" x14ac:dyDescent="0.25">
      <c r="A89" t="s">
        <v>77</v>
      </c>
      <c r="B89" t="s">
        <v>268</v>
      </c>
      <c r="C89" t="s">
        <v>213</v>
      </c>
      <c r="E89" t="s">
        <v>428</v>
      </c>
      <c r="F89">
        <v>1960</v>
      </c>
      <c r="G89">
        <v>1962</v>
      </c>
      <c r="J89">
        <v>2500</v>
      </c>
      <c r="R89">
        <v>135</v>
      </c>
      <c r="U89">
        <v>245</v>
      </c>
      <c r="V89" s="4">
        <f t="shared" si="6"/>
        <v>0.18148148148148149</v>
      </c>
      <c r="W89">
        <v>90</v>
      </c>
      <c r="X89">
        <v>20.7</v>
      </c>
      <c r="Y89">
        <v>20.7</v>
      </c>
      <c r="AA89">
        <v>3.91</v>
      </c>
      <c r="AC89" t="str">
        <f>CONCATENATE(VLOOKUP(AD89, 'Voxel Sizes'!$A$2:$B$18,2,FALSE),"x",INT(Z89*15), "x", INT(AA89*15))</f>
        <v>198x0x58</v>
      </c>
      <c r="AD89">
        <f t="shared" si="5"/>
        <v>12</v>
      </c>
      <c r="AF89" t="str">
        <f>CONCATENATE(VLOOKUP(AD89,'Articulated Lengths'!$A$2:$B$16, 2, FALSE),IF(AE89&lt;&gt;"",CONCATENATE(",",VLOOKUP(AE89,$B$2:$AF$201,24,FALSE)),""))</f>
        <v>3,6,3</v>
      </c>
      <c r="AH89">
        <v>10</v>
      </c>
      <c r="AI89">
        <v>10</v>
      </c>
      <c r="AL89" t="str">
        <f>VLOOKUP(F89,Eras!$A$2:$C$14, 2, TRUE)</f>
        <v>dsl</v>
      </c>
      <c r="AN89" t="str">
        <f t="shared" si="4"/>
        <v>dsl_</v>
      </c>
    </row>
    <row r="90" spans="1:41" x14ac:dyDescent="0.25">
      <c r="A90" t="s">
        <v>78</v>
      </c>
      <c r="B90" t="s">
        <v>269</v>
      </c>
      <c r="C90" t="s">
        <v>213</v>
      </c>
      <c r="E90" t="s">
        <v>428</v>
      </c>
      <c r="F90">
        <v>1960</v>
      </c>
      <c r="G90">
        <v>1962</v>
      </c>
      <c r="J90">
        <v>1550</v>
      </c>
      <c r="R90">
        <v>74.2</v>
      </c>
      <c r="U90">
        <v>200</v>
      </c>
      <c r="V90" s="4">
        <f t="shared" si="6"/>
        <v>0.26954177897574122</v>
      </c>
      <c r="W90">
        <v>85</v>
      </c>
      <c r="X90">
        <v>15.47</v>
      </c>
      <c r="Y90">
        <v>15.47</v>
      </c>
      <c r="AA90">
        <v>3.86</v>
      </c>
      <c r="AC90" t="str">
        <f>CONCATENATE(VLOOKUP(AD90, 'Voxel Sizes'!$A$2:$B$18,2,FALSE),"x",INT(Z90*15), "x", INT(AA90*15))</f>
        <v>152x0x57</v>
      </c>
      <c r="AD90">
        <f t="shared" si="5"/>
        <v>9</v>
      </c>
      <c r="AF90" t="str">
        <f>CONCATENATE(VLOOKUP(AD90,'Articulated Lengths'!$A$2:$B$16, 2, FALSE),IF(AE90&lt;&gt;"",CONCATENATE(",",VLOOKUP(AE90,$B$2:$AF$201,24,FALSE)),""))</f>
        <v>2,5,2</v>
      </c>
      <c r="AH90">
        <v>10</v>
      </c>
      <c r="AI90">
        <v>10</v>
      </c>
      <c r="AL90" t="str">
        <f>VLOOKUP(F90,Eras!$A$2:$C$14, 2, TRUE)</f>
        <v>dsl</v>
      </c>
      <c r="AN90" t="str">
        <f t="shared" si="4"/>
        <v>dsl_</v>
      </c>
    </row>
    <row r="91" spans="1:41" x14ac:dyDescent="0.25">
      <c r="A91" t="s">
        <v>190</v>
      </c>
      <c r="B91" t="s">
        <v>370</v>
      </c>
      <c r="C91" t="s">
        <v>213</v>
      </c>
      <c r="E91" t="s">
        <v>428</v>
      </c>
      <c r="F91">
        <v>1960</v>
      </c>
      <c r="J91">
        <v>1000</v>
      </c>
      <c r="R91">
        <v>304</v>
      </c>
      <c r="V91" s="4" t="str">
        <f t="shared" si="6"/>
        <v/>
      </c>
      <c r="W91">
        <v>90</v>
      </c>
      <c r="AC91" t="str">
        <f>CONCATENATE(VLOOKUP(AD91, 'Voxel Sizes'!$A$2:$B$18,2,FALSE),"x",INT(Z91*15), "x", INT(AA91*15))</f>
        <v>0x0x0</v>
      </c>
      <c r="AD91">
        <f t="shared" si="5"/>
        <v>0</v>
      </c>
      <c r="AF91" t="str">
        <f>CONCATENATE(VLOOKUP(AD91,'Articulated Lengths'!$A$2:$B$16, 2, FALSE),IF(AE91&lt;&gt;"",CONCATENATE(",",VLOOKUP(AE91,$B$2:$AF$201,24,FALSE)),""))</f>
        <v>na</v>
      </c>
      <c r="AH91">
        <v>10</v>
      </c>
      <c r="AI91">
        <v>10</v>
      </c>
      <c r="AL91" t="str">
        <f>VLOOKUP(F91,Eras!$A$2:$C$14, 2, TRUE)</f>
        <v>dsl</v>
      </c>
      <c r="AN91" t="str">
        <f t="shared" si="4"/>
        <v>dsl_</v>
      </c>
    </row>
    <row r="92" spans="1:41" x14ac:dyDescent="0.25">
      <c r="A92" t="s">
        <v>61</v>
      </c>
      <c r="B92" t="s">
        <v>270</v>
      </c>
      <c r="C92" t="s">
        <v>213</v>
      </c>
      <c r="E92" t="s">
        <v>428</v>
      </c>
      <c r="F92">
        <v>1961</v>
      </c>
      <c r="G92">
        <v>1964</v>
      </c>
      <c r="J92">
        <v>1700</v>
      </c>
      <c r="R92">
        <v>76.2</v>
      </c>
      <c r="U92">
        <v>207</v>
      </c>
      <c r="V92" s="4">
        <f t="shared" si="6"/>
        <v>0.27165354330708663</v>
      </c>
      <c r="W92">
        <v>90</v>
      </c>
      <c r="X92">
        <v>15.76</v>
      </c>
      <c r="Y92">
        <v>15.76</v>
      </c>
      <c r="AA92">
        <v>3.91</v>
      </c>
      <c r="AC92" t="str">
        <f>CONCATENATE(VLOOKUP(AD92, 'Voxel Sizes'!$A$2:$B$18,2,FALSE),"x",INT(Z92*15), "x", INT(AA92*15))</f>
        <v>152x0x58</v>
      </c>
      <c r="AD92">
        <f t="shared" si="5"/>
        <v>9</v>
      </c>
      <c r="AF92" t="str">
        <f>CONCATENATE(VLOOKUP(AD92,'Articulated Lengths'!$A$2:$B$16, 2, FALSE),IF(AE92&lt;&gt;"",CONCATENATE(",",VLOOKUP(AE92,$B$2:$AF$201,24,FALSE)),""))</f>
        <v>2,5,2</v>
      </c>
      <c r="AH92">
        <v>10</v>
      </c>
      <c r="AI92">
        <v>10</v>
      </c>
      <c r="AL92" t="str">
        <f>VLOOKUP(F92,Eras!$A$2:$C$14, 2, TRUE)</f>
        <v>dsl</v>
      </c>
      <c r="AN92" t="str">
        <f t="shared" si="4"/>
        <v>dsl_</v>
      </c>
    </row>
    <row r="93" spans="1:41" x14ac:dyDescent="0.25">
      <c r="A93" t="s">
        <v>63</v>
      </c>
      <c r="B93" t="s">
        <v>271</v>
      </c>
      <c r="C93" t="s">
        <v>213</v>
      </c>
      <c r="E93" t="s">
        <v>428</v>
      </c>
      <c r="F93">
        <v>1961</v>
      </c>
      <c r="G93">
        <v>1964</v>
      </c>
      <c r="J93">
        <v>2000</v>
      </c>
      <c r="R93">
        <v>110</v>
      </c>
      <c r="U93">
        <v>297</v>
      </c>
      <c r="V93" s="4">
        <f t="shared" si="6"/>
        <v>0.27</v>
      </c>
      <c r="W93">
        <v>90</v>
      </c>
      <c r="X93">
        <v>20.73</v>
      </c>
      <c r="Y93">
        <v>20.73</v>
      </c>
      <c r="AA93">
        <v>3.96</v>
      </c>
      <c r="AC93" t="str">
        <f>CONCATENATE(VLOOKUP(AD93, 'Voxel Sizes'!$A$2:$B$18,2,FALSE),"x",INT(Z93*15), "x", INT(AA93*15))</f>
        <v>198x0x59</v>
      </c>
      <c r="AD93">
        <f t="shared" si="5"/>
        <v>12</v>
      </c>
      <c r="AF93" t="str">
        <f>CONCATENATE(VLOOKUP(AD93,'Articulated Lengths'!$A$2:$B$16, 2, FALSE),IF(AE93&lt;&gt;"",CONCATENATE(",",VLOOKUP(AE93,$B$2:$AF$201,24,FALSE)),""))</f>
        <v>3,6,3</v>
      </c>
      <c r="AH93">
        <v>10</v>
      </c>
      <c r="AI93">
        <v>10</v>
      </c>
      <c r="AL93" t="str">
        <f>VLOOKUP(F93,Eras!$A$2:$C$14, 2, TRUE)</f>
        <v>dsl</v>
      </c>
      <c r="AN93" t="str">
        <f t="shared" si="4"/>
        <v>dsl_</v>
      </c>
    </row>
    <row r="94" spans="1:41" x14ac:dyDescent="0.25">
      <c r="A94" t="s">
        <v>76</v>
      </c>
      <c r="B94" t="s">
        <v>460</v>
      </c>
      <c r="C94" t="s">
        <v>213</v>
      </c>
      <c r="E94" t="s">
        <v>428</v>
      </c>
      <c r="F94">
        <v>1961</v>
      </c>
      <c r="G94">
        <v>1967</v>
      </c>
      <c r="J94">
        <v>1250</v>
      </c>
      <c r="R94">
        <v>74.2</v>
      </c>
      <c r="U94">
        <v>170</v>
      </c>
      <c r="V94" s="4">
        <f t="shared" si="6"/>
        <v>0.22911051212938005</v>
      </c>
      <c r="W94">
        <v>90</v>
      </c>
      <c r="X94">
        <v>15.39</v>
      </c>
      <c r="Y94">
        <v>15.39</v>
      </c>
      <c r="AA94">
        <v>3.86</v>
      </c>
      <c r="AC94" t="str">
        <f>CONCATENATE(VLOOKUP(AD94, 'Voxel Sizes'!$A$2:$B$18,2,FALSE),"x",INT(Z94*15), "x", INT(AA94*15))</f>
        <v>152x0x57</v>
      </c>
      <c r="AD94">
        <f t="shared" si="5"/>
        <v>9</v>
      </c>
      <c r="AF94" t="str">
        <f>CONCATENATE(VLOOKUP(AD94,'Articulated Lengths'!$A$2:$B$16, 2, FALSE),IF(AE94&lt;&gt;"",CONCATENATE(",",VLOOKUP(AE94,$B$2:$AF$201,24,FALSE)),""))</f>
        <v>2,5,2</v>
      </c>
      <c r="AH94">
        <v>10</v>
      </c>
      <c r="AI94">
        <v>10</v>
      </c>
      <c r="AL94" t="str">
        <f>VLOOKUP(F94,Eras!$A$2:$C$14, 2, TRUE)</f>
        <v>dsl</v>
      </c>
      <c r="AN94" t="str">
        <f t="shared" si="4"/>
        <v>dsl_</v>
      </c>
    </row>
    <row r="95" spans="1:41" x14ac:dyDescent="0.25">
      <c r="A95" t="s">
        <v>79</v>
      </c>
      <c r="B95" t="s">
        <v>272</v>
      </c>
      <c r="C95" t="s">
        <v>213</v>
      </c>
      <c r="E95" t="s">
        <v>428</v>
      </c>
      <c r="F95">
        <v>1961</v>
      </c>
      <c r="G95">
        <v>1962</v>
      </c>
      <c r="J95">
        <v>1250</v>
      </c>
      <c r="R95">
        <v>73.7</v>
      </c>
      <c r="U95">
        <v>187</v>
      </c>
      <c r="V95" s="4">
        <f t="shared" si="6"/>
        <v>0.2537313432835821</v>
      </c>
      <c r="W95">
        <v>90</v>
      </c>
      <c r="X95">
        <v>15.47</v>
      </c>
      <c r="Y95">
        <v>15.47</v>
      </c>
      <c r="AA95">
        <v>3.86</v>
      </c>
      <c r="AC95" t="str">
        <f>CONCATENATE(VLOOKUP(AD95, 'Voxel Sizes'!$A$2:$B$18,2,FALSE),"x",INT(Z95*15), "x", INT(AA95*15))</f>
        <v>152x0x57</v>
      </c>
      <c r="AD95">
        <f t="shared" si="5"/>
        <v>9</v>
      </c>
      <c r="AF95" t="str">
        <f>CONCATENATE(VLOOKUP(AD95,'Articulated Lengths'!$A$2:$B$16, 2, FALSE),IF(AE95&lt;&gt;"",CONCATENATE(",",VLOOKUP(AE95,$B$2:$AF$201,24,FALSE)),""))</f>
        <v>2,5,2</v>
      </c>
      <c r="AH95">
        <v>10</v>
      </c>
      <c r="AI95">
        <v>10</v>
      </c>
      <c r="AL95" t="str">
        <f>VLOOKUP(F95,Eras!$A$2:$C$14, 2, TRUE)</f>
        <v>dsl</v>
      </c>
      <c r="AN95" t="str">
        <f t="shared" si="4"/>
        <v>dsl_</v>
      </c>
    </row>
    <row r="96" spans="1:41" x14ac:dyDescent="0.25">
      <c r="A96" t="s">
        <v>70</v>
      </c>
      <c r="B96" t="s">
        <v>273</v>
      </c>
      <c r="C96" t="s">
        <v>213</v>
      </c>
      <c r="E96" t="s">
        <v>428</v>
      </c>
      <c r="F96">
        <v>1962</v>
      </c>
      <c r="G96">
        <v>1968</v>
      </c>
      <c r="J96">
        <v>2750</v>
      </c>
      <c r="R96">
        <v>114</v>
      </c>
      <c r="U96">
        <v>245</v>
      </c>
      <c r="V96" s="4">
        <f t="shared" si="6"/>
        <v>0.21491228070175439</v>
      </c>
      <c r="W96">
        <v>95</v>
      </c>
      <c r="X96">
        <v>19.38</v>
      </c>
      <c r="Y96">
        <v>19.38</v>
      </c>
      <c r="AA96">
        <v>3.9</v>
      </c>
      <c r="AC96" t="str">
        <f>CONCATENATE(VLOOKUP(AD96, 'Voxel Sizes'!$A$2:$B$18,2,FALSE),"x",INT(Z96*15), "x", INT(AA96*15))</f>
        <v>186x0x58</v>
      </c>
      <c r="AD96">
        <f t="shared" si="5"/>
        <v>11</v>
      </c>
      <c r="AF96" t="str">
        <f>CONCATENATE(VLOOKUP(AD96,'Articulated Lengths'!$A$2:$B$16, 2, FALSE),IF(AE96&lt;&gt;"",CONCATENATE(",",VLOOKUP(AE96,$B$2:$AF$201,24,FALSE)),""))</f>
        <v>3,5,3</v>
      </c>
      <c r="AH96">
        <v>10</v>
      </c>
      <c r="AI96">
        <v>10</v>
      </c>
      <c r="AL96" t="str">
        <f>VLOOKUP(F96,Eras!$A$2:$C$14, 2, TRUE)</f>
        <v>dsl</v>
      </c>
      <c r="AN96" t="str">
        <f t="shared" si="4"/>
        <v>dsl_</v>
      </c>
    </row>
    <row r="97" spans="1:41" x14ac:dyDescent="0.25">
      <c r="A97" t="s">
        <v>82</v>
      </c>
      <c r="B97" t="s">
        <v>274</v>
      </c>
      <c r="C97" t="s">
        <v>213</v>
      </c>
      <c r="E97" t="s">
        <v>428</v>
      </c>
      <c r="F97">
        <v>1962</v>
      </c>
      <c r="G97">
        <v>1965</v>
      </c>
      <c r="J97">
        <v>900</v>
      </c>
      <c r="R97">
        <v>69</v>
      </c>
      <c r="U97">
        <v>178</v>
      </c>
      <c r="V97" s="4">
        <f t="shared" si="6"/>
        <v>0.25797101449275361</v>
      </c>
      <c r="W97">
        <v>60</v>
      </c>
      <c r="X97">
        <v>15.4</v>
      </c>
      <c r="Y97">
        <v>15.4</v>
      </c>
      <c r="AA97">
        <v>3.86</v>
      </c>
      <c r="AC97" t="str">
        <f>CONCATENATE(VLOOKUP(AD97, 'Voxel Sizes'!$A$2:$B$18,2,FALSE),"x",INT(Z97*15), "x", INT(AA97*15))</f>
        <v>152x0x57</v>
      </c>
      <c r="AD97">
        <f t="shared" si="5"/>
        <v>9</v>
      </c>
      <c r="AF97" t="str">
        <f>CONCATENATE(VLOOKUP(AD97,'Articulated Lengths'!$A$2:$B$16, 2, FALSE),IF(AE97&lt;&gt;"",CONCATENATE(",",VLOOKUP(AE97,$B$2:$AF$201,24,FALSE)),""))</f>
        <v>2,5,2</v>
      </c>
      <c r="AH97">
        <v>10</v>
      </c>
      <c r="AI97">
        <v>10</v>
      </c>
      <c r="AL97" t="str">
        <f>VLOOKUP(F97,Eras!$A$2:$C$14, 2, TRUE)</f>
        <v>dsl</v>
      </c>
      <c r="AN97" t="str">
        <f t="shared" si="4"/>
        <v>dsl_</v>
      </c>
    </row>
    <row r="98" spans="1:41" x14ac:dyDescent="0.25">
      <c r="A98" t="s">
        <v>81</v>
      </c>
      <c r="B98" t="s">
        <v>275</v>
      </c>
      <c r="C98" t="s">
        <v>213</v>
      </c>
      <c r="E98" t="s">
        <v>428</v>
      </c>
      <c r="F98">
        <v>1964</v>
      </c>
      <c r="G98">
        <v>1965</v>
      </c>
      <c r="J98">
        <v>650</v>
      </c>
      <c r="R98">
        <v>48.5</v>
      </c>
      <c r="U98">
        <v>137</v>
      </c>
      <c r="V98" s="4">
        <f t="shared" si="6"/>
        <v>0.28247422680412371</v>
      </c>
      <c r="W98">
        <v>40</v>
      </c>
      <c r="X98">
        <v>10.3</v>
      </c>
      <c r="Y98">
        <v>10.3</v>
      </c>
      <c r="AC98" t="str">
        <f>CONCATENATE(VLOOKUP(AD98, 'Voxel Sizes'!$A$2:$B$18,2,FALSE),"x",INT(Z98*15), "x", INT(AA98*15))</f>
        <v>102x0x0</v>
      </c>
      <c r="AD98">
        <f t="shared" si="5"/>
        <v>6</v>
      </c>
      <c r="AF98" t="str">
        <f>CONCATENATE(VLOOKUP(AD98,'Articulated Lengths'!$A$2:$B$16, 2, FALSE),IF(AE98&lt;&gt;"",CONCATENATE(",",VLOOKUP(AE98,$B$2:$AF$201,24,FALSE)),""))</f>
        <v>2,2,2</v>
      </c>
      <c r="AH98">
        <v>10</v>
      </c>
      <c r="AI98">
        <v>10</v>
      </c>
      <c r="AL98" t="str">
        <f>VLOOKUP(F98,Eras!$A$2:$C$14, 2, TRUE)</f>
        <v>dsl</v>
      </c>
      <c r="AN98" t="str">
        <f t="shared" si="4"/>
        <v>dsl_</v>
      </c>
    </row>
    <row r="99" spans="1:41" x14ac:dyDescent="0.25">
      <c r="A99" t="s">
        <v>83</v>
      </c>
      <c r="B99" t="s">
        <v>401</v>
      </c>
      <c r="C99" t="s">
        <v>213</v>
      </c>
      <c r="E99" t="s">
        <v>428</v>
      </c>
      <c r="F99">
        <v>1965</v>
      </c>
      <c r="G99">
        <v>1967</v>
      </c>
      <c r="J99">
        <v>1420</v>
      </c>
      <c r="R99">
        <v>76.3</v>
      </c>
      <c r="U99">
        <v>186</v>
      </c>
      <c r="V99" s="4">
        <f t="shared" si="6"/>
        <v>0.24377457404980341</v>
      </c>
      <c r="W99">
        <v>80</v>
      </c>
      <c r="X99">
        <v>16.36</v>
      </c>
      <c r="Y99">
        <v>16.36</v>
      </c>
      <c r="AC99" t="str">
        <f>CONCATENATE(VLOOKUP(AD99, 'Voxel Sizes'!$A$2:$B$18,2,FALSE),"x",INT(Z99*15), "x", INT(AA99*15))</f>
        <v>164x0x0</v>
      </c>
      <c r="AD99">
        <f t="shared" si="5"/>
        <v>10</v>
      </c>
      <c r="AF99" t="str">
        <f>CONCATENATE(VLOOKUP(AD99,'Articulated Lengths'!$A$2:$B$16, 2, FALSE),IF(AE99&lt;&gt;"",CONCATENATE(",",VLOOKUP(AE99,$B$2:$AF$201,24,FALSE)),""))</f>
        <v>3,4,3</v>
      </c>
      <c r="AH99">
        <v>10</v>
      </c>
      <c r="AI99">
        <v>10</v>
      </c>
      <c r="AL99" t="str">
        <f>VLOOKUP(F99,Eras!$A$2:$C$14, 2, TRUE)</f>
        <v>gen2</v>
      </c>
      <c r="AN99" t="str">
        <f t="shared" si="4"/>
        <v>gen2_</v>
      </c>
    </row>
    <row r="100" spans="1:41" x14ac:dyDescent="0.25">
      <c r="A100" t="s">
        <v>90</v>
      </c>
      <c r="B100" t="s">
        <v>402</v>
      </c>
      <c r="C100" t="s">
        <v>213</v>
      </c>
      <c r="E100" t="s">
        <v>428</v>
      </c>
      <c r="F100">
        <v>1965</v>
      </c>
      <c r="G100">
        <v>1966</v>
      </c>
      <c r="J100">
        <v>3600</v>
      </c>
      <c r="R100">
        <v>82</v>
      </c>
      <c r="U100">
        <v>267</v>
      </c>
      <c r="V100" s="4">
        <f t="shared" si="6"/>
        <v>0.32560975609756099</v>
      </c>
      <c r="W100">
        <v>100</v>
      </c>
      <c r="X100">
        <v>17.829999999999998</v>
      </c>
      <c r="Y100">
        <v>17.829999999999998</v>
      </c>
      <c r="AA100">
        <v>3.77</v>
      </c>
      <c r="AC100" t="str">
        <f>CONCATENATE(VLOOKUP(AD100, 'Voxel Sizes'!$A$2:$B$18,2,FALSE),"x",INT(Z100*15), "x", INT(AA100*15))</f>
        <v>164x0x56</v>
      </c>
      <c r="AD100">
        <f t="shared" si="5"/>
        <v>10</v>
      </c>
      <c r="AF100" t="str">
        <f>CONCATENATE(VLOOKUP(AD100,'Articulated Lengths'!$A$2:$B$16, 2, FALSE),IF(AE100&lt;&gt;"",CONCATENATE(",",VLOOKUP(AE100,$B$2:$AF$201,24,FALSE)),""))</f>
        <v>3,4,3</v>
      </c>
      <c r="AH100">
        <v>10</v>
      </c>
      <c r="AI100">
        <v>10</v>
      </c>
      <c r="AL100" t="str">
        <f>VLOOKUP(F100,Eras!$A$2:$C$14, 2, TRUE)</f>
        <v>gen2</v>
      </c>
      <c r="AN100" t="str">
        <f t="shared" si="4"/>
        <v>gen2_</v>
      </c>
    </row>
    <row r="101" spans="1:41" x14ac:dyDescent="0.25">
      <c r="A101" t="s">
        <v>69</v>
      </c>
      <c r="B101" t="s">
        <v>276</v>
      </c>
      <c r="C101" t="s">
        <v>213</v>
      </c>
      <c r="E101" t="s">
        <v>428</v>
      </c>
      <c r="F101">
        <v>1967</v>
      </c>
      <c r="G101">
        <v>1968</v>
      </c>
      <c r="J101">
        <v>2700</v>
      </c>
      <c r="R101">
        <v>117</v>
      </c>
      <c r="U101">
        <v>216</v>
      </c>
      <c r="V101" s="4">
        <f t="shared" si="6"/>
        <v>0.18461538461538463</v>
      </c>
      <c r="W101">
        <v>100</v>
      </c>
      <c r="X101">
        <v>20.88</v>
      </c>
      <c r="Y101">
        <v>20.88</v>
      </c>
      <c r="AA101">
        <v>3.89</v>
      </c>
      <c r="AC101" t="str">
        <f>CONCATENATE(VLOOKUP(AD101, 'Voxel Sizes'!$A$2:$B$18,2,FALSE),"x",INT(Z101*15), "x", INT(AA101*15))</f>
        <v>198x0x58</v>
      </c>
      <c r="AD101">
        <f t="shared" si="5"/>
        <v>12</v>
      </c>
      <c r="AF101" t="str">
        <f>CONCATENATE(VLOOKUP(AD101,'Articulated Lengths'!$A$2:$B$16, 2, FALSE),IF(AE101&lt;&gt;"",CONCATENATE(",",VLOOKUP(AE101,$B$2:$AF$201,24,FALSE)),""))</f>
        <v>3,6,3</v>
      </c>
      <c r="AH101">
        <v>10</v>
      </c>
      <c r="AI101">
        <v>10</v>
      </c>
      <c r="AL101" t="str">
        <f>VLOOKUP(F101,Eras!$A$2:$C$14, 2, TRUE)</f>
        <v>gen2</v>
      </c>
      <c r="AN101" t="str">
        <f t="shared" si="4"/>
        <v>gen2_</v>
      </c>
    </row>
    <row r="102" spans="1:41" x14ac:dyDescent="0.25">
      <c r="A102" t="s">
        <v>91</v>
      </c>
      <c r="B102" t="s">
        <v>277</v>
      </c>
      <c r="C102" t="s">
        <v>213</v>
      </c>
      <c r="E102" t="s">
        <v>428</v>
      </c>
      <c r="F102">
        <v>1973</v>
      </c>
      <c r="G102">
        <v>1975</v>
      </c>
      <c r="J102">
        <v>5000</v>
      </c>
      <c r="R102">
        <v>81</v>
      </c>
      <c r="U102">
        <v>258</v>
      </c>
      <c r="V102" s="4">
        <f t="shared" si="6"/>
        <v>0.31851851851851853</v>
      </c>
      <c r="W102">
        <v>110</v>
      </c>
      <c r="X102">
        <v>17.829999999999998</v>
      </c>
      <c r="Y102">
        <v>17.829999999999998</v>
      </c>
      <c r="AA102">
        <v>3.77</v>
      </c>
      <c r="AC102" t="str">
        <f>CONCATENATE(VLOOKUP(AD102, 'Voxel Sizes'!$A$2:$B$18,2,FALSE),"x",INT(Z102*15), "x", INT(AA102*15))</f>
        <v>164x0x56</v>
      </c>
      <c r="AD102">
        <f t="shared" si="5"/>
        <v>10</v>
      </c>
      <c r="AF102" t="str">
        <f>CONCATENATE(VLOOKUP(AD102,'Articulated Lengths'!$A$2:$B$16, 2, FALSE),IF(AE102&lt;&gt;"",CONCATENATE(",",VLOOKUP(AE102,$B$2:$AF$201,24,FALSE)),""))</f>
        <v>3,4,3</v>
      </c>
      <c r="AH102">
        <v>10</v>
      </c>
      <c r="AI102">
        <v>10</v>
      </c>
      <c r="AL102" t="str">
        <f>VLOOKUP(F102,Eras!$A$2:$C$14, 2, TRUE)</f>
        <v>gen2</v>
      </c>
      <c r="AN102" t="str">
        <f t="shared" si="4"/>
        <v>gen2_</v>
      </c>
    </row>
    <row r="103" spans="1:41" x14ac:dyDescent="0.25">
      <c r="A103" t="s">
        <v>60</v>
      </c>
      <c r="B103" t="s">
        <v>461</v>
      </c>
      <c r="C103" t="s">
        <v>416</v>
      </c>
      <c r="D103" t="s">
        <v>426</v>
      </c>
      <c r="E103" t="s">
        <v>428</v>
      </c>
      <c r="F103">
        <v>1975</v>
      </c>
      <c r="G103">
        <v>1982</v>
      </c>
      <c r="J103">
        <v>1770</v>
      </c>
      <c r="R103">
        <v>70.25</v>
      </c>
      <c r="U103">
        <v>160</v>
      </c>
      <c r="V103" s="4">
        <f t="shared" si="6"/>
        <v>0.22775800711743771</v>
      </c>
      <c r="W103">
        <v>125</v>
      </c>
      <c r="X103">
        <v>17.79</v>
      </c>
      <c r="Y103">
        <v>17.79</v>
      </c>
      <c r="AC103" t="str">
        <f>CONCATENATE(VLOOKUP(AD103, 'Voxel Sizes'!$A$2:$B$18,2,FALSE),"x",INT(Z103*15), "x", INT(AA103*15))</f>
        <v>164x0x0</v>
      </c>
      <c r="AD103">
        <f t="shared" si="5"/>
        <v>10</v>
      </c>
      <c r="AF103" t="str">
        <f>CONCATENATE(VLOOKUP(AD103,'Articulated Lengths'!$A$2:$B$16, 2, FALSE),IF(AE103&lt;&gt;"",CONCATENATE(",",VLOOKUP(AE103,$B$2:$AF$201,24,FALSE)),""))</f>
        <v>3,4,3</v>
      </c>
      <c r="AH103">
        <v>10</v>
      </c>
      <c r="AI103">
        <v>10</v>
      </c>
      <c r="AJ103">
        <v>1</v>
      </c>
      <c r="AL103" t="str">
        <f>VLOOKUP(F103,Eras!$A$2:$C$14, 2, TRUE)</f>
        <v>gen3</v>
      </c>
      <c r="AM103" t="s">
        <v>499</v>
      </c>
      <c r="AN103" t="str">
        <f t="shared" si="4"/>
        <v>gen3_Express</v>
      </c>
      <c r="AO103" t="s">
        <v>537</v>
      </c>
    </row>
    <row r="104" spans="1:41" x14ac:dyDescent="0.25">
      <c r="A104" t="s">
        <v>186</v>
      </c>
      <c r="B104" t="s">
        <v>278</v>
      </c>
      <c r="C104" t="s">
        <v>213</v>
      </c>
      <c r="E104" t="s">
        <v>428</v>
      </c>
      <c r="F104">
        <v>1976</v>
      </c>
      <c r="G104">
        <v>1984</v>
      </c>
      <c r="J104">
        <v>3250</v>
      </c>
      <c r="R104">
        <v>125</v>
      </c>
      <c r="U104">
        <v>275</v>
      </c>
      <c r="V104" s="4">
        <f t="shared" si="6"/>
        <v>0.22</v>
      </c>
      <c r="W104">
        <v>80</v>
      </c>
      <c r="X104">
        <v>19.350000000000001</v>
      </c>
      <c r="Y104">
        <v>19.350000000000001</v>
      </c>
      <c r="AA104">
        <v>3.89</v>
      </c>
      <c r="AC104" t="str">
        <f>CONCATENATE(VLOOKUP(AD104, 'Voxel Sizes'!$A$2:$B$18,2,FALSE),"x",INT(Z104*15), "x", INT(AA104*15))</f>
        <v>186x0x58</v>
      </c>
      <c r="AD104">
        <f t="shared" si="5"/>
        <v>11</v>
      </c>
      <c r="AF104" t="str">
        <f>CONCATENATE(VLOOKUP(AD104,'Articulated Lengths'!$A$2:$B$16, 2, FALSE),IF(AE104&lt;&gt;"",CONCATENATE(",",VLOOKUP(AE104,$B$2:$AF$201,24,FALSE)),""))</f>
        <v>3,5,3</v>
      </c>
      <c r="AH104">
        <v>10</v>
      </c>
      <c r="AI104">
        <v>10</v>
      </c>
      <c r="AL104" t="str">
        <f>VLOOKUP(F104,Eras!$A$2:$C$14, 2, TRUE)</f>
        <v>gen3</v>
      </c>
      <c r="AN104" t="str">
        <f t="shared" si="4"/>
        <v>gen3_</v>
      </c>
    </row>
    <row r="105" spans="1:41" x14ac:dyDescent="0.25">
      <c r="A105" t="s">
        <v>72</v>
      </c>
      <c r="B105" t="s">
        <v>279</v>
      </c>
      <c r="C105" t="s">
        <v>213</v>
      </c>
      <c r="E105" t="s">
        <v>428</v>
      </c>
      <c r="F105">
        <v>1983</v>
      </c>
      <c r="G105">
        <v>1987</v>
      </c>
      <c r="J105">
        <v>3300</v>
      </c>
      <c r="R105">
        <v>130</v>
      </c>
      <c r="U105">
        <v>267</v>
      </c>
      <c r="V105" s="4">
        <f t="shared" si="6"/>
        <v>0.20538461538461539</v>
      </c>
      <c r="W105">
        <v>80</v>
      </c>
      <c r="X105">
        <v>19.13</v>
      </c>
      <c r="Y105">
        <v>19.13</v>
      </c>
      <c r="AA105">
        <v>3.91</v>
      </c>
      <c r="AC105" t="str">
        <f>CONCATENATE(VLOOKUP(AD105, 'Voxel Sizes'!$A$2:$B$18,2,FALSE),"x",INT(Z105*15), "x", INT(AA105*15))</f>
        <v>186x0x58</v>
      </c>
      <c r="AD105">
        <f t="shared" si="5"/>
        <v>11</v>
      </c>
      <c r="AF105" t="str">
        <f>CONCATENATE(VLOOKUP(AD105,'Articulated Lengths'!$A$2:$B$16, 2, FALSE),IF(AE105&lt;&gt;"",CONCATENATE(",",VLOOKUP(AE105,$B$2:$AF$201,24,FALSE)),""))</f>
        <v>3,5,3</v>
      </c>
      <c r="AH105">
        <v>10</v>
      </c>
      <c r="AI105">
        <v>10</v>
      </c>
      <c r="AL105" t="str">
        <f>VLOOKUP(F105,Eras!$A$2:$C$14, 2, TRUE)</f>
        <v>gen3</v>
      </c>
      <c r="AN105" t="str">
        <f t="shared" si="4"/>
        <v>gen3_</v>
      </c>
    </row>
    <row r="106" spans="1:41" x14ac:dyDescent="0.25">
      <c r="A106" t="s">
        <v>59</v>
      </c>
      <c r="B106" t="s">
        <v>280</v>
      </c>
      <c r="C106" t="s">
        <v>213</v>
      </c>
      <c r="E106" t="s">
        <v>428</v>
      </c>
      <c r="F106">
        <v>1985</v>
      </c>
      <c r="G106">
        <v>1995</v>
      </c>
      <c r="J106">
        <v>3300</v>
      </c>
      <c r="R106">
        <v>126</v>
      </c>
      <c r="U106">
        <v>508</v>
      </c>
      <c r="V106" s="4">
        <f t="shared" si="6"/>
        <v>0.40317460317460319</v>
      </c>
      <c r="W106">
        <v>75</v>
      </c>
      <c r="X106">
        <v>21.4</v>
      </c>
      <c r="Y106">
        <v>21.4</v>
      </c>
      <c r="AA106">
        <v>3.91</v>
      </c>
      <c r="AC106" t="str">
        <f>CONCATENATE(VLOOKUP(AD106, 'Voxel Sizes'!$A$2:$B$18,2,FALSE),"x",INT(Z106*15), "x", INT(AA106*15))</f>
        <v>221x0x58</v>
      </c>
      <c r="AD106">
        <f t="shared" si="5"/>
        <v>13</v>
      </c>
      <c r="AF106" t="str">
        <f>CONCATENATE(VLOOKUP(AD106,'Articulated Lengths'!$A$2:$B$16, 2, FALSE),IF(AE106&lt;&gt;"",CONCATENATE(",",VLOOKUP(AE106,$B$2:$AF$201,24,FALSE)),""))</f>
        <v>4,5,4</v>
      </c>
      <c r="AH106">
        <v>10</v>
      </c>
      <c r="AI106">
        <v>10</v>
      </c>
      <c r="AL106" t="str">
        <f>VLOOKUP(F106,Eras!$A$2:$C$14, 2, TRUE)</f>
        <v>gen4</v>
      </c>
      <c r="AN106" t="str">
        <f t="shared" si="4"/>
        <v>gen4_</v>
      </c>
    </row>
    <row r="107" spans="1:41" x14ac:dyDescent="0.25">
      <c r="A107" t="s">
        <v>97</v>
      </c>
      <c r="B107" t="s">
        <v>281</v>
      </c>
      <c r="C107" t="s">
        <v>213</v>
      </c>
      <c r="E107" t="s">
        <v>428</v>
      </c>
      <c r="F107">
        <v>1987</v>
      </c>
      <c r="G107">
        <v>1990</v>
      </c>
      <c r="J107">
        <v>5000</v>
      </c>
      <c r="R107">
        <v>84.5</v>
      </c>
      <c r="U107">
        <v>258</v>
      </c>
      <c r="V107" s="4">
        <f t="shared" si="6"/>
        <v>0.30532544378698223</v>
      </c>
      <c r="W107">
        <v>110</v>
      </c>
      <c r="X107">
        <v>18.75</v>
      </c>
      <c r="Y107">
        <v>18.75</v>
      </c>
      <c r="AA107">
        <v>3.96</v>
      </c>
      <c r="AC107" t="str">
        <f>CONCATENATE(VLOOKUP(AD107, 'Voxel Sizes'!$A$2:$B$18,2,FALSE),"x",INT(Z107*15), "x", INT(AA107*15))</f>
        <v>186x0x59</v>
      </c>
      <c r="AD107">
        <f t="shared" si="5"/>
        <v>11</v>
      </c>
      <c r="AF107" t="str">
        <f>CONCATENATE(VLOOKUP(AD107,'Articulated Lengths'!$A$2:$B$16, 2, FALSE),IF(AE107&lt;&gt;"",CONCATENATE(",",VLOOKUP(AE107,$B$2:$AF$201,24,FALSE)),""))</f>
        <v>3,5,3</v>
      </c>
      <c r="AH107">
        <v>10</v>
      </c>
      <c r="AI107">
        <v>10</v>
      </c>
      <c r="AL107" t="str">
        <f>VLOOKUP(F107,Eras!$A$2:$C$14, 2, TRUE)</f>
        <v>gen4</v>
      </c>
      <c r="AN107" t="str">
        <f t="shared" si="4"/>
        <v>gen4_</v>
      </c>
    </row>
    <row r="108" spans="1:41" x14ac:dyDescent="0.25">
      <c r="A108" t="s">
        <v>95</v>
      </c>
      <c r="B108" t="s">
        <v>369</v>
      </c>
      <c r="C108" t="s">
        <v>213</v>
      </c>
      <c r="E108" t="s">
        <v>428</v>
      </c>
      <c r="F108">
        <v>1988</v>
      </c>
      <c r="G108">
        <v>1991</v>
      </c>
      <c r="J108">
        <v>6480</v>
      </c>
      <c r="R108">
        <v>81.5</v>
      </c>
      <c r="U108">
        <v>190</v>
      </c>
      <c r="V108" s="4">
        <f t="shared" si="6"/>
        <v>0.23312883435582821</v>
      </c>
      <c r="W108">
        <v>140</v>
      </c>
      <c r="X108">
        <v>19.399999999999999</v>
      </c>
      <c r="Y108">
        <v>19.399999999999999</v>
      </c>
      <c r="AC108" t="str">
        <f>CONCATENATE(VLOOKUP(AD108, 'Voxel Sizes'!$A$2:$B$18,2,FALSE),"x",INT(Z108*15), "x", INT(AA108*15))</f>
        <v>186x0x0</v>
      </c>
      <c r="AD108">
        <f t="shared" si="5"/>
        <v>11</v>
      </c>
      <c r="AF108" t="str">
        <f>CONCATENATE(VLOOKUP(AD108,'Articulated Lengths'!$A$2:$B$16, 2, FALSE),IF(AE108&lt;&gt;"",CONCATENATE(",",VLOOKUP(AE108,$B$2:$AF$201,24,FALSE)),""))</f>
        <v>3,5,3</v>
      </c>
      <c r="AH108">
        <v>10</v>
      </c>
      <c r="AI108">
        <v>10</v>
      </c>
      <c r="AL108" t="str">
        <f>VLOOKUP(F108,Eras!$A$2:$C$14, 2, TRUE)</f>
        <v>gen4</v>
      </c>
      <c r="AM108" t="s">
        <v>509</v>
      </c>
      <c r="AN108" t="str">
        <f t="shared" si="4"/>
        <v>gen4_Express (Electric)</v>
      </c>
    </row>
    <row r="109" spans="1:41" x14ac:dyDescent="0.25">
      <c r="A109" t="s">
        <v>96</v>
      </c>
      <c r="B109" t="s">
        <v>282</v>
      </c>
      <c r="C109" t="s">
        <v>213</v>
      </c>
      <c r="E109" t="s">
        <v>428</v>
      </c>
      <c r="F109">
        <v>1993</v>
      </c>
      <c r="G109">
        <v>1996</v>
      </c>
      <c r="J109">
        <v>6760</v>
      </c>
      <c r="R109">
        <v>126</v>
      </c>
      <c r="U109">
        <v>360</v>
      </c>
      <c r="V109" s="4">
        <f t="shared" si="6"/>
        <v>0.2857142857142857</v>
      </c>
      <c r="W109">
        <v>87</v>
      </c>
      <c r="X109">
        <v>21.36</v>
      </c>
      <c r="Y109">
        <v>21.36</v>
      </c>
      <c r="AC109" t="str">
        <f>CONCATENATE(VLOOKUP(AD109, 'Voxel Sizes'!$A$2:$B$18,2,FALSE),"x",INT(Z109*15), "x", INT(AA109*15))</f>
        <v>221x0x0</v>
      </c>
      <c r="AD109">
        <f t="shared" si="5"/>
        <v>13</v>
      </c>
      <c r="AF109" t="str">
        <f>CONCATENATE(VLOOKUP(AD109,'Articulated Lengths'!$A$2:$B$16, 2, FALSE),IF(AE109&lt;&gt;"",CONCATENATE(",",VLOOKUP(AE109,$B$2:$AF$201,24,FALSE)),""))</f>
        <v>4,5,4</v>
      </c>
      <c r="AH109">
        <v>10</v>
      </c>
      <c r="AI109">
        <v>10</v>
      </c>
      <c r="AL109" t="str">
        <f>VLOOKUP(F109,Eras!$A$2:$C$14, 2, TRUE)</f>
        <v>gen4</v>
      </c>
      <c r="AN109" t="str">
        <f t="shared" si="4"/>
        <v>gen4_</v>
      </c>
    </row>
    <row r="110" spans="1:41" x14ac:dyDescent="0.25">
      <c r="A110" t="s">
        <v>73</v>
      </c>
      <c r="B110" t="s">
        <v>283</v>
      </c>
      <c r="C110" t="s">
        <v>213</v>
      </c>
      <c r="E110" t="s">
        <v>428</v>
      </c>
      <c r="F110">
        <v>1998</v>
      </c>
      <c r="G110">
        <v>2015</v>
      </c>
      <c r="J110">
        <v>3300</v>
      </c>
      <c r="R110">
        <v>129.6</v>
      </c>
      <c r="U110">
        <v>409</v>
      </c>
      <c r="V110" s="4">
        <f t="shared" si="6"/>
        <v>0.31558641975308643</v>
      </c>
      <c r="W110">
        <v>75</v>
      </c>
      <c r="X110">
        <v>21.4</v>
      </c>
      <c r="Y110">
        <v>21.4</v>
      </c>
      <c r="AA110">
        <v>3.9</v>
      </c>
      <c r="AC110" t="str">
        <f>CONCATENATE(VLOOKUP(AD110, 'Voxel Sizes'!$A$2:$B$18,2,FALSE),"x",INT(Z110*15), "x", INT(AA110*15))</f>
        <v>221x0x58</v>
      </c>
      <c r="AD110">
        <f t="shared" si="5"/>
        <v>13</v>
      </c>
      <c r="AF110" t="str">
        <f>CONCATENATE(VLOOKUP(AD110,'Articulated Lengths'!$A$2:$B$16, 2, FALSE),IF(AE110&lt;&gt;"",CONCATENATE(",",VLOOKUP(AE110,$B$2:$AF$201,24,FALSE)),""))</f>
        <v>4,5,4</v>
      </c>
      <c r="AH110">
        <v>10</v>
      </c>
      <c r="AI110">
        <v>10</v>
      </c>
      <c r="AL110" t="str">
        <f>VLOOKUP(F110,Eras!$A$2:$C$14, 2, TRUE)</f>
        <v>prv</v>
      </c>
      <c r="AN110" t="str">
        <f t="shared" si="4"/>
        <v>prv_</v>
      </c>
    </row>
    <row r="111" spans="1:41" x14ac:dyDescent="0.25">
      <c r="A111" t="s">
        <v>192</v>
      </c>
      <c r="B111" t="s">
        <v>368</v>
      </c>
      <c r="C111" t="s">
        <v>213</v>
      </c>
      <c r="E111" t="s">
        <v>428</v>
      </c>
      <c r="F111">
        <v>1998</v>
      </c>
      <c r="G111">
        <v>2004</v>
      </c>
      <c r="J111">
        <v>3000</v>
      </c>
      <c r="R111">
        <v>120.6</v>
      </c>
      <c r="U111">
        <v>250</v>
      </c>
      <c r="V111" s="4">
        <f t="shared" si="6"/>
        <v>0.20729684908789386</v>
      </c>
      <c r="W111">
        <v>95</v>
      </c>
      <c r="X111">
        <v>19.38</v>
      </c>
      <c r="Y111">
        <v>19.38</v>
      </c>
      <c r="AA111">
        <v>3.9</v>
      </c>
      <c r="AC111" t="str">
        <f>CONCATENATE(VLOOKUP(AD111, 'Voxel Sizes'!$A$2:$B$18,2,FALSE),"x",INT(Z111*15), "x", INT(AA111*15))</f>
        <v>186x0x58</v>
      </c>
      <c r="AD111">
        <f t="shared" si="5"/>
        <v>11</v>
      </c>
      <c r="AF111" t="str">
        <f>CONCATENATE(VLOOKUP(AD111,'Articulated Lengths'!$A$2:$B$16, 2, FALSE),IF(AE111&lt;&gt;"",CONCATENATE(",",VLOOKUP(AE111,$B$2:$AF$201,24,FALSE)),""))</f>
        <v>3,5,3</v>
      </c>
      <c r="AH111">
        <v>10</v>
      </c>
      <c r="AI111">
        <v>10</v>
      </c>
      <c r="AL111" t="str">
        <f>VLOOKUP(F111,Eras!$A$2:$C$14, 2, TRUE)</f>
        <v>prv</v>
      </c>
      <c r="AM111" t="s">
        <v>500</v>
      </c>
      <c r="AN111" t="str">
        <f t="shared" si="4"/>
        <v>prv_Freight</v>
      </c>
    </row>
    <row r="112" spans="1:41" x14ac:dyDescent="0.25">
      <c r="A112" t="s">
        <v>74</v>
      </c>
      <c r="B112" t="s">
        <v>284</v>
      </c>
      <c r="C112" t="s">
        <v>213</v>
      </c>
      <c r="E112" t="s">
        <v>428</v>
      </c>
      <c r="F112">
        <v>1999</v>
      </c>
      <c r="G112">
        <v>2000</v>
      </c>
      <c r="J112">
        <v>3200</v>
      </c>
      <c r="R112">
        <v>88</v>
      </c>
      <c r="U112">
        <v>144</v>
      </c>
      <c r="V112" s="4">
        <f t="shared" si="6"/>
        <v>0.16363636363636364</v>
      </c>
      <c r="W112">
        <v>125</v>
      </c>
      <c r="X112">
        <v>19.71</v>
      </c>
      <c r="Y112">
        <v>19.71</v>
      </c>
      <c r="AA112">
        <v>3.93</v>
      </c>
      <c r="AC112" t="str">
        <f>CONCATENATE(VLOOKUP(AD112, 'Voxel Sizes'!$A$2:$B$18,2,FALSE),"x",INT(Z112*15), "x", INT(AA112*15))</f>
        <v>198x0x58</v>
      </c>
      <c r="AD112">
        <f t="shared" si="5"/>
        <v>12</v>
      </c>
      <c r="AF112" t="str">
        <f>CONCATENATE(VLOOKUP(AD112,'Articulated Lengths'!$A$2:$B$16, 2, FALSE),IF(AE112&lt;&gt;"",CONCATENATE(",",VLOOKUP(AE112,$B$2:$AF$201,24,FALSE)),""))</f>
        <v>3,6,3</v>
      </c>
      <c r="AH112">
        <v>10</v>
      </c>
      <c r="AI112">
        <v>10</v>
      </c>
      <c r="AL112" t="str">
        <f>VLOOKUP(F112,Eras!$A$2:$C$14, 2, TRUE)</f>
        <v>prv</v>
      </c>
      <c r="AN112" t="str">
        <f t="shared" si="4"/>
        <v>prv_</v>
      </c>
    </row>
    <row r="113" spans="1:40" x14ac:dyDescent="0.25">
      <c r="A113" t="s">
        <v>80</v>
      </c>
      <c r="B113" t="s">
        <v>285</v>
      </c>
      <c r="C113" t="s">
        <v>213</v>
      </c>
      <c r="E113" t="s">
        <v>428</v>
      </c>
      <c r="F113">
        <v>2008</v>
      </c>
      <c r="G113">
        <v>2017</v>
      </c>
      <c r="J113">
        <v>3690</v>
      </c>
      <c r="R113">
        <v>129</v>
      </c>
      <c r="U113">
        <v>534</v>
      </c>
      <c r="V113" s="4">
        <f t="shared" si="6"/>
        <v>0.413953488372093</v>
      </c>
      <c r="W113">
        <v>75</v>
      </c>
      <c r="X113">
        <v>21.27</v>
      </c>
      <c r="Y113">
        <v>21.27</v>
      </c>
      <c r="AA113">
        <v>3.91</v>
      </c>
      <c r="AC113" t="str">
        <f>CONCATENATE(VLOOKUP(AD113, 'Voxel Sizes'!$A$2:$B$18,2,FALSE),"x",INT(Z113*15), "x", INT(AA113*15))</f>
        <v>198x0x58</v>
      </c>
      <c r="AD113">
        <f t="shared" si="5"/>
        <v>12</v>
      </c>
      <c r="AF113" t="str">
        <f>CONCATENATE(VLOOKUP(AD113,'Articulated Lengths'!$A$2:$B$16, 2, FALSE),IF(AE113&lt;&gt;"",CONCATENATE(",",VLOOKUP(AE113,$B$2:$AF$201,24,FALSE)),""))</f>
        <v>3,6,3</v>
      </c>
      <c r="AH113">
        <v>10</v>
      </c>
      <c r="AI113">
        <v>10</v>
      </c>
      <c r="AL113" t="str">
        <f>VLOOKUP(F113,Eras!$A$2:$C$14, 2, TRUE)</f>
        <v>mod</v>
      </c>
      <c r="AN113" t="str">
        <f t="shared" si="4"/>
        <v>mod_</v>
      </c>
    </row>
    <row r="114" spans="1:40" x14ac:dyDescent="0.25">
      <c r="A114" t="s">
        <v>84</v>
      </c>
      <c r="B114" t="s">
        <v>286</v>
      </c>
      <c r="C114" t="s">
        <v>213</v>
      </c>
      <c r="E114" t="s">
        <v>428</v>
      </c>
      <c r="F114">
        <v>2015</v>
      </c>
      <c r="G114">
        <v>2016</v>
      </c>
      <c r="J114">
        <v>5400</v>
      </c>
      <c r="R114">
        <v>86</v>
      </c>
      <c r="U114">
        <v>317</v>
      </c>
      <c r="V114" s="4">
        <f t="shared" si="6"/>
        <v>0.36860465116279068</v>
      </c>
      <c r="W114">
        <v>100</v>
      </c>
      <c r="AC114" t="str">
        <f>CONCATENATE(VLOOKUP(AD114, 'Voxel Sizes'!$A$2:$B$18,2,FALSE),"x",INT(Z114*15), "x", INT(AA114*15))</f>
        <v>0x0x0</v>
      </c>
      <c r="AD114">
        <f t="shared" si="5"/>
        <v>0</v>
      </c>
      <c r="AF114" t="str">
        <f>CONCATENATE(VLOOKUP(AD114,'Articulated Lengths'!$A$2:$B$16, 2, FALSE),IF(AE114&lt;&gt;"",CONCATENATE(",",VLOOKUP(AE114,$B$2:$AF$201,24,FALSE)),""))</f>
        <v>na</v>
      </c>
      <c r="AH114">
        <v>10</v>
      </c>
      <c r="AI114">
        <v>10</v>
      </c>
      <c r="AL114" t="str">
        <f>VLOOKUP(F114,Eras!$A$2:$C$14, 2, TRUE)</f>
        <v>mod</v>
      </c>
      <c r="AN114" t="str">
        <f t="shared" si="4"/>
        <v>mod_</v>
      </c>
    </row>
    <row r="115" spans="1:40" x14ac:dyDescent="0.25">
      <c r="A115" t="s">
        <v>99</v>
      </c>
      <c r="B115" t="s">
        <v>287</v>
      </c>
      <c r="C115" t="s">
        <v>213</v>
      </c>
      <c r="E115" t="s">
        <v>428</v>
      </c>
      <c r="F115">
        <v>1933</v>
      </c>
      <c r="G115">
        <v>1942</v>
      </c>
      <c r="J115">
        <v>260</v>
      </c>
      <c r="V115" s="4" t="str">
        <f t="shared" si="6"/>
        <v/>
      </c>
      <c r="AC115" t="str">
        <f>CONCATENATE(VLOOKUP(AD115, 'Voxel Sizes'!$A$2:$B$18,2,FALSE),"x",INT(Z115*15), "x", INT(AA115*15))</f>
        <v>0x0x0</v>
      </c>
      <c r="AD115">
        <f t="shared" si="5"/>
        <v>0</v>
      </c>
      <c r="AF115" t="str">
        <f>CONCATENATE(VLOOKUP(AD115,'Articulated Lengths'!$A$2:$B$16, 2, FALSE),IF(AE115&lt;&gt;"",CONCATENATE(",",VLOOKUP(AE115,$B$2:$AF$201,24,FALSE)),""))</f>
        <v>na</v>
      </c>
      <c r="AH115">
        <v>10</v>
      </c>
      <c r="AI115">
        <v>10</v>
      </c>
      <c r="AL115" t="str">
        <f>VLOOKUP(F115,Eras!$A$2:$C$14, 2, TRUE)</f>
        <v>big4</v>
      </c>
      <c r="AN115" t="str">
        <f t="shared" si="4"/>
        <v>big4_</v>
      </c>
    </row>
    <row r="116" spans="1:40" x14ac:dyDescent="0.25">
      <c r="A116" t="s">
        <v>100</v>
      </c>
      <c r="B116" t="s">
        <v>376</v>
      </c>
      <c r="C116" t="s">
        <v>213</v>
      </c>
      <c r="E116" t="s">
        <v>428</v>
      </c>
      <c r="F116">
        <v>1914</v>
      </c>
      <c r="J116">
        <v>1000</v>
      </c>
      <c r="V116" s="4" t="str">
        <f t="shared" si="6"/>
        <v/>
      </c>
      <c r="AC116" t="str">
        <f>CONCATENATE(VLOOKUP(AD116, 'Voxel Sizes'!$A$2:$B$18,2,FALSE),"x",INT(Z116*15), "x", INT(AA116*15))</f>
        <v>0x0x0</v>
      </c>
      <c r="AD116">
        <f t="shared" si="5"/>
        <v>0</v>
      </c>
      <c r="AF116" t="str">
        <f>CONCATENATE(VLOOKUP(AD116,'Articulated Lengths'!$A$2:$B$16, 2, FALSE),IF(AE116&lt;&gt;"",CONCATENATE(",",VLOOKUP(AE116,$B$2:$AF$201,24,FALSE)),""))</f>
        <v>na</v>
      </c>
      <c r="AH116">
        <v>10</v>
      </c>
      <c r="AI116">
        <v>10</v>
      </c>
      <c r="AL116" t="str">
        <f>VLOOKUP(F116,Eras!$A$2:$C$14, 2, TRUE)</f>
        <v>edw</v>
      </c>
      <c r="AM116" t="s">
        <v>504</v>
      </c>
      <c r="AN116" t="str">
        <f t="shared" si="4"/>
        <v>edw_EMU</v>
      </c>
    </row>
    <row r="117" spans="1:40" x14ac:dyDescent="0.25">
      <c r="A117" t="s">
        <v>101</v>
      </c>
      <c r="B117" t="s">
        <v>363</v>
      </c>
      <c r="C117" t="s">
        <v>213</v>
      </c>
      <c r="E117" t="s">
        <v>428</v>
      </c>
      <c r="F117">
        <v>1932</v>
      </c>
      <c r="H117">
        <v>1972</v>
      </c>
      <c r="J117">
        <v>1800</v>
      </c>
      <c r="R117">
        <v>253</v>
      </c>
      <c r="V117" s="4" t="str">
        <f t="shared" si="6"/>
        <v/>
      </c>
      <c r="W117">
        <v>75</v>
      </c>
      <c r="AB117">
        <f>40+132</f>
        <v>172</v>
      </c>
      <c r="AC117" t="str">
        <f>CONCATENATE(VLOOKUP(AD117, 'Voxel Sizes'!$A$2:$B$18,2,FALSE),"x",INT(Z117*15), "x", INT(AA117*15))</f>
        <v>0x0x0</v>
      </c>
      <c r="AD117">
        <f t="shared" si="5"/>
        <v>0</v>
      </c>
      <c r="AF117" t="str">
        <f>CONCATENATE(VLOOKUP(AD117,'Articulated Lengths'!$A$2:$B$16, 2, FALSE),IF(AE117&lt;&gt;"",CONCATENATE(",",VLOOKUP(AE117,$B$2:$AF$201,24,FALSE)),""))</f>
        <v>na</v>
      </c>
      <c r="AH117">
        <v>10</v>
      </c>
      <c r="AI117">
        <v>10</v>
      </c>
      <c r="AL117" t="str">
        <f>VLOOKUP(F117,Eras!$A$2:$C$14, 2, TRUE)</f>
        <v>big4</v>
      </c>
      <c r="AN117" t="str">
        <f t="shared" si="4"/>
        <v>big4_</v>
      </c>
    </row>
    <row r="118" spans="1:40" x14ac:dyDescent="0.25">
      <c r="A118" t="s">
        <v>102</v>
      </c>
      <c r="B118" t="s">
        <v>364</v>
      </c>
      <c r="C118" t="s">
        <v>213</v>
      </c>
      <c r="E118" t="s">
        <v>428</v>
      </c>
      <c r="F118">
        <v>1937</v>
      </c>
      <c r="G118">
        <v>1938</v>
      </c>
      <c r="H118">
        <v>1972</v>
      </c>
      <c r="J118">
        <v>900</v>
      </c>
      <c r="R118">
        <v>160.80000000000001</v>
      </c>
      <c r="V118" s="4" t="str">
        <f t="shared" si="6"/>
        <v/>
      </c>
      <c r="W118">
        <v>75</v>
      </c>
      <c r="AC118" t="str">
        <f>CONCATENATE(VLOOKUP(AD118, 'Voxel Sizes'!$A$2:$B$18,2,FALSE),"x",INT(Z118*15), "x", INT(AA118*15))</f>
        <v>0x0x0</v>
      </c>
      <c r="AD118">
        <f t="shared" si="5"/>
        <v>0</v>
      </c>
      <c r="AF118" t="str">
        <f>CONCATENATE(VLOOKUP(AD118,'Articulated Lengths'!$A$2:$B$16, 2, FALSE),IF(AE118&lt;&gt;"",CONCATENATE(",",VLOOKUP(AE118,$B$2:$AF$201,24,FALSE)),""))</f>
        <v>na</v>
      </c>
      <c r="AH118">
        <v>10</v>
      </c>
      <c r="AI118">
        <v>10</v>
      </c>
      <c r="AL118" t="str">
        <f>VLOOKUP(F118,Eras!$A$2:$C$14, 2, TRUE)</f>
        <v>big4</v>
      </c>
      <c r="AN118" t="str">
        <f t="shared" si="4"/>
        <v>big4_</v>
      </c>
    </row>
    <row r="119" spans="1:40" x14ac:dyDescent="0.25">
      <c r="A119" t="s">
        <v>103</v>
      </c>
      <c r="B119" t="s">
        <v>365</v>
      </c>
      <c r="C119" t="s">
        <v>213</v>
      </c>
      <c r="E119" t="s">
        <v>428</v>
      </c>
      <c r="F119">
        <v>1938</v>
      </c>
      <c r="G119">
        <v>1939</v>
      </c>
      <c r="H119">
        <v>1971</v>
      </c>
      <c r="J119">
        <v>550</v>
      </c>
      <c r="R119">
        <v>77</v>
      </c>
      <c r="V119" s="4" t="str">
        <f t="shared" si="6"/>
        <v/>
      </c>
      <c r="AB119">
        <f>32+102</f>
        <v>134</v>
      </c>
      <c r="AC119" t="str">
        <f>CONCATENATE(VLOOKUP(AD119, 'Voxel Sizes'!$A$2:$B$18,2,FALSE),"x",INT(Z119*15), "x", INT(AA119*15))</f>
        <v>0x0x0</v>
      </c>
      <c r="AD119">
        <f t="shared" si="5"/>
        <v>0</v>
      </c>
      <c r="AF119" t="str">
        <f>CONCATENATE(VLOOKUP(AD119,'Articulated Lengths'!$A$2:$B$16, 2, FALSE),IF(AE119&lt;&gt;"",CONCATENATE(",",VLOOKUP(AE119,$B$2:$AF$201,24,FALSE)),""))</f>
        <v>na</v>
      </c>
      <c r="AH119">
        <v>10</v>
      </c>
      <c r="AI119">
        <v>10</v>
      </c>
      <c r="AL119" t="str">
        <f>VLOOKUP(F119,Eras!$A$2:$C$14, 2, TRUE)</f>
        <v>big4</v>
      </c>
      <c r="AN119" t="str">
        <f t="shared" si="4"/>
        <v>big4_</v>
      </c>
    </row>
    <row r="120" spans="1:40" x14ac:dyDescent="0.25">
      <c r="A120" t="s">
        <v>104</v>
      </c>
      <c r="B120" t="s">
        <v>366</v>
      </c>
      <c r="C120" t="s">
        <v>213</v>
      </c>
      <c r="E120" t="s">
        <v>428</v>
      </c>
      <c r="F120">
        <v>1956</v>
      </c>
      <c r="G120">
        <v>1960</v>
      </c>
      <c r="H120">
        <v>2003</v>
      </c>
      <c r="J120">
        <v>300</v>
      </c>
      <c r="R120">
        <f>32.5+25</f>
        <v>57.5</v>
      </c>
      <c r="V120" s="4" t="str">
        <f t="shared" si="6"/>
        <v/>
      </c>
      <c r="W120">
        <v>70</v>
      </c>
      <c r="X120">
        <v>17.37</v>
      </c>
      <c r="Y120">
        <v>17.37</v>
      </c>
      <c r="AA120">
        <v>3.77</v>
      </c>
      <c r="AC120" t="str">
        <f>CONCATENATE(VLOOKUP(AD120, 'Voxel Sizes'!$A$2:$B$18,2,FALSE),"x",INT(Z120*15), "x", INT(AA120*15))</f>
        <v>164x0x56</v>
      </c>
      <c r="AD120">
        <f t="shared" si="5"/>
        <v>10</v>
      </c>
      <c r="AF120" t="str">
        <f>CONCATENATE(VLOOKUP(AD120,'Articulated Lengths'!$A$2:$B$16, 2, FALSE),IF(AE120&lt;&gt;"",CONCATENATE(",",VLOOKUP(AE120,$B$2:$AF$201,24,FALSE)),""))</f>
        <v>3,4,3</v>
      </c>
      <c r="AH120">
        <v>10</v>
      </c>
      <c r="AI120">
        <v>10</v>
      </c>
      <c r="AL120" t="str">
        <f>VLOOKUP(F120,Eras!$A$2:$C$14, 2, TRUE)</f>
        <v>dsl</v>
      </c>
      <c r="AM120" t="s">
        <v>502</v>
      </c>
      <c r="AN120" t="str">
        <f t="shared" si="4"/>
        <v>dsl_DMU</v>
      </c>
    </row>
    <row r="121" spans="1:40" x14ac:dyDescent="0.25">
      <c r="A121" t="s">
        <v>105</v>
      </c>
      <c r="B121" t="s">
        <v>367</v>
      </c>
      <c r="C121" t="s">
        <v>213</v>
      </c>
      <c r="E121" t="s">
        <v>428</v>
      </c>
      <c r="F121">
        <v>1959</v>
      </c>
      <c r="G121">
        <v>1961</v>
      </c>
      <c r="H121">
        <v>2000</v>
      </c>
      <c r="J121">
        <v>600</v>
      </c>
      <c r="R121">
        <f>36.6+30.5+36.6</f>
        <v>103.69999999999999</v>
      </c>
      <c r="V121" s="4" t="str">
        <f t="shared" si="6"/>
        <v/>
      </c>
      <c r="W121">
        <v>70</v>
      </c>
      <c r="X121">
        <v>19.510000000000002</v>
      </c>
      <c r="Y121">
        <v>19.510000000000002</v>
      </c>
      <c r="AA121">
        <v>3.87</v>
      </c>
      <c r="AC121" t="str">
        <f>CONCATENATE(VLOOKUP(AD121, 'Voxel Sizes'!$A$2:$B$18,2,FALSE),"x",INT(Z121*15), "x", INT(AA121*15))</f>
        <v>186x0x58</v>
      </c>
      <c r="AD121">
        <f t="shared" si="5"/>
        <v>11</v>
      </c>
      <c r="AF121" t="str">
        <f>CONCATENATE(VLOOKUP(AD121,'Articulated Lengths'!$A$2:$B$16, 2, FALSE),IF(AE121&lt;&gt;"",CONCATENATE(",",VLOOKUP(AE121,$B$2:$AF$201,24,FALSE)),""))</f>
        <v>3,5,3</v>
      </c>
      <c r="AH121">
        <v>10</v>
      </c>
      <c r="AI121">
        <v>10</v>
      </c>
      <c r="AL121" t="str">
        <f>VLOOKUP(F121,Eras!$A$2:$C$14, 2, TRUE)</f>
        <v>dsl</v>
      </c>
      <c r="AM121" t="s">
        <v>502</v>
      </c>
      <c r="AN121" t="str">
        <f t="shared" si="4"/>
        <v>dsl_DMU</v>
      </c>
    </row>
    <row r="122" spans="1:40" x14ac:dyDescent="0.25">
      <c r="A122" t="s">
        <v>106</v>
      </c>
      <c r="B122" t="s">
        <v>346</v>
      </c>
      <c r="C122" t="s">
        <v>213</v>
      </c>
      <c r="E122" t="s">
        <v>428</v>
      </c>
      <c r="F122">
        <v>1960</v>
      </c>
      <c r="H122">
        <v>2017</v>
      </c>
      <c r="J122">
        <v>300</v>
      </c>
      <c r="R122">
        <v>38</v>
      </c>
      <c r="V122" s="4" t="str">
        <f t="shared" si="6"/>
        <v/>
      </c>
      <c r="W122">
        <v>70</v>
      </c>
      <c r="X122">
        <v>19.66</v>
      </c>
      <c r="Y122">
        <v>19.66</v>
      </c>
      <c r="AA122">
        <v>3.77</v>
      </c>
      <c r="AB122">
        <v>65</v>
      </c>
      <c r="AC122" t="str">
        <f>CONCATENATE(VLOOKUP(AD122, 'Voxel Sizes'!$A$2:$B$18,2,FALSE),"x",INT(Z122*15), "x", INT(AA122*15))</f>
        <v>198x0x56</v>
      </c>
      <c r="AD122">
        <f t="shared" si="5"/>
        <v>12</v>
      </c>
      <c r="AF122" t="str">
        <f>CONCATENATE(VLOOKUP(AD122,'Articulated Lengths'!$A$2:$B$16, 2, FALSE),IF(AE122&lt;&gt;"",CONCATENATE(",",VLOOKUP(AE122,$B$2:$AF$201,24,FALSE)),""))</f>
        <v>3,6,3</v>
      </c>
      <c r="AH122">
        <v>10</v>
      </c>
      <c r="AI122">
        <v>10</v>
      </c>
      <c r="AL122" t="str">
        <f>VLOOKUP(F122,Eras!$A$2:$C$14, 2, TRUE)</f>
        <v>dsl</v>
      </c>
      <c r="AM122" t="s">
        <v>502</v>
      </c>
      <c r="AN122" t="str">
        <f t="shared" si="4"/>
        <v>dsl_DMU</v>
      </c>
    </row>
    <row r="123" spans="1:40" x14ac:dyDescent="0.25">
      <c r="A123" t="s">
        <v>107</v>
      </c>
      <c r="B123" t="s">
        <v>288</v>
      </c>
      <c r="C123" t="s">
        <v>213</v>
      </c>
      <c r="E123" t="s">
        <v>428</v>
      </c>
      <c r="F123">
        <v>1956</v>
      </c>
      <c r="G123">
        <v>1959</v>
      </c>
      <c r="H123">
        <v>1988</v>
      </c>
      <c r="J123">
        <v>300</v>
      </c>
      <c r="R123">
        <f>30.5*2</f>
        <v>61</v>
      </c>
      <c r="V123" s="4" t="str">
        <f t="shared" si="6"/>
        <v/>
      </c>
      <c r="W123">
        <v>70</v>
      </c>
      <c r="X123">
        <v>17.53</v>
      </c>
      <c r="Y123">
        <v>17.53</v>
      </c>
      <c r="AA123">
        <v>3.84</v>
      </c>
      <c r="AC123" t="str">
        <f>CONCATENATE(VLOOKUP(AD123, 'Voxel Sizes'!$A$2:$B$18,2,FALSE),"x",INT(Z123*15), "x", INT(AA123*15))</f>
        <v>164x0x57</v>
      </c>
      <c r="AD123">
        <f t="shared" si="5"/>
        <v>10</v>
      </c>
      <c r="AF123" t="str">
        <f>CONCATENATE(VLOOKUP(AD123,'Articulated Lengths'!$A$2:$B$16, 2, FALSE),IF(AE123&lt;&gt;"",CONCATENATE(",",VLOOKUP(AE123,$B$2:$AF$201,24,FALSE)),""))</f>
        <v>3,4,3</v>
      </c>
      <c r="AH123">
        <v>10</v>
      </c>
      <c r="AI123">
        <v>10</v>
      </c>
      <c r="AL123" t="str">
        <f>VLOOKUP(F123,Eras!$A$2:$C$14, 2, TRUE)</f>
        <v>dsl</v>
      </c>
      <c r="AN123" t="str">
        <f t="shared" si="4"/>
        <v>dsl_</v>
      </c>
    </row>
    <row r="124" spans="1:40" x14ac:dyDescent="0.25">
      <c r="A124" t="s">
        <v>108</v>
      </c>
      <c r="B124" t="s">
        <v>347</v>
      </c>
      <c r="C124" t="s">
        <v>213</v>
      </c>
      <c r="E124" t="s">
        <v>428</v>
      </c>
      <c r="F124">
        <v>2003</v>
      </c>
      <c r="J124">
        <v>1600</v>
      </c>
      <c r="R124">
        <v>173.6</v>
      </c>
      <c r="V124" s="4" t="str">
        <f t="shared" si="6"/>
        <v/>
      </c>
      <c r="W124">
        <v>100</v>
      </c>
      <c r="X124">
        <v>20.399999999999999</v>
      </c>
      <c r="Y124">
        <v>20.399999999999999</v>
      </c>
      <c r="AA124">
        <v>3.78</v>
      </c>
      <c r="AC124" t="str">
        <f>CONCATENATE(VLOOKUP(AD124, 'Voxel Sizes'!$A$2:$B$18,2,FALSE),"x",INT(Z124*15), "x", INT(AA124*15))</f>
        <v>198x0x56</v>
      </c>
      <c r="AD124">
        <f t="shared" si="5"/>
        <v>12</v>
      </c>
      <c r="AF124" t="str">
        <f>CONCATENATE(VLOOKUP(AD124,'Articulated Lengths'!$A$2:$B$16, 2, FALSE),IF(AE124&lt;&gt;"",CONCATENATE(",",VLOOKUP(AE124,$B$2:$AF$201,24,FALSE)),""))</f>
        <v>3,6,3</v>
      </c>
      <c r="AH124">
        <v>10</v>
      </c>
      <c r="AI124">
        <v>10</v>
      </c>
      <c r="AL124" t="str">
        <f>VLOOKUP(F124,Eras!$A$2:$C$14, 2, TRUE)</f>
        <v>prv</v>
      </c>
      <c r="AM124" t="s">
        <v>504</v>
      </c>
      <c r="AN124" t="str">
        <f t="shared" si="4"/>
        <v>prv_EMU</v>
      </c>
    </row>
    <row r="125" spans="1:40" x14ac:dyDescent="0.25">
      <c r="A125" t="s">
        <v>109</v>
      </c>
      <c r="B125" t="s">
        <v>377</v>
      </c>
      <c r="C125" t="s">
        <v>213</v>
      </c>
      <c r="E125" t="s">
        <v>428</v>
      </c>
      <c r="F125">
        <v>1992</v>
      </c>
      <c r="G125">
        <v>1994</v>
      </c>
      <c r="H125" t="s">
        <v>196</v>
      </c>
      <c r="J125">
        <v>1608</v>
      </c>
      <c r="R125">
        <v>136</v>
      </c>
      <c r="V125" s="4" t="str">
        <f t="shared" si="6"/>
        <v/>
      </c>
      <c r="W125">
        <v>75</v>
      </c>
      <c r="X125">
        <v>20.89</v>
      </c>
      <c r="Y125">
        <v>20.89</v>
      </c>
      <c r="AA125">
        <v>3.77</v>
      </c>
      <c r="AB125">
        <v>348</v>
      </c>
      <c r="AC125" t="str">
        <f>CONCATENATE(VLOOKUP(AD125, 'Voxel Sizes'!$A$2:$B$18,2,FALSE),"x",INT(Z125*15), "x", INT(AA125*15))</f>
        <v>198x0x56</v>
      </c>
      <c r="AD125">
        <f t="shared" si="5"/>
        <v>12</v>
      </c>
      <c r="AF125" t="str">
        <f>CONCATENATE(VLOOKUP(AD125,'Articulated Lengths'!$A$2:$B$16, 2, FALSE),IF(AE125&lt;&gt;"",CONCATENATE(",",VLOOKUP(AE125,$B$2:$AF$201,24,FALSE)),""))</f>
        <v>3,6,3</v>
      </c>
      <c r="AH125">
        <v>10</v>
      </c>
      <c r="AI125">
        <v>10</v>
      </c>
      <c r="AL125" t="str">
        <f>VLOOKUP(F125,Eras!$A$2:$C$14, 2, TRUE)</f>
        <v>gen4</v>
      </c>
      <c r="AN125" t="str">
        <f t="shared" si="4"/>
        <v>gen4_</v>
      </c>
    </row>
    <row r="126" spans="1:40" x14ac:dyDescent="0.25">
      <c r="A126" t="s">
        <v>110</v>
      </c>
      <c r="B126" t="s">
        <v>378</v>
      </c>
      <c r="C126" t="s">
        <v>213</v>
      </c>
      <c r="E126" t="s">
        <v>428</v>
      </c>
      <c r="F126">
        <v>2000</v>
      </c>
      <c r="G126">
        <v>2001</v>
      </c>
      <c r="H126">
        <v>2012</v>
      </c>
      <c r="I126">
        <v>8</v>
      </c>
      <c r="J126">
        <v>3620</v>
      </c>
      <c r="V126" s="4" t="str">
        <f t="shared" si="6"/>
        <v/>
      </c>
      <c r="W126">
        <v>100</v>
      </c>
      <c r="AC126" t="str">
        <f>CONCATENATE(VLOOKUP(AD126, 'Voxel Sizes'!$A$2:$B$18,2,FALSE),"x",INT(Z126*15), "x", INT(AA126*15))</f>
        <v>0x0x0</v>
      </c>
      <c r="AD126">
        <f t="shared" si="5"/>
        <v>0</v>
      </c>
      <c r="AF126" t="str">
        <f>CONCATENATE(VLOOKUP(AD126,'Articulated Lengths'!$A$2:$B$16, 2, FALSE),IF(AE126&lt;&gt;"",CONCATENATE(",",VLOOKUP(AE126,$B$2:$AF$201,24,FALSE)),""))</f>
        <v>na</v>
      </c>
      <c r="AH126">
        <v>10</v>
      </c>
      <c r="AI126">
        <v>10</v>
      </c>
      <c r="AL126" t="str">
        <f>VLOOKUP(F126,Eras!$A$2:$C$14, 2, TRUE)</f>
        <v>prv</v>
      </c>
      <c r="AM126" t="s">
        <v>505</v>
      </c>
      <c r="AN126" t="str">
        <f t="shared" si="4"/>
        <v>prv_EMU (Express)</v>
      </c>
    </row>
    <row r="127" spans="1:40" x14ac:dyDescent="0.25">
      <c r="A127" t="s">
        <v>111</v>
      </c>
      <c r="B127" t="s">
        <v>379</v>
      </c>
      <c r="C127" t="s">
        <v>213</v>
      </c>
      <c r="E127" t="s">
        <v>428</v>
      </c>
      <c r="F127">
        <v>2007</v>
      </c>
      <c r="G127">
        <v>2009</v>
      </c>
      <c r="H127" t="s">
        <v>196</v>
      </c>
      <c r="J127">
        <f>16*280</f>
        <v>4480</v>
      </c>
      <c r="R127">
        <v>265</v>
      </c>
      <c r="V127" s="4" t="str">
        <f t="shared" si="6"/>
        <v/>
      </c>
      <c r="W127">
        <v>157</v>
      </c>
      <c r="X127">
        <v>20.88</v>
      </c>
      <c r="Y127">
        <v>20.88</v>
      </c>
      <c r="AA127">
        <v>3.82</v>
      </c>
      <c r="AB127">
        <v>352</v>
      </c>
      <c r="AC127" t="str">
        <f>CONCATENATE(VLOOKUP(AD127, 'Voxel Sizes'!$A$2:$B$18,2,FALSE),"x",INT(Z127*15), "x", INT(AA127*15))</f>
        <v>198x0x57</v>
      </c>
      <c r="AD127">
        <f t="shared" si="5"/>
        <v>12</v>
      </c>
      <c r="AF127" t="str">
        <f>CONCATENATE(VLOOKUP(AD127,'Articulated Lengths'!$A$2:$B$16, 2, FALSE),IF(AE127&lt;&gt;"",CONCATENATE(",",VLOOKUP(AE127,$B$2:$AF$201,24,FALSE)),""))</f>
        <v>3,6,3</v>
      </c>
      <c r="AH127">
        <v>10</v>
      </c>
      <c r="AI127">
        <v>10</v>
      </c>
      <c r="AL127" t="str">
        <f>VLOOKUP(F127,Eras!$A$2:$C$14, 2, TRUE)</f>
        <v>mod</v>
      </c>
      <c r="AM127" t="s">
        <v>505</v>
      </c>
      <c r="AN127" t="str">
        <f t="shared" si="4"/>
        <v>mod_EMU (Express)</v>
      </c>
    </row>
    <row r="128" spans="1:40" x14ac:dyDescent="0.25">
      <c r="A128" t="s">
        <v>112</v>
      </c>
      <c r="B128" t="s">
        <v>289</v>
      </c>
      <c r="C128" t="s">
        <v>213</v>
      </c>
      <c r="E128" t="s">
        <v>428</v>
      </c>
      <c r="F128">
        <v>1987</v>
      </c>
      <c r="G128">
        <v>1990</v>
      </c>
      <c r="I128">
        <v>4</v>
      </c>
      <c r="J128">
        <f>4*332</f>
        <v>1328</v>
      </c>
      <c r="R128">
        <v>140.30000000000001</v>
      </c>
      <c r="V128" s="4" t="str">
        <f t="shared" si="6"/>
        <v/>
      </c>
      <c r="W128">
        <v>100</v>
      </c>
      <c r="X128">
        <v>19.829999999999998</v>
      </c>
      <c r="Y128">
        <v>19.829999999999998</v>
      </c>
      <c r="AA128">
        <v>3.58</v>
      </c>
      <c r="AC128" t="str">
        <f>CONCATENATE(VLOOKUP(AD128, 'Voxel Sizes'!$A$2:$B$18,2,FALSE),"x",INT(Z128*15), "x", INT(AA128*15))</f>
        <v>198x0x53</v>
      </c>
      <c r="AD128">
        <f t="shared" si="5"/>
        <v>12</v>
      </c>
      <c r="AF128" t="str">
        <f>CONCATENATE(VLOOKUP(AD128,'Articulated Lengths'!$A$2:$B$16, 2, FALSE),IF(AE128&lt;&gt;"",CONCATENATE(",",VLOOKUP(AE128,$B$2:$AF$201,24,FALSE)),""))</f>
        <v>3,6,3</v>
      </c>
      <c r="AH128">
        <v>10</v>
      </c>
      <c r="AI128">
        <v>10</v>
      </c>
      <c r="AL128" t="str">
        <f>VLOOKUP(F128,Eras!$A$2:$C$14, 2, TRUE)</f>
        <v>gen4</v>
      </c>
      <c r="AM128" t="s">
        <v>504</v>
      </c>
      <c r="AN128" t="str">
        <f t="shared" si="4"/>
        <v>gen4_EMU</v>
      </c>
    </row>
    <row r="129" spans="1:40" x14ac:dyDescent="0.25">
      <c r="A129" t="s">
        <v>113</v>
      </c>
      <c r="B129" t="s">
        <v>290</v>
      </c>
      <c r="C129" t="s">
        <v>213</v>
      </c>
      <c r="E129" t="s">
        <v>428</v>
      </c>
      <c r="F129">
        <v>1980</v>
      </c>
      <c r="G129">
        <v>1981</v>
      </c>
      <c r="H129" t="s">
        <v>196</v>
      </c>
      <c r="I129">
        <v>4</v>
      </c>
      <c r="J129">
        <v>880</v>
      </c>
      <c r="R129">
        <v>127.5</v>
      </c>
      <c r="V129" s="4" t="str">
        <f t="shared" si="6"/>
        <v/>
      </c>
      <c r="W129">
        <v>75</v>
      </c>
      <c r="X129">
        <v>19.8</v>
      </c>
      <c r="Y129">
        <v>19.8</v>
      </c>
      <c r="AA129">
        <v>3.58</v>
      </c>
      <c r="AB129">
        <v>318</v>
      </c>
      <c r="AC129" t="str">
        <f>CONCATENATE(VLOOKUP(AD129, 'Voxel Sizes'!$A$2:$B$18,2,FALSE),"x",INT(Z129*15), "x", INT(AA129*15))</f>
        <v>198x0x53</v>
      </c>
      <c r="AD129">
        <f t="shared" si="5"/>
        <v>12</v>
      </c>
      <c r="AF129" t="str">
        <f>CONCATENATE(VLOOKUP(AD129,'Articulated Lengths'!$A$2:$B$16, 2, FALSE),IF(AE129&lt;&gt;"",CONCATENATE(",",VLOOKUP(AE129,$B$2:$AF$201,24,FALSE)),""))</f>
        <v>3,6,3</v>
      </c>
      <c r="AH129">
        <v>10</v>
      </c>
      <c r="AI129">
        <v>10</v>
      </c>
      <c r="AL129" t="str">
        <f>VLOOKUP(F129,Eras!$A$2:$C$14, 2, TRUE)</f>
        <v>gen3</v>
      </c>
      <c r="AM129" t="s">
        <v>504</v>
      </c>
      <c r="AN129" t="str">
        <f t="shared" si="4"/>
        <v>gen3_EMU</v>
      </c>
    </row>
    <row r="130" spans="1:40" x14ac:dyDescent="0.25">
      <c r="A130" t="s">
        <v>114</v>
      </c>
      <c r="B130" t="s">
        <v>291</v>
      </c>
      <c r="C130" t="s">
        <v>213</v>
      </c>
      <c r="E130" t="s">
        <v>428</v>
      </c>
      <c r="F130">
        <v>1976</v>
      </c>
      <c r="G130">
        <v>1977</v>
      </c>
      <c r="H130" t="s">
        <v>196</v>
      </c>
      <c r="I130">
        <v>3</v>
      </c>
      <c r="J130">
        <v>880</v>
      </c>
      <c r="R130">
        <v>104.5</v>
      </c>
      <c r="V130" s="4" t="str">
        <f t="shared" si="6"/>
        <v/>
      </c>
      <c r="W130">
        <v>75</v>
      </c>
      <c r="X130">
        <v>20.329999999999998</v>
      </c>
      <c r="Y130">
        <v>20.329999999999998</v>
      </c>
      <c r="AA130">
        <v>3.58</v>
      </c>
      <c r="AB130">
        <v>232</v>
      </c>
      <c r="AC130" t="str">
        <f>CONCATENATE(VLOOKUP(AD130, 'Voxel Sizes'!$A$2:$B$18,2,FALSE),"x",INT(Z130*15), "x", INT(AA130*15))</f>
        <v>198x0x53</v>
      </c>
      <c r="AD130">
        <f t="shared" si="5"/>
        <v>12</v>
      </c>
      <c r="AF130" t="str">
        <f>CONCATENATE(VLOOKUP(AD130,'Articulated Lengths'!$A$2:$B$16, 2, FALSE),IF(AE130&lt;&gt;"",CONCATENATE(",",VLOOKUP(AE130,$B$2:$AF$201,24,FALSE)),""))</f>
        <v>3,6,3</v>
      </c>
      <c r="AH130">
        <v>10</v>
      </c>
      <c r="AI130">
        <v>10</v>
      </c>
      <c r="AL130" t="str">
        <f>VLOOKUP(F130,Eras!$A$2:$C$14, 2, TRUE)</f>
        <v>gen3</v>
      </c>
      <c r="AM130" t="s">
        <v>504</v>
      </c>
      <c r="AN130" t="str">
        <f t="shared" si="4"/>
        <v>gen3_EMU</v>
      </c>
    </row>
    <row r="131" spans="1:40" x14ac:dyDescent="0.25">
      <c r="A131" t="s">
        <v>115</v>
      </c>
      <c r="B131" t="s">
        <v>348</v>
      </c>
      <c r="C131" t="s">
        <v>213</v>
      </c>
      <c r="E131" t="s">
        <v>428</v>
      </c>
      <c r="V131" s="4" t="str">
        <f t="shared" si="6"/>
        <v/>
      </c>
      <c r="AC131" t="str">
        <f>CONCATENATE(VLOOKUP(AD131, 'Voxel Sizes'!$A$2:$B$18,2,FALSE),"x",INT(Z131*15), "x", INT(AA131*15))</f>
        <v>0x0x0</v>
      </c>
      <c r="AD131">
        <f t="shared" si="5"/>
        <v>0</v>
      </c>
      <c r="AF131" t="str">
        <f>CONCATENATE(VLOOKUP(AD131,'Articulated Lengths'!$A$2:$B$16, 2, FALSE),IF(AE131&lt;&gt;"",CONCATENATE(",",VLOOKUP(AE131,$B$2:$AF$201,24,FALSE)),""))</f>
        <v>na</v>
      </c>
      <c r="AH131">
        <v>10</v>
      </c>
      <c r="AI131">
        <v>10</v>
      </c>
      <c r="AL131" t="e">
        <f>VLOOKUP(F131,Eras!$A$2:$C$14, 2, TRUE)</f>
        <v>#N/A</v>
      </c>
      <c r="AN131" t="e">
        <f t="shared" ref="AN131:AN194" si="7">CONCATENATE(AL131,"_",AM131)</f>
        <v>#N/A</v>
      </c>
    </row>
    <row r="132" spans="1:40" x14ac:dyDescent="0.25">
      <c r="A132" t="s">
        <v>116</v>
      </c>
      <c r="B132" t="s">
        <v>349</v>
      </c>
      <c r="C132" t="s">
        <v>213</v>
      </c>
      <c r="E132" t="s">
        <v>428</v>
      </c>
      <c r="V132" s="4" t="str">
        <f t="shared" si="6"/>
        <v/>
      </c>
      <c r="AC132" t="str">
        <f>CONCATENATE(VLOOKUP(AD132, 'Voxel Sizes'!$A$2:$B$18,2,FALSE),"x",INT(Z132*15), "x", INT(AA132*15))</f>
        <v>0x0x0</v>
      </c>
      <c r="AD132">
        <f t="shared" ref="AD132:AD195" si="8">ROUND(15*((Y132*10)/256),0)</f>
        <v>0</v>
      </c>
      <c r="AF132" t="str">
        <f>CONCATENATE(VLOOKUP(AD132,'Articulated Lengths'!$A$2:$B$16, 2, FALSE),IF(AE132&lt;&gt;"",CONCATENATE(",",VLOOKUP(AE132,$B$2:$AF$201,24,FALSE)),""))</f>
        <v>na</v>
      </c>
      <c r="AH132">
        <v>10</v>
      </c>
      <c r="AI132">
        <v>10</v>
      </c>
      <c r="AL132" t="e">
        <f>VLOOKUP(F132,Eras!$A$2:$C$14, 2, TRUE)</f>
        <v>#N/A</v>
      </c>
      <c r="AN132" t="e">
        <f t="shared" si="7"/>
        <v>#N/A</v>
      </c>
    </row>
    <row r="133" spans="1:40" x14ac:dyDescent="0.25">
      <c r="A133" t="s">
        <v>117</v>
      </c>
      <c r="B133" t="s">
        <v>350</v>
      </c>
      <c r="C133" t="s">
        <v>213</v>
      </c>
      <c r="E133" t="s">
        <v>428</v>
      </c>
      <c r="V133" s="4" t="str">
        <f t="shared" si="6"/>
        <v/>
      </c>
      <c r="AC133" t="str">
        <f>CONCATENATE(VLOOKUP(AD133, 'Voxel Sizes'!$A$2:$B$18,2,FALSE),"x",INT(Z133*15), "x", INT(AA133*15))</f>
        <v>0x0x0</v>
      </c>
      <c r="AD133">
        <f t="shared" si="8"/>
        <v>0</v>
      </c>
      <c r="AF133" t="str">
        <f>CONCATENATE(VLOOKUP(AD133,'Articulated Lengths'!$A$2:$B$16, 2, FALSE),IF(AE133&lt;&gt;"",CONCATENATE(",",VLOOKUP(AE133,$B$2:$AF$201,24,FALSE)),""))</f>
        <v>na</v>
      </c>
      <c r="AH133">
        <v>10</v>
      </c>
      <c r="AI133">
        <v>10</v>
      </c>
      <c r="AL133" t="e">
        <f>VLOOKUP(F133,Eras!$A$2:$C$14, 2, TRUE)</f>
        <v>#N/A</v>
      </c>
      <c r="AN133" t="e">
        <f t="shared" si="7"/>
        <v>#N/A</v>
      </c>
    </row>
    <row r="134" spans="1:40" x14ac:dyDescent="0.25">
      <c r="A134" t="s">
        <v>118</v>
      </c>
      <c r="B134" t="s">
        <v>351</v>
      </c>
      <c r="C134" t="s">
        <v>213</v>
      </c>
      <c r="E134" t="s">
        <v>428</v>
      </c>
      <c r="V134" s="4" t="str">
        <f t="shared" si="6"/>
        <v/>
      </c>
      <c r="AC134" t="str">
        <f>CONCATENATE(VLOOKUP(AD134, 'Voxel Sizes'!$A$2:$B$18,2,FALSE),"x",INT(Z134*15), "x", INT(AA134*15))</f>
        <v>0x0x0</v>
      </c>
      <c r="AD134">
        <f t="shared" si="8"/>
        <v>0</v>
      </c>
      <c r="AF134" t="str">
        <f>CONCATENATE(VLOOKUP(AD134,'Articulated Lengths'!$A$2:$B$16, 2, FALSE),IF(AE134&lt;&gt;"",CONCATENATE(",",VLOOKUP(AE134,$B$2:$AF$201,24,FALSE)),""))</f>
        <v>na</v>
      </c>
      <c r="AH134">
        <v>10</v>
      </c>
      <c r="AI134">
        <v>10</v>
      </c>
      <c r="AL134" t="e">
        <f>VLOOKUP(F134,Eras!$A$2:$C$14, 2, TRUE)</f>
        <v>#N/A</v>
      </c>
      <c r="AN134" t="e">
        <f t="shared" si="7"/>
        <v>#N/A</v>
      </c>
    </row>
    <row r="135" spans="1:40" x14ac:dyDescent="0.25">
      <c r="A135" t="s">
        <v>119</v>
      </c>
      <c r="B135" t="s">
        <v>292</v>
      </c>
      <c r="C135" t="s">
        <v>213</v>
      </c>
      <c r="E135" t="s">
        <v>428</v>
      </c>
      <c r="V135" s="4" t="str">
        <f t="shared" si="6"/>
        <v/>
      </c>
      <c r="AC135" t="str">
        <f>CONCATENATE(VLOOKUP(AD135, 'Voxel Sizes'!$A$2:$B$18,2,FALSE),"x",INT(Z135*15), "x", INT(AA135*15))</f>
        <v>0x0x0</v>
      </c>
      <c r="AD135">
        <f t="shared" si="8"/>
        <v>0</v>
      </c>
      <c r="AF135" t="str">
        <f>CONCATENATE(VLOOKUP(AD135,'Articulated Lengths'!$A$2:$B$16, 2, FALSE),IF(AE135&lt;&gt;"",CONCATENATE(",",VLOOKUP(AE135,$B$2:$AF$201,24,FALSE)),""))</f>
        <v>na</v>
      </c>
      <c r="AH135">
        <v>10</v>
      </c>
      <c r="AI135">
        <v>10</v>
      </c>
      <c r="AL135" t="e">
        <f>VLOOKUP(F135,Eras!$A$2:$C$14, 2, TRUE)</f>
        <v>#N/A</v>
      </c>
      <c r="AN135" t="e">
        <f t="shared" si="7"/>
        <v>#N/A</v>
      </c>
    </row>
    <row r="136" spans="1:40" x14ac:dyDescent="0.25">
      <c r="A136" t="s">
        <v>120</v>
      </c>
      <c r="B136" t="s">
        <v>293</v>
      </c>
      <c r="C136" t="s">
        <v>213</v>
      </c>
      <c r="E136" t="s">
        <v>428</v>
      </c>
      <c r="V136" s="4" t="str">
        <f t="shared" si="6"/>
        <v/>
      </c>
      <c r="AC136" t="str">
        <f>CONCATENATE(VLOOKUP(AD136, 'Voxel Sizes'!$A$2:$B$18,2,FALSE),"x",INT(Z136*15), "x", INT(AA136*15))</f>
        <v>0x0x0</v>
      </c>
      <c r="AD136">
        <f t="shared" si="8"/>
        <v>0</v>
      </c>
      <c r="AF136" t="str">
        <f>CONCATENATE(VLOOKUP(AD136,'Articulated Lengths'!$A$2:$B$16, 2, FALSE),IF(AE136&lt;&gt;"",CONCATENATE(",",VLOOKUP(AE136,$B$2:$AF$201,24,FALSE)),""))</f>
        <v>na</v>
      </c>
      <c r="AH136">
        <v>10</v>
      </c>
      <c r="AI136">
        <v>10</v>
      </c>
      <c r="AL136" t="e">
        <f>VLOOKUP(F136,Eras!$A$2:$C$14, 2, TRUE)</f>
        <v>#N/A</v>
      </c>
      <c r="AN136" t="e">
        <f t="shared" si="7"/>
        <v>#N/A</v>
      </c>
    </row>
    <row r="137" spans="1:40" x14ac:dyDescent="0.25">
      <c r="A137" t="s">
        <v>121</v>
      </c>
      <c r="B137" t="s">
        <v>294</v>
      </c>
      <c r="C137" t="s">
        <v>213</v>
      </c>
      <c r="E137" t="s">
        <v>428</v>
      </c>
      <c r="V137" s="4" t="str">
        <f t="shared" si="6"/>
        <v/>
      </c>
      <c r="AC137" t="str">
        <f>CONCATENATE(VLOOKUP(AD137, 'Voxel Sizes'!$A$2:$B$18,2,FALSE),"x",INT(Z137*15), "x", INT(AA137*15))</f>
        <v>0x0x0</v>
      </c>
      <c r="AD137">
        <f t="shared" si="8"/>
        <v>0</v>
      </c>
      <c r="AF137" t="str">
        <f>CONCATENATE(VLOOKUP(AD137,'Articulated Lengths'!$A$2:$B$16, 2, FALSE),IF(AE137&lt;&gt;"",CONCATENATE(",",VLOOKUP(AE137,$B$2:$AF$201,24,FALSE)),""))</f>
        <v>na</v>
      </c>
      <c r="AH137">
        <v>10</v>
      </c>
      <c r="AI137">
        <v>10</v>
      </c>
      <c r="AL137" t="e">
        <f>VLOOKUP(F137,Eras!$A$2:$C$14, 2, TRUE)</f>
        <v>#N/A</v>
      </c>
      <c r="AN137" t="e">
        <f t="shared" si="7"/>
        <v>#N/A</v>
      </c>
    </row>
    <row r="138" spans="1:40" x14ac:dyDescent="0.25">
      <c r="A138" t="s">
        <v>122</v>
      </c>
      <c r="B138" t="s">
        <v>403</v>
      </c>
      <c r="C138" t="s">
        <v>213</v>
      </c>
      <c r="E138" t="s">
        <v>428</v>
      </c>
      <c r="V138" s="4" t="str">
        <f t="shared" si="6"/>
        <v/>
      </c>
      <c r="AC138" t="str">
        <f>CONCATENATE(VLOOKUP(AD138, 'Voxel Sizes'!$A$2:$B$18,2,FALSE),"x",INT(Z138*15), "x", INT(AA138*15))</f>
        <v>0x0x0</v>
      </c>
      <c r="AD138">
        <f t="shared" si="8"/>
        <v>0</v>
      </c>
      <c r="AF138" t="str">
        <f>CONCATENATE(VLOOKUP(AD138,'Articulated Lengths'!$A$2:$B$16, 2, FALSE),IF(AE138&lt;&gt;"",CONCATENATE(",",VLOOKUP(AE138,$B$2:$AF$201,24,FALSE)),""))</f>
        <v>na</v>
      </c>
      <c r="AH138">
        <v>10</v>
      </c>
      <c r="AI138">
        <v>10</v>
      </c>
      <c r="AL138" t="e">
        <f>VLOOKUP(F138,Eras!$A$2:$C$14, 2, TRUE)</f>
        <v>#N/A</v>
      </c>
      <c r="AN138" t="e">
        <f t="shared" si="7"/>
        <v>#N/A</v>
      </c>
    </row>
    <row r="139" spans="1:40" x14ac:dyDescent="0.25">
      <c r="A139" t="s">
        <v>123</v>
      </c>
      <c r="B139" t="s">
        <v>295</v>
      </c>
      <c r="C139" t="s">
        <v>213</v>
      </c>
      <c r="E139" t="s">
        <v>428</v>
      </c>
      <c r="V139" s="4" t="str">
        <f t="shared" si="6"/>
        <v/>
      </c>
      <c r="AC139" t="str">
        <f>CONCATENATE(VLOOKUP(AD139, 'Voxel Sizes'!$A$2:$B$18,2,FALSE),"x",INT(Z139*15), "x", INT(AA139*15))</f>
        <v>0x0x0</v>
      </c>
      <c r="AD139">
        <f t="shared" si="8"/>
        <v>0</v>
      </c>
      <c r="AF139" t="str">
        <f>CONCATENATE(VLOOKUP(AD139,'Articulated Lengths'!$A$2:$B$16, 2, FALSE),IF(AE139&lt;&gt;"",CONCATENATE(",",VLOOKUP(AE139,$B$2:$AF$201,24,FALSE)),""))</f>
        <v>na</v>
      </c>
      <c r="AH139">
        <v>10</v>
      </c>
      <c r="AI139">
        <v>10</v>
      </c>
      <c r="AL139" t="e">
        <f>VLOOKUP(F139,Eras!$A$2:$C$14, 2, TRUE)</f>
        <v>#N/A</v>
      </c>
      <c r="AN139" t="e">
        <f t="shared" si="7"/>
        <v>#N/A</v>
      </c>
    </row>
    <row r="140" spans="1:40" x14ac:dyDescent="0.25">
      <c r="A140" t="s">
        <v>124</v>
      </c>
      <c r="B140" t="s">
        <v>405</v>
      </c>
      <c r="C140" t="s">
        <v>213</v>
      </c>
      <c r="E140" t="s">
        <v>428</v>
      </c>
      <c r="V140" s="4" t="str">
        <f t="shared" si="6"/>
        <v/>
      </c>
      <c r="AC140" t="str">
        <f>CONCATENATE(VLOOKUP(AD140, 'Voxel Sizes'!$A$2:$B$18,2,FALSE),"x",INT(Z140*15), "x", INT(AA140*15))</f>
        <v>0x0x0</v>
      </c>
      <c r="AD140">
        <f t="shared" si="8"/>
        <v>0</v>
      </c>
      <c r="AF140" t="str">
        <f>CONCATENATE(VLOOKUP(AD140,'Articulated Lengths'!$A$2:$B$16, 2, FALSE),IF(AE140&lt;&gt;"",CONCATENATE(",",VLOOKUP(AE140,$B$2:$AF$201,24,FALSE)),""))</f>
        <v>na</v>
      </c>
      <c r="AH140">
        <v>10</v>
      </c>
      <c r="AI140">
        <v>10</v>
      </c>
      <c r="AL140" t="e">
        <f>VLOOKUP(F140,Eras!$A$2:$C$14, 2, TRUE)</f>
        <v>#N/A</v>
      </c>
      <c r="AN140" t="e">
        <f t="shared" si="7"/>
        <v>#N/A</v>
      </c>
    </row>
    <row r="141" spans="1:40" x14ac:dyDescent="0.25">
      <c r="A141" t="s">
        <v>125</v>
      </c>
      <c r="B141" t="s">
        <v>296</v>
      </c>
      <c r="C141" t="s">
        <v>213</v>
      </c>
      <c r="E141" t="s">
        <v>428</v>
      </c>
      <c r="V141" s="4" t="str">
        <f t="shared" si="6"/>
        <v/>
      </c>
      <c r="AC141" t="str">
        <f>CONCATENATE(VLOOKUP(AD141, 'Voxel Sizes'!$A$2:$B$18,2,FALSE),"x",INT(Z141*15), "x", INT(AA141*15))</f>
        <v>0x0x0</v>
      </c>
      <c r="AD141">
        <f t="shared" si="8"/>
        <v>0</v>
      </c>
      <c r="AF141" t="str">
        <f>CONCATENATE(VLOOKUP(AD141,'Articulated Lengths'!$A$2:$B$16, 2, FALSE),IF(AE141&lt;&gt;"",CONCATENATE(",",VLOOKUP(AE141,$B$2:$AF$201,24,FALSE)),""))</f>
        <v>na</v>
      </c>
      <c r="AH141">
        <v>10</v>
      </c>
      <c r="AI141">
        <v>10</v>
      </c>
      <c r="AL141" t="e">
        <f>VLOOKUP(F141,Eras!$A$2:$C$14, 2, TRUE)</f>
        <v>#N/A</v>
      </c>
      <c r="AN141" t="e">
        <f t="shared" si="7"/>
        <v>#N/A</v>
      </c>
    </row>
    <row r="142" spans="1:40" x14ac:dyDescent="0.25">
      <c r="A142" t="s">
        <v>126</v>
      </c>
      <c r="B142" t="s">
        <v>354</v>
      </c>
      <c r="C142" t="s">
        <v>213</v>
      </c>
      <c r="E142" t="s">
        <v>428</v>
      </c>
      <c r="V142" s="4" t="str">
        <f t="shared" ref="V142:V201" si="9">IF(AND(R142&gt;0,U142&gt;0),(U142/(R142*10)),"")</f>
        <v/>
      </c>
      <c r="AC142" t="str">
        <f>CONCATENATE(VLOOKUP(AD142, 'Voxel Sizes'!$A$2:$B$18,2,FALSE),"x",INT(Z142*15), "x", INT(AA142*15))</f>
        <v>0x0x0</v>
      </c>
      <c r="AD142">
        <f t="shared" si="8"/>
        <v>0</v>
      </c>
      <c r="AF142" t="str">
        <f>CONCATENATE(VLOOKUP(AD142,'Articulated Lengths'!$A$2:$B$16, 2, FALSE),IF(AE142&lt;&gt;"",CONCATENATE(",",VLOOKUP(AE142,$B$2:$AF$201,24,FALSE)),""))</f>
        <v>na</v>
      </c>
      <c r="AH142">
        <v>10</v>
      </c>
      <c r="AI142">
        <v>10</v>
      </c>
      <c r="AL142" t="e">
        <f>VLOOKUP(F142,Eras!$A$2:$C$14, 2, TRUE)</f>
        <v>#N/A</v>
      </c>
      <c r="AN142" t="e">
        <f t="shared" si="7"/>
        <v>#N/A</v>
      </c>
    </row>
    <row r="143" spans="1:40" x14ac:dyDescent="0.25">
      <c r="A143" t="s">
        <v>127</v>
      </c>
      <c r="B143" t="s">
        <v>355</v>
      </c>
      <c r="C143" t="s">
        <v>213</v>
      </c>
      <c r="E143" t="s">
        <v>428</v>
      </c>
      <c r="V143" s="4" t="str">
        <f t="shared" si="9"/>
        <v/>
      </c>
      <c r="AC143" t="str">
        <f>CONCATENATE(VLOOKUP(AD143, 'Voxel Sizes'!$A$2:$B$18,2,FALSE),"x",INT(Z143*15), "x", INT(AA143*15))</f>
        <v>0x0x0</v>
      </c>
      <c r="AD143">
        <f t="shared" si="8"/>
        <v>0</v>
      </c>
      <c r="AF143" t="str">
        <f>CONCATENATE(VLOOKUP(AD143,'Articulated Lengths'!$A$2:$B$16, 2, FALSE),IF(AE143&lt;&gt;"",CONCATENATE(",",VLOOKUP(AE143,$B$2:$AF$201,24,FALSE)),""))</f>
        <v>na</v>
      </c>
      <c r="AH143">
        <v>10</v>
      </c>
      <c r="AI143">
        <v>10</v>
      </c>
      <c r="AL143" t="e">
        <f>VLOOKUP(F143,Eras!$A$2:$C$14, 2, TRUE)</f>
        <v>#N/A</v>
      </c>
      <c r="AN143" t="e">
        <f t="shared" si="7"/>
        <v>#N/A</v>
      </c>
    </row>
    <row r="144" spans="1:40" x14ac:dyDescent="0.25">
      <c r="A144" t="s">
        <v>128</v>
      </c>
      <c r="B144" t="s">
        <v>356</v>
      </c>
      <c r="C144" t="s">
        <v>213</v>
      </c>
      <c r="E144" t="s">
        <v>428</v>
      </c>
      <c r="V144" s="4" t="str">
        <f t="shared" si="9"/>
        <v/>
      </c>
      <c r="AC144" t="str">
        <f>CONCATENATE(VLOOKUP(AD144, 'Voxel Sizes'!$A$2:$B$18,2,FALSE),"x",INT(Z144*15), "x", INT(AA144*15))</f>
        <v>0x0x0</v>
      </c>
      <c r="AD144">
        <f t="shared" si="8"/>
        <v>0</v>
      </c>
      <c r="AF144" t="str">
        <f>CONCATENATE(VLOOKUP(AD144,'Articulated Lengths'!$A$2:$B$16, 2, FALSE),IF(AE144&lt;&gt;"",CONCATENATE(",",VLOOKUP(AE144,$B$2:$AF$201,24,FALSE)),""))</f>
        <v>na</v>
      </c>
      <c r="AH144">
        <v>10</v>
      </c>
      <c r="AI144">
        <v>10</v>
      </c>
      <c r="AL144" t="e">
        <f>VLOOKUP(F144,Eras!$A$2:$C$14, 2, TRUE)</f>
        <v>#N/A</v>
      </c>
      <c r="AN144" t="e">
        <f t="shared" si="7"/>
        <v>#N/A</v>
      </c>
    </row>
    <row r="145" spans="1:40" x14ac:dyDescent="0.25">
      <c r="A145" t="s">
        <v>129</v>
      </c>
      <c r="B145" t="s">
        <v>357</v>
      </c>
      <c r="C145" t="s">
        <v>213</v>
      </c>
      <c r="E145" t="s">
        <v>428</v>
      </c>
      <c r="V145" s="4" t="str">
        <f t="shared" si="9"/>
        <v/>
      </c>
      <c r="AC145" t="str">
        <f>CONCATENATE(VLOOKUP(AD145, 'Voxel Sizes'!$A$2:$B$18,2,FALSE),"x",INT(Z145*15), "x", INT(AA145*15))</f>
        <v>0x0x0</v>
      </c>
      <c r="AD145">
        <f t="shared" si="8"/>
        <v>0</v>
      </c>
      <c r="AF145" t="str">
        <f>CONCATENATE(VLOOKUP(AD145,'Articulated Lengths'!$A$2:$B$16, 2, FALSE),IF(AE145&lt;&gt;"",CONCATENATE(",",VLOOKUP(AE145,$B$2:$AF$201,24,FALSE)),""))</f>
        <v>na</v>
      </c>
      <c r="AH145">
        <v>10</v>
      </c>
      <c r="AI145">
        <v>10</v>
      </c>
      <c r="AL145" t="e">
        <f>VLOOKUP(F145,Eras!$A$2:$C$14, 2, TRUE)</f>
        <v>#N/A</v>
      </c>
      <c r="AN145" t="e">
        <f t="shared" si="7"/>
        <v>#N/A</v>
      </c>
    </row>
    <row r="146" spans="1:40" x14ac:dyDescent="0.25">
      <c r="A146" t="s">
        <v>130</v>
      </c>
      <c r="B146" t="s">
        <v>297</v>
      </c>
      <c r="C146" t="s">
        <v>213</v>
      </c>
      <c r="E146" t="s">
        <v>428</v>
      </c>
      <c r="V146" s="4" t="str">
        <f t="shared" si="9"/>
        <v/>
      </c>
      <c r="AC146" t="str">
        <f>CONCATENATE(VLOOKUP(AD146, 'Voxel Sizes'!$A$2:$B$18,2,FALSE),"x",INT(Z146*15), "x", INT(AA146*15))</f>
        <v>0x0x0</v>
      </c>
      <c r="AD146">
        <f t="shared" si="8"/>
        <v>0</v>
      </c>
      <c r="AF146" t="str">
        <f>CONCATENATE(VLOOKUP(AD146,'Articulated Lengths'!$A$2:$B$16, 2, FALSE),IF(AE146&lt;&gt;"",CONCATENATE(",",VLOOKUP(AE146,$B$2:$AF$201,24,FALSE)),""))</f>
        <v>na</v>
      </c>
      <c r="AH146">
        <v>10</v>
      </c>
      <c r="AI146">
        <v>10</v>
      </c>
      <c r="AL146" t="e">
        <f>VLOOKUP(F146,Eras!$A$2:$C$14, 2, TRUE)</f>
        <v>#N/A</v>
      </c>
      <c r="AN146" t="e">
        <f t="shared" si="7"/>
        <v>#N/A</v>
      </c>
    </row>
    <row r="147" spans="1:40" x14ac:dyDescent="0.25">
      <c r="A147" t="s">
        <v>131</v>
      </c>
      <c r="B147" t="s">
        <v>298</v>
      </c>
      <c r="C147" t="s">
        <v>213</v>
      </c>
      <c r="E147" t="s">
        <v>428</v>
      </c>
      <c r="V147" s="4" t="str">
        <f t="shared" si="9"/>
        <v/>
      </c>
      <c r="AC147" t="str">
        <f>CONCATENATE(VLOOKUP(AD147, 'Voxel Sizes'!$A$2:$B$18,2,FALSE),"x",INT(Z147*15), "x", INT(AA147*15))</f>
        <v>0x0x0</v>
      </c>
      <c r="AD147">
        <f t="shared" si="8"/>
        <v>0</v>
      </c>
      <c r="AF147" t="str">
        <f>CONCATENATE(VLOOKUP(AD147,'Articulated Lengths'!$A$2:$B$16, 2, FALSE),IF(AE147&lt;&gt;"",CONCATENATE(",",VLOOKUP(AE147,$B$2:$AF$201,24,FALSE)),""))</f>
        <v>na</v>
      </c>
      <c r="AH147">
        <v>10</v>
      </c>
      <c r="AI147">
        <v>10</v>
      </c>
      <c r="AL147" t="e">
        <f>VLOOKUP(F147,Eras!$A$2:$C$14, 2, TRUE)</f>
        <v>#N/A</v>
      </c>
      <c r="AN147" t="e">
        <f t="shared" si="7"/>
        <v>#N/A</v>
      </c>
    </row>
    <row r="148" spans="1:40" x14ac:dyDescent="0.25">
      <c r="A148" t="s">
        <v>132</v>
      </c>
      <c r="B148" t="s">
        <v>299</v>
      </c>
      <c r="C148" t="s">
        <v>213</v>
      </c>
      <c r="E148" t="s">
        <v>428</v>
      </c>
      <c r="V148" s="4" t="str">
        <f t="shared" si="9"/>
        <v/>
      </c>
      <c r="AC148" t="str">
        <f>CONCATENATE(VLOOKUP(AD148, 'Voxel Sizes'!$A$2:$B$18,2,FALSE),"x",INT(Z148*15), "x", INT(AA148*15))</f>
        <v>0x0x0</v>
      </c>
      <c r="AD148">
        <f t="shared" si="8"/>
        <v>0</v>
      </c>
      <c r="AF148" t="str">
        <f>CONCATENATE(VLOOKUP(AD148,'Articulated Lengths'!$A$2:$B$16, 2, FALSE),IF(AE148&lt;&gt;"",CONCATENATE(",",VLOOKUP(AE148,$B$2:$AF$201,24,FALSE)),""))</f>
        <v>na</v>
      </c>
      <c r="AH148">
        <v>10</v>
      </c>
      <c r="AI148">
        <v>10</v>
      </c>
      <c r="AL148" t="e">
        <f>VLOOKUP(F148,Eras!$A$2:$C$14, 2, TRUE)</f>
        <v>#N/A</v>
      </c>
      <c r="AN148" t="e">
        <f t="shared" si="7"/>
        <v>#N/A</v>
      </c>
    </row>
    <row r="149" spans="1:40" x14ac:dyDescent="0.25">
      <c r="A149" t="s">
        <v>133</v>
      </c>
      <c r="B149" t="s">
        <v>358</v>
      </c>
      <c r="C149" t="s">
        <v>213</v>
      </c>
      <c r="E149" t="s">
        <v>428</v>
      </c>
      <c r="V149" s="4" t="str">
        <f t="shared" si="9"/>
        <v/>
      </c>
      <c r="AC149" t="str">
        <f>CONCATENATE(VLOOKUP(AD149, 'Voxel Sizes'!$A$2:$B$18,2,FALSE),"x",INT(Z149*15), "x", INT(AA149*15))</f>
        <v>0x0x0</v>
      </c>
      <c r="AD149">
        <f t="shared" si="8"/>
        <v>0</v>
      </c>
      <c r="AF149" t="str">
        <f>CONCATENATE(VLOOKUP(AD149,'Articulated Lengths'!$A$2:$B$16, 2, FALSE),IF(AE149&lt;&gt;"",CONCATENATE(",",VLOOKUP(AE149,$B$2:$AF$201,24,FALSE)),""))</f>
        <v>na</v>
      </c>
      <c r="AH149">
        <v>10</v>
      </c>
      <c r="AI149">
        <v>10</v>
      </c>
      <c r="AL149" t="e">
        <f>VLOOKUP(F149,Eras!$A$2:$C$14, 2, TRUE)</f>
        <v>#N/A</v>
      </c>
      <c r="AN149" t="e">
        <f t="shared" si="7"/>
        <v>#N/A</v>
      </c>
    </row>
    <row r="150" spans="1:40" x14ac:dyDescent="0.25">
      <c r="A150" t="s">
        <v>134</v>
      </c>
      <c r="B150" t="s">
        <v>353</v>
      </c>
      <c r="C150" t="s">
        <v>213</v>
      </c>
      <c r="E150" t="s">
        <v>428</v>
      </c>
      <c r="V150" s="4" t="str">
        <f t="shared" si="9"/>
        <v/>
      </c>
      <c r="AC150" t="str">
        <f>CONCATENATE(VLOOKUP(AD150, 'Voxel Sizes'!$A$2:$B$18,2,FALSE),"x",INT(Z150*15), "x", INT(AA150*15))</f>
        <v>0x0x0</v>
      </c>
      <c r="AD150">
        <f t="shared" si="8"/>
        <v>0</v>
      </c>
      <c r="AF150" t="str">
        <f>CONCATENATE(VLOOKUP(AD150,'Articulated Lengths'!$A$2:$B$16, 2, FALSE),IF(AE150&lt;&gt;"",CONCATENATE(",",VLOOKUP(AE150,$B$2:$AF$201,24,FALSE)),""))</f>
        <v>na</v>
      </c>
      <c r="AH150">
        <v>10</v>
      </c>
      <c r="AI150">
        <v>10</v>
      </c>
      <c r="AL150" t="e">
        <f>VLOOKUP(F150,Eras!$A$2:$C$14, 2, TRUE)</f>
        <v>#N/A</v>
      </c>
      <c r="AN150" t="e">
        <f t="shared" si="7"/>
        <v>#N/A</v>
      </c>
    </row>
    <row r="151" spans="1:40" x14ac:dyDescent="0.25">
      <c r="A151" t="s">
        <v>135</v>
      </c>
      <c r="B151" t="s">
        <v>352</v>
      </c>
      <c r="C151" t="s">
        <v>213</v>
      </c>
      <c r="E151" t="s">
        <v>428</v>
      </c>
      <c r="V151" s="4" t="str">
        <f t="shared" si="9"/>
        <v/>
      </c>
      <c r="AC151" t="str">
        <f>CONCATENATE(VLOOKUP(AD151, 'Voxel Sizes'!$A$2:$B$18,2,FALSE),"x",INT(Z151*15), "x", INT(AA151*15))</f>
        <v>0x0x0</v>
      </c>
      <c r="AD151">
        <f t="shared" si="8"/>
        <v>0</v>
      </c>
      <c r="AF151" t="str">
        <f>CONCATENATE(VLOOKUP(AD151,'Articulated Lengths'!$A$2:$B$16, 2, FALSE),IF(AE151&lt;&gt;"",CONCATENATE(",",VLOOKUP(AE151,$B$2:$AF$201,24,FALSE)),""))</f>
        <v>na</v>
      </c>
      <c r="AH151">
        <v>10</v>
      </c>
      <c r="AI151">
        <v>10</v>
      </c>
      <c r="AL151" t="e">
        <f>VLOOKUP(F151,Eras!$A$2:$C$14, 2, TRUE)</f>
        <v>#N/A</v>
      </c>
      <c r="AN151" t="e">
        <f t="shared" si="7"/>
        <v>#N/A</v>
      </c>
    </row>
    <row r="152" spans="1:40" x14ac:dyDescent="0.25">
      <c r="A152" t="s">
        <v>136</v>
      </c>
      <c r="B152" t="s">
        <v>362</v>
      </c>
      <c r="C152" t="s">
        <v>213</v>
      </c>
      <c r="E152" t="s">
        <v>428</v>
      </c>
      <c r="V152" s="4" t="str">
        <f t="shared" si="9"/>
        <v/>
      </c>
      <c r="AC152" t="str">
        <f>CONCATENATE(VLOOKUP(AD152, 'Voxel Sizes'!$A$2:$B$18,2,FALSE),"x",INT(Z152*15), "x", INT(AA152*15))</f>
        <v>0x0x0</v>
      </c>
      <c r="AD152">
        <f t="shared" si="8"/>
        <v>0</v>
      </c>
      <c r="AF152" t="str">
        <f>CONCATENATE(VLOOKUP(AD152,'Articulated Lengths'!$A$2:$B$16, 2, FALSE),IF(AE152&lt;&gt;"",CONCATENATE(",",VLOOKUP(AE152,$B$2:$AF$201,24,FALSE)),""))</f>
        <v>na</v>
      </c>
      <c r="AH152">
        <v>10</v>
      </c>
      <c r="AI152">
        <v>10</v>
      </c>
      <c r="AL152" t="e">
        <f>VLOOKUP(F152,Eras!$A$2:$C$14, 2, TRUE)</f>
        <v>#N/A</v>
      </c>
      <c r="AN152" t="e">
        <f t="shared" si="7"/>
        <v>#N/A</v>
      </c>
    </row>
    <row r="153" spans="1:40" x14ac:dyDescent="0.25">
      <c r="A153" t="s">
        <v>137</v>
      </c>
      <c r="B153" t="s">
        <v>406</v>
      </c>
      <c r="C153" t="s">
        <v>213</v>
      </c>
      <c r="E153" t="s">
        <v>428</v>
      </c>
      <c r="V153" s="4" t="str">
        <f t="shared" si="9"/>
        <v/>
      </c>
      <c r="AC153" t="str">
        <f>CONCATENATE(VLOOKUP(AD153, 'Voxel Sizes'!$A$2:$B$18,2,FALSE),"x",INT(Z153*15), "x", INT(AA153*15))</f>
        <v>0x0x0</v>
      </c>
      <c r="AD153">
        <f t="shared" si="8"/>
        <v>0</v>
      </c>
      <c r="AF153" t="str">
        <f>CONCATENATE(VLOOKUP(AD153,'Articulated Lengths'!$A$2:$B$16, 2, FALSE),IF(AE153&lt;&gt;"",CONCATENATE(",",VLOOKUP(AE153,$B$2:$AF$201,24,FALSE)),""))</f>
        <v>na</v>
      </c>
      <c r="AH153">
        <v>10</v>
      </c>
      <c r="AI153">
        <v>10</v>
      </c>
      <c r="AL153" t="e">
        <f>VLOOKUP(F153,Eras!$A$2:$C$14, 2, TRUE)</f>
        <v>#N/A</v>
      </c>
      <c r="AN153" t="e">
        <f t="shared" si="7"/>
        <v>#N/A</v>
      </c>
    </row>
    <row r="154" spans="1:40" x14ac:dyDescent="0.25">
      <c r="A154" t="s">
        <v>138</v>
      </c>
      <c r="B154" t="s">
        <v>361</v>
      </c>
      <c r="C154" t="s">
        <v>213</v>
      </c>
      <c r="E154" t="s">
        <v>428</v>
      </c>
      <c r="V154" s="4" t="str">
        <f t="shared" si="9"/>
        <v/>
      </c>
      <c r="AC154" t="str">
        <f>CONCATENATE(VLOOKUP(AD154, 'Voxel Sizes'!$A$2:$B$18,2,FALSE),"x",INT(Z154*15), "x", INT(AA154*15))</f>
        <v>0x0x0</v>
      </c>
      <c r="AD154">
        <f t="shared" si="8"/>
        <v>0</v>
      </c>
      <c r="AF154" t="str">
        <f>CONCATENATE(VLOOKUP(AD154,'Articulated Lengths'!$A$2:$B$16, 2, FALSE),IF(AE154&lt;&gt;"",CONCATENATE(",",VLOOKUP(AE154,$B$2:$AF$201,24,FALSE)),""))</f>
        <v>na</v>
      </c>
      <c r="AH154">
        <v>10</v>
      </c>
      <c r="AI154">
        <v>10</v>
      </c>
      <c r="AL154" t="e">
        <f>VLOOKUP(F154,Eras!$A$2:$C$14, 2, TRUE)</f>
        <v>#N/A</v>
      </c>
      <c r="AN154" t="e">
        <f t="shared" si="7"/>
        <v>#N/A</v>
      </c>
    </row>
    <row r="155" spans="1:40" x14ac:dyDescent="0.25">
      <c r="A155" t="s">
        <v>139</v>
      </c>
      <c r="B155" t="s">
        <v>300</v>
      </c>
      <c r="C155" t="s">
        <v>213</v>
      </c>
      <c r="E155" t="s">
        <v>428</v>
      </c>
      <c r="F155">
        <v>1900</v>
      </c>
      <c r="V155" s="4" t="str">
        <f t="shared" si="9"/>
        <v/>
      </c>
      <c r="AC155" t="str">
        <f>CONCATENATE(VLOOKUP(AD155, 'Voxel Sizes'!$A$2:$B$18,2,FALSE),"x",INT(Z155*15), "x", INT(AA155*15))</f>
        <v>0x0x0</v>
      </c>
      <c r="AD155">
        <f t="shared" si="8"/>
        <v>0</v>
      </c>
      <c r="AF155" t="str">
        <f>CONCATENATE(VLOOKUP(AD155,'Articulated Lengths'!$A$2:$B$16, 2, FALSE),IF(AE155&lt;&gt;"",CONCATENATE(",",VLOOKUP(AE155,$B$2:$AF$201,24,FALSE)),""))</f>
        <v>na</v>
      </c>
      <c r="AH155">
        <v>10</v>
      </c>
      <c r="AI155">
        <v>10</v>
      </c>
      <c r="AL155" t="str">
        <f>VLOOKUP(F155,Eras!$A$2:$C$14, 2, TRUE)</f>
        <v>edw</v>
      </c>
      <c r="AM155" t="s">
        <v>516</v>
      </c>
      <c r="AN155" t="str">
        <f t="shared" si="7"/>
        <v>edw_LU</v>
      </c>
    </row>
    <row r="156" spans="1:40" x14ac:dyDescent="0.25">
      <c r="A156" t="s">
        <v>140</v>
      </c>
      <c r="B156" t="s">
        <v>301</v>
      </c>
      <c r="C156" t="s">
        <v>213</v>
      </c>
      <c r="E156" t="s">
        <v>428</v>
      </c>
      <c r="V156" s="4" t="str">
        <f t="shared" si="9"/>
        <v/>
      </c>
      <c r="AC156" t="str">
        <f>CONCATENATE(VLOOKUP(AD156, 'Voxel Sizes'!$A$2:$B$18,2,FALSE),"x",INT(Z156*15), "x", INT(AA156*15))</f>
        <v>0x0x0</v>
      </c>
      <c r="AD156">
        <f t="shared" si="8"/>
        <v>0</v>
      </c>
      <c r="AF156" t="str">
        <f>CONCATENATE(VLOOKUP(AD156,'Articulated Lengths'!$A$2:$B$16, 2, FALSE),IF(AE156&lt;&gt;"",CONCATENATE(",",VLOOKUP(AE156,$B$2:$AF$201,24,FALSE)),""))</f>
        <v>na</v>
      </c>
      <c r="AH156">
        <v>10</v>
      </c>
      <c r="AI156">
        <v>10</v>
      </c>
      <c r="AL156" t="e">
        <f>VLOOKUP(F156,Eras!$A$2:$C$14, 2, TRUE)</f>
        <v>#N/A</v>
      </c>
      <c r="AN156" t="e">
        <f t="shared" si="7"/>
        <v>#N/A</v>
      </c>
    </row>
    <row r="157" spans="1:40" x14ac:dyDescent="0.25">
      <c r="A157" t="s">
        <v>141</v>
      </c>
      <c r="B157" t="s">
        <v>302</v>
      </c>
      <c r="C157" t="s">
        <v>213</v>
      </c>
      <c r="E157" t="s">
        <v>428</v>
      </c>
      <c r="V157" s="4" t="str">
        <f t="shared" si="9"/>
        <v/>
      </c>
      <c r="AC157" t="str">
        <f>CONCATENATE(VLOOKUP(AD157, 'Voxel Sizes'!$A$2:$B$18,2,FALSE),"x",INT(Z157*15), "x", INT(AA157*15))</f>
        <v>0x0x0</v>
      </c>
      <c r="AD157">
        <f t="shared" si="8"/>
        <v>0</v>
      </c>
      <c r="AF157" t="str">
        <f>CONCATENATE(VLOOKUP(AD157,'Articulated Lengths'!$A$2:$B$16, 2, FALSE),IF(AE157&lt;&gt;"",CONCATENATE(",",VLOOKUP(AE157,$B$2:$AF$201,24,FALSE)),""))</f>
        <v>na</v>
      </c>
      <c r="AH157">
        <v>10</v>
      </c>
      <c r="AI157">
        <v>10</v>
      </c>
      <c r="AL157" t="e">
        <f>VLOOKUP(F157,Eras!$A$2:$C$14, 2, TRUE)</f>
        <v>#N/A</v>
      </c>
      <c r="AN157" t="e">
        <f t="shared" si="7"/>
        <v>#N/A</v>
      </c>
    </row>
    <row r="158" spans="1:40" x14ac:dyDescent="0.25">
      <c r="A158" t="s">
        <v>142</v>
      </c>
      <c r="B158" t="s">
        <v>359</v>
      </c>
      <c r="C158" t="s">
        <v>213</v>
      </c>
      <c r="E158" t="s">
        <v>428</v>
      </c>
      <c r="V158" s="4" t="str">
        <f t="shared" si="9"/>
        <v/>
      </c>
      <c r="AC158" t="str">
        <f>CONCATENATE(VLOOKUP(AD158, 'Voxel Sizes'!$A$2:$B$18,2,FALSE),"x",INT(Z158*15), "x", INT(AA158*15))</f>
        <v>0x0x0</v>
      </c>
      <c r="AD158">
        <f t="shared" si="8"/>
        <v>0</v>
      </c>
      <c r="AF158" t="str">
        <f>CONCATENATE(VLOOKUP(AD158,'Articulated Lengths'!$A$2:$B$16, 2, FALSE),IF(AE158&lt;&gt;"",CONCATENATE(",",VLOOKUP(AE158,$B$2:$AF$201,24,FALSE)),""))</f>
        <v>na</v>
      </c>
      <c r="AH158">
        <v>10</v>
      </c>
      <c r="AI158">
        <v>10</v>
      </c>
      <c r="AL158" t="e">
        <f>VLOOKUP(F158,Eras!$A$2:$C$14, 2, TRUE)</f>
        <v>#N/A</v>
      </c>
      <c r="AN158" t="e">
        <f t="shared" si="7"/>
        <v>#N/A</v>
      </c>
    </row>
    <row r="159" spans="1:40" x14ac:dyDescent="0.25">
      <c r="A159" t="s">
        <v>143</v>
      </c>
      <c r="B159" t="s">
        <v>404</v>
      </c>
      <c r="C159" t="s">
        <v>213</v>
      </c>
      <c r="E159" t="s">
        <v>428</v>
      </c>
      <c r="V159" s="4" t="str">
        <f t="shared" si="9"/>
        <v/>
      </c>
      <c r="AC159" t="str">
        <f>CONCATENATE(VLOOKUP(AD159, 'Voxel Sizes'!$A$2:$B$18,2,FALSE),"x",INT(Z159*15), "x", INT(AA159*15))</f>
        <v>0x0x0</v>
      </c>
      <c r="AD159">
        <f t="shared" si="8"/>
        <v>0</v>
      </c>
      <c r="AF159" t="str">
        <f>CONCATENATE(VLOOKUP(AD159,'Articulated Lengths'!$A$2:$B$16, 2, FALSE),IF(AE159&lt;&gt;"",CONCATENATE(",",VLOOKUP(AE159,$B$2:$AF$201,24,FALSE)),""))</f>
        <v>na</v>
      </c>
      <c r="AH159">
        <v>10</v>
      </c>
      <c r="AI159">
        <v>10</v>
      </c>
      <c r="AL159" t="e">
        <f>VLOOKUP(F159,Eras!$A$2:$C$14, 2, TRUE)</f>
        <v>#N/A</v>
      </c>
      <c r="AM159" t="s">
        <v>516</v>
      </c>
      <c r="AN159" t="e">
        <f t="shared" si="7"/>
        <v>#N/A</v>
      </c>
    </row>
    <row r="160" spans="1:40" x14ac:dyDescent="0.25">
      <c r="A160" t="s">
        <v>144</v>
      </c>
      <c r="B160" t="s">
        <v>303</v>
      </c>
      <c r="C160" t="s">
        <v>213</v>
      </c>
      <c r="E160" t="s">
        <v>428</v>
      </c>
      <c r="V160" s="4" t="str">
        <f t="shared" si="9"/>
        <v/>
      </c>
      <c r="AC160" t="str">
        <f>CONCATENATE(VLOOKUP(AD160, 'Voxel Sizes'!$A$2:$B$18,2,FALSE),"x",INT(Z160*15), "x", INT(AA160*15))</f>
        <v>0x0x0</v>
      </c>
      <c r="AD160">
        <f t="shared" si="8"/>
        <v>0</v>
      </c>
      <c r="AF160" t="str">
        <f>CONCATENATE(VLOOKUP(AD160,'Articulated Lengths'!$A$2:$B$16, 2, FALSE),IF(AE160&lt;&gt;"",CONCATENATE(",",VLOOKUP(AE160,$B$2:$AF$201,24,FALSE)),""))</f>
        <v>na</v>
      </c>
      <c r="AH160">
        <v>10</v>
      </c>
      <c r="AI160">
        <v>10</v>
      </c>
      <c r="AL160" t="e">
        <f>VLOOKUP(F160,Eras!$A$2:$C$14, 2, TRUE)</f>
        <v>#N/A</v>
      </c>
      <c r="AM160" t="s">
        <v>516</v>
      </c>
      <c r="AN160" t="e">
        <f t="shared" si="7"/>
        <v>#N/A</v>
      </c>
    </row>
    <row r="161" spans="1:40" x14ac:dyDescent="0.25">
      <c r="A161" t="s">
        <v>145</v>
      </c>
      <c r="B161" t="s">
        <v>304</v>
      </c>
      <c r="C161" t="s">
        <v>213</v>
      </c>
      <c r="E161" t="s">
        <v>428</v>
      </c>
      <c r="F161">
        <v>1938</v>
      </c>
      <c r="V161" s="4" t="str">
        <f t="shared" si="9"/>
        <v/>
      </c>
      <c r="AC161" t="str">
        <f>CONCATENATE(VLOOKUP(AD161, 'Voxel Sizes'!$A$2:$B$18,2,FALSE),"x",INT(Z161*15), "x", INT(AA161*15))</f>
        <v>0x0x0</v>
      </c>
      <c r="AD161">
        <f t="shared" si="8"/>
        <v>0</v>
      </c>
      <c r="AF161" t="str">
        <f>CONCATENATE(VLOOKUP(AD161,'Articulated Lengths'!$A$2:$B$16, 2, FALSE),IF(AE161&lt;&gt;"",CONCATENATE(",",VLOOKUP(AE161,$B$2:$AF$201,24,FALSE)),""))</f>
        <v>na</v>
      </c>
      <c r="AH161">
        <v>10</v>
      </c>
      <c r="AI161">
        <v>10</v>
      </c>
      <c r="AL161" t="str">
        <f>VLOOKUP(F161,Eras!$A$2:$C$14, 2, TRUE)</f>
        <v>big4</v>
      </c>
      <c r="AM161" t="s">
        <v>516</v>
      </c>
      <c r="AN161" t="str">
        <f t="shared" si="7"/>
        <v>big4_LU</v>
      </c>
    </row>
    <row r="162" spans="1:40" x14ac:dyDescent="0.25">
      <c r="A162" t="s">
        <v>146</v>
      </c>
      <c r="B162" t="s">
        <v>305</v>
      </c>
      <c r="C162" t="s">
        <v>213</v>
      </c>
      <c r="E162" t="s">
        <v>428</v>
      </c>
      <c r="F162">
        <v>1959</v>
      </c>
      <c r="V162" s="4" t="str">
        <f t="shared" si="9"/>
        <v/>
      </c>
      <c r="AC162" t="str">
        <f>CONCATENATE(VLOOKUP(AD162, 'Voxel Sizes'!$A$2:$B$18,2,FALSE),"x",INT(Z162*15), "x", INT(AA162*15))</f>
        <v>0x0x0</v>
      </c>
      <c r="AD162">
        <f t="shared" si="8"/>
        <v>0</v>
      </c>
      <c r="AF162" t="str">
        <f>CONCATENATE(VLOOKUP(AD162,'Articulated Lengths'!$A$2:$B$16, 2, FALSE),IF(AE162&lt;&gt;"",CONCATENATE(",",VLOOKUP(AE162,$B$2:$AF$201,24,FALSE)),""))</f>
        <v>na</v>
      </c>
      <c r="AH162">
        <v>10</v>
      </c>
      <c r="AI162">
        <v>10</v>
      </c>
      <c r="AL162" t="str">
        <f>VLOOKUP(F162,Eras!$A$2:$C$14, 2, TRUE)</f>
        <v>dsl</v>
      </c>
      <c r="AM162" t="s">
        <v>516</v>
      </c>
      <c r="AN162" t="str">
        <f t="shared" si="7"/>
        <v>dsl_LU</v>
      </c>
    </row>
    <row r="163" spans="1:40" x14ac:dyDescent="0.25">
      <c r="A163" t="s">
        <v>147</v>
      </c>
      <c r="B163" t="s">
        <v>306</v>
      </c>
      <c r="C163" t="s">
        <v>213</v>
      </c>
      <c r="E163" t="s">
        <v>428</v>
      </c>
      <c r="F163">
        <v>1960</v>
      </c>
      <c r="V163" s="4" t="str">
        <f t="shared" si="9"/>
        <v/>
      </c>
      <c r="AC163" t="str">
        <f>CONCATENATE(VLOOKUP(AD163, 'Voxel Sizes'!$A$2:$B$18,2,FALSE),"x",INT(Z163*15), "x", INT(AA163*15))</f>
        <v>0x0x0</v>
      </c>
      <c r="AD163">
        <f t="shared" si="8"/>
        <v>0</v>
      </c>
      <c r="AF163" t="str">
        <f>CONCATENATE(VLOOKUP(AD163,'Articulated Lengths'!$A$2:$B$16, 2, FALSE),IF(AE163&lt;&gt;"",CONCATENATE(",",VLOOKUP(AE163,$B$2:$AF$201,24,FALSE)),""))</f>
        <v>na</v>
      </c>
      <c r="AH163">
        <v>10</v>
      </c>
      <c r="AI163">
        <v>10</v>
      </c>
      <c r="AL163" t="str">
        <f>VLOOKUP(F163,Eras!$A$2:$C$14, 2, TRUE)</f>
        <v>dsl</v>
      </c>
      <c r="AM163" t="s">
        <v>516</v>
      </c>
      <c r="AN163" t="str">
        <f t="shared" si="7"/>
        <v>dsl_LU</v>
      </c>
    </row>
    <row r="164" spans="1:40" x14ac:dyDescent="0.25">
      <c r="A164" t="s">
        <v>148</v>
      </c>
      <c r="B164" t="s">
        <v>307</v>
      </c>
      <c r="C164" t="s">
        <v>213</v>
      </c>
      <c r="E164" t="s">
        <v>428</v>
      </c>
      <c r="F164">
        <v>1967</v>
      </c>
      <c r="V164" s="4" t="str">
        <f t="shared" si="9"/>
        <v/>
      </c>
      <c r="AC164" t="str">
        <f>CONCATENATE(VLOOKUP(AD164, 'Voxel Sizes'!$A$2:$B$18,2,FALSE),"x",INT(Z164*15), "x", INT(AA164*15))</f>
        <v>0x0x0</v>
      </c>
      <c r="AD164">
        <f t="shared" si="8"/>
        <v>0</v>
      </c>
      <c r="AF164" t="str">
        <f>CONCATENATE(VLOOKUP(AD164,'Articulated Lengths'!$A$2:$B$16, 2, FALSE),IF(AE164&lt;&gt;"",CONCATENATE(",",VLOOKUP(AE164,$B$2:$AF$201,24,FALSE)),""))</f>
        <v>na</v>
      </c>
      <c r="AH164">
        <v>10</v>
      </c>
      <c r="AI164">
        <v>10</v>
      </c>
      <c r="AL164" t="str">
        <f>VLOOKUP(F164,Eras!$A$2:$C$14, 2, TRUE)</f>
        <v>gen2</v>
      </c>
      <c r="AM164" t="s">
        <v>516</v>
      </c>
      <c r="AN164" t="str">
        <f t="shared" si="7"/>
        <v>gen2_LU</v>
      </c>
    </row>
    <row r="165" spans="1:40" x14ac:dyDescent="0.25">
      <c r="A165" t="s">
        <v>149</v>
      </c>
      <c r="B165" t="s">
        <v>308</v>
      </c>
      <c r="C165" t="s">
        <v>213</v>
      </c>
      <c r="E165" t="s">
        <v>428</v>
      </c>
      <c r="F165">
        <v>1969</v>
      </c>
      <c r="V165" s="4" t="str">
        <f t="shared" si="9"/>
        <v/>
      </c>
      <c r="AC165" t="str">
        <f>CONCATENATE(VLOOKUP(AD165, 'Voxel Sizes'!$A$2:$B$18,2,FALSE),"x",INT(Z165*15), "x", INT(AA165*15))</f>
        <v>0x0x0</v>
      </c>
      <c r="AD165">
        <f t="shared" si="8"/>
        <v>0</v>
      </c>
      <c r="AF165" t="str">
        <f>CONCATENATE(VLOOKUP(AD165,'Articulated Lengths'!$A$2:$B$16, 2, FALSE),IF(AE165&lt;&gt;"",CONCATENATE(",",VLOOKUP(AE165,$B$2:$AF$201,24,FALSE)),""))</f>
        <v>na</v>
      </c>
      <c r="AH165">
        <v>10</v>
      </c>
      <c r="AI165">
        <v>10</v>
      </c>
      <c r="AL165" t="str">
        <f>VLOOKUP(F165,Eras!$A$2:$C$14, 2, TRUE)</f>
        <v>gen2</v>
      </c>
      <c r="AM165" t="s">
        <v>516</v>
      </c>
      <c r="AN165" t="str">
        <f t="shared" si="7"/>
        <v>gen2_LU</v>
      </c>
    </row>
    <row r="166" spans="1:40" x14ac:dyDescent="0.25">
      <c r="A166" t="s">
        <v>150</v>
      </c>
      <c r="B166" t="s">
        <v>309</v>
      </c>
      <c r="C166" t="s">
        <v>213</v>
      </c>
      <c r="E166" t="s">
        <v>428</v>
      </c>
      <c r="F166">
        <v>1973</v>
      </c>
      <c r="V166" s="4" t="str">
        <f t="shared" si="9"/>
        <v/>
      </c>
      <c r="AC166" t="str">
        <f>CONCATENATE(VLOOKUP(AD166, 'Voxel Sizes'!$A$2:$B$18,2,FALSE),"x",INT(Z166*15), "x", INT(AA166*15))</f>
        <v>0x0x0</v>
      </c>
      <c r="AD166">
        <f t="shared" si="8"/>
        <v>0</v>
      </c>
      <c r="AF166" t="str">
        <f>CONCATENATE(VLOOKUP(AD166,'Articulated Lengths'!$A$2:$B$16, 2, FALSE),IF(AE166&lt;&gt;"",CONCATENATE(",",VLOOKUP(AE166,$B$2:$AF$201,24,FALSE)),""))</f>
        <v>na</v>
      </c>
      <c r="AH166">
        <v>10</v>
      </c>
      <c r="AI166">
        <v>10</v>
      </c>
      <c r="AL166" t="str">
        <f>VLOOKUP(F166,Eras!$A$2:$C$14, 2, TRUE)</f>
        <v>gen2</v>
      </c>
      <c r="AM166" t="s">
        <v>516</v>
      </c>
      <c r="AN166" t="str">
        <f t="shared" si="7"/>
        <v>gen2_LU</v>
      </c>
    </row>
    <row r="167" spans="1:40" x14ac:dyDescent="0.25">
      <c r="A167" t="s">
        <v>151</v>
      </c>
      <c r="B167" t="s">
        <v>310</v>
      </c>
      <c r="C167" t="s">
        <v>213</v>
      </c>
      <c r="E167" t="s">
        <v>428</v>
      </c>
      <c r="F167">
        <v>1978</v>
      </c>
      <c r="V167" s="4" t="str">
        <f t="shared" si="9"/>
        <v/>
      </c>
      <c r="AC167" t="str">
        <f>CONCATENATE(VLOOKUP(AD167, 'Voxel Sizes'!$A$2:$B$18,2,FALSE),"x",INT(Z167*15), "x", INT(AA167*15))</f>
        <v>0x0x0</v>
      </c>
      <c r="AD167">
        <f t="shared" si="8"/>
        <v>0</v>
      </c>
      <c r="AF167" t="str">
        <f>CONCATENATE(VLOOKUP(AD167,'Articulated Lengths'!$A$2:$B$16, 2, FALSE),IF(AE167&lt;&gt;"",CONCATENATE(",",VLOOKUP(AE167,$B$2:$AF$201,24,FALSE)),""))</f>
        <v>na</v>
      </c>
      <c r="AH167">
        <v>10</v>
      </c>
      <c r="AI167">
        <v>10</v>
      </c>
      <c r="AL167" t="str">
        <f>VLOOKUP(F167,Eras!$A$2:$C$14, 2, TRUE)</f>
        <v>gen3</v>
      </c>
      <c r="AM167" t="s">
        <v>516</v>
      </c>
      <c r="AN167" t="str">
        <f t="shared" si="7"/>
        <v>gen3_LU</v>
      </c>
    </row>
    <row r="168" spans="1:40" x14ac:dyDescent="0.25">
      <c r="A168" t="s">
        <v>152</v>
      </c>
      <c r="B168" t="s">
        <v>311</v>
      </c>
      <c r="C168" t="s">
        <v>213</v>
      </c>
      <c r="E168" t="s">
        <v>428</v>
      </c>
      <c r="F168">
        <v>1983</v>
      </c>
      <c r="V168" s="4" t="str">
        <f t="shared" si="9"/>
        <v/>
      </c>
      <c r="AC168" t="str">
        <f>CONCATENATE(VLOOKUP(AD168, 'Voxel Sizes'!$A$2:$B$18,2,FALSE),"x",INT(Z168*15), "x", INT(AA168*15))</f>
        <v>0x0x0</v>
      </c>
      <c r="AD168">
        <f t="shared" si="8"/>
        <v>0</v>
      </c>
      <c r="AF168" t="str">
        <f>CONCATENATE(VLOOKUP(AD168,'Articulated Lengths'!$A$2:$B$16, 2, FALSE),IF(AE168&lt;&gt;"",CONCATENATE(",",VLOOKUP(AE168,$B$2:$AF$201,24,FALSE)),""))</f>
        <v>na</v>
      </c>
      <c r="AH168">
        <v>10</v>
      </c>
      <c r="AI168">
        <v>10</v>
      </c>
      <c r="AL168" t="str">
        <f>VLOOKUP(F168,Eras!$A$2:$C$14, 2, TRUE)</f>
        <v>gen3</v>
      </c>
      <c r="AM168" t="s">
        <v>516</v>
      </c>
      <c r="AN168" t="str">
        <f t="shared" si="7"/>
        <v>gen3_LU</v>
      </c>
    </row>
    <row r="169" spans="1:40" x14ac:dyDescent="0.25">
      <c r="A169" t="s">
        <v>153</v>
      </c>
      <c r="B169" t="s">
        <v>312</v>
      </c>
      <c r="C169" t="s">
        <v>213</v>
      </c>
      <c r="E169" t="s">
        <v>428</v>
      </c>
      <c r="F169">
        <v>1992</v>
      </c>
      <c r="V169" s="4" t="str">
        <f t="shared" si="9"/>
        <v/>
      </c>
      <c r="AC169" t="str">
        <f>CONCATENATE(VLOOKUP(AD169, 'Voxel Sizes'!$A$2:$B$18,2,FALSE),"x",INT(Z169*15), "x", INT(AA169*15))</f>
        <v>0x0x0</v>
      </c>
      <c r="AD169">
        <f t="shared" si="8"/>
        <v>0</v>
      </c>
      <c r="AF169" t="str">
        <f>CONCATENATE(VLOOKUP(AD169,'Articulated Lengths'!$A$2:$B$16, 2, FALSE),IF(AE169&lt;&gt;"",CONCATENATE(",",VLOOKUP(AE169,$B$2:$AF$201,24,FALSE)),""))</f>
        <v>na</v>
      </c>
      <c r="AH169">
        <v>10</v>
      </c>
      <c r="AI169">
        <v>10</v>
      </c>
      <c r="AL169" t="str">
        <f>VLOOKUP(F169,Eras!$A$2:$C$14, 2, TRUE)</f>
        <v>gen4</v>
      </c>
      <c r="AM169" t="s">
        <v>516</v>
      </c>
      <c r="AN169" t="str">
        <f t="shared" si="7"/>
        <v>gen4_LU</v>
      </c>
    </row>
    <row r="170" spans="1:40" x14ac:dyDescent="0.25">
      <c r="A170" t="s">
        <v>154</v>
      </c>
      <c r="B170" t="s">
        <v>360</v>
      </c>
      <c r="C170" t="s">
        <v>213</v>
      </c>
      <c r="E170" t="s">
        <v>428</v>
      </c>
      <c r="F170">
        <v>1995</v>
      </c>
      <c r="V170" s="4" t="str">
        <f t="shared" si="9"/>
        <v/>
      </c>
      <c r="AC170" t="str">
        <f>CONCATENATE(VLOOKUP(AD170, 'Voxel Sizes'!$A$2:$B$18,2,FALSE),"x",INT(Z170*15), "x", INT(AA170*15))</f>
        <v>0x0x0</v>
      </c>
      <c r="AD170">
        <f t="shared" si="8"/>
        <v>0</v>
      </c>
      <c r="AF170" t="str">
        <f>CONCATENATE(VLOOKUP(AD170,'Articulated Lengths'!$A$2:$B$16, 2, FALSE),IF(AE170&lt;&gt;"",CONCATENATE(",",VLOOKUP(AE170,$B$2:$AF$201,24,FALSE)),""))</f>
        <v>na</v>
      </c>
      <c r="AH170">
        <v>10</v>
      </c>
      <c r="AI170">
        <v>10</v>
      </c>
      <c r="AL170" t="str">
        <f>VLOOKUP(F170,Eras!$A$2:$C$14, 2, TRUE)</f>
        <v>prv</v>
      </c>
      <c r="AM170" t="s">
        <v>516</v>
      </c>
      <c r="AN170" t="str">
        <f t="shared" si="7"/>
        <v>prv_LU</v>
      </c>
    </row>
    <row r="171" spans="1:40" x14ac:dyDescent="0.25">
      <c r="A171" t="s">
        <v>155</v>
      </c>
      <c r="B171" t="s">
        <v>313</v>
      </c>
      <c r="C171" t="s">
        <v>213</v>
      </c>
      <c r="E171" t="s">
        <v>428</v>
      </c>
      <c r="F171">
        <v>2009</v>
      </c>
      <c r="V171" s="4" t="str">
        <f t="shared" si="9"/>
        <v/>
      </c>
      <c r="AC171" t="str">
        <f>CONCATENATE(VLOOKUP(AD171, 'Voxel Sizes'!$A$2:$B$18,2,FALSE),"x",INT(Z171*15), "x", INT(AA171*15))</f>
        <v>0x0x0</v>
      </c>
      <c r="AD171">
        <f t="shared" si="8"/>
        <v>0</v>
      </c>
      <c r="AF171" t="str">
        <f>CONCATENATE(VLOOKUP(AD171,'Articulated Lengths'!$A$2:$B$16, 2, FALSE),IF(AE171&lt;&gt;"",CONCATENATE(",",VLOOKUP(AE171,$B$2:$AF$201,24,FALSE)),""))</f>
        <v>na</v>
      </c>
      <c r="AH171">
        <v>10</v>
      </c>
      <c r="AI171">
        <v>10</v>
      </c>
      <c r="AL171" t="str">
        <f>VLOOKUP(F171,Eras!$A$2:$C$14, 2, TRUE)</f>
        <v>mod</v>
      </c>
      <c r="AM171" t="s">
        <v>516</v>
      </c>
      <c r="AN171" t="str">
        <f t="shared" si="7"/>
        <v>mod_LU</v>
      </c>
    </row>
    <row r="172" spans="1:40" x14ac:dyDescent="0.25">
      <c r="A172" t="s">
        <v>156</v>
      </c>
      <c r="B172" t="s">
        <v>314</v>
      </c>
      <c r="C172" t="s">
        <v>213</v>
      </c>
      <c r="E172" t="s">
        <v>428</v>
      </c>
      <c r="F172">
        <v>2010</v>
      </c>
      <c r="V172" s="4" t="str">
        <f t="shared" si="9"/>
        <v/>
      </c>
      <c r="AC172" t="str">
        <f>CONCATENATE(VLOOKUP(AD172, 'Voxel Sizes'!$A$2:$B$18,2,FALSE),"x",INT(Z172*15), "x", INT(AA172*15))</f>
        <v>0x0x0</v>
      </c>
      <c r="AD172">
        <f t="shared" si="8"/>
        <v>0</v>
      </c>
      <c r="AF172" t="str">
        <f>CONCATENATE(VLOOKUP(AD172,'Articulated Lengths'!$A$2:$B$16, 2, FALSE),IF(AE172&lt;&gt;"",CONCATENATE(",",VLOOKUP(AE172,$B$2:$AF$201,24,FALSE)),""))</f>
        <v>na</v>
      </c>
      <c r="AH172">
        <v>10</v>
      </c>
      <c r="AI172">
        <v>10</v>
      </c>
      <c r="AL172" t="str">
        <f>VLOOKUP(F172,Eras!$A$2:$C$14, 2, TRUE)</f>
        <v>mod</v>
      </c>
      <c r="AM172" t="s">
        <v>516</v>
      </c>
      <c r="AN172" t="str">
        <f t="shared" si="7"/>
        <v>mod_LU</v>
      </c>
    </row>
    <row r="173" spans="1:40" x14ac:dyDescent="0.25">
      <c r="A173" t="s">
        <v>157</v>
      </c>
      <c r="B173" t="s">
        <v>407</v>
      </c>
      <c r="C173" t="s">
        <v>213</v>
      </c>
      <c r="E173" t="s">
        <v>428</v>
      </c>
      <c r="V173" s="4" t="str">
        <f t="shared" si="9"/>
        <v/>
      </c>
      <c r="AC173" t="str">
        <f>CONCATENATE(VLOOKUP(AD173, 'Voxel Sizes'!$A$2:$B$18,2,FALSE),"x",INT(Z173*15), "x", INT(AA173*15))</f>
        <v>0x0x0</v>
      </c>
      <c r="AD173">
        <f t="shared" si="8"/>
        <v>0</v>
      </c>
      <c r="AF173" t="str">
        <f>CONCATENATE(VLOOKUP(AD173,'Articulated Lengths'!$A$2:$B$16, 2, FALSE),IF(AE173&lt;&gt;"",CONCATENATE(",",VLOOKUP(AE173,$B$2:$AF$201,24,FALSE)),""))</f>
        <v>na</v>
      </c>
      <c r="AH173">
        <v>10</v>
      </c>
      <c r="AI173">
        <v>10</v>
      </c>
      <c r="AL173" t="e">
        <f>VLOOKUP(F173,Eras!$A$2:$C$14, 2, TRUE)</f>
        <v>#N/A</v>
      </c>
      <c r="AN173" t="e">
        <f t="shared" si="7"/>
        <v>#N/A</v>
      </c>
    </row>
    <row r="174" spans="1:40" x14ac:dyDescent="0.25">
      <c r="A174" t="s">
        <v>158</v>
      </c>
      <c r="B174" t="s">
        <v>408</v>
      </c>
      <c r="C174" t="s">
        <v>213</v>
      </c>
      <c r="E174" t="s">
        <v>428</v>
      </c>
      <c r="V174" s="4" t="str">
        <f t="shared" si="9"/>
        <v/>
      </c>
      <c r="AC174" t="str">
        <f>CONCATENATE(VLOOKUP(AD174, 'Voxel Sizes'!$A$2:$B$18,2,FALSE),"x",INT(Z174*15), "x", INT(AA174*15))</f>
        <v>0x0x0</v>
      </c>
      <c r="AD174">
        <f t="shared" si="8"/>
        <v>0</v>
      </c>
      <c r="AF174" t="str">
        <f>CONCATENATE(VLOOKUP(AD174,'Articulated Lengths'!$A$2:$B$16, 2, FALSE),IF(AE174&lt;&gt;"",CONCATENATE(",",VLOOKUP(AE174,$B$2:$AF$201,24,FALSE)),""))</f>
        <v>na</v>
      </c>
      <c r="AH174">
        <v>10</v>
      </c>
      <c r="AI174">
        <v>10</v>
      </c>
      <c r="AL174" t="e">
        <f>VLOOKUP(F174,Eras!$A$2:$C$14, 2, TRUE)</f>
        <v>#N/A</v>
      </c>
      <c r="AN174" t="e">
        <f t="shared" si="7"/>
        <v>#N/A</v>
      </c>
    </row>
    <row r="175" spans="1:40" x14ac:dyDescent="0.25">
      <c r="A175" t="s">
        <v>159</v>
      </c>
      <c r="B175" t="s">
        <v>315</v>
      </c>
      <c r="C175" t="s">
        <v>213</v>
      </c>
      <c r="E175" t="s">
        <v>428</v>
      </c>
      <c r="V175" s="4" t="str">
        <f t="shared" si="9"/>
        <v/>
      </c>
      <c r="AC175" t="str">
        <f>CONCATENATE(VLOOKUP(AD175, 'Voxel Sizes'!$A$2:$B$18,2,FALSE),"x",INT(Z175*15), "x", INT(AA175*15))</f>
        <v>0x0x0</v>
      </c>
      <c r="AD175">
        <f t="shared" si="8"/>
        <v>0</v>
      </c>
      <c r="AF175" t="str">
        <f>CONCATENATE(VLOOKUP(AD175,'Articulated Lengths'!$A$2:$B$16, 2, FALSE),IF(AE175&lt;&gt;"",CONCATENATE(",",VLOOKUP(AE175,$B$2:$AF$201,24,FALSE)),""))</f>
        <v>na</v>
      </c>
      <c r="AH175">
        <v>10</v>
      </c>
      <c r="AI175">
        <v>10</v>
      </c>
      <c r="AL175" t="e">
        <f>VLOOKUP(F175,Eras!$A$2:$C$14, 2, TRUE)</f>
        <v>#N/A</v>
      </c>
      <c r="AN175" t="e">
        <f t="shared" si="7"/>
        <v>#N/A</v>
      </c>
    </row>
    <row r="176" spans="1:40" x14ac:dyDescent="0.25">
      <c r="A176" t="s">
        <v>160</v>
      </c>
      <c r="B176" t="s">
        <v>316</v>
      </c>
      <c r="C176" t="s">
        <v>213</v>
      </c>
      <c r="E176" t="s">
        <v>428</v>
      </c>
      <c r="V176" s="4" t="str">
        <f t="shared" si="9"/>
        <v/>
      </c>
      <c r="AC176" t="str">
        <f>CONCATENATE(VLOOKUP(AD176, 'Voxel Sizes'!$A$2:$B$18,2,FALSE),"x",INT(Z176*15), "x", INT(AA176*15))</f>
        <v>0x0x0</v>
      </c>
      <c r="AD176">
        <f t="shared" si="8"/>
        <v>0</v>
      </c>
      <c r="AF176" t="str">
        <f>CONCATENATE(VLOOKUP(AD176,'Articulated Lengths'!$A$2:$B$16, 2, FALSE),IF(AE176&lt;&gt;"",CONCATENATE(",",VLOOKUP(AE176,$B$2:$AF$201,24,FALSE)),""))</f>
        <v>na</v>
      </c>
      <c r="AH176">
        <v>10</v>
      </c>
      <c r="AI176">
        <v>10</v>
      </c>
      <c r="AL176" t="e">
        <f>VLOOKUP(F176,Eras!$A$2:$C$14, 2, TRUE)</f>
        <v>#N/A</v>
      </c>
      <c r="AN176" t="e">
        <f t="shared" si="7"/>
        <v>#N/A</v>
      </c>
    </row>
    <row r="177" spans="1:41" x14ac:dyDescent="0.25">
      <c r="A177" t="s">
        <v>161</v>
      </c>
      <c r="B177" t="s">
        <v>317</v>
      </c>
      <c r="C177" t="s">
        <v>213</v>
      </c>
      <c r="E177" t="s">
        <v>428</v>
      </c>
      <c r="V177" s="4" t="str">
        <f t="shared" si="9"/>
        <v/>
      </c>
      <c r="AC177" t="str">
        <f>CONCATENATE(VLOOKUP(AD177, 'Voxel Sizes'!$A$2:$B$18,2,FALSE),"x",INT(Z177*15), "x", INT(AA177*15))</f>
        <v>0x0x0</v>
      </c>
      <c r="AD177">
        <f t="shared" si="8"/>
        <v>0</v>
      </c>
      <c r="AF177" t="str">
        <f>CONCATENATE(VLOOKUP(AD177,'Articulated Lengths'!$A$2:$B$16, 2, FALSE),IF(AE177&lt;&gt;"",CONCATENATE(",",VLOOKUP(AE177,$B$2:$AF$201,24,FALSE)),""))</f>
        <v>na</v>
      </c>
      <c r="AH177">
        <v>10</v>
      </c>
      <c r="AI177">
        <v>10</v>
      </c>
      <c r="AL177" t="e">
        <f>VLOOKUP(F177,Eras!$A$2:$C$14, 2, TRUE)</f>
        <v>#N/A</v>
      </c>
      <c r="AN177" t="e">
        <f t="shared" si="7"/>
        <v>#N/A</v>
      </c>
    </row>
    <row r="178" spans="1:41" x14ac:dyDescent="0.25">
      <c r="A178" t="s">
        <v>162</v>
      </c>
      <c r="B178" t="s">
        <v>412</v>
      </c>
      <c r="C178" t="s">
        <v>213</v>
      </c>
      <c r="E178" t="s">
        <v>428</v>
      </c>
      <c r="T178">
        <v>9</v>
      </c>
      <c r="V178" s="4" t="str">
        <f t="shared" si="9"/>
        <v/>
      </c>
      <c r="AC178" t="str">
        <f>CONCATENATE(VLOOKUP(AD178, 'Voxel Sizes'!$A$2:$B$18,2,FALSE),"x",INT(Z178*15), "x", INT(AA178*15))</f>
        <v>0x0x0</v>
      </c>
      <c r="AD178">
        <f t="shared" si="8"/>
        <v>0</v>
      </c>
      <c r="AF178" t="str">
        <f>CONCATENATE(VLOOKUP(AD178,'Articulated Lengths'!$A$2:$B$16, 2, FALSE),IF(AE178&lt;&gt;"",CONCATENATE(",",VLOOKUP(AE178,$B$2:$AF$201,24,FALSE)),""))</f>
        <v>na</v>
      </c>
      <c r="AH178">
        <v>10</v>
      </c>
      <c r="AI178">
        <v>10</v>
      </c>
      <c r="AL178" t="e">
        <f>VLOOKUP(F178,Eras!$A$2:$C$14, 2, TRUE)</f>
        <v>#N/A</v>
      </c>
      <c r="AN178" t="e">
        <f t="shared" si="7"/>
        <v>#N/A</v>
      </c>
    </row>
    <row r="179" spans="1:41" x14ac:dyDescent="0.25">
      <c r="A179" t="s">
        <v>163</v>
      </c>
      <c r="B179" t="s">
        <v>411</v>
      </c>
      <c r="C179" t="s">
        <v>435</v>
      </c>
      <c r="E179" t="s">
        <v>428</v>
      </c>
      <c r="F179">
        <v>1956</v>
      </c>
      <c r="R179">
        <v>40</v>
      </c>
      <c r="T179">
        <v>9</v>
      </c>
      <c r="V179" s="4" t="str">
        <f t="shared" si="9"/>
        <v/>
      </c>
      <c r="W179">
        <v>100</v>
      </c>
      <c r="X179">
        <v>19.66</v>
      </c>
      <c r="Y179">
        <v>19.66</v>
      </c>
      <c r="Z179">
        <v>2.83</v>
      </c>
      <c r="AA179">
        <v>3.79</v>
      </c>
      <c r="AB179">
        <v>57</v>
      </c>
      <c r="AC179" t="str">
        <f>CONCATENATE(VLOOKUP(AD179, 'Voxel Sizes'!$A$2:$B$18,2,FALSE),"x",INT(Z179*15), "x", INT(AA179*15))</f>
        <v>198x42x56</v>
      </c>
      <c r="AD179">
        <f t="shared" si="8"/>
        <v>12</v>
      </c>
      <c r="AF179" t="str">
        <f>CONCATENATE(VLOOKUP(AD179,'Articulated Lengths'!$A$2:$B$16, 2, FALSE),IF(AE179&lt;&gt;"",CONCATENATE(",",VLOOKUP(AE179,$B$2:$AF$201,24,FALSE)),""))</f>
        <v>3,6,3</v>
      </c>
      <c r="AH179">
        <v>10</v>
      </c>
      <c r="AI179">
        <v>10</v>
      </c>
      <c r="AK179" t="s">
        <v>437</v>
      </c>
      <c r="AL179" t="str">
        <f>VLOOKUP(F179,Eras!$A$2:$C$14, 2, TRUE)</f>
        <v>dsl</v>
      </c>
      <c r="AM179" t="s">
        <v>506</v>
      </c>
      <c r="AN179" t="str">
        <f t="shared" si="7"/>
        <v>dsl_Carriage</v>
      </c>
      <c r="AO179" t="s">
        <v>532</v>
      </c>
    </row>
    <row r="180" spans="1:41" x14ac:dyDescent="0.25">
      <c r="A180" t="s">
        <v>164</v>
      </c>
      <c r="B180" t="s">
        <v>413</v>
      </c>
      <c r="C180" t="s">
        <v>435</v>
      </c>
      <c r="E180" t="s">
        <v>428</v>
      </c>
      <c r="F180">
        <v>1975</v>
      </c>
      <c r="R180">
        <v>34</v>
      </c>
      <c r="T180">
        <v>9</v>
      </c>
      <c r="V180" s="4" t="str">
        <f t="shared" si="9"/>
        <v/>
      </c>
      <c r="W180">
        <v>125</v>
      </c>
      <c r="X180">
        <v>23</v>
      </c>
      <c r="Y180">
        <v>23</v>
      </c>
      <c r="Z180">
        <v>2.82</v>
      </c>
      <c r="AA180">
        <v>3.79</v>
      </c>
      <c r="AB180">
        <v>72</v>
      </c>
      <c r="AC180" t="str">
        <f>CONCATENATE(VLOOKUP(AD180, 'Voxel Sizes'!$A$2:$B$18,2,FALSE),"x",INT(Z180*15), "x", INT(AA180*15))</f>
        <v>221x42x56</v>
      </c>
      <c r="AD180">
        <f t="shared" si="8"/>
        <v>13</v>
      </c>
      <c r="AF180" t="str">
        <f>CONCATENATE(VLOOKUP(AD180,'Articulated Lengths'!$A$2:$B$16, 2, FALSE),IF(AE180&lt;&gt;"",CONCATENATE(",",VLOOKUP(AE180,$B$2:$AF$201,24,FALSE)),""))</f>
        <v>4,5,4</v>
      </c>
      <c r="AH180">
        <v>10</v>
      </c>
      <c r="AI180">
        <v>10</v>
      </c>
      <c r="AK180" t="s">
        <v>437</v>
      </c>
      <c r="AL180" t="str">
        <f>VLOOKUP(F180,Eras!$A$2:$C$14, 2, TRUE)</f>
        <v>gen3</v>
      </c>
      <c r="AM180" t="s">
        <v>506</v>
      </c>
      <c r="AN180" t="str">
        <f t="shared" si="7"/>
        <v>gen3_Carriage</v>
      </c>
      <c r="AO180" t="s">
        <v>533</v>
      </c>
    </row>
    <row r="181" spans="1:41" x14ac:dyDescent="0.25">
      <c r="A181" t="s">
        <v>165</v>
      </c>
      <c r="B181" t="s">
        <v>414</v>
      </c>
      <c r="C181" t="s">
        <v>213</v>
      </c>
      <c r="E181" t="s">
        <v>428</v>
      </c>
      <c r="V181" s="4" t="str">
        <f t="shared" si="9"/>
        <v/>
      </c>
      <c r="AC181" t="str">
        <f>CONCATENATE(VLOOKUP(AD181, 'Voxel Sizes'!$A$2:$B$18,2,FALSE),"x",INT(Z181*15), "x", INT(AA181*15))</f>
        <v>0x0x0</v>
      </c>
      <c r="AD181">
        <f t="shared" si="8"/>
        <v>0</v>
      </c>
      <c r="AF181" t="str">
        <f>CONCATENATE(VLOOKUP(AD181,'Articulated Lengths'!$A$2:$B$16, 2, FALSE),IF(AE181&lt;&gt;"",CONCATENATE(",",VLOOKUP(AE181,$B$2:$AF$201,24,FALSE)),""))</f>
        <v>na</v>
      </c>
      <c r="AH181">
        <v>10</v>
      </c>
      <c r="AI181">
        <v>10</v>
      </c>
      <c r="AL181" t="e">
        <f>VLOOKUP(F181,Eras!$A$2:$C$14, 2, TRUE)</f>
        <v>#N/A</v>
      </c>
      <c r="AN181" t="e">
        <f t="shared" si="7"/>
        <v>#N/A</v>
      </c>
    </row>
    <row r="182" spans="1:41" x14ac:dyDescent="0.25">
      <c r="A182" t="s">
        <v>166</v>
      </c>
      <c r="B182" t="s">
        <v>318</v>
      </c>
      <c r="C182" t="s">
        <v>213</v>
      </c>
      <c r="E182" t="s">
        <v>428</v>
      </c>
      <c r="V182" s="4" t="str">
        <f t="shared" si="9"/>
        <v/>
      </c>
      <c r="AC182" t="str">
        <f>CONCATENATE(VLOOKUP(AD182, 'Voxel Sizes'!$A$2:$B$18,2,FALSE),"x",INT(Z182*15), "x", INT(AA182*15))</f>
        <v>0x0x0</v>
      </c>
      <c r="AD182">
        <f t="shared" si="8"/>
        <v>0</v>
      </c>
      <c r="AF182" t="str">
        <f>CONCATENATE(VLOOKUP(AD182,'Articulated Lengths'!$A$2:$B$16, 2, FALSE),IF(AE182&lt;&gt;"",CONCATENATE(",",VLOOKUP(AE182,$B$2:$AF$201,24,FALSE)),""))</f>
        <v>na</v>
      </c>
      <c r="AH182">
        <v>10</v>
      </c>
      <c r="AI182">
        <v>10</v>
      </c>
      <c r="AL182" t="e">
        <f>VLOOKUP(F182,Eras!$A$2:$C$14, 2, TRUE)</f>
        <v>#N/A</v>
      </c>
      <c r="AN182" t="e">
        <f t="shared" si="7"/>
        <v>#N/A</v>
      </c>
    </row>
    <row r="183" spans="1:41" x14ac:dyDescent="0.25">
      <c r="A183" t="s">
        <v>167</v>
      </c>
      <c r="B183" t="s">
        <v>319</v>
      </c>
      <c r="C183" t="s">
        <v>213</v>
      </c>
      <c r="E183" t="s">
        <v>428</v>
      </c>
      <c r="V183" s="4" t="str">
        <f t="shared" si="9"/>
        <v/>
      </c>
      <c r="AC183" t="str">
        <f>CONCATENATE(VLOOKUP(AD183, 'Voxel Sizes'!$A$2:$B$18,2,FALSE),"x",INT(Z183*15), "x", INT(AA183*15))</f>
        <v>0x0x0</v>
      </c>
      <c r="AD183">
        <f t="shared" si="8"/>
        <v>0</v>
      </c>
      <c r="AF183" t="str">
        <f>CONCATENATE(VLOOKUP(AD183,'Articulated Lengths'!$A$2:$B$16, 2, FALSE),IF(AE183&lt;&gt;"",CONCATENATE(",",VLOOKUP(AE183,$B$2:$AF$201,24,FALSE)),""))</f>
        <v>na</v>
      </c>
      <c r="AH183">
        <v>10</v>
      </c>
      <c r="AI183">
        <v>10</v>
      </c>
      <c r="AL183" t="e">
        <f>VLOOKUP(F183,Eras!$A$2:$C$14, 2, TRUE)</f>
        <v>#N/A</v>
      </c>
      <c r="AN183" t="e">
        <f t="shared" si="7"/>
        <v>#N/A</v>
      </c>
    </row>
    <row r="184" spans="1:41" x14ac:dyDescent="0.25">
      <c r="A184" t="s">
        <v>168</v>
      </c>
      <c r="B184" t="s">
        <v>320</v>
      </c>
      <c r="C184" t="s">
        <v>213</v>
      </c>
      <c r="E184" t="s">
        <v>428</v>
      </c>
      <c r="V184" s="4" t="str">
        <f t="shared" si="9"/>
        <v/>
      </c>
      <c r="AC184" t="str">
        <f>CONCATENATE(VLOOKUP(AD184, 'Voxel Sizes'!$A$2:$B$18,2,FALSE),"x",INT(Z184*15), "x", INT(AA184*15))</f>
        <v>0x0x0</v>
      </c>
      <c r="AD184">
        <f t="shared" si="8"/>
        <v>0</v>
      </c>
      <c r="AF184" t="str">
        <f>CONCATENATE(VLOOKUP(AD184,'Articulated Lengths'!$A$2:$B$16, 2, FALSE),IF(AE184&lt;&gt;"",CONCATENATE(",",VLOOKUP(AE184,$B$2:$AF$201,24,FALSE)),""))</f>
        <v>na</v>
      </c>
      <c r="AH184">
        <v>10</v>
      </c>
      <c r="AI184">
        <v>10</v>
      </c>
      <c r="AL184" t="e">
        <f>VLOOKUP(F184,Eras!$A$2:$C$14, 2, TRUE)</f>
        <v>#N/A</v>
      </c>
      <c r="AN184" t="e">
        <f t="shared" si="7"/>
        <v>#N/A</v>
      </c>
    </row>
    <row r="185" spans="1:41" x14ac:dyDescent="0.25">
      <c r="A185" t="s">
        <v>169</v>
      </c>
      <c r="B185" t="s">
        <v>433</v>
      </c>
      <c r="C185" t="s">
        <v>435</v>
      </c>
      <c r="E185" t="s">
        <v>457</v>
      </c>
      <c r="F185">
        <v>1800</v>
      </c>
      <c r="R185">
        <v>5</v>
      </c>
      <c r="T185">
        <v>5</v>
      </c>
      <c r="V185" s="4" t="str">
        <f t="shared" si="9"/>
        <v/>
      </c>
      <c r="W185">
        <v>35</v>
      </c>
      <c r="X185">
        <v>4.9000000000000004</v>
      </c>
      <c r="Y185">
        <v>6</v>
      </c>
      <c r="AB185">
        <v>21</v>
      </c>
      <c r="AC185" t="str">
        <f>CONCATENATE(VLOOKUP(AD185, 'Voxel Sizes'!$A$2:$B$18,2,FALSE),"x",INT(Z185*15), "x", INT(AA185*15))</f>
        <v>60x0x0</v>
      </c>
      <c r="AD185">
        <f t="shared" si="8"/>
        <v>4</v>
      </c>
      <c r="AF185" t="str">
        <f>CONCATENATE(VLOOKUP(AD185,'Articulated Lengths'!$A$2:$B$16, 2, FALSE),IF(AE185&lt;&gt;"",CONCATENATE(",",VLOOKUP(AE185,$B$2:$AF$201,24,FALSE)),""))</f>
        <v>1,2,1</v>
      </c>
      <c r="AH185">
        <v>10</v>
      </c>
      <c r="AI185">
        <v>10</v>
      </c>
      <c r="AK185" t="s">
        <v>438</v>
      </c>
      <c r="AL185" t="str">
        <f>VLOOKUP(F185,Eras!$A$2:$C$14, 2, TRUE)</f>
        <v>early</v>
      </c>
      <c r="AM185" t="s">
        <v>514</v>
      </c>
      <c r="AN185" t="str">
        <f t="shared" si="7"/>
        <v>early_Tanker</v>
      </c>
      <c r="AO185" t="s">
        <v>534</v>
      </c>
    </row>
    <row r="186" spans="1:41" x14ac:dyDescent="0.25">
      <c r="A186" t="s">
        <v>170</v>
      </c>
      <c r="B186" t="s">
        <v>434</v>
      </c>
      <c r="C186" t="s">
        <v>213</v>
      </c>
      <c r="E186" t="s">
        <v>428</v>
      </c>
      <c r="V186" s="4" t="str">
        <f t="shared" si="9"/>
        <v/>
      </c>
      <c r="AC186" t="str">
        <f>CONCATENATE(VLOOKUP(AD186, 'Voxel Sizes'!$A$2:$B$18,2,FALSE),"x",INT(Z186*15), "x", INT(AA186*15))</f>
        <v>0x0x0</v>
      </c>
      <c r="AD186">
        <f t="shared" si="8"/>
        <v>0</v>
      </c>
      <c r="AF186" t="str">
        <f>CONCATENATE(VLOOKUP(AD186,'Articulated Lengths'!$A$2:$B$16, 2, FALSE),IF(AE186&lt;&gt;"",CONCATENATE(",",VLOOKUP(AE186,$B$2:$AF$201,24,FALSE)),""))</f>
        <v>na</v>
      </c>
      <c r="AH186">
        <v>10</v>
      </c>
      <c r="AI186">
        <v>10</v>
      </c>
      <c r="AL186" t="e">
        <f>VLOOKUP(F186,Eras!$A$2:$C$14, 2, TRUE)</f>
        <v>#N/A</v>
      </c>
      <c r="AN186" t="e">
        <f t="shared" si="7"/>
        <v>#N/A</v>
      </c>
    </row>
    <row r="187" spans="1:41" x14ac:dyDescent="0.25">
      <c r="A187" t="s">
        <v>171</v>
      </c>
      <c r="B187" t="s">
        <v>321</v>
      </c>
      <c r="C187" t="s">
        <v>213</v>
      </c>
      <c r="E187" t="s">
        <v>428</v>
      </c>
      <c r="V187" s="4" t="str">
        <f t="shared" si="9"/>
        <v/>
      </c>
      <c r="AC187" t="str">
        <f>CONCATENATE(VLOOKUP(AD187, 'Voxel Sizes'!$A$2:$B$18,2,FALSE),"x",INT(Z187*15), "x", INT(AA187*15))</f>
        <v>0x0x0</v>
      </c>
      <c r="AD187">
        <f t="shared" si="8"/>
        <v>0</v>
      </c>
      <c r="AF187" t="str">
        <f>CONCATENATE(VLOOKUP(AD187,'Articulated Lengths'!$A$2:$B$16, 2, FALSE),IF(AE187&lt;&gt;"",CONCATENATE(",",VLOOKUP(AE187,$B$2:$AF$201,24,FALSE)),""))</f>
        <v>na</v>
      </c>
      <c r="AH187">
        <v>10</v>
      </c>
      <c r="AI187">
        <v>10</v>
      </c>
      <c r="AL187" t="e">
        <f>VLOOKUP(F187,Eras!$A$2:$C$14, 2, TRUE)</f>
        <v>#N/A</v>
      </c>
      <c r="AN187" t="e">
        <f t="shared" si="7"/>
        <v>#N/A</v>
      </c>
    </row>
    <row r="188" spans="1:41" x14ac:dyDescent="0.25">
      <c r="A188" t="s">
        <v>172</v>
      </c>
      <c r="B188" t="s">
        <v>322</v>
      </c>
      <c r="C188" t="s">
        <v>213</v>
      </c>
      <c r="E188" t="s">
        <v>428</v>
      </c>
      <c r="V188" s="4" t="str">
        <f t="shared" si="9"/>
        <v/>
      </c>
      <c r="AC188" t="str">
        <f>CONCATENATE(VLOOKUP(AD188, 'Voxel Sizes'!$A$2:$B$18,2,FALSE),"x",INT(Z188*15), "x", INT(AA188*15))</f>
        <v>0x0x0</v>
      </c>
      <c r="AD188">
        <f t="shared" si="8"/>
        <v>0</v>
      </c>
      <c r="AF188" t="str">
        <f>CONCATENATE(VLOOKUP(AD188,'Articulated Lengths'!$A$2:$B$16, 2, FALSE),IF(AE188&lt;&gt;"",CONCATENATE(",",VLOOKUP(AE188,$B$2:$AF$201,24,FALSE)),""))</f>
        <v>na</v>
      </c>
      <c r="AH188">
        <v>10</v>
      </c>
      <c r="AI188">
        <v>10</v>
      </c>
      <c r="AL188" t="e">
        <f>VLOOKUP(F188,Eras!$A$2:$C$14, 2, TRUE)</f>
        <v>#N/A</v>
      </c>
      <c r="AN188" t="e">
        <f t="shared" si="7"/>
        <v>#N/A</v>
      </c>
    </row>
    <row r="189" spans="1:41" x14ac:dyDescent="0.25">
      <c r="A189" t="s">
        <v>173</v>
      </c>
      <c r="B189" t="s">
        <v>409</v>
      </c>
      <c r="C189" t="s">
        <v>435</v>
      </c>
      <c r="E189" t="s">
        <v>457</v>
      </c>
      <c r="F189">
        <v>1800</v>
      </c>
      <c r="R189">
        <v>5</v>
      </c>
      <c r="T189">
        <v>5</v>
      </c>
      <c r="V189" s="4" t="str">
        <f t="shared" si="9"/>
        <v/>
      </c>
      <c r="W189">
        <v>35</v>
      </c>
      <c r="X189">
        <v>4.9000000000000004</v>
      </c>
      <c r="Y189">
        <v>6</v>
      </c>
      <c r="AB189">
        <v>21</v>
      </c>
      <c r="AC189" t="str">
        <f>CONCATENATE(VLOOKUP(AD189, 'Voxel Sizes'!$A$2:$B$18,2,FALSE),"x",INT(Z189*15), "x", INT(AA189*15))</f>
        <v>60x0x0</v>
      </c>
      <c r="AD189">
        <f t="shared" si="8"/>
        <v>4</v>
      </c>
      <c r="AF189" t="str">
        <f>CONCATENATE(VLOOKUP(AD189,'Articulated Lengths'!$A$2:$B$16, 2, FALSE),IF(AE189&lt;&gt;"",CONCATENATE(",",VLOOKUP(AE189,$B$2:$AF$201,24,FALSE)),""))</f>
        <v>1,2,1</v>
      </c>
      <c r="AH189">
        <v>10</v>
      </c>
      <c r="AI189">
        <v>10</v>
      </c>
      <c r="AK189" t="s">
        <v>440</v>
      </c>
      <c r="AL189" t="str">
        <f>VLOOKUP(F189,Eras!$A$2:$C$14, 2, TRUE)</f>
        <v>early</v>
      </c>
      <c r="AM189" t="s">
        <v>511</v>
      </c>
      <c r="AN189" t="str">
        <f t="shared" si="7"/>
        <v>early_Open Wagon</v>
      </c>
      <c r="AO189" t="s">
        <v>535</v>
      </c>
    </row>
    <row r="190" spans="1:41" x14ac:dyDescent="0.25">
      <c r="A190" t="s">
        <v>174</v>
      </c>
      <c r="B190" t="s">
        <v>410</v>
      </c>
      <c r="C190" t="s">
        <v>435</v>
      </c>
      <c r="E190" t="s">
        <v>428</v>
      </c>
      <c r="F190">
        <v>1902</v>
      </c>
      <c r="R190">
        <v>5</v>
      </c>
      <c r="T190">
        <v>5</v>
      </c>
      <c r="V190" s="4" t="str">
        <f t="shared" si="9"/>
        <v/>
      </c>
      <c r="W190">
        <v>55</v>
      </c>
      <c r="X190">
        <v>4.9000000000000004</v>
      </c>
      <c r="Y190">
        <v>6</v>
      </c>
      <c r="AB190">
        <v>27</v>
      </c>
      <c r="AC190" t="str">
        <f>CONCATENATE(VLOOKUP(AD190, 'Voxel Sizes'!$A$2:$B$18,2,FALSE),"x",INT(Z190*15), "x", INT(AA190*15))</f>
        <v>60x0x0</v>
      </c>
      <c r="AD190">
        <f t="shared" si="8"/>
        <v>4</v>
      </c>
      <c r="AF190" t="str">
        <f>CONCATENATE(VLOOKUP(AD190,'Articulated Lengths'!$A$2:$B$16, 2, FALSE),IF(AE190&lt;&gt;"",CONCATENATE(",",VLOOKUP(AE190,$B$2:$AF$201,24,FALSE)),""))</f>
        <v>1,2,1</v>
      </c>
      <c r="AH190">
        <v>10</v>
      </c>
      <c r="AI190">
        <v>10</v>
      </c>
      <c r="AK190" t="s">
        <v>440</v>
      </c>
      <c r="AL190" t="str">
        <f>VLOOKUP(F190,Eras!$A$2:$C$14, 2, TRUE)</f>
        <v>edw</v>
      </c>
      <c r="AM190" t="s">
        <v>511</v>
      </c>
      <c r="AN190" t="str">
        <f t="shared" si="7"/>
        <v>edw_Open Wagon</v>
      </c>
      <c r="AO190" t="s">
        <v>536</v>
      </c>
    </row>
    <row r="191" spans="1:41" x14ac:dyDescent="0.25">
      <c r="A191" t="s">
        <v>175</v>
      </c>
      <c r="B191" t="s">
        <v>323</v>
      </c>
      <c r="C191" t="s">
        <v>213</v>
      </c>
      <c r="E191" t="s">
        <v>428</v>
      </c>
      <c r="V191" s="4" t="str">
        <f t="shared" si="9"/>
        <v/>
      </c>
      <c r="AC191" t="str">
        <f>CONCATENATE(VLOOKUP(AD191, 'Voxel Sizes'!$A$2:$B$18,2,FALSE),"x",INT(Z191*15), "x", INT(AA191*15))</f>
        <v>0x0x0</v>
      </c>
      <c r="AD191">
        <f t="shared" si="8"/>
        <v>0</v>
      </c>
      <c r="AF191" t="str">
        <f>CONCATENATE(VLOOKUP(AD191,'Articulated Lengths'!$A$2:$B$16, 2, FALSE),IF(AE191&lt;&gt;"",CONCATENATE(",",VLOOKUP(AE191,$B$2:$AF$201,24,FALSE)),""))</f>
        <v>na</v>
      </c>
      <c r="AH191">
        <v>10</v>
      </c>
      <c r="AI191">
        <v>10</v>
      </c>
      <c r="AL191" t="e">
        <f>VLOOKUP(F191,Eras!$A$2:$C$14, 2, TRUE)</f>
        <v>#N/A</v>
      </c>
      <c r="AN191" t="e">
        <f t="shared" si="7"/>
        <v>#N/A</v>
      </c>
    </row>
    <row r="192" spans="1:41" x14ac:dyDescent="0.25">
      <c r="A192" t="s">
        <v>176</v>
      </c>
      <c r="B192" t="s">
        <v>324</v>
      </c>
      <c r="C192" t="s">
        <v>213</v>
      </c>
      <c r="E192" t="s">
        <v>428</v>
      </c>
      <c r="V192" s="4" t="str">
        <f t="shared" si="9"/>
        <v/>
      </c>
      <c r="AC192" t="str">
        <f>CONCATENATE(VLOOKUP(AD192, 'Voxel Sizes'!$A$2:$B$18,2,FALSE),"x",INT(Z192*15), "x", INT(AA192*15))</f>
        <v>0x0x0</v>
      </c>
      <c r="AD192">
        <f t="shared" si="8"/>
        <v>0</v>
      </c>
      <c r="AF192" t="str">
        <f>CONCATENATE(VLOOKUP(AD192,'Articulated Lengths'!$A$2:$B$16, 2, FALSE),IF(AE192&lt;&gt;"",CONCATENATE(",",VLOOKUP(AE192,$B$2:$AF$201,24,FALSE)),""))</f>
        <v>na</v>
      </c>
      <c r="AH192">
        <v>10</v>
      </c>
      <c r="AI192">
        <v>10</v>
      </c>
      <c r="AL192" t="e">
        <f>VLOOKUP(F192,Eras!$A$2:$C$14, 2, TRUE)</f>
        <v>#N/A</v>
      </c>
      <c r="AN192" t="e">
        <f t="shared" si="7"/>
        <v>#N/A</v>
      </c>
    </row>
    <row r="193" spans="1:40" x14ac:dyDescent="0.25">
      <c r="A193" t="s">
        <v>177</v>
      </c>
      <c r="B193" t="s">
        <v>325</v>
      </c>
      <c r="C193" t="s">
        <v>213</v>
      </c>
      <c r="E193" t="s">
        <v>428</v>
      </c>
      <c r="V193" s="4" t="str">
        <f t="shared" si="9"/>
        <v/>
      </c>
      <c r="AC193" t="str">
        <f>CONCATENATE(VLOOKUP(AD193, 'Voxel Sizes'!$A$2:$B$18,2,FALSE),"x",INT(Z193*15), "x", INT(AA193*15))</f>
        <v>0x0x0</v>
      </c>
      <c r="AD193">
        <f t="shared" si="8"/>
        <v>0</v>
      </c>
      <c r="AF193" t="str">
        <f>CONCATENATE(VLOOKUP(AD193,'Articulated Lengths'!$A$2:$B$16, 2, FALSE),IF(AE193&lt;&gt;"",CONCATENATE(",",VLOOKUP(AE193,$B$2:$AF$201,24,FALSE)),""))</f>
        <v>na</v>
      </c>
      <c r="AH193">
        <v>10</v>
      </c>
      <c r="AI193">
        <v>10</v>
      </c>
      <c r="AL193" t="e">
        <f>VLOOKUP(F193,Eras!$A$2:$C$14, 2, TRUE)</f>
        <v>#N/A</v>
      </c>
      <c r="AN193" t="e">
        <f t="shared" si="7"/>
        <v>#N/A</v>
      </c>
    </row>
    <row r="194" spans="1:40" x14ac:dyDescent="0.25">
      <c r="A194" t="s">
        <v>178</v>
      </c>
      <c r="B194" t="s">
        <v>326</v>
      </c>
      <c r="C194" t="s">
        <v>213</v>
      </c>
      <c r="E194" t="s">
        <v>428</v>
      </c>
      <c r="V194" s="4" t="str">
        <f t="shared" si="9"/>
        <v/>
      </c>
      <c r="AC194" t="str">
        <f>CONCATENATE(VLOOKUP(AD194, 'Voxel Sizes'!$A$2:$B$18,2,FALSE),"x",INT(Z194*15), "x", INT(AA194*15))</f>
        <v>0x0x0</v>
      </c>
      <c r="AD194">
        <f t="shared" si="8"/>
        <v>0</v>
      </c>
      <c r="AF194" t="str">
        <f>CONCATENATE(VLOOKUP(AD194,'Articulated Lengths'!$A$2:$B$16, 2, FALSE),IF(AE194&lt;&gt;"",CONCATENATE(",",VLOOKUP(AE194,$B$2:$AF$201,24,FALSE)),""))</f>
        <v>na</v>
      </c>
      <c r="AH194">
        <v>10</v>
      </c>
      <c r="AI194">
        <v>10</v>
      </c>
      <c r="AL194" t="e">
        <f>VLOOKUP(F194,Eras!$A$2:$C$14, 2, TRUE)</f>
        <v>#N/A</v>
      </c>
      <c r="AN194" t="e">
        <f t="shared" si="7"/>
        <v>#N/A</v>
      </c>
    </row>
    <row r="195" spans="1:40" x14ac:dyDescent="0.25">
      <c r="A195" t="s">
        <v>179</v>
      </c>
      <c r="B195" t="s">
        <v>327</v>
      </c>
      <c r="C195" t="s">
        <v>213</v>
      </c>
      <c r="E195" t="s">
        <v>428</v>
      </c>
      <c r="V195" s="4" t="str">
        <f t="shared" si="9"/>
        <v/>
      </c>
      <c r="AC195" t="str">
        <f>CONCATENATE(VLOOKUP(AD195, 'Voxel Sizes'!$A$2:$B$18,2,FALSE),"x",INT(Z195*15), "x", INT(AA195*15))</f>
        <v>0x0x0</v>
      </c>
      <c r="AD195">
        <f t="shared" si="8"/>
        <v>0</v>
      </c>
      <c r="AF195" t="str">
        <f>CONCATENATE(VLOOKUP(AD195,'Articulated Lengths'!$A$2:$B$16, 2, FALSE),IF(AE195&lt;&gt;"",CONCATENATE(",",VLOOKUP(AE195,$B$2:$AF$201,24,FALSE)),""))</f>
        <v>na</v>
      </c>
      <c r="AH195">
        <v>10</v>
      </c>
      <c r="AI195">
        <v>10</v>
      </c>
      <c r="AL195" t="e">
        <f>VLOOKUP(F195,Eras!$A$2:$C$14, 2, TRUE)</f>
        <v>#N/A</v>
      </c>
      <c r="AN195" t="e">
        <f t="shared" ref="AN195:AN201" si="10">CONCATENATE(AL195,"_",AM195)</f>
        <v>#N/A</v>
      </c>
    </row>
    <row r="196" spans="1:40" x14ac:dyDescent="0.25">
      <c r="A196" t="s">
        <v>180</v>
      </c>
      <c r="B196" t="s">
        <v>328</v>
      </c>
      <c r="C196" t="s">
        <v>213</v>
      </c>
      <c r="E196" t="s">
        <v>428</v>
      </c>
      <c r="V196" s="4" t="str">
        <f t="shared" si="9"/>
        <v/>
      </c>
      <c r="AC196" t="str">
        <f>CONCATENATE(VLOOKUP(AD196, 'Voxel Sizes'!$A$2:$B$18,2,FALSE),"x",INT(Z196*15), "x", INT(AA196*15))</f>
        <v>0x0x0</v>
      </c>
      <c r="AD196">
        <f t="shared" ref="AD196:AD201" si="11">ROUND(15*((Y196*10)/256),0)</f>
        <v>0</v>
      </c>
      <c r="AF196" t="str">
        <f>CONCATENATE(VLOOKUP(AD196,'Articulated Lengths'!$A$2:$B$16, 2, FALSE),IF(AE196&lt;&gt;"",CONCATENATE(",",VLOOKUP(AE196,$B$2:$AF$201,24,FALSE)),""))</f>
        <v>na</v>
      </c>
      <c r="AH196">
        <v>10</v>
      </c>
      <c r="AI196">
        <v>10</v>
      </c>
      <c r="AL196" t="e">
        <f>VLOOKUP(F196,Eras!$A$2:$C$14, 2, TRUE)</f>
        <v>#N/A</v>
      </c>
      <c r="AN196" t="e">
        <f t="shared" si="10"/>
        <v>#N/A</v>
      </c>
    </row>
    <row r="197" spans="1:40" x14ac:dyDescent="0.25">
      <c r="A197" t="s">
        <v>181</v>
      </c>
      <c r="B197" t="s">
        <v>329</v>
      </c>
      <c r="C197" t="s">
        <v>213</v>
      </c>
      <c r="E197" t="s">
        <v>428</v>
      </c>
      <c r="V197" s="4" t="str">
        <f t="shared" si="9"/>
        <v/>
      </c>
      <c r="AC197" t="str">
        <f>CONCATENATE(VLOOKUP(AD197, 'Voxel Sizes'!$A$2:$B$18,2,FALSE),"x",INT(Z197*15), "x", INT(AA197*15))</f>
        <v>0x0x0</v>
      </c>
      <c r="AD197">
        <f t="shared" si="11"/>
        <v>0</v>
      </c>
      <c r="AF197" t="str">
        <f>CONCATENATE(VLOOKUP(AD197,'Articulated Lengths'!$A$2:$B$16, 2, FALSE),IF(AE197&lt;&gt;"",CONCATENATE(",",VLOOKUP(AE197,$B$2:$AF$201,24,FALSE)),""))</f>
        <v>na</v>
      </c>
      <c r="AH197">
        <v>10</v>
      </c>
      <c r="AI197">
        <v>10</v>
      </c>
      <c r="AL197" t="e">
        <f>VLOOKUP(F197,Eras!$A$2:$C$14, 2, TRUE)</f>
        <v>#N/A</v>
      </c>
      <c r="AN197" t="e">
        <f t="shared" si="10"/>
        <v>#N/A</v>
      </c>
    </row>
    <row r="198" spans="1:40" x14ac:dyDescent="0.25">
      <c r="A198" t="s">
        <v>182</v>
      </c>
      <c r="B198" t="s">
        <v>330</v>
      </c>
      <c r="C198" t="s">
        <v>213</v>
      </c>
      <c r="E198" t="s">
        <v>428</v>
      </c>
      <c r="V198" s="4" t="str">
        <f t="shared" si="9"/>
        <v/>
      </c>
      <c r="AC198" t="str">
        <f>CONCATENATE(VLOOKUP(AD198, 'Voxel Sizes'!$A$2:$B$18,2,FALSE),"x",INT(Z198*15), "x", INT(AA198*15))</f>
        <v>0x0x0</v>
      </c>
      <c r="AD198">
        <f t="shared" si="11"/>
        <v>0</v>
      </c>
      <c r="AF198" t="str">
        <f>CONCATENATE(VLOOKUP(AD198,'Articulated Lengths'!$A$2:$B$16, 2, FALSE),IF(AE198&lt;&gt;"",CONCATENATE(",",VLOOKUP(AE198,$B$2:$AF$201,24,FALSE)),""))</f>
        <v>na</v>
      </c>
      <c r="AH198">
        <v>10</v>
      </c>
      <c r="AI198">
        <v>10</v>
      </c>
      <c r="AL198" t="e">
        <f>VLOOKUP(F198,Eras!$A$2:$C$14, 2, TRUE)</f>
        <v>#N/A</v>
      </c>
      <c r="AN198" t="e">
        <f t="shared" si="10"/>
        <v>#N/A</v>
      </c>
    </row>
    <row r="199" spans="1:40" x14ac:dyDescent="0.25">
      <c r="A199" t="s">
        <v>183</v>
      </c>
      <c r="B199" t="s">
        <v>331</v>
      </c>
      <c r="C199" t="s">
        <v>213</v>
      </c>
      <c r="E199" t="s">
        <v>428</v>
      </c>
      <c r="V199" s="4" t="str">
        <f t="shared" si="9"/>
        <v/>
      </c>
      <c r="AC199" t="str">
        <f>CONCATENATE(VLOOKUP(AD199, 'Voxel Sizes'!$A$2:$B$18,2,FALSE),"x",INT(Z199*15), "x", INT(AA199*15))</f>
        <v>0x0x0</v>
      </c>
      <c r="AD199">
        <f t="shared" si="11"/>
        <v>0</v>
      </c>
      <c r="AF199" t="str">
        <f>CONCATENATE(VLOOKUP(AD199,'Articulated Lengths'!$A$2:$B$16, 2, FALSE),IF(AE199&lt;&gt;"",CONCATENATE(",",VLOOKUP(AE199,$B$2:$AF$201,24,FALSE)),""))</f>
        <v>na</v>
      </c>
      <c r="AH199">
        <v>10</v>
      </c>
      <c r="AI199">
        <v>10</v>
      </c>
      <c r="AL199" t="e">
        <f>VLOOKUP(F199,Eras!$A$2:$C$14, 2, TRUE)</f>
        <v>#N/A</v>
      </c>
      <c r="AN199" t="e">
        <f t="shared" si="10"/>
        <v>#N/A</v>
      </c>
    </row>
    <row r="200" spans="1:40" x14ac:dyDescent="0.25">
      <c r="A200" t="s">
        <v>184</v>
      </c>
      <c r="B200" t="s">
        <v>332</v>
      </c>
      <c r="C200" t="s">
        <v>213</v>
      </c>
      <c r="E200" t="s">
        <v>428</v>
      </c>
      <c r="V200" s="4" t="str">
        <f t="shared" si="9"/>
        <v/>
      </c>
      <c r="AC200" t="str">
        <f>CONCATENATE(VLOOKUP(AD200, 'Voxel Sizes'!$A$2:$B$18,2,FALSE),"x",INT(Z200*15), "x", INT(AA200*15))</f>
        <v>0x0x0</v>
      </c>
      <c r="AD200">
        <f t="shared" si="11"/>
        <v>0</v>
      </c>
      <c r="AF200" t="str">
        <f>CONCATENATE(VLOOKUP(AD200,'Articulated Lengths'!$A$2:$B$16, 2, FALSE),IF(AE200&lt;&gt;"",CONCATENATE(",",VLOOKUP(AE200,$B$2:$AF$201,24,FALSE)),""))</f>
        <v>na</v>
      </c>
      <c r="AH200">
        <v>10</v>
      </c>
      <c r="AI200">
        <v>10</v>
      </c>
      <c r="AL200" t="e">
        <f>VLOOKUP(F200,Eras!$A$2:$C$14, 2, TRUE)</f>
        <v>#N/A</v>
      </c>
      <c r="AN200" t="e">
        <f t="shared" si="10"/>
        <v>#N/A</v>
      </c>
    </row>
    <row r="201" spans="1:40" x14ac:dyDescent="0.25">
      <c r="A201" t="s">
        <v>185</v>
      </c>
      <c r="B201" t="s">
        <v>333</v>
      </c>
      <c r="C201" t="s">
        <v>213</v>
      </c>
      <c r="E201" t="s">
        <v>428</v>
      </c>
      <c r="V201" s="4" t="str">
        <f t="shared" si="9"/>
        <v/>
      </c>
      <c r="AC201" t="str">
        <f>CONCATENATE(VLOOKUP(AD201, 'Voxel Sizes'!$A$2:$B$18,2,FALSE),"x",INT(Z201*15), "x", INT(AA201*15))</f>
        <v>0x0x0</v>
      </c>
      <c r="AD201">
        <f t="shared" si="11"/>
        <v>0</v>
      </c>
      <c r="AF201" t="str">
        <f>CONCATENATE(VLOOKUP(AD201,'Articulated Lengths'!$A$2:$B$16, 2, FALSE),IF(AE201&lt;&gt;"",CONCATENATE(",",VLOOKUP(AE201,$B$2:$AF$201,24,FALSE)),""))</f>
        <v>na</v>
      </c>
      <c r="AH201">
        <v>10</v>
      </c>
      <c r="AI201">
        <v>10</v>
      </c>
      <c r="AL201" t="e">
        <f>VLOOKUP(F201,Eras!$A$2:$C$14, 2, TRUE)</f>
        <v>#N/A</v>
      </c>
      <c r="AN201" t="e">
        <f t="shared" si="10"/>
        <v>#N/A</v>
      </c>
    </row>
  </sheetData>
  <autoFilter ref="C1:C201" xr:uid="{D34CCCC1-AB37-4E0B-B050-DEA7C9B2F128}"/>
  <sortState xmlns:xlrd2="http://schemas.microsoft.com/office/spreadsheetml/2017/richdata2" ref="A5:AB201">
    <sortCondition ref="F5:F201"/>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AM1:AM1048576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5"/>
  <sheetViews>
    <sheetView workbookViewId="0"/>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548</v>
      </c>
      <c r="D1" s="1" t="s">
        <v>498</v>
      </c>
      <c r="E1" s="1" t="s">
        <v>497</v>
      </c>
      <c r="F1" s="1" t="s">
        <v>499</v>
      </c>
      <c r="G1" s="1" t="s">
        <v>500</v>
      </c>
      <c r="H1" s="1" t="s">
        <v>508</v>
      </c>
      <c r="I1" s="1" t="s">
        <v>509</v>
      </c>
      <c r="J1" s="1" t="s">
        <v>510</v>
      </c>
      <c r="K1" s="1" t="s">
        <v>501</v>
      </c>
      <c r="L1" s="1" t="s">
        <v>502</v>
      </c>
      <c r="M1" s="1" t="s">
        <v>503</v>
      </c>
      <c r="N1" s="1" t="s">
        <v>504</v>
      </c>
      <c r="O1" s="1" t="s">
        <v>505</v>
      </c>
      <c r="P1" s="1" t="s">
        <v>516</v>
      </c>
      <c r="Q1" s="1" t="s">
        <v>506</v>
      </c>
      <c r="R1" s="1" t="s">
        <v>507</v>
      </c>
      <c r="S1" s="1" t="s">
        <v>511</v>
      </c>
      <c r="T1" s="1" t="s">
        <v>512</v>
      </c>
      <c r="U1" s="1" t="s">
        <v>513</v>
      </c>
      <c r="V1" s="1" t="s">
        <v>514</v>
      </c>
    </row>
    <row r="2" spans="1:22" x14ac:dyDescent="0.25">
      <c r="A2" s="1" t="s">
        <v>490</v>
      </c>
      <c r="B2" s="1" t="s">
        <v>496</v>
      </c>
    </row>
    <row r="3" spans="1:22" x14ac:dyDescent="0.25">
      <c r="A3" t="s">
        <v>479</v>
      </c>
      <c r="B3" t="str">
        <f>VLOOKUP(A3, Eras!$B$2:$C$14, 2, FALSE)</f>
        <v>Early (1800-1830)</v>
      </c>
      <c r="C3">
        <f>COUNTIF(Table!$AN:$AN,CONCATENATE($A3,"_",C$1))</f>
        <v>0</v>
      </c>
      <c r="D3">
        <f>COUNTIF(Table!$AN:$AN,CONCATENATE($A3,"_",D$1))</f>
        <v>2</v>
      </c>
      <c r="E3">
        <f>COUNTIF(Table!$AN:$AN,CONCATENATE($A3,"_",E$1))</f>
        <v>0</v>
      </c>
      <c r="F3">
        <f>COUNTIF(Table!$AN:$AN,CONCATENATE($A3,"_",F$1))</f>
        <v>0</v>
      </c>
      <c r="G3">
        <f>COUNTIF(Table!$AN:$AN,CONCATENATE($A3,"_",G$1))</f>
        <v>0</v>
      </c>
      <c r="H3">
        <f>COUNTIF(Table!$AN:$AN,CONCATENATE($A3,"_",H$1))</f>
        <v>0</v>
      </c>
      <c r="I3">
        <f>COUNTIF(Table!$AN:$AN,CONCATENATE($A3,"_",I$1))</f>
        <v>0</v>
      </c>
      <c r="J3">
        <f>COUNTIF(Table!$AN:$AN,CONCATENATE($A3,"_",J$1))</f>
        <v>0</v>
      </c>
      <c r="K3">
        <f>COUNTIF(Table!$AN:$AN,CONCATENATE($A3,"_",K$1))</f>
        <v>0</v>
      </c>
      <c r="L3">
        <f>COUNTIF(Table!$AN:$AN,CONCATENATE($A3,"_",L$1))</f>
        <v>0</v>
      </c>
      <c r="M3">
        <f>COUNTIF(Table!$AN:$AN,CONCATENATE($A3,"_",M$1))</f>
        <v>0</v>
      </c>
      <c r="N3">
        <f>COUNTIF(Table!$AN:$AN,CONCATENATE($A3,"_",N$1))</f>
        <v>0</v>
      </c>
      <c r="O3">
        <f>COUNTIF(Table!$AN:$AN,CONCATENATE($A3,"_",O$1))</f>
        <v>0</v>
      </c>
      <c r="P3">
        <f>COUNTIF(Table!$AN:$AN,CONCATENATE($A3,"_",P$1))</f>
        <v>0</v>
      </c>
      <c r="Q3">
        <f>COUNTIF(Table!$AN:$AN,CONCATENATE($A3,"_",Q$1))</f>
        <v>0</v>
      </c>
      <c r="R3">
        <f>COUNTIF(Table!$AN:$AN,CONCATENATE($A3,"_",R$1))</f>
        <v>0</v>
      </c>
      <c r="S3">
        <f>COUNTIF(Table!$AN:$AN,CONCATENATE($A3,"_",S$1))</f>
        <v>1</v>
      </c>
      <c r="T3">
        <f>COUNTIF(Table!$AN:$AN,CONCATENATE($A3,"_",T$1))</f>
        <v>0</v>
      </c>
      <c r="U3">
        <f>COUNTIF(Table!$AN:$AN,CONCATENATE($A3,"_",U$1))</f>
        <v>0</v>
      </c>
      <c r="V3">
        <f>COUNTIF(Table!$AN:$AN,CONCATENATE($A3,"_",V$1))</f>
        <v>1</v>
      </c>
    </row>
    <row r="4" spans="1:22" x14ac:dyDescent="0.25">
      <c r="A4" t="s">
        <v>491</v>
      </c>
      <c r="B4" t="str">
        <f>VLOOKUP(A4, Eras!$B$2:$C$14, 2, FALSE)</f>
        <v>Early Victorian (1830-1860)</v>
      </c>
      <c r="C4">
        <f>COUNTIF(Table!$AN:$AN,CONCATENATE($A4,"_",C$1))</f>
        <v>0</v>
      </c>
      <c r="D4">
        <f>COUNTIF(Table!$AN:$AN,CONCATENATE($A4,"_",D$1))</f>
        <v>2</v>
      </c>
      <c r="E4">
        <f>COUNTIF(Table!$AN:$AN,CONCATENATE($A4,"_",E$1))</f>
        <v>0</v>
      </c>
      <c r="F4">
        <f>COUNTIF(Table!$AN:$AN,CONCATENATE($A4,"_",F$1))</f>
        <v>1</v>
      </c>
      <c r="G4">
        <f>COUNTIF(Table!$AN:$AN,CONCATENATE($A4,"_",G$1))</f>
        <v>0</v>
      </c>
      <c r="H4">
        <f>COUNTIF(Table!$AN:$AN,CONCATENATE($A4,"_",H$1))</f>
        <v>0</v>
      </c>
      <c r="I4">
        <f>COUNTIF(Table!$AN:$AN,CONCATENATE($A4,"_",I$1))</f>
        <v>0</v>
      </c>
      <c r="J4">
        <f>COUNTIF(Table!$AN:$AN,CONCATENATE($A4,"_",J$1))</f>
        <v>0</v>
      </c>
      <c r="K4">
        <f>COUNTIF(Table!$AN:$AN,CONCATENATE($A4,"_",K$1))</f>
        <v>0</v>
      </c>
      <c r="L4">
        <f>COUNTIF(Table!$AN:$AN,CONCATENATE($A4,"_",L$1))</f>
        <v>0</v>
      </c>
      <c r="M4">
        <f>COUNTIF(Table!$AN:$AN,CONCATENATE($A4,"_",M$1))</f>
        <v>0</v>
      </c>
      <c r="N4">
        <f>COUNTIF(Table!$AN:$AN,CONCATENATE($A4,"_",N$1))</f>
        <v>0</v>
      </c>
      <c r="O4">
        <f>COUNTIF(Table!$AN:$AN,CONCATENATE($A4,"_",O$1))</f>
        <v>0</v>
      </c>
      <c r="P4">
        <f>COUNTIF(Table!$AN:$AN,CONCATENATE($A4,"_",P$1))</f>
        <v>0</v>
      </c>
      <c r="Q4">
        <f>COUNTIF(Table!$AN:$AN,CONCATENATE($A4,"_",Q$1))</f>
        <v>0</v>
      </c>
      <c r="R4">
        <f>COUNTIF(Table!$AN:$AN,CONCATENATE($A4,"_",R$1))</f>
        <v>0</v>
      </c>
      <c r="S4">
        <f>COUNTIF(Table!$AN:$AN,CONCATENATE($A4,"_",S$1))</f>
        <v>0</v>
      </c>
      <c r="T4">
        <f>COUNTIF(Table!$AN:$AN,CONCATENATE($A4,"_",T$1))</f>
        <v>0</v>
      </c>
      <c r="U4">
        <f>COUNTIF(Table!$AN:$AN,CONCATENATE($A4,"_",U$1))</f>
        <v>0</v>
      </c>
      <c r="V4">
        <f>COUNTIF(Table!$AN:$AN,CONCATENATE($A4,"_",V$1))</f>
        <v>0</v>
      </c>
    </row>
    <row r="5" spans="1:22" x14ac:dyDescent="0.25">
      <c r="A5" t="s">
        <v>492</v>
      </c>
      <c r="B5" t="str">
        <f>VLOOKUP(A5, Eras!$B$2:$C$14, 2, FALSE)</f>
        <v>Victorian (1860-1880)</v>
      </c>
      <c r="C5">
        <f>COUNTIF(Table!$AN:$AN,CONCATENATE($A5,"_",C$1))</f>
        <v>0</v>
      </c>
      <c r="D5">
        <f>COUNTIF(Table!$AN:$AN,CONCATENATE($A5,"_",D$1))</f>
        <v>0</v>
      </c>
      <c r="E5">
        <f>COUNTIF(Table!$AN:$AN,CONCATENATE($A5,"_",E$1))</f>
        <v>0</v>
      </c>
      <c r="F5">
        <f>COUNTIF(Table!$AN:$AN,CONCATENATE($A5,"_",F$1))</f>
        <v>0</v>
      </c>
      <c r="G5">
        <f>COUNTIF(Table!$AN:$AN,CONCATENATE($A5,"_",G$1))</f>
        <v>0</v>
      </c>
      <c r="H5">
        <f>COUNTIF(Table!$AN:$AN,CONCATENATE($A5,"_",H$1))</f>
        <v>0</v>
      </c>
      <c r="I5">
        <f>COUNTIF(Table!$AN:$AN,CONCATENATE($A5,"_",I$1))</f>
        <v>0</v>
      </c>
      <c r="J5">
        <f>COUNTIF(Table!$AN:$AN,CONCATENATE($A5,"_",J$1))</f>
        <v>0</v>
      </c>
      <c r="K5">
        <f>COUNTIF(Table!$AN:$AN,CONCATENATE($A5,"_",K$1))</f>
        <v>0</v>
      </c>
      <c r="L5">
        <f>COUNTIF(Table!$AN:$AN,CONCATENATE($A5,"_",L$1))</f>
        <v>0</v>
      </c>
      <c r="M5">
        <f>COUNTIF(Table!$AN:$AN,CONCATENATE($A5,"_",M$1))</f>
        <v>0</v>
      </c>
      <c r="N5">
        <f>COUNTIF(Table!$AN:$AN,CONCATENATE($A5,"_",N$1))</f>
        <v>0</v>
      </c>
      <c r="O5">
        <f>COUNTIF(Table!$AN:$AN,CONCATENATE($A5,"_",O$1))</f>
        <v>0</v>
      </c>
      <c r="P5">
        <f>COUNTIF(Table!$AN:$AN,CONCATENATE($A5,"_",P$1))</f>
        <v>0</v>
      </c>
      <c r="Q5">
        <f>COUNTIF(Table!$AN:$AN,CONCATENATE($A5,"_",Q$1))</f>
        <v>0</v>
      </c>
      <c r="R5">
        <f>COUNTIF(Table!$AN:$AN,CONCATENATE($A5,"_",R$1))</f>
        <v>0</v>
      </c>
      <c r="S5">
        <f>COUNTIF(Table!$AN:$AN,CONCATENATE($A5,"_",S$1))</f>
        <v>0</v>
      </c>
      <c r="T5">
        <f>COUNTIF(Table!$AN:$AN,CONCATENATE($A5,"_",T$1))</f>
        <v>0</v>
      </c>
      <c r="U5">
        <f>COUNTIF(Table!$AN:$AN,CONCATENATE($A5,"_",U$1))</f>
        <v>0</v>
      </c>
      <c r="V5">
        <f>COUNTIF(Table!$AN:$AN,CONCATENATE($A5,"_",V$1))</f>
        <v>0</v>
      </c>
    </row>
    <row r="6" spans="1:22" x14ac:dyDescent="0.25">
      <c r="A6" t="s">
        <v>493</v>
      </c>
      <c r="B6" t="str">
        <f>VLOOKUP(A6, Eras!$B$2:$C$14, 2, FALSE)</f>
        <v>Late Victorian (1860-1900)</v>
      </c>
      <c r="C6">
        <f>COUNTIF(Table!$AN:$AN,CONCATENATE($A6,"_",C$1))</f>
        <v>0</v>
      </c>
      <c r="D6">
        <f>COUNTIF(Table!$AN:$AN,CONCATENATE($A6,"_",D$1))</f>
        <v>0</v>
      </c>
      <c r="E6">
        <f>COUNTIF(Table!$AN:$AN,CONCATENATE($A6,"_",E$1))</f>
        <v>0</v>
      </c>
      <c r="F6">
        <f>COUNTIF(Table!$AN:$AN,CONCATENATE($A6,"_",F$1))</f>
        <v>1</v>
      </c>
      <c r="G6">
        <f>COUNTIF(Table!$AN:$AN,CONCATENATE($A6,"_",G$1))</f>
        <v>0</v>
      </c>
      <c r="H6">
        <f>COUNTIF(Table!$AN:$AN,CONCATENATE($A6,"_",H$1))</f>
        <v>0</v>
      </c>
      <c r="I6">
        <f>COUNTIF(Table!$AN:$AN,CONCATENATE($A6,"_",I$1))</f>
        <v>0</v>
      </c>
      <c r="J6">
        <f>COUNTIF(Table!$AN:$AN,CONCATENATE($A6,"_",J$1))</f>
        <v>0</v>
      </c>
      <c r="K6">
        <f>COUNTIF(Table!$AN:$AN,CONCATENATE($A6,"_",K$1))</f>
        <v>0</v>
      </c>
      <c r="L6">
        <f>COUNTIF(Table!$AN:$AN,CONCATENATE($A6,"_",L$1))</f>
        <v>0</v>
      </c>
      <c r="M6">
        <f>COUNTIF(Table!$AN:$AN,CONCATENATE($A6,"_",M$1))</f>
        <v>0</v>
      </c>
      <c r="N6">
        <f>COUNTIF(Table!$AN:$AN,CONCATENATE($A6,"_",N$1))</f>
        <v>0</v>
      </c>
      <c r="O6">
        <f>COUNTIF(Table!$AN:$AN,CONCATENATE($A6,"_",O$1))</f>
        <v>0</v>
      </c>
      <c r="P6">
        <f>COUNTIF(Table!$AN:$AN,CONCATENATE($A6,"_",P$1))</f>
        <v>0</v>
      </c>
      <c r="Q6">
        <f>COUNTIF(Table!$AN:$AN,CONCATENATE($A6,"_",Q$1))</f>
        <v>0</v>
      </c>
      <c r="R6">
        <f>COUNTIF(Table!$AN:$AN,CONCATENATE($A6,"_",R$1))</f>
        <v>0</v>
      </c>
      <c r="S6">
        <f>COUNTIF(Table!$AN:$AN,CONCATENATE($A6,"_",S$1))</f>
        <v>0</v>
      </c>
      <c r="T6">
        <f>COUNTIF(Table!$AN:$AN,CONCATENATE($A6,"_",T$1))</f>
        <v>0</v>
      </c>
      <c r="U6">
        <f>COUNTIF(Table!$AN:$AN,CONCATENATE($A6,"_",U$1))</f>
        <v>0</v>
      </c>
      <c r="V6">
        <f>COUNTIF(Table!$AN:$AN,CONCATENATE($A6,"_",V$1))</f>
        <v>0</v>
      </c>
    </row>
    <row r="7" spans="1:22" x14ac:dyDescent="0.25">
      <c r="A7" t="s">
        <v>480</v>
      </c>
      <c r="B7" t="str">
        <f>VLOOKUP(A7, Eras!$B$2:$C$14, 2, FALSE)</f>
        <v>Edwardian (1900-1920)</v>
      </c>
      <c r="C7">
        <f>COUNTIF(Table!$AN:$AN,CONCATENATE($A7,"_",C$1))</f>
        <v>1</v>
      </c>
      <c r="D7">
        <f>COUNTIF(Table!$AN:$AN,CONCATENATE($A7,"_",D$1))</f>
        <v>0</v>
      </c>
      <c r="E7">
        <f>COUNTIF(Table!$AN:$AN,CONCATENATE($A7,"_",E$1))</f>
        <v>0</v>
      </c>
      <c r="F7">
        <f>COUNTIF(Table!$AN:$AN,CONCATENATE($A7,"_",F$1))</f>
        <v>1</v>
      </c>
      <c r="G7">
        <f>COUNTIF(Table!$AN:$AN,CONCATENATE($A7,"_",G$1))</f>
        <v>0</v>
      </c>
      <c r="H7">
        <f>COUNTIF(Table!$AN:$AN,CONCATENATE($A7,"_",H$1))</f>
        <v>0</v>
      </c>
      <c r="I7">
        <f>COUNTIF(Table!$AN:$AN,CONCATENATE($A7,"_",I$1))</f>
        <v>0</v>
      </c>
      <c r="J7">
        <f>COUNTIF(Table!$AN:$AN,CONCATENATE($A7,"_",J$1))</f>
        <v>1</v>
      </c>
      <c r="K7">
        <f>COUNTIF(Table!$AN:$AN,CONCATENATE($A7,"_",K$1))</f>
        <v>1</v>
      </c>
      <c r="L7">
        <f>COUNTIF(Table!$AN:$AN,CONCATENATE($A7,"_",L$1))</f>
        <v>0</v>
      </c>
      <c r="M7">
        <f>COUNTIF(Table!$AN:$AN,CONCATENATE($A7,"_",M$1))</f>
        <v>0</v>
      </c>
      <c r="N7">
        <f>COUNTIF(Table!$AN:$AN,CONCATENATE($A7,"_",N$1))</f>
        <v>1</v>
      </c>
      <c r="O7">
        <f>COUNTIF(Table!$AN:$AN,CONCATENATE($A7,"_",O$1))</f>
        <v>0</v>
      </c>
      <c r="P7">
        <f>COUNTIF(Table!$AN:$AN,CONCATENATE($A7,"_",P$1))</f>
        <v>1</v>
      </c>
      <c r="Q7">
        <f>COUNTIF(Table!$AN:$AN,CONCATENATE($A7,"_",Q$1))</f>
        <v>0</v>
      </c>
      <c r="R7">
        <f>COUNTIF(Table!$AN:$AN,CONCATENATE($A7,"_",R$1))</f>
        <v>0</v>
      </c>
      <c r="S7">
        <f>COUNTIF(Table!$AN:$AN,CONCATENATE($A7,"_",S$1))</f>
        <v>1</v>
      </c>
      <c r="T7">
        <f>COUNTIF(Table!$AN:$AN,CONCATENATE($A7,"_",T$1))</f>
        <v>0</v>
      </c>
      <c r="U7">
        <f>COUNTIF(Table!$AN:$AN,CONCATENATE($A7,"_",U$1))</f>
        <v>0</v>
      </c>
      <c r="V7">
        <f>COUNTIF(Table!$AN:$AN,CONCATENATE($A7,"_",V$1))</f>
        <v>0</v>
      </c>
    </row>
    <row r="8" spans="1:22" x14ac:dyDescent="0.25">
      <c r="A8" t="s">
        <v>481</v>
      </c>
      <c r="B8" t="str">
        <f>VLOOKUP(A8, Eras!$B$2:$C$14, 2, FALSE)</f>
        <v>Big Four (1920-1948)</v>
      </c>
      <c r="C8">
        <f>COUNTIF(Table!$AN:$AN,CONCATENATE($A8,"_",C$1))</f>
        <v>0</v>
      </c>
      <c r="D8">
        <f>COUNTIF(Table!$AN:$AN,CONCATENATE($A8,"_",D$1))</f>
        <v>4</v>
      </c>
      <c r="E8">
        <f>COUNTIF(Table!$AN:$AN,CONCATENATE($A8,"_",E$1))</f>
        <v>2</v>
      </c>
      <c r="F8">
        <f>COUNTIF(Table!$AN:$AN,CONCATENATE($A8,"_",F$1))</f>
        <v>4</v>
      </c>
      <c r="G8">
        <f>COUNTIF(Table!$AN:$AN,CONCATENATE($A8,"_",G$1))</f>
        <v>1</v>
      </c>
      <c r="H8">
        <f>COUNTIF(Table!$AN:$AN,CONCATENATE($A8,"_",H$1))</f>
        <v>0</v>
      </c>
      <c r="I8">
        <f>COUNTIF(Table!$AN:$AN,CONCATENATE($A8,"_",I$1))</f>
        <v>0</v>
      </c>
      <c r="J8">
        <f>COUNTIF(Table!$AN:$AN,CONCATENATE($A8,"_",J$1))</f>
        <v>0</v>
      </c>
      <c r="K8">
        <f>COUNTIF(Table!$AN:$AN,CONCATENATE($A8,"_",K$1))</f>
        <v>0</v>
      </c>
      <c r="L8">
        <f>COUNTIF(Table!$AN:$AN,CONCATENATE($A8,"_",L$1))</f>
        <v>0</v>
      </c>
      <c r="M8">
        <f>COUNTIF(Table!$AN:$AN,CONCATENATE($A8,"_",M$1))</f>
        <v>0</v>
      </c>
      <c r="N8">
        <f>COUNTIF(Table!$AN:$AN,CONCATENATE($A8,"_",N$1))</f>
        <v>0</v>
      </c>
      <c r="O8">
        <f>COUNTIF(Table!$AN:$AN,CONCATENATE($A8,"_",O$1))</f>
        <v>0</v>
      </c>
      <c r="P8">
        <f>COUNTIF(Table!$AN:$AN,CONCATENATE($A8,"_",P$1))</f>
        <v>1</v>
      </c>
      <c r="Q8">
        <f>COUNTIF(Table!$AN:$AN,CONCATENATE($A8,"_",Q$1))</f>
        <v>0</v>
      </c>
      <c r="R8">
        <f>COUNTIF(Table!$AN:$AN,CONCATENATE($A8,"_",R$1))</f>
        <v>0</v>
      </c>
      <c r="S8">
        <f>COUNTIF(Table!$AN:$AN,CONCATENATE($A8,"_",S$1))</f>
        <v>0</v>
      </c>
      <c r="T8">
        <f>COUNTIF(Table!$AN:$AN,CONCATENATE($A8,"_",T$1))</f>
        <v>0</v>
      </c>
      <c r="U8">
        <f>COUNTIF(Table!$AN:$AN,CONCATENATE($A8,"_",U$1))</f>
        <v>0</v>
      </c>
      <c r="V8">
        <f>COUNTIF(Table!$AN:$AN,CONCATENATE($A8,"_",V$1))</f>
        <v>0</v>
      </c>
    </row>
    <row r="9" spans="1:22" x14ac:dyDescent="0.25">
      <c r="A9" t="s">
        <v>482</v>
      </c>
      <c r="B9" t="str">
        <f>VLOOKUP(A9, Eras!$B$2:$C$14, 2, FALSE)</f>
        <v>Early BR (1948-1955)</v>
      </c>
      <c r="C9">
        <f>COUNTIF(Table!$AN:$AN,CONCATENATE($A9,"_",C$1))</f>
        <v>0</v>
      </c>
      <c r="D9">
        <f>COUNTIF(Table!$AN:$AN,CONCATENATE($A9,"_",D$1))</f>
        <v>0</v>
      </c>
      <c r="E9">
        <f>COUNTIF(Table!$AN:$AN,CONCATENATE($A9,"_",E$1))</f>
        <v>1</v>
      </c>
      <c r="F9">
        <f>COUNTIF(Table!$AN:$AN,CONCATENATE($A9,"_",F$1))</f>
        <v>1</v>
      </c>
      <c r="G9">
        <f>COUNTIF(Table!$AN:$AN,CONCATENATE($A9,"_",G$1))</f>
        <v>0</v>
      </c>
      <c r="H9">
        <f>COUNTIF(Table!$AN:$AN,CONCATENATE($A9,"_",H$1))</f>
        <v>0</v>
      </c>
      <c r="I9">
        <f>COUNTIF(Table!$AN:$AN,CONCATENATE($A9,"_",I$1))</f>
        <v>0</v>
      </c>
      <c r="J9">
        <f>COUNTIF(Table!$AN:$AN,CONCATENATE($A9,"_",J$1))</f>
        <v>1</v>
      </c>
      <c r="K9">
        <f>COUNTIF(Table!$AN:$AN,CONCATENATE($A9,"_",K$1))</f>
        <v>0</v>
      </c>
      <c r="L9">
        <f>COUNTIF(Table!$AN:$AN,CONCATENATE($A9,"_",L$1))</f>
        <v>0</v>
      </c>
      <c r="M9">
        <f>COUNTIF(Table!$AN:$AN,CONCATENATE($A9,"_",M$1))</f>
        <v>0</v>
      </c>
      <c r="N9">
        <f>COUNTIF(Table!$AN:$AN,CONCATENATE($A9,"_",N$1))</f>
        <v>0</v>
      </c>
      <c r="O9">
        <f>COUNTIF(Table!$AN:$AN,CONCATENATE($A9,"_",O$1))</f>
        <v>0</v>
      </c>
      <c r="P9">
        <f>COUNTIF(Table!$AN:$AN,CONCATENATE($A9,"_",P$1))</f>
        <v>0</v>
      </c>
      <c r="Q9">
        <f>COUNTIF(Table!$AN:$AN,CONCATENATE($A9,"_",Q$1))</f>
        <v>0</v>
      </c>
      <c r="R9">
        <f>COUNTIF(Table!$AN:$AN,CONCATENATE($A9,"_",R$1))</f>
        <v>0</v>
      </c>
      <c r="S9">
        <f>COUNTIF(Table!$AN:$AN,CONCATENATE($A9,"_",S$1))</f>
        <v>0</v>
      </c>
      <c r="T9">
        <f>COUNTIF(Table!$AN:$AN,CONCATENATE($A9,"_",T$1))</f>
        <v>0</v>
      </c>
      <c r="U9">
        <f>COUNTIF(Table!$AN:$AN,CONCATENATE($A9,"_",U$1))</f>
        <v>0</v>
      </c>
      <c r="V9">
        <f>COUNTIF(Table!$AN:$AN,CONCATENATE($A9,"_",V$1))</f>
        <v>0</v>
      </c>
    </row>
    <row r="10" spans="1:22" x14ac:dyDescent="0.25">
      <c r="A10" t="s">
        <v>483</v>
      </c>
      <c r="B10" t="str">
        <f>VLOOKUP(A10, Eras!$B$2:$C$14, 2, FALSE)</f>
        <v>Dieselisation (1955-1965)</v>
      </c>
      <c r="C10">
        <f>COUNTIF(Table!$AN:$AN,CONCATENATE($A10,"_",C$1))</f>
        <v>0</v>
      </c>
      <c r="D10">
        <f>COUNTIF(Table!$AN:$AN,CONCATENATE($A10,"_",D$1))</f>
        <v>4</v>
      </c>
      <c r="E10">
        <f>COUNTIF(Table!$AN:$AN,CONCATENATE($A10,"_",E$1))</f>
        <v>0</v>
      </c>
      <c r="F10">
        <f>COUNTIF(Table!$AN:$AN,CONCATENATE($A10,"_",F$1))</f>
        <v>1</v>
      </c>
      <c r="G10">
        <f>COUNTIF(Table!$AN:$AN,CONCATENATE($A10,"_",G$1))</f>
        <v>0</v>
      </c>
      <c r="H10">
        <f>COUNTIF(Table!$AN:$AN,CONCATENATE($A10,"_",H$1))</f>
        <v>1</v>
      </c>
      <c r="I10">
        <f>COUNTIF(Table!$AN:$AN,CONCATENATE($A10,"_",I$1))</f>
        <v>1</v>
      </c>
      <c r="J10">
        <f>COUNTIF(Table!$AN:$AN,CONCATENATE($A10,"_",J$1))</f>
        <v>0</v>
      </c>
      <c r="K10">
        <f>COUNTIF(Table!$AN:$AN,CONCATENATE($A10,"_",K$1))</f>
        <v>0</v>
      </c>
      <c r="L10">
        <f>COUNTIF(Table!$AN:$AN,CONCATENATE($A10,"_",L$1))</f>
        <v>3</v>
      </c>
      <c r="M10">
        <f>COUNTIF(Table!$AN:$AN,CONCATENATE($A10,"_",M$1))</f>
        <v>0</v>
      </c>
      <c r="N10">
        <f>COUNTIF(Table!$AN:$AN,CONCATENATE($A10,"_",N$1))</f>
        <v>0</v>
      </c>
      <c r="O10">
        <f>COUNTIF(Table!$AN:$AN,CONCATENATE($A10,"_",O$1))</f>
        <v>0</v>
      </c>
      <c r="P10">
        <f>COUNTIF(Table!$AN:$AN,CONCATENATE($A10,"_",P$1))</f>
        <v>2</v>
      </c>
      <c r="Q10">
        <f>COUNTIF(Table!$AN:$AN,CONCATENATE($A10,"_",Q$1))</f>
        <v>1</v>
      </c>
      <c r="R10">
        <f>COUNTIF(Table!$AN:$AN,CONCATENATE($A10,"_",R$1))</f>
        <v>0</v>
      </c>
      <c r="S10">
        <f>COUNTIF(Table!$AN:$AN,CONCATENATE($A10,"_",S$1))</f>
        <v>0</v>
      </c>
      <c r="T10">
        <f>COUNTIF(Table!$AN:$AN,CONCATENATE($A10,"_",T$1))</f>
        <v>0</v>
      </c>
      <c r="U10">
        <f>COUNTIF(Table!$AN:$AN,CONCATENATE($A10,"_",U$1))</f>
        <v>0</v>
      </c>
      <c r="V10">
        <f>COUNTIF(Table!$AN:$AN,CONCATENATE($A10,"_",V$1))</f>
        <v>0</v>
      </c>
    </row>
    <row r="11" spans="1:22" x14ac:dyDescent="0.25">
      <c r="A11" t="s">
        <v>484</v>
      </c>
      <c r="B11" t="str">
        <f>VLOOKUP(A11, Eras!$B$2:$C$14, 2, FALSE)</f>
        <v>Second Generation (1965-1975)</v>
      </c>
      <c r="C11">
        <f>COUNTIF(Table!$AN:$AN,CONCATENATE($A11,"_",C$1))</f>
        <v>0</v>
      </c>
      <c r="D11">
        <f>COUNTIF(Table!$AN:$AN,CONCATENATE($A11,"_",D$1))</f>
        <v>0</v>
      </c>
      <c r="E11">
        <f>COUNTIF(Table!$AN:$AN,CONCATENATE($A11,"_",E$1))</f>
        <v>0</v>
      </c>
      <c r="F11">
        <f>COUNTIF(Table!$AN:$AN,CONCATENATE($A11,"_",F$1))</f>
        <v>0</v>
      </c>
      <c r="G11">
        <f>COUNTIF(Table!$AN:$AN,CONCATENATE($A11,"_",G$1))</f>
        <v>0</v>
      </c>
      <c r="H11">
        <f>COUNTIF(Table!$AN:$AN,CONCATENATE($A11,"_",H$1))</f>
        <v>0</v>
      </c>
      <c r="I11">
        <f>COUNTIF(Table!$AN:$AN,CONCATENATE($A11,"_",I$1))</f>
        <v>0</v>
      </c>
      <c r="J11">
        <f>COUNTIF(Table!$AN:$AN,CONCATENATE($A11,"_",J$1))</f>
        <v>0</v>
      </c>
      <c r="K11">
        <f>COUNTIF(Table!$AN:$AN,CONCATENATE($A11,"_",K$1))</f>
        <v>0</v>
      </c>
      <c r="L11">
        <f>COUNTIF(Table!$AN:$AN,CONCATENATE($A11,"_",L$1))</f>
        <v>0</v>
      </c>
      <c r="M11">
        <f>COUNTIF(Table!$AN:$AN,CONCATENATE($A11,"_",M$1))</f>
        <v>0</v>
      </c>
      <c r="N11">
        <f>COUNTIF(Table!$AN:$AN,CONCATENATE($A11,"_",N$1))</f>
        <v>0</v>
      </c>
      <c r="O11">
        <f>COUNTIF(Table!$AN:$AN,CONCATENATE($A11,"_",O$1))</f>
        <v>0</v>
      </c>
      <c r="P11">
        <f>COUNTIF(Table!$AN:$AN,CONCATENATE($A11,"_",P$1))</f>
        <v>3</v>
      </c>
      <c r="Q11">
        <f>COUNTIF(Table!$AN:$AN,CONCATENATE($A11,"_",Q$1))</f>
        <v>0</v>
      </c>
      <c r="R11">
        <f>COUNTIF(Table!$AN:$AN,CONCATENATE($A11,"_",R$1))</f>
        <v>0</v>
      </c>
      <c r="S11">
        <f>COUNTIF(Table!$AN:$AN,CONCATENATE($A11,"_",S$1))</f>
        <v>0</v>
      </c>
      <c r="T11">
        <f>COUNTIF(Table!$AN:$AN,CONCATENATE($A11,"_",T$1))</f>
        <v>0</v>
      </c>
      <c r="U11">
        <f>COUNTIF(Table!$AN:$AN,CONCATENATE($A11,"_",U$1))</f>
        <v>0</v>
      </c>
      <c r="V11">
        <f>COUNTIF(Table!$AN:$AN,CONCATENATE($A11,"_",V$1))</f>
        <v>0</v>
      </c>
    </row>
    <row r="12" spans="1:22" x14ac:dyDescent="0.25">
      <c r="A12" t="s">
        <v>485</v>
      </c>
      <c r="B12" t="str">
        <f>VLOOKUP(A12, Eras!$B$2:$C$14, 2, FALSE)</f>
        <v>Third Generation (1975-1985)</v>
      </c>
      <c r="C12">
        <f>COUNTIF(Table!$AN:$AN,CONCATENATE($A12,"_",C$1))</f>
        <v>0</v>
      </c>
      <c r="D12">
        <f>COUNTIF(Table!$AN:$AN,CONCATENATE($A12,"_",D$1))</f>
        <v>0</v>
      </c>
      <c r="E12">
        <f>COUNTIF(Table!$AN:$AN,CONCATENATE($A12,"_",E$1))</f>
        <v>0</v>
      </c>
      <c r="F12">
        <f>COUNTIF(Table!$AN:$AN,CONCATENATE($A12,"_",F$1))</f>
        <v>1</v>
      </c>
      <c r="G12">
        <f>COUNTIF(Table!$AN:$AN,CONCATENATE($A12,"_",G$1))</f>
        <v>0</v>
      </c>
      <c r="H12">
        <f>COUNTIF(Table!$AN:$AN,CONCATENATE($A12,"_",H$1))</f>
        <v>0</v>
      </c>
      <c r="I12">
        <f>COUNTIF(Table!$AN:$AN,CONCATENATE($A12,"_",I$1))</f>
        <v>0</v>
      </c>
      <c r="J12">
        <f>COUNTIF(Table!$AN:$AN,CONCATENATE($A12,"_",J$1))</f>
        <v>0</v>
      </c>
      <c r="K12">
        <f>COUNTIF(Table!$AN:$AN,CONCATENATE($A12,"_",K$1))</f>
        <v>0</v>
      </c>
      <c r="L12">
        <f>COUNTIF(Table!$AN:$AN,CONCATENATE($A12,"_",L$1))</f>
        <v>0</v>
      </c>
      <c r="M12">
        <f>COUNTIF(Table!$AN:$AN,CONCATENATE($A12,"_",M$1))</f>
        <v>0</v>
      </c>
      <c r="N12">
        <f>COUNTIF(Table!$AN:$AN,CONCATENATE($A12,"_",N$1))</f>
        <v>2</v>
      </c>
      <c r="O12">
        <f>COUNTIF(Table!$AN:$AN,CONCATENATE($A12,"_",O$1))</f>
        <v>0</v>
      </c>
      <c r="P12">
        <f>COUNTIF(Table!$AN:$AN,CONCATENATE($A12,"_",P$1))</f>
        <v>2</v>
      </c>
      <c r="Q12">
        <f>COUNTIF(Table!$AN:$AN,CONCATENATE($A12,"_",Q$1))</f>
        <v>1</v>
      </c>
      <c r="R12">
        <f>COUNTIF(Table!$AN:$AN,CONCATENATE($A12,"_",R$1))</f>
        <v>0</v>
      </c>
      <c r="S12">
        <f>COUNTIF(Table!$AN:$AN,CONCATENATE($A12,"_",S$1))</f>
        <v>0</v>
      </c>
      <c r="T12">
        <f>COUNTIF(Table!$AN:$AN,CONCATENATE($A12,"_",T$1))</f>
        <v>0</v>
      </c>
      <c r="U12">
        <f>COUNTIF(Table!$AN:$AN,CONCATENATE($A12,"_",U$1))</f>
        <v>0</v>
      </c>
      <c r="V12">
        <f>COUNTIF(Table!$AN:$AN,CONCATENATE($A12,"_",V$1))</f>
        <v>0</v>
      </c>
    </row>
    <row r="13" spans="1:22" x14ac:dyDescent="0.25">
      <c r="A13" t="s">
        <v>486</v>
      </c>
      <c r="B13" t="str">
        <f>VLOOKUP(A13, Eras!$B$2:$C$14, 2, FALSE)</f>
        <v>Fourth Genertion (1985-1995)</v>
      </c>
      <c r="C13">
        <f>COUNTIF(Table!$AN:$AN,CONCATENATE($A13,"_",C$1))</f>
        <v>0</v>
      </c>
      <c r="D13">
        <f>COUNTIF(Table!$AN:$AN,CONCATENATE($A13,"_",D$1))</f>
        <v>0</v>
      </c>
      <c r="E13">
        <f>COUNTIF(Table!$AN:$AN,CONCATENATE($A13,"_",E$1))</f>
        <v>0</v>
      </c>
      <c r="F13">
        <f>COUNTIF(Table!$AN:$AN,CONCATENATE($A13,"_",F$1))</f>
        <v>0</v>
      </c>
      <c r="G13">
        <f>COUNTIF(Table!$AN:$AN,CONCATENATE($A13,"_",G$1))</f>
        <v>0</v>
      </c>
      <c r="H13">
        <f>COUNTIF(Table!$AN:$AN,CONCATENATE($A13,"_",H$1))</f>
        <v>0</v>
      </c>
      <c r="I13">
        <f>COUNTIF(Table!$AN:$AN,CONCATENATE($A13,"_",I$1))</f>
        <v>1</v>
      </c>
      <c r="J13">
        <f>COUNTIF(Table!$AN:$AN,CONCATENATE($A13,"_",J$1))</f>
        <v>0</v>
      </c>
      <c r="K13">
        <f>COUNTIF(Table!$AN:$AN,CONCATENATE($A13,"_",K$1))</f>
        <v>0</v>
      </c>
      <c r="L13">
        <f>COUNTIF(Table!$AN:$AN,CONCATENATE($A13,"_",L$1))</f>
        <v>0</v>
      </c>
      <c r="M13">
        <f>COUNTIF(Table!$AN:$AN,CONCATENATE($A13,"_",M$1))</f>
        <v>0</v>
      </c>
      <c r="N13">
        <f>COUNTIF(Table!$AN:$AN,CONCATENATE($A13,"_",N$1))</f>
        <v>1</v>
      </c>
      <c r="O13">
        <f>COUNTIF(Table!$AN:$AN,CONCATENATE($A13,"_",O$1))</f>
        <v>0</v>
      </c>
      <c r="P13">
        <f>COUNTIF(Table!$AN:$AN,CONCATENATE($A13,"_",P$1))</f>
        <v>1</v>
      </c>
      <c r="Q13">
        <f>COUNTIF(Table!$AN:$AN,CONCATENATE($A13,"_",Q$1))</f>
        <v>0</v>
      </c>
      <c r="R13">
        <f>COUNTIF(Table!$AN:$AN,CONCATENATE($A13,"_",R$1))</f>
        <v>0</v>
      </c>
      <c r="S13">
        <f>COUNTIF(Table!$AN:$AN,CONCATENATE($A13,"_",S$1))</f>
        <v>0</v>
      </c>
      <c r="T13">
        <f>COUNTIF(Table!$AN:$AN,CONCATENATE($A13,"_",T$1))</f>
        <v>0</v>
      </c>
      <c r="U13">
        <f>COUNTIF(Table!$AN:$AN,CONCATENATE($A13,"_",U$1))</f>
        <v>0</v>
      </c>
      <c r="V13">
        <f>COUNTIF(Table!$AN:$AN,CONCATENATE($A13,"_",V$1))</f>
        <v>0</v>
      </c>
    </row>
    <row r="14" spans="1:22" x14ac:dyDescent="0.25">
      <c r="A14" t="s">
        <v>487</v>
      </c>
      <c r="B14" t="str">
        <f>VLOOKUP(A14, Eras!$B$2:$C$14, 2, FALSE)</f>
        <v>Privatisation (1995-2005)</v>
      </c>
      <c r="C14">
        <f>COUNTIF(Table!$AN:$AN,CONCATENATE($A14,"_",C$1))</f>
        <v>0</v>
      </c>
      <c r="D14">
        <f>COUNTIF(Table!$AN:$AN,CONCATENATE($A14,"_",D$1))</f>
        <v>0</v>
      </c>
      <c r="E14">
        <f>COUNTIF(Table!$AN:$AN,CONCATENATE($A14,"_",E$1))</f>
        <v>0</v>
      </c>
      <c r="F14">
        <f>COUNTIF(Table!$AN:$AN,CONCATENATE($A14,"_",F$1))</f>
        <v>0</v>
      </c>
      <c r="G14">
        <f>COUNTIF(Table!$AN:$AN,CONCATENATE($A14,"_",G$1))</f>
        <v>1</v>
      </c>
      <c r="H14">
        <f>COUNTIF(Table!$AN:$AN,CONCATENATE($A14,"_",H$1))</f>
        <v>0</v>
      </c>
      <c r="I14">
        <f>COUNTIF(Table!$AN:$AN,CONCATENATE($A14,"_",I$1))</f>
        <v>0</v>
      </c>
      <c r="J14">
        <f>COUNTIF(Table!$AN:$AN,CONCATENATE($A14,"_",J$1))</f>
        <v>0</v>
      </c>
      <c r="K14">
        <f>COUNTIF(Table!$AN:$AN,CONCATENATE($A14,"_",K$1))</f>
        <v>0</v>
      </c>
      <c r="L14">
        <f>COUNTIF(Table!$AN:$AN,CONCATENATE($A14,"_",L$1))</f>
        <v>0</v>
      </c>
      <c r="M14">
        <f>COUNTIF(Table!$AN:$AN,CONCATENATE($A14,"_",M$1))</f>
        <v>0</v>
      </c>
      <c r="N14">
        <f>COUNTIF(Table!$AN:$AN,CONCATENATE($A14,"_",N$1))</f>
        <v>1</v>
      </c>
      <c r="O14">
        <f>COUNTIF(Table!$AN:$AN,CONCATENATE($A14,"_",O$1))</f>
        <v>1</v>
      </c>
      <c r="P14">
        <f>COUNTIF(Table!$AN:$AN,CONCATENATE($A14,"_",P$1))</f>
        <v>1</v>
      </c>
      <c r="Q14">
        <f>COUNTIF(Table!$AN:$AN,CONCATENATE($A14,"_",Q$1))</f>
        <v>0</v>
      </c>
      <c r="R14">
        <f>COUNTIF(Table!$AN:$AN,CONCATENATE($A14,"_",R$1))</f>
        <v>0</v>
      </c>
      <c r="S14">
        <f>COUNTIF(Table!$AN:$AN,CONCATENATE($A14,"_",S$1))</f>
        <v>0</v>
      </c>
      <c r="T14">
        <f>COUNTIF(Table!$AN:$AN,CONCATENATE($A14,"_",T$1))</f>
        <v>0</v>
      </c>
      <c r="U14">
        <f>COUNTIF(Table!$AN:$AN,CONCATENATE($A14,"_",U$1))</f>
        <v>0</v>
      </c>
      <c r="V14">
        <f>COUNTIF(Table!$AN:$AN,CONCATENATE($A14,"_",V$1))</f>
        <v>0</v>
      </c>
    </row>
    <row r="15" spans="1:22" x14ac:dyDescent="0.25">
      <c r="A15" t="s">
        <v>488</v>
      </c>
      <c r="B15" t="str">
        <f>VLOOKUP(A15, Eras!$B$2:$C$14, 2, FALSE)</f>
        <v>Modern (2005-)</v>
      </c>
      <c r="C15">
        <f>COUNTIF(Table!$AN:$AN,CONCATENATE($A15,"_",C$1))</f>
        <v>0</v>
      </c>
      <c r="D15">
        <f>COUNTIF(Table!$AN:$AN,CONCATENATE($A15,"_",D$1))</f>
        <v>0</v>
      </c>
      <c r="E15">
        <f>COUNTIF(Table!$AN:$AN,CONCATENATE($A15,"_",E$1))</f>
        <v>0</v>
      </c>
      <c r="F15">
        <f>COUNTIF(Table!$AN:$AN,CONCATENATE($A15,"_",F$1))</f>
        <v>0</v>
      </c>
      <c r="G15">
        <f>COUNTIF(Table!$AN:$AN,CONCATENATE($A15,"_",G$1))</f>
        <v>0</v>
      </c>
      <c r="H15">
        <f>COUNTIF(Table!$AN:$AN,CONCATENATE($A15,"_",H$1))</f>
        <v>0</v>
      </c>
      <c r="I15">
        <f>COUNTIF(Table!$AN:$AN,CONCATENATE($A15,"_",I$1))</f>
        <v>0</v>
      </c>
      <c r="J15">
        <f>COUNTIF(Table!$AN:$AN,CONCATENATE($A15,"_",J$1))</f>
        <v>0</v>
      </c>
      <c r="K15">
        <f>COUNTIF(Table!$AN:$AN,CONCATENATE($A15,"_",K$1))</f>
        <v>0</v>
      </c>
      <c r="L15">
        <f>COUNTIF(Table!$AN:$AN,CONCATENATE($A15,"_",L$1))</f>
        <v>0</v>
      </c>
      <c r="M15">
        <f>COUNTIF(Table!$AN:$AN,CONCATENATE($A15,"_",M$1))</f>
        <v>0</v>
      </c>
      <c r="N15">
        <f>COUNTIF(Table!$AN:$AN,CONCATENATE($A15,"_",N$1))</f>
        <v>0</v>
      </c>
      <c r="O15">
        <f>COUNTIF(Table!$AN:$AN,CONCATENATE($A15,"_",O$1))</f>
        <v>1</v>
      </c>
      <c r="P15">
        <f>COUNTIF(Table!$AN:$AN,CONCATENATE($A15,"_",P$1))</f>
        <v>2</v>
      </c>
      <c r="Q15">
        <f>COUNTIF(Table!$AN:$AN,CONCATENATE($A15,"_",Q$1))</f>
        <v>0</v>
      </c>
      <c r="R15">
        <f>COUNTIF(Table!$AN:$AN,CONCATENATE($A15,"_",R$1))</f>
        <v>0</v>
      </c>
      <c r="S15">
        <f>COUNTIF(Table!$AN:$AN,CONCATENATE($A15,"_",S$1))</f>
        <v>0</v>
      </c>
      <c r="T15">
        <f>COUNTIF(Table!$AN:$AN,CONCATENATE($A15,"_",T$1))</f>
        <v>0</v>
      </c>
      <c r="U15">
        <f>COUNTIF(Table!$AN:$AN,CONCATENATE($A15,"_",U$1))</f>
        <v>0</v>
      </c>
      <c r="V15">
        <f>COUNTIF(Table!$AN:$AN,CONCATENATE($A15,"_",V$1))</f>
        <v>0</v>
      </c>
    </row>
  </sheetData>
  <conditionalFormatting sqref="C3:C15 E3:V15">
    <cfRule type="colorScale" priority="3">
      <colorScale>
        <cfvo type="min"/>
        <cfvo type="num" val="1"/>
        <cfvo type="max"/>
        <color theme="5" tint="-0.249977111117893"/>
        <color rgb="FFFFEB84"/>
        <color theme="9" tint="0.39997558519241921"/>
      </colorScale>
    </cfRule>
    <cfRule type="cellIs" dxfId="1" priority="5" operator="lessThan">
      <formula>1</formula>
    </cfRule>
  </conditionalFormatting>
  <conditionalFormatting sqref="D3:D15">
    <cfRule type="colorScale" priority="1">
      <colorScale>
        <cfvo type="min"/>
        <cfvo type="num" val="1"/>
        <cfvo type="max"/>
        <color theme="5" tint="-0.249977111117893"/>
        <color rgb="FFFFEB84"/>
        <color theme="9" tint="0.39997558519241921"/>
      </colorScale>
    </cfRule>
    <cfRule type="cellIs" dxfId="0" priority="2"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4"/>
  <sheetViews>
    <sheetView workbookViewId="0">
      <selection activeCell="B2" sqref="B2:B14"/>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465</v>
      </c>
      <c r="B1" s="1" t="s">
        <v>478</v>
      </c>
      <c r="C1" s="1" t="s">
        <v>466</v>
      </c>
    </row>
    <row r="2" spans="1:3" x14ac:dyDescent="0.25">
      <c r="A2">
        <v>1800</v>
      </c>
      <c r="B2" t="s">
        <v>479</v>
      </c>
      <c r="C2" t="s">
        <v>467</v>
      </c>
    </row>
    <row r="3" spans="1:3" x14ac:dyDescent="0.25">
      <c r="A3">
        <v>1830</v>
      </c>
      <c r="B3" t="s">
        <v>491</v>
      </c>
      <c r="C3" t="s">
        <v>495</v>
      </c>
    </row>
    <row r="4" spans="1:3" x14ac:dyDescent="0.25">
      <c r="A4">
        <v>1860</v>
      </c>
      <c r="B4" t="s">
        <v>492</v>
      </c>
      <c r="C4" t="s">
        <v>494</v>
      </c>
    </row>
    <row r="5" spans="1:3" x14ac:dyDescent="0.25">
      <c r="A5">
        <v>1880</v>
      </c>
      <c r="B5" t="s">
        <v>493</v>
      </c>
      <c r="C5" t="s">
        <v>468</v>
      </c>
    </row>
    <row r="6" spans="1:3" x14ac:dyDescent="0.25">
      <c r="A6">
        <v>1900</v>
      </c>
      <c r="B6" t="s">
        <v>480</v>
      </c>
      <c r="C6" t="s">
        <v>469</v>
      </c>
    </row>
    <row r="7" spans="1:3" x14ac:dyDescent="0.25">
      <c r="A7">
        <v>1920</v>
      </c>
      <c r="B7" t="s">
        <v>481</v>
      </c>
      <c r="C7" t="s">
        <v>470</v>
      </c>
    </row>
    <row r="8" spans="1:3" x14ac:dyDescent="0.25">
      <c r="A8">
        <v>1948</v>
      </c>
      <c r="B8" t="s">
        <v>482</v>
      </c>
      <c r="C8" t="s">
        <v>471</v>
      </c>
    </row>
    <row r="9" spans="1:3" x14ac:dyDescent="0.25">
      <c r="A9">
        <v>1955</v>
      </c>
      <c r="B9" t="s">
        <v>483</v>
      </c>
      <c r="C9" t="s">
        <v>472</v>
      </c>
    </row>
    <row r="10" spans="1:3" x14ac:dyDescent="0.25">
      <c r="A10">
        <v>1965</v>
      </c>
      <c r="B10" t="s">
        <v>484</v>
      </c>
      <c r="C10" t="s">
        <v>473</v>
      </c>
    </row>
    <row r="11" spans="1:3" x14ac:dyDescent="0.25">
      <c r="A11">
        <v>1975</v>
      </c>
      <c r="B11" t="s">
        <v>485</v>
      </c>
      <c r="C11" t="s">
        <v>474</v>
      </c>
    </row>
    <row r="12" spans="1:3" x14ac:dyDescent="0.25">
      <c r="A12">
        <v>1985</v>
      </c>
      <c r="B12" t="s">
        <v>486</v>
      </c>
      <c r="C12" t="s">
        <v>475</v>
      </c>
    </row>
    <row r="13" spans="1:3" x14ac:dyDescent="0.25">
      <c r="A13">
        <v>1995</v>
      </c>
      <c r="B13" t="s">
        <v>487</v>
      </c>
      <c r="C13" t="s">
        <v>476</v>
      </c>
    </row>
    <row r="14" spans="1:3" x14ac:dyDescent="0.25">
      <c r="A14">
        <v>2005</v>
      </c>
      <c r="B14" t="s">
        <v>488</v>
      </c>
      <c r="C14" t="s">
        <v>477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382</v>
      </c>
      <c r="B1" s="1" t="s">
        <v>383</v>
      </c>
    </row>
    <row r="2" spans="1:2" x14ac:dyDescent="0.25">
      <c r="A2" s="2">
        <v>0</v>
      </c>
      <c r="B2" s="2" t="s">
        <v>213</v>
      </c>
    </row>
    <row r="3" spans="1:2" x14ac:dyDescent="0.25">
      <c r="A3">
        <v>3</v>
      </c>
      <c r="B3" t="s">
        <v>446</v>
      </c>
    </row>
    <row r="4" spans="1:2" x14ac:dyDescent="0.25">
      <c r="A4">
        <v>4</v>
      </c>
      <c r="B4" t="s">
        <v>384</v>
      </c>
    </row>
    <row r="5" spans="1:2" x14ac:dyDescent="0.25">
      <c r="A5">
        <v>5</v>
      </c>
      <c r="B5" t="s">
        <v>385</v>
      </c>
    </row>
    <row r="6" spans="1:2" x14ac:dyDescent="0.25">
      <c r="A6">
        <v>6</v>
      </c>
      <c r="B6" t="s">
        <v>459</v>
      </c>
    </row>
    <row r="7" spans="1:2" x14ac:dyDescent="0.25">
      <c r="A7">
        <v>7</v>
      </c>
      <c r="B7" t="s">
        <v>386</v>
      </c>
    </row>
    <row r="8" spans="1:2" x14ac:dyDescent="0.25">
      <c r="A8">
        <v>8</v>
      </c>
      <c r="B8" t="s">
        <v>387</v>
      </c>
    </row>
    <row r="9" spans="1:2" x14ac:dyDescent="0.25">
      <c r="A9">
        <v>9</v>
      </c>
      <c r="B9" t="s">
        <v>390</v>
      </c>
    </row>
    <row r="10" spans="1:2" x14ac:dyDescent="0.25">
      <c r="A10">
        <v>10</v>
      </c>
      <c r="B10" t="s">
        <v>388</v>
      </c>
    </row>
    <row r="11" spans="1:2" x14ac:dyDescent="0.25">
      <c r="A11">
        <v>11</v>
      </c>
      <c r="B11" t="s">
        <v>389</v>
      </c>
    </row>
    <row r="12" spans="1:2" x14ac:dyDescent="0.25">
      <c r="A12">
        <v>12</v>
      </c>
      <c r="B12" t="s">
        <v>391</v>
      </c>
    </row>
    <row r="13" spans="1:2" x14ac:dyDescent="0.25">
      <c r="A13">
        <v>13</v>
      </c>
      <c r="B13" t="s">
        <v>392</v>
      </c>
    </row>
    <row r="14" spans="1:2" x14ac:dyDescent="0.25">
      <c r="A14">
        <v>14</v>
      </c>
      <c r="B14" t="s">
        <v>393</v>
      </c>
    </row>
    <row r="15" spans="1:2" x14ac:dyDescent="0.25">
      <c r="A15">
        <v>15</v>
      </c>
      <c r="B15" t="s">
        <v>394</v>
      </c>
    </row>
    <row r="16" spans="1:2" x14ac:dyDescent="0.25">
      <c r="A16">
        <v>16</v>
      </c>
      <c r="B16" t="s">
        <v>395</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453</v>
      </c>
      <c r="B1" s="1" t="s">
        <v>454</v>
      </c>
      <c r="C1" s="1" t="s">
        <v>455</v>
      </c>
      <c r="D1" s="1" t="s">
        <v>456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2020-06-11T18:42:29Z</dcterms:modified>
</cp:coreProperties>
</file>